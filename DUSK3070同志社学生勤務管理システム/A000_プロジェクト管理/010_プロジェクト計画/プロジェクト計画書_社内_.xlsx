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A000_プロジェクト管理\010_プロジェクト計画\"/>
    </mc:Choice>
  </mc:AlternateContent>
  <xr:revisionPtr revIDLastSave="0" documentId="13_ncr:1_{9F751400-678D-46BF-BE0F-FBAD94A849A4}" xr6:coauthVersionLast="47" xr6:coauthVersionMax="47" xr10:uidLastSave="{00000000-0000-0000-0000-000000000000}"/>
  <bookViews>
    <workbookView xWindow="-120" yWindow="-120" windowWidth="29040" windowHeight="15840" tabRatio="876" activeTab="2" xr2:uid="{00000000-000D-0000-FFFF-FFFF00000000}"/>
  </bookViews>
  <sheets>
    <sheet name="タイトル" sheetId="13" r:id="rId1"/>
    <sheet name="改訂履歴" sheetId="12" r:id="rId2"/>
    <sheet name="プロジェクト計画書" sheetId="10" r:id="rId3"/>
    <sheet name="(別紙1）プロジェクト成果物" sheetId="14" r:id="rId4"/>
    <sheet name="(別紙2）人員計画" sheetId="23" r:id="rId5"/>
    <sheet name="(別紙3）完了判定計画" sheetId="22" r:id="rId6"/>
  </sheets>
  <definedNames>
    <definedName name="_Fill" localSheetId="3" hidden="1">#REF!</definedName>
    <definedName name="_Fill" localSheetId="4" hidden="1">#REF!</definedName>
    <definedName name="_Fill" localSheetId="5" hidden="1">#REF!</definedName>
    <definedName name="_Fill" hidden="1">#REF!</definedName>
    <definedName name="_Key1" localSheetId="3" hidden="1">#REF!</definedName>
    <definedName name="_Key1" localSheetId="4" hidden="1">#REF!</definedName>
    <definedName name="_Key1" localSheetId="5" hidden="1">#REF!</definedName>
    <definedName name="_Key1" hidden="1">#REF!</definedName>
    <definedName name="_Order1" hidden="1">1</definedName>
    <definedName name="_Sort" localSheetId="3" hidden="1">#REF!</definedName>
    <definedName name="_Sort" localSheetId="4" hidden="1">#REF!</definedName>
    <definedName name="_Sort" localSheetId="5" hidden="1">#REF!</definedName>
    <definedName name="_Sort" hidden="1">#REF!</definedName>
    <definedName name="AccessDatabase" hidden="1">"C:\My Documents\佐川急便\3･21向け設計\マスタ登録\マスタ登録.mdb"</definedName>
    <definedName name="_xlnm.Print_Area" localSheetId="0">タイトル!$A$1:$AC$36</definedName>
    <definedName name="_xlnm.Print_Titles" localSheetId="3">'(別紙1）プロジェクト成果物'!$1:$3</definedName>
    <definedName name="_xlnm.Print_Titles" localSheetId="4">'(別紙2）人員計画'!$1:$3</definedName>
    <definedName name="_xlnm.Print_Titles" localSheetId="5">'(別紙3）完了判定計画'!$1:$3</definedName>
    <definedName name="_xlnm.Print_Titles" localSheetId="2">プロジェクト計画書!$1:$3</definedName>
    <definedName name="wrn.見積書." hidden="1">{#N/A,#N/A,FALSE,"見積･大阪柔整会"}</definedName>
    <definedName name="wrn.見積明細書." hidden="1">{#N/A,#N/A,TRUE,"見積･佐川"}</definedName>
    <definedName name="機器販売原価" hidden="1">{#N/A,#N/A,TRUE,"見積･佐川"}</definedName>
    <definedName name="機器販売原価見積書" hidden="1">{#N/A,#N/A,FALSE,"見積･大阪柔整会"}</definedName>
  </definedNames>
  <calcPr calcId="191029"/>
</workbook>
</file>

<file path=xl/calcChain.xml><?xml version="1.0" encoding="utf-8"?>
<calcChain xmlns="http://schemas.openxmlformats.org/spreadsheetml/2006/main">
  <c r="DY58" i="10" l="1"/>
  <c r="DU86" i="10"/>
  <c r="DU88" i="10" s="1"/>
  <c r="DQ86" i="10"/>
  <c r="DQ88" i="10" s="1"/>
  <c r="DI85" i="10"/>
  <c r="DM85" i="10"/>
  <c r="DQ85" i="10"/>
  <c r="DU85" i="10"/>
  <c r="DY79" i="10"/>
  <c r="DY78" i="10"/>
  <c r="DY77" i="10"/>
  <c r="DY85" i="10" s="1"/>
  <c r="DY80" i="10"/>
  <c r="DY84" i="10"/>
  <c r="DY83" i="10"/>
  <c r="DY82" i="10"/>
  <c r="DY81" i="10"/>
  <c r="DU74" i="10"/>
  <c r="DQ74" i="10"/>
  <c r="DI74" i="10"/>
  <c r="DI86" i="10" s="1"/>
  <c r="DI88" i="10" s="1"/>
  <c r="DM74" i="10"/>
  <c r="DM86" i="10" s="1"/>
  <c r="DM88" i="10" s="1"/>
  <c r="DY72" i="10" l="1"/>
  <c r="DY73" i="10"/>
  <c r="DY71" i="10"/>
  <c r="DY74" i="10" s="1"/>
  <c r="DY86" i="10" s="1"/>
  <c r="DY88" i="10" s="1"/>
  <c r="W67" i="10" l="1"/>
  <c r="S67" i="10"/>
  <c r="AE74" i="10"/>
  <c r="AA74" i="10"/>
  <c r="W74" i="10"/>
  <c r="S74" i="10"/>
  <c r="AE67" i="10"/>
  <c r="AA67" i="10"/>
  <c r="J17" i="23" l="1"/>
  <c r="J16" i="23"/>
  <c r="BL5" i="12" l="1"/>
  <c r="J13" i="23" l="1"/>
  <c r="J14" i="23"/>
  <c r="H5" i="12" l="1"/>
  <c r="AO7" i="23" l="1"/>
  <c r="N8" i="23"/>
  <c r="Q8" i="23" s="1"/>
  <c r="T8" i="23" s="1"/>
  <c r="W8" i="23" s="1"/>
  <c r="Z8" i="23" s="1"/>
  <c r="AC8" i="23" s="1"/>
  <c r="AF8" i="23" s="1"/>
  <c r="AI8" i="23" s="1"/>
  <c r="AL8" i="23" s="1"/>
  <c r="AO8" i="23" s="1"/>
  <c r="AR8" i="23" s="1"/>
  <c r="AU8" i="23" s="1"/>
  <c r="J10" i="23"/>
  <c r="J11" i="23"/>
  <c r="J12" i="23"/>
  <c r="J15" i="23"/>
  <c r="J9" i="23"/>
  <c r="J18" i="23" l="1"/>
  <c r="AI57" i="10"/>
  <c r="AI58" i="10"/>
  <c r="AI59" i="10"/>
  <c r="AI60" i="10"/>
  <c r="AI61" i="10"/>
  <c r="AI62" i="10"/>
  <c r="AI64" i="10"/>
  <c r="AI65" i="10"/>
  <c r="AI66" i="10"/>
  <c r="AI68" i="10"/>
  <c r="AI69" i="10"/>
  <c r="AI70" i="10"/>
  <c r="AI71" i="10"/>
  <c r="AI72" i="10"/>
  <c r="AI73" i="10"/>
  <c r="AI56" i="10"/>
  <c r="AE63" i="10"/>
  <c r="S63" i="10"/>
  <c r="W63" i="10"/>
  <c r="AA63" i="10"/>
  <c r="AL2" i="23"/>
  <c r="I2" i="23"/>
  <c r="BW1" i="23"/>
  <c r="BM1" i="23"/>
  <c r="AL1" i="23"/>
  <c r="I1" i="23"/>
  <c r="AL1" i="22"/>
  <c r="AL1" i="14"/>
  <c r="AL1" i="10"/>
  <c r="I2" i="22"/>
  <c r="I2" i="14"/>
  <c r="I2" i="10"/>
  <c r="AL2" i="22"/>
  <c r="BW1" i="22"/>
  <c r="BM1" i="22"/>
  <c r="I1" i="22"/>
  <c r="AL2" i="14"/>
  <c r="BW1" i="14"/>
  <c r="BM1" i="14"/>
  <c r="I1" i="14"/>
  <c r="J29" i="13"/>
  <c r="AL2" i="10"/>
  <c r="I1" i="10"/>
  <c r="BW1" i="10"/>
  <c r="BM1" i="10"/>
  <c r="J27" i="13"/>
  <c r="G20" i="13"/>
  <c r="G17" i="13"/>
  <c r="G14" i="13"/>
  <c r="G11" i="13"/>
  <c r="AI67" i="10" l="1"/>
  <c r="AI74" i="10"/>
  <c r="W75" i="10"/>
  <c r="AA75" i="10"/>
  <c r="AE75" i="10"/>
  <c r="AI63" i="10"/>
  <c r="S75" i="10" l="1"/>
  <c r="AI75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P3" authorId="0" shapeId="0" xr:uid="{8B1675E7-67D0-4DEE-AE3A-EDDC2E736DBC}">
      <text>
        <r>
          <rPr>
            <sz val="9"/>
            <color indexed="81"/>
            <rFont val="ＭＳ Ｐゴシック"/>
            <family val="3"/>
            <charset val="128"/>
          </rPr>
          <t>新規/変更を入れる</t>
        </r>
      </text>
    </comment>
    <comment ref="AC3" authorId="0" shapeId="0" xr:uid="{74CBD8EC-2238-4A12-B6E6-B3516C086DE7}">
      <text>
        <r>
          <rPr>
            <sz val="9"/>
            <color indexed="81"/>
            <rFont val="ＭＳ Ｐゴシック"/>
            <family val="3"/>
            <charset val="128"/>
          </rPr>
          <t>変更内容を簡潔に記述</t>
        </r>
      </text>
    </comment>
    <comment ref="U4" authorId="0" shapeId="0" xr:uid="{023F7530-5548-4431-9A92-731C67644C9C}">
      <text>
        <r>
          <rPr>
            <sz val="9"/>
            <color indexed="81"/>
            <rFont val="ＭＳ Ｐゴシック"/>
            <family val="3"/>
            <charset val="128"/>
          </rPr>
          <t>修正したページを入れる</t>
        </r>
      </text>
    </comment>
    <comment ref="X4" authorId="0" shapeId="0" xr:uid="{4C6F5CD0-6B8F-4036-921D-B6633AB43A90}">
      <text>
        <r>
          <rPr>
            <sz val="9"/>
            <color indexed="81"/>
            <rFont val="ＭＳ Ｐゴシック"/>
            <family val="3"/>
            <charset val="128"/>
          </rPr>
          <t>項番(章番号)を入れる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  <author>中西　敏男</author>
  </authors>
  <commentList>
    <comment ref="B4" authorId="0" shapeId="0" xr:uid="{45ED31B4-C867-4711-BF9E-199AE553AA0C}">
      <text>
        <r>
          <rPr>
            <sz val="9"/>
            <color indexed="81"/>
            <rFont val="ＭＳ Ｐゴシック"/>
            <family val="3"/>
            <charset val="128"/>
          </rPr>
          <t>項番は
MSゴシック 11pt</t>
        </r>
      </text>
    </comment>
    <comment ref="B5" authorId="0" shapeId="0" xr:uid="{9A88DD54-AFDD-44B7-8491-492E3C68F9F5}">
      <text>
        <r>
          <rPr>
            <sz val="9"/>
            <color indexed="81"/>
            <rFont val="ＭＳ Ｐゴシック"/>
            <family val="3"/>
            <charset val="128"/>
          </rPr>
          <t>項番は
MSゴシック 11pt</t>
        </r>
      </text>
    </comment>
    <comment ref="C7" authorId="0" shapeId="0" xr:uid="{10DC6400-41D7-4F27-886B-AFBC1F1E58DF}">
      <text>
        <r>
          <rPr>
            <sz val="9"/>
            <color indexed="81"/>
            <rFont val="ＭＳ Ｐゴシック"/>
            <family val="3"/>
            <charset val="128"/>
          </rPr>
          <t>項番は
MSゴシック 11pt</t>
        </r>
      </text>
    </comment>
    <comment ref="C14" authorId="0" shapeId="0" xr:uid="{AAA77B9E-9FF8-43D2-99EA-9F726CE3AF30}">
      <text>
        <r>
          <rPr>
            <sz val="9"/>
            <color indexed="81"/>
            <rFont val="ＭＳ Ｐゴシック"/>
            <family val="3"/>
            <charset val="128"/>
          </rPr>
          <t>項番は
MSゴシック 11pt</t>
        </r>
      </text>
    </comment>
    <comment ref="C29" authorId="0" shapeId="0" xr:uid="{1F843397-7EE6-452E-818E-67D2600AFAA5}">
      <text>
        <r>
          <rPr>
            <sz val="9"/>
            <color indexed="81"/>
            <rFont val="ＭＳ Ｐゴシック"/>
            <family val="3"/>
            <charset val="128"/>
          </rPr>
          <t>項番は
MSゴシック 11pt</t>
        </r>
      </text>
    </comment>
    <comment ref="P33" authorId="1" shapeId="0" xr:uid="{B18F323D-B143-4266-AE97-CD80DB331D66}">
      <text>
        <r>
          <rPr>
            <b/>
            <sz val="9"/>
            <color indexed="81"/>
            <rFont val="ＭＳ Ｐゴシック"/>
            <family val="3"/>
            <charset val="128"/>
          </rPr>
          <t>Ｃ／Ｓ（２階層）
Ｃ／Ｓ（３階層）
Ｗｅｂ系
スタンドアロン系
ホスト系
その他</t>
        </r>
      </text>
    </comment>
    <comment ref="B48" authorId="0" shapeId="0" xr:uid="{00000000-0006-0000-0200-000001000000}">
      <text>
        <r>
          <rPr>
            <sz val="9"/>
            <color indexed="81"/>
            <rFont val="ＭＳ Ｐゴシック"/>
            <family val="3"/>
            <charset val="128"/>
          </rPr>
          <t>項番は
MSゴシック 11pt</t>
        </r>
      </text>
    </comment>
    <comment ref="C49" authorId="0" shapeId="0" xr:uid="{00000000-0006-0000-0200-000003000000}">
      <text>
        <r>
          <rPr>
            <sz val="9"/>
            <color indexed="81"/>
            <rFont val="ＭＳ Ｐゴシック"/>
            <family val="3"/>
            <charset val="128"/>
          </rPr>
          <t>項番は
MSゴシック 11pt</t>
        </r>
      </text>
    </comment>
    <comment ref="D51" authorId="0" shapeId="0" xr:uid="{00000000-0006-0000-0200-000005000000}">
      <text>
        <r>
          <rPr>
            <sz val="9"/>
            <color indexed="81"/>
            <rFont val="ＭＳ Ｐゴシック"/>
            <family val="3"/>
            <charset val="128"/>
          </rPr>
          <t>本文は
MS明朝 10pt</t>
        </r>
      </text>
    </comment>
    <comment ref="C53" authorId="0" shapeId="0" xr:uid="{00000000-0006-0000-0200-000006000000}">
      <text>
        <r>
          <rPr>
            <sz val="9"/>
            <color indexed="81"/>
            <rFont val="ＭＳ Ｐゴシック"/>
            <family val="3"/>
            <charset val="128"/>
          </rPr>
          <t>項番は
MSゴシック 11pt</t>
        </r>
      </text>
    </comment>
    <comment ref="B78" authorId="0" shapeId="0" xr:uid="{00000000-0006-0000-0200-00000B000000}">
      <text>
        <r>
          <rPr>
            <sz val="9"/>
            <color indexed="81"/>
            <rFont val="ＭＳ Ｐゴシック"/>
            <family val="3"/>
            <charset val="128"/>
          </rPr>
          <t>項番は
MSゴシック 11pt</t>
        </r>
      </text>
    </comment>
    <comment ref="D80" authorId="0" shapeId="0" xr:uid="{00000000-0006-0000-0200-00000C000000}">
      <text>
        <r>
          <rPr>
            <sz val="9"/>
            <color indexed="81"/>
            <rFont val="ＭＳ Ｐゴシック"/>
            <family val="3"/>
            <charset val="128"/>
          </rPr>
          <t>本文は
MS明朝 10pt</t>
        </r>
      </text>
    </comment>
    <comment ref="B94" authorId="0" shapeId="0" xr:uid="{00000000-0006-0000-0200-00000D000000}">
      <text>
        <r>
          <rPr>
            <sz val="9"/>
            <color indexed="81"/>
            <rFont val="ＭＳ Ｐゴシック"/>
            <family val="3"/>
            <charset val="128"/>
          </rPr>
          <t>項番は
MSゴシック 11pt</t>
        </r>
      </text>
    </comment>
    <comment ref="C96" authorId="0" shapeId="0" xr:uid="{00000000-0006-0000-0200-00000F000000}">
      <text>
        <r>
          <rPr>
            <sz val="9"/>
            <color indexed="81"/>
            <rFont val="ＭＳ Ｐゴシック"/>
            <family val="3"/>
            <charset val="128"/>
          </rPr>
          <t>項番は
MSゴシック 11pt</t>
        </r>
      </text>
    </comment>
    <comment ref="C106" authorId="0" shapeId="0" xr:uid="{00000000-0006-0000-0200-000011000000}">
      <text>
        <r>
          <rPr>
            <sz val="9"/>
            <color indexed="81"/>
            <rFont val="ＭＳ Ｐゴシック"/>
            <family val="3"/>
            <charset val="128"/>
          </rPr>
          <t>項番は
MSゴシック 11pt</t>
        </r>
      </text>
    </comment>
    <comment ref="C122" authorId="0" shapeId="0" xr:uid="{00000000-0006-0000-0200-000012000000}">
      <text>
        <r>
          <rPr>
            <sz val="9"/>
            <color indexed="81"/>
            <rFont val="ＭＳ Ｐゴシック"/>
            <family val="3"/>
            <charset val="128"/>
          </rPr>
          <t>項番は
MSゴシック 11pt</t>
        </r>
      </text>
    </comment>
    <comment ref="B138" authorId="0" shapeId="0" xr:uid="{54553086-7BBE-4747-8B9A-28D9767CFBF6}">
      <text>
        <r>
          <rPr>
            <sz val="9"/>
            <color indexed="81"/>
            <rFont val="ＭＳ Ｐゴシック"/>
            <family val="3"/>
            <charset val="128"/>
          </rPr>
          <t>項番は
MSゴシック 11pt</t>
        </r>
      </text>
    </comment>
    <comment ref="C140" authorId="0" shapeId="0" xr:uid="{E6AEDE2A-C54A-4F62-9CF7-9B0F8DABF319}">
      <text>
        <r>
          <rPr>
            <sz val="9"/>
            <color indexed="81"/>
            <rFont val="ＭＳ Ｐゴシック"/>
            <family val="3"/>
            <charset val="128"/>
          </rPr>
          <t>項番は
MSゴシック 11pt</t>
        </r>
      </text>
    </comment>
    <comment ref="C169" authorId="0" shapeId="0" xr:uid="{54308C9A-1D27-4F11-B3DD-B5B6F3C9F10A}">
      <text>
        <r>
          <rPr>
            <sz val="9"/>
            <color indexed="81"/>
            <rFont val="ＭＳ Ｐゴシック"/>
            <family val="3"/>
            <charset val="128"/>
          </rPr>
          <t>項番は
MSゴシック 11pt</t>
        </r>
      </text>
    </comment>
    <comment ref="B182" authorId="0" shapeId="0" xr:uid="{00000000-0006-0000-0200-000014000000}">
      <text>
        <r>
          <rPr>
            <sz val="9"/>
            <color indexed="81"/>
            <rFont val="ＭＳ Ｐゴシック"/>
            <family val="3"/>
            <charset val="128"/>
          </rPr>
          <t>項番は
MSゴシック 11pt</t>
        </r>
      </text>
    </comment>
    <comment ref="C184" authorId="0" shapeId="0" xr:uid="{00000000-0006-0000-0200-000016000000}">
      <text>
        <r>
          <rPr>
            <sz val="9"/>
            <color indexed="81"/>
            <rFont val="ＭＳ Ｐゴシック"/>
            <family val="3"/>
            <charset val="128"/>
          </rPr>
          <t>項番は
MSゴシック 11pt</t>
        </r>
      </text>
    </comment>
    <comment ref="C200" authorId="0" shapeId="0" xr:uid="{00000000-0006-0000-0200-000017000000}">
      <text>
        <r>
          <rPr>
            <sz val="9"/>
            <color indexed="81"/>
            <rFont val="ＭＳ Ｐゴシック"/>
            <family val="3"/>
            <charset val="128"/>
          </rPr>
          <t>項番は
MSゴシック 11pt</t>
        </r>
      </text>
    </comment>
    <comment ref="C205" authorId="0" shapeId="0" xr:uid="{00000000-0006-0000-0200-000018000000}">
      <text>
        <r>
          <rPr>
            <sz val="9"/>
            <color indexed="81"/>
            <rFont val="ＭＳ Ｐゴシック"/>
            <family val="3"/>
            <charset val="128"/>
          </rPr>
          <t>項番は
MSゴシック 11pt</t>
        </r>
      </text>
    </comment>
    <comment ref="B219" authorId="0" shapeId="0" xr:uid="{00000000-0006-0000-0200-000015000000}">
      <text>
        <r>
          <rPr>
            <sz val="9"/>
            <color indexed="81"/>
            <rFont val="ＭＳ Ｐゴシック"/>
            <family val="3"/>
            <charset val="128"/>
          </rPr>
          <t>項番は
MSゴシック 11pt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5" authorId="0" shapeId="0" xr:uid="{00000000-0006-0000-0600-000001000000}">
      <text>
        <r>
          <rPr>
            <sz val="9"/>
            <color indexed="81"/>
            <rFont val="ＭＳ Ｐゴシック"/>
            <family val="3"/>
            <charset val="128"/>
          </rPr>
          <t>項番は
MSゴシック 11pt</t>
        </r>
      </text>
    </comment>
  </commentList>
</comments>
</file>

<file path=xl/sharedStrings.xml><?xml version="1.0" encoding="utf-8"?>
<sst xmlns="http://schemas.openxmlformats.org/spreadsheetml/2006/main" count="491" uniqueCount="334">
  <si>
    <t>改訂履歴</t>
    <rPh sb="0" eb="2">
      <t>カイテイ</t>
    </rPh>
    <rPh sb="2" eb="4">
      <t>リレキ</t>
    </rPh>
    <phoneticPr fontId="3"/>
  </si>
  <si>
    <t>　新規作成</t>
    <rPh sb="1" eb="3">
      <t>シンキ</t>
    </rPh>
    <rPh sb="3" eb="5">
      <t>サクセイ</t>
    </rPh>
    <phoneticPr fontId="3"/>
  </si>
  <si>
    <t>システム名</t>
    <rPh sb="4" eb="5">
      <t>メイ</t>
    </rPh>
    <phoneticPr fontId="3"/>
  </si>
  <si>
    <t>工　　　　程</t>
    <rPh sb="0" eb="1">
      <t>コウ</t>
    </rPh>
    <rPh sb="5" eb="6">
      <t>ホド</t>
    </rPh>
    <phoneticPr fontId="3"/>
  </si>
  <si>
    <t>作　成</t>
    <rPh sb="0" eb="1">
      <t>サク</t>
    </rPh>
    <rPh sb="2" eb="3">
      <t>シゲル</t>
    </rPh>
    <phoneticPr fontId="3"/>
  </si>
  <si>
    <t>管理記号</t>
    <rPh sb="0" eb="2">
      <t>カンリ</t>
    </rPh>
    <rPh sb="2" eb="4">
      <t>キゴウ</t>
    </rPh>
    <phoneticPr fontId="3"/>
  </si>
  <si>
    <t>サブシステム名</t>
    <rPh sb="6" eb="7">
      <t>メイ</t>
    </rPh>
    <phoneticPr fontId="3"/>
  </si>
  <si>
    <t>ドキュメント</t>
    <phoneticPr fontId="3"/>
  </si>
  <si>
    <t>改　訂</t>
    <rPh sb="0" eb="1">
      <t>アラタ</t>
    </rPh>
    <rPh sb="2" eb="3">
      <t>テイ</t>
    </rPh>
    <phoneticPr fontId="3"/>
  </si>
  <si>
    <t>No</t>
    <phoneticPr fontId="3"/>
  </si>
  <si>
    <t>Ver</t>
    <phoneticPr fontId="3"/>
  </si>
  <si>
    <t>新規／改訂日</t>
    <rPh sb="0" eb="2">
      <t>シンキ</t>
    </rPh>
    <rPh sb="3" eb="5">
      <t>カイテイ</t>
    </rPh>
    <rPh sb="5" eb="6">
      <t>ビ</t>
    </rPh>
    <phoneticPr fontId="3"/>
  </si>
  <si>
    <t>区分</t>
    <rPh sb="0" eb="2">
      <t>クブン</t>
    </rPh>
    <phoneticPr fontId="3"/>
  </si>
  <si>
    <t>改訂箇所</t>
    <rPh sb="0" eb="2">
      <t>カイテイ</t>
    </rPh>
    <rPh sb="2" eb="4">
      <t>カショ</t>
    </rPh>
    <phoneticPr fontId="3"/>
  </si>
  <si>
    <t>改訂理由</t>
    <rPh sb="0" eb="2">
      <t>カイテイ</t>
    </rPh>
    <rPh sb="2" eb="4">
      <t>リユウ</t>
    </rPh>
    <phoneticPr fontId="3"/>
  </si>
  <si>
    <t>新規／改訂者</t>
    <rPh sb="0" eb="2">
      <t>シンキ</t>
    </rPh>
    <rPh sb="3" eb="5">
      <t>カイテイ</t>
    </rPh>
    <rPh sb="5" eb="6">
      <t>シャ</t>
    </rPh>
    <phoneticPr fontId="3"/>
  </si>
  <si>
    <t>頁</t>
    <rPh sb="0" eb="1">
      <t>ページ</t>
    </rPh>
    <phoneticPr fontId="3"/>
  </si>
  <si>
    <t>項番</t>
    <rPh sb="0" eb="1">
      <t>コウ</t>
    </rPh>
    <rPh sb="1" eb="2">
      <t>バン</t>
    </rPh>
    <phoneticPr fontId="3"/>
  </si>
  <si>
    <t>　プロジェクト計画書</t>
    <rPh sb="7" eb="10">
      <t>ケイカクショ</t>
    </rPh>
    <phoneticPr fontId="3"/>
  </si>
  <si>
    <t xml:space="preserve"> </t>
    <phoneticPr fontId="3"/>
  </si>
  <si>
    <t>見出し部タイトル制御テーブル</t>
    <rPh sb="0" eb="2">
      <t>ミダ</t>
    </rPh>
    <rPh sb="3" eb="4">
      <t>ブ</t>
    </rPh>
    <rPh sb="8" eb="10">
      <t>セイギョ</t>
    </rPh>
    <phoneticPr fontId="3"/>
  </si>
  <si>
    <t>タイトル項目</t>
    <rPh sb="4" eb="6">
      <t>コウモク</t>
    </rPh>
    <phoneticPr fontId="3"/>
  </si>
  <si>
    <t>タイトル項目埋め込み内容</t>
    <rPh sb="4" eb="6">
      <t>コウモク</t>
    </rPh>
    <rPh sb="6" eb="7">
      <t>ウ</t>
    </rPh>
    <rPh sb="8" eb="9">
      <t>コ</t>
    </rPh>
    <rPh sb="10" eb="12">
      <t>ナイヨウ</t>
    </rPh>
    <phoneticPr fontId="3"/>
  </si>
  <si>
    <t>　①システム名</t>
    <rPh sb="6" eb="7">
      <t>メイ</t>
    </rPh>
    <phoneticPr fontId="3"/>
  </si>
  <si>
    <t>　②サブシステム名</t>
    <rPh sb="8" eb="9">
      <t>メイ</t>
    </rPh>
    <phoneticPr fontId="3"/>
  </si>
  <si>
    <t>　③分類名</t>
    <rPh sb="2" eb="4">
      <t>ブンルイ</t>
    </rPh>
    <rPh sb="4" eb="5">
      <t>メイ</t>
    </rPh>
    <phoneticPr fontId="3"/>
  </si>
  <si>
    <t>　④作業工程名</t>
    <rPh sb="2" eb="4">
      <t>サギョウ</t>
    </rPh>
    <rPh sb="4" eb="6">
      <t>コウテイ</t>
    </rPh>
    <rPh sb="6" eb="7">
      <t>メイ</t>
    </rPh>
    <phoneticPr fontId="3"/>
  </si>
  <si>
    <t>　⑤ドキュメント代表名</t>
    <rPh sb="8" eb="10">
      <t>ダイヒョウ</t>
    </rPh>
    <rPh sb="10" eb="11">
      <t>メイ</t>
    </rPh>
    <phoneticPr fontId="3"/>
  </si>
  <si>
    <t>　⑥ドキュメント詳細名</t>
    <rPh sb="8" eb="10">
      <t>ショウサイ</t>
    </rPh>
    <rPh sb="10" eb="11">
      <t>メイ</t>
    </rPh>
    <phoneticPr fontId="3"/>
  </si>
  <si>
    <t>　⑦作成者</t>
    <rPh sb="2" eb="5">
      <t>サクセイシャ</t>
    </rPh>
    <phoneticPr fontId="3"/>
  </si>
  <si>
    <t>　⑧作成日</t>
    <rPh sb="2" eb="5">
      <t>サクセイビ</t>
    </rPh>
    <phoneticPr fontId="3"/>
  </si>
  <si>
    <t>　⑦改定者</t>
    <rPh sb="2" eb="4">
      <t>カイテイ</t>
    </rPh>
    <rPh sb="4" eb="5">
      <t>シャ</t>
    </rPh>
    <phoneticPr fontId="3"/>
  </si>
  <si>
    <t>　※ページ毎に個別入力</t>
    <rPh sb="5" eb="6">
      <t>ゴト</t>
    </rPh>
    <rPh sb="7" eb="9">
      <t>コベツ</t>
    </rPh>
    <rPh sb="9" eb="11">
      <t>ニュウリョク</t>
    </rPh>
    <phoneticPr fontId="3"/>
  </si>
  <si>
    <t>　⑧改定日</t>
    <rPh sb="2" eb="4">
      <t>カイテイ</t>
    </rPh>
    <rPh sb="4" eb="5">
      <t>ビ</t>
    </rPh>
    <phoneticPr fontId="3"/>
  </si>
  <si>
    <t>　⑨管理記号</t>
    <rPh sb="2" eb="4">
      <t>カンリ</t>
    </rPh>
    <rPh sb="4" eb="6">
      <t>キゴウ</t>
    </rPh>
    <phoneticPr fontId="3"/>
  </si>
  <si>
    <t>　⑩Ｖｅｒ</t>
    <phoneticPr fontId="3"/>
  </si>
  <si>
    <t>【 Ver 1.0  】</t>
    <phoneticPr fontId="3"/>
  </si>
  <si>
    <t>（注1） ①～⑤は、埋め込み内容の先頭１文字は空白にする。</t>
    <rPh sb="1" eb="2">
      <t>チュウ</t>
    </rPh>
    <rPh sb="10" eb="11">
      <t>ウ</t>
    </rPh>
    <rPh sb="12" eb="13">
      <t>コ</t>
    </rPh>
    <rPh sb="14" eb="16">
      <t>ナイヨウ</t>
    </rPh>
    <rPh sb="17" eb="19">
      <t>セントウ</t>
    </rPh>
    <rPh sb="20" eb="22">
      <t>モジ</t>
    </rPh>
    <rPh sb="23" eb="25">
      <t>クウハク</t>
    </rPh>
    <phoneticPr fontId="3"/>
  </si>
  <si>
    <t>（注2） ⑦と⑧でシート毎に異なる場合は、各シートの該当項目に直接、作成者、作成日を入力する。</t>
    <rPh sb="1" eb="2">
      <t>チュウ</t>
    </rPh>
    <rPh sb="12" eb="13">
      <t>ゴト</t>
    </rPh>
    <rPh sb="14" eb="15">
      <t>コト</t>
    </rPh>
    <rPh sb="17" eb="19">
      <t>バアイ</t>
    </rPh>
    <rPh sb="21" eb="22">
      <t>カク</t>
    </rPh>
    <rPh sb="26" eb="28">
      <t>ガイトウ</t>
    </rPh>
    <rPh sb="28" eb="30">
      <t>コウモク</t>
    </rPh>
    <rPh sb="31" eb="33">
      <t>チョクセツ</t>
    </rPh>
    <rPh sb="34" eb="37">
      <t>サクセイシャ</t>
    </rPh>
    <rPh sb="38" eb="41">
      <t>サクセイビ</t>
    </rPh>
    <rPh sb="42" eb="44">
      <t>ニュウリョク</t>
    </rPh>
    <phoneticPr fontId="3"/>
  </si>
  <si>
    <t>(注3）　文字はタイトル部：ＭＳゴシック、本文部：ＭＳ明朝で統一</t>
    <rPh sb="1" eb="2">
      <t>チュウ</t>
    </rPh>
    <rPh sb="5" eb="7">
      <t>モジ</t>
    </rPh>
    <rPh sb="12" eb="13">
      <t>ブ</t>
    </rPh>
    <rPh sb="21" eb="23">
      <t>ホンブン</t>
    </rPh>
    <rPh sb="23" eb="24">
      <t>ブ</t>
    </rPh>
    <rPh sb="27" eb="29">
      <t>ミンチョウ</t>
    </rPh>
    <rPh sb="30" eb="32">
      <t>トウイツ</t>
    </rPh>
    <phoneticPr fontId="3"/>
  </si>
  <si>
    <t>（注4）　管理番号は、ドキュメント体系の管理番号を使用する。</t>
    <rPh sb="1" eb="2">
      <t>チュウ</t>
    </rPh>
    <rPh sb="5" eb="7">
      <t>カンリ</t>
    </rPh>
    <rPh sb="7" eb="9">
      <t>バンゴウ</t>
    </rPh>
    <rPh sb="17" eb="19">
      <t>タイケイ</t>
    </rPh>
    <rPh sb="20" eb="22">
      <t>カンリ</t>
    </rPh>
    <rPh sb="22" eb="24">
      <t>バンゴウ</t>
    </rPh>
    <rPh sb="25" eb="27">
      <t>シヨウ</t>
    </rPh>
    <phoneticPr fontId="3"/>
  </si>
  <si>
    <t>新規</t>
    <rPh sb="0" eb="2">
      <t>シンキ</t>
    </rPh>
    <phoneticPr fontId="3"/>
  </si>
  <si>
    <t>工程</t>
    <rPh sb="0" eb="2">
      <t>コウテイ</t>
    </rPh>
    <phoneticPr fontId="3"/>
  </si>
  <si>
    <t>プロジェクト計画</t>
    <rPh sb="6" eb="8">
      <t>ケイカク</t>
    </rPh>
    <phoneticPr fontId="3"/>
  </si>
  <si>
    <t>要件定義</t>
    <rPh sb="0" eb="2">
      <t>ヨウケン</t>
    </rPh>
    <rPh sb="2" eb="4">
      <t>テイギ</t>
    </rPh>
    <phoneticPr fontId="3"/>
  </si>
  <si>
    <t>基本設計</t>
    <rPh sb="0" eb="2">
      <t>キホン</t>
    </rPh>
    <rPh sb="2" eb="4">
      <t>セッケイ</t>
    </rPh>
    <phoneticPr fontId="3"/>
  </si>
  <si>
    <t>詳細設計</t>
    <rPh sb="0" eb="2">
      <t>ショウサイ</t>
    </rPh>
    <rPh sb="2" eb="4">
      <t>セッケイ</t>
    </rPh>
    <phoneticPr fontId="3"/>
  </si>
  <si>
    <t>製造・単体テスト</t>
    <rPh sb="0" eb="2">
      <t>セイゾウ</t>
    </rPh>
    <rPh sb="3" eb="5">
      <t>タンタイ</t>
    </rPh>
    <phoneticPr fontId="3"/>
  </si>
  <si>
    <t>結合テスト</t>
    <rPh sb="0" eb="2">
      <t>ケツゴウ</t>
    </rPh>
    <phoneticPr fontId="3"/>
  </si>
  <si>
    <t>システムテスト</t>
    <phoneticPr fontId="3"/>
  </si>
  <si>
    <t>プロジェクト計画書</t>
  </si>
  <si>
    <t>テスト計画書</t>
    <phoneticPr fontId="3"/>
  </si>
  <si>
    <t>移行計画書</t>
    <phoneticPr fontId="3"/>
  </si>
  <si>
    <t>■</t>
    <phoneticPr fontId="3"/>
  </si>
  <si>
    <t>□</t>
  </si>
  <si>
    <t>□</t>
    <phoneticPr fontId="3"/>
  </si>
  <si>
    <t>その他（</t>
    <rPh sb="2" eb="3">
      <t>タ</t>
    </rPh>
    <phoneticPr fontId="3"/>
  </si>
  <si>
    <t>）</t>
    <phoneticPr fontId="3"/>
  </si>
  <si>
    <t>ヒアリング票</t>
    <phoneticPr fontId="3"/>
  </si>
  <si>
    <t>業務一覧</t>
    <phoneticPr fontId="3"/>
  </si>
  <si>
    <t>業務フロー</t>
    <phoneticPr fontId="3"/>
  </si>
  <si>
    <t>機能要件</t>
    <phoneticPr fontId="3"/>
  </si>
  <si>
    <t>機能一覧</t>
    <phoneticPr fontId="3"/>
  </si>
  <si>
    <t>非機能要件関連</t>
    <phoneticPr fontId="3"/>
  </si>
  <si>
    <t>ネーミング基準書</t>
    <phoneticPr fontId="3"/>
  </si>
  <si>
    <t>コード設計書</t>
    <phoneticPr fontId="3"/>
  </si>
  <si>
    <t>メッセージ設計書</t>
    <phoneticPr fontId="3"/>
  </si>
  <si>
    <t>共通ルール／方式設計</t>
    <phoneticPr fontId="3"/>
  </si>
  <si>
    <t>画面共通設計書</t>
    <phoneticPr fontId="3"/>
  </si>
  <si>
    <t>帳票共通設計書</t>
    <phoneticPr fontId="3"/>
  </si>
  <si>
    <t>バッチ共通設計書</t>
    <phoneticPr fontId="3"/>
  </si>
  <si>
    <t>システム環境設計書</t>
    <phoneticPr fontId="3"/>
  </si>
  <si>
    <t>レビュー記録表</t>
  </si>
  <si>
    <t>レビュー記録表</t>
    <phoneticPr fontId="3"/>
  </si>
  <si>
    <t>コード定義書</t>
    <phoneticPr fontId="3"/>
  </si>
  <si>
    <t>メッセージ定義書</t>
    <phoneticPr fontId="3"/>
  </si>
  <si>
    <t>データフロー</t>
    <phoneticPr fontId="3"/>
  </si>
  <si>
    <t>ER図</t>
    <phoneticPr fontId="3"/>
  </si>
  <si>
    <t>テーブル項目定義</t>
    <phoneticPr fontId="3"/>
  </si>
  <si>
    <t>CRUD図</t>
    <phoneticPr fontId="3"/>
  </si>
  <si>
    <t>画面遷移図</t>
    <phoneticPr fontId="3"/>
  </si>
  <si>
    <t>画面設計書</t>
    <phoneticPr fontId="3"/>
  </si>
  <si>
    <t>帳票設計書</t>
    <phoneticPr fontId="3"/>
  </si>
  <si>
    <t>バッチ設計書</t>
    <phoneticPr fontId="3"/>
  </si>
  <si>
    <t>外部インタフェース設計書</t>
    <phoneticPr fontId="3"/>
  </si>
  <si>
    <t>結合テスト設計書（CCL)</t>
    <rPh sb="7" eb="8">
      <t>ショ</t>
    </rPh>
    <phoneticPr fontId="3"/>
  </si>
  <si>
    <t>共通モジュール設計書</t>
    <phoneticPr fontId="3"/>
  </si>
  <si>
    <t>DAO設計書</t>
    <phoneticPr fontId="3"/>
  </si>
  <si>
    <t>単体テスト設計書（PCL)</t>
    <rPh sb="7" eb="8">
      <t>ショ</t>
    </rPh>
    <phoneticPr fontId="3"/>
  </si>
  <si>
    <t>プログラムソース</t>
  </si>
  <si>
    <t>単体テスト結果報告書</t>
    <phoneticPr fontId="3"/>
  </si>
  <si>
    <t>不具合票</t>
  </si>
  <si>
    <t>CCLの消し込み</t>
    <phoneticPr fontId="3"/>
  </si>
  <si>
    <t>PCLの消し込み</t>
    <phoneticPr fontId="3"/>
  </si>
  <si>
    <t>結合テスト結果報告書</t>
    <rPh sb="0" eb="2">
      <t>ケツゴウ</t>
    </rPh>
    <phoneticPr fontId="3"/>
  </si>
  <si>
    <t>システムテスト設計書（SCL)</t>
    <rPh sb="9" eb="10">
      <t>ショ</t>
    </rPh>
    <phoneticPr fontId="3"/>
  </si>
  <si>
    <t>システムテスト結果報告書</t>
    <phoneticPr fontId="3"/>
  </si>
  <si>
    <t>SCLの消し込み</t>
    <phoneticPr fontId="3"/>
  </si>
  <si>
    <t>成果物一覧　　※■作成する成果物</t>
    <rPh sb="0" eb="3">
      <t>セイカブツ</t>
    </rPh>
    <rPh sb="3" eb="5">
      <t>イチラン</t>
    </rPh>
    <rPh sb="9" eb="11">
      <t>サクセイ</t>
    </rPh>
    <rPh sb="13" eb="16">
      <t>セイカブツ</t>
    </rPh>
    <phoneticPr fontId="3"/>
  </si>
  <si>
    <t>システム移行</t>
    <rPh sb="4" eb="6">
      <t>イコウ</t>
    </rPh>
    <phoneticPr fontId="3"/>
  </si>
  <si>
    <t>移行手順書</t>
    <phoneticPr fontId="3"/>
  </si>
  <si>
    <t>マニュアル作成</t>
    <rPh sb="5" eb="7">
      <t>サクセイ</t>
    </rPh>
    <phoneticPr fontId="3"/>
  </si>
  <si>
    <t>操作マニュアル</t>
    <rPh sb="0" eb="2">
      <t>ソウサ</t>
    </rPh>
    <phoneticPr fontId="3"/>
  </si>
  <si>
    <t>運用マニュアル</t>
    <rPh sb="0" eb="2">
      <t>ウンヨウ</t>
    </rPh>
    <phoneticPr fontId="3"/>
  </si>
  <si>
    <t>操作研修用マニュアル</t>
    <rPh sb="0" eb="2">
      <t>ソウサ</t>
    </rPh>
    <rPh sb="2" eb="4">
      <t>ケンシュウ</t>
    </rPh>
    <rPh sb="4" eb="5">
      <t>ヨウ</t>
    </rPh>
    <phoneticPr fontId="3"/>
  </si>
  <si>
    <t>１．プロジェクト概要</t>
    <rPh sb="7" eb="9">
      <t>ガイヨウ</t>
    </rPh>
    <phoneticPr fontId="3"/>
  </si>
  <si>
    <t>1.1 プロジェクトの背景／目的</t>
    <phoneticPr fontId="3"/>
  </si>
  <si>
    <t>システム形態</t>
    <rPh sb="4" eb="6">
      <t>ケイタイ</t>
    </rPh>
    <phoneticPr fontId="3"/>
  </si>
  <si>
    <t>サーバＯＳ</t>
    <phoneticPr fontId="3"/>
  </si>
  <si>
    <t>使用ＤＢ</t>
    <rPh sb="0" eb="2">
      <t>シヨウ</t>
    </rPh>
    <phoneticPr fontId="3"/>
  </si>
  <si>
    <t>開発言語</t>
    <rPh sb="0" eb="2">
      <t>カイハツ</t>
    </rPh>
    <rPh sb="2" eb="4">
      <t>ゲンゴ</t>
    </rPh>
    <phoneticPr fontId="3"/>
  </si>
  <si>
    <t>(2)開発環境</t>
    <rPh sb="3" eb="5">
      <t>カイハツ</t>
    </rPh>
    <rPh sb="5" eb="7">
      <t>カンキョウ</t>
    </rPh>
    <phoneticPr fontId="3"/>
  </si>
  <si>
    <t>統合開発環境（IDE）</t>
    <rPh sb="0" eb="2">
      <t>トウゴウ</t>
    </rPh>
    <rPh sb="2" eb="4">
      <t>カイハツ</t>
    </rPh>
    <rPh sb="4" eb="6">
      <t>カンキョウ</t>
    </rPh>
    <phoneticPr fontId="3"/>
  </si>
  <si>
    <t>フレームワーク</t>
    <phoneticPr fontId="3"/>
  </si>
  <si>
    <t>クライアントＯＳ</t>
    <phoneticPr fontId="3"/>
  </si>
  <si>
    <t>開発クライアントＯＳ</t>
    <rPh sb="0" eb="2">
      <t>カイハツ</t>
    </rPh>
    <phoneticPr fontId="3"/>
  </si>
  <si>
    <t>使用ミドルウエア等</t>
    <rPh sb="0" eb="2">
      <t>シヨウ</t>
    </rPh>
    <rPh sb="8" eb="9">
      <t>トウ</t>
    </rPh>
    <phoneticPr fontId="3"/>
  </si>
  <si>
    <t>本プロジェクトで作成する成果物については、【別紙１】の通りである。</t>
    <rPh sb="0" eb="1">
      <t>ホン</t>
    </rPh>
    <rPh sb="8" eb="10">
      <t>サクセイ</t>
    </rPh>
    <rPh sb="12" eb="15">
      <t>セイカブツ</t>
    </rPh>
    <rPh sb="22" eb="24">
      <t>ベッシ</t>
    </rPh>
    <rPh sb="27" eb="28">
      <t>トオ</t>
    </rPh>
    <phoneticPr fontId="3"/>
  </si>
  <si>
    <t>(1)稼動システムの環境</t>
    <rPh sb="3" eb="5">
      <t>カドウ</t>
    </rPh>
    <rPh sb="10" eb="12">
      <t>カンキョウ</t>
    </rPh>
    <phoneticPr fontId="3"/>
  </si>
  <si>
    <t>1.2 作業概要（機能要件／前提条件／作業範囲）</t>
    <rPh sb="4" eb="6">
      <t>サギョウ</t>
    </rPh>
    <rPh sb="6" eb="8">
      <t>ガイヨウ</t>
    </rPh>
    <rPh sb="9" eb="11">
      <t>キノウ</t>
    </rPh>
    <rPh sb="11" eb="13">
      <t>ヨウケン</t>
    </rPh>
    <rPh sb="14" eb="16">
      <t>ゼンテイ</t>
    </rPh>
    <rPh sb="16" eb="18">
      <t>ジョウケン</t>
    </rPh>
    <rPh sb="19" eb="21">
      <t>サギョウ</t>
    </rPh>
    <rPh sb="21" eb="23">
      <t>ハンイ</t>
    </rPh>
    <phoneticPr fontId="3"/>
  </si>
  <si>
    <t>1.3 システム環境</t>
    <rPh sb="8" eb="10">
      <t>カンキョウ</t>
    </rPh>
    <phoneticPr fontId="3"/>
  </si>
  <si>
    <t>1.4 プロジェクト成果物</t>
    <rPh sb="10" eb="13">
      <t>セイカブツ</t>
    </rPh>
    <phoneticPr fontId="3"/>
  </si>
  <si>
    <t>1.5 プロジェクトの予定原価</t>
    <rPh sb="11" eb="13">
      <t>ヨテイ</t>
    </rPh>
    <rPh sb="13" eb="15">
      <t>ゲンカ</t>
    </rPh>
    <phoneticPr fontId="3"/>
  </si>
  <si>
    <t>要件定義</t>
    <rPh sb="0" eb="2">
      <t>ヨウケン</t>
    </rPh>
    <rPh sb="2" eb="4">
      <t>テイギ</t>
    </rPh>
    <phoneticPr fontId="12"/>
  </si>
  <si>
    <t>基本設計</t>
    <rPh sb="0" eb="2">
      <t>キホン</t>
    </rPh>
    <rPh sb="2" eb="4">
      <t>セッケイ</t>
    </rPh>
    <phoneticPr fontId="12"/>
  </si>
  <si>
    <t>詳細設計</t>
    <rPh sb="0" eb="2">
      <t>ショウサイ</t>
    </rPh>
    <rPh sb="2" eb="4">
      <t>セッケイ</t>
    </rPh>
    <phoneticPr fontId="12"/>
  </si>
  <si>
    <t>製造・単体テスト</t>
    <rPh sb="0" eb="2">
      <t>セイゾウ</t>
    </rPh>
    <rPh sb="3" eb="5">
      <t>タンタイ</t>
    </rPh>
    <phoneticPr fontId="12"/>
  </si>
  <si>
    <t>結合テスト</t>
    <rPh sb="0" eb="2">
      <t>ケツゴウ</t>
    </rPh>
    <phoneticPr fontId="12"/>
  </si>
  <si>
    <t>本稼動サポート</t>
    <rPh sb="0" eb="1">
      <t>ホン</t>
    </rPh>
    <rPh sb="1" eb="3">
      <t>カドウ</t>
    </rPh>
    <phoneticPr fontId="12"/>
  </si>
  <si>
    <t>プロジェクト管理</t>
    <rPh sb="6" eb="8">
      <t>カンリ</t>
    </rPh>
    <phoneticPr fontId="12"/>
  </si>
  <si>
    <t>環境構築</t>
    <rPh sb="0" eb="2">
      <t>カンキョウ</t>
    </rPh>
    <rPh sb="2" eb="4">
      <t>コウチク</t>
    </rPh>
    <phoneticPr fontId="12"/>
  </si>
  <si>
    <t>マニュアル作成</t>
    <rPh sb="5" eb="7">
      <t>サクセイ</t>
    </rPh>
    <phoneticPr fontId="12"/>
  </si>
  <si>
    <t>操作研修</t>
    <rPh sb="0" eb="2">
      <t>ソウサ</t>
    </rPh>
    <rPh sb="2" eb="4">
      <t>ケンシュウ</t>
    </rPh>
    <phoneticPr fontId="12"/>
  </si>
  <si>
    <t>データ移行</t>
    <rPh sb="3" eb="5">
      <t>イコウ</t>
    </rPh>
    <phoneticPr fontId="12"/>
  </si>
  <si>
    <t>システム移行</t>
    <rPh sb="4" eb="6">
      <t>イコウ</t>
    </rPh>
    <phoneticPr fontId="12"/>
  </si>
  <si>
    <t>立会い</t>
    <rPh sb="0" eb="2">
      <t>タチア</t>
    </rPh>
    <phoneticPr fontId="12"/>
  </si>
  <si>
    <t>SA</t>
    <phoneticPr fontId="3"/>
  </si>
  <si>
    <t>SE</t>
    <phoneticPr fontId="3"/>
  </si>
  <si>
    <t>PE</t>
    <phoneticPr fontId="3"/>
  </si>
  <si>
    <t>PG</t>
    <phoneticPr fontId="3"/>
  </si>
  <si>
    <t>納品準備（ドキュメント整備）</t>
    <rPh sb="0" eb="2">
      <t>ノウヒン</t>
    </rPh>
    <rPh sb="2" eb="4">
      <t>ジュンビ</t>
    </rPh>
    <phoneticPr fontId="12"/>
  </si>
  <si>
    <t>システムテスト</t>
    <phoneticPr fontId="12"/>
  </si>
  <si>
    <t>運用テスト</t>
    <phoneticPr fontId="12"/>
  </si>
  <si>
    <t>(単位：人日)</t>
    <rPh sb="1" eb="3">
      <t>タンイ</t>
    </rPh>
    <rPh sb="4" eb="5">
      <t>ニン</t>
    </rPh>
    <rPh sb="5" eb="6">
      <t>ヒ</t>
    </rPh>
    <phoneticPr fontId="3"/>
  </si>
  <si>
    <t>開発　小計</t>
    <rPh sb="0" eb="2">
      <t>カイハツ</t>
    </rPh>
    <rPh sb="3" eb="4">
      <t>ショウ</t>
    </rPh>
    <rPh sb="4" eb="5">
      <t>ケイ</t>
    </rPh>
    <phoneticPr fontId="12"/>
  </si>
  <si>
    <t>開発　合計</t>
    <rPh sb="0" eb="2">
      <t>カイハツ</t>
    </rPh>
    <rPh sb="3" eb="5">
      <t>ゴウケイ</t>
    </rPh>
    <phoneticPr fontId="12"/>
  </si>
  <si>
    <t>総　計</t>
    <rPh sb="0" eb="1">
      <t>フサ</t>
    </rPh>
    <rPh sb="2" eb="3">
      <t>ケイ</t>
    </rPh>
    <phoneticPr fontId="12"/>
  </si>
  <si>
    <t>工　程</t>
    <rPh sb="0" eb="1">
      <t>コウ</t>
    </rPh>
    <rPh sb="2" eb="3">
      <t>ホド</t>
    </rPh>
    <phoneticPr fontId="3"/>
  </si>
  <si>
    <t>２．プロジェクトスケジュール</t>
    <phoneticPr fontId="3"/>
  </si>
  <si>
    <t>３．プロジェクト体制</t>
    <rPh sb="8" eb="10">
      <t>タイセイ</t>
    </rPh>
    <phoneticPr fontId="3"/>
  </si>
  <si>
    <t>3.1 体制</t>
    <rPh sb="4" eb="6">
      <t>タイセイ</t>
    </rPh>
    <phoneticPr fontId="3"/>
  </si>
  <si>
    <t>3.2 役割</t>
    <rPh sb="4" eb="6">
      <t>ヤクワリ</t>
    </rPh>
    <phoneticPr fontId="3"/>
  </si>
  <si>
    <t>3.3 人員計画（山積み）</t>
    <rPh sb="4" eb="6">
      <t>ジンイン</t>
    </rPh>
    <rPh sb="6" eb="8">
      <t>ケイカク</t>
    </rPh>
    <rPh sb="9" eb="11">
      <t>ヤマヅ</t>
    </rPh>
    <phoneticPr fontId="3"/>
  </si>
  <si>
    <t>役割</t>
    <rPh sb="0" eb="2">
      <t>ヤクワリ</t>
    </rPh>
    <phoneticPr fontId="3"/>
  </si>
  <si>
    <t>責任と権限</t>
    <rPh sb="0" eb="2">
      <t>セキニン</t>
    </rPh>
    <rPh sb="3" eb="5">
      <t>ケンゲン</t>
    </rPh>
    <phoneticPr fontId="3"/>
  </si>
  <si>
    <t>プロジェクトマネージャ</t>
    <phoneticPr fontId="3"/>
  </si>
  <si>
    <t>設計担当</t>
    <rPh sb="0" eb="2">
      <t>セッケイ</t>
    </rPh>
    <rPh sb="2" eb="4">
      <t>タントウ</t>
    </rPh>
    <phoneticPr fontId="3"/>
  </si>
  <si>
    <t>製造担当</t>
    <rPh sb="0" eb="2">
      <t>セイゾウ</t>
    </rPh>
    <rPh sb="2" eb="4">
      <t>タントウ</t>
    </rPh>
    <phoneticPr fontId="3"/>
  </si>
  <si>
    <t>テスト担当</t>
    <rPh sb="3" eb="5">
      <t>タントウ</t>
    </rPh>
    <phoneticPr fontId="3"/>
  </si>
  <si>
    <t>移行担当</t>
    <rPh sb="0" eb="2">
      <t>イコウ</t>
    </rPh>
    <rPh sb="2" eb="4">
      <t>タントウ</t>
    </rPh>
    <phoneticPr fontId="3"/>
  </si>
  <si>
    <t>プロジェクトリーダ</t>
    <phoneticPr fontId="3"/>
  </si>
  <si>
    <t>プロジェクトの計画／実施、品質、進捗、監視に関する全ての責任と権限を持つ</t>
    <rPh sb="7" eb="9">
      <t>ケイカク</t>
    </rPh>
    <rPh sb="10" eb="12">
      <t>ジッシ</t>
    </rPh>
    <rPh sb="13" eb="15">
      <t>ヒンシツ</t>
    </rPh>
    <rPh sb="16" eb="18">
      <t>シンチョク</t>
    </rPh>
    <rPh sb="19" eb="21">
      <t>カンシ</t>
    </rPh>
    <rPh sb="22" eb="23">
      <t>カン</t>
    </rPh>
    <rPh sb="25" eb="26">
      <t>スベ</t>
    </rPh>
    <rPh sb="28" eb="30">
      <t>セキニン</t>
    </rPh>
    <rPh sb="31" eb="33">
      <t>ケンゲン</t>
    </rPh>
    <rPh sb="34" eb="35">
      <t>モ</t>
    </rPh>
    <phoneticPr fontId="3"/>
  </si>
  <si>
    <t>プロジェクトリーダ
（PL）</t>
    <phoneticPr fontId="3"/>
  </si>
  <si>
    <t>プロジェクトマネージャ
（PM）</t>
    <phoneticPr fontId="3"/>
  </si>
  <si>
    <t>要件定義、基本設計、詳細設計に関する責任と権限を持つ</t>
    <rPh sb="0" eb="2">
      <t>ヨウケン</t>
    </rPh>
    <rPh sb="2" eb="4">
      <t>テイギ</t>
    </rPh>
    <rPh sb="5" eb="7">
      <t>キホン</t>
    </rPh>
    <rPh sb="7" eb="9">
      <t>セッケイ</t>
    </rPh>
    <rPh sb="10" eb="12">
      <t>ショウサイ</t>
    </rPh>
    <rPh sb="12" eb="14">
      <t>セッケイ</t>
    </rPh>
    <rPh sb="15" eb="16">
      <t>カン</t>
    </rPh>
    <rPh sb="18" eb="20">
      <t>セキニン</t>
    </rPh>
    <rPh sb="21" eb="23">
      <t>ケンゲン</t>
    </rPh>
    <rPh sb="24" eb="25">
      <t>モ</t>
    </rPh>
    <phoneticPr fontId="3"/>
  </si>
  <si>
    <t>詳細設計に従い、プログラムの製造／単体テストを実施する責任と権限を持つ</t>
    <rPh sb="0" eb="2">
      <t>ショウサイ</t>
    </rPh>
    <rPh sb="2" eb="4">
      <t>セッケイ</t>
    </rPh>
    <rPh sb="5" eb="6">
      <t>シタガ</t>
    </rPh>
    <rPh sb="14" eb="16">
      <t>セイゾウ</t>
    </rPh>
    <rPh sb="17" eb="19">
      <t>タンタイ</t>
    </rPh>
    <rPh sb="23" eb="25">
      <t>ジッシ</t>
    </rPh>
    <phoneticPr fontId="3"/>
  </si>
  <si>
    <t>テスト設計書に従い、結合テスト／システムテストを実施する責任と権限を持つ</t>
    <rPh sb="3" eb="5">
      <t>セッケイ</t>
    </rPh>
    <rPh sb="5" eb="6">
      <t>ショ</t>
    </rPh>
    <rPh sb="7" eb="8">
      <t>シタガ</t>
    </rPh>
    <rPh sb="10" eb="12">
      <t>ケツゴウ</t>
    </rPh>
    <phoneticPr fontId="3"/>
  </si>
  <si>
    <t>設計担当</t>
    <phoneticPr fontId="3"/>
  </si>
  <si>
    <t>製造担当</t>
    <phoneticPr fontId="3"/>
  </si>
  <si>
    <t>テスト担当</t>
    <phoneticPr fontId="3"/>
  </si>
  <si>
    <t>移行担当</t>
    <phoneticPr fontId="3"/>
  </si>
  <si>
    <t>担　当</t>
    <rPh sb="0" eb="1">
      <t>タン</t>
    </rPh>
    <rPh sb="2" eb="3">
      <t>トウ</t>
    </rPh>
    <phoneticPr fontId="3"/>
  </si>
  <si>
    <t>４．品質計画</t>
    <rPh sb="2" eb="4">
      <t>ヒンシツ</t>
    </rPh>
    <rPh sb="4" eb="6">
      <t>ケイカク</t>
    </rPh>
    <phoneticPr fontId="3"/>
  </si>
  <si>
    <t>4.1 品質目標</t>
    <rPh sb="4" eb="6">
      <t>ヒンシツ</t>
    </rPh>
    <rPh sb="6" eb="8">
      <t>モクヒョウ</t>
    </rPh>
    <phoneticPr fontId="3"/>
  </si>
  <si>
    <t>成果物に対し、以下の通りレビューを実施する。</t>
    <rPh sb="0" eb="3">
      <t>セイカブツ</t>
    </rPh>
    <rPh sb="4" eb="5">
      <t>タイ</t>
    </rPh>
    <rPh sb="7" eb="9">
      <t>イカ</t>
    </rPh>
    <rPh sb="10" eb="11">
      <t>トオ</t>
    </rPh>
    <rPh sb="17" eb="19">
      <t>ジッシ</t>
    </rPh>
    <phoneticPr fontId="3"/>
  </si>
  <si>
    <t>対象成果物</t>
    <rPh sb="0" eb="2">
      <t>タイショウ</t>
    </rPh>
    <rPh sb="2" eb="5">
      <t>セイカブツ</t>
    </rPh>
    <phoneticPr fontId="3"/>
  </si>
  <si>
    <t>レビュー計画</t>
    <rPh sb="4" eb="6">
      <t>ケイカク</t>
    </rPh>
    <phoneticPr fontId="3"/>
  </si>
  <si>
    <t>4.2 工程毎の完了判定計画</t>
    <rPh sb="4" eb="7">
      <t>コウテイゴト</t>
    </rPh>
    <rPh sb="8" eb="10">
      <t>カンリョウ</t>
    </rPh>
    <rPh sb="10" eb="12">
      <t>ハンテイ</t>
    </rPh>
    <rPh sb="12" eb="14">
      <t>ケイカク</t>
    </rPh>
    <phoneticPr fontId="3"/>
  </si>
  <si>
    <t>　プロジェクト計画</t>
    <rPh sb="7" eb="9">
      <t>ケイカク</t>
    </rPh>
    <phoneticPr fontId="3"/>
  </si>
  <si>
    <t>インプット</t>
    <phoneticPr fontId="3"/>
  </si>
  <si>
    <t>品質管理</t>
    <rPh sb="0" eb="2">
      <t>ヒンシツ</t>
    </rPh>
    <rPh sb="2" eb="4">
      <t>カンリ</t>
    </rPh>
    <phoneticPr fontId="3"/>
  </si>
  <si>
    <t>終了条件</t>
    <rPh sb="0" eb="2">
      <t>シュウリョウ</t>
    </rPh>
    <rPh sb="2" eb="4">
      <t>ジョウケン</t>
    </rPh>
    <phoneticPr fontId="3"/>
  </si>
  <si>
    <t>終了基準を満たされない場合の対処</t>
    <rPh sb="0" eb="2">
      <t>シュウリョウ</t>
    </rPh>
    <rPh sb="2" eb="4">
      <t>キジュン</t>
    </rPh>
    <rPh sb="5" eb="6">
      <t>ミ</t>
    </rPh>
    <rPh sb="11" eb="13">
      <t>バアイ</t>
    </rPh>
    <rPh sb="14" eb="16">
      <t>タイショ</t>
    </rPh>
    <phoneticPr fontId="3"/>
  </si>
  <si>
    <t>アウトプット
（作業成果物)</t>
    <rPh sb="8" eb="10">
      <t>サギョウ</t>
    </rPh>
    <rPh sb="10" eb="13">
      <t>セイカブツ</t>
    </rPh>
    <phoneticPr fontId="3"/>
  </si>
  <si>
    <t>工程完了の承認者</t>
    <phoneticPr fontId="3"/>
  </si>
  <si>
    <t>５．コミュニケーション計画</t>
    <rPh sb="11" eb="13">
      <t>ケイカク</t>
    </rPh>
    <phoneticPr fontId="3"/>
  </si>
  <si>
    <t>5.1 プロジェクトの会議体</t>
    <phoneticPr fontId="3"/>
  </si>
  <si>
    <t>議事録</t>
    <rPh sb="0" eb="3">
      <t>ギジロク</t>
    </rPh>
    <phoneticPr fontId="3"/>
  </si>
  <si>
    <t>ＰＭ</t>
    <phoneticPr fontId="3"/>
  </si>
  <si>
    <t>設計合否判定</t>
    <rPh sb="0" eb="2">
      <t>セッケイ</t>
    </rPh>
    <rPh sb="2" eb="4">
      <t>ゴウヒ</t>
    </rPh>
    <rPh sb="4" eb="6">
      <t>ハンテイ</t>
    </rPh>
    <phoneticPr fontId="3"/>
  </si>
  <si>
    <t>合否判定会議での決定結果に従う</t>
    <rPh sb="0" eb="2">
      <t>ゴウヒ</t>
    </rPh>
    <rPh sb="2" eb="4">
      <t>ハンテイ</t>
    </rPh>
    <rPh sb="4" eb="6">
      <t>カイギ</t>
    </rPh>
    <rPh sb="8" eb="10">
      <t>ケッテイ</t>
    </rPh>
    <rPh sb="10" eb="12">
      <t>ケッカ</t>
    </rPh>
    <rPh sb="13" eb="14">
      <t>シタガ</t>
    </rPh>
    <phoneticPr fontId="3"/>
  </si>
  <si>
    <t>合否判定会議の議事録</t>
    <rPh sb="0" eb="2">
      <t>ゴウヒ</t>
    </rPh>
    <rPh sb="2" eb="4">
      <t>ハンテイ</t>
    </rPh>
    <rPh sb="4" eb="6">
      <t>カイギ</t>
    </rPh>
    <rPh sb="7" eb="10">
      <t>ギジロク</t>
    </rPh>
    <phoneticPr fontId="3"/>
  </si>
  <si>
    <t>項番</t>
    <rPh sb="0" eb="1">
      <t>コウ</t>
    </rPh>
    <rPh sb="1" eb="2">
      <t>バン</t>
    </rPh>
    <phoneticPr fontId="3"/>
  </si>
  <si>
    <t>会議名称</t>
    <rPh sb="0" eb="2">
      <t>カイギ</t>
    </rPh>
    <rPh sb="2" eb="4">
      <t>メイショウ</t>
    </rPh>
    <phoneticPr fontId="3"/>
  </si>
  <si>
    <t>プロジェクト・マネージャーの指揮下において、各チーム間の調節および、チーム内の品質、進捗、監視に関する責任と権限を持つ</t>
    <rPh sb="37" eb="38">
      <t>ナイ</t>
    </rPh>
    <phoneticPr fontId="3"/>
  </si>
  <si>
    <t>実施頻度</t>
    <rPh sb="0" eb="2">
      <t>ジッシ</t>
    </rPh>
    <rPh sb="2" eb="4">
      <t>ヒンド</t>
    </rPh>
    <phoneticPr fontId="3"/>
  </si>
  <si>
    <t>目的</t>
    <rPh sb="0" eb="2">
      <t>モクテキ</t>
    </rPh>
    <phoneticPr fontId="3"/>
  </si>
  <si>
    <t>顧客との進捗会議</t>
    <phoneticPr fontId="3"/>
  </si>
  <si>
    <t>社内進捗会議</t>
    <phoneticPr fontId="3"/>
  </si>
  <si>
    <t>記録</t>
    <rPh sb="0" eb="2">
      <t>キロク</t>
    </rPh>
    <phoneticPr fontId="3"/>
  </si>
  <si>
    <t>議事録</t>
    <rPh sb="0" eb="3">
      <t>ギジロク</t>
    </rPh>
    <phoneticPr fontId="3"/>
  </si>
  <si>
    <t>レビュー
記録</t>
    <rPh sb="5" eb="7">
      <t>キロク</t>
    </rPh>
    <phoneticPr fontId="3"/>
  </si>
  <si>
    <t>参加者</t>
    <phoneticPr fontId="3"/>
  </si>
  <si>
    <t>1回／週</t>
    <rPh sb="1" eb="2">
      <t>カイ</t>
    </rPh>
    <rPh sb="3" eb="4">
      <t>シュウ</t>
    </rPh>
    <phoneticPr fontId="3"/>
  </si>
  <si>
    <t>適時</t>
    <rPh sb="0" eb="2">
      <t>テキジ</t>
    </rPh>
    <phoneticPr fontId="3"/>
  </si>
  <si>
    <t>顧客との打合せ会議</t>
    <rPh sb="4" eb="6">
      <t>ウチアワ</t>
    </rPh>
    <phoneticPr fontId="3"/>
  </si>
  <si>
    <t>(1)成果物の検証</t>
    <rPh sb="3" eb="6">
      <t>セイカブツ</t>
    </rPh>
    <rPh sb="7" eb="9">
      <t>ケンショウ</t>
    </rPh>
    <phoneticPr fontId="3"/>
  </si>
  <si>
    <t>(1)進捗状況の報告
(2)課題事項の調整</t>
    <rPh sb="3" eb="5">
      <t>シンチョク</t>
    </rPh>
    <rPh sb="5" eb="7">
      <t>ジョウキョウ</t>
    </rPh>
    <rPh sb="8" eb="10">
      <t>ホウコク</t>
    </rPh>
    <rPh sb="14" eb="16">
      <t>カダイ</t>
    </rPh>
    <rPh sb="16" eb="18">
      <t>ジコウ</t>
    </rPh>
    <rPh sb="19" eb="21">
      <t>チョウセイ</t>
    </rPh>
    <phoneticPr fontId="3"/>
  </si>
  <si>
    <t>(1)要件のヒアリング
(2)設計成果物のレビューおよび
 　承認</t>
    <phoneticPr fontId="3"/>
  </si>
  <si>
    <t>(1)各担当の作業進捗の確認 
(2)課題事項の発生／対応状況の
 　確認</t>
    <rPh sb="3" eb="6">
      <t>カクタントウ</t>
    </rPh>
    <rPh sb="7" eb="9">
      <t>サギョウ</t>
    </rPh>
    <rPh sb="9" eb="11">
      <t>シンチョク</t>
    </rPh>
    <rPh sb="12" eb="14">
      <t>カクニン</t>
    </rPh>
    <rPh sb="19" eb="21">
      <t>カダイ</t>
    </rPh>
    <rPh sb="21" eb="23">
      <t>ジコウ</t>
    </rPh>
    <rPh sb="24" eb="26">
      <t>ハッセイ</t>
    </rPh>
    <rPh sb="27" eb="29">
      <t>タイオウ</t>
    </rPh>
    <rPh sb="29" eb="31">
      <t>ジョウキョウ</t>
    </rPh>
    <rPh sb="35" eb="37">
      <t>カクニン</t>
    </rPh>
    <phoneticPr fontId="3"/>
  </si>
  <si>
    <t>･顧客
･ＰＭ
･ＰＬ</t>
    <rPh sb="1" eb="3">
      <t>コキャク</t>
    </rPh>
    <phoneticPr fontId="3"/>
  </si>
  <si>
    <t>･顧客
･ＰＬ
･担当</t>
    <rPh sb="1" eb="3">
      <t>コキャク</t>
    </rPh>
    <rPh sb="9" eb="11">
      <t>タントウ</t>
    </rPh>
    <phoneticPr fontId="3"/>
  </si>
  <si>
    <t>･ＰＭ
･ＰＬ
･担当</t>
    <rPh sb="9" eb="11">
      <t>タントウ</t>
    </rPh>
    <phoneticPr fontId="3"/>
  </si>
  <si>
    <t>･ＰＬ
･担当</t>
    <rPh sb="5" eb="7">
      <t>タントウ</t>
    </rPh>
    <phoneticPr fontId="3"/>
  </si>
  <si>
    <t>なし</t>
    <phoneticPr fontId="3"/>
  </si>
  <si>
    <t>社内レビュー会議</t>
    <phoneticPr fontId="3"/>
  </si>
  <si>
    <t>5.2 課題管理</t>
    <phoneticPr fontId="3"/>
  </si>
  <si>
    <t>プロセス基準書（開発管理編）：課題管理プロセスに従う</t>
    <rPh sb="4" eb="6">
      <t>キジュン</t>
    </rPh>
    <rPh sb="6" eb="7">
      <t>ショ</t>
    </rPh>
    <rPh sb="15" eb="17">
      <t>カダイ</t>
    </rPh>
    <rPh sb="17" eb="19">
      <t>カンリ</t>
    </rPh>
    <rPh sb="24" eb="25">
      <t>シタガ</t>
    </rPh>
    <phoneticPr fontId="3"/>
  </si>
  <si>
    <t>６．リスク管理</t>
    <rPh sb="5" eb="7">
      <t>カンリ</t>
    </rPh>
    <phoneticPr fontId="3"/>
  </si>
  <si>
    <t>プロセス基準書（開発管理編）：開発リスク管理プロセスに従う</t>
    <rPh sb="4" eb="6">
      <t>キジュン</t>
    </rPh>
    <rPh sb="6" eb="7">
      <t>ショ</t>
    </rPh>
    <rPh sb="15" eb="17">
      <t>カイハツ</t>
    </rPh>
    <rPh sb="20" eb="22">
      <t>カンリ</t>
    </rPh>
    <rPh sb="27" eb="28">
      <t>シタガ</t>
    </rPh>
    <phoneticPr fontId="3"/>
  </si>
  <si>
    <t>5.3 コミュニケーション手段のルール</t>
    <rPh sb="13" eb="15">
      <t>シュダン</t>
    </rPh>
    <phoneticPr fontId="3"/>
  </si>
  <si>
    <t>【別紙１】プロジェクト成果物</t>
    <phoneticPr fontId="3"/>
  </si>
  <si>
    <t>リリース</t>
    <phoneticPr fontId="3"/>
  </si>
  <si>
    <t>リリース判定会議の議事録</t>
    <phoneticPr fontId="3"/>
  </si>
  <si>
    <t>残課題および残リスクの件数／分析</t>
    <rPh sb="0" eb="1">
      <t>ザン</t>
    </rPh>
    <rPh sb="1" eb="3">
      <t>カダイ</t>
    </rPh>
    <rPh sb="6" eb="7">
      <t>ザン</t>
    </rPh>
    <rPh sb="11" eb="13">
      <t>ケンスウ</t>
    </rPh>
    <rPh sb="14" eb="16">
      <t>ブンセキ</t>
    </rPh>
    <phoneticPr fontId="3"/>
  </si>
  <si>
    <t>・品質目標の分析／評価
・残課題および残リスク
　の件数／分析</t>
    <rPh sb="1" eb="3">
      <t>ヒンシツ</t>
    </rPh>
    <rPh sb="3" eb="5">
      <t>モクヒョウ</t>
    </rPh>
    <rPh sb="6" eb="8">
      <t>ブンセキ</t>
    </rPh>
    <rPh sb="9" eb="11">
      <t>ヒョウカ</t>
    </rPh>
    <phoneticPr fontId="3"/>
  </si>
  <si>
    <t>リリース判定会議での決定結果に従う</t>
    <rPh sb="4" eb="6">
      <t>ハンテイ</t>
    </rPh>
    <rPh sb="6" eb="8">
      <t>カイギ</t>
    </rPh>
    <rPh sb="10" eb="12">
      <t>ケッテイ</t>
    </rPh>
    <rPh sb="12" eb="14">
      <t>ケッカ</t>
    </rPh>
    <rPh sb="15" eb="16">
      <t>シタガ</t>
    </rPh>
    <phoneticPr fontId="3"/>
  </si>
  <si>
    <t>　顧客名：同志社大学　教務システム</t>
    <rPh sb="1" eb="3">
      <t>コキャク</t>
    </rPh>
    <rPh sb="3" eb="4">
      <t>メイ</t>
    </rPh>
    <rPh sb="5" eb="8">
      <t>ドウシシャ</t>
    </rPh>
    <rPh sb="8" eb="10">
      <t>ダイガク</t>
    </rPh>
    <rPh sb="11" eb="13">
      <t>キョウム</t>
    </rPh>
    <phoneticPr fontId="3"/>
  </si>
  <si>
    <t>Seasar2</t>
    <phoneticPr fontId="3"/>
  </si>
  <si>
    <t>岡井</t>
    <rPh sb="0" eb="2">
      <t>オカイ</t>
    </rPh>
    <phoneticPr fontId="3"/>
  </si>
  <si>
    <t>機能設計書</t>
    <rPh sb="0" eb="2">
      <t>キノウ</t>
    </rPh>
    <rPh sb="2" eb="5">
      <t>セッケイショ</t>
    </rPh>
    <phoneticPr fontId="3"/>
  </si>
  <si>
    <t>テーブル定義書</t>
    <rPh sb="4" eb="7">
      <t>テイギショ</t>
    </rPh>
    <phoneticPr fontId="3"/>
  </si>
  <si>
    <t>詳細設計書</t>
    <rPh sb="0" eb="2">
      <t>ショウサイ</t>
    </rPh>
    <rPh sb="2" eb="5">
      <t>セッケイショ</t>
    </rPh>
    <phoneticPr fontId="3"/>
  </si>
  <si>
    <t>コード定義書</t>
    <rPh sb="3" eb="6">
      <t>テイギショ</t>
    </rPh>
    <phoneticPr fontId="3"/>
  </si>
  <si>
    <t>詳細設計書レビュー</t>
    <rPh sb="0" eb="2">
      <t>ショウサイ</t>
    </rPh>
    <rPh sb="2" eb="5">
      <t>セッケイショ</t>
    </rPh>
    <phoneticPr fontId="3"/>
  </si>
  <si>
    <t>移行手順に伴い、リリースを実施する責任と権限を持つ</t>
    <rPh sb="0" eb="2">
      <t>イコウ</t>
    </rPh>
    <rPh sb="2" eb="4">
      <t>テジュン</t>
    </rPh>
    <rPh sb="5" eb="6">
      <t>トモナ</t>
    </rPh>
    <rPh sb="13" eb="15">
      <t>ジッシ</t>
    </rPh>
    <rPh sb="17" eb="19">
      <t>セキニン</t>
    </rPh>
    <rPh sb="20" eb="22">
      <t>ケンゲン</t>
    </rPh>
    <rPh sb="23" eb="24">
      <t>モ</t>
    </rPh>
    <phoneticPr fontId="3"/>
  </si>
  <si>
    <t>PCL</t>
    <phoneticPr fontId="3"/>
  </si>
  <si>
    <t>CCL</t>
    <phoneticPr fontId="3"/>
  </si>
  <si>
    <t>単体テスト設計レビュー</t>
    <phoneticPr fontId="3"/>
  </si>
  <si>
    <t>コードレビュー</t>
    <phoneticPr fontId="3"/>
  </si>
  <si>
    <t>プログラムコード</t>
    <phoneticPr fontId="3"/>
  </si>
  <si>
    <t>要件定義資料</t>
    <phoneticPr fontId="3"/>
  </si>
  <si>
    <t>要員</t>
    <rPh sb="0" eb="2">
      <t>ヨウイン</t>
    </rPh>
    <phoneticPr fontId="3"/>
  </si>
  <si>
    <t>岡井</t>
    <rPh sb="0" eb="2">
      <t>オカイ</t>
    </rPh>
    <phoneticPr fontId="1"/>
  </si>
  <si>
    <t>計画
工数</t>
    <rPh sb="0" eb="2">
      <t>ケイカク</t>
    </rPh>
    <rPh sb="3" eb="5">
      <t>コウスウ</t>
    </rPh>
    <phoneticPr fontId="3"/>
  </si>
  <si>
    <t>合計</t>
    <rPh sb="0" eb="2">
      <t>ゴウケイ</t>
    </rPh>
    <phoneticPr fontId="3"/>
  </si>
  <si>
    <t>人員計画（山積み）については、【別紙２】の通りである。</t>
    <phoneticPr fontId="3"/>
  </si>
  <si>
    <t>【別紙２】人員計画（山積み）</t>
    <phoneticPr fontId="3"/>
  </si>
  <si>
    <t>・当該工程を初めて担当する場合</t>
    <rPh sb="1" eb="3">
      <t>トウガイ</t>
    </rPh>
    <rPh sb="3" eb="5">
      <t>コウテイ</t>
    </rPh>
    <rPh sb="6" eb="7">
      <t>ハジ</t>
    </rPh>
    <rPh sb="9" eb="11">
      <t>タントウ</t>
    </rPh>
    <rPh sb="13" eb="15">
      <t>バアイ</t>
    </rPh>
    <phoneticPr fontId="3"/>
  </si>
  <si>
    <t>・その他、特に重要と判断した場合</t>
    <rPh sb="3" eb="4">
      <t>タ</t>
    </rPh>
    <rPh sb="5" eb="6">
      <t>トク</t>
    </rPh>
    <rPh sb="7" eb="9">
      <t>ジュウヨウ</t>
    </rPh>
    <rPh sb="10" eb="12">
      <t>ハンダン</t>
    </rPh>
    <rPh sb="14" eb="16">
      <t>バアイ</t>
    </rPh>
    <phoneticPr fontId="3"/>
  </si>
  <si>
    <t>結合テスト設計レビュー</t>
    <phoneticPr fontId="3"/>
  </si>
  <si>
    <t>(1)電子メールの送付ルール</t>
    <phoneticPr fontId="3"/>
  </si>
  <si>
    <t>(2)リリース報告</t>
    <rPh sb="7" eb="9">
      <t>ホウコク</t>
    </rPh>
    <phoneticPr fontId="3"/>
  </si>
  <si>
    <t>・本番リリース後、要望管理表を最新状態にメンテナンスし、顧客に送付する。</t>
    <rPh sb="1" eb="3">
      <t>ホンバン</t>
    </rPh>
    <rPh sb="7" eb="8">
      <t>ゴ</t>
    </rPh>
    <rPh sb="9" eb="11">
      <t>ヨウボウ</t>
    </rPh>
    <rPh sb="11" eb="13">
      <t>カンリ</t>
    </rPh>
    <rPh sb="13" eb="14">
      <t>ヒョウ</t>
    </rPh>
    <rPh sb="15" eb="17">
      <t>サイシン</t>
    </rPh>
    <rPh sb="17" eb="19">
      <t>ジョウタイ</t>
    </rPh>
    <rPh sb="28" eb="30">
      <t>コキャク</t>
    </rPh>
    <rPh sb="31" eb="33">
      <t>ソウフ</t>
    </rPh>
    <phoneticPr fontId="3"/>
  </si>
  <si>
    <t>レビューを必須とする基準</t>
    <rPh sb="5" eb="7">
      <t>ヒッス</t>
    </rPh>
    <rPh sb="10" eb="12">
      <t>キジュン</t>
    </rPh>
    <phoneticPr fontId="3"/>
  </si>
  <si>
    <t>工程毎の完了判定は、【別紙３】の通りである。</t>
    <phoneticPr fontId="3"/>
  </si>
  <si>
    <t>【別紙３】工程毎の完了判定計画</t>
    <rPh sb="5" eb="8">
      <t>コウテイゴト</t>
    </rPh>
    <rPh sb="9" eb="11">
      <t>カンリョウ</t>
    </rPh>
    <rPh sb="11" eb="13">
      <t>ハンテイ</t>
    </rPh>
    <rPh sb="13" eb="15">
      <t>ケイカク</t>
    </rPh>
    <phoneticPr fontId="3"/>
  </si>
  <si>
    <t>Eclipse Photon Release 4.8.0</t>
    <phoneticPr fontId="3"/>
  </si>
  <si>
    <t>Java8</t>
    <phoneticPr fontId="3"/>
  </si>
  <si>
    <t>中規模</t>
    <rPh sb="0" eb="3">
      <t>チュウキボ</t>
    </rPh>
    <phoneticPr fontId="3"/>
  </si>
  <si>
    <t>承認者</t>
    <rPh sb="0" eb="3">
      <t>ショウニンシャ</t>
    </rPh>
    <phoneticPr fontId="3"/>
  </si>
  <si>
    <t>①要件定義の顧客レビューが完了し、
　課題が明確になっている
②製造工程以降の作業計画が完了し
　課題が明確になっている
③製造工程以降のリスクが洗出され、
　対応方針が決定している。</t>
    <phoneticPr fontId="3"/>
  </si>
  <si>
    <t>①プロジェクト計画書
②課題管理表
③リスク管理表
④WBS
⑤要件定義のアウトプット
⑥設計工程のアウトプット</t>
    <rPh sb="7" eb="10">
      <t>ケイカクショ</t>
    </rPh>
    <rPh sb="12" eb="14">
      <t>カダイ</t>
    </rPh>
    <rPh sb="14" eb="16">
      <t>カンリ</t>
    </rPh>
    <rPh sb="16" eb="17">
      <t>オモテ</t>
    </rPh>
    <rPh sb="22" eb="24">
      <t>カンリ</t>
    </rPh>
    <rPh sb="24" eb="25">
      <t>オモテ</t>
    </rPh>
    <rPh sb="32" eb="34">
      <t>ヨウケン</t>
    </rPh>
    <rPh sb="34" eb="36">
      <t>テイギ</t>
    </rPh>
    <rPh sb="45" eb="47">
      <t>セッケイ</t>
    </rPh>
    <rPh sb="47" eb="49">
      <t>コウテイ</t>
    </rPh>
    <phoneticPr fontId="3"/>
  </si>
  <si>
    <t>①プロジェクト計画書
②課題管理表
③リスク管理表
④製造工程のアウトプット
⑤テスト工程のアウトプット</t>
    <rPh sb="7" eb="10">
      <t>ケイカクショ</t>
    </rPh>
    <rPh sb="12" eb="14">
      <t>カダイ</t>
    </rPh>
    <rPh sb="14" eb="16">
      <t>カンリ</t>
    </rPh>
    <rPh sb="16" eb="17">
      <t>オモテ</t>
    </rPh>
    <rPh sb="22" eb="24">
      <t>カンリ</t>
    </rPh>
    <rPh sb="24" eb="25">
      <t>オモテ</t>
    </rPh>
    <rPh sb="27" eb="29">
      <t>セイゾウ</t>
    </rPh>
    <rPh sb="29" eb="31">
      <t>コウテイ</t>
    </rPh>
    <rPh sb="43" eb="45">
      <t>コウテイ</t>
    </rPh>
    <phoneticPr fontId="3"/>
  </si>
  <si>
    <t xml:space="preserve">①品質目標が達成されている。
②品質目標が達成されていない場合、
　品質分析が実施され問題無い事が
　確認されている。
③リリースに影響が有る課題・リスク
　が全て解決されている。
</t>
    <phoneticPr fontId="3"/>
  </si>
  <si>
    <t>岡井　計允</t>
    <rPh sb="0" eb="2">
      <t>オカイ</t>
    </rPh>
    <rPh sb="3" eb="4">
      <t>ケイ</t>
    </rPh>
    <rPh sb="4" eb="5">
      <t>イン</t>
    </rPh>
    <phoneticPr fontId="3"/>
  </si>
  <si>
    <t>その他　小計</t>
    <rPh sb="2" eb="3">
      <t>タ</t>
    </rPh>
    <rPh sb="4" eb="5">
      <t>ショウ</t>
    </rPh>
    <rPh sb="5" eb="6">
      <t>ケイ</t>
    </rPh>
    <phoneticPr fontId="12"/>
  </si>
  <si>
    <t>中村　恒太郎</t>
    <rPh sb="0" eb="2">
      <t>ナカムラ</t>
    </rPh>
    <rPh sb="3" eb="4">
      <t>コウ</t>
    </rPh>
    <rPh sb="4" eb="6">
      <t>タロウ</t>
    </rPh>
    <phoneticPr fontId="3"/>
  </si>
  <si>
    <t>※月々の勤務管理及び承認決裁業務をシステム化し、業務効率化を図る。</t>
  </si>
  <si>
    <t>学生勤務管理システムの構築</t>
    <phoneticPr fontId="3"/>
  </si>
  <si>
    <t>Z:\#営業\DUSK_同志社大学\2023年度\DUSK3070：2023年度学生勤務管理システム\提出資料\00_初回提出_20230718</t>
  </si>
  <si>
    <t>Z:\#営業\DUSK_同志社大学\2023年度\DUSK3070：2023年度学生勤務管理システム\提出資料\01_再提案20230803\09_提出資料</t>
  </si>
  <si>
    <t>・学生勤務管理システムの開発作業</t>
  </si>
  <si>
    <t xml:space="preserve">    ①学生WEB勤怠登録・申請機能</t>
  </si>
  <si>
    <t xml:space="preserve">    ②勤務表電子承認機能</t>
  </si>
  <si>
    <t xml:space="preserve">    ③勤務表データ抽出機能</t>
  </si>
  <si>
    <t>・システム導入作業</t>
  </si>
  <si>
    <t>・初期データ移行</t>
  </si>
  <si>
    <t>下記の提案資料に記載</t>
    <rPh sb="0" eb="2">
      <t>カキ</t>
    </rPh>
    <rPh sb="3" eb="5">
      <t>テイアン</t>
    </rPh>
    <rPh sb="5" eb="7">
      <t>シリョウ</t>
    </rPh>
    <rPh sb="8" eb="10">
      <t>キサイ</t>
    </rPh>
    <phoneticPr fontId="3"/>
  </si>
  <si>
    <t>PostgreSQL 16</t>
    <phoneticPr fontId="3"/>
  </si>
  <si>
    <t>Windows 10,11</t>
    <phoneticPr fontId="3"/>
  </si>
  <si>
    <t>Ｗｅｂ系</t>
    <phoneticPr fontId="3"/>
  </si>
  <si>
    <t>システム環境構築シート</t>
    <rPh sb="4" eb="6">
      <t>カンキョウ</t>
    </rPh>
    <rPh sb="6" eb="8">
      <t>コウチク</t>
    </rPh>
    <phoneticPr fontId="3"/>
  </si>
  <si>
    <t>プロジェクト管理＋各工程レビュー＋ルールの作成</t>
    <rPh sb="6" eb="8">
      <t>カンリ</t>
    </rPh>
    <rPh sb="9" eb="12">
      <t>カクコウテイ</t>
    </rPh>
    <rPh sb="21" eb="23">
      <t>サクセイ</t>
    </rPh>
    <phoneticPr fontId="3"/>
  </si>
  <si>
    <t>社内開発環境＋検証環境＋本番環境</t>
    <rPh sb="0" eb="2">
      <t>シャナイ</t>
    </rPh>
    <rPh sb="2" eb="4">
      <t>カイハツ</t>
    </rPh>
    <rPh sb="4" eb="6">
      <t>カンキョウ</t>
    </rPh>
    <rPh sb="7" eb="9">
      <t>ケンショウ</t>
    </rPh>
    <rPh sb="9" eb="11">
      <t>カンキョウ</t>
    </rPh>
    <rPh sb="12" eb="14">
      <t>ホンバン</t>
    </rPh>
    <rPh sb="14" eb="16">
      <t>カンキョウ</t>
    </rPh>
    <phoneticPr fontId="3"/>
  </si>
  <si>
    <t>環境構築（社内）</t>
    <rPh sb="0" eb="2">
      <t>カンキョウ</t>
    </rPh>
    <rPh sb="2" eb="4">
      <t>コウチク</t>
    </rPh>
    <rPh sb="5" eb="7">
      <t>シャナイ</t>
    </rPh>
    <phoneticPr fontId="12"/>
  </si>
  <si>
    <t>環境構築（検証）</t>
    <rPh sb="0" eb="2">
      <t>カンキョウ</t>
    </rPh>
    <rPh sb="2" eb="4">
      <t>コウチク</t>
    </rPh>
    <rPh sb="5" eb="7">
      <t>ケンショウ</t>
    </rPh>
    <phoneticPr fontId="12"/>
  </si>
  <si>
    <t>環境構築（本番）</t>
    <rPh sb="0" eb="2">
      <t>カンキョウ</t>
    </rPh>
    <rPh sb="2" eb="4">
      <t>コウチク</t>
    </rPh>
    <rPh sb="5" eb="7">
      <t>ホンバン</t>
    </rPh>
    <phoneticPr fontId="12"/>
  </si>
  <si>
    <t>作業期間：2023年9月～2024年3月</t>
    <rPh sb="0" eb="2">
      <t>サギョウ</t>
    </rPh>
    <rPh sb="2" eb="4">
      <t>キカン</t>
    </rPh>
    <rPh sb="9" eb="10">
      <t>ネン</t>
    </rPh>
    <rPh sb="11" eb="12">
      <t>ガツ</t>
    </rPh>
    <rPh sb="17" eb="18">
      <t>ネン</t>
    </rPh>
    <rPh sb="19" eb="20">
      <t>ガツ</t>
    </rPh>
    <phoneticPr fontId="3"/>
  </si>
  <si>
    <t>Z:\#開発2\DUSK_同志社大学\2023年度案件\DUSK3070：2023年度学生勤務管理システム\A000_プロジェクト管理\010_プロジェクト計画\プロジェクト計画書.xlsx</t>
    <phoneticPr fontId="3"/>
  </si>
  <si>
    <t>中日程は下記を参照</t>
    <rPh sb="0" eb="3">
      <t>チュウニッテイ</t>
    </rPh>
    <rPh sb="4" eb="6">
      <t>カキ</t>
    </rPh>
    <rPh sb="7" eb="9">
      <t>サンショウ</t>
    </rPh>
    <phoneticPr fontId="3"/>
  </si>
  <si>
    <t>Windows Server 2022（同志社 AWS　3台）</t>
    <phoneticPr fontId="3"/>
  </si>
  <si>
    <t>運用手順書</t>
    <rPh sb="0" eb="2">
      <t>ウンヨウ</t>
    </rPh>
    <rPh sb="2" eb="5">
      <t>テジュンショ</t>
    </rPh>
    <phoneticPr fontId="12"/>
  </si>
  <si>
    <t>性能テスト</t>
    <phoneticPr fontId="3"/>
  </si>
  <si>
    <t>本番稼働</t>
    <phoneticPr fontId="3"/>
  </si>
  <si>
    <t>納品</t>
    <phoneticPr fontId="3"/>
  </si>
  <si>
    <t>各工程レビュー</t>
    <phoneticPr fontId="3"/>
  </si>
  <si>
    <t>プロジェクトの開発ルールの作成</t>
    <phoneticPr fontId="3"/>
  </si>
  <si>
    <t>要件定義～システムテストは作業概算シートより</t>
    <rPh sb="0" eb="4">
      <t>ヨウケンテイギ</t>
    </rPh>
    <phoneticPr fontId="3"/>
  </si>
  <si>
    <t>納品準備（ドキュメント整備）</t>
    <phoneticPr fontId="3"/>
  </si>
  <si>
    <t>プロジェクト管理</t>
    <phoneticPr fontId="3"/>
  </si>
  <si>
    <t>環境構築</t>
    <phoneticPr fontId="3"/>
  </si>
  <si>
    <t>システム移行</t>
    <phoneticPr fontId="3"/>
  </si>
  <si>
    <t>運用テスト</t>
    <rPh sb="0" eb="2">
      <t>ウンヨウ</t>
    </rPh>
    <phoneticPr fontId="3"/>
  </si>
  <si>
    <t>開発</t>
    <rPh sb="0" eb="2">
      <t>カイハツ</t>
    </rPh>
    <phoneticPr fontId="12"/>
  </si>
  <si>
    <t>中村</t>
    <rPh sb="0" eb="2">
      <t>ナカムラ</t>
    </rPh>
    <phoneticPr fontId="3"/>
  </si>
  <si>
    <t>木田</t>
  </si>
  <si>
    <t>木田</t>
    <rPh sb="0" eb="2">
      <t>キダ</t>
    </rPh>
    <phoneticPr fontId="3"/>
  </si>
  <si>
    <t>我部山、柴田、小田桐</t>
    <rPh sb="0" eb="1">
      <t>ワレ</t>
    </rPh>
    <rPh sb="1" eb="2">
      <t>ベ</t>
    </rPh>
    <rPh sb="2" eb="3">
      <t>ヤマ</t>
    </rPh>
    <rPh sb="4" eb="6">
      <t>シバタ</t>
    </rPh>
    <rPh sb="7" eb="10">
      <t>オダギリ</t>
    </rPh>
    <phoneticPr fontId="3"/>
  </si>
  <si>
    <t>我部山、柴田、小田桐、木田</t>
    <rPh sb="0" eb="1">
      <t>ワレ</t>
    </rPh>
    <rPh sb="1" eb="2">
      <t>ベ</t>
    </rPh>
    <rPh sb="2" eb="3">
      <t>ヤマ</t>
    </rPh>
    <rPh sb="4" eb="6">
      <t>シバタ</t>
    </rPh>
    <rPh sb="7" eb="10">
      <t>オダギリ</t>
    </rPh>
    <rPh sb="11" eb="13">
      <t>キダ</t>
    </rPh>
    <phoneticPr fontId="3"/>
  </si>
  <si>
    <t>鳥羽</t>
    <rPh sb="0" eb="2">
      <t>トバ</t>
    </rPh>
    <phoneticPr fontId="14"/>
  </si>
  <si>
    <t>中村</t>
    <rPh sb="0" eb="2">
      <t>ナカムラ</t>
    </rPh>
    <phoneticPr fontId="14"/>
  </si>
  <si>
    <t>我部山</t>
    <rPh sb="0" eb="3">
      <t>ガベヤマ</t>
    </rPh>
    <phoneticPr fontId="14"/>
  </si>
  <si>
    <t>山下</t>
    <rPh sb="0" eb="2">
      <t>ヤマシタ</t>
    </rPh>
    <phoneticPr fontId="14"/>
  </si>
  <si>
    <t>西山</t>
    <rPh sb="0" eb="2">
      <t>ニシヤマ</t>
    </rPh>
    <phoneticPr fontId="14"/>
  </si>
  <si>
    <t>柴田</t>
  </si>
  <si>
    <t>小田桐</t>
    <rPh sb="0" eb="3">
      <t>オダギリ</t>
    </rPh>
    <phoneticPr fontId="14"/>
  </si>
  <si>
    <t>・メールの宛先は学生勤務管理システムの関係者が登録されたメーリングリストを使用する。</t>
    <rPh sb="5" eb="7">
      <t>アテサキ</t>
    </rPh>
    <rPh sb="6" eb="7">
      <t>サキ</t>
    </rPh>
    <rPh sb="8" eb="10">
      <t>ガクセイ</t>
    </rPh>
    <rPh sb="10" eb="12">
      <t>キンム</t>
    </rPh>
    <rPh sb="12" eb="14">
      <t>カンリ</t>
    </rPh>
    <rPh sb="19" eb="22">
      <t>カンケイシャ</t>
    </rPh>
    <rPh sb="23" eb="25">
      <t>トウロク</t>
    </rPh>
    <rPh sb="37" eb="39">
      <t>シヨウ</t>
    </rPh>
    <phoneticPr fontId="3"/>
  </si>
  <si>
    <t>・ファイルの授受についてはWebDisk経由でやり取りする。</t>
    <rPh sb="6" eb="8">
      <t>ジュジュ</t>
    </rPh>
    <rPh sb="20" eb="22">
      <t>ケイユ</t>
    </rPh>
    <rPh sb="25" eb="26">
      <t>ト</t>
    </rPh>
    <phoneticPr fontId="3"/>
  </si>
  <si>
    <t>メーリングリスト： dk-gknmknr@ml.doshisha.ac.jp</t>
    <phoneticPr fontId="3"/>
  </si>
  <si>
    <t>運用方法については、</t>
    <rPh sb="0" eb="2">
      <t>ウンヨウ</t>
    </rPh>
    <rPh sb="2" eb="4">
      <t>ホウホウ</t>
    </rPh>
    <phoneticPr fontId="3"/>
  </si>
  <si>
    <t>■</t>
  </si>
  <si>
    <t>PL</t>
    <phoneticPr fontId="3"/>
  </si>
  <si>
    <t>設計・製造レビューア</t>
    <rPh sb="0" eb="2">
      <t>セッケイ</t>
    </rPh>
    <rPh sb="3" eb="5">
      <t>セイゾウ</t>
    </rPh>
    <phoneticPr fontId="3"/>
  </si>
  <si>
    <t>環境構築</t>
    <rPh sb="0" eb="2">
      <t>カンキョウ</t>
    </rPh>
    <rPh sb="2" eb="4">
      <t>コウチク</t>
    </rPh>
    <phoneticPr fontId="3"/>
  </si>
  <si>
    <t>要件定義、基本設計、詳細設計、CT、ST</t>
    <rPh sb="0" eb="4">
      <t>ヨウケンテイギ</t>
    </rPh>
    <rPh sb="5" eb="9">
      <t>キホンセッケイ</t>
    </rPh>
    <rPh sb="10" eb="12">
      <t>ショウサイ</t>
    </rPh>
    <rPh sb="12" eb="14">
      <t>セッケイ</t>
    </rPh>
    <phoneticPr fontId="3"/>
  </si>
  <si>
    <t>基本設計顧客レビュー議事録</t>
    <rPh sb="0" eb="4">
      <t>キホンセッケイ</t>
    </rPh>
    <rPh sb="4" eb="6">
      <t>コキャク</t>
    </rPh>
    <rPh sb="10" eb="13">
      <t>ギジロク</t>
    </rPh>
    <phoneticPr fontId="3"/>
  </si>
  <si>
    <t>Apache 2.4、Tomcat 9.0、Java 8（日立Java）</t>
    <rPh sb="29" eb="31">
      <t>ヒタチ</t>
    </rPh>
    <phoneticPr fontId="3"/>
  </si>
  <si>
    <t>理由</t>
    <rPh sb="0" eb="2">
      <t>リユウ</t>
    </rPh>
    <phoneticPr fontId="3"/>
  </si>
  <si>
    <t>機能一覧</t>
    <rPh sb="0" eb="2">
      <t>キノウ</t>
    </rPh>
    <rPh sb="2" eb="4">
      <t>イチラン</t>
    </rPh>
    <phoneticPr fontId="3"/>
  </si>
  <si>
    <t>基本設計書レビュー</t>
    <phoneticPr fontId="3"/>
  </si>
  <si>
    <t>要件定義レビュー</t>
    <rPh sb="0" eb="4">
      <t>ヨウケンテイギ</t>
    </rPh>
    <phoneticPr fontId="3"/>
  </si>
  <si>
    <t>1回／2週</t>
    <rPh sb="1" eb="2">
      <t>カイ</t>
    </rPh>
    <rPh sb="4" eb="5">
      <t>シュウ</t>
    </rPh>
    <phoneticPr fontId="3"/>
  </si>
  <si>
    <t>※難度の高い機能を一部実施</t>
    <rPh sb="1" eb="3">
      <t>ナンド</t>
    </rPh>
    <rPh sb="4" eb="5">
      <t>タカ</t>
    </rPh>
    <rPh sb="6" eb="8">
      <t>キノウ</t>
    </rPh>
    <rPh sb="9" eb="11">
      <t>イチブ</t>
    </rPh>
    <rPh sb="11" eb="13">
      <t>ジッシ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</si>
</sst>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¥&quot;#,##0;[Red]&quot;¥&quot;\-#,##0"/>
    <numFmt numFmtId="176" formatCode="yyyy&quot;年&quot;m&quot;月&quot;d&quot;日&quot;;@"/>
    <numFmt numFmtId="177" formatCode="0.0"/>
    <numFmt numFmtId="178" formatCode="#,##0;\-#,##0;&quot;-&quot;"/>
    <numFmt numFmtId="179" formatCode="_(* #,##0.0_);_(* \(#,##0.0\);_(* &quot;-&quot;??_);_(@_)"/>
    <numFmt numFmtId="180" formatCode="0.0_ "/>
    <numFmt numFmtId="181" formatCode="0&quot;人&quot;"/>
    <numFmt numFmtId="182" formatCode="yyyy&quot;年&quot;"/>
    <numFmt numFmtId="183" formatCode="m&quot;月&quot;"/>
  </numFmts>
  <fonts count="32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name val="ＭＳ 明朝"/>
      <family val="1"/>
      <charset val="128"/>
    </font>
    <font>
      <sz val="12"/>
      <name val="Times New Roman"/>
      <family val="1"/>
    </font>
    <font>
      <sz val="10"/>
      <name val="ＭＳ Ｐ明朝"/>
      <family val="1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11"/>
      <name val="明朝"/>
      <family val="1"/>
      <charset val="128"/>
    </font>
    <font>
      <sz val="10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sz val="12"/>
      <name val="ＭＳ ゴシック"/>
      <family val="3"/>
      <charset val="128"/>
    </font>
    <font>
      <sz val="14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20"/>
      <name val="ＭＳ ゴシック"/>
      <family val="3"/>
      <charset val="128"/>
    </font>
    <font>
      <sz val="18"/>
      <name val="ＭＳ ゴシック"/>
      <family val="3"/>
      <charset val="128"/>
    </font>
    <font>
      <sz val="14"/>
      <name val="ＭＳ 明朝"/>
      <family val="1"/>
      <charset val="128"/>
    </font>
    <font>
      <sz val="10"/>
      <color theme="0" tint="-0.249977111117893"/>
      <name val="ＭＳ 明朝"/>
      <family val="1"/>
      <charset val="128"/>
    </font>
    <font>
      <b/>
      <sz val="9"/>
      <color indexed="8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u/>
      <sz val="10"/>
      <name val="ＭＳ 明朝"/>
      <family val="1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7">
    <xf numFmtId="0" fontId="0" fillId="0" borderId="0"/>
    <xf numFmtId="0" fontId="10" fillId="0" borderId="0"/>
    <xf numFmtId="0" fontId="11" fillId="0" borderId="0">
      <alignment vertical="center" wrapText="1"/>
    </xf>
    <xf numFmtId="178" fontId="12" fillId="0" borderId="0" applyFill="0" applyBorder="0" applyAlignment="0"/>
    <xf numFmtId="0" fontId="13" fillId="0" borderId="0">
      <alignment horizontal="left"/>
    </xf>
    <xf numFmtId="38" fontId="14" fillId="2" borderId="0" applyNumberFormat="0" applyBorder="0" applyAlignment="0" applyProtection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0" fontId="14" fillId="3" borderId="3" applyNumberFormat="0" applyBorder="0" applyAlignment="0" applyProtection="0"/>
    <xf numFmtId="179" fontId="16" fillId="0" borderId="0"/>
    <xf numFmtId="0" fontId="17" fillId="0" borderId="0"/>
    <xf numFmtId="10" fontId="17" fillId="0" borderId="0" applyFont="0" applyFill="0" applyBorder="0" applyAlignment="0" applyProtection="0"/>
    <xf numFmtId="4" fontId="13" fillId="0" borderId="0">
      <alignment horizontal="right"/>
    </xf>
    <xf numFmtId="4" fontId="18" fillId="0" borderId="0">
      <alignment horizontal="right"/>
    </xf>
    <xf numFmtId="0" fontId="19" fillId="0" borderId="0">
      <alignment horizontal="left"/>
    </xf>
    <xf numFmtId="0" fontId="20" fillId="0" borderId="0"/>
    <xf numFmtId="0" fontId="21" fillId="0" borderId="0" applyFill="0" applyBorder="0"/>
    <xf numFmtId="0" fontId="22" fillId="0" borderId="0" applyFill="0" applyBorder="0"/>
    <xf numFmtId="6" fontId="21" fillId="0" borderId="0" applyFill="0" applyBorder="0"/>
    <xf numFmtId="3" fontId="21" fillId="0" borderId="0" applyFill="0" applyBorder="0"/>
    <xf numFmtId="0" fontId="21" fillId="0" borderId="0" applyFill="0" applyBorder="0">
      <alignment horizontal="center"/>
    </xf>
    <xf numFmtId="0" fontId="5" fillId="0" borderId="4" applyBorder="0"/>
    <xf numFmtId="38" fontId="2" fillId="0" borderId="0" applyFont="0" applyFill="0" applyBorder="0" applyAlignment="0" applyProtection="0"/>
    <xf numFmtId="0" fontId="5" fillId="0" borderId="0"/>
    <xf numFmtId="6" fontId="7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16" fillId="0" borderId="0"/>
    <xf numFmtId="0" fontId="2" fillId="0" borderId="0"/>
    <xf numFmtId="6" fontId="5" fillId="0" borderId="0" applyFill="0" applyBorder="0">
      <alignment horizontal="right"/>
    </xf>
    <xf numFmtId="0" fontId="5" fillId="0" borderId="0" applyFill="0" applyBorder="0">
      <alignment horizontal="center"/>
    </xf>
    <xf numFmtId="0" fontId="5" fillId="0" borderId="0" applyBorder="0"/>
    <xf numFmtId="0" fontId="1" fillId="0" borderId="0">
      <alignment vertical="center"/>
    </xf>
    <xf numFmtId="0" fontId="30" fillId="0" borderId="0"/>
  </cellStyleXfs>
  <cellXfs count="260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5" xfId="0" applyFont="1" applyBorder="1"/>
    <xf numFmtId="0" fontId="4" fillId="0" borderId="0" xfId="0" quotePrefix="1" applyFont="1"/>
    <xf numFmtId="0" fontId="5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4" fillId="0" borderId="0" xfId="0" applyFont="1" applyAlignment="1">
      <alignment vertical="center"/>
    </xf>
    <xf numFmtId="0" fontId="9" fillId="0" borderId="0" xfId="0" applyFont="1"/>
    <xf numFmtId="0" fontId="4" fillId="3" borderId="19" xfId="0" applyFont="1" applyFill="1" applyBorder="1"/>
    <xf numFmtId="0" fontId="4" fillId="3" borderId="20" xfId="0" applyFont="1" applyFill="1" applyBorder="1"/>
    <xf numFmtId="0" fontId="4" fillId="3" borderId="21" xfId="0" applyFont="1" applyFill="1" applyBorder="1"/>
    <xf numFmtId="0" fontId="4" fillId="3" borderId="32" xfId="0" applyFont="1" applyFill="1" applyBorder="1"/>
    <xf numFmtId="0" fontId="4" fillId="3" borderId="31" xfId="0" applyFont="1" applyFill="1" applyBorder="1"/>
    <xf numFmtId="0" fontId="4" fillId="3" borderId="0" xfId="0" applyFont="1" applyFill="1"/>
    <xf numFmtId="0" fontId="4" fillId="3" borderId="16" xfId="0" applyFont="1" applyFill="1" applyBorder="1"/>
    <xf numFmtId="0" fontId="4" fillId="3" borderId="17" xfId="0" applyFont="1" applyFill="1" applyBorder="1"/>
    <xf numFmtId="0" fontId="4" fillId="3" borderId="18" xfId="0" applyFont="1" applyFill="1" applyBorder="1"/>
    <xf numFmtId="0" fontId="2" fillId="0" borderId="0" xfId="0" applyFont="1" applyAlignment="1">
      <alignment vertical="center"/>
    </xf>
    <xf numFmtId="0" fontId="5" fillId="0" borderId="19" xfId="0" applyFont="1" applyBorder="1"/>
    <xf numFmtId="0" fontId="5" fillId="0" borderId="20" xfId="0" applyFont="1" applyBorder="1"/>
    <xf numFmtId="0" fontId="5" fillId="0" borderId="21" xfId="0" applyFont="1" applyBorder="1"/>
    <xf numFmtId="0" fontId="5" fillId="0" borderId="31" xfId="0" applyFont="1" applyBorder="1"/>
    <xf numFmtId="0" fontId="5" fillId="0" borderId="32" xfId="0" applyFont="1" applyBorder="1"/>
    <xf numFmtId="0" fontId="5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0" fontId="4" fillId="0" borderId="0" xfId="31" applyFont="1" applyAlignment="1">
      <alignment vertical="center"/>
    </xf>
    <xf numFmtId="0" fontId="4" fillId="0" borderId="0" xfId="31" applyFont="1" applyAlignment="1">
      <alignment vertical="center" wrapText="1"/>
    </xf>
    <xf numFmtId="0" fontId="4" fillId="0" borderId="0" xfId="31" applyFont="1" applyAlignment="1">
      <alignment horizontal="center" vertical="center"/>
    </xf>
    <xf numFmtId="0" fontId="4" fillId="0" borderId="0" xfId="31" applyFont="1" applyAlignment="1">
      <alignment horizontal="left" vertical="center"/>
    </xf>
    <xf numFmtId="0" fontId="4" fillId="0" borderId="6" xfId="31" applyFont="1" applyBorder="1" applyAlignment="1">
      <alignment horizontal="center" vertical="center"/>
    </xf>
    <xf numFmtId="0" fontId="4" fillId="0" borderId="10" xfId="31" applyFont="1" applyBorder="1" applyAlignment="1">
      <alignment vertical="center"/>
    </xf>
    <xf numFmtId="0" fontId="5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0" fontId="5" fillId="7" borderId="3" xfId="0" applyFont="1" applyFill="1" applyBorder="1"/>
    <xf numFmtId="0" fontId="5" fillId="0" borderId="20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5" fillId="0" borderId="17" xfId="0" applyFont="1" applyBorder="1" applyAlignment="1">
      <alignment horizontal="center" vertical="center" shrinkToFit="1"/>
    </xf>
    <xf numFmtId="0" fontId="4" fillId="0" borderId="5" xfId="0" quotePrefix="1" applyFont="1" applyBorder="1"/>
    <xf numFmtId="0" fontId="4" fillId="0" borderId="11" xfId="0" quotePrefix="1" applyFont="1" applyBorder="1"/>
    <xf numFmtId="0" fontId="5" fillId="0" borderId="0" xfId="0" applyFont="1" applyAlignment="1">
      <alignment vertical="center"/>
    </xf>
    <xf numFmtId="14" fontId="5" fillId="0" borderId="0" xfId="0" applyNumberFormat="1" applyFont="1" applyAlignment="1">
      <alignment vertical="center"/>
    </xf>
    <xf numFmtId="181" fontId="5" fillId="0" borderId="0" xfId="0" applyNumberFormat="1" applyFont="1" applyAlignment="1">
      <alignment vertical="center"/>
    </xf>
    <xf numFmtId="0" fontId="5" fillId="9" borderId="19" xfId="0" applyFont="1" applyFill="1" applyBorder="1"/>
    <xf numFmtId="0" fontId="5" fillId="9" borderId="20" xfId="0" applyFont="1" applyFill="1" applyBorder="1" applyAlignment="1">
      <alignment horizontal="center" vertical="center" shrinkToFit="1"/>
    </xf>
    <xf numFmtId="0" fontId="5" fillId="9" borderId="20" xfId="0" applyFont="1" applyFill="1" applyBorder="1"/>
    <xf numFmtId="0" fontId="5" fillId="9" borderId="21" xfId="0" applyFont="1" applyFill="1" applyBorder="1"/>
    <xf numFmtId="0" fontId="5" fillId="9" borderId="16" xfId="0" applyFont="1" applyFill="1" applyBorder="1"/>
    <xf numFmtId="0" fontId="5" fillId="9" borderId="17" xfId="0" applyFont="1" applyFill="1" applyBorder="1" applyAlignment="1">
      <alignment horizontal="center" vertical="center" shrinkToFit="1"/>
    </xf>
    <xf numFmtId="0" fontId="5" fillId="9" borderId="17" xfId="0" applyFont="1" applyFill="1" applyBorder="1"/>
    <xf numFmtId="0" fontId="5" fillId="9" borderId="18" xfId="0" applyFont="1" applyFill="1" applyBorder="1"/>
    <xf numFmtId="0" fontId="5" fillId="0" borderId="0" xfId="0" applyFont="1" applyAlignment="1">
      <alignment horizontal="right"/>
    </xf>
    <xf numFmtId="0" fontId="31" fillId="0" borderId="0" xfId="0" applyFont="1"/>
    <xf numFmtId="0" fontId="5" fillId="11" borderId="0" xfId="0" applyFont="1" applyFill="1"/>
    <xf numFmtId="0" fontId="2" fillId="6" borderId="3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14" fontId="2" fillId="0" borderId="3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0" fillId="0" borderId="3" xfId="0" quotePrefix="1" applyBorder="1" applyAlignment="1">
      <alignment vertical="center"/>
    </xf>
    <xf numFmtId="0" fontId="25" fillId="3" borderId="31" xfId="0" applyFont="1" applyFill="1" applyBorder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0" fontId="26" fillId="3" borderId="31" xfId="0" applyFont="1" applyFill="1" applyBorder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14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" fillId="0" borderId="17" xfId="0" applyFont="1" applyBorder="1" applyAlignment="1">
      <alignment vertical="center"/>
    </xf>
    <xf numFmtId="0" fontId="2" fillId="5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4" fillId="0" borderId="0" xfId="0" applyFont="1"/>
    <xf numFmtId="0" fontId="8" fillId="4" borderId="3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177" fontId="5" fillId="0" borderId="13" xfId="0" applyNumberFormat="1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7" fontId="5" fillId="0" borderId="14" xfId="0" applyNumberFormat="1" applyFont="1" applyBorder="1" applyAlignment="1">
      <alignment horizontal="center" vertical="center"/>
    </xf>
    <xf numFmtId="31" fontId="5" fillId="0" borderId="13" xfId="0" applyNumberFormat="1" applyFont="1" applyBorder="1" applyAlignment="1">
      <alignment horizontal="center" vertical="center"/>
    </xf>
    <xf numFmtId="31" fontId="5" fillId="0" borderId="2" xfId="0" applyNumberFormat="1" applyFont="1" applyBorder="1" applyAlignment="1">
      <alignment horizontal="center" vertical="center"/>
    </xf>
    <xf numFmtId="31" fontId="5" fillId="0" borderId="14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horizontal="center" vertical="center"/>
    </xf>
    <xf numFmtId="176" fontId="5" fillId="0" borderId="13" xfId="0" applyNumberFormat="1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176" fontId="5" fillId="0" borderId="14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80" fontId="5" fillId="8" borderId="3" xfId="0" applyNumberFormat="1" applyFont="1" applyFill="1" applyBorder="1" applyAlignment="1">
      <alignment horizontal="center" vertical="center"/>
    </xf>
    <xf numFmtId="180" fontId="5" fillId="0" borderId="3" xfId="0" applyNumberFormat="1" applyFont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top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 shrinkToFit="1"/>
    </xf>
    <xf numFmtId="0" fontId="5" fillId="0" borderId="3" xfId="0" applyFont="1" applyBorder="1" applyAlignment="1">
      <alignment horizontal="left" vertical="top" wrapText="1"/>
    </xf>
    <xf numFmtId="0" fontId="5" fillId="0" borderId="3" xfId="0" quotePrefix="1" applyFont="1" applyBorder="1" applyAlignment="1">
      <alignment horizontal="left" vertical="top"/>
    </xf>
    <xf numFmtId="0" fontId="5" fillId="7" borderId="3" xfId="0" applyFont="1" applyFill="1" applyBorder="1" applyAlignment="1">
      <alignment horizontal="center"/>
    </xf>
    <xf numFmtId="0" fontId="5" fillId="7" borderId="13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14" xfId="0" applyFont="1" applyFill="1" applyBorder="1" applyAlignment="1">
      <alignment horizontal="center"/>
    </xf>
    <xf numFmtId="0" fontId="5" fillId="0" borderId="40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9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4" fillId="4" borderId="35" xfId="31" applyFont="1" applyFill="1" applyBorder="1" applyAlignment="1">
      <alignment vertical="center"/>
    </xf>
    <xf numFmtId="0" fontId="4" fillId="4" borderId="3" xfId="31" applyFont="1" applyFill="1" applyBorder="1" applyAlignment="1">
      <alignment vertical="center"/>
    </xf>
    <xf numFmtId="0" fontId="4" fillId="0" borderId="13" xfId="31" applyFont="1" applyBorder="1" applyAlignment="1">
      <alignment horizontal="center" vertical="center"/>
    </xf>
    <xf numFmtId="0" fontId="4" fillId="0" borderId="2" xfId="31" applyFont="1" applyBorder="1" applyAlignment="1">
      <alignment horizontal="center" vertical="center"/>
    </xf>
    <xf numFmtId="0" fontId="4" fillId="0" borderId="14" xfId="31" applyFont="1" applyBorder="1" applyAlignment="1">
      <alignment horizontal="center" vertical="center"/>
    </xf>
    <xf numFmtId="0" fontId="4" fillId="4" borderId="3" xfId="31" applyFont="1" applyFill="1" applyBorder="1" applyAlignment="1">
      <alignment horizontal="center" vertical="center"/>
    </xf>
    <xf numFmtId="0" fontId="4" fillId="4" borderId="36" xfId="31" applyFont="1" applyFill="1" applyBorder="1" applyAlignment="1">
      <alignment horizontal="center" vertical="center"/>
    </xf>
    <xf numFmtId="0" fontId="4" fillId="0" borderId="19" xfId="31" applyFont="1" applyBorder="1" applyAlignment="1">
      <alignment horizontal="left" vertical="center"/>
    </xf>
    <xf numFmtId="0" fontId="4" fillId="0" borderId="20" xfId="31" applyFont="1" applyBorder="1" applyAlignment="1">
      <alignment horizontal="left" vertical="center"/>
    </xf>
    <xf numFmtId="0" fontId="4" fillId="0" borderId="21" xfId="31" applyFont="1" applyBorder="1" applyAlignment="1">
      <alignment horizontal="left" vertical="center"/>
    </xf>
    <xf numFmtId="0" fontId="4" fillId="4" borderId="37" xfId="31" applyFont="1" applyFill="1" applyBorder="1" applyAlignment="1">
      <alignment vertical="center"/>
    </xf>
    <xf numFmtId="0" fontId="4" fillId="4" borderId="28" xfId="31" applyFont="1" applyFill="1" applyBorder="1" applyAlignment="1">
      <alignment vertical="center"/>
    </xf>
    <xf numFmtId="0" fontId="4" fillId="0" borderId="22" xfId="31" applyFont="1" applyBorder="1" applyAlignment="1">
      <alignment vertical="center"/>
    </xf>
    <xf numFmtId="0" fontId="4" fillId="0" borderId="23" xfId="31" applyFont="1" applyBorder="1" applyAlignment="1">
      <alignment vertical="center"/>
    </xf>
    <xf numFmtId="0" fontId="4" fillId="0" borderId="24" xfId="31" applyFont="1" applyBorder="1" applyAlignment="1">
      <alignment vertical="center"/>
    </xf>
    <xf numFmtId="0" fontId="4" fillId="4" borderId="28" xfId="31" applyFont="1" applyFill="1" applyBorder="1" applyAlignment="1">
      <alignment horizontal="center" vertical="center"/>
    </xf>
    <xf numFmtId="0" fontId="4" fillId="0" borderId="13" xfId="31" applyFont="1" applyBorder="1" applyAlignment="1">
      <alignment vertical="center" wrapText="1"/>
    </xf>
    <xf numFmtId="0" fontId="4" fillId="0" borderId="2" xfId="31" applyFont="1" applyBorder="1" applyAlignment="1">
      <alignment vertical="center" wrapText="1"/>
    </xf>
    <xf numFmtId="0" fontId="4" fillId="0" borderId="14" xfId="31" applyFont="1" applyBorder="1" applyAlignment="1">
      <alignment vertical="center" wrapText="1"/>
    </xf>
    <xf numFmtId="0" fontId="4" fillId="4" borderId="38" xfId="31" applyFont="1" applyFill="1" applyBorder="1" applyAlignment="1">
      <alignment vertical="center"/>
    </xf>
    <xf numFmtId="0" fontId="4" fillId="4" borderId="36" xfId="31" applyFont="1" applyFill="1" applyBorder="1" applyAlignment="1">
      <alignment vertical="center"/>
    </xf>
    <xf numFmtId="0" fontId="4" fillId="0" borderId="25" xfId="31" applyFont="1" applyBorder="1" applyAlignment="1">
      <alignment vertical="center" wrapText="1"/>
    </xf>
    <xf numFmtId="0" fontId="4" fillId="0" borderId="26" xfId="31" applyFont="1" applyBorder="1" applyAlignment="1">
      <alignment vertical="center" wrapText="1"/>
    </xf>
    <xf numFmtId="0" fontId="4" fillId="0" borderId="27" xfId="31" applyFont="1" applyBorder="1" applyAlignment="1">
      <alignment vertical="center" wrapText="1"/>
    </xf>
    <xf numFmtId="0" fontId="4" fillId="0" borderId="33" xfId="31" applyFont="1" applyBorder="1" applyAlignment="1">
      <alignment horizontal="left" vertical="center"/>
    </xf>
    <xf numFmtId="0" fontId="4" fillId="0" borderId="8" xfId="31" applyFont="1" applyBorder="1" applyAlignment="1">
      <alignment horizontal="left" vertical="center"/>
    </xf>
    <xf numFmtId="0" fontId="4" fillId="0" borderId="34" xfId="31" applyFont="1" applyBorder="1" applyAlignment="1">
      <alignment horizontal="left" vertical="center"/>
    </xf>
    <xf numFmtId="0" fontId="4" fillId="0" borderId="22" xfId="31" applyFont="1" applyBorder="1" applyAlignment="1">
      <alignment horizontal="left" vertical="center"/>
    </xf>
    <xf numFmtId="0" fontId="4" fillId="0" borderId="23" xfId="31" applyFont="1" applyBorder="1" applyAlignment="1">
      <alignment horizontal="left" vertical="center"/>
    </xf>
    <xf numFmtId="0" fontId="4" fillId="0" borderId="24" xfId="31" applyFont="1" applyBorder="1" applyAlignment="1">
      <alignment horizontal="left" vertical="center"/>
    </xf>
    <xf numFmtId="0" fontId="4" fillId="0" borderId="29" xfId="31" applyFont="1" applyBorder="1" applyAlignment="1">
      <alignment horizontal="center" vertical="center"/>
    </xf>
    <xf numFmtId="0" fontId="4" fillId="0" borderId="11" xfId="31" applyFont="1" applyBorder="1" applyAlignment="1">
      <alignment horizontal="center" vertical="center"/>
    </xf>
    <xf numFmtId="0" fontId="4" fillId="0" borderId="12" xfId="31" applyFont="1" applyBorder="1" applyAlignment="1">
      <alignment horizontal="center" vertical="center"/>
    </xf>
    <xf numFmtId="0" fontId="4" fillId="0" borderId="31" xfId="31" applyFont="1" applyBorder="1" applyAlignment="1">
      <alignment horizontal="center" vertical="center"/>
    </xf>
    <xf numFmtId="0" fontId="4" fillId="0" borderId="0" xfId="31" applyFont="1" applyAlignment="1">
      <alignment horizontal="center" vertical="center"/>
    </xf>
    <xf numFmtId="0" fontId="4" fillId="0" borderId="6" xfId="31" applyFont="1" applyBorder="1" applyAlignment="1">
      <alignment horizontal="center" vertical="center"/>
    </xf>
    <xf numFmtId="0" fontId="4" fillId="0" borderId="33" xfId="31" applyFont="1" applyBorder="1" applyAlignment="1">
      <alignment horizontal="center" vertical="center"/>
    </xf>
    <xf numFmtId="0" fontId="4" fillId="0" borderId="8" xfId="31" applyFont="1" applyBorder="1" applyAlignment="1">
      <alignment horizontal="center" vertical="center"/>
    </xf>
    <xf numFmtId="0" fontId="4" fillId="0" borderId="9" xfId="31" applyFont="1" applyBorder="1" applyAlignment="1">
      <alignment horizontal="center" vertical="center"/>
    </xf>
    <xf numFmtId="31" fontId="4" fillId="0" borderId="3" xfId="31" applyNumberFormat="1" applyFont="1" applyBorder="1" applyAlignment="1">
      <alignment horizontal="center" vertical="center"/>
    </xf>
    <xf numFmtId="176" fontId="4" fillId="0" borderId="28" xfId="31" applyNumberFormat="1" applyFont="1" applyBorder="1" applyAlignment="1">
      <alignment horizontal="center" vertical="center"/>
    </xf>
    <xf numFmtId="0" fontId="4" fillId="4" borderId="29" xfId="31" applyFont="1" applyFill="1" applyBorder="1" applyAlignment="1">
      <alignment horizontal="center" vertical="center"/>
    </xf>
    <xf numFmtId="0" fontId="4" fillId="4" borderId="11" xfId="31" applyFont="1" applyFill="1" applyBorder="1" applyAlignment="1">
      <alignment horizontal="center" vertical="center"/>
    </xf>
    <xf numFmtId="0" fontId="4" fillId="4" borderId="30" xfId="31" applyFont="1" applyFill="1" applyBorder="1" applyAlignment="1">
      <alignment horizontal="center" vertical="center"/>
    </xf>
    <xf numFmtId="0" fontId="4" fillId="4" borderId="31" xfId="31" applyFont="1" applyFill="1" applyBorder="1" applyAlignment="1">
      <alignment horizontal="center" vertical="center"/>
    </xf>
    <xf numFmtId="0" fontId="4" fillId="4" borderId="0" xfId="31" applyFont="1" applyFill="1" applyAlignment="1">
      <alignment horizontal="center" vertical="center"/>
    </xf>
    <xf numFmtId="0" fontId="4" fillId="4" borderId="32" xfId="31" applyFont="1" applyFill="1" applyBorder="1" applyAlignment="1">
      <alignment horizontal="center" vertical="center"/>
    </xf>
    <xf numFmtId="0" fontId="4" fillId="4" borderId="33" xfId="31" applyFont="1" applyFill="1" applyBorder="1" applyAlignment="1">
      <alignment horizontal="center" vertical="center"/>
    </xf>
    <xf numFmtId="0" fontId="4" fillId="4" borderId="8" xfId="31" applyFont="1" applyFill="1" applyBorder="1" applyAlignment="1">
      <alignment horizontal="center" vertical="center"/>
    </xf>
    <xf numFmtId="0" fontId="4" fillId="4" borderId="34" xfId="31" applyFont="1" applyFill="1" applyBorder="1" applyAlignment="1">
      <alignment horizontal="center" vertical="center"/>
    </xf>
    <xf numFmtId="0" fontId="4" fillId="0" borderId="22" xfId="31" applyFont="1" applyBorder="1" applyAlignment="1">
      <alignment horizontal="center" vertical="center"/>
    </xf>
    <xf numFmtId="0" fontId="4" fillId="0" borderId="23" xfId="31" applyFont="1" applyBorder="1" applyAlignment="1">
      <alignment horizontal="center" vertical="center"/>
    </xf>
    <xf numFmtId="0" fontId="4" fillId="0" borderId="24" xfId="31" applyFont="1" applyBorder="1" applyAlignment="1">
      <alignment horizontal="center" vertical="center"/>
    </xf>
    <xf numFmtId="0" fontId="4" fillId="0" borderId="25" xfId="31" applyFont="1" applyBorder="1" applyAlignment="1">
      <alignment horizontal="left" vertical="center"/>
    </xf>
    <xf numFmtId="0" fontId="4" fillId="0" borderId="26" xfId="31" applyFont="1" applyBorder="1" applyAlignment="1">
      <alignment horizontal="left" vertical="center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5" fillId="8" borderId="3" xfId="0" applyFont="1" applyFill="1" applyBorder="1" applyAlignment="1">
      <alignment horizontal="left" vertical="center"/>
    </xf>
    <xf numFmtId="180" fontId="5" fillId="9" borderId="3" xfId="0" applyNumberFormat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 wrapText="1"/>
    </xf>
    <xf numFmtId="0" fontId="5" fillId="7" borderId="3" xfId="0" applyFont="1" applyFill="1" applyBorder="1" applyAlignment="1">
      <alignment horizontal="left" vertical="top"/>
    </xf>
    <xf numFmtId="0" fontId="5" fillId="9" borderId="3" xfId="0" applyFont="1" applyFill="1" applyBorder="1" applyAlignment="1">
      <alignment horizontal="left" vertical="top"/>
    </xf>
    <xf numFmtId="0" fontId="5" fillId="9" borderId="3" xfId="0" applyFont="1" applyFill="1" applyBorder="1" applyAlignment="1">
      <alignment horizontal="center" vertical="top"/>
    </xf>
    <xf numFmtId="0" fontId="5" fillId="0" borderId="19" xfId="0" applyFont="1" applyBorder="1" applyAlignment="1">
      <alignment horizontal="center" vertical="top"/>
    </xf>
    <xf numFmtId="0" fontId="5" fillId="0" borderId="21" xfId="0" applyFont="1" applyBorder="1" applyAlignment="1">
      <alignment horizontal="center" vertical="top"/>
    </xf>
    <xf numFmtId="0" fontId="5" fillId="0" borderId="31" xfId="0" applyFont="1" applyBorder="1" applyAlignment="1">
      <alignment horizontal="center" vertical="top"/>
    </xf>
    <xf numFmtId="0" fontId="5" fillId="0" borderId="32" xfId="0" applyFont="1" applyBorder="1" applyAlignment="1">
      <alignment horizontal="center" vertical="top"/>
    </xf>
    <xf numFmtId="0" fontId="5" fillId="7" borderId="13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5" fillId="0" borderId="21" xfId="0" applyFont="1" applyBorder="1" applyAlignment="1">
      <alignment horizontal="left" vertical="top"/>
    </xf>
    <xf numFmtId="0" fontId="5" fillId="0" borderId="31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32" xfId="0" applyFont="1" applyBorder="1" applyAlignment="1">
      <alignment horizontal="left" vertical="top"/>
    </xf>
    <xf numFmtId="180" fontId="5" fillId="10" borderId="13" xfId="0" applyNumberFormat="1" applyFont="1" applyFill="1" applyBorder="1" applyAlignment="1">
      <alignment vertical="center"/>
    </xf>
    <xf numFmtId="180" fontId="5" fillId="10" borderId="2" xfId="0" applyNumberFormat="1" applyFont="1" applyFill="1" applyBorder="1" applyAlignment="1">
      <alignment vertical="center"/>
    </xf>
    <xf numFmtId="180" fontId="5" fillId="10" borderId="14" xfId="0" applyNumberFormat="1" applyFont="1" applyFill="1" applyBorder="1" applyAlignment="1">
      <alignment vertical="center"/>
    </xf>
    <xf numFmtId="180" fontId="5" fillId="0" borderId="13" xfId="0" applyNumberFormat="1" applyFont="1" applyBorder="1" applyAlignment="1">
      <alignment vertical="center"/>
    </xf>
    <xf numFmtId="180" fontId="5" fillId="0" borderId="2" xfId="0" applyNumberFormat="1" applyFont="1" applyBorder="1" applyAlignment="1">
      <alignment vertical="center"/>
    </xf>
    <xf numFmtId="180" fontId="5" fillId="0" borderId="14" xfId="0" applyNumberFormat="1" applyFont="1" applyBorder="1" applyAlignment="1">
      <alignment vertical="center"/>
    </xf>
    <xf numFmtId="180" fontId="5" fillId="0" borderId="19" xfId="0" applyNumberFormat="1" applyFont="1" applyBorder="1" applyAlignment="1">
      <alignment horizontal="center" vertical="center"/>
    </xf>
    <xf numFmtId="180" fontId="5" fillId="0" borderId="20" xfId="0" applyNumberFormat="1" applyFont="1" applyBorder="1" applyAlignment="1">
      <alignment horizontal="center" vertical="center"/>
    </xf>
    <xf numFmtId="180" fontId="5" fillId="0" borderId="21" xfId="0" applyNumberFormat="1" applyFont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 wrapText="1"/>
    </xf>
    <xf numFmtId="183" fontId="5" fillId="7" borderId="3" xfId="0" applyNumberFormat="1" applyFont="1" applyFill="1" applyBorder="1" applyAlignment="1">
      <alignment horizontal="center" vertical="center"/>
    </xf>
    <xf numFmtId="182" fontId="5" fillId="7" borderId="13" xfId="0" applyNumberFormat="1" applyFont="1" applyFill="1" applyBorder="1" applyAlignment="1">
      <alignment horizontal="center" vertical="center"/>
    </xf>
    <xf numFmtId="182" fontId="5" fillId="7" borderId="2" xfId="0" applyNumberFormat="1" applyFont="1" applyFill="1" applyBorder="1" applyAlignment="1">
      <alignment horizontal="center" vertical="center"/>
    </xf>
    <xf numFmtId="182" fontId="5" fillId="7" borderId="14" xfId="0" applyNumberFormat="1" applyFont="1" applyFill="1" applyBorder="1" applyAlignment="1">
      <alignment horizontal="center" vertical="center"/>
    </xf>
    <xf numFmtId="180" fontId="5" fillId="0" borderId="13" xfId="0" applyNumberFormat="1" applyFont="1" applyBorder="1" applyAlignment="1">
      <alignment horizontal="center" vertical="center"/>
    </xf>
    <xf numFmtId="180" fontId="5" fillId="0" borderId="2" xfId="0" applyNumberFormat="1" applyFont="1" applyBorder="1" applyAlignment="1">
      <alignment horizontal="center" vertical="center"/>
    </xf>
    <xf numFmtId="180" fontId="5" fillId="0" borderId="14" xfId="0" applyNumberFormat="1" applyFont="1" applyBorder="1" applyAlignment="1">
      <alignment horizontal="center" vertical="center"/>
    </xf>
    <xf numFmtId="180" fontId="5" fillId="11" borderId="13" xfId="0" applyNumberFormat="1" applyFont="1" applyFill="1" applyBorder="1" applyAlignment="1">
      <alignment horizontal="center" vertical="center"/>
    </xf>
    <xf numFmtId="180" fontId="5" fillId="11" borderId="2" xfId="0" applyNumberFormat="1" applyFont="1" applyFill="1" applyBorder="1" applyAlignment="1">
      <alignment horizontal="center" vertical="center"/>
    </xf>
    <xf numFmtId="180" fontId="5" fillId="11" borderId="14" xfId="0" applyNumberFormat="1" applyFont="1" applyFill="1" applyBorder="1" applyAlignment="1">
      <alignment horizontal="center" vertical="center"/>
    </xf>
    <xf numFmtId="0" fontId="5" fillId="0" borderId="19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5" fillId="0" borderId="31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32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0" fontId="5" fillId="7" borderId="19" xfId="0" applyFont="1" applyFill="1" applyBorder="1" applyAlignment="1">
      <alignment horizontal="center" vertical="center" wrapText="1"/>
    </xf>
    <xf numFmtId="0" fontId="5" fillId="7" borderId="20" xfId="0" applyFont="1" applyFill="1" applyBorder="1" applyAlignment="1">
      <alignment horizontal="center" vertical="center" wrapText="1"/>
    </xf>
    <xf numFmtId="0" fontId="5" fillId="7" borderId="21" xfId="0" applyFont="1" applyFill="1" applyBorder="1" applyAlignment="1">
      <alignment horizontal="center" vertical="center" wrapText="1"/>
    </xf>
    <xf numFmtId="0" fontId="5" fillId="7" borderId="16" xfId="0" applyFont="1" applyFill="1" applyBorder="1" applyAlignment="1">
      <alignment horizontal="center" vertical="center" wrapText="1"/>
    </xf>
    <xf numFmtId="0" fontId="5" fillId="7" borderId="17" xfId="0" applyFont="1" applyFill="1" applyBorder="1" applyAlignment="1">
      <alignment horizontal="center" vertical="center" wrapText="1"/>
    </xf>
    <xf numFmtId="0" fontId="5" fillId="7" borderId="18" xfId="0" applyFont="1" applyFill="1" applyBorder="1" applyAlignment="1">
      <alignment horizontal="center" vertical="center" wrapText="1"/>
    </xf>
    <xf numFmtId="0" fontId="5" fillId="7" borderId="19" xfId="0" applyFont="1" applyFill="1" applyBorder="1" applyAlignment="1">
      <alignment horizontal="center" vertical="center"/>
    </xf>
    <xf numFmtId="0" fontId="5" fillId="7" borderId="20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0" fontId="5" fillId="7" borderId="16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top"/>
    </xf>
    <xf numFmtId="0" fontId="5" fillId="0" borderId="16" xfId="0" applyFont="1" applyBorder="1" applyAlignment="1">
      <alignment horizontal="left" vertical="top"/>
    </xf>
    <xf numFmtId="0" fontId="5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/>
    </xf>
  </cellXfs>
  <cellStyles count="37">
    <cellStyle name="0,0_x000d__x000a_NA_x000d__x000a_" xfId="1" xr:uid="{00000000-0005-0000-0000-000000000000}"/>
    <cellStyle name="BD標準" xfId="2" xr:uid="{00000000-0005-0000-0000-000001000000}"/>
    <cellStyle name="Calc Currency (0)" xfId="3" xr:uid="{00000000-0005-0000-0000-000002000000}"/>
    <cellStyle name="entry" xfId="4" xr:uid="{00000000-0005-0000-0000-000003000000}"/>
    <cellStyle name="Grey" xfId="5" xr:uid="{00000000-0005-0000-0000-000004000000}"/>
    <cellStyle name="Header1" xfId="6" xr:uid="{00000000-0005-0000-0000-000005000000}"/>
    <cellStyle name="Header2" xfId="7" xr:uid="{00000000-0005-0000-0000-000006000000}"/>
    <cellStyle name="Input [yellow]" xfId="8" xr:uid="{00000000-0005-0000-0000-000007000000}"/>
    <cellStyle name="Normal - Style1" xfId="9" xr:uid="{00000000-0005-0000-0000-000008000000}"/>
    <cellStyle name="Normal_#18-Internet" xfId="10" xr:uid="{00000000-0005-0000-0000-000009000000}"/>
    <cellStyle name="Percent [2]" xfId="11" xr:uid="{00000000-0005-0000-0000-00000A000000}"/>
    <cellStyle name="price" xfId="12" xr:uid="{00000000-0005-0000-0000-00000B000000}"/>
    <cellStyle name="revised" xfId="13" xr:uid="{00000000-0005-0000-0000-00000C000000}"/>
    <cellStyle name="section" xfId="14" xr:uid="{00000000-0005-0000-0000-00000D000000}"/>
    <cellStyle name="subhead" xfId="15" xr:uid="{00000000-0005-0000-0000-00000E000000}"/>
    <cellStyle name="TITLE" xfId="16" xr:uid="{00000000-0005-0000-0000-00000F000000}"/>
    <cellStyle name="TITLE-L" xfId="17" xr:uid="{00000000-0005-0000-0000-000010000000}"/>
    <cellStyle name="TITLE-金額" xfId="18" xr:uid="{00000000-0005-0000-0000-000011000000}"/>
    <cellStyle name="TITLE-数値" xfId="19" xr:uid="{00000000-0005-0000-0000-000012000000}"/>
    <cellStyle name="TITLE-中央" xfId="20" xr:uid="{00000000-0005-0000-0000-000013000000}"/>
    <cellStyle name="概要" xfId="21" xr:uid="{00000000-0005-0000-0000-000014000000}"/>
    <cellStyle name="桁区切り 2" xfId="22" xr:uid="{00000000-0005-0000-0000-000015000000}"/>
    <cellStyle name="処理詳細" xfId="23" xr:uid="{00000000-0005-0000-0000-000016000000}"/>
    <cellStyle name="通貨 2" xfId="24" xr:uid="{00000000-0005-0000-0000-000017000000}"/>
    <cellStyle name="標準" xfId="0" builtinId="0"/>
    <cellStyle name="標準 2" xfId="25" xr:uid="{00000000-0005-0000-0000-000019000000}"/>
    <cellStyle name="標準 2 10" xfId="26" xr:uid="{00000000-0005-0000-0000-00001A000000}"/>
    <cellStyle name="標準 2 2" xfId="27" xr:uid="{00000000-0005-0000-0000-00001B000000}"/>
    <cellStyle name="標準 3" xfId="28" xr:uid="{00000000-0005-0000-0000-00001C000000}"/>
    <cellStyle name="標準 3 2" xfId="35" xr:uid="{FFD428F8-7654-48DC-817C-7C00F4D93A4B}"/>
    <cellStyle name="標準 4" xfId="29" xr:uid="{00000000-0005-0000-0000-00001D000000}"/>
    <cellStyle name="標準 5" xfId="30" xr:uid="{00000000-0005-0000-0000-00001E000000}"/>
    <cellStyle name="標準 6" xfId="36" xr:uid="{6EB9FC7E-2CFD-414F-9D1F-997547E24C44}"/>
    <cellStyle name="標準_概念_要件定義書（原紙本文EAI-HUB用）_プライオリティ規約（修正版20020430_MQプライオリティ追加)" xfId="31" xr:uid="{00000000-0005-0000-0000-00001F000000}"/>
    <cellStyle name="標準-金額" xfId="32" xr:uid="{00000000-0005-0000-0000-000020000000}"/>
    <cellStyle name="標準-中央" xfId="33" xr:uid="{00000000-0005-0000-0000-000021000000}"/>
    <cellStyle name="表紙" xfId="34" xr:uid="{00000000-0005-0000-0000-000022000000}"/>
  </cellStyles>
  <dxfs count="0"/>
  <tableStyles count="0" defaultTableStyle="TableStyleMedium2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33</xdr:row>
      <xdr:rowOff>0</xdr:rowOff>
    </xdr:from>
    <xdr:to>
      <xdr:col>18</xdr:col>
      <xdr:colOff>0</xdr:colOff>
      <xdr:row>35</xdr:row>
      <xdr:rowOff>0</xdr:rowOff>
    </xdr:to>
    <xdr:grpSp>
      <xdr:nvGrpSpPr>
        <xdr:cNvPr id="4" name="Group 1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>
          <a:grpSpLocks/>
        </xdr:cNvGrpSpPr>
      </xdr:nvGrpSpPr>
      <xdr:grpSpPr bwMode="auto">
        <a:xfrm>
          <a:off x="3771900" y="5657850"/>
          <a:ext cx="2400300" cy="342900"/>
          <a:chOff x="396" y="576"/>
          <a:chExt cx="252" cy="36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45" name="Object 1" hidden="1">
                <a:extLst>
                  <a:ext uri="{63B3BB69-23CF-44E3-9099-C40C66FF867C}">
                    <a14:compatExt spid="_x0000_s6145"/>
                  </a:ext>
                  <a:ext uri="{FF2B5EF4-FFF2-40B4-BE49-F238E27FC236}">
                    <a16:creationId xmlns:a16="http://schemas.microsoft.com/office/drawing/2014/main" id="{00000000-0008-0000-0000-000001180000}"/>
                  </a:ext>
                </a:extLst>
              </xdr:cNvPr>
              <xdr:cNvSpPr/>
            </xdr:nvSpPr>
            <xdr:spPr bwMode="auto">
              <a:xfrm>
                <a:off x="414" y="579"/>
                <a:ext cx="217" cy="3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6" name="Rectangle 18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396" y="576"/>
            <a:ext cx="252" cy="3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6</xdr:col>
      <xdr:colOff>0</xdr:colOff>
      <xdr:row>9</xdr:row>
      <xdr:rowOff>0</xdr:rowOff>
    </xdr:from>
    <xdr:to>
      <xdr:col>24</xdr:col>
      <xdr:colOff>0</xdr:colOff>
      <xdr:row>22</xdr:row>
      <xdr:rowOff>0</xdr:rowOff>
    </xdr:to>
    <xdr:sp macro="" textlink="">
      <xdr:nvSpPr>
        <xdr:cNvPr id="7" name="Rectangle 1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057400" y="1543050"/>
          <a:ext cx="6172200" cy="22288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11</xdr:col>
      <xdr:colOff>0</xdr:colOff>
      <xdr:row>33</xdr:row>
      <xdr:rowOff>0</xdr:rowOff>
    </xdr:from>
    <xdr:to>
      <xdr:col>18</xdr:col>
      <xdr:colOff>0</xdr:colOff>
      <xdr:row>35</xdr:row>
      <xdr:rowOff>0</xdr:rowOff>
    </xdr:to>
    <xdr:grpSp>
      <xdr:nvGrpSpPr>
        <xdr:cNvPr id="8" name="Group 2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>
          <a:off x="3771900" y="5657850"/>
          <a:ext cx="2400300" cy="342900"/>
          <a:chOff x="396" y="576"/>
          <a:chExt cx="252" cy="36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46" name="Object 2" hidden="1">
                <a:extLst>
                  <a:ext uri="{63B3BB69-23CF-44E3-9099-C40C66FF867C}">
                    <a14:compatExt spid="_x0000_s6146"/>
                  </a:ext>
                  <a:ext uri="{FF2B5EF4-FFF2-40B4-BE49-F238E27FC236}">
                    <a16:creationId xmlns:a16="http://schemas.microsoft.com/office/drawing/2014/main" id="{00000000-0008-0000-0000-000002180000}"/>
                  </a:ext>
                </a:extLst>
              </xdr:cNvPr>
              <xdr:cNvSpPr/>
            </xdr:nvSpPr>
            <xdr:spPr bwMode="auto">
              <a:xfrm>
                <a:off x="414" y="579"/>
                <a:ext cx="217" cy="3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sp macro="" textlink="">
        <xdr:nvSpPr>
          <xdr:cNvPr id="10" name="Rectangle 28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396" y="576"/>
            <a:ext cx="252" cy="3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6</xdr:col>
      <xdr:colOff>0</xdr:colOff>
      <xdr:row>9</xdr:row>
      <xdr:rowOff>0</xdr:rowOff>
    </xdr:from>
    <xdr:to>
      <xdr:col>24</xdr:col>
      <xdr:colOff>0</xdr:colOff>
      <xdr:row>22</xdr:row>
      <xdr:rowOff>0</xdr:rowOff>
    </xdr:to>
    <xdr:sp macro="" textlink="">
      <xdr:nvSpPr>
        <xdr:cNvPr id="11" name="Rectangle 29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2057400" y="1543050"/>
          <a:ext cx="6172200" cy="22288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82826</xdr:colOff>
      <xdr:row>31</xdr:row>
      <xdr:rowOff>149088</xdr:rowOff>
    </xdr:from>
    <xdr:to>
      <xdr:col>88</xdr:col>
      <xdr:colOff>41443</xdr:colOff>
      <xdr:row>45</xdr:row>
      <xdr:rowOff>82776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78217" y="6054588"/>
          <a:ext cx="6154009" cy="2600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AB59"/>
  <sheetViews>
    <sheetView topLeftCell="A22" workbookViewId="0">
      <selection activeCell="E53" sqref="E53"/>
    </sheetView>
  </sheetViews>
  <sheetFormatPr defaultRowHeight="13.5"/>
  <cols>
    <col min="1" max="32" width="4.5" style="1" customWidth="1"/>
    <col min="33" max="16384" width="9" style="1"/>
  </cols>
  <sheetData>
    <row r="10" spans="7:24" s="2" customFormat="1">
      <c r="G10" s="15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7"/>
    </row>
    <row r="11" spans="7:24" s="2" customFormat="1">
      <c r="G11" s="70" t="str">
        <f>I40</f>
        <v>　顧客名：同志社大学　教務システム</v>
      </c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18"/>
    </row>
    <row r="12" spans="7:24" s="2" customFormat="1">
      <c r="G12" s="70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18"/>
    </row>
    <row r="13" spans="7:24" s="2" customFormat="1">
      <c r="G13" s="19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18"/>
    </row>
    <row r="14" spans="7:24" s="2" customFormat="1">
      <c r="G14" s="72" t="str">
        <f>I44</f>
        <v>　プロジェクト計画書</v>
      </c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18"/>
    </row>
    <row r="15" spans="7:24" s="2" customFormat="1">
      <c r="G15" s="72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18"/>
    </row>
    <row r="16" spans="7:24" s="2" customFormat="1">
      <c r="G16" s="1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18"/>
    </row>
    <row r="17" spans="1:24" s="2" customFormat="1">
      <c r="G17" s="70" t="str">
        <f>I42</f>
        <v xml:space="preserve"> </v>
      </c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18"/>
    </row>
    <row r="18" spans="1:24" s="2" customFormat="1">
      <c r="G18" s="70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18"/>
    </row>
    <row r="19" spans="1:24" s="2" customFormat="1">
      <c r="G19" s="19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18"/>
    </row>
    <row r="20" spans="1:24" s="2" customFormat="1">
      <c r="G20" s="70" t="str">
        <f>I51</f>
        <v>【 Ver 1.0  】</v>
      </c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18"/>
    </row>
    <row r="21" spans="1:24" s="2" customFormat="1">
      <c r="G21" s="70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18"/>
    </row>
    <row r="22" spans="1:24" s="2" customFormat="1">
      <c r="G22" s="21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3"/>
    </row>
    <row r="27" spans="1:24">
      <c r="A27" s="1" t="s">
        <v>19</v>
      </c>
      <c r="J27" s="74" t="str">
        <f>TEXT(I47,"yyyy年")&amp;IF(LEFT(TEXT(I47,"mm"),1)="0"," ","")&amp;TEXT(I47,"m月")&amp;IF(LEFT(TEXT(I47,"dd"),1)="0"," ","")&amp;TEXT(I47,"d日")&amp;"作成"</f>
        <v>2023年 9月 1日作成</v>
      </c>
      <c r="K27" s="75"/>
      <c r="L27" s="75"/>
      <c r="M27" s="75"/>
      <c r="N27" s="75"/>
      <c r="O27" s="75"/>
      <c r="P27" s="75"/>
      <c r="Q27" s="75"/>
      <c r="R27" s="75"/>
      <c r="S27" s="75"/>
      <c r="T27" s="75"/>
    </row>
    <row r="28" spans="1:24"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</row>
    <row r="29" spans="1:24">
      <c r="J29" s="74" t="str">
        <f>IF(I49="　※ページ毎に個別入力","    年  月  日改訂",TEXT(I49,"yyyy年")&amp;IF(LEFT(TEXT(I49,"mm"),1)="0"," ","")&amp;TEXT(I49,"m月")&amp;IF(LEFT(TEXT(I49,"dd"),1)="0"," ","")&amp;TEXT(I49,"d日")&amp;"改訂")</f>
        <v xml:space="preserve">    年  月  日改訂</v>
      </c>
      <c r="K29" s="75"/>
      <c r="L29" s="75"/>
      <c r="M29" s="75"/>
      <c r="N29" s="75"/>
      <c r="O29" s="75"/>
      <c r="P29" s="75"/>
      <c r="Q29" s="75"/>
      <c r="R29" s="75"/>
      <c r="S29" s="75"/>
      <c r="T29" s="75"/>
    </row>
    <row r="30" spans="1:24"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</row>
    <row r="38" spans="2:28" ht="36" customHeight="1">
      <c r="B38" s="76" t="s">
        <v>20</v>
      </c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</row>
    <row r="39" spans="2:28" s="24" customFormat="1" ht="23.25" customHeight="1">
      <c r="B39" s="77" t="s">
        <v>21</v>
      </c>
      <c r="C39" s="77"/>
      <c r="D39" s="77"/>
      <c r="E39" s="77"/>
      <c r="F39" s="77"/>
      <c r="G39" s="77"/>
      <c r="H39" s="77"/>
      <c r="I39" s="77" t="s">
        <v>22</v>
      </c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</row>
    <row r="40" spans="2:28" s="24" customFormat="1" ht="23.25" customHeight="1">
      <c r="B40" s="64" t="s">
        <v>23</v>
      </c>
      <c r="C40" s="64"/>
      <c r="D40" s="64"/>
      <c r="E40" s="64"/>
      <c r="F40" s="64"/>
      <c r="G40" s="64"/>
      <c r="H40" s="64"/>
      <c r="I40" s="66" t="s">
        <v>227</v>
      </c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</row>
    <row r="41" spans="2:28" s="24" customFormat="1" ht="23.25" customHeight="1">
      <c r="B41" s="64" t="s">
        <v>24</v>
      </c>
      <c r="C41" s="64"/>
      <c r="D41" s="64"/>
      <c r="E41" s="64"/>
      <c r="F41" s="64"/>
      <c r="G41" s="64"/>
      <c r="H41" s="64"/>
      <c r="I41" s="69" t="s">
        <v>19</v>
      </c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</row>
    <row r="42" spans="2:28" s="24" customFormat="1" ht="23.25" customHeight="1">
      <c r="B42" s="64" t="s">
        <v>25</v>
      </c>
      <c r="C42" s="64"/>
      <c r="D42" s="64"/>
      <c r="E42" s="64"/>
      <c r="F42" s="64"/>
      <c r="G42" s="64"/>
      <c r="H42" s="64"/>
      <c r="I42" s="69" t="s">
        <v>19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</row>
    <row r="43" spans="2:28" s="24" customFormat="1" ht="23.25" customHeight="1">
      <c r="B43" s="64" t="s">
        <v>26</v>
      </c>
      <c r="C43" s="64"/>
      <c r="D43" s="64"/>
      <c r="E43" s="64"/>
      <c r="F43" s="64"/>
      <c r="G43" s="64"/>
      <c r="H43" s="64"/>
      <c r="I43" s="66" t="s">
        <v>178</v>
      </c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</row>
    <row r="44" spans="2:28" s="24" customFormat="1" ht="23.25" customHeight="1">
      <c r="B44" s="64" t="s">
        <v>27</v>
      </c>
      <c r="C44" s="64"/>
      <c r="D44" s="64"/>
      <c r="E44" s="64"/>
      <c r="F44" s="64"/>
      <c r="G44" s="64"/>
      <c r="H44" s="64"/>
      <c r="I44" s="66" t="s">
        <v>18</v>
      </c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</row>
    <row r="45" spans="2:28" s="24" customFormat="1" ht="23.25" customHeight="1">
      <c r="B45" s="64" t="s">
        <v>28</v>
      </c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</row>
    <row r="46" spans="2:28" s="24" customFormat="1" ht="23.25" customHeight="1">
      <c r="B46" s="64" t="s">
        <v>29</v>
      </c>
      <c r="C46" s="64"/>
      <c r="D46" s="64"/>
      <c r="E46" s="64"/>
      <c r="F46" s="64"/>
      <c r="G46" s="64"/>
      <c r="H46" s="64"/>
      <c r="I46" s="66" t="s">
        <v>267</v>
      </c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</row>
    <row r="47" spans="2:28" s="24" customFormat="1" ht="23.25" customHeight="1">
      <c r="B47" s="64" t="s">
        <v>30</v>
      </c>
      <c r="C47" s="64"/>
      <c r="D47" s="64"/>
      <c r="E47" s="64"/>
      <c r="F47" s="64"/>
      <c r="G47" s="64"/>
      <c r="H47" s="64"/>
      <c r="I47" s="67">
        <v>45170</v>
      </c>
      <c r="J47" s="68"/>
      <c r="K47" s="68"/>
      <c r="L47" s="68"/>
      <c r="M47" s="68"/>
      <c r="N47" s="68"/>
      <c r="O47" s="68"/>
      <c r="P47" s="68"/>
      <c r="Q47" s="68"/>
      <c r="R47" s="68"/>
      <c r="S47" s="65"/>
      <c r="T47" s="65"/>
      <c r="U47" s="65"/>
      <c r="V47" s="65"/>
      <c r="W47" s="65"/>
      <c r="X47" s="65"/>
      <c r="Y47" s="65"/>
      <c r="Z47" s="65"/>
      <c r="AA47" s="65"/>
      <c r="AB47" s="65"/>
    </row>
    <row r="48" spans="2:28" s="24" customFormat="1" ht="24" customHeight="1">
      <c r="B48" s="64" t="s">
        <v>31</v>
      </c>
      <c r="C48" s="64"/>
      <c r="D48" s="64"/>
      <c r="E48" s="64"/>
      <c r="F48" s="64"/>
      <c r="G48" s="64"/>
      <c r="H48" s="64"/>
      <c r="I48" s="65" t="s">
        <v>32</v>
      </c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</row>
    <row r="49" spans="2:28" s="24" customFormat="1" ht="24" customHeight="1">
      <c r="B49" s="64" t="s">
        <v>33</v>
      </c>
      <c r="C49" s="64"/>
      <c r="D49" s="64"/>
      <c r="E49" s="64"/>
      <c r="F49" s="64"/>
      <c r="G49" s="64"/>
      <c r="H49" s="64"/>
      <c r="I49" s="65" t="s">
        <v>32</v>
      </c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</row>
    <row r="50" spans="2:28" s="24" customFormat="1" ht="24" customHeight="1">
      <c r="B50" s="64" t="s">
        <v>34</v>
      </c>
      <c r="C50" s="64"/>
      <c r="D50" s="64"/>
      <c r="E50" s="64"/>
      <c r="F50" s="64"/>
      <c r="G50" s="64"/>
      <c r="H50" s="64"/>
      <c r="I50" s="66" t="s">
        <v>19</v>
      </c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</row>
    <row r="51" spans="2:28" s="24" customFormat="1" ht="24" customHeight="1">
      <c r="B51" s="64" t="s">
        <v>35</v>
      </c>
      <c r="C51" s="64"/>
      <c r="D51" s="64"/>
      <c r="E51" s="64"/>
      <c r="F51" s="64"/>
      <c r="G51" s="64"/>
      <c r="H51" s="64"/>
      <c r="I51" s="65" t="s">
        <v>36</v>
      </c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</row>
    <row r="53" spans="2:28">
      <c r="B53" s="1" t="s">
        <v>37</v>
      </c>
    </row>
    <row r="55" spans="2:28">
      <c r="B55" s="1" t="s">
        <v>38</v>
      </c>
    </row>
    <row r="57" spans="2:28">
      <c r="B57" s="1" t="s">
        <v>39</v>
      </c>
    </row>
    <row r="59" spans="2:28">
      <c r="B59" s="1" t="s">
        <v>40</v>
      </c>
    </row>
  </sheetData>
  <mergeCells count="33">
    <mergeCell ref="B41:H41"/>
    <mergeCell ref="I41:AB41"/>
    <mergeCell ref="G11:W12"/>
    <mergeCell ref="G14:W15"/>
    <mergeCell ref="G17:W18"/>
    <mergeCell ref="G20:W21"/>
    <mergeCell ref="J27:T28"/>
    <mergeCell ref="J29:T30"/>
    <mergeCell ref="B38:AB38"/>
    <mergeCell ref="B39:H39"/>
    <mergeCell ref="I39:AB39"/>
    <mergeCell ref="B40:H40"/>
    <mergeCell ref="I40:AB40"/>
    <mergeCell ref="B42:H42"/>
    <mergeCell ref="I42:AB42"/>
    <mergeCell ref="B43:H43"/>
    <mergeCell ref="I43:AB43"/>
    <mergeCell ref="B44:H44"/>
    <mergeCell ref="I44:AB44"/>
    <mergeCell ref="B45:H45"/>
    <mergeCell ref="I45:AB45"/>
    <mergeCell ref="B46:H46"/>
    <mergeCell ref="I46:AB46"/>
    <mergeCell ref="B47:H47"/>
    <mergeCell ref="I47:AB47"/>
    <mergeCell ref="B51:H51"/>
    <mergeCell ref="I51:AB51"/>
    <mergeCell ref="B48:H48"/>
    <mergeCell ref="I48:AB48"/>
    <mergeCell ref="B49:H49"/>
    <mergeCell ref="I49:AB49"/>
    <mergeCell ref="B50:H50"/>
    <mergeCell ref="I50:AB50"/>
  </mergeCells>
  <phoneticPr fontId="3"/>
  <pageMargins left="0.39370078740157483" right="0.15748031496062992" top="0.78740157480314965" bottom="0.39370078740157483" header="0.59055118110236227" footer="0.19685039370078741"/>
  <pageSetup paperSize="9" orientation="landscape" r:id="rId1"/>
  <headerFooter alignWithMargins="0">
    <oddFooter>&amp;R&amp;9株式会社　京信システムサービス</oddFooter>
  </headerFooter>
  <drawing r:id="rId2"/>
  <legacyDrawing r:id="rId3"/>
  <oleObjects>
    <mc:AlternateContent xmlns:mc="http://schemas.openxmlformats.org/markup-compatibility/2006">
      <mc:Choice Requires="x14">
        <oleObject progId="MSPhotoEd.3" shapeId="6145" r:id="rId4">
          <objectPr defaultSize="0" autoPict="0" r:id="rId5">
            <anchor moveWithCells="1" sizeWithCells="1">
              <from>
                <xdr:col>11</xdr:col>
                <xdr:colOff>171450</xdr:colOff>
                <xdr:row>33</xdr:row>
                <xdr:rowOff>28575</xdr:rowOff>
              </from>
              <to>
                <xdr:col>17</xdr:col>
                <xdr:colOff>180975</xdr:colOff>
                <xdr:row>34</xdr:row>
                <xdr:rowOff>142875</xdr:rowOff>
              </to>
            </anchor>
          </objectPr>
        </oleObject>
      </mc:Choice>
      <mc:Fallback>
        <oleObject progId="MSPhotoEd.3" shapeId="6145" r:id="rId4"/>
      </mc:Fallback>
    </mc:AlternateContent>
    <mc:AlternateContent xmlns:mc="http://schemas.openxmlformats.org/markup-compatibility/2006">
      <mc:Choice Requires="x14">
        <oleObject progId="MSPhotoEd.3" shapeId="6146" r:id="rId6">
          <objectPr defaultSize="0" autoPict="0" r:id="rId5">
            <anchor moveWithCells="1" sizeWithCells="1">
              <from>
                <xdr:col>11</xdr:col>
                <xdr:colOff>171450</xdr:colOff>
                <xdr:row>33</xdr:row>
                <xdr:rowOff>28575</xdr:rowOff>
              </from>
              <to>
                <xdr:col>17</xdr:col>
                <xdr:colOff>180975</xdr:colOff>
                <xdr:row>34</xdr:row>
                <xdr:rowOff>142875</xdr:rowOff>
              </to>
            </anchor>
          </objectPr>
        </oleObject>
      </mc:Choice>
      <mc:Fallback>
        <oleObject progId="MSPhotoEd.3" shapeId="6146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37"/>
  <sheetViews>
    <sheetView topLeftCell="A2" workbookViewId="0">
      <selection activeCell="AC26" sqref="AC26:BK26"/>
    </sheetView>
  </sheetViews>
  <sheetFormatPr defaultColWidth="1.875" defaultRowHeight="15" customHeight="1"/>
  <cols>
    <col min="1" max="16384" width="1.875" style="1"/>
  </cols>
  <sheetData>
    <row r="1" spans="1:77" s="2" customFormat="1" ht="15" customHeight="1">
      <c r="A1" s="2" t="s">
        <v>0</v>
      </c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</row>
    <row r="2" spans="1:77" s="2" customFormat="1" ht="15" customHeight="1"/>
    <row r="3" spans="1:77" s="13" customFormat="1" ht="15" customHeight="1">
      <c r="A3" s="81" t="s">
        <v>9</v>
      </c>
      <c r="B3" s="81"/>
      <c r="C3" s="81"/>
      <c r="D3" s="82" t="s">
        <v>10</v>
      </c>
      <c r="E3" s="83"/>
      <c r="F3" s="83"/>
      <c r="G3" s="84"/>
      <c r="H3" s="82" t="s">
        <v>11</v>
      </c>
      <c r="I3" s="83"/>
      <c r="J3" s="83"/>
      <c r="K3" s="83"/>
      <c r="L3" s="83"/>
      <c r="M3" s="83"/>
      <c r="N3" s="83"/>
      <c r="O3" s="84"/>
      <c r="P3" s="81" t="s">
        <v>12</v>
      </c>
      <c r="Q3" s="81"/>
      <c r="R3" s="81"/>
      <c r="S3" s="81"/>
      <c r="T3" s="81"/>
      <c r="U3" s="81" t="s">
        <v>13</v>
      </c>
      <c r="V3" s="81"/>
      <c r="W3" s="81"/>
      <c r="X3" s="81"/>
      <c r="Y3" s="81"/>
      <c r="Z3" s="81"/>
      <c r="AA3" s="81"/>
      <c r="AB3" s="81"/>
      <c r="AC3" s="81" t="s">
        <v>14</v>
      </c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 t="s">
        <v>15</v>
      </c>
      <c r="BM3" s="81"/>
      <c r="BN3" s="81"/>
      <c r="BO3" s="81"/>
      <c r="BP3" s="81"/>
      <c r="BQ3" s="81"/>
      <c r="BR3" s="81"/>
      <c r="BS3" s="81" t="s">
        <v>260</v>
      </c>
      <c r="BT3" s="81"/>
      <c r="BU3" s="81"/>
      <c r="BV3" s="81"/>
      <c r="BW3" s="81"/>
      <c r="BX3" s="81"/>
      <c r="BY3" s="81"/>
    </row>
    <row r="4" spans="1:77" s="13" customFormat="1" ht="15" customHeight="1">
      <c r="A4" s="81"/>
      <c r="B4" s="81"/>
      <c r="C4" s="81"/>
      <c r="D4" s="85"/>
      <c r="E4" s="86"/>
      <c r="F4" s="86"/>
      <c r="G4" s="87"/>
      <c r="H4" s="85"/>
      <c r="I4" s="86"/>
      <c r="J4" s="86"/>
      <c r="K4" s="86"/>
      <c r="L4" s="86"/>
      <c r="M4" s="86"/>
      <c r="N4" s="86"/>
      <c r="O4" s="87"/>
      <c r="P4" s="81"/>
      <c r="Q4" s="81"/>
      <c r="R4" s="81"/>
      <c r="S4" s="81"/>
      <c r="T4" s="81"/>
      <c r="U4" s="81" t="s">
        <v>16</v>
      </c>
      <c r="V4" s="81"/>
      <c r="W4" s="81"/>
      <c r="X4" s="81" t="s">
        <v>17</v>
      </c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  <c r="BY4" s="81"/>
    </row>
    <row r="5" spans="1:77" s="14" customFormat="1" ht="15" customHeight="1">
      <c r="A5" s="100">
        <v>1</v>
      </c>
      <c r="B5" s="100"/>
      <c r="C5" s="100"/>
      <c r="D5" s="88">
        <v>1</v>
      </c>
      <c r="E5" s="89"/>
      <c r="F5" s="89"/>
      <c r="G5" s="90"/>
      <c r="H5" s="101">
        <f>タイトル!I47</f>
        <v>45170</v>
      </c>
      <c r="I5" s="102"/>
      <c r="J5" s="102"/>
      <c r="K5" s="102"/>
      <c r="L5" s="102"/>
      <c r="M5" s="102"/>
      <c r="N5" s="102"/>
      <c r="O5" s="103"/>
      <c r="P5" s="104" t="s">
        <v>41</v>
      </c>
      <c r="Q5" s="105"/>
      <c r="R5" s="105"/>
      <c r="S5" s="105"/>
      <c r="T5" s="106"/>
      <c r="U5" s="97"/>
      <c r="V5" s="98"/>
      <c r="W5" s="99"/>
      <c r="X5" s="97"/>
      <c r="Y5" s="98"/>
      <c r="Z5" s="98"/>
      <c r="AA5" s="98"/>
      <c r="AB5" s="99"/>
      <c r="AC5" s="79" t="s">
        <v>1</v>
      </c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79"/>
      <c r="BF5" s="79"/>
      <c r="BG5" s="79"/>
      <c r="BH5" s="79"/>
      <c r="BI5" s="79"/>
      <c r="BJ5" s="79"/>
      <c r="BK5" s="79"/>
      <c r="BL5" s="78" t="str">
        <f>タイトル!I46</f>
        <v>中村　恒太郎</v>
      </c>
      <c r="BM5" s="78"/>
      <c r="BN5" s="78"/>
      <c r="BO5" s="78"/>
      <c r="BP5" s="78"/>
      <c r="BQ5" s="78"/>
      <c r="BR5" s="78"/>
      <c r="BS5" s="78" t="s">
        <v>265</v>
      </c>
      <c r="BT5" s="78"/>
      <c r="BU5" s="78"/>
      <c r="BV5" s="78"/>
      <c r="BW5" s="78"/>
      <c r="BX5" s="78"/>
      <c r="BY5" s="78"/>
    </row>
    <row r="6" spans="1:77" s="14" customFormat="1" ht="15" customHeight="1">
      <c r="A6" s="78"/>
      <c r="B6" s="78"/>
      <c r="C6" s="78"/>
      <c r="D6" s="88"/>
      <c r="E6" s="89"/>
      <c r="F6" s="89"/>
      <c r="G6" s="90"/>
      <c r="H6" s="91"/>
      <c r="I6" s="92"/>
      <c r="J6" s="92"/>
      <c r="K6" s="92"/>
      <c r="L6" s="92"/>
      <c r="M6" s="92"/>
      <c r="N6" s="92"/>
      <c r="O6" s="93"/>
      <c r="P6" s="94"/>
      <c r="Q6" s="95"/>
      <c r="R6" s="95"/>
      <c r="S6" s="95"/>
      <c r="T6" s="96"/>
      <c r="U6" s="97"/>
      <c r="V6" s="98"/>
      <c r="W6" s="99"/>
      <c r="X6" s="97"/>
      <c r="Y6" s="98"/>
      <c r="Z6" s="98"/>
      <c r="AA6" s="98"/>
      <c r="AB6" s="9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79"/>
      <c r="BK6" s="79"/>
      <c r="BL6" s="79"/>
      <c r="BM6" s="79"/>
      <c r="BN6" s="79"/>
      <c r="BO6" s="79"/>
      <c r="BP6" s="79"/>
      <c r="BQ6" s="79"/>
      <c r="BR6" s="79"/>
      <c r="BS6" s="79"/>
      <c r="BT6" s="79"/>
      <c r="BU6" s="79"/>
      <c r="BV6" s="79"/>
      <c r="BW6" s="79"/>
      <c r="BX6" s="79"/>
      <c r="BY6" s="79"/>
    </row>
    <row r="7" spans="1:77" s="14" customFormat="1" ht="15" customHeight="1">
      <c r="A7" s="78"/>
      <c r="B7" s="78"/>
      <c r="C7" s="78"/>
      <c r="D7" s="88"/>
      <c r="E7" s="89"/>
      <c r="F7" s="89"/>
      <c r="G7" s="90"/>
      <c r="H7" s="91"/>
      <c r="I7" s="92"/>
      <c r="J7" s="92"/>
      <c r="K7" s="92"/>
      <c r="L7" s="92"/>
      <c r="M7" s="92"/>
      <c r="N7" s="92"/>
      <c r="O7" s="93"/>
      <c r="P7" s="94"/>
      <c r="Q7" s="95"/>
      <c r="R7" s="95"/>
      <c r="S7" s="95"/>
      <c r="T7" s="96"/>
      <c r="U7" s="97"/>
      <c r="V7" s="98"/>
      <c r="W7" s="99"/>
      <c r="X7" s="97"/>
      <c r="Y7" s="98"/>
      <c r="Z7" s="98"/>
      <c r="AA7" s="98"/>
      <c r="AB7" s="9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79"/>
      <c r="BH7" s="79"/>
      <c r="BI7" s="79"/>
      <c r="BJ7" s="79"/>
      <c r="BK7" s="79"/>
      <c r="BL7" s="79"/>
      <c r="BM7" s="79"/>
      <c r="BN7" s="79"/>
      <c r="BO7" s="79"/>
      <c r="BP7" s="79"/>
      <c r="BQ7" s="79"/>
      <c r="BR7" s="79"/>
      <c r="BS7" s="79"/>
      <c r="BT7" s="79"/>
      <c r="BU7" s="79"/>
      <c r="BV7" s="79"/>
      <c r="BW7" s="79"/>
      <c r="BX7" s="79"/>
      <c r="BY7" s="79"/>
    </row>
    <row r="8" spans="1:77" s="14" customFormat="1" ht="15" customHeight="1">
      <c r="A8" s="78"/>
      <c r="B8" s="78"/>
      <c r="C8" s="78"/>
      <c r="D8" s="88"/>
      <c r="E8" s="89"/>
      <c r="F8" s="89"/>
      <c r="G8" s="90"/>
      <c r="H8" s="91"/>
      <c r="I8" s="92"/>
      <c r="J8" s="92"/>
      <c r="K8" s="92"/>
      <c r="L8" s="92"/>
      <c r="M8" s="92"/>
      <c r="N8" s="92"/>
      <c r="O8" s="93"/>
      <c r="P8" s="94"/>
      <c r="Q8" s="95"/>
      <c r="R8" s="95"/>
      <c r="S8" s="95"/>
      <c r="T8" s="96"/>
      <c r="U8" s="97"/>
      <c r="V8" s="98"/>
      <c r="W8" s="99"/>
      <c r="X8" s="97"/>
      <c r="Y8" s="98"/>
      <c r="Z8" s="98"/>
      <c r="AA8" s="98"/>
      <c r="AB8" s="9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79"/>
      <c r="BK8" s="79"/>
      <c r="BL8" s="79"/>
      <c r="BM8" s="79"/>
      <c r="BN8" s="79"/>
      <c r="BO8" s="79"/>
      <c r="BP8" s="79"/>
      <c r="BQ8" s="79"/>
      <c r="BR8" s="79"/>
      <c r="BS8" s="79"/>
      <c r="BT8" s="79"/>
      <c r="BU8" s="79"/>
      <c r="BV8" s="79"/>
      <c r="BW8" s="79"/>
      <c r="BX8" s="79"/>
      <c r="BY8" s="79"/>
    </row>
    <row r="9" spans="1:77" s="14" customFormat="1" ht="15" customHeight="1">
      <c r="A9" s="78"/>
      <c r="B9" s="78"/>
      <c r="C9" s="78"/>
      <c r="D9" s="88"/>
      <c r="E9" s="89"/>
      <c r="F9" s="89"/>
      <c r="G9" s="90"/>
      <c r="H9" s="91"/>
      <c r="I9" s="92"/>
      <c r="J9" s="92"/>
      <c r="K9" s="92"/>
      <c r="L9" s="92"/>
      <c r="M9" s="92"/>
      <c r="N9" s="92"/>
      <c r="O9" s="93"/>
      <c r="P9" s="94"/>
      <c r="Q9" s="95"/>
      <c r="R9" s="95"/>
      <c r="S9" s="95"/>
      <c r="T9" s="96"/>
      <c r="U9" s="97"/>
      <c r="V9" s="98"/>
      <c r="W9" s="99"/>
      <c r="X9" s="97"/>
      <c r="Y9" s="98"/>
      <c r="Z9" s="98"/>
      <c r="AA9" s="98"/>
      <c r="AB9" s="9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79"/>
      <c r="BF9" s="79"/>
      <c r="BG9" s="79"/>
      <c r="BH9" s="79"/>
      <c r="BI9" s="79"/>
      <c r="BJ9" s="79"/>
      <c r="BK9" s="79"/>
      <c r="BL9" s="79"/>
      <c r="BM9" s="79"/>
      <c r="BN9" s="79"/>
      <c r="BO9" s="79"/>
      <c r="BP9" s="79"/>
      <c r="BQ9" s="79"/>
      <c r="BR9" s="79"/>
      <c r="BS9" s="79"/>
      <c r="BT9" s="79"/>
      <c r="BU9" s="79"/>
      <c r="BV9" s="79"/>
      <c r="BW9" s="79"/>
      <c r="BX9" s="79"/>
      <c r="BY9" s="79"/>
    </row>
    <row r="10" spans="1:77" s="14" customFormat="1" ht="15" customHeight="1">
      <c r="A10" s="78"/>
      <c r="B10" s="78"/>
      <c r="C10" s="78"/>
      <c r="D10" s="88"/>
      <c r="E10" s="89"/>
      <c r="F10" s="89"/>
      <c r="G10" s="90"/>
      <c r="H10" s="91"/>
      <c r="I10" s="92"/>
      <c r="J10" s="92"/>
      <c r="K10" s="92"/>
      <c r="L10" s="92"/>
      <c r="M10" s="92"/>
      <c r="N10" s="92"/>
      <c r="O10" s="93"/>
      <c r="P10" s="94"/>
      <c r="Q10" s="95"/>
      <c r="R10" s="95"/>
      <c r="S10" s="95"/>
      <c r="T10" s="96"/>
      <c r="U10" s="97"/>
      <c r="V10" s="98"/>
      <c r="W10" s="99"/>
      <c r="X10" s="97"/>
      <c r="Y10" s="98"/>
      <c r="Z10" s="98"/>
      <c r="AA10" s="98"/>
      <c r="AB10" s="9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79"/>
      <c r="BR10" s="79"/>
      <c r="BS10" s="79"/>
      <c r="BT10" s="79"/>
      <c r="BU10" s="79"/>
      <c r="BV10" s="79"/>
      <c r="BW10" s="79"/>
      <c r="BX10" s="79"/>
      <c r="BY10" s="79"/>
    </row>
    <row r="11" spans="1:77" s="14" customFormat="1" ht="15" customHeight="1">
      <c r="A11" s="78"/>
      <c r="B11" s="78"/>
      <c r="C11" s="78"/>
      <c r="D11" s="88"/>
      <c r="E11" s="89"/>
      <c r="F11" s="89"/>
      <c r="G11" s="90"/>
      <c r="H11" s="91"/>
      <c r="I11" s="92"/>
      <c r="J11" s="92"/>
      <c r="K11" s="92"/>
      <c r="L11" s="92"/>
      <c r="M11" s="92"/>
      <c r="N11" s="92"/>
      <c r="O11" s="93"/>
      <c r="P11" s="94"/>
      <c r="Q11" s="95"/>
      <c r="R11" s="95"/>
      <c r="S11" s="95"/>
      <c r="T11" s="96"/>
      <c r="U11" s="97"/>
      <c r="V11" s="98"/>
      <c r="W11" s="99"/>
      <c r="X11" s="97"/>
      <c r="Y11" s="98"/>
      <c r="Z11" s="98"/>
      <c r="AA11" s="98"/>
      <c r="AB11" s="9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79"/>
      <c r="BM11" s="79"/>
      <c r="BN11" s="79"/>
      <c r="BO11" s="79"/>
      <c r="BP11" s="79"/>
      <c r="BQ11" s="79"/>
      <c r="BR11" s="79"/>
      <c r="BS11" s="79"/>
      <c r="BT11" s="79"/>
      <c r="BU11" s="79"/>
      <c r="BV11" s="79"/>
      <c r="BW11" s="79"/>
      <c r="BX11" s="79"/>
      <c r="BY11" s="79"/>
    </row>
    <row r="12" spans="1:77" s="14" customFormat="1" ht="15" customHeight="1">
      <c r="A12" s="78"/>
      <c r="B12" s="78"/>
      <c r="C12" s="78"/>
      <c r="D12" s="88"/>
      <c r="E12" s="89"/>
      <c r="F12" s="89"/>
      <c r="G12" s="90"/>
      <c r="H12" s="91"/>
      <c r="I12" s="92"/>
      <c r="J12" s="92"/>
      <c r="K12" s="92"/>
      <c r="L12" s="92"/>
      <c r="M12" s="92"/>
      <c r="N12" s="92"/>
      <c r="O12" s="93"/>
      <c r="P12" s="94"/>
      <c r="Q12" s="95"/>
      <c r="R12" s="95"/>
      <c r="S12" s="95"/>
      <c r="T12" s="96"/>
      <c r="U12" s="97"/>
      <c r="V12" s="98"/>
      <c r="W12" s="99"/>
      <c r="X12" s="97"/>
      <c r="Y12" s="98"/>
      <c r="Z12" s="98"/>
      <c r="AA12" s="98"/>
      <c r="AB12" s="9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79"/>
      <c r="BF12" s="79"/>
      <c r="BG12" s="79"/>
      <c r="BH12" s="79"/>
      <c r="BI12" s="79"/>
      <c r="BJ12" s="79"/>
      <c r="BK12" s="79"/>
      <c r="BL12" s="79"/>
      <c r="BM12" s="79"/>
      <c r="BN12" s="79"/>
      <c r="BO12" s="79"/>
      <c r="BP12" s="79"/>
      <c r="BQ12" s="79"/>
      <c r="BR12" s="79"/>
      <c r="BS12" s="79"/>
      <c r="BT12" s="79"/>
      <c r="BU12" s="79"/>
      <c r="BV12" s="79"/>
      <c r="BW12" s="79"/>
      <c r="BX12" s="79"/>
      <c r="BY12" s="79"/>
    </row>
    <row r="13" spans="1:77" s="14" customFormat="1" ht="15" customHeight="1">
      <c r="A13" s="78"/>
      <c r="B13" s="78"/>
      <c r="C13" s="78"/>
      <c r="D13" s="88"/>
      <c r="E13" s="89"/>
      <c r="F13" s="89"/>
      <c r="G13" s="90"/>
      <c r="H13" s="91"/>
      <c r="I13" s="92"/>
      <c r="J13" s="92"/>
      <c r="K13" s="92"/>
      <c r="L13" s="92"/>
      <c r="M13" s="92"/>
      <c r="N13" s="92"/>
      <c r="O13" s="93"/>
      <c r="P13" s="94"/>
      <c r="Q13" s="95"/>
      <c r="R13" s="95"/>
      <c r="S13" s="95"/>
      <c r="T13" s="96"/>
      <c r="U13" s="97"/>
      <c r="V13" s="98"/>
      <c r="W13" s="99"/>
      <c r="X13" s="97"/>
      <c r="Y13" s="98"/>
      <c r="Z13" s="98"/>
      <c r="AA13" s="98"/>
      <c r="AB13" s="9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79"/>
      <c r="BM13" s="79"/>
      <c r="BN13" s="79"/>
      <c r="BO13" s="79"/>
      <c r="BP13" s="79"/>
      <c r="BQ13" s="79"/>
      <c r="BR13" s="79"/>
      <c r="BS13" s="79"/>
      <c r="BT13" s="79"/>
      <c r="BU13" s="79"/>
      <c r="BV13" s="79"/>
      <c r="BW13" s="79"/>
      <c r="BX13" s="79"/>
      <c r="BY13" s="79"/>
    </row>
    <row r="14" spans="1:77" s="14" customFormat="1" ht="15" customHeight="1">
      <c r="A14" s="78"/>
      <c r="B14" s="78"/>
      <c r="C14" s="78"/>
      <c r="D14" s="88"/>
      <c r="E14" s="89"/>
      <c r="F14" s="89"/>
      <c r="G14" s="90"/>
      <c r="H14" s="91"/>
      <c r="I14" s="92"/>
      <c r="J14" s="92"/>
      <c r="K14" s="92"/>
      <c r="L14" s="92"/>
      <c r="M14" s="92"/>
      <c r="N14" s="92"/>
      <c r="O14" s="93"/>
      <c r="P14" s="94"/>
      <c r="Q14" s="95"/>
      <c r="R14" s="95"/>
      <c r="S14" s="95"/>
      <c r="T14" s="96"/>
      <c r="U14" s="97"/>
      <c r="V14" s="98"/>
      <c r="W14" s="99"/>
      <c r="X14" s="97"/>
      <c r="Y14" s="98"/>
      <c r="Z14" s="98"/>
      <c r="AA14" s="98"/>
      <c r="AB14" s="9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79"/>
      <c r="BM14" s="79"/>
      <c r="BN14" s="79"/>
      <c r="BO14" s="79"/>
      <c r="BP14" s="79"/>
      <c r="BQ14" s="79"/>
      <c r="BR14" s="79"/>
      <c r="BS14" s="79"/>
      <c r="BT14" s="79"/>
      <c r="BU14" s="79"/>
      <c r="BV14" s="79"/>
      <c r="BW14" s="79"/>
      <c r="BX14" s="79"/>
      <c r="BY14" s="79"/>
    </row>
    <row r="15" spans="1:77" s="14" customFormat="1" ht="15" customHeight="1">
      <c r="A15" s="78"/>
      <c r="B15" s="78"/>
      <c r="C15" s="78"/>
      <c r="D15" s="88"/>
      <c r="E15" s="89"/>
      <c r="F15" s="89"/>
      <c r="G15" s="90"/>
      <c r="H15" s="91"/>
      <c r="I15" s="92"/>
      <c r="J15" s="92"/>
      <c r="K15" s="92"/>
      <c r="L15" s="92"/>
      <c r="M15" s="92"/>
      <c r="N15" s="92"/>
      <c r="O15" s="93"/>
      <c r="P15" s="94"/>
      <c r="Q15" s="95"/>
      <c r="R15" s="95"/>
      <c r="S15" s="95"/>
      <c r="T15" s="96"/>
      <c r="U15" s="97"/>
      <c r="V15" s="98"/>
      <c r="W15" s="99"/>
      <c r="X15" s="97"/>
      <c r="Y15" s="98"/>
      <c r="Z15" s="98"/>
      <c r="AA15" s="98"/>
      <c r="AB15" s="9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79"/>
      <c r="BM15" s="79"/>
      <c r="BN15" s="79"/>
      <c r="BO15" s="79"/>
      <c r="BP15" s="79"/>
      <c r="BQ15" s="79"/>
      <c r="BR15" s="79"/>
      <c r="BS15" s="79"/>
      <c r="BT15" s="79"/>
      <c r="BU15" s="79"/>
      <c r="BV15" s="79"/>
      <c r="BW15" s="79"/>
      <c r="BX15" s="79"/>
      <c r="BY15" s="79"/>
    </row>
    <row r="16" spans="1:77" s="14" customFormat="1" ht="15" customHeight="1">
      <c r="A16" s="78"/>
      <c r="B16" s="78"/>
      <c r="C16" s="78"/>
      <c r="D16" s="88"/>
      <c r="E16" s="89"/>
      <c r="F16" s="89"/>
      <c r="G16" s="90"/>
      <c r="H16" s="91"/>
      <c r="I16" s="92"/>
      <c r="J16" s="92"/>
      <c r="K16" s="92"/>
      <c r="L16" s="92"/>
      <c r="M16" s="92"/>
      <c r="N16" s="92"/>
      <c r="O16" s="93"/>
      <c r="P16" s="94"/>
      <c r="Q16" s="95"/>
      <c r="R16" s="95"/>
      <c r="S16" s="95"/>
      <c r="T16" s="96"/>
      <c r="U16" s="97"/>
      <c r="V16" s="98"/>
      <c r="W16" s="99"/>
      <c r="X16" s="97"/>
      <c r="Y16" s="98"/>
      <c r="Z16" s="98"/>
      <c r="AA16" s="98"/>
      <c r="AB16" s="9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79"/>
      <c r="BO16" s="79"/>
      <c r="BP16" s="79"/>
      <c r="BQ16" s="79"/>
      <c r="BR16" s="79"/>
      <c r="BS16" s="79"/>
      <c r="BT16" s="79"/>
      <c r="BU16" s="79"/>
      <c r="BV16" s="79"/>
      <c r="BW16" s="79"/>
      <c r="BX16" s="79"/>
      <c r="BY16" s="79"/>
    </row>
    <row r="17" spans="1:77" s="14" customFormat="1" ht="15" customHeight="1">
      <c r="A17" s="78"/>
      <c r="B17" s="78"/>
      <c r="C17" s="78"/>
      <c r="D17" s="88"/>
      <c r="E17" s="89"/>
      <c r="F17" s="89"/>
      <c r="G17" s="90"/>
      <c r="H17" s="91"/>
      <c r="I17" s="92"/>
      <c r="J17" s="92"/>
      <c r="K17" s="92"/>
      <c r="L17" s="92"/>
      <c r="M17" s="92"/>
      <c r="N17" s="92"/>
      <c r="O17" s="93"/>
      <c r="P17" s="94"/>
      <c r="Q17" s="95"/>
      <c r="R17" s="95"/>
      <c r="S17" s="95"/>
      <c r="T17" s="96"/>
      <c r="U17" s="97"/>
      <c r="V17" s="98"/>
      <c r="W17" s="99"/>
      <c r="X17" s="97"/>
      <c r="Y17" s="98"/>
      <c r="Z17" s="98"/>
      <c r="AA17" s="98"/>
      <c r="AB17" s="9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  <c r="BM17" s="79"/>
      <c r="BN17" s="79"/>
      <c r="BO17" s="79"/>
      <c r="BP17" s="79"/>
      <c r="BQ17" s="79"/>
      <c r="BR17" s="79"/>
      <c r="BS17" s="79"/>
      <c r="BT17" s="79"/>
      <c r="BU17" s="79"/>
      <c r="BV17" s="79"/>
      <c r="BW17" s="79"/>
      <c r="BX17" s="79"/>
      <c r="BY17" s="79"/>
    </row>
    <row r="18" spans="1:77" s="14" customFormat="1" ht="15" customHeight="1">
      <c r="A18" s="78"/>
      <c r="B18" s="78"/>
      <c r="C18" s="78"/>
      <c r="D18" s="88"/>
      <c r="E18" s="89"/>
      <c r="F18" s="89"/>
      <c r="G18" s="90"/>
      <c r="H18" s="91"/>
      <c r="I18" s="92"/>
      <c r="J18" s="92"/>
      <c r="K18" s="92"/>
      <c r="L18" s="92"/>
      <c r="M18" s="92"/>
      <c r="N18" s="92"/>
      <c r="O18" s="93"/>
      <c r="P18" s="94"/>
      <c r="Q18" s="95"/>
      <c r="R18" s="95"/>
      <c r="S18" s="95"/>
      <c r="T18" s="96"/>
      <c r="U18" s="97"/>
      <c r="V18" s="98"/>
      <c r="W18" s="99"/>
      <c r="X18" s="97"/>
      <c r="Y18" s="98"/>
      <c r="Z18" s="98"/>
      <c r="AA18" s="98"/>
      <c r="AB18" s="9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  <c r="BM18" s="79"/>
      <c r="BN18" s="79"/>
      <c r="BO18" s="79"/>
      <c r="BP18" s="79"/>
      <c r="BQ18" s="79"/>
      <c r="BR18" s="79"/>
      <c r="BS18" s="79"/>
      <c r="BT18" s="79"/>
      <c r="BU18" s="79"/>
      <c r="BV18" s="79"/>
      <c r="BW18" s="79"/>
      <c r="BX18" s="79"/>
      <c r="BY18" s="79"/>
    </row>
    <row r="19" spans="1:77" s="14" customFormat="1" ht="15" customHeight="1">
      <c r="A19" s="78"/>
      <c r="B19" s="78"/>
      <c r="C19" s="78"/>
      <c r="D19" s="88"/>
      <c r="E19" s="89"/>
      <c r="F19" s="89"/>
      <c r="G19" s="90"/>
      <c r="H19" s="91"/>
      <c r="I19" s="92"/>
      <c r="J19" s="92"/>
      <c r="K19" s="92"/>
      <c r="L19" s="92"/>
      <c r="M19" s="92"/>
      <c r="N19" s="92"/>
      <c r="O19" s="93"/>
      <c r="P19" s="94"/>
      <c r="Q19" s="95"/>
      <c r="R19" s="95"/>
      <c r="S19" s="95"/>
      <c r="T19" s="96"/>
      <c r="U19" s="97"/>
      <c r="V19" s="98"/>
      <c r="W19" s="99"/>
      <c r="X19" s="97"/>
      <c r="Y19" s="98"/>
      <c r="Z19" s="98"/>
      <c r="AA19" s="98"/>
      <c r="AB19" s="9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79"/>
      <c r="BM19" s="79"/>
      <c r="BN19" s="79"/>
      <c r="BO19" s="79"/>
      <c r="BP19" s="79"/>
      <c r="BQ19" s="79"/>
      <c r="BR19" s="79"/>
      <c r="BS19" s="79"/>
      <c r="BT19" s="79"/>
      <c r="BU19" s="79"/>
      <c r="BV19" s="79"/>
      <c r="BW19" s="79"/>
      <c r="BX19" s="79"/>
      <c r="BY19" s="79"/>
    </row>
    <row r="20" spans="1:77" s="14" customFormat="1" ht="15" customHeight="1">
      <c r="A20" s="78"/>
      <c r="B20" s="78"/>
      <c r="C20" s="78"/>
      <c r="D20" s="88"/>
      <c r="E20" s="89"/>
      <c r="F20" s="89"/>
      <c r="G20" s="90"/>
      <c r="H20" s="91"/>
      <c r="I20" s="92"/>
      <c r="J20" s="92"/>
      <c r="K20" s="92"/>
      <c r="L20" s="92"/>
      <c r="M20" s="92"/>
      <c r="N20" s="92"/>
      <c r="O20" s="93"/>
      <c r="P20" s="94"/>
      <c r="Q20" s="95"/>
      <c r="R20" s="95"/>
      <c r="S20" s="95"/>
      <c r="T20" s="96"/>
      <c r="U20" s="97"/>
      <c r="V20" s="98"/>
      <c r="W20" s="99"/>
      <c r="X20" s="97"/>
      <c r="Y20" s="98"/>
      <c r="Z20" s="98"/>
      <c r="AA20" s="98"/>
      <c r="AB20" s="9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79"/>
      <c r="BF20" s="79"/>
      <c r="BG20" s="79"/>
      <c r="BH20" s="79"/>
      <c r="BI20" s="79"/>
      <c r="BJ20" s="79"/>
      <c r="BK20" s="79"/>
      <c r="BL20" s="79"/>
      <c r="BM20" s="79"/>
      <c r="BN20" s="79"/>
      <c r="BO20" s="79"/>
      <c r="BP20" s="79"/>
      <c r="BQ20" s="79"/>
      <c r="BR20" s="79"/>
      <c r="BS20" s="79"/>
      <c r="BT20" s="79"/>
      <c r="BU20" s="79"/>
      <c r="BV20" s="79"/>
      <c r="BW20" s="79"/>
      <c r="BX20" s="79"/>
      <c r="BY20" s="79"/>
    </row>
    <row r="21" spans="1:77" s="14" customFormat="1" ht="15" customHeight="1">
      <c r="A21" s="78"/>
      <c r="B21" s="78"/>
      <c r="C21" s="78"/>
      <c r="D21" s="88"/>
      <c r="E21" s="89"/>
      <c r="F21" s="89"/>
      <c r="G21" s="90"/>
      <c r="H21" s="91"/>
      <c r="I21" s="92"/>
      <c r="J21" s="92"/>
      <c r="K21" s="92"/>
      <c r="L21" s="92"/>
      <c r="M21" s="92"/>
      <c r="N21" s="92"/>
      <c r="O21" s="93"/>
      <c r="P21" s="94"/>
      <c r="Q21" s="95"/>
      <c r="R21" s="95"/>
      <c r="S21" s="95"/>
      <c r="T21" s="96"/>
      <c r="U21" s="97"/>
      <c r="V21" s="98"/>
      <c r="W21" s="99"/>
      <c r="X21" s="97"/>
      <c r="Y21" s="98"/>
      <c r="Z21" s="98"/>
      <c r="AA21" s="98"/>
      <c r="AB21" s="9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79"/>
      <c r="BF21" s="79"/>
      <c r="BG21" s="79"/>
      <c r="BH21" s="79"/>
      <c r="BI21" s="79"/>
      <c r="BJ21" s="79"/>
      <c r="BK21" s="79"/>
      <c r="BL21" s="79"/>
      <c r="BM21" s="79"/>
      <c r="BN21" s="79"/>
      <c r="BO21" s="79"/>
      <c r="BP21" s="79"/>
      <c r="BQ21" s="79"/>
      <c r="BR21" s="79"/>
      <c r="BS21" s="79"/>
      <c r="BT21" s="79"/>
      <c r="BU21" s="79"/>
      <c r="BV21" s="79"/>
      <c r="BW21" s="79"/>
      <c r="BX21" s="79"/>
      <c r="BY21" s="79"/>
    </row>
    <row r="22" spans="1:77" s="14" customFormat="1" ht="15" customHeight="1">
      <c r="A22" s="78"/>
      <c r="B22" s="78"/>
      <c r="C22" s="78"/>
      <c r="D22" s="88"/>
      <c r="E22" s="89"/>
      <c r="F22" s="89"/>
      <c r="G22" s="90"/>
      <c r="H22" s="91"/>
      <c r="I22" s="92"/>
      <c r="J22" s="92"/>
      <c r="K22" s="92"/>
      <c r="L22" s="92"/>
      <c r="M22" s="92"/>
      <c r="N22" s="92"/>
      <c r="O22" s="93"/>
      <c r="P22" s="94"/>
      <c r="Q22" s="95"/>
      <c r="R22" s="95"/>
      <c r="S22" s="95"/>
      <c r="T22" s="96"/>
      <c r="U22" s="97"/>
      <c r="V22" s="98"/>
      <c r="W22" s="99"/>
      <c r="X22" s="97"/>
      <c r="Y22" s="98"/>
      <c r="Z22" s="98"/>
      <c r="AA22" s="98"/>
      <c r="AB22" s="9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79"/>
      <c r="BF22" s="79"/>
      <c r="BG22" s="79"/>
      <c r="BH22" s="79"/>
      <c r="BI22" s="79"/>
      <c r="BJ22" s="79"/>
      <c r="BK22" s="79"/>
      <c r="BL22" s="79"/>
      <c r="BM22" s="79"/>
      <c r="BN22" s="79"/>
      <c r="BO22" s="79"/>
      <c r="BP22" s="79"/>
      <c r="BQ22" s="79"/>
      <c r="BR22" s="79"/>
      <c r="BS22" s="79"/>
      <c r="BT22" s="79"/>
      <c r="BU22" s="79"/>
      <c r="BV22" s="79"/>
      <c r="BW22" s="79"/>
      <c r="BX22" s="79"/>
      <c r="BY22" s="79"/>
    </row>
    <row r="23" spans="1:77" s="14" customFormat="1" ht="15" customHeight="1">
      <c r="A23" s="78"/>
      <c r="B23" s="78"/>
      <c r="C23" s="78"/>
      <c r="D23" s="88"/>
      <c r="E23" s="89"/>
      <c r="F23" s="89"/>
      <c r="G23" s="90"/>
      <c r="H23" s="91"/>
      <c r="I23" s="92"/>
      <c r="J23" s="92"/>
      <c r="K23" s="92"/>
      <c r="L23" s="92"/>
      <c r="M23" s="92"/>
      <c r="N23" s="92"/>
      <c r="O23" s="93"/>
      <c r="P23" s="94"/>
      <c r="Q23" s="95"/>
      <c r="R23" s="95"/>
      <c r="S23" s="95"/>
      <c r="T23" s="96"/>
      <c r="U23" s="97"/>
      <c r="V23" s="98"/>
      <c r="W23" s="99"/>
      <c r="X23" s="97"/>
      <c r="Y23" s="98"/>
      <c r="Z23" s="98"/>
      <c r="AA23" s="98"/>
      <c r="AB23" s="9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79"/>
      <c r="BF23" s="79"/>
      <c r="BG23" s="79"/>
      <c r="BH23" s="79"/>
      <c r="BI23" s="79"/>
      <c r="BJ23" s="79"/>
      <c r="BK23" s="79"/>
      <c r="BL23" s="79"/>
      <c r="BM23" s="79"/>
      <c r="BN23" s="79"/>
      <c r="BO23" s="79"/>
      <c r="BP23" s="79"/>
      <c r="BQ23" s="79"/>
      <c r="BR23" s="79"/>
      <c r="BS23" s="79"/>
      <c r="BT23" s="79"/>
      <c r="BU23" s="79"/>
      <c r="BV23" s="79"/>
      <c r="BW23" s="79"/>
      <c r="BX23" s="79"/>
      <c r="BY23" s="79"/>
    </row>
    <row r="24" spans="1:77" s="14" customFormat="1" ht="15" customHeight="1">
      <c r="A24" s="78"/>
      <c r="B24" s="78"/>
      <c r="C24" s="78"/>
      <c r="D24" s="88"/>
      <c r="E24" s="89"/>
      <c r="F24" s="89"/>
      <c r="G24" s="90"/>
      <c r="H24" s="91"/>
      <c r="I24" s="92"/>
      <c r="J24" s="92"/>
      <c r="K24" s="92"/>
      <c r="L24" s="92"/>
      <c r="M24" s="92"/>
      <c r="N24" s="92"/>
      <c r="O24" s="93"/>
      <c r="P24" s="94"/>
      <c r="Q24" s="95"/>
      <c r="R24" s="95"/>
      <c r="S24" s="95"/>
      <c r="T24" s="96"/>
      <c r="U24" s="97"/>
      <c r="V24" s="98"/>
      <c r="W24" s="99"/>
      <c r="X24" s="97"/>
      <c r="Y24" s="98"/>
      <c r="Z24" s="98"/>
      <c r="AA24" s="98"/>
      <c r="AB24" s="9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79"/>
      <c r="BM24" s="79"/>
      <c r="BN24" s="79"/>
      <c r="BO24" s="79"/>
      <c r="BP24" s="79"/>
      <c r="BQ24" s="79"/>
      <c r="BR24" s="79"/>
      <c r="BS24" s="79"/>
      <c r="BT24" s="79"/>
      <c r="BU24" s="79"/>
      <c r="BV24" s="79"/>
      <c r="BW24" s="79"/>
      <c r="BX24" s="79"/>
      <c r="BY24" s="79"/>
    </row>
    <row r="25" spans="1:77" s="14" customFormat="1" ht="15" customHeight="1">
      <c r="A25" s="78"/>
      <c r="B25" s="78"/>
      <c r="C25" s="78"/>
      <c r="D25" s="88"/>
      <c r="E25" s="89"/>
      <c r="F25" s="89"/>
      <c r="G25" s="90"/>
      <c r="H25" s="91"/>
      <c r="I25" s="92"/>
      <c r="J25" s="92"/>
      <c r="K25" s="92"/>
      <c r="L25" s="92"/>
      <c r="M25" s="92"/>
      <c r="N25" s="92"/>
      <c r="O25" s="93"/>
      <c r="P25" s="94"/>
      <c r="Q25" s="95"/>
      <c r="R25" s="95"/>
      <c r="S25" s="95"/>
      <c r="T25" s="96"/>
      <c r="U25" s="97"/>
      <c r="V25" s="98"/>
      <c r="W25" s="99"/>
      <c r="X25" s="97"/>
      <c r="Y25" s="98"/>
      <c r="Z25" s="98"/>
      <c r="AA25" s="98"/>
      <c r="AB25" s="9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79"/>
      <c r="BF25" s="79"/>
      <c r="BG25" s="79"/>
      <c r="BH25" s="79"/>
      <c r="BI25" s="79"/>
      <c r="BJ25" s="79"/>
      <c r="BK25" s="79"/>
      <c r="BL25" s="79"/>
      <c r="BM25" s="79"/>
      <c r="BN25" s="79"/>
      <c r="BO25" s="79"/>
      <c r="BP25" s="79"/>
      <c r="BQ25" s="79"/>
      <c r="BR25" s="79"/>
      <c r="BS25" s="79"/>
      <c r="BT25" s="79"/>
      <c r="BU25" s="79"/>
      <c r="BV25" s="79"/>
      <c r="BW25" s="79"/>
      <c r="BX25" s="79"/>
      <c r="BY25" s="79"/>
    </row>
    <row r="26" spans="1:77" s="14" customFormat="1" ht="15" customHeight="1">
      <c r="A26" s="78"/>
      <c r="B26" s="78"/>
      <c r="C26" s="78"/>
      <c r="D26" s="88"/>
      <c r="E26" s="89"/>
      <c r="F26" s="89"/>
      <c r="G26" s="90"/>
      <c r="H26" s="91"/>
      <c r="I26" s="92"/>
      <c r="J26" s="92"/>
      <c r="K26" s="92"/>
      <c r="L26" s="92"/>
      <c r="M26" s="92"/>
      <c r="N26" s="92"/>
      <c r="O26" s="93"/>
      <c r="P26" s="94"/>
      <c r="Q26" s="95"/>
      <c r="R26" s="95"/>
      <c r="S26" s="95"/>
      <c r="T26" s="96"/>
      <c r="U26" s="97"/>
      <c r="V26" s="98"/>
      <c r="W26" s="99"/>
      <c r="X26" s="97"/>
      <c r="Y26" s="98"/>
      <c r="Z26" s="98"/>
      <c r="AA26" s="98"/>
      <c r="AB26" s="9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79"/>
      <c r="BF26" s="79"/>
      <c r="BG26" s="79"/>
      <c r="BH26" s="79"/>
      <c r="BI26" s="79"/>
      <c r="BJ26" s="79"/>
      <c r="BK26" s="79"/>
      <c r="BL26" s="79"/>
      <c r="BM26" s="79"/>
      <c r="BN26" s="79"/>
      <c r="BO26" s="79"/>
      <c r="BP26" s="79"/>
      <c r="BQ26" s="79"/>
      <c r="BR26" s="79"/>
      <c r="BS26" s="79"/>
      <c r="BT26" s="79"/>
      <c r="BU26" s="79"/>
      <c r="BV26" s="79"/>
      <c r="BW26" s="79"/>
      <c r="BX26" s="79"/>
      <c r="BY26" s="79"/>
    </row>
    <row r="27" spans="1:77" s="14" customFormat="1" ht="15" customHeight="1">
      <c r="A27" s="78"/>
      <c r="B27" s="78"/>
      <c r="C27" s="78"/>
      <c r="D27" s="88"/>
      <c r="E27" s="89"/>
      <c r="F27" s="89"/>
      <c r="G27" s="90"/>
      <c r="H27" s="91"/>
      <c r="I27" s="92"/>
      <c r="J27" s="92"/>
      <c r="K27" s="92"/>
      <c r="L27" s="92"/>
      <c r="M27" s="92"/>
      <c r="N27" s="92"/>
      <c r="O27" s="93"/>
      <c r="P27" s="94"/>
      <c r="Q27" s="95"/>
      <c r="R27" s="95"/>
      <c r="S27" s="95"/>
      <c r="T27" s="96"/>
      <c r="U27" s="97"/>
      <c r="V27" s="98"/>
      <c r="W27" s="99"/>
      <c r="X27" s="97"/>
      <c r="Y27" s="98"/>
      <c r="Z27" s="98"/>
      <c r="AA27" s="98"/>
      <c r="AB27" s="9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79"/>
      <c r="BF27" s="79"/>
      <c r="BG27" s="79"/>
      <c r="BH27" s="79"/>
      <c r="BI27" s="79"/>
      <c r="BJ27" s="79"/>
      <c r="BK27" s="79"/>
      <c r="BL27" s="79"/>
      <c r="BM27" s="79"/>
      <c r="BN27" s="79"/>
      <c r="BO27" s="79"/>
      <c r="BP27" s="79"/>
      <c r="BQ27" s="79"/>
      <c r="BR27" s="79"/>
      <c r="BS27" s="79"/>
      <c r="BT27" s="79"/>
      <c r="BU27" s="79"/>
      <c r="BV27" s="79"/>
      <c r="BW27" s="79"/>
      <c r="BX27" s="79"/>
      <c r="BY27" s="79"/>
    </row>
    <row r="28" spans="1:77" s="14" customFormat="1" ht="15" customHeight="1">
      <c r="A28" s="78"/>
      <c r="B28" s="78"/>
      <c r="C28" s="78"/>
      <c r="D28" s="88"/>
      <c r="E28" s="89"/>
      <c r="F28" s="89"/>
      <c r="G28" s="90"/>
      <c r="H28" s="91"/>
      <c r="I28" s="92"/>
      <c r="J28" s="92"/>
      <c r="K28" s="92"/>
      <c r="L28" s="92"/>
      <c r="M28" s="92"/>
      <c r="N28" s="92"/>
      <c r="O28" s="93"/>
      <c r="P28" s="94"/>
      <c r="Q28" s="95"/>
      <c r="R28" s="95"/>
      <c r="S28" s="95"/>
      <c r="T28" s="96"/>
      <c r="U28" s="97"/>
      <c r="V28" s="98"/>
      <c r="W28" s="99"/>
      <c r="X28" s="97"/>
      <c r="Y28" s="98"/>
      <c r="Z28" s="98"/>
      <c r="AA28" s="98"/>
      <c r="AB28" s="9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79"/>
      <c r="BF28" s="79"/>
      <c r="BG28" s="79"/>
      <c r="BH28" s="79"/>
      <c r="BI28" s="79"/>
      <c r="BJ28" s="79"/>
      <c r="BK28" s="79"/>
      <c r="BL28" s="79"/>
      <c r="BM28" s="79"/>
      <c r="BN28" s="79"/>
      <c r="BO28" s="79"/>
      <c r="BP28" s="79"/>
      <c r="BQ28" s="79"/>
      <c r="BR28" s="79"/>
      <c r="BS28" s="79"/>
      <c r="BT28" s="79"/>
      <c r="BU28" s="79"/>
      <c r="BV28" s="79"/>
      <c r="BW28" s="79"/>
      <c r="BX28" s="79"/>
      <c r="BY28" s="79"/>
    </row>
    <row r="29" spans="1:77" s="14" customFormat="1" ht="15" customHeight="1">
      <c r="A29" s="78"/>
      <c r="B29" s="78"/>
      <c r="C29" s="78"/>
      <c r="D29" s="88"/>
      <c r="E29" s="89"/>
      <c r="F29" s="89"/>
      <c r="G29" s="90"/>
      <c r="H29" s="91"/>
      <c r="I29" s="92"/>
      <c r="J29" s="92"/>
      <c r="K29" s="92"/>
      <c r="L29" s="92"/>
      <c r="M29" s="92"/>
      <c r="N29" s="92"/>
      <c r="O29" s="93"/>
      <c r="P29" s="94"/>
      <c r="Q29" s="95"/>
      <c r="R29" s="95"/>
      <c r="S29" s="95"/>
      <c r="T29" s="96"/>
      <c r="U29" s="97"/>
      <c r="V29" s="98"/>
      <c r="W29" s="99"/>
      <c r="X29" s="97"/>
      <c r="Y29" s="98"/>
      <c r="Z29" s="98"/>
      <c r="AA29" s="98"/>
      <c r="AB29" s="9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79"/>
      <c r="BF29" s="79"/>
      <c r="BG29" s="79"/>
      <c r="BH29" s="79"/>
      <c r="BI29" s="79"/>
      <c r="BJ29" s="79"/>
      <c r="BK29" s="79"/>
      <c r="BL29" s="79"/>
      <c r="BM29" s="79"/>
      <c r="BN29" s="79"/>
      <c r="BO29" s="79"/>
      <c r="BP29" s="79"/>
      <c r="BQ29" s="79"/>
      <c r="BR29" s="79"/>
      <c r="BS29" s="79"/>
      <c r="BT29" s="79"/>
      <c r="BU29" s="79"/>
      <c r="BV29" s="79"/>
      <c r="BW29" s="79"/>
      <c r="BX29" s="79"/>
      <c r="BY29" s="79"/>
    </row>
    <row r="30" spans="1:77" s="14" customFormat="1" ht="15" customHeight="1">
      <c r="A30" s="78"/>
      <c r="B30" s="78"/>
      <c r="C30" s="78"/>
      <c r="D30" s="88"/>
      <c r="E30" s="89"/>
      <c r="F30" s="89"/>
      <c r="G30" s="90"/>
      <c r="H30" s="91"/>
      <c r="I30" s="92"/>
      <c r="J30" s="92"/>
      <c r="K30" s="92"/>
      <c r="L30" s="92"/>
      <c r="M30" s="92"/>
      <c r="N30" s="92"/>
      <c r="O30" s="93"/>
      <c r="P30" s="94"/>
      <c r="Q30" s="95"/>
      <c r="R30" s="95"/>
      <c r="S30" s="95"/>
      <c r="T30" s="96"/>
      <c r="U30" s="97"/>
      <c r="V30" s="98"/>
      <c r="W30" s="99"/>
      <c r="X30" s="97"/>
      <c r="Y30" s="98"/>
      <c r="Z30" s="98"/>
      <c r="AA30" s="98"/>
      <c r="AB30" s="9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79"/>
      <c r="BF30" s="79"/>
      <c r="BG30" s="79"/>
      <c r="BH30" s="79"/>
      <c r="BI30" s="79"/>
      <c r="BJ30" s="79"/>
      <c r="BK30" s="79"/>
      <c r="BL30" s="79"/>
      <c r="BM30" s="79"/>
      <c r="BN30" s="79"/>
      <c r="BO30" s="79"/>
      <c r="BP30" s="79"/>
      <c r="BQ30" s="79"/>
      <c r="BR30" s="79"/>
      <c r="BS30" s="79"/>
      <c r="BT30" s="79"/>
      <c r="BU30" s="79"/>
      <c r="BV30" s="79"/>
      <c r="BW30" s="79"/>
      <c r="BX30" s="79"/>
      <c r="BY30" s="79"/>
    </row>
    <row r="31" spans="1:77" s="14" customFormat="1" ht="15" customHeight="1">
      <c r="A31" s="78"/>
      <c r="B31" s="78"/>
      <c r="C31" s="78"/>
      <c r="D31" s="88"/>
      <c r="E31" s="89"/>
      <c r="F31" s="89"/>
      <c r="G31" s="90"/>
      <c r="H31" s="91"/>
      <c r="I31" s="92"/>
      <c r="J31" s="92"/>
      <c r="K31" s="92"/>
      <c r="L31" s="92"/>
      <c r="M31" s="92"/>
      <c r="N31" s="92"/>
      <c r="O31" s="93"/>
      <c r="P31" s="94"/>
      <c r="Q31" s="95"/>
      <c r="R31" s="95"/>
      <c r="S31" s="95"/>
      <c r="T31" s="96"/>
      <c r="U31" s="97"/>
      <c r="V31" s="98"/>
      <c r="W31" s="99"/>
      <c r="X31" s="97"/>
      <c r="Y31" s="98"/>
      <c r="Z31" s="98"/>
      <c r="AA31" s="98"/>
      <c r="AB31" s="9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79"/>
      <c r="BM31" s="79"/>
      <c r="BN31" s="79"/>
      <c r="BO31" s="79"/>
      <c r="BP31" s="79"/>
      <c r="BQ31" s="79"/>
      <c r="BR31" s="79"/>
      <c r="BS31" s="79"/>
      <c r="BT31" s="79"/>
      <c r="BU31" s="79"/>
      <c r="BV31" s="79"/>
      <c r="BW31" s="79"/>
      <c r="BX31" s="79"/>
      <c r="BY31" s="79"/>
    </row>
    <row r="32" spans="1:77" s="14" customFormat="1" ht="15" customHeight="1">
      <c r="A32" s="78"/>
      <c r="B32" s="78"/>
      <c r="C32" s="78"/>
      <c r="D32" s="88"/>
      <c r="E32" s="89"/>
      <c r="F32" s="89"/>
      <c r="G32" s="90"/>
      <c r="H32" s="91"/>
      <c r="I32" s="92"/>
      <c r="J32" s="92"/>
      <c r="K32" s="92"/>
      <c r="L32" s="92"/>
      <c r="M32" s="92"/>
      <c r="N32" s="92"/>
      <c r="O32" s="93"/>
      <c r="P32" s="94"/>
      <c r="Q32" s="95"/>
      <c r="R32" s="95"/>
      <c r="S32" s="95"/>
      <c r="T32" s="96"/>
      <c r="U32" s="97"/>
      <c r="V32" s="98"/>
      <c r="W32" s="99"/>
      <c r="X32" s="97"/>
      <c r="Y32" s="98"/>
      <c r="Z32" s="98"/>
      <c r="AA32" s="98"/>
      <c r="AB32" s="9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79"/>
      <c r="BF32" s="79"/>
      <c r="BG32" s="79"/>
      <c r="BH32" s="79"/>
      <c r="BI32" s="79"/>
      <c r="BJ32" s="79"/>
      <c r="BK32" s="79"/>
      <c r="BL32" s="79"/>
      <c r="BM32" s="79"/>
      <c r="BN32" s="79"/>
      <c r="BO32" s="79"/>
      <c r="BP32" s="79"/>
      <c r="BQ32" s="79"/>
      <c r="BR32" s="79"/>
      <c r="BS32" s="79"/>
      <c r="BT32" s="79"/>
      <c r="BU32" s="79"/>
      <c r="BV32" s="79"/>
      <c r="BW32" s="79"/>
      <c r="BX32" s="79"/>
      <c r="BY32" s="79"/>
    </row>
    <row r="33" spans="1:77" s="14" customFormat="1" ht="15" customHeight="1">
      <c r="A33" s="78"/>
      <c r="B33" s="78"/>
      <c r="C33" s="78"/>
      <c r="D33" s="88"/>
      <c r="E33" s="89"/>
      <c r="F33" s="89"/>
      <c r="G33" s="90"/>
      <c r="H33" s="91"/>
      <c r="I33" s="92"/>
      <c r="J33" s="92"/>
      <c r="K33" s="92"/>
      <c r="L33" s="92"/>
      <c r="M33" s="92"/>
      <c r="N33" s="92"/>
      <c r="O33" s="93"/>
      <c r="P33" s="94"/>
      <c r="Q33" s="95"/>
      <c r="R33" s="95"/>
      <c r="S33" s="95"/>
      <c r="T33" s="96"/>
      <c r="U33" s="97"/>
      <c r="V33" s="98"/>
      <c r="W33" s="99"/>
      <c r="X33" s="97"/>
      <c r="Y33" s="98"/>
      <c r="Z33" s="98"/>
      <c r="AA33" s="98"/>
      <c r="AB33" s="9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79"/>
      <c r="BF33" s="79"/>
      <c r="BG33" s="79"/>
      <c r="BH33" s="79"/>
      <c r="BI33" s="79"/>
      <c r="BJ33" s="79"/>
      <c r="BK33" s="79"/>
      <c r="BL33" s="79"/>
      <c r="BM33" s="79"/>
      <c r="BN33" s="79"/>
      <c r="BO33" s="79"/>
      <c r="BP33" s="79"/>
      <c r="BQ33" s="79"/>
      <c r="BR33" s="79"/>
      <c r="BS33" s="79"/>
      <c r="BT33" s="79"/>
      <c r="BU33" s="79"/>
      <c r="BV33" s="79"/>
      <c r="BW33" s="79"/>
      <c r="BX33" s="79"/>
      <c r="BY33" s="79"/>
    </row>
    <row r="34" spans="1:77" s="14" customFormat="1" ht="15" customHeight="1">
      <c r="A34" s="78"/>
      <c r="B34" s="78"/>
      <c r="C34" s="78"/>
      <c r="D34" s="88"/>
      <c r="E34" s="89"/>
      <c r="F34" s="89"/>
      <c r="G34" s="90"/>
      <c r="H34" s="91"/>
      <c r="I34" s="92"/>
      <c r="J34" s="92"/>
      <c r="K34" s="92"/>
      <c r="L34" s="92"/>
      <c r="M34" s="92"/>
      <c r="N34" s="92"/>
      <c r="O34" s="93"/>
      <c r="P34" s="94"/>
      <c r="Q34" s="95"/>
      <c r="R34" s="95"/>
      <c r="S34" s="95"/>
      <c r="T34" s="96"/>
      <c r="U34" s="97"/>
      <c r="V34" s="98"/>
      <c r="W34" s="99"/>
      <c r="X34" s="97"/>
      <c r="Y34" s="98"/>
      <c r="Z34" s="98"/>
      <c r="AA34" s="98"/>
      <c r="AB34" s="9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79"/>
      <c r="BF34" s="79"/>
      <c r="BG34" s="79"/>
      <c r="BH34" s="79"/>
      <c r="BI34" s="79"/>
      <c r="BJ34" s="79"/>
      <c r="BK34" s="79"/>
      <c r="BL34" s="79"/>
      <c r="BM34" s="79"/>
      <c r="BN34" s="79"/>
      <c r="BO34" s="79"/>
      <c r="BP34" s="79"/>
      <c r="BQ34" s="79"/>
      <c r="BR34" s="79"/>
      <c r="BS34" s="79"/>
      <c r="BT34" s="79"/>
      <c r="BU34" s="79"/>
      <c r="BV34" s="79"/>
      <c r="BW34" s="79"/>
      <c r="BX34" s="79"/>
      <c r="BY34" s="79"/>
    </row>
    <row r="35" spans="1:77" s="14" customFormat="1" ht="15" customHeight="1">
      <c r="A35" s="78"/>
      <c r="B35" s="78"/>
      <c r="C35" s="78"/>
      <c r="D35" s="88"/>
      <c r="E35" s="89"/>
      <c r="F35" s="89"/>
      <c r="G35" s="90"/>
      <c r="H35" s="91"/>
      <c r="I35" s="92"/>
      <c r="J35" s="92"/>
      <c r="K35" s="92"/>
      <c r="L35" s="92"/>
      <c r="M35" s="92"/>
      <c r="N35" s="92"/>
      <c r="O35" s="93"/>
      <c r="P35" s="94"/>
      <c r="Q35" s="95"/>
      <c r="R35" s="95"/>
      <c r="S35" s="95"/>
      <c r="T35" s="96"/>
      <c r="U35" s="97"/>
      <c r="V35" s="98"/>
      <c r="W35" s="99"/>
      <c r="X35" s="97"/>
      <c r="Y35" s="98"/>
      <c r="Z35" s="98"/>
      <c r="AA35" s="98"/>
      <c r="AB35" s="9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79"/>
      <c r="BF35" s="79"/>
      <c r="BG35" s="79"/>
      <c r="BH35" s="79"/>
      <c r="BI35" s="79"/>
      <c r="BJ35" s="79"/>
      <c r="BK35" s="79"/>
      <c r="BL35" s="79"/>
      <c r="BM35" s="79"/>
      <c r="BN35" s="79"/>
      <c r="BO35" s="79"/>
      <c r="BP35" s="79"/>
      <c r="BQ35" s="79"/>
      <c r="BR35" s="79"/>
      <c r="BS35" s="79"/>
      <c r="BT35" s="79"/>
      <c r="BU35" s="79"/>
      <c r="BV35" s="79"/>
      <c r="BW35" s="79"/>
      <c r="BX35" s="79"/>
      <c r="BY35" s="79"/>
    </row>
    <row r="36" spans="1:77" s="14" customFormat="1" ht="15" customHeight="1">
      <c r="A36" s="78"/>
      <c r="B36" s="78"/>
      <c r="C36" s="78"/>
      <c r="D36" s="88"/>
      <c r="E36" s="89"/>
      <c r="F36" s="89"/>
      <c r="G36" s="90"/>
      <c r="H36" s="91"/>
      <c r="I36" s="92"/>
      <c r="J36" s="92"/>
      <c r="K36" s="92"/>
      <c r="L36" s="92"/>
      <c r="M36" s="92"/>
      <c r="N36" s="92"/>
      <c r="O36" s="93"/>
      <c r="P36" s="94"/>
      <c r="Q36" s="95"/>
      <c r="R36" s="95"/>
      <c r="S36" s="95"/>
      <c r="T36" s="96"/>
      <c r="U36" s="97"/>
      <c r="V36" s="98"/>
      <c r="W36" s="99"/>
      <c r="X36" s="97"/>
      <c r="Y36" s="98"/>
      <c r="Z36" s="98"/>
      <c r="AA36" s="98"/>
      <c r="AB36" s="9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/>
      <c r="AS36" s="79"/>
      <c r="AT36" s="79"/>
      <c r="AU36" s="79"/>
      <c r="AV36" s="79"/>
      <c r="AW36" s="79"/>
      <c r="AX36" s="79"/>
      <c r="AY36" s="79"/>
      <c r="AZ36" s="79"/>
      <c r="BA36" s="79"/>
      <c r="BB36" s="79"/>
      <c r="BC36" s="79"/>
      <c r="BD36" s="79"/>
      <c r="BE36" s="79"/>
      <c r="BF36" s="79"/>
      <c r="BG36" s="79"/>
      <c r="BH36" s="79"/>
      <c r="BI36" s="79"/>
      <c r="BJ36" s="79"/>
      <c r="BK36" s="79"/>
      <c r="BL36" s="79"/>
      <c r="BM36" s="79"/>
      <c r="BN36" s="79"/>
      <c r="BO36" s="79"/>
      <c r="BP36" s="79"/>
      <c r="BQ36" s="79"/>
      <c r="BR36" s="79"/>
      <c r="BS36" s="79"/>
      <c r="BT36" s="79"/>
      <c r="BU36" s="79"/>
      <c r="BV36" s="79"/>
      <c r="BW36" s="79"/>
      <c r="BX36" s="79"/>
      <c r="BY36" s="79"/>
    </row>
    <row r="37" spans="1:77" s="14" customFormat="1" ht="15" customHeight="1">
      <c r="A37" s="78"/>
      <c r="B37" s="78"/>
      <c r="C37" s="78"/>
      <c r="D37" s="88"/>
      <c r="E37" s="89"/>
      <c r="F37" s="89"/>
      <c r="G37" s="90"/>
      <c r="H37" s="91"/>
      <c r="I37" s="92"/>
      <c r="J37" s="92"/>
      <c r="K37" s="92"/>
      <c r="L37" s="92"/>
      <c r="M37" s="92"/>
      <c r="N37" s="92"/>
      <c r="O37" s="93"/>
      <c r="P37" s="94"/>
      <c r="Q37" s="95"/>
      <c r="R37" s="95"/>
      <c r="S37" s="95"/>
      <c r="T37" s="96"/>
      <c r="U37" s="97"/>
      <c r="V37" s="98"/>
      <c r="W37" s="99"/>
      <c r="X37" s="97"/>
      <c r="Y37" s="98"/>
      <c r="Z37" s="98"/>
      <c r="AA37" s="98"/>
      <c r="AB37" s="9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79"/>
      <c r="BD37" s="79"/>
      <c r="BE37" s="79"/>
      <c r="BF37" s="79"/>
      <c r="BG37" s="79"/>
      <c r="BH37" s="79"/>
      <c r="BI37" s="79"/>
      <c r="BJ37" s="79"/>
      <c r="BK37" s="79"/>
      <c r="BL37" s="79"/>
      <c r="BM37" s="79"/>
      <c r="BN37" s="79"/>
      <c r="BO37" s="79"/>
      <c r="BP37" s="79"/>
      <c r="BQ37" s="79"/>
      <c r="BR37" s="79"/>
      <c r="BS37" s="79"/>
      <c r="BT37" s="79"/>
      <c r="BU37" s="79"/>
      <c r="BV37" s="79"/>
      <c r="BW37" s="79"/>
      <c r="BX37" s="79"/>
      <c r="BY37" s="79"/>
    </row>
  </sheetData>
  <mergeCells count="308">
    <mergeCell ref="A7:C7"/>
    <mergeCell ref="D7:G7"/>
    <mergeCell ref="H7:O7"/>
    <mergeCell ref="P7:T7"/>
    <mergeCell ref="U7:W7"/>
    <mergeCell ref="X7:AB7"/>
    <mergeCell ref="AC7:BK7"/>
    <mergeCell ref="BL7:BR7"/>
    <mergeCell ref="A11:C11"/>
    <mergeCell ref="D11:G11"/>
    <mergeCell ref="H11:O11"/>
    <mergeCell ref="P11:T11"/>
    <mergeCell ref="U11:W11"/>
    <mergeCell ref="X11:AB11"/>
    <mergeCell ref="AC11:BK11"/>
    <mergeCell ref="BL11:BR11"/>
    <mergeCell ref="A9:C9"/>
    <mergeCell ref="D9:G9"/>
    <mergeCell ref="H9:O9"/>
    <mergeCell ref="P9:T9"/>
    <mergeCell ref="U9:W9"/>
    <mergeCell ref="X9:AB9"/>
    <mergeCell ref="AC9:BK9"/>
    <mergeCell ref="BL9:BR9"/>
    <mergeCell ref="A6:C6"/>
    <mergeCell ref="D6:G6"/>
    <mergeCell ref="H6:O6"/>
    <mergeCell ref="P6:T6"/>
    <mergeCell ref="U6:W6"/>
    <mergeCell ref="X6:AB6"/>
    <mergeCell ref="AC6:BK6"/>
    <mergeCell ref="BL6:BR6"/>
    <mergeCell ref="U5:W5"/>
    <mergeCell ref="X5:AB5"/>
    <mergeCell ref="A5:C5"/>
    <mergeCell ref="D5:G5"/>
    <mergeCell ref="H5:O5"/>
    <mergeCell ref="P5:T5"/>
    <mergeCell ref="AC5:BK5"/>
    <mergeCell ref="BL5:BR5"/>
    <mergeCell ref="AC10:BK10"/>
    <mergeCell ref="BL10:BR10"/>
    <mergeCell ref="A8:C8"/>
    <mergeCell ref="D8:G8"/>
    <mergeCell ref="H8:O8"/>
    <mergeCell ref="P8:T8"/>
    <mergeCell ref="U8:W8"/>
    <mergeCell ref="X8:AB8"/>
    <mergeCell ref="AC8:BK8"/>
    <mergeCell ref="BL8:BR8"/>
    <mergeCell ref="A12:C12"/>
    <mergeCell ref="D12:G12"/>
    <mergeCell ref="H12:O12"/>
    <mergeCell ref="P12:T12"/>
    <mergeCell ref="U12:W12"/>
    <mergeCell ref="X12:AB12"/>
    <mergeCell ref="AC12:BK12"/>
    <mergeCell ref="BL12:BR12"/>
    <mergeCell ref="BS12:BY12"/>
    <mergeCell ref="A14:C14"/>
    <mergeCell ref="D14:G14"/>
    <mergeCell ref="H14:O14"/>
    <mergeCell ref="P14:T14"/>
    <mergeCell ref="U14:W14"/>
    <mergeCell ref="X14:AB14"/>
    <mergeCell ref="AC14:BK14"/>
    <mergeCell ref="BL14:BR14"/>
    <mergeCell ref="BS13:BY13"/>
    <mergeCell ref="BS14:BY14"/>
    <mergeCell ref="A13:C13"/>
    <mergeCell ref="D13:G13"/>
    <mergeCell ref="H13:O13"/>
    <mergeCell ref="P13:T13"/>
    <mergeCell ref="U13:W13"/>
    <mergeCell ref="X13:AB13"/>
    <mergeCell ref="AC13:BK13"/>
    <mergeCell ref="BL13:BR13"/>
    <mergeCell ref="A16:C16"/>
    <mergeCell ref="D16:G16"/>
    <mergeCell ref="H16:O16"/>
    <mergeCell ref="P16:T16"/>
    <mergeCell ref="U16:W16"/>
    <mergeCell ref="X16:AB16"/>
    <mergeCell ref="AC16:BK16"/>
    <mergeCell ref="BL16:BR16"/>
    <mergeCell ref="BS15:BY15"/>
    <mergeCell ref="BS16:BY16"/>
    <mergeCell ref="A15:C15"/>
    <mergeCell ref="D15:G15"/>
    <mergeCell ref="H15:O15"/>
    <mergeCell ref="P15:T15"/>
    <mergeCell ref="U15:W15"/>
    <mergeCell ref="X15:AB15"/>
    <mergeCell ref="AC15:BK15"/>
    <mergeCell ref="BL15:BR15"/>
    <mergeCell ref="A18:C18"/>
    <mergeCell ref="D18:G18"/>
    <mergeCell ref="H18:O18"/>
    <mergeCell ref="P18:T18"/>
    <mergeCell ref="U18:W18"/>
    <mergeCell ref="X18:AB18"/>
    <mergeCell ref="AC18:BK18"/>
    <mergeCell ref="BL18:BR18"/>
    <mergeCell ref="BS17:BY17"/>
    <mergeCell ref="BS18:BY18"/>
    <mergeCell ref="A17:C17"/>
    <mergeCell ref="D17:G17"/>
    <mergeCell ref="H17:O17"/>
    <mergeCell ref="P17:T17"/>
    <mergeCell ref="U17:W17"/>
    <mergeCell ref="X17:AB17"/>
    <mergeCell ref="AC17:BK17"/>
    <mergeCell ref="BL17:BR17"/>
    <mergeCell ref="A20:C20"/>
    <mergeCell ref="D20:G20"/>
    <mergeCell ref="H20:O20"/>
    <mergeCell ref="P20:T20"/>
    <mergeCell ref="U20:W20"/>
    <mergeCell ref="X20:AB20"/>
    <mergeCell ref="AC20:BK20"/>
    <mergeCell ref="BL20:BR20"/>
    <mergeCell ref="BS19:BY19"/>
    <mergeCell ref="BS20:BY20"/>
    <mergeCell ref="A19:C19"/>
    <mergeCell ref="D19:G19"/>
    <mergeCell ref="H19:O19"/>
    <mergeCell ref="P19:T19"/>
    <mergeCell ref="U19:W19"/>
    <mergeCell ref="X19:AB19"/>
    <mergeCell ref="AC19:BK19"/>
    <mergeCell ref="BL19:BR19"/>
    <mergeCell ref="A22:C22"/>
    <mergeCell ref="D22:G22"/>
    <mergeCell ref="H22:O22"/>
    <mergeCell ref="P22:T22"/>
    <mergeCell ref="U22:W22"/>
    <mergeCell ref="X22:AB22"/>
    <mergeCell ref="AC22:BK22"/>
    <mergeCell ref="BL22:BR22"/>
    <mergeCell ref="BS21:BY21"/>
    <mergeCell ref="BS22:BY22"/>
    <mergeCell ref="A21:C21"/>
    <mergeCell ref="D21:G21"/>
    <mergeCell ref="H21:O21"/>
    <mergeCell ref="P21:T21"/>
    <mergeCell ref="U21:W21"/>
    <mergeCell ref="X21:AB21"/>
    <mergeCell ref="AC21:BK21"/>
    <mergeCell ref="BL21:BR21"/>
    <mergeCell ref="A24:C24"/>
    <mergeCell ref="D24:G24"/>
    <mergeCell ref="H24:O24"/>
    <mergeCell ref="P24:T24"/>
    <mergeCell ref="U24:W24"/>
    <mergeCell ref="X24:AB24"/>
    <mergeCell ref="AC24:BK24"/>
    <mergeCell ref="BL24:BR24"/>
    <mergeCell ref="BS23:BY23"/>
    <mergeCell ref="BS24:BY24"/>
    <mergeCell ref="A23:C23"/>
    <mergeCell ref="D23:G23"/>
    <mergeCell ref="H23:O23"/>
    <mergeCell ref="P23:T23"/>
    <mergeCell ref="U23:W23"/>
    <mergeCell ref="X23:AB23"/>
    <mergeCell ref="AC23:BK23"/>
    <mergeCell ref="BL23:BR23"/>
    <mergeCell ref="A26:C26"/>
    <mergeCell ref="D26:G26"/>
    <mergeCell ref="H26:O26"/>
    <mergeCell ref="P26:T26"/>
    <mergeCell ref="U26:W26"/>
    <mergeCell ref="X26:AB26"/>
    <mergeCell ref="AC26:BK26"/>
    <mergeCell ref="BL26:BR26"/>
    <mergeCell ref="BS25:BY25"/>
    <mergeCell ref="BS26:BY26"/>
    <mergeCell ref="A25:C25"/>
    <mergeCell ref="D25:G25"/>
    <mergeCell ref="H25:O25"/>
    <mergeCell ref="P25:T25"/>
    <mergeCell ref="U25:W25"/>
    <mergeCell ref="X25:AB25"/>
    <mergeCell ref="AC25:BK25"/>
    <mergeCell ref="BL25:BR25"/>
    <mergeCell ref="A28:C28"/>
    <mergeCell ref="D28:G28"/>
    <mergeCell ref="H28:O28"/>
    <mergeCell ref="P28:T28"/>
    <mergeCell ref="U28:W28"/>
    <mergeCell ref="X28:AB28"/>
    <mergeCell ref="AC28:BK28"/>
    <mergeCell ref="BL28:BR28"/>
    <mergeCell ref="BS27:BY27"/>
    <mergeCell ref="BS28:BY28"/>
    <mergeCell ref="A27:C27"/>
    <mergeCell ref="D27:G27"/>
    <mergeCell ref="H27:O27"/>
    <mergeCell ref="P27:T27"/>
    <mergeCell ref="U27:W27"/>
    <mergeCell ref="X27:AB27"/>
    <mergeCell ref="AC27:BK27"/>
    <mergeCell ref="BL27:BR27"/>
    <mergeCell ref="A30:C30"/>
    <mergeCell ref="D30:G30"/>
    <mergeCell ref="H30:O30"/>
    <mergeCell ref="P30:T30"/>
    <mergeCell ref="U30:W30"/>
    <mergeCell ref="X30:AB30"/>
    <mergeCell ref="AC30:BK30"/>
    <mergeCell ref="BL30:BR30"/>
    <mergeCell ref="BS29:BY29"/>
    <mergeCell ref="BS30:BY30"/>
    <mergeCell ref="A29:C29"/>
    <mergeCell ref="D29:G29"/>
    <mergeCell ref="H29:O29"/>
    <mergeCell ref="P29:T29"/>
    <mergeCell ref="U29:W29"/>
    <mergeCell ref="X29:AB29"/>
    <mergeCell ref="AC29:BK29"/>
    <mergeCell ref="BL29:BR29"/>
    <mergeCell ref="A32:C32"/>
    <mergeCell ref="D32:G32"/>
    <mergeCell ref="H32:O32"/>
    <mergeCell ref="P32:T32"/>
    <mergeCell ref="U32:W32"/>
    <mergeCell ref="X32:AB32"/>
    <mergeCell ref="AC32:BK32"/>
    <mergeCell ref="BL32:BR32"/>
    <mergeCell ref="BS31:BY31"/>
    <mergeCell ref="BS32:BY32"/>
    <mergeCell ref="A31:C31"/>
    <mergeCell ref="D31:G31"/>
    <mergeCell ref="H31:O31"/>
    <mergeCell ref="P31:T31"/>
    <mergeCell ref="U31:W31"/>
    <mergeCell ref="X31:AB31"/>
    <mergeCell ref="AC31:BK31"/>
    <mergeCell ref="BL31:BR31"/>
    <mergeCell ref="A34:C34"/>
    <mergeCell ref="D34:G34"/>
    <mergeCell ref="H34:O34"/>
    <mergeCell ref="P34:T34"/>
    <mergeCell ref="U34:W34"/>
    <mergeCell ref="X34:AB34"/>
    <mergeCell ref="AC34:BK34"/>
    <mergeCell ref="BL34:BR34"/>
    <mergeCell ref="BS33:BY33"/>
    <mergeCell ref="BS34:BY34"/>
    <mergeCell ref="A33:C33"/>
    <mergeCell ref="D33:G33"/>
    <mergeCell ref="H33:O33"/>
    <mergeCell ref="P33:T33"/>
    <mergeCell ref="U33:W33"/>
    <mergeCell ref="X33:AB33"/>
    <mergeCell ref="AC33:BK33"/>
    <mergeCell ref="BL33:BR33"/>
    <mergeCell ref="A35:C35"/>
    <mergeCell ref="D35:G35"/>
    <mergeCell ref="H35:O35"/>
    <mergeCell ref="P35:T35"/>
    <mergeCell ref="U35:W35"/>
    <mergeCell ref="X35:AB35"/>
    <mergeCell ref="AC35:BK35"/>
    <mergeCell ref="BL35:BR35"/>
    <mergeCell ref="BS35:BY35"/>
    <mergeCell ref="A36:C36"/>
    <mergeCell ref="D36:G36"/>
    <mergeCell ref="H36:O36"/>
    <mergeCell ref="P36:T36"/>
    <mergeCell ref="U36:W36"/>
    <mergeCell ref="X36:AB36"/>
    <mergeCell ref="AC36:BK36"/>
    <mergeCell ref="BL36:BR36"/>
    <mergeCell ref="BS36:BY36"/>
    <mergeCell ref="A37:C37"/>
    <mergeCell ref="D37:G37"/>
    <mergeCell ref="H37:O37"/>
    <mergeCell ref="P37:T37"/>
    <mergeCell ref="U37:W37"/>
    <mergeCell ref="X37:AB37"/>
    <mergeCell ref="AC37:BK37"/>
    <mergeCell ref="BL37:BR37"/>
    <mergeCell ref="BS37:BY37"/>
    <mergeCell ref="BS5:BY5"/>
    <mergeCell ref="BS6:BY6"/>
    <mergeCell ref="BS7:BY7"/>
    <mergeCell ref="BS8:BY8"/>
    <mergeCell ref="BS9:BY9"/>
    <mergeCell ref="BS10:BY10"/>
    <mergeCell ref="BS11:BY11"/>
    <mergeCell ref="F1:AB1"/>
    <mergeCell ref="A3:C4"/>
    <mergeCell ref="D3:G4"/>
    <mergeCell ref="H3:O4"/>
    <mergeCell ref="P3:T4"/>
    <mergeCell ref="U3:AB3"/>
    <mergeCell ref="AC3:BK4"/>
    <mergeCell ref="BL3:BR4"/>
    <mergeCell ref="BS3:BY4"/>
    <mergeCell ref="U4:W4"/>
    <mergeCell ref="X4:AB4"/>
    <mergeCell ref="A10:C10"/>
    <mergeCell ref="D10:G10"/>
    <mergeCell ref="H10:O10"/>
    <mergeCell ref="P10:T10"/>
    <mergeCell ref="U10:W10"/>
    <mergeCell ref="X10:AB10"/>
  </mergeCells>
  <phoneticPr fontId="3"/>
  <pageMargins left="0.39370078740157483" right="0.15748031496062992" top="0.78740157480314965" bottom="0.39370078740157483" header="0.59055118110236227" footer="0.19685039370078741"/>
  <pageSetup paperSize="9" orientation="landscape" r:id="rId1"/>
  <headerFooter alignWithMargins="0">
    <oddFooter>&amp;R&amp;9株式会社　京信システムサービス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D224"/>
  <sheetViews>
    <sheetView tabSelected="1" zoomScale="115" zoomScaleNormal="115" workbookViewId="0">
      <pane ySplit="3" topLeftCell="A142" activePane="bottomLeft" state="frozen"/>
      <selection activeCell="I40" sqref="I40:AB40"/>
      <selection pane="bottomLeft" activeCell="AC156" sqref="AC156:AT156"/>
    </sheetView>
  </sheetViews>
  <sheetFormatPr defaultColWidth="1.875" defaultRowHeight="15" customHeight="1"/>
  <cols>
    <col min="1" max="2" width="1.875" style="5"/>
    <col min="3" max="3" width="1.875" style="5" customWidth="1"/>
    <col min="4" max="16384" width="1.875" style="5"/>
  </cols>
  <sheetData>
    <row r="1" spans="1:96" s="2" customFormat="1" ht="15" customHeight="1">
      <c r="A1" s="147" t="s">
        <v>2</v>
      </c>
      <c r="B1" s="148"/>
      <c r="C1" s="148"/>
      <c r="D1" s="148"/>
      <c r="E1" s="148"/>
      <c r="F1" s="148"/>
      <c r="G1" s="148"/>
      <c r="H1" s="148"/>
      <c r="I1" s="149" t="str">
        <f>タイトル!I40</f>
        <v>　顧客名：同志社大学　教務システム</v>
      </c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1"/>
      <c r="AE1" s="152" t="s">
        <v>3</v>
      </c>
      <c r="AF1" s="152"/>
      <c r="AG1" s="152"/>
      <c r="AH1" s="152"/>
      <c r="AI1" s="152"/>
      <c r="AJ1" s="152"/>
      <c r="AK1" s="152"/>
      <c r="AL1" s="164" t="str">
        <f>タイトル!I43</f>
        <v>　プロジェクト計画</v>
      </c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6"/>
      <c r="BI1" s="152" t="s">
        <v>4</v>
      </c>
      <c r="BJ1" s="152"/>
      <c r="BK1" s="152"/>
      <c r="BL1" s="152"/>
      <c r="BM1" s="187" t="str">
        <f>タイトル!I46</f>
        <v>中村　恒太郎</v>
      </c>
      <c r="BN1" s="188"/>
      <c r="BO1" s="188"/>
      <c r="BP1" s="188"/>
      <c r="BQ1" s="188"/>
      <c r="BR1" s="188"/>
      <c r="BS1" s="188"/>
      <c r="BT1" s="188"/>
      <c r="BU1" s="188"/>
      <c r="BV1" s="189"/>
      <c r="BW1" s="177">
        <f>タイトル!I47</f>
        <v>45170</v>
      </c>
      <c r="BX1" s="177"/>
      <c r="BY1" s="177"/>
      <c r="BZ1" s="177"/>
      <c r="CA1" s="177"/>
      <c r="CB1" s="177"/>
      <c r="CC1" s="177"/>
      <c r="CD1" s="177"/>
      <c r="CE1" s="177"/>
      <c r="CF1" s="178" t="s">
        <v>5</v>
      </c>
      <c r="CG1" s="179"/>
      <c r="CH1" s="179"/>
      <c r="CI1" s="179"/>
      <c r="CJ1" s="180"/>
      <c r="CK1" s="167"/>
      <c r="CL1" s="168"/>
      <c r="CM1" s="168"/>
      <c r="CN1" s="168"/>
      <c r="CO1" s="168"/>
      <c r="CP1" s="168"/>
      <c r="CQ1" s="168"/>
      <c r="CR1" s="169"/>
    </row>
    <row r="2" spans="1:96" s="2" customFormat="1" ht="15" customHeight="1">
      <c r="A2" s="137" t="s">
        <v>6</v>
      </c>
      <c r="B2" s="138"/>
      <c r="C2" s="138"/>
      <c r="D2" s="138"/>
      <c r="E2" s="138"/>
      <c r="F2" s="138"/>
      <c r="G2" s="138"/>
      <c r="H2" s="138"/>
      <c r="I2" s="153" t="str">
        <f>タイトル!I41</f>
        <v xml:space="preserve"> </v>
      </c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5"/>
      <c r="AE2" s="142" t="s">
        <v>7</v>
      </c>
      <c r="AF2" s="142"/>
      <c r="AG2" s="142"/>
      <c r="AH2" s="142"/>
      <c r="AI2" s="142"/>
      <c r="AJ2" s="142"/>
      <c r="AK2" s="142"/>
      <c r="AL2" s="144" t="str">
        <f>タイトル!I44</f>
        <v>　プロジェクト計画書</v>
      </c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6"/>
      <c r="BI2" s="142" t="s">
        <v>8</v>
      </c>
      <c r="BJ2" s="142"/>
      <c r="BK2" s="142"/>
      <c r="BL2" s="142"/>
      <c r="BM2" s="139"/>
      <c r="BN2" s="140"/>
      <c r="BO2" s="140"/>
      <c r="BP2" s="140"/>
      <c r="BQ2" s="140"/>
      <c r="BR2" s="140"/>
      <c r="BS2" s="140"/>
      <c r="BT2" s="140"/>
      <c r="BU2" s="140"/>
      <c r="BV2" s="141"/>
      <c r="BW2" s="176"/>
      <c r="BX2" s="176"/>
      <c r="BY2" s="176"/>
      <c r="BZ2" s="176"/>
      <c r="CA2" s="176"/>
      <c r="CB2" s="176"/>
      <c r="CC2" s="176"/>
      <c r="CD2" s="176"/>
      <c r="CE2" s="176"/>
      <c r="CF2" s="181"/>
      <c r="CG2" s="182"/>
      <c r="CH2" s="182"/>
      <c r="CI2" s="182"/>
      <c r="CJ2" s="183"/>
      <c r="CK2" s="170"/>
      <c r="CL2" s="171"/>
      <c r="CM2" s="171"/>
      <c r="CN2" s="171"/>
      <c r="CO2" s="171"/>
      <c r="CP2" s="171"/>
      <c r="CQ2" s="171"/>
      <c r="CR2" s="172"/>
    </row>
    <row r="3" spans="1:96" s="2" customFormat="1" ht="15" customHeight="1" thickBot="1">
      <c r="A3" s="156"/>
      <c r="B3" s="157"/>
      <c r="C3" s="157"/>
      <c r="D3" s="157"/>
      <c r="E3" s="157"/>
      <c r="F3" s="157"/>
      <c r="G3" s="157"/>
      <c r="H3" s="157"/>
      <c r="I3" s="158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60"/>
      <c r="AE3" s="143"/>
      <c r="AF3" s="143"/>
      <c r="AG3" s="143"/>
      <c r="AH3" s="143"/>
      <c r="AI3" s="143"/>
      <c r="AJ3" s="143"/>
      <c r="AK3" s="143"/>
      <c r="AL3" s="161"/>
      <c r="AM3" s="162"/>
      <c r="AN3" s="162"/>
      <c r="AO3" s="162"/>
      <c r="AP3" s="162"/>
      <c r="AQ3" s="162"/>
      <c r="AR3" s="162"/>
      <c r="AS3" s="162"/>
      <c r="AT3" s="162"/>
      <c r="AU3" s="162"/>
      <c r="AV3" s="162"/>
      <c r="AW3" s="162"/>
      <c r="AX3" s="162"/>
      <c r="AY3" s="162"/>
      <c r="AZ3" s="162"/>
      <c r="BA3" s="162"/>
      <c r="BB3" s="162"/>
      <c r="BC3" s="162"/>
      <c r="BD3" s="162"/>
      <c r="BE3" s="162"/>
      <c r="BF3" s="162"/>
      <c r="BG3" s="162"/>
      <c r="BH3" s="163"/>
      <c r="BI3" s="143"/>
      <c r="BJ3" s="143"/>
      <c r="BK3" s="143"/>
      <c r="BL3" s="143"/>
      <c r="BM3" s="190"/>
      <c r="BN3" s="191"/>
      <c r="BO3" s="191"/>
      <c r="BP3" s="191"/>
      <c r="BQ3" s="191"/>
      <c r="BR3" s="191"/>
      <c r="BS3" s="191"/>
      <c r="BT3" s="191"/>
      <c r="BU3" s="191"/>
      <c r="BV3" s="191"/>
      <c r="BW3" s="192"/>
      <c r="BX3" s="192"/>
      <c r="BY3" s="192"/>
      <c r="BZ3" s="192"/>
      <c r="CA3" s="192"/>
      <c r="CB3" s="192"/>
      <c r="CC3" s="192"/>
      <c r="CD3" s="192"/>
      <c r="CE3" s="193"/>
      <c r="CF3" s="184"/>
      <c r="CG3" s="185"/>
      <c r="CH3" s="185"/>
      <c r="CI3" s="185"/>
      <c r="CJ3" s="186"/>
      <c r="CK3" s="173"/>
      <c r="CL3" s="174"/>
      <c r="CM3" s="174"/>
      <c r="CN3" s="174"/>
      <c r="CO3" s="174"/>
      <c r="CP3" s="174"/>
      <c r="CQ3" s="174"/>
      <c r="CR3" s="175"/>
    </row>
    <row r="4" spans="1:96" ht="15" customHeight="1">
      <c r="A4" s="3"/>
      <c r="B4" s="4"/>
      <c r="CR4" s="6"/>
    </row>
    <row r="5" spans="1:96" ht="15" customHeight="1">
      <c r="A5" s="3"/>
      <c r="B5" s="4" t="s">
        <v>105</v>
      </c>
      <c r="CR5" s="6"/>
    </row>
    <row r="6" spans="1:96" ht="15" customHeight="1">
      <c r="A6" s="3"/>
      <c r="CR6" s="6"/>
    </row>
    <row r="7" spans="1:96" ht="15" customHeight="1">
      <c r="A7" s="3"/>
      <c r="C7" s="4" t="s">
        <v>106</v>
      </c>
      <c r="CR7" s="6"/>
    </row>
    <row r="8" spans="1:96" ht="15" customHeight="1">
      <c r="A8" s="3"/>
      <c r="CR8" s="6"/>
    </row>
    <row r="9" spans="1:96" ht="15" customHeight="1">
      <c r="A9" s="3"/>
      <c r="D9" s="5" t="s">
        <v>269</v>
      </c>
      <c r="CR9" s="6"/>
    </row>
    <row r="10" spans="1:96" ht="15" customHeight="1">
      <c r="A10" s="3"/>
      <c r="D10" s="5" t="s">
        <v>268</v>
      </c>
      <c r="CR10" s="6"/>
    </row>
    <row r="11" spans="1:96" ht="15" customHeight="1">
      <c r="A11" s="3"/>
      <c r="CR11" s="6"/>
    </row>
    <row r="12" spans="1:96" ht="15" customHeight="1">
      <c r="A12" s="3"/>
      <c r="CR12" s="6"/>
    </row>
    <row r="13" spans="1:96" ht="15" customHeight="1">
      <c r="A13" s="3"/>
      <c r="CR13" s="6"/>
    </row>
    <row r="14" spans="1:96" ht="15" customHeight="1">
      <c r="A14" s="3"/>
      <c r="C14" s="4" t="s">
        <v>119</v>
      </c>
      <c r="CR14" s="6"/>
    </row>
    <row r="15" spans="1:96" ht="15" customHeight="1">
      <c r="A15" s="3"/>
      <c r="E15" s="5" t="s">
        <v>272</v>
      </c>
      <c r="CR15" s="6"/>
    </row>
    <row r="16" spans="1:96" ht="15" customHeight="1">
      <c r="A16" s="3"/>
      <c r="E16" s="5" t="s">
        <v>273</v>
      </c>
      <c r="CR16" s="6"/>
    </row>
    <row r="17" spans="1:96" ht="15" customHeight="1">
      <c r="A17" s="3"/>
      <c r="E17" s="5" t="s">
        <v>274</v>
      </c>
      <c r="CR17" s="6"/>
    </row>
    <row r="18" spans="1:96" ht="15" customHeight="1">
      <c r="A18" s="3"/>
      <c r="E18" s="5" t="s">
        <v>275</v>
      </c>
      <c r="CR18" s="6"/>
    </row>
    <row r="19" spans="1:96" ht="15" customHeight="1">
      <c r="A19" s="3"/>
      <c r="E19" s="41" t="s">
        <v>276</v>
      </c>
      <c r="F19" s="41"/>
      <c r="G19" s="41"/>
      <c r="H19" s="41"/>
      <c r="I19" s="41"/>
      <c r="J19" s="41"/>
      <c r="K19" s="41"/>
      <c r="L19" s="41"/>
      <c r="M19" s="41"/>
      <c r="N19" s="41"/>
      <c r="CR19" s="6"/>
    </row>
    <row r="20" spans="1:96" ht="15" customHeight="1">
      <c r="A20" s="3"/>
      <c r="E20" s="5" t="s">
        <v>277</v>
      </c>
      <c r="O20" s="41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CR20" s="6"/>
    </row>
    <row r="21" spans="1:96" ht="15" customHeight="1">
      <c r="A21" s="3"/>
      <c r="CR21" s="6"/>
    </row>
    <row r="22" spans="1:96" ht="15" customHeight="1">
      <c r="A22" s="3"/>
      <c r="CR22" s="6"/>
    </row>
    <row r="23" spans="1:96" ht="15" customHeight="1">
      <c r="A23" s="3"/>
      <c r="E23" s="5" t="s">
        <v>278</v>
      </c>
      <c r="CR23" s="6"/>
    </row>
    <row r="24" spans="1:96" ht="15" customHeight="1">
      <c r="A24" s="3"/>
      <c r="F24" s="5" t="s">
        <v>270</v>
      </c>
      <c r="CR24" s="6"/>
    </row>
    <row r="25" spans="1:96" ht="15" customHeight="1">
      <c r="A25" s="3"/>
      <c r="F25" s="5" t="s">
        <v>271</v>
      </c>
      <c r="CR25" s="6"/>
    </row>
    <row r="26" spans="1:96" ht="15" customHeight="1">
      <c r="A26" s="3"/>
      <c r="CR26" s="6"/>
    </row>
    <row r="27" spans="1:96" ht="15" customHeight="1">
      <c r="A27" s="3"/>
      <c r="CR27" s="6"/>
    </row>
    <row r="28" spans="1:96" ht="15" customHeight="1">
      <c r="A28" s="3"/>
      <c r="CR28" s="6"/>
    </row>
    <row r="29" spans="1:96" ht="15" customHeight="1">
      <c r="A29" s="3"/>
      <c r="C29" s="4" t="s">
        <v>120</v>
      </c>
      <c r="CR29" s="6"/>
    </row>
    <row r="30" spans="1:96" ht="15" customHeight="1">
      <c r="A30" s="3"/>
      <c r="CR30" s="6"/>
    </row>
    <row r="31" spans="1:96" ht="15" customHeight="1">
      <c r="A31" s="3"/>
      <c r="D31" s="5" t="s">
        <v>118</v>
      </c>
      <c r="CR31" s="6"/>
    </row>
    <row r="32" spans="1:96" ht="15" customHeight="1">
      <c r="A32" s="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3"/>
      <c r="BV32" s="63"/>
      <c r="BW32" s="63"/>
      <c r="BX32" s="63"/>
      <c r="BY32" s="63"/>
      <c r="BZ32" s="63"/>
      <c r="CA32" s="63"/>
      <c r="CB32" s="63"/>
      <c r="CC32" s="63"/>
      <c r="CD32" s="63"/>
      <c r="CE32" s="63"/>
      <c r="CF32" s="63"/>
      <c r="CG32" s="63"/>
      <c r="CH32" s="63"/>
      <c r="CI32" s="63"/>
      <c r="CJ32" s="63"/>
      <c r="CK32" s="63"/>
      <c r="CL32" s="63"/>
      <c r="CM32" s="63"/>
      <c r="CR32" s="6"/>
    </row>
    <row r="33" spans="1:96" ht="15" customHeight="1">
      <c r="A33" s="3"/>
      <c r="E33" s="196" t="s">
        <v>107</v>
      </c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7" t="s">
        <v>281</v>
      </c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  <c r="CI33" s="63"/>
      <c r="CJ33" s="63"/>
      <c r="CK33" s="63"/>
      <c r="CL33" s="63"/>
      <c r="CM33" s="63"/>
      <c r="CR33" s="6"/>
    </row>
    <row r="34" spans="1:96" ht="15" customHeight="1">
      <c r="A34" s="3"/>
      <c r="E34" s="196" t="s">
        <v>108</v>
      </c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7" t="s">
        <v>291</v>
      </c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U34" s="63"/>
      <c r="BV34" s="63"/>
      <c r="BW34" s="63"/>
      <c r="BX34" s="63"/>
      <c r="BY34" s="63"/>
      <c r="BZ34" s="63"/>
      <c r="CA34" s="63"/>
      <c r="CB34" s="63"/>
      <c r="CC34" s="63"/>
      <c r="CD34" s="63"/>
      <c r="CE34" s="63"/>
      <c r="CF34" s="63"/>
      <c r="CG34" s="63"/>
      <c r="CH34" s="63"/>
      <c r="CI34" s="63"/>
      <c r="CJ34" s="63"/>
      <c r="CK34" s="63"/>
      <c r="CL34" s="63"/>
      <c r="CM34" s="63"/>
      <c r="CR34" s="6"/>
    </row>
    <row r="35" spans="1:96" ht="15" customHeight="1">
      <c r="A35" s="3"/>
      <c r="E35" s="196" t="s">
        <v>109</v>
      </c>
      <c r="F35" s="196"/>
      <c r="G35" s="196"/>
      <c r="H35" s="196"/>
      <c r="I35" s="196"/>
      <c r="J35" s="196"/>
      <c r="K35" s="196"/>
      <c r="L35" s="196"/>
      <c r="M35" s="196"/>
      <c r="N35" s="196"/>
      <c r="O35" s="196"/>
      <c r="P35" s="198" t="s">
        <v>279</v>
      </c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  <c r="BU35" s="63"/>
      <c r="BV35" s="63"/>
      <c r="BW35" s="63"/>
      <c r="BX35" s="63"/>
      <c r="BY35" s="63"/>
      <c r="BZ35" s="63"/>
      <c r="CA35" s="63"/>
      <c r="CB35" s="63"/>
      <c r="CC35" s="63"/>
      <c r="CD35" s="63"/>
      <c r="CE35" s="63"/>
      <c r="CF35" s="63"/>
      <c r="CG35" s="63"/>
      <c r="CH35" s="63"/>
      <c r="CI35" s="63"/>
      <c r="CJ35" s="63"/>
      <c r="CK35" s="63"/>
      <c r="CL35" s="63"/>
      <c r="CM35" s="63"/>
      <c r="CR35" s="6"/>
    </row>
    <row r="36" spans="1:96" ht="15" customHeight="1">
      <c r="A36" s="3"/>
      <c r="E36" s="196" t="s">
        <v>114</v>
      </c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7" t="s">
        <v>280</v>
      </c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3"/>
      <c r="BV36" s="63"/>
      <c r="BW36" s="63"/>
      <c r="BX36" s="63"/>
      <c r="BY36" s="63"/>
      <c r="BZ36" s="63"/>
      <c r="CA36" s="63"/>
      <c r="CB36" s="63"/>
      <c r="CC36" s="63"/>
      <c r="CD36" s="63"/>
      <c r="CE36" s="63"/>
      <c r="CF36" s="63"/>
      <c r="CG36" s="63"/>
      <c r="CH36" s="63"/>
      <c r="CI36" s="63"/>
      <c r="CJ36" s="63"/>
      <c r="CK36" s="63"/>
      <c r="CL36" s="63"/>
      <c r="CM36" s="63"/>
      <c r="CR36" s="6"/>
    </row>
    <row r="37" spans="1:96" ht="15" customHeight="1">
      <c r="A37" s="3"/>
      <c r="E37" s="199" t="s">
        <v>116</v>
      </c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13" t="s">
        <v>327</v>
      </c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3"/>
      <c r="BM37" s="63"/>
      <c r="BN37" s="63"/>
      <c r="BO37" s="63"/>
      <c r="BP37" s="63"/>
      <c r="BQ37" s="63"/>
      <c r="BR37" s="63"/>
      <c r="BS37" s="63"/>
      <c r="BT37" s="63"/>
      <c r="BU37" s="63"/>
      <c r="BV37" s="63"/>
      <c r="BW37" s="63"/>
      <c r="BX37" s="63"/>
      <c r="BY37" s="63"/>
      <c r="BZ37" s="63"/>
      <c r="CA37" s="63"/>
      <c r="CB37" s="63"/>
      <c r="CC37" s="63"/>
      <c r="CD37" s="63"/>
      <c r="CE37" s="63"/>
      <c r="CF37" s="63"/>
      <c r="CG37" s="63"/>
      <c r="CH37" s="63"/>
      <c r="CI37" s="63"/>
      <c r="CJ37" s="63"/>
      <c r="CK37" s="63"/>
      <c r="CL37" s="63"/>
      <c r="CM37" s="63"/>
      <c r="CR37" s="6"/>
    </row>
    <row r="38" spans="1:96" ht="15" customHeight="1">
      <c r="A38" s="3"/>
      <c r="E38" s="199"/>
      <c r="F38" s="199"/>
      <c r="G38" s="199"/>
      <c r="H38" s="199"/>
      <c r="I38" s="199"/>
      <c r="J38" s="199"/>
      <c r="K38" s="199"/>
      <c r="L38" s="199"/>
      <c r="M38" s="199"/>
      <c r="N38" s="199"/>
      <c r="O38" s="199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  <c r="BU38" s="63"/>
      <c r="BV38" s="63"/>
      <c r="BW38" s="63"/>
      <c r="BX38" s="63"/>
      <c r="BY38" s="63"/>
      <c r="BZ38" s="63"/>
      <c r="CA38" s="63"/>
      <c r="CB38" s="63"/>
      <c r="CC38" s="63"/>
      <c r="CD38" s="63"/>
      <c r="CE38" s="63"/>
      <c r="CF38" s="63"/>
      <c r="CG38" s="63"/>
      <c r="CH38" s="63"/>
      <c r="CI38" s="63"/>
      <c r="CJ38" s="63"/>
      <c r="CK38" s="63"/>
      <c r="CL38" s="63"/>
      <c r="CM38" s="63"/>
      <c r="CR38" s="6"/>
    </row>
    <row r="39" spans="1:96" ht="15" customHeight="1">
      <c r="A39" s="3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  <c r="BI39" s="63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3"/>
      <c r="BV39" s="63"/>
      <c r="BW39" s="63"/>
      <c r="BX39" s="63"/>
      <c r="BY39" s="63"/>
      <c r="BZ39" s="63"/>
      <c r="CA39" s="63"/>
      <c r="CB39" s="63"/>
      <c r="CC39" s="63"/>
      <c r="CD39" s="63"/>
      <c r="CE39" s="63"/>
      <c r="CF39" s="63"/>
      <c r="CG39" s="63"/>
      <c r="CH39" s="63"/>
      <c r="CI39" s="63"/>
      <c r="CJ39" s="63"/>
      <c r="CK39" s="63"/>
      <c r="CL39" s="63"/>
      <c r="CM39" s="63"/>
      <c r="CR39" s="6"/>
    </row>
    <row r="40" spans="1:96" ht="15" customHeight="1">
      <c r="A40" s="3"/>
      <c r="D40" s="5" t="s">
        <v>111</v>
      </c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63"/>
      <c r="BJ40" s="63"/>
      <c r="BK40" s="63"/>
      <c r="BL40" s="63"/>
      <c r="BM40" s="63"/>
      <c r="BN40" s="63"/>
      <c r="BO40" s="63"/>
      <c r="BP40" s="63"/>
      <c r="BQ40" s="63"/>
      <c r="BR40" s="63"/>
      <c r="BS40" s="63"/>
      <c r="BT40" s="63"/>
      <c r="BU40" s="63"/>
      <c r="BV40" s="63"/>
      <c r="BW40" s="63"/>
      <c r="BX40" s="63"/>
      <c r="BY40" s="63"/>
      <c r="BZ40" s="63"/>
      <c r="CA40" s="63"/>
      <c r="CB40" s="63"/>
      <c r="CC40" s="63"/>
      <c r="CD40" s="63"/>
      <c r="CE40" s="63"/>
      <c r="CF40" s="63"/>
      <c r="CG40" s="63"/>
      <c r="CH40" s="63"/>
      <c r="CI40" s="63"/>
      <c r="CJ40" s="63"/>
      <c r="CK40" s="63"/>
      <c r="CL40" s="63"/>
      <c r="CM40" s="63"/>
      <c r="CR40" s="6"/>
    </row>
    <row r="41" spans="1:96" ht="15" customHeight="1">
      <c r="A41" s="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63"/>
      <c r="BV41" s="63"/>
      <c r="BW41" s="63"/>
      <c r="BX41" s="63"/>
      <c r="BY41" s="63"/>
      <c r="BZ41" s="63"/>
      <c r="CA41" s="63"/>
      <c r="CB41" s="63"/>
      <c r="CC41" s="63"/>
      <c r="CD41" s="63"/>
      <c r="CE41" s="63"/>
      <c r="CF41" s="63"/>
      <c r="CG41" s="63"/>
      <c r="CH41" s="63"/>
      <c r="CI41" s="63"/>
      <c r="CJ41" s="63"/>
      <c r="CK41" s="63"/>
      <c r="CL41" s="63"/>
      <c r="CM41" s="63"/>
      <c r="CR41" s="6"/>
    </row>
    <row r="42" spans="1:96" ht="15" customHeight="1">
      <c r="A42" s="3"/>
      <c r="E42" s="196" t="s">
        <v>115</v>
      </c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7" t="s">
        <v>280</v>
      </c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63"/>
      <c r="BV42" s="63"/>
      <c r="BW42" s="63"/>
      <c r="BX42" s="63"/>
      <c r="BY42" s="63"/>
      <c r="BZ42" s="63"/>
      <c r="CA42" s="63"/>
      <c r="CB42" s="63"/>
      <c r="CC42" s="63"/>
      <c r="CD42" s="63"/>
      <c r="CE42" s="63"/>
      <c r="CF42" s="63"/>
      <c r="CG42" s="63"/>
      <c r="CH42" s="63"/>
      <c r="CI42" s="63"/>
      <c r="CJ42" s="63"/>
      <c r="CK42" s="63"/>
      <c r="CL42" s="63"/>
      <c r="CM42" s="63"/>
      <c r="CR42" s="6"/>
    </row>
    <row r="43" spans="1:96" ht="15" customHeight="1">
      <c r="A43" s="3"/>
      <c r="E43" s="196" t="s">
        <v>110</v>
      </c>
      <c r="F43" s="196"/>
      <c r="G43" s="196"/>
      <c r="H43" s="196"/>
      <c r="I43" s="196"/>
      <c r="J43" s="196"/>
      <c r="K43" s="196"/>
      <c r="L43" s="196"/>
      <c r="M43" s="196"/>
      <c r="N43" s="196"/>
      <c r="O43" s="196"/>
      <c r="P43" s="197" t="s">
        <v>258</v>
      </c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3"/>
      <c r="BV43" s="63"/>
      <c r="BW43" s="63"/>
      <c r="BX43" s="63"/>
      <c r="BY43" s="63"/>
      <c r="BZ43" s="63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63"/>
      <c r="CL43" s="63"/>
      <c r="CM43" s="63"/>
      <c r="CR43" s="6"/>
    </row>
    <row r="44" spans="1:96" ht="15" customHeight="1">
      <c r="A44" s="3"/>
      <c r="E44" s="196" t="s">
        <v>112</v>
      </c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7" t="s">
        <v>257</v>
      </c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BH44" s="63"/>
      <c r="BI44" s="63"/>
      <c r="BJ44" s="63"/>
      <c r="BK44" s="63"/>
      <c r="BL44" s="63"/>
      <c r="BM44" s="63"/>
      <c r="BN44" s="63"/>
      <c r="BO44" s="63"/>
      <c r="BP44" s="63"/>
      <c r="BQ44" s="63"/>
      <c r="BR44" s="63"/>
      <c r="BS44" s="63"/>
      <c r="BT44" s="63"/>
      <c r="BU44" s="63"/>
      <c r="BV44" s="63"/>
      <c r="BW44" s="63"/>
      <c r="BX44" s="63"/>
      <c r="BY44" s="63"/>
      <c r="BZ44" s="63"/>
      <c r="CA44" s="63"/>
      <c r="CB44" s="63"/>
      <c r="CC44" s="63"/>
      <c r="CD44" s="63"/>
      <c r="CE44" s="63"/>
      <c r="CF44" s="63"/>
      <c r="CG44" s="63"/>
      <c r="CH44" s="63"/>
      <c r="CI44" s="63"/>
      <c r="CJ44" s="63"/>
      <c r="CK44" s="63"/>
      <c r="CL44" s="63"/>
      <c r="CM44" s="63"/>
      <c r="CR44" s="6"/>
    </row>
    <row r="45" spans="1:96" ht="15" customHeight="1">
      <c r="A45" s="3"/>
      <c r="E45" s="196" t="s">
        <v>113</v>
      </c>
      <c r="F45" s="196"/>
      <c r="G45" s="196"/>
      <c r="H45" s="196"/>
      <c r="I45" s="196"/>
      <c r="J45" s="196"/>
      <c r="K45" s="196"/>
      <c r="L45" s="196"/>
      <c r="M45" s="196"/>
      <c r="N45" s="196"/>
      <c r="O45" s="196"/>
      <c r="P45" s="197" t="s">
        <v>228</v>
      </c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  <c r="BT45" s="63"/>
      <c r="BU45" s="63"/>
      <c r="BV45" s="63"/>
      <c r="BW45" s="63"/>
      <c r="BX45" s="63"/>
      <c r="BY45" s="63"/>
      <c r="BZ45" s="63"/>
      <c r="CA45" s="63"/>
      <c r="CB45" s="63"/>
      <c r="CC45" s="63"/>
      <c r="CD45" s="63"/>
      <c r="CE45" s="63"/>
      <c r="CF45" s="63"/>
      <c r="CG45" s="63"/>
      <c r="CH45" s="63"/>
      <c r="CI45" s="63"/>
      <c r="CJ45" s="63"/>
      <c r="CK45" s="63"/>
      <c r="CL45" s="63"/>
      <c r="CM45" s="63"/>
      <c r="CR45" s="6"/>
    </row>
    <row r="46" spans="1:96" ht="15" customHeight="1">
      <c r="A46" s="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  <c r="BT46" s="63"/>
      <c r="BU46" s="63"/>
      <c r="BV46" s="63"/>
      <c r="BW46" s="63"/>
      <c r="BX46" s="63"/>
      <c r="BY46" s="63"/>
      <c r="BZ46" s="63"/>
      <c r="CA46" s="63"/>
      <c r="CB46" s="63"/>
      <c r="CC46" s="63"/>
      <c r="CD46" s="63"/>
      <c r="CE46" s="63"/>
      <c r="CF46" s="63"/>
      <c r="CG46" s="63"/>
      <c r="CH46" s="63"/>
      <c r="CI46" s="63"/>
      <c r="CJ46" s="63"/>
      <c r="CK46" s="63"/>
      <c r="CL46" s="63"/>
      <c r="CM46" s="63"/>
      <c r="CR46" s="6"/>
    </row>
    <row r="47" spans="1:96" ht="15" customHeight="1" thickBot="1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9"/>
    </row>
    <row r="48" spans="1:96" ht="15" customHeight="1">
      <c r="A48" s="3"/>
      <c r="B48" s="4"/>
      <c r="CR48" s="6"/>
    </row>
    <row r="49" spans="1:132" ht="15" customHeight="1">
      <c r="A49" s="3"/>
      <c r="C49" s="4" t="s">
        <v>121</v>
      </c>
      <c r="CR49" s="6"/>
    </row>
    <row r="50" spans="1:132" ht="15" customHeight="1">
      <c r="A50" s="3"/>
      <c r="CR50" s="6"/>
    </row>
    <row r="51" spans="1:132" ht="15" customHeight="1">
      <c r="A51" s="3"/>
      <c r="D51" s="5" t="s">
        <v>117</v>
      </c>
      <c r="CR51" s="6"/>
    </row>
    <row r="52" spans="1:132" ht="15" customHeight="1">
      <c r="A52" s="3"/>
      <c r="CR52" s="6"/>
    </row>
    <row r="53" spans="1:132" ht="15" customHeight="1">
      <c r="A53" s="3"/>
      <c r="C53" s="4" t="s">
        <v>122</v>
      </c>
      <c r="CR53" s="6"/>
    </row>
    <row r="54" spans="1:132" ht="15" customHeight="1">
      <c r="A54" s="3"/>
      <c r="AL54" s="61" t="s">
        <v>143</v>
      </c>
      <c r="BV54" s="61"/>
      <c r="CR54" s="6"/>
    </row>
    <row r="55" spans="1:132" ht="15" customHeight="1">
      <c r="A55" s="3"/>
      <c r="E55" s="109" t="s">
        <v>147</v>
      </c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 t="s">
        <v>136</v>
      </c>
      <c r="T55" s="109"/>
      <c r="U55" s="109"/>
      <c r="V55" s="109"/>
      <c r="W55" s="109" t="s">
        <v>137</v>
      </c>
      <c r="X55" s="109"/>
      <c r="Y55" s="109"/>
      <c r="Z55" s="109"/>
      <c r="AA55" s="109" t="s">
        <v>138</v>
      </c>
      <c r="AB55" s="109"/>
      <c r="AC55" s="109"/>
      <c r="AD55" s="109"/>
      <c r="AE55" s="109" t="s">
        <v>139</v>
      </c>
      <c r="AF55" s="109"/>
      <c r="AG55" s="109"/>
      <c r="AH55" s="109"/>
      <c r="AI55" s="109" t="s">
        <v>245</v>
      </c>
      <c r="AJ55" s="109"/>
      <c r="AK55" s="109"/>
      <c r="AL55" s="109"/>
      <c r="BV55" s="61"/>
      <c r="CR55" s="6"/>
    </row>
    <row r="56" spans="1:132" ht="15" customHeight="1">
      <c r="A56" s="3"/>
      <c r="E56" s="134" t="s">
        <v>123</v>
      </c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08"/>
      <c r="T56" s="108"/>
      <c r="U56" s="108"/>
      <c r="V56" s="108"/>
      <c r="W56" s="108">
        <v>7.8</v>
      </c>
      <c r="X56" s="108"/>
      <c r="Y56" s="108"/>
      <c r="Z56" s="108"/>
      <c r="AA56" s="108"/>
      <c r="AB56" s="108"/>
      <c r="AC56" s="108"/>
      <c r="AD56" s="108"/>
      <c r="AE56" s="108"/>
      <c r="AF56" s="108"/>
      <c r="AG56" s="108"/>
      <c r="AH56" s="108"/>
      <c r="AI56" s="108">
        <f>SUM(S56:AH56)</f>
        <v>7.8</v>
      </c>
      <c r="AJ56" s="108"/>
      <c r="AK56" s="108"/>
      <c r="AL56" s="108"/>
      <c r="BV56" s="61"/>
      <c r="CR56" s="6"/>
      <c r="CT56" s="5" t="s">
        <v>298</v>
      </c>
    </row>
    <row r="57" spans="1:132" ht="15" customHeight="1">
      <c r="A57" s="3"/>
      <c r="E57" s="134" t="s">
        <v>124</v>
      </c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08"/>
      <c r="T57" s="108"/>
      <c r="U57" s="108"/>
      <c r="V57" s="108"/>
      <c r="W57" s="108">
        <v>16.2</v>
      </c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>
        <f t="shared" ref="AI57:AI73" si="0">SUM(S57:AH57)</f>
        <v>16.2</v>
      </c>
      <c r="AJ57" s="108"/>
      <c r="AK57" s="108"/>
      <c r="AL57" s="108"/>
      <c r="BV57" s="61"/>
      <c r="CR57" s="6"/>
      <c r="DI57" s="109" t="s">
        <v>136</v>
      </c>
      <c r="DJ57" s="109"/>
      <c r="DK57" s="109"/>
      <c r="DL57" s="109"/>
      <c r="DM57" s="109" t="s">
        <v>137</v>
      </c>
      <c r="DN57" s="109"/>
      <c r="DO57" s="109"/>
      <c r="DP57" s="109"/>
      <c r="DQ57" s="109" t="s">
        <v>138</v>
      </c>
      <c r="DR57" s="109"/>
      <c r="DS57" s="109"/>
      <c r="DT57" s="109"/>
      <c r="DU57" s="109" t="s">
        <v>139</v>
      </c>
      <c r="DV57" s="109"/>
      <c r="DW57" s="109"/>
      <c r="DX57" s="109"/>
      <c r="DY57" s="109" t="s">
        <v>245</v>
      </c>
      <c r="DZ57" s="109"/>
      <c r="EA57" s="109"/>
      <c r="EB57" s="109"/>
    </row>
    <row r="58" spans="1:132" ht="15" customHeight="1">
      <c r="A58" s="3"/>
      <c r="E58" s="134" t="s">
        <v>125</v>
      </c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08"/>
      <c r="T58" s="108"/>
      <c r="U58" s="108"/>
      <c r="V58" s="108"/>
      <c r="W58" s="108"/>
      <c r="X58" s="108"/>
      <c r="Y58" s="108"/>
      <c r="Z58" s="108"/>
      <c r="AA58" s="108">
        <v>35.799999999999997</v>
      </c>
      <c r="AB58" s="108"/>
      <c r="AC58" s="108"/>
      <c r="AD58" s="108"/>
      <c r="AE58" s="108"/>
      <c r="AF58" s="108"/>
      <c r="AG58" s="108"/>
      <c r="AH58" s="108"/>
      <c r="AI58" s="108">
        <f t="shared" si="0"/>
        <v>35.799999999999997</v>
      </c>
      <c r="AJ58" s="108"/>
      <c r="AK58" s="108"/>
      <c r="AL58" s="108"/>
      <c r="BV58" s="61"/>
      <c r="CR58" s="6"/>
      <c r="CU58" s="134" t="s">
        <v>304</v>
      </c>
      <c r="CV58" s="134"/>
      <c r="CW58" s="134"/>
      <c r="CX58" s="134"/>
      <c r="CY58" s="134"/>
      <c r="CZ58" s="134"/>
      <c r="DA58" s="134"/>
      <c r="DB58" s="134"/>
      <c r="DC58" s="134"/>
      <c r="DD58" s="134"/>
      <c r="DE58" s="134"/>
      <c r="DF58" s="134"/>
      <c r="DG58" s="134"/>
      <c r="DH58" s="134"/>
      <c r="DI58" s="108"/>
      <c r="DJ58" s="108"/>
      <c r="DK58" s="108"/>
      <c r="DL58" s="108"/>
      <c r="DM58" s="108">
        <v>28.6</v>
      </c>
      <c r="DN58" s="108"/>
      <c r="DO58" s="108"/>
      <c r="DP58" s="108"/>
      <c r="DQ58" s="108">
        <v>46.8</v>
      </c>
      <c r="DR58" s="108"/>
      <c r="DS58" s="108"/>
      <c r="DT58" s="108"/>
      <c r="DU58" s="108">
        <v>68.8</v>
      </c>
      <c r="DV58" s="108"/>
      <c r="DW58" s="108"/>
      <c r="DX58" s="108"/>
      <c r="DY58" s="108">
        <f t="shared" ref="DY58" si="1">SUM(DI58:DX58)</f>
        <v>144.19999999999999</v>
      </c>
      <c r="DZ58" s="108"/>
      <c r="EA58" s="108"/>
      <c r="EB58" s="108"/>
    </row>
    <row r="59" spans="1:132" ht="15" customHeight="1">
      <c r="A59" s="3"/>
      <c r="E59" s="134" t="s">
        <v>126</v>
      </c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  <c r="AE59" s="108">
        <v>68.8</v>
      </c>
      <c r="AF59" s="108"/>
      <c r="AG59" s="108"/>
      <c r="AH59" s="108"/>
      <c r="AI59" s="108">
        <f t="shared" si="0"/>
        <v>68.8</v>
      </c>
      <c r="AJ59" s="108"/>
      <c r="AK59" s="108"/>
      <c r="AL59" s="108"/>
      <c r="BV59" s="61"/>
      <c r="CR59" s="6"/>
    </row>
    <row r="60" spans="1:132" ht="15" customHeight="1">
      <c r="A60" s="3"/>
      <c r="E60" s="134" t="s">
        <v>127</v>
      </c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08"/>
      <c r="T60" s="108"/>
      <c r="U60" s="108"/>
      <c r="V60" s="108"/>
      <c r="W60" s="108"/>
      <c r="X60" s="108"/>
      <c r="Y60" s="108"/>
      <c r="Z60" s="108"/>
      <c r="AA60" s="108">
        <v>11</v>
      </c>
      <c r="AB60" s="108"/>
      <c r="AC60" s="108"/>
      <c r="AD60" s="108"/>
      <c r="AE60" s="108"/>
      <c r="AF60" s="108"/>
      <c r="AG60" s="108"/>
      <c r="AH60" s="108"/>
      <c r="AI60" s="108">
        <f t="shared" si="0"/>
        <v>11</v>
      </c>
      <c r="AJ60" s="108"/>
      <c r="AK60" s="108"/>
      <c r="AL60" s="108"/>
      <c r="BV60" s="61"/>
      <c r="CR60" s="6"/>
    </row>
    <row r="61" spans="1:132" ht="15" customHeight="1">
      <c r="A61" s="3"/>
      <c r="E61" s="134" t="s">
        <v>141</v>
      </c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08"/>
      <c r="T61" s="108"/>
      <c r="U61" s="108"/>
      <c r="V61" s="108"/>
      <c r="W61" s="108">
        <v>4.5999999999999996</v>
      </c>
      <c r="X61" s="108"/>
      <c r="Y61" s="108"/>
      <c r="Z61" s="108"/>
      <c r="AA61" s="108"/>
      <c r="AB61" s="108"/>
      <c r="AC61" s="108"/>
      <c r="AD61" s="108"/>
      <c r="AE61" s="108"/>
      <c r="AF61" s="108"/>
      <c r="AG61" s="108"/>
      <c r="AH61" s="108"/>
      <c r="AI61" s="108">
        <f t="shared" si="0"/>
        <v>4.5999999999999996</v>
      </c>
      <c r="AJ61" s="108"/>
      <c r="AK61" s="108"/>
      <c r="AL61" s="108"/>
      <c r="BV61" s="61"/>
      <c r="CR61" s="6"/>
    </row>
    <row r="62" spans="1:132" ht="15" customHeight="1">
      <c r="A62" s="3"/>
      <c r="E62" s="134" t="s">
        <v>142</v>
      </c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08"/>
      <c r="T62" s="108"/>
      <c r="U62" s="108"/>
      <c r="V62" s="108"/>
      <c r="W62" s="108">
        <v>4.9000000000000004</v>
      </c>
      <c r="X62" s="108"/>
      <c r="Y62" s="108"/>
      <c r="Z62" s="108"/>
      <c r="AA62" s="108"/>
      <c r="AB62" s="108"/>
      <c r="AC62" s="108"/>
      <c r="AD62" s="108"/>
      <c r="AE62" s="108"/>
      <c r="AF62" s="108"/>
      <c r="AG62" s="108"/>
      <c r="AH62" s="108"/>
      <c r="AI62" s="108">
        <f t="shared" si="0"/>
        <v>4.9000000000000004</v>
      </c>
      <c r="AJ62" s="108"/>
      <c r="AK62" s="108"/>
      <c r="AL62" s="108"/>
      <c r="BV62" s="61"/>
      <c r="CR62" s="6"/>
    </row>
    <row r="63" spans="1:132" ht="15" customHeight="1">
      <c r="A63" s="3"/>
      <c r="E63" s="194" t="s">
        <v>144</v>
      </c>
      <c r="F63" s="194"/>
      <c r="G63" s="194"/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107">
        <f>SUM(S56:V62)</f>
        <v>0</v>
      </c>
      <c r="T63" s="107"/>
      <c r="U63" s="107"/>
      <c r="V63" s="107"/>
      <c r="W63" s="107">
        <f t="shared" ref="W63" si="2">SUM(W56:Z62)</f>
        <v>33.5</v>
      </c>
      <c r="X63" s="107"/>
      <c r="Y63" s="107"/>
      <c r="Z63" s="107"/>
      <c r="AA63" s="107">
        <f t="shared" ref="AA63" si="3">SUM(AA56:AD62)</f>
        <v>46.8</v>
      </c>
      <c r="AB63" s="107"/>
      <c r="AC63" s="107"/>
      <c r="AD63" s="107"/>
      <c r="AE63" s="107">
        <f>SUM(AE56:AH62)</f>
        <v>68.8</v>
      </c>
      <c r="AF63" s="107"/>
      <c r="AG63" s="107"/>
      <c r="AH63" s="107"/>
      <c r="AI63" s="107">
        <f t="shared" si="0"/>
        <v>149.1</v>
      </c>
      <c r="AJ63" s="107"/>
      <c r="AK63" s="107"/>
      <c r="AL63" s="107"/>
      <c r="BV63" s="61"/>
      <c r="CR63" s="6"/>
    </row>
    <row r="64" spans="1:132" ht="15" customHeight="1">
      <c r="A64" s="3"/>
      <c r="E64" s="134" t="s">
        <v>128</v>
      </c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  <c r="AE64" s="108"/>
      <c r="AF64" s="108"/>
      <c r="AG64" s="108"/>
      <c r="AH64" s="108"/>
      <c r="AI64" s="108">
        <f t="shared" si="0"/>
        <v>0</v>
      </c>
      <c r="AJ64" s="108"/>
      <c r="AK64" s="108"/>
      <c r="AL64" s="108"/>
      <c r="BV64" s="61"/>
      <c r="CR64" s="6"/>
    </row>
    <row r="65" spans="1:134" ht="15" customHeight="1">
      <c r="A65" s="3"/>
      <c r="E65" s="134" t="s">
        <v>140</v>
      </c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08"/>
      <c r="T65" s="108"/>
      <c r="U65" s="108"/>
      <c r="V65" s="108"/>
      <c r="W65" s="108">
        <v>1</v>
      </c>
      <c r="X65" s="108"/>
      <c r="Y65" s="108"/>
      <c r="Z65" s="108"/>
      <c r="AA65" s="108"/>
      <c r="AB65" s="108"/>
      <c r="AC65" s="108"/>
      <c r="AD65" s="108"/>
      <c r="AE65" s="108">
        <v>1.5</v>
      </c>
      <c r="AF65" s="108"/>
      <c r="AG65" s="108"/>
      <c r="AH65" s="108"/>
      <c r="AI65" s="108">
        <f t="shared" si="0"/>
        <v>2.5</v>
      </c>
      <c r="AJ65" s="108"/>
      <c r="AK65" s="108"/>
      <c r="AL65" s="108"/>
      <c r="BV65" s="61"/>
      <c r="CR65" s="6"/>
    </row>
    <row r="66" spans="1:134" ht="15" customHeight="1">
      <c r="A66" s="3"/>
      <c r="E66" s="134" t="s">
        <v>129</v>
      </c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08"/>
      <c r="T66" s="108"/>
      <c r="U66" s="108"/>
      <c r="V66" s="108"/>
      <c r="W66" s="108">
        <v>32</v>
      </c>
      <c r="X66" s="108"/>
      <c r="Y66" s="108"/>
      <c r="Z66" s="108"/>
      <c r="AA66" s="108"/>
      <c r="AB66" s="108"/>
      <c r="AC66" s="108"/>
      <c r="AD66" s="108"/>
      <c r="AE66" s="108"/>
      <c r="AF66" s="108"/>
      <c r="AG66" s="108"/>
      <c r="AH66" s="108"/>
      <c r="AI66" s="108">
        <f t="shared" si="0"/>
        <v>32</v>
      </c>
      <c r="AJ66" s="108"/>
      <c r="AK66" s="108"/>
      <c r="AL66" s="108"/>
      <c r="BV66" s="61"/>
      <c r="CR66" s="6"/>
      <c r="CT66" s="5" t="s">
        <v>282</v>
      </c>
      <c r="DG66" s="5" t="s">
        <v>283</v>
      </c>
    </row>
    <row r="67" spans="1:134" ht="15" customHeight="1">
      <c r="A67" s="3"/>
      <c r="E67" s="194" t="s">
        <v>145</v>
      </c>
      <c r="F67" s="194"/>
      <c r="G67" s="194"/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194"/>
      <c r="S67" s="107">
        <f>SUM(S64:V66)</f>
        <v>0</v>
      </c>
      <c r="T67" s="107"/>
      <c r="U67" s="107"/>
      <c r="V67" s="107"/>
      <c r="W67" s="107">
        <f t="shared" ref="W67" si="4">SUM(W64:Z66)</f>
        <v>33</v>
      </c>
      <c r="X67" s="107"/>
      <c r="Y67" s="107"/>
      <c r="Z67" s="107"/>
      <c r="AA67" s="107">
        <f t="shared" ref="AA67" si="5">SUM(AA64:AD66)</f>
        <v>0</v>
      </c>
      <c r="AB67" s="107"/>
      <c r="AC67" s="107"/>
      <c r="AD67" s="107"/>
      <c r="AE67" s="107">
        <f t="shared" ref="AE67" si="6">SUM(AE64:AH66)</f>
        <v>1.5</v>
      </c>
      <c r="AF67" s="107"/>
      <c r="AG67" s="107"/>
      <c r="AH67" s="107"/>
      <c r="AI67" s="107">
        <f t="shared" ref="AI67" si="7">SUM(AI64:AL66)</f>
        <v>34.5</v>
      </c>
      <c r="AJ67" s="107"/>
      <c r="AK67" s="107"/>
      <c r="AL67" s="107"/>
      <c r="BV67" s="61"/>
      <c r="CR67" s="6"/>
    </row>
    <row r="68" spans="1:134" ht="15" customHeight="1">
      <c r="A68" s="3"/>
      <c r="E68" s="134" t="s">
        <v>130</v>
      </c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08"/>
      <c r="T68" s="108"/>
      <c r="U68" s="108"/>
      <c r="V68" s="108"/>
      <c r="W68" s="108">
        <v>9</v>
      </c>
      <c r="X68" s="108"/>
      <c r="Y68" s="108"/>
      <c r="Z68" s="108"/>
      <c r="AA68" s="108">
        <v>7.8</v>
      </c>
      <c r="AB68" s="108"/>
      <c r="AC68" s="108"/>
      <c r="AD68" s="108"/>
      <c r="AE68" s="108">
        <v>6</v>
      </c>
      <c r="AF68" s="108"/>
      <c r="AG68" s="108"/>
      <c r="AH68" s="108"/>
      <c r="AI68" s="108">
        <f t="shared" si="0"/>
        <v>22.8</v>
      </c>
      <c r="AJ68" s="108"/>
      <c r="AK68" s="108"/>
      <c r="AL68" s="108"/>
      <c r="BV68" s="61"/>
      <c r="CR68" s="6"/>
      <c r="CT68" s="5" t="s">
        <v>284</v>
      </c>
    </row>
    <row r="69" spans="1:134" ht="15" customHeight="1">
      <c r="A69" s="3"/>
      <c r="E69" s="134" t="s">
        <v>131</v>
      </c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95"/>
      <c r="T69" s="195"/>
      <c r="U69" s="195"/>
      <c r="V69" s="195"/>
      <c r="W69" s="195"/>
      <c r="X69" s="195"/>
      <c r="Y69" s="195"/>
      <c r="Z69" s="195"/>
      <c r="AA69" s="195"/>
      <c r="AB69" s="195"/>
      <c r="AC69" s="195"/>
      <c r="AD69" s="195"/>
      <c r="AE69" s="195"/>
      <c r="AF69" s="195"/>
      <c r="AG69" s="195"/>
      <c r="AH69" s="195"/>
      <c r="AI69" s="108">
        <f t="shared" si="0"/>
        <v>0</v>
      </c>
      <c r="AJ69" s="108"/>
      <c r="AK69" s="108"/>
      <c r="AL69" s="108"/>
      <c r="BV69" s="61"/>
      <c r="CR69" s="6"/>
    </row>
    <row r="70" spans="1:134" ht="15" customHeight="1">
      <c r="A70" s="3"/>
      <c r="E70" s="134" t="s">
        <v>132</v>
      </c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95"/>
      <c r="T70" s="195"/>
      <c r="U70" s="195"/>
      <c r="V70" s="195"/>
      <c r="W70" s="195"/>
      <c r="X70" s="195"/>
      <c r="Y70" s="195"/>
      <c r="Z70" s="195"/>
      <c r="AA70" s="195"/>
      <c r="AB70" s="195"/>
      <c r="AC70" s="195"/>
      <c r="AD70" s="195"/>
      <c r="AE70" s="195"/>
      <c r="AF70" s="195"/>
      <c r="AG70" s="195"/>
      <c r="AH70" s="195"/>
      <c r="AI70" s="108">
        <f t="shared" si="0"/>
        <v>0</v>
      </c>
      <c r="AJ70" s="108"/>
      <c r="AK70" s="108"/>
      <c r="AL70" s="108"/>
      <c r="BV70" s="61"/>
      <c r="CR70" s="6"/>
      <c r="DI70" s="109" t="s">
        <v>136</v>
      </c>
      <c r="DJ70" s="109"/>
      <c r="DK70" s="109"/>
      <c r="DL70" s="109"/>
      <c r="DM70" s="109" t="s">
        <v>137</v>
      </c>
      <c r="DN70" s="109"/>
      <c r="DO70" s="109"/>
      <c r="DP70" s="109"/>
      <c r="DQ70" s="109" t="s">
        <v>138</v>
      </c>
      <c r="DR70" s="109"/>
      <c r="DS70" s="109"/>
      <c r="DT70" s="109"/>
      <c r="DU70" s="109" t="s">
        <v>139</v>
      </c>
      <c r="DV70" s="109"/>
      <c r="DW70" s="109"/>
      <c r="DX70" s="109"/>
      <c r="DY70" s="109" t="s">
        <v>245</v>
      </c>
      <c r="DZ70" s="109"/>
      <c r="EA70" s="109"/>
      <c r="EB70" s="109"/>
    </row>
    <row r="71" spans="1:134" ht="15" customHeight="1">
      <c r="A71" s="3"/>
      <c r="E71" s="134" t="s">
        <v>133</v>
      </c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95"/>
      <c r="T71" s="195"/>
      <c r="U71" s="195"/>
      <c r="V71" s="195"/>
      <c r="W71" s="195"/>
      <c r="X71" s="195"/>
      <c r="Y71" s="195"/>
      <c r="Z71" s="195"/>
      <c r="AA71" s="195"/>
      <c r="AB71" s="195"/>
      <c r="AC71" s="195"/>
      <c r="AD71" s="195"/>
      <c r="AE71" s="195"/>
      <c r="AF71" s="195"/>
      <c r="AG71" s="195"/>
      <c r="AH71" s="195"/>
      <c r="AI71" s="108">
        <f t="shared" si="0"/>
        <v>0</v>
      </c>
      <c r="AJ71" s="108"/>
      <c r="AK71" s="108"/>
      <c r="AL71" s="108"/>
      <c r="BV71" s="61"/>
      <c r="CR71" s="6"/>
      <c r="CU71" s="134" t="s">
        <v>285</v>
      </c>
      <c r="CV71" s="134"/>
      <c r="CW71" s="134"/>
      <c r="CX71" s="134"/>
      <c r="CY71" s="134"/>
      <c r="CZ71" s="134"/>
      <c r="DA71" s="134"/>
      <c r="DB71" s="134"/>
      <c r="DC71" s="134"/>
      <c r="DD71" s="134"/>
      <c r="DE71" s="134"/>
      <c r="DF71" s="134"/>
      <c r="DG71" s="134"/>
      <c r="DH71" s="134"/>
      <c r="DI71" s="108"/>
      <c r="DJ71" s="108"/>
      <c r="DK71" s="108"/>
      <c r="DL71" s="108"/>
      <c r="DM71" s="108">
        <v>5</v>
      </c>
      <c r="DN71" s="108"/>
      <c r="DO71" s="108"/>
      <c r="DP71" s="108"/>
      <c r="DQ71" s="108">
        <v>4</v>
      </c>
      <c r="DR71" s="108"/>
      <c r="DS71" s="108"/>
      <c r="DT71" s="108"/>
      <c r="DU71" s="108"/>
      <c r="DV71" s="108"/>
      <c r="DW71" s="108"/>
      <c r="DX71" s="108"/>
      <c r="DY71" s="108">
        <f t="shared" ref="DY71" si="8">SUM(DI71:DX71)</f>
        <v>9</v>
      </c>
      <c r="DZ71" s="108"/>
      <c r="EA71" s="108"/>
      <c r="EB71" s="108"/>
      <c r="ED71" s="5" t="s">
        <v>301</v>
      </c>
    </row>
    <row r="72" spans="1:134" ht="15" customHeight="1">
      <c r="A72" s="3"/>
      <c r="E72" s="134" t="s">
        <v>134</v>
      </c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08"/>
      <c r="T72" s="108"/>
      <c r="U72" s="108"/>
      <c r="V72" s="108"/>
      <c r="W72" s="108">
        <v>4</v>
      </c>
      <c r="X72" s="108"/>
      <c r="Y72" s="108"/>
      <c r="Z72" s="108"/>
      <c r="AA72" s="108"/>
      <c r="AB72" s="108"/>
      <c r="AC72" s="108"/>
      <c r="AD72" s="108"/>
      <c r="AE72" s="108"/>
      <c r="AF72" s="108"/>
      <c r="AG72" s="108"/>
      <c r="AH72" s="108"/>
      <c r="AI72" s="108">
        <f t="shared" si="0"/>
        <v>4</v>
      </c>
      <c r="AJ72" s="108"/>
      <c r="AK72" s="108"/>
      <c r="AL72" s="108"/>
      <c r="BV72" s="61"/>
      <c r="CR72" s="6"/>
      <c r="CU72" s="134" t="s">
        <v>286</v>
      </c>
      <c r="CV72" s="134"/>
      <c r="CW72" s="134"/>
      <c r="CX72" s="134"/>
      <c r="CY72" s="134"/>
      <c r="CZ72" s="134"/>
      <c r="DA72" s="134"/>
      <c r="DB72" s="134"/>
      <c r="DC72" s="134"/>
      <c r="DD72" s="134"/>
      <c r="DE72" s="134"/>
      <c r="DF72" s="134"/>
      <c r="DG72" s="134"/>
      <c r="DH72" s="134"/>
      <c r="DI72" s="108"/>
      <c r="DJ72" s="108"/>
      <c r="DK72" s="108"/>
      <c r="DL72" s="108"/>
      <c r="DM72" s="108">
        <v>0.5</v>
      </c>
      <c r="DN72" s="108"/>
      <c r="DO72" s="108"/>
      <c r="DP72" s="108"/>
      <c r="DQ72" s="108"/>
      <c r="DR72" s="108"/>
      <c r="DS72" s="108"/>
      <c r="DT72" s="108"/>
      <c r="DU72" s="108">
        <v>2</v>
      </c>
      <c r="DV72" s="108"/>
      <c r="DW72" s="108"/>
      <c r="DX72" s="108"/>
      <c r="DY72" s="108">
        <f t="shared" ref="DY72:DY73" si="9">SUM(DI72:DX72)</f>
        <v>2.5</v>
      </c>
      <c r="DZ72" s="108"/>
      <c r="EA72" s="108"/>
      <c r="EB72" s="108"/>
      <c r="ED72" s="5" t="s">
        <v>301</v>
      </c>
    </row>
    <row r="73" spans="1:134" ht="15" customHeight="1">
      <c r="A73" s="3"/>
      <c r="E73" s="134" t="s">
        <v>135</v>
      </c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8"/>
      <c r="AF73" s="108"/>
      <c r="AG73" s="108"/>
      <c r="AH73" s="108"/>
      <c r="AI73" s="108">
        <f t="shared" si="0"/>
        <v>0</v>
      </c>
      <c r="AJ73" s="108"/>
      <c r="AK73" s="108"/>
      <c r="AL73" s="108"/>
      <c r="BV73" s="61"/>
      <c r="CR73" s="6"/>
      <c r="CU73" s="134" t="s">
        <v>287</v>
      </c>
      <c r="CV73" s="134"/>
      <c r="CW73" s="134"/>
      <c r="CX73" s="134"/>
      <c r="CY73" s="134"/>
      <c r="CZ73" s="134"/>
      <c r="DA73" s="134"/>
      <c r="DB73" s="134"/>
      <c r="DC73" s="134"/>
      <c r="DD73" s="134"/>
      <c r="DE73" s="134"/>
      <c r="DF73" s="134"/>
      <c r="DG73" s="134"/>
      <c r="DH73" s="134"/>
      <c r="DI73" s="108"/>
      <c r="DJ73" s="108"/>
      <c r="DK73" s="108"/>
      <c r="DL73" s="108"/>
      <c r="DM73" s="108">
        <v>3.5</v>
      </c>
      <c r="DN73" s="108"/>
      <c r="DO73" s="108"/>
      <c r="DP73" s="108"/>
      <c r="DQ73" s="108">
        <v>3.5</v>
      </c>
      <c r="DR73" s="108"/>
      <c r="DS73" s="108"/>
      <c r="DT73" s="108"/>
      <c r="DU73" s="108">
        <v>4</v>
      </c>
      <c r="DV73" s="108"/>
      <c r="DW73" s="108"/>
      <c r="DX73" s="108"/>
      <c r="DY73" s="108">
        <f t="shared" si="9"/>
        <v>11</v>
      </c>
      <c r="DZ73" s="108"/>
      <c r="EA73" s="108"/>
      <c r="EB73" s="108"/>
      <c r="ED73" s="5" t="s">
        <v>301</v>
      </c>
    </row>
    <row r="74" spans="1:134" ht="15" customHeight="1">
      <c r="A74" s="3"/>
      <c r="E74" s="194" t="s">
        <v>266</v>
      </c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07">
        <f>SUM(S68:V73)</f>
        <v>0</v>
      </c>
      <c r="T74" s="107"/>
      <c r="U74" s="107"/>
      <c r="V74" s="107"/>
      <c r="W74" s="107">
        <f t="shared" ref="W74" si="10">SUM(W68:Z73)</f>
        <v>13</v>
      </c>
      <c r="X74" s="107"/>
      <c r="Y74" s="107"/>
      <c r="Z74" s="107"/>
      <c r="AA74" s="107">
        <f t="shared" ref="AA74" si="11">SUM(AA68:AD73)</f>
        <v>7.8</v>
      </c>
      <c r="AB74" s="107"/>
      <c r="AC74" s="107"/>
      <c r="AD74" s="107"/>
      <c r="AE74" s="107">
        <f t="shared" ref="AE74" si="12">SUM(AE68:AH73)</f>
        <v>6</v>
      </c>
      <c r="AF74" s="107"/>
      <c r="AG74" s="107"/>
      <c r="AH74" s="107"/>
      <c r="AI74" s="107">
        <f t="shared" ref="AI74" si="13">SUM(AI68:AL73)</f>
        <v>26.8</v>
      </c>
      <c r="AJ74" s="107"/>
      <c r="AK74" s="107"/>
      <c r="AL74" s="107"/>
      <c r="BV74" s="61"/>
      <c r="CR74" s="6"/>
      <c r="DI74" s="108">
        <f>SUM(DI71:DL73)</f>
        <v>0</v>
      </c>
      <c r="DJ74" s="108"/>
      <c r="DK74" s="108"/>
      <c r="DL74" s="108"/>
      <c r="DM74" s="108">
        <f>SUM(DM71:DP73)</f>
        <v>9</v>
      </c>
      <c r="DN74" s="108"/>
      <c r="DO74" s="108"/>
      <c r="DP74" s="108"/>
      <c r="DQ74" s="108">
        <f>SUM(DQ71:DT73)</f>
        <v>7.5</v>
      </c>
      <c r="DR74" s="108"/>
      <c r="DS74" s="108"/>
      <c r="DT74" s="108"/>
      <c r="DU74" s="108">
        <f>SUM(DU71:DX73)</f>
        <v>6</v>
      </c>
      <c r="DV74" s="108"/>
      <c r="DW74" s="108"/>
      <c r="DX74" s="108"/>
      <c r="DY74" s="108">
        <f>SUM(DY71:EB73)</f>
        <v>22.5</v>
      </c>
      <c r="DZ74" s="108"/>
      <c r="EA74" s="108"/>
      <c r="EB74" s="108"/>
    </row>
    <row r="75" spans="1:134" ht="15" customHeight="1">
      <c r="A75" s="3"/>
      <c r="E75" s="194" t="s">
        <v>146</v>
      </c>
      <c r="F75" s="194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194"/>
      <c r="S75" s="107">
        <f t="shared" ref="S75" si="14">SUM(S63,S67,S74)</f>
        <v>0</v>
      </c>
      <c r="T75" s="107"/>
      <c r="U75" s="107"/>
      <c r="V75" s="107"/>
      <c r="W75" s="107">
        <f t="shared" ref="W75" si="15">SUM(W63,W67,W74)</f>
        <v>79.5</v>
      </c>
      <c r="X75" s="107"/>
      <c r="Y75" s="107"/>
      <c r="Z75" s="107"/>
      <c r="AA75" s="107">
        <f t="shared" ref="AA75" si="16">SUM(AA63,AA67,AA74)</f>
        <v>54.599999999999994</v>
      </c>
      <c r="AB75" s="107"/>
      <c r="AC75" s="107"/>
      <c r="AD75" s="107"/>
      <c r="AE75" s="107">
        <f t="shared" ref="AE75" si="17">SUM(AE63,AE67,AE74)</f>
        <v>76.3</v>
      </c>
      <c r="AF75" s="107"/>
      <c r="AG75" s="107"/>
      <c r="AH75" s="107"/>
      <c r="AI75" s="107">
        <f>SUM(AI63,AI67,AI74)</f>
        <v>210.4</v>
      </c>
      <c r="AJ75" s="107"/>
      <c r="AK75" s="107"/>
      <c r="AL75" s="107"/>
      <c r="BV75" s="61"/>
      <c r="CR75" s="6"/>
    </row>
    <row r="76" spans="1:134" ht="15" customHeight="1">
      <c r="A76" s="3"/>
      <c r="BV76" s="61"/>
      <c r="CR76" s="6"/>
    </row>
    <row r="77" spans="1:134" ht="15" customHeight="1">
      <c r="A77" s="3"/>
      <c r="CR77" s="6"/>
      <c r="CU77" s="134" t="s">
        <v>43</v>
      </c>
      <c r="CV77" s="134"/>
      <c r="CW77" s="134"/>
      <c r="CX77" s="134"/>
      <c r="CY77" s="134"/>
      <c r="CZ77" s="134"/>
      <c r="DA77" s="134"/>
      <c r="DB77" s="134"/>
      <c r="DC77" s="134"/>
      <c r="DD77" s="134"/>
      <c r="DE77" s="134"/>
      <c r="DF77" s="134"/>
      <c r="DG77" s="134"/>
      <c r="DH77" s="134"/>
      <c r="DI77" s="108"/>
      <c r="DJ77" s="108"/>
      <c r="DK77" s="108"/>
      <c r="DL77" s="108"/>
      <c r="DM77" s="108">
        <v>20</v>
      </c>
      <c r="DN77" s="108"/>
      <c r="DO77" s="108"/>
      <c r="DP77" s="108"/>
      <c r="DQ77" s="108"/>
      <c r="DR77" s="108"/>
      <c r="DS77" s="108"/>
      <c r="DT77" s="108"/>
      <c r="DU77" s="108"/>
      <c r="DV77" s="108"/>
      <c r="DW77" s="108"/>
      <c r="DX77" s="108"/>
      <c r="DY77" s="108">
        <f t="shared" ref="DY77:DY79" si="18">SUM(DI77:DX77)</f>
        <v>20</v>
      </c>
      <c r="DZ77" s="108"/>
      <c r="EA77" s="108"/>
      <c r="EB77" s="108"/>
      <c r="ED77" s="5" t="s">
        <v>300</v>
      </c>
    </row>
    <row r="78" spans="1:134" ht="15" customHeight="1">
      <c r="A78" s="3"/>
      <c r="B78" s="4" t="s">
        <v>148</v>
      </c>
      <c r="CR78" s="6"/>
      <c r="CU78" s="134" t="s">
        <v>296</v>
      </c>
      <c r="CV78" s="134"/>
      <c r="CW78" s="134"/>
      <c r="CX78" s="134"/>
      <c r="CY78" s="134"/>
      <c r="CZ78" s="134"/>
      <c r="DA78" s="134"/>
      <c r="DB78" s="134"/>
      <c r="DC78" s="134"/>
      <c r="DD78" s="134"/>
      <c r="DE78" s="134"/>
      <c r="DF78" s="134"/>
      <c r="DG78" s="134"/>
      <c r="DH78" s="134"/>
      <c r="DI78" s="108"/>
      <c r="DJ78" s="108"/>
      <c r="DK78" s="108"/>
      <c r="DL78" s="108"/>
      <c r="DM78" s="108">
        <v>10</v>
      </c>
      <c r="DN78" s="108"/>
      <c r="DO78" s="108"/>
      <c r="DP78" s="108"/>
      <c r="DQ78" s="108"/>
      <c r="DR78" s="108"/>
      <c r="DS78" s="108"/>
      <c r="DT78" s="108"/>
      <c r="DU78" s="108"/>
      <c r="DV78" s="108"/>
      <c r="DW78" s="108"/>
      <c r="DX78" s="108"/>
      <c r="DY78" s="108">
        <f t="shared" si="18"/>
        <v>10</v>
      </c>
      <c r="DZ78" s="108"/>
      <c r="EA78" s="108"/>
      <c r="EB78" s="108"/>
      <c r="ED78" s="5" t="s">
        <v>300</v>
      </c>
    </row>
    <row r="79" spans="1:134" ht="15" customHeight="1">
      <c r="A79" s="3"/>
      <c r="CR79" s="6"/>
      <c r="CU79" s="134" t="s">
        <v>297</v>
      </c>
      <c r="CV79" s="134"/>
      <c r="CW79" s="134"/>
      <c r="CX79" s="134"/>
      <c r="CY79" s="134"/>
      <c r="CZ79" s="134"/>
      <c r="DA79" s="134"/>
      <c r="DB79" s="134"/>
      <c r="DC79" s="134"/>
      <c r="DD79" s="134"/>
      <c r="DE79" s="134"/>
      <c r="DF79" s="134"/>
      <c r="DG79" s="134"/>
      <c r="DH79" s="134"/>
      <c r="DI79" s="108"/>
      <c r="DJ79" s="108"/>
      <c r="DK79" s="108"/>
      <c r="DL79" s="108"/>
      <c r="DM79" s="108">
        <v>2</v>
      </c>
      <c r="DN79" s="108"/>
      <c r="DO79" s="108"/>
      <c r="DP79" s="108"/>
      <c r="DQ79" s="108"/>
      <c r="DR79" s="108"/>
      <c r="DS79" s="108"/>
      <c r="DT79" s="108"/>
      <c r="DU79" s="108"/>
      <c r="DV79" s="108"/>
      <c r="DW79" s="108"/>
      <c r="DX79" s="108"/>
      <c r="DY79" s="108">
        <f t="shared" si="18"/>
        <v>2</v>
      </c>
      <c r="DZ79" s="108"/>
      <c r="EA79" s="108"/>
      <c r="EB79" s="108"/>
      <c r="ED79" s="5" t="s">
        <v>300</v>
      </c>
    </row>
    <row r="80" spans="1:134" ht="15" customHeight="1">
      <c r="A80" s="3"/>
      <c r="D80" s="5" t="s">
        <v>288</v>
      </c>
      <c r="CR80" s="6"/>
      <c r="CU80" s="134"/>
      <c r="CV80" s="134"/>
      <c r="CW80" s="134"/>
      <c r="CX80" s="134"/>
      <c r="CY80" s="134"/>
      <c r="CZ80" s="134"/>
      <c r="DA80" s="134"/>
      <c r="DB80" s="134"/>
      <c r="DC80" s="134"/>
      <c r="DD80" s="134"/>
      <c r="DE80" s="134"/>
      <c r="DF80" s="134"/>
      <c r="DG80" s="134"/>
      <c r="DH80" s="134"/>
      <c r="DI80" s="108"/>
      <c r="DJ80" s="108"/>
      <c r="DK80" s="108"/>
      <c r="DL80" s="108"/>
      <c r="DM80" s="108"/>
      <c r="DN80" s="108"/>
      <c r="DO80" s="108"/>
      <c r="DP80" s="108"/>
      <c r="DQ80" s="108"/>
      <c r="DR80" s="108"/>
      <c r="DS80" s="108"/>
      <c r="DT80" s="108"/>
      <c r="DU80" s="108"/>
      <c r="DV80" s="108"/>
      <c r="DW80" s="108"/>
      <c r="DX80" s="108"/>
      <c r="DY80" s="108">
        <f t="shared" ref="DY80" si="19">SUM(DI80:DX80)</f>
        <v>0</v>
      </c>
      <c r="DZ80" s="108"/>
      <c r="EA80" s="108"/>
      <c r="EB80" s="108"/>
    </row>
    <row r="81" spans="1:134" ht="15" customHeight="1">
      <c r="A81" s="3"/>
      <c r="CR81" s="6"/>
      <c r="CU81" s="134" t="s">
        <v>292</v>
      </c>
      <c r="CV81" s="134"/>
      <c r="CW81" s="134"/>
      <c r="CX81" s="134"/>
      <c r="CY81" s="134"/>
      <c r="CZ81" s="134"/>
      <c r="DA81" s="134"/>
      <c r="DB81" s="134"/>
      <c r="DC81" s="134"/>
      <c r="DD81" s="134"/>
      <c r="DE81" s="134"/>
      <c r="DF81" s="134"/>
      <c r="DG81" s="134"/>
      <c r="DH81" s="134"/>
      <c r="DI81" s="108"/>
      <c r="DJ81" s="108"/>
      <c r="DK81" s="108"/>
      <c r="DL81" s="108"/>
      <c r="DM81" s="108"/>
      <c r="DN81" s="108"/>
      <c r="DO81" s="108"/>
      <c r="DP81" s="108"/>
      <c r="DQ81" s="108">
        <v>0.3</v>
      </c>
      <c r="DR81" s="108"/>
      <c r="DS81" s="108"/>
      <c r="DT81" s="108"/>
      <c r="DU81" s="108"/>
      <c r="DV81" s="108"/>
      <c r="DW81" s="108"/>
      <c r="DX81" s="108"/>
      <c r="DY81" s="108">
        <f t="shared" ref="DY81" si="20">SUM(DI81:DX81)</f>
        <v>0.3</v>
      </c>
      <c r="DZ81" s="108"/>
      <c r="EA81" s="108"/>
      <c r="EB81" s="108"/>
      <c r="ED81" s="5" t="s">
        <v>301</v>
      </c>
    </row>
    <row r="82" spans="1:134" ht="15" customHeight="1">
      <c r="A82" s="3"/>
      <c r="E82" s="5" t="s">
        <v>290</v>
      </c>
      <c r="CR82" s="6"/>
      <c r="CU82" s="134" t="s">
        <v>293</v>
      </c>
      <c r="CV82" s="134"/>
      <c r="CW82" s="134"/>
      <c r="CX82" s="134"/>
      <c r="CY82" s="134"/>
      <c r="CZ82" s="134"/>
      <c r="DA82" s="134"/>
      <c r="DB82" s="134"/>
      <c r="DC82" s="134"/>
      <c r="DD82" s="134"/>
      <c r="DE82" s="134"/>
      <c r="DF82" s="134"/>
      <c r="DG82" s="134"/>
      <c r="DH82" s="134"/>
      <c r="DI82" s="108"/>
      <c r="DJ82" s="108"/>
      <c r="DK82" s="108"/>
      <c r="DL82" s="108"/>
      <c r="DM82" s="108">
        <v>4.9000000000000004</v>
      </c>
      <c r="DN82" s="108"/>
      <c r="DO82" s="108"/>
      <c r="DP82" s="108"/>
      <c r="DQ82" s="108"/>
      <c r="DR82" s="108"/>
      <c r="DS82" s="108"/>
      <c r="DT82" s="108"/>
      <c r="DU82" s="108"/>
      <c r="DV82" s="108"/>
      <c r="DW82" s="108"/>
      <c r="DX82" s="108"/>
      <c r="DY82" s="108">
        <f t="shared" ref="DY82:DY84" si="21">SUM(DI82:DX82)</f>
        <v>4.9000000000000004</v>
      </c>
      <c r="DZ82" s="108"/>
      <c r="EA82" s="108"/>
      <c r="EB82" s="108"/>
      <c r="ED82" s="5" t="s">
        <v>303</v>
      </c>
    </row>
    <row r="83" spans="1:134" ht="15" customHeight="1">
      <c r="A83" s="3"/>
      <c r="E83" s="5" t="s">
        <v>289</v>
      </c>
      <c r="CR83" s="6"/>
      <c r="CU83" s="134" t="s">
        <v>294</v>
      </c>
      <c r="CV83" s="134"/>
      <c r="CW83" s="134"/>
      <c r="CX83" s="134"/>
      <c r="CY83" s="134"/>
      <c r="CZ83" s="134"/>
      <c r="DA83" s="134"/>
      <c r="DB83" s="134"/>
      <c r="DC83" s="134"/>
      <c r="DD83" s="134"/>
      <c r="DE83" s="134"/>
      <c r="DF83" s="134"/>
      <c r="DG83" s="134"/>
      <c r="DH83" s="134"/>
      <c r="DI83" s="108"/>
      <c r="DJ83" s="108"/>
      <c r="DK83" s="108"/>
      <c r="DL83" s="108"/>
      <c r="DM83" s="108">
        <v>4</v>
      </c>
      <c r="DN83" s="108"/>
      <c r="DO83" s="108"/>
      <c r="DP83" s="108"/>
      <c r="DQ83" s="108"/>
      <c r="DR83" s="108"/>
      <c r="DS83" s="108"/>
      <c r="DT83" s="108"/>
      <c r="DU83" s="108"/>
      <c r="DV83" s="108"/>
      <c r="DW83" s="108"/>
      <c r="DX83" s="108"/>
      <c r="DY83" s="108">
        <f t="shared" si="21"/>
        <v>4</v>
      </c>
      <c r="DZ83" s="108"/>
      <c r="EA83" s="108"/>
      <c r="EB83" s="108"/>
      <c r="ED83" s="5" t="s">
        <v>302</v>
      </c>
    </row>
    <row r="84" spans="1:134" ht="15" customHeight="1">
      <c r="A84" s="3"/>
      <c r="CR84" s="6"/>
      <c r="CU84" s="134" t="s">
        <v>295</v>
      </c>
      <c r="CV84" s="134"/>
      <c r="CW84" s="134"/>
      <c r="CX84" s="134"/>
      <c r="CY84" s="134"/>
      <c r="CZ84" s="134"/>
      <c r="DA84" s="134"/>
      <c r="DB84" s="134"/>
      <c r="DC84" s="134"/>
      <c r="DD84" s="134"/>
      <c r="DE84" s="134"/>
      <c r="DF84" s="134"/>
      <c r="DG84" s="134"/>
      <c r="DH84" s="134"/>
      <c r="DI84" s="108"/>
      <c r="DJ84" s="108"/>
      <c r="DK84" s="108"/>
      <c r="DL84" s="108"/>
      <c r="DM84" s="108">
        <v>1</v>
      </c>
      <c r="DN84" s="108"/>
      <c r="DO84" s="108"/>
      <c r="DP84" s="108"/>
      <c r="DQ84" s="108"/>
      <c r="DR84" s="108"/>
      <c r="DS84" s="108"/>
      <c r="DT84" s="108"/>
      <c r="DU84" s="108">
        <v>1.5</v>
      </c>
      <c r="DV84" s="108"/>
      <c r="DW84" s="108"/>
      <c r="DX84" s="108"/>
      <c r="DY84" s="108">
        <f t="shared" si="21"/>
        <v>2.5</v>
      </c>
      <c r="DZ84" s="108"/>
      <c r="EA84" s="108"/>
      <c r="EB84" s="108"/>
      <c r="ED84" s="5" t="s">
        <v>299</v>
      </c>
    </row>
    <row r="85" spans="1:134" ht="15" customHeight="1">
      <c r="A85" s="3"/>
      <c r="CR85" s="6"/>
      <c r="DI85" s="108">
        <f t="shared" ref="DI85" si="22">SUM(DI77:DL84)</f>
        <v>0</v>
      </c>
      <c r="DJ85" s="108"/>
      <c r="DK85" s="108"/>
      <c r="DL85" s="108"/>
      <c r="DM85" s="108">
        <f t="shared" ref="DM85" si="23">SUM(DM77:DP84)</f>
        <v>41.9</v>
      </c>
      <c r="DN85" s="108"/>
      <c r="DO85" s="108"/>
      <c r="DP85" s="108"/>
      <c r="DQ85" s="108">
        <f t="shared" ref="DQ85" si="24">SUM(DQ77:DT84)</f>
        <v>0.3</v>
      </c>
      <c r="DR85" s="108"/>
      <c r="DS85" s="108"/>
      <c r="DT85" s="108"/>
      <c r="DU85" s="108">
        <f>SUM(DU77:DX84)</f>
        <v>1.5</v>
      </c>
      <c r="DV85" s="108"/>
      <c r="DW85" s="108"/>
      <c r="DX85" s="108"/>
      <c r="DY85" s="108">
        <f>SUM(DY77:EB84)</f>
        <v>43.699999999999996</v>
      </c>
      <c r="DZ85" s="108"/>
      <c r="EA85" s="108"/>
      <c r="EB85" s="108"/>
    </row>
    <row r="86" spans="1:134" ht="15" customHeight="1">
      <c r="A86" s="3"/>
      <c r="CR86" s="6"/>
      <c r="CU86" s="134" t="s">
        <v>245</v>
      </c>
      <c r="CV86" s="134"/>
      <c r="CW86" s="134"/>
      <c r="CX86" s="134"/>
      <c r="CY86" s="134"/>
      <c r="CZ86" s="134"/>
      <c r="DA86" s="134"/>
      <c r="DB86" s="134"/>
      <c r="DC86" s="134"/>
      <c r="DD86" s="134"/>
      <c r="DE86" s="134"/>
      <c r="DF86" s="134"/>
      <c r="DG86" s="134"/>
      <c r="DH86" s="134"/>
      <c r="DI86" s="108">
        <f t="shared" ref="DI86" si="25">DI74+DI85</f>
        <v>0</v>
      </c>
      <c r="DJ86" s="108"/>
      <c r="DK86" s="108"/>
      <c r="DL86" s="108"/>
      <c r="DM86" s="108">
        <f t="shared" ref="DM86" si="26">DM74+DM85</f>
        <v>50.9</v>
      </c>
      <c r="DN86" s="108"/>
      <c r="DO86" s="108"/>
      <c r="DP86" s="108"/>
      <c r="DQ86" s="108">
        <f t="shared" ref="DQ86" si="27">DQ74+DQ85</f>
        <v>7.8</v>
      </c>
      <c r="DR86" s="108"/>
      <c r="DS86" s="108"/>
      <c r="DT86" s="108"/>
      <c r="DU86" s="108">
        <f t="shared" ref="DU86" si="28">DU74+DU85</f>
        <v>7.5</v>
      </c>
      <c r="DV86" s="108"/>
      <c r="DW86" s="108"/>
      <c r="DX86" s="108"/>
      <c r="DY86" s="108">
        <f>DY74+DY85</f>
        <v>66.199999999999989</v>
      </c>
      <c r="DZ86" s="108"/>
      <c r="EA86" s="108"/>
      <c r="EB86" s="108"/>
    </row>
    <row r="87" spans="1:134" ht="15" customHeight="1">
      <c r="A87" s="3"/>
      <c r="CR87" s="6"/>
    </row>
    <row r="88" spans="1:134" ht="15" customHeight="1">
      <c r="A88" s="3"/>
      <c r="CR88" s="6"/>
      <c r="CU88" s="134" t="s">
        <v>245</v>
      </c>
      <c r="CV88" s="134"/>
      <c r="CW88" s="134"/>
      <c r="CX88" s="134"/>
      <c r="CY88" s="134"/>
      <c r="CZ88" s="134"/>
      <c r="DA88" s="134"/>
      <c r="DB88" s="134"/>
      <c r="DC88" s="134"/>
      <c r="DD88" s="134"/>
      <c r="DE88" s="134"/>
      <c r="DF88" s="134"/>
      <c r="DG88" s="134"/>
      <c r="DH88" s="134"/>
      <c r="DI88" s="108">
        <f t="shared" ref="DI88" si="29">DI58+DI86</f>
        <v>0</v>
      </c>
      <c r="DJ88" s="108"/>
      <c r="DK88" s="108"/>
      <c r="DL88" s="108"/>
      <c r="DM88" s="108">
        <f t="shared" ref="DM88" si="30">DM58+DM86</f>
        <v>79.5</v>
      </c>
      <c r="DN88" s="108"/>
      <c r="DO88" s="108"/>
      <c r="DP88" s="108"/>
      <c r="DQ88" s="108">
        <f t="shared" ref="DQ88" si="31">DQ58+DQ86</f>
        <v>54.599999999999994</v>
      </c>
      <c r="DR88" s="108"/>
      <c r="DS88" s="108"/>
      <c r="DT88" s="108"/>
      <c r="DU88" s="108">
        <f t="shared" ref="DU88" si="32">DU58+DU86</f>
        <v>76.3</v>
      </c>
      <c r="DV88" s="108"/>
      <c r="DW88" s="108"/>
      <c r="DX88" s="108"/>
      <c r="DY88" s="108">
        <f>DY58+DY86</f>
        <v>210.39999999999998</v>
      </c>
      <c r="DZ88" s="108"/>
      <c r="EA88" s="108"/>
      <c r="EB88" s="108"/>
    </row>
    <row r="89" spans="1:134" ht="15" customHeight="1">
      <c r="A89" s="3"/>
      <c r="CR89" s="6"/>
    </row>
    <row r="90" spans="1:134" ht="15" customHeight="1">
      <c r="A90" s="3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CR90" s="6"/>
    </row>
    <row r="91" spans="1:134" ht="15" customHeight="1">
      <c r="A91" s="3"/>
      <c r="CR91" s="6"/>
    </row>
    <row r="92" spans="1:134" ht="15" customHeight="1" thickBot="1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9"/>
    </row>
    <row r="93" spans="1:134" ht="15" customHeight="1">
      <c r="A93" s="10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2"/>
    </row>
    <row r="94" spans="1:134" ht="15" customHeight="1">
      <c r="A94" s="3"/>
      <c r="B94" s="4" t="s">
        <v>149</v>
      </c>
      <c r="CR94" s="6"/>
    </row>
    <row r="95" spans="1:134" ht="15" customHeight="1">
      <c r="A95" s="3"/>
      <c r="CR95" s="6"/>
    </row>
    <row r="96" spans="1:134" ht="15" customHeight="1">
      <c r="A96" s="3"/>
      <c r="C96" s="4" t="s">
        <v>150</v>
      </c>
      <c r="CR96" s="6"/>
    </row>
    <row r="97" spans="1:96" ht="15" customHeight="1">
      <c r="A97" s="3"/>
      <c r="CR97" s="6"/>
    </row>
    <row r="98" spans="1:96" ht="15" customHeight="1">
      <c r="A98" s="3"/>
      <c r="E98" s="109" t="s">
        <v>153</v>
      </c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 t="s">
        <v>171</v>
      </c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9"/>
      <c r="AH98" s="109"/>
      <c r="AI98" s="109"/>
      <c r="AJ98" s="109"/>
      <c r="AK98" s="109"/>
      <c r="AL98" s="109"/>
      <c r="AM98" s="109"/>
      <c r="AN98" s="109"/>
      <c r="AO98" s="109"/>
      <c r="AP98" s="109"/>
      <c r="AQ98" s="109"/>
      <c r="AR98" s="109"/>
      <c r="AS98" s="109"/>
      <c r="AT98" s="109"/>
      <c r="CR98" s="6"/>
    </row>
    <row r="99" spans="1:96" ht="15" customHeight="1">
      <c r="A99" s="3"/>
      <c r="E99" s="134" t="s">
        <v>155</v>
      </c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 t="s">
        <v>229</v>
      </c>
      <c r="R99" s="134"/>
      <c r="S99" s="134"/>
      <c r="T99" s="134"/>
      <c r="U99" s="134"/>
      <c r="V99" s="134"/>
      <c r="W99" s="134"/>
      <c r="X99" s="134"/>
      <c r="Y99" s="134"/>
      <c r="Z99" s="134"/>
      <c r="AA99" s="134"/>
      <c r="AB99" s="134"/>
      <c r="AC99" s="134"/>
      <c r="AD99" s="134"/>
      <c r="AE99" s="134"/>
      <c r="AF99" s="134"/>
      <c r="AG99" s="134"/>
      <c r="AH99" s="134"/>
      <c r="AI99" s="134"/>
      <c r="AJ99" s="134"/>
      <c r="AK99" s="134"/>
      <c r="AL99" s="134"/>
      <c r="AM99" s="134"/>
      <c r="AN99" s="134"/>
      <c r="AO99" s="134"/>
      <c r="AP99" s="134"/>
      <c r="AQ99" s="134"/>
      <c r="AR99" s="134"/>
      <c r="AS99" s="134"/>
      <c r="AT99" s="134"/>
      <c r="CR99" s="6"/>
    </row>
    <row r="100" spans="1:96" ht="15" customHeight="1">
      <c r="A100" s="3"/>
      <c r="E100" s="134" t="s">
        <v>160</v>
      </c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 t="s">
        <v>305</v>
      </c>
      <c r="R100" s="134"/>
      <c r="S100" s="134"/>
      <c r="T100" s="134"/>
      <c r="U100" s="134"/>
      <c r="V100" s="134"/>
      <c r="W100" s="134"/>
      <c r="X100" s="134"/>
      <c r="Y100" s="134"/>
      <c r="Z100" s="134"/>
      <c r="AA100" s="134"/>
      <c r="AB100" s="134"/>
      <c r="AC100" s="134"/>
      <c r="AD100" s="134"/>
      <c r="AE100" s="134"/>
      <c r="AF100" s="134"/>
      <c r="AG100" s="134"/>
      <c r="AH100" s="134"/>
      <c r="AI100" s="134"/>
      <c r="AJ100" s="134"/>
      <c r="AK100" s="134"/>
      <c r="AL100" s="134"/>
      <c r="AM100" s="134"/>
      <c r="AN100" s="134"/>
      <c r="AO100" s="134"/>
      <c r="AP100" s="134"/>
      <c r="AQ100" s="134"/>
      <c r="AR100" s="134"/>
      <c r="AS100" s="134"/>
      <c r="AT100" s="134"/>
      <c r="CR100" s="6"/>
    </row>
    <row r="101" spans="1:96" ht="15" customHeight="1">
      <c r="A101" s="3"/>
      <c r="E101" s="134" t="s">
        <v>167</v>
      </c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 t="s">
        <v>307</v>
      </c>
      <c r="R101" s="134"/>
      <c r="S101" s="134"/>
      <c r="T101" s="134"/>
      <c r="U101" s="134"/>
      <c r="V101" s="134"/>
      <c r="W101" s="134"/>
      <c r="X101" s="134"/>
      <c r="Y101" s="134"/>
      <c r="Z101" s="134"/>
      <c r="AA101" s="134"/>
      <c r="AB101" s="134"/>
      <c r="AC101" s="134"/>
      <c r="AD101" s="134"/>
      <c r="AE101" s="134"/>
      <c r="AF101" s="134"/>
      <c r="AG101" s="134"/>
      <c r="AH101" s="134"/>
      <c r="AI101" s="134"/>
      <c r="AJ101" s="134"/>
      <c r="AK101" s="134"/>
      <c r="AL101" s="134"/>
      <c r="AM101" s="134"/>
      <c r="AN101" s="134"/>
      <c r="AO101" s="134"/>
      <c r="AP101" s="134"/>
      <c r="AQ101" s="134"/>
      <c r="AR101" s="134"/>
      <c r="AS101" s="134"/>
      <c r="AT101" s="134"/>
      <c r="CR101" s="6"/>
    </row>
    <row r="102" spans="1:96" ht="15" customHeight="1">
      <c r="A102" s="3"/>
      <c r="E102" s="134" t="s">
        <v>168</v>
      </c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 t="s">
        <v>308</v>
      </c>
      <c r="R102" s="134"/>
      <c r="S102" s="134"/>
      <c r="T102" s="134"/>
      <c r="U102" s="134"/>
      <c r="V102" s="134"/>
      <c r="W102" s="134"/>
      <c r="X102" s="134"/>
      <c r="Y102" s="134"/>
      <c r="Z102" s="134"/>
      <c r="AA102" s="134"/>
      <c r="AB102" s="134"/>
      <c r="AC102" s="134"/>
      <c r="AD102" s="134"/>
      <c r="AE102" s="134"/>
      <c r="AF102" s="134"/>
      <c r="AG102" s="134"/>
      <c r="AH102" s="134"/>
      <c r="AI102" s="134"/>
      <c r="AJ102" s="134"/>
      <c r="AK102" s="134"/>
      <c r="AL102" s="134"/>
      <c r="AM102" s="134"/>
      <c r="AN102" s="134"/>
      <c r="AO102" s="134"/>
      <c r="AP102" s="134"/>
      <c r="AQ102" s="134"/>
      <c r="AR102" s="134"/>
      <c r="AS102" s="134"/>
      <c r="AT102" s="134"/>
      <c r="CR102" s="6"/>
    </row>
    <row r="103" spans="1:96" ht="15" customHeight="1">
      <c r="A103" s="3"/>
      <c r="E103" s="134" t="s">
        <v>169</v>
      </c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 t="s">
        <v>309</v>
      </c>
      <c r="R103" s="134"/>
      <c r="S103" s="134"/>
      <c r="T103" s="134"/>
      <c r="U103" s="134"/>
      <c r="V103" s="134"/>
      <c r="W103" s="134"/>
      <c r="X103" s="134"/>
      <c r="Y103" s="134"/>
      <c r="Z103" s="134"/>
      <c r="AA103" s="134"/>
      <c r="AB103" s="134"/>
      <c r="AC103" s="134"/>
      <c r="AD103" s="134"/>
      <c r="AE103" s="134"/>
      <c r="AF103" s="134"/>
      <c r="AG103" s="134"/>
      <c r="AH103" s="134"/>
      <c r="AI103" s="134"/>
      <c r="AJ103" s="134"/>
      <c r="AK103" s="134"/>
      <c r="AL103" s="134"/>
      <c r="AM103" s="134"/>
      <c r="AN103" s="134"/>
      <c r="AO103" s="134"/>
      <c r="AP103" s="134"/>
      <c r="AQ103" s="134"/>
      <c r="AR103" s="134"/>
      <c r="AS103" s="134"/>
      <c r="AT103" s="134"/>
      <c r="CR103" s="6"/>
    </row>
    <row r="104" spans="1:96" ht="15" customHeight="1">
      <c r="A104" s="3"/>
      <c r="E104" s="134" t="s">
        <v>170</v>
      </c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 t="s">
        <v>305</v>
      </c>
      <c r="R104" s="134"/>
      <c r="S104" s="134"/>
      <c r="T104" s="134"/>
      <c r="U104" s="134"/>
      <c r="V104" s="134"/>
      <c r="W104" s="134"/>
      <c r="X104" s="134"/>
      <c r="Y104" s="134"/>
      <c r="Z104" s="134"/>
      <c r="AA104" s="134"/>
      <c r="AB104" s="134"/>
      <c r="AC104" s="134"/>
      <c r="AD104" s="134"/>
      <c r="AE104" s="134"/>
      <c r="AF104" s="134"/>
      <c r="AG104" s="134"/>
      <c r="AH104" s="134"/>
      <c r="AI104" s="134"/>
      <c r="AJ104" s="134"/>
      <c r="AK104" s="134"/>
      <c r="AL104" s="134"/>
      <c r="AM104" s="134"/>
      <c r="AN104" s="134"/>
      <c r="AO104" s="134"/>
      <c r="AP104" s="134"/>
      <c r="AQ104" s="134"/>
      <c r="AR104" s="134"/>
      <c r="AS104" s="134"/>
      <c r="AT104" s="134"/>
      <c r="CR104" s="6"/>
    </row>
    <row r="105" spans="1:96" ht="15" customHeight="1">
      <c r="A105" s="3"/>
      <c r="CR105" s="6"/>
    </row>
    <row r="106" spans="1:96" ht="15" customHeight="1">
      <c r="A106" s="3"/>
      <c r="C106" s="4" t="s">
        <v>151</v>
      </c>
      <c r="CR106" s="6"/>
    </row>
    <row r="107" spans="1:96" ht="15" customHeight="1">
      <c r="A107" s="3"/>
      <c r="CR107" s="6"/>
    </row>
    <row r="108" spans="1:96" ht="15" customHeight="1">
      <c r="A108" s="3"/>
      <c r="E108" s="109" t="s">
        <v>153</v>
      </c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 t="s">
        <v>154</v>
      </c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09"/>
      <c r="AH108" s="109"/>
      <c r="AI108" s="109"/>
      <c r="AJ108" s="109"/>
      <c r="AK108" s="109"/>
      <c r="AL108" s="109"/>
      <c r="AM108" s="109"/>
      <c r="AN108" s="109"/>
      <c r="AO108" s="109"/>
      <c r="AP108" s="109"/>
      <c r="AQ108" s="109"/>
      <c r="AR108" s="109"/>
      <c r="AS108" s="109"/>
      <c r="AT108" s="109"/>
      <c r="CR108" s="6"/>
    </row>
    <row r="109" spans="1:96" ht="15" customHeight="1">
      <c r="A109" s="3"/>
      <c r="E109" s="113" t="s">
        <v>163</v>
      </c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3" t="s">
        <v>161</v>
      </c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  <c r="AM109" s="113"/>
      <c r="AN109" s="113"/>
      <c r="AO109" s="113"/>
      <c r="AP109" s="113"/>
      <c r="AQ109" s="113"/>
      <c r="AR109" s="113"/>
      <c r="AS109" s="113"/>
      <c r="AT109" s="113"/>
      <c r="CR109" s="6"/>
    </row>
    <row r="110" spans="1:96" ht="15" customHeight="1">
      <c r="A110" s="3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  <c r="AM110" s="113"/>
      <c r="AN110" s="113"/>
      <c r="AO110" s="113"/>
      <c r="AP110" s="113"/>
      <c r="AQ110" s="113"/>
      <c r="AR110" s="113"/>
      <c r="AS110" s="113"/>
      <c r="AT110" s="113"/>
      <c r="CR110" s="6"/>
    </row>
    <row r="111" spans="1:96" ht="15" customHeight="1">
      <c r="A111" s="3"/>
      <c r="E111" s="113" t="s">
        <v>162</v>
      </c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3" t="s">
        <v>194</v>
      </c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  <c r="AM111" s="113"/>
      <c r="AN111" s="113"/>
      <c r="AO111" s="113"/>
      <c r="AP111" s="113"/>
      <c r="AQ111" s="113"/>
      <c r="AR111" s="113"/>
      <c r="AS111" s="113"/>
      <c r="AT111" s="113"/>
      <c r="CR111" s="6"/>
    </row>
    <row r="112" spans="1:96" ht="15" customHeight="1">
      <c r="A112" s="3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  <c r="AM112" s="113"/>
      <c r="AN112" s="113"/>
      <c r="AO112" s="113"/>
      <c r="AP112" s="113"/>
      <c r="AQ112" s="113"/>
      <c r="AR112" s="113"/>
      <c r="AS112" s="113"/>
      <c r="AT112" s="113"/>
      <c r="CR112" s="6"/>
    </row>
    <row r="113" spans="1:96" ht="15" customHeight="1">
      <c r="A113" s="3"/>
      <c r="E113" s="111" t="s">
        <v>156</v>
      </c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3" t="s">
        <v>164</v>
      </c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  <c r="AM113" s="113"/>
      <c r="AN113" s="113"/>
      <c r="AO113" s="113"/>
      <c r="AP113" s="113"/>
      <c r="AQ113" s="113"/>
      <c r="AR113" s="113"/>
      <c r="AS113" s="113"/>
      <c r="AT113" s="113"/>
      <c r="CR113" s="6"/>
    </row>
    <row r="114" spans="1:96" ht="15" customHeight="1">
      <c r="A114" s="3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  <c r="AM114" s="113"/>
      <c r="AN114" s="113"/>
      <c r="AO114" s="113"/>
      <c r="AP114" s="113"/>
      <c r="AQ114" s="113"/>
      <c r="AR114" s="113"/>
      <c r="AS114" s="113"/>
      <c r="AT114" s="113"/>
      <c r="CR114" s="6"/>
    </row>
    <row r="115" spans="1:96" ht="15" customHeight="1">
      <c r="A115" s="3"/>
      <c r="E115" s="111" t="s">
        <v>157</v>
      </c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3" t="s">
        <v>165</v>
      </c>
      <c r="R115" s="113"/>
      <c r="S115" s="113"/>
      <c r="T115" s="113"/>
      <c r="U115" s="113"/>
      <c r="V115" s="113"/>
      <c r="W115" s="113"/>
      <c r="X115" s="113"/>
      <c r="Y115" s="113"/>
      <c r="Z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  <c r="AM115" s="113"/>
      <c r="AN115" s="113"/>
      <c r="AO115" s="113"/>
      <c r="AP115" s="113"/>
      <c r="AQ115" s="113"/>
      <c r="AR115" s="113"/>
      <c r="AS115" s="113"/>
      <c r="AT115" s="113"/>
      <c r="CR115" s="6"/>
    </row>
    <row r="116" spans="1:96" ht="15" customHeight="1">
      <c r="A116" s="3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  <c r="AM116" s="113"/>
      <c r="AN116" s="113"/>
      <c r="AO116" s="113"/>
      <c r="AP116" s="113"/>
      <c r="AQ116" s="113"/>
      <c r="AR116" s="113"/>
      <c r="AS116" s="113"/>
      <c r="AT116" s="113"/>
      <c r="CR116" s="6"/>
    </row>
    <row r="117" spans="1:96" ht="15" customHeight="1">
      <c r="A117" s="3"/>
      <c r="E117" s="111" t="s">
        <v>158</v>
      </c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3" t="s">
        <v>166</v>
      </c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  <c r="AM117" s="113"/>
      <c r="AN117" s="113"/>
      <c r="AO117" s="113"/>
      <c r="AP117" s="113"/>
      <c r="AQ117" s="113"/>
      <c r="AR117" s="113"/>
      <c r="AS117" s="113"/>
      <c r="AT117" s="113"/>
      <c r="CR117" s="6"/>
    </row>
    <row r="118" spans="1:96" ht="15" customHeight="1">
      <c r="A118" s="3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  <c r="AM118" s="113"/>
      <c r="AN118" s="113"/>
      <c r="AO118" s="113"/>
      <c r="AP118" s="113"/>
      <c r="AQ118" s="113"/>
      <c r="AR118" s="113"/>
      <c r="AS118" s="113"/>
      <c r="AT118" s="113"/>
      <c r="CR118" s="6"/>
    </row>
    <row r="119" spans="1:96" ht="15" customHeight="1">
      <c r="A119" s="3"/>
      <c r="E119" s="111" t="s">
        <v>159</v>
      </c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3" t="s">
        <v>235</v>
      </c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  <c r="AM119" s="113"/>
      <c r="AN119" s="113"/>
      <c r="AO119" s="113"/>
      <c r="AP119" s="113"/>
      <c r="AQ119" s="113"/>
      <c r="AR119" s="113"/>
      <c r="AS119" s="113"/>
      <c r="AT119" s="113"/>
      <c r="CR119" s="6"/>
    </row>
    <row r="120" spans="1:96" ht="15" customHeight="1">
      <c r="A120" s="3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  <c r="AM120" s="113"/>
      <c r="AN120" s="113"/>
      <c r="AO120" s="113"/>
      <c r="AP120" s="113"/>
      <c r="AQ120" s="113"/>
      <c r="AR120" s="113"/>
      <c r="AS120" s="113"/>
      <c r="AT120" s="113"/>
      <c r="CR120" s="6"/>
    </row>
    <row r="121" spans="1:96" ht="15" customHeight="1">
      <c r="A121" s="3"/>
      <c r="CR121" s="6"/>
    </row>
    <row r="122" spans="1:96" ht="15" customHeight="1">
      <c r="A122" s="3"/>
      <c r="C122" s="4" t="s">
        <v>152</v>
      </c>
      <c r="CR122" s="6"/>
    </row>
    <row r="123" spans="1:96" ht="15" customHeight="1">
      <c r="A123" s="3"/>
      <c r="CR123" s="6"/>
    </row>
    <row r="124" spans="1:96" ht="15" customHeight="1">
      <c r="A124" s="3"/>
      <c r="D124" s="5" t="s">
        <v>246</v>
      </c>
      <c r="E124" s="50"/>
      <c r="F124" s="50"/>
      <c r="CR124" s="6"/>
    </row>
    <row r="125" spans="1:96" ht="15" customHeight="1">
      <c r="A125" s="3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1"/>
      <c r="Q125" s="51"/>
      <c r="R125" s="51"/>
      <c r="S125" s="51"/>
      <c r="T125" s="51"/>
      <c r="U125" s="51"/>
      <c r="V125" s="50"/>
      <c r="W125" s="50"/>
      <c r="X125" s="51"/>
      <c r="Y125" s="51"/>
      <c r="Z125" s="51"/>
      <c r="AA125" s="51"/>
      <c r="AB125" s="51"/>
      <c r="AC125" s="51"/>
      <c r="AD125" s="52"/>
      <c r="AE125" s="52"/>
      <c r="AF125" s="52"/>
      <c r="AG125" s="50"/>
      <c r="AH125" s="50"/>
      <c r="AI125" s="50"/>
      <c r="AJ125" s="50"/>
      <c r="AK125" s="50"/>
      <c r="AL125" s="50"/>
      <c r="AM125" s="50"/>
      <c r="AN125" s="50"/>
      <c r="AO125" s="50"/>
      <c r="AP125" s="50"/>
      <c r="AQ125" s="50"/>
      <c r="AR125" s="50"/>
      <c r="AS125" s="50"/>
      <c r="AT125" s="50"/>
      <c r="CR125" s="6"/>
    </row>
    <row r="126" spans="1:96" ht="15" customHeight="1">
      <c r="A126" s="3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1"/>
      <c r="Q126" s="51"/>
      <c r="R126" s="51"/>
      <c r="S126" s="51"/>
      <c r="T126" s="51"/>
      <c r="U126" s="51"/>
      <c r="V126" s="50"/>
      <c r="W126" s="50"/>
      <c r="X126" s="51"/>
      <c r="Y126" s="51"/>
      <c r="Z126" s="51"/>
      <c r="AA126" s="51"/>
      <c r="AB126" s="51"/>
      <c r="AC126" s="51"/>
      <c r="AD126" s="52"/>
      <c r="AE126" s="52"/>
      <c r="AF126" s="52"/>
      <c r="AG126" s="50"/>
      <c r="AH126" s="50"/>
      <c r="AI126" s="50"/>
      <c r="AJ126" s="50"/>
      <c r="AK126" s="50"/>
      <c r="AL126" s="50"/>
      <c r="AM126" s="50"/>
      <c r="AN126" s="50"/>
      <c r="AO126" s="50"/>
      <c r="AP126" s="50"/>
      <c r="AQ126" s="50"/>
      <c r="AR126" s="50"/>
      <c r="AS126" s="50"/>
      <c r="AT126" s="50"/>
      <c r="CR126" s="6"/>
    </row>
    <row r="127" spans="1:96" ht="15" customHeight="1">
      <c r="A127" s="3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1"/>
      <c r="Q127" s="51"/>
      <c r="R127" s="51"/>
      <c r="S127" s="51"/>
      <c r="T127" s="51"/>
      <c r="U127" s="51"/>
      <c r="V127" s="50"/>
      <c r="W127" s="50"/>
      <c r="X127" s="51"/>
      <c r="Y127" s="51"/>
      <c r="Z127" s="51"/>
      <c r="AA127" s="51"/>
      <c r="AB127" s="51"/>
      <c r="AC127" s="51"/>
      <c r="AD127" s="52"/>
      <c r="AE127" s="52"/>
      <c r="AF127" s="52"/>
      <c r="AG127" s="50"/>
      <c r="AH127" s="50"/>
      <c r="AI127" s="50"/>
      <c r="AJ127" s="50"/>
      <c r="AK127" s="50"/>
      <c r="AL127" s="50"/>
      <c r="AM127" s="50"/>
      <c r="AN127" s="50"/>
      <c r="AO127" s="50"/>
      <c r="AP127" s="50"/>
      <c r="AQ127" s="50"/>
      <c r="AR127" s="50"/>
      <c r="AS127" s="50"/>
      <c r="AT127" s="50"/>
      <c r="CR127" s="6"/>
    </row>
    <row r="128" spans="1:96" ht="15" customHeight="1">
      <c r="A128" s="3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1"/>
      <c r="Q128" s="51"/>
      <c r="R128" s="51"/>
      <c r="S128" s="51"/>
      <c r="T128" s="51"/>
      <c r="U128" s="51"/>
      <c r="V128" s="50"/>
      <c r="W128" s="50"/>
      <c r="X128" s="51"/>
      <c r="Y128" s="51"/>
      <c r="Z128" s="51"/>
      <c r="AA128" s="51"/>
      <c r="AB128" s="51"/>
      <c r="AC128" s="51"/>
      <c r="AD128" s="52"/>
      <c r="AE128" s="52"/>
      <c r="AF128" s="52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  <c r="AQ128" s="50"/>
      <c r="AR128" s="50"/>
      <c r="AS128" s="50"/>
      <c r="AT128" s="50"/>
      <c r="CR128" s="6"/>
    </row>
    <row r="129" spans="1:96" ht="15" customHeight="1">
      <c r="A129" s="3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1"/>
      <c r="Q129" s="51"/>
      <c r="R129" s="51"/>
      <c r="S129" s="51"/>
      <c r="T129" s="51"/>
      <c r="U129" s="51"/>
      <c r="V129" s="50"/>
      <c r="W129" s="50"/>
      <c r="X129" s="51"/>
      <c r="Y129" s="51"/>
      <c r="Z129" s="51"/>
      <c r="AA129" s="51"/>
      <c r="AB129" s="51"/>
      <c r="AC129" s="51"/>
      <c r="AD129" s="52"/>
      <c r="AE129" s="52"/>
      <c r="AF129" s="52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S129" s="50"/>
      <c r="AT129" s="50"/>
      <c r="CR129" s="6"/>
    </row>
    <row r="130" spans="1:96" ht="15" customHeight="1">
      <c r="A130" s="3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1"/>
      <c r="Q130" s="51"/>
      <c r="R130" s="51"/>
      <c r="S130" s="51"/>
      <c r="T130" s="51"/>
      <c r="U130" s="51"/>
      <c r="V130" s="50"/>
      <c r="W130" s="50"/>
      <c r="X130" s="51"/>
      <c r="Y130" s="51"/>
      <c r="Z130" s="51"/>
      <c r="AA130" s="51"/>
      <c r="AB130" s="51"/>
      <c r="AC130" s="51"/>
      <c r="AD130" s="52"/>
      <c r="AE130" s="52"/>
      <c r="AF130" s="52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50"/>
      <c r="AR130" s="50"/>
      <c r="AS130" s="50"/>
      <c r="AT130" s="50"/>
      <c r="CR130" s="6"/>
    </row>
    <row r="131" spans="1:96" ht="15" customHeight="1">
      <c r="A131" s="3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1"/>
      <c r="Q131" s="51"/>
      <c r="R131" s="51"/>
      <c r="S131" s="51"/>
      <c r="T131" s="51"/>
      <c r="U131" s="51"/>
      <c r="V131" s="50"/>
      <c r="W131" s="50"/>
      <c r="X131" s="51"/>
      <c r="Y131" s="51"/>
      <c r="Z131" s="51"/>
      <c r="AA131" s="51"/>
      <c r="AB131" s="51"/>
      <c r="AC131" s="51"/>
      <c r="AD131" s="52"/>
      <c r="AE131" s="52"/>
      <c r="AF131" s="52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CR131" s="6"/>
    </row>
    <row r="132" spans="1:96" ht="15" customHeight="1">
      <c r="A132" s="3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1"/>
      <c r="Q132" s="51"/>
      <c r="R132" s="51"/>
      <c r="S132" s="51"/>
      <c r="T132" s="51"/>
      <c r="U132" s="51"/>
      <c r="V132" s="50"/>
      <c r="W132" s="50"/>
      <c r="X132" s="51"/>
      <c r="Y132" s="51"/>
      <c r="Z132" s="51"/>
      <c r="AA132" s="51"/>
      <c r="AB132" s="51"/>
      <c r="AC132" s="51"/>
      <c r="AD132" s="52"/>
      <c r="AE132" s="52"/>
      <c r="AF132" s="52"/>
      <c r="AG132" s="50"/>
      <c r="AH132" s="50"/>
      <c r="AI132" s="50"/>
      <c r="AJ132" s="50"/>
      <c r="AK132" s="50"/>
      <c r="AL132" s="50"/>
      <c r="AM132" s="50"/>
      <c r="AN132" s="50"/>
      <c r="AO132" s="50"/>
      <c r="AP132" s="50"/>
      <c r="AQ132" s="50"/>
      <c r="AR132" s="50"/>
      <c r="AS132" s="50"/>
      <c r="AT132" s="50"/>
      <c r="CR132" s="6"/>
    </row>
    <row r="133" spans="1:96" ht="15" customHeight="1">
      <c r="A133" s="3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1"/>
      <c r="Q133" s="51"/>
      <c r="R133" s="51"/>
      <c r="S133" s="51"/>
      <c r="T133" s="51"/>
      <c r="U133" s="51"/>
      <c r="V133" s="50"/>
      <c r="W133" s="50"/>
      <c r="X133" s="51"/>
      <c r="Y133" s="51"/>
      <c r="Z133" s="51"/>
      <c r="AA133" s="51"/>
      <c r="AB133" s="51"/>
      <c r="AC133" s="51"/>
      <c r="AD133" s="52"/>
      <c r="AE133" s="52"/>
      <c r="AF133" s="52"/>
      <c r="AG133" s="50"/>
      <c r="AH133" s="50"/>
      <c r="AI133" s="50"/>
      <c r="AJ133" s="50"/>
      <c r="AK133" s="50"/>
      <c r="AL133" s="50"/>
      <c r="AM133" s="50"/>
      <c r="AN133" s="50"/>
      <c r="AO133" s="50"/>
      <c r="AP133" s="50"/>
      <c r="AQ133" s="50"/>
      <c r="AR133" s="50"/>
      <c r="AS133" s="50"/>
      <c r="AT133" s="50"/>
      <c r="CR133" s="6"/>
    </row>
    <row r="134" spans="1:96" ht="15" customHeight="1">
      <c r="A134" s="3"/>
      <c r="CR134" s="6"/>
    </row>
    <row r="135" spans="1:96" ht="15" customHeight="1">
      <c r="A135" s="3"/>
      <c r="CR135" s="6"/>
    </row>
    <row r="136" spans="1:96" ht="15" customHeight="1" thickBot="1">
      <c r="A136" s="7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9"/>
    </row>
    <row r="137" spans="1:96" ht="15" customHeight="1">
      <c r="A137" s="10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2"/>
    </row>
    <row r="138" spans="1:96" ht="15" customHeight="1">
      <c r="A138" s="3"/>
      <c r="B138" s="4" t="s">
        <v>172</v>
      </c>
      <c r="CR138" s="6"/>
    </row>
    <row r="139" spans="1:96" ht="15" customHeight="1">
      <c r="A139" s="3"/>
      <c r="CR139" s="6"/>
    </row>
    <row r="140" spans="1:96" ht="15" customHeight="1">
      <c r="A140" s="3"/>
      <c r="C140" s="4" t="s">
        <v>173</v>
      </c>
      <c r="CR140" s="6"/>
    </row>
    <row r="141" spans="1:96" ht="15" customHeight="1">
      <c r="A141" s="3"/>
      <c r="CR141" s="6"/>
    </row>
    <row r="142" spans="1:96" ht="15" customHeight="1">
      <c r="A142" s="3"/>
      <c r="D142" s="5" t="s">
        <v>174</v>
      </c>
      <c r="CR142" s="6"/>
    </row>
    <row r="143" spans="1:96" ht="15" customHeight="1">
      <c r="A143" s="3"/>
      <c r="CR143" s="6"/>
    </row>
    <row r="144" spans="1:96" ht="15" customHeight="1">
      <c r="A144" s="3"/>
      <c r="E144" s="109" t="s">
        <v>17</v>
      </c>
      <c r="F144" s="109"/>
      <c r="G144" s="109" t="s">
        <v>42</v>
      </c>
      <c r="H144" s="109"/>
      <c r="I144" s="109"/>
      <c r="J144" s="109"/>
      <c r="K144" s="109"/>
      <c r="L144" s="109"/>
      <c r="M144" s="109"/>
      <c r="N144" s="109"/>
      <c r="O144" s="109"/>
      <c r="P144" s="109" t="s">
        <v>175</v>
      </c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 t="s">
        <v>176</v>
      </c>
      <c r="AD144" s="109"/>
      <c r="AE144" s="109"/>
      <c r="AF144" s="109"/>
      <c r="AG144" s="109"/>
      <c r="AH144" s="109"/>
      <c r="AI144" s="109"/>
      <c r="AJ144" s="109"/>
      <c r="AK144" s="109"/>
      <c r="AL144" s="109"/>
      <c r="AM144" s="109"/>
      <c r="AN144" s="109"/>
      <c r="AO144" s="109"/>
      <c r="AP144" s="109"/>
      <c r="AQ144" s="109"/>
      <c r="AR144" s="109"/>
      <c r="AS144" s="109"/>
      <c r="AT144" s="109"/>
      <c r="CR144" s="6"/>
    </row>
    <row r="145" spans="1:96" ht="15" customHeight="1">
      <c r="A145" s="3"/>
      <c r="E145" s="121">
        <v>1</v>
      </c>
      <c r="F145" s="122"/>
      <c r="G145" s="125" t="s">
        <v>44</v>
      </c>
      <c r="H145" s="126"/>
      <c r="I145" s="126"/>
      <c r="J145" s="126"/>
      <c r="K145" s="126"/>
      <c r="L145" s="126"/>
      <c r="M145" s="126"/>
      <c r="N145" s="126"/>
      <c r="O145" s="127"/>
      <c r="P145" s="125" t="s">
        <v>329</v>
      </c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7"/>
      <c r="AC145" s="136" t="s">
        <v>331</v>
      </c>
      <c r="AD145" s="136"/>
      <c r="AE145" s="136"/>
      <c r="AF145" s="136"/>
      <c r="AG145" s="136"/>
      <c r="AH145" s="136"/>
      <c r="AI145" s="136"/>
      <c r="AJ145" s="136"/>
      <c r="AK145" s="136"/>
      <c r="AL145" s="136"/>
      <c r="AM145" s="136"/>
      <c r="AN145" s="136"/>
      <c r="AO145" s="136"/>
      <c r="AP145" s="136"/>
      <c r="AQ145" s="136"/>
      <c r="AR145" s="136"/>
      <c r="AS145" s="136"/>
      <c r="AT145" s="136"/>
      <c r="CR145" s="6"/>
    </row>
    <row r="146" spans="1:96" ht="15" customHeight="1">
      <c r="A146" s="3"/>
      <c r="E146" s="123"/>
      <c r="F146" s="124"/>
      <c r="G146" s="128"/>
      <c r="H146" s="129"/>
      <c r="I146" s="129"/>
      <c r="J146" s="129"/>
      <c r="K146" s="129"/>
      <c r="L146" s="129"/>
      <c r="M146" s="129"/>
      <c r="N146" s="129"/>
      <c r="O146" s="130"/>
      <c r="P146" s="128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30"/>
      <c r="AC146" s="136"/>
      <c r="AD146" s="136"/>
      <c r="AE146" s="136"/>
      <c r="AF146" s="136"/>
      <c r="AG146" s="136"/>
      <c r="AH146" s="136"/>
      <c r="AI146" s="136"/>
      <c r="AJ146" s="136"/>
      <c r="AK146" s="136"/>
      <c r="AL146" s="136"/>
      <c r="AM146" s="136"/>
      <c r="AN146" s="136"/>
      <c r="AO146" s="136"/>
      <c r="AP146" s="136"/>
      <c r="AQ146" s="136"/>
      <c r="AR146" s="136"/>
      <c r="AS146" s="136"/>
      <c r="AT146" s="136"/>
      <c r="CR146" s="6"/>
    </row>
    <row r="147" spans="1:96" ht="15" customHeight="1">
      <c r="A147" s="3"/>
      <c r="E147" s="104"/>
      <c r="F147" s="106"/>
      <c r="G147" s="131"/>
      <c r="H147" s="132"/>
      <c r="I147" s="132"/>
      <c r="J147" s="132"/>
      <c r="K147" s="132"/>
      <c r="L147" s="132"/>
      <c r="M147" s="132"/>
      <c r="N147" s="132"/>
      <c r="O147" s="133"/>
      <c r="P147" s="131"/>
      <c r="Q147" s="132"/>
      <c r="R147" s="132"/>
      <c r="S147" s="132"/>
      <c r="T147" s="132"/>
      <c r="U147" s="132"/>
      <c r="V147" s="132"/>
      <c r="W147" s="132"/>
      <c r="X147" s="132"/>
      <c r="Y147" s="132"/>
      <c r="Z147" s="132"/>
      <c r="AA147" s="132"/>
      <c r="AB147" s="133"/>
      <c r="AC147" s="136"/>
      <c r="AD147" s="136"/>
      <c r="AE147" s="136"/>
      <c r="AF147" s="136"/>
      <c r="AG147" s="136"/>
      <c r="AH147" s="136"/>
      <c r="AI147" s="136"/>
      <c r="AJ147" s="136"/>
      <c r="AK147" s="136"/>
      <c r="AL147" s="136"/>
      <c r="AM147" s="136"/>
      <c r="AN147" s="136"/>
      <c r="AO147" s="136"/>
      <c r="AP147" s="136"/>
      <c r="AQ147" s="136"/>
      <c r="AR147" s="136"/>
      <c r="AS147" s="136"/>
      <c r="AT147" s="136"/>
      <c r="CR147" s="6"/>
    </row>
    <row r="148" spans="1:96" ht="15" customHeight="1">
      <c r="A148" s="3"/>
      <c r="E148" s="78">
        <v>2</v>
      </c>
      <c r="F148" s="78"/>
      <c r="G148" s="134" t="s">
        <v>45</v>
      </c>
      <c r="H148" s="134"/>
      <c r="I148" s="134"/>
      <c r="J148" s="134"/>
      <c r="K148" s="134"/>
      <c r="L148" s="134"/>
      <c r="M148" s="134"/>
      <c r="N148" s="134"/>
      <c r="O148" s="134"/>
      <c r="P148" s="135" t="s">
        <v>230</v>
      </c>
      <c r="Q148" s="135"/>
      <c r="R148" s="135"/>
      <c r="S148" s="135"/>
      <c r="T148" s="135"/>
      <c r="U148" s="135"/>
      <c r="V148" s="135"/>
      <c r="W148" s="135"/>
      <c r="X148" s="135"/>
      <c r="Y148" s="135"/>
      <c r="Z148" s="135"/>
      <c r="AA148" s="135"/>
      <c r="AB148" s="135"/>
      <c r="AC148" s="136" t="s">
        <v>330</v>
      </c>
      <c r="AD148" s="136"/>
      <c r="AE148" s="136"/>
      <c r="AF148" s="136"/>
      <c r="AG148" s="136"/>
      <c r="AH148" s="136"/>
      <c r="AI148" s="136"/>
      <c r="AJ148" s="136"/>
      <c r="AK148" s="136"/>
      <c r="AL148" s="136"/>
      <c r="AM148" s="136"/>
      <c r="AN148" s="136"/>
      <c r="AO148" s="136"/>
      <c r="AP148" s="136"/>
      <c r="AQ148" s="136"/>
      <c r="AR148" s="136"/>
      <c r="AS148" s="136"/>
      <c r="AT148" s="136"/>
      <c r="CR148" s="6"/>
    </row>
    <row r="149" spans="1:96" ht="15" customHeight="1">
      <c r="A149" s="3"/>
      <c r="E149" s="78"/>
      <c r="F149" s="78"/>
      <c r="G149" s="134"/>
      <c r="H149" s="134"/>
      <c r="I149" s="134"/>
      <c r="J149" s="134"/>
      <c r="K149" s="134"/>
      <c r="L149" s="134"/>
      <c r="M149" s="134"/>
      <c r="N149" s="134"/>
      <c r="O149" s="134"/>
      <c r="P149" s="119" t="s">
        <v>231</v>
      </c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 s="136"/>
      <c r="AD149" s="136"/>
      <c r="AE149" s="136"/>
      <c r="AF149" s="136"/>
      <c r="AG149" s="136"/>
      <c r="AH149" s="136"/>
      <c r="AI149" s="136"/>
      <c r="AJ149" s="136"/>
      <c r="AK149" s="136"/>
      <c r="AL149" s="136"/>
      <c r="AM149" s="136"/>
      <c r="AN149" s="136"/>
      <c r="AO149" s="136"/>
      <c r="AP149" s="136"/>
      <c r="AQ149" s="136"/>
      <c r="AR149" s="136"/>
      <c r="AS149" s="136"/>
      <c r="AT149" s="136"/>
      <c r="CR149" s="6"/>
    </row>
    <row r="150" spans="1:96" ht="15" customHeight="1">
      <c r="A150" s="3"/>
      <c r="E150" s="78"/>
      <c r="F150" s="78"/>
      <c r="G150" s="134"/>
      <c r="H150" s="134"/>
      <c r="I150" s="134"/>
      <c r="J150" s="134"/>
      <c r="K150" s="134"/>
      <c r="L150" s="134"/>
      <c r="M150" s="134"/>
      <c r="N150" s="134"/>
      <c r="O150" s="134"/>
      <c r="P150" s="120" t="s">
        <v>233</v>
      </c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  <c r="AA150" s="120"/>
      <c r="AB150" s="120"/>
      <c r="AC150" s="136"/>
      <c r="AD150" s="136"/>
      <c r="AE150" s="136"/>
      <c r="AF150" s="136"/>
      <c r="AG150" s="136"/>
      <c r="AH150" s="136"/>
      <c r="AI150" s="136"/>
      <c r="AJ150" s="136"/>
      <c r="AK150" s="136"/>
      <c r="AL150" s="136"/>
      <c r="AM150" s="136"/>
      <c r="AN150" s="136"/>
      <c r="AO150" s="136"/>
      <c r="AP150" s="136"/>
      <c r="AQ150" s="136"/>
      <c r="AR150" s="136"/>
      <c r="AS150" s="136"/>
      <c r="AT150" s="136"/>
      <c r="CR150" s="6"/>
    </row>
    <row r="151" spans="1:96" ht="15" customHeight="1">
      <c r="A151" s="3"/>
      <c r="E151" s="78"/>
      <c r="F151" s="78"/>
      <c r="G151" s="134"/>
      <c r="H151" s="134"/>
      <c r="I151" s="134"/>
      <c r="J151" s="134"/>
      <c r="K151" s="134"/>
      <c r="L151" s="134"/>
      <c r="M151" s="134"/>
      <c r="N151" s="134"/>
      <c r="O151" s="134"/>
      <c r="P151" s="119" t="s">
        <v>237</v>
      </c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  <c r="AC151" s="119" t="s">
        <v>250</v>
      </c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  <c r="AO151" s="119"/>
      <c r="AP151" s="119"/>
      <c r="AQ151" s="119"/>
      <c r="AR151" s="119"/>
      <c r="AS151" s="119"/>
      <c r="AT151" s="119"/>
      <c r="CR151" s="6"/>
    </row>
    <row r="152" spans="1:96" ht="15" customHeight="1">
      <c r="A152" s="3"/>
      <c r="E152" s="78">
        <v>3</v>
      </c>
      <c r="F152" s="78"/>
      <c r="G152" s="134" t="s">
        <v>46</v>
      </c>
      <c r="H152" s="134"/>
      <c r="I152" s="134"/>
      <c r="J152" s="134"/>
      <c r="K152" s="134"/>
      <c r="L152" s="134"/>
      <c r="M152" s="134"/>
      <c r="N152" s="134"/>
      <c r="O152" s="134"/>
      <c r="P152" s="134" t="s">
        <v>232</v>
      </c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 t="s">
        <v>234</v>
      </c>
      <c r="AD152" s="134"/>
      <c r="AE152" s="134"/>
      <c r="AF152" s="134"/>
      <c r="AG152" s="134"/>
      <c r="AH152" s="134"/>
      <c r="AI152" s="134"/>
      <c r="AJ152" s="134"/>
      <c r="AK152" s="134"/>
      <c r="AL152" s="134"/>
      <c r="AM152" s="134"/>
      <c r="AN152" s="134"/>
      <c r="AO152" s="134"/>
      <c r="AP152" s="134"/>
      <c r="AQ152" s="134"/>
      <c r="AR152" s="134"/>
      <c r="AS152" s="134"/>
      <c r="AT152" s="134"/>
      <c r="CR152" s="6"/>
    </row>
    <row r="153" spans="1:96" ht="15" customHeight="1">
      <c r="A153" s="3"/>
      <c r="E153" s="78"/>
      <c r="F153" s="78"/>
      <c r="G153" s="134"/>
      <c r="H153" s="134"/>
      <c r="I153" s="134"/>
      <c r="J153" s="134"/>
      <c r="K153" s="134"/>
      <c r="L153" s="134"/>
      <c r="M153" s="134"/>
      <c r="N153" s="134"/>
      <c r="O153" s="134"/>
      <c r="P153" s="134" t="s">
        <v>236</v>
      </c>
      <c r="Q153" s="134"/>
      <c r="R153" s="134"/>
      <c r="S153" s="134"/>
      <c r="T153" s="134"/>
      <c r="U153" s="134"/>
      <c r="V153" s="134"/>
      <c r="W153" s="134"/>
      <c r="X153" s="134"/>
      <c r="Y153" s="134"/>
      <c r="Z153" s="134"/>
      <c r="AA153" s="134"/>
      <c r="AB153" s="134"/>
      <c r="AC153" s="134" t="s">
        <v>238</v>
      </c>
      <c r="AD153" s="134"/>
      <c r="AE153" s="134"/>
      <c r="AF153" s="134"/>
      <c r="AG153" s="134"/>
      <c r="AH153" s="134"/>
      <c r="AI153" s="134"/>
      <c r="AJ153" s="134"/>
      <c r="AK153" s="134"/>
      <c r="AL153" s="134"/>
      <c r="AM153" s="134"/>
      <c r="AN153" s="134"/>
      <c r="AO153" s="134"/>
      <c r="AP153" s="134"/>
      <c r="AQ153" s="134"/>
      <c r="AR153" s="134"/>
      <c r="AS153" s="134"/>
      <c r="AT153" s="134"/>
      <c r="CR153" s="6"/>
    </row>
    <row r="154" spans="1:96" ht="15" customHeight="1">
      <c r="A154" s="3"/>
      <c r="E154" s="78">
        <v>4</v>
      </c>
      <c r="F154" s="78"/>
      <c r="G154" s="134" t="s">
        <v>47</v>
      </c>
      <c r="H154" s="134"/>
      <c r="I154" s="134"/>
      <c r="J154" s="134"/>
      <c r="K154" s="134"/>
      <c r="L154" s="134"/>
      <c r="M154" s="134"/>
      <c r="N154" s="134"/>
      <c r="O154" s="134"/>
      <c r="P154" s="135" t="s">
        <v>240</v>
      </c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 t="s">
        <v>239</v>
      </c>
      <c r="AD154" s="135"/>
      <c r="AE154" s="135"/>
      <c r="AF154" s="135"/>
      <c r="AG154" s="135"/>
      <c r="AH154" s="135"/>
      <c r="AI154" s="135"/>
      <c r="AJ154" s="135"/>
      <c r="AK154" s="135"/>
      <c r="AL154" s="135"/>
      <c r="AM154" s="135"/>
      <c r="AN154" s="135"/>
      <c r="AO154" s="135"/>
      <c r="AP154" s="135"/>
      <c r="AQ154" s="135"/>
      <c r="AR154" s="135"/>
      <c r="AS154" s="135"/>
      <c r="AT154" s="135"/>
      <c r="CR154" s="6"/>
    </row>
    <row r="155" spans="1:96" ht="15" customHeight="1">
      <c r="A155" s="3"/>
      <c r="E155" s="78"/>
      <c r="F155" s="78"/>
      <c r="G155" s="134"/>
      <c r="H155" s="134"/>
      <c r="I155" s="134"/>
      <c r="J155" s="134"/>
      <c r="K155" s="134"/>
      <c r="L155" s="134"/>
      <c r="M155" s="134"/>
      <c r="N155" s="134"/>
      <c r="O155" s="134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  <c r="AC155" s="119" t="s">
        <v>333</v>
      </c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  <c r="AO155" s="119"/>
      <c r="AP155" s="119"/>
      <c r="AQ155" s="119"/>
      <c r="AR155" s="119"/>
      <c r="AS155" s="119"/>
      <c r="AT155" s="119"/>
      <c r="CR155" s="6"/>
    </row>
    <row r="156" spans="1:96" ht="15" customHeight="1">
      <c r="A156" s="3"/>
      <c r="E156" s="78"/>
      <c r="F156" s="78"/>
      <c r="G156" s="134"/>
      <c r="H156" s="134"/>
      <c r="I156" s="134"/>
      <c r="J156" s="134"/>
      <c r="K156" s="134"/>
      <c r="L156" s="134"/>
      <c r="M156" s="134"/>
      <c r="N156" s="134"/>
      <c r="O156" s="134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  <c r="AA156" s="120"/>
      <c r="AB156" s="120"/>
      <c r="AC156" s="120"/>
      <c r="AD156" s="120"/>
      <c r="AE156" s="120"/>
      <c r="AF156" s="120"/>
      <c r="AG156" s="120"/>
      <c r="AH156" s="120"/>
      <c r="AI156" s="120"/>
      <c r="AJ156" s="120"/>
      <c r="AK156" s="120"/>
      <c r="AL156" s="120"/>
      <c r="AM156" s="120"/>
      <c r="AN156" s="120"/>
      <c r="AO156" s="120"/>
      <c r="AP156" s="120"/>
      <c r="AQ156" s="120"/>
      <c r="AR156" s="120"/>
      <c r="AS156" s="120"/>
      <c r="AT156" s="120"/>
      <c r="CR156" s="6"/>
    </row>
    <row r="157" spans="1:96" ht="15" customHeight="1">
      <c r="A157" s="3"/>
      <c r="CR157" s="6"/>
    </row>
    <row r="158" spans="1:96" ht="15" customHeight="1">
      <c r="A158" s="3"/>
      <c r="CR158" s="6"/>
    </row>
    <row r="159" spans="1:96" ht="15" customHeight="1">
      <c r="A159" s="3"/>
      <c r="CR159" s="6"/>
    </row>
    <row r="160" spans="1:96" ht="15" customHeight="1">
      <c r="A160" s="3"/>
      <c r="E160" s="62" t="s">
        <v>254</v>
      </c>
      <c r="CR160" s="6"/>
    </row>
    <row r="161" spans="1:96" ht="15" customHeight="1">
      <c r="A161" s="3"/>
      <c r="F161" s="5" t="s">
        <v>248</v>
      </c>
      <c r="CR161" s="6"/>
    </row>
    <row r="162" spans="1:96" ht="15" customHeight="1">
      <c r="A162" s="3"/>
      <c r="F162" s="5" t="s">
        <v>249</v>
      </c>
      <c r="CR162" s="6"/>
    </row>
    <row r="163" spans="1:96" ht="15" customHeight="1">
      <c r="A163" s="3"/>
      <c r="CR163" s="6"/>
    </row>
    <row r="164" spans="1:96" ht="15" customHeight="1">
      <c r="A164" s="3"/>
      <c r="CR164" s="6"/>
    </row>
    <row r="165" spans="1:96" ht="15" customHeight="1">
      <c r="A165" s="3"/>
      <c r="CR165" s="6"/>
    </row>
    <row r="166" spans="1:96" ht="15" customHeight="1">
      <c r="A166" s="3"/>
      <c r="CR166" s="6"/>
    </row>
    <row r="167" spans="1:96" ht="15" customHeight="1">
      <c r="A167" s="3"/>
      <c r="CR167" s="6"/>
    </row>
    <row r="168" spans="1:96" ht="15" customHeight="1">
      <c r="A168" s="3"/>
      <c r="CR168" s="6"/>
    </row>
    <row r="169" spans="1:96" ht="15" customHeight="1">
      <c r="A169" s="3"/>
      <c r="C169" s="4" t="s">
        <v>177</v>
      </c>
      <c r="CR169" s="6"/>
    </row>
    <row r="170" spans="1:96" ht="15" customHeight="1">
      <c r="A170" s="3"/>
      <c r="CR170" s="6"/>
    </row>
    <row r="171" spans="1:96" ht="15" customHeight="1">
      <c r="A171" s="3"/>
      <c r="D171" s="5" t="s">
        <v>255</v>
      </c>
      <c r="CR171" s="6"/>
    </row>
    <row r="172" spans="1:96" ht="15" customHeight="1">
      <c r="A172" s="3"/>
      <c r="CR172" s="6"/>
    </row>
    <row r="173" spans="1:96" ht="15" customHeight="1">
      <c r="A173" s="3"/>
      <c r="CR173" s="6"/>
    </row>
    <row r="174" spans="1:96" ht="15" customHeight="1">
      <c r="A174" s="3"/>
      <c r="CR174" s="6"/>
    </row>
    <row r="175" spans="1:96" ht="15" customHeight="1">
      <c r="A175" s="3"/>
      <c r="CR175" s="6"/>
    </row>
    <row r="176" spans="1:96" ht="15" customHeight="1">
      <c r="A176" s="3"/>
      <c r="CR176" s="6"/>
    </row>
    <row r="177" spans="1:96" ht="15" customHeight="1">
      <c r="A177" s="3"/>
      <c r="CR177" s="6"/>
    </row>
    <row r="178" spans="1:96" ht="15" customHeight="1">
      <c r="A178" s="3"/>
      <c r="CR178" s="6"/>
    </row>
    <row r="179" spans="1:96" ht="15" customHeight="1">
      <c r="A179" s="3"/>
      <c r="CR179" s="6"/>
    </row>
    <row r="180" spans="1:96" ht="15" customHeight="1" thickBot="1">
      <c r="A180" s="7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9"/>
    </row>
    <row r="181" spans="1:96" ht="15" customHeight="1">
      <c r="A181" s="10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2"/>
    </row>
    <row r="182" spans="1:96" ht="15" customHeight="1">
      <c r="A182" s="3"/>
      <c r="B182" s="4" t="s">
        <v>185</v>
      </c>
      <c r="CR182" s="6"/>
    </row>
    <row r="183" spans="1:96" ht="15" customHeight="1">
      <c r="A183" s="3"/>
      <c r="CR183" s="6"/>
    </row>
    <row r="184" spans="1:96" ht="15" customHeight="1">
      <c r="A184" s="3"/>
      <c r="C184" s="4" t="s">
        <v>186</v>
      </c>
      <c r="CR184" s="6"/>
    </row>
    <row r="185" spans="1:96" ht="15" customHeight="1">
      <c r="A185" s="3"/>
      <c r="CR185" s="6"/>
    </row>
    <row r="186" spans="1:96" ht="15" customHeight="1">
      <c r="A186" s="3"/>
      <c r="E186" s="44" t="s">
        <v>192</v>
      </c>
      <c r="F186" s="44"/>
      <c r="G186" s="115" t="s">
        <v>193</v>
      </c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 t="s">
        <v>195</v>
      </c>
      <c r="S186" s="115"/>
      <c r="T186" s="115"/>
      <c r="U186" s="115"/>
      <c r="V186" s="115"/>
      <c r="W186" s="116" t="s">
        <v>196</v>
      </c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17"/>
      <c r="AH186" s="117"/>
      <c r="AI186" s="117"/>
      <c r="AJ186" s="117"/>
      <c r="AK186" s="118"/>
      <c r="AL186" s="115" t="s">
        <v>202</v>
      </c>
      <c r="AM186" s="115"/>
      <c r="AN186" s="115"/>
      <c r="AO186" s="115"/>
      <c r="AP186" s="115" t="s">
        <v>199</v>
      </c>
      <c r="AQ186" s="115"/>
      <c r="AR186" s="115"/>
      <c r="AS186" s="115"/>
      <c r="AT186" s="115"/>
      <c r="AU186" s="42"/>
      <c r="CR186" s="6"/>
    </row>
    <row r="187" spans="1:96" ht="15" customHeight="1">
      <c r="A187" s="3"/>
      <c r="E187" s="110">
        <v>1</v>
      </c>
      <c r="F187" s="110"/>
      <c r="G187" s="111" t="s">
        <v>197</v>
      </c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 t="s">
        <v>332</v>
      </c>
      <c r="S187" s="111"/>
      <c r="T187" s="111"/>
      <c r="U187" s="111"/>
      <c r="V187" s="111"/>
      <c r="W187" s="113" t="s">
        <v>207</v>
      </c>
      <c r="X187" s="113"/>
      <c r="Y187" s="113"/>
      <c r="Z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 t="s">
        <v>210</v>
      </c>
      <c r="AM187" s="113"/>
      <c r="AN187" s="113"/>
      <c r="AO187" s="113"/>
      <c r="AP187" s="111" t="s">
        <v>200</v>
      </c>
      <c r="AQ187" s="111"/>
      <c r="AR187" s="111"/>
      <c r="AS187" s="111"/>
      <c r="AT187" s="111"/>
      <c r="AU187" s="42"/>
      <c r="CR187" s="6"/>
    </row>
    <row r="188" spans="1:96" ht="15" customHeight="1">
      <c r="A188" s="3"/>
      <c r="E188" s="110"/>
      <c r="F188" s="110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3"/>
      <c r="X188" s="113"/>
      <c r="Y188" s="113"/>
      <c r="Z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  <c r="AM188" s="113"/>
      <c r="AN188" s="113"/>
      <c r="AO188" s="113"/>
      <c r="AP188" s="111"/>
      <c r="AQ188" s="111"/>
      <c r="AR188" s="111"/>
      <c r="AS188" s="111"/>
      <c r="AT188" s="111"/>
      <c r="CR188" s="6"/>
    </row>
    <row r="189" spans="1:96" ht="15" customHeight="1">
      <c r="A189" s="3"/>
      <c r="E189" s="110"/>
      <c r="F189" s="110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3"/>
      <c r="X189" s="113"/>
      <c r="Y189" s="113"/>
      <c r="Z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  <c r="AM189" s="113"/>
      <c r="AN189" s="113"/>
      <c r="AO189" s="113"/>
      <c r="AP189" s="111"/>
      <c r="AQ189" s="111"/>
      <c r="AR189" s="111"/>
      <c r="AS189" s="111"/>
      <c r="AT189" s="111"/>
      <c r="CR189" s="6"/>
    </row>
    <row r="190" spans="1:96" ht="15" customHeight="1">
      <c r="A190" s="3"/>
      <c r="E190" s="110">
        <v>2</v>
      </c>
      <c r="F190" s="110"/>
      <c r="G190" s="111" t="s">
        <v>205</v>
      </c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2" t="s">
        <v>204</v>
      </c>
      <c r="S190" s="112"/>
      <c r="T190" s="112"/>
      <c r="U190" s="112"/>
      <c r="V190" s="112"/>
      <c r="W190" s="113" t="s">
        <v>208</v>
      </c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  <c r="AL190" s="113" t="s">
        <v>211</v>
      </c>
      <c r="AM190" s="113"/>
      <c r="AN190" s="113"/>
      <c r="AO190" s="113"/>
      <c r="AP190" s="111" t="s">
        <v>200</v>
      </c>
      <c r="AQ190" s="111"/>
      <c r="AR190" s="111"/>
      <c r="AS190" s="111"/>
      <c r="AT190" s="111"/>
      <c r="AU190" s="42"/>
      <c r="CR190" s="6"/>
    </row>
    <row r="191" spans="1:96" ht="15" customHeight="1">
      <c r="A191" s="3"/>
      <c r="E191" s="110"/>
      <c r="F191" s="110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2"/>
      <c r="S191" s="112"/>
      <c r="T191" s="112"/>
      <c r="U191" s="112"/>
      <c r="V191" s="112"/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  <c r="AJ191" s="111"/>
      <c r="AK191" s="111"/>
      <c r="AL191" s="113"/>
      <c r="AM191" s="113"/>
      <c r="AN191" s="113"/>
      <c r="AO191" s="113"/>
      <c r="AP191" s="111"/>
      <c r="AQ191" s="111"/>
      <c r="AR191" s="111"/>
      <c r="AS191" s="111"/>
      <c r="AT191" s="111"/>
      <c r="AU191" s="43"/>
      <c r="CR191" s="6"/>
    </row>
    <row r="192" spans="1:96" ht="15" customHeight="1">
      <c r="A192" s="3"/>
      <c r="E192" s="110"/>
      <c r="F192" s="110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2"/>
      <c r="S192" s="112"/>
      <c r="T192" s="112"/>
      <c r="U192" s="112"/>
      <c r="V192" s="112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  <c r="AJ192" s="111"/>
      <c r="AK192" s="111"/>
      <c r="AL192" s="113"/>
      <c r="AM192" s="113"/>
      <c r="AN192" s="113"/>
      <c r="AO192" s="113"/>
      <c r="AP192" s="111"/>
      <c r="AQ192" s="111"/>
      <c r="AR192" s="111"/>
      <c r="AS192" s="111"/>
      <c r="AT192" s="111"/>
      <c r="CR192" s="6"/>
    </row>
    <row r="193" spans="1:96" ht="15" customHeight="1">
      <c r="A193" s="3"/>
      <c r="E193" s="110">
        <v>3</v>
      </c>
      <c r="F193" s="110"/>
      <c r="G193" s="111" t="s">
        <v>198</v>
      </c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 t="s">
        <v>203</v>
      </c>
      <c r="S193" s="111"/>
      <c r="T193" s="111"/>
      <c r="U193" s="111"/>
      <c r="V193" s="111"/>
      <c r="W193" s="113" t="s">
        <v>209</v>
      </c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  <c r="AI193" s="111"/>
      <c r="AJ193" s="111"/>
      <c r="AK193" s="111"/>
      <c r="AL193" s="113" t="s">
        <v>212</v>
      </c>
      <c r="AM193" s="113"/>
      <c r="AN193" s="113"/>
      <c r="AO193" s="113"/>
      <c r="AP193" s="114" t="s">
        <v>214</v>
      </c>
      <c r="AQ193" s="111"/>
      <c r="AR193" s="111"/>
      <c r="AS193" s="111"/>
      <c r="AT193" s="111"/>
      <c r="CR193" s="6"/>
    </row>
    <row r="194" spans="1:96" ht="15" customHeight="1">
      <c r="A194" s="3"/>
      <c r="E194" s="110"/>
      <c r="F194" s="110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  <c r="AJ194" s="111"/>
      <c r="AK194" s="111"/>
      <c r="AL194" s="113"/>
      <c r="AM194" s="113"/>
      <c r="AN194" s="113"/>
      <c r="AO194" s="113"/>
      <c r="AP194" s="111"/>
      <c r="AQ194" s="111"/>
      <c r="AR194" s="111"/>
      <c r="AS194" s="111"/>
      <c r="AT194" s="111"/>
      <c r="CR194" s="6"/>
    </row>
    <row r="195" spans="1:96" ht="15" customHeight="1">
      <c r="A195" s="3"/>
      <c r="E195" s="110"/>
      <c r="F195" s="110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  <c r="AJ195" s="111"/>
      <c r="AK195" s="111"/>
      <c r="AL195" s="113"/>
      <c r="AM195" s="113"/>
      <c r="AN195" s="113"/>
      <c r="AO195" s="113"/>
      <c r="AP195" s="111"/>
      <c r="AQ195" s="111"/>
      <c r="AR195" s="111"/>
      <c r="AS195" s="111"/>
      <c r="AT195" s="111"/>
      <c r="CR195" s="6"/>
    </row>
    <row r="196" spans="1:96" ht="15" customHeight="1">
      <c r="A196" s="3"/>
      <c r="E196" s="110">
        <v>4</v>
      </c>
      <c r="F196" s="110"/>
      <c r="G196" s="111" t="s">
        <v>215</v>
      </c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 t="s">
        <v>204</v>
      </c>
      <c r="S196" s="111"/>
      <c r="T196" s="111"/>
      <c r="U196" s="111"/>
      <c r="V196" s="111"/>
      <c r="W196" s="111" t="s">
        <v>206</v>
      </c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  <c r="AJ196" s="111"/>
      <c r="AK196" s="111"/>
      <c r="AL196" s="113" t="s">
        <v>213</v>
      </c>
      <c r="AM196" s="113"/>
      <c r="AN196" s="113"/>
      <c r="AO196" s="113"/>
      <c r="AP196" s="113" t="s">
        <v>201</v>
      </c>
      <c r="AQ196" s="113"/>
      <c r="AR196" s="113"/>
      <c r="AS196" s="113"/>
      <c r="AT196" s="113"/>
      <c r="AU196" s="39"/>
      <c r="CR196" s="6"/>
    </row>
    <row r="197" spans="1:96" ht="15" customHeight="1">
      <c r="A197" s="3"/>
      <c r="E197" s="110"/>
      <c r="F197" s="110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3"/>
      <c r="AM197" s="113"/>
      <c r="AN197" s="113"/>
      <c r="AO197" s="113"/>
      <c r="AP197" s="113"/>
      <c r="AQ197" s="113"/>
      <c r="AR197" s="113"/>
      <c r="AS197" s="113"/>
      <c r="AT197" s="113"/>
      <c r="AU197" s="39"/>
      <c r="CR197" s="6"/>
    </row>
    <row r="198" spans="1:96" ht="15" customHeight="1">
      <c r="A198" s="3"/>
      <c r="E198" s="110"/>
      <c r="F198" s="110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  <c r="AJ198" s="111"/>
      <c r="AK198" s="111"/>
      <c r="AL198" s="113"/>
      <c r="AM198" s="113"/>
      <c r="AN198" s="113"/>
      <c r="AO198" s="113"/>
      <c r="AP198" s="113"/>
      <c r="AQ198" s="113"/>
      <c r="AR198" s="113"/>
      <c r="AS198" s="113"/>
      <c r="AT198" s="113"/>
      <c r="CR198" s="6"/>
    </row>
    <row r="199" spans="1:96" ht="15" customHeight="1">
      <c r="A199" s="3"/>
      <c r="CR199" s="6"/>
    </row>
    <row r="200" spans="1:96" ht="15" customHeight="1">
      <c r="A200" s="3"/>
      <c r="C200" s="4" t="s">
        <v>216</v>
      </c>
      <c r="CR200" s="6"/>
    </row>
    <row r="201" spans="1:96" ht="15" customHeight="1">
      <c r="A201" s="3"/>
      <c r="CR201" s="6"/>
    </row>
    <row r="202" spans="1:96" ht="15" customHeight="1">
      <c r="A202" s="3"/>
      <c r="D202" s="5" t="s">
        <v>217</v>
      </c>
      <c r="CR202" s="6"/>
    </row>
    <row r="203" spans="1:96" ht="15" customHeight="1">
      <c r="A203" s="3"/>
      <c r="CR203" s="6"/>
    </row>
    <row r="204" spans="1:96" ht="15" customHeight="1">
      <c r="A204" s="3"/>
      <c r="CR204" s="6"/>
    </row>
    <row r="205" spans="1:96" ht="15" customHeight="1">
      <c r="A205" s="3"/>
      <c r="B205" s="4"/>
      <c r="C205" s="4" t="s">
        <v>220</v>
      </c>
      <c r="CR205" s="6"/>
    </row>
    <row r="206" spans="1:96" ht="15" customHeight="1">
      <c r="A206" s="3"/>
      <c r="CR206" s="6"/>
    </row>
    <row r="207" spans="1:96" ht="15" customHeight="1">
      <c r="A207" s="3"/>
      <c r="D207" s="5" t="s">
        <v>251</v>
      </c>
      <c r="CR207" s="6"/>
    </row>
    <row r="208" spans="1:96" ht="15" customHeight="1">
      <c r="A208" s="3"/>
      <c r="CR208" s="6"/>
    </row>
    <row r="209" spans="1:96" ht="15" customHeight="1">
      <c r="A209" s="3"/>
      <c r="F209" s="5" t="s">
        <v>317</v>
      </c>
      <c r="CR209" s="6"/>
    </row>
    <row r="210" spans="1:96" ht="15" customHeight="1">
      <c r="A210" s="3"/>
      <c r="H210" s="5" t="s">
        <v>319</v>
      </c>
      <c r="CR210" s="6"/>
    </row>
    <row r="211" spans="1:96" ht="15" customHeight="1">
      <c r="A211" s="3"/>
      <c r="F211" s="5" t="s">
        <v>318</v>
      </c>
      <c r="CR211" s="6"/>
    </row>
    <row r="212" spans="1:96" ht="15" customHeight="1">
      <c r="A212" s="3"/>
      <c r="H212" s="63" t="s">
        <v>320</v>
      </c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CR212" s="6"/>
    </row>
    <row r="213" spans="1:96" ht="15" customHeight="1">
      <c r="A213" s="3"/>
      <c r="CR213" s="6"/>
    </row>
    <row r="214" spans="1:96" ht="15" customHeight="1">
      <c r="A214" s="3"/>
      <c r="D214" s="5" t="s">
        <v>252</v>
      </c>
      <c r="CR214" s="6"/>
    </row>
    <row r="215" spans="1:96" ht="15" customHeight="1">
      <c r="A215" s="3"/>
      <c r="CR215" s="6"/>
    </row>
    <row r="216" spans="1:96" ht="15" customHeight="1">
      <c r="A216" s="3"/>
      <c r="F216" s="5" t="s">
        <v>253</v>
      </c>
      <c r="CR216" s="6"/>
    </row>
    <row r="217" spans="1:96" ht="15" customHeight="1">
      <c r="A217" s="3"/>
      <c r="CR217" s="6"/>
    </row>
    <row r="218" spans="1:96" ht="15" customHeight="1">
      <c r="A218" s="3"/>
      <c r="CR218" s="6"/>
    </row>
    <row r="219" spans="1:96" ht="15" customHeight="1">
      <c r="A219" s="3"/>
      <c r="B219" s="4" t="s">
        <v>218</v>
      </c>
      <c r="CR219" s="6"/>
    </row>
    <row r="220" spans="1:96" ht="15" customHeight="1">
      <c r="A220" s="3"/>
      <c r="CR220" s="6"/>
    </row>
    <row r="221" spans="1:96" ht="15" customHeight="1">
      <c r="A221" s="3"/>
      <c r="D221" s="5" t="s">
        <v>219</v>
      </c>
      <c r="CR221" s="6"/>
    </row>
    <row r="222" spans="1:96" ht="15" customHeight="1">
      <c r="A222" s="3"/>
      <c r="CR222" s="6"/>
    </row>
    <row r="223" spans="1:96" ht="15" customHeight="1">
      <c r="A223" s="3"/>
      <c r="CR223" s="6"/>
    </row>
    <row r="224" spans="1:96" ht="15" customHeight="1" thickBot="1">
      <c r="A224" s="7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9"/>
    </row>
  </sheetData>
  <mergeCells count="358">
    <mergeCell ref="CU88:DH88"/>
    <mergeCell ref="DI88:DL88"/>
    <mergeCell ref="DM88:DP88"/>
    <mergeCell ref="DQ88:DT88"/>
    <mergeCell ref="DU88:DX88"/>
    <mergeCell ref="DY88:EB88"/>
    <mergeCell ref="CU58:DH58"/>
    <mergeCell ref="CU86:DH86"/>
    <mergeCell ref="DI57:DL57"/>
    <mergeCell ref="DM57:DP57"/>
    <mergeCell ref="DQ57:DT57"/>
    <mergeCell ref="DU57:DX57"/>
    <mergeCell ref="DY57:EB57"/>
    <mergeCell ref="DI58:DL58"/>
    <mergeCell ref="DM58:DP58"/>
    <mergeCell ref="DQ58:DT58"/>
    <mergeCell ref="DU58:DX58"/>
    <mergeCell ref="DY58:EB58"/>
    <mergeCell ref="DI85:DL85"/>
    <mergeCell ref="DM85:DP85"/>
    <mergeCell ref="DQ85:DT85"/>
    <mergeCell ref="DU85:DX85"/>
    <mergeCell ref="DY85:EB85"/>
    <mergeCell ref="DY86:EB86"/>
    <mergeCell ref="DI86:DL86"/>
    <mergeCell ref="DM86:DP86"/>
    <mergeCell ref="DQ86:DT86"/>
    <mergeCell ref="DU86:DX86"/>
    <mergeCell ref="DI78:DL78"/>
    <mergeCell ref="DM78:DP78"/>
    <mergeCell ref="DQ78:DT78"/>
    <mergeCell ref="DU78:DX78"/>
    <mergeCell ref="DY78:EB78"/>
    <mergeCell ref="CU79:DH79"/>
    <mergeCell ref="DI79:DL79"/>
    <mergeCell ref="DM79:DP79"/>
    <mergeCell ref="DQ79:DT79"/>
    <mergeCell ref="DU79:DX79"/>
    <mergeCell ref="DY79:EB79"/>
    <mergeCell ref="CU82:DH82"/>
    <mergeCell ref="CU83:DH83"/>
    <mergeCell ref="CU84:DH84"/>
    <mergeCell ref="DI82:DL82"/>
    <mergeCell ref="DM82:DP82"/>
    <mergeCell ref="DQ82:DT82"/>
    <mergeCell ref="DU82:DX82"/>
    <mergeCell ref="DY82:EB82"/>
    <mergeCell ref="DI83:DL83"/>
    <mergeCell ref="DM83:DP83"/>
    <mergeCell ref="DQ83:DT83"/>
    <mergeCell ref="DU83:DX83"/>
    <mergeCell ref="DY83:EB83"/>
    <mergeCell ref="DI84:DL84"/>
    <mergeCell ref="DM84:DP84"/>
    <mergeCell ref="DQ84:DT84"/>
    <mergeCell ref="DU84:DX84"/>
    <mergeCell ref="DY84:EB84"/>
    <mergeCell ref="DY74:EB74"/>
    <mergeCell ref="DI74:DL74"/>
    <mergeCell ref="DM74:DP74"/>
    <mergeCell ref="DQ74:DT74"/>
    <mergeCell ref="DU74:DX74"/>
    <mergeCell ref="CU81:DH81"/>
    <mergeCell ref="DI81:DL81"/>
    <mergeCell ref="DM81:DP81"/>
    <mergeCell ref="DQ81:DT81"/>
    <mergeCell ref="DU81:DX81"/>
    <mergeCell ref="DY81:EB81"/>
    <mergeCell ref="CU80:DH80"/>
    <mergeCell ref="DI80:DL80"/>
    <mergeCell ref="DM80:DP80"/>
    <mergeCell ref="DQ80:DT80"/>
    <mergeCell ref="DU80:DX80"/>
    <mergeCell ref="DY80:EB80"/>
    <mergeCell ref="CU77:DH77"/>
    <mergeCell ref="DI77:DL77"/>
    <mergeCell ref="DM77:DP77"/>
    <mergeCell ref="DQ77:DT77"/>
    <mergeCell ref="DU77:DX77"/>
    <mergeCell ref="DY77:EB77"/>
    <mergeCell ref="CU78:DH78"/>
    <mergeCell ref="DY70:EB70"/>
    <mergeCell ref="DY71:EB71"/>
    <mergeCell ref="DY72:EB72"/>
    <mergeCell ref="DY73:EB73"/>
    <mergeCell ref="CU73:DH73"/>
    <mergeCell ref="DI73:DL73"/>
    <mergeCell ref="DM73:DP73"/>
    <mergeCell ref="DQ73:DT73"/>
    <mergeCell ref="DU73:DX73"/>
    <mergeCell ref="DI70:DL70"/>
    <mergeCell ref="DM70:DP70"/>
    <mergeCell ref="DQ70:DT70"/>
    <mergeCell ref="DU70:DX70"/>
    <mergeCell ref="CU71:DH71"/>
    <mergeCell ref="DI71:DL71"/>
    <mergeCell ref="DM71:DP71"/>
    <mergeCell ref="DQ71:DT71"/>
    <mergeCell ref="DU71:DX71"/>
    <mergeCell ref="CU72:DH72"/>
    <mergeCell ref="DI72:DL72"/>
    <mergeCell ref="DM72:DP72"/>
    <mergeCell ref="DQ72:DT72"/>
    <mergeCell ref="DU72:DX72"/>
    <mergeCell ref="E42:O42"/>
    <mergeCell ref="P42:AI42"/>
    <mergeCell ref="E43:O43"/>
    <mergeCell ref="P43:AI43"/>
    <mergeCell ref="E44:O44"/>
    <mergeCell ref="P44:AI44"/>
    <mergeCell ref="E45:O45"/>
    <mergeCell ref="P45:AI45"/>
    <mergeCell ref="E36:O36"/>
    <mergeCell ref="P36:AI36"/>
    <mergeCell ref="E37:O38"/>
    <mergeCell ref="P37:AI38"/>
    <mergeCell ref="E34:O34"/>
    <mergeCell ref="P34:AI34"/>
    <mergeCell ref="E35:O35"/>
    <mergeCell ref="P35:AI35"/>
    <mergeCell ref="E33:O33"/>
    <mergeCell ref="P33:AI33"/>
    <mergeCell ref="S75:V75"/>
    <mergeCell ref="W75:Z75"/>
    <mergeCell ref="AA75:AD75"/>
    <mergeCell ref="AE75:AH75"/>
    <mergeCell ref="S73:V73"/>
    <mergeCell ref="W73:Z73"/>
    <mergeCell ref="AA73:AD73"/>
    <mergeCell ref="AE73:AH73"/>
    <mergeCell ref="E63:R63"/>
    <mergeCell ref="E67:R67"/>
    <mergeCell ref="S63:V63"/>
    <mergeCell ref="W63:Z63"/>
    <mergeCell ref="AA63:AD63"/>
    <mergeCell ref="AE63:AH63"/>
    <mergeCell ref="S67:V67"/>
    <mergeCell ref="W67:Z67"/>
    <mergeCell ref="AA67:AD67"/>
    <mergeCell ref="AE67:AH67"/>
    <mergeCell ref="S71:V71"/>
    <mergeCell ref="W71:Z71"/>
    <mergeCell ref="AA71:AD71"/>
    <mergeCell ref="AE71:AH71"/>
    <mergeCell ref="S72:V72"/>
    <mergeCell ref="W72:Z72"/>
    <mergeCell ref="AA72:AD72"/>
    <mergeCell ref="AE72:AH72"/>
    <mergeCell ref="S69:V69"/>
    <mergeCell ref="W69:Z69"/>
    <mergeCell ref="AA69:AD69"/>
    <mergeCell ref="AE69:AH69"/>
    <mergeCell ref="S70:V70"/>
    <mergeCell ref="W70:Z70"/>
    <mergeCell ref="AA70:AD70"/>
    <mergeCell ref="AE70:AH70"/>
    <mergeCell ref="AE66:AH66"/>
    <mergeCell ref="S68:V68"/>
    <mergeCell ref="W68:Z68"/>
    <mergeCell ref="AA68:AD68"/>
    <mergeCell ref="AE68:AH68"/>
    <mergeCell ref="S64:V64"/>
    <mergeCell ref="W64:Z64"/>
    <mergeCell ref="AA64:AD64"/>
    <mergeCell ref="AE64:AH64"/>
    <mergeCell ref="S65:V65"/>
    <mergeCell ref="W65:Z65"/>
    <mergeCell ref="AA65:AD65"/>
    <mergeCell ref="AE65:AH65"/>
    <mergeCell ref="S66:V66"/>
    <mergeCell ref="W66:Z66"/>
    <mergeCell ref="AA66:AD66"/>
    <mergeCell ref="AA55:AD55"/>
    <mergeCell ref="AE55:AH55"/>
    <mergeCell ref="E55:R55"/>
    <mergeCell ref="S56:V56"/>
    <mergeCell ref="W56:Z56"/>
    <mergeCell ref="AA56:AD56"/>
    <mergeCell ref="AE56:AH56"/>
    <mergeCell ref="E56:R56"/>
    <mergeCell ref="E57:R57"/>
    <mergeCell ref="S55:V55"/>
    <mergeCell ref="W55:Z55"/>
    <mergeCell ref="S57:V57"/>
    <mergeCell ref="W57:Z57"/>
    <mergeCell ref="AA57:AD57"/>
    <mergeCell ref="AE57:AH57"/>
    <mergeCell ref="S58:V58"/>
    <mergeCell ref="W58:Z58"/>
    <mergeCell ref="AA58:AD58"/>
    <mergeCell ref="AE58:AH58"/>
    <mergeCell ref="AE61:AH61"/>
    <mergeCell ref="S62:V62"/>
    <mergeCell ref="W62:Z62"/>
    <mergeCell ref="AA62:AD62"/>
    <mergeCell ref="AE62:AH62"/>
    <mergeCell ref="AA59:AD59"/>
    <mergeCell ref="AE59:AH59"/>
    <mergeCell ref="S60:V60"/>
    <mergeCell ref="W60:Z60"/>
    <mergeCell ref="AA60:AD60"/>
    <mergeCell ref="AE60:AH60"/>
    <mergeCell ref="S59:V59"/>
    <mergeCell ref="W59:Z59"/>
    <mergeCell ref="S61:V61"/>
    <mergeCell ref="W61:Z61"/>
    <mergeCell ref="AA61:AD61"/>
    <mergeCell ref="E68:R68"/>
    <mergeCell ref="E69:R69"/>
    <mergeCell ref="E70:R70"/>
    <mergeCell ref="E71:R71"/>
    <mergeCell ref="E72:R72"/>
    <mergeCell ref="E73:R73"/>
    <mergeCell ref="E75:R75"/>
    <mergeCell ref="E65:R65"/>
    <mergeCell ref="E58:R58"/>
    <mergeCell ref="E59:R59"/>
    <mergeCell ref="E60:R60"/>
    <mergeCell ref="E61:R61"/>
    <mergeCell ref="E62:R62"/>
    <mergeCell ref="E64:R64"/>
    <mergeCell ref="E66:R66"/>
    <mergeCell ref="E74:R74"/>
    <mergeCell ref="CK1:CR3"/>
    <mergeCell ref="BW2:CE2"/>
    <mergeCell ref="BI3:BL3"/>
    <mergeCell ref="BW1:CE1"/>
    <mergeCell ref="BI2:BL2"/>
    <mergeCell ref="CF1:CJ3"/>
    <mergeCell ref="BM1:BV1"/>
    <mergeCell ref="BM3:CE3"/>
    <mergeCell ref="BI1:BL1"/>
    <mergeCell ref="A2:H2"/>
    <mergeCell ref="BM2:BV2"/>
    <mergeCell ref="AE2:AK3"/>
    <mergeCell ref="AL2:BH2"/>
    <mergeCell ref="A1:H1"/>
    <mergeCell ref="I1:AD1"/>
    <mergeCell ref="AE1:AK1"/>
    <mergeCell ref="I2:AD2"/>
    <mergeCell ref="A3:H3"/>
    <mergeCell ref="I3:AD3"/>
    <mergeCell ref="AL3:BH3"/>
    <mergeCell ref="AL1:BH1"/>
    <mergeCell ref="E98:P98"/>
    <mergeCell ref="E99:P99"/>
    <mergeCell ref="E100:P100"/>
    <mergeCell ref="E101:P101"/>
    <mergeCell ref="E102:P102"/>
    <mergeCell ref="E103:P103"/>
    <mergeCell ref="E104:P104"/>
    <mergeCell ref="Q98:AT98"/>
    <mergeCell ref="Q99:AT99"/>
    <mergeCell ref="Q100:AT100"/>
    <mergeCell ref="Q101:AT101"/>
    <mergeCell ref="Q102:AT102"/>
    <mergeCell ref="Q103:AT103"/>
    <mergeCell ref="Q104:AT104"/>
    <mergeCell ref="AC145:AT147"/>
    <mergeCell ref="AC148:AT150"/>
    <mergeCell ref="E115:P116"/>
    <mergeCell ref="Q115:AT116"/>
    <mergeCell ref="E117:P118"/>
    <mergeCell ref="Q117:AT118"/>
    <mergeCell ref="E108:P108"/>
    <mergeCell ref="E109:P110"/>
    <mergeCell ref="Q108:AT108"/>
    <mergeCell ref="Q109:AT110"/>
    <mergeCell ref="E111:P112"/>
    <mergeCell ref="Q111:AT112"/>
    <mergeCell ref="E113:P114"/>
    <mergeCell ref="Q113:AT114"/>
    <mergeCell ref="AC153:AT153"/>
    <mergeCell ref="P154:AB154"/>
    <mergeCell ref="AC154:AT154"/>
    <mergeCell ref="P148:AB148"/>
    <mergeCell ref="P152:AB152"/>
    <mergeCell ref="AC152:AT152"/>
    <mergeCell ref="E148:F151"/>
    <mergeCell ref="G148:O151"/>
    <mergeCell ref="E152:F153"/>
    <mergeCell ref="G152:O153"/>
    <mergeCell ref="E154:F156"/>
    <mergeCell ref="G154:O156"/>
    <mergeCell ref="P150:AB150"/>
    <mergeCell ref="AC151:AT151"/>
    <mergeCell ref="AL193:AO195"/>
    <mergeCell ref="G186:Q186"/>
    <mergeCell ref="R186:V186"/>
    <mergeCell ref="AP186:AT186"/>
    <mergeCell ref="AL186:AO186"/>
    <mergeCell ref="E119:P120"/>
    <mergeCell ref="Q119:AT120"/>
    <mergeCell ref="W186:AK186"/>
    <mergeCell ref="P155:AB155"/>
    <mergeCell ref="AC155:AT155"/>
    <mergeCell ref="P156:AB156"/>
    <mergeCell ref="AC156:AT156"/>
    <mergeCell ref="E145:F147"/>
    <mergeCell ref="G145:O147"/>
    <mergeCell ref="P149:AB149"/>
    <mergeCell ref="P151:AB151"/>
    <mergeCell ref="E144:F144"/>
    <mergeCell ref="G144:O144"/>
    <mergeCell ref="P144:AB144"/>
    <mergeCell ref="AC144:AT144"/>
    <mergeCell ref="P145:AB145"/>
    <mergeCell ref="P146:AB146"/>
    <mergeCell ref="P147:AB147"/>
    <mergeCell ref="P153:AB153"/>
    <mergeCell ref="AI71:AL71"/>
    <mergeCell ref="E187:F189"/>
    <mergeCell ref="E190:F192"/>
    <mergeCell ref="E193:F195"/>
    <mergeCell ref="E196:F198"/>
    <mergeCell ref="R187:V189"/>
    <mergeCell ref="R190:V192"/>
    <mergeCell ref="AL196:AO198"/>
    <mergeCell ref="AP196:AT198"/>
    <mergeCell ref="AP190:AT192"/>
    <mergeCell ref="AP193:AT195"/>
    <mergeCell ref="W196:AK198"/>
    <mergeCell ref="R193:V195"/>
    <mergeCell ref="R196:V198"/>
    <mergeCell ref="G187:Q189"/>
    <mergeCell ref="G190:Q192"/>
    <mergeCell ref="G193:Q195"/>
    <mergeCell ref="G196:Q198"/>
    <mergeCell ref="W190:AK192"/>
    <mergeCell ref="W193:AK195"/>
    <mergeCell ref="W187:AK189"/>
    <mergeCell ref="AL187:AO189"/>
    <mergeCell ref="AP187:AT189"/>
    <mergeCell ref="AL190:AO192"/>
    <mergeCell ref="S74:V74"/>
    <mergeCell ref="W74:Z74"/>
    <mergeCell ref="AA74:AD74"/>
    <mergeCell ref="AE74:AH74"/>
    <mergeCell ref="AI74:AL74"/>
    <mergeCell ref="AI72:AL72"/>
    <mergeCell ref="AI73:AL73"/>
    <mergeCell ref="AI75:AL75"/>
    <mergeCell ref="AI55:AL55"/>
    <mergeCell ref="AI56:AL56"/>
    <mergeCell ref="AI57:AL57"/>
    <mergeCell ref="AI58:AL58"/>
    <mergeCell ref="AI59:AL59"/>
    <mergeCell ref="AI60:AL60"/>
    <mergeCell ref="AI61:AL61"/>
    <mergeCell ref="AI62:AL62"/>
    <mergeCell ref="AI63:AL63"/>
    <mergeCell ref="AI64:AL64"/>
    <mergeCell ref="AI65:AL65"/>
    <mergeCell ref="AI66:AL66"/>
    <mergeCell ref="AI67:AL67"/>
    <mergeCell ref="AI68:AL68"/>
    <mergeCell ref="AI69:AL69"/>
    <mergeCell ref="AI70:AL70"/>
  </mergeCells>
  <phoneticPr fontId="3"/>
  <dataValidations count="1">
    <dataValidation type="list" allowBlank="1" showInputMessage="1" showErrorMessage="1" sqref="P33:AI33" xr:uid="{00000000-0002-0000-0200-000000000000}">
      <formula1>"　,Ｃ／Ｓ（２階層）,Ｃ／Ｓ（３階層）,Ｗｅｂ系,スタンドアロン系,ホスト系,その他"</formula1>
    </dataValidation>
  </dataValidations>
  <pageMargins left="0.39370078740157483" right="0.15748031496062992" top="0.78740157480314965" bottom="0.39370078740157483" header="0.59055118110236227" footer="0.19685039370078741"/>
  <pageSetup paperSize="9" scale="80" orientation="landscape" useFirstPageNumber="1" r:id="rId1"/>
  <headerFooter alignWithMargins="0">
    <oddFooter>&amp;C- &amp;P -&amp;R&amp;9株式会社　京信システムサービス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R47"/>
  <sheetViews>
    <sheetView zoomScale="130" zoomScaleNormal="130" workbookViewId="0">
      <pane ySplit="3" topLeftCell="A7" activePane="bottomLeft" state="frozen"/>
      <selection activeCell="I40" sqref="I40:AB40"/>
      <selection pane="bottomLeft" activeCell="AN23" sqref="AN23"/>
    </sheetView>
  </sheetViews>
  <sheetFormatPr defaultColWidth="1.875" defaultRowHeight="15" customHeight="1"/>
  <cols>
    <col min="1" max="16384" width="1.875" style="5"/>
  </cols>
  <sheetData>
    <row r="1" spans="1:96" s="2" customFormat="1" ht="15" customHeight="1">
      <c r="A1" s="147" t="s">
        <v>2</v>
      </c>
      <c r="B1" s="148"/>
      <c r="C1" s="148"/>
      <c r="D1" s="148"/>
      <c r="E1" s="148"/>
      <c r="F1" s="148"/>
      <c r="G1" s="148"/>
      <c r="H1" s="148"/>
      <c r="I1" s="149" t="str">
        <f>タイトル!I40</f>
        <v>　顧客名：同志社大学　教務システム</v>
      </c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1"/>
      <c r="AE1" s="152" t="s">
        <v>3</v>
      </c>
      <c r="AF1" s="152"/>
      <c r="AG1" s="152"/>
      <c r="AH1" s="152"/>
      <c r="AI1" s="152"/>
      <c r="AJ1" s="152"/>
      <c r="AK1" s="152"/>
      <c r="AL1" s="164" t="str">
        <f>タイトル!I43</f>
        <v>　プロジェクト計画</v>
      </c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6"/>
      <c r="BI1" s="152" t="s">
        <v>4</v>
      </c>
      <c r="BJ1" s="152"/>
      <c r="BK1" s="152"/>
      <c r="BL1" s="152"/>
      <c r="BM1" s="187" t="str">
        <f>タイトル!I46</f>
        <v>中村　恒太郎</v>
      </c>
      <c r="BN1" s="188"/>
      <c r="BO1" s="188"/>
      <c r="BP1" s="188"/>
      <c r="BQ1" s="188"/>
      <c r="BR1" s="188"/>
      <c r="BS1" s="188"/>
      <c r="BT1" s="188"/>
      <c r="BU1" s="188"/>
      <c r="BV1" s="189"/>
      <c r="BW1" s="177">
        <f>タイトル!I47</f>
        <v>45170</v>
      </c>
      <c r="BX1" s="177"/>
      <c r="BY1" s="177"/>
      <c r="BZ1" s="177"/>
      <c r="CA1" s="177"/>
      <c r="CB1" s="177"/>
      <c r="CC1" s="177"/>
      <c r="CD1" s="177"/>
      <c r="CE1" s="177"/>
      <c r="CF1" s="178" t="s">
        <v>5</v>
      </c>
      <c r="CG1" s="179"/>
      <c r="CH1" s="179"/>
      <c r="CI1" s="179"/>
      <c r="CJ1" s="180"/>
      <c r="CK1" s="167"/>
      <c r="CL1" s="168"/>
      <c r="CM1" s="168"/>
      <c r="CN1" s="168"/>
      <c r="CO1" s="168"/>
      <c r="CP1" s="168"/>
      <c r="CQ1" s="168"/>
      <c r="CR1" s="169"/>
    </row>
    <row r="2" spans="1:96" s="2" customFormat="1" ht="15" customHeight="1">
      <c r="A2" s="137" t="s">
        <v>6</v>
      </c>
      <c r="B2" s="138"/>
      <c r="C2" s="138"/>
      <c r="D2" s="138"/>
      <c r="E2" s="138"/>
      <c r="F2" s="138"/>
      <c r="G2" s="138"/>
      <c r="H2" s="138"/>
      <c r="I2" s="153" t="str">
        <f>タイトル!I41</f>
        <v xml:space="preserve"> </v>
      </c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5"/>
      <c r="AE2" s="142" t="s">
        <v>7</v>
      </c>
      <c r="AF2" s="142"/>
      <c r="AG2" s="142"/>
      <c r="AH2" s="142"/>
      <c r="AI2" s="142"/>
      <c r="AJ2" s="142"/>
      <c r="AK2" s="142"/>
      <c r="AL2" s="144" t="str">
        <f>タイトル!I44</f>
        <v>　プロジェクト計画書</v>
      </c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6"/>
      <c r="BI2" s="142" t="s">
        <v>8</v>
      </c>
      <c r="BJ2" s="142"/>
      <c r="BK2" s="142"/>
      <c r="BL2" s="142"/>
      <c r="BM2" s="139"/>
      <c r="BN2" s="140"/>
      <c r="BO2" s="140"/>
      <c r="BP2" s="140"/>
      <c r="BQ2" s="140"/>
      <c r="BR2" s="140"/>
      <c r="BS2" s="140"/>
      <c r="BT2" s="140"/>
      <c r="BU2" s="140"/>
      <c r="BV2" s="141"/>
      <c r="BW2" s="176"/>
      <c r="BX2" s="176"/>
      <c r="BY2" s="176"/>
      <c r="BZ2" s="176"/>
      <c r="CA2" s="176"/>
      <c r="CB2" s="176"/>
      <c r="CC2" s="176"/>
      <c r="CD2" s="176"/>
      <c r="CE2" s="176"/>
      <c r="CF2" s="181"/>
      <c r="CG2" s="182"/>
      <c r="CH2" s="182"/>
      <c r="CI2" s="182"/>
      <c r="CJ2" s="183"/>
      <c r="CK2" s="170"/>
      <c r="CL2" s="171"/>
      <c r="CM2" s="171"/>
      <c r="CN2" s="171"/>
      <c r="CO2" s="171"/>
      <c r="CP2" s="171"/>
      <c r="CQ2" s="171"/>
      <c r="CR2" s="172"/>
    </row>
    <row r="3" spans="1:96" s="2" customFormat="1" ht="15" customHeight="1" thickBot="1">
      <c r="A3" s="156"/>
      <c r="B3" s="157"/>
      <c r="C3" s="157"/>
      <c r="D3" s="157"/>
      <c r="E3" s="157"/>
      <c r="F3" s="157"/>
      <c r="G3" s="157"/>
      <c r="H3" s="157"/>
      <c r="I3" s="158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60"/>
      <c r="AE3" s="143"/>
      <c r="AF3" s="143"/>
      <c r="AG3" s="143"/>
      <c r="AH3" s="143"/>
      <c r="AI3" s="143"/>
      <c r="AJ3" s="143"/>
      <c r="AK3" s="143"/>
      <c r="AL3" s="161"/>
      <c r="AM3" s="162"/>
      <c r="AN3" s="162"/>
      <c r="AO3" s="162"/>
      <c r="AP3" s="162"/>
      <c r="AQ3" s="162"/>
      <c r="AR3" s="162"/>
      <c r="AS3" s="162"/>
      <c r="AT3" s="162"/>
      <c r="AU3" s="162"/>
      <c r="AV3" s="162"/>
      <c r="AW3" s="162"/>
      <c r="AX3" s="162"/>
      <c r="AY3" s="162"/>
      <c r="AZ3" s="162"/>
      <c r="BA3" s="162"/>
      <c r="BB3" s="162"/>
      <c r="BC3" s="162"/>
      <c r="BD3" s="162"/>
      <c r="BE3" s="162"/>
      <c r="BF3" s="162"/>
      <c r="BG3" s="162"/>
      <c r="BH3" s="163"/>
      <c r="BI3" s="143"/>
      <c r="BJ3" s="143"/>
      <c r="BK3" s="143"/>
      <c r="BL3" s="143"/>
      <c r="BM3" s="190"/>
      <c r="BN3" s="191"/>
      <c r="BO3" s="191"/>
      <c r="BP3" s="191"/>
      <c r="BQ3" s="191"/>
      <c r="BR3" s="191"/>
      <c r="BS3" s="191"/>
      <c r="BT3" s="191"/>
      <c r="BU3" s="191"/>
      <c r="BV3" s="191"/>
      <c r="BW3" s="192"/>
      <c r="BX3" s="192"/>
      <c r="BY3" s="192"/>
      <c r="BZ3" s="192"/>
      <c r="CA3" s="192"/>
      <c r="CB3" s="192"/>
      <c r="CC3" s="192"/>
      <c r="CD3" s="192"/>
      <c r="CE3" s="193"/>
      <c r="CF3" s="184"/>
      <c r="CG3" s="185"/>
      <c r="CH3" s="185"/>
      <c r="CI3" s="185"/>
      <c r="CJ3" s="186"/>
      <c r="CK3" s="173"/>
      <c r="CL3" s="174"/>
      <c r="CM3" s="174"/>
      <c r="CN3" s="174"/>
      <c r="CO3" s="174"/>
      <c r="CP3" s="174"/>
      <c r="CQ3" s="174"/>
      <c r="CR3" s="175"/>
    </row>
    <row r="4" spans="1:96" s="2" customFormat="1" ht="15" customHeight="1">
      <c r="A4" s="38"/>
      <c r="B4" s="33"/>
      <c r="C4" s="33"/>
      <c r="D4" s="33"/>
      <c r="E4" s="33"/>
      <c r="F4" s="33"/>
      <c r="G4" s="33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5"/>
      <c r="AF4" s="35"/>
      <c r="AG4" s="35"/>
      <c r="AH4" s="35"/>
      <c r="AI4" s="35"/>
      <c r="AJ4" s="35"/>
      <c r="AK4" s="35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5"/>
      <c r="BM4" s="35"/>
      <c r="BN4" s="35"/>
      <c r="BO4" s="35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13"/>
      <c r="CA4" s="13"/>
      <c r="CB4" s="13"/>
      <c r="CC4" s="13"/>
      <c r="CD4" s="13"/>
      <c r="CE4" s="13"/>
      <c r="CF4" s="13"/>
      <c r="CG4" s="13"/>
      <c r="CH4" s="13"/>
      <c r="CI4" s="35"/>
      <c r="CJ4" s="35"/>
      <c r="CK4" s="35"/>
      <c r="CL4" s="35"/>
      <c r="CM4" s="35"/>
      <c r="CN4" s="35"/>
      <c r="CO4" s="35"/>
      <c r="CP4" s="35"/>
      <c r="CQ4" s="35"/>
      <c r="CR4" s="37"/>
    </row>
    <row r="5" spans="1:96" ht="15" customHeight="1">
      <c r="A5" s="48" t="s">
        <v>221</v>
      </c>
      <c r="B5" s="4"/>
      <c r="CR5" s="6"/>
    </row>
    <row r="6" spans="1:96" ht="15" customHeight="1">
      <c r="A6" s="3"/>
      <c r="CR6" s="6"/>
    </row>
    <row r="7" spans="1:96" ht="15" customHeight="1">
      <c r="A7" s="3"/>
      <c r="C7" s="4"/>
      <c r="D7" s="109" t="s">
        <v>17</v>
      </c>
      <c r="E7" s="109"/>
      <c r="F7" s="109" t="s">
        <v>42</v>
      </c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206" t="s">
        <v>98</v>
      </c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  <c r="AD7" s="207"/>
      <c r="AE7" s="207"/>
      <c r="AF7" s="207"/>
      <c r="AG7" s="207"/>
      <c r="AH7" s="207"/>
      <c r="AI7" s="207"/>
      <c r="AJ7" s="207"/>
      <c r="AK7" s="207"/>
      <c r="AL7" s="207"/>
      <c r="AM7" s="207"/>
      <c r="AN7" s="207"/>
      <c r="AO7" s="207"/>
      <c r="AP7" s="207"/>
      <c r="AQ7" s="207"/>
      <c r="AR7" s="207"/>
      <c r="AS7" s="207"/>
      <c r="AT7" s="207"/>
      <c r="AU7" s="207"/>
      <c r="AV7" s="207"/>
      <c r="AW7" s="207"/>
      <c r="AX7" s="207"/>
      <c r="AY7" s="207"/>
      <c r="AZ7" s="207"/>
      <c r="BA7" s="207"/>
      <c r="BB7" s="207"/>
      <c r="BC7" s="207"/>
      <c r="BD7" s="207"/>
      <c r="BE7" s="208"/>
      <c r="CR7" s="6"/>
    </row>
    <row r="8" spans="1:96" ht="15" customHeight="1">
      <c r="A8" s="3"/>
      <c r="D8" s="202">
        <v>1</v>
      </c>
      <c r="E8" s="203"/>
      <c r="F8" s="209" t="s">
        <v>43</v>
      </c>
      <c r="G8" s="210"/>
      <c r="H8" s="210"/>
      <c r="I8" s="210"/>
      <c r="J8" s="210"/>
      <c r="K8" s="210"/>
      <c r="L8" s="210"/>
      <c r="M8" s="210"/>
      <c r="N8" s="210"/>
      <c r="O8" s="210"/>
      <c r="P8" s="211"/>
      <c r="Q8" s="25"/>
      <c r="R8" s="45" t="s">
        <v>53</v>
      </c>
      <c r="S8" s="26" t="s">
        <v>50</v>
      </c>
      <c r="T8" s="26"/>
      <c r="U8" s="26"/>
      <c r="V8" s="26"/>
      <c r="W8" s="26"/>
      <c r="X8" s="26"/>
      <c r="Y8" s="26"/>
      <c r="Z8" s="26"/>
      <c r="AA8" s="26"/>
      <c r="AB8" s="26"/>
      <c r="AC8" s="26"/>
      <c r="AD8" s="45" t="s">
        <v>55</v>
      </c>
      <c r="AE8" s="26" t="s">
        <v>51</v>
      </c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45" t="s">
        <v>55</v>
      </c>
      <c r="AQ8" s="26" t="s">
        <v>52</v>
      </c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7"/>
      <c r="CR8" s="6"/>
    </row>
    <row r="9" spans="1:96" ht="15" customHeight="1">
      <c r="A9" s="3"/>
      <c r="D9" s="204"/>
      <c r="E9" s="205"/>
      <c r="F9" s="212"/>
      <c r="G9" s="213"/>
      <c r="H9" s="213"/>
      <c r="I9" s="213"/>
      <c r="J9" s="213"/>
      <c r="K9" s="213"/>
      <c r="L9" s="213"/>
      <c r="M9" s="213"/>
      <c r="N9" s="213"/>
      <c r="O9" s="213"/>
      <c r="P9" s="214"/>
      <c r="Q9" s="28"/>
      <c r="R9" s="46" t="s">
        <v>53</v>
      </c>
      <c r="S9" s="5" t="s">
        <v>73</v>
      </c>
      <c r="AD9" s="46"/>
      <c r="AP9" s="46"/>
      <c r="BE9" s="29"/>
      <c r="CR9" s="6"/>
    </row>
    <row r="10" spans="1:96" ht="15" customHeight="1">
      <c r="A10" s="3"/>
      <c r="D10" s="204"/>
      <c r="E10" s="205"/>
      <c r="F10" s="212"/>
      <c r="G10" s="213"/>
      <c r="H10" s="213"/>
      <c r="I10" s="213"/>
      <c r="J10" s="213"/>
      <c r="K10" s="213"/>
      <c r="L10" s="213"/>
      <c r="M10" s="213"/>
      <c r="N10" s="213"/>
      <c r="O10" s="213"/>
      <c r="P10" s="214"/>
      <c r="Q10" s="28"/>
      <c r="R10" s="46" t="s">
        <v>55</v>
      </c>
      <c r="S10" s="5" t="s">
        <v>56</v>
      </c>
      <c r="AD10" s="46"/>
      <c r="AP10" s="46"/>
      <c r="AZ10" s="5" t="s">
        <v>57</v>
      </c>
      <c r="BE10" s="29"/>
      <c r="CR10" s="6"/>
    </row>
    <row r="11" spans="1:96" ht="15" customHeight="1">
      <c r="A11" s="3"/>
      <c r="D11" s="202">
        <v>2</v>
      </c>
      <c r="E11" s="203"/>
      <c r="F11" s="111" t="s">
        <v>44</v>
      </c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25"/>
      <c r="R11" s="45" t="s">
        <v>55</v>
      </c>
      <c r="S11" s="26" t="s">
        <v>58</v>
      </c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45" t="s">
        <v>55</v>
      </c>
      <c r="AE11" s="26" t="s">
        <v>59</v>
      </c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45" t="s">
        <v>53</v>
      </c>
      <c r="AQ11" s="26" t="s">
        <v>60</v>
      </c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7"/>
      <c r="CR11" s="6"/>
    </row>
    <row r="12" spans="1:96" ht="15" customHeight="1">
      <c r="A12" s="3"/>
      <c r="D12" s="204"/>
      <c r="E12" s="205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28"/>
      <c r="R12" s="46" t="s">
        <v>53</v>
      </c>
      <c r="S12" s="5" t="s">
        <v>61</v>
      </c>
      <c r="AD12" s="46" t="s">
        <v>53</v>
      </c>
      <c r="AE12" s="5" t="s">
        <v>62</v>
      </c>
      <c r="AP12" s="46" t="s">
        <v>53</v>
      </c>
      <c r="AQ12" s="5" t="s">
        <v>63</v>
      </c>
      <c r="BE12" s="29"/>
      <c r="CR12" s="6"/>
    </row>
    <row r="13" spans="1:96" ht="15" customHeight="1">
      <c r="A13" s="3"/>
      <c r="D13" s="204"/>
      <c r="E13" s="205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28"/>
      <c r="R13" s="46" t="s">
        <v>53</v>
      </c>
      <c r="S13" s="5" t="s">
        <v>64</v>
      </c>
      <c r="AD13" s="46" t="s">
        <v>53</v>
      </c>
      <c r="AE13" s="5" t="s">
        <v>65</v>
      </c>
      <c r="AP13" s="46" t="s">
        <v>53</v>
      </c>
      <c r="AQ13" s="5" t="s">
        <v>66</v>
      </c>
      <c r="BE13" s="29"/>
      <c r="CR13" s="6"/>
    </row>
    <row r="14" spans="1:96" ht="15" customHeight="1">
      <c r="A14" s="3"/>
      <c r="D14" s="204"/>
      <c r="E14" s="205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28"/>
      <c r="R14" s="46" t="s">
        <v>55</v>
      </c>
      <c r="S14" s="5" t="s">
        <v>67</v>
      </c>
      <c r="AD14" s="46" t="s">
        <v>53</v>
      </c>
      <c r="AE14" s="5" t="s">
        <v>68</v>
      </c>
      <c r="AP14" s="46" t="s">
        <v>55</v>
      </c>
      <c r="AQ14" s="5" t="s">
        <v>69</v>
      </c>
      <c r="BE14" s="29"/>
      <c r="CR14" s="6"/>
    </row>
    <row r="15" spans="1:96" ht="15" customHeight="1">
      <c r="A15" s="3"/>
      <c r="D15" s="204"/>
      <c r="E15" s="205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28"/>
      <c r="R15" s="46" t="s">
        <v>55</v>
      </c>
      <c r="S15" s="5" t="s">
        <v>70</v>
      </c>
      <c r="AD15" s="46" t="s">
        <v>53</v>
      </c>
      <c r="AE15" s="5" t="s">
        <v>71</v>
      </c>
      <c r="AP15" s="46" t="s">
        <v>53</v>
      </c>
      <c r="AQ15" s="5" t="s">
        <v>73</v>
      </c>
      <c r="BE15" s="29"/>
      <c r="CR15" s="6"/>
    </row>
    <row r="16" spans="1:96" ht="15" customHeight="1">
      <c r="A16" s="3"/>
      <c r="D16" s="204"/>
      <c r="E16" s="205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28"/>
      <c r="R16" s="46" t="s">
        <v>55</v>
      </c>
      <c r="S16" s="5" t="s">
        <v>187</v>
      </c>
      <c r="AD16" s="46"/>
      <c r="AP16" s="46"/>
      <c r="BE16" s="29"/>
      <c r="CR16" s="6"/>
    </row>
    <row r="17" spans="1:96" ht="15" customHeight="1">
      <c r="A17" s="3"/>
      <c r="D17" s="204"/>
      <c r="E17" s="205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28"/>
      <c r="R17" s="47" t="s">
        <v>53</v>
      </c>
      <c r="S17" s="5" t="s">
        <v>56</v>
      </c>
      <c r="W17" s="5" t="s">
        <v>241</v>
      </c>
      <c r="AD17" s="46"/>
      <c r="AP17" s="46"/>
      <c r="AZ17" s="5" t="s">
        <v>57</v>
      </c>
      <c r="BE17" s="29"/>
      <c r="CR17" s="6"/>
    </row>
    <row r="18" spans="1:96" ht="15" customHeight="1">
      <c r="A18" s="3"/>
      <c r="D18" s="202">
        <v>3</v>
      </c>
      <c r="E18" s="203"/>
      <c r="F18" s="111" t="s">
        <v>45</v>
      </c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25"/>
      <c r="R18" s="45" t="s">
        <v>53</v>
      </c>
      <c r="S18" s="26" t="s">
        <v>74</v>
      </c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45" t="s">
        <v>53</v>
      </c>
      <c r="AE18" s="26" t="s">
        <v>75</v>
      </c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45" t="s">
        <v>55</v>
      </c>
      <c r="AQ18" s="26" t="s">
        <v>76</v>
      </c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7"/>
      <c r="CR18" s="6"/>
    </row>
    <row r="19" spans="1:96" ht="15" customHeight="1">
      <c r="A19" s="3"/>
      <c r="D19" s="204"/>
      <c r="E19" s="205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28"/>
      <c r="R19" s="46" t="s">
        <v>53</v>
      </c>
      <c r="S19" s="5" t="s">
        <v>77</v>
      </c>
      <c r="AD19" s="46" t="s">
        <v>53</v>
      </c>
      <c r="AE19" s="5" t="s">
        <v>78</v>
      </c>
      <c r="AP19" s="46" t="s">
        <v>55</v>
      </c>
      <c r="AQ19" s="5" t="s">
        <v>79</v>
      </c>
      <c r="BE19" s="29"/>
      <c r="CR19" s="6"/>
    </row>
    <row r="20" spans="1:96" ht="15" customHeight="1">
      <c r="A20" s="3"/>
      <c r="D20" s="204"/>
      <c r="E20" s="205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28"/>
      <c r="R20" s="46" t="s">
        <v>53</v>
      </c>
      <c r="S20" s="5" t="s">
        <v>80</v>
      </c>
      <c r="AD20" s="46" t="s">
        <v>53</v>
      </c>
      <c r="AE20" s="5" t="s">
        <v>81</v>
      </c>
      <c r="AP20" s="46" t="s">
        <v>53</v>
      </c>
      <c r="AQ20" s="5" t="s">
        <v>82</v>
      </c>
      <c r="BE20" s="29"/>
      <c r="CR20" s="6"/>
    </row>
    <row r="21" spans="1:96" ht="15" customHeight="1">
      <c r="A21" s="3"/>
      <c r="D21" s="204"/>
      <c r="E21" s="205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28"/>
      <c r="R21" s="46" t="s">
        <v>53</v>
      </c>
      <c r="S21" s="5" t="s">
        <v>83</v>
      </c>
      <c r="AD21" s="46" t="s">
        <v>53</v>
      </c>
      <c r="AE21" s="5" t="s">
        <v>84</v>
      </c>
      <c r="AP21" s="46"/>
      <c r="BE21" s="29"/>
      <c r="CR21" s="6"/>
    </row>
    <row r="22" spans="1:96" ht="15" customHeight="1">
      <c r="A22" s="3"/>
      <c r="D22" s="204"/>
      <c r="E22" s="205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28"/>
      <c r="R22" s="46" t="s">
        <v>53</v>
      </c>
      <c r="S22" s="5" t="s">
        <v>85</v>
      </c>
      <c r="AD22" s="46" t="s">
        <v>53</v>
      </c>
      <c r="AE22" s="5" t="s">
        <v>73</v>
      </c>
      <c r="AP22" s="46"/>
      <c r="BE22" s="29"/>
      <c r="CR22" s="6"/>
    </row>
    <row r="23" spans="1:96" ht="15" customHeight="1">
      <c r="A23" s="3"/>
      <c r="D23" s="204"/>
      <c r="E23" s="205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28"/>
      <c r="R23" s="46" t="s">
        <v>53</v>
      </c>
      <c r="S23" s="5" t="s">
        <v>56</v>
      </c>
      <c r="W23" s="5" t="s">
        <v>326</v>
      </c>
      <c r="AD23" s="46"/>
      <c r="AP23" s="46"/>
      <c r="AZ23" s="5" t="s">
        <v>57</v>
      </c>
      <c r="BE23" s="29"/>
      <c r="CR23" s="6"/>
    </row>
    <row r="24" spans="1:96" ht="15" customHeight="1">
      <c r="A24" s="3"/>
      <c r="D24" s="110">
        <v>4</v>
      </c>
      <c r="E24" s="110"/>
      <c r="F24" s="111" t="s">
        <v>46</v>
      </c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26"/>
      <c r="R24" s="45" t="s">
        <v>53</v>
      </c>
      <c r="S24" s="26" t="s">
        <v>86</v>
      </c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45" t="s">
        <v>53</v>
      </c>
      <c r="AE24" s="26" t="s">
        <v>81</v>
      </c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45" t="s">
        <v>53</v>
      </c>
      <c r="AQ24" s="26" t="s">
        <v>82</v>
      </c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7"/>
      <c r="CR24" s="6"/>
    </row>
    <row r="25" spans="1:96" ht="15" customHeight="1">
      <c r="A25" s="3"/>
      <c r="C25" s="4"/>
      <c r="D25" s="110"/>
      <c r="E25" s="110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R25" s="46" t="s">
        <v>53</v>
      </c>
      <c r="S25" s="5" t="s">
        <v>83</v>
      </c>
      <c r="AD25" s="46" t="s">
        <v>53</v>
      </c>
      <c r="AE25" s="5" t="s">
        <v>87</v>
      </c>
      <c r="AP25" s="46" t="s">
        <v>53</v>
      </c>
      <c r="AQ25" s="5" t="s">
        <v>88</v>
      </c>
      <c r="BE25" s="29"/>
      <c r="CR25" s="6"/>
    </row>
    <row r="26" spans="1:96" ht="15" customHeight="1">
      <c r="A26" s="3"/>
      <c r="D26" s="110"/>
      <c r="E26" s="110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R26" s="46" t="s">
        <v>53</v>
      </c>
      <c r="S26" s="5" t="s">
        <v>73</v>
      </c>
      <c r="AD26" s="46"/>
      <c r="AP26" s="46"/>
      <c r="BE26" s="29"/>
      <c r="CR26" s="6"/>
    </row>
    <row r="27" spans="1:96" ht="15" customHeight="1">
      <c r="A27" s="3"/>
      <c r="D27" s="110"/>
      <c r="E27" s="110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R27" s="46" t="s">
        <v>55</v>
      </c>
      <c r="S27" s="5" t="s">
        <v>56</v>
      </c>
      <c r="AD27" s="46"/>
      <c r="AP27" s="46"/>
      <c r="AZ27" s="5" t="s">
        <v>57</v>
      </c>
      <c r="BE27" s="29"/>
      <c r="CR27" s="6"/>
    </row>
    <row r="28" spans="1:96" ht="15" customHeight="1">
      <c r="A28" s="3"/>
      <c r="D28" s="110">
        <v>5</v>
      </c>
      <c r="E28" s="110"/>
      <c r="F28" s="111" t="s">
        <v>47</v>
      </c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25"/>
      <c r="R28" s="45" t="s">
        <v>53</v>
      </c>
      <c r="S28" s="26" t="s">
        <v>89</v>
      </c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45" t="s">
        <v>53</v>
      </c>
      <c r="AE28" s="26" t="s">
        <v>73</v>
      </c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45" t="s">
        <v>55</v>
      </c>
      <c r="AQ28" s="26" t="s">
        <v>88</v>
      </c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7"/>
      <c r="CR28" s="6"/>
    </row>
    <row r="29" spans="1:96" ht="15" customHeight="1">
      <c r="A29" s="3"/>
      <c r="D29" s="110"/>
      <c r="E29" s="110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28"/>
      <c r="R29" s="46" t="s">
        <v>53</v>
      </c>
      <c r="S29" s="5" t="s">
        <v>90</v>
      </c>
      <c r="AD29" s="46" t="s">
        <v>53</v>
      </c>
      <c r="AE29" s="5" t="s">
        <v>93</v>
      </c>
      <c r="AP29" s="46" t="s">
        <v>53</v>
      </c>
      <c r="AQ29" s="5" t="s">
        <v>91</v>
      </c>
      <c r="BE29" s="29"/>
      <c r="CR29" s="6"/>
    </row>
    <row r="30" spans="1:96" ht="15" customHeight="1">
      <c r="A30" s="3"/>
      <c r="D30" s="110"/>
      <c r="E30" s="110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28"/>
      <c r="R30" s="46" t="s">
        <v>55</v>
      </c>
      <c r="S30" s="5" t="s">
        <v>56</v>
      </c>
      <c r="AD30" s="46"/>
      <c r="AP30" s="46"/>
      <c r="AZ30" s="5" t="s">
        <v>57</v>
      </c>
      <c r="BE30" s="29"/>
      <c r="CR30" s="6"/>
    </row>
    <row r="31" spans="1:96" ht="15" customHeight="1">
      <c r="A31" s="3"/>
      <c r="D31" s="110">
        <v>6</v>
      </c>
      <c r="E31" s="110"/>
      <c r="F31" s="111" t="s">
        <v>48</v>
      </c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25"/>
      <c r="R31" s="45" t="s">
        <v>55</v>
      </c>
      <c r="S31" s="26" t="s">
        <v>85</v>
      </c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45" t="s">
        <v>53</v>
      </c>
      <c r="AE31" s="26" t="s">
        <v>94</v>
      </c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45" t="s">
        <v>53</v>
      </c>
      <c r="AQ31" s="26" t="s">
        <v>92</v>
      </c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7"/>
      <c r="CR31" s="6"/>
    </row>
    <row r="32" spans="1:96" ht="15" customHeight="1">
      <c r="A32" s="3"/>
      <c r="D32" s="110"/>
      <c r="E32" s="110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28"/>
      <c r="R32" s="46" t="s">
        <v>53</v>
      </c>
      <c r="S32" s="5" t="s">
        <v>91</v>
      </c>
      <c r="AD32" s="46" t="s">
        <v>53</v>
      </c>
      <c r="AE32" s="5" t="s">
        <v>72</v>
      </c>
      <c r="AP32" s="46"/>
      <c r="BE32" s="29"/>
      <c r="CR32" s="6"/>
    </row>
    <row r="33" spans="1:96" ht="15" customHeight="1">
      <c r="A33" s="3"/>
      <c r="D33" s="110"/>
      <c r="E33" s="110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28"/>
      <c r="R33" s="46" t="s">
        <v>55</v>
      </c>
      <c r="S33" s="5" t="s">
        <v>56</v>
      </c>
      <c r="AD33" s="46"/>
      <c r="AP33" s="46"/>
      <c r="AZ33" s="5" t="s">
        <v>57</v>
      </c>
      <c r="BE33" s="29"/>
      <c r="CR33" s="6"/>
    </row>
    <row r="34" spans="1:96" ht="15" customHeight="1">
      <c r="A34" s="3"/>
      <c r="D34" s="110">
        <v>7</v>
      </c>
      <c r="E34" s="110"/>
      <c r="F34" s="111" t="s">
        <v>49</v>
      </c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25"/>
      <c r="R34" s="45" t="s">
        <v>53</v>
      </c>
      <c r="S34" s="26" t="s">
        <v>95</v>
      </c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45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45" t="s">
        <v>53</v>
      </c>
      <c r="AQ34" s="26" t="s">
        <v>96</v>
      </c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7"/>
      <c r="CR34" s="6"/>
    </row>
    <row r="35" spans="1:96" ht="15" customHeight="1">
      <c r="A35" s="3"/>
      <c r="D35" s="110"/>
      <c r="E35" s="110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28"/>
      <c r="R35" s="46" t="s">
        <v>53</v>
      </c>
      <c r="S35" s="5" t="s">
        <v>97</v>
      </c>
      <c r="AD35" s="46" t="s">
        <v>53</v>
      </c>
      <c r="AE35" s="5" t="s">
        <v>91</v>
      </c>
      <c r="AP35" s="46" t="s">
        <v>53</v>
      </c>
      <c r="AQ35" s="5" t="s">
        <v>72</v>
      </c>
      <c r="BE35" s="29"/>
      <c r="CR35" s="6"/>
    </row>
    <row r="36" spans="1:96" ht="15" customHeight="1">
      <c r="A36" s="3"/>
      <c r="D36" s="110"/>
      <c r="E36" s="110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30"/>
      <c r="R36" s="46" t="s">
        <v>55</v>
      </c>
      <c r="S36" s="31" t="s">
        <v>56</v>
      </c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47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47"/>
      <c r="AQ36" s="31"/>
      <c r="AR36" s="31"/>
      <c r="AS36" s="31"/>
      <c r="AT36" s="31"/>
      <c r="AU36" s="31"/>
      <c r="AV36" s="31"/>
      <c r="AW36" s="31"/>
      <c r="AX36" s="31"/>
      <c r="AY36" s="31"/>
      <c r="AZ36" s="31" t="s">
        <v>57</v>
      </c>
      <c r="BA36" s="31"/>
      <c r="BB36" s="31"/>
      <c r="BC36" s="31"/>
      <c r="BD36" s="31"/>
      <c r="BE36" s="32"/>
      <c r="CR36" s="6"/>
    </row>
    <row r="37" spans="1:96" ht="15" customHeight="1">
      <c r="A37" s="3"/>
      <c r="D37" s="110">
        <v>8</v>
      </c>
      <c r="E37" s="110"/>
      <c r="F37" s="111" t="s">
        <v>99</v>
      </c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25"/>
      <c r="R37" s="46" t="s">
        <v>53</v>
      </c>
      <c r="S37" s="26" t="s">
        <v>100</v>
      </c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45" t="s">
        <v>321</v>
      </c>
      <c r="AE37" s="26" t="s">
        <v>72</v>
      </c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45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7"/>
      <c r="CR37" s="6"/>
    </row>
    <row r="38" spans="1:96" ht="15" customHeight="1">
      <c r="A38" s="3"/>
      <c r="D38" s="110"/>
      <c r="E38" s="110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30"/>
      <c r="R38" s="47" t="s">
        <v>55</v>
      </c>
      <c r="S38" s="31" t="s">
        <v>56</v>
      </c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47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47"/>
      <c r="AQ38" s="31"/>
      <c r="AR38" s="31"/>
      <c r="AS38" s="31"/>
      <c r="AT38" s="31"/>
      <c r="AU38" s="31"/>
      <c r="AV38" s="31"/>
      <c r="AW38" s="31"/>
      <c r="AX38" s="31"/>
      <c r="AY38" s="31"/>
      <c r="AZ38" s="31" t="s">
        <v>57</v>
      </c>
      <c r="BA38" s="31"/>
      <c r="BB38" s="31"/>
      <c r="BC38" s="31"/>
      <c r="BD38" s="31"/>
      <c r="BE38" s="32"/>
      <c r="CR38" s="6"/>
    </row>
    <row r="39" spans="1:96" ht="15" customHeight="1">
      <c r="A39" s="3"/>
      <c r="D39" s="201">
        <v>9</v>
      </c>
      <c r="E39" s="201"/>
      <c r="F39" s="200" t="s">
        <v>101</v>
      </c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53"/>
      <c r="R39" s="54" t="s">
        <v>54</v>
      </c>
      <c r="S39" s="55" t="s">
        <v>102</v>
      </c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4" t="s">
        <v>54</v>
      </c>
      <c r="AE39" s="55" t="s">
        <v>103</v>
      </c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4" t="s">
        <v>54</v>
      </c>
      <c r="AQ39" s="55" t="s">
        <v>104</v>
      </c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6"/>
      <c r="CR39" s="6"/>
    </row>
    <row r="40" spans="1:96" ht="15" customHeight="1">
      <c r="A40" s="3"/>
      <c r="D40" s="201"/>
      <c r="E40" s="201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57"/>
      <c r="R40" s="58" t="s">
        <v>55</v>
      </c>
      <c r="S40" s="59" t="s">
        <v>56</v>
      </c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8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8"/>
      <c r="AQ40" s="59"/>
      <c r="AR40" s="59"/>
      <c r="AS40" s="59"/>
      <c r="AT40" s="59"/>
      <c r="AU40" s="59"/>
      <c r="AV40" s="59"/>
      <c r="AW40" s="59"/>
      <c r="AX40" s="59"/>
      <c r="AY40" s="59"/>
      <c r="AZ40" s="59" t="s">
        <v>57</v>
      </c>
      <c r="BA40" s="59"/>
      <c r="BB40" s="59"/>
      <c r="BC40" s="59"/>
      <c r="BD40" s="59"/>
      <c r="BE40" s="60"/>
      <c r="CR40" s="6"/>
    </row>
    <row r="41" spans="1:96" ht="15" customHeight="1">
      <c r="A41" s="3"/>
      <c r="CR41" s="6"/>
    </row>
    <row r="42" spans="1:96" ht="15" customHeight="1">
      <c r="A42" s="3"/>
      <c r="CR42" s="6"/>
    </row>
    <row r="43" spans="1:96" ht="15" customHeight="1">
      <c r="A43" s="3"/>
      <c r="CR43" s="6"/>
    </row>
    <row r="44" spans="1:96" ht="15" customHeight="1">
      <c r="A44" s="3"/>
      <c r="CR44" s="6"/>
    </row>
    <row r="45" spans="1:96" ht="15" customHeight="1">
      <c r="A45" s="3"/>
      <c r="CR45" s="6"/>
    </row>
    <row r="46" spans="1:96" ht="15" customHeight="1">
      <c r="A46" s="3"/>
      <c r="CR46" s="6"/>
    </row>
    <row r="47" spans="1:96" ht="15" customHeight="1" thickBot="1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9"/>
    </row>
  </sheetData>
  <mergeCells count="42">
    <mergeCell ref="CF1:CJ3"/>
    <mergeCell ref="CK1:CR3"/>
    <mergeCell ref="A2:H2"/>
    <mergeCell ref="I2:AD2"/>
    <mergeCell ref="AE2:AK3"/>
    <mergeCell ref="AL2:BH2"/>
    <mergeCell ref="BI2:BL2"/>
    <mergeCell ref="BM2:BV2"/>
    <mergeCell ref="BW2:CE2"/>
    <mergeCell ref="A1:H1"/>
    <mergeCell ref="I1:AD1"/>
    <mergeCell ref="AE1:AK1"/>
    <mergeCell ref="AL1:BH1"/>
    <mergeCell ref="BI1:BL1"/>
    <mergeCell ref="BM1:BV1"/>
    <mergeCell ref="AL3:BH3"/>
    <mergeCell ref="BI3:BL3"/>
    <mergeCell ref="BM3:CE3"/>
    <mergeCell ref="D7:E7"/>
    <mergeCell ref="BW1:CE1"/>
    <mergeCell ref="F8:P10"/>
    <mergeCell ref="F7:P7"/>
    <mergeCell ref="F11:P17"/>
    <mergeCell ref="D8:E10"/>
    <mergeCell ref="D11:E17"/>
    <mergeCell ref="A3:H3"/>
    <mergeCell ref="I3:AD3"/>
    <mergeCell ref="Q7:BE7"/>
    <mergeCell ref="F18:P23"/>
    <mergeCell ref="D18:E23"/>
    <mergeCell ref="F24:P27"/>
    <mergeCell ref="D24:E27"/>
    <mergeCell ref="F28:P30"/>
    <mergeCell ref="D28:E30"/>
    <mergeCell ref="F39:P40"/>
    <mergeCell ref="D39:E40"/>
    <mergeCell ref="F31:P33"/>
    <mergeCell ref="D31:E33"/>
    <mergeCell ref="F34:P36"/>
    <mergeCell ref="D34:E36"/>
    <mergeCell ref="F37:P38"/>
    <mergeCell ref="D37:E38"/>
  </mergeCells>
  <phoneticPr fontId="3"/>
  <pageMargins left="0.39370078740157483" right="0.15748031496062992" top="0.78740157480314965" bottom="0.39370078740157483" header="0.59055118110236227" footer="0.19685039370078741"/>
  <pageSetup paperSize="9" scale="80" orientation="landscape" useFirstPageNumber="1" r:id="rId1"/>
  <headerFooter alignWithMargins="0">
    <oddFooter>&amp;C- &amp;P -&amp;R&amp;9株式会社　京信システムサービス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R47"/>
  <sheetViews>
    <sheetView zoomScale="115" zoomScaleNormal="115" zoomScaleSheetLayoutView="115" workbookViewId="0">
      <pane ySplit="3" topLeftCell="A4" activePane="bottomLeft" state="frozen"/>
      <selection activeCell="H34" sqref="H34"/>
      <selection pane="bottomLeft" activeCell="X21" sqref="X21"/>
    </sheetView>
  </sheetViews>
  <sheetFormatPr defaultColWidth="1.875" defaultRowHeight="15" customHeight="1"/>
  <cols>
    <col min="1" max="2" width="1.875" style="5"/>
    <col min="3" max="3" width="1.875" style="5" customWidth="1"/>
    <col min="4" max="16384" width="1.875" style="5"/>
  </cols>
  <sheetData>
    <row r="1" spans="1:96" s="2" customFormat="1" ht="15" customHeight="1">
      <c r="A1" s="147" t="s">
        <v>2</v>
      </c>
      <c r="B1" s="148"/>
      <c r="C1" s="148"/>
      <c r="D1" s="148"/>
      <c r="E1" s="148"/>
      <c r="F1" s="148"/>
      <c r="G1" s="148"/>
      <c r="H1" s="148"/>
      <c r="I1" s="149" t="str">
        <f>タイトル!I40</f>
        <v>　顧客名：同志社大学　教務システム</v>
      </c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1"/>
      <c r="AE1" s="152" t="s">
        <v>3</v>
      </c>
      <c r="AF1" s="152"/>
      <c r="AG1" s="152"/>
      <c r="AH1" s="152"/>
      <c r="AI1" s="152"/>
      <c r="AJ1" s="152"/>
      <c r="AK1" s="152"/>
      <c r="AL1" s="164" t="str">
        <f>タイトル!I43</f>
        <v>　プロジェクト計画</v>
      </c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6"/>
      <c r="BI1" s="152" t="s">
        <v>4</v>
      </c>
      <c r="BJ1" s="152"/>
      <c r="BK1" s="152"/>
      <c r="BL1" s="152"/>
      <c r="BM1" s="187" t="str">
        <f>タイトル!I46</f>
        <v>中村　恒太郎</v>
      </c>
      <c r="BN1" s="188"/>
      <c r="BO1" s="188"/>
      <c r="BP1" s="188"/>
      <c r="BQ1" s="188"/>
      <c r="BR1" s="188"/>
      <c r="BS1" s="188"/>
      <c r="BT1" s="188"/>
      <c r="BU1" s="188"/>
      <c r="BV1" s="189"/>
      <c r="BW1" s="177">
        <f>タイトル!I47</f>
        <v>45170</v>
      </c>
      <c r="BX1" s="177"/>
      <c r="BY1" s="177"/>
      <c r="BZ1" s="177"/>
      <c r="CA1" s="177"/>
      <c r="CB1" s="177"/>
      <c r="CC1" s="177"/>
      <c r="CD1" s="177"/>
      <c r="CE1" s="177"/>
      <c r="CF1" s="178" t="s">
        <v>5</v>
      </c>
      <c r="CG1" s="179"/>
      <c r="CH1" s="179"/>
      <c r="CI1" s="179"/>
      <c r="CJ1" s="180"/>
      <c r="CK1" s="167"/>
      <c r="CL1" s="168"/>
      <c r="CM1" s="168"/>
      <c r="CN1" s="168"/>
      <c r="CO1" s="168"/>
      <c r="CP1" s="168"/>
      <c r="CQ1" s="168"/>
      <c r="CR1" s="169"/>
    </row>
    <row r="2" spans="1:96" s="2" customFormat="1" ht="15" customHeight="1">
      <c r="A2" s="137" t="s">
        <v>6</v>
      </c>
      <c r="B2" s="138"/>
      <c r="C2" s="138"/>
      <c r="D2" s="138"/>
      <c r="E2" s="138"/>
      <c r="F2" s="138"/>
      <c r="G2" s="138"/>
      <c r="H2" s="138"/>
      <c r="I2" s="153" t="str">
        <f>タイトル!I41</f>
        <v xml:space="preserve"> </v>
      </c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5"/>
      <c r="AE2" s="142" t="s">
        <v>7</v>
      </c>
      <c r="AF2" s="142"/>
      <c r="AG2" s="142"/>
      <c r="AH2" s="142"/>
      <c r="AI2" s="142"/>
      <c r="AJ2" s="142"/>
      <c r="AK2" s="142"/>
      <c r="AL2" s="144" t="str">
        <f>タイトル!I44</f>
        <v>　プロジェクト計画書</v>
      </c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6"/>
      <c r="BI2" s="142" t="s">
        <v>8</v>
      </c>
      <c r="BJ2" s="142"/>
      <c r="BK2" s="142"/>
      <c r="BL2" s="142"/>
      <c r="BM2" s="139"/>
      <c r="BN2" s="140"/>
      <c r="BO2" s="140"/>
      <c r="BP2" s="140"/>
      <c r="BQ2" s="140"/>
      <c r="BR2" s="140"/>
      <c r="BS2" s="140"/>
      <c r="BT2" s="140"/>
      <c r="BU2" s="140"/>
      <c r="BV2" s="141"/>
      <c r="BW2" s="176"/>
      <c r="BX2" s="176"/>
      <c r="BY2" s="176"/>
      <c r="BZ2" s="176"/>
      <c r="CA2" s="176"/>
      <c r="CB2" s="176"/>
      <c r="CC2" s="176"/>
      <c r="CD2" s="176"/>
      <c r="CE2" s="176"/>
      <c r="CF2" s="181"/>
      <c r="CG2" s="182"/>
      <c r="CH2" s="182"/>
      <c r="CI2" s="182"/>
      <c r="CJ2" s="183"/>
      <c r="CK2" s="170"/>
      <c r="CL2" s="171"/>
      <c r="CM2" s="171"/>
      <c r="CN2" s="171"/>
      <c r="CO2" s="171"/>
      <c r="CP2" s="171"/>
      <c r="CQ2" s="171"/>
      <c r="CR2" s="172"/>
    </row>
    <row r="3" spans="1:96" s="2" customFormat="1" ht="15" customHeight="1" thickBot="1">
      <c r="A3" s="156"/>
      <c r="B3" s="157"/>
      <c r="C3" s="157"/>
      <c r="D3" s="157"/>
      <c r="E3" s="157"/>
      <c r="F3" s="157"/>
      <c r="G3" s="157"/>
      <c r="H3" s="157"/>
      <c r="I3" s="158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60"/>
      <c r="AE3" s="143"/>
      <c r="AF3" s="143"/>
      <c r="AG3" s="143"/>
      <c r="AH3" s="143"/>
      <c r="AI3" s="143"/>
      <c r="AJ3" s="143"/>
      <c r="AK3" s="143"/>
      <c r="AL3" s="161"/>
      <c r="AM3" s="162"/>
      <c r="AN3" s="162"/>
      <c r="AO3" s="162"/>
      <c r="AP3" s="162"/>
      <c r="AQ3" s="162"/>
      <c r="AR3" s="162"/>
      <c r="AS3" s="162"/>
      <c r="AT3" s="162"/>
      <c r="AU3" s="162"/>
      <c r="AV3" s="162"/>
      <c r="AW3" s="162"/>
      <c r="AX3" s="162"/>
      <c r="AY3" s="162"/>
      <c r="AZ3" s="162"/>
      <c r="BA3" s="162"/>
      <c r="BB3" s="162"/>
      <c r="BC3" s="162"/>
      <c r="BD3" s="162"/>
      <c r="BE3" s="162"/>
      <c r="BF3" s="162"/>
      <c r="BG3" s="162"/>
      <c r="BH3" s="163"/>
      <c r="BI3" s="143"/>
      <c r="BJ3" s="143"/>
      <c r="BK3" s="143"/>
      <c r="BL3" s="143"/>
      <c r="BM3" s="190"/>
      <c r="BN3" s="191"/>
      <c r="BO3" s="191"/>
      <c r="BP3" s="191"/>
      <c r="BQ3" s="191"/>
      <c r="BR3" s="191"/>
      <c r="BS3" s="191"/>
      <c r="BT3" s="191"/>
      <c r="BU3" s="191"/>
      <c r="BV3" s="191"/>
      <c r="BW3" s="192"/>
      <c r="BX3" s="192"/>
      <c r="BY3" s="192"/>
      <c r="BZ3" s="192"/>
      <c r="CA3" s="192"/>
      <c r="CB3" s="192"/>
      <c r="CC3" s="192"/>
      <c r="CD3" s="192"/>
      <c r="CE3" s="193"/>
      <c r="CF3" s="184"/>
      <c r="CG3" s="185"/>
      <c r="CH3" s="185"/>
      <c r="CI3" s="185"/>
      <c r="CJ3" s="186"/>
      <c r="CK3" s="173"/>
      <c r="CL3" s="174"/>
      <c r="CM3" s="174"/>
      <c r="CN3" s="174"/>
      <c r="CO3" s="174"/>
      <c r="CP3" s="174"/>
      <c r="CQ3" s="174"/>
      <c r="CR3" s="175"/>
    </row>
    <row r="4" spans="1:96" ht="15" customHeight="1">
      <c r="A4" s="3"/>
      <c r="B4" s="4"/>
      <c r="CR4" s="6"/>
    </row>
    <row r="5" spans="1:96" ht="15" customHeight="1">
      <c r="A5" s="48" t="s">
        <v>247</v>
      </c>
      <c r="B5" s="4"/>
      <c r="CR5" s="6"/>
    </row>
    <row r="6" spans="1:96" ht="15" customHeight="1">
      <c r="A6" s="3"/>
      <c r="CR6" s="6"/>
    </row>
    <row r="7" spans="1:96" ht="15" customHeight="1">
      <c r="A7" s="3"/>
      <c r="C7" s="109" t="s">
        <v>17</v>
      </c>
      <c r="D7" s="109"/>
      <c r="E7" s="109" t="s">
        <v>242</v>
      </c>
      <c r="F7" s="109"/>
      <c r="G7" s="109"/>
      <c r="H7" s="109"/>
      <c r="I7" s="109"/>
      <c r="J7" s="224" t="s">
        <v>244</v>
      </c>
      <c r="K7" s="109"/>
      <c r="L7" s="109"/>
      <c r="M7" s="109"/>
      <c r="N7" s="226">
        <v>45017</v>
      </c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7"/>
      <c r="AC7" s="227"/>
      <c r="AD7" s="227"/>
      <c r="AE7" s="227"/>
      <c r="AF7" s="227"/>
      <c r="AG7" s="227"/>
      <c r="AH7" s="227"/>
      <c r="AI7" s="227"/>
      <c r="AJ7" s="227"/>
      <c r="AK7" s="227"/>
      <c r="AL7" s="227"/>
      <c r="AM7" s="227"/>
      <c r="AN7" s="228"/>
      <c r="AO7" s="226">
        <f>EOMONTH(N7,9)</f>
        <v>45322</v>
      </c>
      <c r="AP7" s="227"/>
      <c r="AQ7" s="227"/>
      <c r="AR7" s="227"/>
      <c r="AS7" s="227"/>
      <c r="AT7" s="227"/>
      <c r="AU7" s="227"/>
      <c r="AV7" s="227"/>
      <c r="AW7" s="228"/>
      <c r="CR7" s="6"/>
    </row>
    <row r="8" spans="1:96" ht="15" customHeight="1">
      <c r="A8" s="3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225">
        <f>N7</f>
        <v>45017</v>
      </c>
      <c r="O8" s="225"/>
      <c r="P8" s="225"/>
      <c r="Q8" s="225">
        <f>EOMONTH(N8,1)</f>
        <v>45077</v>
      </c>
      <c r="R8" s="225"/>
      <c r="S8" s="225"/>
      <c r="T8" s="225">
        <f t="shared" ref="T8" si="0">EOMONTH(Q8,1)</f>
        <v>45107</v>
      </c>
      <c r="U8" s="225"/>
      <c r="V8" s="225"/>
      <c r="W8" s="225">
        <f t="shared" ref="W8" si="1">EOMONTH(T8,1)</f>
        <v>45138</v>
      </c>
      <c r="X8" s="225"/>
      <c r="Y8" s="225"/>
      <c r="Z8" s="225">
        <f t="shared" ref="Z8" si="2">EOMONTH(W8,1)</f>
        <v>45169</v>
      </c>
      <c r="AA8" s="225"/>
      <c r="AB8" s="225"/>
      <c r="AC8" s="225">
        <f t="shared" ref="AC8" si="3">EOMONTH(Z8,1)</f>
        <v>45199</v>
      </c>
      <c r="AD8" s="225"/>
      <c r="AE8" s="225"/>
      <c r="AF8" s="225">
        <f t="shared" ref="AF8" si="4">EOMONTH(AC8,1)</f>
        <v>45230</v>
      </c>
      <c r="AG8" s="225"/>
      <c r="AH8" s="225"/>
      <c r="AI8" s="225">
        <f t="shared" ref="AI8" si="5">EOMONTH(AF8,1)</f>
        <v>45260</v>
      </c>
      <c r="AJ8" s="225"/>
      <c r="AK8" s="225"/>
      <c r="AL8" s="225">
        <f t="shared" ref="AL8" si="6">EOMONTH(AI8,1)</f>
        <v>45291</v>
      </c>
      <c r="AM8" s="225"/>
      <c r="AN8" s="225"/>
      <c r="AO8" s="225">
        <f t="shared" ref="AO8" si="7">EOMONTH(AL8,1)</f>
        <v>45322</v>
      </c>
      <c r="AP8" s="225"/>
      <c r="AQ8" s="225"/>
      <c r="AR8" s="225">
        <f t="shared" ref="AR8" si="8">EOMONTH(AO8,1)</f>
        <v>45351</v>
      </c>
      <c r="AS8" s="225"/>
      <c r="AT8" s="225"/>
      <c r="AU8" s="225">
        <f t="shared" ref="AU8" si="9">EOMONTH(AR8,1)</f>
        <v>45382</v>
      </c>
      <c r="AV8" s="225"/>
      <c r="AW8" s="225"/>
      <c r="CR8" s="6"/>
    </row>
    <row r="9" spans="1:96" ht="15" customHeight="1">
      <c r="A9" s="3"/>
      <c r="C9" s="94">
        <v>1</v>
      </c>
      <c r="D9" s="96"/>
      <c r="E9" s="97" t="s">
        <v>243</v>
      </c>
      <c r="F9" s="98"/>
      <c r="G9" s="98"/>
      <c r="H9" s="98"/>
      <c r="I9" s="99"/>
      <c r="J9" s="221">
        <f>SUM(N9:AW9)</f>
        <v>0</v>
      </c>
      <c r="K9" s="222"/>
      <c r="L9" s="222"/>
      <c r="M9" s="223"/>
      <c r="N9" s="215">
        <v>0</v>
      </c>
      <c r="O9" s="216"/>
      <c r="P9" s="217"/>
      <c r="Q9" s="215">
        <v>0</v>
      </c>
      <c r="R9" s="216"/>
      <c r="S9" s="217"/>
      <c r="T9" s="215">
        <v>0</v>
      </c>
      <c r="U9" s="216"/>
      <c r="V9" s="217"/>
      <c r="W9" s="215">
        <v>0</v>
      </c>
      <c r="X9" s="216"/>
      <c r="Y9" s="217"/>
      <c r="Z9" s="218">
        <v>0</v>
      </c>
      <c r="AA9" s="219"/>
      <c r="AB9" s="220"/>
      <c r="AC9" s="218">
        <v>0</v>
      </c>
      <c r="AD9" s="219"/>
      <c r="AE9" s="220"/>
      <c r="AF9" s="218">
        <v>0</v>
      </c>
      <c r="AG9" s="219"/>
      <c r="AH9" s="220"/>
      <c r="AI9" s="218">
        <v>0</v>
      </c>
      <c r="AJ9" s="219"/>
      <c r="AK9" s="220"/>
      <c r="AL9" s="218">
        <v>0</v>
      </c>
      <c r="AM9" s="219"/>
      <c r="AN9" s="220"/>
      <c r="AO9" s="218">
        <v>0</v>
      </c>
      <c r="AP9" s="219"/>
      <c r="AQ9" s="220"/>
      <c r="AR9" s="218">
        <v>0</v>
      </c>
      <c r="AS9" s="219"/>
      <c r="AT9" s="220"/>
      <c r="AU9" s="218">
        <v>0</v>
      </c>
      <c r="AV9" s="219"/>
      <c r="AW9" s="220"/>
      <c r="CR9" s="6"/>
    </row>
    <row r="10" spans="1:96" ht="15" customHeight="1">
      <c r="A10" s="3"/>
      <c r="C10" s="94">
        <v>2</v>
      </c>
      <c r="D10" s="96"/>
      <c r="E10" s="97" t="s">
        <v>310</v>
      </c>
      <c r="F10" s="98"/>
      <c r="G10" s="98"/>
      <c r="H10" s="98"/>
      <c r="I10" s="99"/>
      <c r="J10" s="221">
        <f t="shared" ref="J10:J15" si="10">SUM(N10:AW10)</f>
        <v>0.1</v>
      </c>
      <c r="K10" s="222"/>
      <c r="L10" s="222"/>
      <c r="M10" s="223"/>
      <c r="N10" s="215">
        <v>0</v>
      </c>
      <c r="O10" s="216"/>
      <c r="P10" s="217"/>
      <c r="Q10" s="215">
        <v>0</v>
      </c>
      <c r="R10" s="216"/>
      <c r="S10" s="217"/>
      <c r="T10" s="215">
        <v>0</v>
      </c>
      <c r="U10" s="216"/>
      <c r="V10" s="217"/>
      <c r="W10" s="215">
        <v>0</v>
      </c>
      <c r="X10" s="216"/>
      <c r="Y10" s="217"/>
      <c r="Z10" s="218">
        <v>0.1</v>
      </c>
      <c r="AA10" s="219"/>
      <c r="AB10" s="220"/>
      <c r="AC10" s="218">
        <v>0</v>
      </c>
      <c r="AD10" s="219"/>
      <c r="AE10" s="220"/>
      <c r="AF10" s="218">
        <v>0</v>
      </c>
      <c r="AG10" s="219"/>
      <c r="AH10" s="220"/>
      <c r="AI10" s="218">
        <v>0</v>
      </c>
      <c r="AJ10" s="219"/>
      <c r="AK10" s="220"/>
      <c r="AL10" s="218">
        <v>0</v>
      </c>
      <c r="AM10" s="219"/>
      <c r="AN10" s="220"/>
      <c r="AO10" s="218">
        <v>0</v>
      </c>
      <c r="AP10" s="219"/>
      <c r="AQ10" s="220"/>
      <c r="AR10" s="218">
        <v>0</v>
      </c>
      <c r="AS10" s="219"/>
      <c r="AT10" s="220"/>
      <c r="AU10" s="218">
        <v>0</v>
      </c>
      <c r="AV10" s="219"/>
      <c r="AW10" s="220"/>
      <c r="CR10" s="6"/>
    </row>
    <row r="11" spans="1:96" ht="15" customHeight="1">
      <c r="A11" s="3"/>
      <c r="C11" s="94">
        <v>3</v>
      </c>
      <c r="D11" s="96"/>
      <c r="E11" s="97" t="s">
        <v>311</v>
      </c>
      <c r="F11" s="98"/>
      <c r="G11" s="98"/>
      <c r="H11" s="98"/>
      <c r="I11" s="99"/>
      <c r="J11" s="221">
        <f t="shared" si="10"/>
        <v>2.3000000000000003</v>
      </c>
      <c r="K11" s="222"/>
      <c r="L11" s="222"/>
      <c r="M11" s="223"/>
      <c r="N11" s="215">
        <v>0</v>
      </c>
      <c r="O11" s="216"/>
      <c r="P11" s="217"/>
      <c r="Q11" s="215">
        <v>0</v>
      </c>
      <c r="R11" s="216"/>
      <c r="S11" s="217"/>
      <c r="T11" s="215">
        <v>0</v>
      </c>
      <c r="U11" s="216"/>
      <c r="V11" s="217"/>
      <c r="W11" s="215">
        <v>0</v>
      </c>
      <c r="X11" s="216"/>
      <c r="Y11" s="217"/>
      <c r="Z11" s="218">
        <v>0.2</v>
      </c>
      <c r="AA11" s="219"/>
      <c r="AB11" s="220"/>
      <c r="AC11" s="218">
        <v>0.3</v>
      </c>
      <c r="AD11" s="219"/>
      <c r="AE11" s="220"/>
      <c r="AF11" s="218">
        <v>0.4</v>
      </c>
      <c r="AG11" s="219"/>
      <c r="AH11" s="220"/>
      <c r="AI11" s="218">
        <v>0.3</v>
      </c>
      <c r="AJ11" s="219"/>
      <c r="AK11" s="220"/>
      <c r="AL11" s="218">
        <v>0.4</v>
      </c>
      <c r="AM11" s="219"/>
      <c r="AN11" s="220"/>
      <c r="AO11" s="218">
        <v>0.3</v>
      </c>
      <c r="AP11" s="219"/>
      <c r="AQ11" s="220"/>
      <c r="AR11" s="218">
        <v>0.2</v>
      </c>
      <c r="AS11" s="219"/>
      <c r="AT11" s="220"/>
      <c r="AU11" s="218">
        <v>0.2</v>
      </c>
      <c r="AV11" s="219"/>
      <c r="AW11" s="220"/>
      <c r="AX11" s="5" t="s">
        <v>322</v>
      </c>
      <c r="CR11" s="6"/>
    </row>
    <row r="12" spans="1:96" ht="15" customHeight="1">
      <c r="A12" s="3"/>
      <c r="C12" s="94">
        <v>4</v>
      </c>
      <c r="D12" s="96"/>
      <c r="E12" s="97" t="s">
        <v>312</v>
      </c>
      <c r="F12" s="98"/>
      <c r="G12" s="98"/>
      <c r="H12" s="98"/>
      <c r="I12" s="99"/>
      <c r="J12" s="221">
        <f t="shared" si="10"/>
        <v>0.7</v>
      </c>
      <c r="K12" s="222"/>
      <c r="L12" s="222"/>
      <c r="M12" s="223"/>
      <c r="N12" s="215">
        <v>0</v>
      </c>
      <c r="O12" s="216"/>
      <c r="P12" s="217"/>
      <c r="Q12" s="215">
        <v>0</v>
      </c>
      <c r="R12" s="216"/>
      <c r="S12" s="217"/>
      <c r="T12" s="215">
        <v>0</v>
      </c>
      <c r="U12" s="216"/>
      <c r="V12" s="217"/>
      <c r="W12" s="215">
        <v>0</v>
      </c>
      <c r="X12" s="216"/>
      <c r="Y12" s="217"/>
      <c r="Z12" s="218">
        <v>0</v>
      </c>
      <c r="AA12" s="219"/>
      <c r="AB12" s="220"/>
      <c r="AC12" s="218">
        <v>0</v>
      </c>
      <c r="AD12" s="219"/>
      <c r="AE12" s="220"/>
      <c r="AF12" s="218">
        <v>0</v>
      </c>
      <c r="AG12" s="219"/>
      <c r="AH12" s="220"/>
      <c r="AI12" s="218">
        <v>0</v>
      </c>
      <c r="AJ12" s="219"/>
      <c r="AK12" s="220"/>
      <c r="AL12" s="218">
        <v>0.7</v>
      </c>
      <c r="AM12" s="219"/>
      <c r="AN12" s="220"/>
      <c r="AO12" s="218">
        <v>0</v>
      </c>
      <c r="AP12" s="219"/>
      <c r="AQ12" s="220"/>
      <c r="AR12" s="218">
        <v>0</v>
      </c>
      <c r="AS12" s="219"/>
      <c r="AT12" s="220"/>
      <c r="AU12" s="218">
        <v>0</v>
      </c>
      <c r="AV12" s="219"/>
      <c r="AW12" s="220"/>
      <c r="AX12" s="5" t="s">
        <v>47</v>
      </c>
      <c r="CR12" s="6"/>
    </row>
    <row r="13" spans="1:96" ht="15" customHeight="1">
      <c r="A13" s="3"/>
      <c r="C13" s="94">
        <v>5</v>
      </c>
      <c r="D13" s="96"/>
      <c r="E13" s="97" t="s">
        <v>313</v>
      </c>
      <c r="F13" s="98"/>
      <c r="G13" s="98"/>
      <c r="H13" s="98"/>
      <c r="I13" s="99"/>
      <c r="J13" s="221">
        <f t="shared" si="10"/>
        <v>0.4</v>
      </c>
      <c r="K13" s="222"/>
      <c r="L13" s="222"/>
      <c r="M13" s="223"/>
      <c r="N13" s="215">
        <v>0</v>
      </c>
      <c r="O13" s="216"/>
      <c r="P13" s="217"/>
      <c r="Q13" s="215">
        <v>0</v>
      </c>
      <c r="R13" s="216"/>
      <c r="S13" s="217"/>
      <c r="T13" s="215">
        <v>0</v>
      </c>
      <c r="U13" s="216"/>
      <c r="V13" s="217"/>
      <c r="W13" s="215">
        <v>0</v>
      </c>
      <c r="X13" s="216"/>
      <c r="Y13" s="217"/>
      <c r="Z13" s="218">
        <v>0</v>
      </c>
      <c r="AA13" s="219"/>
      <c r="AB13" s="220"/>
      <c r="AC13" s="218">
        <v>0</v>
      </c>
      <c r="AD13" s="219"/>
      <c r="AE13" s="220"/>
      <c r="AF13" s="218">
        <v>0.1</v>
      </c>
      <c r="AG13" s="219"/>
      <c r="AH13" s="220"/>
      <c r="AI13" s="218">
        <v>0.1</v>
      </c>
      <c r="AJ13" s="219"/>
      <c r="AK13" s="220"/>
      <c r="AL13" s="218">
        <v>0.1</v>
      </c>
      <c r="AM13" s="219"/>
      <c r="AN13" s="220"/>
      <c r="AO13" s="218">
        <v>0.1</v>
      </c>
      <c r="AP13" s="219"/>
      <c r="AQ13" s="220"/>
      <c r="AR13" s="218">
        <v>0</v>
      </c>
      <c r="AS13" s="219"/>
      <c r="AT13" s="220"/>
      <c r="AU13" s="218">
        <v>0</v>
      </c>
      <c r="AV13" s="219"/>
      <c r="AW13" s="220"/>
      <c r="AX13" s="5" t="s">
        <v>323</v>
      </c>
      <c r="CR13" s="6"/>
    </row>
    <row r="14" spans="1:96" ht="15" customHeight="1">
      <c r="A14" s="3"/>
      <c r="C14" s="94">
        <v>6</v>
      </c>
      <c r="D14" s="96"/>
      <c r="E14" s="97" t="s">
        <v>314</v>
      </c>
      <c r="F14" s="98"/>
      <c r="G14" s="98"/>
      <c r="H14" s="98"/>
      <c r="I14" s="99"/>
      <c r="J14" s="221">
        <f t="shared" ref="J14" si="11">SUM(N14:AW14)</f>
        <v>0.89999999999999991</v>
      </c>
      <c r="K14" s="222"/>
      <c r="L14" s="222"/>
      <c r="M14" s="223"/>
      <c r="N14" s="215">
        <v>0</v>
      </c>
      <c r="O14" s="216"/>
      <c r="P14" s="217"/>
      <c r="Q14" s="215">
        <v>0</v>
      </c>
      <c r="R14" s="216"/>
      <c r="S14" s="217"/>
      <c r="T14" s="215">
        <v>0</v>
      </c>
      <c r="U14" s="216"/>
      <c r="V14" s="217"/>
      <c r="W14" s="215">
        <v>0</v>
      </c>
      <c r="X14" s="216"/>
      <c r="Y14" s="217"/>
      <c r="Z14" s="218">
        <v>0</v>
      </c>
      <c r="AA14" s="219"/>
      <c r="AB14" s="220"/>
      <c r="AC14" s="218">
        <v>0</v>
      </c>
      <c r="AD14" s="219"/>
      <c r="AE14" s="220"/>
      <c r="AF14" s="218">
        <v>0</v>
      </c>
      <c r="AG14" s="219"/>
      <c r="AH14" s="220"/>
      <c r="AI14" s="218">
        <v>0</v>
      </c>
      <c r="AJ14" s="219"/>
      <c r="AK14" s="220"/>
      <c r="AL14" s="218">
        <v>0</v>
      </c>
      <c r="AM14" s="219"/>
      <c r="AN14" s="220"/>
      <c r="AO14" s="218">
        <v>0.7</v>
      </c>
      <c r="AP14" s="219"/>
      <c r="AQ14" s="220"/>
      <c r="AR14" s="218">
        <v>0.2</v>
      </c>
      <c r="AS14" s="219"/>
      <c r="AT14" s="220"/>
      <c r="AU14" s="218">
        <v>0</v>
      </c>
      <c r="AV14" s="219"/>
      <c r="AW14" s="220"/>
      <c r="AX14" s="5" t="s">
        <v>324</v>
      </c>
      <c r="CR14" s="6"/>
    </row>
    <row r="15" spans="1:96" ht="15" customHeight="1">
      <c r="A15" s="3"/>
      <c r="C15" s="94">
        <v>7</v>
      </c>
      <c r="D15" s="96"/>
      <c r="E15" s="97" t="s">
        <v>315</v>
      </c>
      <c r="F15" s="98"/>
      <c r="G15" s="98"/>
      <c r="H15" s="98"/>
      <c r="I15" s="99"/>
      <c r="J15" s="229">
        <f t="shared" si="10"/>
        <v>2</v>
      </c>
      <c r="K15" s="230"/>
      <c r="L15" s="230"/>
      <c r="M15" s="231"/>
      <c r="N15" s="215">
        <v>0</v>
      </c>
      <c r="O15" s="216"/>
      <c r="P15" s="217"/>
      <c r="Q15" s="215">
        <v>0</v>
      </c>
      <c r="R15" s="216"/>
      <c r="S15" s="217"/>
      <c r="T15" s="215">
        <v>0</v>
      </c>
      <c r="U15" s="216"/>
      <c r="V15" s="217"/>
      <c r="W15" s="215">
        <v>0</v>
      </c>
      <c r="X15" s="216"/>
      <c r="Y15" s="217"/>
      <c r="Z15" s="218">
        <v>0</v>
      </c>
      <c r="AA15" s="219"/>
      <c r="AB15" s="220"/>
      <c r="AC15" s="218">
        <v>0</v>
      </c>
      <c r="AD15" s="219"/>
      <c r="AE15" s="220"/>
      <c r="AF15" s="218">
        <v>0</v>
      </c>
      <c r="AG15" s="219"/>
      <c r="AH15" s="220"/>
      <c r="AI15" s="218">
        <v>1</v>
      </c>
      <c r="AJ15" s="219"/>
      <c r="AK15" s="220"/>
      <c r="AL15" s="218">
        <v>0.9</v>
      </c>
      <c r="AM15" s="219"/>
      <c r="AN15" s="220"/>
      <c r="AO15" s="218">
        <v>0.1</v>
      </c>
      <c r="AP15" s="219"/>
      <c r="AQ15" s="220"/>
      <c r="AR15" s="218">
        <v>0</v>
      </c>
      <c r="AS15" s="219"/>
      <c r="AT15" s="220"/>
      <c r="AU15" s="218">
        <v>0</v>
      </c>
      <c r="AV15" s="219"/>
      <c r="AW15" s="220"/>
      <c r="AX15" s="5" t="s">
        <v>47</v>
      </c>
      <c r="CR15" s="6"/>
    </row>
    <row r="16" spans="1:96" ht="15" customHeight="1">
      <c r="A16" s="3"/>
      <c r="C16" s="94">
        <v>8</v>
      </c>
      <c r="D16" s="96"/>
      <c r="E16" s="97" t="s">
        <v>306</v>
      </c>
      <c r="F16" s="98"/>
      <c r="G16" s="98"/>
      <c r="H16" s="98"/>
      <c r="I16" s="99"/>
      <c r="J16" s="229">
        <f t="shared" ref="J16:J17" si="12">SUM(N16:AW16)</f>
        <v>4.5</v>
      </c>
      <c r="K16" s="230"/>
      <c r="L16" s="230"/>
      <c r="M16" s="231"/>
      <c r="N16" s="215">
        <v>0</v>
      </c>
      <c r="O16" s="216"/>
      <c r="P16" s="217"/>
      <c r="Q16" s="215">
        <v>0</v>
      </c>
      <c r="R16" s="216"/>
      <c r="S16" s="217"/>
      <c r="T16" s="215">
        <v>0</v>
      </c>
      <c r="U16" s="216"/>
      <c r="V16" s="217"/>
      <c r="W16" s="215">
        <v>0</v>
      </c>
      <c r="X16" s="216"/>
      <c r="Y16" s="217"/>
      <c r="Z16" s="218">
        <v>0.5</v>
      </c>
      <c r="AA16" s="219"/>
      <c r="AB16" s="220"/>
      <c r="AC16" s="218">
        <v>1</v>
      </c>
      <c r="AD16" s="219"/>
      <c r="AE16" s="220"/>
      <c r="AF16" s="218">
        <v>1</v>
      </c>
      <c r="AG16" s="219"/>
      <c r="AH16" s="220"/>
      <c r="AI16" s="218">
        <v>1</v>
      </c>
      <c r="AJ16" s="219"/>
      <c r="AK16" s="220"/>
      <c r="AL16" s="218">
        <v>0</v>
      </c>
      <c r="AM16" s="219"/>
      <c r="AN16" s="220"/>
      <c r="AO16" s="218">
        <v>1</v>
      </c>
      <c r="AP16" s="219"/>
      <c r="AQ16" s="220"/>
      <c r="AR16" s="218">
        <v>0</v>
      </c>
      <c r="AS16" s="219"/>
      <c r="AT16" s="220"/>
      <c r="AU16" s="218">
        <v>0</v>
      </c>
      <c r="AV16" s="219"/>
      <c r="AW16" s="220"/>
      <c r="AX16" s="5" t="s">
        <v>325</v>
      </c>
      <c r="CR16" s="6"/>
    </row>
    <row r="17" spans="1:96" ht="15" customHeight="1">
      <c r="A17" s="3"/>
      <c r="C17" s="94">
        <v>9</v>
      </c>
      <c r="D17" s="96"/>
      <c r="E17" s="97" t="s">
        <v>316</v>
      </c>
      <c r="F17" s="98"/>
      <c r="G17" s="98"/>
      <c r="H17" s="98"/>
      <c r="I17" s="99"/>
      <c r="J17" s="229">
        <f t="shared" si="12"/>
        <v>1.1000000000000001</v>
      </c>
      <c r="K17" s="230"/>
      <c r="L17" s="230"/>
      <c r="M17" s="231"/>
      <c r="N17" s="215">
        <v>0</v>
      </c>
      <c r="O17" s="216"/>
      <c r="P17" s="217"/>
      <c r="Q17" s="215">
        <v>0</v>
      </c>
      <c r="R17" s="216"/>
      <c r="S17" s="217"/>
      <c r="T17" s="215">
        <v>0</v>
      </c>
      <c r="U17" s="216"/>
      <c r="V17" s="217"/>
      <c r="W17" s="215">
        <v>0</v>
      </c>
      <c r="X17" s="216"/>
      <c r="Y17" s="217"/>
      <c r="Z17" s="218">
        <v>0</v>
      </c>
      <c r="AA17" s="219"/>
      <c r="AB17" s="220"/>
      <c r="AC17" s="218">
        <v>0</v>
      </c>
      <c r="AD17" s="219"/>
      <c r="AE17" s="220"/>
      <c r="AF17" s="218">
        <v>0</v>
      </c>
      <c r="AG17" s="219"/>
      <c r="AH17" s="220"/>
      <c r="AI17" s="218">
        <v>0</v>
      </c>
      <c r="AJ17" s="219"/>
      <c r="AK17" s="220"/>
      <c r="AL17" s="218">
        <v>0.6</v>
      </c>
      <c r="AM17" s="219"/>
      <c r="AN17" s="220"/>
      <c r="AO17" s="218">
        <v>0.5</v>
      </c>
      <c r="AP17" s="219"/>
      <c r="AQ17" s="220"/>
      <c r="AR17" s="218">
        <v>0</v>
      </c>
      <c r="AS17" s="219"/>
      <c r="AT17" s="220"/>
      <c r="AU17" s="218">
        <v>0</v>
      </c>
      <c r="AV17" s="219"/>
      <c r="AW17" s="220"/>
      <c r="AX17" s="5" t="s">
        <v>47</v>
      </c>
      <c r="CR17" s="6"/>
    </row>
    <row r="18" spans="1:96" ht="15" customHeight="1">
      <c r="A18" s="3"/>
      <c r="J18" s="232">
        <f>SUM(J9:J17)</f>
        <v>12</v>
      </c>
      <c r="K18" s="233"/>
      <c r="L18" s="233"/>
      <c r="M18" s="234"/>
      <c r="CR18" s="6"/>
    </row>
    <row r="19" spans="1:96" ht="15" customHeight="1">
      <c r="A19" s="3"/>
      <c r="CR19" s="6"/>
    </row>
    <row r="20" spans="1:96" ht="15" customHeight="1">
      <c r="A20" s="3"/>
      <c r="CR20" s="6"/>
    </row>
    <row r="21" spans="1:96" ht="15" customHeight="1">
      <c r="A21" s="3"/>
      <c r="J21" s="63" t="s">
        <v>328</v>
      </c>
      <c r="K21" s="63"/>
      <c r="L21" s="63"/>
      <c r="M21" s="63"/>
      <c r="CR21" s="6"/>
    </row>
    <row r="22" spans="1:96" ht="15" customHeight="1">
      <c r="A22" s="3"/>
      <c r="CR22" s="6"/>
    </row>
    <row r="23" spans="1:96" ht="15" customHeight="1">
      <c r="A23" s="3"/>
      <c r="CR23" s="6"/>
    </row>
    <row r="24" spans="1:96" ht="15" customHeight="1">
      <c r="A24" s="3"/>
      <c r="CR24" s="6"/>
    </row>
    <row r="25" spans="1:96" ht="15" customHeight="1">
      <c r="A25" s="3"/>
      <c r="CR25" s="6"/>
    </row>
    <row r="26" spans="1:96" ht="15" customHeight="1">
      <c r="A26" s="3"/>
      <c r="CR26" s="6"/>
    </row>
    <row r="27" spans="1:96" ht="15" customHeight="1">
      <c r="A27" s="3"/>
      <c r="CR27" s="6"/>
    </row>
    <row r="28" spans="1:96" ht="15" customHeight="1">
      <c r="A28" s="3"/>
      <c r="CR28" s="6"/>
    </row>
    <row r="29" spans="1:96" ht="15" customHeight="1">
      <c r="A29" s="3"/>
      <c r="CR29" s="6"/>
    </row>
    <row r="30" spans="1:96" ht="15" customHeight="1">
      <c r="A30" s="3"/>
      <c r="CR30" s="6"/>
    </row>
    <row r="31" spans="1:96" ht="15" customHeight="1">
      <c r="A31" s="3"/>
      <c r="CR31" s="6"/>
    </row>
    <row r="32" spans="1:96" ht="15" customHeight="1">
      <c r="A32" s="3"/>
      <c r="CR32" s="6"/>
    </row>
    <row r="33" spans="1:96" ht="15" customHeight="1">
      <c r="A33" s="3"/>
      <c r="CR33" s="6"/>
    </row>
    <row r="34" spans="1:96" ht="15" customHeight="1">
      <c r="A34" s="3"/>
      <c r="CR34" s="6"/>
    </row>
    <row r="35" spans="1:96" ht="15" customHeight="1">
      <c r="A35" s="3"/>
      <c r="CR35" s="6"/>
    </row>
    <row r="36" spans="1:96" ht="15" customHeight="1">
      <c r="A36" s="3"/>
      <c r="CR36" s="6"/>
    </row>
    <row r="37" spans="1:96" ht="15" customHeight="1">
      <c r="A37" s="3"/>
      <c r="CR37" s="6"/>
    </row>
    <row r="38" spans="1:96" ht="15" customHeight="1">
      <c r="A38" s="3"/>
      <c r="CR38" s="6"/>
    </row>
    <row r="39" spans="1:96" ht="15" customHeight="1">
      <c r="A39" s="3"/>
      <c r="CR39" s="6"/>
    </row>
    <row r="40" spans="1:96" ht="15" customHeight="1">
      <c r="A40" s="3"/>
      <c r="CR40" s="6"/>
    </row>
    <row r="41" spans="1:96" ht="15" customHeight="1">
      <c r="A41" s="3"/>
      <c r="CR41" s="6"/>
    </row>
    <row r="42" spans="1:96" ht="15" customHeight="1">
      <c r="A42" s="3"/>
      <c r="CR42" s="6"/>
    </row>
    <row r="43" spans="1:96" ht="15" customHeight="1">
      <c r="A43" s="3"/>
      <c r="CR43" s="6"/>
    </row>
    <row r="44" spans="1:96" ht="15" customHeight="1">
      <c r="A44" s="3"/>
      <c r="CR44" s="6"/>
    </row>
    <row r="45" spans="1:96" ht="15" customHeight="1">
      <c r="A45" s="3"/>
      <c r="CR45" s="6"/>
    </row>
    <row r="46" spans="1:96" ht="15" customHeight="1">
      <c r="A46" s="3"/>
      <c r="CR46" s="6"/>
    </row>
    <row r="47" spans="1:96" ht="15" customHeight="1" thickBot="1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9"/>
    </row>
  </sheetData>
  <mergeCells count="174">
    <mergeCell ref="J18:M18"/>
    <mergeCell ref="AF16:AH16"/>
    <mergeCell ref="AI16:AK16"/>
    <mergeCell ref="AL16:AN16"/>
    <mergeCell ref="AO16:AQ16"/>
    <mergeCell ref="AR16:AT16"/>
    <mergeCell ref="AU16:AW16"/>
    <mergeCell ref="AO17:AQ17"/>
    <mergeCell ref="AR17:AT17"/>
    <mergeCell ref="AU17:AW17"/>
    <mergeCell ref="AO14:AQ14"/>
    <mergeCell ref="AR14:AT14"/>
    <mergeCell ref="AU14:AW14"/>
    <mergeCell ref="AL15:AN15"/>
    <mergeCell ref="AF14:AH14"/>
    <mergeCell ref="AI14:AK14"/>
    <mergeCell ref="AL14:AN14"/>
    <mergeCell ref="AF13:AH13"/>
    <mergeCell ref="AI13:AK13"/>
    <mergeCell ref="AL13:AN13"/>
    <mergeCell ref="AO13:AQ13"/>
    <mergeCell ref="AR13:AT13"/>
    <mergeCell ref="AU13:AW13"/>
    <mergeCell ref="C14:D14"/>
    <mergeCell ref="E14:I14"/>
    <mergeCell ref="J14:M14"/>
    <mergeCell ref="C13:D13"/>
    <mergeCell ref="E13:I13"/>
    <mergeCell ref="J13:M13"/>
    <mergeCell ref="N13:P13"/>
    <mergeCell ref="Q13:S13"/>
    <mergeCell ref="T13:V13"/>
    <mergeCell ref="W13:Y13"/>
    <mergeCell ref="Z13:AB13"/>
    <mergeCell ref="AC13:AE13"/>
    <mergeCell ref="N14:P14"/>
    <mergeCell ref="Q14:S14"/>
    <mergeCell ref="T14:V14"/>
    <mergeCell ref="W14:Y14"/>
    <mergeCell ref="Z14:AB14"/>
    <mergeCell ref="AC14:AE14"/>
    <mergeCell ref="C15:D15"/>
    <mergeCell ref="E15:I15"/>
    <mergeCell ref="C17:D17"/>
    <mergeCell ref="E17:I17"/>
    <mergeCell ref="J17:M17"/>
    <mergeCell ref="N17:P17"/>
    <mergeCell ref="Q17:S17"/>
    <mergeCell ref="T17:V17"/>
    <mergeCell ref="C16:D16"/>
    <mergeCell ref="E16:I16"/>
    <mergeCell ref="J16:M16"/>
    <mergeCell ref="N16:P16"/>
    <mergeCell ref="Q16:S16"/>
    <mergeCell ref="T16:V16"/>
    <mergeCell ref="J15:M15"/>
    <mergeCell ref="N15:P15"/>
    <mergeCell ref="Q15:S15"/>
    <mergeCell ref="T15:V15"/>
    <mergeCell ref="AU8:AW8"/>
    <mergeCell ref="AO9:AQ9"/>
    <mergeCell ref="AR9:AT9"/>
    <mergeCell ref="AU9:AW9"/>
    <mergeCell ref="AO10:AQ10"/>
    <mergeCell ref="AR10:AT10"/>
    <mergeCell ref="AU10:AW10"/>
    <mergeCell ref="AL8:AN8"/>
    <mergeCell ref="AF9:AH9"/>
    <mergeCell ref="AI9:AK9"/>
    <mergeCell ref="AF8:AH8"/>
    <mergeCell ref="AI8:AK8"/>
    <mergeCell ref="AL9:AN9"/>
    <mergeCell ref="AO12:AQ12"/>
    <mergeCell ref="AR12:AT12"/>
    <mergeCell ref="AU12:AW12"/>
    <mergeCell ref="AL12:AN12"/>
    <mergeCell ref="AF10:AH10"/>
    <mergeCell ref="AF12:AH12"/>
    <mergeCell ref="AI12:AK12"/>
    <mergeCell ref="AI10:AK10"/>
    <mergeCell ref="AL10:AN10"/>
    <mergeCell ref="AF11:AH11"/>
    <mergeCell ref="AI11:AK11"/>
    <mergeCell ref="AL11:AN11"/>
    <mergeCell ref="C12:D12"/>
    <mergeCell ref="J12:M12"/>
    <mergeCell ref="E12:I12"/>
    <mergeCell ref="N12:P12"/>
    <mergeCell ref="Q12:S12"/>
    <mergeCell ref="T12:V12"/>
    <mergeCell ref="W12:Y12"/>
    <mergeCell ref="Z12:AB12"/>
    <mergeCell ref="AC12:AE12"/>
    <mergeCell ref="AO7:AW7"/>
    <mergeCell ref="AO8:AQ8"/>
    <mergeCell ref="C11:D11"/>
    <mergeCell ref="J11:M11"/>
    <mergeCell ref="E11:I11"/>
    <mergeCell ref="N11:P11"/>
    <mergeCell ref="Q11:S11"/>
    <mergeCell ref="T11:V11"/>
    <mergeCell ref="W11:Y11"/>
    <mergeCell ref="Z11:AB11"/>
    <mergeCell ref="AC11:AE11"/>
    <mergeCell ref="C10:D10"/>
    <mergeCell ref="J10:M10"/>
    <mergeCell ref="E10:I10"/>
    <mergeCell ref="N10:P10"/>
    <mergeCell ref="Q10:S10"/>
    <mergeCell ref="T10:V10"/>
    <mergeCell ref="W10:Y10"/>
    <mergeCell ref="Z10:AB10"/>
    <mergeCell ref="AC10:AE10"/>
    <mergeCell ref="AO11:AQ11"/>
    <mergeCell ref="AR11:AT11"/>
    <mergeCell ref="AU11:AW11"/>
    <mergeCell ref="AR8:AT8"/>
    <mergeCell ref="C7:D8"/>
    <mergeCell ref="J7:M8"/>
    <mergeCell ref="E7:I8"/>
    <mergeCell ref="N8:P8"/>
    <mergeCell ref="Q8:S8"/>
    <mergeCell ref="T8:V8"/>
    <mergeCell ref="W8:Y8"/>
    <mergeCell ref="Z8:AB8"/>
    <mergeCell ref="AC8:AE8"/>
    <mergeCell ref="N7:AN7"/>
    <mergeCell ref="C9:D9"/>
    <mergeCell ref="J9:M9"/>
    <mergeCell ref="E9:I9"/>
    <mergeCell ref="N9:P9"/>
    <mergeCell ref="Q9:S9"/>
    <mergeCell ref="T9:V9"/>
    <mergeCell ref="W9:Y9"/>
    <mergeCell ref="Z9:AB9"/>
    <mergeCell ref="AC9:AE9"/>
    <mergeCell ref="CK1:CR3"/>
    <mergeCell ref="A2:H2"/>
    <mergeCell ref="I2:AD2"/>
    <mergeCell ref="AE2:AK3"/>
    <mergeCell ref="AL2:BH2"/>
    <mergeCell ref="BI2:BL2"/>
    <mergeCell ref="BM2:BV2"/>
    <mergeCell ref="BW2:CE2"/>
    <mergeCell ref="A1:H1"/>
    <mergeCell ref="I1:AD1"/>
    <mergeCell ref="AE1:AK1"/>
    <mergeCell ref="AL1:BH1"/>
    <mergeCell ref="BI1:BL1"/>
    <mergeCell ref="BM1:BV1"/>
    <mergeCell ref="A3:H3"/>
    <mergeCell ref="I3:AD3"/>
    <mergeCell ref="AL3:BH3"/>
    <mergeCell ref="BI3:BL3"/>
    <mergeCell ref="BM3:CE3"/>
    <mergeCell ref="BW1:CE1"/>
    <mergeCell ref="CF1:CJ3"/>
    <mergeCell ref="W15:Y15"/>
    <mergeCell ref="Z15:AB15"/>
    <mergeCell ref="AC15:AE15"/>
    <mergeCell ref="AF15:AH15"/>
    <mergeCell ref="AI15:AK15"/>
    <mergeCell ref="AO15:AQ15"/>
    <mergeCell ref="AR15:AT15"/>
    <mergeCell ref="AU15:AW15"/>
    <mergeCell ref="AF17:AH17"/>
    <mergeCell ref="AI17:AK17"/>
    <mergeCell ref="AL17:AN17"/>
    <mergeCell ref="W17:Y17"/>
    <mergeCell ref="Z17:AB17"/>
    <mergeCell ref="AC17:AE17"/>
    <mergeCell ref="W16:Y16"/>
    <mergeCell ref="Z16:AB16"/>
    <mergeCell ref="AC16:AE16"/>
  </mergeCells>
  <phoneticPr fontId="3"/>
  <pageMargins left="0.39370078740157483" right="0.15748031496062992" top="0.78740157480314965" bottom="0.39370078740157483" header="0.59055118110236227" footer="0.19685039370078741"/>
  <pageSetup paperSize="9" scale="80" orientation="landscape" useFirstPageNumber="1" r:id="rId1"/>
  <headerFooter alignWithMargins="0">
    <oddFooter>&amp;C－　&amp;P　－&amp;R株式会社　京信システムサービス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R38"/>
  <sheetViews>
    <sheetView zoomScaleNormal="100" workbookViewId="0">
      <pane ySplit="3" topLeftCell="A4" activePane="bottomLeft" state="frozen"/>
      <selection activeCell="I40" sqref="I40:AB40"/>
      <selection pane="bottomLeft" activeCell="F17" sqref="F17:P22"/>
    </sheetView>
  </sheetViews>
  <sheetFormatPr defaultColWidth="1.875" defaultRowHeight="15" customHeight="1"/>
  <cols>
    <col min="1" max="2" width="1.875" style="5"/>
    <col min="3" max="3" width="1.875" style="5" customWidth="1"/>
    <col min="4" max="16384" width="1.875" style="5"/>
  </cols>
  <sheetData>
    <row r="1" spans="1:96" s="2" customFormat="1" ht="15" customHeight="1">
      <c r="A1" s="147" t="s">
        <v>2</v>
      </c>
      <c r="B1" s="148"/>
      <c r="C1" s="148"/>
      <c r="D1" s="148"/>
      <c r="E1" s="148"/>
      <c r="F1" s="148"/>
      <c r="G1" s="148"/>
      <c r="H1" s="148"/>
      <c r="I1" s="149" t="str">
        <f>タイトル!I40</f>
        <v>　顧客名：同志社大学　教務システム</v>
      </c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1"/>
      <c r="AE1" s="152" t="s">
        <v>3</v>
      </c>
      <c r="AF1" s="152"/>
      <c r="AG1" s="152"/>
      <c r="AH1" s="152"/>
      <c r="AI1" s="152"/>
      <c r="AJ1" s="152"/>
      <c r="AK1" s="152"/>
      <c r="AL1" s="164" t="str">
        <f>タイトル!I43</f>
        <v>　プロジェクト計画</v>
      </c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6"/>
      <c r="BI1" s="152" t="s">
        <v>4</v>
      </c>
      <c r="BJ1" s="152"/>
      <c r="BK1" s="152"/>
      <c r="BL1" s="152"/>
      <c r="BM1" s="187" t="str">
        <f>タイトル!I46</f>
        <v>中村　恒太郎</v>
      </c>
      <c r="BN1" s="188"/>
      <c r="BO1" s="188"/>
      <c r="BP1" s="188"/>
      <c r="BQ1" s="188"/>
      <c r="BR1" s="188"/>
      <c r="BS1" s="188"/>
      <c r="BT1" s="188"/>
      <c r="BU1" s="188"/>
      <c r="BV1" s="189"/>
      <c r="BW1" s="177">
        <f>タイトル!I47</f>
        <v>45170</v>
      </c>
      <c r="BX1" s="177"/>
      <c r="BY1" s="177"/>
      <c r="BZ1" s="177"/>
      <c r="CA1" s="177"/>
      <c r="CB1" s="177"/>
      <c r="CC1" s="177"/>
      <c r="CD1" s="177"/>
      <c r="CE1" s="177"/>
      <c r="CF1" s="178" t="s">
        <v>5</v>
      </c>
      <c r="CG1" s="179"/>
      <c r="CH1" s="179"/>
      <c r="CI1" s="179"/>
      <c r="CJ1" s="180"/>
      <c r="CK1" s="167"/>
      <c r="CL1" s="168"/>
      <c r="CM1" s="168"/>
      <c r="CN1" s="168"/>
      <c r="CO1" s="168"/>
      <c r="CP1" s="168"/>
      <c r="CQ1" s="168"/>
      <c r="CR1" s="169"/>
    </row>
    <row r="2" spans="1:96" s="2" customFormat="1" ht="15" customHeight="1">
      <c r="A2" s="137" t="s">
        <v>6</v>
      </c>
      <c r="B2" s="138"/>
      <c r="C2" s="138"/>
      <c r="D2" s="138"/>
      <c r="E2" s="138"/>
      <c r="F2" s="138"/>
      <c r="G2" s="138"/>
      <c r="H2" s="138"/>
      <c r="I2" s="153" t="str">
        <f>タイトル!I41</f>
        <v xml:space="preserve"> </v>
      </c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5"/>
      <c r="AE2" s="142" t="s">
        <v>7</v>
      </c>
      <c r="AF2" s="142"/>
      <c r="AG2" s="142"/>
      <c r="AH2" s="142"/>
      <c r="AI2" s="142"/>
      <c r="AJ2" s="142"/>
      <c r="AK2" s="142"/>
      <c r="AL2" s="144" t="str">
        <f>タイトル!I44</f>
        <v>　プロジェクト計画書</v>
      </c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6"/>
      <c r="BI2" s="142" t="s">
        <v>8</v>
      </c>
      <c r="BJ2" s="142"/>
      <c r="BK2" s="142"/>
      <c r="BL2" s="142"/>
      <c r="BM2" s="139"/>
      <c r="BN2" s="140"/>
      <c r="BO2" s="140"/>
      <c r="BP2" s="140"/>
      <c r="BQ2" s="140"/>
      <c r="BR2" s="140"/>
      <c r="BS2" s="140"/>
      <c r="BT2" s="140"/>
      <c r="BU2" s="140"/>
      <c r="BV2" s="141"/>
      <c r="BW2" s="176"/>
      <c r="BX2" s="176"/>
      <c r="BY2" s="176"/>
      <c r="BZ2" s="176"/>
      <c r="CA2" s="176"/>
      <c r="CB2" s="176"/>
      <c r="CC2" s="176"/>
      <c r="CD2" s="176"/>
      <c r="CE2" s="176"/>
      <c r="CF2" s="181"/>
      <c r="CG2" s="182"/>
      <c r="CH2" s="182"/>
      <c r="CI2" s="182"/>
      <c r="CJ2" s="183"/>
      <c r="CK2" s="170"/>
      <c r="CL2" s="171"/>
      <c r="CM2" s="171"/>
      <c r="CN2" s="171"/>
      <c r="CO2" s="171"/>
      <c r="CP2" s="171"/>
      <c r="CQ2" s="171"/>
      <c r="CR2" s="172"/>
    </row>
    <row r="3" spans="1:96" s="2" customFormat="1" ht="15" customHeight="1" thickBot="1">
      <c r="A3" s="156"/>
      <c r="B3" s="157"/>
      <c r="C3" s="157"/>
      <c r="D3" s="157"/>
      <c r="E3" s="157"/>
      <c r="F3" s="157"/>
      <c r="G3" s="157"/>
      <c r="H3" s="157"/>
      <c r="I3" s="158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60"/>
      <c r="AE3" s="143"/>
      <c r="AF3" s="143"/>
      <c r="AG3" s="143"/>
      <c r="AH3" s="143"/>
      <c r="AI3" s="143"/>
      <c r="AJ3" s="143"/>
      <c r="AK3" s="143"/>
      <c r="AL3" s="161"/>
      <c r="AM3" s="162"/>
      <c r="AN3" s="162"/>
      <c r="AO3" s="162"/>
      <c r="AP3" s="162"/>
      <c r="AQ3" s="162"/>
      <c r="AR3" s="162"/>
      <c r="AS3" s="162"/>
      <c r="AT3" s="162"/>
      <c r="AU3" s="162"/>
      <c r="AV3" s="162"/>
      <c r="AW3" s="162"/>
      <c r="AX3" s="162"/>
      <c r="AY3" s="162"/>
      <c r="AZ3" s="162"/>
      <c r="BA3" s="162"/>
      <c r="BB3" s="162"/>
      <c r="BC3" s="162"/>
      <c r="BD3" s="162"/>
      <c r="BE3" s="162"/>
      <c r="BF3" s="162"/>
      <c r="BG3" s="162"/>
      <c r="BH3" s="163"/>
      <c r="BI3" s="143"/>
      <c r="BJ3" s="143"/>
      <c r="BK3" s="143"/>
      <c r="BL3" s="143"/>
      <c r="BM3" s="190"/>
      <c r="BN3" s="191"/>
      <c r="BO3" s="191"/>
      <c r="BP3" s="191"/>
      <c r="BQ3" s="191"/>
      <c r="BR3" s="191"/>
      <c r="BS3" s="191"/>
      <c r="BT3" s="191"/>
      <c r="BU3" s="191"/>
      <c r="BV3" s="191"/>
      <c r="BW3" s="192"/>
      <c r="BX3" s="192"/>
      <c r="BY3" s="192"/>
      <c r="BZ3" s="192"/>
      <c r="CA3" s="192"/>
      <c r="CB3" s="192"/>
      <c r="CC3" s="192"/>
      <c r="CD3" s="192"/>
      <c r="CE3" s="193"/>
      <c r="CF3" s="184"/>
      <c r="CG3" s="185"/>
      <c r="CH3" s="185"/>
      <c r="CI3" s="185"/>
      <c r="CJ3" s="186"/>
      <c r="CK3" s="173"/>
      <c r="CL3" s="174"/>
      <c r="CM3" s="174"/>
      <c r="CN3" s="174"/>
      <c r="CO3" s="174"/>
      <c r="CP3" s="174"/>
      <c r="CQ3" s="174"/>
      <c r="CR3" s="175"/>
    </row>
    <row r="4" spans="1:96" ht="15" customHeight="1">
      <c r="A4" s="10"/>
      <c r="B4" s="49"/>
      <c r="CR4" s="6"/>
    </row>
    <row r="5" spans="1:96" ht="15" customHeight="1">
      <c r="A5" s="48" t="s">
        <v>256</v>
      </c>
      <c r="B5" s="4"/>
      <c r="CR5" s="6"/>
    </row>
    <row r="6" spans="1:96" ht="15" customHeight="1">
      <c r="A6" s="3"/>
      <c r="D6" s="5" t="s">
        <v>259</v>
      </c>
      <c r="CR6" s="6"/>
    </row>
    <row r="7" spans="1:96" ht="15" customHeight="1">
      <c r="A7" s="3"/>
      <c r="C7" s="4"/>
      <c r="D7" s="109" t="s">
        <v>17</v>
      </c>
      <c r="E7" s="109"/>
      <c r="F7" s="109" t="s">
        <v>42</v>
      </c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 t="s">
        <v>179</v>
      </c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244" t="s">
        <v>183</v>
      </c>
      <c r="AC7" s="245"/>
      <c r="AD7" s="245"/>
      <c r="AE7" s="245"/>
      <c r="AF7" s="245"/>
      <c r="AG7" s="245"/>
      <c r="AH7" s="245"/>
      <c r="AI7" s="245"/>
      <c r="AJ7" s="245"/>
      <c r="AK7" s="245"/>
      <c r="AL7" s="245"/>
      <c r="AM7" s="245"/>
      <c r="AN7" s="245"/>
      <c r="AO7" s="245"/>
      <c r="AP7" s="246"/>
      <c r="AQ7" s="250" t="s">
        <v>180</v>
      </c>
      <c r="AR7" s="251"/>
      <c r="AS7" s="251"/>
      <c r="AT7" s="251"/>
      <c r="AU7" s="251"/>
      <c r="AV7" s="251"/>
      <c r="AW7" s="251"/>
      <c r="AX7" s="251"/>
      <c r="AY7" s="251"/>
      <c r="AZ7" s="251"/>
      <c r="BA7" s="251"/>
      <c r="BB7" s="252"/>
      <c r="BC7" s="250" t="s">
        <v>181</v>
      </c>
      <c r="BD7" s="251"/>
      <c r="BE7" s="251"/>
      <c r="BF7" s="251"/>
      <c r="BG7" s="251"/>
      <c r="BH7" s="251"/>
      <c r="BI7" s="251"/>
      <c r="BJ7" s="251"/>
      <c r="BK7" s="251"/>
      <c r="BL7" s="251"/>
      <c r="BM7" s="251"/>
      <c r="BN7" s="251"/>
      <c r="BO7" s="251"/>
      <c r="BP7" s="251"/>
      <c r="BQ7" s="251"/>
      <c r="BR7" s="251"/>
      <c r="BS7" s="251"/>
      <c r="BT7" s="252"/>
      <c r="BU7" s="244" t="s">
        <v>182</v>
      </c>
      <c r="BV7" s="245"/>
      <c r="BW7" s="245"/>
      <c r="BX7" s="245"/>
      <c r="BY7" s="245"/>
      <c r="BZ7" s="245"/>
      <c r="CA7" s="245"/>
      <c r="CB7" s="245"/>
      <c r="CC7" s="245"/>
      <c r="CD7" s="245"/>
      <c r="CE7" s="245"/>
      <c r="CF7" s="245"/>
      <c r="CG7" s="245"/>
      <c r="CH7" s="245"/>
      <c r="CI7" s="245"/>
      <c r="CJ7" s="245"/>
      <c r="CK7" s="245"/>
      <c r="CL7" s="246"/>
      <c r="CM7" s="244" t="s">
        <v>184</v>
      </c>
      <c r="CN7" s="245"/>
      <c r="CO7" s="245"/>
      <c r="CP7" s="245"/>
      <c r="CQ7" s="246"/>
      <c r="CR7" s="6"/>
    </row>
    <row r="8" spans="1:96" ht="15" customHeight="1">
      <c r="A8" s="3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247"/>
      <c r="AC8" s="248"/>
      <c r="AD8" s="248"/>
      <c r="AE8" s="248"/>
      <c r="AF8" s="248"/>
      <c r="AG8" s="248"/>
      <c r="AH8" s="248"/>
      <c r="AI8" s="248"/>
      <c r="AJ8" s="248"/>
      <c r="AK8" s="248"/>
      <c r="AL8" s="248"/>
      <c r="AM8" s="248"/>
      <c r="AN8" s="248"/>
      <c r="AO8" s="248"/>
      <c r="AP8" s="249"/>
      <c r="AQ8" s="253"/>
      <c r="AR8" s="254"/>
      <c r="AS8" s="254"/>
      <c r="AT8" s="254"/>
      <c r="AU8" s="254"/>
      <c r="AV8" s="254"/>
      <c r="AW8" s="254"/>
      <c r="AX8" s="254"/>
      <c r="AY8" s="254"/>
      <c r="AZ8" s="254"/>
      <c r="BA8" s="254"/>
      <c r="BB8" s="255"/>
      <c r="BC8" s="253"/>
      <c r="BD8" s="254"/>
      <c r="BE8" s="254"/>
      <c r="BF8" s="254"/>
      <c r="BG8" s="254"/>
      <c r="BH8" s="254"/>
      <c r="BI8" s="254"/>
      <c r="BJ8" s="254"/>
      <c r="BK8" s="254"/>
      <c r="BL8" s="254"/>
      <c r="BM8" s="254"/>
      <c r="BN8" s="254"/>
      <c r="BO8" s="254"/>
      <c r="BP8" s="254"/>
      <c r="BQ8" s="254"/>
      <c r="BR8" s="254"/>
      <c r="BS8" s="254"/>
      <c r="BT8" s="255"/>
      <c r="BU8" s="247"/>
      <c r="BV8" s="248"/>
      <c r="BW8" s="248"/>
      <c r="BX8" s="248"/>
      <c r="BY8" s="248"/>
      <c r="BZ8" s="248"/>
      <c r="CA8" s="248"/>
      <c r="CB8" s="248"/>
      <c r="CC8" s="248"/>
      <c r="CD8" s="248"/>
      <c r="CE8" s="248"/>
      <c r="CF8" s="248"/>
      <c r="CG8" s="248"/>
      <c r="CH8" s="248"/>
      <c r="CI8" s="248"/>
      <c r="CJ8" s="248"/>
      <c r="CK8" s="248"/>
      <c r="CL8" s="249"/>
      <c r="CM8" s="247"/>
      <c r="CN8" s="248"/>
      <c r="CO8" s="248"/>
      <c r="CP8" s="248"/>
      <c r="CQ8" s="249"/>
      <c r="CR8" s="6"/>
    </row>
    <row r="9" spans="1:96" ht="15" customHeight="1">
      <c r="A9" s="3"/>
      <c r="D9" s="110">
        <v>1</v>
      </c>
      <c r="E9" s="110"/>
      <c r="F9" s="256" t="s">
        <v>189</v>
      </c>
      <c r="G9" s="256"/>
      <c r="H9" s="256"/>
      <c r="I9" s="256"/>
      <c r="J9" s="256"/>
      <c r="K9" s="256"/>
      <c r="L9" s="256"/>
      <c r="M9" s="256"/>
      <c r="N9" s="256"/>
      <c r="O9" s="256"/>
      <c r="P9" s="256"/>
      <c r="Q9" s="113" t="s">
        <v>262</v>
      </c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209" t="s">
        <v>191</v>
      </c>
      <c r="AC9" s="210"/>
      <c r="AD9" s="210"/>
      <c r="AE9" s="210"/>
      <c r="AF9" s="210"/>
      <c r="AG9" s="210"/>
      <c r="AH9" s="210"/>
      <c r="AI9" s="210"/>
      <c r="AJ9" s="210"/>
      <c r="AK9" s="210"/>
      <c r="AL9" s="210"/>
      <c r="AM9" s="210"/>
      <c r="AN9" s="210"/>
      <c r="AO9" s="210"/>
      <c r="AP9" s="211"/>
      <c r="AQ9" s="113" t="s">
        <v>224</v>
      </c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235" t="s">
        <v>261</v>
      </c>
      <c r="BD9" s="236"/>
      <c r="BE9" s="236"/>
      <c r="BF9" s="236"/>
      <c r="BG9" s="236"/>
      <c r="BH9" s="236"/>
      <c r="BI9" s="236"/>
      <c r="BJ9" s="236"/>
      <c r="BK9" s="236"/>
      <c r="BL9" s="236"/>
      <c r="BM9" s="236"/>
      <c r="BN9" s="236"/>
      <c r="BO9" s="236"/>
      <c r="BP9" s="236"/>
      <c r="BQ9" s="236"/>
      <c r="BR9" s="236"/>
      <c r="BS9" s="236"/>
      <c r="BT9" s="237"/>
      <c r="BU9" s="111" t="s">
        <v>190</v>
      </c>
      <c r="BV9" s="111"/>
      <c r="BW9" s="111"/>
      <c r="BX9" s="111"/>
      <c r="BY9" s="111"/>
      <c r="BZ9" s="111"/>
      <c r="CA9" s="111"/>
      <c r="CB9" s="111"/>
      <c r="CC9" s="111"/>
      <c r="CD9" s="111"/>
      <c r="CE9" s="111"/>
      <c r="CF9" s="111"/>
      <c r="CG9" s="111"/>
      <c r="CH9" s="111"/>
      <c r="CI9" s="111"/>
      <c r="CJ9" s="111"/>
      <c r="CK9" s="111"/>
      <c r="CL9" s="111"/>
      <c r="CM9" s="110" t="s">
        <v>188</v>
      </c>
      <c r="CN9" s="110"/>
      <c r="CO9" s="110"/>
      <c r="CP9" s="110"/>
      <c r="CQ9" s="110"/>
      <c r="CR9" s="6"/>
    </row>
    <row r="10" spans="1:96" ht="15" customHeight="1">
      <c r="A10" s="3"/>
      <c r="D10" s="110"/>
      <c r="E10" s="110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212"/>
      <c r="AC10" s="213"/>
      <c r="AD10" s="213"/>
      <c r="AE10" s="213"/>
      <c r="AF10" s="213"/>
      <c r="AG10" s="213"/>
      <c r="AH10" s="213"/>
      <c r="AI10" s="213"/>
      <c r="AJ10" s="213"/>
      <c r="AK10" s="213"/>
      <c r="AL10" s="213"/>
      <c r="AM10" s="213"/>
      <c r="AN10" s="213"/>
      <c r="AO10" s="213"/>
      <c r="AP10" s="214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238"/>
      <c r="BD10" s="239"/>
      <c r="BE10" s="239"/>
      <c r="BF10" s="239"/>
      <c r="BG10" s="239"/>
      <c r="BH10" s="239"/>
      <c r="BI10" s="239"/>
      <c r="BJ10" s="239"/>
      <c r="BK10" s="239"/>
      <c r="BL10" s="239"/>
      <c r="BM10" s="239"/>
      <c r="BN10" s="239"/>
      <c r="BO10" s="239"/>
      <c r="BP10" s="239"/>
      <c r="BQ10" s="239"/>
      <c r="BR10" s="239"/>
      <c r="BS10" s="239"/>
      <c r="BT10" s="240"/>
      <c r="BU10" s="111"/>
      <c r="BV10" s="111"/>
      <c r="BW10" s="111"/>
      <c r="BX10" s="111"/>
      <c r="BY10" s="111"/>
      <c r="BZ10" s="111"/>
      <c r="CA10" s="111"/>
      <c r="CB10" s="111"/>
      <c r="CC10" s="111"/>
      <c r="CD10" s="111"/>
      <c r="CE10" s="111"/>
      <c r="CF10" s="111"/>
      <c r="CG10" s="111"/>
      <c r="CH10" s="111"/>
      <c r="CI10" s="111"/>
      <c r="CJ10" s="111"/>
      <c r="CK10" s="111"/>
      <c r="CL10" s="111"/>
      <c r="CM10" s="110"/>
      <c r="CN10" s="110"/>
      <c r="CO10" s="110"/>
      <c r="CP10" s="110"/>
      <c r="CQ10" s="110"/>
      <c r="CR10" s="6"/>
    </row>
    <row r="11" spans="1:96" ht="15" customHeight="1">
      <c r="A11" s="3"/>
      <c r="D11" s="110"/>
      <c r="E11" s="110"/>
      <c r="F11" s="256"/>
      <c r="G11" s="256"/>
      <c r="H11" s="256"/>
      <c r="I11" s="256"/>
      <c r="J11" s="256"/>
      <c r="K11" s="256"/>
      <c r="L11" s="256"/>
      <c r="M11" s="256"/>
      <c r="N11" s="256"/>
      <c r="O11" s="256"/>
      <c r="P11" s="256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212"/>
      <c r="AC11" s="213"/>
      <c r="AD11" s="213"/>
      <c r="AE11" s="213"/>
      <c r="AF11" s="213"/>
      <c r="AG11" s="213"/>
      <c r="AH11" s="213"/>
      <c r="AI11" s="213"/>
      <c r="AJ11" s="213"/>
      <c r="AK11" s="213"/>
      <c r="AL11" s="213"/>
      <c r="AM11" s="213"/>
      <c r="AN11" s="213"/>
      <c r="AO11" s="213"/>
      <c r="AP11" s="214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238"/>
      <c r="BD11" s="239"/>
      <c r="BE11" s="239"/>
      <c r="BF11" s="239"/>
      <c r="BG11" s="239"/>
      <c r="BH11" s="239"/>
      <c r="BI11" s="239"/>
      <c r="BJ11" s="239"/>
      <c r="BK11" s="239"/>
      <c r="BL11" s="239"/>
      <c r="BM11" s="239"/>
      <c r="BN11" s="239"/>
      <c r="BO11" s="239"/>
      <c r="BP11" s="239"/>
      <c r="BQ11" s="239"/>
      <c r="BR11" s="239"/>
      <c r="BS11" s="239"/>
      <c r="BT11" s="240"/>
      <c r="BU11" s="111"/>
      <c r="BV11" s="111"/>
      <c r="BW11" s="111"/>
      <c r="BX11" s="111"/>
      <c r="BY11" s="111"/>
      <c r="BZ11" s="111"/>
      <c r="CA11" s="111"/>
      <c r="CB11" s="111"/>
      <c r="CC11" s="111"/>
      <c r="CD11" s="111"/>
      <c r="CE11" s="111"/>
      <c r="CF11" s="111"/>
      <c r="CG11" s="111"/>
      <c r="CH11" s="111"/>
      <c r="CI11" s="111"/>
      <c r="CJ11" s="111"/>
      <c r="CK11" s="111"/>
      <c r="CL11" s="111"/>
      <c r="CM11" s="110"/>
      <c r="CN11" s="110"/>
      <c r="CO11" s="110"/>
      <c r="CP11" s="110"/>
      <c r="CQ11" s="110"/>
      <c r="CR11" s="6"/>
    </row>
    <row r="12" spans="1:96" ht="15" customHeight="1">
      <c r="A12" s="3"/>
      <c r="D12" s="110"/>
      <c r="E12" s="110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212"/>
      <c r="AC12" s="213"/>
      <c r="AD12" s="213"/>
      <c r="AE12" s="213"/>
      <c r="AF12" s="213"/>
      <c r="AG12" s="213"/>
      <c r="AH12" s="213"/>
      <c r="AI12" s="213"/>
      <c r="AJ12" s="213"/>
      <c r="AK12" s="213"/>
      <c r="AL12" s="213"/>
      <c r="AM12" s="213"/>
      <c r="AN12" s="213"/>
      <c r="AO12" s="213"/>
      <c r="AP12" s="214"/>
      <c r="AQ12" s="113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238"/>
      <c r="BD12" s="239"/>
      <c r="BE12" s="239"/>
      <c r="BF12" s="239"/>
      <c r="BG12" s="239"/>
      <c r="BH12" s="239"/>
      <c r="BI12" s="239"/>
      <c r="BJ12" s="239"/>
      <c r="BK12" s="239"/>
      <c r="BL12" s="239"/>
      <c r="BM12" s="239"/>
      <c r="BN12" s="239"/>
      <c r="BO12" s="239"/>
      <c r="BP12" s="239"/>
      <c r="BQ12" s="239"/>
      <c r="BR12" s="239"/>
      <c r="BS12" s="239"/>
      <c r="BT12" s="240"/>
      <c r="BU12" s="111"/>
      <c r="BV12" s="111"/>
      <c r="BW12" s="111"/>
      <c r="BX12" s="111"/>
      <c r="BY12" s="111"/>
      <c r="BZ12" s="111"/>
      <c r="CA12" s="111"/>
      <c r="CB12" s="111"/>
      <c r="CC12" s="111"/>
      <c r="CD12" s="111"/>
      <c r="CE12" s="111"/>
      <c r="CF12" s="111"/>
      <c r="CG12" s="111"/>
      <c r="CH12" s="111"/>
      <c r="CI12" s="111"/>
      <c r="CJ12" s="111"/>
      <c r="CK12" s="111"/>
      <c r="CL12" s="111"/>
      <c r="CM12" s="110"/>
      <c r="CN12" s="110"/>
      <c r="CO12" s="110"/>
      <c r="CP12" s="110"/>
      <c r="CQ12" s="110"/>
      <c r="CR12" s="6"/>
    </row>
    <row r="13" spans="1:96" ht="15" customHeight="1">
      <c r="A13" s="3"/>
      <c r="D13" s="110"/>
      <c r="E13" s="110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56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212"/>
      <c r="AC13" s="213"/>
      <c r="AD13" s="213"/>
      <c r="AE13" s="213"/>
      <c r="AF13" s="213"/>
      <c r="AG13" s="213"/>
      <c r="AH13" s="213"/>
      <c r="AI13" s="213"/>
      <c r="AJ13" s="213"/>
      <c r="AK13" s="213"/>
      <c r="AL13" s="213"/>
      <c r="AM13" s="213"/>
      <c r="AN13" s="213"/>
      <c r="AO13" s="213"/>
      <c r="AP13" s="214"/>
      <c r="AQ13" s="113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238"/>
      <c r="BD13" s="239"/>
      <c r="BE13" s="239"/>
      <c r="BF13" s="239"/>
      <c r="BG13" s="239"/>
      <c r="BH13" s="239"/>
      <c r="BI13" s="239"/>
      <c r="BJ13" s="239"/>
      <c r="BK13" s="239"/>
      <c r="BL13" s="239"/>
      <c r="BM13" s="239"/>
      <c r="BN13" s="239"/>
      <c r="BO13" s="239"/>
      <c r="BP13" s="239"/>
      <c r="BQ13" s="239"/>
      <c r="BR13" s="239"/>
      <c r="BS13" s="239"/>
      <c r="BT13" s="240"/>
      <c r="BU13" s="111"/>
      <c r="BV13" s="111"/>
      <c r="BW13" s="111"/>
      <c r="BX13" s="111"/>
      <c r="BY13" s="111"/>
      <c r="BZ13" s="111"/>
      <c r="CA13" s="111"/>
      <c r="CB13" s="111"/>
      <c r="CC13" s="111"/>
      <c r="CD13" s="111"/>
      <c r="CE13" s="111"/>
      <c r="CF13" s="111"/>
      <c r="CG13" s="111"/>
      <c r="CH13" s="111"/>
      <c r="CI13" s="111"/>
      <c r="CJ13" s="111"/>
      <c r="CK13" s="111"/>
      <c r="CL13" s="111"/>
      <c r="CM13" s="110"/>
      <c r="CN13" s="110"/>
      <c r="CO13" s="110"/>
      <c r="CP13" s="110"/>
      <c r="CQ13" s="110"/>
      <c r="CR13" s="6"/>
    </row>
    <row r="14" spans="1:96" ht="15" customHeight="1">
      <c r="A14" s="3"/>
      <c r="D14" s="110"/>
      <c r="E14" s="110"/>
      <c r="F14" s="256"/>
      <c r="G14" s="256"/>
      <c r="H14" s="256"/>
      <c r="I14" s="256"/>
      <c r="J14" s="256"/>
      <c r="K14" s="256"/>
      <c r="L14" s="256"/>
      <c r="M14" s="256"/>
      <c r="N14" s="256"/>
      <c r="O14" s="256"/>
      <c r="P14" s="256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212"/>
      <c r="AC14" s="213"/>
      <c r="AD14" s="213"/>
      <c r="AE14" s="213"/>
      <c r="AF14" s="213"/>
      <c r="AG14" s="213"/>
      <c r="AH14" s="213"/>
      <c r="AI14" s="213"/>
      <c r="AJ14" s="213"/>
      <c r="AK14" s="213"/>
      <c r="AL14" s="213"/>
      <c r="AM14" s="213"/>
      <c r="AN14" s="213"/>
      <c r="AO14" s="213"/>
      <c r="AP14" s="214"/>
      <c r="AQ14" s="113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238"/>
      <c r="BD14" s="239"/>
      <c r="BE14" s="239"/>
      <c r="BF14" s="239"/>
      <c r="BG14" s="239"/>
      <c r="BH14" s="239"/>
      <c r="BI14" s="239"/>
      <c r="BJ14" s="239"/>
      <c r="BK14" s="239"/>
      <c r="BL14" s="239"/>
      <c r="BM14" s="239"/>
      <c r="BN14" s="239"/>
      <c r="BO14" s="239"/>
      <c r="BP14" s="239"/>
      <c r="BQ14" s="239"/>
      <c r="BR14" s="239"/>
      <c r="BS14" s="239"/>
      <c r="BT14" s="240"/>
      <c r="BU14" s="111"/>
      <c r="BV14" s="111"/>
      <c r="BW14" s="111"/>
      <c r="BX14" s="111"/>
      <c r="BY14" s="111"/>
      <c r="BZ14" s="111"/>
      <c r="CA14" s="111"/>
      <c r="CB14" s="111"/>
      <c r="CC14" s="111"/>
      <c r="CD14" s="111"/>
      <c r="CE14" s="111"/>
      <c r="CF14" s="111"/>
      <c r="CG14" s="111"/>
      <c r="CH14" s="111"/>
      <c r="CI14" s="111"/>
      <c r="CJ14" s="111"/>
      <c r="CK14" s="111"/>
      <c r="CL14" s="111"/>
      <c r="CM14" s="110"/>
      <c r="CN14" s="110"/>
      <c r="CO14" s="110"/>
      <c r="CP14" s="110"/>
      <c r="CQ14" s="110"/>
      <c r="CR14" s="6"/>
    </row>
    <row r="15" spans="1:96" ht="15" customHeight="1">
      <c r="A15" s="3"/>
      <c r="D15" s="110"/>
      <c r="E15" s="110"/>
      <c r="F15" s="256"/>
      <c r="G15" s="256"/>
      <c r="H15" s="256"/>
      <c r="I15" s="256"/>
      <c r="J15" s="256"/>
      <c r="K15" s="256"/>
      <c r="L15" s="256"/>
      <c r="M15" s="256"/>
      <c r="N15" s="256"/>
      <c r="O15" s="256"/>
      <c r="P15" s="256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212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  <c r="AO15" s="213"/>
      <c r="AP15" s="214"/>
      <c r="AQ15" s="113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238"/>
      <c r="BD15" s="239"/>
      <c r="BE15" s="239"/>
      <c r="BF15" s="239"/>
      <c r="BG15" s="239"/>
      <c r="BH15" s="239"/>
      <c r="BI15" s="239"/>
      <c r="BJ15" s="239"/>
      <c r="BK15" s="239"/>
      <c r="BL15" s="239"/>
      <c r="BM15" s="239"/>
      <c r="BN15" s="239"/>
      <c r="BO15" s="239"/>
      <c r="BP15" s="239"/>
      <c r="BQ15" s="239"/>
      <c r="BR15" s="239"/>
      <c r="BS15" s="239"/>
      <c r="BT15" s="240"/>
      <c r="BU15" s="111"/>
      <c r="BV15" s="111"/>
      <c r="BW15" s="111"/>
      <c r="BX15" s="111"/>
      <c r="BY15" s="111"/>
      <c r="BZ15" s="111"/>
      <c r="CA15" s="111"/>
      <c r="CB15" s="111"/>
      <c r="CC15" s="111"/>
      <c r="CD15" s="111"/>
      <c r="CE15" s="111"/>
      <c r="CF15" s="111"/>
      <c r="CG15" s="111"/>
      <c r="CH15" s="111"/>
      <c r="CI15" s="111"/>
      <c r="CJ15" s="111"/>
      <c r="CK15" s="111"/>
      <c r="CL15" s="111"/>
      <c r="CM15" s="110"/>
      <c r="CN15" s="110"/>
      <c r="CO15" s="110"/>
      <c r="CP15" s="110"/>
      <c r="CQ15" s="110"/>
      <c r="CR15" s="6"/>
    </row>
    <row r="16" spans="1:96" ht="15" customHeight="1">
      <c r="A16" s="3"/>
      <c r="D16" s="110"/>
      <c r="E16" s="110"/>
      <c r="F16" s="256"/>
      <c r="G16" s="256"/>
      <c r="H16" s="256"/>
      <c r="I16" s="256"/>
      <c r="J16" s="256"/>
      <c r="K16" s="256"/>
      <c r="L16" s="256"/>
      <c r="M16" s="256"/>
      <c r="N16" s="256"/>
      <c r="O16" s="256"/>
      <c r="P16" s="256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257"/>
      <c r="AC16" s="258"/>
      <c r="AD16" s="258"/>
      <c r="AE16" s="258"/>
      <c r="AF16" s="258"/>
      <c r="AG16" s="258"/>
      <c r="AH16" s="258"/>
      <c r="AI16" s="258"/>
      <c r="AJ16" s="258"/>
      <c r="AK16" s="258"/>
      <c r="AL16" s="258"/>
      <c r="AM16" s="258"/>
      <c r="AN16" s="258"/>
      <c r="AO16" s="258"/>
      <c r="AP16" s="259"/>
      <c r="AQ16" s="113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241"/>
      <c r="BD16" s="242"/>
      <c r="BE16" s="242"/>
      <c r="BF16" s="242"/>
      <c r="BG16" s="242"/>
      <c r="BH16" s="242"/>
      <c r="BI16" s="242"/>
      <c r="BJ16" s="242"/>
      <c r="BK16" s="242"/>
      <c r="BL16" s="242"/>
      <c r="BM16" s="242"/>
      <c r="BN16" s="242"/>
      <c r="BO16" s="242"/>
      <c r="BP16" s="242"/>
      <c r="BQ16" s="242"/>
      <c r="BR16" s="242"/>
      <c r="BS16" s="242"/>
      <c r="BT16" s="243"/>
      <c r="BU16" s="111"/>
      <c r="BV16" s="111"/>
      <c r="BW16" s="111"/>
      <c r="BX16" s="111"/>
      <c r="BY16" s="111"/>
      <c r="BZ16" s="111"/>
      <c r="CA16" s="111"/>
      <c r="CB16" s="111"/>
      <c r="CC16" s="111"/>
      <c r="CD16" s="111"/>
      <c r="CE16" s="111"/>
      <c r="CF16" s="111"/>
      <c r="CG16" s="111"/>
      <c r="CH16" s="111"/>
      <c r="CI16" s="111"/>
      <c r="CJ16" s="111"/>
      <c r="CK16" s="111"/>
      <c r="CL16" s="111"/>
      <c r="CM16" s="110"/>
      <c r="CN16" s="110"/>
      <c r="CO16" s="110"/>
      <c r="CP16" s="110"/>
      <c r="CQ16" s="110"/>
      <c r="CR16" s="6"/>
    </row>
    <row r="17" spans="1:96" ht="15" customHeight="1">
      <c r="A17" s="3"/>
      <c r="D17" s="110">
        <v>2</v>
      </c>
      <c r="E17" s="110"/>
      <c r="F17" s="111" t="s">
        <v>222</v>
      </c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3" t="s">
        <v>263</v>
      </c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 t="s">
        <v>223</v>
      </c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 t="s">
        <v>225</v>
      </c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 t="s">
        <v>264</v>
      </c>
      <c r="BD17" s="113"/>
      <c r="BE17" s="113"/>
      <c r="BF17" s="113"/>
      <c r="BG17" s="113"/>
      <c r="BH17" s="113"/>
      <c r="BI17" s="113"/>
      <c r="BJ17" s="113"/>
      <c r="BK17" s="113"/>
      <c r="BL17" s="113"/>
      <c r="BM17" s="113"/>
      <c r="BN17" s="113"/>
      <c r="BO17" s="113"/>
      <c r="BP17" s="113"/>
      <c r="BQ17" s="113"/>
      <c r="BR17" s="113"/>
      <c r="BS17" s="113"/>
      <c r="BT17" s="113"/>
      <c r="BU17" s="111" t="s">
        <v>226</v>
      </c>
      <c r="BV17" s="111"/>
      <c r="BW17" s="111"/>
      <c r="BX17" s="111"/>
      <c r="BY17" s="111"/>
      <c r="BZ17" s="111"/>
      <c r="CA17" s="111"/>
      <c r="CB17" s="111"/>
      <c r="CC17" s="111"/>
      <c r="CD17" s="111"/>
      <c r="CE17" s="111"/>
      <c r="CF17" s="111"/>
      <c r="CG17" s="111"/>
      <c r="CH17" s="111"/>
      <c r="CI17" s="111"/>
      <c r="CJ17" s="111"/>
      <c r="CK17" s="111"/>
      <c r="CL17" s="111"/>
      <c r="CM17" s="110" t="s">
        <v>188</v>
      </c>
      <c r="CN17" s="110"/>
      <c r="CO17" s="110"/>
      <c r="CP17" s="110"/>
      <c r="CQ17" s="110"/>
      <c r="CR17" s="6"/>
    </row>
    <row r="18" spans="1:96" ht="15" customHeight="1">
      <c r="A18" s="3"/>
      <c r="D18" s="110"/>
      <c r="E18" s="110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3"/>
      <c r="BF18" s="113"/>
      <c r="BG18" s="113"/>
      <c r="BH18" s="113"/>
      <c r="BI18" s="113"/>
      <c r="BJ18" s="113"/>
      <c r="BK18" s="113"/>
      <c r="BL18" s="113"/>
      <c r="BM18" s="113"/>
      <c r="BN18" s="113"/>
      <c r="BO18" s="113"/>
      <c r="BP18" s="113"/>
      <c r="BQ18" s="113"/>
      <c r="BR18" s="113"/>
      <c r="BS18" s="113"/>
      <c r="BT18" s="113"/>
      <c r="BU18" s="111"/>
      <c r="BV18" s="111"/>
      <c r="BW18" s="111"/>
      <c r="BX18" s="111"/>
      <c r="BY18" s="111"/>
      <c r="BZ18" s="111"/>
      <c r="CA18" s="111"/>
      <c r="CB18" s="111"/>
      <c r="CC18" s="111"/>
      <c r="CD18" s="111"/>
      <c r="CE18" s="111"/>
      <c r="CF18" s="111"/>
      <c r="CG18" s="111"/>
      <c r="CH18" s="111"/>
      <c r="CI18" s="111"/>
      <c r="CJ18" s="111"/>
      <c r="CK18" s="111"/>
      <c r="CL18" s="111"/>
      <c r="CM18" s="110"/>
      <c r="CN18" s="110"/>
      <c r="CO18" s="110"/>
      <c r="CP18" s="110"/>
      <c r="CQ18" s="110"/>
      <c r="CR18" s="6"/>
    </row>
    <row r="19" spans="1:96" ht="15" customHeight="1">
      <c r="A19" s="3"/>
      <c r="D19" s="110"/>
      <c r="E19" s="110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3"/>
      <c r="BF19" s="113"/>
      <c r="BG19" s="113"/>
      <c r="BH19" s="113"/>
      <c r="BI19" s="113"/>
      <c r="BJ19" s="113"/>
      <c r="BK19" s="113"/>
      <c r="BL19" s="113"/>
      <c r="BM19" s="113"/>
      <c r="BN19" s="113"/>
      <c r="BO19" s="113"/>
      <c r="BP19" s="113"/>
      <c r="BQ19" s="113"/>
      <c r="BR19" s="113"/>
      <c r="BS19" s="113"/>
      <c r="BT19" s="113"/>
      <c r="BU19" s="111"/>
      <c r="BV19" s="111"/>
      <c r="BW19" s="111"/>
      <c r="BX19" s="111"/>
      <c r="BY19" s="111"/>
      <c r="BZ19" s="111"/>
      <c r="CA19" s="111"/>
      <c r="CB19" s="111"/>
      <c r="CC19" s="111"/>
      <c r="CD19" s="111"/>
      <c r="CE19" s="111"/>
      <c r="CF19" s="111"/>
      <c r="CG19" s="111"/>
      <c r="CH19" s="111"/>
      <c r="CI19" s="111"/>
      <c r="CJ19" s="111"/>
      <c r="CK19" s="111"/>
      <c r="CL19" s="111"/>
      <c r="CM19" s="110"/>
      <c r="CN19" s="110"/>
      <c r="CO19" s="110"/>
      <c r="CP19" s="110"/>
      <c r="CQ19" s="110"/>
      <c r="CR19" s="6"/>
    </row>
    <row r="20" spans="1:96" ht="15" customHeight="1">
      <c r="A20" s="3"/>
      <c r="D20" s="110"/>
      <c r="E20" s="110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3"/>
      <c r="BF20" s="113"/>
      <c r="BG20" s="113"/>
      <c r="BH20" s="113"/>
      <c r="BI20" s="113"/>
      <c r="BJ20" s="113"/>
      <c r="BK20" s="113"/>
      <c r="BL20" s="113"/>
      <c r="BM20" s="113"/>
      <c r="BN20" s="113"/>
      <c r="BO20" s="113"/>
      <c r="BP20" s="113"/>
      <c r="BQ20" s="113"/>
      <c r="BR20" s="113"/>
      <c r="BS20" s="113"/>
      <c r="BT20" s="113"/>
      <c r="BU20" s="111"/>
      <c r="BV20" s="111"/>
      <c r="BW20" s="111"/>
      <c r="BX20" s="111"/>
      <c r="BY20" s="111"/>
      <c r="BZ20" s="111"/>
      <c r="CA20" s="111"/>
      <c r="CB20" s="111"/>
      <c r="CC20" s="111"/>
      <c r="CD20" s="111"/>
      <c r="CE20" s="111"/>
      <c r="CF20" s="111"/>
      <c r="CG20" s="111"/>
      <c r="CH20" s="111"/>
      <c r="CI20" s="111"/>
      <c r="CJ20" s="111"/>
      <c r="CK20" s="111"/>
      <c r="CL20" s="111"/>
      <c r="CM20" s="110"/>
      <c r="CN20" s="110"/>
      <c r="CO20" s="110"/>
      <c r="CP20" s="110"/>
      <c r="CQ20" s="110"/>
      <c r="CR20" s="6"/>
    </row>
    <row r="21" spans="1:96" ht="15" customHeight="1">
      <c r="A21" s="3"/>
      <c r="D21" s="110"/>
      <c r="E21" s="110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3"/>
      <c r="AQ21" s="113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3"/>
      <c r="BF21" s="113"/>
      <c r="BG21" s="113"/>
      <c r="BH21" s="113"/>
      <c r="BI21" s="113"/>
      <c r="BJ21" s="113"/>
      <c r="BK21" s="113"/>
      <c r="BL21" s="113"/>
      <c r="BM21" s="113"/>
      <c r="BN21" s="113"/>
      <c r="BO21" s="113"/>
      <c r="BP21" s="113"/>
      <c r="BQ21" s="113"/>
      <c r="BR21" s="113"/>
      <c r="BS21" s="113"/>
      <c r="BT21" s="113"/>
      <c r="BU21" s="111"/>
      <c r="BV21" s="111"/>
      <c r="BW21" s="111"/>
      <c r="BX21" s="111"/>
      <c r="BY21" s="111"/>
      <c r="BZ21" s="111"/>
      <c r="CA21" s="111"/>
      <c r="CB21" s="111"/>
      <c r="CC21" s="111"/>
      <c r="CD21" s="111"/>
      <c r="CE21" s="111"/>
      <c r="CF21" s="111"/>
      <c r="CG21" s="111"/>
      <c r="CH21" s="111"/>
      <c r="CI21" s="111"/>
      <c r="CJ21" s="111"/>
      <c r="CK21" s="111"/>
      <c r="CL21" s="111"/>
      <c r="CM21" s="110"/>
      <c r="CN21" s="110"/>
      <c r="CO21" s="110"/>
      <c r="CP21" s="110"/>
      <c r="CQ21" s="110"/>
      <c r="CR21" s="6"/>
    </row>
    <row r="22" spans="1:96" ht="15" customHeight="1">
      <c r="A22" s="3"/>
      <c r="D22" s="110"/>
      <c r="E22" s="110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3"/>
      <c r="BF22" s="113"/>
      <c r="BG22" s="113"/>
      <c r="BH22" s="113"/>
      <c r="BI22" s="113"/>
      <c r="BJ22" s="113"/>
      <c r="BK22" s="113"/>
      <c r="BL22" s="113"/>
      <c r="BM22" s="113"/>
      <c r="BN22" s="113"/>
      <c r="BO22" s="113"/>
      <c r="BP22" s="113"/>
      <c r="BQ22" s="113"/>
      <c r="BR22" s="113"/>
      <c r="BS22" s="113"/>
      <c r="BT22" s="113"/>
      <c r="BU22" s="111"/>
      <c r="BV22" s="111"/>
      <c r="BW22" s="111"/>
      <c r="BX22" s="111"/>
      <c r="BY22" s="111"/>
      <c r="BZ22" s="111"/>
      <c r="CA22" s="111"/>
      <c r="CB22" s="111"/>
      <c r="CC22" s="111"/>
      <c r="CD22" s="111"/>
      <c r="CE22" s="111"/>
      <c r="CF22" s="111"/>
      <c r="CG22" s="111"/>
      <c r="CH22" s="111"/>
      <c r="CI22" s="111"/>
      <c r="CJ22" s="111"/>
      <c r="CK22" s="111"/>
      <c r="CL22" s="111"/>
      <c r="CM22" s="110"/>
      <c r="CN22" s="110"/>
      <c r="CO22" s="110"/>
      <c r="CP22" s="110"/>
      <c r="CQ22" s="110"/>
      <c r="CR22" s="6"/>
    </row>
    <row r="23" spans="1:96" ht="15" customHeight="1">
      <c r="A23" s="3"/>
      <c r="CR23" s="6"/>
    </row>
    <row r="24" spans="1:96" ht="15" customHeight="1">
      <c r="A24" s="3"/>
      <c r="CR24" s="6"/>
    </row>
    <row r="25" spans="1:96" ht="15" customHeight="1">
      <c r="A25" s="3"/>
      <c r="C25" s="4"/>
      <c r="CR25" s="6"/>
    </row>
    <row r="26" spans="1:96" ht="15" customHeight="1">
      <c r="A26" s="3"/>
      <c r="CR26" s="6"/>
    </row>
    <row r="27" spans="1:96" ht="15" customHeight="1">
      <c r="A27" s="3"/>
      <c r="CR27" s="6"/>
    </row>
    <row r="28" spans="1:96" ht="15" customHeight="1">
      <c r="A28" s="3"/>
      <c r="CR28" s="6"/>
    </row>
    <row r="29" spans="1:96" ht="15" customHeight="1">
      <c r="A29" s="3"/>
      <c r="CR29" s="6"/>
    </row>
    <row r="30" spans="1:96" ht="15" customHeight="1">
      <c r="A30" s="3"/>
      <c r="CR30" s="6"/>
    </row>
    <row r="31" spans="1:96" ht="15" customHeight="1">
      <c r="A31" s="3"/>
      <c r="CR31" s="6"/>
    </row>
    <row r="32" spans="1:96" ht="15" customHeight="1">
      <c r="A32" s="3"/>
      <c r="CR32" s="6"/>
    </row>
    <row r="33" spans="1:96" ht="15" customHeight="1">
      <c r="A33" s="3"/>
      <c r="CR33" s="6"/>
    </row>
    <row r="34" spans="1:96" ht="15" customHeight="1">
      <c r="A34" s="3"/>
      <c r="CR34" s="6"/>
    </row>
    <row r="35" spans="1:96" ht="15" customHeight="1">
      <c r="A35" s="3"/>
      <c r="CR35" s="6"/>
    </row>
    <row r="36" spans="1:96" ht="15" customHeight="1">
      <c r="A36" s="3"/>
      <c r="CR36" s="6"/>
    </row>
    <row r="37" spans="1:96" ht="15" customHeight="1">
      <c r="A37" s="3"/>
      <c r="CR37" s="6"/>
    </row>
    <row r="38" spans="1:96" ht="15" customHeight="1" thickBot="1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9"/>
    </row>
  </sheetData>
  <mergeCells count="45">
    <mergeCell ref="AL1:BH1"/>
    <mergeCell ref="BI1:BL1"/>
    <mergeCell ref="BM1:BV1"/>
    <mergeCell ref="AL3:BH3"/>
    <mergeCell ref="BI3:BL3"/>
    <mergeCell ref="BW1:CE1"/>
    <mergeCell ref="CF1:CJ3"/>
    <mergeCell ref="CK1:CR3"/>
    <mergeCell ref="A2:H2"/>
    <mergeCell ref="I2:AD2"/>
    <mergeCell ref="AE2:AK3"/>
    <mergeCell ref="AL2:BH2"/>
    <mergeCell ref="BI2:BL2"/>
    <mergeCell ref="BM2:BV2"/>
    <mergeCell ref="BW2:CE2"/>
    <mergeCell ref="A1:H1"/>
    <mergeCell ref="I1:AD1"/>
    <mergeCell ref="A3:H3"/>
    <mergeCell ref="I3:AD3"/>
    <mergeCell ref="BM3:CE3"/>
    <mergeCell ref="AE1:AK1"/>
    <mergeCell ref="CM9:CQ16"/>
    <mergeCell ref="CM17:CQ22"/>
    <mergeCell ref="D7:E8"/>
    <mergeCell ref="F7:P8"/>
    <mergeCell ref="Q7:AA8"/>
    <mergeCell ref="AB7:AP8"/>
    <mergeCell ref="AQ7:BB8"/>
    <mergeCell ref="BC7:BT8"/>
    <mergeCell ref="BU7:CL8"/>
    <mergeCell ref="CM7:CQ8"/>
    <mergeCell ref="D9:E16"/>
    <mergeCell ref="F9:P16"/>
    <mergeCell ref="Q9:AA16"/>
    <mergeCell ref="AB9:AP16"/>
    <mergeCell ref="BU17:CL22"/>
    <mergeCell ref="Q17:AA22"/>
    <mergeCell ref="AQ9:BB16"/>
    <mergeCell ref="D17:E22"/>
    <mergeCell ref="F17:P22"/>
    <mergeCell ref="BC9:BT16"/>
    <mergeCell ref="BU9:CL16"/>
    <mergeCell ref="AB17:AP22"/>
    <mergeCell ref="AQ17:BB22"/>
    <mergeCell ref="BC17:BT22"/>
  </mergeCells>
  <phoneticPr fontId="3"/>
  <pageMargins left="0.39370078740157483" right="0.15748031496062992" top="0.78740157480314965" bottom="0.39370078740157483" header="0.59055118110236227" footer="0.19685039370078741"/>
  <pageSetup paperSize="9" scale="80" orientation="landscape" useFirstPageNumber="1" r:id="rId1"/>
  <headerFooter alignWithMargins="0">
    <oddFooter>&amp;C- &amp;P -&amp;R&amp;9株式会社　京信システムサービス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5</vt:i4>
      </vt:variant>
    </vt:vector>
  </HeadingPairs>
  <TitlesOfParts>
    <vt:vector size="11" baseType="lpstr">
      <vt:lpstr>タイトル</vt:lpstr>
      <vt:lpstr>改訂履歴</vt:lpstr>
      <vt:lpstr>プロジェクト計画書</vt:lpstr>
      <vt:lpstr>(別紙1）プロジェクト成果物</vt:lpstr>
      <vt:lpstr>(別紙2）人員計画</vt:lpstr>
      <vt:lpstr>(別紙3）完了判定計画</vt:lpstr>
      <vt:lpstr>タイトル!Print_Area</vt:lpstr>
      <vt:lpstr>'(別紙1）プロジェクト成果物'!Print_Titles</vt:lpstr>
      <vt:lpstr>'(別紙2）人員計画'!Print_Titles</vt:lpstr>
      <vt:lpstr>'(別紙3）完了判定計画'!Print_Titles</vt:lpstr>
      <vt:lpstr>プロジェクト計画書!Print_Titles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中西　敏男</dc:creator>
  <cp:lastModifiedBy>中村　恒太郎</cp:lastModifiedBy>
  <cp:lastPrinted>2020-04-30T08:03:28Z</cp:lastPrinted>
  <dcterms:created xsi:type="dcterms:W3CDTF">2006-03-07T04:00:40Z</dcterms:created>
  <dcterms:modified xsi:type="dcterms:W3CDTF">2024-03-18T07:21:01Z</dcterms:modified>
</cp:coreProperties>
</file>
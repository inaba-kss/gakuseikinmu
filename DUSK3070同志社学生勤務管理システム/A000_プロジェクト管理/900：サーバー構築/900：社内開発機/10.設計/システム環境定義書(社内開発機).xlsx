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5.xml" ContentType="application/vnd.openxmlformats-officedocument.drawing+xml"/>
  <Override PartName="/xl/comments9.xml" ContentType="application/vnd.openxmlformats-officedocument.spreadsheetml.comments+xml"/>
  <Override PartName="/xl/drawings/drawing6.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fileSharing readOnlyRecommended="1"/>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A000_プロジェクト管理\900：サーバー構築\900：社内開発機\10.設計\"/>
    </mc:Choice>
  </mc:AlternateContent>
  <xr:revisionPtr revIDLastSave="0" documentId="13_ncr:1_{82062333-F50D-4ACB-9AB2-CFC3EDD0E63F}" xr6:coauthVersionLast="47" xr6:coauthVersionMax="47" xr10:uidLastSave="{00000000-0000-0000-0000-000000000000}"/>
  <bookViews>
    <workbookView xWindow="-120" yWindow="-120" windowWidth="29040" windowHeight="15840" tabRatio="821" xr2:uid="{00000000-000D-0000-FFFF-FFFF00000000}"/>
  </bookViews>
  <sheets>
    <sheet name="タイトル" sheetId="33" r:id="rId1"/>
    <sheet name="改訂履歴" sheetId="34" r:id="rId2"/>
    <sheet name="目次" sheetId="35" r:id="rId3"/>
    <sheet name="構成図" sheetId="55" r:id="rId4"/>
    <sheet name="環境図" sheetId="41" r:id="rId5"/>
    <sheet name="サーバ設計" sheetId="56" r:id="rId6"/>
    <sheet name="ネットワーク設計" sheetId="20" r:id="rId7"/>
    <sheet name="ユーザセキュリティ設計" sheetId="18" r:id="rId8"/>
    <sheet name="バックアップ設計" sheetId="63" r:id="rId9"/>
    <sheet name="ジョブスケジュール設計" sheetId="94" r:id="rId10"/>
    <sheet name="SSO連携" sheetId="95" r:id="rId11"/>
    <sheet name="統合DB連携" sheetId="96" r:id="rId12"/>
    <sheet name="システムパラメータ設計(APDB)" sheetId="24" r:id="rId13"/>
  </sheets>
  <definedNames>
    <definedName name="_Toc94971774" localSheetId="5">サーバ設計!#REF!</definedName>
    <definedName name="_Toc94971774" localSheetId="12">'システムパラメータ設計(APDB)'!#REF!</definedName>
    <definedName name="_Toc94971774" localSheetId="6">ネットワーク設計!#REF!</definedName>
    <definedName name="_Toc94971774" localSheetId="8">バックアップ設計!#REF!</definedName>
    <definedName name="_Toc94971774" localSheetId="7">ユーザセキュリティ設計!#REF!</definedName>
    <definedName name="_Toc94971774" localSheetId="4">環境図!#REF!</definedName>
    <definedName name="_Toc94971774" localSheetId="3">構成図!#REF!</definedName>
    <definedName name="_Toc94971775" localSheetId="5">サーバ設計!#REF!</definedName>
    <definedName name="_Toc94971775" localSheetId="12">'システムパラメータ設計(APDB)'!#REF!</definedName>
    <definedName name="_Toc94971775" localSheetId="6">ネットワーク設計!#REF!</definedName>
    <definedName name="_Toc94971775" localSheetId="8">バックアップ設計!#REF!</definedName>
    <definedName name="_Toc94971775" localSheetId="7">ユーザセキュリティ設計!#REF!</definedName>
    <definedName name="_Toc94971775" localSheetId="4">環境図!#REF!</definedName>
    <definedName name="_Toc94971775" localSheetId="3">構成図!#REF!</definedName>
    <definedName name="_xlnm.Print_Area" localSheetId="0">タイトル!$A$1:$AC$36</definedName>
    <definedName name="_xlnm.Print_Area" localSheetId="4">環境図!$A:$CP</definedName>
    <definedName name="_xlnm.Print_Titles" localSheetId="10">SSO連携!$1:$3</definedName>
    <definedName name="_xlnm.Print_Titles" localSheetId="5">サーバ設計!$1:$3</definedName>
    <definedName name="_xlnm.Print_Titles" localSheetId="12">'システムパラメータ設計(APDB)'!$1:$3</definedName>
    <definedName name="_xlnm.Print_Titles" localSheetId="9">ジョブスケジュール設計!$1:$3</definedName>
    <definedName name="_xlnm.Print_Titles" localSheetId="6">ネットワーク設計!$1:$3</definedName>
    <definedName name="_xlnm.Print_Titles" localSheetId="8">バックアップ設計!$1:$3</definedName>
    <definedName name="_xlnm.Print_Titles" localSheetId="7">ユーザセキュリティ設計!$1:$3</definedName>
    <definedName name="_xlnm.Print_Titles" localSheetId="4">環境図!$1:$3</definedName>
    <definedName name="_xlnm.Print_Titles" localSheetId="3">構成図!$1:$3</definedName>
    <definedName name="_xlnm.Print_Titles" localSheetId="11">統合DB連携!$1:$3</definedName>
    <definedName name="使用FCポート名">OFFSET(#REF!,0,0,SUMPRODUCT((#REF!&lt;&gt;"")*1),1)</definedName>
  </definedNames>
  <calcPr calcId="191029"/>
</workbook>
</file>

<file path=xl/calcChain.xml><?xml version="1.0" encoding="utf-8"?>
<calcChain xmlns="http://schemas.openxmlformats.org/spreadsheetml/2006/main">
  <c r="E185" i="24" l="1"/>
  <c r="E186" i="24" s="1"/>
  <c r="E187" i="24" s="1"/>
  <c r="E188" i="24" s="1"/>
  <c r="E189" i="24" s="1"/>
  <c r="E190" i="24" s="1"/>
  <c r="E191" i="24" s="1"/>
  <c r="E192" i="24" s="1"/>
  <c r="E193" i="24" s="1"/>
  <c r="E194" i="24" s="1"/>
  <c r="E195" i="24" s="1"/>
  <c r="E196" i="24" s="1"/>
  <c r="E197" i="24" s="1"/>
  <c r="E198" i="24" s="1"/>
  <c r="E199" i="24" s="1"/>
  <c r="E200" i="24" s="1"/>
  <c r="E201" i="24" s="1"/>
  <c r="E202" i="24" s="1"/>
  <c r="E203" i="24" s="1"/>
  <c r="E204" i="24" s="1"/>
  <c r="E205" i="24" s="1"/>
  <c r="E206" i="24" s="1"/>
  <c r="E207" i="24" s="1"/>
  <c r="E208" i="24" s="1"/>
  <c r="E209" i="24" s="1"/>
  <c r="E210" i="24" s="1"/>
  <c r="E211" i="24" s="1"/>
  <c r="E212" i="24" s="1"/>
  <c r="E213" i="24" s="1"/>
  <c r="E214" i="24" s="1"/>
  <c r="E215" i="24" s="1"/>
  <c r="E216" i="24" s="1"/>
  <c r="E217" i="24" s="1"/>
  <c r="E218" i="24" s="1"/>
  <c r="E219" i="24" s="1"/>
  <c r="E220" i="24" s="1"/>
  <c r="E221" i="24" s="1"/>
  <c r="E222" i="24" s="1"/>
  <c r="W53" i="24" l="1"/>
  <c r="E10" i="24"/>
  <c r="AL3" i="96" l="1"/>
  <c r="AL2" i="96"/>
  <c r="I2" i="96"/>
  <c r="CI1" i="96"/>
  <c r="BU1" i="96"/>
  <c r="BK1" i="96"/>
  <c r="AL1" i="96"/>
  <c r="I1" i="96"/>
  <c r="AL3" i="95"/>
  <c r="AL2" i="95"/>
  <c r="I2" i="95"/>
  <c r="CI1" i="95"/>
  <c r="BU1" i="95"/>
  <c r="BK1" i="95"/>
  <c r="AL1" i="95"/>
  <c r="I1" i="95"/>
  <c r="AL3" i="94"/>
  <c r="AL2" i="94"/>
  <c r="I2" i="94"/>
  <c r="CI1" i="94"/>
  <c r="BU1" i="94"/>
  <c r="BK1" i="94"/>
  <c r="AL1" i="94"/>
  <c r="I1" i="94"/>
  <c r="AN17" i="24"/>
  <c r="I51" i="33"/>
  <c r="AQ186" i="24" l="1"/>
  <c r="AQ187" i="24" s="1"/>
  <c r="AQ188" i="24" s="1"/>
  <c r="AQ189" i="24" s="1"/>
  <c r="AQ190" i="24" s="1"/>
  <c r="AQ191" i="24" s="1"/>
  <c r="AQ192" i="24" s="1"/>
  <c r="AQ193" i="24" s="1"/>
  <c r="AQ194" i="24" s="1"/>
  <c r="AQ195" i="24" s="1"/>
  <c r="AQ196" i="24" s="1"/>
  <c r="AQ197" i="24" s="1"/>
  <c r="AQ198" i="24" s="1"/>
  <c r="AQ199" i="24" s="1"/>
  <c r="AQ200" i="24" s="1"/>
  <c r="AQ201" i="24" s="1"/>
  <c r="AQ202" i="24" s="1"/>
  <c r="AQ203" i="24" s="1"/>
  <c r="AQ204" i="24" s="1"/>
  <c r="AQ205" i="24" s="1"/>
  <c r="AQ206" i="24" s="1"/>
  <c r="AQ207" i="24" s="1"/>
  <c r="AQ208" i="24" s="1"/>
  <c r="AQ209" i="24" s="1"/>
  <c r="AQ210" i="24" s="1"/>
  <c r="AQ211" i="24" s="1"/>
  <c r="AQ212" i="24" s="1"/>
  <c r="AQ213" i="24" s="1"/>
  <c r="AQ214" i="24" s="1"/>
  <c r="AQ215" i="24" s="1"/>
  <c r="AQ216" i="24" s="1"/>
  <c r="AQ217" i="24" s="1"/>
  <c r="AQ218" i="24" s="1"/>
  <c r="AQ219" i="24" s="1"/>
  <c r="AQ220" i="24" s="1"/>
  <c r="AQ221" i="24" s="1"/>
  <c r="AQ222" i="24" s="1"/>
  <c r="E227" i="24" s="1"/>
  <c r="E228" i="24" s="1"/>
  <c r="E229" i="24" s="1"/>
  <c r="E230" i="24" s="1"/>
  <c r="E231" i="24" s="1"/>
  <c r="E232" i="24" l="1"/>
  <c r="E233" i="24" s="1"/>
  <c r="E234" i="24" s="1"/>
  <c r="E235" i="24" s="1"/>
  <c r="E236" i="24" s="1"/>
  <c r="E237" i="24" s="1"/>
  <c r="E238" i="24" s="1"/>
  <c r="E239" i="24" s="1"/>
  <c r="E240" i="24" s="1"/>
  <c r="E241" i="24" s="1"/>
  <c r="E242" i="24" s="1"/>
  <c r="E243" i="24" s="1"/>
  <c r="E244" i="24" s="1"/>
  <c r="E245" i="24" s="1"/>
  <c r="E246" i="24" s="1"/>
  <c r="E247" i="24" s="1"/>
  <c r="E248" i="24" s="1"/>
  <c r="E249" i="24" s="1"/>
  <c r="E250" i="24" s="1"/>
  <c r="E251" i="24" s="1"/>
  <c r="E252" i="24" s="1"/>
  <c r="E253" i="24" s="1"/>
  <c r="E254" i="24" s="1"/>
  <c r="E255" i="24" s="1"/>
  <c r="E256" i="24" s="1"/>
  <c r="E257" i="24" s="1"/>
  <c r="E258" i="24" s="1"/>
  <c r="E259" i="24" s="1"/>
  <c r="E260" i="24" s="1"/>
  <c r="E261" i="24" s="1"/>
  <c r="E262" i="24" s="1"/>
  <c r="E263" i="24" s="1"/>
  <c r="E264" i="24" s="1"/>
  <c r="E265" i="24" s="1"/>
  <c r="AQ227" i="24" s="1"/>
  <c r="AQ228" i="24" s="1"/>
  <c r="AQ229" i="24" s="1"/>
  <c r="AQ230" i="24" s="1"/>
  <c r="AL3" i="63"/>
  <c r="AL2" i="63"/>
  <c r="I2" i="63"/>
  <c r="CI1" i="63"/>
  <c r="BU1" i="63"/>
  <c r="BK1" i="63"/>
  <c r="AL1" i="63"/>
  <c r="I1" i="63"/>
  <c r="AQ231" i="24" l="1"/>
  <c r="AQ232" i="24" s="1"/>
  <c r="AQ233" i="24" s="1"/>
  <c r="AQ234" i="24" s="1"/>
  <c r="AQ235" i="24" s="1"/>
  <c r="AQ236" i="24" s="1"/>
  <c r="AQ237" i="24" s="1"/>
  <c r="AQ238" i="24" s="1"/>
  <c r="AQ239" i="24" s="1"/>
  <c r="AQ240" i="24" s="1"/>
  <c r="AQ241" i="24" s="1"/>
  <c r="AQ242" i="24" s="1"/>
  <c r="AQ243" i="24" s="1"/>
  <c r="AQ244" i="24" s="1"/>
  <c r="AQ245" i="24" s="1"/>
  <c r="AQ246" i="24" s="1"/>
  <c r="AQ247" i="24" s="1"/>
  <c r="AQ248" i="24" s="1"/>
  <c r="AQ249" i="24" s="1"/>
  <c r="AQ250" i="24" s="1"/>
  <c r="AQ251" i="24" s="1"/>
  <c r="AQ252" i="24" s="1"/>
  <c r="AQ253" i="24" s="1"/>
  <c r="AQ254" i="24" s="1"/>
  <c r="AQ255" i="24" s="1"/>
  <c r="AQ256" i="24" s="1"/>
  <c r="AQ257" i="24" s="1"/>
  <c r="AQ258" i="24" s="1"/>
  <c r="AQ259" i="24" s="1"/>
  <c r="AQ260" i="24" s="1"/>
  <c r="AQ261" i="24" s="1"/>
  <c r="AQ262" i="24" s="1"/>
  <c r="AQ263" i="24" s="1"/>
  <c r="AQ264" i="24" s="1"/>
  <c r="AQ265" i="24" s="1"/>
  <c r="E272" i="24" s="1"/>
  <c r="E273" i="24" s="1"/>
  <c r="E274" i="24" s="1"/>
  <c r="E275" i="24" s="1"/>
  <c r="E276" i="24" s="1"/>
  <c r="E277" i="24" s="1"/>
  <c r="E278" i="24" s="1"/>
  <c r="E279" i="24" s="1"/>
  <c r="E280" i="24" s="1"/>
  <c r="E281" i="24" s="1"/>
  <c r="E282" i="24" s="1"/>
  <c r="E283" i="24" s="1"/>
  <c r="E284" i="24" s="1"/>
  <c r="E285" i="24" s="1"/>
  <c r="E286" i="24" s="1"/>
  <c r="E287" i="24" s="1"/>
  <c r="E288" i="24" s="1"/>
  <c r="E289" i="24" s="1"/>
  <c r="E290" i="24" s="1"/>
  <c r="E291" i="24" s="1"/>
  <c r="E292" i="24" s="1"/>
  <c r="E293" i="24" s="1"/>
  <c r="E294" i="24" s="1"/>
  <c r="E295" i="24" s="1"/>
  <c r="E296" i="24" s="1"/>
  <c r="E297" i="24" s="1"/>
  <c r="E298" i="24" s="1"/>
  <c r="E299" i="24" s="1"/>
  <c r="E300" i="24" s="1"/>
  <c r="E301" i="24" s="1"/>
  <c r="E302" i="24" s="1"/>
  <c r="E303" i="24" s="1"/>
  <c r="E304" i="24" s="1"/>
  <c r="E305" i="24" s="1"/>
  <c r="E306" i="24" s="1"/>
  <c r="E307" i="24" s="1"/>
  <c r="E308" i="24" s="1"/>
  <c r="E309" i="24" s="1"/>
  <c r="AL3" i="56"/>
  <c r="I1" i="56"/>
  <c r="I2" i="56"/>
  <c r="AL2" i="56"/>
  <c r="AL1" i="56"/>
  <c r="CI1" i="56"/>
  <c r="BU1" i="56"/>
  <c r="BK1" i="56"/>
  <c r="E310" i="24" l="1"/>
  <c r="AQ272" i="24" s="1"/>
  <c r="AQ273" i="24" s="1"/>
  <c r="AQ274" i="24" s="1"/>
  <c r="AQ275" i="24" s="1"/>
  <c r="AQ276" i="24" s="1"/>
  <c r="AQ277" i="24" s="1"/>
  <c r="AQ278" i="24" s="1"/>
  <c r="AQ279" i="24" s="1"/>
  <c r="AQ280" i="24" s="1"/>
  <c r="AQ281" i="24" s="1"/>
  <c r="AQ282" i="24" s="1"/>
  <c r="AQ283" i="24" s="1"/>
  <c r="AQ284" i="24" s="1"/>
  <c r="AQ285" i="24" s="1"/>
  <c r="AQ286" i="24" s="1"/>
  <c r="AQ287" i="24" s="1"/>
  <c r="AQ288" i="24" s="1"/>
  <c r="AQ289" i="24" s="1"/>
  <c r="AQ290" i="24" s="1"/>
  <c r="AQ291" i="24" s="1"/>
  <c r="AQ292" i="24" s="1"/>
  <c r="AQ293" i="24" s="1"/>
  <c r="AQ294" i="24" s="1"/>
  <c r="AQ295" i="24" s="1"/>
  <c r="AQ296" i="24" s="1"/>
  <c r="AQ297" i="24" s="1"/>
  <c r="AQ298" i="24" s="1"/>
  <c r="AQ299" i="24" s="1"/>
  <c r="AL3" i="55"/>
  <c r="AL2" i="55"/>
  <c r="I2" i="55"/>
  <c r="CI1" i="55"/>
  <c r="BU1" i="55"/>
  <c r="BK1" i="55"/>
  <c r="AL1" i="55"/>
  <c r="I1" i="55"/>
  <c r="BR5" i="34"/>
  <c r="AL3" i="41" l="1"/>
  <c r="AL2" i="41"/>
  <c r="I2" i="41"/>
  <c r="CI1" i="41"/>
  <c r="BU1" i="41"/>
  <c r="BK1" i="41"/>
  <c r="AL1" i="41"/>
  <c r="I1" i="41"/>
  <c r="AL3" i="24"/>
  <c r="AL2" i="24"/>
  <c r="I2" i="24"/>
  <c r="CI1" i="24"/>
  <c r="BU1" i="24"/>
  <c r="BK1" i="24"/>
  <c r="AL1" i="24"/>
  <c r="I1" i="24"/>
  <c r="J27" i="33"/>
  <c r="G11" i="33"/>
  <c r="G14" i="33"/>
  <c r="G17" i="33"/>
  <c r="G20" i="33"/>
  <c r="AL3" i="20"/>
  <c r="AL2" i="20"/>
  <c r="I2" i="20"/>
  <c r="CI1" i="20"/>
  <c r="BU1" i="20"/>
  <c r="BK1" i="20"/>
  <c r="AL1" i="20"/>
  <c r="I1" i="20"/>
  <c r="AL3" i="18"/>
  <c r="AL2" i="18"/>
  <c r="I2" i="18"/>
  <c r="CI1" i="18"/>
  <c r="BU1" i="18"/>
  <c r="BK1" i="18"/>
  <c r="AL1" i="18"/>
  <c r="I1" i="18"/>
  <c r="G1" i="34"/>
  <c r="J5"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R3" authorId="0" shapeId="0" xr:uid="{00000000-0006-0000-0100-000001000000}">
      <text>
        <r>
          <rPr>
            <sz val="9"/>
            <color indexed="81"/>
            <rFont val="ＭＳ Ｐゴシック"/>
            <family val="3"/>
            <charset val="128"/>
          </rPr>
          <t>新規/変更を入れる</t>
        </r>
      </text>
    </comment>
    <comment ref="AH3" authorId="0" shapeId="0" xr:uid="{00000000-0006-0000-0100-000002000000}">
      <text>
        <r>
          <rPr>
            <sz val="9"/>
            <color indexed="81"/>
            <rFont val="ＭＳ Ｐゴシック"/>
            <family val="3"/>
            <charset val="128"/>
          </rPr>
          <t>変更内容を簡潔に記述</t>
        </r>
      </text>
    </comment>
    <comment ref="W4" authorId="0" shapeId="0" xr:uid="{00000000-0006-0000-0100-000003000000}">
      <text>
        <r>
          <rPr>
            <sz val="9"/>
            <color indexed="81"/>
            <rFont val="ＭＳ Ｐゴシック"/>
            <family val="3"/>
            <charset val="128"/>
          </rPr>
          <t>修正したページを入れる</t>
        </r>
      </text>
    </comment>
    <comment ref="AA4" authorId="0" shapeId="0" xr:uid="{00000000-0006-0000-0100-000004000000}">
      <text>
        <r>
          <rPr>
            <sz val="9"/>
            <color indexed="81"/>
            <rFont val="ＭＳ Ｐゴシック"/>
            <family val="3"/>
            <charset val="128"/>
          </rPr>
          <t>項番(章番号)を入れる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300-000001000000}">
      <text>
        <r>
          <rPr>
            <sz val="9"/>
            <color indexed="81"/>
            <rFont val="ＭＳ Ｐゴシック"/>
            <family val="3"/>
            <charset val="128"/>
          </rPr>
          <t>人事システム
給与システム
システム基盤 等を書く</t>
        </r>
      </text>
    </comment>
    <comment ref="B5" authorId="0" shapeId="0" xr:uid="{A857C7AC-AADC-4DC1-B11E-2CF5FC2412D7}">
      <text>
        <r>
          <rPr>
            <sz val="9"/>
            <color indexed="81"/>
            <rFont val="ＭＳ Ｐゴシック"/>
            <family val="3"/>
            <charset val="128"/>
          </rPr>
          <t>項番は
MSゴシック 11pt</t>
        </r>
      </text>
    </comment>
    <comment ref="C7" authorId="0" shapeId="0" xr:uid="{F68B8549-6B9D-48BA-9572-96358AD5B679}">
      <text>
        <r>
          <rPr>
            <sz val="9"/>
            <color indexed="81"/>
            <rFont val="ＭＳ Ｐゴシック"/>
            <family val="3"/>
            <charset val="128"/>
          </rPr>
          <t>項番は
MSゴシック 11pt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400-000001000000}">
      <text>
        <r>
          <rPr>
            <sz val="9"/>
            <color indexed="81"/>
            <rFont val="ＭＳ Ｐゴシック"/>
            <family val="3"/>
            <charset val="128"/>
          </rPr>
          <t>人事システム
給与システム
システム基盤 等を書く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500-000001000000}">
      <text>
        <r>
          <rPr>
            <sz val="9"/>
            <color indexed="81"/>
            <rFont val="ＭＳ Ｐゴシック"/>
            <family val="3"/>
            <charset val="128"/>
          </rPr>
          <t>人事システム
給与システム
システム基盤 等を書く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600-000001000000}">
      <text>
        <r>
          <rPr>
            <sz val="9"/>
            <color indexed="81"/>
            <rFont val="ＭＳ Ｐゴシック"/>
            <family val="3"/>
            <charset val="128"/>
          </rPr>
          <t>人事システム
給与システム
システム基盤 等を書く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700-000001000000}">
      <text>
        <r>
          <rPr>
            <sz val="9"/>
            <color indexed="81"/>
            <rFont val="ＭＳ Ｐゴシック"/>
            <family val="3"/>
            <charset val="128"/>
          </rPr>
          <t>人事システム
給与システム
システム基盤 等を書く</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800-000001000000}">
      <text>
        <r>
          <rPr>
            <sz val="9"/>
            <color indexed="81"/>
            <rFont val="ＭＳ Ｐゴシック"/>
            <family val="3"/>
            <charset val="128"/>
          </rPr>
          <t>人事システム
給与システム
システム基盤 等を書く</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16EA4D23-9A55-4DDC-9468-C399F535EF27}">
      <text>
        <r>
          <rPr>
            <sz val="9"/>
            <color indexed="81"/>
            <rFont val="ＭＳ Ｐゴシック"/>
            <family val="3"/>
            <charset val="128"/>
          </rPr>
          <t>人事システム
給与システム
システム基盤 等を書く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F33DFD30-BA9A-4739-A386-40B4F9E7E02F}">
      <text>
        <r>
          <rPr>
            <sz val="9"/>
            <color indexed="81"/>
            <rFont val="ＭＳ Ｐゴシック"/>
            <family val="3"/>
            <charset val="128"/>
          </rPr>
          <t>人事システム
給与システム
システム基盤 等を書く</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2D0FF5C-5E08-496E-ACA2-DBEC072D4453}">
      <text>
        <r>
          <rPr>
            <sz val="9"/>
            <color indexed="81"/>
            <rFont val="ＭＳ Ｐゴシック"/>
            <family val="3"/>
            <charset val="128"/>
          </rPr>
          <t>人事システム
給与システム
システム基盤 等を書く</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TOBA Tetsuya</author>
    <author>岡井　計允</author>
  </authors>
  <commentList>
    <comment ref="A2" authorId="0" shapeId="0" xr:uid="{00000000-0006-0000-0900-000001000000}">
      <text>
        <r>
          <rPr>
            <sz val="9"/>
            <color indexed="81"/>
            <rFont val="ＭＳ Ｐゴシック"/>
            <family val="3"/>
            <charset val="128"/>
          </rPr>
          <t>人事システム
給与システム
システム基盤 等を書く</t>
        </r>
      </text>
    </comment>
    <comment ref="M1001" authorId="1" shapeId="0" xr:uid="{EA992088-DE33-47CF-A563-8D73B8753DE2}">
      <text>
        <r>
          <rPr>
            <sz val="10"/>
            <color indexed="81"/>
            <rFont val="ＭＳ 明朝"/>
            <family val="1"/>
            <charset val="128"/>
          </rPr>
          <t>バッチ処理の打ち切り時間は300分。打ち切り処理が完了するまでの時間差を考慮して305分としている。</t>
        </r>
      </text>
    </comment>
    <comment ref="AD1001" authorId="1" shapeId="0" xr:uid="{F6E71047-462D-4EFA-B419-CA92336EFFE9}">
      <text>
        <r>
          <rPr>
            <sz val="10"/>
            <color indexed="81"/>
            <rFont val="ＭＳ 明朝"/>
            <family val="1"/>
            <charset val="128"/>
          </rPr>
          <t>バッチ処理の打ち切り時間は300分。打ち切り処理が完了するまでの時間差を考慮して305分としている。</t>
        </r>
      </text>
    </comment>
  </commentList>
</comments>
</file>

<file path=xl/sharedStrings.xml><?xml version="1.0" encoding="utf-8"?>
<sst xmlns="http://schemas.openxmlformats.org/spreadsheetml/2006/main" count="2020" uniqueCount="1317">
  <si>
    <t>　⑧改訂日</t>
    <rPh sb="2" eb="4">
      <t>カイテイ</t>
    </rPh>
    <rPh sb="4" eb="5">
      <t>ビ</t>
    </rPh>
    <phoneticPr fontId="3"/>
  </si>
  <si>
    <t>　⑨管理記号</t>
    <rPh sb="2" eb="4">
      <t>カンリ</t>
    </rPh>
    <rPh sb="4" eb="6">
      <t>キゴウ</t>
    </rPh>
    <phoneticPr fontId="3"/>
  </si>
  <si>
    <t>　⑩Ｖｅｒ</t>
    <phoneticPr fontId="3"/>
  </si>
  <si>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3"/>
  </si>
  <si>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3"/>
  </si>
  <si>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3"/>
  </si>
  <si>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3"/>
  </si>
  <si>
    <t>（注5）　ドキュメントＩＤの付け方</t>
    <rPh sb="1" eb="2">
      <t>チュウ</t>
    </rPh>
    <rPh sb="14" eb="15">
      <t>ツ</t>
    </rPh>
    <rPh sb="16" eb="17">
      <t>カタ</t>
    </rPh>
    <phoneticPr fontId="3"/>
  </si>
  <si>
    <t>管理記号-分類区分（任意に設定）</t>
    <rPh sb="0" eb="2">
      <t>カンリ</t>
    </rPh>
    <rPh sb="2" eb="4">
      <t>キゴウ</t>
    </rPh>
    <rPh sb="5" eb="7">
      <t>ブンルイ</t>
    </rPh>
    <rPh sb="7" eb="9">
      <t>クブン</t>
    </rPh>
    <rPh sb="10" eb="12">
      <t>ニンイ</t>
    </rPh>
    <rPh sb="13" eb="15">
      <t>セッテイ</t>
    </rPh>
    <phoneticPr fontId="3"/>
  </si>
  <si>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3"/>
  </si>
  <si>
    <t>(注6）　システム階層の概要</t>
    <rPh sb="1" eb="2">
      <t>チュウ</t>
    </rPh>
    <rPh sb="9" eb="11">
      <t>カイソウ</t>
    </rPh>
    <rPh sb="12" eb="14">
      <t>ガイヨウ</t>
    </rPh>
    <phoneticPr fontId="3"/>
  </si>
  <si>
    <t>人事システム</t>
    <rPh sb="0" eb="2">
      <t>ジンジ</t>
    </rPh>
    <phoneticPr fontId="3"/>
  </si>
  <si>
    <t>給与システム</t>
    <rPh sb="0" eb="2">
      <t>キュウヨ</t>
    </rPh>
    <phoneticPr fontId="3"/>
  </si>
  <si>
    <t>移行システム</t>
    <rPh sb="0" eb="2">
      <t>イコウ</t>
    </rPh>
    <phoneticPr fontId="3"/>
  </si>
  <si>
    <t>機能名</t>
    <rPh sb="0" eb="2">
      <t>キノウ</t>
    </rPh>
    <rPh sb="2" eb="3">
      <t>メイ</t>
    </rPh>
    <phoneticPr fontId="3"/>
  </si>
  <si>
    <t>処理名</t>
    <rPh sb="0" eb="2">
      <t>ショリ</t>
    </rPh>
    <rPh sb="2" eb="3">
      <t>メイ</t>
    </rPh>
    <phoneticPr fontId="3"/>
  </si>
  <si>
    <t>改訂履歴</t>
    <rPh sb="0" eb="2">
      <t>カイテイ</t>
    </rPh>
    <rPh sb="2" eb="4">
      <t>リレキ</t>
    </rPh>
    <phoneticPr fontId="3"/>
  </si>
  <si>
    <t>No</t>
    <phoneticPr fontId="3"/>
  </si>
  <si>
    <t>Ver</t>
    <phoneticPr fontId="3"/>
  </si>
  <si>
    <t>新規／改訂日</t>
    <rPh sb="0" eb="2">
      <t>シンキ</t>
    </rPh>
    <rPh sb="3" eb="5">
      <t>カイテイ</t>
    </rPh>
    <rPh sb="5" eb="6">
      <t>ビ</t>
    </rPh>
    <phoneticPr fontId="3"/>
  </si>
  <si>
    <t>区分</t>
    <rPh sb="0" eb="2">
      <t>クブン</t>
    </rPh>
    <phoneticPr fontId="3"/>
  </si>
  <si>
    <t>改訂箇所</t>
    <rPh sb="0" eb="2">
      <t>カイテイ</t>
    </rPh>
    <rPh sb="2" eb="4">
      <t>カショ</t>
    </rPh>
    <phoneticPr fontId="3"/>
  </si>
  <si>
    <t>改訂理由</t>
    <rPh sb="0" eb="2">
      <t>カイテイ</t>
    </rPh>
    <rPh sb="2" eb="4">
      <t>リユウ</t>
    </rPh>
    <phoneticPr fontId="3"/>
  </si>
  <si>
    <t>新規／改訂者</t>
    <rPh sb="0" eb="2">
      <t>シンキ</t>
    </rPh>
    <rPh sb="3" eb="5">
      <t>カイテイ</t>
    </rPh>
    <rPh sb="5" eb="6">
      <t>シャ</t>
    </rPh>
    <phoneticPr fontId="3"/>
  </si>
  <si>
    <t>頁</t>
    <rPh sb="0" eb="1">
      <t>ページ</t>
    </rPh>
    <phoneticPr fontId="3"/>
  </si>
  <si>
    <t>項番</t>
    <rPh sb="0" eb="1">
      <t>コウ</t>
    </rPh>
    <rPh sb="1" eb="2">
      <t>バン</t>
    </rPh>
    <phoneticPr fontId="3"/>
  </si>
  <si>
    <t>　新規作成</t>
    <rPh sb="1" eb="3">
      <t>シンキ</t>
    </rPh>
    <rPh sb="3" eb="5">
      <t>サクセイ</t>
    </rPh>
    <phoneticPr fontId="3"/>
  </si>
  <si>
    <t>目次</t>
    <rPh sb="0" eb="1">
      <t>メ</t>
    </rPh>
    <rPh sb="1" eb="2">
      <t>ツギ</t>
    </rPh>
    <phoneticPr fontId="3"/>
  </si>
  <si>
    <t>⇒</t>
    <phoneticPr fontId="3"/>
  </si>
  <si>
    <t>システム環境定義書</t>
    <rPh sb="4" eb="6">
      <t>カンキョウ</t>
    </rPh>
    <rPh sb="6" eb="8">
      <t>テイギ</t>
    </rPh>
    <rPh sb="8" eb="9">
      <t>ショ</t>
    </rPh>
    <phoneticPr fontId="3"/>
  </si>
  <si>
    <t>工　　　　程</t>
    <rPh sb="0" eb="1">
      <t>コウ</t>
    </rPh>
    <rPh sb="5" eb="6">
      <t>ホド</t>
    </rPh>
    <phoneticPr fontId="3"/>
  </si>
  <si>
    <t>作　成</t>
    <rPh sb="0" eb="1">
      <t>サク</t>
    </rPh>
    <rPh sb="2" eb="3">
      <t>シゲル</t>
    </rPh>
    <phoneticPr fontId="3"/>
  </si>
  <si>
    <t>ドキュメント</t>
    <phoneticPr fontId="3"/>
  </si>
  <si>
    <t>改　訂</t>
    <rPh sb="0" eb="1">
      <t>アラタ</t>
    </rPh>
    <rPh sb="2" eb="3">
      <t>テイ</t>
    </rPh>
    <phoneticPr fontId="3"/>
  </si>
  <si>
    <t>ユーザ／セキュリティ設計</t>
  </si>
  <si>
    <t>-</t>
    <phoneticPr fontId="3"/>
  </si>
  <si>
    <t>ファイルシステム</t>
    <phoneticPr fontId="3"/>
  </si>
  <si>
    <t>新規</t>
    <rPh sb="0" eb="2">
      <t>シンキ</t>
    </rPh>
    <phoneticPr fontId="3"/>
  </si>
  <si>
    <t>管理記号</t>
    <rPh sb="0" eb="2">
      <t>カンリ</t>
    </rPh>
    <rPh sb="2" eb="4">
      <t>キゴウ</t>
    </rPh>
    <phoneticPr fontId="3"/>
  </si>
  <si>
    <t>システム名</t>
    <rPh sb="4" eb="5">
      <t>メイ</t>
    </rPh>
    <phoneticPr fontId="3"/>
  </si>
  <si>
    <t>サブシステム名</t>
    <rPh sb="6" eb="7">
      <t>メイ</t>
    </rPh>
    <phoneticPr fontId="3"/>
  </si>
  <si>
    <t>備考</t>
    <rPh sb="0" eb="2">
      <t>ビコウ</t>
    </rPh>
    <phoneticPr fontId="3"/>
  </si>
  <si>
    <t>コンピュータ名</t>
    <rPh sb="6" eb="7">
      <t>メイ</t>
    </rPh>
    <phoneticPr fontId="3"/>
  </si>
  <si>
    <t>タイトル項目</t>
    <rPh sb="4" eb="6">
      <t>コウモク</t>
    </rPh>
    <phoneticPr fontId="3"/>
  </si>
  <si>
    <t>タイトル項目埋め込み内容</t>
    <rPh sb="4" eb="6">
      <t>コウモク</t>
    </rPh>
    <rPh sb="6" eb="7">
      <t>ウ</t>
    </rPh>
    <rPh sb="8" eb="9">
      <t>コ</t>
    </rPh>
    <rPh sb="10" eb="12">
      <t>ナイヨウ</t>
    </rPh>
    <phoneticPr fontId="3"/>
  </si>
  <si>
    <t>　①システム名</t>
    <rPh sb="6" eb="7">
      <t>メイ</t>
    </rPh>
    <phoneticPr fontId="3"/>
  </si>
  <si>
    <t>人事給与システム</t>
    <rPh sb="0" eb="2">
      <t>ジンジ</t>
    </rPh>
    <rPh sb="2" eb="4">
      <t>キュウヨ</t>
    </rPh>
    <phoneticPr fontId="3"/>
  </si>
  <si>
    <t>　②サブシステム名</t>
    <rPh sb="8" eb="9">
      <t>メイ</t>
    </rPh>
    <phoneticPr fontId="3"/>
  </si>
  <si>
    <t>基盤構築</t>
    <rPh sb="0" eb="2">
      <t>キバン</t>
    </rPh>
    <rPh sb="2" eb="4">
      <t>コウチク</t>
    </rPh>
    <phoneticPr fontId="3"/>
  </si>
  <si>
    <t>　③分類名</t>
    <rPh sb="2" eb="4">
      <t>ブンルイ</t>
    </rPh>
    <rPh sb="4" eb="5">
      <t>メイ</t>
    </rPh>
    <phoneticPr fontId="3"/>
  </si>
  <si>
    <t>　④作業工程名</t>
    <rPh sb="2" eb="4">
      <t>サギョウ</t>
    </rPh>
    <rPh sb="4" eb="6">
      <t>コウテイ</t>
    </rPh>
    <rPh sb="6" eb="7">
      <t>メイ</t>
    </rPh>
    <phoneticPr fontId="3"/>
  </si>
  <si>
    <t>構築手順書の作成</t>
    <rPh sb="0" eb="2">
      <t>コウチク</t>
    </rPh>
    <rPh sb="2" eb="5">
      <t>テジュンショ</t>
    </rPh>
    <rPh sb="6" eb="8">
      <t>サクセイ</t>
    </rPh>
    <phoneticPr fontId="3"/>
  </si>
  <si>
    <t>　⑤ドキュメント代表名</t>
    <rPh sb="8" eb="10">
      <t>ダイヒョウ</t>
    </rPh>
    <rPh sb="10" eb="11">
      <t>メイ</t>
    </rPh>
    <phoneticPr fontId="3"/>
  </si>
  <si>
    <t>　⑥ドキュメント詳細名</t>
    <rPh sb="8" eb="10">
      <t>ショウサイ</t>
    </rPh>
    <rPh sb="10" eb="11">
      <t>メイ</t>
    </rPh>
    <phoneticPr fontId="3"/>
  </si>
  <si>
    <t>システム管理者</t>
    <rPh sb="4" eb="7">
      <t>カンリシャ</t>
    </rPh>
    <phoneticPr fontId="3"/>
  </si>
  <si>
    <t>ユーザ名</t>
    <rPh sb="3" eb="4">
      <t>メイ</t>
    </rPh>
    <phoneticPr fontId="3"/>
  </si>
  <si>
    <t>ネットワーク設計</t>
    <rPh sb="6" eb="8">
      <t>セッケイ</t>
    </rPh>
    <phoneticPr fontId="3"/>
  </si>
  <si>
    <t>ホスト名</t>
    <rPh sb="3" eb="4">
      <t>メイ</t>
    </rPh>
    <phoneticPr fontId="3"/>
  </si>
  <si>
    <t>端末</t>
    <rPh sb="0" eb="2">
      <t>タンマツ</t>
    </rPh>
    <phoneticPr fontId="3"/>
  </si>
  <si>
    <t>自動</t>
    <rPh sb="0" eb="2">
      <t>ジドウ</t>
    </rPh>
    <phoneticPr fontId="3"/>
  </si>
  <si>
    <t>　※ページ毎に個別入力</t>
    <rPh sb="5" eb="6">
      <t>ゴト</t>
    </rPh>
    <rPh sb="7" eb="9">
      <t>コベツ</t>
    </rPh>
    <rPh sb="9" eb="11">
      <t>ニュウリョク</t>
    </rPh>
    <phoneticPr fontId="3"/>
  </si>
  <si>
    <t>　⑦作成者</t>
    <rPh sb="2" eb="5">
      <t>サクセイシャ</t>
    </rPh>
    <phoneticPr fontId="3"/>
  </si>
  <si>
    <t>　⑧作成日</t>
    <rPh sb="2" eb="5">
      <t>サクセイビ</t>
    </rPh>
    <phoneticPr fontId="3"/>
  </si>
  <si>
    <t>　⑦改訂者</t>
    <rPh sb="2" eb="4">
      <t>カイテイ</t>
    </rPh>
    <rPh sb="4" eb="5">
      <t>シャ</t>
    </rPh>
    <phoneticPr fontId="3"/>
  </si>
  <si>
    <t>リモートアシスタンス</t>
    <phoneticPr fontId="3"/>
  </si>
  <si>
    <t>OFF</t>
    <phoneticPr fontId="3"/>
  </si>
  <si>
    <t>リモートデスクトップ</t>
    <phoneticPr fontId="3"/>
  </si>
  <si>
    <t>ディレクトリ名</t>
    <rPh sb="6" eb="7">
      <t>メイ</t>
    </rPh>
    <phoneticPr fontId="3"/>
  </si>
  <si>
    <t>環境図</t>
    <rPh sb="0" eb="2">
      <t>カンキョウ</t>
    </rPh>
    <rPh sb="2" eb="3">
      <t>ズ</t>
    </rPh>
    <phoneticPr fontId="3"/>
  </si>
  <si>
    <t>見出し部タイトル制御テーブル</t>
    <rPh sb="0" eb="2">
      <t>ミダ</t>
    </rPh>
    <rPh sb="3" eb="4">
      <t>ブ</t>
    </rPh>
    <rPh sb="8" eb="10">
      <t>セイギョ</t>
    </rPh>
    <phoneticPr fontId="3"/>
  </si>
  <si>
    <t>容量</t>
    <rPh sb="0" eb="2">
      <t>ヨウリョウ</t>
    </rPh>
    <phoneticPr fontId="3"/>
  </si>
  <si>
    <t>１．２　環境図</t>
    <rPh sb="4" eb="6">
      <t>カンキョウ</t>
    </rPh>
    <rPh sb="6" eb="7">
      <t>ズ</t>
    </rPh>
    <phoneticPr fontId="3"/>
  </si>
  <si>
    <t>１．４　ネットワーク設計</t>
    <rPh sb="10" eb="12">
      <t>セッケイ</t>
    </rPh>
    <phoneticPr fontId="3"/>
  </si>
  <si>
    <t>種類</t>
    <rPh sb="0" eb="2">
      <t>シュルイ</t>
    </rPh>
    <phoneticPr fontId="3"/>
  </si>
  <si>
    <t>残りすべて</t>
    <rPh sb="0" eb="1">
      <t>ノコ</t>
    </rPh>
    <phoneticPr fontId="3"/>
  </si>
  <si>
    <t>ディスク</t>
    <phoneticPr fontId="3"/>
  </si>
  <si>
    <t>ディスク0</t>
    <phoneticPr fontId="3"/>
  </si>
  <si>
    <t>ベーシック</t>
    <phoneticPr fontId="3"/>
  </si>
  <si>
    <t>C:</t>
    <phoneticPr fontId="3"/>
  </si>
  <si>
    <t>NTFS</t>
    <phoneticPr fontId="3"/>
  </si>
  <si>
    <t>ボリューム</t>
    <phoneticPr fontId="3"/>
  </si>
  <si>
    <t>サービス名</t>
    <rPh sb="4" eb="5">
      <t>メイ</t>
    </rPh>
    <phoneticPr fontId="3"/>
  </si>
  <si>
    <t>ネットワーク名</t>
    <rPh sb="6" eb="7">
      <t>メイ</t>
    </rPh>
    <phoneticPr fontId="3"/>
  </si>
  <si>
    <t>この接続のDNSサフィックス</t>
    <rPh sb="2" eb="4">
      <t>セツゾク</t>
    </rPh>
    <phoneticPr fontId="3"/>
  </si>
  <si>
    <t>DNS登録する</t>
    <rPh sb="3" eb="5">
      <t>トウロク</t>
    </rPh>
    <phoneticPr fontId="3"/>
  </si>
  <si>
    <t>DNS登録に使う</t>
    <rPh sb="3" eb="5">
      <t>トウロク</t>
    </rPh>
    <rPh sb="6" eb="7">
      <t>ツカ</t>
    </rPh>
    <phoneticPr fontId="3"/>
  </si>
  <si>
    <t>システムで予約</t>
    <rPh sb="5" eb="7">
      <t>ヨヤク</t>
    </rPh>
    <phoneticPr fontId="3"/>
  </si>
  <si>
    <t>以下のDNSサフィックスを順に追加する</t>
    <rPh sb="0" eb="2">
      <t>イカ</t>
    </rPh>
    <rPh sb="13" eb="14">
      <t>ジュン</t>
    </rPh>
    <rPh sb="15" eb="17">
      <t>ツイカ</t>
    </rPh>
    <phoneticPr fontId="3"/>
  </si>
  <si>
    <t>ハードウェア構成図</t>
    <rPh sb="6" eb="9">
      <t>コウセイズ</t>
    </rPh>
    <phoneticPr fontId="3"/>
  </si>
  <si>
    <t>ドキュメント</t>
    <phoneticPr fontId="3"/>
  </si>
  <si>
    <t>OS</t>
    <phoneticPr fontId="3"/>
  </si>
  <si>
    <t>１．１</t>
    <phoneticPr fontId="3"/>
  </si>
  <si>
    <t>１．２</t>
  </si>
  <si>
    <t>１．３</t>
  </si>
  <si>
    <t>１．４</t>
  </si>
  <si>
    <t>１．５</t>
  </si>
  <si>
    <t>１．６</t>
  </si>
  <si>
    <t>１．７</t>
  </si>
  <si>
    <t>１．９</t>
  </si>
  <si>
    <t>１．１０</t>
  </si>
  <si>
    <t>１．１１</t>
  </si>
  <si>
    <t>（１）ゲストOS</t>
    <phoneticPr fontId="3"/>
  </si>
  <si>
    <t>（１）環境図(業務系)</t>
    <rPh sb="3" eb="5">
      <t>カンキョウ</t>
    </rPh>
    <rPh sb="5" eb="6">
      <t>ズ</t>
    </rPh>
    <rPh sb="7" eb="10">
      <t>ギョウムケイ</t>
    </rPh>
    <phoneticPr fontId="3"/>
  </si>
  <si>
    <t>教務システム</t>
    <rPh sb="0" eb="2">
      <t>キョウム</t>
    </rPh>
    <phoneticPr fontId="3"/>
  </si>
  <si>
    <t>システムで自動設定</t>
    <rPh sb="5" eb="9">
      <t>ジドウセッテイ</t>
    </rPh>
    <phoneticPr fontId="3"/>
  </si>
  <si>
    <t>ON</t>
    <phoneticPr fontId="3"/>
  </si>
  <si>
    <t>ワークグループ</t>
    <phoneticPr fontId="3"/>
  </si>
  <si>
    <t>変数名</t>
    <phoneticPr fontId="3"/>
  </si>
  <si>
    <t>値</t>
    <phoneticPr fontId="3"/>
  </si>
  <si>
    <t>Javaホームディレクトリ</t>
    <phoneticPr fontId="3"/>
  </si>
  <si>
    <t>PATH</t>
    <phoneticPr fontId="3"/>
  </si>
  <si>
    <t>IPアドレス</t>
    <phoneticPr fontId="3"/>
  </si>
  <si>
    <t>サブネットマスク</t>
    <phoneticPr fontId="3"/>
  </si>
  <si>
    <t>ゲートウェイアドレス</t>
    <phoneticPr fontId="3"/>
  </si>
  <si>
    <t>自動(遅延起動)</t>
    <rPh sb="0" eb="2">
      <t>ジドウ</t>
    </rPh>
    <rPh sb="3" eb="5">
      <t>チエン</t>
    </rPh>
    <rPh sb="5" eb="7">
      <t>キドウ</t>
    </rPh>
    <phoneticPr fontId="3"/>
  </si>
  <si>
    <t>手動</t>
    <rPh sb="0" eb="2">
      <t>シュドウ</t>
    </rPh>
    <phoneticPr fontId="3"/>
  </si>
  <si>
    <t>無効</t>
    <rPh sb="0" eb="2">
      <t>ムコウ</t>
    </rPh>
    <phoneticPr fontId="3"/>
  </si>
  <si>
    <t>起動設定</t>
    <rPh sb="0" eb="2">
      <t>キドウ</t>
    </rPh>
    <rPh sb="2" eb="4">
      <t>セッテイ</t>
    </rPh>
    <phoneticPr fontId="3"/>
  </si>
  <si>
    <t>ｺﾝﾃｷｽﾄﾊﾟｽ</t>
    <phoneticPr fontId="3"/>
  </si>
  <si>
    <t>環境</t>
    <rPh sb="0" eb="2">
      <t>カンキョウ</t>
    </rPh>
    <phoneticPr fontId="3"/>
  </si>
  <si>
    <t>HTTPﾎﾟｰﾄ</t>
    <phoneticPr fontId="3"/>
  </si>
  <si>
    <t>AJPﾎﾟｰﾄ</t>
    <phoneticPr fontId="3"/>
  </si>
  <si>
    <t>Shutdownﾎﾟｰﾄ</t>
    <phoneticPr fontId="3"/>
  </si>
  <si>
    <t>ｼｽﾃﾑ</t>
    <phoneticPr fontId="3"/>
  </si>
  <si>
    <t>Apache Tomcat</t>
    <phoneticPr fontId="3"/>
  </si>
  <si>
    <t>ｽｷｰﾏ</t>
    <phoneticPr fontId="3"/>
  </si>
  <si>
    <t>サーブレットコンテナ</t>
    <phoneticPr fontId="3"/>
  </si>
  <si>
    <t>タスク概要</t>
    <rPh sb="3" eb="5">
      <t>ガイヨウ</t>
    </rPh>
    <phoneticPr fontId="3"/>
  </si>
  <si>
    <t>起動タイミング</t>
    <rPh sb="0" eb="2">
      <t>キドウ</t>
    </rPh>
    <phoneticPr fontId="3"/>
  </si>
  <si>
    <t>実行ユーザー</t>
    <rPh sb="0" eb="2">
      <t>ジッコウ</t>
    </rPh>
    <phoneticPr fontId="3"/>
  </si>
  <si>
    <t>実行プログラム</t>
    <rPh sb="0" eb="2">
      <t>ジッコウ</t>
    </rPh>
    <phoneticPr fontId="3"/>
  </si>
  <si>
    <t>スクリプト</t>
    <phoneticPr fontId="3"/>
  </si>
  <si>
    <t>バックアップ設計</t>
    <phoneticPr fontId="3"/>
  </si>
  <si>
    <t>（１）システム</t>
    <phoneticPr fontId="3"/>
  </si>
  <si>
    <t>（３）システム環境変数</t>
    <rPh sb="7" eb="9">
      <t>カンキョウ</t>
    </rPh>
    <rPh sb="9" eb="11">
      <t>ヘンスウ</t>
    </rPh>
    <phoneticPr fontId="3"/>
  </si>
  <si>
    <t>（４）仮想メモリ</t>
    <rPh sb="3" eb="5">
      <t>カソウ</t>
    </rPh>
    <phoneticPr fontId="3"/>
  </si>
  <si>
    <t>（２）ディスク構成</t>
    <rPh sb="7" eb="9">
      <t>コウセイ</t>
    </rPh>
    <phoneticPr fontId="3"/>
  </si>
  <si>
    <t>（５）ネットワーク設定</t>
    <rPh sb="9" eb="11">
      <t>セッテイ</t>
    </rPh>
    <phoneticPr fontId="3"/>
  </si>
  <si>
    <t>有効/無効</t>
    <rPh sb="0" eb="2">
      <t>ユウコウ</t>
    </rPh>
    <rPh sb="3" eb="5">
      <t>ムコウ</t>
    </rPh>
    <phoneticPr fontId="3"/>
  </si>
  <si>
    <t>チェックしない</t>
    <phoneticPr fontId="3"/>
  </si>
  <si>
    <t>ユーザ</t>
    <phoneticPr fontId="3"/>
  </si>
  <si>
    <t>対象</t>
    <rPh sb="0" eb="2">
      <t>タイショウ</t>
    </rPh>
    <phoneticPr fontId="3"/>
  </si>
  <si>
    <t>学生</t>
    <rPh sb="0" eb="2">
      <t>ガクセイ</t>
    </rPh>
    <phoneticPr fontId="3"/>
  </si>
  <si>
    <t>教員</t>
    <rPh sb="0" eb="2">
      <t>キョウイン</t>
    </rPh>
    <phoneticPr fontId="3"/>
  </si>
  <si>
    <t>%SystemRoot%System32</t>
  </si>
  <si>
    <t>%SystemRoot%System32\Wbem</t>
  </si>
  <si>
    <t>C:\app\httpd\conf\httpd.conf ※変更点および主要な設定項目のみ</t>
    <rPh sb="30" eb="33">
      <t>ヘンコウテン</t>
    </rPh>
    <rPh sb="36" eb="38">
      <t>シュヨウ</t>
    </rPh>
    <rPh sb="39" eb="41">
      <t>セッテイ</t>
    </rPh>
    <rPh sb="41" eb="43">
      <t>コウモク</t>
    </rPh>
    <phoneticPr fontId="3"/>
  </si>
  <si>
    <t>手動(ﾄﾘｶﾞｰ開始)</t>
    <rPh sb="0" eb="2">
      <t>シュドウ</t>
    </rPh>
    <rPh sb="8" eb="10">
      <t>カイシ</t>
    </rPh>
    <phoneticPr fontId="3"/>
  </si>
  <si>
    <t>自動(ﾄﾘｶﾞｰ開始)</t>
    <rPh sb="0" eb="2">
      <t>ジドウ</t>
    </rPh>
    <rPh sb="7" eb="9">
      <t>カイシ</t>
    </rPh>
    <rPh sb="9" eb="10">
      <t>）</t>
    </rPh>
    <phoneticPr fontId="3"/>
  </si>
  <si>
    <t>DNSｻｰﾊﾞｰ</t>
  </si>
  <si>
    <t>ユーザーアカウント</t>
    <phoneticPr fontId="3"/>
  </si>
  <si>
    <t>パスワード</t>
    <phoneticPr fontId="3"/>
  </si>
  <si>
    <t>データベース</t>
    <phoneticPr fontId="3"/>
  </si>
  <si>
    <t>データ</t>
    <phoneticPr fontId="3"/>
  </si>
  <si>
    <t>httpd 80/tcp</t>
    <phoneticPr fontId="3"/>
  </si>
  <si>
    <t>設定なし</t>
    <rPh sb="0" eb="2">
      <t>セッテイ</t>
    </rPh>
    <phoneticPr fontId="3"/>
  </si>
  <si>
    <t>LoadModule actions_module modules/mod_actions.so</t>
  </si>
  <si>
    <t>LoadModule alias_module modules/mod_alias.so</t>
  </si>
  <si>
    <t>LoadModule allowmethods_module modules/mod_allowmethods.so</t>
  </si>
  <si>
    <t>LoadModule asis_module modules/mod_asis.so</t>
  </si>
  <si>
    <t>#LoadModule auth_digest_module modules/mod_auth_digest.so</t>
  </si>
  <si>
    <t>#LoadModule authn_anon_module modules/mod_authn_anon.so</t>
  </si>
  <si>
    <t>#LoadModule authn_dbd_module modules/mod_authn_dbd.so</t>
  </si>
  <si>
    <t>#LoadModule authn_dbm_module modules/mod_authn_dbm.so</t>
  </si>
  <si>
    <t>#LoadModule authn_file_module modules/mod_authn_file.so</t>
  </si>
  <si>
    <t>#LoadModule authn_socache_module modules/mod_authn_socache.so</t>
  </si>
  <si>
    <t>#LoadModule authnz_ldap_module modules/mod_authnz_ldap.so</t>
  </si>
  <si>
    <t>#LoadModule authz_dbd_module modules/mod_authz_dbd.so</t>
  </si>
  <si>
    <t>#LoadModule authz_dbm_module modules/mod_authz_dbm.so</t>
  </si>
  <si>
    <t>#LoadModule authz_groupfile_module modules/mod_authz_groupfile.so</t>
  </si>
  <si>
    <t>#LoadModule authz_owner_module modules/mod_authz_owner.so</t>
  </si>
  <si>
    <t>#LoadModule authz_user_module modules/mod_authz_user.so</t>
  </si>
  <si>
    <t>#LoadModule autoindex_module modules/mod_autoindex.so</t>
  </si>
  <si>
    <t>#LoadModule buffer_module modules/mod_buffer.so</t>
  </si>
  <si>
    <t>#LoadModule cache_module modules/mod_cache.so</t>
  </si>
  <si>
    <t>#LoadModule cache_disk_module modules/mod_cache_disk.so</t>
  </si>
  <si>
    <t>#LoadModule cern_meta_module modules/mod_cern_meta.so</t>
  </si>
  <si>
    <t>#LoadModule cgi_module modules/mod_cgi.so</t>
  </si>
  <si>
    <t>#LoadModule charset_lite_module modules/mod_charset_lite.so</t>
  </si>
  <si>
    <t>#LoadModule data_module modules/mod_data.so</t>
  </si>
  <si>
    <t>#LoadModule dav_module modules/mod_dav.so</t>
  </si>
  <si>
    <t>#LoadModule dav_fs_module modules/mod_dav_fs.so</t>
  </si>
  <si>
    <t>#LoadModule dav_lock_module modules/mod_dav_lock.so</t>
  </si>
  <si>
    <t>#LoadModule dbd_module modules/mod_dbd.so</t>
  </si>
  <si>
    <t>#LoadModule deflate_module modules/mod_deflate.so</t>
  </si>
  <si>
    <t>LoadModule dir_module modules/mod_dir.so</t>
  </si>
  <si>
    <t>#LoadModule dumpio_module modules/mod_dumpio.so</t>
  </si>
  <si>
    <t>LoadModule env_module modules/mod_env.so</t>
  </si>
  <si>
    <t>#LoadModule ext_filter_module modules/mod_ext_filter.so</t>
  </si>
  <si>
    <t>#LoadModule file_cache_module modules/mod_file_cache.so</t>
  </si>
  <si>
    <t>#LoadModule filter_module modules/mod_filter.so</t>
  </si>
  <si>
    <t>#LoadModule heartbeat_module modules/mod_heartbeat.so</t>
  </si>
  <si>
    <t>#LoadModule heartmonitor_module modules/mod_heartmonitor.so</t>
  </si>
  <si>
    <t>#LoadModule ident_module modules/mod_ident.so</t>
  </si>
  <si>
    <t>#LoadModule imagemap_module modules/mod_imagemap.so</t>
  </si>
  <si>
    <t>LoadModule include_module modules/mod_include.so</t>
  </si>
  <si>
    <t>LoadModule isapi_module modules/mod_isapi.so</t>
  </si>
  <si>
    <t>#LoadModule lbmethod_bybusyness_module modules/mod_lbmethod_bybusyness.so</t>
  </si>
  <si>
    <t>#LoadModule lbmethod_bytraffic_module modules/mod_lbmethod_bytraffic.so</t>
  </si>
  <si>
    <t>#LoadModule lbmethod_heartbeat_module modules/mod_lbmethod_heartbeat.so</t>
  </si>
  <si>
    <t>#LoadModule ldap_module modules/mod_ldap.so</t>
  </si>
  <si>
    <t>#LoadModule logio_module modules/mod_logio.so</t>
  </si>
  <si>
    <t>LoadModule log_config_module modules/mod_log_config.so</t>
  </si>
  <si>
    <t>#LoadModule log_debug_module modules/mod_log_debug.so</t>
  </si>
  <si>
    <t>#LoadModule log_forensic_module modules/mod_log_forensic.so</t>
  </si>
  <si>
    <t>#LoadModule lua_module modules/mod_lua.so</t>
  </si>
  <si>
    <t>LoadModule mime_module modules/mod_mime.so</t>
  </si>
  <si>
    <t>#LoadModule mime_magic_module modules/mod_mime_magic.so</t>
  </si>
  <si>
    <t>LoadModule negotiation_module modules/mod_negotiation.so</t>
  </si>
  <si>
    <t>LoadModule proxy_ajp_module modules/mod_proxy_ajp.so</t>
  </si>
  <si>
    <t>#LoadModule proxy_connect_module modules/mod_proxy_connect.so</t>
  </si>
  <si>
    <t>#LoadModule proxy_express_module modules/mod_proxy_express.so</t>
  </si>
  <si>
    <t>#LoadModule proxy_fcgi_module modules/mod_proxy_fcgi.so</t>
  </si>
  <si>
    <t>#LoadModule proxy_ftp_module modules/mod_proxy_ftp.so</t>
  </si>
  <si>
    <t>#LoadModule proxy_html_module modules/mod_proxy_html.so</t>
  </si>
  <si>
    <t>#LoadModule proxy_http_module modules/mod_proxy_http.so</t>
  </si>
  <si>
    <t>#LoadModule proxy_scgi_module modules/mod_proxy_scgi.so</t>
  </si>
  <si>
    <t>#LoadModule ratelimit_module modules/mod_ratelimit.so</t>
  </si>
  <si>
    <t>#LoadModule reflector_module modules/mod_reflector.so</t>
  </si>
  <si>
    <t>#LoadModule remoteip_module modules/mod_remoteip.so</t>
  </si>
  <si>
    <t>#LoadModule request_module modules/mod_request.so</t>
  </si>
  <si>
    <t>#LoadModule reqtimeout_module modules/mod_reqtimeout.so</t>
  </si>
  <si>
    <t>#LoadModule rewrite_module modules/mod_rewrite.so</t>
  </si>
  <si>
    <t>#LoadModule sed_module modules/mod_sed.so</t>
  </si>
  <si>
    <t>#LoadModule session_module modules/mod_session.so</t>
  </si>
  <si>
    <t>#LoadModule session_cookie_module modules/mod_session_cookie.so</t>
  </si>
  <si>
    <t>#LoadModule session_crypto_module modules/mod_session_crypto.so</t>
  </si>
  <si>
    <t>#LoadModule session_dbd_module modules/mod_session_dbd.so</t>
  </si>
  <si>
    <t>LoadModule setenvif_module modules/mod_setenvif.so</t>
  </si>
  <si>
    <t>#LoadModule slotmem_plain_module modules/mod_slotmem_plain.so</t>
  </si>
  <si>
    <t>#LoadModule socache_dbm_module modules/mod_socache_dbm.so</t>
  </si>
  <si>
    <t>#LoadModule socache_memcache_module modules/mod_socache_memcache.so</t>
  </si>
  <si>
    <t>#LoadModule socache_shmcb_module modules/mod_socache_shmcb.so</t>
  </si>
  <si>
    <t>#LoadModule speling_module modules/mod_speling.so</t>
  </si>
  <si>
    <t>#LoadModule ssl_module modules/mod_ssl.so</t>
  </si>
  <si>
    <t>#LoadModule substitute_module modules/mod_substitute.so</t>
  </si>
  <si>
    <t>#LoadModule unique_id_module modules/mod_unique_id.so</t>
  </si>
  <si>
    <t>#LoadModule userdir_module modules/mod_userdir.so</t>
  </si>
  <si>
    <t>#LoadModule usertrack_module modules/mod_usertrack.so</t>
  </si>
  <si>
    <t>#LoadModule version_module modules/mod_version.so</t>
  </si>
  <si>
    <t>#LoadModule vhost_alias_module modules/mod_vhost_alias.so</t>
  </si>
  <si>
    <t>#LoadModule watchdog_module modules/mod_watchdog.so</t>
  </si>
  <si>
    <t>#LoadModule xml2enc_module modules/mod_xml2enc.so</t>
  </si>
  <si>
    <t>&lt;/IfModule&gt;</t>
  </si>
  <si>
    <t>#ServerAdmin admin@example.com</t>
  </si>
  <si>
    <t>#ServerName www.example.com:80</t>
  </si>
  <si>
    <t>#ErrorLog "logs/error.log"</t>
  </si>
  <si>
    <t>LogLevel warn</t>
  </si>
  <si>
    <t>&lt;IfModule log_config_module&gt;</t>
  </si>
  <si>
    <t xml:space="preserve">    SetEnvIf Request_URI "\.(bmp|css|gif|htc|ico|jpeg|jpg|js|mpeg|mpg|png|swf)$" notforward forwarded</t>
  </si>
  <si>
    <t xml:space="preserve">    SetEnvIf Request_URI ".*teeda\.ajax.*$" notforward forwarded</t>
  </si>
  <si>
    <t xml:space="preserve">    SetEnvIf Request_Method HEAD notforward forwarded</t>
  </si>
  <si>
    <t xml:space="preserve">    SetEnvIf X-Forwarded-For "^$" notforward</t>
  </si>
  <si>
    <t xml:space="preserve">    SetEnvIf X-Forwarded-For ".+" forwarded</t>
  </si>
  <si>
    <t xml:space="preserve">    LogFormat "%h %l %u %t \"%r\" %&gt;s %b" common</t>
  </si>
  <si>
    <t xml:space="preserve">    &lt;IfModule logio_module&gt;</t>
  </si>
  <si>
    <t xml:space="preserve">      LogFormat "%h %l %u %t \"%r\" %&gt;s %b \"%{Referer}i\" \"%{User-Agent}i\" %I %O" combinedio</t>
  </si>
  <si>
    <t xml:space="preserve">    &lt;/IfModule&gt;</t>
  </si>
  <si>
    <t xml:space="preserve">    #CustomLog "logs/access.log" common</t>
  </si>
  <si>
    <t xml:space="preserve">    #CustomLog "logs/access.log" combined</t>
  </si>
  <si>
    <t>&lt;IfModule alias_module&gt;</t>
  </si>
  <si>
    <t>#    AllowOverride None</t>
  </si>
  <si>
    <t>#    Options None</t>
  </si>
  <si>
    <t>#    Require all granted</t>
  </si>
  <si>
    <t>#&lt;/Directory&gt;</t>
  </si>
  <si>
    <t>#ErrorDocument 500 "The server made a boo boo."</t>
  </si>
  <si>
    <t>#ErrorDocument 404 /missing.html</t>
  </si>
  <si>
    <t>#ErrorDocument 404 "/cgi-bin/missing_handler.pl"</t>
  </si>
  <si>
    <t>Include conf/extra/httpd-mpm.conf</t>
  </si>
  <si>
    <t>#Include conf/extra/httpd-multilang-errordoc.conf</t>
  </si>
  <si>
    <t>#Include conf/extra/httpd-autoindex.conf</t>
  </si>
  <si>
    <t>#Include conf/extra/httpd-languages.conf</t>
  </si>
  <si>
    <t>#Include conf/extra/httpd-userdir.conf</t>
  </si>
  <si>
    <t>Include conf/extra/httpd-info.conf</t>
  </si>
  <si>
    <t>#Include conf/extra/httpd-vhosts.conf</t>
  </si>
  <si>
    <t>#Include conf/extra/httpd-manual.conf</t>
  </si>
  <si>
    <t>#Include conf/extra/httpd-dav.conf</t>
  </si>
  <si>
    <t>Include conf/extra/httpd-default.conf</t>
  </si>
  <si>
    <t>&lt;IfModule proxy_html_module&gt;</t>
  </si>
  <si>
    <t>Include conf/extra/proxy-html.conf</t>
  </si>
  <si>
    <t>FileETag none</t>
  </si>
  <si>
    <t>SetEnvIfNoCase Request_URI "\.html$" set_cookie</t>
  </si>
  <si>
    <t xml:space="preserve">  Require all granted</t>
  </si>
  <si>
    <t>&lt;/Location&gt;</t>
  </si>
  <si>
    <t>&lt;IfModule proxy_ajp_module&gt;</t>
  </si>
  <si>
    <t>ProxyRequests Off</t>
  </si>
  <si>
    <t>&lt;?xml version='1.0' encoding='utf-8'?&gt;</t>
  </si>
  <si>
    <t xml:space="preserve">  &lt;Listener className="org.apache.catalina.core.AprLifecycleListener" SSLEngine="on" /&gt;</t>
  </si>
  <si>
    <t xml:space="preserve">  &lt;Listener className="org.apache.catalina.core.JreMemoryLeakPreventionListener" /&gt;</t>
  </si>
  <si>
    <t xml:space="preserve">  &lt;Listener className="org.apache.catalina.mbeans.GlobalResourcesLifecycleListener" /&gt;</t>
  </si>
  <si>
    <t xml:space="preserve">  &lt;Listener className="org.apache.catalina.core.ThreadLocalLeakPreventionListener" /&gt;</t>
  </si>
  <si>
    <t xml:space="preserve">  &lt;GlobalNamingResources&gt;</t>
  </si>
  <si>
    <t xml:space="preserve">    --&gt;</t>
  </si>
  <si>
    <t xml:space="preserve">    &lt;Resource name="UserDatabase" auth="Container"</t>
  </si>
  <si>
    <t xml:space="preserve">              type="org.apache.catalina.UserDatabase"</t>
  </si>
  <si>
    <t xml:space="preserve">              description="User database that can be updated and saved"</t>
  </si>
  <si>
    <t xml:space="preserve">              factory="org.apache.catalina.users.MemoryUserDatabaseFactory"</t>
  </si>
  <si>
    <t xml:space="preserve">              pathname="conf/tomcat-users.xml" /&gt;</t>
  </si>
  <si>
    <t xml:space="preserve">  &lt;/GlobalNamingResources&gt;</t>
  </si>
  <si>
    <t xml:space="preserve">    &lt;!--</t>
  </si>
  <si>
    <t xml:space="preserve">    &lt;Executor name="tomcatThreadPool" namePrefix="catalina-exec-"</t>
  </si>
  <si>
    <t xml:space="preserve">        maxThreads="150" minSpareThreads="4"/&gt;</t>
  </si>
  <si>
    <t xml:space="preserve">               connectionTimeout="20000"</t>
  </si>
  <si>
    <t xml:space="preserve">               redirectPort="8443" /&gt;</t>
  </si>
  <si>
    <t xml:space="preserve">    &lt;Connector executor="tomcatThreadPool"</t>
  </si>
  <si>
    <t xml:space="preserve">    &lt;Connector port="8443" protocol="HTTP/1.1" SSLEnabled="true"</t>
  </si>
  <si>
    <t xml:space="preserve">               maxThreads="150" scheme="https" secure="true"</t>
  </si>
  <si>
    <t xml:space="preserve">               clientAuth="false" sslProtocol="TLS" /&gt;</t>
  </si>
  <si>
    <t xml:space="preserve">    &lt;!-- Define an AJP 1.3 Connector on port 50000 --&gt;</t>
  </si>
  <si>
    <t xml:space="preserve">      &lt;!--For clustering, please take a look at documentation at:</t>
  </si>
  <si>
    <t xml:space="preserve">          /docs/cluster-howto.html  (simple how to)</t>
  </si>
  <si>
    <t xml:space="preserve">          /docs/config/cluster.html (reference documentation) --&gt;</t>
  </si>
  <si>
    <t xml:space="preserve">      &lt;!--</t>
  </si>
  <si>
    <t xml:space="preserve">      &lt;Cluster className="org.apache.catalina.ha.tcp.SimpleTcpCluster"/&gt;</t>
  </si>
  <si>
    <t xml:space="preserve">      --&gt;</t>
  </si>
  <si>
    <t xml:space="preserve">        &lt;!--</t>
  </si>
  <si>
    <t xml:space="preserve">        --&gt;</t>
  </si>
  <si>
    <t xml:space="preserve">      &lt;Realm className="org.apache.catalina.realm.LockOutRealm"&gt;</t>
  </si>
  <si>
    <t xml:space="preserve">        &lt;Realm className="org.apache.catalina.realm.UserDatabaseRealm"</t>
  </si>
  <si>
    <t xml:space="preserve">               resourceName="UserDatabase"/&gt;</t>
  </si>
  <si>
    <t xml:space="preserve">      &lt;/Realm&gt;</t>
  </si>
  <si>
    <t xml:space="preserve">      &lt;Host name="localhost"  appBase="webapps"</t>
  </si>
  <si>
    <t xml:space="preserve">            unpackWARs="false" autoDeploy="false"&gt;</t>
  </si>
  <si>
    <t xml:space="preserve">        &lt;Valve className="org.apache.catalina.authenticator.SingleSignOn" /&gt;</t>
  </si>
  <si>
    <t xml:space="preserve">        &lt;Valve className="org.apache.catalina.valves.AccessLogValve" directory="logs"</t>
  </si>
  <si>
    <t xml:space="preserve">               prefix="localhost_access_log." suffix=".txt"</t>
  </si>
  <si>
    <t xml:space="preserve">               pattern="%h %l %u %t &amp;quot;%r&amp;quot; %s %b" /&gt;</t>
  </si>
  <si>
    <t xml:space="preserve">      &lt;/Host&gt;</t>
  </si>
  <si>
    <t xml:space="preserve">    &lt;/Engine&gt;</t>
  </si>
  <si>
    <t xml:space="preserve">  &lt;/Service&gt;</t>
  </si>
  <si>
    <t>&lt;/Server&gt;</t>
  </si>
  <si>
    <t xml:space="preserve">    &lt;Connector port="50080" protocol="HTTP/1.1"</t>
    <phoneticPr fontId="3"/>
  </si>
  <si>
    <t xml:space="preserve">               port="50080" protocol="HTTP/1.1"</t>
    <phoneticPr fontId="3"/>
  </si>
  <si>
    <t>pdf_url</t>
  </si>
  <si>
    <t>photo_url</t>
  </si>
  <si>
    <t>work_path</t>
  </si>
  <si>
    <t>photo_path</t>
  </si>
  <si>
    <t>photo_path_domain</t>
  </si>
  <si>
    <t>photo_path_user</t>
  </si>
  <si>
    <t>photo_path_password</t>
  </si>
  <si>
    <t>share_path</t>
  </si>
  <si>
    <t>share_path_domain</t>
  </si>
  <si>
    <t>share_path_user</t>
  </si>
  <si>
    <t>share_path_password</t>
  </si>
  <si>
    <t>layout_path</t>
  </si>
  <si>
    <t>jp1.binpath</t>
  </si>
  <si>
    <t>jp1.managerhost</t>
  </si>
  <si>
    <t>jp1.agenthost</t>
  </si>
  <si>
    <t>jp1.username</t>
  </si>
  <si>
    <t>jp1.exclusive</t>
  </si>
  <si>
    <t>jp1.overtime</t>
  </si>
  <si>
    <t>jp1.scriptdir</t>
  </si>
  <si>
    <t>jp1.envfile</t>
  </si>
  <si>
    <t>jp1.scriptlog</t>
  </si>
  <si>
    <t>rmi.overtime</t>
  </si>
  <si>
    <t>rmi.envfile</t>
  </si>
  <si>
    <t>rmi.scriptlog</t>
  </si>
  <si>
    <t>smtp.host</t>
  </si>
  <si>
    <t>smtp.port</t>
  </si>
  <si>
    <t>smtp.user</t>
  </si>
  <si>
    <t>thumbnail_width</t>
  </si>
  <si>
    <t>thumbnail_height</t>
  </si>
  <si>
    <t>gamenid.login</t>
  </si>
  <si>
    <t>gamenid.sidemenu</t>
  </si>
  <si>
    <t>gamenid.sso</t>
  </si>
  <si>
    <t>gamenid.errorKakunin</t>
  </si>
  <si>
    <t>version_path</t>
  </si>
  <si>
    <t>title</t>
  </si>
  <si>
    <t/>
  </si>
  <si>
    <t>計</t>
    <rPh sb="0" eb="1">
      <t>ケイ</t>
    </rPh>
    <phoneticPr fontId="3"/>
  </si>
  <si>
    <t>照合順序</t>
    <rPh sb="0" eb="2">
      <t>ショウゴウ</t>
    </rPh>
    <rPh sb="2" eb="4">
      <t>ジュンジョ</t>
    </rPh>
    <phoneticPr fontId="3"/>
  </si>
  <si>
    <t>権限</t>
    <rPh sb="0" eb="2">
      <t>ケンゲン</t>
    </rPh>
    <phoneticPr fontId="3"/>
  </si>
  <si>
    <t>１.　システム環境定義（検証機）</t>
    <rPh sb="7" eb="9">
      <t>カンキョウ</t>
    </rPh>
    <rPh sb="9" eb="11">
      <t>テイギ</t>
    </rPh>
    <rPh sb="12" eb="14">
      <t>ケンショウ</t>
    </rPh>
    <rPh sb="14" eb="15">
      <t>キ</t>
    </rPh>
    <phoneticPr fontId="3"/>
  </si>
  <si>
    <t>～</t>
    <phoneticPr fontId="3"/>
  </si>
  <si>
    <t>&lt; IfModule mpm_winnt_module &gt;</t>
  </si>
  <si>
    <t>MaxConnectionsPerChild 0</t>
  </si>
  <si>
    <t>&lt; /IfModule &gt;</t>
  </si>
  <si>
    <t>AcceptFilter http none</t>
  </si>
  <si>
    <t>AcceptFilter https none</t>
  </si>
  <si>
    <t>EnableSendfile off</t>
  </si>
  <si>
    <t>EnableMMAP off</t>
  </si>
  <si>
    <t>conf/extra/httpd-mpm.conf</t>
    <phoneticPr fontId="3"/>
  </si>
  <si>
    <t>conf/extra/httpd-info.conf</t>
    <phoneticPr fontId="3"/>
  </si>
  <si>
    <t>&lt;Location /server-status</t>
    <phoneticPr fontId="3"/>
  </si>
  <si>
    <t>SetHandler server-status</t>
    <phoneticPr fontId="3"/>
  </si>
  <si>
    <t>&lt;Location&gt;</t>
    <phoneticPr fontId="3"/>
  </si>
  <si>
    <t>大久保　梓沙</t>
    <rPh sb="0" eb="3">
      <t>オオクボ</t>
    </rPh>
    <rPh sb="4" eb="6">
      <t>アヅサ</t>
    </rPh>
    <phoneticPr fontId="3"/>
  </si>
  <si>
    <t>smtp.password</t>
    <phoneticPr fontId="3"/>
  </si>
  <si>
    <t>smtp.frequency</t>
    <phoneticPr fontId="3"/>
  </si>
  <si>
    <t>smtp.maxSession</t>
    <phoneticPr fontId="3"/>
  </si>
  <si>
    <t>gamenid.home</t>
    <phoneticPr fontId="3"/>
  </si>
  <si>
    <t>JAVA_HOME</t>
    <phoneticPr fontId="3"/>
  </si>
  <si>
    <t>%SystemRoot%</t>
    <phoneticPr fontId="3"/>
  </si>
  <si>
    <t>%SYSTEMROOT%\System32\WindowsPowerShell\v1.0\</t>
    <phoneticPr fontId="3"/>
  </si>
  <si>
    <t>（６）WindowsUpdate</t>
    <phoneticPr fontId="3"/>
  </si>
  <si>
    <t>General</t>
    <phoneticPr fontId="3"/>
  </si>
  <si>
    <t>Service name：</t>
    <phoneticPr fontId="3"/>
  </si>
  <si>
    <t>Display name：</t>
    <phoneticPr fontId="3"/>
  </si>
  <si>
    <t>Description：</t>
    <phoneticPr fontId="3"/>
  </si>
  <si>
    <t>Path to executable：</t>
    <phoneticPr fontId="3"/>
  </si>
  <si>
    <t>Startup type：</t>
    <phoneticPr fontId="3"/>
  </si>
  <si>
    <t>Automatic</t>
    <phoneticPr fontId="3"/>
  </si>
  <si>
    <t>Log On</t>
    <phoneticPr fontId="3"/>
  </si>
  <si>
    <t>Log on as：◎Local System account</t>
    <phoneticPr fontId="3"/>
  </si>
  <si>
    <t>Logging</t>
    <phoneticPr fontId="3"/>
  </si>
  <si>
    <t>Level：</t>
    <phoneticPr fontId="3"/>
  </si>
  <si>
    <t>Info</t>
    <phoneticPr fontId="3"/>
  </si>
  <si>
    <t>Log path：</t>
    <phoneticPr fontId="3"/>
  </si>
  <si>
    <t>Log prefix：</t>
    <phoneticPr fontId="3"/>
  </si>
  <si>
    <t>commons-deamon</t>
    <phoneticPr fontId="3"/>
  </si>
  <si>
    <t>Pid file：</t>
    <phoneticPr fontId="3"/>
  </si>
  <si>
    <t>Redirect Stdout：</t>
    <phoneticPr fontId="3"/>
  </si>
  <si>
    <t>auto</t>
    <phoneticPr fontId="3"/>
  </si>
  <si>
    <t>Redirect Stderr：</t>
    <phoneticPr fontId="3"/>
  </si>
  <si>
    <t>Java</t>
    <phoneticPr fontId="3"/>
  </si>
  <si>
    <t>Java Virtual Machine：</t>
    <phoneticPr fontId="3"/>
  </si>
  <si>
    <t>Java Classpath：</t>
    <phoneticPr fontId="3"/>
  </si>
  <si>
    <t>Java Options：</t>
    <phoneticPr fontId="3"/>
  </si>
  <si>
    <t>Java9 Options：</t>
    <phoneticPr fontId="3"/>
  </si>
  <si>
    <t>Initial memory pool：</t>
    <phoneticPr fontId="3"/>
  </si>
  <si>
    <t>Maximum memory pool：</t>
    <phoneticPr fontId="3"/>
  </si>
  <si>
    <t>Thread stack size：</t>
    <phoneticPr fontId="3"/>
  </si>
  <si>
    <t>Startup</t>
    <phoneticPr fontId="3"/>
  </si>
  <si>
    <t>Class：</t>
    <phoneticPr fontId="3"/>
  </si>
  <si>
    <t>org.apache.catalina.startup.Bootstrap</t>
    <phoneticPr fontId="3"/>
  </si>
  <si>
    <t>Image：</t>
    <phoneticPr fontId="3"/>
  </si>
  <si>
    <t>Working Path：</t>
    <phoneticPr fontId="3"/>
  </si>
  <si>
    <t>Method：</t>
    <phoneticPr fontId="3"/>
  </si>
  <si>
    <t>Arguments：</t>
    <phoneticPr fontId="3"/>
  </si>
  <si>
    <t>Timeout：</t>
    <phoneticPr fontId="3"/>
  </si>
  <si>
    <t>Mode：</t>
    <phoneticPr fontId="3"/>
  </si>
  <si>
    <t>jvm</t>
    <phoneticPr fontId="3"/>
  </si>
  <si>
    <t>Shutdown</t>
    <phoneticPr fontId="3"/>
  </si>
  <si>
    <t>stop</t>
    <phoneticPr fontId="3"/>
  </si>
  <si>
    <t>１．８</t>
  </si>
  <si>
    <t>AllJoyn Router Service</t>
  </si>
  <si>
    <t>手動</t>
  </si>
  <si>
    <t>Application Layer Gateway Service</t>
  </si>
  <si>
    <t>Apache2.4</t>
  </si>
  <si>
    <t>自動</t>
  </si>
  <si>
    <t>Application Identity</t>
  </si>
  <si>
    <t>Application Information</t>
  </si>
  <si>
    <t>Application Management</t>
  </si>
  <si>
    <t>App Readiness</t>
  </si>
  <si>
    <t>Microsoft App-V Client</t>
  </si>
  <si>
    <t>無効</t>
  </si>
  <si>
    <t>Windows Audio Endpoint Builder</t>
  </si>
  <si>
    <t>Windows Audio</t>
  </si>
  <si>
    <t>Base Filtering Engine</t>
  </si>
  <si>
    <t>Background Intelligent Transfer Service</t>
  </si>
  <si>
    <t>Background Tasks Infrastructure Service</t>
  </si>
  <si>
    <t>Bluetooth サポート サービス</t>
  </si>
  <si>
    <t>Connected Devices Platform Service</t>
  </si>
  <si>
    <t>Certificate Propagation</t>
  </si>
  <si>
    <t>COM+ System Application</t>
  </si>
  <si>
    <t>CoreMessaging</t>
  </si>
  <si>
    <t>Cryptographic Services</t>
  </si>
  <si>
    <t>Offline Files</t>
  </si>
  <si>
    <t>DCOM Server Process Launcher</t>
  </si>
  <si>
    <t>Optimize drives</t>
  </si>
  <si>
    <t>Device Association Service</t>
  </si>
  <si>
    <t>Device Install Service</t>
  </si>
  <si>
    <t>DevQuery Background Discovery Broker</t>
  </si>
  <si>
    <t>DHCP Client</t>
  </si>
  <si>
    <t>Connected User Experiences and Telemetry</t>
  </si>
  <si>
    <t>デバイス管理登録サービス</t>
  </si>
  <si>
    <t>DNS Client</t>
  </si>
  <si>
    <t>Wired AutoConfig</t>
  </si>
  <si>
    <t>Diagnostic Policy Service</t>
  </si>
  <si>
    <t>Device Setup Manager</t>
  </si>
  <si>
    <t>Data Sharing Service</t>
  </si>
  <si>
    <t>Extensible Authentication Protocol</t>
  </si>
  <si>
    <t>埋め込みモード</t>
  </si>
  <si>
    <t>Enterprise App Management Service</t>
  </si>
  <si>
    <t>Windows Event Log</t>
  </si>
  <si>
    <t>COM+ Event System</t>
  </si>
  <si>
    <t>Function Discovery Provider Host</t>
  </si>
  <si>
    <t>Function Discovery Resource Publication</t>
  </si>
  <si>
    <t>Windows Font Cache Service</t>
  </si>
  <si>
    <t>Windows カメラ フレーム サーバー</t>
  </si>
  <si>
    <t>Group Policy Client</t>
  </si>
  <si>
    <t>Human Interface Device Service</t>
  </si>
  <si>
    <t>HV ホスト サービス</t>
  </si>
  <si>
    <t>IKE and AuthIP IPsec Keying Modules</t>
  </si>
  <si>
    <t>IP Helper</t>
  </si>
  <si>
    <t>CNG Key Isolation</t>
  </si>
  <si>
    <t>KtmRm for Distributed Transaction Coordinator</t>
  </si>
  <si>
    <t>Server</t>
  </si>
  <si>
    <t>Workstation</t>
  </si>
  <si>
    <t>Geolocation Service</t>
  </si>
  <si>
    <t>Windows ライセンス マネージャー サービス</t>
  </si>
  <si>
    <t>Link-Layer Topology Discovery Mapper</t>
  </si>
  <si>
    <t>TCP/IP NetBIOS Helper</t>
  </si>
  <si>
    <t>Local Session Manager</t>
  </si>
  <si>
    <t>Downloaded Maps Manager</t>
  </si>
  <si>
    <t>Distributed Transaction Coordinator</t>
  </si>
  <si>
    <t>Microsoft iSCSI Initiator Service</t>
  </si>
  <si>
    <t>Windows Installer</t>
  </si>
  <si>
    <t>Network Connectivity Assistant</t>
  </si>
  <si>
    <t>Network Connection Broker</t>
  </si>
  <si>
    <t>Netlogon</t>
  </si>
  <si>
    <t>Network Connections</t>
  </si>
  <si>
    <t>Network List Service</t>
  </si>
  <si>
    <t>Network Setup Service</t>
  </si>
  <si>
    <t>Net.Tcp Port Sharing Service</t>
  </si>
  <si>
    <t>Microsoft Passport Container</t>
  </si>
  <si>
    <t>Microsoft Passport</t>
  </si>
  <si>
    <t>Network Location Awareness</t>
  </si>
  <si>
    <t>Network Store Interface Service</t>
  </si>
  <si>
    <t>Program Compatibility Assistant Service</t>
  </si>
  <si>
    <t>Performance Counter DLL Host</t>
  </si>
  <si>
    <t>Performance Logs &amp; Alerts</t>
  </si>
  <si>
    <t>Plug and Play</t>
  </si>
  <si>
    <t>IPsec Policy Agent</t>
  </si>
  <si>
    <t>Power</t>
  </si>
  <si>
    <t>Printer Extensions and Notifications</t>
  </si>
  <si>
    <t>User Profile Service</t>
  </si>
  <si>
    <t>Quality Windows Audio Video Experience</t>
  </si>
  <si>
    <t>Remote Access Auto Connection Manager</t>
  </si>
  <si>
    <t>Remote Access Connection Manager</t>
  </si>
  <si>
    <t>Routing and Remote Access</t>
  </si>
  <si>
    <t>Remote Registry</t>
  </si>
  <si>
    <t>無線管理サービス</t>
  </si>
  <si>
    <t>RPC Endpoint Mapper</t>
  </si>
  <si>
    <t>Resultant Set of Policy Provider</t>
  </si>
  <si>
    <t>Special Administration Console Helper</t>
  </si>
  <si>
    <t>Security Accounts Manager</t>
  </si>
  <si>
    <t>Smart Card</t>
  </si>
  <si>
    <t>Smart Card Device Enumeration Service</t>
  </si>
  <si>
    <t>Task Scheduler</t>
  </si>
  <si>
    <t>Smart Card Removal Policy</t>
  </si>
  <si>
    <t>Secondary Logon</t>
  </si>
  <si>
    <t>System Event Notification Service</t>
  </si>
  <si>
    <t>Sensor Data Service</t>
  </si>
  <si>
    <t>Sensor Service</t>
  </si>
  <si>
    <t>Sensor Monitoring Service</t>
  </si>
  <si>
    <t>Remote Desktop Configuration</t>
  </si>
  <si>
    <t>Shell Hardware Detection</t>
  </si>
  <si>
    <t>Microsoft Storage Spaces SMP</t>
  </si>
  <si>
    <t>Print Spooler</t>
  </si>
  <si>
    <t>Software Protection</t>
  </si>
  <si>
    <t>SSDP Discovery</t>
  </si>
  <si>
    <t>Secure Socket Tunneling Protocol Service</t>
  </si>
  <si>
    <t>State Repository Service</t>
  </si>
  <si>
    <t>Storage Service</t>
  </si>
  <si>
    <t>Spot Verifier</t>
  </si>
  <si>
    <t>Microsoft Software Shadow Copy Provider</t>
  </si>
  <si>
    <t>System Events Broker</t>
  </si>
  <si>
    <t>Touch Keyboard and Handwriting Panel Service</t>
  </si>
  <si>
    <t>Telephony</t>
  </si>
  <si>
    <t>Remote Desktop Services</t>
  </si>
  <si>
    <t>Themes</t>
  </si>
  <si>
    <t>Storage Tiers Management</t>
  </si>
  <si>
    <t>Time Broker</t>
  </si>
  <si>
    <t>Apache Tomcat 9.0 Tomcat9</t>
  </si>
  <si>
    <t>Distributed Link Tracking Client</t>
  </si>
  <si>
    <t>Windows Modules Installer</t>
  </si>
  <si>
    <t>タイム ゾーンの自動更新機能</t>
  </si>
  <si>
    <t>User Access Logging Service</t>
  </si>
  <si>
    <t>ユーザー エクスペリエンス仮想化サービス</t>
  </si>
  <si>
    <t>Remote Desktop Services UserMode Port Redirector</t>
  </si>
  <si>
    <t>UPnP Device Host</t>
  </si>
  <si>
    <t>User Manager</t>
  </si>
  <si>
    <t>Credential Manager</t>
  </si>
  <si>
    <t>Virtual Disk</t>
  </si>
  <si>
    <t>Hyper-V Guest Service Interface</t>
  </si>
  <si>
    <t>Hyper-V Heartbeat Service</t>
  </si>
  <si>
    <t>Hyper-V Data Exchange Service</t>
  </si>
  <si>
    <t>Hyper-V Guest Shutdown Service</t>
  </si>
  <si>
    <t>Hyper-V Time Synchronization Service</t>
  </si>
  <si>
    <t>Hyper-V PowerShell Direct Service</t>
  </si>
  <si>
    <t>Hyper-V ボリューム シャドウ コピー リクエスター</t>
  </si>
  <si>
    <t>Volume Shadow Copy</t>
  </si>
  <si>
    <t>Windows Time</t>
  </si>
  <si>
    <t>WalletService</t>
  </si>
  <si>
    <t>Windows Biometric Service</t>
  </si>
  <si>
    <t>Windows Connection Manager</t>
  </si>
  <si>
    <t>Diagnostic Service Host</t>
  </si>
  <si>
    <t>Diagnostic System Host</t>
  </si>
  <si>
    <t>Windows Event Collector</t>
  </si>
  <si>
    <t>Windows Encryption Provider Host Service</t>
  </si>
  <si>
    <t>Windows Error Reporting Service</t>
  </si>
  <si>
    <t>Still Image Acquisition Events</t>
  </si>
  <si>
    <t>WinHTTP Web Proxy Auto-Discovery Service</t>
  </si>
  <si>
    <t>Windows Management Instrumentation</t>
  </si>
  <si>
    <t>Windows Insider サービス</t>
  </si>
  <si>
    <t>Microsoft Account Sign-in Assistant</t>
  </si>
  <si>
    <t>WMI Performance Adapter</t>
  </si>
  <si>
    <t>Portable Device Enumerator Service</t>
  </si>
  <si>
    <t>Windows プッシュ通知システム サービス</t>
  </si>
  <si>
    <t>Windows Search</t>
  </si>
  <si>
    <t>Windows Update</t>
  </si>
  <si>
    <t xml:space="preserve"> </t>
    <phoneticPr fontId="3"/>
  </si>
  <si>
    <t>構成図</t>
    <phoneticPr fontId="3"/>
  </si>
  <si>
    <t>１．１　構成図</t>
    <rPh sb="4" eb="6">
      <t>コウセイ</t>
    </rPh>
    <rPh sb="6" eb="7">
      <t>ズ</t>
    </rPh>
    <phoneticPr fontId="3"/>
  </si>
  <si>
    <t>サーバ設計</t>
    <phoneticPr fontId="3"/>
  </si>
  <si>
    <t>管理者</t>
    <rPh sb="0" eb="3">
      <t>カンリシャ</t>
    </rPh>
    <phoneticPr fontId="3"/>
  </si>
  <si>
    <t>職員</t>
    <rPh sb="0" eb="2">
      <t>ショクイン</t>
    </rPh>
    <phoneticPr fontId="3"/>
  </si>
  <si>
    <t>ﾛｰﾄﾞﾊﾞﾗﾝｻｰ</t>
    <phoneticPr fontId="3"/>
  </si>
  <si>
    <t>JMXﾎﾟｰﾄ</t>
    <phoneticPr fontId="3"/>
  </si>
  <si>
    <t>学生勤務管理</t>
    <rPh sb="0" eb="2">
      <t>ガクセイ</t>
    </rPh>
    <rPh sb="2" eb="6">
      <t>キンムカンリ</t>
    </rPh>
    <phoneticPr fontId="3"/>
  </si>
  <si>
    <t>/gakuseikinmu</t>
    <phoneticPr fontId="3"/>
  </si>
  <si>
    <t>Catalina-gf</t>
    <phoneticPr fontId="3"/>
  </si>
  <si>
    <t>50000/tcp</t>
    <phoneticPr fontId="3"/>
  </si>
  <si>
    <t>50040/tcp</t>
    <phoneticPr fontId="3"/>
  </si>
  <si>
    <t>3300/tcp</t>
    <phoneticPr fontId="3"/>
  </si>
  <si>
    <t>gakuseikinmu</t>
    <phoneticPr fontId="3"/>
  </si>
  <si>
    <t>DB</t>
    <phoneticPr fontId="3"/>
  </si>
  <si>
    <t>検証環境は、１環境用意する。</t>
    <rPh sb="0" eb="2">
      <t>ケンショウ</t>
    </rPh>
    <rPh sb="2" eb="4">
      <t>カンキョウ</t>
    </rPh>
    <rPh sb="7" eb="9">
      <t>カンキョウ</t>
    </rPh>
    <rPh sb="9" eb="11">
      <t>ヨウイ</t>
    </rPh>
    <phoneticPr fontId="3"/>
  </si>
  <si>
    <t>１．３　サーバ設計</t>
    <phoneticPr fontId="3"/>
  </si>
  <si>
    <t>Windows Server 2022 Datacenter</t>
    <phoneticPr fontId="3"/>
  </si>
  <si>
    <t>ゲストｻｰﾊﾞ名</t>
    <rPh sb="7" eb="8">
      <t>メイ</t>
    </rPh>
    <phoneticPr fontId="3"/>
  </si>
  <si>
    <t>インスタンス数</t>
    <phoneticPr fontId="3"/>
  </si>
  <si>
    <t>インスタンスタイプ</t>
    <phoneticPr fontId="3"/>
  </si>
  <si>
    <t>コア数</t>
    <rPh sb="2" eb="3">
      <t>スウ</t>
    </rPh>
    <phoneticPr fontId="3"/>
  </si>
  <si>
    <t>メモリ
(GiB)</t>
    <phoneticPr fontId="3"/>
  </si>
  <si>
    <t>ﾃﾞｨｽｸ
(GB)</t>
    <phoneticPr fontId="3"/>
  </si>
  <si>
    <t>用途</t>
    <rPh sb="0" eb="2">
      <t>ヨウト</t>
    </rPh>
    <phoneticPr fontId="3"/>
  </si>
  <si>
    <t>ＯＳ</t>
    <phoneticPr fontId="3"/>
  </si>
  <si>
    <t>備考</t>
    <rPh sb="0" eb="2">
      <t>ビコウ</t>
    </rPh>
    <phoneticPr fontId="21"/>
  </si>
  <si>
    <t>１．５　ユーザ／セキュリティ設計</t>
    <rPh sb="14" eb="16">
      <t>セッケイ</t>
    </rPh>
    <phoneticPr fontId="3"/>
  </si>
  <si>
    <t>PostgeSQLアカウント</t>
    <phoneticPr fontId="3"/>
  </si>
  <si>
    <t>テーブル空間</t>
    <rPh sb="4" eb="6">
      <t>クウカン</t>
    </rPh>
    <phoneticPr fontId="3"/>
  </si>
  <si>
    <t>検証用</t>
    <rPh sb="0" eb="3">
      <t>ケンショウヨウ</t>
    </rPh>
    <phoneticPr fontId="3"/>
  </si>
  <si>
    <t>gakuseikinmu01</t>
    <phoneticPr fontId="3"/>
  </si>
  <si>
    <t>psgakuseikinmu01</t>
    <phoneticPr fontId="3"/>
  </si>
  <si>
    <t>１．６　バックアップ設計</t>
    <rPh sb="10" eb="12">
      <t>セッケイ</t>
    </rPh>
    <phoneticPr fontId="3"/>
  </si>
  <si>
    <t>アプリケーションログ</t>
    <phoneticPr fontId="3"/>
  </si>
  <si>
    <t>通知設計</t>
    <rPh sb="0" eb="2">
      <t>ツウチ</t>
    </rPh>
    <rPh sb="2" eb="4">
      <t>セッケイ</t>
    </rPh>
    <phoneticPr fontId="3"/>
  </si>
  <si>
    <t>ドメイン:</t>
    <phoneticPr fontId="3"/>
  </si>
  <si>
    <t>※日立Java</t>
    <rPh sb="1" eb="3">
      <t>ヒタチ</t>
    </rPh>
    <phoneticPr fontId="3"/>
  </si>
  <si>
    <t>インターフェイス</t>
    <phoneticPr fontId="3"/>
  </si>
  <si>
    <t>C:\data\htdocs</t>
    <phoneticPr fontId="3"/>
  </si>
  <si>
    <t>C:\gakuseikinmu</t>
    <phoneticPr fontId="3"/>
  </si>
  <si>
    <t>C:\gakuseikinmu\work</t>
    <phoneticPr fontId="3"/>
  </si>
  <si>
    <t>C:\logs_httpd</t>
    <phoneticPr fontId="3"/>
  </si>
  <si>
    <t>C:\logs_tomcat</t>
    <phoneticPr fontId="3"/>
  </si>
  <si>
    <t>ﾘﾘｰｽﾓｼﾞｭｰﾙ配置場所</t>
    <rPh sb="10" eb="12">
      <t>ハイチ</t>
    </rPh>
    <rPh sb="12" eb="14">
      <t>バショ</t>
    </rPh>
    <phoneticPr fontId="3"/>
  </si>
  <si>
    <t>PostgeSQL本体</t>
    <rPh sb="9" eb="11">
      <t>ホンタイ</t>
    </rPh>
    <phoneticPr fontId="3"/>
  </si>
  <si>
    <t>データバックアップ</t>
    <phoneticPr fontId="3"/>
  </si>
  <si>
    <t>C:\</t>
    <phoneticPr fontId="3"/>
  </si>
  <si>
    <t>│</t>
    <phoneticPr fontId="3"/>
  </si>
  <si>
    <t>├─</t>
    <phoneticPr fontId="3"/>
  </si>
  <si>
    <t>│</t>
  </si>
  <si>
    <t>・・・</t>
    <phoneticPr fontId="3"/>
  </si>
  <si>
    <t>Apache</t>
    <phoneticPr fontId="3"/>
  </si>
  <si>
    <t>└─</t>
    <phoneticPr fontId="3"/>
  </si>
  <si>
    <t>tomcat</t>
    <phoneticPr fontId="3"/>
  </si>
  <si>
    <t>Tomcat</t>
    <phoneticPr fontId="3"/>
  </si>
  <si>
    <t>logs</t>
    <phoneticPr fontId="3"/>
  </si>
  <si>
    <t>Tomcatのログ</t>
    <phoneticPr fontId="3"/>
  </si>
  <si>
    <t>logs_httpd</t>
    <phoneticPr fontId="3"/>
  </si>
  <si>
    <t>logs_tomcat</t>
    <phoneticPr fontId="3"/>
  </si>
  <si>
    <t>アプリケーションのログ</t>
    <phoneticPr fontId="3"/>
  </si>
  <si>
    <t>data</t>
    <phoneticPr fontId="3"/>
  </si>
  <si>
    <t>index.html等の静的HTML</t>
    <rPh sb="10" eb="11">
      <t>ナド</t>
    </rPh>
    <rPh sb="12" eb="14">
      <t>セイテキ</t>
    </rPh>
    <phoneticPr fontId="3"/>
  </si>
  <si>
    <t>PostgreSQL</t>
    <phoneticPr fontId="3"/>
  </si>
  <si>
    <t>データベース本体</t>
    <rPh sb="6" eb="8">
      <t>ホンタイ</t>
    </rPh>
    <phoneticPr fontId="3"/>
  </si>
  <si>
    <t>pgAdmin 4</t>
    <phoneticPr fontId="3"/>
  </si>
  <si>
    <t>データベース GUI</t>
    <phoneticPr fontId="3"/>
  </si>
  <si>
    <t>PGDATA</t>
    <phoneticPr fontId="3"/>
  </si>
  <si>
    <t>Apache Tomcat catalina-gf</t>
    <phoneticPr fontId="3"/>
  </si>
  <si>
    <t>ServerRoot "${SRVROOT}"</t>
  </si>
  <si>
    <t>#LoadModule access_compat_module modules/mod_access_compat.so</t>
    <phoneticPr fontId="3"/>
  </si>
  <si>
    <t>#LoadModule auth_basic_module modules/mod_auth_basic.so</t>
    <phoneticPr fontId="3"/>
  </si>
  <si>
    <t>#LoadModule auth_form_module modules/mod_auth_form.so</t>
    <phoneticPr fontId="3"/>
  </si>
  <si>
    <t>#LoadModule authnz_fcgi_module modules/mod_authnz_fcgi.so</t>
    <phoneticPr fontId="3"/>
  </si>
  <si>
    <t>#LoadModule brotli_module modules/mod_brotli.so</t>
  </si>
  <si>
    <t>#LoadModule cache_socache_module modules/mod_cache_socache.so</t>
  </si>
  <si>
    <t>次頁へ続く</t>
    <phoneticPr fontId="3"/>
  </si>
  <si>
    <t>前頁の続き</t>
    <phoneticPr fontId="3"/>
  </si>
  <si>
    <t>LoadModule expires_module modules/mod_expires.so</t>
    <phoneticPr fontId="3"/>
  </si>
  <si>
    <t>#LoadModule http2_module modules/mod_http2.so</t>
    <phoneticPr fontId="3"/>
  </si>
  <si>
    <t>LoadModule headers_module modules/mod_headers.so</t>
    <phoneticPr fontId="3"/>
  </si>
  <si>
    <t>#LoadModule info_module modules/mod_info.so</t>
  </si>
  <si>
    <t>#LoadModule lbmethod_byrequests_module modules/mod_lbmethod_byrequests.so</t>
  </si>
  <si>
    <t>#LoadModule macro_module modules/mod_macro.so</t>
  </si>
  <si>
    <t>#LoadModule md_module modules/mod_md.so</t>
  </si>
  <si>
    <t>LoadModule proxy_module modules/mod_proxy.so</t>
    <phoneticPr fontId="3"/>
  </si>
  <si>
    <t>Apache のプロキシ/ゲートウェイ機能</t>
    <phoneticPr fontId="3"/>
  </si>
  <si>
    <t>AJP13 プロトコルの利用（Tomcatとの通信）。mod_proxy.soとペア</t>
    <rPh sb="12" eb="14">
      <t>リヨウ</t>
    </rPh>
    <rPh sb="23" eb="25">
      <t>ツウシン</t>
    </rPh>
    <phoneticPr fontId="3"/>
  </si>
  <si>
    <t>#LoadModule proxy_balancer_module modules/mod_proxy_balancer.so</t>
  </si>
  <si>
    <t>#LoadModule proxy_hcheck_module modules/mod_proxy_hcheck.so</t>
  </si>
  <si>
    <t>#LoadModule proxy_http2_module modules/mod_proxy_http2.so</t>
  </si>
  <si>
    <t>#LoadModule proxy_uwsgi_module modules/mod_proxy_uwsgi.so</t>
  </si>
  <si>
    <t>#LoadModule proxy_wstunnel_module modules/mod_proxy_wstunnel.so</t>
  </si>
  <si>
    <t>#LoadModule slotmem_shm_module modules/mod_slotmem_shm.so</t>
  </si>
  <si>
    <t>#LoadModule socache_redis_module modules/mod_socache_redis.so</t>
  </si>
  <si>
    <t>LoadModule status_module modules/mod_status.so</t>
    <phoneticPr fontId="3"/>
  </si>
  <si>
    <t>ｻｰﾊﾞ管理者はｻｰﾊﾞがどのくらい の性能で動作しているかを知る</t>
  </si>
  <si>
    <t>DocumentRoot "c:/data/htdocs"</t>
    <phoneticPr fontId="3"/>
  </si>
  <si>
    <t>&lt;Directory "c:/data/htdocs"&gt;</t>
    <phoneticPr fontId="3"/>
  </si>
  <si>
    <t>ErrorLog "| bin/rotatelogs.exe c:/logs_httpd/error_%Y-%m-%d.log 86400"</t>
    <phoneticPr fontId="3"/>
  </si>
  <si>
    <t>#</t>
  </si>
  <si>
    <t># ErrorLog: The location of the error log file.</t>
  </si>
  <si>
    <t># If you do not specify an ErrorLog directive within a &lt;VirtualHost&gt;</t>
  </si>
  <si>
    <t># container, error messages relating to that virtual host will be</t>
  </si>
  <si>
    <t># logged here.  If you *do* define an error logfile for a &lt;VirtualHost&gt;</t>
  </si>
  <si>
    <t># container, that host's errors will be logged there and not here.</t>
  </si>
  <si>
    <t># LogLevel: Control the number of messages logged to the error_log.</t>
  </si>
  <si>
    <t># Possible values include: debug, info, notice, warn, error, crit,</t>
  </si>
  <si>
    <t># alert, emerg.</t>
  </si>
  <si>
    <t xml:space="preserve">    #</t>
  </si>
  <si>
    <t xml:space="preserve">    # The following directives define some format nicknames for use with</t>
  </si>
  <si>
    <t xml:space="preserve">    # a CustomLog directive (see below).</t>
  </si>
  <si>
    <t>青文字は本番と異なる箇所</t>
    <rPh sb="0" eb="3">
      <t>アオモジ</t>
    </rPh>
    <rPh sb="4" eb="6">
      <t>ホンバン</t>
    </rPh>
    <rPh sb="7" eb="8">
      <t>コト</t>
    </rPh>
    <rPh sb="10" eb="12">
      <t>カショ</t>
    </rPh>
    <phoneticPr fontId="3"/>
  </si>
  <si>
    <t xml:space="preserve">    CustomLog "| bin/rotatelogs.exe C:/logs_httpd/access_%Y-%m-%d.log 86400" common env=!forwarded</t>
    <phoneticPr fontId="3"/>
  </si>
  <si>
    <t xml:space="preserve">    CustomLog "| bin/rotatelogs.exe C:/logs_httpd/access_%Y-%m-%d.log 86400" proxy  env=!notforward</t>
    <phoneticPr fontId="3"/>
  </si>
  <si>
    <t xml:space="preserve">    #ScriptAlias /cgi-bin/ "${SRVROOT}/cgi-bin/</t>
    <phoneticPr fontId="3"/>
  </si>
  <si>
    <t xml:space="preserve">#&lt;Directory "${SRVROOT}/cgi-bin"&gt; </t>
    <phoneticPr fontId="3"/>
  </si>
  <si>
    <t>#ErrorDocument 402 http://www.example.com/subscription_info.html</t>
    <phoneticPr fontId="3"/>
  </si>
  <si>
    <t>#    Require host .example.com</t>
  </si>
  <si>
    <t>conf/extra/proxy_ajp_manager.conf</t>
    <phoneticPr fontId="3"/>
  </si>
  <si>
    <t>ProxyPass /manager ajp://localhost:50000/manager</t>
  </si>
  <si>
    <t>&lt;Location /manager&gt;</t>
  </si>
  <si>
    <t>Require local</t>
  </si>
  <si>
    <t>conf/extra/proxy_ajp_gakuseikinmu.conf</t>
    <phoneticPr fontId="3"/>
  </si>
  <si>
    <t>&lt;Location /gakuseikinmu/activex&gt;</t>
  </si>
  <si>
    <t>ProxyPass /gakuseikinmu/css !</t>
  </si>
  <si>
    <t>&lt;Location /gakuseikinmu/css&gt;</t>
  </si>
  <si>
    <t>ProxyPass /gakuseikinmu/images !</t>
  </si>
  <si>
    <t>&lt;Location /gakuseikinmu/images&gt;</t>
  </si>
  <si>
    <t>ProxyPass /gakuseikinmu/js !</t>
  </si>
  <si>
    <t>&lt;Location /gakuseikinmu/js&gt;</t>
  </si>
  <si>
    <t>ProxyPass /gakuseikinmu/activex !</t>
  </si>
  <si>
    <t>&lt;Location "/gakuseikinmu"&gt;</t>
    <phoneticPr fontId="3"/>
  </si>
  <si>
    <t xml:space="preserve">  ErrorDocument 404 /maintenance.html</t>
    <phoneticPr fontId="3"/>
  </si>
  <si>
    <t xml:space="preserve">  ErrorDocument 503 /maintenance.html</t>
    <phoneticPr fontId="3"/>
  </si>
  <si>
    <t>【Tomcat起動プロパティ】</t>
    <rPh sb="7" eb="9">
      <t>キドウ</t>
    </rPh>
    <phoneticPr fontId="3"/>
  </si>
  <si>
    <t>catalina-gf</t>
    <phoneticPr fontId="3"/>
  </si>
  <si>
    <t>C:\app\tomcat\bin\Tomcat9.exe //RS //catalina-gf</t>
    <phoneticPr fontId="3"/>
  </si>
  <si>
    <t>【 Tomcat設定ファイル】</t>
    <rPh sb="8" eb="10">
      <t>セッテイ</t>
    </rPh>
    <phoneticPr fontId="3"/>
  </si>
  <si>
    <t>C:\app\tomcat\conf\server-gk.xml</t>
    <phoneticPr fontId="3"/>
  </si>
  <si>
    <t>C:\app\tomcat\conf\logging.properties</t>
    <phoneticPr fontId="3"/>
  </si>
  <si>
    <t>1catalina.org.apache.juli.AsyncFileHandler.level = FINE</t>
  </si>
  <si>
    <t>1catalina.org.apache.juli.AsyncFileHandler.directory = ${catalina.base}/logs</t>
  </si>
  <si>
    <t>1catalina.org.apache.juli.AsyncFileHandler.prefix = catalina.</t>
  </si>
  <si>
    <t>1catalina.org.apache.juli.AsyncFileHandler.maxDays = -1</t>
    <phoneticPr fontId="3"/>
  </si>
  <si>
    <t>デフォルト：90（90日間）、&lt;=0を指定すると永久保存</t>
    <rPh sb="11" eb="13">
      <t>ニチカン</t>
    </rPh>
    <phoneticPr fontId="3"/>
  </si>
  <si>
    <t>1catalina.org.apache.juli.AsyncFileHandler.encoding = UTF-8</t>
    <phoneticPr fontId="3"/>
  </si>
  <si>
    <t>2localhost.org.apache.juli.AsyncFileHandler.level = FINE</t>
  </si>
  <si>
    <t>2localhost.org.apache.juli.AsyncFileHandler.directory = ${catalina.base}/logs</t>
  </si>
  <si>
    <t>2localhost.org.apache.juli.AsyncFileHandler.prefix = localhost.</t>
  </si>
  <si>
    <t>2localhost.org.apache.juli.AsyncFileHandler.maxDays = -1</t>
    <phoneticPr fontId="3"/>
  </si>
  <si>
    <t>2localhost.org.apache.juli.AsyncFileHandler.encoding = UTF-8</t>
    <phoneticPr fontId="3"/>
  </si>
  <si>
    <t>3manager.org.apache.juli.AsyncFileHandler.level = FINE</t>
  </si>
  <si>
    <t>3manager.org.apache.juli.AsyncFileHandler.directory = ${catalina.base}/logs</t>
  </si>
  <si>
    <t>3manager.org.apache.juli.AsyncFileHandler.prefix = manager.</t>
  </si>
  <si>
    <t>3manager.org.apache.juli.AsyncFileHandler.maxDays = -1</t>
    <phoneticPr fontId="3"/>
  </si>
  <si>
    <t>3manager.org.apache.juli.AsyncFileHandler.encoding = UTF-8</t>
    <phoneticPr fontId="3"/>
  </si>
  <si>
    <t>4host-manager.org.apache.juli.AsyncFileHandler.level = FINE</t>
  </si>
  <si>
    <t>4host-manager.org.apache.juli.AsyncFileHandler.directory = ${catalina.base}/logs</t>
  </si>
  <si>
    <t>4host-manager.org.apache.juli.AsyncFileHandler.prefix = host-manager.</t>
  </si>
  <si>
    <t>4host-manager.org.apache.juli.AsyncFileHandler.maxDays = -1</t>
    <phoneticPr fontId="3"/>
  </si>
  <si>
    <t>4host-manager.org.apache.juli.AsyncFileHandler.encoding = UTF-8</t>
    <phoneticPr fontId="3"/>
  </si>
  <si>
    <t>java.util.logging.ConsoleHandler.level = FINE</t>
  </si>
  <si>
    <t>java.util.logging.ConsoleHandler.formatter = org.apache.juli.OneLineFormatter</t>
  </si>
  <si>
    <t>C:/gakuseikinmu/work/</t>
    <phoneticPr fontId="3"/>
  </si>
  <si>
    <t>CC01001G</t>
    <phoneticPr fontId="3"/>
  </si>
  <si>
    <t>CC01090G</t>
    <phoneticPr fontId="3"/>
  </si>
  <si>
    <t>CC02080G</t>
    <phoneticPr fontId="3"/>
  </si>
  <si>
    <t>CC02001G</t>
    <phoneticPr fontId="3"/>
  </si>
  <si>
    <t>（１）ポート</t>
  </si>
  <si>
    <t>ポート番号</t>
    <rPh sb="3" eb="5">
      <t>バンゴウ</t>
    </rPh>
    <phoneticPr fontId="3"/>
  </si>
  <si>
    <t>5432</t>
  </si>
  <si>
    <t>（２）ロケール</t>
    <phoneticPr fontId="3"/>
  </si>
  <si>
    <t xml:space="preserve">Locale </t>
    <phoneticPr fontId="3"/>
  </si>
  <si>
    <t>[Default locale]</t>
    <phoneticPr fontId="3"/>
  </si>
  <si>
    <t>（３）アクセス制御</t>
    <rPh sb="7" eb="9">
      <t>セイギョ</t>
    </rPh>
    <phoneticPr fontId="3"/>
  </si>
  <si>
    <t>配置ファイル名</t>
    <rPh sb="0" eb="2">
      <t>ハイチ</t>
    </rPh>
    <rPh sb="6" eb="7">
      <t>メイ</t>
    </rPh>
    <phoneticPr fontId="3"/>
  </si>
  <si>
    <t>オプション</t>
  </si>
  <si>
    <t>postgresql.conf</t>
  </si>
  <si>
    <t>listen_addresses = '*'</t>
  </si>
  <si>
    <t>pg_hba.conf</t>
  </si>
  <si>
    <t>host    all         all         127.0.0.1/32         scram-sha-256</t>
    <phoneticPr fontId="3"/>
  </si>
  <si>
    <t>（４）PostgreSQLのバイナリパス</t>
    <phoneticPr fontId="3"/>
  </si>
  <si>
    <t>データベースサーバ</t>
    <phoneticPr fontId="3"/>
  </si>
  <si>
    <t>PostgreSQL 16</t>
    <phoneticPr fontId="3"/>
  </si>
  <si>
    <t>（５）権限</t>
    <phoneticPr fontId="3"/>
  </si>
  <si>
    <t>権限名</t>
    <rPh sb="0" eb="2">
      <t>ケンゲン</t>
    </rPh>
    <rPh sb="2" eb="3">
      <t>メイ</t>
    </rPh>
    <phoneticPr fontId="3"/>
  </si>
  <si>
    <t>（６）テーブル空間（ユーザ表領域、データファイル）</t>
    <rPh sb="7" eb="9">
      <t>クウカン</t>
    </rPh>
    <phoneticPr fontId="3"/>
  </si>
  <si>
    <t>名前</t>
  </si>
  <si>
    <t>データファイル</t>
  </si>
  <si>
    <t>C:¥PGDATA</t>
    <phoneticPr fontId="3"/>
  </si>
  <si>
    <t>（７）ユーザ</t>
    <phoneticPr fontId="3"/>
  </si>
  <si>
    <t>パスワード</t>
  </si>
  <si>
    <t>DB名</t>
    <rPh sb="2" eb="3">
      <t>メイ</t>
    </rPh>
    <phoneticPr fontId="3"/>
  </si>
  <si>
    <t>エンコーディング</t>
    <phoneticPr fontId="3"/>
  </si>
  <si>
    <t>postgres</t>
    <phoneticPr fontId="3"/>
  </si>
  <si>
    <t>UTF-8</t>
    <phoneticPr fontId="3"/>
  </si>
  <si>
    <t>Japanese_Japan.932</t>
    <phoneticPr fontId="3"/>
  </si>
  <si>
    <r>
      <t xml:space="preserve">host    all         all         </t>
    </r>
    <r>
      <rPr>
        <strike/>
        <sz val="9"/>
        <color rgb="FFFF0000"/>
        <rFont val="ＭＳ ゴシック"/>
        <family val="3"/>
        <charset val="128"/>
      </rPr>
      <t>202.23.129.96/32</t>
    </r>
    <r>
      <rPr>
        <strike/>
        <sz val="9"/>
        <rFont val="ＭＳ ゴシック"/>
        <family val="3"/>
        <charset val="128"/>
      </rPr>
      <t xml:space="preserve">     scram-sha-256</t>
    </r>
    <phoneticPr fontId="3"/>
  </si>
  <si>
    <t>←不要</t>
    <rPh sb="1" eb="3">
      <t>フヨウ</t>
    </rPh>
    <phoneticPr fontId="3"/>
  </si>
  <si>
    <t>LoadModule authz_core_module modules/mod_authz_core.so</t>
    <phoneticPr fontId="3"/>
  </si>
  <si>
    <t>LoadModule authz_host_module modules/mod_authz_host.so</t>
    <phoneticPr fontId="3"/>
  </si>
  <si>
    <t>ネットワーク設計</t>
    <phoneticPr fontId="3"/>
  </si>
  <si>
    <t>環境図</t>
    <phoneticPr fontId="3"/>
  </si>
  <si>
    <t>ユーザ／セキュリティ設計</t>
    <phoneticPr fontId="3"/>
  </si>
  <si>
    <t>SSO連携</t>
    <rPh sb="3" eb="5">
      <t>レンケイ</t>
    </rPh>
    <phoneticPr fontId="3"/>
  </si>
  <si>
    <t>統合DB連携</t>
    <rPh sb="0" eb="2">
      <t>トウゴウ</t>
    </rPh>
    <rPh sb="4" eb="6">
      <t>レンケイ</t>
    </rPh>
    <phoneticPr fontId="3"/>
  </si>
  <si>
    <t>PostgeSQLアカウントの権限</t>
    <rPh sb="15" eb="17">
      <t>ケンゲン</t>
    </rPh>
    <phoneticPr fontId="3"/>
  </si>
  <si>
    <t>pg_read_server_files</t>
    <phoneticPr fontId="3"/>
  </si>
  <si>
    <t>Tomcat Administrator</t>
    <phoneticPr fontId="3"/>
  </si>
  <si>
    <t>ログインユーザ名</t>
    <rPh sb="7" eb="8">
      <t>メイ</t>
    </rPh>
    <phoneticPr fontId="3"/>
  </si>
  <si>
    <t>ロール</t>
    <phoneticPr fontId="3"/>
  </si>
  <si>
    <t>１．７　ジョブスケジュール</t>
    <phoneticPr fontId="3"/>
  </si>
  <si>
    <t>１．９　SSO連携</t>
    <rPh sb="7" eb="9">
      <t>レンケイ</t>
    </rPh>
    <phoneticPr fontId="3"/>
  </si>
  <si>
    <t>ユーザID</t>
    <phoneticPr fontId="3"/>
  </si>
  <si>
    <t>Login</t>
    <phoneticPr fontId="3"/>
  </si>
  <si>
    <t>１．１０　統合DB連携</t>
    <rPh sb="5" eb="7">
      <t>トウゴウ</t>
    </rPh>
    <rPh sb="9" eb="11">
      <t>レンケイ</t>
    </rPh>
    <phoneticPr fontId="3"/>
  </si>
  <si>
    <t>バッチ処理にて、統合DBのデータベースからCSVデータを作成し、PostgeSQLの機能にてCSVデータの一括インポートを行う。</t>
    <rPh sb="3" eb="5">
      <t>ショリ</t>
    </rPh>
    <rPh sb="8" eb="10">
      <t>トウゴウ</t>
    </rPh>
    <rPh sb="28" eb="30">
      <t>サクセイ</t>
    </rPh>
    <rPh sb="42" eb="44">
      <t>キノウ</t>
    </rPh>
    <rPh sb="53" eb="55">
      <t>イッカツ</t>
    </rPh>
    <rPh sb="61" eb="62">
      <t>オコナ</t>
    </rPh>
    <phoneticPr fontId="3"/>
  </si>
  <si>
    <t>CSVでデータの受け渡しを行い、postgeSQLに一括インポートを行う</t>
    <rPh sb="8" eb="9">
      <t>ウ</t>
    </rPh>
    <rPh sb="10" eb="11">
      <t>ワタ</t>
    </rPh>
    <rPh sb="13" eb="14">
      <t>オコナ</t>
    </rPh>
    <rPh sb="26" eb="28">
      <t>イッカツ</t>
    </rPh>
    <rPh sb="34" eb="35">
      <t>オコナ</t>
    </rPh>
    <phoneticPr fontId="3"/>
  </si>
  <si>
    <t>DBサーバ側で入替えたデータを基に、社員マスタを更新する</t>
    <rPh sb="5" eb="6">
      <t>ガワ</t>
    </rPh>
    <rPh sb="7" eb="9">
      <t>イレカ</t>
    </rPh>
    <phoneticPr fontId="3"/>
  </si>
  <si>
    <t>%SYSTEMROOT%\System32\OpenSSH\</t>
    <phoneticPr fontId="3"/>
  </si>
  <si>
    <t>C:Program Files\Amazon\cfn-bootstrap\</t>
    <phoneticPr fontId="3"/>
  </si>
  <si>
    <t>Apache2.4</t>
    <phoneticPr fontId="3"/>
  </si>
  <si>
    <t>Tomcat9</t>
    <phoneticPr fontId="3"/>
  </si>
  <si>
    <t>C:Program Files\Microsoft SQL Server\Client SDK\ODBC\170\Tools\Bi\</t>
    <phoneticPr fontId="3"/>
  </si>
  <si>
    <t>MSSQL SQLCMD</t>
    <phoneticPr fontId="3"/>
  </si>
  <si>
    <t>255.255.252.0</t>
    <phoneticPr fontId="3"/>
  </si>
  <si>
    <t>Javaログ</t>
    <phoneticPr fontId="3"/>
  </si>
  <si>
    <t>WEBサーバ</t>
    <phoneticPr fontId="3"/>
  </si>
  <si>
    <t>WEBサーバドキュメント</t>
    <phoneticPr fontId="3"/>
  </si>
  <si>
    <t>WEBサーバログ</t>
    <phoneticPr fontId="3"/>
  </si>
  <si>
    <t>サーブレットログ</t>
    <phoneticPr fontId="3"/>
  </si>
  <si>
    <t>C:\batch-scripts</t>
    <phoneticPr fontId="3"/>
  </si>
  <si>
    <t>C:\batch-scripts\logs</t>
    <phoneticPr fontId="3"/>
  </si>
  <si>
    <t>C:\scripts</t>
    <phoneticPr fontId="3"/>
  </si>
  <si>
    <t>conf</t>
    <phoneticPr fontId="3"/>
  </si>
  <si>
    <t>設定ファイル</t>
    <rPh sb="0" eb="2">
      <t>セッテイ</t>
    </rPh>
    <phoneticPr fontId="3"/>
  </si>
  <si>
    <t>extra</t>
    <phoneticPr fontId="3"/>
  </si>
  <si>
    <t>httpd-mpm.conf</t>
    <phoneticPr fontId="3"/>
  </si>
  <si>
    <t>httpd-info.conf</t>
    <phoneticPr fontId="3"/>
  </si>
  <si>
    <t>proxy-ajp_gakuseikinmu.conf</t>
    <phoneticPr fontId="3"/>
  </si>
  <si>
    <t>httpd.conf</t>
    <phoneticPr fontId="3"/>
  </si>
  <si>
    <t>Catalina-gk\localhost</t>
    <phoneticPr fontId="3"/>
  </si>
  <si>
    <t>gakuseikinmu.xml</t>
  </si>
  <si>
    <t>logging.properties</t>
    <phoneticPr fontId="3"/>
  </si>
  <si>
    <t>server-gk.xml</t>
    <phoneticPr fontId="3"/>
  </si>
  <si>
    <t>web.xml</t>
    <phoneticPr fontId="3"/>
  </si>
  <si>
    <t>WEBサーバのログ</t>
    <phoneticPr fontId="3"/>
  </si>
  <si>
    <t>batch-scripts</t>
    <phoneticPr fontId="3"/>
  </si>
  <si>
    <t>htdocs</t>
    <phoneticPr fontId="3"/>
  </si>
  <si>
    <t>index.html</t>
    <phoneticPr fontId="3"/>
  </si>
  <si>
    <t>error.html</t>
    <phoneticPr fontId="3"/>
  </si>
  <si>
    <t>scripts</t>
    <phoneticPr fontId="3"/>
  </si>
  <si>
    <t>タスクスケジューラで起動するバッチファイル</t>
    <rPh sb="10" eb="12">
      <t>キドウ</t>
    </rPh>
    <phoneticPr fontId="3"/>
  </si>
  <si>
    <t>starService.bat</t>
    <phoneticPr fontId="3"/>
  </si>
  <si>
    <t>stopService.bat</t>
    <phoneticPr fontId="3"/>
  </si>
  <si>
    <t>リリースモジュール</t>
    <phoneticPr fontId="3"/>
  </si>
  <si>
    <t>PostgeSQLログ</t>
    <phoneticPr fontId="3"/>
  </si>
  <si>
    <t>PostgreSQL用 GUI管理ツール</t>
    <phoneticPr fontId="3"/>
  </si>
  <si>
    <t>C:\PGDATA</t>
    <phoneticPr fontId="3"/>
  </si>
  <si>
    <t>C:\PGDATA_dump</t>
    <phoneticPr fontId="3"/>
  </si>
  <si>
    <t>C:\togodata</t>
    <phoneticPr fontId="3"/>
  </si>
  <si>
    <t>統合DB連携用データ</t>
    <rPh sb="0" eb="2">
      <t>トウゴウ</t>
    </rPh>
    <rPh sb="4" eb="7">
      <t>レンケイヨウ</t>
    </rPh>
    <phoneticPr fontId="3"/>
  </si>
  <si>
    <t>PGDATA_dump</t>
    <phoneticPr fontId="3"/>
  </si>
  <si>
    <t>togodata</t>
    <phoneticPr fontId="3"/>
  </si>
  <si>
    <t>&lt;IfModule dir_module&gt;</t>
  </si>
  <si>
    <t xml:space="preserve">   DirectoryIndex index.html</t>
    <phoneticPr fontId="3"/>
  </si>
  <si>
    <t xml:space="preserve">    SetEnvIf User-Agent "ELB-HealthChecker/" notforward forwarded</t>
    <phoneticPr fontId="3"/>
  </si>
  <si>
    <t xml:space="preserve">    # The location and format of the access logfile (Common Logfile Format).</t>
  </si>
  <si>
    <t xml:space="preserve">    # If you do not define any access logfiles within a &lt;VirtualHost&gt;</t>
  </si>
  <si>
    <t xml:space="preserve">    # container, they will be logged here.  Contrariwise, if you *do*</t>
  </si>
  <si>
    <t xml:space="preserve">    # define per-&lt;VirtualHost&gt; access logfiles, transactions will be</t>
  </si>
  <si>
    <t xml:space="preserve">    # logged therein and *not* in this file.</t>
  </si>
  <si>
    <t>LimitRequestBody 11000000</t>
  </si>
  <si>
    <t># Secure (SSL/TLS) connections</t>
  </si>
  <si>
    <t>#Include conf/extra/httpd-ssl.conf</t>
  </si>
  <si>
    <t># Note: The following must must be present to support</t>
  </si>
  <si>
    <t>#       starting without SSL on platforms with no /dev/random equivalent</t>
  </si>
  <si>
    <t>#       but a statically compiled-in mod_ssl.</t>
  </si>
  <si>
    <t>&lt;IfModule ssl_module&gt;</t>
  </si>
  <si>
    <t>SSLRandomSeed startup builtin</t>
  </si>
  <si>
    <t>SSLRandomSeed connect builtin</t>
  </si>
  <si>
    <t>alias /gakuseikinmu/activex C:\gakuseikinmu\activex</t>
  </si>
  <si>
    <t>alias /gakuseikinmu/css C:\gakuseikinmu\css</t>
  </si>
  <si>
    <t>alias /gakuseikinmu/images C:\gakuseikinmu\images</t>
  </si>
  <si>
    <t>alias /gakuseikinmu/js C:\gakuseikinmu\js</t>
  </si>
  <si>
    <t>ProxyPass /gakuseikinmu ajp://localhost:50000/gakuseikinmu</t>
    <phoneticPr fontId="3"/>
  </si>
  <si>
    <t>-Djava.util.logging.manager=org.apache.juli.ClassLoaderLogManager</t>
  </si>
  <si>
    <t>-Duser.timezone=Asia/Tokyo</t>
  </si>
  <si>
    <t>-Djcifs.resolveOrder=DNS</t>
  </si>
  <si>
    <t>-Dcom.sun.management.jmxremote.port=3300</t>
  </si>
  <si>
    <t>-Dcom.sun.management.jmxremote.ssl=false</t>
  </si>
  <si>
    <t>-Dcom.sun.management.jmxremote.authenticate=false</t>
  </si>
  <si>
    <t>-Xrs</t>
  </si>
  <si>
    <t>-XX:NewSize=600m</t>
  </si>
  <si>
    <t>-XX:MaxNewSize=600m</t>
  </si>
  <si>
    <t>-XX:+UseG1GC</t>
  </si>
  <si>
    <t>-XX:+DisableExplicitGC</t>
  </si>
  <si>
    <t>-verbose:gc</t>
  </si>
  <si>
    <t>-XX:+PrintGCDetails</t>
  </si>
  <si>
    <t>-XX:+PrintGCDateStamps</t>
  </si>
  <si>
    <t>-XX:+PrintTenuringDistribution</t>
  </si>
  <si>
    <t>-XX:+HeapDumpOnOutOfMemoryError</t>
  </si>
  <si>
    <t>-XX:-UseCodeCacheFlushing</t>
  </si>
  <si>
    <t>-XX:ReservedCodeCacheSize=128m</t>
  </si>
  <si>
    <t>-XX:+HitachiVerboseGC</t>
  </si>
  <si>
    <t>-XX:+HitachiOutputMilliTime</t>
  </si>
  <si>
    <t>-XX:+HitachiOutOfMemoryStackTrace</t>
  </si>
  <si>
    <t>-XX:+HitachiJavaClassLibTrace</t>
  </si>
  <si>
    <t>-XX:+StandardLogToHitachiJavaLog</t>
  </si>
  <si>
    <t>-XX:-HitachiThreadDumpToStdout</t>
  </si>
  <si>
    <t>-XX:+HitachiLocalsInStackTrace</t>
  </si>
  <si>
    <t>-XX:+HitachiLocalsSimpleFormat</t>
  </si>
  <si>
    <t>-XX:-HitachiEndorsed</t>
  </si>
  <si>
    <r>
      <t>&lt;Server port="</t>
    </r>
    <r>
      <rPr>
        <sz val="10"/>
        <color rgb="FFFF0000"/>
        <rFont val="ＭＳ 明朝"/>
        <family val="1"/>
        <charset val="128"/>
      </rPr>
      <t>50040</t>
    </r>
    <r>
      <rPr>
        <sz val="10"/>
        <rFont val="ＭＳ 明朝"/>
        <family val="1"/>
        <charset val="128"/>
      </rPr>
      <t>" shutdown="SHUTDOWN"&gt;</t>
    </r>
    <phoneticPr fontId="3"/>
  </si>
  <si>
    <t xml:space="preserve">  &lt;Listener className="org.apache.catalina.startup.VersionLoggerListener" /&gt;</t>
  </si>
  <si>
    <r>
      <t xml:space="preserve">  &lt;Service name="Catalina</t>
    </r>
    <r>
      <rPr>
        <sz val="10"/>
        <color rgb="FFFF0000"/>
        <rFont val="ＭＳ 明朝"/>
        <family val="1"/>
        <charset val="128"/>
      </rPr>
      <t>-gk</t>
    </r>
    <r>
      <rPr>
        <sz val="10"/>
        <rFont val="ＭＳ 明朝"/>
        <family val="1"/>
        <charset val="128"/>
      </rPr>
      <t>"&gt;</t>
    </r>
    <phoneticPr fontId="3"/>
  </si>
  <si>
    <r>
      <t xml:space="preserve">    &lt;Connector port="</t>
    </r>
    <r>
      <rPr>
        <sz val="10"/>
        <color rgb="FFFF0000"/>
        <rFont val="ＭＳ 明朝"/>
        <family val="1"/>
        <charset val="128"/>
      </rPr>
      <t>50000</t>
    </r>
    <r>
      <rPr>
        <sz val="10"/>
        <rFont val="ＭＳ 明朝"/>
        <family val="1"/>
        <charset val="128"/>
      </rPr>
      <t xml:space="preserve">" protocol="AJP/1.3" redirectPort="8443" </t>
    </r>
    <phoneticPr fontId="3"/>
  </si>
  <si>
    <t xml:space="preserve">     maxThreads="250" minSpareThreads="100"  URIEncoding="UTF-8" </t>
    <phoneticPr fontId="3"/>
  </si>
  <si>
    <t xml:space="preserve">     address="127.0.0.1" secretRuquired="false" </t>
    <phoneticPr fontId="3"/>
  </si>
  <si>
    <r>
      <t xml:space="preserve">     </t>
    </r>
    <r>
      <rPr>
        <sz val="10"/>
        <color rgb="FFFF0000"/>
        <rFont val="ＭＳ 明朝"/>
        <family val="1"/>
        <charset val="128"/>
      </rPr>
      <t>tomcatAuthentication="false"</t>
    </r>
    <r>
      <rPr>
        <sz val="10"/>
        <rFont val="ＭＳ 明朝"/>
        <family val="1"/>
        <charset val="128"/>
      </rPr>
      <t xml:space="preserve"> /&gt;</t>
    </r>
    <phoneticPr fontId="3"/>
  </si>
  <si>
    <t>photo_path_win</t>
    <phoneticPr fontId="3"/>
  </si>
  <si>
    <t>share_path_win</t>
    <phoneticPr fontId="3"/>
  </si>
  <si>
    <t>rmi.scriptdir</t>
    <phoneticPr fontId="3"/>
  </si>
  <si>
    <t>enableSSOAgent</t>
    <phoneticPr fontId="3"/>
  </si>
  <si>
    <t>thread_path</t>
    <phoneticPr fontId="3"/>
  </si>
  <si>
    <t>C:/gakuseikinmu/threadwork/</t>
    <phoneticPr fontId="3"/>
  </si>
  <si>
    <t>max_thread</t>
    <phoneticPr fontId="3"/>
  </si>
  <si>
    <t>○統合DB接続情報</t>
    <rPh sb="1" eb="3">
      <t>トウゴウ</t>
    </rPh>
    <rPh sb="5" eb="7">
      <t>セツゾク</t>
    </rPh>
    <rPh sb="7" eb="9">
      <t>ジョウホウ</t>
    </rPh>
    <phoneticPr fontId="3"/>
  </si>
  <si>
    <t>ホスト名</t>
    <phoneticPr fontId="3"/>
  </si>
  <si>
    <t>DBバージョン</t>
    <phoneticPr fontId="3"/>
  </si>
  <si>
    <t>ポート</t>
    <phoneticPr fontId="3"/>
  </si>
  <si>
    <t>TCP1433(標準ポート）</t>
    <phoneticPr fontId="3"/>
  </si>
  <si>
    <t>DB識別子</t>
    <phoneticPr fontId="3"/>
  </si>
  <si>
    <t>スキーマ名</t>
    <phoneticPr fontId="3"/>
  </si>
  <si>
    <t>接続方法</t>
    <phoneticPr fontId="3"/>
  </si>
  <si>
    <t>ODBC(SQL Server用ドライバー)</t>
    <phoneticPr fontId="3"/>
  </si>
  <si>
    <t>○接続アカウント</t>
    <rPh sb="1" eb="3">
      <t>セツゾク</t>
    </rPh>
    <phoneticPr fontId="3"/>
  </si>
  <si>
    <t>○参照View</t>
    <rPh sb="1" eb="3">
      <t>サンショウ</t>
    </rPh>
    <phoneticPr fontId="3"/>
  </si>
  <si>
    <t>データ参照ビュー</t>
    <phoneticPr fontId="3"/>
  </si>
  <si>
    <t>VU_GK_LDAP_ALL</t>
    <phoneticPr fontId="3"/>
  </si>
  <si>
    <t>VU_GK_学年暦マスタ</t>
    <phoneticPr fontId="3"/>
  </si>
  <si>
    <t>VU_GK_社員基本情報</t>
    <phoneticPr fontId="3"/>
  </si>
  <si>
    <t>VU_GK_部署マスタ</t>
    <phoneticPr fontId="3"/>
  </si>
  <si>
    <t>VU_GK_学生基本</t>
    <phoneticPr fontId="3"/>
  </si>
  <si>
    <t>VU_GK_業務マスタ</t>
    <phoneticPr fontId="3"/>
  </si>
  <si>
    <t>VU_GK_教員基本</t>
    <phoneticPr fontId="3"/>
  </si>
  <si>
    <t>VU_GK_予算</t>
    <phoneticPr fontId="3"/>
  </si>
  <si>
    <t>VU_GK_所属名称マスタ</t>
    <phoneticPr fontId="3"/>
  </si>
  <si>
    <t>VU_GK_配分先マスタ</t>
    <phoneticPr fontId="3"/>
  </si>
  <si>
    <t>VU_GK_科目マスタ</t>
    <phoneticPr fontId="3"/>
  </si>
  <si>
    <t>VU_GK_開講科目マスタ</t>
    <phoneticPr fontId="3"/>
  </si>
  <si>
    <t>VU_GK_授業マスタ</t>
    <phoneticPr fontId="3"/>
  </si>
  <si>
    <t>VU_GK_授業担当マスタ</t>
    <phoneticPr fontId="3"/>
  </si>
  <si>
    <t>COPYやその他のファイルアクセス関数で、データベースがサーバ上でアクセスできる任意の場所からファイルを読み取ることを許可する.</t>
    <phoneticPr fontId="3"/>
  </si>
  <si>
    <t>logging_collector = on</t>
    <phoneticPr fontId="3"/>
  </si>
  <si>
    <t>いつどこでERRORメッセージが発生しているかを出力</t>
    <rPh sb="24" eb="26">
      <t>シュツリョク</t>
    </rPh>
    <phoneticPr fontId="3"/>
  </si>
  <si>
    <t>log_line_prefix = '[%t]%u %d %p[%l]'</t>
    <phoneticPr fontId="3"/>
  </si>
  <si>
    <t>%t</t>
  </si>
  <si>
    <t>タイムスタンプ</t>
  </si>
  <si>
    <t>log_min_duration_statement = 30000</t>
    <phoneticPr fontId="3"/>
  </si>
  <si>
    <t>%u</t>
  </si>
  <si>
    <t>データベースのユーザー名</t>
  </si>
  <si>
    <t>（８）メンテナンス</t>
    <phoneticPr fontId="3"/>
  </si>
  <si>
    <t>AUTOVACUUM</t>
  </si>
  <si>
    <t>ON　※デフォルトのまま</t>
    <phoneticPr fontId="3"/>
  </si>
  <si>
    <t>lc_messages = 'en_US.UTF-8'</t>
    <phoneticPr fontId="3"/>
  </si>
  <si>
    <t xml:space="preserve">%d </t>
  </si>
  <si>
    <t>データベース名</t>
  </si>
  <si>
    <t>（７）アカウント制御</t>
    <rPh sb="8" eb="10">
      <t>セイギョ</t>
    </rPh>
    <phoneticPr fontId="3"/>
  </si>
  <si>
    <t>（８）リモート</t>
    <phoneticPr fontId="3"/>
  </si>
  <si>
    <t>（９）ウイルス対策</t>
    <phoneticPr fontId="3"/>
  </si>
  <si>
    <t>（１０）フォルダ構成</t>
    <rPh sb="8" eb="10">
      <t>コウセイ</t>
    </rPh>
    <phoneticPr fontId="3"/>
  </si>
  <si>
    <t>（１３）サービス一覧</t>
    <rPh sb="8" eb="10">
      <t>イチラン</t>
    </rPh>
    <phoneticPr fontId="3"/>
  </si>
  <si>
    <t>（１４）タスクスケジュール</t>
    <phoneticPr fontId="3"/>
  </si>
  <si>
    <t>（１５）サービス設定(HTTPD)</t>
    <phoneticPr fontId="3"/>
  </si>
  <si>
    <t>（１６）サービス設定(TOMCAT)</t>
    <phoneticPr fontId="3"/>
  </si>
  <si>
    <t>（１７）画面アプリケーション設定</t>
    <rPh sb="4" eb="6">
      <t>ガメン</t>
    </rPh>
    <rPh sb="14" eb="16">
      <t>セッテイ</t>
    </rPh>
    <phoneticPr fontId="3"/>
  </si>
  <si>
    <t>（１８）PostgreSQLインストール</t>
    <phoneticPr fontId="3"/>
  </si>
  <si>
    <t>C:\logs_batch</t>
    <phoneticPr fontId="3"/>
  </si>
  <si>
    <t>バッチアプリケーションログ</t>
    <phoneticPr fontId="3"/>
  </si>
  <si>
    <t>logs_batch</t>
    <phoneticPr fontId="3"/>
  </si>
  <si>
    <t>バッチアプリケーションのログ</t>
    <phoneticPr fontId="3"/>
  </si>
  <si>
    <t>社内開発機</t>
    <rPh sb="0" eb="5">
      <t>シャナイカイハツキ</t>
    </rPh>
    <phoneticPr fontId="3"/>
  </si>
  <si>
    <t>１．システム環境定義</t>
    <rPh sb="6" eb="8">
      <t>カンキョウ</t>
    </rPh>
    <rPh sb="8" eb="10">
      <t>テイギ</t>
    </rPh>
    <phoneticPr fontId="3"/>
  </si>
  <si>
    <t>本番保守用</t>
    <rPh sb="0" eb="5">
      <t>ホンバンホシュヨウ</t>
    </rPh>
    <phoneticPr fontId="3"/>
  </si>
  <si>
    <t>httpd 85/tcp</t>
    <phoneticPr fontId="3"/>
  </si>
  <si>
    <t>Catalina-gf01</t>
    <phoneticPr fontId="3"/>
  </si>
  <si>
    <t>Apache2.4-gf01</t>
    <phoneticPr fontId="3"/>
  </si>
  <si>
    <t>50001/tcp</t>
    <phoneticPr fontId="3"/>
  </si>
  <si>
    <t>50041/tcp</t>
    <phoneticPr fontId="3"/>
  </si>
  <si>
    <t>3301/tcp</t>
    <phoneticPr fontId="3"/>
  </si>
  <si>
    <t>/gakuseikinmu01</t>
    <phoneticPr fontId="3"/>
  </si>
  <si>
    <t>CT</t>
    <phoneticPr fontId="3"/>
  </si>
  <si>
    <t>社内開発ｻｰﾊﾞ</t>
    <rPh sb="0" eb="2">
      <t>シャナイ</t>
    </rPh>
    <rPh sb="2" eb="4">
      <t>カイハツ</t>
    </rPh>
    <phoneticPr fontId="3"/>
  </si>
  <si>
    <t>t3.medium</t>
    <phoneticPr fontId="3"/>
  </si>
  <si>
    <t>172.16.1.1</t>
    <phoneticPr fontId="3"/>
  </si>
  <si>
    <t>kss.local</t>
    <phoneticPr fontId="3"/>
  </si>
  <si>
    <t>IPｱﾄﾞﾚｽ(社内LAN)</t>
    <rPh sb="8" eb="10">
      <t>シャナイ</t>
    </rPh>
    <phoneticPr fontId="3"/>
  </si>
  <si>
    <t>IPｱﾄﾞﾚｽ(ﾊﾞｯｸｱｯﾌﾟ用)</t>
    <rPh sb="16" eb="17">
      <t>ヨウ</t>
    </rPh>
    <phoneticPr fontId="3"/>
  </si>
  <si>
    <t>IPｱﾄﾞﾚｽ(AlwaysOn用)</t>
    <rPh sb="16" eb="17">
      <t>ヨウ</t>
    </rPh>
    <phoneticPr fontId="3"/>
  </si>
  <si>
    <t>MACアドレス</t>
    <phoneticPr fontId="3"/>
  </si>
  <si>
    <t>EC2</t>
    <phoneticPr fontId="3"/>
  </si>
  <si>
    <t>APｻｰﾊﾞｰ</t>
    <phoneticPr fontId="3"/>
  </si>
  <si>
    <t>v20dudbs</t>
    <phoneticPr fontId="3"/>
  </si>
  <si>
    <t>（１）ホスト名/IPアドレス</t>
    <rPh sb="6" eb="7">
      <t>メイ</t>
    </rPh>
    <phoneticPr fontId="3"/>
  </si>
  <si>
    <t>v20gksvr</t>
    <phoneticPr fontId="3"/>
  </si>
  <si>
    <t>172.16.1.46</t>
    <phoneticPr fontId="3"/>
  </si>
  <si>
    <t>社内開発ｻｰﾊﾞ</t>
    <rPh sb="0" eb="4">
      <t>シャナイカイハツ</t>
    </rPh>
    <phoneticPr fontId="3"/>
  </si>
  <si>
    <t>admingksvr</t>
    <phoneticPr fontId="3"/>
  </si>
  <si>
    <t>ps-v20gksvr</t>
    <phoneticPr fontId="3"/>
  </si>
  <si>
    <t>グループ</t>
    <phoneticPr fontId="3"/>
  </si>
  <si>
    <t>Administrators</t>
    <phoneticPr fontId="3"/>
  </si>
  <si>
    <t>psgakuseikinmu</t>
    <phoneticPr fontId="3"/>
  </si>
  <si>
    <t>本番保守用</t>
    <rPh sb="0" eb="4">
      <t>ホンバンホシュ</t>
    </rPh>
    <rPh sb="4" eb="5">
      <t>ヨウ</t>
    </rPh>
    <phoneticPr fontId="3"/>
  </si>
  <si>
    <t>CT用</t>
    <rPh sb="2" eb="3">
      <t>ヨウ</t>
    </rPh>
    <phoneticPr fontId="3"/>
  </si>
  <si>
    <t>（１）EC2サーバーの日次バックアップ</t>
    <rPh sb="11" eb="13">
      <t>ニチジ</t>
    </rPh>
    <phoneticPr fontId="3"/>
  </si>
  <si>
    <t>自動でバックアップを行う。</t>
    <rPh sb="0" eb="2">
      <t>ジドウ</t>
    </rPh>
    <rPh sb="10" eb="11">
      <t>オコナ</t>
    </rPh>
    <phoneticPr fontId="3"/>
  </si>
  <si>
    <t>①AWS上にスナップショットを保存。(2世代前まで保持）</t>
    <rPh sb="4" eb="5">
      <t>ジョウ</t>
    </rPh>
    <rPh sb="15" eb="17">
      <t>ホゾン</t>
    </rPh>
    <rPh sb="20" eb="22">
      <t>セダイ</t>
    </rPh>
    <rPh sb="22" eb="23">
      <t>マエ</t>
    </rPh>
    <rPh sb="25" eb="27">
      <t>ホジ</t>
    </rPh>
    <phoneticPr fontId="3"/>
  </si>
  <si>
    <t>（２）EC2バックアップ設定(日次)</t>
    <rPh sb="12" eb="14">
      <t>セッテイ</t>
    </rPh>
    <rPh sb="15" eb="17">
      <t>ニチジ</t>
    </rPh>
    <phoneticPr fontId="3"/>
  </si>
  <si>
    <t>バックアップ対象</t>
    <rPh sb="6" eb="8">
      <t>タイショウ</t>
    </rPh>
    <phoneticPr fontId="3"/>
  </si>
  <si>
    <t>インスタンス名</t>
    <rPh sb="6" eb="7">
      <t>メイ</t>
    </rPh>
    <phoneticPr fontId="3"/>
  </si>
  <si>
    <t>時間</t>
    <rPh sb="0" eb="2">
      <t>ジカン</t>
    </rPh>
    <phoneticPr fontId="3"/>
  </si>
  <si>
    <t>曜日指定</t>
    <rPh sb="0" eb="2">
      <t>ヨウビ</t>
    </rPh>
    <rPh sb="2" eb="4">
      <t>シテイ</t>
    </rPh>
    <phoneticPr fontId="3"/>
  </si>
  <si>
    <t>世代管理</t>
    <rPh sb="0" eb="2">
      <t>セダイ</t>
    </rPh>
    <rPh sb="2" eb="4">
      <t>カンリ</t>
    </rPh>
    <phoneticPr fontId="3"/>
  </si>
  <si>
    <t>月、火、水、木、金</t>
    <rPh sb="0" eb="1">
      <t>ゲツ</t>
    </rPh>
    <rPh sb="2" eb="3">
      <t>ヒ</t>
    </rPh>
    <rPh sb="4" eb="5">
      <t>スイ</t>
    </rPh>
    <rPh sb="6" eb="7">
      <t>モク</t>
    </rPh>
    <rPh sb="8" eb="9">
      <t>キン</t>
    </rPh>
    <phoneticPr fontId="3"/>
  </si>
  <si>
    <t>2世代</t>
    <rPh sb="1" eb="3">
      <t>セダイ</t>
    </rPh>
    <phoneticPr fontId="3"/>
  </si>
  <si>
    <t>社内開発サーバ</t>
    <rPh sb="0" eb="4">
      <t>シャナイカイハツ</t>
    </rPh>
    <phoneticPr fontId="3"/>
  </si>
  <si>
    <t>Ｓ事-v20gksvr</t>
    <phoneticPr fontId="3"/>
  </si>
  <si>
    <t>社内開発サーバのため、ジョブスケジュールは行わないものとする。</t>
    <rPh sb="0" eb="2">
      <t>シャナイ</t>
    </rPh>
    <rPh sb="2" eb="4">
      <t>カイハツ</t>
    </rPh>
    <rPh sb="21" eb="22">
      <t>オコナ</t>
    </rPh>
    <phoneticPr fontId="3"/>
  </si>
  <si>
    <t>社内開発環境（UT/CT）にはSSO機構（Shibboleth、saml）が導入されていないため、LDAP認証を行うことで類似の挙動を実現する。</t>
    <rPh sb="0" eb="2">
      <t>シャナイ</t>
    </rPh>
    <rPh sb="2" eb="6">
      <t>カイハツカンキョウ</t>
    </rPh>
    <rPh sb="18" eb="20">
      <t>キコウ</t>
    </rPh>
    <rPh sb="38" eb="40">
      <t>ドウニュウ</t>
    </rPh>
    <rPh sb="53" eb="55">
      <t>ニンショウ</t>
    </rPh>
    <rPh sb="56" eb="57">
      <t>オコナ</t>
    </rPh>
    <rPh sb="61" eb="63">
      <t>ルイジ</t>
    </rPh>
    <rPh sb="64" eb="66">
      <t>キョドウ</t>
    </rPh>
    <rPh sb="67" eb="69">
      <t>ジツゲン</t>
    </rPh>
    <phoneticPr fontId="3"/>
  </si>
  <si>
    <t>社内開発サーバ（v20gksvr）</t>
    <phoneticPr fontId="3"/>
  </si>
  <si>
    <t>メニュー画面</t>
    <rPh sb="4" eb="6">
      <t>ガメン</t>
    </rPh>
    <phoneticPr fontId="3"/>
  </si>
  <si>
    <t>CC010-90G</t>
    <phoneticPr fontId="3"/>
  </si>
  <si>
    <t>リダイレクト</t>
    <phoneticPr fontId="3"/>
  </si>
  <si>
    <t>CC020-01G</t>
    <phoneticPr fontId="3"/>
  </si>
  <si>
    <t>ログイン処理</t>
    <rPh sb="4" eb="6">
      <t>ショリ</t>
    </rPh>
    <phoneticPr fontId="3"/>
  </si>
  <si>
    <t>ホーム</t>
    <phoneticPr fontId="3"/>
  </si>
  <si>
    <t>ID</t>
    <phoneticPr fontId="3"/>
  </si>
  <si>
    <t>PW</t>
    <phoneticPr fontId="3"/>
  </si>
  <si>
    <t>ログインID</t>
    <phoneticPr fontId="3"/>
  </si>
  <si>
    <t>※ﾘｸｴｽﾄﾊﾟﾗﾒｰﾀ</t>
    <phoneticPr fontId="3"/>
  </si>
  <si>
    <t>教務管理サーバ（v20dukns）</t>
    <rPh sb="0" eb="2">
      <t>キョウム</t>
    </rPh>
    <rPh sb="2" eb="4">
      <t>カンリ</t>
    </rPh>
    <phoneticPr fontId="3"/>
  </si>
  <si>
    <t>LDAP</t>
    <phoneticPr fontId="3"/>
  </si>
  <si>
    <t>社内開発サーバ（v20gksvr)</t>
    <rPh sb="0" eb="4">
      <t>シャナイカイハツ</t>
    </rPh>
    <phoneticPr fontId="3"/>
  </si>
  <si>
    <t>SQL Server 2017</t>
    <phoneticPr fontId="3"/>
  </si>
  <si>
    <t>TOGODB</t>
    <phoneticPr fontId="3"/>
  </si>
  <si>
    <t>このコンピューターのプライマリ DNS サフィックス</t>
    <phoneticPr fontId="3"/>
  </si>
  <si>
    <t>ドメイン</t>
    <phoneticPr fontId="3"/>
  </si>
  <si>
    <t>C:\jdk</t>
    <phoneticPr fontId="3"/>
  </si>
  <si>
    <t>C:\jdk\jre\bin</t>
    <phoneticPr fontId="3"/>
  </si>
  <si>
    <t>C:\jdk\bin</t>
    <phoneticPr fontId="3"/>
  </si>
  <si>
    <t>C:\Apache24\bin</t>
    <phoneticPr fontId="3"/>
  </si>
  <si>
    <t>C:\Program Files\Apache Software Foundation\Tomcat 9.0\bin</t>
    <phoneticPr fontId="3"/>
  </si>
  <si>
    <t>C:\Program Files\PostgreSQL\16rc1\bin</t>
    <phoneticPr fontId="3"/>
  </si>
  <si>
    <t>C:\Program Files\TortoiseSVN\bin</t>
    <phoneticPr fontId="3"/>
  </si>
  <si>
    <t>SVN更新用</t>
    <rPh sb="3" eb="6">
      <t>コウシンヨウ</t>
    </rPh>
    <phoneticPr fontId="3"/>
  </si>
  <si>
    <t>10.3.9.51,172.16.2.11,172.16.0.2</t>
    <phoneticPr fontId="3"/>
  </si>
  <si>
    <t>C:\jdk\logs</t>
    <phoneticPr fontId="3"/>
  </si>
  <si>
    <t>C:\Apache24</t>
    <phoneticPr fontId="3"/>
  </si>
  <si>
    <t>C:\Program Files\Apache Software Foundation\Tomcat 9.0</t>
    <phoneticPr fontId="3"/>
  </si>
  <si>
    <t>C:\Program Files\Apache Software Foundation\Tomcat 9.0\conf</t>
    <phoneticPr fontId="3"/>
  </si>
  <si>
    <t>C:\Program Files\Apache Software Foundation\Tomcat 9.0\conf\Catalina-gk</t>
    <phoneticPr fontId="3"/>
  </si>
  <si>
    <t>C:\Program Files\Apache Software Foundation\Tomcat 9.0\logs</t>
    <phoneticPr fontId="3"/>
  </si>
  <si>
    <t>C:\batch-scripts01</t>
    <phoneticPr fontId="3"/>
  </si>
  <si>
    <t>C:\batch-scripts01\logs</t>
    <phoneticPr fontId="3"/>
  </si>
  <si>
    <t>C:\gakuseikinmu01</t>
    <phoneticPr fontId="3"/>
  </si>
  <si>
    <t>C:\gakuseikinmu01\work</t>
    <phoneticPr fontId="3"/>
  </si>
  <si>
    <t>本番保守</t>
    <rPh sb="0" eb="2">
      <t>ホンバン</t>
    </rPh>
    <rPh sb="2" eb="4">
      <t>ホシュ</t>
    </rPh>
    <phoneticPr fontId="3"/>
  </si>
  <si>
    <t>■バッチ</t>
    <phoneticPr fontId="3"/>
  </si>
  <si>
    <t>■アプリケーション（学生勤務管理システム）</t>
    <rPh sb="10" eb="12">
      <t>ガクセイ</t>
    </rPh>
    <rPh sb="12" eb="16">
      <t>キンムカンリ</t>
    </rPh>
    <phoneticPr fontId="3"/>
  </si>
  <si>
    <t>C:\scripts_releace</t>
    <phoneticPr fontId="3"/>
  </si>
  <si>
    <t>■リリース関連</t>
    <rPh sb="5" eb="7">
      <t>カンレン</t>
    </rPh>
    <phoneticPr fontId="3"/>
  </si>
  <si>
    <t>C:\リリースモジュール</t>
    <phoneticPr fontId="3"/>
  </si>
  <si>
    <t>C:\work</t>
    <phoneticPr fontId="3"/>
  </si>
  <si>
    <t>C:\work_honban</t>
    <phoneticPr fontId="3"/>
  </si>
  <si>
    <t>CT環境SVN更新作業場所</t>
    <rPh sb="2" eb="4">
      <t>カンキョウ</t>
    </rPh>
    <rPh sb="7" eb="9">
      <t>コウシン</t>
    </rPh>
    <rPh sb="9" eb="11">
      <t>サギョウ</t>
    </rPh>
    <rPh sb="11" eb="13">
      <t>バショ</t>
    </rPh>
    <phoneticPr fontId="3"/>
  </si>
  <si>
    <t>本番保守SVN更新/ﾘﾘｰｽﾓｼﾞｭｰﾙ作成場所</t>
    <rPh sb="0" eb="2">
      <t>ホンバン</t>
    </rPh>
    <rPh sb="2" eb="4">
      <t>ホシュ</t>
    </rPh>
    <rPh sb="7" eb="9">
      <t>コウシン</t>
    </rPh>
    <rPh sb="20" eb="22">
      <t>サクセイ</t>
    </rPh>
    <rPh sb="22" eb="24">
      <t>バショ</t>
    </rPh>
    <phoneticPr fontId="3"/>
  </si>
  <si>
    <t>jdk</t>
    <phoneticPr fontId="3"/>
  </si>
  <si>
    <t>Apache24</t>
    <phoneticPr fontId="3"/>
  </si>
  <si>
    <t>httpd_ct01.conf</t>
    <phoneticPr fontId="3"/>
  </si>
  <si>
    <t>proxy-ajp_gakuseikinmu_ct01.conf</t>
    <phoneticPr fontId="3"/>
  </si>
  <si>
    <t>Catalina-gk01\localhost</t>
    <phoneticPr fontId="3"/>
  </si>
  <si>
    <t>server-gk01.xml</t>
    <phoneticPr fontId="3"/>
  </si>
  <si>
    <t>Apache Software Foundation</t>
    <phoneticPr fontId="3"/>
  </si>
  <si>
    <t>Program Files</t>
    <phoneticPr fontId="3"/>
  </si>
  <si>
    <t>TortoiseSVN</t>
    <phoneticPr fontId="3"/>
  </si>
  <si>
    <t>SVN</t>
    <phoneticPr fontId="3"/>
  </si>
  <si>
    <t>batch-scripts01</t>
    <phoneticPr fontId="3"/>
  </si>
  <si>
    <t>本番保守用</t>
    <rPh sb="0" eb="2">
      <t>ホンバン</t>
    </rPh>
    <rPh sb="2" eb="5">
      <t>ホシュヨウ</t>
    </rPh>
    <phoneticPr fontId="3"/>
  </si>
  <si>
    <t>dataLoad.bat</t>
    <phoneticPr fontId="3"/>
  </si>
  <si>
    <t>scripts_releace</t>
    <phoneticPr fontId="3"/>
  </si>
  <si>
    <t>SVN更新/リリースモジュール作成用</t>
    <rPh sb="3" eb="5">
      <t>コウシン</t>
    </rPh>
    <rPh sb="15" eb="17">
      <t>サクセイ</t>
    </rPh>
    <rPh sb="17" eb="18">
      <t>ヨウ</t>
    </rPh>
    <phoneticPr fontId="3"/>
  </si>
  <si>
    <t>apache-ant-1.10.6</t>
    <phoneticPr fontId="3"/>
  </si>
  <si>
    <t>svn_update - CT環境.bat</t>
    <phoneticPr fontId="3"/>
  </si>
  <si>
    <t>svn_update - 保守.bat</t>
    <phoneticPr fontId="3"/>
  </si>
  <si>
    <t>makedeploy - 手動用(本番).bat</t>
    <phoneticPr fontId="3"/>
  </si>
  <si>
    <t>・・・コンパイル</t>
    <phoneticPr fontId="3"/>
  </si>
  <si>
    <t>work</t>
    <phoneticPr fontId="3"/>
  </si>
  <si>
    <t>work_honban</t>
    <phoneticPr fontId="3"/>
  </si>
  <si>
    <t>リリースモジュールのZip格納場所</t>
    <rPh sb="13" eb="17">
      <t>カクノウバショ</t>
    </rPh>
    <phoneticPr fontId="3"/>
  </si>
  <si>
    <t>（続き）</t>
    <rPh sb="1" eb="2">
      <t>ツヅ</t>
    </rPh>
    <phoneticPr fontId="3"/>
  </si>
  <si>
    <t>（続く）</t>
    <rPh sb="1" eb="2">
      <t>ツヅ</t>
    </rPh>
    <phoneticPr fontId="3"/>
  </si>
  <si>
    <t>AP停止</t>
    <rPh sb="2" eb="4">
      <t>テイシ</t>
    </rPh>
    <phoneticPr fontId="3"/>
  </si>
  <si>
    <t>ユーザーがログオンしているかどうかにかかわらず実行する</t>
    <rPh sb="23" eb="25">
      <t>ジッコウ</t>
    </rPh>
    <phoneticPr fontId="3"/>
  </si>
  <si>
    <t>毎日6:00に起動</t>
    <rPh sb="0" eb="2">
      <t>マイニチ</t>
    </rPh>
    <rPh sb="7" eb="9">
      <t>キドウ</t>
    </rPh>
    <phoneticPr fontId="3"/>
  </si>
  <si>
    <t>C:\scripts\stopService.bat</t>
    <phoneticPr fontId="3"/>
  </si>
  <si>
    <t>有効</t>
    <rPh sb="0" eb="2">
      <t>ユウコウ</t>
    </rPh>
    <phoneticPr fontId="3"/>
  </si>
  <si>
    <t>毎日6:30に起動</t>
    <rPh sb="0" eb="2">
      <t>マイニチ</t>
    </rPh>
    <rPh sb="7" eb="9">
      <t>キドウ</t>
    </rPh>
    <phoneticPr fontId="3"/>
  </si>
  <si>
    <t>AP起動</t>
    <rPh sb="2" eb="4">
      <t>キドウ</t>
    </rPh>
    <phoneticPr fontId="3"/>
  </si>
  <si>
    <t>毎日8:00に起動</t>
    <rPh sb="0" eb="2">
      <t>マイニチ</t>
    </rPh>
    <rPh sb="7" eb="9">
      <t>キドウ</t>
    </rPh>
    <phoneticPr fontId="3"/>
  </si>
  <si>
    <t>C:\scripts\startService.bat</t>
    <phoneticPr fontId="3"/>
  </si>
  <si>
    <t>督促メール</t>
    <rPh sb="0" eb="2">
      <t>トクソク</t>
    </rPh>
    <phoneticPr fontId="3"/>
  </si>
  <si>
    <t>毎月1日
8:30に起動</t>
    <rPh sb="0" eb="2">
      <t>マイツキ</t>
    </rPh>
    <rPh sb="3" eb="4">
      <t>ニチ</t>
    </rPh>
    <rPh sb="10" eb="12">
      <t>キドウ</t>
    </rPh>
    <phoneticPr fontId="3"/>
  </si>
  <si>
    <t>ログオン</t>
    <phoneticPr fontId="3"/>
  </si>
  <si>
    <t>最上位の特権で実行</t>
    <rPh sb="0" eb="3">
      <t>サイジョウイ</t>
    </rPh>
    <rPh sb="4" eb="6">
      <t>トッケン</t>
    </rPh>
    <rPh sb="7" eb="9">
      <t>ジッコウ</t>
    </rPh>
    <phoneticPr fontId="3"/>
  </si>
  <si>
    <t>プロセスの優先度</t>
    <rPh sb="5" eb="8">
      <t>ユウセンド</t>
    </rPh>
    <phoneticPr fontId="3"/>
  </si>
  <si>
    <t>CSV連携</t>
    <rPh sb="3" eb="5">
      <t>レンケイ</t>
    </rPh>
    <phoneticPr fontId="3"/>
  </si>
  <si>
    <t>毎日6:05に起動</t>
    <rPh sb="0" eb="2">
      <t>マイニチ</t>
    </rPh>
    <rPh sb="7" eb="9">
      <t>キドウ</t>
    </rPh>
    <phoneticPr fontId="3"/>
  </si>
  <si>
    <t>C:\scripts\dataLoad.bat</t>
    <phoneticPr fontId="3"/>
  </si>
  <si>
    <t>postgreSQLバックアップ</t>
    <phoneticPr fontId="3"/>
  </si>
  <si>
    <t>毎日7:30に起動</t>
    <rPh sb="0" eb="2">
      <t>マイニチ</t>
    </rPh>
    <rPh sb="7" eb="9">
      <t>キドウ</t>
    </rPh>
    <phoneticPr fontId="3"/>
  </si>
  <si>
    <t>C:\scripts\postgreSQLBackup.bat</t>
    <phoneticPr fontId="3"/>
  </si>
  <si>
    <t>Define SRVROOT "c:/Apache24"</t>
    <phoneticPr fontId="3"/>
  </si>
  <si>
    <t>#LoadModule authn_core_module modules/mod_authn_core.so</t>
    <phoneticPr fontId="3"/>
  </si>
  <si>
    <t>#DocumentRoot "${SRVROOT}/htdocs"</t>
  </si>
  <si>
    <t>#&lt;Directory "${SRVROOT}/htdocs"&gt;</t>
  </si>
  <si>
    <t>ログに出力する内容</t>
    <rPh sb="3" eb="5">
      <t>シュツリョク</t>
    </rPh>
    <rPh sb="7" eb="9">
      <t>ナイヨウ</t>
    </rPh>
    <phoneticPr fontId="3"/>
  </si>
  <si>
    <t xml:space="preserve">    LogFormat "%h %l %u %t \"%r\" %&gt;s %b \"%{Referer}i\" \"%{User-Agent}i\" %D" combined</t>
  </si>
  <si>
    <t xml:space="preserve">    LogFormat "%{X-Forwarded-For}i %l %u %t \"%r\" %&gt;s %b \"%{Referer}i\" \"%{User-Agent}i\" %D" proxy</t>
  </si>
  <si>
    <t>ErrorDocument 404 /error.html</t>
    <phoneticPr fontId="3"/>
  </si>
  <si>
    <t>ErrorDocument 500 /error.html</t>
    <phoneticPr fontId="3"/>
  </si>
  <si>
    <t>ExpiresActive On</t>
  </si>
  <si>
    <t>&lt;FilesMatch "\.(html|css|js|png|gif|jpg)$"&gt;</t>
  </si>
  <si>
    <t xml:space="preserve">  Header set Cache-Control "private, must-realidate"</t>
  </si>
  <si>
    <t>&lt;/FilesMatch&gt;</t>
  </si>
  <si>
    <t>&lt;FilesMatch "\.(png|gif|jpg)$"&gt;</t>
  </si>
  <si>
    <t xml:space="preserve">  ExpiresDefault "access 1 year"</t>
  </si>
  <si>
    <t xml:space="preserve">  Header set Cache-Control "max-age=31536000"</t>
  </si>
  <si>
    <t>&lt;FilesMatch "\.(css|js)$"&gt;</t>
  </si>
  <si>
    <t xml:space="preserve">  ExpiresDefault "access 1 month"</t>
  </si>
  <si>
    <t xml:space="preserve">  Header set Cache-Control "max-age=2592000"</t>
  </si>
  <si>
    <t xml:space="preserve">  Include conf/extra/proxy-ajp_gakuseikinmu.conf</t>
    <phoneticPr fontId="3"/>
  </si>
  <si>
    <t xml:space="preserve">  Include conf/extra/proxy-ajp_manager.conf</t>
    <phoneticPr fontId="3"/>
  </si>
  <si>
    <t>ThreadsPerChild 200</t>
    <phoneticPr fontId="3"/>
  </si>
  <si>
    <t>Require ip 127 172.31.32 192.168.136</t>
    <phoneticPr fontId="3"/>
  </si>
  <si>
    <t xml:space="preserve">Listen 80 </t>
    <phoneticPr fontId="3"/>
  </si>
  <si>
    <t>C:\app\httpd\conf\httpd_ct01.conf</t>
    <phoneticPr fontId="3"/>
  </si>
  <si>
    <t>※httpd.confと異なる部分のみ記載</t>
    <rPh sb="12" eb="13">
      <t>コト</t>
    </rPh>
    <rPh sb="15" eb="17">
      <t>ブブン</t>
    </rPh>
    <rPh sb="19" eb="21">
      <t>キサイ</t>
    </rPh>
    <phoneticPr fontId="3"/>
  </si>
  <si>
    <t>Listen 85</t>
    <phoneticPr fontId="3"/>
  </si>
  <si>
    <t xml:space="preserve">  Include conf/extra/proxy-ajp_gakuseikinmu_ct01.conf</t>
  </si>
  <si>
    <t xml:space="preserve">  Include conf/extra/proxy-ajp_manager.conf</t>
  </si>
  <si>
    <t>#Include conf/extra/proxy-ajp.conf</t>
    <phoneticPr fontId="3"/>
  </si>
  <si>
    <t>conf/extra/proxy_ajp_gakuseikinmu01.conf</t>
    <phoneticPr fontId="3"/>
  </si>
  <si>
    <t>ProxyPass /gakuseikinmu01/activex !</t>
  </si>
  <si>
    <t>alias /gakuseikinmu01/activex C:\gakuseikinmu01\activex</t>
  </si>
  <si>
    <t>&lt;Location /gakuseikinmu01/activex&gt;</t>
  </si>
  <si>
    <t>ProxyPass /gakuseikinmu01/css !</t>
  </si>
  <si>
    <t>alias /gakuseikinmu01/css C:\gakuseikinmu01\css</t>
  </si>
  <si>
    <t>&lt;Location /gakuseikinmu01/css&gt;</t>
  </si>
  <si>
    <t>ProxyPass /gakuseikinmu01/images !</t>
  </si>
  <si>
    <t>alias /gakuseikinmu01/images C:\gakuseikinmu01\images</t>
  </si>
  <si>
    <t>&lt;Location /gakuseikinmu01/images&gt;</t>
  </si>
  <si>
    <t>ProxyPass /gakuseikinmu01/js !</t>
  </si>
  <si>
    <t>alias /gakuseikinmu01/js C:\gakuseikinmu01\js</t>
  </si>
  <si>
    <t>&lt;Location /gakuseikinmu01/js&gt;</t>
  </si>
  <si>
    <t>ProxyPass /gakuseikinmu01 ajp://localhost:50000/gakuseikinmu01</t>
  </si>
  <si>
    <t>&lt;Location "/gakuseikinmu01"&gt;</t>
  </si>
  <si>
    <r>
      <t xml:space="preserve">    &lt;Engine name="Catalina</t>
    </r>
    <r>
      <rPr>
        <sz val="10"/>
        <color rgb="FFFF0000"/>
        <rFont val="ＭＳ 明朝"/>
        <family val="1"/>
        <charset val="128"/>
      </rPr>
      <t>-gk</t>
    </r>
    <r>
      <rPr>
        <sz val="10"/>
        <rFont val="ＭＳ 明朝"/>
        <family val="1"/>
        <charset val="128"/>
      </rPr>
      <t>" defaultHost="localhost"&gt;</t>
    </r>
    <phoneticPr fontId="3"/>
  </si>
  <si>
    <t>app_ct.properties</t>
    <phoneticPr fontId="3"/>
  </si>
  <si>
    <t>app_hosyu.properties</t>
    <phoneticPr fontId="3"/>
  </si>
  <si>
    <t>C:/gakuseikinmu/WEB-INF/templates/</t>
    <phoneticPr fontId="3"/>
  </si>
  <si>
    <t>v20dukns.kss.local</t>
    <phoneticPr fontId="3"/>
  </si>
  <si>
    <t>C:/gakuseikinmu/WEB-INF/</t>
    <phoneticPr fontId="3"/>
  </si>
  <si>
    <t>[保守] 学生勤務管理システム - Doshisha University</t>
    <phoneticPr fontId="3"/>
  </si>
  <si>
    <t>C:/gakuseikinmu01/work/</t>
    <phoneticPr fontId="3"/>
  </si>
  <si>
    <t>C:/gakuseikinmu01/ap/WEB-INF/templates/</t>
    <phoneticPr fontId="3"/>
  </si>
  <si>
    <t>true</t>
    <phoneticPr fontId="3"/>
  </si>
  <si>
    <t>C:/gakuseikinmu01/threadwork/</t>
    <phoneticPr fontId="3"/>
  </si>
  <si>
    <t>3</t>
    <phoneticPr fontId="3"/>
  </si>
  <si>
    <t>C:/gakuseikinmu01/WEB-INF/</t>
    <phoneticPr fontId="3"/>
  </si>
  <si>
    <t>[CT] 学生勤務管理システム - Doshisha University</t>
    <phoneticPr fontId="3"/>
  </si>
  <si>
    <t>※server-gk.xmlと異なる部分のみ記載</t>
    <rPh sb="15" eb="16">
      <t>コト</t>
    </rPh>
    <rPh sb="18" eb="20">
      <t>ブブン</t>
    </rPh>
    <rPh sb="22" eb="24">
      <t>キサイ</t>
    </rPh>
    <phoneticPr fontId="3"/>
  </si>
  <si>
    <t>C:\app\tomcat\conf\server-gk01.xml</t>
    <phoneticPr fontId="3"/>
  </si>
  <si>
    <r>
      <t>&lt;Server port="</t>
    </r>
    <r>
      <rPr>
        <sz val="10"/>
        <color rgb="FFFF0000"/>
        <rFont val="ＭＳ 明朝"/>
        <family val="1"/>
        <charset val="128"/>
      </rPr>
      <t>50041</t>
    </r>
    <r>
      <rPr>
        <sz val="10"/>
        <rFont val="ＭＳ 明朝"/>
        <family val="1"/>
        <charset val="128"/>
      </rPr>
      <t>" shutdown="SHUTDOWN"&gt;</t>
    </r>
    <phoneticPr fontId="3"/>
  </si>
  <si>
    <r>
      <t xml:space="preserve">  &lt;Service name="Catalina</t>
    </r>
    <r>
      <rPr>
        <sz val="10"/>
        <color rgb="FFFF0000"/>
        <rFont val="ＭＳ 明朝"/>
        <family val="1"/>
        <charset val="128"/>
      </rPr>
      <t>-gk01</t>
    </r>
    <r>
      <rPr>
        <sz val="10"/>
        <rFont val="ＭＳ 明朝"/>
        <family val="1"/>
        <charset val="128"/>
      </rPr>
      <t>"&gt;</t>
    </r>
    <phoneticPr fontId="3"/>
  </si>
  <si>
    <r>
      <t xml:space="preserve">    &lt;Connector port="</t>
    </r>
    <r>
      <rPr>
        <sz val="10"/>
        <color rgb="FFFF0000"/>
        <rFont val="ＭＳ 明朝"/>
        <family val="1"/>
        <charset val="128"/>
      </rPr>
      <t>50001</t>
    </r>
    <r>
      <rPr>
        <sz val="10"/>
        <rFont val="ＭＳ 明朝"/>
        <family val="1"/>
        <charset val="128"/>
      </rPr>
      <t xml:space="preserve">" protocol="AJP/1.3" redirectPort="8443" </t>
    </r>
    <phoneticPr fontId="3"/>
  </si>
  <si>
    <r>
      <t xml:space="preserve">    &lt;Engine name="Catalina</t>
    </r>
    <r>
      <rPr>
        <sz val="10"/>
        <color rgb="FFFF0000"/>
        <rFont val="ＭＳ 明朝"/>
        <family val="1"/>
        <charset val="128"/>
      </rPr>
      <t>-gk01</t>
    </r>
    <r>
      <rPr>
        <sz val="10"/>
        <rFont val="ＭＳ 明朝"/>
        <family val="1"/>
        <charset val="128"/>
      </rPr>
      <t>" defaultHost="localhost"&gt;</t>
    </r>
    <phoneticPr fontId="3"/>
  </si>
  <si>
    <t>gakuseikinmu
gakuseikinmu01</t>
    <phoneticPr fontId="3"/>
  </si>
  <si>
    <t>adminjosyssv</t>
  </si>
  <si>
    <t>kss.local</t>
  </si>
  <si>
    <t>※Windows タスクスケジューラのジョブの登録のみしておき、定期実行はしない。</t>
    <rPh sb="23" eb="25">
      <t>トウロク</t>
    </rPh>
    <rPh sb="32" eb="36">
      <t>テイキジッコウ</t>
    </rPh>
    <phoneticPr fontId="3"/>
  </si>
  <si>
    <t>172.16.1.24</t>
    <phoneticPr fontId="3"/>
  </si>
  <si>
    <t>システムパラメータ設計(APDB)</t>
    <phoneticPr fontId="3"/>
  </si>
  <si>
    <t>デフォルト</t>
    <phoneticPr fontId="3"/>
  </si>
  <si>
    <t>チェックする</t>
    <phoneticPr fontId="3"/>
  </si>
  <si>
    <t>デフォルト　※組織によって管理されているため変更できない</t>
    <rPh sb="7" eb="9">
      <t>ソシキ</t>
    </rPh>
    <rPh sb="13" eb="15">
      <t>カンリ</t>
    </rPh>
    <rPh sb="22" eb="24">
      <t>ヘンコウ</t>
    </rPh>
    <phoneticPr fontId="3"/>
  </si>
  <si>
    <t>※社内開発サーバのためUA無効などは行わない</t>
    <rPh sb="1" eb="5">
      <t>シャナイカイハツ</t>
    </rPh>
    <rPh sb="13" eb="15">
      <t>ムコウ</t>
    </rPh>
    <rPh sb="18" eb="19">
      <t>オコナ</t>
    </rPh>
    <phoneticPr fontId="3"/>
  </si>
  <si>
    <t>※社内開発サーバのためインストールや設定変更等は行わない</t>
    <rPh sb="1" eb="5">
      <t>シャナイカイハツ</t>
    </rPh>
    <rPh sb="18" eb="23">
      <t>セッテイヘンコウナド</t>
    </rPh>
    <rPh sb="24" eb="25">
      <t>オコナ</t>
    </rPh>
    <phoneticPr fontId="3"/>
  </si>
  <si>
    <t>C:\Program Files\Apache Software Foundation\Tomcat 9.0\conf\Catalina-gk01</t>
    <phoneticPr fontId="3"/>
  </si>
  <si>
    <t>本番保守用Catalina</t>
    <rPh sb="0" eb="4">
      <t>ホンバンホシュ</t>
    </rPh>
    <rPh sb="4" eb="5">
      <t>ヨウ</t>
    </rPh>
    <phoneticPr fontId="3"/>
  </si>
  <si>
    <t>CT用Catalina</t>
    <rPh sb="2" eb="3">
      <t>ヨウ</t>
    </rPh>
    <phoneticPr fontId="3"/>
  </si>
  <si>
    <t>本番保守用バッチスクリプト</t>
    <rPh sb="0" eb="2">
      <t>ホンバン</t>
    </rPh>
    <rPh sb="2" eb="4">
      <t>ホシュ</t>
    </rPh>
    <rPh sb="4" eb="5">
      <t>ヨウ</t>
    </rPh>
    <phoneticPr fontId="3"/>
  </si>
  <si>
    <t>本番保守用バッチスクリプトログ</t>
    <rPh sb="0" eb="2">
      <t>ホンバン</t>
    </rPh>
    <rPh sb="2" eb="4">
      <t>ホシュ</t>
    </rPh>
    <rPh sb="4" eb="5">
      <t>ヨウ</t>
    </rPh>
    <phoneticPr fontId="3"/>
  </si>
  <si>
    <t>CT用バッチスクリプト</t>
    <rPh sb="2" eb="3">
      <t>ヨウ</t>
    </rPh>
    <phoneticPr fontId="3"/>
  </si>
  <si>
    <t>CT用バッチスクリプトログ</t>
    <rPh sb="2" eb="3">
      <t>ヨウ</t>
    </rPh>
    <phoneticPr fontId="3"/>
  </si>
  <si>
    <t>C:\Program Files\PostgreSQL</t>
    <phoneticPr fontId="3"/>
  </si>
  <si>
    <t>C:\Program Files\PostgreSQL\16rc1\data\log</t>
    <phoneticPr fontId="3"/>
  </si>
  <si>
    <t>C:\Program Files\pgAdmin 4</t>
    <phoneticPr fontId="3"/>
  </si>
  <si>
    <r>
      <t>└─</t>
    </r>
    <r>
      <rPr>
        <sz val="10"/>
        <rFont val="Calibri"/>
        <family val="1"/>
      </rPr>
      <t>16rc1</t>
    </r>
    <r>
      <rPr>
        <sz val="10"/>
        <rFont val="ＭＳ 明朝"/>
        <family val="1"/>
        <charset val="128"/>
      </rPr>
      <t>\log</t>
    </r>
    <phoneticPr fontId="3"/>
  </si>
  <si>
    <t>C:\Program Files\TortoiseSVN</t>
    <phoneticPr fontId="3"/>
  </si>
  <si>
    <t>Subversionクライアント</t>
    <phoneticPr fontId="3"/>
  </si>
  <si>
    <t>Microsoft SQL Server</t>
    <phoneticPr fontId="3"/>
  </si>
  <si>
    <t>WinMerge</t>
    <phoneticPr fontId="3"/>
  </si>
  <si>
    <t>gakuseikinmu</t>
  </si>
  <si>
    <t>batch-scripts</t>
  </si>
  <si>
    <t>compress</t>
    <phoneticPr fontId="3"/>
  </si>
  <si>
    <t>deploy</t>
  </si>
  <si>
    <t>リリースモジュール作成用フォルダ</t>
    <rPh sb="9" eb="12">
      <t>サクセイヨウ</t>
    </rPh>
    <phoneticPr fontId="3"/>
  </si>
  <si>
    <t>SVNチェックアウト用フォルダ</t>
    <rPh sb="10" eb="11">
      <t>ヨウ</t>
    </rPh>
    <phoneticPr fontId="3"/>
  </si>
  <si>
    <t>・・・コンパイルで必要</t>
    <rPh sb="9" eb="11">
      <t>ヒツヨウ</t>
    </rPh>
    <phoneticPr fontId="3"/>
  </si>
  <si>
    <t>Amazon EC2Launch</t>
  </si>
  <si>
    <t>Amazon SSM Agent</t>
  </si>
  <si>
    <t>Apache Tomcat 9.0 catalina-gk</t>
  </si>
  <si>
    <t>Apache Tomcat 9.0.13 Server - https://tomcat.apache.org/</t>
  </si>
  <si>
    <t>Apache Tomcat 9.0 catalina-gk01</t>
  </si>
  <si>
    <t>Apache2.4-gk01</t>
  </si>
  <si>
    <t>Apex One Common Client Solution Framework</t>
  </si>
  <si>
    <t>Apex One NT Listener</t>
  </si>
  <si>
    <t>Apex One NT RealTime Scan</t>
  </si>
  <si>
    <t>Apex One NT WSC Service</t>
  </si>
  <si>
    <t>AWS Lite Guest Agent</t>
  </si>
  <si>
    <t>CaptureService_108bdbb</t>
  </si>
  <si>
    <t>CloudFormation cfn-hup</t>
  </si>
  <si>
    <t>Connected Devices Platform ユーザー サービス_108bdbb</t>
  </si>
  <si>
    <t>ConsentUX のユーザー サービス_108bdbb</t>
  </si>
  <si>
    <t>Contact Data_108bdbb</t>
  </si>
  <si>
    <t>CredentialEnrollmentManagerUserSvc_108bdbb</t>
  </si>
  <si>
    <t>dcsvc</t>
  </si>
  <si>
    <t>Delivery Optimization</t>
  </si>
  <si>
    <t>DeviceAssociationBroker_108bdbb</t>
  </si>
  <si>
    <t>DevicePicker_108bdbb</t>
  </si>
  <si>
    <t>GraphicsPerfSvc</t>
  </si>
  <si>
    <t>McpManagementService</t>
  </si>
  <si>
    <t>Microsoft Defender Antivirus Network Inspection Service</t>
  </si>
  <si>
    <t>Microsoft Defender Antivirus Service</t>
  </si>
  <si>
    <t>Microsoft Store インストール サービス</t>
  </si>
  <si>
    <t>OpenSSH Authentication Agent</t>
  </si>
  <si>
    <t>Orchestrator Service の更新</t>
  </si>
  <si>
    <t>postgresql-x64-16rc1 - PostgreSQL Server 16rc1</t>
  </si>
  <si>
    <t>PrintWorkflow_108bdbb</t>
  </si>
  <si>
    <t>Problem Reports Control Panel Support</t>
  </si>
  <si>
    <t>Shared PC Account Manager</t>
  </si>
  <si>
    <t>SNMP トラップ</t>
  </si>
  <si>
    <t>SysMain</t>
  </si>
  <si>
    <t>System Guard ランタイム モニター ブローカー</t>
  </si>
  <si>
    <t>Trend Micro Unauthorized Change Prevention Service</t>
  </si>
  <si>
    <t>Udk User Service_108bdbb</t>
  </si>
  <si>
    <t>User Data Access_108bdbb</t>
  </si>
  <si>
    <t>User Data Storage_108bdbb</t>
  </si>
  <si>
    <t>Warp JIT Service</t>
  </si>
  <si>
    <t>Web アカウント マネージャー</t>
  </si>
  <si>
    <t>Windows Defender Advanced Threat Protection Service</t>
  </si>
  <si>
    <t>Windows Defender Firewall</t>
  </si>
  <si>
    <t>Windows Media Player Network Sharing Service</t>
  </si>
  <si>
    <t>Windows Push Notifications User Service_108bdbb</t>
  </si>
  <si>
    <t>Windows PushToInstall サービス</t>
  </si>
  <si>
    <t>Windows Update Medic Service</t>
  </si>
  <si>
    <t>Windows カメラ フレーム サーバー モニター</t>
  </si>
  <si>
    <t>Windows セキュリティ サービス</t>
  </si>
  <si>
    <t>クリップボード ユーザー サービス_108bdbb</t>
  </si>
  <si>
    <t>デバイス フロー_108bdbb</t>
  </si>
  <si>
    <t>ポリシー サービスの表示</t>
  </si>
  <si>
    <t>機能アクセス マネージャー サービス</t>
  </si>
  <si>
    <t>支払いおよび NFC/SE マネージャー</t>
  </si>
  <si>
    <t>手動(ﾄﾘｶﾞｰ開始)</t>
  </si>
  <si>
    <t>ActiveX Installer(AxInstSV)</t>
  </si>
  <si>
    <t>AppX Deployment Service(AppXSVC)</t>
  </si>
  <si>
    <t>Client License Service(ClipSVC)</t>
  </si>
  <si>
    <t>自動(遅延開始、ﾄﾘｶﾞｰ開始)</t>
  </si>
  <si>
    <t>自動(遅延開始)</t>
  </si>
  <si>
    <t>自動(ﾄﾘｶﾞｰ開始)</t>
  </si>
  <si>
    <t>Encrypting File System(EFS)</t>
  </si>
  <si>
    <t>Internet Connection Sharing(ICS)</t>
  </si>
  <si>
    <t>KDC Proxy Server service(KPS)</t>
  </si>
  <si>
    <t>Microsoft(R) 診断ハブ標準コレクター サービス</t>
  </si>
  <si>
    <t>Microsoft Edge Elevation Service(MicrosoftEdgeElevationService)</t>
  </si>
  <si>
    <t>Microsoft Edge Update Service(edgeupdate)</t>
  </si>
  <si>
    <t>Microsoft Edge Update Service(edgeupdatem)</t>
  </si>
  <si>
    <t>Remote Packet Capture Protocol v.0(experimental)</t>
  </si>
  <si>
    <t>Remote Procedure Call(RPC)</t>
  </si>
  <si>
    <t>Remote Procedure Call(RPC) Locator</t>
  </si>
  <si>
    <t>Windows Image Acquisition(WIA)</t>
  </si>
  <si>
    <t>Windows Remote Management(WS-Management)</t>
  </si>
  <si>
    <t>デバイス管理ワイヤレス アプリケーション プロトコル(WAP) プッシュ メッセージ ルーティング サービス</t>
  </si>
  <si>
    <t>C:\batch-scripts\batch_CZ80001B_hosyu.bat</t>
    <phoneticPr fontId="3"/>
  </si>
  <si>
    <t>※本番保守用の登録のみ。実行はしない。</t>
    <rPh sb="1" eb="5">
      <t>ホンバンホシュ</t>
    </rPh>
    <rPh sb="5" eb="6">
      <t>ヨウ</t>
    </rPh>
    <rPh sb="7" eb="9">
      <t>トウロク</t>
    </rPh>
    <rPh sb="12" eb="14">
      <t>ジッコウ</t>
    </rPh>
    <phoneticPr fontId="3"/>
  </si>
  <si>
    <t>C:\batch-scripts\batch_CZ04003B_hosyu.bat</t>
    <phoneticPr fontId="3"/>
  </si>
  <si>
    <t>ServerName gknmknr2023ap:80</t>
    <phoneticPr fontId="3"/>
  </si>
  <si>
    <t>#    LogFormat "%h %l %u %t \"%r\" %&gt;s %b \"%{Referer}i\" \"%{User-Agent}i\"" combined</t>
  </si>
  <si>
    <t>#Security Option</t>
  </si>
  <si>
    <t>&lt;IfModule headers_module&gt;</t>
  </si>
  <si>
    <t xml:space="preserve">  Header always append X-Frame-Options deny</t>
  </si>
  <si>
    <t xml:space="preserve">  Header always append X-XSS-Protection "1; mode=block"</t>
  </si>
  <si>
    <t xml:space="preserve">  Header always append X-Content-Type-Options nosniff</t>
  </si>
  <si>
    <t>C:\Program Files\Apache Software Foundation\Tomcat 9.0\logs</t>
  </si>
  <si>
    <t>C:\jdk\jre\bin\server\jvm.dll</t>
  </si>
  <si>
    <t>C:\Program Files\Apache Software Foundation\Tomcat 9.0\bin\bootstrap.jar;C:\Program Files\Apache Software Foundation\Tomcat 9.0\bin\tomcat-juli.jar</t>
  </si>
  <si>
    <t>-Dcatalina.home=C:\Program Files\Apache Software Foundation\Tomcat 9.0</t>
  </si>
  <si>
    <t>-Dcatalina.base=C:\Program Files\Apache Software Foundation\Tomcat 9.0</t>
  </si>
  <si>
    <t>-Dignore.endorsed.dirs=C:\Program Files\Apache Software Foundation\Tomcat 9.0\endorsed</t>
  </si>
  <si>
    <t>-Djava.io.tmpdir=C:\Program Files\Apache Software Foundation\Tomcat 9.0\temp</t>
  </si>
  <si>
    <t>-Djava.util.logging.config.file=C:\Program Files\Apache Software Foundation\Tomcat 9.0\conf\logging.properties</t>
  </si>
  <si>
    <t>-Xloggc:C:\Program Files\Apache Software Foundation\Tomcat 9.0\gc.log</t>
  </si>
  <si>
    <t>-XX:HitachiJavaLog:C:\jdk\logs\HitachiJava-gk.log</t>
  </si>
  <si>
    <t>128MB</t>
    <phoneticPr fontId="3"/>
  </si>
  <si>
    <t>256MB</t>
    <phoneticPr fontId="3"/>
  </si>
  <si>
    <t>250KB</t>
    <phoneticPr fontId="3"/>
  </si>
  <si>
    <t>C:\Program Files\Apache Software Foundation\Tomcat 9.0</t>
  </si>
  <si>
    <t>-config
C:\Program Files\Apache Software Foundation\Tomcat 9.0\conf\server-gk.xml
start</t>
    <phoneticPr fontId="3"/>
  </si>
  <si>
    <t>60sec</t>
    <phoneticPr fontId="3"/>
  </si>
  <si>
    <t>ジョブスケジュール設計</t>
    <rPh sb="9" eb="11">
      <t>セッケイ</t>
    </rPh>
    <phoneticPr fontId="3"/>
  </si>
  <si>
    <t>１．１１　システムパラメータ設計(APDB)</t>
    <rPh sb="14" eb="16">
      <t>セッケイ</t>
    </rPh>
    <phoneticPr fontId="3"/>
  </si>
  <si>
    <t>※教務DBサーバのデータベース「TOGODB」に学生勤務用のスキーマとテーブルを作成し、接続する。</t>
    <rPh sb="1" eb="3">
      <t>キョウム</t>
    </rPh>
    <rPh sb="24" eb="28">
      <t>ガクセイキンム</t>
    </rPh>
    <rPh sb="28" eb="29">
      <t>ヨウ</t>
    </rPh>
    <rPh sb="40" eb="42">
      <t>サクセイ</t>
    </rPh>
    <rPh sb="44" eb="46">
      <t>セツゾク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</si>
</sst>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yyyy&quot;年&quot;m&quot;月&quot;d&quot;日&quot;;@"/>
    <numFmt numFmtId="177" formatCode="&quot;P. &quot;0"/>
    <numFmt numFmtId="178" formatCode="[$-F800]dddd\,\ mmmm\ dd\,\ yyyy"/>
    <numFmt numFmtId="179" formatCode="0.0"/>
    <numFmt numFmtId="180" formatCode="#,##0&quot;MB&quot;"/>
    <numFmt numFmtId="181" formatCode="#,##0.0&quot;GB&quot;"/>
  </numFmts>
  <fonts count="43" x14ac:knownFonts="1">
    <font>
      <sz val="11"/>
      <name val="ＭＳ Ｐゴシック"/>
      <family val="3"/>
      <charset val="128"/>
    </font>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0"/>
      <color indexed="10"/>
      <name val="ＭＳ 明朝"/>
      <family val="1"/>
      <charset val="128"/>
    </font>
    <font>
      <sz val="20"/>
      <name val="ＭＳ ゴシック"/>
      <family val="3"/>
      <charset val="128"/>
    </font>
    <font>
      <sz val="18"/>
      <name val="ＭＳ ゴシック"/>
      <family val="3"/>
      <charset val="128"/>
    </font>
    <font>
      <sz val="14"/>
      <name val="ＭＳ 明朝"/>
      <family val="1"/>
      <charset val="128"/>
    </font>
    <font>
      <sz val="10"/>
      <name val="ＭＳ ゴシック"/>
      <family val="3"/>
      <charset val="128"/>
    </font>
    <font>
      <sz val="11"/>
      <name val="ＭＳ 明朝"/>
      <family val="1"/>
      <charset val="128"/>
    </font>
    <font>
      <sz val="12"/>
      <name val="ＭＳ ゴシック"/>
      <family val="3"/>
      <charset val="128"/>
    </font>
    <font>
      <sz val="16"/>
      <name val="ＭＳ ゴシック"/>
      <family val="3"/>
      <charset val="128"/>
    </font>
    <font>
      <sz val="14"/>
      <name val="ＭＳ ゴシック"/>
      <family val="3"/>
      <charset val="128"/>
    </font>
    <font>
      <sz val="10"/>
      <color rgb="FFFF0000"/>
      <name val="ＭＳ 明朝"/>
      <family val="1"/>
      <charset val="128"/>
    </font>
    <font>
      <sz val="10"/>
      <color rgb="FF0000FF"/>
      <name val="ＭＳ 明朝"/>
      <family val="1"/>
      <charset val="128"/>
    </font>
    <font>
      <sz val="10"/>
      <color theme="1"/>
      <name val="ＭＳ 明朝"/>
      <family val="1"/>
      <charset val="128"/>
    </font>
    <font>
      <sz val="10"/>
      <color theme="1"/>
      <name val="Arial"/>
      <family val="2"/>
    </font>
    <font>
      <sz val="8"/>
      <name val="ＭＳ 明朝"/>
      <family val="1"/>
      <charset val="128"/>
    </font>
    <font>
      <sz val="6"/>
      <name val="ＭＳ 明朝"/>
      <family val="1"/>
      <charset val="128"/>
    </font>
    <font>
      <sz val="9"/>
      <name val="ＭＳ ゴシック"/>
      <family val="3"/>
      <charset val="128"/>
    </font>
    <font>
      <sz val="10"/>
      <name val="Microsoft JhengHei"/>
      <family val="1"/>
    </font>
    <font>
      <sz val="9"/>
      <color theme="2" tint="-0.499984740745262"/>
      <name val="ＭＳ 明朝"/>
      <family val="1"/>
      <charset val="128"/>
    </font>
    <font>
      <sz val="10"/>
      <color theme="0" tint="-0.499984740745262"/>
      <name val="ＭＳ 明朝"/>
      <family val="1"/>
      <charset val="128"/>
    </font>
    <font>
      <sz val="10"/>
      <color theme="2" tint="-0.249977111117893"/>
      <name val="ＭＳ 明朝"/>
      <family val="1"/>
      <charset val="128"/>
    </font>
    <font>
      <sz val="10"/>
      <color indexed="81"/>
      <name val="ＭＳ 明朝"/>
      <family val="1"/>
      <charset val="128"/>
    </font>
    <font>
      <sz val="9"/>
      <color indexed="8"/>
      <name val="ＭＳ ゴシック"/>
      <family val="3"/>
      <charset val="128"/>
    </font>
    <font>
      <strike/>
      <sz val="9"/>
      <name val="ＭＳ ゴシック"/>
      <family val="3"/>
      <charset val="128"/>
    </font>
    <font>
      <strike/>
      <sz val="9"/>
      <color rgb="FFFF0000"/>
      <name val="ＭＳ ゴシック"/>
      <family val="3"/>
      <charset val="128"/>
    </font>
    <font>
      <sz val="12"/>
      <name val="ＭＳ 明朝"/>
      <family val="1"/>
      <charset val="128"/>
    </font>
    <font>
      <b/>
      <sz val="10"/>
      <name val="Microsoft JhengHei"/>
      <family val="2"/>
      <charset val="136"/>
    </font>
    <font>
      <sz val="10"/>
      <color rgb="FFFF0000"/>
      <name val="Arial"/>
      <family val="2"/>
    </font>
    <font>
      <sz val="10"/>
      <color theme="2" tint="-0.499984740745262"/>
      <name val="ＭＳ 明朝"/>
      <family val="1"/>
      <charset val="128"/>
    </font>
    <font>
      <strike/>
      <sz val="10"/>
      <name val="ＭＳ 明朝"/>
      <family val="1"/>
      <charset val="128"/>
    </font>
    <font>
      <sz val="9"/>
      <color rgb="FFFF0000"/>
      <name val="ＭＳ ゴシック"/>
      <family val="3"/>
      <charset val="128"/>
    </font>
    <font>
      <sz val="10"/>
      <color rgb="FF00B050"/>
      <name val="ＭＳ 明朝"/>
      <family val="1"/>
      <charset val="128"/>
    </font>
    <font>
      <b/>
      <sz val="10"/>
      <color rgb="FFFF0000"/>
      <name val="ＭＳ 明朝"/>
      <family val="1"/>
      <charset val="128"/>
    </font>
    <font>
      <sz val="10"/>
      <name val="Calibri"/>
      <family val="1"/>
    </font>
    <font>
      <sz val="10"/>
      <name val="Arial"/>
      <family val="2"/>
    </font>
    <font>
      <strike/>
      <sz val="10"/>
      <name val="ＭＳ ゴシック"/>
      <family val="3"/>
      <charset val="128"/>
    </font>
    <font>
      <strike/>
      <sz val="12"/>
      <name val="ＭＳ ゴシック"/>
      <family val="3"/>
      <charset val="128"/>
    </font>
  </fonts>
  <fills count="14">
    <fill>
      <patternFill patternType="none"/>
    </fill>
    <fill>
      <patternFill patternType="gray125"/>
    </fill>
    <fill>
      <patternFill patternType="solid">
        <fgColor indexed="44"/>
        <bgColor indexed="64"/>
      </patternFill>
    </fill>
    <fill>
      <patternFill patternType="solid">
        <fgColor indexed="26"/>
        <bgColor indexed="64"/>
      </patternFill>
    </fill>
    <fill>
      <patternFill patternType="solid">
        <fgColor indexed="42"/>
        <bgColor indexed="64"/>
      </patternFill>
    </fill>
    <fill>
      <patternFill patternType="solid">
        <fgColor indexed="47"/>
        <bgColor indexed="64"/>
      </patternFill>
    </fill>
    <fill>
      <patternFill patternType="solid">
        <fgColor indexed="9"/>
        <bgColor indexed="64"/>
      </patternFill>
    </fill>
    <fill>
      <patternFill patternType="solid">
        <fgColor theme="8"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FFEF"/>
        <bgColor indexed="64"/>
      </patternFill>
    </fill>
    <fill>
      <patternFill patternType="solid">
        <fgColor theme="4" tint="0.79998168889431442"/>
        <bgColor indexed="64"/>
      </patternFill>
    </fill>
    <fill>
      <patternFill patternType="solid">
        <fgColor theme="4" tint="0.59999389629810485"/>
        <bgColor indexed="64"/>
      </patternFill>
    </fill>
  </fills>
  <borders count="85">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top style="thin">
        <color indexed="64"/>
      </top>
      <bottom style="double">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thin">
        <color indexed="64"/>
      </bottom>
      <diagonal/>
    </border>
    <border>
      <left/>
      <right/>
      <top style="double">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hair">
        <color indexed="64"/>
      </top>
      <bottom style="dotted">
        <color indexed="64"/>
      </bottom>
      <diagonal/>
    </border>
    <border>
      <left style="thin">
        <color indexed="64"/>
      </left>
      <right style="thin">
        <color indexed="64"/>
      </right>
      <top style="dotted">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style="thin">
        <color indexed="64"/>
      </right>
      <top style="double">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7">
    <xf numFmtId="0" fontId="0" fillId="0" borderId="0"/>
    <xf numFmtId="0" fontId="2" fillId="0" borderId="0"/>
    <xf numFmtId="0" fontId="2" fillId="0" borderId="0"/>
    <xf numFmtId="0" fontId="5" fillId="0" borderId="0">
      <alignment vertical="center"/>
    </xf>
    <xf numFmtId="0" fontId="2" fillId="0" borderId="0">
      <alignment vertical="center"/>
    </xf>
    <xf numFmtId="0" fontId="1" fillId="0" borderId="0"/>
    <xf numFmtId="0" fontId="1" fillId="0" borderId="0"/>
  </cellStyleXfs>
  <cellXfs count="707">
    <xf numFmtId="0" fontId="0" fillId="0" borderId="0" xfId="0"/>
    <xf numFmtId="0" fontId="5" fillId="0" borderId="1" xfId="0" applyFont="1" applyBorder="1"/>
    <xf numFmtId="0" fontId="5" fillId="0" borderId="0" xfId="0" applyFont="1"/>
    <xf numFmtId="0" fontId="5" fillId="0" borderId="2" xfId="0" applyFont="1" applyBorder="1"/>
    <xf numFmtId="0" fontId="6" fillId="0" borderId="0" xfId="0" quotePrefix="1" applyFont="1"/>
    <xf numFmtId="0" fontId="5" fillId="0" borderId="3" xfId="0" applyFont="1" applyBorder="1"/>
    <xf numFmtId="0" fontId="5" fillId="0" borderId="4" xfId="0" applyFont="1" applyBorder="1"/>
    <xf numFmtId="0" fontId="5" fillId="0" borderId="5" xfId="0" applyFont="1" applyBorder="1"/>
    <xf numFmtId="0" fontId="6" fillId="0" borderId="0" xfId="0" applyFont="1"/>
    <xf numFmtId="0" fontId="5" fillId="0" borderId="0" xfId="0" applyFont="1" applyAlignment="1">
      <alignment vertical="top"/>
    </xf>
    <xf numFmtId="0" fontId="5" fillId="0" borderId="6" xfId="0" applyFont="1" applyBorder="1"/>
    <xf numFmtId="0" fontId="5" fillId="0" borderId="7" xfId="0" applyFont="1" applyBorder="1"/>
    <xf numFmtId="0" fontId="5" fillId="0" borderId="8" xfId="0" applyFont="1" applyBorder="1"/>
    <xf numFmtId="178" fontId="5" fillId="0" borderId="0" xfId="0" applyNumberFormat="1" applyFont="1"/>
    <xf numFmtId="0" fontId="7" fillId="0" borderId="0" xfId="0" applyFont="1"/>
    <xf numFmtId="0" fontId="5" fillId="0" borderId="1" xfId="0" applyFont="1" applyBorder="1" applyAlignment="1">
      <alignment vertical="top"/>
    </xf>
    <xf numFmtId="0" fontId="5" fillId="0" borderId="2" xfId="0" applyFont="1" applyBorder="1" applyAlignment="1">
      <alignment vertical="top"/>
    </xf>
    <xf numFmtId="0" fontId="6" fillId="0" borderId="0" xfId="0" applyFont="1" applyAlignment="1">
      <alignment vertical="top"/>
    </xf>
    <xf numFmtId="0" fontId="5" fillId="0" borderId="0" xfId="0" quotePrefix="1" applyFont="1" applyAlignment="1">
      <alignment vertical="top"/>
    </xf>
    <xf numFmtId="0" fontId="5" fillId="0" borderId="3" xfId="0" applyFont="1" applyBorder="1" applyAlignment="1">
      <alignment vertical="top"/>
    </xf>
    <xf numFmtId="0" fontId="5" fillId="0" borderId="4" xfId="0" applyFont="1" applyBorder="1" applyAlignment="1">
      <alignment vertical="top"/>
    </xf>
    <xf numFmtId="0" fontId="5" fillId="0" borderId="5" xfId="0" applyFont="1" applyBorder="1" applyAlignment="1">
      <alignment vertical="top"/>
    </xf>
    <xf numFmtId="0" fontId="6" fillId="3" borderId="13" xfId="0" applyFont="1" applyFill="1" applyBorder="1"/>
    <xf numFmtId="0" fontId="6" fillId="3" borderId="11" xfId="0" applyFont="1" applyFill="1" applyBorder="1"/>
    <xf numFmtId="0" fontId="6" fillId="3" borderId="19" xfId="0" applyFont="1" applyFill="1" applyBorder="1"/>
    <xf numFmtId="0" fontId="6" fillId="3" borderId="12" xfId="0" applyFont="1" applyFill="1" applyBorder="1"/>
    <xf numFmtId="0" fontId="6" fillId="3" borderId="0" xfId="0" applyFont="1" applyFill="1"/>
    <xf numFmtId="0" fontId="6" fillId="3" borderId="15" xfId="0" applyFont="1" applyFill="1" applyBorder="1"/>
    <xf numFmtId="0" fontId="6" fillId="3" borderId="9" xfId="0" applyFont="1" applyFill="1" applyBorder="1"/>
    <xf numFmtId="0" fontId="6" fillId="3" borderId="10" xfId="0" applyFont="1" applyFill="1" applyBorder="1"/>
    <xf numFmtId="0" fontId="6" fillId="3" borderId="14" xfId="0" applyFont="1" applyFill="1" applyBorder="1"/>
    <xf numFmtId="0" fontId="2" fillId="0" borderId="0" xfId="0" applyFont="1"/>
    <xf numFmtId="0" fontId="2" fillId="0" borderId="0" xfId="0" applyFont="1" applyAlignment="1">
      <alignment vertical="center"/>
    </xf>
    <xf numFmtId="0" fontId="6" fillId="0" borderId="0" xfId="0" applyFont="1" applyAlignment="1">
      <alignment vertical="center"/>
    </xf>
    <xf numFmtId="0" fontId="12" fillId="0" borderId="0" xfId="0" applyFont="1"/>
    <xf numFmtId="0" fontId="13" fillId="0" borderId="7" xfId="0" applyFont="1" applyBorder="1"/>
    <xf numFmtId="0" fontId="14" fillId="0" borderId="7" xfId="0" applyFont="1" applyBorder="1" applyAlignment="1">
      <alignment horizontal="distributed" vertical="center"/>
    </xf>
    <xf numFmtId="0" fontId="14" fillId="0" borderId="7" xfId="0" applyFont="1" applyBorder="1" applyAlignment="1">
      <alignment horizontal="left" vertical="center"/>
    </xf>
    <xf numFmtId="0" fontId="13" fillId="0" borderId="0" xfId="0" applyFont="1"/>
    <xf numFmtId="0" fontId="13" fillId="0" borderId="4" xfId="0" applyFont="1" applyBorder="1"/>
    <xf numFmtId="0" fontId="14" fillId="0" borderId="4" xfId="0" applyFont="1" applyBorder="1" applyAlignment="1">
      <alignment horizontal="distributed" vertical="center"/>
    </xf>
    <xf numFmtId="0" fontId="14" fillId="0" borderId="4" xfId="0" applyFont="1" applyBorder="1" applyAlignment="1">
      <alignment horizontal="left" vertical="center"/>
    </xf>
    <xf numFmtId="0" fontId="11" fillId="0" borderId="0" xfId="0" applyFont="1"/>
    <xf numFmtId="0" fontId="13" fillId="0" borderId="0" xfId="0" applyFont="1" applyAlignment="1">
      <alignment horizontal="right"/>
    </xf>
    <xf numFmtId="0" fontId="15" fillId="0" borderId="0" xfId="0" applyFont="1"/>
    <xf numFmtId="0" fontId="1" fillId="0" borderId="0" xfId="0" applyFont="1"/>
    <xf numFmtId="0" fontId="5" fillId="0" borderId="0" xfId="3">
      <alignment vertical="center"/>
    </xf>
    <xf numFmtId="0" fontId="5" fillId="0" borderId="6" xfId="0" applyFont="1" applyBorder="1" applyAlignment="1">
      <alignment vertical="top"/>
    </xf>
    <xf numFmtId="0" fontId="5" fillId="0" borderId="7" xfId="0" applyFont="1" applyBorder="1" applyAlignment="1">
      <alignment vertical="top"/>
    </xf>
    <xf numFmtId="0" fontId="5" fillId="0" borderId="8" xfId="0" applyFont="1" applyBorder="1" applyAlignment="1">
      <alignment vertical="top"/>
    </xf>
    <xf numFmtId="0" fontId="5" fillId="0" borderId="2" xfId="0" applyFont="1" applyBorder="1" applyAlignment="1">
      <alignment vertical="top" wrapText="1"/>
    </xf>
    <xf numFmtId="180" fontId="5" fillId="0" borderId="0" xfId="0" applyNumberFormat="1" applyFont="1" applyAlignment="1">
      <alignment horizontal="right" vertical="top"/>
    </xf>
    <xf numFmtId="0" fontId="5" fillId="0" borderId="7" xfId="0" applyFont="1" applyBorder="1" applyAlignment="1">
      <alignment horizontal="center" vertical="top"/>
    </xf>
    <xf numFmtId="0" fontId="5" fillId="0" borderId="0" xfId="0" applyFont="1" applyAlignment="1">
      <alignment vertical="top" wrapText="1"/>
    </xf>
    <xf numFmtId="49" fontId="5" fillId="0" borderId="7" xfId="2" applyNumberFormat="1" applyFont="1" applyBorder="1" applyAlignment="1">
      <alignment vertical="center"/>
    </xf>
    <xf numFmtId="0" fontId="6" fillId="0" borderId="7" xfId="0" applyFont="1" applyBorder="1" applyAlignment="1">
      <alignment vertical="top"/>
    </xf>
    <xf numFmtId="0" fontId="5" fillId="0" borderId="0" xfId="0" applyFont="1" applyAlignment="1">
      <alignment horizontal="center" vertical="top"/>
    </xf>
    <xf numFmtId="0" fontId="5" fillId="0" borderId="12" xfId="0" applyFont="1" applyBorder="1"/>
    <xf numFmtId="0" fontId="5" fillId="0" borderId="10" xfId="0" applyFont="1" applyBorder="1"/>
    <xf numFmtId="0" fontId="16" fillId="0" borderId="12" xfId="0" applyFont="1" applyBorder="1"/>
    <xf numFmtId="0" fontId="16" fillId="0" borderId="0" xfId="0" applyFont="1" applyAlignment="1">
      <alignment vertical="top"/>
    </xf>
    <xf numFmtId="0" fontId="5" fillId="0" borderId="0" xfId="0" applyFont="1" applyAlignment="1">
      <alignment vertical="center"/>
    </xf>
    <xf numFmtId="0" fontId="5" fillId="0" borderId="10" xfId="0" applyFont="1" applyBorder="1" applyAlignment="1">
      <alignment vertical="top"/>
    </xf>
    <xf numFmtId="0" fontId="5" fillId="0" borderId="14" xfId="0" applyFont="1" applyBorder="1" applyAlignment="1">
      <alignment vertical="top"/>
    </xf>
    <xf numFmtId="0" fontId="5" fillId="0" borderId="11" xfId="0" applyFont="1" applyBorder="1" applyAlignment="1">
      <alignment vertical="top"/>
    </xf>
    <xf numFmtId="0" fontId="5" fillId="0" borderId="19" xfId="0" applyFont="1" applyBorder="1" applyAlignment="1">
      <alignment vertical="top"/>
    </xf>
    <xf numFmtId="0" fontId="5" fillId="0" borderId="15" xfId="0" applyFont="1" applyBorder="1" applyAlignment="1">
      <alignment vertical="top"/>
    </xf>
    <xf numFmtId="0" fontId="5" fillId="0" borderId="11" xfId="0" applyFont="1" applyBorder="1"/>
    <xf numFmtId="0" fontId="16" fillId="0" borderId="13" xfId="0" applyFont="1" applyBorder="1"/>
    <xf numFmtId="0" fontId="17" fillId="0" borderId="12" xfId="0" applyFont="1" applyBorder="1"/>
    <xf numFmtId="0" fontId="17" fillId="0" borderId="0" xfId="0" applyFont="1"/>
    <xf numFmtId="0" fontId="17" fillId="0" borderId="11" xfId="0" applyFont="1" applyBorder="1" applyAlignment="1">
      <alignment vertical="top"/>
    </xf>
    <xf numFmtId="0" fontId="17" fillId="0" borderId="19" xfId="0" applyFont="1" applyBorder="1" applyAlignment="1">
      <alignment vertical="top"/>
    </xf>
    <xf numFmtId="0" fontId="17" fillId="0" borderId="0" xfId="0" applyFont="1" applyAlignment="1">
      <alignment vertical="top"/>
    </xf>
    <xf numFmtId="0" fontId="17" fillId="0" borderId="10" xfId="0" applyFont="1" applyBorder="1" applyAlignment="1">
      <alignment vertical="top"/>
    </xf>
    <xf numFmtId="0" fontId="5" fillId="0" borderId="0" xfId="0" quotePrefix="1" applyFont="1"/>
    <xf numFmtId="0" fontId="5" fillId="0" borderId="9" xfId="0" applyFont="1" applyBorder="1"/>
    <xf numFmtId="0" fontId="5" fillId="0" borderId="12" xfId="0" applyFont="1" applyBorder="1" applyAlignment="1">
      <alignment vertical="center"/>
    </xf>
    <xf numFmtId="0" fontId="5" fillId="0" borderId="13" xfId="0" applyFont="1" applyBorder="1" applyAlignment="1">
      <alignment vertical="top"/>
    </xf>
    <xf numFmtId="0" fontId="5" fillId="0" borderId="9" xfId="0" applyFont="1" applyBorder="1" applyAlignment="1">
      <alignment vertical="top"/>
    </xf>
    <xf numFmtId="0" fontId="5" fillId="0" borderId="12" xfId="0" applyFont="1" applyBorder="1" applyAlignment="1">
      <alignment vertical="top"/>
    </xf>
    <xf numFmtId="0" fontId="5" fillId="0" borderId="13" xfId="0" applyFont="1" applyBorder="1"/>
    <xf numFmtId="0" fontId="16" fillId="0" borderId="9" xfId="0" applyFont="1" applyBorder="1"/>
    <xf numFmtId="0" fontId="18" fillId="0" borderId="0" xfId="0" applyFont="1" applyAlignment="1">
      <alignment vertical="top"/>
    </xf>
    <xf numFmtId="0" fontId="5" fillId="2" borderId="16" xfId="0" applyFont="1" applyFill="1" applyBorder="1" applyAlignment="1">
      <alignment vertical="center"/>
    </xf>
    <xf numFmtId="0" fontId="5" fillId="2" borderId="17" xfId="0" applyFont="1" applyFill="1" applyBorder="1" applyAlignment="1">
      <alignment vertical="center"/>
    </xf>
    <xf numFmtId="0" fontId="5" fillId="2" borderId="18" xfId="0" applyFont="1" applyFill="1" applyBorder="1" applyAlignment="1">
      <alignment vertical="center"/>
    </xf>
    <xf numFmtId="0" fontId="5" fillId="0" borderId="0" xfId="0" applyFont="1" applyAlignment="1">
      <alignment horizontal="center"/>
    </xf>
    <xf numFmtId="0" fontId="22" fillId="2" borderId="16" xfId="0" applyFont="1" applyFill="1" applyBorder="1" applyAlignment="1">
      <alignment vertical="center"/>
    </xf>
    <xf numFmtId="0" fontId="22" fillId="2" borderId="17" xfId="0" applyFont="1" applyFill="1" applyBorder="1" applyAlignment="1">
      <alignment vertical="center"/>
    </xf>
    <xf numFmtId="0" fontId="22" fillId="2" borderId="18" xfId="0" applyFont="1" applyFill="1" applyBorder="1" applyAlignment="1">
      <alignment vertical="center"/>
    </xf>
    <xf numFmtId="49" fontId="22" fillId="8" borderId="16" xfId="0" applyNumberFormat="1" applyFont="1" applyFill="1" applyBorder="1" applyAlignment="1">
      <alignment vertical="center"/>
    </xf>
    <xf numFmtId="49" fontId="22" fillId="8" borderId="17" xfId="0" applyNumberFormat="1" applyFont="1" applyFill="1" applyBorder="1" applyAlignment="1">
      <alignment vertical="center"/>
    </xf>
    <xf numFmtId="49" fontId="22" fillId="8" borderId="18" xfId="0" applyNumberFormat="1" applyFont="1" applyFill="1" applyBorder="1" applyAlignment="1">
      <alignment vertical="center"/>
    </xf>
    <xf numFmtId="0" fontId="16" fillId="0" borderId="0" xfId="0" applyFont="1"/>
    <xf numFmtId="0" fontId="5" fillId="8" borderId="6" xfId="0" applyFont="1" applyFill="1" applyBorder="1"/>
    <xf numFmtId="0" fontId="5" fillId="8" borderId="7" xfId="0" applyFont="1" applyFill="1" applyBorder="1"/>
    <xf numFmtId="0" fontId="5" fillId="8" borderId="8" xfId="0" applyFont="1" applyFill="1" applyBorder="1"/>
    <xf numFmtId="0" fontId="5" fillId="8" borderId="1" xfId="0" applyFont="1" applyFill="1" applyBorder="1"/>
    <xf numFmtId="0" fontId="23" fillId="8" borderId="0" xfId="0" applyFont="1" applyFill="1"/>
    <xf numFmtId="0" fontId="5" fillId="8" borderId="0" xfId="0" applyFont="1" applyFill="1"/>
    <xf numFmtId="0" fontId="5" fillId="8" borderId="2" xfId="0" applyFont="1" applyFill="1" applyBorder="1"/>
    <xf numFmtId="0" fontId="5" fillId="8" borderId="3" xfId="0" applyFont="1" applyFill="1" applyBorder="1"/>
    <xf numFmtId="0" fontId="5" fillId="8" borderId="4" xfId="0" applyFont="1" applyFill="1" applyBorder="1"/>
    <xf numFmtId="0" fontId="5" fillId="8" borderId="5" xfId="0" applyFont="1" applyFill="1" applyBorder="1"/>
    <xf numFmtId="0" fontId="24" fillId="0" borderId="0" xfId="0" applyFont="1" applyAlignment="1">
      <alignment vertical="top"/>
    </xf>
    <xf numFmtId="0" fontId="24" fillId="0" borderId="4" xfId="0" applyFont="1" applyBorder="1" applyAlignment="1">
      <alignment vertical="top"/>
    </xf>
    <xf numFmtId="0" fontId="24" fillId="0" borderId="7" xfId="0" applyFont="1" applyBorder="1" applyAlignment="1">
      <alignment vertical="top"/>
    </xf>
    <xf numFmtId="0" fontId="24" fillId="0" borderId="11" xfId="0" applyFont="1" applyBorder="1" applyAlignment="1">
      <alignment vertical="top"/>
    </xf>
    <xf numFmtId="0" fontId="16" fillId="0" borderId="12" xfId="0" applyFont="1" applyBorder="1" applyAlignment="1">
      <alignment vertical="top"/>
    </xf>
    <xf numFmtId="0" fontId="26" fillId="0" borderId="0" xfId="0" applyFont="1" applyAlignment="1">
      <alignment vertical="top"/>
    </xf>
    <xf numFmtId="49" fontId="28" fillId="0" borderId="0" xfId="0" applyNumberFormat="1" applyFont="1"/>
    <xf numFmtId="49" fontId="28" fillId="2" borderId="16" xfId="0" applyNumberFormat="1" applyFont="1" applyFill="1" applyBorder="1"/>
    <xf numFmtId="49" fontId="28" fillId="2" borderId="17" xfId="0" applyNumberFormat="1" applyFont="1" applyFill="1" applyBorder="1"/>
    <xf numFmtId="49" fontId="28" fillId="2" borderId="18" xfId="0" applyNumberFormat="1" applyFont="1" applyFill="1" applyBorder="1"/>
    <xf numFmtId="49" fontId="28" fillId="0" borderId="16" xfId="0" applyNumberFormat="1" applyFont="1" applyBorder="1"/>
    <xf numFmtId="49" fontId="28" fillId="0" borderId="17" xfId="0" applyNumberFormat="1" applyFont="1" applyBorder="1"/>
    <xf numFmtId="49" fontId="28" fillId="0" borderId="18" xfId="0" applyNumberFormat="1" applyFont="1" applyBorder="1"/>
    <xf numFmtId="0" fontId="22" fillId="0" borderId="0" xfId="0" applyFont="1" applyAlignment="1">
      <alignment vertical="center"/>
    </xf>
    <xf numFmtId="49" fontId="22" fillId="0" borderId="16" xfId="0" applyNumberFormat="1" applyFont="1" applyBorder="1" applyAlignment="1">
      <alignment vertical="center"/>
    </xf>
    <xf numFmtId="49" fontId="22" fillId="0" borderId="17" xfId="0" applyNumberFormat="1" applyFont="1" applyBorder="1" applyAlignment="1">
      <alignment vertical="center"/>
    </xf>
    <xf numFmtId="49" fontId="22" fillId="0" borderId="18" xfId="0" applyNumberFormat="1" applyFont="1" applyBorder="1" applyAlignment="1">
      <alignment vertical="center"/>
    </xf>
    <xf numFmtId="0" fontId="5" fillId="10" borderId="13" xfId="0" applyFont="1" applyFill="1" applyBorder="1"/>
    <xf numFmtId="0" fontId="5" fillId="10" borderId="11" xfId="0" applyFont="1" applyFill="1" applyBorder="1"/>
    <xf numFmtId="0" fontId="5" fillId="10" borderId="19" xfId="0" applyFont="1" applyFill="1" applyBorder="1"/>
    <xf numFmtId="0" fontId="5" fillId="10" borderId="12" xfId="0" applyFont="1" applyFill="1" applyBorder="1"/>
    <xf numFmtId="0" fontId="5" fillId="10" borderId="0" xfId="0" applyFont="1" applyFill="1"/>
    <xf numFmtId="0" fontId="5" fillId="10" borderId="15" xfId="0" applyFont="1" applyFill="1" applyBorder="1"/>
    <xf numFmtId="0" fontId="5" fillId="10" borderId="9" xfId="0" applyFont="1" applyFill="1" applyBorder="1"/>
    <xf numFmtId="0" fontId="5" fillId="10" borderId="10" xfId="0" applyFont="1" applyFill="1" applyBorder="1"/>
    <xf numFmtId="0" fontId="5" fillId="10" borderId="14" xfId="0" applyFont="1" applyFill="1" applyBorder="1"/>
    <xf numFmtId="0" fontId="17" fillId="8" borderId="0" xfId="0" applyFont="1" applyFill="1"/>
    <xf numFmtId="0" fontId="32" fillId="8" borderId="0" xfId="0" applyFont="1" applyFill="1"/>
    <xf numFmtId="0" fontId="34" fillId="0" borderId="0" xfId="0" applyFont="1" applyAlignment="1">
      <alignment vertical="top"/>
    </xf>
    <xf numFmtId="0" fontId="35" fillId="0" borderId="13" xfId="0" applyFont="1" applyBorder="1" applyAlignment="1">
      <alignment vertical="top"/>
    </xf>
    <xf numFmtId="49" fontId="5" fillId="0" borderId="13" xfId="0" quotePrefix="1" applyNumberFormat="1" applyFont="1" applyBorder="1" applyAlignment="1">
      <alignment vertical="top"/>
    </xf>
    <xf numFmtId="49" fontId="5" fillId="0" borderId="12" xfId="0" quotePrefix="1" applyNumberFormat="1" applyFont="1" applyBorder="1" applyAlignment="1">
      <alignment vertical="top"/>
    </xf>
    <xf numFmtId="49" fontId="16" fillId="0" borderId="12" xfId="0" quotePrefix="1" applyNumberFormat="1" applyFont="1" applyBorder="1" applyAlignment="1">
      <alignment vertical="top"/>
    </xf>
    <xf numFmtId="49" fontId="16" fillId="0" borderId="9" xfId="0" quotePrefix="1" applyNumberFormat="1" applyFont="1" applyBorder="1" applyAlignment="1">
      <alignment vertical="top"/>
    </xf>
    <xf numFmtId="0" fontId="16" fillId="0" borderId="10" xfId="0" applyFont="1" applyBorder="1" applyAlignment="1">
      <alignment vertical="top"/>
    </xf>
    <xf numFmtId="49" fontId="5" fillId="0" borderId="0" xfId="0" quotePrefix="1" applyNumberFormat="1" applyFont="1" applyAlignment="1">
      <alignment vertical="top"/>
    </xf>
    <xf numFmtId="49" fontId="16" fillId="0" borderId="13" xfId="0" quotePrefix="1" applyNumberFormat="1" applyFont="1" applyBorder="1" applyAlignment="1">
      <alignment vertical="top"/>
    </xf>
    <xf numFmtId="0" fontId="16" fillId="0" borderId="11" xfId="0" applyFont="1" applyBorder="1" applyAlignment="1">
      <alignment vertical="top"/>
    </xf>
    <xf numFmtId="49" fontId="5" fillId="0" borderId="9" xfId="0" quotePrefix="1" applyNumberFormat="1" applyFont="1" applyBorder="1" applyAlignment="1">
      <alignment vertical="top"/>
    </xf>
    <xf numFmtId="49" fontId="5" fillId="0" borderId="10" xfId="0" quotePrefix="1" applyNumberFormat="1" applyFont="1" applyBorder="1" applyAlignment="1">
      <alignment vertical="top" wrapText="1"/>
    </xf>
    <xf numFmtId="49" fontId="5" fillId="0" borderId="14" xfId="0" quotePrefix="1" applyNumberFormat="1" applyFont="1" applyBorder="1" applyAlignment="1">
      <alignment vertical="top" wrapText="1"/>
    </xf>
    <xf numFmtId="0" fontId="25" fillId="0" borderId="12" xfId="0" applyFont="1" applyBorder="1" applyAlignment="1">
      <alignment vertical="top"/>
    </xf>
    <xf numFmtId="0" fontId="25" fillId="0" borderId="9" xfId="0" applyFont="1" applyBorder="1" applyAlignment="1">
      <alignment vertical="top"/>
    </xf>
    <xf numFmtId="0" fontId="25" fillId="0" borderId="13" xfId="0" applyFont="1" applyBorder="1" applyAlignment="1">
      <alignment vertical="top"/>
    </xf>
    <xf numFmtId="0" fontId="31" fillId="0" borderId="0" xfId="0" applyFont="1"/>
    <xf numFmtId="0" fontId="5" fillId="10" borderId="0" xfId="0" applyFont="1" applyFill="1" applyAlignment="1">
      <alignment horizontal="right"/>
    </xf>
    <xf numFmtId="0" fontId="5" fillId="8" borderId="16"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5" fillId="8" borderId="18" xfId="0" applyFont="1" applyFill="1" applyBorder="1" applyAlignment="1">
      <alignment horizontal="center" vertical="center" wrapText="1"/>
    </xf>
    <xf numFmtId="0" fontId="38" fillId="0" borderId="0" xfId="0" applyFont="1"/>
    <xf numFmtId="0" fontId="17" fillId="0" borderId="13" xfId="0" applyFont="1" applyBorder="1"/>
    <xf numFmtId="0" fontId="25" fillId="0" borderId="0" xfId="0" applyFont="1" applyAlignment="1">
      <alignment vertical="top"/>
    </xf>
    <xf numFmtId="0" fontId="16" fillId="0" borderId="0" xfId="0" applyFont="1" applyAlignment="1">
      <alignment vertical="center"/>
    </xf>
    <xf numFmtId="0" fontId="24" fillId="0" borderId="10" xfId="0" applyFont="1" applyBorder="1" applyAlignment="1">
      <alignment vertical="top"/>
    </xf>
    <xf numFmtId="0" fontId="38" fillId="0" borderId="0" xfId="0" applyFont="1" applyAlignment="1">
      <alignment vertical="top"/>
    </xf>
    <xf numFmtId="0" fontId="38" fillId="0" borderId="11" xfId="0" applyFont="1" applyBorder="1" applyAlignment="1">
      <alignment vertical="top"/>
    </xf>
    <xf numFmtId="0" fontId="38" fillId="0" borderId="10" xfId="0" applyFont="1" applyBorder="1" applyAlignment="1">
      <alignment vertical="top"/>
    </xf>
    <xf numFmtId="49" fontId="5" fillId="8" borderId="17" xfId="0" applyNumberFormat="1" applyFont="1" applyFill="1" applyBorder="1" applyAlignment="1">
      <alignment vertical="center"/>
    </xf>
    <xf numFmtId="49" fontId="5" fillId="8" borderId="18" xfId="0" applyNumberFormat="1" applyFont="1" applyFill="1" applyBorder="1" applyAlignment="1">
      <alignment vertical="center"/>
    </xf>
    <xf numFmtId="49" fontId="5" fillId="8" borderId="16" xfId="0" applyNumberFormat="1" applyFont="1" applyFill="1" applyBorder="1" applyAlignment="1">
      <alignment vertical="center"/>
    </xf>
    <xf numFmtId="49" fontId="22" fillId="8" borderId="13" xfId="0" applyNumberFormat="1" applyFont="1" applyFill="1" applyBorder="1" applyAlignment="1">
      <alignment vertical="center"/>
    </xf>
    <xf numFmtId="49" fontId="22" fillId="8" borderId="11" xfId="0" applyNumberFormat="1" applyFont="1" applyFill="1" applyBorder="1" applyAlignment="1">
      <alignment vertical="center"/>
    </xf>
    <xf numFmtId="49" fontId="22" fillId="8" borderId="19" xfId="0" applyNumberFormat="1" applyFont="1" applyFill="1" applyBorder="1" applyAlignment="1">
      <alignment vertical="center"/>
    </xf>
    <xf numFmtId="49" fontId="22" fillId="8" borderId="12" xfId="0" applyNumberFormat="1" applyFont="1" applyFill="1" applyBorder="1" applyAlignment="1">
      <alignment vertical="center"/>
    </xf>
    <xf numFmtId="49" fontId="22" fillId="8" borderId="0" xfId="0" applyNumberFormat="1" applyFont="1" applyFill="1" applyAlignment="1">
      <alignment vertical="center"/>
    </xf>
    <xf numFmtId="49" fontId="22" fillId="8" borderId="15" xfId="0" applyNumberFormat="1" applyFont="1" applyFill="1" applyBorder="1" applyAlignment="1">
      <alignment vertical="center"/>
    </xf>
    <xf numFmtId="49" fontId="36" fillId="8" borderId="12" xfId="0" applyNumberFormat="1" applyFont="1" applyFill="1" applyBorder="1" applyAlignment="1">
      <alignment vertical="center"/>
    </xf>
    <xf numFmtId="49" fontId="22" fillId="8" borderId="9" xfId="0" applyNumberFormat="1" applyFont="1" applyFill="1" applyBorder="1" applyAlignment="1">
      <alignment vertical="center"/>
    </xf>
    <xf numFmtId="49" fontId="22" fillId="8" borderId="10" xfId="0" applyNumberFormat="1" applyFont="1" applyFill="1" applyBorder="1" applyAlignment="1">
      <alignment vertical="center"/>
    </xf>
    <xf numFmtId="49" fontId="22" fillId="8" borderId="14" xfId="0" applyNumberFormat="1" applyFont="1" applyFill="1" applyBorder="1" applyAlignment="1">
      <alignment vertical="center"/>
    </xf>
    <xf numFmtId="49" fontId="36" fillId="8" borderId="9" xfId="0" applyNumberFormat="1" applyFont="1" applyFill="1" applyBorder="1" applyAlignment="1">
      <alignment vertical="center"/>
    </xf>
    <xf numFmtId="49" fontId="29" fillId="8" borderId="9" xfId="0" applyNumberFormat="1" applyFont="1" applyFill="1" applyBorder="1" applyAlignment="1">
      <alignment vertical="center"/>
    </xf>
    <xf numFmtId="49" fontId="29" fillId="8" borderId="10" xfId="0" applyNumberFormat="1" applyFont="1" applyFill="1" applyBorder="1" applyAlignment="1">
      <alignment vertical="center"/>
    </xf>
    <xf numFmtId="49" fontId="30" fillId="8" borderId="10" xfId="0" applyNumberFormat="1" applyFont="1" applyFill="1" applyBorder="1" applyAlignment="1">
      <alignment vertical="center"/>
    </xf>
    <xf numFmtId="0" fontId="41" fillId="0" borderId="0" xfId="0" applyFont="1"/>
    <xf numFmtId="0" fontId="42" fillId="0" borderId="0" xfId="0" applyFont="1"/>
    <xf numFmtId="0" fontId="2" fillId="5" borderId="20" xfId="0" applyFont="1" applyFill="1" applyBorder="1" applyAlignment="1">
      <alignment vertical="center"/>
    </xf>
    <xf numFmtId="0" fontId="0" fillId="0" borderId="20" xfId="0" applyBorder="1" applyAlignment="1">
      <alignment vertical="center"/>
    </xf>
    <xf numFmtId="0" fontId="2" fillId="0" borderId="20" xfId="0" applyFont="1" applyBorder="1" applyAlignment="1">
      <alignment vertical="center"/>
    </xf>
    <xf numFmtId="0" fontId="2" fillId="4" borderId="20" xfId="0" applyFont="1" applyFill="1" applyBorder="1" applyAlignment="1">
      <alignment horizontal="center" vertical="center"/>
    </xf>
    <xf numFmtId="0" fontId="2" fillId="0" borderId="10" xfId="0" applyFont="1" applyBorder="1" applyAlignment="1">
      <alignment vertical="center"/>
    </xf>
    <xf numFmtId="14" fontId="2" fillId="0" borderId="20" xfId="0" applyNumberFormat="1" applyFont="1" applyBorder="1" applyAlignment="1">
      <alignment horizontal="left" vertical="center"/>
    </xf>
    <xf numFmtId="0" fontId="2" fillId="0" borderId="20" xfId="0" applyFont="1" applyBorder="1" applyAlignment="1">
      <alignment horizontal="left" vertical="center"/>
    </xf>
    <xf numFmtId="0" fontId="9" fillId="3" borderId="12" xfId="0" applyFont="1" applyFill="1" applyBorder="1" applyAlignment="1">
      <alignment horizontal="center" vertical="center"/>
    </xf>
    <xf numFmtId="0" fontId="9" fillId="3" borderId="0" xfId="0" applyFont="1" applyFill="1" applyAlignment="1">
      <alignment horizontal="center" vertical="center"/>
    </xf>
    <xf numFmtId="0" fontId="9" fillId="3" borderId="15" xfId="0" applyFont="1" applyFill="1" applyBorder="1" applyAlignment="1">
      <alignment horizontal="center" vertical="center"/>
    </xf>
    <xf numFmtId="0" fontId="8" fillId="3" borderId="12" xfId="0" applyFont="1" applyFill="1" applyBorder="1" applyAlignment="1">
      <alignment horizontal="center" vertical="center"/>
    </xf>
    <xf numFmtId="0" fontId="8" fillId="3" borderId="0" xfId="0" applyFont="1" applyFill="1" applyAlignment="1">
      <alignment horizontal="center" vertical="center"/>
    </xf>
    <xf numFmtId="0" fontId="8" fillId="3" borderId="15" xfId="0" applyFont="1" applyFill="1" applyBorder="1" applyAlignment="1">
      <alignment horizontal="center" vertical="center"/>
    </xf>
    <xf numFmtId="14" fontId="10" fillId="0" borderId="0" xfId="0" applyNumberFormat="1" applyFont="1" applyAlignment="1">
      <alignment horizontal="center"/>
    </xf>
    <xf numFmtId="0" fontId="10" fillId="0" borderId="0" xfId="0" applyFont="1" applyAlignment="1">
      <alignment horizontal="center"/>
    </xf>
    <xf numFmtId="0" fontId="6" fillId="0" borderId="0" xfId="0" applyFont="1"/>
    <xf numFmtId="31" fontId="5" fillId="0" borderId="16" xfId="0" applyNumberFormat="1" applyFont="1" applyBorder="1" applyAlignment="1">
      <alignment horizontal="center" vertical="center"/>
    </xf>
    <xf numFmtId="31" fontId="5" fillId="0" borderId="17" xfId="0" applyNumberFormat="1" applyFont="1" applyBorder="1" applyAlignment="1">
      <alignment horizontal="center" vertical="center"/>
    </xf>
    <xf numFmtId="31" fontId="5" fillId="0" borderId="18" xfId="0" applyNumberFormat="1" applyFont="1" applyBorder="1" applyAlignment="1">
      <alignment horizontal="center" vertical="center"/>
    </xf>
    <xf numFmtId="179" fontId="5" fillId="0" borderId="16" xfId="0" applyNumberFormat="1" applyFont="1" applyBorder="1" applyAlignment="1">
      <alignment horizontal="center" vertical="center"/>
    </xf>
    <xf numFmtId="179" fontId="5" fillId="0" borderId="17" xfId="0" applyNumberFormat="1" applyFont="1" applyBorder="1" applyAlignment="1">
      <alignment horizontal="center" vertical="center"/>
    </xf>
    <xf numFmtId="179" fontId="5" fillId="0" borderId="18" xfId="0" applyNumberFormat="1" applyFont="1" applyBorder="1" applyAlignment="1">
      <alignment horizontal="center" vertical="center"/>
    </xf>
    <xf numFmtId="0" fontId="11" fillId="2" borderId="20" xfId="0" applyFont="1" applyFill="1" applyBorder="1" applyAlignment="1">
      <alignment horizontal="center" vertical="center"/>
    </xf>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6" xfId="0" applyFont="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16" fillId="0" borderId="20" xfId="0" applyFont="1" applyBorder="1" applyAlignment="1">
      <alignment horizontal="center" vertical="center"/>
    </xf>
    <xf numFmtId="179" fontId="16" fillId="0" borderId="16" xfId="0" applyNumberFormat="1" applyFont="1" applyBorder="1" applyAlignment="1">
      <alignment horizontal="center" vertical="center"/>
    </xf>
    <xf numFmtId="179" fontId="16" fillId="0" borderId="17" xfId="0" applyNumberFormat="1" applyFont="1" applyBorder="1" applyAlignment="1">
      <alignment horizontal="center" vertical="center"/>
    </xf>
    <xf numFmtId="179" fontId="16" fillId="0" borderId="18" xfId="0" applyNumberFormat="1" applyFont="1" applyBorder="1" applyAlignment="1">
      <alignment horizontal="center" vertical="center"/>
    </xf>
    <xf numFmtId="31" fontId="16" fillId="0" borderId="16" xfId="0" applyNumberFormat="1" applyFont="1" applyBorder="1" applyAlignment="1">
      <alignment horizontal="center" vertical="center"/>
    </xf>
    <xf numFmtId="31" fontId="16" fillId="0" borderId="17" xfId="0" applyNumberFormat="1" applyFont="1" applyBorder="1" applyAlignment="1">
      <alignment horizontal="center" vertical="center"/>
    </xf>
    <xf numFmtId="31" fontId="16" fillId="0" borderId="18" xfId="0" applyNumberFormat="1" applyFont="1" applyBorder="1" applyAlignment="1">
      <alignment horizontal="center" vertical="center"/>
    </xf>
    <xf numFmtId="0" fontId="5" fillId="0" borderId="21" xfId="0" applyFont="1" applyBorder="1" applyAlignment="1">
      <alignment horizontal="center" vertical="center"/>
    </xf>
    <xf numFmtId="0" fontId="11" fillId="2" borderId="13" xfId="0" applyFont="1" applyFill="1" applyBorder="1" applyAlignment="1">
      <alignment horizontal="center" vertical="center"/>
    </xf>
    <xf numFmtId="0" fontId="11" fillId="2" borderId="11"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4" xfId="0" applyFont="1" applyFill="1" applyBorder="1" applyAlignment="1">
      <alignment horizontal="center" vertical="center"/>
    </xf>
    <xf numFmtId="176" fontId="5" fillId="0" borderId="16" xfId="0" applyNumberFormat="1" applyFont="1" applyBorder="1" applyAlignment="1">
      <alignment horizontal="center" vertical="center"/>
    </xf>
    <xf numFmtId="176" fontId="5" fillId="0" borderId="17" xfId="0" applyNumberFormat="1" applyFont="1" applyBorder="1" applyAlignment="1">
      <alignment horizontal="center" vertical="center"/>
    </xf>
    <xf numFmtId="176" fontId="5" fillId="0" borderId="18" xfId="0" applyNumberFormat="1" applyFont="1" applyBorder="1" applyAlignment="1">
      <alignment horizontal="center" vertical="center"/>
    </xf>
    <xf numFmtId="0" fontId="5" fillId="0" borderId="20" xfId="0" applyFont="1" applyBorder="1" applyAlignment="1">
      <alignment horizontal="center" vertical="center"/>
    </xf>
    <xf numFmtId="0" fontId="16" fillId="0" borderId="16" xfId="0" applyFont="1" applyBorder="1" applyAlignment="1">
      <alignment vertical="center"/>
    </xf>
    <xf numFmtId="0" fontId="16" fillId="0" borderId="17" xfId="0" applyFont="1" applyBorder="1" applyAlignment="1">
      <alignment vertical="center"/>
    </xf>
    <xf numFmtId="0" fontId="16" fillId="0" borderId="18" xfId="0" applyFont="1" applyBorder="1" applyAlignment="1">
      <alignment vertical="center"/>
    </xf>
    <xf numFmtId="0" fontId="5" fillId="0" borderId="20" xfId="0" applyFont="1" applyBorder="1" applyAlignment="1">
      <alignment vertical="center"/>
    </xf>
    <xf numFmtId="0" fontId="16" fillId="0" borderId="16" xfId="0" applyFont="1" applyBorder="1" applyAlignment="1">
      <alignment horizontal="center" vertical="center" shrinkToFit="1"/>
    </xf>
    <xf numFmtId="0" fontId="16" fillId="0" borderId="17" xfId="0" applyFont="1" applyBorder="1" applyAlignment="1">
      <alignment horizontal="center" vertical="center" shrinkToFit="1"/>
    </xf>
    <xf numFmtId="0" fontId="16" fillId="0" borderId="18" xfId="0" applyFont="1" applyBorder="1" applyAlignment="1">
      <alignment horizontal="center" vertical="center" shrinkToFit="1"/>
    </xf>
    <xf numFmtId="0" fontId="16" fillId="0" borderId="16" xfId="0" quotePrefix="1" applyFont="1" applyBorder="1" applyAlignment="1">
      <alignment horizontal="center" vertical="center" shrinkToFit="1"/>
    </xf>
    <xf numFmtId="0" fontId="16" fillId="0" borderId="16" xfId="0" applyFont="1" applyBorder="1" applyAlignment="1">
      <alignment horizontal="center" vertical="center" wrapText="1"/>
    </xf>
    <xf numFmtId="0" fontId="5" fillId="0" borderId="20" xfId="0" applyFont="1" applyBorder="1" applyAlignment="1">
      <alignment vertical="center" wrapText="1"/>
    </xf>
    <xf numFmtId="0" fontId="16" fillId="0" borderId="20" xfId="0" applyFont="1" applyBorder="1" applyAlignment="1">
      <alignment vertical="center" wrapText="1"/>
    </xf>
    <xf numFmtId="0" fontId="16" fillId="0" borderId="20" xfId="0" applyFont="1" applyBorder="1" applyAlignment="1">
      <alignment vertical="center"/>
    </xf>
    <xf numFmtId="177" fontId="11" fillId="0" borderId="0" xfId="0" applyNumberFormat="1" applyFont="1" applyAlignment="1">
      <alignment horizontal="left"/>
    </xf>
    <xf numFmtId="0" fontId="14" fillId="0" borderId="7" xfId="0" applyFont="1" applyBorder="1" applyAlignment="1">
      <alignment horizontal="distributed" vertical="center"/>
    </xf>
    <xf numFmtId="0" fontId="14" fillId="0" borderId="4" xfId="0" applyFont="1" applyBorder="1" applyAlignment="1">
      <alignment horizontal="distributed" vertical="center"/>
    </xf>
    <xf numFmtId="0" fontId="11" fillId="0" borderId="0" xfId="0" quotePrefix="1" applyFont="1" applyAlignment="1">
      <alignment horizontal="left"/>
    </xf>
    <xf numFmtId="0" fontId="11" fillId="0" borderId="0" xfId="0" applyFont="1" applyAlignment="1">
      <alignment horizontal="left"/>
    </xf>
    <xf numFmtId="0" fontId="41" fillId="0" borderId="0" xfId="0" quotePrefix="1" applyFont="1" applyAlignment="1">
      <alignment horizontal="left"/>
    </xf>
    <xf numFmtId="0" fontId="41" fillId="0" borderId="0" xfId="0" applyFont="1" applyAlignment="1">
      <alignment horizontal="left"/>
    </xf>
    <xf numFmtId="0" fontId="6" fillId="2" borderId="22" xfId="1" applyFont="1" applyFill="1" applyBorder="1" applyAlignment="1">
      <alignment vertical="center"/>
    </xf>
    <xf numFmtId="0" fontId="6" fillId="2" borderId="23" xfId="1" applyFont="1" applyFill="1" applyBorder="1" applyAlignment="1">
      <alignment vertical="center"/>
    </xf>
    <xf numFmtId="0" fontId="6" fillId="0" borderId="24" xfId="1" applyFont="1" applyBorder="1" applyAlignment="1">
      <alignment vertical="center" wrapText="1"/>
    </xf>
    <xf numFmtId="0" fontId="6" fillId="0" borderId="25" xfId="1" applyFont="1" applyBorder="1" applyAlignment="1">
      <alignment vertical="center" wrapText="1"/>
    </xf>
    <xf numFmtId="0" fontId="6" fillId="0" borderId="26" xfId="1" applyFont="1" applyBorder="1" applyAlignment="1">
      <alignment vertical="center" wrapText="1"/>
    </xf>
    <xf numFmtId="0" fontId="6" fillId="6" borderId="33" xfId="1" applyFont="1" applyFill="1" applyBorder="1" applyAlignment="1">
      <alignment horizontal="left" vertical="center"/>
    </xf>
    <xf numFmtId="0" fontId="6" fillId="6" borderId="4" xfId="1" applyFont="1" applyFill="1" applyBorder="1" applyAlignment="1">
      <alignment horizontal="left" vertical="center"/>
    </xf>
    <xf numFmtId="0" fontId="6" fillId="6" borderId="36" xfId="1" applyFont="1" applyFill="1" applyBorder="1" applyAlignment="1">
      <alignment horizontal="left" vertical="center"/>
    </xf>
    <xf numFmtId="0" fontId="6" fillId="2" borderId="23" xfId="1" applyFont="1" applyFill="1" applyBorder="1" applyAlignment="1">
      <alignment horizontal="center" vertical="center"/>
    </xf>
    <xf numFmtId="0" fontId="6" fillId="0" borderId="24" xfId="1" applyFont="1" applyBorder="1" applyAlignment="1">
      <alignment horizontal="left" vertical="center"/>
    </xf>
    <xf numFmtId="0" fontId="6" fillId="0" borderId="25" xfId="1" applyFont="1" applyBorder="1" applyAlignment="1">
      <alignment horizontal="left" vertical="center"/>
    </xf>
    <xf numFmtId="0" fontId="6" fillId="0" borderId="25" xfId="0" applyFont="1" applyBorder="1" applyAlignment="1">
      <alignment vertical="center"/>
    </xf>
    <xf numFmtId="0" fontId="6" fillId="0" borderId="26" xfId="0" applyFont="1" applyBorder="1" applyAlignment="1">
      <alignment vertical="center"/>
    </xf>
    <xf numFmtId="176" fontId="6" fillId="0" borderId="28" xfId="1" applyNumberFormat="1" applyFont="1" applyBorder="1" applyAlignment="1">
      <alignment horizontal="center" vertical="center"/>
    </xf>
    <xf numFmtId="0" fontId="6" fillId="2" borderId="32"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35"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0" xfId="1" applyFont="1" applyFill="1" applyAlignment="1">
      <alignment horizontal="center" vertical="center"/>
    </xf>
    <xf numFmtId="0" fontId="6" fillId="2" borderId="15" xfId="1" applyFont="1" applyFill="1" applyBorder="1" applyAlignment="1">
      <alignment horizontal="center" vertical="center"/>
    </xf>
    <xf numFmtId="0" fontId="6" fillId="2" borderId="33"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36" xfId="1" applyFont="1" applyFill="1" applyBorder="1" applyAlignment="1">
      <alignment horizontal="center" vertical="center"/>
    </xf>
    <xf numFmtId="0" fontId="6" fillId="0" borderId="32" xfId="1" applyFont="1" applyBorder="1" applyAlignment="1">
      <alignment horizontal="center" vertical="center"/>
    </xf>
    <xf numFmtId="0" fontId="6" fillId="0" borderId="7" xfId="1" applyFont="1" applyBorder="1" applyAlignment="1">
      <alignment horizontal="center" vertical="center"/>
    </xf>
    <xf numFmtId="0" fontId="6" fillId="0" borderId="8" xfId="1" applyFont="1" applyBorder="1" applyAlignment="1">
      <alignment horizontal="center" vertical="center"/>
    </xf>
    <xf numFmtId="0" fontId="6" fillId="0" borderId="12" xfId="1" applyFont="1" applyBorder="1" applyAlignment="1">
      <alignment horizontal="center" vertical="center"/>
    </xf>
    <xf numFmtId="0" fontId="6" fillId="0" borderId="0" xfId="1" applyFont="1" applyAlignment="1">
      <alignment horizontal="center" vertical="center"/>
    </xf>
    <xf numFmtId="0" fontId="6" fillId="0" borderId="2" xfId="1" applyFont="1" applyBorder="1" applyAlignment="1">
      <alignment horizontal="center" vertical="center"/>
    </xf>
    <xf numFmtId="0" fontId="6" fillId="0" borderId="33" xfId="1" applyFont="1" applyBorder="1" applyAlignment="1">
      <alignment horizontal="center" vertical="center"/>
    </xf>
    <xf numFmtId="0" fontId="6" fillId="0" borderId="4" xfId="1" applyFont="1" applyBorder="1" applyAlignment="1">
      <alignment horizontal="center" vertical="center"/>
    </xf>
    <xf numFmtId="0" fontId="6" fillId="0" borderId="5" xfId="1" applyFont="1" applyBorder="1" applyAlignment="1">
      <alignment horizontal="center" vertical="center"/>
    </xf>
    <xf numFmtId="0" fontId="6" fillId="2" borderId="34" xfId="1" applyFont="1" applyFill="1" applyBorder="1" applyAlignment="1">
      <alignment vertical="center"/>
    </xf>
    <xf numFmtId="0" fontId="6" fillId="2" borderId="20" xfId="1" applyFont="1" applyFill="1" applyBorder="1" applyAlignment="1">
      <alignment vertical="center"/>
    </xf>
    <xf numFmtId="0" fontId="6" fillId="0" borderId="16" xfId="1" applyFont="1" applyBorder="1" applyAlignment="1">
      <alignment vertical="center" wrapText="1"/>
    </xf>
    <xf numFmtId="0" fontId="6" fillId="0" borderId="17" xfId="1" applyFont="1" applyBorder="1" applyAlignment="1">
      <alignment vertical="center" wrapText="1"/>
    </xf>
    <xf numFmtId="0" fontId="6" fillId="0" borderId="18" xfId="1" applyFont="1" applyBorder="1" applyAlignment="1">
      <alignment vertical="center" wrapText="1"/>
    </xf>
    <xf numFmtId="0" fontId="6" fillId="2" borderId="20" xfId="1" applyFont="1" applyFill="1" applyBorder="1" applyAlignment="1">
      <alignment horizontal="center" vertical="center"/>
    </xf>
    <xf numFmtId="0" fontId="6" fillId="0" borderId="13" xfId="1" applyFont="1" applyBorder="1" applyAlignment="1">
      <alignment horizontal="left" vertical="center"/>
    </xf>
    <xf numFmtId="0" fontId="6" fillId="0" borderId="11" xfId="1" applyFont="1" applyBorder="1" applyAlignment="1">
      <alignment horizontal="left" vertical="center"/>
    </xf>
    <xf numFmtId="0" fontId="6" fillId="0" borderId="16" xfId="1" applyFont="1" applyBorder="1" applyAlignment="1">
      <alignment horizontal="center" vertical="center"/>
    </xf>
    <xf numFmtId="0" fontId="6" fillId="0" borderId="17" xfId="1" applyFont="1" applyBorder="1" applyAlignment="1">
      <alignment horizontal="center" vertical="center"/>
    </xf>
    <xf numFmtId="0" fontId="6" fillId="0" borderId="18" xfId="1" applyFont="1" applyBorder="1" applyAlignment="1">
      <alignment horizontal="center" vertical="center"/>
    </xf>
    <xf numFmtId="31" fontId="6" fillId="0" borderId="20" xfId="1" applyNumberFormat="1" applyFont="1" applyBorder="1" applyAlignment="1">
      <alignment horizontal="center" vertical="center"/>
    </xf>
    <xf numFmtId="0" fontId="6" fillId="2" borderId="27" xfId="1" applyFont="1" applyFill="1" applyBorder="1" applyAlignment="1">
      <alignment vertical="center"/>
    </xf>
    <xf numFmtId="0" fontId="6" fillId="2" borderId="28" xfId="1" applyFont="1" applyFill="1" applyBorder="1" applyAlignment="1">
      <alignment vertical="center"/>
    </xf>
    <xf numFmtId="0" fontId="6" fillId="0" borderId="29" xfId="1" applyFont="1" applyBorder="1" applyAlignment="1">
      <alignment vertical="center"/>
    </xf>
    <xf numFmtId="0" fontId="6" fillId="0" borderId="30" xfId="1" applyFont="1" applyBorder="1" applyAlignment="1">
      <alignment vertical="center"/>
    </xf>
    <xf numFmtId="0" fontId="6" fillId="0" borderId="31" xfId="1" applyFont="1" applyBorder="1" applyAlignment="1">
      <alignment vertical="center"/>
    </xf>
    <xf numFmtId="0" fontId="6" fillId="2" borderId="28" xfId="1" applyFont="1" applyFill="1" applyBorder="1" applyAlignment="1">
      <alignment horizontal="center" vertical="center"/>
    </xf>
    <xf numFmtId="0" fontId="6" fillId="0" borderId="29" xfId="1" applyFont="1" applyBorder="1" applyAlignment="1">
      <alignment horizontal="left" vertical="center"/>
    </xf>
    <xf numFmtId="0" fontId="6" fillId="0" borderId="30" xfId="1" applyFont="1" applyBorder="1" applyAlignment="1">
      <alignment horizontal="left" vertical="center"/>
    </xf>
    <xf numFmtId="0" fontId="6" fillId="0" borderId="29" xfId="1" applyFont="1" applyBorder="1" applyAlignment="1">
      <alignment horizontal="center" vertical="center"/>
    </xf>
    <xf numFmtId="0" fontId="6" fillId="0" borderId="30" xfId="1" applyFont="1" applyBorder="1" applyAlignment="1">
      <alignment horizontal="center" vertical="center"/>
    </xf>
    <xf numFmtId="0" fontId="6" fillId="0" borderId="31" xfId="1" applyFont="1" applyBorder="1" applyAlignment="1">
      <alignment horizontal="center" vertical="center"/>
    </xf>
    <xf numFmtId="0" fontId="5" fillId="0" borderId="0" xfId="0" applyFont="1" applyAlignment="1">
      <alignment horizontal="center"/>
    </xf>
    <xf numFmtId="0" fontId="5" fillId="7" borderId="18" xfId="0" applyFont="1" applyFill="1" applyBorder="1" applyAlignment="1">
      <alignment vertical="center"/>
    </xf>
    <xf numFmtId="0" fontId="5" fillId="7" borderId="20" xfId="0" applyFont="1" applyFill="1" applyBorder="1" applyAlignment="1">
      <alignment vertical="center"/>
    </xf>
    <xf numFmtId="0" fontId="5" fillId="7" borderId="16" xfId="0" applyFont="1" applyFill="1" applyBorder="1" applyAlignment="1">
      <alignment vertical="center"/>
    </xf>
    <xf numFmtId="0" fontId="5" fillId="7" borderId="17" xfId="0" applyFont="1" applyFill="1" applyBorder="1" applyAlignment="1">
      <alignment vertical="center"/>
    </xf>
    <xf numFmtId="0" fontId="5" fillId="0" borderId="20" xfId="0" quotePrefix="1" applyFont="1" applyBorder="1" applyAlignment="1">
      <alignment vertical="center"/>
    </xf>
    <xf numFmtId="0" fontId="5" fillId="0" borderId="16" xfId="0" quotePrefix="1" applyFont="1" applyBorder="1" applyAlignment="1">
      <alignment vertical="center"/>
    </xf>
    <xf numFmtId="0" fontId="5" fillId="0" borderId="17" xfId="0" quotePrefix="1" applyFont="1" applyBorder="1" applyAlignment="1">
      <alignment vertical="center"/>
    </xf>
    <xf numFmtId="0" fontId="5" fillId="0" borderId="18" xfId="0" quotePrefix="1" applyFont="1" applyBorder="1" applyAlignment="1">
      <alignment vertical="center"/>
    </xf>
    <xf numFmtId="0" fontId="5" fillId="0" borderId="16" xfId="0" applyFont="1" applyBorder="1" applyAlignment="1">
      <alignment vertical="center" wrapText="1"/>
    </xf>
    <xf numFmtId="0" fontId="5" fillId="0" borderId="17" xfId="0" applyFont="1" applyBorder="1" applyAlignment="1">
      <alignment vertical="center" wrapText="1"/>
    </xf>
    <xf numFmtId="0" fontId="5" fillId="0" borderId="18" xfId="0" applyFont="1" applyBorder="1" applyAlignment="1">
      <alignment vertical="center" wrapText="1"/>
    </xf>
    <xf numFmtId="0" fontId="20" fillId="7" borderId="13" xfId="0" applyFont="1" applyFill="1" applyBorder="1" applyAlignment="1">
      <alignment horizontal="center" vertical="center"/>
    </xf>
    <xf numFmtId="0" fontId="20" fillId="7" borderId="11" xfId="0" applyFont="1" applyFill="1" applyBorder="1" applyAlignment="1">
      <alignment horizontal="center" vertical="center"/>
    </xf>
    <xf numFmtId="0" fontId="20" fillId="7" borderId="19" xfId="0" applyFont="1" applyFill="1" applyBorder="1" applyAlignment="1">
      <alignment horizontal="center" vertical="center"/>
    </xf>
    <xf numFmtId="0" fontId="20" fillId="7" borderId="47" xfId="0" applyFont="1" applyFill="1" applyBorder="1" applyAlignment="1">
      <alignment horizontal="center" vertical="center"/>
    </xf>
    <xf numFmtId="0" fontId="20" fillId="7" borderId="48" xfId="0" applyFont="1" applyFill="1" applyBorder="1" applyAlignment="1">
      <alignment horizontal="center" vertical="center"/>
    </xf>
    <xf numFmtId="0" fontId="20" fillId="7" borderId="49" xfId="0" applyFont="1" applyFill="1" applyBorder="1" applyAlignment="1">
      <alignment horizontal="center" vertical="center"/>
    </xf>
    <xf numFmtId="0" fontId="20" fillId="7" borderId="13" xfId="0" applyFont="1" applyFill="1" applyBorder="1" applyAlignment="1">
      <alignment horizontal="center" vertical="center" wrapText="1"/>
    </xf>
    <xf numFmtId="0" fontId="6" fillId="0" borderId="32" xfId="5" applyFont="1" applyBorder="1" applyAlignment="1">
      <alignment horizontal="center" vertical="center"/>
    </xf>
    <xf numFmtId="0" fontId="6" fillId="0" borderId="7" xfId="5" applyFont="1" applyBorder="1" applyAlignment="1">
      <alignment horizontal="center" vertical="center"/>
    </xf>
    <xf numFmtId="0" fontId="6" fillId="0" borderId="8" xfId="5" applyFont="1" applyBorder="1" applyAlignment="1">
      <alignment horizontal="center" vertical="center"/>
    </xf>
    <xf numFmtId="0" fontId="6" fillId="0" borderId="12" xfId="5" applyFont="1" applyBorder="1" applyAlignment="1">
      <alignment horizontal="center" vertical="center"/>
    </xf>
    <xf numFmtId="0" fontId="6" fillId="0" borderId="0" xfId="5" applyFont="1" applyAlignment="1">
      <alignment horizontal="center" vertical="center"/>
    </xf>
    <xf numFmtId="0" fontId="6" fillId="0" borderId="2" xfId="5" applyFont="1" applyBorder="1" applyAlignment="1">
      <alignment horizontal="center" vertical="center"/>
    </xf>
    <xf numFmtId="0" fontId="6" fillId="0" borderId="33" xfId="5" applyFont="1" applyBorder="1" applyAlignment="1">
      <alignment horizontal="center" vertical="center"/>
    </xf>
    <xf numFmtId="0" fontId="6" fillId="0" borderId="4" xfId="5" applyFont="1" applyBorder="1" applyAlignment="1">
      <alignment horizontal="center" vertical="center"/>
    </xf>
    <xf numFmtId="0" fontId="6" fillId="0" borderId="5" xfId="5" applyFont="1" applyBorder="1" applyAlignment="1">
      <alignment horizontal="center" vertical="center"/>
    </xf>
    <xf numFmtId="0" fontId="6" fillId="2" borderId="28" xfId="5" applyFont="1" applyFill="1" applyBorder="1" applyAlignment="1">
      <alignment horizontal="center" vertical="center"/>
    </xf>
    <xf numFmtId="176" fontId="6" fillId="0" borderId="28" xfId="5" applyNumberFormat="1" applyFont="1" applyBorder="1" applyAlignment="1">
      <alignment horizontal="center" vertical="center"/>
    </xf>
    <xf numFmtId="0" fontId="6" fillId="2" borderId="32" xfId="5" applyFont="1" applyFill="1" applyBorder="1" applyAlignment="1">
      <alignment horizontal="center" vertical="center"/>
    </xf>
    <xf numFmtId="0" fontId="6" fillId="2" borderId="7" xfId="5" applyFont="1" applyFill="1" applyBorder="1" applyAlignment="1">
      <alignment horizontal="center" vertical="center"/>
    </xf>
    <xf numFmtId="0" fontId="6" fillId="2" borderId="35" xfId="5" applyFont="1" applyFill="1" applyBorder="1" applyAlignment="1">
      <alignment horizontal="center" vertical="center"/>
    </xf>
    <xf numFmtId="0" fontId="6" fillId="2" borderId="12" xfId="5" applyFont="1" applyFill="1" applyBorder="1" applyAlignment="1">
      <alignment horizontal="center" vertical="center"/>
    </xf>
    <xf numFmtId="0" fontId="6" fillId="2" borderId="0" xfId="5" applyFont="1" applyFill="1" applyAlignment="1">
      <alignment horizontal="center" vertical="center"/>
    </xf>
    <xf numFmtId="0" fontId="6" fillId="2" borderId="15" xfId="5" applyFont="1" applyFill="1" applyBorder="1" applyAlignment="1">
      <alignment horizontal="center" vertical="center"/>
    </xf>
    <xf numFmtId="0" fontId="6" fillId="2" borderId="33" xfId="5" applyFont="1" applyFill="1" applyBorder="1" applyAlignment="1">
      <alignment horizontal="center" vertical="center"/>
    </xf>
    <xf numFmtId="0" fontId="6" fillId="2" borderId="4" xfId="5" applyFont="1" applyFill="1" applyBorder="1" applyAlignment="1">
      <alignment horizontal="center" vertical="center"/>
    </xf>
    <xf numFmtId="0" fontId="6" fillId="2" borderId="36" xfId="5" applyFont="1" applyFill="1" applyBorder="1" applyAlignment="1">
      <alignment horizontal="center" vertical="center"/>
    </xf>
    <xf numFmtId="0" fontId="6" fillId="0" borderId="29" xfId="5" applyFont="1" applyBorder="1" applyAlignment="1">
      <alignment horizontal="center" vertical="center"/>
    </xf>
    <xf numFmtId="0" fontId="6" fillId="0" borderId="30" xfId="5" applyFont="1" applyBorder="1" applyAlignment="1">
      <alignment horizontal="center" vertical="center"/>
    </xf>
    <xf numFmtId="0" fontId="6" fillId="0" borderId="31" xfId="5" applyFont="1" applyBorder="1" applyAlignment="1">
      <alignment horizontal="center" vertical="center"/>
    </xf>
    <xf numFmtId="0" fontId="6" fillId="2" borderId="27" xfId="5" applyFont="1" applyFill="1" applyBorder="1" applyAlignment="1">
      <alignment vertical="center"/>
    </xf>
    <xf numFmtId="0" fontId="6" fillId="2" borderId="28" xfId="5" applyFont="1" applyFill="1" applyBorder="1" applyAlignment="1">
      <alignment vertical="center"/>
    </xf>
    <xf numFmtId="0" fontId="6" fillId="0" borderId="29" xfId="5" applyFont="1" applyBorder="1" applyAlignment="1">
      <alignment vertical="center"/>
    </xf>
    <xf numFmtId="0" fontId="6" fillId="0" borderId="30" xfId="5" applyFont="1" applyBorder="1" applyAlignment="1">
      <alignment vertical="center"/>
    </xf>
    <xf numFmtId="0" fontId="6" fillId="0" borderId="31" xfId="5" applyFont="1" applyBorder="1" applyAlignment="1">
      <alignment vertical="center"/>
    </xf>
    <xf numFmtId="0" fontId="6" fillId="0" borderId="29" xfId="5" applyFont="1" applyBorder="1" applyAlignment="1">
      <alignment horizontal="left" vertical="center"/>
    </xf>
    <xf numFmtId="0" fontId="6" fillId="0" borderId="30" xfId="5" applyFont="1" applyBorder="1" applyAlignment="1">
      <alignment horizontal="left" vertical="center"/>
    </xf>
    <xf numFmtId="0" fontId="6" fillId="2" borderId="34" xfId="5" applyFont="1" applyFill="1" applyBorder="1" applyAlignment="1">
      <alignment vertical="center"/>
    </xf>
    <xf numFmtId="0" fontId="6" fillId="2" borderId="20" xfId="5" applyFont="1" applyFill="1" applyBorder="1" applyAlignment="1">
      <alignment vertical="center"/>
    </xf>
    <xf numFmtId="0" fontId="6" fillId="0" borderId="16" xfId="5" applyFont="1" applyBorder="1" applyAlignment="1">
      <alignment vertical="center" wrapText="1"/>
    </xf>
    <xf numFmtId="0" fontId="6" fillId="0" borderId="17" xfId="5" applyFont="1" applyBorder="1" applyAlignment="1">
      <alignment vertical="center" wrapText="1"/>
    </xf>
    <xf numFmtId="0" fontId="6" fillId="0" borderId="18" xfId="5" applyFont="1" applyBorder="1" applyAlignment="1">
      <alignment vertical="center" wrapText="1"/>
    </xf>
    <xf numFmtId="0" fontId="6" fillId="2" borderId="20" xfId="5" applyFont="1" applyFill="1" applyBorder="1" applyAlignment="1">
      <alignment horizontal="center" vertical="center"/>
    </xf>
    <xf numFmtId="0" fontId="6" fillId="2" borderId="23" xfId="5" applyFont="1" applyFill="1" applyBorder="1" applyAlignment="1">
      <alignment horizontal="center" vertical="center"/>
    </xf>
    <xf numFmtId="0" fontId="6" fillId="0" borderId="13" xfId="5" applyFont="1" applyBorder="1" applyAlignment="1">
      <alignment horizontal="left" vertical="center"/>
    </xf>
    <xf numFmtId="0" fontId="6" fillId="0" borderId="11" xfId="5" applyFont="1" applyBorder="1" applyAlignment="1">
      <alignment horizontal="left" vertical="center"/>
    </xf>
    <xf numFmtId="0" fontId="6" fillId="2" borderId="22" xfId="5" applyFont="1" applyFill="1" applyBorder="1" applyAlignment="1">
      <alignment vertical="center"/>
    </xf>
    <xf numFmtId="0" fontId="6" fillId="2" borderId="23" xfId="5" applyFont="1" applyFill="1" applyBorder="1" applyAlignment="1">
      <alignment vertical="center"/>
    </xf>
    <xf numFmtId="0" fontId="6" fillId="0" borderId="24" xfId="5" applyFont="1" applyBorder="1" applyAlignment="1">
      <alignment vertical="center" wrapText="1"/>
    </xf>
    <xf numFmtId="0" fontId="6" fillId="0" borderId="25" xfId="5" applyFont="1" applyBorder="1" applyAlignment="1">
      <alignment vertical="center" wrapText="1"/>
    </xf>
    <xf numFmtId="0" fontId="6" fillId="0" borderId="26" xfId="5" applyFont="1" applyBorder="1" applyAlignment="1">
      <alignment vertical="center" wrapText="1"/>
    </xf>
    <xf numFmtId="0" fontId="6" fillId="6" borderId="33" xfId="5" applyFont="1" applyFill="1" applyBorder="1" applyAlignment="1">
      <alignment horizontal="left" vertical="center"/>
    </xf>
    <xf numFmtId="0" fontId="6" fillId="6" borderId="4" xfId="5" applyFont="1" applyFill="1" applyBorder="1" applyAlignment="1">
      <alignment horizontal="left" vertical="center"/>
    </xf>
    <xf numFmtId="0" fontId="6" fillId="6" borderId="36" xfId="5" applyFont="1" applyFill="1" applyBorder="1" applyAlignment="1">
      <alignment horizontal="left" vertical="center"/>
    </xf>
    <xf numFmtId="0" fontId="5" fillId="8" borderId="20" xfId="0" applyFont="1" applyFill="1" applyBorder="1" applyAlignment="1">
      <alignment vertical="center"/>
    </xf>
    <xf numFmtId="0" fontId="6" fillId="0" borderId="16" xfId="5" applyFont="1" applyBorder="1" applyAlignment="1">
      <alignment horizontal="center" vertical="center"/>
    </xf>
    <xf numFmtId="0" fontId="6" fillId="0" borderId="17" xfId="5" applyFont="1" applyBorder="1" applyAlignment="1">
      <alignment horizontal="center" vertical="center"/>
    </xf>
    <xf numFmtId="0" fontId="6" fillId="0" borderId="18" xfId="5" applyFont="1" applyBorder="1" applyAlignment="1">
      <alignment horizontal="center" vertical="center"/>
    </xf>
    <xf numFmtId="31" fontId="6" fillId="0" borderId="20" xfId="5" applyNumberFormat="1" applyFont="1" applyBorder="1" applyAlignment="1">
      <alignment horizontal="center" vertical="center"/>
    </xf>
    <xf numFmtId="0" fontId="6" fillId="0" borderId="24" xfId="5" applyFont="1" applyBorder="1" applyAlignment="1">
      <alignment horizontal="left" vertical="center"/>
    </xf>
    <xf numFmtId="0" fontId="6" fillId="0" borderId="25" xfId="5" applyFont="1" applyBorder="1" applyAlignment="1">
      <alignment horizontal="left" vertical="center"/>
    </xf>
    <xf numFmtId="0" fontId="5" fillId="7" borderId="46" xfId="0" applyFont="1" applyFill="1" applyBorder="1" applyAlignment="1">
      <alignment vertical="center"/>
    </xf>
    <xf numFmtId="0" fontId="5" fillId="8" borderId="16" xfId="0" applyFont="1" applyFill="1" applyBorder="1" applyAlignment="1">
      <alignment vertical="center"/>
    </xf>
    <xf numFmtId="0" fontId="5" fillId="8" borderId="17" xfId="0" applyFont="1" applyFill="1" applyBorder="1" applyAlignment="1">
      <alignment vertical="center"/>
    </xf>
    <xf numFmtId="0" fontId="5" fillId="8" borderId="18" xfId="0" applyFont="1" applyFill="1" applyBorder="1" applyAlignment="1">
      <alignment vertical="center"/>
    </xf>
    <xf numFmtId="0" fontId="5" fillId="8" borderId="20" xfId="0" applyFont="1" applyFill="1" applyBorder="1" applyAlignment="1">
      <alignment horizontal="center" vertical="center"/>
    </xf>
    <xf numFmtId="0" fontId="5" fillId="7" borderId="13"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47" xfId="0" applyFont="1" applyFill="1" applyBorder="1" applyAlignment="1">
      <alignment horizontal="center" vertical="center" wrapText="1"/>
    </xf>
    <xf numFmtId="0" fontId="5" fillId="7" borderId="48" xfId="0" applyFont="1" applyFill="1" applyBorder="1" applyAlignment="1">
      <alignment horizontal="center" vertical="center" wrapText="1"/>
    </xf>
    <xf numFmtId="0" fontId="5" fillId="7" borderId="49" xfId="0" applyFont="1" applyFill="1" applyBorder="1" applyAlignment="1">
      <alignment horizontal="center" vertical="center" wrapText="1"/>
    </xf>
    <xf numFmtId="0" fontId="20" fillId="7" borderId="11" xfId="0" applyFont="1" applyFill="1" applyBorder="1" applyAlignment="1">
      <alignment horizontal="center" vertical="center" wrapText="1"/>
    </xf>
    <xf numFmtId="0" fontId="20" fillId="7" borderId="19" xfId="0" applyFont="1" applyFill="1" applyBorder="1" applyAlignment="1">
      <alignment horizontal="center" vertical="center" wrapText="1"/>
    </xf>
    <xf numFmtId="0" fontId="20" fillId="7" borderId="47" xfId="0" applyFont="1" applyFill="1" applyBorder="1" applyAlignment="1">
      <alignment horizontal="center" vertical="center" wrapText="1"/>
    </xf>
    <xf numFmtId="0" fontId="20" fillId="7" borderId="48" xfId="0" applyFont="1" applyFill="1" applyBorder="1" applyAlignment="1">
      <alignment horizontal="center" vertical="center" wrapText="1"/>
    </xf>
    <xf numFmtId="0" fontId="20" fillId="7" borderId="49" xfId="0" applyFont="1" applyFill="1" applyBorder="1" applyAlignment="1">
      <alignment horizontal="center" vertical="center" wrapText="1"/>
    </xf>
    <xf numFmtId="31" fontId="6" fillId="0" borderId="20" xfId="1" applyNumberFormat="1" applyFont="1" applyBorder="1" applyAlignment="1">
      <alignment horizontal="center" vertical="top"/>
    </xf>
    <xf numFmtId="0" fontId="6" fillId="0" borderId="16" xfId="1" applyFont="1" applyBorder="1" applyAlignment="1">
      <alignment horizontal="center" vertical="top"/>
    </xf>
    <xf numFmtId="0" fontId="6" fillId="0" borderId="17" xfId="1" applyFont="1" applyBorder="1" applyAlignment="1">
      <alignment horizontal="center" vertical="top"/>
    </xf>
    <xf numFmtId="0" fontId="6" fillId="0" borderId="18" xfId="1" applyFont="1" applyBorder="1" applyAlignment="1">
      <alignment horizontal="center" vertical="top"/>
    </xf>
    <xf numFmtId="176" fontId="6" fillId="0" borderId="28" xfId="1" applyNumberFormat="1" applyFont="1" applyBorder="1" applyAlignment="1">
      <alignment horizontal="center" vertical="top"/>
    </xf>
    <xf numFmtId="0" fontId="6" fillId="0" borderId="24" xfId="1" applyFont="1" applyBorder="1" applyAlignment="1">
      <alignment horizontal="left" vertical="top"/>
    </xf>
    <xf numFmtId="0" fontId="6" fillId="0" borderId="25" xfId="1" applyFont="1" applyBorder="1" applyAlignment="1">
      <alignment horizontal="left" vertical="top"/>
    </xf>
    <xf numFmtId="0" fontId="6" fillId="0" borderId="25" xfId="0" applyFont="1" applyBorder="1" applyAlignment="1">
      <alignment vertical="top"/>
    </xf>
    <xf numFmtId="0" fontId="6" fillId="0" borderId="26" xfId="0" applyFont="1" applyBorder="1" applyAlignment="1">
      <alignment vertical="top"/>
    </xf>
    <xf numFmtId="0" fontId="6" fillId="0" borderId="29" xfId="1" applyFont="1" applyBorder="1" applyAlignment="1">
      <alignment horizontal="center" vertical="top"/>
    </xf>
    <xf numFmtId="0" fontId="6" fillId="0" borderId="30" xfId="1" applyFont="1" applyBorder="1" applyAlignment="1">
      <alignment horizontal="center" vertical="top"/>
    </xf>
    <xf numFmtId="0" fontId="6" fillId="0" borderId="31" xfId="1" applyFont="1" applyBorder="1" applyAlignment="1">
      <alignment horizontal="center" vertical="top"/>
    </xf>
    <xf numFmtId="0" fontId="5" fillId="2" borderId="42" xfId="4" applyFont="1" applyFill="1" applyBorder="1">
      <alignment vertical="center"/>
    </xf>
    <xf numFmtId="0" fontId="5" fillId="2" borderId="40" xfId="4" applyFont="1" applyFill="1" applyBorder="1">
      <alignment vertical="center"/>
    </xf>
    <xf numFmtId="0" fontId="5" fillId="2" borderId="43" xfId="4" applyFont="1" applyFill="1" applyBorder="1">
      <alignment vertical="center"/>
    </xf>
    <xf numFmtId="0" fontId="6" fillId="2" borderId="27" xfId="1" applyFont="1" applyFill="1" applyBorder="1" applyAlignment="1">
      <alignment vertical="top"/>
    </xf>
    <xf numFmtId="0" fontId="6" fillId="2" borderId="28" xfId="1" applyFont="1" applyFill="1" applyBorder="1" applyAlignment="1">
      <alignment vertical="top"/>
    </xf>
    <xf numFmtId="0" fontId="6" fillId="0" borderId="29" xfId="1" applyFont="1" applyBorder="1" applyAlignment="1">
      <alignment vertical="top"/>
    </xf>
    <xf numFmtId="0" fontId="6" fillId="0" borderId="30" xfId="1" applyFont="1" applyBorder="1" applyAlignment="1">
      <alignment vertical="top"/>
    </xf>
    <xf numFmtId="0" fontId="6" fillId="0" borderId="31" xfId="1" applyFont="1" applyBorder="1" applyAlignment="1">
      <alignment vertical="top"/>
    </xf>
    <xf numFmtId="0" fontId="6" fillId="2" borderId="28" xfId="1" applyFont="1" applyFill="1" applyBorder="1" applyAlignment="1">
      <alignment horizontal="center" vertical="top"/>
    </xf>
    <xf numFmtId="0" fontId="6" fillId="0" borderId="29" xfId="1" applyFont="1" applyBorder="1" applyAlignment="1">
      <alignment horizontal="left" vertical="top"/>
    </xf>
    <xf numFmtId="0" fontId="6" fillId="0" borderId="30" xfId="1" applyFont="1" applyBorder="1" applyAlignment="1">
      <alignment horizontal="left" vertical="top"/>
    </xf>
    <xf numFmtId="0" fontId="6" fillId="2" borderId="34" xfId="1" applyFont="1" applyFill="1" applyBorder="1" applyAlignment="1">
      <alignment vertical="top"/>
    </xf>
    <xf numFmtId="0" fontId="6" fillId="2" borderId="20" xfId="1" applyFont="1" applyFill="1" applyBorder="1" applyAlignment="1">
      <alignment vertical="top"/>
    </xf>
    <xf numFmtId="0" fontId="6" fillId="0" borderId="16" xfId="1" applyFont="1" applyBorder="1" applyAlignment="1">
      <alignment vertical="top" wrapText="1"/>
    </xf>
    <xf numFmtId="0" fontId="6" fillId="0" borderId="17" xfId="1" applyFont="1" applyBorder="1" applyAlignment="1">
      <alignment vertical="top" wrapText="1"/>
    </xf>
    <xf numFmtId="0" fontId="6" fillId="0" borderId="18" xfId="1" applyFont="1" applyBorder="1" applyAlignment="1">
      <alignment vertical="top" wrapText="1"/>
    </xf>
    <xf numFmtId="0" fontId="6" fillId="2" borderId="22" xfId="1" applyFont="1" applyFill="1" applyBorder="1" applyAlignment="1">
      <alignment vertical="top"/>
    </xf>
    <xf numFmtId="0" fontId="6" fillId="2" borderId="23" xfId="1" applyFont="1" applyFill="1" applyBorder="1" applyAlignment="1">
      <alignment vertical="top"/>
    </xf>
    <xf numFmtId="0" fontId="6" fillId="2" borderId="13" xfId="1" applyFont="1" applyFill="1" applyBorder="1" applyAlignment="1">
      <alignment horizontal="center" vertical="center"/>
    </xf>
    <xf numFmtId="0" fontId="6" fillId="2" borderId="11" xfId="1" applyFont="1" applyFill="1" applyBorder="1" applyAlignment="1">
      <alignment horizontal="center" vertical="center"/>
    </xf>
    <xf numFmtId="0" fontId="6" fillId="2" borderId="19" xfId="1" applyFont="1" applyFill="1" applyBorder="1" applyAlignment="1">
      <alignment horizontal="center" vertical="center"/>
    </xf>
    <xf numFmtId="0" fontId="6" fillId="0" borderId="24" xfId="1" applyFont="1" applyBorder="1" applyAlignment="1">
      <alignment vertical="top" wrapText="1"/>
    </xf>
    <xf numFmtId="0" fontId="6" fillId="0" borderId="25" xfId="1" applyFont="1" applyBorder="1" applyAlignment="1">
      <alignment vertical="top" wrapText="1"/>
    </xf>
    <xf numFmtId="0" fontId="6" fillId="0" borderId="26" xfId="1" applyFont="1" applyBorder="1" applyAlignment="1">
      <alignment vertical="top" wrapText="1"/>
    </xf>
    <xf numFmtId="0" fontId="6" fillId="6" borderId="33" xfId="1" applyFont="1" applyFill="1" applyBorder="1" applyAlignment="1">
      <alignment horizontal="left" vertical="top"/>
    </xf>
    <xf numFmtId="0" fontId="6" fillId="6" borderId="4" xfId="1" applyFont="1" applyFill="1" applyBorder="1" applyAlignment="1">
      <alignment horizontal="left" vertical="top"/>
    </xf>
    <xf numFmtId="0" fontId="6" fillId="0" borderId="13" xfId="1" applyFont="1" applyBorder="1" applyAlignment="1">
      <alignment horizontal="left" vertical="top"/>
    </xf>
    <xf numFmtId="0" fontId="6" fillId="0" borderId="11" xfId="1" applyFont="1" applyBorder="1" applyAlignment="1">
      <alignment horizontal="left" vertical="top"/>
    </xf>
    <xf numFmtId="0" fontId="5" fillId="2" borderId="42" xfId="0" applyFont="1" applyFill="1" applyBorder="1" applyAlignment="1">
      <alignment vertical="top"/>
    </xf>
    <xf numFmtId="0" fontId="5" fillId="2" borderId="40" xfId="0" applyFont="1" applyFill="1" applyBorder="1" applyAlignment="1">
      <alignment vertical="top"/>
    </xf>
    <xf numFmtId="0" fontId="5" fillId="2" borderId="43" xfId="0" applyFont="1" applyFill="1" applyBorder="1" applyAlignment="1">
      <alignment vertical="top"/>
    </xf>
    <xf numFmtId="0" fontId="5" fillId="2" borderId="46" xfId="4" applyFont="1" applyFill="1" applyBorder="1">
      <alignment vertical="center"/>
    </xf>
    <xf numFmtId="0" fontId="5" fillId="0" borderId="61" xfId="0" applyFont="1" applyBorder="1" applyAlignment="1">
      <alignment horizontal="center" vertical="center" textRotation="90"/>
    </xf>
    <xf numFmtId="0" fontId="5" fillId="0" borderId="79" xfId="0" applyFont="1" applyBorder="1" applyAlignment="1">
      <alignment horizontal="center" vertical="center" textRotation="90"/>
    </xf>
    <xf numFmtId="0" fontId="5" fillId="8" borderId="80" xfId="0" applyFont="1" applyFill="1" applyBorder="1" applyAlignment="1">
      <alignment vertical="center"/>
    </xf>
    <xf numFmtId="0" fontId="5" fillId="8" borderId="81" xfId="0" applyFont="1" applyFill="1" applyBorder="1" applyAlignment="1">
      <alignment vertical="center"/>
    </xf>
    <xf numFmtId="0" fontId="5" fillId="0" borderId="60" xfId="3" applyBorder="1" applyAlignment="1">
      <alignment vertical="center" wrapText="1"/>
    </xf>
    <xf numFmtId="0" fontId="5" fillId="0" borderId="60" xfId="3" applyBorder="1">
      <alignment vertical="center"/>
    </xf>
    <xf numFmtId="0" fontId="37" fillId="0" borderId="60" xfId="3" applyFont="1" applyBorder="1">
      <alignment vertical="center"/>
    </xf>
    <xf numFmtId="0" fontId="16" fillId="0" borderId="60" xfId="3" applyFont="1" applyBorder="1">
      <alignment vertical="center"/>
    </xf>
    <xf numFmtId="0" fontId="5" fillId="8" borderId="60" xfId="3" applyFill="1" applyBorder="1">
      <alignment vertical="center"/>
    </xf>
    <xf numFmtId="0" fontId="5" fillId="8" borderId="60" xfId="0" applyFont="1" applyFill="1" applyBorder="1" applyAlignment="1">
      <alignment vertical="center"/>
    </xf>
    <xf numFmtId="0" fontId="5" fillId="2" borderId="42" xfId="0" applyFont="1" applyFill="1" applyBorder="1" applyAlignment="1">
      <alignment horizontal="center" vertical="top"/>
    </xf>
    <xf numFmtId="0" fontId="5" fillId="2" borderId="40" xfId="0" applyFont="1" applyFill="1" applyBorder="1" applyAlignment="1">
      <alignment horizontal="center" vertical="top"/>
    </xf>
    <xf numFmtId="0" fontId="5" fillId="2" borderId="43" xfId="0" applyFont="1" applyFill="1" applyBorder="1" applyAlignment="1">
      <alignment horizontal="center" vertical="top"/>
    </xf>
    <xf numFmtId="0" fontId="5" fillId="2" borderId="46" xfId="0" applyFont="1" applyFill="1" applyBorder="1" applyAlignment="1">
      <alignment vertical="top"/>
    </xf>
    <xf numFmtId="0" fontId="5" fillId="0" borderId="16" xfId="0" applyFont="1" applyBorder="1" applyAlignment="1">
      <alignment vertical="center" shrinkToFit="1"/>
    </xf>
    <xf numFmtId="0" fontId="5" fillId="0" borderId="17" xfId="0" applyFont="1" applyBorder="1" applyAlignment="1">
      <alignment vertical="center" shrinkToFit="1"/>
    </xf>
    <xf numFmtId="0" fontId="5" fillId="0" borderId="18" xfId="0" applyFont="1" applyBorder="1" applyAlignment="1">
      <alignment vertical="center" shrinkToFit="1"/>
    </xf>
    <xf numFmtId="0" fontId="5" fillId="2" borderId="16" xfId="0" applyFont="1" applyFill="1" applyBorder="1" applyAlignment="1">
      <alignment vertical="center"/>
    </xf>
    <xf numFmtId="0" fontId="5" fillId="2" borderId="17" xfId="0" applyFont="1" applyFill="1" applyBorder="1" applyAlignment="1">
      <alignment vertical="center"/>
    </xf>
    <xf numFmtId="0" fontId="5" fillId="2" borderId="18" xfId="0" applyFont="1" applyFill="1" applyBorder="1" applyAlignment="1">
      <alignment vertical="center"/>
    </xf>
    <xf numFmtId="0" fontId="5" fillId="2" borderId="20" xfId="0" applyFont="1" applyFill="1" applyBorder="1" applyAlignment="1">
      <alignment vertical="center"/>
    </xf>
    <xf numFmtId="0" fontId="5" fillId="0" borderId="20" xfId="0" applyFont="1" applyBorder="1" applyAlignment="1">
      <alignment shrinkToFit="1"/>
    </xf>
    <xf numFmtId="0" fontId="5" fillId="2" borderId="46" xfId="0" applyFont="1" applyFill="1" applyBorder="1"/>
    <xf numFmtId="0" fontId="5" fillId="2" borderId="46" xfId="0" applyFont="1" applyFill="1" applyBorder="1" applyAlignment="1">
      <alignment horizontal="center"/>
    </xf>
    <xf numFmtId="0" fontId="5" fillId="0" borderId="20" xfId="0" applyFont="1" applyBorder="1"/>
    <xf numFmtId="0" fontId="5" fillId="0" borderId="21" xfId="0" applyFont="1" applyBorder="1"/>
    <xf numFmtId="20" fontId="5" fillId="0" borderId="20" xfId="0" applyNumberFormat="1" applyFont="1" applyBorder="1" applyAlignment="1">
      <alignment horizontal="center"/>
    </xf>
    <xf numFmtId="0" fontId="5" fillId="0" borderId="20" xfId="0" applyFont="1" applyBorder="1" applyAlignment="1">
      <alignment horizontal="center"/>
    </xf>
    <xf numFmtId="0" fontId="5" fillId="13" borderId="20" xfId="0" applyFont="1" applyFill="1" applyBorder="1" applyAlignment="1">
      <alignment horizontal="center" vertical="center"/>
    </xf>
    <xf numFmtId="0" fontId="31" fillId="12" borderId="20" xfId="0" applyFont="1" applyFill="1" applyBorder="1" applyAlignment="1">
      <alignment vertical="center"/>
    </xf>
    <xf numFmtId="0" fontId="31" fillId="11" borderId="13" xfId="0" applyFont="1" applyFill="1" applyBorder="1" applyAlignment="1">
      <alignment vertical="center"/>
    </xf>
    <xf numFmtId="0" fontId="31" fillId="11" borderId="11" xfId="0" applyFont="1" applyFill="1" applyBorder="1" applyAlignment="1">
      <alignment vertical="center"/>
    </xf>
    <xf numFmtId="0" fontId="31" fillId="11" borderId="19" xfId="0" applyFont="1" applyFill="1" applyBorder="1" applyAlignment="1">
      <alignment vertical="center"/>
    </xf>
    <xf numFmtId="0" fontId="31" fillId="11" borderId="9" xfId="0" applyFont="1" applyFill="1" applyBorder="1" applyAlignment="1">
      <alignment vertical="center"/>
    </xf>
    <xf numFmtId="0" fontId="31" fillId="11" borderId="10" xfId="0" applyFont="1" applyFill="1" applyBorder="1" applyAlignment="1">
      <alignment vertical="center"/>
    </xf>
    <xf numFmtId="0" fontId="31" fillId="11" borderId="14" xfId="0" applyFont="1" applyFill="1" applyBorder="1" applyAlignment="1">
      <alignment vertical="center"/>
    </xf>
    <xf numFmtId="0" fontId="18" fillId="0" borderId="50" xfId="0" applyFont="1" applyBorder="1" applyAlignment="1">
      <alignment vertical="center"/>
    </xf>
    <xf numFmtId="0" fontId="19" fillId="0" borderId="52" xfId="0" applyFont="1" applyBorder="1" applyAlignment="1">
      <alignment vertical="center"/>
    </xf>
    <xf numFmtId="0" fontId="19" fillId="0" borderId="37" xfId="0" applyFont="1" applyBorder="1" applyAlignment="1">
      <alignment vertical="center"/>
    </xf>
    <xf numFmtId="0" fontId="19" fillId="0" borderId="38" xfId="0" applyFont="1" applyBorder="1" applyAlignment="1">
      <alignment vertical="center"/>
    </xf>
    <xf numFmtId="0" fontId="19" fillId="0" borderId="44" xfId="0" applyFont="1" applyBorder="1" applyAlignment="1">
      <alignment vertical="center"/>
    </xf>
    <xf numFmtId="0" fontId="19" fillId="0" borderId="39" xfId="0" applyFont="1" applyBorder="1" applyAlignment="1">
      <alignment vertical="center"/>
    </xf>
    <xf numFmtId="0" fontId="19" fillId="0" borderId="41" xfId="0" applyFont="1" applyBorder="1" applyAlignment="1">
      <alignment vertical="center"/>
    </xf>
    <xf numFmtId="0" fontId="18" fillId="0" borderId="51" xfId="0" applyFont="1" applyBorder="1" applyAlignment="1">
      <alignment vertical="center"/>
    </xf>
    <xf numFmtId="0" fontId="5" fillId="0" borderId="20" xfId="0" quotePrefix="1" applyFont="1" applyBorder="1" applyAlignment="1">
      <alignment vertical="top" wrapText="1"/>
    </xf>
    <xf numFmtId="0" fontId="5" fillId="0" borderId="44" xfId="0" applyFont="1" applyBorder="1" applyAlignment="1">
      <alignment horizontal="left" vertical="top"/>
    </xf>
    <xf numFmtId="0" fontId="5" fillId="0" borderId="39" xfId="0" applyFont="1" applyBorder="1" applyAlignment="1">
      <alignment horizontal="left" vertical="top"/>
    </xf>
    <xf numFmtId="0" fontId="5" fillId="0" borderId="41" xfId="0" applyFont="1" applyBorder="1" applyAlignment="1">
      <alignment horizontal="left" vertical="top"/>
    </xf>
    <xf numFmtId="0" fontId="5" fillId="0" borderId="51" xfId="0" applyFont="1" applyBorder="1" applyAlignment="1">
      <alignment horizontal="left" vertical="top"/>
    </xf>
    <xf numFmtId="0" fontId="5" fillId="0" borderId="75" xfId="0" applyFont="1" applyBorder="1" applyAlignment="1">
      <alignment vertical="center"/>
    </xf>
    <xf numFmtId="0" fontId="5" fillId="0" borderId="50" xfId="0" applyFont="1" applyBorder="1" applyAlignment="1">
      <alignment vertical="center"/>
    </xf>
    <xf numFmtId="0" fontId="5" fillId="0" borderId="51" xfId="0" applyFont="1" applyBorder="1" applyAlignment="1">
      <alignment vertical="center"/>
    </xf>
    <xf numFmtId="0" fontId="5" fillId="0" borderId="20" xfId="0" applyFont="1" applyBorder="1" applyAlignment="1">
      <alignment vertical="top"/>
    </xf>
    <xf numFmtId="0" fontId="5" fillId="0" borderId="16" xfId="0" applyFont="1" applyBorder="1" applyAlignment="1">
      <alignment horizontal="right" vertical="top"/>
    </xf>
    <xf numFmtId="0" fontId="5" fillId="0" borderId="17" xfId="0" applyFont="1" applyBorder="1" applyAlignment="1">
      <alignment horizontal="right" vertical="top"/>
    </xf>
    <xf numFmtId="0" fontId="5" fillId="0" borderId="18" xfId="0" applyFont="1" applyBorder="1" applyAlignment="1">
      <alignment horizontal="right" vertical="top"/>
    </xf>
    <xf numFmtId="181" fontId="5" fillId="0" borderId="16" xfId="0" applyNumberFormat="1" applyFont="1" applyBorder="1" applyAlignment="1">
      <alignment horizontal="right" vertical="top"/>
    </xf>
    <xf numFmtId="181" fontId="5" fillId="0" borderId="17" xfId="0" applyNumberFormat="1" applyFont="1" applyBorder="1" applyAlignment="1">
      <alignment horizontal="right" vertical="top"/>
    </xf>
    <xf numFmtId="181" fontId="5" fillId="0" borderId="18" xfId="0" applyNumberFormat="1" applyFont="1" applyBorder="1" applyAlignment="1">
      <alignment horizontal="right" vertical="top"/>
    </xf>
    <xf numFmtId="0" fontId="5" fillId="0" borderId="20" xfId="0" applyFont="1" applyBorder="1" applyAlignment="1">
      <alignment horizontal="center" vertical="top"/>
    </xf>
    <xf numFmtId="0" fontId="5" fillId="0" borderId="66" xfId="0" applyFont="1" applyBorder="1" applyAlignment="1">
      <alignment vertical="center"/>
    </xf>
    <xf numFmtId="0" fontId="5" fillId="0" borderId="52" xfId="0" applyFont="1" applyBorder="1" applyAlignment="1">
      <alignment horizontal="left" vertical="top" shrinkToFit="1"/>
    </xf>
    <xf numFmtId="0" fontId="5" fillId="0" borderId="37" xfId="0" applyFont="1" applyBorder="1" applyAlignment="1">
      <alignment horizontal="left" vertical="top" shrinkToFit="1"/>
    </xf>
    <xf numFmtId="0" fontId="5" fillId="0" borderId="38" xfId="0" applyFont="1" applyBorder="1" applyAlignment="1">
      <alignment horizontal="left" vertical="top" shrinkToFit="1"/>
    </xf>
    <xf numFmtId="0" fontId="18" fillId="0" borderId="50" xfId="0" applyFont="1" applyBorder="1" applyAlignment="1">
      <alignment vertical="top"/>
    </xf>
    <xf numFmtId="0" fontId="33" fillId="0" borderId="52" xfId="0" applyFont="1" applyBorder="1" applyAlignment="1">
      <alignment vertical="center"/>
    </xf>
    <xf numFmtId="0" fontId="33" fillId="0" borderId="37" xfId="0" applyFont="1" applyBorder="1" applyAlignment="1">
      <alignment vertical="center"/>
    </xf>
    <xf numFmtId="0" fontId="33" fillId="0" borderId="38" xfId="0" applyFont="1" applyBorder="1" applyAlignment="1">
      <alignment vertical="center"/>
    </xf>
    <xf numFmtId="0" fontId="40" fillId="0" borderId="52" xfId="0" applyFont="1" applyBorder="1" applyAlignment="1">
      <alignment vertical="top"/>
    </xf>
    <xf numFmtId="0" fontId="40" fillId="0" borderId="37" xfId="0" applyFont="1" applyBorder="1" applyAlignment="1">
      <alignment vertical="top"/>
    </xf>
    <xf numFmtId="0" fontId="40" fillId="0" borderId="38" xfId="0" applyFont="1" applyBorder="1" applyAlignment="1">
      <alignment vertical="top"/>
    </xf>
    <xf numFmtId="0" fontId="33" fillId="0" borderId="52" xfId="0" applyFont="1" applyBorder="1" applyAlignment="1">
      <alignment vertical="top"/>
    </xf>
    <xf numFmtId="0" fontId="33" fillId="0" borderId="37" xfId="0" applyFont="1" applyBorder="1" applyAlignment="1">
      <alignment vertical="top"/>
    </xf>
    <xf numFmtId="0" fontId="33" fillId="0" borderId="38" xfId="0" applyFont="1" applyBorder="1" applyAlignment="1">
      <alignment vertical="top"/>
    </xf>
    <xf numFmtId="0" fontId="16" fillId="0" borderId="50" xfId="0" applyFont="1" applyBorder="1" applyAlignment="1">
      <alignment vertical="top"/>
    </xf>
    <xf numFmtId="0" fontId="5" fillId="9" borderId="50" xfId="0" applyFont="1" applyFill="1" applyBorder="1" applyAlignment="1">
      <alignment horizontal="left" vertical="top" shrinkToFit="1"/>
    </xf>
    <xf numFmtId="0" fontId="5" fillId="9" borderId="51" xfId="0" applyFont="1" applyFill="1" applyBorder="1" applyAlignment="1">
      <alignment horizontal="left" vertical="top" shrinkToFi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9" borderId="44" xfId="0" applyFont="1" applyFill="1" applyBorder="1" applyAlignment="1">
      <alignment horizontal="left" vertical="top" shrinkToFit="1"/>
    </xf>
    <xf numFmtId="0" fontId="5" fillId="9" borderId="39" xfId="0" applyFont="1" applyFill="1" applyBorder="1" applyAlignment="1">
      <alignment horizontal="left" vertical="top" shrinkToFit="1"/>
    </xf>
    <xf numFmtId="0" fontId="5" fillId="9" borderId="41" xfId="0" applyFont="1" applyFill="1" applyBorder="1" applyAlignment="1">
      <alignment horizontal="left" vertical="top" shrinkToFit="1"/>
    </xf>
    <xf numFmtId="0" fontId="5" fillId="9" borderId="52" xfId="0" applyFont="1" applyFill="1" applyBorder="1" applyAlignment="1">
      <alignment horizontal="left" vertical="top" shrinkToFit="1"/>
    </xf>
    <xf numFmtId="0" fontId="5" fillId="9" borderId="37" xfId="0" applyFont="1" applyFill="1" applyBorder="1" applyAlignment="1">
      <alignment horizontal="left" vertical="top" shrinkToFit="1"/>
    </xf>
    <xf numFmtId="0" fontId="5" fillId="9" borderId="38" xfId="0" applyFont="1" applyFill="1" applyBorder="1" applyAlignment="1">
      <alignment horizontal="left" vertical="top" shrinkToFit="1"/>
    </xf>
    <xf numFmtId="0" fontId="5" fillId="0" borderId="51" xfId="0" applyFont="1" applyBorder="1" applyAlignment="1">
      <alignment horizontal="left" vertical="center" shrinkToFit="1"/>
    </xf>
    <xf numFmtId="0" fontId="5" fillId="9" borderId="57" xfId="0" applyFont="1" applyFill="1" applyBorder="1" applyAlignment="1">
      <alignment horizontal="left" shrinkToFit="1"/>
    </xf>
    <xf numFmtId="0" fontId="5" fillId="9" borderId="58" xfId="0" applyFont="1" applyFill="1" applyBorder="1" applyAlignment="1">
      <alignment horizontal="left" shrinkToFit="1"/>
    </xf>
    <xf numFmtId="0" fontId="5" fillId="9" borderId="59" xfId="0" applyFont="1" applyFill="1" applyBorder="1" applyAlignment="1">
      <alignment horizontal="left" shrinkToFit="1"/>
    </xf>
    <xf numFmtId="0" fontId="5" fillId="9" borderId="57" xfId="0" applyFont="1" applyFill="1" applyBorder="1" applyAlignment="1">
      <alignment horizontal="left" vertical="top" shrinkToFit="1"/>
    </xf>
    <xf numFmtId="0" fontId="5" fillId="9" borderId="58" xfId="0" applyFont="1" applyFill="1" applyBorder="1" applyAlignment="1">
      <alignment horizontal="left" vertical="top" shrinkToFit="1"/>
    </xf>
    <xf numFmtId="0" fontId="5" fillId="9" borderId="59" xfId="0" applyFont="1" applyFill="1" applyBorder="1" applyAlignment="1">
      <alignment horizontal="left" vertical="top" shrinkToFit="1"/>
    </xf>
    <xf numFmtId="0" fontId="5" fillId="0" borderId="16" xfId="0" applyFont="1" applyBorder="1" applyAlignment="1">
      <alignment horizontal="left" vertical="top" shrinkToFit="1"/>
    </xf>
    <xf numFmtId="0" fontId="5" fillId="0" borderId="17" xfId="0" applyFont="1" applyBorder="1" applyAlignment="1">
      <alignment horizontal="left" vertical="top" shrinkToFit="1"/>
    </xf>
    <xf numFmtId="0" fontId="5" fillId="0" borderId="18" xfId="0" applyFont="1" applyBorder="1" applyAlignment="1">
      <alignment horizontal="left" vertical="top" shrinkToFit="1"/>
    </xf>
    <xf numFmtId="0" fontId="5" fillId="9" borderId="56" xfId="0" applyFont="1" applyFill="1" applyBorder="1" applyAlignment="1">
      <alignment horizontal="left" vertical="top" shrinkToFit="1"/>
    </xf>
    <xf numFmtId="0" fontId="5" fillId="0" borderId="20" xfId="0" applyFont="1" applyBorder="1" applyAlignment="1">
      <alignment horizontal="left" vertical="top" shrinkToFit="1"/>
    </xf>
    <xf numFmtId="0" fontId="5" fillId="0" borderId="57" xfId="0" applyFont="1" applyBorder="1" applyAlignment="1">
      <alignment horizontal="left" vertical="top" shrinkToFit="1"/>
    </xf>
    <xf numFmtId="0" fontId="5" fillId="0" borderId="58" xfId="0" applyFont="1" applyBorder="1" applyAlignment="1">
      <alignment horizontal="left" vertical="top" shrinkToFit="1"/>
    </xf>
    <xf numFmtId="0" fontId="5" fillId="0" borderId="59" xfId="0" applyFont="1" applyBorder="1" applyAlignment="1">
      <alignment horizontal="left" vertical="top" shrinkToFit="1"/>
    </xf>
    <xf numFmtId="0" fontId="5" fillId="9" borderId="50" xfId="0" applyFont="1" applyFill="1" applyBorder="1" applyAlignment="1">
      <alignment vertical="center" shrinkToFit="1"/>
    </xf>
    <xf numFmtId="0" fontId="5" fillId="0" borderId="56" xfId="0" applyFont="1" applyBorder="1" applyAlignment="1">
      <alignment horizontal="left" vertical="center" shrinkToFit="1"/>
    </xf>
    <xf numFmtId="0" fontId="5" fillId="0" borderId="50" xfId="0" applyFont="1" applyBorder="1" applyAlignment="1">
      <alignment horizontal="left" vertical="center" shrinkToFit="1"/>
    </xf>
    <xf numFmtId="0" fontId="5" fillId="0" borderId="74" xfId="0" applyFont="1" applyBorder="1" applyAlignment="1">
      <alignment vertical="center"/>
    </xf>
    <xf numFmtId="0" fontId="5" fillId="2" borderId="20" xfId="0" applyFont="1" applyFill="1" applyBorder="1" applyAlignment="1">
      <alignment horizontal="center" vertical="top"/>
    </xf>
    <xf numFmtId="0" fontId="5" fillId="2" borderId="46" xfId="0" applyFont="1" applyFill="1" applyBorder="1" applyAlignment="1">
      <alignment horizontal="center" vertical="top"/>
    </xf>
    <xf numFmtId="0" fontId="16" fillId="0" borderId="50" xfId="0" applyFont="1" applyBorder="1" applyAlignment="1">
      <alignment vertical="center"/>
    </xf>
    <xf numFmtId="0" fontId="5" fillId="0" borderId="55" xfId="0" applyFont="1" applyBorder="1" applyAlignment="1">
      <alignment vertical="center"/>
    </xf>
    <xf numFmtId="0" fontId="5" fillId="0" borderId="50" xfId="0" applyFont="1" applyBorder="1" applyAlignment="1">
      <alignment vertical="top"/>
    </xf>
    <xf numFmtId="0" fontId="18" fillId="0" borderId="55" xfId="0" applyFont="1" applyBorder="1" applyAlignment="1">
      <alignment vertical="center"/>
    </xf>
    <xf numFmtId="0" fontId="5" fillId="2" borderId="20" xfId="0" applyFont="1" applyFill="1" applyBorder="1" applyAlignment="1">
      <alignment vertical="top"/>
    </xf>
    <xf numFmtId="0" fontId="19" fillId="0" borderId="53" xfId="0" applyFont="1" applyBorder="1" applyAlignment="1">
      <alignment vertical="center"/>
    </xf>
    <xf numFmtId="0" fontId="19" fillId="0" borderId="45" xfId="0" applyFont="1" applyBorder="1" applyAlignment="1">
      <alignment vertical="center"/>
    </xf>
    <xf numFmtId="0" fontId="19" fillId="0" borderId="54" xfId="0" applyFont="1" applyBorder="1" applyAlignment="1">
      <alignment vertical="center"/>
    </xf>
    <xf numFmtId="0" fontId="5" fillId="0" borderId="16" xfId="0" applyFont="1" applyBorder="1" applyAlignment="1">
      <alignment horizontal="left"/>
    </xf>
    <xf numFmtId="0" fontId="5" fillId="0" borderId="18" xfId="0" applyFont="1" applyBorder="1" applyAlignment="1">
      <alignment horizontal="left"/>
    </xf>
    <xf numFmtId="49" fontId="5" fillId="2" borderId="16" xfId="2" applyNumberFormat="1" applyFont="1" applyFill="1" applyBorder="1" applyAlignment="1">
      <alignment vertical="center"/>
    </xf>
    <xf numFmtId="49" fontId="5" fillId="2" borderId="17" xfId="2" applyNumberFormat="1" applyFont="1" applyFill="1" applyBorder="1" applyAlignment="1">
      <alignment vertical="center"/>
    </xf>
    <xf numFmtId="49" fontId="5" fillId="2" borderId="18" xfId="2" applyNumberFormat="1" applyFont="1" applyFill="1" applyBorder="1" applyAlignment="1">
      <alignment vertical="center"/>
    </xf>
    <xf numFmtId="0" fontId="16" fillId="0" borderId="16" xfId="0" applyFont="1" applyBorder="1"/>
    <xf numFmtId="0" fontId="16" fillId="0" borderId="17" xfId="0" applyFont="1" applyBorder="1"/>
    <xf numFmtId="0" fontId="16" fillId="0" borderId="18" xfId="0" applyFont="1" applyBorder="1"/>
    <xf numFmtId="0" fontId="5" fillId="2" borderId="16" xfId="0" applyFont="1" applyFill="1" applyBorder="1"/>
    <xf numFmtId="0" fontId="5" fillId="2" borderId="17" xfId="0" applyFont="1" applyFill="1" applyBorder="1"/>
    <xf numFmtId="0" fontId="5" fillId="2" borderId="18" xfId="0" applyFont="1" applyFill="1" applyBorder="1"/>
    <xf numFmtId="0" fontId="5" fillId="0" borderId="16" xfId="0" applyFont="1" applyBorder="1" applyAlignment="1">
      <alignment vertical="top"/>
    </xf>
    <xf numFmtId="0" fontId="5" fillId="0" borderId="17" xfId="0" applyFont="1" applyBorder="1" applyAlignment="1">
      <alignment vertical="top"/>
    </xf>
    <xf numFmtId="0" fontId="5" fillId="0" borderId="18" xfId="0" applyFont="1" applyBorder="1" applyAlignment="1">
      <alignment vertical="top"/>
    </xf>
    <xf numFmtId="0" fontId="5" fillId="0" borderId="16" xfId="0" applyFont="1" applyBorder="1"/>
    <xf numFmtId="0" fontId="5" fillId="0" borderId="17" xfId="0" applyFont="1" applyBorder="1"/>
    <xf numFmtId="0" fontId="5" fillId="0" borderId="18" xfId="0" applyFont="1" applyBorder="1"/>
    <xf numFmtId="181" fontId="18" fillId="0" borderId="16" xfId="0" applyNumberFormat="1" applyFont="1" applyBorder="1" applyAlignment="1">
      <alignment horizontal="right" vertical="top"/>
    </xf>
    <xf numFmtId="181" fontId="18" fillId="0" borderId="17" xfId="0" applyNumberFormat="1" applyFont="1" applyBorder="1" applyAlignment="1">
      <alignment horizontal="right" vertical="top"/>
    </xf>
    <xf numFmtId="181" fontId="18" fillId="0" borderId="18" xfId="0" applyNumberFormat="1" applyFont="1" applyBorder="1" applyAlignment="1">
      <alignment horizontal="right" vertical="top"/>
    </xf>
    <xf numFmtId="0" fontId="5" fillId="9" borderId="56" xfId="0" applyFont="1" applyFill="1" applyBorder="1" applyAlignment="1">
      <alignment vertical="center" shrinkToFit="1"/>
    </xf>
    <xf numFmtId="0" fontId="16" fillId="0" borderId="20" xfId="0" applyFont="1" applyBorder="1"/>
    <xf numFmtId="49" fontId="5" fillId="2" borderId="20" xfId="2" applyNumberFormat="1" applyFont="1" applyFill="1" applyBorder="1" applyAlignment="1">
      <alignment vertical="center"/>
    </xf>
    <xf numFmtId="49" fontId="5" fillId="2" borderId="16" xfId="2" applyNumberFormat="1" applyFont="1" applyFill="1" applyBorder="1" applyAlignment="1">
      <alignment horizontal="left" vertical="center"/>
    </xf>
    <xf numFmtId="49" fontId="5" fillId="2" borderId="18" xfId="2" applyNumberFormat="1" applyFont="1" applyFill="1" applyBorder="1" applyAlignment="1">
      <alignment horizontal="left" vertical="center"/>
    </xf>
    <xf numFmtId="0" fontId="5" fillId="0" borderId="12" xfId="0" applyFont="1" applyBorder="1" applyAlignment="1">
      <alignment horizontal="left"/>
    </xf>
    <xf numFmtId="0" fontId="5" fillId="0" borderId="15" xfId="0" applyFont="1" applyBorder="1" applyAlignment="1">
      <alignment horizontal="left"/>
    </xf>
    <xf numFmtId="0" fontId="5" fillId="0" borderId="12" xfId="0" applyFont="1" applyBorder="1"/>
    <xf numFmtId="0" fontId="5" fillId="0" borderId="0" xfId="0" applyFont="1"/>
    <xf numFmtId="0" fontId="5" fillId="0" borderId="15" xfId="0" applyFont="1" applyBorder="1"/>
    <xf numFmtId="0" fontId="5" fillId="0" borderId="67" xfId="0" applyFont="1" applyBorder="1"/>
    <xf numFmtId="0" fontId="5" fillId="0" borderId="68" xfId="0" applyFont="1" applyBorder="1"/>
    <xf numFmtId="0" fontId="5" fillId="0" borderId="69" xfId="0" applyFont="1" applyBorder="1"/>
    <xf numFmtId="0" fontId="5" fillId="0" borderId="57" xfId="0" applyFont="1" applyBorder="1" applyAlignment="1">
      <alignment horizontal="left" vertical="top"/>
    </xf>
    <xf numFmtId="0" fontId="5" fillId="0" borderId="58" xfId="0" applyFont="1" applyBorder="1" applyAlignment="1">
      <alignment horizontal="left" vertical="top"/>
    </xf>
    <xf numFmtId="0" fontId="5" fillId="0" borderId="59" xfId="0" applyFont="1" applyBorder="1" applyAlignment="1">
      <alignment horizontal="left" vertical="top"/>
    </xf>
    <xf numFmtId="0" fontId="16" fillId="0" borderId="67" xfId="0" applyFont="1" applyBorder="1"/>
    <xf numFmtId="0" fontId="16" fillId="0" borderId="68" xfId="0" applyFont="1" applyBorder="1"/>
    <xf numFmtId="0" fontId="16" fillId="0" borderId="69" xfId="0" applyFont="1" applyBorder="1"/>
    <xf numFmtId="0" fontId="5" fillId="0" borderId="62" xfId="0" applyFont="1" applyBorder="1"/>
    <xf numFmtId="0" fontId="5" fillId="0" borderId="66" xfId="0" applyFont="1" applyBorder="1"/>
    <xf numFmtId="0" fontId="5" fillId="2" borderId="16" xfId="0" applyFont="1" applyFill="1" applyBorder="1" applyAlignment="1">
      <alignment horizontal="center" vertical="top"/>
    </xf>
    <xf numFmtId="0" fontId="5" fillId="2" borderId="17" xfId="0" applyFont="1" applyFill="1" applyBorder="1" applyAlignment="1">
      <alignment horizontal="center" vertical="top"/>
    </xf>
    <xf numFmtId="0" fontId="5" fillId="2" borderId="18" xfId="0" applyFont="1" applyFill="1" applyBorder="1" applyAlignment="1">
      <alignment horizontal="center" vertical="top"/>
    </xf>
    <xf numFmtId="0" fontId="5" fillId="0" borderId="52" xfId="0" applyFont="1" applyBorder="1" applyAlignment="1">
      <alignment horizontal="left" vertical="top"/>
    </xf>
    <xf numFmtId="0" fontId="5" fillId="0" borderId="37" xfId="0" applyFont="1" applyBorder="1" applyAlignment="1">
      <alignment horizontal="left" vertical="top"/>
    </xf>
    <xf numFmtId="0" fontId="5" fillId="0" borderId="38" xfId="0" applyFont="1" applyBorder="1" applyAlignment="1">
      <alignment horizontal="left" vertical="top"/>
    </xf>
    <xf numFmtId="0" fontId="17" fillId="0" borderId="67" xfId="0" applyFont="1" applyBorder="1"/>
    <xf numFmtId="0" fontId="17" fillId="0" borderId="68" xfId="0" applyFont="1" applyBorder="1"/>
    <xf numFmtId="0" fontId="17" fillId="0" borderId="69" xfId="0" applyFont="1" applyBorder="1"/>
    <xf numFmtId="0" fontId="5" fillId="0" borderId="9" xfId="0" applyFont="1" applyBorder="1" applyAlignment="1">
      <alignment horizontal="left"/>
    </xf>
    <xf numFmtId="0" fontId="5" fillId="0" borderId="14" xfId="0" applyFont="1" applyBorder="1" applyAlignment="1">
      <alignment horizontal="left"/>
    </xf>
    <xf numFmtId="0" fontId="5" fillId="0" borderId="9" xfId="0" applyFont="1" applyBorder="1"/>
    <xf numFmtId="0" fontId="5" fillId="0" borderId="10" xfId="0" applyFont="1" applyBorder="1"/>
    <xf numFmtId="0" fontId="5" fillId="0" borderId="14" xfId="0" applyFont="1" applyBorder="1"/>
    <xf numFmtId="0" fontId="17" fillId="0" borderId="71" xfId="0" applyFont="1" applyBorder="1"/>
    <xf numFmtId="0" fontId="17" fillId="0" borderId="72" xfId="0" applyFont="1" applyBorder="1"/>
    <xf numFmtId="0" fontId="17" fillId="0" borderId="73" xfId="0" applyFont="1" applyBorder="1"/>
    <xf numFmtId="0" fontId="5" fillId="0" borderId="20" xfId="0" applyFont="1" applyBorder="1" applyAlignment="1">
      <alignment horizontal="left" vertical="top"/>
    </xf>
    <xf numFmtId="0" fontId="5" fillId="0" borderId="50" xfId="0" applyFont="1" applyBorder="1" applyAlignment="1">
      <alignment horizontal="left" vertical="top"/>
    </xf>
    <xf numFmtId="0" fontId="5" fillId="0" borderId="56" xfId="0" applyFont="1" applyBorder="1" applyAlignment="1">
      <alignment horizontal="left" vertical="top"/>
    </xf>
    <xf numFmtId="0" fontId="5" fillId="0" borderId="63" xfId="0" applyFont="1" applyBorder="1"/>
    <xf numFmtId="0" fontId="5" fillId="0" borderId="64" xfId="0" applyFont="1" applyBorder="1"/>
    <xf numFmtId="0" fontId="5" fillId="0" borderId="65" xfId="0" applyFont="1" applyBorder="1"/>
    <xf numFmtId="0" fontId="17" fillId="0" borderId="70" xfId="0" applyFont="1" applyBorder="1"/>
    <xf numFmtId="0" fontId="5" fillId="0" borderId="9" xfId="0" applyFont="1" applyBorder="1" applyAlignment="1">
      <alignment horizontal="left" vertical="top"/>
    </xf>
    <xf numFmtId="0" fontId="5" fillId="0" borderId="10" xfId="0" applyFont="1" applyBorder="1" applyAlignment="1">
      <alignment horizontal="left" vertical="top"/>
    </xf>
    <xf numFmtId="0" fontId="5" fillId="0" borderId="14" xfId="0" applyFont="1" applyBorder="1" applyAlignment="1">
      <alignment horizontal="left" vertical="top"/>
    </xf>
    <xf numFmtId="0" fontId="5" fillId="9" borderId="51" xfId="0" applyFont="1" applyFill="1" applyBorder="1" applyAlignment="1">
      <alignment vertical="center" shrinkToFit="1"/>
    </xf>
    <xf numFmtId="0" fontId="5" fillId="0" borderId="44" xfId="0" applyFont="1" applyBorder="1" applyAlignment="1">
      <alignment horizontal="left" vertical="top" shrinkToFit="1"/>
    </xf>
    <xf numFmtId="0" fontId="5" fillId="0" borderId="39" xfId="0" applyFont="1" applyBorder="1" applyAlignment="1">
      <alignment horizontal="left" vertical="top" shrinkToFit="1"/>
    </xf>
    <xf numFmtId="0" fontId="5" fillId="0" borderId="41" xfId="0" applyFont="1" applyBorder="1" applyAlignment="1">
      <alignment horizontal="left" vertical="top" shrinkToFit="1"/>
    </xf>
    <xf numFmtId="49" fontId="22" fillId="0" borderId="16" xfId="0" applyNumberFormat="1" applyFont="1" applyBorder="1" applyAlignment="1">
      <alignment vertical="center" wrapText="1"/>
    </xf>
    <xf numFmtId="49" fontId="22" fillId="0" borderId="17" xfId="0" applyNumberFormat="1" applyFont="1" applyBorder="1" applyAlignment="1">
      <alignment vertical="center" wrapText="1"/>
    </xf>
    <xf numFmtId="49" fontId="22" fillId="0" borderId="18" xfId="0" applyNumberFormat="1" applyFont="1" applyBorder="1" applyAlignment="1">
      <alignment vertical="center" wrapText="1"/>
    </xf>
    <xf numFmtId="0" fontId="5" fillId="0" borderId="52" xfId="0" applyFont="1" applyBorder="1" applyAlignment="1">
      <alignment vertical="top"/>
    </xf>
    <xf numFmtId="0" fontId="5" fillId="0" borderId="37" xfId="0" applyFont="1" applyBorder="1" applyAlignment="1">
      <alignment vertical="top"/>
    </xf>
    <xf numFmtId="0" fontId="5" fillId="0" borderId="38" xfId="0" applyFont="1" applyBorder="1" applyAlignment="1">
      <alignment vertical="top"/>
    </xf>
    <xf numFmtId="0" fontId="5" fillId="0" borderId="57" xfId="0" applyFont="1" applyBorder="1" applyAlignment="1">
      <alignment vertical="top" wrapText="1"/>
    </xf>
    <xf numFmtId="0" fontId="5" fillId="0" borderId="58" xfId="0" applyFont="1" applyBorder="1" applyAlignment="1">
      <alignment vertical="top" wrapText="1"/>
    </xf>
    <xf numFmtId="0" fontId="5" fillId="0" borderId="59" xfId="0" applyFont="1" applyBorder="1" applyAlignment="1">
      <alignment vertical="top" wrapText="1"/>
    </xf>
    <xf numFmtId="0" fontId="5" fillId="0" borderId="52" xfId="0" applyFont="1" applyBorder="1" applyAlignment="1">
      <alignment vertical="top" wrapText="1"/>
    </xf>
    <xf numFmtId="0" fontId="5" fillId="0" borderId="37" xfId="0" applyFont="1" applyBorder="1" applyAlignment="1">
      <alignment vertical="top" wrapText="1"/>
    </xf>
    <xf numFmtId="0" fontId="5" fillId="0" borderId="38" xfId="0" applyFont="1" applyBorder="1" applyAlignment="1">
      <alignment vertical="top" wrapText="1"/>
    </xf>
    <xf numFmtId="0" fontId="5" fillId="0" borderId="82" xfId="0" applyFont="1" applyBorder="1" applyAlignment="1">
      <alignment horizontal="left" vertical="top" shrinkToFit="1"/>
    </xf>
    <xf numFmtId="0" fontId="5" fillId="0" borderId="83" xfId="0" applyFont="1" applyBorder="1" applyAlignment="1">
      <alignment horizontal="left" vertical="top" shrinkToFit="1"/>
    </xf>
    <xf numFmtId="0" fontId="5" fillId="0" borderId="84" xfId="0" applyFont="1" applyBorder="1" applyAlignment="1">
      <alignment horizontal="left" vertical="top" shrinkToFit="1"/>
    </xf>
    <xf numFmtId="0" fontId="5" fillId="0" borderId="82" xfId="0" applyFont="1" applyBorder="1" applyAlignment="1">
      <alignment horizontal="left" vertical="top"/>
    </xf>
    <xf numFmtId="0" fontId="5" fillId="0" borderId="83" xfId="0" applyFont="1" applyBorder="1" applyAlignment="1">
      <alignment horizontal="left" vertical="top"/>
    </xf>
    <xf numFmtId="0" fontId="5" fillId="0" borderId="84" xfId="0" applyFont="1" applyBorder="1" applyAlignment="1">
      <alignment horizontal="left" vertical="top"/>
    </xf>
    <xf numFmtId="0" fontId="5" fillId="0" borderId="82" xfId="0" applyFont="1" applyBorder="1" applyAlignment="1">
      <alignment vertical="top"/>
    </xf>
    <xf numFmtId="0" fontId="5" fillId="0" borderId="83" xfId="0" applyFont="1" applyBorder="1" applyAlignment="1">
      <alignment vertical="top"/>
    </xf>
    <xf numFmtId="0" fontId="5" fillId="0" borderId="84" xfId="0" applyFont="1" applyBorder="1" applyAlignment="1">
      <alignment vertical="top"/>
    </xf>
    <xf numFmtId="0" fontId="5" fillId="0" borderId="44" xfId="0" applyFont="1" applyBorder="1" applyAlignment="1">
      <alignment vertical="top"/>
    </xf>
    <xf numFmtId="0" fontId="5" fillId="0" borderId="39" xfId="0" applyFont="1" applyBorder="1" applyAlignment="1">
      <alignment vertical="top"/>
    </xf>
    <xf numFmtId="0" fontId="5" fillId="0" borderId="41" xfId="0" applyFont="1" applyBorder="1" applyAlignment="1">
      <alignment vertical="top"/>
    </xf>
    <xf numFmtId="0" fontId="5" fillId="0" borderId="16" xfId="0" applyFont="1" applyBorder="1" applyAlignment="1">
      <alignment horizontal="left" vertical="top"/>
    </xf>
    <xf numFmtId="0" fontId="5" fillId="0" borderId="17" xfId="0" applyFont="1" applyBorder="1" applyAlignment="1">
      <alignment horizontal="left" vertical="top"/>
    </xf>
    <xf numFmtId="0" fontId="5" fillId="0" borderId="18" xfId="0" applyFont="1" applyBorder="1" applyAlignment="1">
      <alignment horizontal="left" vertical="top"/>
    </xf>
    <xf numFmtId="0" fontId="16" fillId="0" borderId="66" xfId="0" applyFont="1" applyBorder="1"/>
    <xf numFmtId="0" fontId="17" fillId="0" borderId="66" xfId="0" applyFont="1" applyBorder="1"/>
    <xf numFmtId="0" fontId="5" fillId="0" borderId="13" xfId="0" applyFont="1" applyBorder="1" applyAlignment="1">
      <alignment horizontal="left"/>
    </xf>
    <xf numFmtId="0" fontId="5" fillId="0" borderId="19" xfId="0" applyFont="1" applyBorder="1" applyAlignment="1">
      <alignment horizontal="left"/>
    </xf>
    <xf numFmtId="0" fontId="5" fillId="0" borderId="13" xfId="0" applyFont="1" applyBorder="1"/>
    <xf numFmtId="0" fontId="5" fillId="0" borderId="11" xfId="0" applyFont="1" applyBorder="1"/>
    <xf numFmtId="0" fontId="5" fillId="0" borderId="19" xfId="0" applyFont="1" applyBorder="1"/>
    <xf numFmtId="0" fontId="5" fillId="0" borderId="76" xfId="0" applyFont="1" applyBorder="1" applyAlignment="1">
      <alignment horizontal="left" vertical="top"/>
    </xf>
    <xf numFmtId="0" fontId="5" fillId="0" borderId="77" xfId="0" applyFont="1" applyBorder="1" applyAlignment="1">
      <alignment horizontal="left" vertical="top"/>
    </xf>
    <xf numFmtId="0" fontId="5" fillId="0" borderId="78" xfId="0" applyFont="1" applyBorder="1" applyAlignment="1">
      <alignment horizontal="left" vertical="top"/>
    </xf>
    <xf numFmtId="0" fontId="5" fillId="0" borderId="57" xfId="0" applyFont="1" applyBorder="1" applyAlignment="1">
      <alignment vertical="top"/>
    </xf>
    <xf numFmtId="0" fontId="5" fillId="0" borderId="58" xfId="0" applyFont="1" applyBorder="1" applyAlignment="1">
      <alignment vertical="top"/>
    </xf>
    <xf numFmtId="0" fontId="5" fillId="0" borderId="59" xfId="0" applyFont="1" applyBorder="1" applyAlignment="1">
      <alignment vertical="top"/>
    </xf>
    <xf numFmtId="0" fontId="5" fillId="2" borderId="16" xfId="0" applyFont="1" applyFill="1" applyBorder="1" applyAlignment="1">
      <alignment horizontal="center" vertical="top" shrinkToFit="1"/>
    </xf>
    <xf numFmtId="0" fontId="5" fillId="2" borderId="17" xfId="0" applyFont="1" applyFill="1" applyBorder="1" applyAlignment="1">
      <alignment horizontal="center" vertical="top" shrinkToFit="1"/>
    </xf>
    <xf numFmtId="0" fontId="5" fillId="2" borderId="18" xfId="0" applyFont="1" applyFill="1" applyBorder="1" applyAlignment="1">
      <alignment horizontal="center" vertical="top" shrinkToFit="1"/>
    </xf>
    <xf numFmtId="0" fontId="5" fillId="2" borderId="20" xfId="0" applyFont="1" applyFill="1" applyBorder="1" applyAlignment="1">
      <alignment horizontal="center" vertical="top" wrapText="1" shrinkToFit="1"/>
    </xf>
    <xf numFmtId="20" fontId="5" fillId="0" borderId="16" xfId="0" applyNumberFormat="1" applyFont="1" applyBorder="1" applyAlignment="1">
      <alignment vertical="center"/>
    </xf>
    <xf numFmtId="0" fontId="5" fillId="9" borderId="57" xfId="0" applyFont="1" applyFill="1" applyBorder="1" applyAlignment="1">
      <alignment vertical="center" shrinkToFit="1"/>
    </xf>
    <xf numFmtId="0" fontId="5" fillId="9" borderId="58" xfId="0" applyFont="1" applyFill="1" applyBorder="1" applyAlignment="1">
      <alignment vertical="center" shrinkToFit="1"/>
    </xf>
    <xf numFmtId="0" fontId="5" fillId="9" borderId="59" xfId="0" applyFont="1" applyFill="1" applyBorder="1" applyAlignment="1">
      <alignment vertical="center" shrinkToFit="1"/>
    </xf>
    <xf numFmtId="0" fontId="5" fillId="9" borderId="44" xfId="0" applyFont="1" applyFill="1" applyBorder="1" applyAlignment="1">
      <alignment vertical="center" shrinkToFit="1"/>
    </xf>
    <xf numFmtId="0" fontId="5" fillId="9" borderId="39" xfId="0" applyFont="1" applyFill="1" applyBorder="1" applyAlignment="1">
      <alignment vertical="center" shrinkToFit="1"/>
    </xf>
    <xf numFmtId="0" fontId="5" fillId="9" borderId="41" xfId="0" applyFont="1" applyFill="1" applyBorder="1" applyAlignment="1">
      <alignment vertical="center" shrinkToFit="1"/>
    </xf>
    <xf numFmtId="20" fontId="5" fillId="0" borderId="16" xfId="0" applyNumberFormat="1" applyFont="1" applyBorder="1" applyAlignment="1">
      <alignment vertical="center" wrapText="1"/>
    </xf>
    <xf numFmtId="0" fontId="5" fillId="9" borderId="52" xfId="0" applyFont="1" applyFill="1" applyBorder="1" applyAlignment="1">
      <alignment vertical="center" shrinkToFit="1"/>
    </xf>
    <xf numFmtId="0" fontId="5" fillId="9" borderId="37" xfId="0" applyFont="1" applyFill="1" applyBorder="1" applyAlignment="1">
      <alignment vertical="center" shrinkToFit="1"/>
    </xf>
    <xf numFmtId="0" fontId="5" fillId="9" borderId="38" xfId="0" applyFont="1" applyFill="1" applyBorder="1" applyAlignment="1">
      <alignment vertical="center" shrinkToFit="1"/>
    </xf>
    <xf numFmtId="0" fontId="5" fillId="0" borderId="57" xfId="0" applyFont="1" applyBorder="1" applyAlignment="1">
      <alignment horizontal="left" vertical="center" shrinkToFit="1"/>
    </xf>
    <xf numFmtId="0" fontId="5" fillId="0" borderId="58" xfId="0" applyFont="1" applyBorder="1" applyAlignment="1">
      <alignment horizontal="left" vertical="center" shrinkToFit="1"/>
    </xf>
    <xf numFmtId="0" fontId="5" fillId="0" borderId="59" xfId="0" applyFont="1" applyBorder="1" applyAlignment="1">
      <alignment horizontal="left" vertical="center" shrinkToFit="1"/>
    </xf>
    <xf numFmtId="0" fontId="5" fillId="0" borderId="52" xfId="0" applyFont="1" applyBorder="1" applyAlignment="1">
      <alignment horizontal="left" vertical="center" shrinkToFit="1"/>
    </xf>
    <xf numFmtId="0" fontId="5" fillId="0" borderId="37" xfId="0" applyFont="1" applyBorder="1" applyAlignment="1">
      <alignment horizontal="left" vertical="center" shrinkToFit="1"/>
    </xf>
    <xf numFmtId="0" fontId="5" fillId="0" borderId="38" xfId="0" applyFont="1" applyBorder="1" applyAlignment="1">
      <alignment horizontal="left" vertical="center" shrinkToFit="1"/>
    </xf>
    <xf numFmtId="0" fontId="5" fillId="0" borderId="44" xfId="0" applyFont="1" applyBorder="1" applyAlignment="1">
      <alignment horizontal="left" vertical="center" shrinkToFit="1"/>
    </xf>
    <xf numFmtId="0" fontId="5" fillId="0" borderId="39" xfId="0" applyFont="1" applyBorder="1" applyAlignment="1">
      <alignment horizontal="left" vertical="center" shrinkToFit="1"/>
    </xf>
    <xf numFmtId="0" fontId="5" fillId="0" borderId="41" xfId="0" applyFont="1" applyBorder="1" applyAlignment="1">
      <alignment horizontal="left" vertical="center" shrinkToFit="1"/>
    </xf>
    <xf numFmtId="0" fontId="5" fillId="0" borderId="57" xfId="0" applyFont="1" applyBorder="1" applyAlignment="1">
      <alignment vertical="center" shrinkToFit="1"/>
    </xf>
    <xf numFmtId="0" fontId="5" fillId="0" borderId="58" xfId="0" applyFont="1" applyBorder="1" applyAlignment="1">
      <alignment vertical="center" shrinkToFit="1"/>
    </xf>
    <xf numFmtId="0" fontId="5" fillId="0" borderId="59" xfId="0" applyFont="1" applyBorder="1" applyAlignment="1">
      <alignment vertical="center" shrinkToFit="1"/>
    </xf>
    <xf numFmtId="0" fontId="5" fillId="0" borderId="52" xfId="0" applyFont="1" applyBorder="1" applyAlignment="1">
      <alignment vertical="center" shrinkToFit="1"/>
    </xf>
    <xf numFmtId="0" fontId="5" fillId="0" borderId="37" xfId="0" applyFont="1" applyBorder="1" applyAlignment="1">
      <alignment vertical="center" shrinkToFit="1"/>
    </xf>
    <xf numFmtId="0" fontId="5" fillId="0" borderId="38" xfId="0" applyFont="1" applyBorder="1" applyAlignment="1">
      <alignment vertical="center" shrinkToFit="1"/>
    </xf>
    <xf numFmtId="0" fontId="5" fillId="0" borderId="44" xfId="0" applyFont="1" applyBorder="1" applyAlignment="1">
      <alignment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16" xfId="0" quotePrefix="1" applyFont="1" applyBorder="1" applyAlignment="1">
      <alignment horizontal="left" vertical="center" shrinkToFit="1"/>
    </xf>
    <xf numFmtId="0" fontId="5" fillId="0" borderId="17" xfId="0" applyFont="1" applyBorder="1" applyAlignment="1">
      <alignment horizontal="left" vertical="center" shrinkToFit="1"/>
    </xf>
    <xf numFmtId="0" fontId="5" fillId="0" borderId="18" xfId="0" applyFont="1" applyBorder="1" applyAlignment="1">
      <alignment horizontal="left" vertical="center" shrinkToFit="1"/>
    </xf>
    <xf numFmtId="0" fontId="5" fillId="0" borderId="44" xfId="0" quotePrefix="1" applyFont="1" applyBorder="1" applyAlignment="1">
      <alignment vertical="center" shrinkToFit="1"/>
    </xf>
    <xf numFmtId="0" fontId="5" fillId="0" borderId="16" xfId="0" quotePrefix="1" applyFont="1" applyBorder="1" applyAlignment="1">
      <alignment vertical="center" shrinkToFit="1"/>
    </xf>
    <xf numFmtId="49" fontId="22" fillId="0" borderId="17" xfId="0" applyNumberFormat="1" applyFont="1" applyBorder="1" applyAlignment="1">
      <alignment vertical="center"/>
    </xf>
    <xf numFmtId="49" fontId="22" fillId="0" borderId="18" xfId="0" applyNumberFormat="1" applyFont="1" applyBorder="1" applyAlignment="1">
      <alignment vertical="center"/>
    </xf>
  </cellXfs>
  <cellStyles count="7">
    <cellStyle name="標準" xfId="0" builtinId="0"/>
    <cellStyle name="標準 2" xfId="6" xr:uid="{C1FC1AAF-14C0-48FE-B6A3-C253E16ABAD2}"/>
    <cellStyle name="標準_概念_要件定義書（原紙本文EAI-HUB用）_プライオリティ規約（修正版20020430_MQプライオリティ追加)" xfId="1" xr:uid="{00000000-0005-0000-0000-000002000000}"/>
    <cellStyle name="標準_概念_要件定義書（原紙本文EAI-HUB用）_プライオリティ規約（修正版20020430_MQプライオリティ追加) 2" xfId="5" xr:uid="{00000000-0005-0000-0000-000003000000}"/>
    <cellStyle name="標準_概念_要件定義書（次期自動機）_要件定義書（次期自動機）" xfId="2" xr:uid="{00000000-0005-0000-0000-000004000000}"/>
    <cellStyle name="標準_新財務・人給ネットワーク設計" xfId="3" xr:uid="{00000000-0005-0000-0000-000005000000}"/>
    <cellStyle name="標準_日立人給ハード発注予定明細(20061227)_旧2BSD1600_1システム環境定義書（局内テスト機）_2BSD1600_1システム環境定義書（局内テスト機）" xfId="4" xr:uid="{00000000-0005-0000-0000-000006000000}"/>
  </cellStyles>
  <dxfs count="1">
    <dxf>
      <fill>
        <patternFill>
          <bgColor theme="0" tint="-0.499984740745262"/>
        </patternFill>
      </fill>
    </dxf>
  </dxfs>
  <tableStyles count="0" defaultTableStyle="TableStyleMedium9" defaultPivotStyle="PivotStyleLight16"/>
  <colors>
    <mruColors>
      <color rgb="FF0000FF"/>
      <color rgb="FFFF99FF"/>
      <color rgb="FFCCCC00"/>
      <color rgb="FF99CCFF"/>
      <color rgb="FFFFCCFF"/>
      <color rgb="FFFF9900"/>
      <color rgb="FFFFFF99"/>
      <color rgb="FFFF66CC"/>
      <color rgb="FF66FF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3" Type="http://schemas.openxmlformats.org/officeDocument/2006/relationships/image" Target="../media/image4.png"/><Relationship Id="rId7" Type="http://schemas.openxmlformats.org/officeDocument/2006/relationships/image" Target="../media/image8.jp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11</xdr:col>
      <xdr:colOff>0</xdr:colOff>
      <xdr:row>33</xdr:row>
      <xdr:rowOff>0</xdr:rowOff>
    </xdr:from>
    <xdr:to>
      <xdr:col>18</xdr:col>
      <xdr:colOff>0</xdr:colOff>
      <xdr:row>35</xdr:row>
      <xdr:rowOff>0</xdr:rowOff>
    </xdr:to>
    <xdr:sp macro="" textlink="">
      <xdr:nvSpPr>
        <xdr:cNvPr id="30723" name="Rectangle 3">
          <a:extLst>
            <a:ext uri="{FF2B5EF4-FFF2-40B4-BE49-F238E27FC236}">
              <a16:creationId xmlns:a16="http://schemas.microsoft.com/office/drawing/2014/main" id="{00000000-0008-0000-0000-000003780000}"/>
            </a:ext>
          </a:extLst>
        </xdr:cNvPr>
        <xdr:cNvSpPr>
          <a:spLocks noChangeArrowheads="1"/>
        </xdr:cNvSpPr>
      </xdr:nvSpPr>
      <xdr:spPr bwMode="auto">
        <a:xfrm>
          <a:off x="3771900" y="5657850"/>
          <a:ext cx="2400300" cy="342900"/>
        </a:xfrm>
        <a:prstGeom prst="rect">
          <a:avLst/>
        </a:prstGeom>
        <a:noFill/>
        <a:ln w="9525">
          <a:noFill/>
          <a:miter lim="800000"/>
          <a:headEnd/>
          <a:tailEnd/>
        </a:ln>
      </xdr:spPr>
    </xdr:sp>
    <xdr:clientData/>
  </xdr:twoCellAnchor>
  <xdr:twoCellAnchor>
    <xdr:from>
      <xdr:col>6</xdr:col>
      <xdr:colOff>0</xdr:colOff>
      <xdr:row>9</xdr:row>
      <xdr:rowOff>0</xdr:rowOff>
    </xdr:from>
    <xdr:to>
      <xdr:col>24</xdr:col>
      <xdr:colOff>0</xdr:colOff>
      <xdr:row>22</xdr:row>
      <xdr:rowOff>0</xdr:rowOff>
    </xdr:to>
    <xdr:sp macro="" textlink="">
      <xdr:nvSpPr>
        <xdr:cNvPr id="30724" name="Rectangle 4">
          <a:extLst>
            <a:ext uri="{FF2B5EF4-FFF2-40B4-BE49-F238E27FC236}">
              <a16:creationId xmlns:a16="http://schemas.microsoft.com/office/drawing/2014/main" id="{00000000-0008-0000-0000-00000478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11</xdr:col>
      <xdr:colOff>0</xdr:colOff>
      <xdr:row>33</xdr:row>
      <xdr:rowOff>0</xdr:rowOff>
    </xdr:from>
    <xdr:to>
      <xdr:col>19</xdr:col>
      <xdr:colOff>0</xdr:colOff>
      <xdr:row>35</xdr:row>
      <xdr:rowOff>0</xdr:rowOff>
    </xdr:to>
    <xdr:grpSp>
      <xdr:nvGrpSpPr>
        <xdr:cNvPr id="30725" name="Group 5">
          <a:extLst>
            <a:ext uri="{FF2B5EF4-FFF2-40B4-BE49-F238E27FC236}">
              <a16:creationId xmlns:a16="http://schemas.microsoft.com/office/drawing/2014/main" id="{00000000-0008-0000-0000-000005780000}"/>
            </a:ext>
          </a:extLst>
        </xdr:cNvPr>
        <xdr:cNvGrpSpPr>
          <a:grpSpLocks/>
        </xdr:cNvGrpSpPr>
      </xdr:nvGrpSpPr>
      <xdr:grpSpPr bwMode="auto">
        <a:xfrm>
          <a:off x="3771900" y="5657850"/>
          <a:ext cx="2743200" cy="342900"/>
          <a:chOff x="396" y="586"/>
          <a:chExt cx="288" cy="36"/>
        </a:xfrm>
      </xdr:grpSpPr>
      <xdr:sp macro="" textlink="">
        <xdr:nvSpPr>
          <xdr:cNvPr id="30727" name="Rectangle 7">
            <a:extLst>
              <a:ext uri="{FF2B5EF4-FFF2-40B4-BE49-F238E27FC236}">
                <a16:creationId xmlns:a16="http://schemas.microsoft.com/office/drawing/2014/main" id="{00000000-0008-0000-0000-000007780000}"/>
              </a:ext>
            </a:extLst>
          </xdr:cNvPr>
          <xdr:cNvSpPr>
            <a:spLocks noChangeArrowheads="1"/>
          </xdr:cNvSpPr>
        </xdr:nvSpPr>
        <xdr:spPr bwMode="auto">
          <a:xfrm>
            <a:off x="396" y="586"/>
            <a:ext cx="288" cy="36"/>
          </a:xfrm>
          <a:prstGeom prst="rect">
            <a:avLst/>
          </a:prstGeom>
          <a:noFill/>
          <a:ln w="9525">
            <a:noFill/>
            <a:miter lim="800000"/>
            <a:headEnd/>
            <a:tailEnd/>
          </a:ln>
        </xdr:spPr>
      </xdr:sp>
    </xdr:grpSp>
    <xdr:clientData/>
  </xdr:twoCellAnchor>
  <xdr:twoCellAnchor>
    <xdr:from>
      <xdr:col>6</xdr:col>
      <xdr:colOff>0</xdr:colOff>
      <xdr:row>9</xdr:row>
      <xdr:rowOff>0</xdr:rowOff>
    </xdr:from>
    <xdr:to>
      <xdr:col>24</xdr:col>
      <xdr:colOff>0</xdr:colOff>
      <xdr:row>22</xdr:row>
      <xdr:rowOff>0</xdr:rowOff>
    </xdr:to>
    <xdr:sp macro="" textlink="">
      <xdr:nvSpPr>
        <xdr:cNvPr id="30728" name="Rectangle 8">
          <a:extLst>
            <a:ext uri="{FF2B5EF4-FFF2-40B4-BE49-F238E27FC236}">
              <a16:creationId xmlns:a16="http://schemas.microsoft.com/office/drawing/2014/main" id="{00000000-0008-0000-0000-00000878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10</xdr:col>
      <xdr:colOff>95250</xdr:colOff>
      <xdr:row>69</xdr:row>
      <xdr:rowOff>152400</xdr:rowOff>
    </xdr:from>
    <xdr:to>
      <xdr:col>10</xdr:col>
      <xdr:colOff>266700</xdr:colOff>
      <xdr:row>72</xdr:row>
      <xdr:rowOff>114300</xdr:rowOff>
    </xdr:to>
    <xdr:sp macro="" textlink="">
      <xdr:nvSpPr>
        <xdr:cNvPr id="30729" name="AutoShape 9">
          <a:extLst>
            <a:ext uri="{FF2B5EF4-FFF2-40B4-BE49-F238E27FC236}">
              <a16:creationId xmlns:a16="http://schemas.microsoft.com/office/drawing/2014/main" id="{00000000-0008-0000-0000-000009780000}"/>
            </a:ext>
          </a:extLst>
        </xdr:cNvPr>
        <xdr:cNvSpPr>
          <a:spLocks/>
        </xdr:cNvSpPr>
      </xdr:nvSpPr>
      <xdr:spPr bwMode="auto">
        <a:xfrm>
          <a:off x="3524250" y="13916025"/>
          <a:ext cx="171450" cy="476250"/>
        </a:xfrm>
        <a:prstGeom prst="leftBrace">
          <a:avLst>
            <a:gd name="adj1" fmla="val 23148"/>
            <a:gd name="adj2" fmla="val 50000"/>
          </a:avLst>
        </a:prstGeom>
        <a:noFill/>
        <a:ln w="9525">
          <a:solidFill>
            <a:srgbClr val="000000"/>
          </a:solidFill>
          <a:round/>
          <a:headEnd/>
          <a:tailEnd/>
        </a:ln>
      </xdr:spPr>
    </xdr:sp>
    <xdr:clientData/>
  </xdr:twoCellAnchor>
  <mc:AlternateContent xmlns:mc="http://schemas.openxmlformats.org/markup-compatibility/2006">
    <mc:Choice xmlns:a14="http://schemas.microsoft.com/office/drawing/2010/main" Requires="a14">
      <xdr:twoCellAnchor>
        <xdr:from>
          <xdr:col>11</xdr:col>
          <xdr:colOff>333375</xdr:colOff>
          <xdr:row>33</xdr:row>
          <xdr:rowOff>28575</xdr:rowOff>
        </xdr:from>
        <xdr:to>
          <xdr:col>18</xdr:col>
          <xdr:colOff>0</xdr:colOff>
          <xdr:row>34</xdr:row>
          <xdr:rowOff>142875</xdr:rowOff>
        </xdr:to>
        <xdr:sp macro="" textlink="">
          <xdr:nvSpPr>
            <xdr:cNvPr id="30726" name="Object 6" hidden="1">
              <a:extLst>
                <a:ext uri="{63B3BB69-23CF-44E3-9099-C40C66FF867C}">
                  <a14:compatExt spid="_x0000_s30726"/>
                </a:ext>
                <a:ext uri="{FF2B5EF4-FFF2-40B4-BE49-F238E27FC236}">
                  <a16:creationId xmlns:a16="http://schemas.microsoft.com/office/drawing/2014/main" id="{00000000-0008-0000-0000-00000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7</xdr:col>
      <xdr:colOff>1</xdr:colOff>
      <xdr:row>11</xdr:row>
      <xdr:rowOff>0</xdr:rowOff>
    </xdr:from>
    <xdr:to>
      <xdr:col>32</xdr:col>
      <xdr:colOff>107156</xdr:colOff>
      <xdr:row>38</xdr:row>
      <xdr:rowOff>180975</xdr:rowOff>
    </xdr:to>
    <xdr:sp macro="" textlink="">
      <xdr:nvSpPr>
        <xdr:cNvPr id="2" name="Rounded Rectangle 3">
          <a:extLst>
            <a:ext uri="{FF2B5EF4-FFF2-40B4-BE49-F238E27FC236}">
              <a16:creationId xmlns:a16="http://schemas.microsoft.com/office/drawing/2014/main" id="{00000000-0008-0000-0300-000002000000}"/>
            </a:ext>
          </a:extLst>
        </xdr:cNvPr>
        <xdr:cNvSpPr/>
      </xdr:nvSpPr>
      <xdr:spPr>
        <a:xfrm>
          <a:off x="1000126" y="2095500"/>
          <a:ext cx="3679030" cy="5324475"/>
        </a:xfrm>
        <a:prstGeom prst="roundRect">
          <a:avLst>
            <a:gd name="adj" fmla="val 3304"/>
          </a:avLst>
        </a:prstGeom>
        <a:noFill/>
        <a:ln w="6350">
          <a:solidFill>
            <a:schemeClr val="accent6"/>
          </a:solid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en-US"/>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defRPr/>
          </a:pPr>
          <a:endParaRPr lang="ja-JP" altLang="en-US">
            <a:latin typeface="Arial" pitchFamily="34" charset="0"/>
            <a:cs typeface="Arial" pitchFamily="34" charset="0"/>
          </a:endParaRPr>
        </a:p>
      </xdr:txBody>
    </xdr:sp>
    <xdr:clientData/>
  </xdr:twoCellAnchor>
  <xdr:twoCellAnchor editAs="oneCell">
    <xdr:from>
      <xdr:col>6</xdr:col>
      <xdr:colOff>0</xdr:colOff>
      <xdr:row>7</xdr:row>
      <xdr:rowOff>12135</xdr:rowOff>
    </xdr:from>
    <xdr:to>
      <xdr:col>13</xdr:col>
      <xdr:colOff>35719</xdr:colOff>
      <xdr:row>12</xdr:row>
      <xdr:rowOff>92869</xdr:rowOff>
    </xdr:to>
    <xdr:pic>
      <xdr:nvPicPr>
        <xdr:cNvPr id="3" name="Picture 14" descr="AWS-Cloud.pn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25" y="1155135"/>
          <a:ext cx="1035844" cy="10332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23813</xdr:colOff>
      <xdr:row>12</xdr:row>
      <xdr:rowOff>59531</xdr:rowOff>
    </xdr:from>
    <xdr:to>
      <xdr:col>28</xdr:col>
      <xdr:colOff>83344</xdr:colOff>
      <xdr:row>37</xdr:row>
      <xdr:rowOff>66675</xdr:rowOff>
    </xdr:to>
    <xdr:sp macro="" textlink="">
      <xdr:nvSpPr>
        <xdr:cNvPr id="4" name="Rounded Rectangle 3">
          <a:extLst>
            <a:ext uri="{FF2B5EF4-FFF2-40B4-BE49-F238E27FC236}">
              <a16:creationId xmlns:a16="http://schemas.microsoft.com/office/drawing/2014/main" id="{00000000-0008-0000-0300-000004000000}"/>
            </a:ext>
          </a:extLst>
        </xdr:cNvPr>
        <xdr:cNvSpPr/>
      </xdr:nvSpPr>
      <xdr:spPr>
        <a:xfrm>
          <a:off x="1452563" y="2345531"/>
          <a:ext cx="2631281" cy="4769644"/>
        </a:xfrm>
        <a:prstGeom prst="roundRect">
          <a:avLst>
            <a:gd name="adj" fmla="val 3304"/>
          </a:avLst>
        </a:prstGeom>
        <a:noFill/>
        <a:ln w="6350">
          <a:solidFill>
            <a:schemeClr val="tx1"/>
          </a:solidFill>
          <a:prstDash val="solid"/>
        </a:ln>
        <a:effectLst/>
      </xdr:spPr>
      <xdr:style>
        <a:lnRef idx="1">
          <a:schemeClr val="accent1"/>
        </a:lnRef>
        <a:fillRef idx="3">
          <a:schemeClr val="accent1"/>
        </a:fillRef>
        <a:effectRef idx="2">
          <a:schemeClr val="accent1"/>
        </a:effectRef>
        <a:fontRef idx="minor">
          <a:schemeClr val="lt1"/>
        </a:fontRef>
      </xdr:style>
      <xdr:txBody>
        <a:bodyPr wrap="square" anchor="ctr"/>
        <a:lstStyle>
          <a:defPPr>
            <a:defRPr lang="en-US"/>
          </a:defPPr>
          <a:lvl1pPr algn="l" rtl="0" eaLnBrk="0" fontAlgn="base" hangingPunct="0">
            <a:spcBef>
              <a:spcPct val="0"/>
            </a:spcBef>
            <a:spcAft>
              <a:spcPct val="0"/>
            </a:spcAft>
            <a:defRPr kumimoji="1" kern="1200">
              <a:solidFill>
                <a:schemeClr val="lt1"/>
              </a:solidFill>
              <a:latin typeface="+mn-lt"/>
              <a:ea typeface="+mn-ea"/>
              <a:cs typeface="+mn-cs"/>
            </a:defRPr>
          </a:lvl1pPr>
          <a:lvl2pPr marL="457200" algn="l" rtl="0" eaLnBrk="0" fontAlgn="base" hangingPunct="0">
            <a:spcBef>
              <a:spcPct val="0"/>
            </a:spcBef>
            <a:spcAft>
              <a:spcPct val="0"/>
            </a:spcAft>
            <a:defRPr kumimoji="1" kern="1200">
              <a:solidFill>
                <a:schemeClr val="lt1"/>
              </a:solidFill>
              <a:latin typeface="+mn-lt"/>
              <a:ea typeface="+mn-ea"/>
              <a:cs typeface="+mn-cs"/>
            </a:defRPr>
          </a:lvl2pPr>
          <a:lvl3pPr marL="914400" algn="l" rtl="0" eaLnBrk="0" fontAlgn="base" hangingPunct="0">
            <a:spcBef>
              <a:spcPct val="0"/>
            </a:spcBef>
            <a:spcAft>
              <a:spcPct val="0"/>
            </a:spcAft>
            <a:defRPr kumimoji="1" kern="1200">
              <a:solidFill>
                <a:schemeClr val="lt1"/>
              </a:solidFill>
              <a:latin typeface="+mn-lt"/>
              <a:ea typeface="+mn-ea"/>
              <a:cs typeface="+mn-cs"/>
            </a:defRPr>
          </a:lvl3pPr>
          <a:lvl4pPr marL="1371600" algn="l" rtl="0" eaLnBrk="0" fontAlgn="base" hangingPunct="0">
            <a:spcBef>
              <a:spcPct val="0"/>
            </a:spcBef>
            <a:spcAft>
              <a:spcPct val="0"/>
            </a:spcAft>
            <a:defRPr kumimoji="1" kern="1200">
              <a:solidFill>
                <a:schemeClr val="lt1"/>
              </a:solidFill>
              <a:latin typeface="+mn-lt"/>
              <a:ea typeface="+mn-ea"/>
              <a:cs typeface="+mn-cs"/>
            </a:defRPr>
          </a:lvl4pPr>
          <a:lvl5pPr marL="1828800" algn="l" rtl="0" eaLnBrk="0" fontAlgn="base" hangingPunct="0">
            <a:spcBef>
              <a:spcPct val="0"/>
            </a:spcBef>
            <a:spcAft>
              <a:spcPct val="0"/>
            </a:spcAft>
            <a:defRPr kumimoji="1" kern="1200">
              <a:solidFill>
                <a:schemeClr val="lt1"/>
              </a:solidFill>
              <a:latin typeface="+mn-lt"/>
              <a:ea typeface="+mn-ea"/>
              <a:cs typeface="+mn-cs"/>
            </a:defRPr>
          </a:lvl5pPr>
          <a:lvl6pPr marL="2286000" algn="l" defTabSz="914400" rtl="0" eaLnBrk="1" latinLnBrk="0" hangingPunct="1">
            <a:defRPr kumimoji="1" kern="1200">
              <a:solidFill>
                <a:schemeClr val="lt1"/>
              </a:solidFill>
              <a:latin typeface="+mn-lt"/>
              <a:ea typeface="+mn-ea"/>
              <a:cs typeface="+mn-cs"/>
            </a:defRPr>
          </a:lvl6pPr>
          <a:lvl7pPr marL="2743200" algn="l" defTabSz="914400" rtl="0" eaLnBrk="1" latinLnBrk="0" hangingPunct="1">
            <a:defRPr kumimoji="1" kern="1200">
              <a:solidFill>
                <a:schemeClr val="lt1"/>
              </a:solidFill>
              <a:latin typeface="+mn-lt"/>
              <a:ea typeface="+mn-ea"/>
              <a:cs typeface="+mn-cs"/>
            </a:defRPr>
          </a:lvl7pPr>
          <a:lvl8pPr marL="3200400" algn="l" defTabSz="914400" rtl="0" eaLnBrk="1" latinLnBrk="0" hangingPunct="1">
            <a:defRPr kumimoji="1" kern="1200">
              <a:solidFill>
                <a:schemeClr val="lt1"/>
              </a:solidFill>
              <a:latin typeface="+mn-lt"/>
              <a:ea typeface="+mn-ea"/>
              <a:cs typeface="+mn-cs"/>
            </a:defRPr>
          </a:lvl8pPr>
          <a:lvl9pPr marL="3657600" algn="l" defTabSz="914400" rtl="0" eaLnBrk="1" latinLnBrk="0" hangingPunct="1">
            <a:defRPr kumimoji="1" kern="1200">
              <a:solidFill>
                <a:schemeClr val="lt1"/>
              </a:solidFill>
              <a:latin typeface="+mn-lt"/>
              <a:ea typeface="+mn-ea"/>
              <a:cs typeface="+mn-cs"/>
            </a:defRPr>
          </a:lvl9pPr>
        </a:lstStyle>
        <a:p>
          <a:pPr>
            <a:defRPr/>
          </a:pPr>
          <a:endParaRPr lang="ja-JP" altLang="en-US">
            <a:latin typeface="Arial" pitchFamily="34" charset="0"/>
            <a:cs typeface="Arial" pitchFamily="34" charset="0"/>
          </a:endParaRPr>
        </a:p>
      </xdr:txBody>
    </xdr:sp>
    <xdr:clientData/>
  </xdr:twoCellAnchor>
  <xdr:twoCellAnchor editAs="oneCell">
    <xdr:from>
      <xdr:col>8</xdr:col>
      <xdr:colOff>130969</xdr:colOff>
      <xdr:row>12</xdr:row>
      <xdr:rowOff>35719</xdr:rowOff>
    </xdr:from>
    <xdr:to>
      <xdr:col>15</xdr:col>
      <xdr:colOff>83344</xdr:colOff>
      <xdr:row>15</xdr:row>
      <xdr:rowOff>85911</xdr:rowOff>
    </xdr:to>
    <xdr:pic>
      <xdr:nvPicPr>
        <xdr:cNvPr id="5" name="Picture 16">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6844" y="2131219"/>
          <a:ext cx="952500" cy="6216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107156</xdr:colOff>
      <xdr:row>17</xdr:row>
      <xdr:rowOff>130969</xdr:rowOff>
    </xdr:from>
    <xdr:to>
      <xdr:col>34</xdr:col>
      <xdr:colOff>95250</xdr:colOff>
      <xdr:row>20</xdr:row>
      <xdr:rowOff>119065</xdr:rowOff>
    </xdr:to>
    <xdr:pic>
      <xdr:nvPicPr>
        <xdr:cNvPr id="7" name="Picture 78">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6281" y="3178969"/>
          <a:ext cx="559594" cy="5595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34</xdr:col>
      <xdr:colOff>95250</xdr:colOff>
      <xdr:row>19</xdr:row>
      <xdr:rowOff>29767</xdr:rowOff>
    </xdr:from>
    <xdr:to>
      <xdr:col>58</xdr:col>
      <xdr:colOff>34918</xdr:colOff>
      <xdr:row>19</xdr:row>
      <xdr:rowOff>33144</xdr:rowOff>
    </xdr:to>
    <xdr:cxnSp macro="">
      <xdr:nvCxnSpPr>
        <xdr:cNvPr id="8" name="直線コネクタ 7">
          <a:extLst>
            <a:ext uri="{FF2B5EF4-FFF2-40B4-BE49-F238E27FC236}">
              <a16:creationId xmlns:a16="http://schemas.microsoft.com/office/drawing/2014/main" id="{00000000-0008-0000-0300-000008000000}"/>
            </a:ext>
          </a:extLst>
        </xdr:cNvPr>
        <xdr:cNvCxnSpPr>
          <a:cxnSpLocks/>
          <a:stCxn id="7" idx="3"/>
          <a:endCxn id="10" idx="1"/>
        </xdr:cNvCxnSpPr>
      </xdr:nvCxnSpPr>
      <xdr:spPr bwMode="auto">
        <a:xfrm>
          <a:off x="5095875" y="3458767"/>
          <a:ext cx="3368668" cy="3377"/>
        </a:xfrm>
        <a:prstGeom prst="line">
          <a:avLst/>
        </a:prstGeom>
        <a:ln w="3492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130968</xdr:colOff>
      <xdr:row>19</xdr:row>
      <xdr:rowOff>161131</xdr:rowOff>
    </xdr:from>
    <xdr:to>
      <xdr:col>46</xdr:col>
      <xdr:colOff>103981</xdr:colOff>
      <xdr:row>21</xdr:row>
      <xdr:rowOff>97526</xdr:rowOff>
    </xdr:to>
    <xdr:sp macro="" textlink="">
      <xdr:nvSpPr>
        <xdr:cNvPr id="9" name="TextBox 37">
          <a:extLst>
            <a:ext uri="{FF2B5EF4-FFF2-40B4-BE49-F238E27FC236}">
              <a16:creationId xmlns:a16="http://schemas.microsoft.com/office/drawing/2014/main" id="{00000000-0008-0000-0300-000009000000}"/>
            </a:ext>
          </a:extLst>
        </xdr:cNvPr>
        <xdr:cNvSpPr txBox="1">
          <a:spLocks noChangeArrowheads="1"/>
        </xdr:cNvSpPr>
      </xdr:nvSpPr>
      <xdr:spPr bwMode="auto">
        <a:xfrm>
          <a:off x="6131718" y="3590131"/>
          <a:ext cx="687388" cy="3173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1pPr>
          <a:lvl2pPr marL="4572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2pPr>
          <a:lvl3pPr marL="9144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3pPr>
          <a:lvl4pPr marL="13716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4pPr>
          <a:lvl5pPr marL="18288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5pPr>
          <a:lvl6pPr marL="22860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6pPr>
          <a:lvl7pPr marL="27432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7pPr>
          <a:lvl8pPr marL="32004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8pPr>
          <a:lvl9pPr marL="36576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9pPr>
        </a:lstStyle>
        <a:p>
          <a:pPr algn="ctr">
            <a:spcBef>
              <a:spcPct val="0"/>
            </a:spcBef>
            <a:buFontTx/>
            <a:buNone/>
          </a:pPr>
          <a:r>
            <a:rPr lang="en-US" altLang="ja-JP" sz="900" b="0">
              <a:solidFill>
                <a:schemeClr val="tx1"/>
              </a:solidFill>
              <a:ea typeface="メイリオ" panose="020B0604030504040204" pitchFamily="50" charset="-128"/>
              <a:cs typeface="Arial" panose="020B0604020202020204" pitchFamily="34" charset="0"/>
            </a:rPr>
            <a:t>VPN</a:t>
          </a:r>
          <a:r>
            <a:rPr lang="ja-JP" altLang="en-US" sz="900" b="0">
              <a:solidFill>
                <a:schemeClr val="tx1"/>
              </a:solidFill>
              <a:ea typeface="メイリオ" panose="020B0604030504040204" pitchFamily="50" charset="-128"/>
              <a:cs typeface="Arial" panose="020B0604020202020204" pitchFamily="34" charset="0"/>
            </a:rPr>
            <a:t>接続</a:t>
          </a:r>
          <a:endParaRPr lang="en-US" altLang="ja-JP" sz="900" b="0">
            <a:solidFill>
              <a:schemeClr val="tx1"/>
            </a:solidFill>
            <a:ea typeface="メイリオ" panose="020B0604030504040204" pitchFamily="50" charset="-128"/>
            <a:cs typeface="Arial" panose="020B0604020202020204" pitchFamily="34" charset="0"/>
          </a:endParaRPr>
        </a:p>
      </xdr:txBody>
    </xdr:sp>
    <xdr:clientData/>
  </xdr:twoCellAnchor>
  <xdr:twoCellAnchor editAs="oneCell">
    <xdr:from>
      <xdr:col>58</xdr:col>
      <xdr:colOff>34918</xdr:colOff>
      <xdr:row>18</xdr:row>
      <xdr:rowOff>40483</xdr:rowOff>
    </xdr:from>
    <xdr:to>
      <xdr:col>62</xdr:col>
      <xdr:colOff>47617</xdr:colOff>
      <xdr:row>20</xdr:row>
      <xdr:rowOff>25804</xdr:rowOff>
    </xdr:to>
    <xdr:pic>
      <xdr:nvPicPr>
        <xdr:cNvPr id="10" name="Picture 471" descr="クリップボード04">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464543" y="3278983"/>
          <a:ext cx="584199" cy="3663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43</xdr:col>
      <xdr:colOff>26987</xdr:colOff>
      <xdr:row>18</xdr:row>
      <xdr:rowOff>47626</xdr:rowOff>
    </xdr:from>
    <xdr:to>
      <xdr:col>45</xdr:col>
      <xdr:colOff>88900</xdr:colOff>
      <xdr:row>19</xdr:row>
      <xdr:rowOff>134938</xdr:rowOff>
    </xdr:to>
    <xdr:pic>
      <xdr:nvPicPr>
        <xdr:cNvPr id="11" name="Picture 49">
          <a:extLst>
            <a:ext uri="{FF2B5EF4-FFF2-40B4-BE49-F238E27FC236}">
              <a16:creationId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313487" y="3286126"/>
          <a:ext cx="347663" cy="2778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142874</xdr:colOff>
      <xdr:row>16</xdr:row>
      <xdr:rowOff>73818</xdr:rowOff>
    </xdr:from>
    <xdr:to>
      <xdr:col>21</xdr:col>
      <xdr:colOff>107155</xdr:colOff>
      <xdr:row>20</xdr:row>
      <xdr:rowOff>127872</xdr:rowOff>
    </xdr:to>
    <xdr:pic>
      <xdr:nvPicPr>
        <xdr:cNvPr id="12" name="Picture 7">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428874" y="3121818"/>
          <a:ext cx="678656" cy="816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123826</xdr:colOff>
      <xdr:row>20</xdr:row>
      <xdr:rowOff>97631</xdr:rowOff>
    </xdr:from>
    <xdr:to>
      <xdr:col>23</xdr:col>
      <xdr:colOff>57150</xdr:colOff>
      <xdr:row>23</xdr:row>
      <xdr:rowOff>9525</xdr:rowOff>
    </xdr:to>
    <xdr:sp macro="" textlink="">
      <xdr:nvSpPr>
        <xdr:cNvPr id="14" name="TextBox 37">
          <a:extLst>
            <a:ext uri="{FF2B5EF4-FFF2-40B4-BE49-F238E27FC236}">
              <a16:creationId xmlns:a16="http://schemas.microsoft.com/office/drawing/2014/main" id="{00000000-0008-0000-0300-00000E000000}"/>
            </a:ext>
          </a:extLst>
        </xdr:cNvPr>
        <xdr:cNvSpPr txBox="1">
          <a:spLocks noChangeArrowheads="1"/>
        </xdr:cNvSpPr>
      </xdr:nvSpPr>
      <xdr:spPr bwMode="auto">
        <a:xfrm>
          <a:off x="2266951" y="3907631"/>
          <a:ext cx="1076324" cy="483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1pPr>
          <a:lvl2pPr marL="4572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2pPr>
          <a:lvl3pPr marL="9144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3pPr>
          <a:lvl4pPr marL="13716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4pPr>
          <a:lvl5pPr marL="18288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5pPr>
          <a:lvl6pPr marL="22860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6pPr>
          <a:lvl7pPr marL="27432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7pPr>
          <a:lvl8pPr marL="32004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8pPr>
          <a:lvl9pPr marL="36576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9pPr>
        </a:lstStyle>
        <a:p>
          <a:pPr algn="ctr">
            <a:spcBef>
              <a:spcPct val="0"/>
            </a:spcBef>
            <a:buFontTx/>
            <a:buNone/>
          </a:pPr>
          <a:r>
            <a:rPr lang="ja-JP" altLang="en-US" sz="900" b="1">
              <a:solidFill>
                <a:schemeClr val="tx1"/>
              </a:solidFill>
              <a:ea typeface="メイリオ" panose="020B0604030504040204" pitchFamily="50" charset="-128"/>
              <a:cs typeface="Arial" panose="020B0604020202020204" pitchFamily="34" charset="0"/>
            </a:rPr>
            <a:t>開発ｻｰﾊﾞｰ</a:t>
          </a:r>
          <a:endParaRPr lang="en-US" altLang="ja-JP" sz="900" b="1">
            <a:solidFill>
              <a:schemeClr val="tx1"/>
            </a:solidFill>
            <a:ea typeface="メイリオ" panose="020B0604030504040204" pitchFamily="50" charset="-128"/>
            <a:cs typeface="Arial" panose="020B0604020202020204" pitchFamily="34" charset="0"/>
          </a:endParaRPr>
        </a:p>
        <a:p>
          <a:pPr algn="ctr">
            <a:spcBef>
              <a:spcPct val="0"/>
            </a:spcBef>
            <a:buFontTx/>
            <a:buNone/>
          </a:pPr>
          <a:r>
            <a:rPr lang="en-US" altLang="ja-JP" sz="900" b="1">
              <a:solidFill>
                <a:schemeClr val="tx1"/>
              </a:solidFill>
              <a:ea typeface="メイリオ" panose="020B0604030504040204" pitchFamily="50" charset="-128"/>
              <a:cs typeface="Arial" panose="020B0604020202020204" pitchFamily="34" charset="0"/>
            </a:rPr>
            <a:t>AP/DB</a:t>
          </a:r>
        </a:p>
      </xdr:txBody>
    </xdr:sp>
    <xdr:clientData/>
  </xdr:twoCellAnchor>
  <xdr:twoCellAnchor editAs="oneCell">
    <xdr:from>
      <xdr:col>65</xdr:col>
      <xdr:colOff>11904</xdr:colOff>
      <xdr:row>17</xdr:row>
      <xdr:rowOff>35718</xdr:rowOff>
    </xdr:from>
    <xdr:to>
      <xdr:col>70</xdr:col>
      <xdr:colOff>47622</xdr:colOff>
      <xdr:row>21</xdr:row>
      <xdr:rowOff>11288</xdr:rowOff>
    </xdr:to>
    <xdr:pic>
      <xdr:nvPicPr>
        <xdr:cNvPr id="17" name="図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441654" y="3083718"/>
          <a:ext cx="750093" cy="737570"/>
        </a:xfrm>
        <a:prstGeom prst="rect">
          <a:avLst/>
        </a:prstGeom>
      </xdr:spPr>
    </xdr:pic>
    <xdr:clientData/>
  </xdr:twoCellAnchor>
  <xdr:twoCellAnchor>
    <xdr:from>
      <xdr:col>62</xdr:col>
      <xdr:colOff>47617</xdr:colOff>
      <xdr:row>19</xdr:row>
      <xdr:rowOff>23503</xdr:rowOff>
    </xdr:from>
    <xdr:to>
      <xdr:col>65</xdr:col>
      <xdr:colOff>11904</xdr:colOff>
      <xdr:row>19</xdr:row>
      <xdr:rowOff>33144</xdr:rowOff>
    </xdr:to>
    <xdr:cxnSp macro="">
      <xdr:nvCxnSpPr>
        <xdr:cNvPr id="18" name="直線コネクタ 17">
          <a:extLst>
            <a:ext uri="{FF2B5EF4-FFF2-40B4-BE49-F238E27FC236}">
              <a16:creationId xmlns:a16="http://schemas.microsoft.com/office/drawing/2014/main" id="{00000000-0008-0000-0300-000012000000}"/>
            </a:ext>
          </a:extLst>
        </xdr:cNvPr>
        <xdr:cNvCxnSpPr>
          <a:cxnSpLocks/>
          <a:stCxn id="10" idx="3"/>
          <a:endCxn id="17" idx="1"/>
        </xdr:cNvCxnSpPr>
      </xdr:nvCxnSpPr>
      <xdr:spPr bwMode="auto">
        <a:xfrm flipV="1">
          <a:off x="9048742" y="3452503"/>
          <a:ext cx="392912" cy="9641"/>
        </a:xfrm>
        <a:prstGeom prst="line">
          <a:avLst/>
        </a:prstGeom>
        <a:ln w="3492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95250</xdr:colOff>
      <xdr:row>15</xdr:row>
      <xdr:rowOff>47624</xdr:rowOff>
    </xdr:from>
    <xdr:to>
      <xdr:col>88</xdr:col>
      <xdr:colOff>0</xdr:colOff>
      <xdr:row>27</xdr:row>
      <xdr:rowOff>9525</xdr:rowOff>
    </xdr:to>
    <xdr:sp macro="" textlink="">
      <xdr:nvSpPr>
        <xdr:cNvPr id="19" name="Rectangle 74">
          <a:extLst>
            <a:ext uri="{FF2B5EF4-FFF2-40B4-BE49-F238E27FC236}">
              <a16:creationId xmlns:a16="http://schemas.microsoft.com/office/drawing/2014/main" id="{00000000-0008-0000-0300-000013000000}"/>
            </a:ext>
          </a:extLst>
        </xdr:cNvPr>
        <xdr:cNvSpPr>
          <a:spLocks noChangeArrowheads="1"/>
        </xdr:cNvSpPr>
      </xdr:nvSpPr>
      <xdr:spPr bwMode="auto">
        <a:xfrm>
          <a:off x="8096250" y="2714624"/>
          <a:ext cx="4619625" cy="2247901"/>
        </a:xfrm>
        <a:prstGeom prst="rect">
          <a:avLst/>
        </a:prstGeom>
        <a:no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本社サーバ室</a:t>
          </a:r>
        </a:p>
      </xdr:txBody>
    </xdr:sp>
    <xdr:clientData/>
  </xdr:twoCellAnchor>
  <xdr:twoCellAnchor>
    <xdr:from>
      <xdr:col>68</xdr:col>
      <xdr:colOff>142865</xdr:colOff>
      <xdr:row>20</xdr:row>
      <xdr:rowOff>154781</xdr:rowOff>
    </xdr:from>
    <xdr:to>
      <xdr:col>74</xdr:col>
      <xdr:colOff>119053</xdr:colOff>
      <xdr:row>22</xdr:row>
      <xdr:rowOff>47624</xdr:rowOff>
    </xdr:to>
    <xdr:sp macro="" textlink="">
      <xdr:nvSpPr>
        <xdr:cNvPr id="20" name="TextBox 37">
          <a:extLst>
            <a:ext uri="{FF2B5EF4-FFF2-40B4-BE49-F238E27FC236}">
              <a16:creationId xmlns:a16="http://schemas.microsoft.com/office/drawing/2014/main" id="{00000000-0008-0000-0300-000014000000}"/>
            </a:ext>
          </a:extLst>
        </xdr:cNvPr>
        <xdr:cNvSpPr txBox="1">
          <a:spLocks noChangeArrowheads="1"/>
        </xdr:cNvSpPr>
      </xdr:nvSpPr>
      <xdr:spPr bwMode="auto">
        <a:xfrm>
          <a:off x="10001240" y="3774281"/>
          <a:ext cx="833438" cy="2738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1pPr>
          <a:lvl2pPr marL="4572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2pPr>
          <a:lvl3pPr marL="9144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3pPr>
          <a:lvl4pPr marL="13716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4pPr>
          <a:lvl5pPr marL="18288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5pPr>
          <a:lvl6pPr marL="22860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6pPr>
          <a:lvl7pPr marL="27432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7pPr>
          <a:lvl8pPr marL="32004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8pPr>
          <a:lvl9pPr marL="36576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9pPr>
        </a:lstStyle>
        <a:p>
          <a:pPr algn="ctr">
            <a:spcBef>
              <a:spcPct val="0"/>
            </a:spcBef>
            <a:buFontTx/>
            <a:buNone/>
          </a:pPr>
          <a:r>
            <a:rPr lang="en-US" altLang="ja-JP" sz="900" b="0">
              <a:solidFill>
                <a:schemeClr val="tx1"/>
              </a:solidFill>
              <a:ea typeface="メイリオ" panose="020B0604030504040204" pitchFamily="50" charset="-128"/>
              <a:cs typeface="Arial" panose="020B0604020202020204" pitchFamily="34" charset="0"/>
            </a:rPr>
            <a:t>L3</a:t>
          </a:r>
          <a:r>
            <a:rPr lang="ja-JP" altLang="en-US" sz="900" b="0">
              <a:solidFill>
                <a:schemeClr val="tx1"/>
              </a:solidFill>
              <a:ea typeface="メイリオ" panose="020B0604030504040204" pitchFamily="50" charset="-128"/>
              <a:cs typeface="Arial" panose="020B0604020202020204" pitchFamily="34" charset="0"/>
            </a:rPr>
            <a:t>スイッチ</a:t>
          </a:r>
          <a:endParaRPr lang="en-US" altLang="ja-JP" sz="900" b="0">
            <a:solidFill>
              <a:schemeClr val="tx1"/>
            </a:solidFill>
            <a:ea typeface="メイリオ" panose="020B0604030504040204" pitchFamily="50" charset="-128"/>
            <a:cs typeface="Arial" panose="020B0604020202020204" pitchFamily="34" charset="0"/>
          </a:endParaRPr>
        </a:p>
      </xdr:txBody>
    </xdr:sp>
    <xdr:clientData/>
  </xdr:twoCellAnchor>
  <xdr:twoCellAnchor>
    <xdr:from>
      <xdr:col>57</xdr:col>
      <xdr:colOff>35708</xdr:colOff>
      <xdr:row>19</xdr:row>
      <xdr:rowOff>178593</xdr:rowOff>
    </xdr:from>
    <xdr:to>
      <xdr:col>65</xdr:col>
      <xdr:colOff>83333</xdr:colOff>
      <xdr:row>21</xdr:row>
      <xdr:rowOff>47624</xdr:rowOff>
    </xdr:to>
    <xdr:sp macro="" textlink="">
      <xdr:nvSpPr>
        <xdr:cNvPr id="21" name="TextBox 37">
          <a:extLst>
            <a:ext uri="{FF2B5EF4-FFF2-40B4-BE49-F238E27FC236}">
              <a16:creationId xmlns:a16="http://schemas.microsoft.com/office/drawing/2014/main" id="{00000000-0008-0000-0300-000015000000}"/>
            </a:ext>
          </a:extLst>
        </xdr:cNvPr>
        <xdr:cNvSpPr txBox="1">
          <a:spLocks noChangeArrowheads="1"/>
        </xdr:cNvSpPr>
      </xdr:nvSpPr>
      <xdr:spPr bwMode="auto">
        <a:xfrm>
          <a:off x="8322458" y="3607593"/>
          <a:ext cx="1190625" cy="250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1pPr>
          <a:lvl2pPr marL="4572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2pPr>
          <a:lvl3pPr marL="9144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3pPr>
          <a:lvl4pPr marL="13716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4pPr>
          <a:lvl5pPr marL="18288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5pPr>
          <a:lvl6pPr marL="22860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6pPr>
          <a:lvl7pPr marL="27432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7pPr>
          <a:lvl8pPr marL="32004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8pPr>
          <a:lvl9pPr marL="36576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9pPr>
        </a:lstStyle>
        <a:p>
          <a:pPr algn="ctr">
            <a:spcBef>
              <a:spcPct val="0"/>
            </a:spcBef>
            <a:buFontTx/>
            <a:buNone/>
          </a:pPr>
          <a:r>
            <a:rPr lang="en-US" altLang="ja-JP" sz="900" b="0">
              <a:solidFill>
                <a:schemeClr val="tx1"/>
              </a:solidFill>
              <a:ea typeface="メイリオ" panose="020B0604030504040204" pitchFamily="50" charset="-128"/>
              <a:cs typeface="Arial" panose="020B0604020202020204" pitchFamily="34" charset="0"/>
            </a:rPr>
            <a:t>VPN</a:t>
          </a:r>
          <a:r>
            <a:rPr lang="ja-JP" altLang="en-US" sz="900" b="0">
              <a:solidFill>
                <a:schemeClr val="tx1"/>
              </a:solidFill>
              <a:ea typeface="メイリオ" panose="020B0604030504040204" pitchFamily="50" charset="-128"/>
              <a:cs typeface="Arial" panose="020B0604020202020204" pitchFamily="34" charset="0"/>
            </a:rPr>
            <a:t>ゲートウエイ</a:t>
          </a:r>
          <a:endParaRPr lang="en-US" altLang="ja-JP" sz="900" b="0">
            <a:solidFill>
              <a:schemeClr val="tx1"/>
            </a:solidFill>
            <a:ea typeface="メイリオ" panose="020B0604030504040204" pitchFamily="50" charset="-128"/>
            <a:cs typeface="Arial" panose="020B0604020202020204" pitchFamily="34" charset="0"/>
          </a:endParaRPr>
        </a:p>
      </xdr:txBody>
    </xdr:sp>
    <xdr:clientData/>
  </xdr:twoCellAnchor>
  <xdr:twoCellAnchor>
    <xdr:from>
      <xdr:col>44</xdr:col>
      <xdr:colOff>119062</xdr:colOff>
      <xdr:row>23</xdr:row>
      <xdr:rowOff>166688</xdr:rowOff>
    </xdr:from>
    <xdr:to>
      <xdr:col>52</xdr:col>
      <xdr:colOff>119061</xdr:colOff>
      <xdr:row>25</xdr:row>
      <xdr:rowOff>166688</xdr:rowOff>
    </xdr:to>
    <xdr:sp macro="" textlink="">
      <xdr:nvSpPr>
        <xdr:cNvPr id="22" name="Text Box 574">
          <a:extLst>
            <a:ext uri="{FF2B5EF4-FFF2-40B4-BE49-F238E27FC236}">
              <a16:creationId xmlns:a16="http://schemas.microsoft.com/office/drawing/2014/main" id="{00000000-0008-0000-0300-000016000000}"/>
            </a:ext>
          </a:extLst>
        </xdr:cNvPr>
        <xdr:cNvSpPr txBox="1">
          <a:spLocks noChangeArrowheads="1"/>
        </xdr:cNvSpPr>
      </xdr:nvSpPr>
      <xdr:spPr bwMode="auto">
        <a:xfrm>
          <a:off x="6548437" y="4357688"/>
          <a:ext cx="1142999" cy="381000"/>
        </a:xfrm>
        <a:prstGeom prst="rect">
          <a:avLst/>
        </a:prstGeom>
        <a:solidFill>
          <a:schemeClr val="bg1"/>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L2</a:t>
          </a:r>
          <a:r>
            <a:rPr lang="ja-JP" altLang="en-US" sz="900" b="0" i="0" u="none" strike="noStrike" baseline="0">
              <a:solidFill>
                <a:srgbClr val="000000"/>
              </a:solidFill>
              <a:latin typeface="ＭＳ 明朝"/>
              <a:ea typeface="ＭＳ 明朝"/>
            </a:rPr>
            <a:t>スイッチ</a:t>
          </a:r>
        </a:p>
      </xdr:txBody>
    </xdr:sp>
    <xdr:clientData/>
  </xdr:twoCellAnchor>
  <xdr:twoCellAnchor>
    <xdr:from>
      <xdr:col>48</xdr:col>
      <xdr:colOff>119062</xdr:colOff>
      <xdr:row>21</xdr:row>
      <xdr:rowOff>11288</xdr:rowOff>
    </xdr:from>
    <xdr:to>
      <xdr:col>67</xdr:col>
      <xdr:colOff>101201</xdr:colOff>
      <xdr:row>23</xdr:row>
      <xdr:rowOff>166688</xdr:rowOff>
    </xdr:to>
    <xdr:cxnSp macro="">
      <xdr:nvCxnSpPr>
        <xdr:cNvPr id="23" name="直線コネクタ 193">
          <a:extLst>
            <a:ext uri="{FF2B5EF4-FFF2-40B4-BE49-F238E27FC236}">
              <a16:creationId xmlns:a16="http://schemas.microsoft.com/office/drawing/2014/main" id="{00000000-0008-0000-0300-000017000000}"/>
            </a:ext>
          </a:extLst>
        </xdr:cNvPr>
        <xdr:cNvCxnSpPr>
          <a:cxnSpLocks/>
          <a:stCxn id="22" idx="0"/>
          <a:endCxn id="17" idx="2"/>
        </xdr:cNvCxnSpPr>
      </xdr:nvCxnSpPr>
      <xdr:spPr bwMode="auto">
        <a:xfrm rot="5400000" flipH="1" flipV="1">
          <a:off x="8200119" y="2741106"/>
          <a:ext cx="536400" cy="2696764"/>
        </a:xfrm>
        <a:prstGeom prst="bentConnector3">
          <a:avLst>
            <a:gd name="adj1" fmla="val 50000"/>
          </a:avLst>
        </a:prstGeom>
        <a:ln w="3492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119063</xdr:colOff>
      <xdr:row>31</xdr:row>
      <xdr:rowOff>59532</xdr:rowOff>
    </xdr:from>
    <xdr:to>
      <xdr:col>43</xdr:col>
      <xdr:colOff>119063</xdr:colOff>
      <xdr:row>35</xdr:row>
      <xdr:rowOff>59532</xdr:rowOff>
    </xdr:to>
    <xdr:grpSp>
      <xdr:nvGrpSpPr>
        <xdr:cNvPr id="24" name="Group 37">
          <a:extLst>
            <a:ext uri="{FF2B5EF4-FFF2-40B4-BE49-F238E27FC236}">
              <a16:creationId xmlns:a16="http://schemas.microsoft.com/office/drawing/2014/main" id="{00000000-0008-0000-0300-000018000000}"/>
            </a:ext>
          </a:extLst>
        </xdr:cNvPr>
        <xdr:cNvGrpSpPr>
          <a:grpSpLocks/>
        </xdr:cNvGrpSpPr>
      </xdr:nvGrpSpPr>
      <xdr:grpSpPr bwMode="auto">
        <a:xfrm>
          <a:off x="5405438" y="5965032"/>
          <a:ext cx="857250" cy="762000"/>
          <a:chOff x="75" y="240"/>
          <a:chExt cx="90" cy="80"/>
        </a:xfrm>
      </xdr:grpSpPr>
      <xdr:pic>
        <xdr:nvPicPr>
          <xdr:cNvPr id="25" name="Picture 38" descr="FLORA210W">
            <a:extLst>
              <a:ext uri="{FF2B5EF4-FFF2-40B4-BE49-F238E27FC236}">
                <a16:creationId xmlns:a16="http://schemas.microsoft.com/office/drawing/2014/main" id="{00000000-0008-0000-0300-000019000000}"/>
              </a:ext>
            </a:extLst>
          </xdr:cNvPr>
          <xdr:cNvPicPr>
            <a:picLocks noChangeAspect="1" noChangeArrowheads="1"/>
          </xdr:cNvPicPr>
        </xdr:nvPicPr>
        <xdr:blipFill>
          <a:blip xmlns:r="http://schemas.openxmlformats.org/officeDocument/2006/relationships" r:embed="rId8" cstate="print">
            <a:clrChange>
              <a:clrFrom>
                <a:srgbClr val="FFFFFF"/>
              </a:clrFrom>
              <a:clrTo>
                <a:srgbClr val="FFFFFF">
                  <a:alpha val="0"/>
                </a:srgbClr>
              </a:clrTo>
            </a:clrChange>
          </a:blip>
          <a:srcRect/>
          <a:stretch>
            <a:fillRect/>
          </a:stretch>
        </xdr:blipFill>
        <xdr:spPr bwMode="auto">
          <a:xfrm>
            <a:off x="75" y="241"/>
            <a:ext cx="90" cy="77"/>
          </a:xfrm>
          <a:prstGeom prst="rect">
            <a:avLst/>
          </a:prstGeom>
          <a:noFill/>
          <a:ln w="9525">
            <a:noFill/>
            <a:miter lim="800000"/>
            <a:headEnd/>
            <a:tailEnd/>
          </a:ln>
        </xdr:spPr>
      </xdr:pic>
      <xdr:sp macro="" textlink="">
        <xdr:nvSpPr>
          <xdr:cNvPr id="26" name="Rectangle 39">
            <a:extLst>
              <a:ext uri="{FF2B5EF4-FFF2-40B4-BE49-F238E27FC236}">
                <a16:creationId xmlns:a16="http://schemas.microsoft.com/office/drawing/2014/main" id="{00000000-0008-0000-0300-00001A000000}"/>
              </a:ext>
            </a:extLst>
          </xdr:cNvPr>
          <xdr:cNvSpPr>
            <a:spLocks noChangeArrowheads="1"/>
          </xdr:cNvSpPr>
        </xdr:nvSpPr>
        <xdr:spPr bwMode="auto">
          <a:xfrm>
            <a:off x="75" y="240"/>
            <a:ext cx="90" cy="80"/>
          </a:xfrm>
          <a:prstGeom prst="rect">
            <a:avLst/>
          </a:prstGeom>
          <a:noFill/>
          <a:ln w="9525">
            <a:noFill/>
            <a:miter lim="800000"/>
            <a:headEnd/>
            <a:tailEnd/>
          </a:ln>
        </xdr:spPr>
      </xdr:sp>
    </xdr:grpSp>
    <xdr:clientData/>
  </xdr:twoCellAnchor>
  <xdr:twoCellAnchor>
    <xdr:from>
      <xdr:col>47</xdr:col>
      <xdr:colOff>83342</xdr:colOff>
      <xdr:row>31</xdr:row>
      <xdr:rowOff>71437</xdr:rowOff>
    </xdr:from>
    <xdr:to>
      <xdr:col>53</xdr:col>
      <xdr:colOff>83342</xdr:colOff>
      <xdr:row>35</xdr:row>
      <xdr:rowOff>71437</xdr:rowOff>
    </xdr:to>
    <xdr:grpSp>
      <xdr:nvGrpSpPr>
        <xdr:cNvPr id="27" name="Group 37">
          <a:extLst>
            <a:ext uri="{FF2B5EF4-FFF2-40B4-BE49-F238E27FC236}">
              <a16:creationId xmlns:a16="http://schemas.microsoft.com/office/drawing/2014/main" id="{00000000-0008-0000-0300-00001B000000}"/>
            </a:ext>
          </a:extLst>
        </xdr:cNvPr>
        <xdr:cNvGrpSpPr>
          <a:grpSpLocks/>
        </xdr:cNvGrpSpPr>
      </xdr:nvGrpSpPr>
      <xdr:grpSpPr bwMode="auto">
        <a:xfrm>
          <a:off x="6798467" y="5976937"/>
          <a:ext cx="857250" cy="762000"/>
          <a:chOff x="75" y="240"/>
          <a:chExt cx="90" cy="80"/>
        </a:xfrm>
      </xdr:grpSpPr>
      <xdr:pic>
        <xdr:nvPicPr>
          <xdr:cNvPr id="28" name="Picture 38" descr="FLORA210W">
            <a:extLst>
              <a:ext uri="{FF2B5EF4-FFF2-40B4-BE49-F238E27FC236}">
                <a16:creationId xmlns:a16="http://schemas.microsoft.com/office/drawing/2014/main" id="{00000000-0008-0000-0300-00001C000000}"/>
              </a:ext>
            </a:extLst>
          </xdr:cNvPr>
          <xdr:cNvPicPr>
            <a:picLocks noChangeAspect="1" noChangeArrowheads="1"/>
          </xdr:cNvPicPr>
        </xdr:nvPicPr>
        <xdr:blipFill>
          <a:blip xmlns:r="http://schemas.openxmlformats.org/officeDocument/2006/relationships" r:embed="rId8" cstate="print">
            <a:clrChange>
              <a:clrFrom>
                <a:srgbClr val="FFFFFF"/>
              </a:clrFrom>
              <a:clrTo>
                <a:srgbClr val="FFFFFF">
                  <a:alpha val="0"/>
                </a:srgbClr>
              </a:clrTo>
            </a:clrChange>
          </a:blip>
          <a:srcRect/>
          <a:stretch>
            <a:fillRect/>
          </a:stretch>
        </xdr:blipFill>
        <xdr:spPr bwMode="auto">
          <a:xfrm>
            <a:off x="75" y="241"/>
            <a:ext cx="90" cy="77"/>
          </a:xfrm>
          <a:prstGeom prst="rect">
            <a:avLst/>
          </a:prstGeom>
          <a:noFill/>
          <a:ln w="9525">
            <a:noFill/>
            <a:miter lim="800000"/>
            <a:headEnd/>
            <a:tailEnd/>
          </a:ln>
        </xdr:spPr>
      </xdr:pic>
      <xdr:sp macro="" textlink="">
        <xdr:nvSpPr>
          <xdr:cNvPr id="29" name="Rectangle 39">
            <a:extLst>
              <a:ext uri="{FF2B5EF4-FFF2-40B4-BE49-F238E27FC236}">
                <a16:creationId xmlns:a16="http://schemas.microsoft.com/office/drawing/2014/main" id="{00000000-0008-0000-0300-00001D000000}"/>
              </a:ext>
            </a:extLst>
          </xdr:cNvPr>
          <xdr:cNvSpPr>
            <a:spLocks noChangeArrowheads="1"/>
          </xdr:cNvSpPr>
        </xdr:nvSpPr>
        <xdr:spPr bwMode="auto">
          <a:xfrm>
            <a:off x="75" y="240"/>
            <a:ext cx="90" cy="80"/>
          </a:xfrm>
          <a:prstGeom prst="rect">
            <a:avLst/>
          </a:prstGeom>
          <a:noFill/>
          <a:ln w="9525">
            <a:noFill/>
            <a:miter lim="800000"/>
            <a:headEnd/>
            <a:tailEnd/>
          </a:ln>
        </xdr:spPr>
      </xdr:sp>
    </xdr:grpSp>
    <xdr:clientData/>
  </xdr:twoCellAnchor>
  <xdr:twoCellAnchor>
    <xdr:from>
      <xdr:col>47</xdr:col>
      <xdr:colOff>142873</xdr:colOff>
      <xdr:row>35</xdr:row>
      <xdr:rowOff>107157</xdr:rowOff>
    </xdr:from>
    <xdr:to>
      <xdr:col>53</xdr:col>
      <xdr:colOff>142873</xdr:colOff>
      <xdr:row>36</xdr:row>
      <xdr:rowOff>107157</xdr:rowOff>
    </xdr:to>
    <xdr:sp macro="" textlink="">
      <xdr:nvSpPr>
        <xdr:cNvPr id="30" name="Text Box 40">
          <a:extLst>
            <a:ext uri="{FF2B5EF4-FFF2-40B4-BE49-F238E27FC236}">
              <a16:creationId xmlns:a16="http://schemas.microsoft.com/office/drawing/2014/main" id="{00000000-0008-0000-0300-00001E000000}"/>
            </a:ext>
          </a:extLst>
        </xdr:cNvPr>
        <xdr:cNvSpPr txBox="1">
          <a:spLocks noChangeArrowheads="1"/>
        </xdr:cNvSpPr>
      </xdr:nvSpPr>
      <xdr:spPr bwMode="auto">
        <a:xfrm>
          <a:off x="7000873" y="6584157"/>
          <a:ext cx="857250" cy="19050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明朝"/>
              <a:ea typeface="ＭＳ 明朝"/>
            </a:rPr>
            <a:t>開発</a:t>
          </a:r>
          <a:r>
            <a:rPr lang="en-US" altLang="ja-JP" sz="900" b="0" i="0" u="none" strike="noStrike" baseline="0">
              <a:solidFill>
                <a:srgbClr val="000000"/>
              </a:solidFill>
              <a:latin typeface="ＭＳ 明朝"/>
              <a:ea typeface="ＭＳ 明朝"/>
            </a:rPr>
            <a:t>PC</a:t>
          </a:r>
        </a:p>
      </xdr:txBody>
    </xdr:sp>
    <xdr:clientData/>
  </xdr:twoCellAnchor>
  <xdr:twoCellAnchor>
    <xdr:from>
      <xdr:col>38</xdr:col>
      <xdr:colOff>23813</xdr:colOff>
      <xdr:row>35</xdr:row>
      <xdr:rowOff>119063</xdr:rowOff>
    </xdr:from>
    <xdr:to>
      <xdr:col>44</xdr:col>
      <xdr:colOff>23813</xdr:colOff>
      <xdr:row>36</xdr:row>
      <xdr:rowOff>119063</xdr:rowOff>
    </xdr:to>
    <xdr:sp macro="" textlink="">
      <xdr:nvSpPr>
        <xdr:cNvPr id="31" name="Text Box 40">
          <a:extLst>
            <a:ext uri="{FF2B5EF4-FFF2-40B4-BE49-F238E27FC236}">
              <a16:creationId xmlns:a16="http://schemas.microsoft.com/office/drawing/2014/main" id="{00000000-0008-0000-0300-00001F000000}"/>
            </a:ext>
          </a:extLst>
        </xdr:cNvPr>
        <xdr:cNvSpPr txBox="1">
          <a:spLocks noChangeArrowheads="1"/>
        </xdr:cNvSpPr>
      </xdr:nvSpPr>
      <xdr:spPr bwMode="auto">
        <a:xfrm>
          <a:off x="5595938" y="6596063"/>
          <a:ext cx="857250" cy="19050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明朝"/>
              <a:ea typeface="ＭＳ 明朝"/>
            </a:rPr>
            <a:t>開発</a:t>
          </a:r>
          <a:r>
            <a:rPr lang="en-US" altLang="ja-JP" sz="900" b="0" i="0" u="none" strike="noStrike" baseline="0">
              <a:solidFill>
                <a:srgbClr val="000000"/>
              </a:solidFill>
              <a:latin typeface="ＭＳ 明朝"/>
              <a:ea typeface="ＭＳ 明朝"/>
            </a:rPr>
            <a:t>PC</a:t>
          </a:r>
        </a:p>
      </xdr:txBody>
    </xdr:sp>
    <xdr:clientData/>
  </xdr:twoCellAnchor>
  <xdr:twoCellAnchor>
    <xdr:from>
      <xdr:col>40</xdr:col>
      <xdr:colOff>119063</xdr:colOff>
      <xdr:row>25</xdr:row>
      <xdr:rowOff>166689</xdr:rowOff>
    </xdr:from>
    <xdr:to>
      <xdr:col>48</xdr:col>
      <xdr:colOff>119062</xdr:colOff>
      <xdr:row>31</xdr:row>
      <xdr:rowOff>69058</xdr:rowOff>
    </xdr:to>
    <xdr:cxnSp macro="">
      <xdr:nvCxnSpPr>
        <xdr:cNvPr id="32" name="直線コネクタ 193">
          <a:extLst>
            <a:ext uri="{FF2B5EF4-FFF2-40B4-BE49-F238E27FC236}">
              <a16:creationId xmlns:a16="http://schemas.microsoft.com/office/drawing/2014/main" id="{00000000-0008-0000-0300-000020000000}"/>
            </a:ext>
          </a:extLst>
        </xdr:cNvPr>
        <xdr:cNvCxnSpPr>
          <a:cxnSpLocks/>
          <a:stCxn id="25" idx="0"/>
          <a:endCxn id="22" idx="2"/>
        </xdr:cNvCxnSpPr>
      </xdr:nvCxnSpPr>
      <xdr:spPr bwMode="auto">
        <a:xfrm rot="5400000" flipH="1" flipV="1">
          <a:off x="6025753" y="4689874"/>
          <a:ext cx="1045369" cy="1142999"/>
        </a:xfrm>
        <a:prstGeom prst="bentConnector3">
          <a:avLst>
            <a:gd name="adj1" fmla="val 50000"/>
          </a:avLst>
        </a:prstGeom>
        <a:ln w="3492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119063</xdr:colOff>
      <xdr:row>25</xdr:row>
      <xdr:rowOff>166688</xdr:rowOff>
    </xdr:from>
    <xdr:to>
      <xdr:col>50</xdr:col>
      <xdr:colOff>83343</xdr:colOff>
      <xdr:row>31</xdr:row>
      <xdr:rowOff>71437</xdr:rowOff>
    </xdr:to>
    <xdr:cxnSp macro="">
      <xdr:nvCxnSpPr>
        <xdr:cNvPr id="33" name="直線コネクタ 193">
          <a:extLst>
            <a:ext uri="{FF2B5EF4-FFF2-40B4-BE49-F238E27FC236}">
              <a16:creationId xmlns:a16="http://schemas.microsoft.com/office/drawing/2014/main" id="{00000000-0008-0000-0300-000021000000}"/>
            </a:ext>
          </a:extLst>
        </xdr:cNvPr>
        <xdr:cNvCxnSpPr>
          <a:cxnSpLocks/>
          <a:stCxn id="29" idx="0"/>
          <a:endCxn id="22" idx="2"/>
        </xdr:cNvCxnSpPr>
      </xdr:nvCxnSpPr>
      <xdr:spPr bwMode="auto">
        <a:xfrm rot="16200000" flipV="1">
          <a:off x="6721078" y="5137548"/>
          <a:ext cx="1047749" cy="250030"/>
        </a:xfrm>
        <a:prstGeom prst="bentConnector3">
          <a:avLst>
            <a:gd name="adj1" fmla="val 50000"/>
          </a:avLst>
        </a:prstGeom>
        <a:ln w="3492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71438</xdr:colOff>
      <xdr:row>23</xdr:row>
      <xdr:rowOff>64294</xdr:rowOff>
    </xdr:from>
    <xdr:to>
      <xdr:col>55</xdr:col>
      <xdr:colOff>11906</xdr:colOff>
      <xdr:row>39</xdr:row>
      <xdr:rowOff>123825</xdr:rowOff>
    </xdr:to>
    <xdr:sp macro="" textlink="">
      <xdr:nvSpPr>
        <xdr:cNvPr id="34" name="Rectangle 74">
          <a:extLst>
            <a:ext uri="{FF2B5EF4-FFF2-40B4-BE49-F238E27FC236}">
              <a16:creationId xmlns:a16="http://schemas.microsoft.com/office/drawing/2014/main" id="{00000000-0008-0000-0300-000022000000}"/>
            </a:ext>
          </a:extLst>
        </xdr:cNvPr>
        <xdr:cNvSpPr>
          <a:spLocks noChangeArrowheads="1"/>
        </xdr:cNvSpPr>
      </xdr:nvSpPr>
      <xdr:spPr bwMode="auto">
        <a:xfrm>
          <a:off x="5214938" y="4445794"/>
          <a:ext cx="2655093" cy="3107531"/>
        </a:xfrm>
        <a:prstGeom prst="rect">
          <a:avLst/>
        </a:prstGeom>
        <a:noFill/>
        <a:ln w="9525">
          <a:solidFill>
            <a:srgbClr val="000000"/>
          </a:solidFill>
          <a:miter lim="800000"/>
          <a:headEnd/>
          <a:tailEnd/>
        </a:ln>
      </xdr:spPr>
      <xdr:txBody>
        <a:bodyPr vertOverflow="clip" wrap="square" lIns="27432" tIns="18288" rIns="27432" bIns="0" anchor="t" upright="1"/>
        <a:lstStyle/>
        <a:p>
          <a:pPr algn="l" rtl="0">
            <a:defRPr sz="1000"/>
          </a:pPr>
          <a:r>
            <a:rPr lang="ja-JP" altLang="en-US" sz="1000" b="0" i="0" u="none" strike="noStrike" baseline="0">
              <a:solidFill>
                <a:srgbClr val="000000"/>
              </a:solidFill>
              <a:latin typeface="ＭＳ 明朝"/>
              <a:ea typeface="ＭＳ 明朝"/>
            </a:rPr>
            <a:t>本社</a:t>
          </a:r>
        </a:p>
      </xdr:txBody>
    </xdr:sp>
    <xdr:clientData/>
  </xdr:twoCellAnchor>
  <xdr:twoCellAnchor editAs="oneCell">
    <xdr:from>
      <xdr:col>19</xdr:col>
      <xdr:colOff>100013</xdr:colOff>
      <xdr:row>28</xdr:row>
      <xdr:rowOff>161925</xdr:rowOff>
    </xdr:from>
    <xdr:to>
      <xdr:col>24</xdr:col>
      <xdr:colOff>67469</xdr:colOff>
      <xdr:row>33</xdr:row>
      <xdr:rowOff>25479</xdr:rowOff>
    </xdr:to>
    <xdr:pic>
      <xdr:nvPicPr>
        <xdr:cNvPr id="35" name="Picture 7">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814638" y="5495925"/>
          <a:ext cx="681831" cy="8160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19050</xdr:colOff>
      <xdr:row>32</xdr:row>
      <xdr:rowOff>111920</xdr:rowOff>
    </xdr:from>
    <xdr:to>
      <xdr:col>26</xdr:col>
      <xdr:colOff>90487</xdr:colOff>
      <xdr:row>37</xdr:row>
      <xdr:rowOff>47625</xdr:rowOff>
    </xdr:to>
    <xdr:sp macro="" textlink="">
      <xdr:nvSpPr>
        <xdr:cNvPr id="36" name="TextBox 37">
          <a:extLst>
            <a:ext uri="{FF2B5EF4-FFF2-40B4-BE49-F238E27FC236}">
              <a16:creationId xmlns:a16="http://schemas.microsoft.com/office/drawing/2014/main" id="{00000000-0008-0000-0300-000024000000}"/>
            </a:ext>
          </a:extLst>
        </xdr:cNvPr>
        <xdr:cNvSpPr txBox="1">
          <a:spLocks noChangeArrowheads="1"/>
        </xdr:cNvSpPr>
      </xdr:nvSpPr>
      <xdr:spPr bwMode="auto">
        <a:xfrm>
          <a:off x="2590800" y="6207920"/>
          <a:ext cx="1214437" cy="888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en-US"/>
          </a:defPPr>
          <a:lvl1pPr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1pPr>
          <a:lvl2pPr marL="4572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2pPr>
          <a:lvl3pPr marL="9144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3pPr>
          <a:lvl4pPr marL="13716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4pPr>
          <a:lvl5pPr marL="18288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5pPr>
          <a:lvl6pPr marL="22860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6pPr>
          <a:lvl7pPr marL="27432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7pPr>
          <a:lvl8pPr marL="32004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8pPr>
          <a:lvl9pPr marL="36576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9pPr>
        </a:lstStyle>
        <a:p>
          <a:pPr algn="ctr">
            <a:spcBef>
              <a:spcPct val="0"/>
            </a:spcBef>
            <a:buFontTx/>
            <a:buNone/>
          </a:pPr>
          <a:r>
            <a:rPr lang="ja-JP" altLang="en-US" sz="900" b="1">
              <a:solidFill>
                <a:sysClr val="windowText" lastClr="000000"/>
              </a:solidFill>
              <a:ea typeface="メイリオ" panose="020B0604030504040204" pitchFamily="50" charset="-128"/>
              <a:cs typeface="Arial" panose="020B0604020202020204" pitchFamily="34" charset="0"/>
            </a:rPr>
            <a:t>管理ｻｰﾊﾞｰ</a:t>
          </a:r>
          <a:endParaRPr lang="en-US" altLang="ja-JP" sz="900" b="1">
            <a:solidFill>
              <a:sysClr val="windowText" lastClr="000000"/>
            </a:solidFill>
            <a:ea typeface="メイリオ" panose="020B0604030504040204" pitchFamily="50" charset="-128"/>
            <a:cs typeface="Arial" panose="020B0604020202020204" pitchFamily="34" charset="0"/>
          </a:endParaRPr>
        </a:p>
        <a:p>
          <a:pPr algn="ctr">
            <a:spcBef>
              <a:spcPct val="0"/>
            </a:spcBef>
            <a:buFontTx/>
            <a:buNone/>
          </a:pPr>
          <a:r>
            <a:rPr lang="en-US" altLang="ja-JP" sz="900" b="1">
              <a:solidFill>
                <a:srgbClr val="0000FF"/>
              </a:solidFill>
              <a:ea typeface="メイリオ" panose="020B0604030504040204" pitchFamily="50" charset="-128"/>
              <a:cs typeface="Arial" panose="020B0604020202020204" pitchFamily="34" charset="0"/>
            </a:rPr>
            <a:t>LDAP</a:t>
          </a:r>
        </a:p>
        <a:p>
          <a:pPr algn="ctr">
            <a:spcBef>
              <a:spcPct val="0"/>
            </a:spcBef>
            <a:buFontTx/>
            <a:buNone/>
          </a:pPr>
          <a:r>
            <a:rPr lang="en-US" altLang="ja-JP" sz="900" b="1">
              <a:solidFill>
                <a:srgbClr val="0000FF"/>
              </a:solidFill>
              <a:ea typeface="メイリオ" panose="020B0604030504040204" pitchFamily="50" charset="-128"/>
              <a:cs typeface="Arial" panose="020B0604020202020204" pitchFamily="34" charset="0"/>
            </a:rPr>
            <a:t>Mail</a:t>
          </a:r>
          <a:endParaRPr lang="en-US" altLang="ja-JP" sz="900" b="1">
            <a:solidFill>
              <a:srgbClr val="FF0000"/>
            </a:solidFill>
            <a:ea typeface="メイリオ" panose="020B0604030504040204" pitchFamily="50" charset="-128"/>
            <a:cs typeface="Arial" panose="020B0604020202020204" pitchFamily="34" charset="0"/>
          </a:endParaRPr>
        </a:p>
      </xdr:txBody>
    </xdr:sp>
    <xdr:clientData/>
  </xdr:twoCellAnchor>
  <xdr:twoCellAnchor>
    <xdr:from>
      <xdr:col>14</xdr:col>
      <xdr:colOff>55184</xdr:colOff>
      <xdr:row>29</xdr:row>
      <xdr:rowOff>85725</xdr:rowOff>
    </xdr:from>
    <xdr:to>
      <xdr:col>18</xdr:col>
      <xdr:colOff>104778</xdr:colOff>
      <xdr:row>32</xdr:row>
      <xdr:rowOff>185579</xdr:rowOff>
    </xdr:to>
    <xdr:pic>
      <xdr:nvPicPr>
        <xdr:cNvPr id="37" name="Picture 5">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55434" y="5610225"/>
          <a:ext cx="621094" cy="6713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28575</xdr:colOff>
      <xdr:row>32</xdr:row>
      <xdr:rowOff>164297</xdr:rowOff>
    </xdr:from>
    <xdr:to>
      <xdr:col>19</xdr:col>
      <xdr:colOff>1588</xdr:colOff>
      <xdr:row>35</xdr:row>
      <xdr:rowOff>42857</xdr:rowOff>
    </xdr:to>
    <xdr:sp macro="" textlink="">
      <xdr:nvSpPr>
        <xdr:cNvPr id="38" name="TextBox 37">
          <a:extLst>
            <a:ext uri="{FF2B5EF4-FFF2-40B4-BE49-F238E27FC236}">
              <a16:creationId xmlns:a16="http://schemas.microsoft.com/office/drawing/2014/main" id="{00000000-0008-0000-0300-000026000000}"/>
            </a:ext>
          </a:extLst>
        </xdr:cNvPr>
        <xdr:cNvSpPr txBox="1">
          <a:spLocks noChangeArrowheads="1"/>
        </xdr:cNvSpPr>
      </xdr:nvSpPr>
      <xdr:spPr bwMode="auto">
        <a:xfrm>
          <a:off x="2028825" y="6260297"/>
          <a:ext cx="687388" cy="450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1pPr>
          <a:lvl2pPr marL="4572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2pPr>
          <a:lvl3pPr marL="9144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3pPr>
          <a:lvl4pPr marL="13716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4pPr>
          <a:lvl5pPr marL="1828800" algn="l" rtl="0" eaLnBrk="0" fontAlgn="base" hangingPunct="0">
            <a:spcBef>
              <a:spcPct val="0"/>
            </a:spcBef>
            <a:spcAft>
              <a:spcPct val="0"/>
            </a:spcAft>
            <a:defRPr kumimoji="1" kern="1200">
              <a:solidFill>
                <a:schemeClr val="tx1"/>
              </a:solidFill>
              <a:latin typeface="Arial" panose="020B0604020202020204" pitchFamily="34" charset="0"/>
              <a:ea typeface="ＭＳ Ｐゴシック" panose="020B0600070205080204" pitchFamily="50" charset="-128"/>
              <a:cs typeface="+mn-cs"/>
            </a:defRPr>
          </a:lvl5pPr>
          <a:lvl6pPr marL="22860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6pPr>
          <a:lvl7pPr marL="27432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7pPr>
          <a:lvl8pPr marL="32004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8pPr>
          <a:lvl9pPr marL="3657600" algn="l" defTabSz="914400" rtl="0" eaLnBrk="1" latinLnBrk="0" hangingPunct="1">
            <a:defRPr kumimoji="1" kern="1200">
              <a:solidFill>
                <a:schemeClr val="tx1"/>
              </a:solidFill>
              <a:latin typeface="Arial" panose="020B0604020202020204" pitchFamily="34" charset="0"/>
              <a:ea typeface="ＭＳ Ｐゴシック" panose="020B0600070205080204" pitchFamily="50" charset="-128"/>
              <a:cs typeface="+mn-cs"/>
            </a:defRPr>
          </a:lvl9pPr>
        </a:lstStyle>
        <a:p>
          <a:pPr algn="ctr">
            <a:spcBef>
              <a:spcPct val="0"/>
            </a:spcBef>
            <a:buFontTx/>
            <a:buNone/>
          </a:pPr>
          <a:r>
            <a:rPr lang="en-US" altLang="ja-JP" sz="900" b="1">
              <a:solidFill>
                <a:schemeClr val="tx1"/>
              </a:solidFill>
              <a:ea typeface="メイリオ" panose="020B0604030504040204" pitchFamily="50" charset="-128"/>
              <a:cs typeface="Arial" panose="020B0604020202020204" pitchFamily="34" charset="0"/>
            </a:rPr>
            <a:t>DB</a:t>
          </a:r>
          <a:r>
            <a:rPr lang="ja-JP" altLang="en-US" sz="900" b="1">
              <a:solidFill>
                <a:schemeClr val="tx1"/>
              </a:solidFill>
              <a:ea typeface="メイリオ" panose="020B0604030504040204" pitchFamily="50" charset="-128"/>
              <a:cs typeface="Arial" panose="020B0604020202020204" pitchFamily="34" charset="0"/>
            </a:rPr>
            <a:t>ｻｰﾊﾞｰ</a:t>
          </a:r>
          <a:endParaRPr lang="en-US" altLang="ja-JP" sz="900" b="1">
            <a:solidFill>
              <a:schemeClr val="tx1"/>
            </a:solidFill>
            <a:ea typeface="メイリオ" panose="020B0604030504040204" pitchFamily="50" charset="-128"/>
            <a:cs typeface="Arial" panose="020B0604020202020204" pitchFamily="34" charset="0"/>
          </a:endParaRPr>
        </a:p>
        <a:p>
          <a:pPr algn="ctr">
            <a:spcBef>
              <a:spcPct val="0"/>
            </a:spcBef>
            <a:buFontTx/>
            <a:buNone/>
          </a:pPr>
          <a:r>
            <a:rPr lang="en-US" altLang="ja-JP" sz="900" b="1">
              <a:solidFill>
                <a:srgbClr val="0000FF"/>
              </a:solidFill>
              <a:ea typeface="メイリオ" panose="020B0604030504040204" pitchFamily="50" charset="-128"/>
              <a:cs typeface="Arial" panose="020B0604020202020204" pitchFamily="34" charset="0"/>
            </a:rPr>
            <a:t>MSSQL</a:t>
          </a:r>
        </a:p>
      </xdr:txBody>
    </xdr:sp>
    <xdr:clientData/>
  </xdr:twoCellAnchor>
  <xdr:twoCellAnchor>
    <xdr:from>
      <xdr:col>12</xdr:col>
      <xdr:colOff>47625</xdr:colOff>
      <xdr:row>27</xdr:row>
      <xdr:rowOff>47626</xdr:rowOff>
    </xdr:from>
    <xdr:to>
      <xdr:col>26</xdr:col>
      <xdr:colOff>0</xdr:colOff>
      <xdr:row>35</xdr:row>
      <xdr:rowOff>180976</xdr:rowOff>
    </xdr:to>
    <xdr:sp macro="" textlink="">
      <xdr:nvSpPr>
        <xdr:cNvPr id="39" name="Rectangle 74">
          <a:extLst>
            <a:ext uri="{FF2B5EF4-FFF2-40B4-BE49-F238E27FC236}">
              <a16:creationId xmlns:a16="http://schemas.microsoft.com/office/drawing/2014/main" id="{00000000-0008-0000-0300-000027000000}"/>
            </a:ext>
          </a:extLst>
        </xdr:cNvPr>
        <xdr:cNvSpPr>
          <a:spLocks noChangeArrowheads="1"/>
        </xdr:cNvSpPr>
      </xdr:nvSpPr>
      <xdr:spPr bwMode="auto">
        <a:xfrm>
          <a:off x="1762125" y="5191126"/>
          <a:ext cx="1952625" cy="1657350"/>
        </a:xfrm>
        <a:prstGeom prst="rect">
          <a:avLst/>
        </a:prstGeom>
        <a:no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教務サーバ</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9525</xdr:colOff>
      <xdr:row>7</xdr:row>
      <xdr:rowOff>171449</xdr:rowOff>
    </xdr:from>
    <xdr:to>
      <xdr:col>77</xdr:col>
      <xdr:colOff>19050</xdr:colOff>
      <xdr:row>24</xdr:row>
      <xdr:rowOff>57150</xdr:rowOff>
    </xdr:to>
    <xdr:sp macro="" textlink="">
      <xdr:nvSpPr>
        <xdr:cNvPr id="59" name="Text Box 94">
          <a:extLst>
            <a:ext uri="{FF2B5EF4-FFF2-40B4-BE49-F238E27FC236}">
              <a16:creationId xmlns:a16="http://schemas.microsoft.com/office/drawing/2014/main" id="{00000000-0008-0000-0400-00003B000000}"/>
            </a:ext>
          </a:extLst>
        </xdr:cNvPr>
        <xdr:cNvSpPr txBox="1">
          <a:spLocks noChangeArrowheads="1"/>
        </xdr:cNvSpPr>
      </xdr:nvSpPr>
      <xdr:spPr bwMode="auto">
        <a:xfrm>
          <a:off x="2724150" y="1504949"/>
          <a:ext cx="8296275" cy="3124201"/>
        </a:xfrm>
        <a:prstGeom prst="rect">
          <a:avLst/>
        </a:prstGeom>
        <a:solidFill>
          <a:sysClr val="window" lastClr="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AP/DB(v20gksvr)</a:t>
          </a:r>
        </a:p>
      </xdr:txBody>
    </xdr:sp>
    <xdr:clientData/>
  </xdr:twoCellAnchor>
  <xdr:twoCellAnchor>
    <xdr:from>
      <xdr:col>20</xdr:col>
      <xdr:colOff>38099</xdr:colOff>
      <xdr:row>13</xdr:row>
      <xdr:rowOff>161925</xdr:rowOff>
    </xdr:from>
    <xdr:to>
      <xdr:col>33</xdr:col>
      <xdr:colOff>19049</xdr:colOff>
      <xdr:row>17</xdr:row>
      <xdr:rowOff>66675</xdr:rowOff>
    </xdr:to>
    <xdr:sp macro="" textlink="">
      <xdr:nvSpPr>
        <xdr:cNvPr id="61" name="Rectangle 3">
          <a:extLst>
            <a:ext uri="{FF2B5EF4-FFF2-40B4-BE49-F238E27FC236}">
              <a16:creationId xmlns:a16="http://schemas.microsoft.com/office/drawing/2014/main" id="{00000000-0008-0000-0400-00003D000000}"/>
            </a:ext>
          </a:extLst>
        </xdr:cNvPr>
        <xdr:cNvSpPr>
          <a:spLocks noChangeArrowheads="1"/>
        </xdr:cNvSpPr>
      </xdr:nvSpPr>
      <xdr:spPr bwMode="auto">
        <a:xfrm>
          <a:off x="2895599" y="2638425"/>
          <a:ext cx="1838325" cy="666750"/>
        </a:xfrm>
        <a:prstGeom prst="rect">
          <a:avLst/>
        </a:prstGeom>
        <a:noFill/>
        <a:ln w="9525">
          <a:solidFill>
            <a:srgbClr val="000000"/>
          </a:solidFill>
          <a:miter lim="800000"/>
          <a:headEnd/>
          <a:tailEnd/>
        </a:ln>
      </xdr:spPr>
      <xdr:txBody>
        <a:bodyPr vertOverflow="clip" wrap="square" lIns="27432" tIns="18288"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cs typeface="+mn-cs"/>
            </a:rPr>
            <a:t>httpd</a:t>
          </a:r>
        </a:p>
      </xdr:txBody>
    </xdr:sp>
    <xdr:clientData/>
  </xdr:twoCellAnchor>
  <xdr:twoCellAnchor>
    <xdr:from>
      <xdr:col>37</xdr:col>
      <xdr:colOff>95250</xdr:colOff>
      <xdr:row>14</xdr:row>
      <xdr:rowOff>0</xdr:rowOff>
    </xdr:from>
    <xdr:to>
      <xdr:col>47</xdr:col>
      <xdr:colOff>38100</xdr:colOff>
      <xdr:row>17</xdr:row>
      <xdr:rowOff>66675</xdr:rowOff>
    </xdr:to>
    <xdr:sp macro="" textlink="">
      <xdr:nvSpPr>
        <xdr:cNvPr id="62" name="Text Box 10">
          <a:extLst>
            <a:ext uri="{FF2B5EF4-FFF2-40B4-BE49-F238E27FC236}">
              <a16:creationId xmlns:a16="http://schemas.microsoft.com/office/drawing/2014/main" id="{00000000-0008-0000-0400-00003E000000}"/>
            </a:ext>
          </a:extLst>
        </xdr:cNvPr>
        <xdr:cNvSpPr txBox="1">
          <a:spLocks noChangeArrowheads="1"/>
        </xdr:cNvSpPr>
      </xdr:nvSpPr>
      <xdr:spPr bwMode="auto">
        <a:xfrm>
          <a:off x="5381625" y="2667000"/>
          <a:ext cx="1371600" cy="638175"/>
        </a:xfrm>
        <a:prstGeom prst="rect">
          <a:avLst/>
        </a:prstGeom>
        <a:noFill/>
        <a:ln w="9525">
          <a:solidFill>
            <a:srgbClr val="000000"/>
          </a:solidFill>
          <a:miter lim="800000"/>
          <a:headEnd/>
          <a:tailEnd/>
        </a:ln>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tomcat Catalina-gfXX</a:t>
          </a:r>
        </a:p>
      </xdr:txBody>
    </xdr:sp>
    <xdr:clientData/>
  </xdr:twoCellAnchor>
  <xdr:twoCellAnchor>
    <xdr:from>
      <xdr:col>20</xdr:col>
      <xdr:colOff>123825</xdr:colOff>
      <xdr:row>14</xdr:row>
      <xdr:rowOff>161925</xdr:rowOff>
    </xdr:from>
    <xdr:to>
      <xdr:col>32</xdr:col>
      <xdr:colOff>85725</xdr:colOff>
      <xdr:row>16</xdr:row>
      <xdr:rowOff>161925</xdr:rowOff>
    </xdr:to>
    <xdr:sp macro="" textlink="">
      <xdr:nvSpPr>
        <xdr:cNvPr id="63" name="Text Box 12">
          <a:extLst>
            <a:ext uri="{FF2B5EF4-FFF2-40B4-BE49-F238E27FC236}">
              <a16:creationId xmlns:a16="http://schemas.microsoft.com/office/drawing/2014/main" id="{00000000-0008-0000-0400-00003F000000}"/>
            </a:ext>
          </a:extLst>
        </xdr:cNvPr>
        <xdr:cNvSpPr txBox="1">
          <a:spLocks noChangeArrowheads="1"/>
        </xdr:cNvSpPr>
      </xdr:nvSpPr>
      <xdr:spPr bwMode="auto">
        <a:xfrm>
          <a:off x="2981325" y="2828925"/>
          <a:ext cx="1676400" cy="381000"/>
        </a:xfrm>
        <a:prstGeom prst="rect">
          <a:avLst/>
        </a:prstGeom>
        <a:noFill/>
        <a:ln w="9525">
          <a:solidFill>
            <a:srgbClr val="000000"/>
          </a:solidFill>
          <a:miter lim="800000"/>
          <a:headEnd/>
          <a:tailEnd/>
        </a:ln>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Proxy</a:t>
          </a:r>
        </a:p>
        <a:p>
          <a:pPr algn="l" rtl="0">
            <a:defRPr sz="1000"/>
          </a:pP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ajp://…:xxx/gakuseikinmuXX/</a:t>
          </a:r>
        </a:p>
      </xdr:txBody>
    </xdr:sp>
    <xdr:clientData/>
  </xdr:twoCellAnchor>
  <xdr:twoCellAnchor>
    <xdr:from>
      <xdr:col>5</xdr:col>
      <xdr:colOff>0</xdr:colOff>
      <xdr:row>8</xdr:row>
      <xdr:rowOff>0</xdr:rowOff>
    </xdr:from>
    <xdr:to>
      <xdr:col>17</xdr:col>
      <xdr:colOff>0</xdr:colOff>
      <xdr:row>24</xdr:row>
      <xdr:rowOff>0</xdr:rowOff>
    </xdr:to>
    <xdr:sp macro="" textlink="">
      <xdr:nvSpPr>
        <xdr:cNvPr id="74" name="Rectangle 5">
          <a:extLst>
            <a:ext uri="{FF2B5EF4-FFF2-40B4-BE49-F238E27FC236}">
              <a16:creationId xmlns:a16="http://schemas.microsoft.com/office/drawing/2014/main" id="{00000000-0008-0000-0400-00004A000000}"/>
            </a:ext>
          </a:extLst>
        </xdr:cNvPr>
        <xdr:cNvSpPr>
          <a:spLocks noChangeArrowheads="1"/>
        </xdr:cNvSpPr>
      </xdr:nvSpPr>
      <xdr:spPr bwMode="auto">
        <a:xfrm>
          <a:off x="714375" y="1524000"/>
          <a:ext cx="1714500" cy="3048000"/>
        </a:xfrm>
        <a:prstGeom prst="rect">
          <a:avLst/>
        </a:prstGeom>
        <a:solidFill>
          <a:schemeClr val="bg2"/>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開発端末</a:t>
          </a: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PC</a:t>
          </a:r>
        </a:p>
      </xdr:txBody>
    </xdr:sp>
    <xdr:clientData/>
  </xdr:twoCellAnchor>
  <xdr:twoCellAnchor>
    <xdr:from>
      <xdr:col>6</xdr:col>
      <xdr:colOff>0</xdr:colOff>
      <xdr:row>12</xdr:row>
      <xdr:rowOff>180976</xdr:rowOff>
    </xdr:from>
    <xdr:to>
      <xdr:col>16</xdr:col>
      <xdr:colOff>0</xdr:colOff>
      <xdr:row>16</xdr:row>
      <xdr:rowOff>76200</xdr:rowOff>
    </xdr:to>
    <xdr:sp macro="" textlink="">
      <xdr:nvSpPr>
        <xdr:cNvPr id="75" name="Text Box 12">
          <a:extLst>
            <a:ext uri="{FF2B5EF4-FFF2-40B4-BE49-F238E27FC236}">
              <a16:creationId xmlns:a16="http://schemas.microsoft.com/office/drawing/2014/main" id="{00000000-0008-0000-0400-00004B000000}"/>
            </a:ext>
          </a:extLst>
        </xdr:cNvPr>
        <xdr:cNvSpPr txBox="1">
          <a:spLocks noChangeArrowheads="1"/>
        </xdr:cNvSpPr>
      </xdr:nvSpPr>
      <xdr:spPr bwMode="auto">
        <a:xfrm>
          <a:off x="857250" y="2466976"/>
          <a:ext cx="1428750" cy="657224"/>
        </a:xfrm>
        <a:prstGeom prst="rect">
          <a:avLst/>
        </a:prstGeom>
        <a:solidFill>
          <a:sysClr val="window" lastClr="FFFFFF"/>
        </a:solidFill>
        <a:ln w="9525">
          <a:solidFill>
            <a:srgbClr val="000000"/>
          </a:solidFill>
          <a:miter lim="800000"/>
          <a:headEnd/>
          <a:tailEnd/>
        </a:ln>
      </xdr:spPr>
      <xdr:txBody>
        <a:bodyPr vertOverflow="clip" wrap="square" lIns="27432" tIns="18288" rIns="0" bIns="0" anchor="ctr" upright="1"/>
        <a:lstStyle/>
        <a:p>
          <a:pPr algn="l"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ブラウザ</a:t>
          </a:r>
        </a:p>
        <a:p>
          <a:pPr algn="l" rtl="0">
            <a:defRPr sz="1000"/>
          </a:pP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cs typeface="+mn-cs"/>
            </a:rPr>
            <a:t>http://172.16.1.46:XX//gakuseikinmuXX</a:t>
          </a: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9525</xdr:colOff>
      <xdr:row>12</xdr:row>
      <xdr:rowOff>142876</xdr:rowOff>
    </xdr:from>
    <xdr:to>
      <xdr:col>6</xdr:col>
      <xdr:colOff>0</xdr:colOff>
      <xdr:row>14</xdr:row>
      <xdr:rowOff>85725</xdr:rowOff>
    </xdr:to>
    <xdr:cxnSp macro="">
      <xdr:nvCxnSpPr>
        <xdr:cNvPr id="76" name="AutoShape 14">
          <a:extLst>
            <a:ext uri="{FF2B5EF4-FFF2-40B4-BE49-F238E27FC236}">
              <a16:creationId xmlns:a16="http://schemas.microsoft.com/office/drawing/2014/main" id="{00000000-0008-0000-0400-00004C000000}"/>
            </a:ext>
          </a:extLst>
        </xdr:cNvPr>
        <xdr:cNvCxnSpPr>
          <a:cxnSpLocks noChangeShapeType="1"/>
        </xdr:cNvCxnSpPr>
      </xdr:nvCxnSpPr>
      <xdr:spPr bwMode="auto">
        <a:xfrm>
          <a:off x="581025" y="2428876"/>
          <a:ext cx="276225" cy="323849"/>
        </a:xfrm>
        <a:prstGeom prst="straightConnector1">
          <a:avLst/>
        </a:prstGeom>
        <a:noFill/>
        <a:ln w="9525">
          <a:solidFill>
            <a:schemeClr val="tx1"/>
          </a:solidFill>
          <a:round/>
          <a:headEnd/>
          <a:tailEnd type="triangle" w="med" len="med"/>
        </a:ln>
      </xdr:spPr>
    </xdr:cxnSp>
    <xdr:clientData/>
  </xdr:twoCellAnchor>
  <xdr:twoCellAnchor>
    <xdr:from>
      <xdr:col>3</xdr:col>
      <xdr:colOff>19050</xdr:colOff>
      <xdr:row>14</xdr:row>
      <xdr:rowOff>114300</xdr:rowOff>
    </xdr:from>
    <xdr:to>
      <xdr:col>6</xdr:col>
      <xdr:colOff>0</xdr:colOff>
      <xdr:row>15</xdr:row>
      <xdr:rowOff>38100</xdr:rowOff>
    </xdr:to>
    <xdr:cxnSp macro="">
      <xdr:nvCxnSpPr>
        <xdr:cNvPr id="77" name="AutoShape 14">
          <a:extLst>
            <a:ext uri="{FF2B5EF4-FFF2-40B4-BE49-F238E27FC236}">
              <a16:creationId xmlns:a16="http://schemas.microsoft.com/office/drawing/2014/main" id="{00000000-0008-0000-0400-00004D000000}"/>
            </a:ext>
          </a:extLst>
        </xdr:cNvPr>
        <xdr:cNvCxnSpPr>
          <a:cxnSpLocks noChangeShapeType="1"/>
        </xdr:cNvCxnSpPr>
      </xdr:nvCxnSpPr>
      <xdr:spPr bwMode="auto">
        <a:xfrm>
          <a:off x="447675" y="2781300"/>
          <a:ext cx="409575" cy="114300"/>
        </a:xfrm>
        <a:prstGeom prst="straightConnector1">
          <a:avLst/>
        </a:prstGeom>
        <a:noFill/>
        <a:ln w="9525">
          <a:solidFill>
            <a:schemeClr val="accent6">
              <a:lumMod val="75000"/>
            </a:schemeClr>
          </a:solidFill>
          <a:round/>
          <a:headEnd/>
          <a:tailEnd type="triangle" w="med" len="med"/>
        </a:ln>
      </xdr:spPr>
    </xdr:cxnSp>
    <xdr:clientData/>
  </xdr:twoCellAnchor>
  <xdr:twoCellAnchor>
    <xdr:from>
      <xdr:col>2</xdr:col>
      <xdr:colOff>133350</xdr:colOff>
      <xdr:row>17</xdr:row>
      <xdr:rowOff>38100</xdr:rowOff>
    </xdr:from>
    <xdr:to>
      <xdr:col>6</xdr:col>
      <xdr:colOff>9525</xdr:colOff>
      <xdr:row>18</xdr:row>
      <xdr:rowOff>104775</xdr:rowOff>
    </xdr:to>
    <xdr:cxnSp macro="">
      <xdr:nvCxnSpPr>
        <xdr:cNvPr id="78" name="AutoShape 14">
          <a:extLst>
            <a:ext uri="{FF2B5EF4-FFF2-40B4-BE49-F238E27FC236}">
              <a16:creationId xmlns:a16="http://schemas.microsoft.com/office/drawing/2014/main" id="{00000000-0008-0000-0400-00004E000000}"/>
            </a:ext>
          </a:extLst>
        </xdr:cNvPr>
        <xdr:cNvCxnSpPr>
          <a:cxnSpLocks noChangeShapeType="1"/>
        </xdr:cNvCxnSpPr>
      </xdr:nvCxnSpPr>
      <xdr:spPr bwMode="auto">
        <a:xfrm flipV="1">
          <a:off x="419100" y="3276600"/>
          <a:ext cx="447675" cy="257175"/>
        </a:xfrm>
        <a:prstGeom prst="straightConnector1">
          <a:avLst/>
        </a:prstGeom>
        <a:noFill/>
        <a:ln w="9525">
          <a:solidFill>
            <a:schemeClr val="accent3">
              <a:lumMod val="75000"/>
            </a:schemeClr>
          </a:solidFill>
          <a:round/>
          <a:headEnd/>
          <a:tailEnd type="triangle" w="med" len="med"/>
        </a:ln>
      </xdr:spPr>
    </xdr:cxnSp>
    <xdr:clientData/>
  </xdr:twoCellAnchor>
  <xdr:twoCellAnchor>
    <xdr:from>
      <xdr:col>3</xdr:col>
      <xdr:colOff>0</xdr:colOff>
      <xdr:row>16</xdr:row>
      <xdr:rowOff>47625</xdr:rowOff>
    </xdr:from>
    <xdr:to>
      <xdr:col>5</xdr:col>
      <xdr:colOff>123825</xdr:colOff>
      <xdr:row>16</xdr:row>
      <xdr:rowOff>123825</xdr:rowOff>
    </xdr:to>
    <xdr:cxnSp macro="">
      <xdr:nvCxnSpPr>
        <xdr:cNvPr id="79" name="AutoShape 14">
          <a:extLst>
            <a:ext uri="{FF2B5EF4-FFF2-40B4-BE49-F238E27FC236}">
              <a16:creationId xmlns:a16="http://schemas.microsoft.com/office/drawing/2014/main" id="{00000000-0008-0000-0400-00004F000000}"/>
            </a:ext>
          </a:extLst>
        </xdr:cNvPr>
        <xdr:cNvCxnSpPr>
          <a:cxnSpLocks noChangeShapeType="1"/>
        </xdr:cNvCxnSpPr>
      </xdr:nvCxnSpPr>
      <xdr:spPr bwMode="auto">
        <a:xfrm flipV="1">
          <a:off x="428625" y="3095625"/>
          <a:ext cx="409575" cy="76200"/>
        </a:xfrm>
        <a:prstGeom prst="straightConnector1">
          <a:avLst/>
        </a:prstGeom>
        <a:ln>
          <a:headEn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47625</xdr:colOff>
      <xdr:row>14</xdr:row>
      <xdr:rowOff>142875</xdr:rowOff>
    </xdr:from>
    <xdr:to>
      <xdr:col>20</xdr:col>
      <xdr:colOff>52125</xdr:colOff>
      <xdr:row>14</xdr:row>
      <xdr:rowOff>142875</xdr:rowOff>
    </xdr:to>
    <xdr:cxnSp macro="">
      <xdr:nvCxnSpPr>
        <xdr:cNvPr id="80" name="AutoShape 14">
          <a:extLst>
            <a:ext uri="{FF2B5EF4-FFF2-40B4-BE49-F238E27FC236}">
              <a16:creationId xmlns:a16="http://schemas.microsoft.com/office/drawing/2014/main" id="{00000000-0008-0000-0400-000050000000}"/>
            </a:ext>
          </a:extLst>
        </xdr:cNvPr>
        <xdr:cNvCxnSpPr>
          <a:cxnSpLocks noChangeShapeType="1"/>
        </xdr:cNvCxnSpPr>
      </xdr:nvCxnSpPr>
      <xdr:spPr bwMode="auto">
        <a:xfrm>
          <a:off x="2333625" y="2809875"/>
          <a:ext cx="576000" cy="0"/>
        </a:xfrm>
        <a:prstGeom prst="straightConnector1">
          <a:avLst/>
        </a:prstGeom>
        <a:noFill/>
        <a:ln w="9525">
          <a:solidFill>
            <a:schemeClr val="tx1"/>
          </a:solidFill>
          <a:round/>
          <a:headEnd/>
          <a:tailEnd type="triangle" w="med" len="med"/>
        </a:ln>
      </xdr:spPr>
    </xdr:cxnSp>
    <xdr:clientData/>
  </xdr:twoCellAnchor>
  <xdr:twoCellAnchor>
    <xdr:from>
      <xdr:col>16</xdr:col>
      <xdr:colOff>47625</xdr:colOff>
      <xdr:row>15</xdr:row>
      <xdr:rowOff>57150</xdr:rowOff>
    </xdr:from>
    <xdr:to>
      <xdr:col>20</xdr:col>
      <xdr:colOff>52125</xdr:colOff>
      <xdr:row>15</xdr:row>
      <xdr:rowOff>57150</xdr:rowOff>
    </xdr:to>
    <xdr:cxnSp macro="">
      <xdr:nvCxnSpPr>
        <xdr:cNvPr id="81" name="AutoShape 14">
          <a:extLst>
            <a:ext uri="{FF2B5EF4-FFF2-40B4-BE49-F238E27FC236}">
              <a16:creationId xmlns:a16="http://schemas.microsoft.com/office/drawing/2014/main" id="{00000000-0008-0000-0400-000051000000}"/>
            </a:ext>
          </a:extLst>
        </xdr:cNvPr>
        <xdr:cNvCxnSpPr>
          <a:cxnSpLocks noChangeShapeType="1"/>
        </xdr:cNvCxnSpPr>
      </xdr:nvCxnSpPr>
      <xdr:spPr bwMode="auto">
        <a:xfrm>
          <a:off x="2333625" y="2914650"/>
          <a:ext cx="576000" cy="0"/>
        </a:xfrm>
        <a:prstGeom prst="straightConnector1">
          <a:avLst/>
        </a:prstGeom>
        <a:noFill/>
        <a:ln w="9525">
          <a:solidFill>
            <a:schemeClr val="accent6">
              <a:lumMod val="75000"/>
            </a:schemeClr>
          </a:solidFill>
          <a:round/>
          <a:headEnd/>
          <a:tailEnd type="triangle" w="med" len="med"/>
        </a:ln>
      </xdr:spPr>
    </xdr:cxnSp>
    <xdr:clientData/>
  </xdr:twoCellAnchor>
  <xdr:twoCellAnchor>
    <xdr:from>
      <xdr:col>16</xdr:col>
      <xdr:colOff>47624</xdr:colOff>
      <xdr:row>16</xdr:row>
      <xdr:rowOff>57150</xdr:rowOff>
    </xdr:from>
    <xdr:to>
      <xdr:col>20</xdr:col>
      <xdr:colOff>52124</xdr:colOff>
      <xdr:row>16</xdr:row>
      <xdr:rowOff>57150</xdr:rowOff>
    </xdr:to>
    <xdr:cxnSp macro="">
      <xdr:nvCxnSpPr>
        <xdr:cNvPr id="82" name="AutoShape 14">
          <a:extLst>
            <a:ext uri="{FF2B5EF4-FFF2-40B4-BE49-F238E27FC236}">
              <a16:creationId xmlns:a16="http://schemas.microsoft.com/office/drawing/2014/main" id="{00000000-0008-0000-0400-000052000000}"/>
            </a:ext>
          </a:extLst>
        </xdr:cNvPr>
        <xdr:cNvCxnSpPr>
          <a:cxnSpLocks noChangeShapeType="1"/>
        </xdr:cNvCxnSpPr>
      </xdr:nvCxnSpPr>
      <xdr:spPr bwMode="auto">
        <a:xfrm flipV="1">
          <a:off x="2333624" y="3105150"/>
          <a:ext cx="576000" cy="0"/>
        </a:xfrm>
        <a:prstGeom prst="straightConnector1">
          <a:avLst/>
        </a:prstGeom>
        <a:noFill/>
        <a:ln w="9525">
          <a:solidFill>
            <a:schemeClr val="accent3">
              <a:lumMod val="75000"/>
            </a:schemeClr>
          </a:solidFill>
          <a:round/>
          <a:headEnd/>
          <a:tailEnd type="triangle" w="med" len="med"/>
        </a:ln>
      </xdr:spPr>
    </xdr:cxnSp>
    <xdr:clientData/>
  </xdr:twoCellAnchor>
  <xdr:twoCellAnchor>
    <xdr:from>
      <xdr:col>16</xdr:col>
      <xdr:colOff>38100</xdr:colOff>
      <xdr:row>15</xdr:row>
      <xdr:rowOff>152400</xdr:rowOff>
    </xdr:from>
    <xdr:to>
      <xdr:col>20</xdr:col>
      <xdr:colOff>42600</xdr:colOff>
      <xdr:row>15</xdr:row>
      <xdr:rowOff>152400</xdr:rowOff>
    </xdr:to>
    <xdr:cxnSp macro="">
      <xdr:nvCxnSpPr>
        <xdr:cNvPr id="83" name="AutoShape 14">
          <a:extLst>
            <a:ext uri="{FF2B5EF4-FFF2-40B4-BE49-F238E27FC236}">
              <a16:creationId xmlns:a16="http://schemas.microsoft.com/office/drawing/2014/main" id="{00000000-0008-0000-0400-000053000000}"/>
            </a:ext>
          </a:extLst>
        </xdr:cNvPr>
        <xdr:cNvCxnSpPr>
          <a:cxnSpLocks noChangeShapeType="1"/>
        </xdr:cNvCxnSpPr>
      </xdr:nvCxnSpPr>
      <xdr:spPr bwMode="auto">
        <a:xfrm flipV="1">
          <a:off x="2324100" y="3009900"/>
          <a:ext cx="576000" cy="0"/>
        </a:xfrm>
        <a:prstGeom prst="straightConnector1">
          <a:avLst/>
        </a:prstGeom>
        <a:ln>
          <a:headEn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28575</xdr:colOff>
      <xdr:row>14</xdr:row>
      <xdr:rowOff>171450</xdr:rowOff>
    </xdr:from>
    <xdr:to>
      <xdr:col>37</xdr:col>
      <xdr:colOff>69075</xdr:colOff>
      <xdr:row>14</xdr:row>
      <xdr:rowOff>171450</xdr:rowOff>
    </xdr:to>
    <xdr:cxnSp macro="">
      <xdr:nvCxnSpPr>
        <xdr:cNvPr id="89" name="AutoShape 14">
          <a:extLst>
            <a:ext uri="{FF2B5EF4-FFF2-40B4-BE49-F238E27FC236}">
              <a16:creationId xmlns:a16="http://schemas.microsoft.com/office/drawing/2014/main" id="{00000000-0008-0000-0400-000059000000}"/>
            </a:ext>
          </a:extLst>
        </xdr:cNvPr>
        <xdr:cNvCxnSpPr>
          <a:cxnSpLocks noChangeShapeType="1"/>
        </xdr:cNvCxnSpPr>
      </xdr:nvCxnSpPr>
      <xdr:spPr bwMode="auto">
        <a:xfrm>
          <a:off x="4743450" y="2838450"/>
          <a:ext cx="612000" cy="0"/>
        </a:xfrm>
        <a:prstGeom prst="straightConnector1">
          <a:avLst/>
        </a:prstGeom>
        <a:noFill/>
        <a:ln w="9525">
          <a:solidFill>
            <a:schemeClr val="tx1"/>
          </a:solidFill>
          <a:round/>
          <a:headEnd/>
          <a:tailEnd type="triangle" w="med" len="med"/>
        </a:ln>
      </xdr:spPr>
    </xdr:cxnSp>
    <xdr:clientData/>
  </xdr:twoCellAnchor>
  <xdr:twoCellAnchor>
    <xdr:from>
      <xdr:col>33</xdr:col>
      <xdr:colOff>28575</xdr:colOff>
      <xdr:row>15</xdr:row>
      <xdr:rowOff>85725</xdr:rowOff>
    </xdr:from>
    <xdr:to>
      <xdr:col>37</xdr:col>
      <xdr:colOff>69075</xdr:colOff>
      <xdr:row>15</xdr:row>
      <xdr:rowOff>85725</xdr:rowOff>
    </xdr:to>
    <xdr:cxnSp macro="">
      <xdr:nvCxnSpPr>
        <xdr:cNvPr id="90" name="AutoShape 14">
          <a:extLst>
            <a:ext uri="{FF2B5EF4-FFF2-40B4-BE49-F238E27FC236}">
              <a16:creationId xmlns:a16="http://schemas.microsoft.com/office/drawing/2014/main" id="{00000000-0008-0000-0400-00005A000000}"/>
            </a:ext>
          </a:extLst>
        </xdr:cNvPr>
        <xdr:cNvCxnSpPr>
          <a:cxnSpLocks noChangeShapeType="1"/>
        </xdr:cNvCxnSpPr>
      </xdr:nvCxnSpPr>
      <xdr:spPr bwMode="auto">
        <a:xfrm>
          <a:off x="4743450" y="2943225"/>
          <a:ext cx="612000" cy="0"/>
        </a:xfrm>
        <a:prstGeom prst="straightConnector1">
          <a:avLst/>
        </a:prstGeom>
        <a:noFill/>
        <a:ln w="9525">
          <a:solidFill>
            <a:schemeClr val="accent6">
              <a:lumMod val="75000"/>
            </a:schemeClr>
          </a:solidFill>
          <a:round/>
          <a:headEnd/>
          <a:tailEnd type="triangle" w="med" len="med"/>
        </a:ln>
      </xdr:spPr>
    </xdr:cxnSp>
    <xdr:clientData/>
  </xdr:twoCellAnchor>
  <xdr:twoCellAnchor>
    <xdr:from>
      <xdr:col>33</xdr:col>
      <xdr:colOff>28574</xdr:colOff>
      <xdr:row>16</xdr:row>
      <xdr:rowOff>85725</xdr:rowOff>
    </xdr:from>
    <xdr:to>
      <xdr:col>37</xdr:col>
      <xdr:colOff>69074</xdr:colOff>
      <xdr:row>16</xdr:row>
      <xdr:rowOff>85725</xdr:rowOff>
    </xdr:to>
    <xdr:cxnSp macro="">
      <xdr:nvCxnSpPr>
        <xdr:cNvPr id="91" name="AutoShape 14">
          <a:extLst>
            <a:ext uri="{FF2B5EF4-FFF2-40B4-BE49-F238E27FC236}">
              <a16:creationId xmlns:a16="http://schemas.microsoft.com/office/drawing/2014/main" id="{00000000-0008-0000-0400-00005B000000}"/>
            </a:ext>
          </a:extLst>
        </xdr:cNvPr>
        <xdr:cNvCxnSpPr>
          <a:cxnSpLocks noChangeShapeType="1"/>
        </xdr:cNvCxnSpPr>
      </xdr:nvCxnSpPr>
      <xdr:spPr bwMode="auto">
        <a:xfrm flipV="1">
          <a:off x="4743449" y="3133725"/>
          <a:ext cx="612000" cy="0"/>
        </a:xfrm>
        <a:prstGeom prst="straightConnector1">
          <a:avLst/>
        </a:prstGeom>
        <a:noFill/>
        <a:ln w="9525">
          <a:solidFill>
            <a:schemeClr val="accent3">
              <a:lumMod val="75000"/>
            </a:schemeClr>
          </a:solidFill>
          <a:round/>
          <a:headEnd/>
          <a:tailEnd type="triangle" w="med" len="med"/>
        </a:ln>
      </xdr:spPr>
    </xdr:cxnSp>
    <xdr:clientData/>
  </xdr:twoCellAnchor>
  <xdr:twoCellAnchor>
    <xdr:from>
      <xdr:col>33</xdr:col>
      <xdr:colOff>28575</xdr:colOff>
      <xdr:row>15</xdr:row>
      <xdr:rowOff>180975</xdr:rowOff>
    </xdr:from>
    <xdr:to>
      <xdr:col>37</xdr:col>
      <xdr:colOff>69075</xdr:colOff>
      <xdr:row>15</xdr:row>
      <xdr:rowOff>180975</xdr:rowOff>
    </xdr:to>
    <xdr:cxnSp macro="">
      <xdr:nvCxnSpPr>
        <xdr:cNvPr id="92" name="AutoShape 14">
          <a:extLst>
            <a:ext uri="{FF2B5EF4-FFF2-40B4-BE49-F238E27FC236}">
              <a16:creationId xmlns:a16="http://schemas.microsoft.com/office/drawing/2014/main" id="{00000000-0008-0000-0400-00005C000000}"/>
            </a:ext>
          </a:extLst>
        </xdr:cNvPr>
        <xdr:cNvCxnSpPr>
          <a:cxnSpLocks noChangeShapeType="1"/>
        </xdr:cNvCxnSpPr>
      </xdr:nvCxnSpPr>
      <xdr:spPr bwMode="auto">
        <a:xfrm flipV="1">
          <a:off x="4743450" y="3038475"/>
          <a:ext cx="612000" cy="0"/>
        </a:xfrm>
        <a:prstGeom prst="straightConnector1">
          <a:avLst/>
        </a:prstGeom>
        <a:ln>
          <a:headEn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9524</xdr:colOff>
      <xdr:row>8</xdr:row>
      <xdr:rowOff>180975</xdr:rowOff>
    </xdr:from>
    <xdr:to>
      <xdr:col>74</xdr:col>
      <xdr:colOff>133350</xdr:colOff>
      <xdr:row>16</xdr:row>
      <xdr:rowOff>47625</xdr:rowOff>
    </xdr:to>
    <xdr:sp macro="" textlink="">
      <xdr:nvSpPr>
        <xdr:cNvPr id="93" name="円柱 92">
          <a:extLst>
            <a:ext uri="{FF2B5EF4-FFF2-40B4-BE49-F238E27FC236}">
              <a16:creationId xmlns:a16="http://schemas.microsoft.com/office/drawing/2014/main" id="{00000000-0008-0000-0400-00005D000000}"/>
            </a:ext>
          </a:extLst>
        </xdr:cNvPr>
        <xdr:cNvSpPr/>
      </xdr:nvSpPr>
      <xdr:spPr bwMode="auto">
        <a:xfrm>
          <a:off x="7439024" y="1704975"/>
          <a:ext cx="3267076" cy="1390650"/>
        </a:xfrm>
        <a:prstGeom prst="can">
          <a:avLst>
            <a:gd name="adj" fmla="val 17188"/>
          </a:avLst>
        </a:prstGeom>
        <a:noFill/>
        <a:ln w="9525" cap="flat" cmpd="sng" algn="ctr">
          <a:solidFill>
            <a:srgbClr val="000000"/>
          </a:solidFill>
          <a:prstDash val="solid"/>
          <a:round/>
          <a:headEnd type="none" w="med" len="med"/>
          <a:tailEnd type="none" w="med" len="med"/>
        </a:ln>
        <a:effectLst/>
      </xdr:spPr>
      <xdr:txBody>
        <a:bodyPr vertOverflow="clip" wrap="square" lIns="108000" tIns="72000" rIns="0" bIns="0" rtlCol="0" anchor="t" upright="1"/>
        <a:lstStyle/>
        <a:p>
          <a:pPr algn="ctr"/>
          <a:r>
            <a:rPr kumimoji="1" lang="ja-JP" altLang="en-US" sz="900">
              <a:latin typeface="ＭＳ ゴシック" panose="020B0609070205080204" pitchFamily="49" charset="-128"/>
              <a:ea typeface="ＭＳ ゴシック" panose="020B0609070205080204" pitchFamily="49" charset="-128"/>
            </a:rPr>
            <a:t>ﾃﾞｰﾀﾍﾞｰｽ</a:t>
          </a:r>
          <a:r>
            <a:rPr kumimoji="1" lang="en-US" altLang="ja-JP" sz="900">
              <a:latin typeface="ＭＳ ゴシック" panose="020B0609070205080204" pitchFamily="49" charset="-128"/>
              <a:ea typeface="ＭＳ ゴシック" panose="020B0609070205080204" pitchFamily="49" charset="-128"/>
            </a:rPr>
            <a:t>(</a:t>
          </a:r>
          <a:r>
            <a:rPr lang="en-US" altLang="ja-JP" sz="1100">
              <a:effectLst/>
              <a:latin typeface="+mn-lt"/>
              <a:ea typeface="+mn-ea"/>
              <a:cs typeface="+mn-cs"/>
            </a:rPr>
            <a:t>gakuseikinmuXX)</a:t>
          </a:r>
        </a:p>
      </xdr:txBody>
    </xdr:sp>
    <xdr:clientData/>
  </xdr:twoCellAnchor>
  <xdr:twoCellAnchor>
    <xdr:from>
      <xdr:col>46</xdr:col>
      <xdr:colOff>115404</xdr:colOff>
      <xdr:row>12</xdr:row>
      <xdr:rowOff>148311</xdr:rowOff>
    </xdr:from>
    <xdr:to>
      <xdr:col>52</xdr:col>
      <xdr:colOff>86154</xdr:colOff>
      <xdr:row>12</xdr:row>
      <xdr:rowOff>148311</xdr:rowOff>
    </xdr:to>
    <xdr:cxnSp macro="">
      <xdr:nvCxnSpPr>
        <xdr:cNvPr id="94" name="AutoShape 14">
          <a:extLst>
            <a:ext uri="{FF2B5EF4-FFF2-40B4-BE49-F238E27FC236}">
              <a16:creationId xmlns:a16="http://schemas.microsoft.com/office/drawing/2014/main" id="{00000000-0008-0000-0400-00005E000000}"/>
            </a:ext>
          </a:extLst>
        </xdr:cNvPr>
        <xdr:cNvCxnSpPr>
          <a:cxnSpLocks noChangeShapeType="1"/>
        </xdr:cNvCxnSpPr>
      </xdr:nvCxnSpPr>
      <xdr:spPr bwMode="auto">
        <a:xfrm rot="19200000">
          <a:off x="6687654" y="2434311"/>
          <a:ext cx="828000" cy="0"/>
        </a:xfrm>
        <a:prstGeom prst="straightConnector1">
          <a:avLst/>
        </a:prstGeom>
        <a:noFill/>
        <a:ln w="9525">
          <a:solidFill>
            <a:schemeClr val="tx1"/>
          </a:solidFill>
          <a:round/>
          <a:headEnd/>
          <a:tailEnd type="triangle" w="med" len="med"/>
        </a:ln>
      </xdr:spPr>
    </xdr:cxnSp>
    <xdr:clientData/>
  </xdr:twoCellAnchor>
  <xdr:twoCellAnchor>
    <xdr:from>
      <xdr:col>46</xdr:col>
      <xdr:colOff>115404</xdr:colOff>
      <xdr:row>13</xdr:row>
      <xdr:rowOff>62586</xdr:rowOff>
    </xdr:from>
    <xdr:to>
      <xdr:col>52</xdr:col>
      <xdr:colOff>86154</xdr:colOff>
      <xdr:row>13</xdr:row>
      <xdr:rowOff>62586</xdr:rowOff>
    </xdr:to>
    <xdr:cxnSp macro="">
      <xdr:nvCxnSpPr>
        <xdr:cNvPr id="95" name="AutoShape 14">
          <a:extLst>
            <a:ext uri="{FF2B5EF4-FFF2-40B4-BE49-F238E27FC236}">
              <a16:creationId xmlns:a16="http://schemas.microsoft.com/office/drawing/2014/main" id="{00000000-0008-0000-0400-00005F000000}"/>
            </a:ext>
          </a:extLst>
        </xdr:cNvPr>
        <xdr:cNvCxnSpPr>
          <a:cxnSpLocks noChangeShapeType="1"/>
        </xdr:cNvCxnSpPr>
      </xdr:nvCxnSpPr>
      <xdr:spPr bwMode="auto">
        <a:xfrm rot="19200000">
          <a:off x="6687654" y="2539086"/>
          <a:ext cx="828000" cy="0"/>
        </a:xfrm>
        <a:prstGeom prst="straightConnector1">
          <a:avLst/>
        </a:prstGeom>
        <a:noFill/>
        <a:ln w="9525">
          <a:solidFill>
            <a:schemeClr val="accent6">
              <a:lumMod val="75000"/>
            </a:schemeClr>
          </a:solidFill>
          <a:round/>
          <a:headEnd/>
          <a:tailEnd type="triangle" w="med" len="med"/>
        </a:ln>
      </xdr:spPr>
    </xdr:cxnSp>
    <xdr:clientData/>
  </xdr:twoCellAnchor>
  <xdr:twoCellAnchor>
    <xdr:from>
      <xdr:col>46</xdr:col>
      <xdr:colOff>115403</xdr:colOff>
      <xdr:row>14</xdr:row>
      <xdr:rowOff>62586</xdr:rowOff>
    </xdr:from>
    <xdr:to>
      <xdr:col>52</xdr:col>
      <xdr:colOff>86153</xdr:colOff>
      <xdr:row>14</xdr:row>
      <xdr:rowOff>62586</xdr:rowOff>
    </xdr:to>
    <xdr:cxnSp macro="">
      <xdr:nvCxnSpPr>
        <xdr:cNvPr id="96" name="AutoShape 14">
          <a:extLst>
            <a:ext uri="{FF2B5EF4-FFF2-40B4-BE49-F238E27FC236}">
              <a16:creationId xmlns:a16="http://schemas.microsoft.com/office/drawing/2014/main" id="{00000000-0008-0000-0400-000060000000}"/>
            </a:ext>
          </a:extLst>
        </xdr:cNvPr>
        <xdr:cNvCxnSpPr>
          <a:cxnSpLocks noChangeShapeType="1"/>
        </xdr:cNvCxnSpPr>
      </xdr:nvCxnSpPr>
      <xdr:spPr bwMode="auto">
        <a:xfrm rot="19200000" flipV="1">
          <a:off x="6687653" y="2729586"/>
          <a:ext cx="828000" cy="0"/>
        </a:xfrm>
        <a:prstGeom prst="straightConnector1">
          <a:avLst/>
        </a:prstGeom>
        <a:noFill/>
        <a:ln w="9525">
          <a:solidFill>
            <a:schemeClr val="accent3">
              <a:lumMod val="75000"/>
            </a:schemeClr>
          </a:solidFill>
          <a:round/>
          <a:headEnd/>
          <a:tailEnd type="triangle" w="med" len="med"/>
        </a:ln>
      </xdr:spPr>
    </xdr:cxnSp>
    <xdr:clientData/>
  </xdr:twoCellAnchor>
  <xdr:twoCellAnchor>
    <xdr:from>
      <xdr:col>46</xdr:col>
      <xdr:colOff>115404</xdr:colOff>
      <xdr:row>13</xdr:row>
      <xdr:rowOff>157836</xdr:rowOff>
    </xdr:from>
    <xdr:to>
      <xdr:col>52</xdr:col>
      <xdr:colOff>86154</xdr:colOff>
      <xdr:row>13</xdr:row>
      <xdr:rowOff>157836</xdr:rowOff>
    </xdr:to>
    <xdr:cxnSp macro="">
      <xdr:nvCxnSpPr>
        <xdr:cNvPr id="97" name="AutoShape 14">
          <a:extLst>
            <a:ext uri="{FF2B5EF4-FFF2-40B4-BE49-F238E27FC236}">
              <a16:creationId xmlns:a16="http://schemas.microsoft.com/office/drawing/2014/main" id="{00000000-0008-0000-0400-000061000000}"/>
            </a:ext>
          </a:extLst>
        </xdr:cNvPr>
        <xdr:cNvCxnSpPr>
          <a:cxnSpLocks noChangeShapeType="1"/>
        </xdr:cNvCxnSpPr>
      </xdr:nvCxnSpPr>
      <xdr:spPr bwMode="auto">
        <a:xfrm rot="19200000" flipV="1">
          <a:off x="6687654" y="2634336"/>
          <a:ext cx="828000" cy="0"/>
        </a:xfrm>
        <a:prstGeom prst="straightConnector1">
          <a:avLst/>
        </a:prstGeom>
        <a:ln>
          <a:headEn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0</xdr:colOff>
      <xdr:row>25</xdr:row>
      <xdr:rowOff>171450</xdr:rowOff>
    </xdr:from>
    <xdr:to>
      <xdr:col>77</xdr:col>
      <xdr:colOff>0</xdr:colOff>
      <xdr:row>34</xdr:row>
      <xdr:rowOff>180975</xdr:rowOff>
    </xdr:to>
    <xdr:sp macro="" textlink="">
      <xdr:nvSpPr>
        <xdr:cNvPr id="103" name="Rectangle 9">
          <a:extLst>
            <a:ext uri="{FF2B5EF4-FFF2-40B4-BE49-F238E27FC236}">
              <a16:creationId xmlns:a16="http://schemas.microsoft.com/office/drawing/2014/main" id="{00000000-0008-0000-0400-000067000000}"/>
            </a:ext>
          </a:extLst>
        </xdr:cNvPr>
        <xdr:cNvSpPr>
          <a:spLocks noChangeArrowheads="1"/>
        </xdr:cNvSpPr>
      </xdr:nvSpPr>
      <xdr:spPr bwMode="auto">
        <a:xfrm>
          <a:off x="7286625" y="4933950"/>
          <a:ext cx="3714750" cy="1724025"/>
        </a:xfrm>
        <a:prstGeom prst="rect">
          <a:avLst/>
        </a:prstGeom>
        <a:solidFill>
          <a:schemeClr val="bg2"/>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教務</a:t>
          </a: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DB</a:t>
          </a: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サーバ</a:t>
          </a: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(v20dudbs)</a:t>
          </a:r>
        </a:p>
      </xdr:txBody>
    </xdr:sp>
    <xdr:clientData/>
  </xdr:twoCellAnchor>
  <xdr:twoCellAnchor>
    <xdr:from>
      <xdr:col>51</xdr:col>
      <xdr:colOff>142874</xdr:colOff>
      <xdr:row>27</xdr:row>
      <xdr:rowOff>1</xdr:rowOff>
    </xdr:from>
    <xdr:to>
      <xdr:col>74</xdr:col>
      <xdr:colOff>123825</xdr:colOff>
      <xdr:row>34</xdr:row>
      <xdr:rowOff>57151</xdr:rowOff>
    </xdr:to>
    <xdr:sp macro="" textlink="">
      <xdr:nvSpPr>
        <xdr:cNvPr id="104" name="円柱 103">
          <a:extLst>
            <a:ext uri="{FF2B5EF4-FFF2-40B4-BE49-F238E27FC236}">
              <a16:creationId xmlns:a16="http://schemas.microsoft.com/office/drawing/2014/main" id="{00000000-0008-0000-0400-000068000000}"/>
            </a:ext>
          </a:extLst>
        </xdr:cNvPr>
        <xdr:cNvSpPr/>
      </xdr:nvSpPr>
      <xdr:spPr bwMode="auto">
        <a:xfrm>
          <a:off x="7429499" y="5143501"/>
          <a:ext cx="3267076" cy="1390650"/>
        </a:xfrm>
        <a:prstGeom prst="can">
          <a:avLst>
            <a:gd name="adj" fmla="val 17188"/>
          </a:avLst>
        </a:prstGeom>
        <a:noFill/>
        <a:ln w="9525" cap="flat" cmpd="sng" algn="ctr">
          <a:solidFill>
            <a:srgbClr val="000000"/>
          </a:solidFill>
          <a:prstDash val="solid"/>
          <a:round/>
          <a:headEnd type="none" w="med" len="med"/>
          <a:tailEnd type="none" w="med" len="med"/>
        </a:ln>
        <a:effectLst/>
      </xdr:spPr>
      <xdr:txBody>
        <a:bodyPr vertOverflow="clip" wrap="square" lIns="108000" tIns="72000" rIns="0" bIns="0" rtlCol="0" anchor="t" upright="1"/>
        <a:lstStyle/>
        <a:p>
          <a:pPr algn="ctr"/>
          <a:r>
            <a:rPr kumimoji="1" lang="ja-JP" altLang="en-US" sz="900">
              <a:latin typeface="ＭＳ ゴシック" panose="020B0609070205080204" pitchFamily="49" charset="-128"/>
              <a:ea typeface="ＭＳ ゴシック" panose="020B0609070205080204" pitchFamily="49" charset="-128"/>
            </a:rPr>
            <a:t>ﾃﾞｰﾀﾍﾞｰｽ</a:t>
          </a:r>
          <a:endParaRPr lang="en-US" altLang="ja-JP" sz="1100">
            <a:effectLst/>
            <a:latin typeface="+mn-lt"/>
            <a:ea typeface="+mn-ea"/>
            <a:cs typeface="+mn-cs"/>
          </a:endParaRPr>
        </a:p>
      </xdr:txBody>
    </xdr:sp>
    <xdr:clientData/>
  </xdr:twoCellAnchor>
  <xdr:twoCellAnchor>
    <xdr:from>
      <xdr:col>53</xdr:col>
      <xdr:colOff>0</xdr:colOff>
      <xdr:row>29</xdr:row>
      <xdr:rowOff>180975</xdr:rowOff>
    </xdr:from>
    <xdr:to>
      <xdr:col>59</xdr:col>
      <xdr:colOff>123825</xdr:colOff>
      <xdr:row>31</xdr:row>
      <xdr:rowOff>104775</xdr:rowOff>
    </xdr:to>
    <xdr:sp macro="" textlink="">
      <xdr:nvSpPr>
        <xdr:cNvPr id="105" name="正方形/長方形 104">
          <a:extLst>
            <a:ext uri="{FF2B5EF4-FFF2-40B4-BE49-F238E27FC236}">
              <a16:creationId xmlns:a16="http://schemas.microsoft.com/office/drawing/2014/main" id="{00000000-0008-0000-0400-000069000000}"/>
            </a:ext>
          </a:extLst>
        </xdr:cNvPr>
        <xdr:cNvSpPr/>
      </xdr:nvSpPr>
      <xdr:spPr bwMode="auto">
        <a:xfrm>
          <a:off x="7572375" y="5705475"/>
          <a:ext cx="981075" cy="304800"/>
        </a:xfrm>
        <a:prstGeom prst="rect">
          <a:avLst/>
        </a:prstGeom>
        <a:solidFill>
          <a:schemeClr val="bg2"/>
        </a:solidFill>
        <a:ln w="9525" cap="flat" cmpd="sng" algn="ctr">
          <a:solidFill>
            <a:srgbClr val="000000"/>
          </a:solidFill>
          <a:prstDash val="dash"/>
          <a:round/>
          <a:headEnd type="none" w="med" len="med"/>
          <a:tailEnd type="none" w="med" len="med"/>
        </a:ln>
        <a:effectLst/>
      </xdr:spPr>
      <xdr:txBody>
        <a:bodyPr vertOverflow="clip" wrap="square" lIns="18288" tIns="0" rIns="0" bIns="0" rtlCol="0" anchor="ctr" upright="1"/>
        <a:lstStyle/>
        <a:p>
          <a:pPr algn="l"/>
          <a:r>
            <a:rPr kumimoji="1" lang="ja-JP" altLang="en-US" sz="1100"/>
            <a:t>テーブル１</a:t>
          </a:r>
        </a:p>
      </xdr:txBody>
    </xdr:sp>
    <xdr:clientData/>
  </xdr:twoCellAnchor>
  <xdr:twoCellAnchor>
    <xdr:from>
      <xdr:col>56</xdr:col>
      <xdr:colOff>0</xdr:colOff>
      <xdr:row>31</xdr:row>
      <xdr:rowOff>19050</xdr:rowOff>
    </xdr:from>
    <xdr:to>
      <xdr:col>62</xdr:col>
      <xdr:colOff>123825</xdr:colOff>
      <xdr:row>32</xdr:row>
      <xdr:rowOff>133350</xdr:rowOff>
    </xdr:to>
    <xdr:sp macro="" textlink="">
      <xdr:nvSpPr>
        <xdr:cNvPr id="107" name="正方形/長方形 106">
          <a:extLst>
            <a:ext uri="{FF2B5EF4-FFF2-40B4-BE49-F238E27FC236}">
              <a16:creationId xmlns:a16="http://schemas.microsoft.com/office/drawing/2014/main" id="{00000000-0008-0000-0400-00006B000000}"/>
            </a:ext>
          </a:extLst>
        </xdr:cNvPr>
        <xdr:cNvSpPr/>
      </xdr:nvSpPr>
      <xdr:spPr bwMode="auto">
        <a:xfrm>
          <a:off x="8001000" y="5924550"/>
          <a:ext cx="981075" cy="304800"/>
        </a:xfrm>
        <a:prstGeom prst="rect">
          <a:avLst/>
        </a:prstGeom>
        <a:solidFill>
          <a:schemeClr val="bg2"/>
        </a:solidFill>
        <a:ln w="9525" cap="flat" cmpd="sng" algn="ctr">
          <a:solidFill>
            <a:srgbClr val="000000"/>
          </a:solidFill>
          <a:prstDash val="dash"/>
          <a:round/>
          <a:headEnd type="none" w="med" len="med"/>
          <a:tailEnd type="none" w="med" len="med"/>
        </a:ln>
        <a:effectLst/>
      </xdr:spPr>
      <xdr:txBody>
        <a:bodyPr vertOverflow="clip" wrap="square" lIns="18288" tIns="0" rIns="0" bIns="0" rtlCol="0" anchor="ctr" upright="1"/>
        <a:lstStyle/>
        <a:p>
          <a:pPr algn="l"/>
          <a:r>
            <a:rPr kumimoji="1" lang="ja-JP" altLang="en-US" sz="1100"/>
            <a:t>テーブル２</a:t>
          </a:r>
        </a:p>
      </xdr:txBody>
    </xdr:sp>
    <xdr:clientData/>
  </xdr:twoCellAnchor>
  <xdr:twoCellAnchor>
    <xdr:from>
      <xdr:col>58</xdr:col>
      <xdr:colOff>133350</xdr:colOff>
      <xdr:row>32</xdr:row>
      <xdr:rowOff>47625</xdr:rowOff>
    </xdr:from>
    <xdr:to>
      <xdr:col>65</xdr:col>
      <xdr:colOff>114300</xdr:colOff>
      <xdr:row>33</xdr:row>
      <xdr:rowOff>161925</xdr:rowOff>
    </xdr:to>
    <xdr:sp macro="" textlink="">
      <xdr:nvSpPr>
        <xdr:cNvPr id="108" name="正方形/長方形 107">
          <a:extLst>
            <a:ext uri="{FF2B5EF4-FFF2-40B4-BE49-F238E27FC236}">
              <a16:creationId xmlns:a16="http://schemas.microsoft.com/office/drawing/2014/main" id="{00000000-0008-0000-0400-00006C000000}"/>
            </a:ext>
          </a:extLst>
        </xdr:cNvPr>
        <xdr:cNvSpPr/>
      </xdr:nvSpPr>
      <xdr:spPr bwMode="auto">
        <a:xfrm>
          <a:off x="8420100" y="6143625"/>
          <a:ext cx="981075" cy="304800"/>
        </a:xfrm>
        <a:prstGeom prst="rect">
          <a:avLst/>
        </a:prstGeom>
        <a:solidFill>
          <a:schemeClr val="bg2"/>
        </a:solidFill>
        <a:ln w="9525" cap="flat" cmpd="sng" algn="ctr">
          <a:solidFill>
            <a:srgbClr val="000000"/>
          </a:solidFill>
          <a:prstDash val="dash"/>
          <a:round/>
          <a:headEnd type="none" w="med" len="med"/>
          <a:tailEnd type="none" w="med" len="med"/>
        </a:ln>
        <a:effectLst/>
      </xdr:spPr>
      <xdr:txBody>
        <a:bodyPr vertOverflow="clip" wrap="square" lIns="18288" tIns="0" rIns="0" bIns="0" rtlCol="0" anchor="ctr" upright="1"/>
        <a:lstStyle/>
        <a:p>
          <a:pPr algn="l"/>
          <a:r>
            <a:rPr kumimoji="1" lang="ja-JP" altLang="en-US" sz="1100"/>
            <a:t>テーブル３</a:t>
          </a:r>
        </a:p>
      </xdr:txBody>
    </xdr:sp>
    <xdr:clientData/>
  </xdr:twoCellAnchor>
  <xdr:twoCellAnchor>
    <xdr:from>
      <xdr:col>53</xdr:col>
      <xdr:colOff>0</xdr:colOff>
      <xdr:row>11</xdr:row>
      <xdr:rowOff>161925</xdr:rowOff>
    </xdr:from>
    <xdr:to>
      <xdr:col>60</xdr:col>
      <xdr:colOff>79875</xdr:colOff>
      <xdr:row>13</xdr:row>
      <xdr:rowOff>85725</xdr:rowOff>
    </xdr:to>
    <xdr:sp macro="" textlink="">
      <xdr:nvSpPr>
        <xdr:cNvPr id="109" name="正方形/長方形 108">
          <a:extLst>
            <a:ext uri="{FF2B5EF4-FFF2-40B4-BE49-F238E27FC236}">
              <a16:creationId xmlns:a16="http://schemas.microsoft.com/office/drawing/2014/main" id="{00000000-0008-0000-0400-00006D000000}"/>
            </a:ext>
          </a:extLst>
        </xdr:cNvPr>
        <xdr:cNvSpPr/>
      </xdr:nvSpPr>
      <xdr:spPr bwMode="auto">
        <a:xfrm>
          <a:off x="7572375" y="2257425"/>
          <a:ext cx="1080000" cy="3048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テーブル１</a:t>
          </a:r>
        </a:p>
      </xdr:txBody>
    </xdr:sp>
    <xdr:clientData/>
  </xdr:twoCellAnchor>
  <xdr:twoCellAnchor>
    <xdr:from>
      <xdr:col>54</xdr:col>
      <xdr:colOff>9525</xdr:colOff>
      <xdr:row>12</xdr:row>
      <xdr:rowOff>123825</xdr:rowOff>
    </xdr:from>
    <xdr:to>
      <xdr:col>61</xdr:col>
      <xdr:colOff>89400</xdr:colOff>
      <xdr:row>14</xdr:row>
      <xdr:rowOff>47625</xdr:rowOff>
    </xdr:to>
    <xdr:sp macro="" textlink="">
      <xdr:nvSpPr>
        <xdr:cNvPr id="110" name="正方形/長方形 109">
          <a:extLst>
            <a:ext uri="{FF2B5EF4-FFF2-40B4-BE49-F238E27FC236}">
              <a16:creationId xmlns:a16="http://schemas.microsoft.com/office/drawing/2014/main" id="{00000000-0008-0000-0400-00006E000000}"/>
            </a:ext>
          </a:extLst>
        </xdr:cNvPr>
        <xdr:cNvSpPr/>
      </xdr:nvSpPr>
      <xdr:spPr bwMode="auto">
        <a:xfrm>
          <a:off x="7724775" y="2409825"/>
          <a:ext cx="1080000" cy="3048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テーブル２</a:t>
          </a:r>
        </a:p>
      </xdr:txBody>
    </xdr:sp>
    <xdr:clientData/>
  </xdr:twoCellAnchor>
  <xdr:twoCellAnchor>
    <xdr:from>
      <xdr:col>55</xdr:col>
      <xdr:colOff>19050</xdr:colOff>
      <xdr:row>13</xdr:row>
      <xdr:rowOff>85725</xdr:rowOff>
    </xdr:from>
    <xdr:to>
      <xdr:col>62</xdr:col>
      <xdr:colOff>98925</xdr:colOff>
      <xdr:row>15</xdr:row>
      <xdr:rowOff>9525</xdr:rowOff>
    </xdr:to>
    <xdr:sp macro="" textlink="">
      <xdr:nvSpPr>
        <xdr:cNvPr id="111" name="正方形/長方形 110">
          <a:extLst>
            <a:ext uri="{FF2B5EF4-FFF2-40B4-BE49-F238E27FC236}">
              <a16:creationId xmlns:a16="http://schemas.microsoft.com/office/drawing/2014/main" id="{00000000-0008-0000-0400-00006F000000}"/>
            </a:ext>
          </a:extLst>
        </xdr:cNvPr>
        <xdr:cNvSpPr/>
      </xdr:nvSpPr>
      <xdr:spPr bwMode="auto">
        <a:xfrm>
          <a:off x="7877175" y="2562225"/>
          <a:ext cx="1080000" cy="3048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テーブル３</a:t>
          </a:r>
        </a:p>
      </xdr:txBody>
    </xdr:sp>
    <xdr:clientData/>
  </xdr:twoCellAnchor>
  <xdr:twoCellAnchor>
    <xdr:from>
      <xdr:col>57</xdr:col>
      <xdr:colOff>47625</xdr:colOff>
      <xdr:row>22</xdr:row>
      <xdr:rowOff>133350</xdr:rowOff>
    </xdr:from>
    <xdr:to>
      <xdr:col>68</xdr:col>
      <xdr:colOff>104775</xdr:colOff>
      <xdr:row>29</xdr:row>
      <xdr:rowOff>142875</xdr:rowOff>
    </xdr:to>
    <xdr:cxnSp macro="">
      <xdr:nvCxnSpPr>
        <xdr:cNvPr id="2" name="AutoShape 22">
          <a:extLst>
            <a:ext uri="{FF2B5EF4-FFF2-40B4-BE49-F238E27FC236}">
              <a16:creationId xmlns:a16="http://schemas.microsoft.com/office/drawing/2014/main" id="{00000000-0008-0000-0400-000002000000}"/>
            </a:ext>
          </a:extLst>
        </xdr:cNvPr>
        <xdr:cNvCxnSpPr>
          <a:cxnSpLocks noChangeShapeType="1"/>
        </xdr:cNvCxnSpPr>
      </xdr:nvCxnSpPr>
      <xdr:spPr bwMode="auto">
        <a:xfrm flipH="1">
          <a:off x="8191500" y="4324350"/>
          <a:ext cx="1628775" cy="1343025"/>
        </a:xfrm>
        <a:prstGeom prst="straightConnector1">
          <a:avLst/>
        </a:prstGeom>
        <a:noFill/>
        <a:ln w="9525">
          <a:solidFill>
            <a:srgbClr val="FF0000"/>
          </a:solidFill>
          <a:prstDash val="dash"/>
          <a:round/>
          <a:headEnd/>
          <a:tailEnd type="triangle" w="med" len="med"/>
        </a:ln>
      </xdr:spPr>
    </xdr:cxnSp>
    <xdr:clientData/>
  </xdr:twoCellAnchor>
  <xdr:twoCellAnchor>
    <xdr:from>
      <xdr:col>65</xdr:col>
      <xdr:colOff>109538</xdr:colOff>
      <xdr:row>22</xdr:row>
      <xdr:rowOff>83344</xdr:rowOff>
    </xdr:from>
    <xdr:to>
      <xdr:col>71</xdr:col>
      <xdr:colOff>114300</xdr:colOff>
      <xdr:row>32</xdr:row>
      <xdr:rowOff>45244</xdr:rowOff>
    </xdr:to>
    <xdr:cxnSp macro="">
      <xdr:nvCxnSpPr>
        <xdr:cNvPr id="3" name="AutoShape 22">
          <a:extLst>
            <a:ext uri="{FF2B5EF4-FFF2-40B4-BE49-F238E27FC236}">
              <a16:creationId xmlns:a16="http://schemas.microsoft.com/office/drawing/2014/main" id="{00000000-0008-0000-0400-000003000000}"/>
            </a:ext>
          </a:extLst>
        </xdr:cNvPr>
        <xdr:cNvCxnSpPr>
          <a:cxnSpLocks noChangeShapeType="1"/>
        </xdr:cNvCxnSpPr>
      </xdr:nvCxnSpPr>
      <xdr:spPr bwMode="auto">
        <a:xfrm flipH="1">
          <a:off x="9396413" y="4274344"/>
          <a:ext cx="862012" cy="1866900"/>
        </a:xfrm>
        <a:prstGeom prst="straightConnector1">
          <a:avLst/>
        </a:prstGeom>
        <a:noFill/>
        <a:ln w="9525">
          <a:solidFill>
            <a:srgbClr val="FF0000"/>
          </a:solidFill>
          <a:prstDash val="dash"/>
          <a:round/>
          <a:headEnd/>
          <a:tailEnd type="triangle" w="med" len="med"/>
        </a:ln>
      </xdr:spPr>
    </xdr:cxnSp>
    <xdr:clientData/>
  </xdr:twoCellAnchor>
  <xdr:twoCellAnchor>
    <xdr:from>
      <xdr:col>61</xdr:col>
      <xdr:colOff>133350</xdr:colOff>
      <xdr:row>22</xdr:row>
      <xdr:rowOff>121444</xdr:rowOff>
    </xdr:from>
    <xdr:to>
      <xdr:col>70</xdr:col>
      <xdr:colOff>57150</xdr:colOff>
      <xdr:row>30</xdr:row>
      <xdr:rowOff>171450</xdr:rowOff>
    </xdr:to>
    <xdr:cxnSp macro="">
      <xdr:nvCxnSpPr>
        <xdr:cNvPr id="4" name="AutoShape 22">
          <a:extLst>
            <a:ext uri="{FF2B5EF4-FFF2-40B4-BE49-F238E27FC236}">
              <a16:creationId xmlns:a16="http://schemas.microsoft.com/office/drawing/2014/main" id="{00000000-0008-0000-0400-000004000000}"/>
            </a:ext>
          </a:extLst>
        </xdr:cNvPr>
        <xdr:cNvCxnSpPr>
          <a:cxnSpLocks noChangeShapeType="1"/>
        </xdr:cNvCxnSpPr>
      </xdr:nvCxnSpPr>
      <xdr:spPr bwMode="auto">
        <a:xfrm flipH="1">
          <a:off x="8848725" y="4312444"/>
          <a:ext cx="1209675" cy="1574006"/>
        </a:xfrm>
        <a:prstGeom prst="straightConnector1">
          <a:avLst/>
        </a:prstGeom>
        <a:noFill/>
        <a:ln w="9525">
          <a:solidFill>
            <a:srgbClr val="FF0000"/>
          </a:solidFill>
          <a:prstDash val="dash"/>
          <a:round/>
          <a:headEnd/>
          <a:tailEnd type="triangle" w="med" len="med"/>
        </a:ln>
      </xdr:spPr>
    </xdr:cxnSp>
    <xdr:clientData/>
  </xdr:twoCellAnchor>
  <xdr:twoCellAnchor>
    <xdr:from>
      <xdr:col>52</xdr:col>
      <xdr:colOff>85725</xdr:colOff>
      <xdr:row>19</xdr:row>
      <xdr:rowOff>38100</xdr:rowOff>
    </xdr:from>
    <xdr:to>
      <xdr:col>76</xdr:col>
      <xdr:colOff>35719</xdr:colOff>
      <xdr:row>22</xdr:row>
      <xdr:rowOff>104775</xdr:rowOff>
    </xdr:to>
    <xdr:sp macro="" textlink="">
      <xdr:nvSpPr>
        <xdr:cNvPr id="5" name="Text Box 10">
          <a:extLst>
            <a:ext uri="{FF2B5EF4-FFF2-40B4-BE49-F238E27FC236}">
              <a16:creationId xmlns:a16="http://schemas.microsoft.com/office/drawing/2014/main" id="{00000000-0008-0000-0400-000005000000}"/>
            </a:ext>
          </a:extLst>
        </xdr:cNvPr>
        <xdr:cNvSpPr txBox="1">
          <a:spLocks noChangeArrowheads="1"/>
        </xdr:cNvSpPr>
      </xdr:nvSpPr>
      <xdr:spPr bwMode="auto">
        <a:xfrm>
          <a:off x="7515225" y="3657600"/>
          <a:ext cx="3378994" cy="638175"/>
        </a:xfrm>
        <a:prstGeom prst="rect">
          <a:avLst/>
        </a:prstGeom>
        <a:noFill/>
        <a:ln w="9525">
          <a:solidFill>
            <a:srgbClr val="FF0000"/>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FF0000"/>
              </a:solidFill>
              <a:latin typeface="ＭＳ ゴシック" panose="020B0609070205080204" pitchFamily="49" charset="-128"/>
              <a:ea typeface="ＭＳ ゴシック" panose="020B0609070205080204" pitchFamily="49" charset="-128"/>
            </a:rPr>
            <a:t>バッチ</a:t>
          </a:r>
          <a:endParaRPr lang="en-US" altLang="ja-JP" sz="900" b="0" i="0" u="none" strike="noStrike" baseline="0">
            <a:solidFill>
              <a:srgbClr val="FF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0</xdr:colOff>
      <xdr:row>26</xdr:row>
      <xdr:rowOff>0</xdr:rowOff>
    </xdr:from>
    <xdr:to>
      <xdr:col>46</xdr:col>
      <xdr:colOff>0</xdr:colOff>
      <xdr:row>35</xdr:row>
      <xdr:rowOff>9525</xdr:rowOff>
    </xdr:to>
    <xdr:sp macro="" textlink="">
      <xdr:nvSpPr>
        <xdr:cNvPr id="7" name="Rectangle 9">
          <a:extLst>
            <a:ext uri="{FF2B5EF4-FFF2-40B4-BE49-F238E27FC236}">
              <a16:creationId xmlns:a16="http://schemas.microsoft.com/office/drawing/2014/main" id="{00000000-0008-0000-0400-000007000000}"/>
            </a:ext>
          </a:extLst>
        </xdr:cNvPr>
        <xdr:cNvSpPr>
          <a:spLocks noChangeArrowheads="1"/>
        </xdr:cNvSpPr>
      </xdr:nvSpPr>
      <xdr:spPr bwMode="auto">
        <a:xfrm>
          <a:off x="2857500" y="4953000"/>
          <a:ext cx="3714750" cy="1724025"/>
        </a:xfrm>
        <a:prstGeom prst="rect">
          <a:avLst/>
        </a:prstGeom>
        <a:solidFill>
          <a:schemeClr val="bg2"/>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管理サーバ</a:t>
          </a: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(v20dukns)</a:t>
          </a:r>
        </a:p>
      </xdr:txBody>
    </xdr:sp>
    <xdr:clientData/>
  </xdr:twoCellAnchor>
  <xdr:twoCellAnchor>
    <xdr:from>
      <xdr:col>21</xdr:col>
      <xdr:colOff>0</xdr:colOff>
      <xdr:row>29</xdr:row>
      <xdr:rowOff>9525</xdr:rowOff>
    </xdr:from>
    <xdr:to>
      <xdr:col>30</xdr:col>
      <xdr:colOff>85725</xdr:colOff>
      <xdr:row>32</xdr:row>
      <xdr:rowOff>76200</xdr:rowOff>
    </xdr:to>
    <xdr:sp macro="" textlink="">
      <xdr:nvSpPr>
        <xdr:cNvPr id="8" name="Text Box 10">
          <a:extLst>
            <a:ext uri="{FF2B5EF4-FFF2-40B4-BE49-F238E27FC236}">
              <a16:creationId xmlns:a16="http://schemas.microsoft.com/office/drawing/2014/main" id="{00000000-0008-0000-0400-000008000000}"/>
            </a:ext>
          </a:extLst>
        </xdr:cNvPr>
        <xdr:cNvSpPr txBox="1">
          <a:spLocks noChangeArrowheads="1"/>
        </xdr:cNvSpPr>
      </xdr:nvSpPr>
      <xdr:spPr bwMode="auto">
        <a:xfrm>
          <a:off x="3000375" y="5534025"/>
          <a:ext cx="1371600" cy="638175"/>
        </a:xfrm>
        <a:prstGeom prst="rect">
          <a:avLst/>
        </a:prstGeom>
        <a:noFill/>
        <a:ln w="9525">
          <a:solidFill>
            <a:srgbClr val="000000"/>
          </a:solidFill>
          <a:miter lim="800000"/>
          <a:headEnd/>
          <a:tailEnd/>
        </a:ln>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LDAP</a:t>
          </a:r>
        </a:p>
      </xdr:txBody>
    </xdr:sp>
    <xdr:clientData/>
  </xdr:twoCellAnchor>
  <xdr:twoCellAnchor>
    <xdr:from>
      <xdr:col>32</xdr:col>
      <xdr:colOff>114300</xdr:colOff>
      <xdr:row>29</xdr:row>
      <xdr:rowOff>9525</xdr:rowOff>
    </xdr:from>
    <xdr:to>
      <xdr:col>42</xdr:col>
      <xdr:colOff>57150</xdr:colOff>
      <xdr:row>32</xdr:row>
      <xdr:rowOff>76200</xdr:rowOff>
    </xdr:to>
    <xdr:sp macro="" textlink="">
      <xdr:nvSpPr>
        <xdr:cNvPr id="9" name="Text Box 10">
          <a:extLst>
            <a:ext uri="{FF2B5EF4-FFF2-40B4-BE49-F238E27FC236}">
              <a16:creationId xmlns:a16="http://schemas.microsoft.com/office/drawing/2014/main" id="{00000000-0008-0000-0400-000009000000}"/>
            </a:ext>
          </a:extLst>
        </xdr:cNvPr>
        <xdr:cNvSpPr txBox="1">
          <a:spLocks noChangeArrowheads="1"/>
        </xdr:cNvSpPr>
      </xdr:nvSpPr>
      <xdr:spPr bwMode="auto">
        <a:xfrm>
          <a:off x="4686300" y="5534025"/>
          <a:ext cx="1371600" cy="638175"/>
        </a:xfrm>
        <a:prstGeom prst="rect">
          <a:avLst/>
        </a:prstGeom>
        <a:noFill/>
        <a:ln w="9525">
          <a:solidFill>
            <a:srgbClr val="000000"/>
          </a:solidFill>
          <a:miter lim="800000"/>
          <a:headEnd/>
          <a:tailEnd/>
        </a:ln>
      </xdr:spPr>
      <xdr:txBody>
        <a:bodyPr vertOverflow="clip" wrap="square" lIns="27432" tIns="18288" rIns="0" bIns="0" anchor="t" upright="1"/>
        <a:lstStyle/>
        <a:p>
          <a:pPr algn="l" rtl="0">
            <a:defRPr sz="1000"/>
          </a:pP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Mail</a:t>
          </a:r>
        </a:p>
      </xdr:txBody>
    </xdr:sp>
    <xdr:clientData/>
  </xdr:twoCellAnchor>
  <xdr:twoCellAnchor>
    <xdr:from>
      <xdr:col>27</xdr:col>
      <xdr:colOff>123825</xdr:colOff>
      <xdr:row>17</xdr:row>
      <xdr:rowOff>97631</xdr:rowOff>
    </xdr:from>
    <xdr:to>
      <xdr:col>43</xdr:col>
      <xdr:colOff>66675</xdr:colOff>
      <xdr:row>29</xdr:row>
      <xdr:rowOff>28575</xdr:rowOff>
    </xdr:to>
    <xdr:cxnSp macro="">
      <xdr:nvCxnSpPr>
        <xdr:cNvPr id="10" name="AutoShape 22">
          <a:extLst>
            <a:ext uri="{FF2B5EF4-FFF2-40B4-BE49-F238E27FC236}">
              <a16:creationId xmlns:a16="http://schemas.microsoft.com/office/drawing/2014/main" id="{00000000-0008-0000-0400-00000A000000}"/>
            </a:ext>
          </a:extLst>
        </xdr:cNvPr>
        <xdr:cNvCxnSpPr>
          <a:cxnSpLocks noChangeShapeType="1"/>
        </xdr:cNvCxnSpPr>
      </xdr:nvCxnSpPr>
      <xdr:spPr bwMode="auto">
        <a:xfrm flipH="1">
          <a:off x="3981450" y="3336131"/>
          <a:ext cx="2228850" cy="2216944"/>
        </a:xfrm>
        <a:prstGeom prst="straightConnector1">
          <a:avLst/>
        </a:prstGeom>
        <a:noFill/>
        <a:ln w="9525">
          <a:solidFill>
            <a:srgbClr val="FF0000"/>
          </a:solidFill>
          <a:prstDash val="dash"/>
          <a:round/>
          <a:headEnd/>
          <a:tailEnd type="triangle" w="med" len="med"/>
        </a:ln>
      </xdr:spPr>
    </xdr:cxnSp>
    <xdr:clientData/>
  </xdr:twoCellAnchor>
  <xdr:twoCellAnchor>
    <xdr:from>
      <xdr:col>37</xdr:col>
      <xdr:colOff>138113</xdr:colOff>
      <xdr:row>17</xdr:row>
      <xdr:rowOff>161925</xdr:rowOff>
    </xdr:from>
    <xdr:to>
      <xdr:col>44</xdr:col>
      <xdr:colOff>19050</xdr:colOff>
      <xdr:row>28</xdr:row>
      <xdr:rowOff>123825</xdr:rowOff>
    </xdr:to>
    <xdr:cxnSp macro="">
      <xdr:nvCxnSpPr>
        <xdr:cNvPr id="11" name="AutoShape 22">
          <a:extLst>
            <a:ext uri="{FF2B5EF4-FFF2-40B4-BE49-F238E27FC236}">
              <a16:creationId xmlns:a16="http://schemas.microsoft.com/office/drawing/2014/main" id="{00000000-0008-0000-0400-00000B000000}"/>
            </a:ext>
          </a:extLst>
        </xdr:cNvPr>
        <xdr:cNvCxnSpPr>
          <a:cxnSpLocks noChangeShapeType="1"/>
        </xdr:cNvCxnSpPr>
      </xdr:nvCxnSpPr>
      <xdr:spPr bwMode="auto">
        <a:xfrm flipH="1">
          <a:off x="5424488" y="3400425"/>
          <a:ext cx="881062" cy="2057400"/>
        </a:xfrm>
        <a:prstGeom prst="straightConnector1">
          <a:avLst/>
        </a:prstGeom>
        <a:noFill/>
        <a:ln w="9525">
          <a:solidFill>
            <a:srgbClr val="FF0000"/>
          </a:solidFill>
          <a:prstDash val="dash"/>
          <a:round/>
          <a:headEnd/>
          <a:tailEnd type="triangle" w="med" len="med"/>
        </a:ln>
      </xdr:spPr>
    </xdr:cxn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8</xdr:row>
      <xdr:rowOff>0</xdr:rowOff>
    </xdr:from>
    <xdr:to>
      <xdr:col>29</xdr:col>
      <xdr:colOff>0</xdr:colOff>
      <xdr:row>17</xdr:row>
      <xdr:rowOff>0</xdr:rowOff>
    </xdr:to>
    <xdr:sp macro="" textlink="">
      <xdr:nvSpPr>
        <xdr:cNvPr id="17" name="テキスト ボックス 16">
          <a:extLst>
            <a:ext uri="{FF2B5EF4-FFF2-40B4-BE49-F238E27FC236}">
              <a16:creationId xmlns:a16="http://schemas.microsoft.com/office/drawing/2014/main" id="{00000000-0008-0000-0800-000011000000}"/>
            </a:ext>
          </a:extLst>
        </xdr:cNvPr>
        <xdr:cNvSpPr txBox="1"/>
      </xdr:nvSpPr>
      <xdr:spPr>
        <a:xfrm>
          <a:off x="714375" y="1524000"/>
          <a:ext cx="3429000" cy="17145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kumimoji="1" lang="en-US" altLang="ja-JP" sz="900">
              <a:latin typeface="ＭＳ 明朝" pitchFamily="17" charset="-128"/>
              <a:ea typeface="ＭＳ 明朝" pitchFamily="17" charset="-128"/>
            </a:rPr>
            <a:t>EC2</a:t>
          </a:r>
          <a:endParaRPr kumimoji="1" lang="ja-JP" altLang="en-US" sz="900">
            <a:latin typeface="ＭＳ 明朝" pitchFamily="17" charset="-128"/>
            <a:ea typeface="ＭＳ 明朝" pitchFamily="17" charset="-128"/>
          </a:endParaRPr>
        </a:p>
      </xdr:txBody>
    </xdr:sp>
    <xdr:clientData/>
  </xdr:twoCellAnchor>
  <xdr:twoCellAnchor>
    <xdr:from>
      <xdr:col>6</xdr:col>
      <xdr:colOff>0</xdr:colOff>
      <xdr:row>9</xdr:row>
      <xdr:rowOff>0</xdr:rowOff>
    </xdr:from>
    <xdr:to>
      <xdr:col>8</xdr:col>
      <xdr:colOff>0</xdr:colOff>
      <xdr:row>16</xdr:row>
      <xdr:rowOff>0</xdr:rowOff>
    </xdr:to>
    <xdr:sp macro="" textlink="">
      <xdr:nvSpPr>
        <xdr:cNvPr id="18" name="テキスト ボックス 17">
          <a:extLst>
            <a:ext uri="{FF2B5EF4-FFF2-40B4-BE49-F238E27FC236}">
              <a16:creationId xmlns:a16="http://schemas.microsoft.com/office/drawing/2014/main" id="{00000000-0008-0000-0800-000012000000}"/>
            </a:ext>
          </a:extLst>
        </xdr:cNvPr>
        <xdr:cNvSpPr txBox="1"/>
      </xdr:nvSpPr>
      <xdr:spPr>
        <a:xfrm>
          <a:off x="857250" y="1714500"/>
          <a:ext cx="285750" cy="13335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vert="vert270" wrap="square" rtlCol="0" anchor="ctr" anchorCtr="1"/>
        <a:lstStyle/>
        <a:p>
          <a:pPr algn="ctr"/>
          <a:r>
            <a:rPr kumimoji="1" lang="en-US" altLang="ja-JP" sz="900">
              <a:latin typeface="ＭＳ 明朝" pitchFamily="17" charset="-128"/>
              <a:ea typeface="ＭＳ 明朝" pitchFamily="17" charset="-128"/>
            </a:rPr>
            <a:t>AP</a:t>
          </a:r>
          <a:r>
            <a:rPr kumimoji="1" lang="ja-JP" altLang="en-US" sz="900">
              <a:latin typeface="ＭＳ 明朝" pitchFamily="17" charset="-128"/>
              <a:ea typeface="ＭＳ 明朝" pitchFamily="17" charset="-128"/>
            </a:rPr>
            <a:t>サーバー</a:t>
          </a:r>
          <a:r>
            <a:rPr kumimoji="1" lang="en-US" altLang="ja-JP" sz="900">
              <a:latin typeface="ＭＳ 明朝" pitchFamily="17" charset="-128"/>
              <a:ea typeface="ＭＳ 明朝" pitchFamily="17" charset="-128"/>
            </a:rPr>
            <a:t>#1</a:t>
          </a:r>
          <a:endParaRPr kumimoji="1" lang="ja-JP" altLang="en-US" sz="900">
            <a:latin typeface="ＭＳ 明朝" pitchFamily="17" charset="-128"/>
            <a:ea typeface="ＭＳ 明朝" pitchFamily="17" charset="-128"/>
          </a:endParaRPr>
        </a:p>
      </xdr:txBody>
    </xdr:sp>
    <xdr:clientData/>
  </xdr:twoCellAnchor>
  <xdr:twoCellAnchor>
    <xdr:from>
      <xdr:col>10</xdr:col>
      <xdr:colOff>0</xdr:colOff>
      <xdr:row>9</xdr:row>
      <xdr:rowOff>0</xdr:rowOff>
    </xdr:from>
    <xdr:to>
      <xdr:col>12</xdr:col>
      <xdr:colOff>0</xdr:colOff>
      <xdr:row>16</xdr:row>
      <xdr:rowOff>0</xdr:rowOff>
    </xdr:to>
    <xdr:sp macro="" textlink="">
      <xdr:nvSpPr>
        <xdr:cNvPr id="19" name="テキスト ボックス 18">
          <a:extLst>
            <a:ext uri="{FF2B5EF4-FFF2-40B4-BE49-F238E27FC236}">
              <a16:creationId xmlns:a16="http://schemas.microsoft.com/office/drawing/2014/main" id="{00000000-0008-0000-0800-000013000000}"/>
            </a:ext>
          </a:extLst>
        </xdr:cNvPr>
        <xdr:cNvSpPr txBox="1"/>
      </xdr:nvSpPr>
      <xdr:spPr>
        <a:xfrm>
          <a:off x="1428750" y="1714500"/>
          <a:ext cx="285750" cy="13335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vert="vert270" wrap="square" rtlCol="0" anchor="ctr" anchorCtr="1"/>
        <a:lstStyle/>
        <a:p>
          <a:pPr algn="ctr"/>
          <a:r>
            <a:rPr kumimoji="1" lang="en-US" altLang="ja-JP" sz="900">
              <a:latin typeface="ＭＳ 明朝" pitchFamily="17" charset="-128"/>
              <a:ea typeface="ＭＳ 明朝" pitchFamily="17" charset="-128"/>
            </a:rPr>
            <a:t>DB</a:t>
          </a:r>
          <a:r>
            <a:rPr kumimoji="1" lang="ja-JP" altLang="en-US" sz="900">
              <a:latin typeface="ＭＳ 明朝" pitchFamily="17" charset="-128"/>
              <a:ea typeface="ＭＳ 明朝" pitchFamily="17" charset="-128"/>
            </a:rPr>
            <a:t>サーバー</a:t>
          </a:r>
          <a:r>
            <a:rPr kumimoji="1" lang="en-US" altLang="ja-JP" sz="900">
              <a:latin typeface="ＭＳ 明朝" pitchFamily="17" charset="-128"/>
              <a:ea typeface="ＭＳ 明朝" pitchFamily="17" charset="-128"/>
            </a:rPr>
            <a:t>#1</a:t>
          </a:r>
          <a:endParaRPr kumimoji="1" lang="ja-JP" altLang="en-US" sz="900">
            <a:latin typeface="ＭＳ 明朝" pitchFamily="17" charset="-128"/>
            <a:ea typeface="ＭＳ 明朝" pitchFamily="17" charset="-128"/>
          </a:endParaRPr>
        </a:p>
      </xdr:txBody>
    </xdr:sp>
    <xdr:clientData/>
  </xdr:twoCellAnchor>
  <xdr:twoCellAnchor>
    <xdr:from>
      <xdr:col>30</xdr:col>
      <xdr:colOff>142874</xdr:colOff>
      <xdr:row>8</xdr:row>
      <xdr:rowOff>0</xdr:rowOff>
    </xdr:from>
    <xdr:to>
      <xdr:col>39</xdr:col>
      <xdr:colOff>142874</xdr:colOff>
      <xdr:row>14</xdr:row>
      <xdr:rowOff>0</xdr:rowOff>
    </xdr:to>
    <xdr:sp macro="" textlink="">
      <xdr:nvSpPr>
        <xdr:cNvPr id="20" name="テキスト ボックス 19">
          <a:extLst>
            <a:ext uri="{FF2B5EF4-FFF2-40B4-BE49-F238E27FC236}">
              <a16:creationId xmlns:a16="http://schemas.microsoft.com/office/drawing/2014/main" id="{00000000-0008-0000-0800-000014000000}"/>
            </a:ext>
          </a:extLst>
        </xdr:cNvPr>
        <xdr:cNvSpPr txBox="1"/>
      </xdr:nvSpPr>
      <xdr:spPr>
        <a:xfrm>
          <a:off x="4429124" y="1524000"/>
          <a:ext cx="1285875" cy="11430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kumimoji="1" lang="en-US" altLang="ja-JP" sz="900">
              <a:latin typeface="ＭＳ 明朝" pitchFamily="17" charset="-128"/>
              <a:ea typeface="ＭＳ 明朝" pitchFamily="17" charset="-128"/>
            </a:rPr>
            <a:t>AWS</a:t>
          </a:r>
          <a:endParaRPr kumimoji="1" lang="ja-JP" altLang="en-US" sz="900">
            <a:latin typeface="ＭＳ 明朝" pitchFamily="17" charset="-128"/>
            <a:ea typeface="ＭＳ 明朝" pitchFamily="17" charset="-128"/>
          </a:endParaRPr>
        </a:p>
      </xdr:txBody>
    </xdr:sp>
    <xdr:clientData/>
  </xdr:twoCellAnchor>
  <xdr:twoCellAnchor>
    <xdr:from>
      <xdr:col>10</xdr:col>
      <xdr:colOff>142874</xdr:colOff>
      <xdr:row>9</xdr:row>
      <xdr:rowOff>1</xdr:rowOff>
    </xdr:from>
    <xdr:to>
      <xdr:col>35</xdr:col>
      <xdr:colOff>71436</xdr:colOff>
      <xdr:row>10</xdr:row>
      <xdr:rowOff>1</xdr:rowOff>
    </xdr:to>
    <xdr:cxnSp macro="">
      <xdr:nvCxnSpPr>
        <xdr:cNvPr id="23" name="図形 77">
          <a:extLst>
            <a:ext uri="{FF2B5EF4-FFF2-40B4-BE49-F238E27FC236}">
              <a16:creationId xmlns:a16="http://schemas.microsoft.com/office/drawing/2014/main" id="{00000000-0008-0000-0800-000017000000}"/>
            </a:ext>
          </a:extLst>
        </xdr:cNvPr>
        <xdr:cNvCxnSpPr>
          <a:cxnSpLocks/>
          <a:stCxn id="19" idx="0"/>
          <a:endCxn id="24" idx="1"/>
        </xdr:cNvCxnSpPr>
      </xdr:nvCxnSpPr>
      <xdr:spPr bwMode="auto">
        <a:xfrm rot="16200000" flipH="1">
          <a:off x="3226593" y="59532"/>
          <a:ext cx="190500" cy="3500437"/>
        </a:xfrm>
        <a:prstGeom prst="curvedConnector3">
          <a:avLst>
            <a:gd name="adj1" fmla="val -120000"/>
          </a:avLst>
        </a:prstGeom>
        <a:solidFill>
          <a:srgbClr val="FFFFFF"/>
        </a:solidFill>
        <a:ln w="19050" cap="flat" cmpd="sng" algn="ctr">
          <a:solidFill>
            <a:srgbClr val="0070C0"/>
          </a:solidFill>
          <a:prstDash val="solid"/>
          <a:round/>
          <a:headEnd type="none" w="med" len="med"/>
          <a:tailEnd type="arrow"/>
        </a:ln>
        <a:effectLst/>
      </xdr:spPr>
    </xdr:cxnSp>
    <xdr:clientData/>
  </xdr:twoCellAnchor>
  <xdr:twoCellAnchor>
    <xdr:from>
      <xdr:col>32</xdr:col>
      <xdr:colOff>142874</xdr:colOff>
      <xdr:row>10</xdr:row>
      <xdr:rowOff>0</xdr:rowOff>
    </xdr:from>
    <xdr:to>
      <xdr:col>37</xdr:col>
      <xdr:colOff>142874</xdr:colOff>
      <xdr:row>13</xdr:row>
      <xdr:rowOff>0</xdr:rowOff>
    </xdr:to>
    <xdr:sp macro="" textlink="">
      <xdr:nvSpPr>
        <xdr:cNvPr id="24" name="円柱 23">
          <a:extLst>
            <a:ext uri="{FF2B5EF4-FFF2-40B4-BE49-F238E27FC236}">
              <a16:creationId xmlns:a16="http://schemas.microsoft.com/office/drawing/2014/main" id="{00000000-0008-0000-0800-000018000000}"/>
            </a:ext>
          </a:extLst>
        </xdr:cNvPr>
        <xdr:cNvSpPr/>
      </xdr:nvSpPr>
      <xdr:spPr bwMode="auto">
        <a:xfrm>
          <a:off x="4714874" y="1905000"/>
          <a:ext cx="714375" cy="571500"/>
        </a:xfrm>
        <a:prstGeom prst="can">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kumimoji="1" lang="ja-JP" altLang="en-US" sz="900">
            <a:latin typeface="ＭＳ 明朝" pitchFamily="17" charset="-128"/>
            <a:ea typeface="ＭＳ 明朝" pitchFamily="17" charset="-128"/>
          </a:endParaRPr>
        </a:p>
      </xdr:txBody>
    </xdr:sp>
    <xdr:clientData/>
  </xdr:twoCellAnchor>
  <xdr:twoCellAnchor>
    <xdr:from>
      <xdr:col>6</xdr:col>
      <xdr:colOff>142874</xdr:colOff>
      <xdr:row>9</xdr:row>
      <xdr:rowOff>1</xdr:rowOff>
    </xdr:from>
    <xdr:to>
      <xdr:col>35</xdr:col>
      <xdr:colOff>71436</xdr:colOff>
      <xdr:row>10</xdr:row>
      <xdr:rowOff>1</xdr:rowOff>
    </xdr:to>
    <xdr:cxnSp macro="">
      <xdr:nvCxnSpPr>
        <xdr:cNvPr id="28" name="図形 77">
          <a:extLst>
            <a:ext uri="{FF2B5EF4-FFF2-40B4-BE49-F238E27FC236}">
              <a16:creationId xmlns:a16="http://schemas.microsoft.com/office/drawing/2014/main" id="{00000000-0008-0000-0800-00001C000000}"/>
            </a:ext>
          </a:extLst>
        </xdr:cNvPr>
        <xdr:cNvCxnSpPr>
          <a:cxnSpLocks/>
          <a:stCxn id="18" idx="0"/>
          <a:endCxn id="24" idx="1"/>
        </xdr:cNvCxnSpPr>
      </xdr:nvCxnSpPr>
      <xdr:spPr bwMode="auto">
        <a:xfrm rot="16200000" flipH="1">
          <a:off x="2940843" y="-226218"/>
          <a:ext cx="190500" cy="4071937"/>
        </a:xfrm>
        <a:prstGeom prst="curvedConnector3">
          <a:avLst>
            <a:gd name="adj1" fmla="val -120000"/>
          </a:avLst>
        </a:prstGeom>
        <a:solidFill>
          <a:srgbClr val="FFFFFF"/>
        </a:solidFill>
        <a:ln w="19050" cap="flat" cmpd="sng" algn="ctr">
          <a:solidFill>
            <a:srgbClr val="0070C0"/>
          </a:solidFill>
          <a:prstDash val="solid"/>
          <a:round/>
          <a:headEnd type="none" w="med" len="med"/>
          <a:tailEnd type="arrow"/>
        </a:ln>
        <a:effectLst/>
      </xdr:spPr>
    </xdr:cxnSp>
    <xdr:clientData/>
  </xdr:twoCellAnchor>
  <xdr:twoCellAnchor>
    <xdr:from>
      <xdr:col>14</xdr:col>
      <xdr:colOff>0</xdr:colOff>
      <xdr:row>9</xdr:row>
      <xdr:rowOff>0</xdr:rowOff>
    </xdr:from>
    <xdr:to>
      <xdr:col>16</xdr:col>
      <xdr:colOff>0</xdr:colOff>
      <xdr:row>16</xdr:row>
      <xdr:rowOff>0</xdr:rowOff>
    </xdr:to>
    <xdr:sp macro="" textlink="">
      <xdr:nvSpPr>
        <xdr:cNvPr id="29" name="テキスト ボックス 28">
          <a:extLst>
            <a:ext uri="{FF2B5EF4-FFF2-40B4-BE49-F238E27FC236}">
              <a16:creationId xmlns:a16="http://schemas.microsoft.com/office/drawing/2014/main" id="{00000000-0008-0000-0800-00001D000000}"/>
            </a:ext>
          </a:extLst>
        </xdr:cNvPr>
        <xdr:cNvSpPr txBox="1"/>
      </xdr:nvSpPr>
      <xdr:spPr>
        <a:xfrm>
          <a:off x="2000250" y="1714500"/>
          <a:ext cx="285750" cy="13335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vert="vert270" wrap="square" rtlCol="0" anchor="ctr" anchorCtr="1"/>
        <a:lstStyle/>
        <a:p>
          <a:pPr algn="ctr"/>
          <a:r>
            <a:rPr kumimoji="1" lang="ja-JP" altLang="en-US" sz="900">
              <a:latin typeface="ＭＳ 明朝" pitchFamily="17" charset="-128"/>
              <a:ea typeface="ＭＳ 明朝" pitchFamily="17" charset="-128"/>
            </a:rPr>
            <a:t>ﾕｰﾃｨﾘﾃｨｰｻｰﾊﾞｰ</a:t>
          </a:r>
        </a:p>
      </xdr:txBody>
    </xdr:sp>
    <xdr:clientData/>
  </xdr:twoCellAnchor>
  <xdr:twoCellAnchor>
    <xdr:from>
      <xdr:col>14</xdr:col>
      <xdr:colOff>142874</xdr:colOff>
      <xdr:row>9</xdr:row>
      <xdr:rowOff>1</xdr:rowOff>
    </xdr:from>
    <xdr:to>
      <xdr:col>35</xdr:col>
      <xdr:colOff>71436</xdr:colOff>
      <xdr:row>10</xdr:row>
      <xdr:rowOff>1</xdr:rowOff>
    </xdr:to>
    <xdr:cxnSp macro="">
      <xdr:nvCxnSpPr>
        <xdr:cNvPr id="40" name="図形 80">
          <a:extLst>
            <a:ext uri="{FF2B5EF4-FFF2-40B4-BE49-F238E27FC236}">
              <a16:creationId xmlns:a16="http://schemas.microsoft.com/office/drawing/2014/main" id="{00000000-0008-0000-0800-000028000000}"/>
            </a:ext>
          </a:extLst>
        </xdr:cNvPr>
        <xdr:cNvCxnSpPr>
          <a:cxnSpLocks/>
          <a:stCxn id="29" idx="0"/>
          <a:endCxn id="24" idx="1"/>
        </xdr:cNvCxnSpPr>
      </xdr:nvCxnSpPr>
      <xdr:spPr bwMode="auto">
        <a:xfrm rot="16200000" flipH="1">
          <a:off x="3512343" y="345282"/>
          <a:ext cx="190500" cy="2928937"/>
        </a:xfrm>
        <a:prstGeom prst="curvedConnector3">
          <a:avLst>
            <a:gd name="adj1" fmla="val -120000"/>
          </a:avLst>
        </a:prstGeom>
        <a:solidFill>
          <a:srgbClr val="FFFFFF"/>
        </a:solidFill>
        <a:ln w="19050" cap="flat" cmpd="sng" algn="ctr">
          <a:solidFill>
            <a:srgbClr val="0070C0"/>
          </a:solidFill>
          <a:prstDash val="solid"/>
          <a:round/>
          <a:headEnd type="none" w="med" len="med"/>
          <a:tailEnd type="arrow"/>
        </a:ln>
        <a:effectLst/>
      </xdr:spPr>
    </xdr:cxnSp>
    <xdr:clientData/>
  </xdr:twoCellAnchor>
  <xdr:twoCellAnchor>
    <xdr:from>
      <xdr:col>18</xdr:col>
      <xdr:colOff>19050</xdr:colOff>
      <xdr:row>9</xdr:row>
      <xdr:rowOff>0</xdr:rowOff>
    </xdr:from>
    <xdr:to>
      <xdr:col>20</xdr:col>
      <xdr:colOff>19050</xdr:colOff>
      <xdr:row>16</xdr:row>
      <xdr:rowOff>0</xdr:rowOff>
    </xdr:to>
    <xdr:sp macro="" textlink="">
      <xdr:nvSpPr>
        <xdr:cNvPr id="41" name="テキスト ボックス 40">
          <a:extLst>
            <a:ext uri="{FF2B5EF4-FFF2-40B4-BE49-F238E27FC236}">
              <a16:creationId xmlns:a16="http://schemas.microsoft.com/office/drawing/2014/main" id="{00000000-0008-0000-0800-000029000000}"/>
            </a:ext>
          </a:extLst>
        </xdr:cNvPr>
        <xdr:cNvSpPr txBox="1"/>
      </xdr:nvSpPr>
      <xdr:spPr>
        <a:xfrm>
          <a:off x="2590800" y="1714500"/>
          <a:ext cx="285750" cy="13335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vert="vert270" wrap="square" rtlCol="0" anchor="ctr" anchorCtr="1"/>
        <a:lstStyle/>
        <a:p>
          <a:pPr algn="ctr"/>
          <a:r>
            <a:rPr kumimoji="1" lang="ja-JP" altLang="en-US" sz="900">
              <a:latin typeface="ＭＳ 明朝" pitchFamily="17" charset="-128"/>
              <a:ea typeface="ＭＳ 明朝" pitchFamily="17" charset="-128"/>
            </a:rPr>
            <a:t>管理サーバー</a:t>
          </a:r>
        </a:p>
      </xdr:txBody>
    </xdr:sp>
    <xdr:clientData/>
  </xdr:twoCellAnchor>
  <xdr:twoCellAnchor>
    <xdr:from>
      <xdr:col>19</xdr:col>
      <xdr:colOff>19049</xdr:colOff>
      <xdr:row>9</xdr:row>
      <xdr:rowOff>1</xdr:rowOff>
    </xdr:from>
    <xdr:to>
      <xdr:col>35</xdr:col>
      <xdr:colOff>71436</xdr:colOff>
      <xdr:row>10</xdr:row>
      <xdr:rowOff>1</xdr:rowOff>
    </xdr:to>
    <xdr:cxnSp macro="">
      <xdr:nvCxnSpPr>
        <xdr:cNvPr id="42" name="図形 80">
          <a:extLst>
            <a:ext uri="{FF2B5EF4-FFF2-40B4-BE49-F238E27FC236}">
              <a16:creationId xmlns:a16="http://schemas.microsoft.com/office/drawing/2014/main" id="{00000000-0008-0000-0800-00002A000000}"/>
            </a:ext>
          </a:extLst>
        </xdr:cNvPr>
        <xdr:cNvCxnSpPr>
          <a:cxnSpLocks/>
          <a:stCxn id="41" idx="0"/>
          <a:endCxn id="24" idx="1"/>
        </xdr:cNvCxnSpPr>
      </xdr:nvCxnSpPr>
      <xdr:spPr bwMode="auto">
        <a:xfrm rot="16200000" flipH="1">
          <a:off x="3807618" y="640557"/>
          <a:ext cx="190500" cy="2338387"/>
        </a:xfrm>
        <a:prstGeom prst="curvedConnector3">
          <a:avLst>
            <a:gd name="adj1" fmla="val -120000"/>
          </a:avLst>
        </a:prstGeom>
        <a:solidFill>
          <a:srgbClr val="FFFFFF"/>
        </a:solidFill>
        <a:ln w="19050" cap="flat" cmpd="sng" algn="ctr">
          <a:solidFill>
            <a:srgbClr val="0070C0"/>
          </a:solidFill>
          <a:prstDash val="solid"/>
          <a:round/>
          <a:headEnd type="none" w="med" len="med"/>
          <a:tailEnd type="arrow"/>
        </a:ln>
        <a:effec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47625</xdr:colOff>
      <xdr:row>15</xdr:row>
      <xdr:rowOff>9525</xdr:rowOff>
    </xdr:from>
    <xdr:to>
      <xdr:col>27</xdr:col>
      <xdr:colOff>21750</xdr:colOff>
      <xdr:row>15</xdr:row>
      <xdr:rowOff>9525</xdr:rowOff>
    </xdr:to>
    <xdr:cxnSp macro="">
      <xdr:nvCxnSpPr>
        <xdr:cNvPr id="11" name="直線矢印コネクタ 10">
          <a:extLst>
            <a:ext uri="{FF2B5EF4-FFF2-40B4-BE49-F238E27FC236}">
              <a16:creationId xmlns:a16="http://schemas.microsoft.com/office/drawing/2014/main" id="{00000000-0008-0000-0A00-00000B000000}"/>
            </a:ext>
          </a:extLst>
        </xdr:cNvPr>
        <xdr:cNvCxnSpPr/>
      </xdr:nvCxnSpPr>
      <xdr:spPr bwMode="auto">
        <a:xfrm flipV="1">
          <a:off x="2619375" y="2867025"/>
          <a:ext cx="1260000" cy="0"/>
        </a:xfrm>
        <a:prstGeom prst="straightConnector1">
          <a:avLst/>
        </a:prstGeom>
        <a:solidFill>
          <a:srgbClr val="FFFFFF"/>
        </a:solidFill>
        <a:ln w="57150" cap="flat" cmpd="sng" algn="ctr">
          <a:solidFill>
            <a:srgbClr val="000000"/>
          </a:solidFill>
          <a:prstDash val="solid"/>
          <a:round/>
          <a:headEnd type="none" w="med" len="med"/>
          <a:tailEnd type="triangle"/>
        </a:ln>
        <a:effectLst/>
      </xdr:spPr>
    </xdr:cxnSp>
    <xdr:clientData/>
  </xdr:twoCellAnchor>
  <xdr:twoCellAnchor editAs="oneCell">
    <xdr:from>
      <xdr:col>31</xdr:col>
      <xdr:colOff>0</xdr:colOff>
      <xdr:row>29</xdr:row>
      <xdr:rowOff>0</xdr:rowOff>
    </xdr:from>
    <xdr:to>
      <xdr:col>37</xdr:col>
      <xdr:colOff>57150</xdr:colOff>
      <xdr:row>33</xdr:row>
      <xdr:rowOff>152400</xdr:rowOff>
    </xdr:to>
    <xdr:pic>
      <xdr:nvPicPr>
        <xdr:cNvPr id="12" name="グラフィックス 11" descr="階層">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429125" y="5524500"/>
          <a:ext cx="914400" cy="914400"/>
        </a:xfrm>
        <a:prstGeom prst="rect">
          <a:avLst/>
        </a:prstGeom>
      </xdr:spPr>
    </xdr:pic>
    <xdr:clientData/>
  </xdr:twoCellAnchor>
  <xdr:twoCellAnchor>
    <xdr:from>
      <xdr:col>32</xdr:col>
      <xdr:colOff>104770</xdr:colOff>
      <xdr:row>9</xdr:row>
      <xdr:rowOff>66674</xdr:rowOff>
    </xdr:from>
    <xdr:to>
      <xdr:col>37</xdr:col>
      <xdr:colOff>28568</xdr:colOff>
      <xdr:row>26</xdr:row>
      <xdr:rowOff>38100</xdr:rowOff>
    </xdr:to>
    <xdr:sp macro="" textlink="">
      <xdr:nvSpPr>
        <xdr:cNvPr id="13" name="矢印: 環状 12">
          <a:extLst>
            <a:ext uri="{FF2B5EF4-FFF2-40B4-BE49-F238E27FC236}">
              <a16:creationId xmlns:a16="http://schemas.microsoft.com/office/drawing/2014/main" id="{00000000-0008-0000-0A00-00000D000000}"/>
            </a:ext>
          </a:extLst>
        </xdr:cNvPr>
        <xdr:cNvSpPr/>
      </xdr:nvSpPr>
      <xdr:spPr bwMode="auto">
        <a:xfrm rot="10800000">
          <a:off x="4676770" y="1781174"/>
          <a:ext cx="638173" cy="3209926"/>
        </a:xfrm>
        <a:prstGeom prst="circularArrow">
          <a:avLst>
            <a:gd name="adj1" fmla="val 5735"/>
            <a:gd name="adj2" fmla="val 979583"/>
            <a:gd name="adj3" fmla="val 20222914"/>
            <a:gd name="adj4" fmla="val 11106686"/>
            <a:gd name="adj5" fmla="val 6933"/>
          </a:avLst>
        </a:prstGeom>
        <a:solidFill>
          <a:schemeClr val="tx1"/>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41</xdr:col>
      <xdr:colOff>76200</xdr:colOff>
      <xdr:row>15</xdr:row>
      <xdr:rowOff>0</xdr:rowOff>
    </xdr:from>
    <xdr:to>
      <xdr:col>50</xdr:col>
      <xdr:colOff>50325</xdr:colOff>
      <xdr:row>15</xdr:row>
      <xdr:rowOff>0</xdr:rowOff>
    </xdr:to>
    <xdr:cxnSp macro="">
      <xdr:nvCxnSpPr>
        <xdr:cNvPr id="14" name="直線矢印コネクタ 13">
          <a:extLst>
            <a:ext uri="{FF2B5EF4-FFF2-40B4-BE49-F238E27FC236}">
              <a16:creationId xmlns:a16="http://schemas.microsoft.com/office/drawing/2014/main" id="{00000000-0008-0000-0A00-00000E000000}"/>
            </a:ext>
          </a:extLst>
        </xdr:cNvPr>
        <xdr:cNvCxnSpPr/>
      </xdr:nvCxnSpPr>
      <xdr:spPr bwMode="auto">
        <a:xfrm flipV="1">
          <a:off x="5934075" y="2857500"/>
          <a:ext cx="1260000" cy="0"/>
        </a:xfrm>
        <a:prstGeom prst="straightConnector1">
          <a:avLst/>
        </a:prstGeom>
        <a:solidFill>
          <a:srgbClr val="FFFFFF"/>
        </a:solidFill>
        <a:ln w="57150" cap="flat" cmpd="sng" algn="ctr">
          <a:solidFill>
            <a:srgbClr val="000000"/>
          </a:solidFill>
          <a:prstDash val="solid"/>
          <a:round/>
          <a:headEnd type="none" w="med" len="med"/>
          <a:tailEnd type="triangle"/>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33</xdr:row>
      <xdr:rowOff>0</xdr:rowOff>
    </xdr:from>
    <xdr:to>
      <xdr:col>28</xdr:col>
      <xdr:colOff>0</xdr:colOff>
      <xdr:row>42</xdr:row>
      <xdr:rowOff>9525</xdr:rowOff>
    </xdr:to>
    <xdr:sp macro="" textlink="">
      <xdr:nvSpPr>
        <xdr:cNvPr id="2" name="Rectangle 9">
          <a:extLst>
            <a:ext uri="{FF2B5EF4-FFF2-40B4-BE49-F238E27FC236}">
              <a16:creationId xmlns:a16="http://schemas.microsoft.com/office/drawing/2014/main" id="{00000000-0008-0000-0B00-000002000000}"/>
            </a:ext>
          </a:extLst>
        </xdr:cNvPr>
        <xdr:cNvSpPr>
          <a:spLocks noChangeArrowheads="1"/>
        </xdr:cNvSpPr>
      </xdr:nvSpPr>
      <xdr:spPr bwMode="auto">
        <a:xfrm>
          <a:off x="285750" y="6286500"/>
          <a:ext cx="3714750" cy="1724025"/>
        </a:xfrm>
        <a:prstGeom prst="rect">
          <a:avLst/>
        </a:prstGeom>
        <a:solidFill>
          <a:sysClr val="window" lastClr="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教務</a:t>
          </a: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DB</a:t>
          </a: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サーバ（</a:t>
          </a:r>
          <a:r>
            <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rPr>
            <a:t>v20dudbs)</a:t>
          </a:r>
        </a:p>
      </xdr:txBody>
    </xdr:sp>
    <xdr:clientData/>
  </xdr:twoCellAnchor>
  <xdr:twoCellAnchor>
    <xdr:from>
      <xdr:col>2</xdr:col>
      <xdr:colOff>142874</xdr:colOff>
      <xdr:row>34</xdr:row>
      <xdr:rowOff>9526</xdr:rowOff>
    </xdr:from>
    <xdr:to>
      <xdr:col>25</xdr:col>
      <xdr:colOff>123825</xdr:colOff>
      <xdr:row>41</xdr:row>
      <xdr:rowOff>66676</xdr:rowOff>
    </xdr:to>
    <xdr:sp macro="" textlink="">
      <xdr:nvSpPr>
        <xdr:cNvPr id="3" name="円柱 2">
          <a:extLst>
            <a:ext uri="{FF2B5EF4-FFF2-40B4-BE49-F238E27FC236}">
              <a16:creationId xmlns:a16="http://schemas.microsoft.com/office/drawing/2014/main" id="{00000000-0008-0000-0B00-000003000000}"/>
            </a:ext>
          </a:extLst>
        </xdr:cNvPr>
        <xdr:cNvSpPr/>
      </xdr:nvSpPr>
      <xdr:spPr bwMode="auto">
        <a:xfrm>
          <a:off x="428624" y="6486526"/>
          <a:ext cx="3267076" cy="1390650"/>
        </a:xfrm>
        <a:prstGeom prst="can">
          <a:avLst>
            <a:gd name="adj" fmla="val 17188"/>
          </a:avLst>
        </a:prstGeom>
        <a:solidFill>
          <a:sysClr val="window" lastClr="FFFFFF"/>
        </a:solidFill>
        <a:ln w="9525" cap="flat" cmpd="sng" algn="ctr">
          <a:solidFill>
            <a:srgbClr val="000000"/>
          </a:solidFill>
          <a:prstDash val="solid"/>
          <a:round/>
          <a:headEnd type="none" w="med" len="med"/>
          <a:tailEnd type="none" w="med" len="med"/>
        </a:ln>
        <a:effectLst/>
      </xdr:spPr>
      <xdr:txBody>
        <a:bodyPr vertOverflow="clip" wrap="square" lIns="108000" tIns="72000" rIns="0" bIns="0" rtlCol="0" anchor="t" upright="1"/>
        <a:lstStyle/>
        <a:p>
          <a:pPr algn="ctr"/>
          <a:r>
            <a:rPr kumimoji="1" lang="ja-JP" altLang="en-US" sz="900">
              <a:latin typeface="ＭＳ ゴシック" panose="020B0609070205080204" pitchFamily="49" charset="-128"/>
              <a:ea typeface="ＭＳ ゴシック" panose="020B0609070205080204" pitchFamily="49" charset="-128"/>
            </a:rPr>
            <a:t>ﾃﾞｰﾀﾍﾞｰｽ</a:t>
          </a:r>
          <a:r>
            <a:rPr kumimoji="1" lang="en-US" altLang="ja-JP" sz="900">
              <a:latin typeface="ＭＳ ゴシック" panose="020B0609070205080204" pitchFamily="49" charset="-128"/>
              <a:ea typeface="ＭＳ ゴシック" panose="020B0609070205080204" pitchFamily="49" charset="-128"/>
            </a:rPr>
            <a:t>(SQLServer)</a:t>
          </a:r>
          <a:endParaRPr lang="en-US" altLang="ja-JP" sz="1100">
            <a:effectLst/>
            <a:latin typeface="+mn-lt"/>
            <a:ea typeface="+mn-ea"/>
            <a:cs typeface="+mn-cs"/>
          </a:endParaRPr>
        </a:p>
      </xdr:txBody>
    </xdr:sp>
    <xdr:clientData/>
  </xdr:twoCellAnchor>
  <xdr:twoCellAnchor>
    <xdr:from>
      <xdr:col>4</xdr:col>
      <xdr:colOff>0</xdr:colOff>
      <xdr:row>37</xdr:row>
      <xdr:rowOff>0</xdr:rowOff>
    </xdr:from>
    <xdr:to>
      <xdr:col>10</xdr:col>
      <xdr:colOff>123825</xdr:colOff>
      <xdr:row>38</xdr:row>
      <xdr:rowOff>114300</xdr:rowOff>
    </xdr:to>
    <xdr:sp macro="" textlink="">
      <xdr:nvSpPr>
        <xdr:cNvPr id="4" name="正方形/長方形 3">
          <a:extLst>
            <a:ext uri="{FF2B5EF4-FFF2-40B4-BE49-F238E27FC236}">
              <a16:creationId xmlns:a16="http://schemas.microsoft.com/office/drawing/2014/main" id="{00000000-0008-0000-0B00-000004000000}"/>
            </a:ext>
          </a:extLst>
        </xdr:cNvPr>
        <xdr:cNvSpPr/>
      </xdr:nvSpPr>
      <xdr:spPr bwMode="auto">
        <a:xfrm>
          <a:off x="571500" y="7048500"/>
          <a:ext cx="981075" cy="304800"/>
        </a:xfrm>
        <a:prstGeom prst="rect">
          <a:avLst/>
        </a:prstGeom>
        <a:solidFill>
          <a:sysClr val="window" lastClr="FFFFFF"/>
        </a:solidFill>
        <a:ln w="9525" cap="flat" cmpd="sng" algn="ctr">
          <a:solidFill>
            <a:srgbClr val="000000"/>
          </a:solidFill>
          <a:prstDash val="dash"/>
          <a:round/>
          <a:headEnd type="none" w="med" len="med"/>
          <a:tailEnd type="none" w="med" len="med"/>
        </a:ln>
        <a:effectLst/>
      </xdr:spPr>
      <xdr:txBody>
        <a:bodyPr vertOverflow="clip" wrap="square" lIns="18288" tIns="0" rIns="0" bIns="0" rtlCol="0" anchor="ctr" upright="1"/>
        <a:lstStyle/>
        <a:p>
          <a:pPr algn="l"/>
          <a:r>
            <a:rPr kumimoji="1" lang="ja-JP" altLang="en-US" sz="1100"/>
            <a:t>テーブル１</a:t>
          </a:r>
        </a:p>
      </xdr:txBody>
    </xdr:sp>
    <xdr:clientData/>
  </xdr:twoCellAnchor>
  <xdr:twoCellAnchor>
    <xdr:from>
      <xdr:col>7</xdr:col>
      <xdr:colOff>0</xdr:colOff>
      <xdr:row>38</xdr:row>
      <xdr:rowOff>28575</xdr:rowOff>
    </xdr:from>
    <xdr:to>
      <xdr:col>13</xdr:col>
      <xdr:colOff>123825</xdr:colOff>
      <xdr:row>39</xdr:row>
      <xdr:rowOff>142875</xdr:rowOff>
    </xdr:to>
    <xdr:sp macro="" textlink="">
      <xdr:nvSpPr>
        <xdr:cNvPr id="5" name="正方形/長方形 4">
          <a:extLst>
            <a:ext uri="{FF2B5EF4-FFF2-40B4-BE49-F238E27FC236}">
              <a16:creationId xmlns:a16="http://schemas.microsoft.com/office/drawing/2014/main" id="{00000000-0008-0000-0B00-000005000000}"/>
            </a:ext>
          </a:extLst>
        </xdr:cNvPr>
        <xdr:cNvSpPr/>
      </xdr:nvSpPr>
      <xdr:spPr bwMode="auto">
        <a:xfrm>
          <a:off x="1000125" y="7267575"/>
          <a:ext cx="981075" cy="304800"/>
        </a:xfrm>
        <a:prstGeom prst="rect">
          <a:avLst/>
        </a:prstGeom>
        <a:solidFill>
          <a:sysClr val="window" lastClr="FFFFFF"/>
        </a:solidFill>
        <a:ln w="9525" cap="flat" cmpd="sng" algn="ctr">
          <a:solidFill>
            <a:srgbClr val="000000"/>
          </a:solidFill>
          <a:prstDash val="dash"/>
          <a:round/>
          <a:headEnd type="none" w="med" len="med"/>
          <a:tailEnd type="none" w="med" len="med"/>
        </a:ln>
        <a:effectLst/>
      </xdr:spPr>
      <xdr:txBody>
        <a:bodyPr vertOverflow="clip" wrap="square" lIns="18288" tIns="0" rIns="0" bIns="0" rtlCol="0" anchor="ctr" upright="1"/>
        <a:lstStyle/>
        <a:p>
          <a:pPr algn="l"/>
          <a:r>
            <a:rPr kumimoji="1" lang="ja-JP" altLang="en-US" sz="1100"/>
            <a:t>テーブル２</a:t>
          </a:r>
        </a:p>
      </xdr:txBody>
    </xdr:sp>
    <xdr:clientData/>
  </xdr:twoCellAnchor>
  <xdr:twoCellAnchor>
    <xdr:from>
      <xdr:col>9</xdr:col>
      <xdr:colOff>114300</xdr:colOff>
      <xdr:row>39</xdr:row>
      <xdr:rowOff>66675</xdr:rowOff>
    </xdr:from>
    <xdr:to>
      <xdr:col>16</xdr:col>
      <xdr:colOff>95250</xdr:colOff>
      <xdr:row>40</xdr:row>
      <xdr:rowOff>180975</xdr:rowOff>
    </xdr:to>
    <xdr:sp macro="" textlink="">
      <xdr:nvSpPr>
        <xdr:cNvPr id="6" name="正方形/長方形 5">
          <a:extLst>
            <a:ext uri="{FF2B5EF4-FFF2-40B4-BE49-F238E27FC236}">
              <a16:creationId xmlns:a16="http://schemas.microsoft.com/office/drawing/2014/main" id="{00000000-0008-0000-0B00-000006000000}"/>
            </a:ext>
          </a:extLst>
        </xdr:cNvPr>
        <xdr:cNvSpPr/>
      </xdr:nvSpPr>
      <xdr:spPr bwMode="auto">
        <a:xfrm>
          <a:off x="1400175" y="7496175"/>
          <a:ext cx="981075" cy="304800"/>
        </a:xfrm>
        <a:prstGeom prst="rect">
          <a:avLst/>
        </a:prstGeom>
        <a:solidFill>
          <a:sysClr val="window" lastClr="FFFFFF"/>
        </a:solidFill>
        <a:ln w="9525" cap="flat" cmpd="sng" algn="ctr">
          <a:solidFill>
            <a:srgbClr val="000000"/>
          </a:solidFill>
          <a:prstDash val="dash"/>
          <a:round/>
          <a:headEnd type="none" w="med" len="med"/>
          <a:tailEnd type="none" w="med" len="med"/>
        </a:ln>
        <a:effectLst/>
      </xdr:spPr>
      <xdr:txBody>
        <a:bodyPr vertOverflow="clip" wrap="square" lIns="18288" tIns="0" rIns="0" bIns="0" rtlCol="0" anchor="ctr" upright="1"/>
        <a:lstStyle/>
        <a:p>
          <a:pPr algn="l"/>
          <a:r>
            <a:rPr kumimoji="1" lang="ja-JP" altLang="en-US" sz="1100"/>
            <a:t>テーブル３</a:t>
          </a:r>
        </a:p>
      </xdr:txBody>
    </xdr:sp>
    <xdr:clientData/>
  </xdr:twoCellAnchor>
  <xdr:twoCellAnchor>
    <xdr:from>
      <xdr:col>28</xdr:col>
      <xdr:colOff>100853</xdr:colOff>
      <xdr:row>22</xdr:row>
      <xdr:rowOff>28574</xdr:rowOff>
    </xdr:from>
    <xdr:to>
      <xdr:col>49</xdr:col>
      <xdr:colOff>95251</xdr:colOff>
      <xdr:row>30</xdr:row>
      <xdr:rowOff>38099</xdr:rowOff>
    </xdr:to>
    <xdr:sp macro="" textlink="">
      <xdr:nvSpPr>
        <xdr:cNvPr id="7" name="円柱 6">
          <a:extLst>
            <a:ext uri="{FF2B5EF4-FFF2-40B4-BE49-F238E27FC236}">
              <a16:creationId xmlns:a16="http://schemas.microsoft.com/office/drawing/2014/main" id="{00000000-0008-0000-0B00-000007000000}"/>
            </a:ext>
          </a:extLst>
        </xdr:cNvPr>
        <xdr:cNvSpPr/>
      </xdr:nvSpPr>
      <xdr:spPr bwMode="auto">
        <a:xfrm>
          <a:off x="4101353" y="4219574"/>
          <a:ext cx="2994773" cy="1533525"/>
        </a:xfrm>
        <a:prstGeom prst="can">
          <a:avLst>
            <a:gd name="adj" fmla="val 17188"/>
          </a:avLst>
        </a:prstGeom>
        <a:solidFill>
          <a:sysClr val="window" lastClr="FFFFFF"/>
        </a:solidFill>
        <a:ln w="9525" cap="flat" cmpd="sng" algn="ctr">
          <a:solidFill>
            <a:srgbClr val="000000"/>
          </a:solidFill>
          <a:prstDash val="solid"/>
          <a:round/>
          <a:headEnd type="none" w="med" len="med"/>
          <a:tailEnd type="none" w="med" len="med"/>
        </a:ln>
        <a:effectLst/>
      </xdr:spPr>
      <xdr:txBody>
        <a:bodyPr vertOverflow="clip" wrap="square" lIns="108000" tIns="72000" rIns="0" bIns="0" rtlCol="0" anchor="t" upright="1"/>
        <a:lstStyle/>
        <a:p>
          <a:pPr algn="ctr"/>
          <a:r>
            <a:rPr kumimoji="1" lang="ja-JP" altLang="en-US" sz="900">
              <a:latin typeface="ＭＳ ゴシック" panose="020B0609070205080204" pitchFamily="49" charset="-128"/>
              <a:ea typeface="ＭＳ ゴシック" panose="020B0609070205080204" pitchFamily="49" charset="-128"/>
            </a:rPr>
            <a:t>ﾃﾞｰﾀﾍﾞｰｽ</a:t>
          </a:r>
          <a:r>
            <a:rPr kumimoji="1" lang="en-US" altLang="ja-JP" sz="900">
              <a:latin typeface="ＭＳ ゴシック" panose="020B0609070205080204" pitchFamily="49" charset="-128"/>
              <a:ea typeface="ＭＳ ゴシック" panose="020B0609070205080204" pitchFamily="49" charset="-128"/>
            </a:rPr>
            <a:t>(PostgreSQL)</a:t>
          </a:r>
          <a:endParaRPr lang="en-US" altLang="ja-JP" sz="1100">
            <a:effectLst/>
            <a:latin typeface="+mn-lt"/>
            <a:ea typeface="+mn-ea"/>
            <a:cs typeface="+mn-cs"/>
          </a:endParaRPr>
        </a:p>
      </xdr:txBody>
    </xdr:sp>
    <xdr:clientData/>
  </xdr:twoCellAnchor>
  <xdr:twoCellAnchor>
    <xdr:from>
      <xdr:col>11</xdr:col>
      <xdr:colOff>105336</xdr:colOff>
      <xdr:row>22</xdr:row>
      <xdr:rowOff>95250</xdr:rowOff>
    </xdr:from>
    <xdr:to>
      <xdr:col>25</xdr:col>
      <xdr:colOff>83485</xdr:colOff>
      <xdr:row>29</xdr:row>
      <xdr:rowOff>57150</xdr:rowOff>
    </xdr:to>
    <xdr:sp macro="" textlink="">
      <xdr:nvSpPr>
        <xdr:cNvPr id="8" name="AutoShape 4" descr="30%">
          <a:extLst>
            <a:ext uri="{FF2B5EF4-FFF2-40B4-BE49-F238E27FC236}">
              <a16:creationId xmlns:a16="http://schemas.microsoft.com/office/drawing/2014/main" id="{00000000-0008-0000-0B00-000008000000}"/>
            </a:ext>
          </a:extLst>
        </xdr:cNvPr>
        <xdr:cNvSpPr>
          <a:spLocks noChangeArrowheads="1"/>
        </xdr:cNvSpPr>
      </xdr:nvSpPr>
      <xdr:spPr bwMode="auto">
        <a:xfrm>
          <a:off x="1676961" y="4286250"/>
          <a:ext cx="1978399" cy="1295400"/>
        </a:xfrm>
        <a:prstGeom prst="roundRect">
          <a:avLst>
            <a:gd name="adj" fmla="val 954"/>
          </a:avLst>
        </a:prstGeom>
        <a:pattFill prst="pct30">
          <a:fgClr>
            <a:srgbClr val="CCFFCC"/>
          </a:fgClr>
          <a:bgClr>
            <a:srgbClr val="FFFFFF"/>
          </a:bgClr>
        </a:pattFill>
        <a:ln w="9525">
          <a:solidFill>
            <a:srgbClr val="000000"/>
          </a:solidFill>
          <a:round/>
          <a:headEnd/>
          <a:tailEnd/>
        </a:ln>
      </xdr:spPr>
      <xdr:txBody>
        <a:bodyPr vertOverflow="clip" wrap="square" lIns="27432" tIns="18288" rIns="27432" bIns="0" anchor="t" upright="1"/>
        <a:lstStyle/>
        <a:p>
          <a:pPr algn="ctr" rtl="0">
            <a:lnSpc>
              <a:spcPts val="1100"/>
            </a:lnSpc>
            <a:defRPr sz="1000"/>
          </a:pPr>
          <a:r>
            <a:rPr lang="en-US" altLang="ja-JP" sz="900" b="0" i="0" u="none" strike="noStrike" baseline="0">
              <a:solidFill>
                <a:srgbClr val="000000"/>
              </a:solidFill>
              <a:latin typeface="ＭＳ 明朝"/>
              <a:ea typeface="ＭＳ 明朝"/>
            </a:rPr>
            <a:t>CSV</a:t>
          </a:r>
          <a:r>
            <a:rPr lang="ja-JP" altLang="en-US" sz="900" b="0" i="0" u="none" strike="noStrike" baseline="0">
              <a:solidFill>
                <a:srgbClr val="000000"/>
              </a:solidFill>
              <a:latin typeface="ＭＳ 明朝"/>
              <a:ea typeface="ＭＳ 明朝"/>
            </a:rPr>
            <a:t>格納領域</a:t>
          </a:r>
        </a:p>
        <a:p>
          <a:pPr algn="ctr" rtl="0">
            <a:lnSpc>
              <a:spcPts val="1000"/>
            </a:lnSpc>
            <a:defRPr sz="1000"/>
          </a:pPr>
          <a:r>
            <a:rPr lang="en-US" altLang="ja-JP" sz="900" b="0" i="0" u="none" strike="noStrike" baseline="0">
              <a:solidFill>
                <a:srgbClr val="000000"/>
              </a:solidFill>
              <a:latin typeface="ＭＳ 明朝"/>
              <a:ea typeface="ＭＳ 明朝"/>
            </a:rPr>
            <a:t>(C:\togodata\)</a:t>
          </a:r>
        </a:p>
      </xdr:txBody>
    </xdr:sp>
    <xdr:clientData/>
  </xdr:twoCellAnchor>
  <xdr:twoCellAnchor>
    <xdr:from>
      <xdr:col>11</xdr:col>
      <xdr:colOff>111500</xdr:colOff>
      <xdr:row>16</xdr:row>
      <xdr:rowOff>179294</xdr:rowOff>
    </xdr:from>
    <xdr:to>
      <xdr:col>25</xdr:col>
      <xdr:colOff>89649</xdr:colOff>
      <xdr:row>21</xdr:row>
      <xdr:rowOff>122704</xdr:rowOff>
    </xdr:to>
    <xdr:sp macro="" textlink="">
      <xdr:nvSpPr>
        <xdr:cNvPr id="9" name="AutoShape 4" descr="30%">
          <a:extLst>
            <a:ext uri="{FF2B5EF4-FFF2-40B4-BE49-F238E27FC236}">
              <a16:creationId xmlns:a16="http://schemas.microsoft.com/office/drawing/2014/main" id="{00000000-0008-0000-0B00-000009000000}"/>
            </a:ext>
          </a:extLst>
        </xdr:cNvPr>
        <xdr:cNvSpPr>
          <a:spLocks noChangeArrowheads="1"/>
        </xdr:cNvSpPr>
      </xdr:nvSpPr>
      <xdr:spPr bwMode="auto">
        <a:xfrm>
          <a:off x="1683125" y="3227294"/>
          <a:ext cx="1978399" cy="895910"/>
        </a:xfrm>
        <a:prstGeom prst="roundRect">
          <a:avLst>
            <a:gd name="adj" fmla="val 954"/>
          </a:avLst>
        </a:prstGeom>
        <a:solidFill>
          <a:sysClr val="window" lastClr="FFFFFF"/>
        </a:solidFill>
        <a:ln w="9525">
          <a:solidFill>
            <a:srgbClr val="000000"/>
          </a:solidFill>
          <a:round/>
          <a:headEnd/>
          <a:tailEnd/>
        </a:ln>
      </xdr:spPr>
      <xdr:txBody>
        <a:bodyPr vertOverflow="clip" wrap="square" lIns="27432" tIns="18288" rIns="27432" bIns="0" anchor="t" upright="1"/>
        <a:lstStyle/>
        <a:p>
          <a:pPr algn="ctr" rtl="0">
            <a:lnSpc>
              <a:spcPts val="1100"/>
            </a:lnSpc>
            <a:defRPr sz="1000"/>
          </a:pPr>
          <a:r>
            <a:rPr lang="ja-JP" altLang="en-US" sz="900" b="0" i="0" u="none" strike="noStrike" baseline="0">
              <a:solidFill>
                <a:srgbClr val="000000"/>
              </a:solidFill>
              <a:latin typeface="ＭＳ 明朝"/>
              <a:ea typeface="ＭＳ 明朝"/>
            </a:rPr>
            <a:t>ログ格納領域</a:t>
          </a:r>
        </a:p>
        <a:p>
          <a:pPr algn="ctr" rtl="0">
            <a:lnSpc>
              <a:spcPts val="1000"/>
            </a:lnSpc>
            <a:defRPr sz="1000"/>
          </a:pPr>
          <a:r>
            <a:rPr lang="en-US" altLang="ja-JP" sz="900" b="0" i="0" u="none" strike="noStrike" baseline="0">
              <a:solidFill>
                <a:srgbClr val="000000"/>
              </a:solidFill>
              <a:latin typeface="ＭＳ 明朝"/>
              <a:ea typeface="ＭＳ 明朝"/>
            </a:rPr>
            <a:t>(C:\togodata\logs)</a:t>
          </a:r>
        </a:p>
      </xdr:txBody>
    </xdr:sp>
    <xdr:clientData/>
  </xdr:twoCellAnchor>
  <xdr:twoCellAnchor>
    <xdr:from>
      <xdr:col>6</xdr:col>
      <xdr:colOff>123265</xdr:colOff>
      <xdr:row>16</xdr:row>
      <xdr:rowOff>156893</xdr:rowOff>
    </xdr:from>
    <xdr:to>
      <xdr:col>6</xdr:col>
      <xdr:colOff>123265</xdr:colOff>
      <xdr:row>36</xdr:row>
      <xdr:rowOff>29393</xdr:rowOff>
    </xdr:to>
    <xdr:cxnSp macro="">
      <xdr:nvCxnSpPr>
        <xdr:cNvPr id="10" name="直線矢印コネクタ 9">
          <a:extLst>
            <a:ext uri="{FF2B5EF4-FFF2-40B4-BE49-F238E27FC236}">
              <a16:creationId xmlns:a16="http://schemas.microsoft.com/office/drawing/2014/main" id="{00000000-0008-0000-0B00-00000A000000}"/>
            </a:ext>
          </a:extLst>
        </xdr:cNvPr>
        <xdr:cNvCxnSpPr/>
      </xdr:nvCxnSpPr>
      <xdr:spPr bwMode="auto">
        <a:xfrm>
          <a:off x="980515" y="3204893"/>
          <a:ext cx="0" cy="3682500"/>
        </a:xfrm>
        <a:prstGeom prst="straightConnector1">
          <a:avLst/>
        </a:prstGeom>
        <a:solidFill>
          <a:srgbClr val="FFFFFF"/>
        </a:solidFill>
        <a:ln w="28575" cap="flat" cmpd="sng" algn="ctr">
          <a:solidFill>
            <a:srgbClr val="FF0000"/>
          </a:solidFill>
          <a:prstDash val="solid"/>
          <a:round/>
          <a:headEnd type="none" w="med" len="med"/>
          <a:tailEnd type="none" w="med" len="med"/>
        </a:ln>
        <a:effectLst/>
      </xdr:spPr>
    </xdr:cxnSp>
    <xdr:clientData/>
  </xdr:twoCellAnchor>
  <xdr:twoCellAnchor>
    <xdr:from>
      <xdr:col>6</xdr:col>
      <xdr:colOff>123264</xdr:colOff>
      <xdr:row>28</xdr:row>
      <xdr:rowOff>33618</xdr:rowOff>
    </xdr:from>
    <xdr:to>
      <xdr:col>14</xdr:col>
      <xdr:colOff>11205</xdr:colOff>
      <xdr:row>36</xdr:row>
      <xdr:rowOff>33618</xdr:rowOff>
    </xdr:to>
    <xdr:cxnSp macro="">
      <xdr:nvCxnSpPr>
        <xdr:cNvPr id="11" name="直線矢印コネクタ 10">
          <a:extLst>
            <a:ext uri="{FF2B5EF4-FFF2-40B4-BE49-F238E27FC236}">
              <a16:creationId xmlns:a16="http://schemas.microsoft.com/office/drawing/2014/main" id="{00000000-0008-0000-0B00-00000B000000}"/>
            </a:ext>
          </a:extLst>
        </xdr:cNvPr>
        <xdr:cNvCxnSpPr/>
      </xdr:nvCxnSpPr>
      <xdr:spPr bwMode="auto">
        <a:xfrm flipV="1">
          <a:off x="980514" y="5367618"/>
          <a:ext cx="1030941" cy="1524000"/>
        </a:xfrm>
        <a:prstGeom prst="straightConnector1">
          <a:avLst/>
        </a:prstGeom>
        <a:solidFill>
          <a:srgbClr val="FFFFFF"/>
        </a:solidFill>
        <a:ln w="28575" cap="flat" cmpd="sng" algn="ctr">
          <a:solidFill>
            <a:srgbClr val="FF0000"/>
          </a:solidFill>
          <a:prstDash val="solid"/>
          <a:round/>
          <a:headEnd type="none" w="med" len="med"/>
          <a:tailEnd type="triangle"/>
        </a:ln>
        <a:effectLst/>
      </xdr:spPr>
    </xdr:cxnSp>
    <xdr:clientData/>
  </xdr:twoCellAnchor>
  <xdr:twoCellAnchor>
    <xdr:from>
      <xdr:col>12</xdr:col>
      <xdr:colOff>112059</xdr:colOff>
      <xdr:row>24</xdr:row>
      <xdr:rowOff>78441</xdr:rowOff>
    </xdr:from>
    <xdr:to>
      <xdr:col>19</xdr:col>
      <xdr:colOff>78442</xdr:colOff>
      <xdr:row>26</xdr:row>
      <xdr:rowOff>156882</xdr:rowOff>
    </xdr:to>
    <xdr:sp macro="" textlink="">
      <xdr:nvSpPr>
        <xdr:cNvPr id="12" name="AutoShape 6">
          <a:extLst>
            <a:ext uri="{FF2B5EF4-FFF2-40B4-BE49-F238E27FC236}">
              <a16:creationId xmlns:a16="http://schemas.microsoft.com/office/drawing/2014/main" id="{00000000-0008-0000-0B00-00000C000000}"/>
            </a:ext>
          </a:extLst>
        </xdr:cNvPr>
        <xdr:cNvSpPr>
          <a:spLocks noChangeArrowheads="1"/>
        </xdr:cNvSpPr>
      </xdr:nvSpPr>
      <xdr:spPr bwMode="auto">
        <a:xfrm>
          <a:off x="1826559" y="4650441"/>
          <a:ext cx="966508" cy="459441"/>
        </a:xfrm>
        <a:prstGeom prst="foldedCorner">
          <a:avLst>
            <a:gd name="adj" fmla="val 34375"/>
          </a:avLst>
        </a:prstGeom>
        <a:solidFill>
          <a:srgbClr val="FFFFFF"/>
        </a:solidFill>
        <a:ln w="9525">
          <a:solidFill>
            <a:srgbClr val="000000"/>
          </a:solidFill>
          <a:round/>
          <a:headEnd/>
          <a:tailEnd/>
        </a:ln>
      </xdr:spPr>
      <xdr:txBody>
        <a:bodyPr/>
        <a:lstStyle/>
        <a:p>
          <a:r>
            <a:rPr lang="ja-JP" altLang="en-US" sz="1000"/>
            <a:t>テーブル１</a:t>
          </a:r>
          <a:r>
            <a:rPr lang="en-US" altLang="ja-JP" sz="1000"/>
            <a:t>.CSV</a:t>
          </a:r>
          <a:endParaRPr lang="ja-JP" altLang="en-US" sz="1000"/>
        </a:p>
      </xdr:txBody>
    </xdr:sp>
    <xdr:clientData/>
  </xdr:twoCellAnchor>
  <xdr:twoCellAnchor>
    <xdr:from>
      <xdr:col>13</xdr:col>
      <xdr:colOff>118783</xdr:colOff>
      <xdr:row>25</xdr:row>
      <xdr:rowOff>40341</xdr:rowOff>
    </xdr:from>
    <xdr:to>
      <xdr:col>20</xdr:col>
      <xdr:colOff>85166</xdr:colOff>
      <xdr:row>27</xdr:row>
      <xdr:rowOff>118782</xdr:rowOff>
    </xdr:to>
    <xdr:sp macro="" textlink="">
      <xdr:nvSpPr>
        <xdr:cNvPr id="13" name="AutoShape 6">
          <a:extLst>
            <a:ext uri="{FF2B5EF4-FFF2-40B4-BE49-F238E27FC236}">
              <a16:creationId xmlns:a16="http://schemas.microsoft.com/office/drawing/2014/main" id="{00000000-0008-0000-0B00-00000D000000}"/>
            </a:ext>
          </a:extLst>
        </xdr:cNvPr>
        <xdr:cNvSpPr>
          <a:spLocks noChangeArrowheads="1"/>
        </xdr:cNvSpPr>
      </xdr:nvSpPr>
      <xdr:spPr bwMode="auto">
        <a:xfrm>
          <a:off x="1976158" y="4802841"/>
          <a:ext cx="966508" cy="459441"/>
        </a:xfrm>
        <a:prstGeom prst="foldedCorner">
          <a:avLst>
            <a:gd name="adj" fmla="val 34375"/>
          </a:avLst>
        </a:prstGeom>
        <a:solidFill>
          <a:srgbClr val="FFFFFF"/>
        </a:solidFill>
        <a:ln w="9525">
          <a:solidFill>
            <a:srgbClr val="000000"/>
          </a:solidFill>
          <a:round/>
          <a:headEnd/>
          <a:tailEnd/>
        </a:ln>
      </xdr:spPr>
      <xdr:txBody>
        <a:bodyPr/>
        <a:lstStyle/>
        <a:p>
          <a:r>
            <a:rPr lang="ja-JP" altLang="en-US" sz="1000"/>
            <a:t>テーブル２</a:t>
          </a:r>
          <a:r>
            <a:rPr lang="en-US" altLang="ja-JP" sz="1000"/>
            <a:t>.CSV</a:t>
          </a:r>
          <a:endParaRPr lang="ja-JP" altLang="en-US" sz="1000"/>
        </a:p>
      </xdr:txBody>
    </xdr:sp>
    <xdr:clientData/>
  </xdr:twoCellAnchor>
  <xdr:twoCellAnchor>
    <xdr:from>
      <xdr:col>14</xdr:col>
      <xdr:colOff>125506</xdr:colOff>
      <xdr:row>26</xdr:row>
      <xdr:rowOff>2241</xdr:rowOff>
    </xdr:from>
    <xdr:to>
      <xdr:col>21</xdr:col>
      <xdr:colOff>91889</xdr:colOff>
      <xdr:row>28</xdr:row>
      <xdr:rowOff>80682</xdr:rowOff>
    </xdr:to>
    <xdr:sp macro="" textlink="">
      <xdr:nvSpPr>
        <xdr:cNvPr id="14" name="AutoShape 6">
          <a:extLst>
            <a:ext uri="{FF2B5EF4-FFF2-40B4-BE49-F238E27FC236}">
              <a16:creationId xmlns:a16="http://schemas.microsoft.com/office/drawing/2014/main" id="{00000000-0008-0000-0B00-00000E000000}"/>
            </a:ext>
          </a:extLst>
        </xdr:cNvPr>
        <xdr:cNvSpPr>
          <a:spLocks noChangeArrowheads="1"/>
        </xdr:cNvSpPr>
      </xdr:nvSpPr>
      <xdr:spPr bwMode="auto">
        <a:xfrm>
          <a:off x="2125756" y="4955241"/>
          <a:ext cx="966508" cy="459441"/>
        </a:xfrm>
        <a:prstGeom prst="foldedCorner">
          <a:avLst>
            <a:gd name="adj" fmla="val 34375"/>
          </a:avLst>
        </a:prstGeom>
        <a:solidFill>
          <a:srgbClr val="FFFFFF"/>
        </a:solidFill>
        <a:ln w="9525">
          <a:solidFill>
            <a:srgbClr val="000000"/>
          </a:solidFill>
          <a:round/>
          <a:headEnd/>
          <a:tailEnd/>
        </a:ln>
      </xdr:spPr>
      <xdr:txBody>
        <a:bodyPr/>
        <a:lstStyle/>
        <a:p>
          <a:r>
            <a:rPr lang="ja-JP" altLang="en-US" sz="1000"/>
            <a:t>テーブル３</a:t>
          </a:r>
          <a:r>
            <a:rPr lang="en-US" altLang="ja-JP" sz="1000"/>
            <a:t>.CSV</a:t>
          </a:r>
          <a:endParaRPr lang="ja-JP" altLang="en-US" sz="1000"/>
        </a:p>
      </xdr:txBody>
    </xdr:sp>
    <xdr:clientData/>
  </xdr:twoCellAnchor>
  <xdr:twoCellAnchor>
    <xdr:from>
      <xdr:col>8</xdr:col>
      <xdr:colOff>56030</xdr:colOff>
      <xdr:row>20</xdr:row>
      <xdr:rowOff>11206</xdr:rowOff>
    </xdr:from>
    <xdr:to>
      <xdr:col>13</xdr:col>
      <xdr:colOff>47648</xdr:colOff>
      <xdr:row>20</xdr:row>
      <xdr:rowOff>11206</xdr:rowOff>
    </xdr:to>
    <xdr:cxnSp macro="">
      <xdr:nvCxnSpPr>
        <xdr:cNvPr id="15" name="直線矢印コネクタ 14">
          <a:extLst>
            <a:ext uri="{FF2B5EF4-FFF2-40B4-BE49-F238E27FC236}">
              <a16:creationId xmlns:a16="http://schemas.microsoft.com/office/drawing/2014/main" id="{00000000-0008-0000-0B00-00000F000000}"/>
            </a:ext>
          </a:extLst>
        </xdr:cNvPr>
        <xdr:cNvCxnSpPr/>
      </xdr:nvCxnSpPr>
      <xdr:spPr bwMode="auto">
        <a:xfrm>
          <a:off x="1199030" y="3821206"/>
          <a:ext cx="705993" cy="0"/>
        </a:xfrm>
        <a:prstGeom prst="straightConnector1">
          <a:avLst/>
        </a:prstGeom>
        <a:solidFill>
          <a:srgbClr val="FFFFFF"/>
        </a:solidFill>
        <a:ln w="28575" cap="flat" cmpd="sng" algn="ctr">
          <a:solidFill>
            <a:srgbClr val="00B050"/>
          </a:solidFill>
          <a:prstDash val="solid"/>
          <a:round/>
          <a:headEnd type="none" w="med" len="med"/>
          <a:tailEnd type="triangle"/>
        </a:ln>
        <a:effectLst/>
      </xdr:spPr>
    </xdr:cxnSp>
    <xdr:clientData/>
  </xdr:twoCellAnchor>
  <xdr:twoCellAnchor>
    <xdr:from>
      <xdr:col>13</xdr:col>
      <xdr:colOff>78442</xdr:colOff>
      <xdr:row>19</xdr:row>
      <xdr:rowOff>33616</xdr:rowOff>
    </xdr:from>
    <xdr:to>
      <xdr:col>20</xdr:col>
      <xdr:colOff>89648</xdr:colOff>
      <xdr:row>21</xdr:row>
      <xdr:rowOff>22411</xdr:rowOff>
    </xdr:to>
    <xdr:sp macro="" textlink="">
      <xdr:nvSpPr>
        <xdr:cNvPr id="16" name="AutoShape 6">
          <a:extLst>
            <a:ext uri="{FF2B5EF4-FFF2-40B4-BE49-F238E27FC236}">
              <a16:creationId xmlns:a16="http://schemas.microsoft.com/office/drawing/2014/main" id="{00000000-0008-0000-0B00-000010000000}"/>
            </a:ext>
          </a:extLst>
        </xdr:cNvPr>
        <xdr:cNvSpPr>
          <a:spLocks noChangeArrowheads="1"/>
        </xdr:cNvSpPr>
      </xdr:nvSpPr>
      <xdr:spPr bwMode="auto">
        <a:xfrm>
          <a:off x="1935817" y="3653116"/>
          <a:ext cx="1011331" cy="369795"/>
        </a:xfrm>
        <a:prstGeom prst="foldedCorner">
          <a:avLst>
            <a:gd name="adj" fmla="val 34375"/>
          </a:avLst>
        </a:prstGeom>
        <a:solidFill>
          <a:srgbClr val="FFFFFF"/>
        </a:solidFill>
        <a:ln w="9525">
          <a:solidFill>
            <a:srgbClr val="000000"/>
          </a:solidFill>
          <a:round/>
          <a:headEnd/>
          <a:tailEnd/>
        </a:ln>
      </xdr:spPr>
      <xdr:txBody>
        <a:bodyPr/>
        <a:lstStyle/>
        <a:p>
          <a:r>
            <a:rPr lang="en-US" altLang="ja-JP" sz="1000"/>
            <a:t>dataLoad_yyyymmdd.log</a:t>
          </a:r>
          <a:endParaRPr lang="ja-JP" altLang="en-US" sz="1000"/>
        </a:p>
      </xdr:txBody>
    </xdr:sp>
    <xdr:clientData/>
  </xdr:twoCellAnchor>
  <xdr:twoCellAnchor>
    <xdr:from>
      <xdr:col>21</xdr:col>
      <xdr:colOff>67235</xdr:colOff>
      <xdr:row>25</xdr:row>
      <xdr:rowOff>134470</xdr:rowOff>
    </xdr:from>
    <xdr:to>
      <xdr:col>32</xdr:col>
      <xdr:colOff>84794</xdr:colOff>
      <xdr:row>25</xdr:row>
      <xdr:rowOff>134470</xdr:rowOff>
    </xdr:to>
    <xdr:cxnSp macro="">
      <xdr:nvCxnSpPr>
        <xdr:cNvPr id="17" name="直線矢印コネクタ 16">
          <a:extLst>
            <a:ext uri="{FF2B5EF4-FFF2-40B4-BE49-F238E27FC236}">
              <a16:creationId xmlns:a16="http://schemas.microsoft.com/office/drawing/2014/main" id="{00000000-0008-0000-0B00-000011000000}"/>
            </a:ext>
          </a:extLst>
        </xdr:cNvPr>
        <xdr:cNvCxnSpPr/>
      </xdr:nvCxnSpPr>
      <xdr:spPr bwMode="auto">
        <a:xfrm>
          <a:off x="3067610" y="4896970"/>
          <a:ext cx="1589184" cy="0"/>
        </a:xfrm>
        <a:prstGeom prst="straightConnector1">
          <a:avLst/>
        </a:prstGeom>
        <a:solidFill>
          <a:srgbClr val="FFFFFF"/>
        </a:solidFill>
        <a:ln w="28575" cap="flat" cmpd="sng" algn="ctr">
          <a:solidFill>
            <a:srgbClr val="0000FF"/>
          </a:solidFill>
          <a:prstDash val="solid"/>
          <a:round/>
          <a:headEnd type="none" w="med" len="med"/>
          <a:tailEnd type="triangle"/>
        </a:ln>
        <a:effectLst/>
      </xdr:spPr>
    </xdr:cxnSp>
    <xdr:clientData/>
  </xdr:twoCellAnchor>
  <xdr:twoCellAnchor>
    <xdr:from>
      <xdr:col>33</xdr:col>
      <xdr:colOff>22417</xdr:colOff>
      <xdr:row>25</xdr:row>
      <xdr:rowOff>89647</xdr:rowOff>
    </xdr:from>
    <xdr:to>
      <xdr:col>40</xdr:col>
      <xdr:colOff>82682</xdr:colOff>
      <xdr:row>27</xdr:row>
      <xdr:rowOff>13447</xdr:rowOff>
    </xdr:to>
    <xdr:sp macro="" textlink="">
      <xdr:nvSpPr>
        <xdr:cNvPr id="18" name="正方形/長方形 17">
          <a:extLst>
            <a:ext uri="{FF2B5EF4-FFF2-40B4-BE49-F238E27FC236}">
              <a16:creationId xmlns:a16="http://schemas.microsoft.com/office/drawing/2014/main" id="{00000000-0008-0000-0B00-000012000000}"/>
            </a:ext>
          </a:extLst>
        </xdr:cNvPr>
        <xdr:cNvSpPr/>
      </xdr:nvSpPr>
      <xdr:spPr bwMode="auto">
        <a:xfrm>
          <a:off x="4737292" y="4852147"/>
          <a:ext cx="1060390" cy="3048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テーブル１</a:t>
          </a:r>
        </a:p>
      </xdr:txBody>
    </xdr:sp>
    <xdr:clientData/>
  </xdr:twoCellAnchor>
  <xdr:twoCellAnchor>
    <xdr:from>
      <xdr:col>34</xdr:col>
      <xdr:colOff>29141</xdr:colOff>
      <xdr:row>26</xdr:row>
      <xdr:rowOff>51547</xdr:rowOff>
    </xdr:from>
    <xdr:to>
      <xdr:col>41</xdr:col>
      <xdr:colOff>89406</xdr:colOff>
      <xdr:row>27</xdr:row>
      <xdr:rowOff>165847</xdr:rowOff>
    </xdr:to>
    <xdr:sp macro="" textlink="">
      <xdr:nvSpPr>
        <xdr:cNvPr id="19" name="正方形/長方形 18">
          <a:extLst>
            <a:ext uri="{FF2B5EF4-FFF2-40B4-BE49-F238E27FC236}">
              <a16:creationId xmlns:a16="http://schemas.microsoft.com/office/drawing/2014/main" id="{00000000-0008-0000-0B00-000013000000}"/>
            </a:ext>
          </a:extLst>
        </xdr:cNvPr>
        <xdr:cNvSpPr/>
      </xdr:nvSpPr>
      <xdr:spPr bwMode="auto">
        <a:xfrm>
          <a:off x="4886891" y="5004547"/>
          <a:ext cx="1060390" cy="3048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テーブル２</a:t>
          </a:r>
        </a:p>
      </xdr:txBody>
    </xdr:sp>
    <xdr:clientData/>
  </xdr:twoCellAnchor>
  <xdr:twoCellAnchor>
    <xdr:from>
      <xdr:col>35</xdr:col>
      <xdr:colOff>35865</xdr:colOff>
      <xdr:row>27</xdr:row>
      <xdr:rowOff>13447</xdr:rowOff>
    </xdr:from>
    <xdr:to>
      <xdr:col>42</xdr:col>
      <xdr:colOff>96129</xdr:colOff>
      <xdr:row>28</xdr:row>
      <xdr:rowOff>127747</xdr:rowOff>
    </xdr:to>
    <xdr:sp macro="" textlink="">
      <xdr:nvSpPr>
        <xdr:cNvPr id="20" name="正方形/長方形 19">
          <a:extLst>
            <a:ext uri="{FF2B5EF4-FFF2-40B4-BE49-F238E27FC236}">
              <a16:creationId xmlns:a16="http://schemas.microsoft.com/office/drawing/2014/main" id="{00000000-0008-0000-0B00-000014000000}"/>
            </a:ext>
          </a:extLst>
        </xdr:cNvPr>
        <xdr:cNvSpPr/>
      </xdr:nvSpPr>
      <xdr:spPr bwMode="auto">
        <a:xfrm>
          <a:off x="5036490" y="5156947"/>
          <a:ext cx="1060389" cy="304800"/>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テーブル３</a:t>
          </a:r>
        </a:p>
      </xdr:txBody>
    </xdr:sp>
    <xdr:clientData/>
  </xdr:twoCellAnchor>
  <xdr:twoCellAnchor>
    <xdr:from>
      <xdr:col>4</xdr:col>
      <xdr:colOff>22412</xdr:colOff>
      <xdr:row>24</xdr:row>
      <xdr:rowOff>22411</xdr:rowOff>
    </xdr:from>
    <xdr:to>
      <xdr:col>12</xdr:col>
      <xdr:colOff>11207</xdr:colOff>
      <xdr:row>27</xdr:row>
      <xdr:rowOff>100852</xdr:rowOff>
    </xdr:to>
    <xdr:sp macro="" textlink="">
      <xdr:nvSpPr>
        <xdr:cNvPr id="21" name="Text Box 51">
          <a:extLst>
            <a:ext uri="{FF2B5EF4-FFF2-40B4-BE49-F238E27FC236}">
              <a16:creationId xmlns:a16="http://schemas.microsoft.com/office/drawing/2014/main" id="{00000000-0008-0000-0B00-000015000000}"/>
            </a:ext>
          </a:extLst>
        </xdr:cNvPr>
        <xdr:cNvSpPr txBox="1">
          <a:spLocks noChangeArrowheads="1"/>
        </xdr:cNvSpPr>
      </xdr:nvSpPr>
      <xdr:spPr bwMode="auto">
        <a:xfrm>
          <a:off x="593912" y="4594411"/>
          <a:ext cx="1131795" cy="649941"/>
        </a:xfrm>
        <a:prstGeom prst="rect">
          <a:avLst/>
        </a:prstGeom>
        <a:noFill/>
        <a:ln w="9525">
          <a:noFill/>
          <a:miter lim="800000"/>
          <a:headEnd/>
          <a:tailEnd/>
        </a:ln>
      </xdr:spPr>
      <xdr:txBody>
        <a:bodyPr vertOverflow="clip" wrap="square" lIns="36576" tIns="18288" rIns="0" bIns="0" anchor="t" upright="1"/>
        <a:lstStyle/>
        <a:p>
          <a:pPr algn="l" rtl="0">
            <a:defRPr sz="1000"/>
          </a:pPr>
          <a:r>
            <a:rPr lang="ja-JP" altLang="en-US" sz="1100" b="0" i="0" u="none" strike="noStrike" baseline="0">
              <a:solidFill>
                <a:srgbClr val="000000"/>
              </a:solidFill>
              <a:latin typeface="ＭＳ ゴシック"/>
              <a:ea typeface="ＭＳ ゴシック"/>
            </a:rPr>
            <a:t>①</a:t>
          </a:r>
          <a:r>
            <a:rPr lang="en-US" altLang="ja-JP" sz="1100" b="0" i="0" u="none" strike="noStrike" baseline="0">
              <a:solidFill>
                <a:srgbClr val="000000"/>
              </a:solidFill>
              <a:latin typeface="ＭＳ ゴシック"/>
              <a:ea typeface="ＭＳ ゴシック"/>
            </a:rPr>
            <a:t>CSV</a:t>
          </a:r>
          <a:r>
            <a:rPr lang="ja-JP" altLang="en-US" sz="1100" b="0" i="0" u="none" strike="noStrike" baseline="0">
              <a:solidFill>
                <a:srgbClr val="000000"/>
              </a:solidFill>
              <a:latin typeface="ＭＳ ゴシック"/>
              <a:ea typeface="ＭＳ ゴシック"/>
            </a:rPr>
            <a:t>作成</a:t>
          </a:r>
          <a:endParaRPr lang="en-US" altLang="ja-JP" sz="1100" b="0" i="0" u="none" strike="noStrike" baseline="0">
            <a:solidFill>
              <a:srgbClr val="000000"/>
            </a:solidFill>
            <a:latin typeface="ＭＳ ゴシック"/>
            <a:ea typeface="ＭＳ ゴシック"/>
          </a:endParaRPr>
        </a:p>
        <a:p>
          <a:pPr algn="l" rtl="0">
            <a:defRPr sz="1000"/>
          </a:pPr>
          <a:r>
            <a:rPr lang="en-US" altLang="ja-JP" sz="1100" b="1" i="0" u="sng" strike="noStrike" baseline="0">
              <a:solidFill>
                <a:srgbClr val="000000"/>
              </a:solidFill>
              <a:latin typeface="ＭＳ ゴシック"/>
              <a:ea typeface="ＭＳ ゴシック"/>
            </a:rPr>
            <a:t>sqlcmd</a:t>
          </a:r>
          <a:r>
            <a:rPr lang="ja-JP" altLang="en-US" sz="1100" b="1" i="0" u="sng" strike="noStrike" baseline="0">
              <a:solidFill>
                <a:srgbClr val="000000"/>
              </a:solidFill>
              <a:latin typeface="ＭＳ ゴシック"/>
              <a:ea typeface="ＭＳ ゴシック"/>
            </a:rPr>
            <a:t>ｺﾏﾝﾄﾞ</a:t>
          </a:r>
          <a:endParaRPr lang="en-US" altLang="ja-JP" sz="1100" b="1" i="0" u="sng" strike="noStrike" baseline="0">
            <a:solidFill>
              <a:srgbClr val="000000"/>
            </a:solidFill>
            <a:latin typeface="ＭＳ ゴシック"/>
            <a:ea typeface="ＭＳ ゴシック"/>
          </a:endParaRPr>
        </a:p>
        <a:p>
          <a:pPr algn="l" rtl="0">
            <a:defRPr sz="1000"/>
          </a:pPr>
          <a:r>
            <a:rPr lang="en-US" altLang="ja-JP" sz="1000" b="1" i="0" u="none" strike="noStrike" baseline="0">
              <a:solidFill>
                <a:srgbClr val="000000"/>
              </a:solidFill>
              <a:latin typeface="ＭＳ ゴシック"/>
              <a:ea typeface="ＭＳ ゴシック"/>
            </a:rPr>
            <a:t>※sqlserver</a:t>
          </a:r>
          <a:r>
            <a:rPr lang="ja-JP" altLang="en-US" sz="1000" b="1" i="0" u="none" strike="noStrike" baseline="0">
              <a:solidFill>
                <a:srgbClr val="000000"/>
              </a:solidFill>
              <a:latin typeface="ＭＳ ゴシック"/>
              <a:ea typeface="ＭＳ ゴシック"/>
            </a:rPr>
            <a:t>機能</a:t>
          </a:r>
          <a:endParaRPr lang="en-US" altLang="ja-JP" sz="1000" b="1" i="0" u="none" strike="noStrike" baseline="0">
            <a:solidFill>
              <a:srgbClr val="000000"/>
            </a:solidFill>
            <a:latin typeface="ＭＳ ゴシック"/>
            <a:ea typeface="ＭＳ ゴシック"/>
          </a:endParaRPr>
        </a:p>
      </xdr:txBody>
    </xdr:sp>
    <xdr:clientData/>
  </xdr:twoCellAnchor>
  <xdr:twoCellAnchor>
    <xdr:from>
      <xdr:col>8</xdr:col>
      <xdr:colOff>67235</xdr:colOff>
      <xdr:row>16</xdr:row>
      <xdr:rowOff>145679</xdr:rowOff>
    </xdr:from>
    <xdr:to>
      <xdr:col>8</xdr:col>
      <xdr:colOff>67235</xdr:colOff>
      <xdr:row>19</xdr:row>
      <xdr:rowOff>186179</xdr:rowOff>
    </xdr:to>
    <xdr:cxnSp macro="">
      <xdr:nvCxnSpPr>
        <xdr:cNvPr id="22" name="直線矢印コネクタ 21">
          <a:extLst>
            <a:ext uri="{FF2B5EF4-FFF2-40B4-BE49-F238E27FC236}">
              <a16:creationId xmlns:a16="http://schemas.microsoft.com/office/drawing/2014/main" id="{00000000-0008-0000-0B00-000016000000}"/>
            </a:ext>
          </a:extLst>
        </xdr:cNvPr>
        <xdr:cNvCxnSpPr/>
      </xdr:nvCxnSpPr>
      <xdr:spPr bwMode="auto">
        <a:xfrm>
          <a:off x="1210235" y="3193679"/>
          <a:ext cx="0" cy="612000"/>
        </a:xfrm>
        <a:prstGeom prst="straightConnector1">
          <a:avLst/>
        </a:prstGeom>
        <a:solidFill>
          <a:srgbClr val="FFFFFF"/>
        </a:solidFill>
        <a:ln w="28575" cap="flat" cmpd="sng" algn="ctr">
          <a:solidFill>
            <a:srgbClr val="00B050"/>
          </a:solidFill>
          <a:prstDash val="solid"/>
          <a:round/>
          <a:headEnd type="none" w="med" len="med"/>
          <a:tailEnd type="none" w="med" len="med"/>
        </a:ln>
        <a:effectLst/>
      </xdr:spPr>
    </xdr:cxnSp>
    <xdr:clientData/>
  </xdr:twoCellAnchor>
  <xdr:twoCellAnchor>
    <xdr:from>
      <xdr:col>23</xdr:col>
      <xdr:colOff>33618</xdr:colOff>
      <xdr:row>25</xdr:row>
      <xdr:rowOff>156881</xdr:rowOff>
    </xdr:from>
    <xdr:to>
      <xdr:col>32</xdr:col>
      <xdr:colOff>33618</xdr:colOff>
      <xdr:row>29</xdr:row>
      <xdr:rowOff>100852</xdr:rowOff>
    </xdr:to>
    <xdr:sp macro="" textlink="">
      <xdr:nvSpPr>
        <xdr:cNvPr id="23" name="Text Box 51">
          <a:extLst>
            <a:ext uri="{FF2B5EF4-FFF2-40B4-BE49-F238E27FC236}">
              <a16:creationId xmlns:a16="http://schemas.microsoft.com/office/drawing/2014/main" id="{00000000-0008-0000-0B00-000017000000}"/>
            </a:ext>
          </a:extLst>
        </xdr:cNvPr>
        <xdr:cNvSpPr txBox="1">
          <a:spLocks noChangeArrowheads="1"/>
        </xdr:cNvSpPr>
      </xdr:nvSpPr>
      <xdr:spPr bwMode="auto">
        <a:xfrm>
          <a:off x="3319743" y="4919381"/>
          <a:ext cx="1285875" cy="705971"/>
        </a:xfrm>
        <a:prstGeom prst="rect">
          <a:avLst/>
        </a:prstGeom>
        <a:noFill/>
        <a:ln w="9525">
          <a:noFill/>
          <a:miter lim="800000"/>
          <a:headEnd/>
          <a:tailEnd/>
        </a:ln>
      </xdr:spPr>
      <xdr:txBody>
        <a:bodyPr vertOverflow="clip" wrap="square" lIns="36576" tIns="18288" rIns="0" bIns="0" anchor="t" upright="1"/>
        <a:lstStyle/>
        <a:p>
          <a:pPr algn="l" rtl="0">
            <a:defRPr sz="1000"/>
          </a:pPr>
          <a:r>
            <a:rPr lang="ja-JP" altLang="en-US" sz="1100" b="0" i="0" u="none" strike="noStrike" baseline="0">
              <a:solidFill>
                <a:srgbClr val="000000"/>
              </a:solidFill>
              <a:latin typeface="ＭＳ ゴシック"/>
              <a:ea typeface="ＭＳ ゴシック"/>
            </a:rPr>
            <a:t>②</a:t>
          </a:r>
          <a:r>
            <a:rPr lang="en-US" altLang="ja-JP" sz="1100" b="0" i="0" u="none" strike="noStrike" baseline="0">
              <a:solidFill>
                <a:srgbClr val="000000"/>
              </a:solidFill>
              <a:latin typeface="ＭＳ ゴシック"/>
              <a:ea typeface="ＭＳ ゴシック"/>
            </a:rPr>
            <a:t>CSV</a:t>
          </a:r>
          <a:r>
            <a:rPr lang="ja-JP" altLang="en-US" sz="1100" b="0" i="0" u="none" strike="noStrike" baseline="0">
              <a:solidFill>
                <a:srgbClr val="000000"/>
              </a:solidFill>
              <a:latin typeface="ＭＳ ゴシック"/>
              <a:ea typeface="ＭＳ ゴシック"/>
            </a:rPr>
            <a:t>インポート</a:t>
          </a:r>
          <a:endParaRPr lang="en-US" altLang="ja-JP" sz="1100" b="0" i="0" u="none" strike="noStrike" baseline="0">
            <a:solidFill>
              <a:srgbClr val="000000"/>
            </a:solidFill>
            <a:latin typeface="ＭＳ ゴシック"/>
            <a:ea typeface="ＭＳ ゴシック"/>
          </a:endParaRPr>
        </a:p>
        <a:p>
          <a:pPr algn="l" rtl="0">
            <a:defRPr sz="1000"/>
          </a:pPr>
          <a:r>
            <a:rPr lang="en-US" altLang="ja-JP" sz="1100" b="1" i="0" u="sng" strike="noStrike" baseline="0">
              <a:solidFill>
                <a:srgbClr val="000000"/>
              </a:solidFill>
              <a:latin typeface="ＭＳ ゴシック"/>
              <a:ea typeface="ＭＳ ゴシック"/>
            </a:rPr>
            <a:t>psql</a:t>
          </a:r>
          <a:r>
            <a:rPr lang="ja-JP" altLang="en-US" sz="1100" b="1" i="0" u="sng" strike="noStrike" baseline="0">
              <a:solidFill>
                <a:srgbClr val="000000"/>
              </a:solidFill>
              <a:latin typeface="ＭＳ ゴシック"/>
              <a:ea typeface="ＭＳ ゴシック"/>
            </a:rPr>
            <a:t>ｺﾏﾝﾄﾞ</a:t>
          </a:r>
          <a:endParaRPr lang="en-US" altLang="ja-JP" sz="1100" b="1" i="0" u="sng" strike="noStrike" baseline="0">
            <a:solidFill>
              <a:srgbClr val="000000"/>
            </a:solidFill>
            <a:latin typeface="ＭＳ ゴシック"/>
            <a:ea typeface="ＭＳ ゴシック"/>
          </a:endParaRPr>
        </a:p>
        <a:p>
          <a:pPr algn="l" rtl="0">
            <a:defRPr sz="1000"/>
          </a:pPr>
          <a:r>
            <a:rPr lang="en-US" altLang="ja-JP" sz="1000" b="1" i="0" u="none" strike="noStrike" baseline="0">
              <a:solidFill>
                <a:srgbClr val="000000"/>
              </a:solidFill>
              <a:latin typeface="ＭＳ ゴシック"/>
              <a:ea typeface="ＭＳ ゴシック"/>
            </a:rPr>
            <a:t>※postgesql</a:t>
          </a:r>
          <a:r>
            <a:rPr lang="ja-JP" altLang="en-US" sz="1000" b="1" i="0" u="none" strike="noStrike" baseline="0">
              <a:solidFill>
                <a:srgbClr val="000000"/>
              </a:solidFill>
              <a:latin typeface="ＭＳ ゴシック"/>
              <a:ea typeface="ＭＳ ゴシック"/>
            </a:rPr>
            <a:t>機能</a:t>
          </a:r>
          <a:endParaRPr lang="en-US" altLang="ja-JP" sz="1100" b="1" i="0" u="none" strike="noStrike" baseline="0">
            <a:solidFill>
              <a:srgbClr val="000000"/>
            </a:solidFill>
            <a:latin typeface="ＭＳ ゴシック"/>
            <a:ea typeface="ＭＳ ゴシック"/>
          </a:endParaRPr>
        </a:p>
      </xdr:txBody>
    </xdr:sp>
    <xdr:clientData/>
  </xdr:twoCellAnchor>
  <xdr:twoCellAnchor>
    <xdr:from>
      <xdr:col>8</xdr:col>
      <xdr:colOff>11205</xdr:colOff>
      <xdr:row>20</xdr:row>
      <xdr:rowOff>44824</xdr:rowOff>
    </xdr:from>
    <xdr:to>
      <xdr:col>16</xdr:col>
      <xdr:colOff>0</xdr:colOff>
      <xdr:row>21</xdr:row>
      <xdr:rowOff>123265</xdr:rowOff>
    </xdr:to>
    <xdr:sp macro="" textlink="">
      <xdr:nvSpPr>
        <xdr:cNvPr id="24" name="Text Box 51">
          <a:extLst>
            <a:ext uri="{FF2B5EF4-FFF2-40B4-BE49-F238E27FC236}">
              <a16:creationId xmlns:a16="http://schemas.microsoft.com/office/drawing/2014/main" id="{00000000-0008-0000-0B00-000018000000}"/>
            </a:ext>
          </a:extLst>
        </xdr:cNvPr>
        <xdr:cNvSpPr txBox="1">
          <a:spLocks noChangeArrowheads="1"/>
        </xdr:cNvSpPr>
      </xdr:nvSpPr>
      <xdr:spPr bwMode="auto">
        <a:xfrm>
          <a:off x="1154205" y="3854824"/>
          <a:ext cx="1131795" cy="268941"/>
        </a:xfrm>
        <a:prstGeom prst="rect">
          <a:avLst/>
        </a:prstGeom>
        <a:noFill/>
        <a:ln w="9525">
          <a:noFill/>
          <a:miter lim="800000"/>
          <a:headEnd/>
          <a:tailEnd/>
        </a:ln>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ゴシック"/>
              <a:ea typeface="ＭＳ ゴシック"/>
            </a:rPr>
            <a:t>ログ出力</a:t>
          </a:r>
          <a:endParaRPr lang="en-US" altLang="ja-JP" sz="1000" b="0" i="0" u="none" strike="noStrike" baseline="0">
            <a:solidFill>
              <a:srgbClr val="000000"/>
            </a:solidFill>
            <a:latin typeface="ＭＳ ゴシック"/>
            <a:ea typeface="ＭＳ ゴシック"/>
          </a:endParaRPr>
        </a:p>
      </xdr:txBody>
    </xdr:sp>
    <xdr:clientData/>
  </xdr:twoCellAnchor>
  <xdr:twoCellAnchor>
    <xdr:from>
      <xdr:col>59</xdr:col>
      <xdr:colOff>33617</xdr:colOff>
      <xdr:row>15</xdr:row>
      <xdr:rowOff>56029</xdr:rowOff>
    </xdr:from>
    <xdr:to>
      <xdr:col>69</xdr:col>
      <xdr:colOff>5603</xdr:colOff>
      <xdr:row>18</xdr:row>
      <xdr:rowOff>141754</xdr:rowOff>
    </xdr:to>
    <xdr:sp macro="" textlink="">
      <xdr:nvSpPr>
        <xdr:cNvPr id="25" name="AutoShape 6">
          <a:extLst>
            <a:ext uri="{FF2B5EF4-FFF2-40B4-BE49-F238E27FC236}">
              <a16:creationId xmlns:a16="http://schemas.microsoft.com/office/drawing/2014/main" id="{00000000-0008-0000-0B00-000019000000}"/>
            </a:ext>
          </a:extLst>
        </xdr:cNvPr>
        <xdr:cNvSpPr>
          <a:spLocks noChangeArrowheads="1"/>
        </xdr:cNvSpPr>
      </xdr:nvSpPr>
      <xdr:spPr bwMode="auto">
        <a:xfrm>
          <a:off x="8463242" y="2913529"/>
          <a:ext cx="1400736" cy="657225"/>
        </a:xfrm>
        <a:prstGeom prst="foldedCorner">
          <a:avLst>
            <a:gd name="adj" fmla="val 34375"/>
          </a:avLst>
        </a:prstGeom>
        <a:solidFill>
          <a:srgbClr val="FFFF00"/>
        </a:solidFill>
        <a:ln w="9525">
          <a:solidFill>
            <a:srgbClr val="000000"/>
          </a:solidFill>
          <a:round/>
          <a:headEnd/>
          <a:tailEnd/>
        </a:ln>
      </xdr:spPr>
      <xdr:txBody>
        <a:bodyPr/>
        <a:lstStyle/>
        <a:p>
          <a:endParaRPr kumimoji="1" lang="en-US" altLang="ja-JP" sz="1100">
            <a:effectLst/>
            <a:latin typeface="+mn-lt"/>
            <a:ea typeface="+mn-ea"/>
            <a:cs typeface="+mn-cs"/>
          </a:endParaRPr>
        </a:p>
        <a:p>
          <a:r>
            <a:rPr kumimoji="1" lang="ja-JP" altLang="en-US" sz="1100">
              <a:effectLst/>
              <a:latin typeface="+mn-lt"/>
              <a:ea typeface="+mn-ea"/>
              <a:cs typeface="+mn-cs"/>
            </a:rPr>
            <a:t>　　</a:t>
          </a:r>
          <a:r>
            <a:rPr kumimoji="1" lang="en-US" altLang="ja-JP" sz="1100">
              <a:effectLst/>
              <a:latin typeface="+mn-lt"/>
              <a:ea typeface="+mn-ea"/>
              <a:cs typeface="+mn-cs"/>
            </a:rPr>
            <a:t>CZ80001B</a:t>
          </a:r>
        </a:p>
        <a:p>
          <a:r>
            <a:rPr lang="ja-JP" altLang="en-US" sz="1000"/>
            <a:t>　　</a:t>
          </a:r>
          <a:r>
            <a:rPr lang="en-US" altLang="ja-JP" sz="1000"/>
            <a:t>Java</a:t>
          </a:r>
          <a:r>
            <a:rPr lang="ja-JP" altLang="en-US" sz="1000"/>
            <a:t>プログラム</a:t>
          </a:r>
        </a:p>
      </xdr:txBody>
    </xdr:sp>
    <xdr:clientData/>
  </xdr:twoCellAnchor>
  <xdr:twoCellAnchor>
    <xdr:from>
      <xdr:col>49</xdr:col>
      <xdr:colOff>112058</xdr:colOff>
      <xdr:row>26</xdr:row>
      <xdr:rowOff>44824</xdr:rowOff>
    </xdr:from>
    <xdr:to>
      <xdr:col>58</xdr:col>
      <xdr:colOff>112058</xdr:colOff>
      <xdr:row>29</xdr:row>
      <xdr:rowOff>179295</xdr:rowOff>
    </xdr:to>
    <xdr:sp macro="" textlink="">
      <xdr:nvSpPr>
        <xdr:cNvPr id="26" name="Text Box 51">
          <a:extLst>
            <a:ext uri="{FF2B5EF4-FFF2-40B4-BE49-F238E27FC236}">
              <a16:creationId xmlns:a16="http://schemas.microsoft.com/office/drawing/2014/main" id="{00000000-0008-0000-0B00-00001A000000}"/>
            </a:ext>
          </a:extLst>
        </xdr:cNvPr>
        <xdr:cNvSpPr txBox="1">
          <a:spLocks noChangeArrowheads="1"/>
        </xdr:cNvSpPr>
      </xdr:nvSpPr>
      <xdr:spPr bwMode="auto">
        <a:xfrm>
          <a:off x="7112933" y="4997824"/>
          <a:ext cx="1285875" cy="705971"/>
        </a:xfrm>
        <a:prstGeom prst="rect">
          <a:avLst/>
        </a:prstGeom>
        <a:noFill/>
        <a:ln w="9525">
          <a:noFill/>
          <a:miter lim="800000"/>
          <a:headEnd/>
          <a:tailEnd/>
        </a:ln>
      </xdr:spPr>
      <xdr:txBody>
        <a:bodyPr vertOverflow="clip" wrap="square" lIns="36576" tIns="18288" rIns="0" bIns="0" anchor="t" upright="1"/>
        <a:lstStyle/>
        <a:p>
          <a:pPr algn="l" rtl="0">
            <a:defRPr sz="1000"/>
          </a:pPr>
          <a:r>
            <a:rPr lang="ja-JP" altLang="en-US" sz="1100" b="0" i="0" u="none" strike="noStrike" baseline="0">
              <a:solidFill>
                <a:srgbClr val="000000"/>
              </a:solidFill>
              <a:latin typeface="ＭＳ ゴシック"/>
              <a:ea typeface="ＭＳ ゴシック"/>
            </a:rPr>
            <a:t>③社員マスタ更新</a:t>
          </a:r>
          <a:endParaRPr lang="en-US" altLang="ja-JP" sz="1100" b="1" i="0" u="none" strike="noStrike" baseline="0">
            <a:solidFill>
              <a:srgbClr val="000000"/>
            </a:solidFill>
            <a:latin typeface="ＭＳ ゴシック"/>
            <a:ea typeface="ＭＳ ゴシック"/>
          </a:endParaRPr>
        </a:p>
      </xdr:txBody>
    </xdr:sp>
    <xdr:clientData/>
  </xdr:twoCellAnchor>
  <xdr:twoCellAnchor>
    <xdr:from>
      <xdr:col>55</xdr:col>
      <xdr:colOff>78441</xdr:colOff>
      <xdr:row>12</xdr:row>
      <xdr:rowOff>179294</xdr:rowOff>
    </xdr:from>
    <xdr:to>
      <xdr:col>65</xdr:col>
      <xdr:colOff>50426</xdr:colOff>
      <xdr:row>16</xdr:row>
      <xdr:rowOff>74519</xdr:rowOff>
    </xdr:to>
    <xdr:sp macro="" textlink="">
      <xdr:nvSpPr>
        <xdr:cNvPr id="27" name="AutoShape 6">
          <a:extLst>
            <a:ext uri="{FF2B5EF4-FFF2-40B4-BE49-F238E27FC236}">
              <a16:creationId xmlns:a16="http://schemas.microsoft.com/office/drawing/2014/main" id="{00000000-0008-0000-0B00-00001B000000}"/>
            </a:ext>
          </a:extLst>
        </xdr:cNvPr>
        <xdr:cNvSpPr>
          <a:spLocks noChangeArrowheads="1"/>
        </xdr:cNvSpPr>
      </xdr:nvSpPr>
      <xdr:spPr bwMode="auto">
        <a:xfrm>
          <a:off x="7936566" y="2465294"/>
          <a:ext cx="1400735" cy="657225"/>
        </a:xfrm>
        <a:prstGeom prst="foldedCorner">
          <a:avLst>
            <a:gd name="adj" fmla="val 34375"/>
          </a:avLst>
        </a:prstGeom>
        <a:solidFill>
          <a:srgbClr val="FFFF00"/>
        </a:solidFill>
        <a:ln w="9525">
          <a:solidFill>
            <a:srgbClr val="000000"/>
          </a:solidFill>
          <a:round/>
          <a:headEnd/>
          <a:tailEnd/>
        </a:ln>
      </xdr:spPr>
      <xdr:txBody>
        <a:bodyPr/>
        <a:lstStyle/>
        <a:p>
          <a:r>
            <a:rPr kumimoji="1" lang="en-US" altLang="ja-JP" sz="1100">
              <a:effectLst/>
              <a:latin typeface="+mn-lt"/>
              <a:ea typeface="+mn-ea"/>
              <a:cs typeface="+mn-cs"/>
            </a:rPr>
            <a:t>CZ80001B_DAILY.bat</a:t>
          </a:r>
        </a:p>
        <a:p>
          <a:r>
            <a:rPr lang="en-US" altLang="ja-JP" sz="1000"/>
            <a:t>(C:\batch\script)</a:t>
          </a:r>
        </a:p>
        <a:p>
          <a:r>
            <a:rPr lang="en-US" altLang="ja-JP" sz="1000"/>
            <a:t>※</a:t>
          </a:r>
          <a:r>
            <a:rPr lang="ja-JP" altLang="en-US" sz="1000"/>
            <a:t>バッチファイル</a:t>
          </a:r>
        </a:p>
      </xdr:txBody>
    </xdr:sp>
    <xdr:clientData/>
  </xdr:twoCellAnchor>
  <xdr:twoCellAnchor>
    <xdr:from>
      <xdr:col>46</xdr:col>
      <xdr:colOff>145675</xdr:colOff>
      <xdr:row>25</xdr:row>
      <xdr:rowOff>179294</xdr:rowOff>
    </xdr:from>
    <xdr:to>
      <xdr:col>63</xdr:col>
      <xdr:colOff>9175</xdr:colOff>
      <xdr:row>25</xdr:row>
      <xdr:rowOff>179294</xdr:rowOff>
    </xdr:to>
    <xdr:cxnSp macro="">
      <xdr:nvCxnSpPr>
        <xdr:cNvPr id="28" name="直線矢印コネクタ 27">
          <a:extLst>
            <a:ext uri="{FF2B5EF4-FFF2-40B4-BE49-F238E27FC236}">
              <a16:creationId xmlns:a16="http://schemas.microsoft.com/office/drawing/2014/main" id="{00000000-0008-0000-0B00-00001C000000}"/>
            </a:ext>
          </a:extLst>
        </xdr:cNvPr>
        <xdr:cNvCxnSpPr/>
      </xdr:nvCxnSpPr>
      <xdr:spPr bwMode="auto">
        <a:xfrm flipH="1">
          <a:off x="6717925" y="4941794"/>
          <a:ext cx="2292375" cy="0"/>
        </a:xfrm>
        <a:prstGeom prst="straightConnector1">
          <a:avLst/>
        </a:prstGeom>
        <a:solidFill>
          <a:srgbClr val="FFFFFF"/>
        </a:solidFill>
        <a:ln w="28575" cap="flat" cmpd="sng" algn="ctr">
          <a:solidFill>
            <a:schemeClr val="accent6"/>
          </a:solidFill>
          <a:prstDash val="solid"/>
          <a:round/>
          <a:headEnd type="none" w="med" len="med"/>
          <a:tailEnd type="triangle"/>
        </a:ln>
        <a:effectLst/>
      </xdr:spPr>
    </xdr:cxnSp>
    <xdr:clientData/>
  </xdr:twoCellAnchor>
  <xdr:twoCellAnchor>
    <xdr:from>
      <xdr:col>63</xdr:col>
      <xdr:colOff>0</xdr:colOff>
      <xdr:row>19</xdr:row>
      <xdr:rowOff>67237</xdr:rowOff>
    </xdr:from>
    <xdr:to>
      <xdr:col>63</xdr:col>
      <xdr:colOff>0</xdr:colOff>
      <xdr:row>25</xdr:row>
      <xdr:rowOff>184237</xdr:rowOff>
    </xdr:to>
    <xdr:cxnSp macro="">
      <xdr:nvCxnSpPr>
        <xdr:cNvPr id="29" name="直線矢印コネクタ 28">
          <a:extLst>
            <a:ext uri="{FF2B5EF4-FFF2-40B4-BE49-F238E27FC236}">
              <a16:creationId xmlns:a16="http://schemas.microsoft.com/office/drawing/2014/main" id="{00000000-0008-0000-0B00-00001D000000}"/>
            </a:ext>
          </a:extLst>
        </xdr:cNvPr>
        <xdr:cNvCxnSpPr/>
      </xdr:nvCxnSpPr>
      <xdr:spPr bwMode="auto">
        <a:xfrm>
          <a:off x="9001125" y="3686737"/>
          <a:ext cx="0" cy="1260000"/>
        </a:xfrm>
        <a:prstGeom prst="straightConnector1">
          <a:avLst/>
        </a:prstGeom>
        <a:solidFill>
          <a:srgbClr val="FFFFFF"/>
        </a:solidFill>
        <a:ln w="28575" cap="flat" cmpd="sng" algn="ctr">
          <a:solidFill>
            <a:schemeClr val="accent6"/>
          </a:solidFill>
          <a:prstDash val="solid"/>
          <a:round/>
          <a:headEnd type="none" w="med" len="med"/>
          <a:tailEnd type="none" w="med" len="med"/>
        </a:ln>
        <a:effectLst/>
      </xdr:spPr>
    </xdr:cxnSp>
    <xdr:clientData/>
  </xdr:twoCellAnchor>
  <xdr:twoCellAnchor>
    <xdr:from>
      <xdr:col>67</xdr:col>
      <xdr:colOff>112058</xdr:colOff>
      <xdr:row>14</xdr:row>
      <xdr:rowOff>112059</xdr:rowOff>
    </xdr:from>
    <xdr:to>
      <xdr:col>67</xdr:col>
      <xdr:colOff>112058</xdr:colOff>
      <xdr:row>16</xdr:row>
      <xdr:rowOff>19059</xdr:rowOff>
    </xdr:to>
    <xdr:cxnSp macro="">
      <xdr:nvCxnSpPr>
        <xdr:cNvPr id="30" name="直線矢印コネクタ 29">
          <a:extLst>
            <a:ext uri="{FF2B5EF4-FFF2-40B4-BE49-F238E27FC236}">
              <a16:creationId xmlns:a16="http://schemas.microsoft.com/office/drawing/2014/main" id="{00000000-0008-0000-0B00-00001E000000}"/>
            </a:ext>
          </a:extLst>
        </xdr:cNvPr>
        <xdr:cNvCxnSpPr/>
      </xdr:nvCxnSpPr>
      <xdr:spPr bwMode="auto">
        <a:xfrm>
          <a:off x="9684683" y="2779059"/>
          <a:ext cx="0" cy="288000"/>
        </a:xfrm>
        <a:prstGeom prst="straightConnector1">
          <a:avLst/>
        </a:prstGeom>
        <a:solidFill>
          <a:srgbClr val="FFFFFF"/>
        </a:solidFill>
        <a:ln w="28575" cap="flat" cmpd="sng" algn="ctr">
          <a:solidFill>
            <a:schemeClr val="accent6"/>
          </a:solidFill>
          <a:prstDash val="solid"/>
          <a:round/>
          <a:headEnd type="none" w="med" len="med"/>
          <a:tailEnd type="triangle"/>
        </a:ln>
        <a:effectLst/>
      </xdr:spPr>
    </xdr:cxnSp>
    <xdr:clientData/>
  </xdr:twoCellAnchor>
  <xdr:twoCellAnchor>
    <xdr:from>
      <xdr:col>64</xdr:col>
      <xdr:colOff>67235</xdr:colOff>
      <xdr:row>14</xdr:row>
      <xdr:rowOff>123266</xdr:rowOff>
    </xdr:from>
    <xdr:to>
      <xdr:col>67</xdr:col>
      <xdr:colOff>98205</xdr:colOff>
      <xdr:row>14</xdr:row>
      <xdr:rowOff>123266</xdr:rowOff>
    </xdr:to>
    <xdr:cxnSp macro="">
      <xdr:nvCxnSpPr>
        <xdr:cNvPr id="31" name="直線矢印コネクタ 30">
          <a:extLst>
            <a:ext uri="{FF2B5EF4-FFF2-40B4-BE49-F238E27FC236}">
              <a16:creationId xmlns:a16="http://schemas.microsoft.com/office/drawing/2014/main" id="{00000000-0008-0000-0B00-00001F000000}"/>
            </a:ext>
          </a:extLst>
        </xdr:cNvPr>
        <xdr:cNvCxnSpPr/>
      </xdr:nvCxnSpPr>
      <xdr:spPr bwMode="auto">
        <a:xfrm>
          <a:off x="9211235" y="2790266"/>
          <a:ext cx="459595" cy="0"/>
        </a:xfrm>
        <a:prstGeom prst="straightConnector1">
          <a:avLst/>
        </a:prstGeom>
        <a:solidFill>
          <a:srgbClr val="FFFFFF"/>
        </a:solidFill>
        <a:ln w="28575" cap="flat" cmpd="sng" algn="ctr">
          <a:solidFill>
            <a:schemeClr val="accent6"/>
          </a:solidFill>
          <a:prstDash val="solid"/>
          <a:round/>
          <a:headEnd type="none" w="med" len="med"/>
          <a:tailEnd type="none" w="med" len="med"/>
        </a:ln>
        <a:effectLst/>
      </xdr:spPr>
    </xdr:cxnSp>
    <xdr:clientData/>
  </xdr:twoCellAnchor>
  <xdr:twoCellAnchor>
    <xdr:from>
      <xdr:col>47</xdr:col>
      <xdr:colOff>112059</xdr:colOff>
      <xdr:row>17</xdr:row>
      <xdr:rowOff>0</xdr:rowOff>
    </xdr:from>
    <xdr:to>
      <xdr:col>56</xdr:col>
      <xdr:colOff>67236</xdr:colOff>
      <xdr:row>24</xdr:row>
      <xdr:rowOff>145676</xdr:rowOff>
    </xdr:to>
    <xdr:cxnSp macro="">
      <xdr:nvCxnSpPr>
        <xdr:cNvPr id="32" name="直線矢印コネクタ 31">
          <a:extLst>
            <a:ext uri="{FF2B5EF4-FFF2-40B4-BE49-F238E27FC236}">
              <a16:creationId xmlns:a16="http://schemas.microsoft.com/office/drawing/2014/main" id="{00000000-0008-0000-0B00-000020000000}"/>
            </a:ext>
          </a:extLst>
        </xdr:cNvPr>
        <xdr:cNvCxnSpPr/>
      </xdr:nvCxnSpPr>
      <xdr:spPr bwMode="auto">
        <a:xfrm flipH="1">
          <a:off x="6827184" y="3238500"/>
          <a:ext cx="1241052" cy="1479176"/>
        </a:xfrm>
        <a:prstGeom prst="straightConnector1">
          <a:avLst/>
        </a:prstGeom>
        <a:solidFill>
          <a:srgbClr val="FFFFFF"/>
        </a:solidFill>
        <a:ln w="28575" cap="flat" cmpd="sng" algn="ctr">
          <a:solidFill>
            <a:schemeClr val="accent6"/>
          </a:solidFill>
          <a:prstDash val="dash"/>
          <a:round/>
          <a:headEnd type="none" w="med" len="med"/>
          <a:tailEnd type="triangle"/>
        </a:ln>
        <a:effectLst/>
      </xdr:spPr>
    </xdr:cxnSp>
    <xdr:clientData/>
  </xdr:twoCellAnchor>
  <xdr:twoCellAnchor>
    <xdr:from>
      <xdr:col>71</xdr:col>
      <xdr:colOff>33617</xdr:colOff>
      <xdr:row>12</xdr:row>
      <xdr:rowOff>156883</xdr:rowOff>
    </xdr:from>
    <xdr:to>
      <xdr:col>85</xdr:col>
      <xdr:colOff>11766</xdr:colOff>
      <xdr:row>17</xdr:row>
      <xdr:rowOff>100293</xdr:rowOff>
    </xdr:to>
    <xdr:sp macro="" textlink="">
      <xdr:nvSpPr>
        <xdr:cNvPr id="33" name="AutoShape 4" descr="30%">
          <a:extLst>
            <a:ext uri="{FF2B5EF4-FFF2-40B4-BE49-F238E27FC236}">
              <a16:creationId xmlns:a16="http://schemas.microsoft.com/office/drawing/2014/main" id="{00000000-0008-0000-0B00-000021000000}"/>
            </a:ext>
          </a:extLst>
        </xdr:cNvPr>
        <xdr:cNvSpPr>
          <a:spLocks noChangeArrowheads="1"/>
        </xdr:cNvSpPr>
      </xdr:nvSpPr>
      <xdr:spPr bwMode="auto">
        <a:xfrm>
          <a:off x="10177742" y="2442883"/>
          <a:ext cx="1978399" cy="895910"/>
        </a:xfrm>
        <a:prstGeom prst="roundRect">
          <a:avLst>
            <a:gd name="adj" fmla="val 954"/>
          </a:avLst>
        </a:prstGeom>
        <a:solidFill>
          <a:sysClr val="window" lastClr="FFFFFF"/>
        </a:solidFill>
        <a:ln w="9525">
          <a:solidFill>
            <a:srgbClr val="000000"/>
          </a:solidFill>
          <a:round/>
          <a:headEnd/>
          <a:tailEnd/>
        </a:ln>
      </xdr:spPr>
      <xdr:txBody>
        <a:bodyPr vertOverflow="clip" wrap="square" lIns="27432" tIns="18288" rIns="27432" bIns="0" anchor="t" upright="1"/>
        <a:lstStyle/>
        <a:p>
          <a:pPr algn="ctr" rtl="0">
            <a:lnSpc>
              <a:spcPts val="1100"/>
            </a:lnSpc>
            <a:defRPr sz="1000"/>
          </a:pPr>
          <a:r>
            <a:rPr lang="ja-JP" altLang="en-US" sz="900" b="0" i="0" u="none" strike="noStrike" baseline="0">
              <a:solidFill>
                <a:srgbClr val="000000"/>
              </a:solidFill>
              <a:latin typeface="ＭＳ 明朝"/>
              <a:ea typeface="ＭＳ 明朝"/>
            </a:rPr>
            <a:t>ログ格納領域</a:t>
          </a:r>
        </a:p>
        <a:p>
          <a:pPr algn="ctr" rtl="0">
            <a:lnSpc>
              <a:spcPts val="1000"/>
            </a:lnSpc>
            <a:defRPr sz="1000"/>
          </a:pPr>
          <a:r>
            <a:rPr lang="en-US" altLang="ja-JP" sz="900" b="0" i="0" u="none" strike="noStrike" baseline="0">
              <a:solidFill>
                <a:srgbClr val="000000"/>
              </a:solidFill>
              <a:latin typeface="ＭＳ 明朝"/>
              <a:ea typeface="ＭＳ 明朝"/>
            </a:rPr>
            <a:t>(C:\batch-scripts\logs\)</a:t>
          </a:r>
        </a:p>
      </xdr:txBody>
    </xdr:sp>
    <xdr:clientData/>
  </xdr:twoCellAnchor>
  <xdr:twoCellAnchor>
    <xdr:from>
      <xdr:col>72</xdr:col>
      <xdr:colOff>123264</xdr:colOff>
      <xdr:row>14</xdr:row>
      <xdr:rowOff>190499</xdr:rowOff>
    </xdr:from>
    <xdr:to>
      <xdr:col>80</xdr:col>
      <xdr:colOff>56029</xdr:colOff>
      <xdr:row>16</xdr:row>
      <xdr:rowOff>179294</xdr:rowOff>
    </xdr:to>
    <xdr:sp macro="" textlink="">
      <xdr:nvSpPr>
        <xdr:cNvPr id="34" name="AutoShape 6">
          <a:extLst>
            <a:ext uri="{FF2B5EF4-FFF2-40B4-BE49-F238E27FC236}">
              <a16:creationId xmlns:a16="http://schemas.microsoft.com/office/drawing/2014/main" id="{00000000-0008-0000-0B00-000022000000}"/>
            </a:ext>
          </a:extLst>
        </xdr:cNvPr>
        <xdr:cNvSpPr>
          <a:spLocks noChangeArrowheads="1"/>
        </xdr:cNvSpPr>
      </xdr:nvSpPr>
      <xdr:spPr bwMode="auto">
        <a:xfrm>
          <a:off x="10410264" y="2857499"/>
          <a:ext cx="1075765" cy="369795"/>
        </a:xfrm>
        <a:prstGeom prst="foldedCorner">
          <a:avLst>
            <a:gd name="adj" fmla="val 34375"/>
          </a:avLst>
        </a:prstGeom>
        <a:solidFill>
          <a:srgbClr val="FFFFFF"/>
        </a:solidFill>
        <a:ln w="9525">
          <a:solidFill>
            <a:srgbClr val="000000"/>
          </a:solidFill>
          <a:round/>
          <a:headEnd/>
          <a:tailEnd/>
        </a:ln>
      </xdr:spPr>
      <xdr:txBody>
        <a:bodyPr/>
        <a:lstStyle/>
        <a:p>
          <a:r>
            <a:rPr lang="en-US" altLang="ja-JP" sz="1000"/>
            <a:t>CZ80001b_DAILY_yyyymmdd.err</a:t>
          </a:r>
          <a:endParaRPr lang="ja-JP" altLang="en-US" sz="1000"/>
        </a:p>
      </xdr:txBody>
    </xdr:sp>
    <xdr:clientData/>
  </xdr:twoCellAnchor>
  <xdr:twoCellAnchor>
    <xdr:from>
      <xdr:col>67</xdr:col>
      <xdr:colOff>56029</xdr:colOff>
      <xdr:row>12</xdr:row>
      <xdr:rowOff>179295</xdr:rowOff>
    </xdr:from>
    <xdr:to>
      <xdr:col>75</xdr:col>
      <xdr:colOff>44825</xdr:colOff>
      <xdr:row>14</xdr:row>
      <xdr:rowOff>67236</xdr:rowOff>
    </xdr:to>
    <xdr:sp macro="" textlink="">
      <xdr:nvSpPr>
        <xdr:cNvPr id="35" name="Text Box 51">
          <a:extLst>
            <a:ext uri="{FF2B5EF4-FFF2-40B4-BE49-F238E27FC236}">
              <a16:creationId xmlns:a16="http://schemas.microsoft.com/office/drawing/2014/main" id="{00000000-0008-0000-0B00-000023000000}"/>
            </a:ext>
          </a:extLst>
        </xdr:cNvPr>
        <xdr:cNvSpPr txBox="1">
          <a:spLocks noChangeArrowheads="1"/>
        </xdr:cNvSpPr>
      </xdr:nvSpPr>
      <xdr:spPr bwMode="auto">
        <a:xfrm>
          <a:off x="9628654" y="2465295"/>
          <a:ext cx="1131796" cy="268941"/>
        </a:xfrm>
        <a:prstGeom prst="rect">
          <a:avLst/>
        </a:prstGeom>
        <a:noFill/>
        <a:ln w="9525">
          <a:noFill/>
          <a:miter lim="800000"/>
          <a:headEnd/>
          <a:tailEnd/>
        </a:ln>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ゴシック"/>
              <a:ea typeface="ＭＳ ゴシック"/>
            </a:rPr>
            <a:t>ログ出力</a:t>
          </a:r>
          <a:endParaRPr lang="en-US" altLang="ja-JP" sz="1000" b="0" i="0" u="none" strike="noStrike" baseline="0">
            <a:solidFill>
              <a:srgbClr val="000000"/>
            </a:solidFill>
            <a:latin typeface="ＭＳ ゴシック"/>
            <a:ea typeface="ＭＳ ゴシック"/>
          </a:endParaRPr>
        </a:p>
      </xdr:txBody>
    </xdr:sp>
    <xdr:clientData/>
  </xdr:twoCellAnchor>
  <xdr:twoCellAnchor>
    <xdr:from>
      <xdr:col>64</xdr:col>
      <xdr:colOff>100852</xdr:colOff>
      <xdr:row>13</xdr:row>
      <xdr:rowOff>168088</xdr:rowOff>
    </xdr:from>
    <xdr:to>
      <xdr:col>72</xdr:col>
      <xdr:colOff>15440</xdr:colOff>
      <xdr:row>13</xdr:row>
      <xdr:rowOff>168088</xdr:rowOff>
    </xdr:to>
    <xdr:cxnSp macro="">
      <xdr:nvCxnSpPr>
        <xdr:cNvPr id="36" name="直線矢印コネクタ 35">
          <a:extLst>
            <a:ext uri="{FF2B5EF4-FFF2-40B4-BE49-F238E27FC236}">
              <a16:creationId xmlns:a16="http://schemas.microsoft.com/office/drawing/2014/main" id="{00000000-0008-0000-0B00-000024000000}"/>
            </a:ext>
          </a:extLst>
        </xdr:cNvPr>
        <xdr:cNvCxnSpPr/>
      </xdr:nvCxnSpPr>
      <xdr:spPr bwMode="auto">
        <a:xfrm>
          <a:off x="9244852" y="2644588"/>
          <a:ext cx="1057588" cy="0"/>
        </a:xfrm>
        <a:prstGeom prst="straightConnector1">
          <a:avLst/>
        </a:prstGeom>
        <a:solidFill>
          <a:srgbClr val="FFFFFF"/>
        </a:solidFill>
        <a:ln w="28575" cap="flat" cmpd="sng" algn="ctr">
          <a:solidFill>
            <a:srgbClr val="00B050"/>
          </a:solidFill>
          <a:prstDash val="solid"/>
          <a:round/>
          <a:headEnd type="none" w="med" len="med"/>
          <a:tailEnd type="triangle"/>
        </a:ln>
        <a:effectLst/>
      </xdr:spPr>
    </xdr:cxnSp>
    <xdr:clientData/>
  </xdr:twoCellAnchor>
  <xdr:twoCellAnchor>
    <xdr:from>
      <xdr:col>4</xdr:col>
      <xdr:colOff>0</xdr:colOff>
      <xdr:row>13</xdr:row>
      <xdr:rowOff>0</xdr:rowOff>
    </xdr:from>
    <xdr:to>
      <xdr:col>13</xdr:col>
      <xdr:colOff>117662</xdr:colOff>
      <xdr:row>16</xdr:row>
      <xdr:rowOff>85725</xdr:rowOff>
    </xdr:to>
    <xdr:sp macro="" textlink="">
      <xdr:nvSpPr>
        <xdr:cNvPr id="37" name="AutoShape 6">
          <a:extLst>
            <a:ext uri="{FF2B5EF4-FFF2-40B4-BE49-F238E27FC236}">
              <a16:creationId xmlns:a16="http://schemas.microsoft.com/office/drawing/2014/main" id="{00000000-0008-0000-0B00-000025000000}"/>
            </a:ext>
          </a:extLst>
        </xdr:cNvPr>
        <xdr:cNvSpPr>
          <a:spLocks noChangeArrowheads="1"/>
        </xdr:cNvSpPr>
      </xdr:nvSpPr>
      <xdr:spPr bwMode="auto">
        <a:xfrm>
          <a:off x="571500" y="2476500"/>
          <a:ext cx="1403537" cy="657225"/>
        </a:xfrm>
        <a:prstGeom prst="foldedCorner">
          <a:avLst>
            <a:gd name="adj" fmla="val 34375"/>
          </a:avLst>
        </a:prstGeom>
        <a:solidFill>
          <a:srgbClr val="FFFF00"/>
        </a:solidFill>
        <a:ln w="9525">
          <a:solidFill>
            <a:srgbClr val="000000"/>
          </a:solidFill>
          <a:round/>
          <a:headEnd/>
          <a:tailEnd/>
        </a:ln>
      </xdr:spPr>
      <xdr:txBody>
        <a:bodyPr/>
        <a:lstStyle/>
        <a:p>
          <a:r>
            <a:rPr lang="ja-JP" altLang="en-US" sz="1000"/>
            <a:t>統合</a:t>
          </a:r>
          <a:r>
            <a:rPr lang="en-US" altLang="ja-JP" sz="1000"/>
            <a:t>DB</a:t>
          </a:r>
          <a:r>
            <a:rPr lang="ja-JP" altLang="en-US" sz="1000"/>
            <a:t>連携用バッチ</a:t>
          </a:r>
          <a:endParaRPr lang="en-US" altLang="ja-JP" sz="1000"/>
        </a:p>
        <a:p>
          <a:r>
            <a:rPr lang="en-US" altLang="ja-JP" sz="1000"/>
            <a:t>(C:\script)</a:t>
          </a:r>
        </a:p>
        <a:p>
          <a:r>
            <a:rPr lang="en-US" altLang="ja-JP" sz="1000"/>
            <a:t>※bat</a:t>
          </a:r>
          <a:r>
            <a:rPr lang="ja-JP" altLang="en-US" sz="1000"/>
            <a:t>ファイル</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6.xml"/><Relationship Id="rId1" Type="http://schemas.openxmlformats.org/officeDocument/2006/relationships/printerSettings" Target="../printerSettings/printerSettings12.bin"/><Relationship Id="rId4"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0:AB78"/>
  <sheetViews>
    <sheetView tabSelected="1" view="pageBreakPreview" zoomScaleNormal="100" zoomScaleSheetLayoutView="100" workbookViewId="0"/>
  </sheetViews>
  <sheetFormatPr defaultRowHeight="13.5" x14ac:dyDescent="0.15"/>
  <cols>
    <col min="1" max="32" width="4.5" style="31" customWidth="1"/>
    <col min="33" max="16384" width="9" style="31"/>
  </cols>
  <sheetData>
    <row r="10" spans="7:24" s="8" customFormat="1" x14ac:dyDescent="0.15">
      <c r="G10" s="22"/>
      <c r="H10" s="23"/>
      <c r="I10" s="23"/>
      <c r="J10" s="23"/>
      <c r="K10" s="23"/>
      <c r="L10" s="23"/>
      <c r="M10" s="23"/>
      <c r="N10" s="23"/>
      <c r="O10" s="23"/>
      <c r="P10" s="23"/>
      <c r="Q10" s="23"/>
      <c r="R10" s="23"/>
      <c r="S10" s="23"/>
      <c r="T10" s="23"/>
      <c r="U10" s="23"/>
      <c r="V10" s="23"/>
      <c r="W10" s="23"/>
      <c r="X10" s="24"/>
    </row>
    <row r="11" spans="7:24" s="8" customFormat="1" x14ac:dyDescent="0.15">
      <c r="G11" s="191" t="str">
        <f>I40</f>
        <v>教務システム</v>
      </c>
      <c r="H11" s="192"/>
      <c r="I11" s="192"/>
      <c r="J11" s="192"/>
      <c r="K11" s="192"/>
      <c r="L11" s="192"/>
      <c r="M11" s="192"/>
      <c r="N11" s="192"/>
      <c r="O11" s="192"/>
      <c r="P11" s="192"/>
      <c r="Q11" s="192"/>
      <c r="R11" s="192"/>
      <c r="S11" s="192"/>
      <c r="T11" s="192"/>
      <c r="U11" s="192"/>
      <c r="V11" s="192"/>
      <c r="W11" s="192"/>
      <c r="X11" s="193"/>
    </row>
    <row r="12" spans="7:24" s="8" customFormat="1" x14ac:dyDescent="0.15">
      <c r="G12" s="191"/>
      <c r="H12" s="192"/>
      <c r="I12" s="192"/>
      <c r="J12" s="192"/>
      <c r="K12" s="192"/>
      <c r="L12" s="192"/>
      <c r="M12" s="192"/>
      <c r="N12" s="192"/>
      <c r="O12" s="192"/>
      <c r="P12" s="192"/>
      <c r="Q12" s="192"/>
      <c r="R12" s="192"/>
      <c r="S12" s="192"/>
      <c r="T12" s="192"/>
      <c r="U12" s="192"/>
      <c r="V12" s="192"/>
      <c r="W12" s="192"/>
      <c r="X12" s="193"/>
    </row>
    <row r="13" spans="7:24" s="8" customFormat="1" x14ac:dyDescent="0.15">
      <c r="G13" s="25"/>
      <c r="H13" s="26"/>
      <c r="I13" s="26"/>
      <c r="J13" s="26"/>
      <c r="K13" s="26"/>
      <c r="L13" s="26"/>
      <c r="M13" s="26"/>
      <c r="N13" s="26"/>
      <c r="O13" s="26"/>
      <c r="P13" s="26"/>
      <c r="Q13" s="26"/>
      <c r="R13" s="26"/>
      <c r="S13" s="26"/>
      <c r="T13" s="26"/>
      <c r="U13" s="26"/>
      <c r="V13" s="26"/>
      <c r="W13" s="26"/>
      <c r="X13" s="27"/>
    </row>
    <row r="14" spans="7:24" s="8" customFormat="1" x14ac:dyDescent="0.15">
      <c r="G14" s="188" t="str">
        <f>I44</f>
        <v>システム環境定義書</v>
      </c>
      <c r="H14" s="189"/>
      <c r="I14" s="189"/>
      <c r="J14" s="189"/>
      <c r="K14" s="189"/>
      <c r="L14" s="189"/>
      <c r="M14" s="189"/>
      <c r="N14" s="189"/>
      <c r="O14" s="189"/>
      <c r="P14" s="189"/>
      <c r="Q14" s="189"/>
      <c r="R14" s="189"/>
      <c r="S14" s="189"/>
      <c r="T14" s="189"/>
      <c r="U14" s="189"/>
      <c r="V14" s="189"/>
      <c r="W14" s="189"/>
      <c r="X14" s="190"/>
    </row>
    <row r="15" spans="7:24" s="8" customFormat="1" x14ac:dyDescent="0.15">
      <c r="G15" s="188"/>
      <c r="H15" s="189"/>
      <c r="I15" s="189"/>
      <c r="J15" s="189"/>
      <c r="K15" s="189"/>
      <c r="L15" s="189"/>
      <c r="M15" s="189"/>
      <c r="N15" s="189"/>
      <c r="O15" s="189"/>
      <c r="P15" s="189"/>
      <c r="Q15" s="189"/>
      <c r="R15" s="189"/>
      <c r="S15" s="189"/>
      <c r="T15" s="189"/>
      <c r="U15" s="189"/>
      <c r="V15" s="189"/>
      <c r="W15" s="189"/>
      <c r="X15" s="190"/>
    </row>
    <row r="16" spans="7:24" s="8" customFormat="1" x14ac:dyDescent="0.15">
      <c r="G16" s="25"/>
      <c r="H16" s="26"/>
      <c r="I16" s="26"/>
      <c r="J16" s="26"/>
      <c r="K16" s="26"/>
      <c r="L16" s="26"/>
      <c r="M16" s="26"/>
      <c r="N16" s="26"/>
      <c r="O16" s="26"/>
      <c r="P16" s="26"/>
      <c r="Q16" s="26"/>
      <c r="R16" s="26"/>
      <c r="S16" s="26"/>
      <c r="T16" s="26"/>
      <c r="U16" s="26"/>
      <c r="V16" s="26"/>
      <c r="W16" s="26"/>
      <c r="X16" s="27"/>
    </row>
    <row r="17" spans="7:24" s="8" customFormat="1" x14ac:dyDescent="0.15">
      <c r="G17" s="191" t="str">
        <f>I42</f>
        <v>社内開発機</v>
      </c>
      <c r="H17" s="192"/>
      <c r="I17" s="192"/>
      <c r="J17" s="192"/>
      <c r="K17" s="192"/>
      <c r="L17" s="192"/>
      <c r="M17" s="192"/>
      <c r="N17" s="192"/>
      <c r="O17" s="192"/>
      <c r="P17" s="192"/>
      <c r="Q17" s="192"/>
      <c r="R17" s="192"/>
      <c r="S17" s="192"/>
      <c r="T17" s="192"/>
      <c r="U17" s="192"/>
      <c r="V17" s="192"/>
      <c r="W17" s="192"/>
      <c r="X17" s="193"/>
    </row>
    <row r="18" spans="7:24" s="8" customFormat="1" x14ac:dyDescent="0.15">
      <c r="G18" s="191"/>
      <c r="H18" s="192"/>
      <c r="I18" s="192"/>
      <c r="J18" s="192"/>
      <c r="K18" s="192"/>
      <c r="L18" s="192"/>
      <c r="M18" s="192"/>
      <c r="N18" s="192"/>
      <c r="O18" s="192"/>
      <c r="P18" s="192"/>
      <c r="Q18" s="192"/>
      <c r="R18" s="192"/>
      <c r="S18" s="192"/>
      <c r="T18" s="192"/>
      <c r="U18" s="192"/>
      <c r="V18" s="192"/>
      <c r="W18" s="192"/>
      <c r="X18" s="193"/>
    </row>
    <row r="19" spans="7:24" s="8" customFormat="1" x14ac:dyDescent="0.15">
      <c r="G19" s="25"/>
      <c r="H19" s="26"/>
      <c r="I19" s="26"/>
      <c r="J19" s="26"/>
      <c r="K19" s="26"/>
      <c r="L19" s="26"/>
      <c r="M19" s="26"/>
      <c r="N19" s="26"/>
      <c r="O19" s="26"/>
      <c r="P19" s="26"/>
      <c r="Q19" s="26"/>
      <c r="R19" s="26"/>
      <c r="S19" s="26"/>
      <c r="T19" s="26"/>
      <c r="U19" s="26"/>
      <c r="V19" s="26"/>
      <c r="W19" s="26"/>
      <c r="X19" s="27"/>
    </row>
    <row r="20" spans="7:24" s="8" customFormat="1" x14ac:dyDescent="0.15">
      <c r="G20" s="191" t="str">
        <f>I51</f>
        <v>【 Ver 1.00 】</v>
      </c>
      <c r="H20" s="192"/>
      <c r="I20" s="192"/>
      <c r="J20" s="192"/>
      <c r="K20" s="192"/>
      <c r="L20" s="192"/>
      <c r="M20" s="192"/>
      <c r="N20" s="192"/>
      <c r="O20" s="192"/>
      <c r="P20" s="192"/>
      <c r="Q20" s="192"/>
      <c r="R20" s="192"/>
      <c r="S20" s="192"/>
      <c r="T20" s="192"/>
      <c r="U20" s="192"/>
      <c r="V20" s="192"/>
      <c r="W20" s="192"/>
      <c r="X20" s="193"/>
    </row>
    <row r="21" spans="7:24" s="8" customFormat="1" x14ac:dyDescent="0.15">
      <c r="G21" s="191"/>
      <c r="H21" s="192"/>
      <c r="I21" s="192"/>
      <c r="J21" s="192"/>
      <c r="K21" s="192"/>
      <c r="L21" s="192"/>
      <c r="M21" s="192"/>
      <c r="N21" s="192"/>
      <c r="O21" s="192"/>
      <c r="P21" s="192"/>
      <c r="Q21" s="192"/>
      <c r="R21" s="192"/>
      <c r="S21" s="192"/>
      <c r="T21" s="192"/>
      <c r="U21" s="192"/>
      <c r="V21" s="192"/>
      <c r="W21" s="192"/>
      <c r="X21" s="193"/>
    </row>
    <row r="22" spans="7:24" s="8" customFormat="1" x14ac:dyDescent="0.15">
      <c r="G22" s="28"/>
      <c r="H22" s="29"/>
      <c r="I22" s="29"/>
      <c r="J22" s="29"/>
      <c r="K22" s="29"/>
      <c r="L22" s="29"/>
      <c r="M22" s="29"/>
      <c r="N22" s="29"/>
      <c r="O22" s="29"/>
      <c r="P22" s="29"/>
      <c r="Q22" s="29"/>
      <c r="R22" s="29"/>
      <c r="S22" s="29"/>
      <c r="T22" s="29"/>
      <c r="U22" s="29"/>
      <c r="V22" s="29"/>
      <c r="W22" s="29"/>
      <c r="X22" s="30"/>
    </row>
    <row r="27" spans="7:24" s="45" customFormat="1" x14ac:dyDescent="0.15">
      <c r="J27" s="194" t="str">
        <f>TEXT(I47,"yyyy年")&amp;IF(LEFT(TEXT(I47,"mm"),1)="0"," ","")&amp;TEXT(I47,"m月")&amp;IF(LEFT(TEXT(I47,"dd"),1)="0"," ","")&amp;TEXT(I47,"d日")&amp;"作成"</f>
        <v>2024年 2月14日作成</v>
      </c>
      <c r="K27" s="195"/>
      <c r="L27" s="195"/>
      <c r="M27" s="195"/>
      <c r="N27" s="195"/>
      <c r="O27" s="195"/>
      <c r="P27" s="195"/>
      <c r="Q27" s="195"/>
      <c r="R27" s="195"/>
      <c r="S27" s="195"/>
      <c r="T27" s="195"/>
    </row>
    <row r="28" spans="7:24" s="45" customFormat="1" x14ac:dyDescent="0.15">
      <c r="J28" s="195"/>
      <c r="K28" s="195"/>
      <c r="L28" s="195"/>
      <c r="M28" s="195"/>
      <c r="N28" s="195"/>
      <c r="O28" s="195"/>
      <c r="P28" s="195"/>
      <c r="Q28" s="195"/>
      <c r="R28" s="195"/>
      <c r="S28" s="195"/>
      <c r="T28" s="195"/>
    </row>
    <row r="29" spans="7:24" s="45" customFormat="1" x14ac:dyDescent="0.15">
      <c r="J29" s="194"/>
      <c r="K29" s="195"/>
      <c r="L29" s="195"/>
      <c r="M29" s="195"/>
      <c r="N29" s="195"/>
      <c r="O29" s="195"/>
      <c r="P29" s="195"/>
      <c r="Q29" s="195"/>
      <c r="R29" s="195"/>
      <c r="S29" s="195"/>
      <c r="T29" s="195"/>
    </row>
    <row r="30" spans="7:24" s="45" customFormat="1" x14ac:dyDescent="0.15">
      <c r="J30" s="195"/>
      <c r="K30" s="195"/>
      <c r="L30" s="195"/>
      <c r="M30" s="195"/>
      <c r="N30" s="195"/>
      <c r="O30" s="195"/>
      <c r="P30" s="195"/>
      <c r="Q30" s="195"/>
      <c r="R30" s="195"/>
      <c r="S30" s="195"/>
      <c r="T30" s="195"/>
    </row>
    <row r="31" spans="7:24" s="45" customFormat="1" x14ac:dyDescent="0.15"/>
    <row r="38" spans="2:28" ht="36" customHeight="1" x14ac:dyDescent="0.15">
      <c r="B38" s="185" t="s">
        <v>69</v>
      </c>
      <c r="C38" s="185"/>
      <c r="D38" s="185"/>
      <c r="E38" s="185"/>
      <c r="F38" s="185"/>
      <c r="G38" s="185"/>
      <c r="H38" s="185"/>
      <c r="I38" s="185"/>
      <c r="J38" s="185"/>
      <c r="K38" s="185"/>
      <c r="L38" s="185"/>
      <c r="M38" s="185"/>
      <c r="N38" s="185"/>
      <c r="O38" s="185"/>
      <c r="P38" s="185"/>
      <c r="Q38" s="185"/>
      <c r="R38" s="185"/>
      <c r="S38" s="185"/>
      <c r="T38" s="185"/>
      <c r="U38" s="185"/>
      <c r="V38" s="185"/>
      <c r="W38" s="185"/>
      <c r="X38" s="185"/>
      <c r="Y38" s="185"/>
      <c r="Z38" s="185"/>
      <c r="AA38" s="185"/>
      <c r="AB38" s="185"/>
    </row>
    <row r="39" spans="2:28" s="32" customFormat="1" ht="23.25" customHeight="1" x14ac:dyDescent="0.15">
      <c r="B39" s="184" t="s">
        <v>43</v>
      </c>
      <c r="C39" s="184"/>
      <c r="D39" s="184"/>
      <c r="E39" s="184"/>
      <c r="F39" s="184"/>
      <c r="G39" s="184"/>
      <c r="H39" s="184"/>
      <c r="I39" s="184" t="s">
        <v>44</v>
      </c>
      <c r="J39" s="184"/>
      <c r="K39" s="184"/>
      <c r="L39" s="184"/>
      <c r="M39" s="184"/>
      <c r="N39" s="184"/>
      <c r="O39" s="184"/>
      <c r="P39" s="184"/>
      <c r="Q39" s="184"/>
      <c r="R39" s="184"/>
      <c r="S39" s="184"/>
      <c r="T39" s="184"/>
      <c r="U39" s="184"/>
      <c r="V39" s="184"/>
      <c r="W39" s="184"/>
      <c r="X39" s="184"/>
      <c r="Y39" s="184"/>
      <c r="Z39" s="184"/>
      <c r="AA39" s="184"/>
      <c r="AB39" s="184"/>
    </row>
    <row r="40" spans="2:28" s="32" customFormat="1" ht="23.25" customHeight="1" x14ac:dyDescent="0.15">
      <c r="B40" s="181" t="s">
        <v>45</v>
      </c>
      <c r="C40" s="181"/>
      <c r="D40" s="181"/>
      <c r="E40" s="181"/>
      <c r="F40" s="181"/>
      <c r="G40" s="181"/>
      <c r="H40" s="181"/>
      <c r="I40" s="182" t="s">
        <v>103</v>
      </c>
      <c r="J40" s="183"/>
      <c r="K40" s="183"/>
      <c r="L40" s="183"/>
      <c r="M40" s="183"/>
      <c r="N40" s="183"/>
      <c r="O40" s="183"/>
      <c r="P40" s="183"/>
      <c r="Q40" s="183"/>
      <c r="R40" s="183"/>
      <c r="S40" s="183"/>
      <c r="T40" s="183"/>
      <c r="U40" s="183"/>
      <c r="V40" s="183"/>
      <c r="W40" s="183"/>
      <c r="X40" s="183"/>
      <c r="Y40" s="183"/>
      <c r="Z40" s="183"/>
      <c r="AA40" s="183"/>
      <c r="AB40" s="183"/>
    </row>
    <row r="41" spans="2:28" s="32" customFormat="1" ht="23.25" customHeight="1" x14ac:dyDescent="0.15">
      <c r="B41" s="181" t="s">
        <v>47</v>
      </c>
      <c r="C41" s="181"/>
      <c r="D41" s="181"/>
      <c r="E41" s="181"/>
      <c r="F41" s="181"/>
      <c r="G41" s="181"/>
      <c r="H41" s="181"/>
      <c r="I41" s="183" t="s">
        <v>48</v>
      </c>
      <c r="J41" s="183"/>
      <c r="K41" s="183"/>
      <c r="L41" s="183"/>
      <c r="M41" s="183"/>
      <c r="N41" s="183"/>
      <c r="O41" s="183"/>
      <c r="P41" s="183"/>
      <c r="Q41" s="183"/>
      <c r="R41" s="183"/>
      <c r="S41" s="183"/>
      <c r="T41" s="183"/>
      <c r="U41" s="183"/>
      <c r="V41" s="183"/>
      <c r="W41" s="183"/>
      <c r="X41" s="183"/>
      <c r="Y41" s="183"/>
      <c r="Z41" s="183"/>
      <c r="AA41" s="183"/>
      <c r="AB41" s="183"/>
    </row>
    <row r="42" spans="2:28" s="32" customFormat="1" ht="23.25" customHeight="1" x14ac:dyDescent="0.15">
      <c r="B42" s="181" t="s">
        <v>49</v>
      </c>
      <c r="C42" s="181"/>
      <c r="D42" s="181"/>
      <c r="E42" s="181"/>
      <c r="F42" s="181"/>
      <c r="G42" s="181"/>
      <c r="H42" s="181"/>
      <c r="I42" s="182" t="s">
        <v>976</v>
      </c>
      <c r="J42" s="183"/>
      <c r="K42" s="183"/>
      <c r="L42" s="183"/>
      <c r="M42" s="183"/>
      <c r="N42" s="183"/>
      <c r="O42" s="183"/>
      <c r="P42" s="183"/>
      <c r="Q42" s="183"/>
      <c r="R42" s="183"/>
      <c r="S42" s="183"/>
      <c r="T42" s="183"/>
      <c r="U42" s="183"/>
      <c r="V42" s="183"/>
      <c r="W42" s="183"/>
      <c r="X42" s="183"/>
      <c r="Y42" s="183"/>
      <c r="Z42" s="183"/>
      <c r="AA42" s="183"/>
      <c r="AB42" s="183"/>
    </row>
    <row r="43" spans="2:28" s="32" customFormat="1" ht="23.25" customHeight="1" x14ac:dyDescent="0.15">
      <c r="B43" s="181" t="s">
        <v>50</v>
      </c>
      <c r="C43" s="181"/>
      <c r="D43" s="181"/>
      <c r="E43" s="181"/>
      <c r="F43" s="181"/>
      <c r="G43" s="181"/>
      <c r="H43" s="181"/>
      <c r="I43" s="183" t="s">
        <v>51</v>
      </c>
      <c r="J43" s="183"/>
      <c r="K43" s="183"/>
      <c r="L43" s="183"/>
      <c r="M43" s="183"/>
      <c r="N43" s="183"/>
      <c r="O43" s="183"/>
      <c r="P43" s="183"/>
      <c r="Q43" s="183"/>
      <c r="R43" s="183"/>
      <c r="S43" s="183"/>
      <c r="T43" s="183"/>
      <c r="U43" s="183"/>
      <c r="V43" s="183"/>
      <c r="W43" s="183"/>
      <c r="X43" s="183"/>
      <c r="Y43" s="183"/>
      <c r="Z43" s="183"/>
      <c r="AA43" s="183"/>
      <c r="AB43" s="183"/>
    </row>
    <row r="44" spans="2:28" s="32" customFormat="1" ht="23.25" customHeight="1" x14ac:dyDescent="0.15">
      <c r="B44" s="181" t="s">
        <v>52</v>
      </c>
      <c r="C44" s="181"/>
      <c r="D44" s="181"/>
      <c r="E44" s="181"/>
      <c r="F44" s="181"/>
      <c r="G44" s="181"/>
      <c r="H44" s="181"/>
      <c r="I44" s="183" t="s">
        <v>29</v>
      </c>
      <c r="J44" s="183"/>
      <c r="K44" s="183"/>
      <c r="L44" s="183"/>
      <c r="M44" s="183"/>
      <c r="N44" s="183"/>
      <c r="O44" s="183"/>
      <c r="P44" s="183"/>
      <c r="Q44" s="183"/>
      <c r="R44" s="183"/>
      <c r="S44" s="183"/>
      <c r="T44" s="183"/>
      <c r="U44" s="183"/>
      <c r="V44" s="183"/>
      <c r="W44" s="183"/>
      <c r="X44" s="183"/>
      <c r="Y44" s="183"/>
      <c r="Z44" s="183"/>
      <c r="AA44" s="183"/>
      <c r="AB44" s="183"/>
    </row>
    <row r="45" spans="2:28" s="32" customFormat="1" ht="23.25" customHeight="1" x14ac:dyDescent="0.15">
      <c r="B45" s="181" t="s">
        <v>53</v>
      </c>
      <c r="C45" s="181"/>
      <c r="D45" s="181"/>
      <c r="E45" s="181"/>
      <c r="F45" s="181"/>
      <c r="G45" s="181"/>
      <c r="H45" s="181"/>
      <c r="I45" s="183" t="s">
        <v>60</v>
      </c>
      <c r="J45" s="183"/>
      <c r="K45" s="183"/>
      <c r="L45" s="183"/>
      <c r="M45" s="183"/>
      <c r="N45" s="183"/>
      <c r="O45" s="183"/>
      <c r="P45" s="183"/>
      <c r="Q45" s="183"/>
      <c r="R45" s="183"/>
      <c r="S45" s="183"/>
      <c r="T45" s="183"/>
      <c r="U45" s="183"/>
      <c r="V45" s="183"/>
      <c r="W45" s="183"/>
      <c r="X45" s="183"/>
      <c r="Y45" s="183"/>
      <c r="Z45" s="183"/>
      <c r="AA45" s="183"/>
      <c r="AB45" s="183"/>
    </row>
    <row r="46" spans="2:28" s="32" customFormat="1" ht="23.25" customHeight="1" x14ac:dyDescent="0.15">
      <c r="B46" s="181" t="s">
        <v>61</v>
      </c>
      <c r="C46" s="181"/>
      <c r="D46" s="181"/>
      <c r="E46" s="181"/>
      <c r="F46" s="181"/>
      <c r="G46" s="181"/>
      <c r="H46" s="181"/>
      <c r="I46" s="182" t="s">
        <v>386</v>
      </c>
      <c r="J46" s="183"/>
      <c r="K46" s="183"/>
      <c r="L46" s="183"/>
      <c r="M46" s="183"/>
      <c r="N46" s="183"/>
      <c r="O46" s="183"/>
      <c r="P46" s="183"/>
      <c r="Q46" s="183"/>
      <c r="R46" s="183"/>
      <c r="S46" s="183"/>
      <c r="T46" s="183"/>
      <c r="U46" s="183"/>
      <c r="V46" s="183"/>
      <c r="W46" s="183"/>
      <c r="X46" s="183"/>
      <c r="Y46" s="183"/>
      <c r="Z46" s="183"/>
      <c r="AA46" s="183"/>
      <c r="AB46" s="183"/>
    </row>
    <row r="47" spans="2:28" s="32" customFormat="1" ht="23.25" customHeight="1" x14ac:dyDescent="0.15">
      <c r="B47" s="181" t="s">
        <v>62</v>
      </c>
      <c r="C47" s="181"/>
      <c r="D47" s="181"/>
      <c r="E47" s="181"/>
      <c r="F47" s="181"/>
      <c r="G47" s="181"/>
      <c r="H47" s="181"/>
      <c r="I47" s="186">
        <v>45336</v>
      </c>
      <c r="J47" s="187"/>
      <c r="K47" s="187"/>
      <c r="L47" s="187"/>
      <c r="M47" s="187"/>
      <c r="N47" s="187"/>
      <c r="O47" s="187"/>
      <c r="P47" s="187"/>
      <c r="Q47" s="187"/>
      <c r="R47" s="187"/>
      <c r="S47" s="183"/>
      <c r="T47" s="183"/>
      <c r="U47" s="183"/>
      <c r="V47" s="183"/>
      <c r="W47" s="183"/>
      <c r="X47" s="183"/>
      <c r="Y47" s="183"/>
      <c r="Z47" s="183"/>
      <c r="AA47" s="183"/>
      <c r="AB47" s="183"/>
    </row>
    <row r="48" spans="2:28" s="32" customFormat="1" ht="24" customHeight="1" x14ac:dyDescent="0.15">
      <c r="B48" s="181" t="s">
        <v>63</v>
      </c>
      <c r="C48" s="181"/>
      <c r="D48" s="181"/>
      <c r="E48" s="181"/>
      <c r="F48" s="181"/>
      <c r="G48" s="181"/>
      <c r="H48" s="181"/>
      <c r="I48" s="183" t="s">
        <v>60</v>
      </c>
      <c r="J48" s="183"/>
      <c r="K48" s="183"/>
      <c r="L48" s="183"/>
      <c r="M48" s="183"/>
      <c r="N48" s="183"/>
      <c r="O48" s="183"/>
      <c r="P48" s="183"/>
      <c r="Q48" s="183"/>
      <c r="R48" s="183"/>
      <c r="S48" s="183"/>
      <c r="T48" s="183"/>
      <c r="U48" s="183"/>
      <c r="V48" s="183"/>
      <c r="W48" s="183"/>
      <c r="X48" s="183"/>
      <c r="Y48" s="183"/>
      <c r="Z48" s="183"/>
      <c r="AA48" s="183"/>
      <c r="AB48" s="183"/>
    </row>
    <row r="49" spans="2:28" s="32" customFormat="1" ht="24" customHeight="1" x14ac:dyDescent="0.15">
      <c r="B49" s="181" t="s">
        <v>0</v>
      </c>
      <c r="C49" s="181"/>
      <c r="D49" s="181"/>
      <c r="E49" s="181"/>
      <c r="F49" s="181"/>
      <c r="G49" s="181"/>
      <c r="H49" s="181"/>
      <c r="I49" s="182" t="s">
        <v>592</v>
      </c>
      <c r="J49" s="183"/>
      <c r="K49" s="183"/>
      <c r="L49" s="183"/>
      <c r="M49" s="183"/>
      <c r="N49" s="183"/>
      <c r="O49" s="183"/>
      <c r="P49" s="183"/>
      <c r="Q49" s="183"/>
      <c r="R49" s="183"/>
      <c r="S49" s="183"/>
      <c r="T49" s="183"/>
      <c r="U49" s="183"/>
      <c r="V49" s="183"/>
      <c r="W49" s="183"/>
      <c r="X49" s="183"/>
      <c r="Y49" s="183"/>
      <c r="Z49" s="183"/>
      <c r="AA49" s="183"/>
      <c r="AB49" s="183"/>
    </row>
    <row r="50" spans="2:28" s="32" customFormat="1" ht="24" customHeight="1" x14ac:dyDescent="0.15">
      <c r="B50" s="181" t="s">
        <v>1</v>
      </c>
      <c r="C50" s="181"/>
      <c r="D50" s="181"/>
      <c r="E50" s="181"/>
      <c r="F50" s="181"/>
      <c r="G50" s="181"/>
      <c r="H50" s="181"/>
      <c r="I50" s="182" t="s">
        <v>592</v>
      </c>
      <c r="J50" s="183"/>
      <c r="K50" s="183"/>
      <c r="L50" s="183"/>
      <c r="M50" s="183"/>
      <c r="N50" s="183"/>
      <c r="O50" s="183"/>
      <c r="P50" s="183"/>
      <c r="Q50" s="183"/>
      <c r="R50" s="183"/>
      <c r="S50" s="183"/>
      <c r="T50" s="183"/>
      <c r="U50" s="183"/>
      <c r="V50" s="183"/>
      <c r="W50" s="183"/>
      <c r="X50" s="183"/>
      <c r="Y50" s="183"/>
      <c r="Z50" s="183"/>
      <c r="AA50" s="183"/>
      <c r="AB50" s="183"/>
    </row>
    <row r="51" spans="2:28" s="32" customFormat="1" ht="24" customHeight="1" x14ac:dyDescent="0.15">
      <c r="B51" s="181" t="s">
        <v>2</v>
      </c>
      <c r="C51" s="181"/>
      <c r="D51" s="181"/>
      <c r="E51" s="181"/>
      <c r="F51" s="181"/>
      <c r="G51" s="181"/>
      <c r="H51" s="181"/>
      <c r="I51" s="182" t="str">
        <f>"【 Ver " &amp; TEXT(MAX(改訂履歴!E5:E999),"0.00") &amp; " 】"</f>
        <v>【 Ver 1.00 】</v>
      </c>
      <c r="J51" s="183"/>
      <c r="K51" s="183"/>
      <c r="L51" s="183"/>
      <c r="M51" s="183"/>
      <c r="N51" s="183"/>
      <c r="O51" s="183"/>
      <c r="P51" s="183"/>
      <c r="Q51" s="183"/>
      <c r="R51" s="183"/>
      <c r="S51" s="183"/>
      <c r="T51" s="183"/>
      <c r="U51" s="183"/>
      <c r="V51" s="183"/>
      <c r="W51" s="183"/>
      <c r="X51" s="183"/>
      <c r="Y51" s="183"/>
      <c r="Z51" s="183"/>
      <c r="AA51" s="183"/>
      <c r="AB51" s="183"/>
    </row>
    <row r="53" spans="2:28" x14ac:dyDescent="0.15">
      <c r="B53" s="31" t="s">
        <v>3</v>
      </c>
    </row>
    <row r="55" spans="2:28" x14ac:dyDescent="0.15">
      <c r="B55" s="31" t="s">
        <v>4</v>
      </c>
    </row>
    <row r="57" spans="2:28" x14ac:dyDescent="0.15">
      <c r="B57" s="31" t="s">
        <v>5</v>
      </c>
    </row>
    <row r="59" spans="2:28" x14ac:dyDescent="0.15">
      <c r="B59" s="31" t="s">
        <v>6</v>
      </c>
    </row>
    <row r="61" spans="2:28" x14ac:dyDescent="0.15">
      <c r="B61" s="31" t="s">
        <v>7</v>
      </c>
    </row>
    <row r="63" spans="2:28" x14ac:dyDescent="0.15">
      <c r="C63" s="31" t="s">
        <v>8</v>
      </c>
    </row>
    <row r="65" spans="2:12" x14ac:dyDescent="0.15">
      <c r="C65" s="31" t="s">
        <v>9</v>
      </c>
    </row>
    <row r="67" spans="2:12" x14ac:dyDescent="0.15">
      <c r="B67" s="31" t="s">
        <v>10</v>
      </c>
    </row>
    <row r="69" spans="2:12" x14ac:dyDescent="0.15">
      <c r="C69" s="31" t="s">
        <v>39</v>
      </c>
      <c r="J69" s="31" t="s">
        <v>28</v>
      </c>
      <c r="L69" s="31" t="s">
        <v>46</v>
      </c>
    </row>
    <row r="71" spans="2:12" x14ac:dyDescent="0.15">
      <c r="D71" s="31" t="s">
        <v>40</v>
      </c>
      <c r="J71" s="31" t="s">
        <v>28</v>
      </c>
      <c r="L71" s="31" t="s">
        <v>11</v>
      </c>
    </row>
    <row r="72" spans="2:12" x14ac:dyDescent="0.15">
      <c r="L72" s="31" t="s">
        <v>12</v>
      </c>
    </row>
    <row r="73" spans="2:12" x14ac:dyDescent="0.15">
      <c r="L73" s="31" t="s">
        <v>13</v>
      </c>
    </row>
    <row r="75" spans="2:12" x14ac:dyDescent="0.15">
      <c r="E75" s="31" t="s">
        <v>14</v>
      </c>
    </row>
    <row r="78" spans="2:12" x14ac:dyDescent="0.15">
      <c r="F78" s="31" t="s">
        <v>15</v>
      </c>
    </row>
  </sheetData>
  <mergeCells count="33">
    <mergeCell ref="G14:X15"/>
    <mergeCell ref="G17:X18"/>
    <mergeCell ref="J27:T28"/>
    <mergeCell ref="J29:T30"/>
    <mergeCell ref="G11:X12"/>
    <mergeCell ref="G20:X21"/>
    <mergeCell ref="B51:H51"/>
    <mergeCell ref="I51:AB51"/>
    <mergeCell ref="B49:H49"/>
    <mergeCell ref="I49:AB49"/>
    <mergeCell ref="B50:H50"/>
    <mergeCell ref="I50:AB50"/>
    <mergeCell ref="B39:H39"/>
    <mergeCell ref="I39:AB39"/>
    <mergeCell ref="B38:AB38"/>
    <mergeCell ref="B48:H48"/>
    <mergeCell ref="I48:AB48"/>
    <mergeCell ref="B44:H44"/>
    <mergeCell ref="B45:H45"/>
    <mergeCell ref="B46:H46"/>
    <mergeCell ref="B47:H47"/>
    <mergeCell ref="B40:H40"/>
    <mergeCell ref="B41:H41"/>
    <mergeCell ref="B42:H42"/>
    <mergeCell ref="I44:AB44"/>
    <mergeCell ref="I45:AB45"/>
    <mergeCell ref="I46:AB46"/>
    <mergeCell ref="I47:AB47"/>
    <mergeCell ref="B43:H43"/>
    <mergeCell ref="I40:AB40"/>
    <mergeCell ref="I41:AB41"/>
    <mergeCell ref="I42:AB42"/>
    <mergeCell ref="I43:AB43"/>
  </mergeCells>
  <phoneticPr fontId="3"/>
  <pageMargins left="0.78740157480314965" right="0.78740157480314965" top="0.98425196850393704" bottom="0.98425196850393704" header="0.51181102362204722" footer="0.51181102362204722"/>
  <pageSetup paperSize="9" orientation="landscape" r:id="rId1"/>
  <headerFooter alignWithMargins="0"/>
  <drawing r:id="rId2"/>
  <legacyDrawing r:id="rId3"/>
  <oleObjects>
    <mc:AlternateContent xmlns:mc="http://schemas.openxmlformats.org/markup-compatibility/2006">
      <mc:Choice Requires="x14">
        <oleObject progId="MSPhotoEd.3" shapeId="30726" r:id="rId4">
          <objectPr defaultSize="0" autoPict="0" r:id="rId5">
            <anchor moveWithCells="1" sizeWithCells="1">
              <from>
                <xdr:col>11</xdr:col>
                <xdr:colOff>333375</xdr:colOff>
                <xdr:row>33</xdr:row>
                <xdr:rowOff>28575</xdr:rowOff>
              </from>
              <to>
                <xdr:col>18</xdr:col>
                <xdr:colOff>0</xdr:colOff>
                <xdr:row>34</xdr:row>
                <xdr:rowOff>142875</xdr:rowOff>
              </to>
            </anchor>
          </objectPr>
        </oleObject>
      </mc:Choice>
      <mc:Fallback>
        <oleObject progId="MSPhotoEd.3" shapeId="30726"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X36"/>
  <sheetViews>
    <sheetView view="pageBreakPreview" zoomScaleNormal="100" zoomScaleSheetLayoutView="100" workbookViewId="0"/>
  </sheetViews>
  <sheetFormatPr defaultColWidth="1.875" defaultRowHeight="15" customHeight="1" x14ac:dyDescent="0.15"/>
  <cols>
    <col min="1" max="16384" width="1.875" style="31"/>
  </cols>
  <sheetData>
    <row r="1" spans="1:76" s="8" customFormat="1" ht="15" customHeight="1" x14ac:dyDescent="0.15">
      <c r="A1" s="8" t="s">
        <v>16</v>
      </c>
      <c r="G1" s="196" t="str">
        <f>タイトル!I42</f>
        <v>社内開発機</v>
      </c>
      <c r="H1" s="196"/>
      <c r="I1" s="196"/>
      <c r="J1" s="196"/>
      <c r="K1" s="196"/>
      <c r="L1" s="196"/>
      <c r="M1" s="196"/>
      <c r="N1" s="196"/>
      <c r="O1" s="196"/>
      <c r="P1" s="196"/>
      <c r="Q1" s="196"/>
      <c r="R1" s="196"/>
      <c r="S1" s="196"/>
      <c r="T1" s="196"/>
      <c r="U1" s="196"/>
      <c r="V1" s="196"/>
      <c r="W1" s="196"/>
      <c r="X1" s="196"/>
      <c r="Y1" s="196"/>
      <c r="Z1" s="196"/>
      <c r="AA1" s="196"/>
      <c r="AB1" s="196"/>
      <c r="AC1" s="196"/>
      <c r="AD1" s="196"/>
      <c r="AE1" s="196"/>
      <c r="AF1" s="196"/>
      <c r="AG1" s="196"/>
      <c r="BD1" s="33"/>
      <c r="BE1" s="33"/>
      <c r="BF1" s="33"/>
      <c r="BG1" s="33"/>
      <c r="BH1" s="33"/>
      <c r="BI1" s="33"/>
      <c r="BJ1" s="33"/>
      <c r="BK1" s="33"/>
      <c r="BL1" s="33"/>
      <c r="BM1" s="33"/>
      <c r="BN1" s="33"/>
      <c r="BO1" s="33"/>
      <c r="BP1" s="33"/>
      <c r="BQ1" s="33"/>
      <c r="BR1" s="33"/>
      <c r="BS1" s="33"/>
      <c r="BT1" s="33"/>
      <c r="BU1" s="33"/>
      <c r="BV1" s="33"/>
      <c r="BW1" s="33"/>
      <c r="BX1" s="33"/>
    </row>
    <row r="2" spans="1:76" s="8" customFormat="1" ht="15" customHeight="1" x14ac:dyDescent="0.15"/>
    <row r="3" spans="1:76" s="33" customFormat="1" ht="15" customHeight="1" x14ac:dyDescent="0.15">
      <c r="A3" s="203" t="s">
        <v>17</v>
      </c>
      <c r="B3" s="203"/>
      <c r="C3" s="203"/>
      <c r="D3" s="203"/>
      <c r="E3" s="224" t="s">
        <v>18</v>
      </c>
      <c r="F3" s="225"/>
      <c r="G3" s="225"/>
      <c r="H3" s="225"/>
      <c r="I3" s="226"/>
      <c r="J3" s="224" t="s">
        <v>19</v>
      </c>
      <c r="K3" s="225"/>
      <c r="L3" s="225"/>
      <c r="M3" s="225"/>
      <c r="N3" s="225"/>
      <c r="O3" s="225"/>
      <c r="P3" s="225"/>
      <c r="Q3" s="226"/>
      <c r="R3" s="203" t="s">
        <v>20</v>
      </c>
      <c r="S3" s="203"/>
      <c r="T3" s="203"/>
      <c r="U3" s="203"/>
      <c r="V3" s="203"/>
      <c r="W3" s="203" t="s">
        <v>21</v>
      </c>
      <c r="X3" s="203"/>
      <c r="Y3" s="203"/>
      <c r="Z3" s="203"/>
      <c r="AA3" s="203"/>
      <c r="AB3" s="203"/>
      <c r="AC3" s="203"/>
      <c r="AD3" s="203"/>
      <c r="AE3" s="203"/>
      <c r="AF3" s="203"/>
      <c r="AG3" s="203"/>
      <c r="AH3" s="203" t="s">
        <v>22</v>
      </c>
      <c r="AI3" s="203"/>
      <c r="AJ3" s="203"/>
      <c r="AK3" s="203"/>
      <c r="AL3" s="203"/>
      <c r="AM3" s="203"/>
      <c r="AN3" s="203"/>
      <c r="AO3" s="203"/>
      <c r="AP3" s="203"/>
      <c r="AQ3" s="203"/>
      <c r="AR3" s="203"/>
      <c r="AS3" s="203"/>
      <c r="AT3" s="203"/>
      <c r="AU3" s="203"/>
      <c r="AV3" s="203"/>
      <c r="AW3" s="203"/>
      <c r="AX3" s="203"/>
      <c r="AY3" s="203"/>
      <c r="AZ3" s="203"/>
      <c r="BA3" s="203"/>
      <c r="BB3" s="203"/>
      <c r="BC3" s="203"/>
      <c r="BD3" s="203"/>
      <c r="BE3" s="203"/>
      <c r="BF3" s="203"/>
      <c r="BG3" s="203"/>
      <c r="BH3" s="203"/>
      <c r="BI3" s="203"/>
      <c r="BJ3" s="203"/>
      <c r="BK3" s="203"/>
      <c r="BL3" s="203"/>
      <c r="BM3" s="203"/>
      <c r="BN3" s="203"/>
      <c r="BO3" s="203"/>
      <c r="BP3" s="203"/>
      <c r="BQ3" s="203"/>
      <c r="BR3" s="203" t="s">
        <v>23</v>
      </c>
      <c r="BS3" s="203"/>
      <c r="BT3" s="203"/>
      <c r="BU3" s="203"/>
      <c r="BV3" s="203"/>
      <c r="BW3" s="203"/>
      <c r="BX3" s="203"/>
    </row>
    <row r="4" spans="1:76" s="33" customFormat="1" ht="15" customHeight="1" x14ac:dyDescent="0.15">
      <c r="A4" s="203"/>
      <c r="B4" s="203"/>
      <c r="C4" s="203"/>
      <c r="D4" s="203"/>
      <c r="E4" s="227"/>
      <c r="F4" s="228"/>
      <c r="G4" s="228"/>
      <c r="H4" s="228"/>
      <c r="I4" s="229"/>
      <c r="J4" s="227"/>
      <c r="K4" s="228"/>
      <c r="L4" s="228"/>
      <c r="M4" s="228"/>
      <c r="N4" s="228"/>
      <c r="O4" s="228"/>
      <c r="P4" s="228"/>
      <c r="Q4" s="229"/>
      <c r="R4" s="203"/>
      <c r="S4" s="203"/>
      <c r="T4" s="203"/>
      <c r="U4" s="203"/>
      <c r="V4" s="203"/>
      <c r="W4" s="203" t="s">
        <v>24</v>
      </c>
      <c r="X4" s="203"/>
      <c r="Y4" s="203"/>
      <c r="Z4" s="203"/>
      <c r="AA4" s="203" t="s">
        <v>25</v>
      </c>
      <c r="AB4" s="203"/>
      <c r="AC4" s="203"/>
      <c r="AD4" s="203"/>
      <c r="AE4" s="203"/>
      <c r="AF4" s="203"/>
      <c r="AG4" s="203"/>
      <c r="AH4" s="203"/>
      <c r="AI4" s="203"/>
      <c r="AJ4" s="203"/>
      <c r="AK4" s="203"/>
      <c r="AL4" s="203"/>
      <c r="AM4" s="203"/>
      <c r="AN4" s="203"/>
      <c r="AO4" s="203"/>
      <c r="AP4" s="203"/>
      <c r="AQ4" s="203"/>
      <c r="AR4" s="203"/>
      <c r="AS4" s="203"/>
      <c r="AT4" s="203"/>
      <c r="AU4" s="203"/>
      <c r="AV4" s="203"/>
      <c r="AW4" s="203"/>
      <c r="AX4" s="203"/>
      <c r="AY4" s="203"/>
      <c r="AZ4" s="203"/>
      <c r="BA4" s="203"/>
      <c r="BB4" s="203"/>
      <c r="BC4" s="203"/>
      <c r="BD4" s="203"/>
      <c r="BE4" s="203"/>
      <c r="BF4" s="203"/>
      <c r="BG4" s="203"/>
      <c r="BH4" s="203"/>
      <c r="BI4" s="203"/>
      <c r="BJ4" s="203"/>
      <c r="BK4" s="203"/>
      <c r="BL4" s="203"/>
      <c r="BM4" s="203"/>
      <c r="BN4" s="203"/>
      <c r="BO4" s="203"/>
      <c r="BP4" s="203"/>
      <c r="BQ4" s="203"/>
      <c r="BR4" s="203"/>
      <c r="BS4" s="203"/>
      <c r="BT4" s="203"/>
      <c r="BU4" s="203"/>
      <c r="BV4" s="203"/>
      <c r="BW4" s="203"/>
      <c r="BX4" s="203"/>
    </row>
    <row r="5" spans="1:76" s="34" customFormat="1" ht="15" customHeight="1" x14ac:dyDescent="0.15">
      <c r="A5" s="223">
        <v>1</v>
      </c>
      <c r="B5" s="223"/>
      <c r="C5" s="223"/>
      <c r="D5" s="223"/>
      <c r="E5" s="200">
        <v>1</v>
      </c>
      <c r="F5" s="201"/>
      <c r="G5" s="201"/>
      <c r="H5" s="201"/>
      <c r="I5" s="202"/>
      <c r="J5" s="230">
        <f>タイトル!I47</f>
        <v>45336</v>
      </c>
      <c r="K5" s="231"/>
      <c r="L5" s="231"/>
      <c r="M5" s="231"/>
      <c r="N5" s="231"/>
      <c r="O5" s="231"/>
      <c r="P5" s="231"/>
      <c r="Q5" s="232"/>
      <c r="R5" s="207" t="s">
        <v>37</v>
      </c>
      <c r="S5" s="208"/>
      <c r="T5" s="208"/>
      <c r="U5" s="208"/>
      <c r="V5" s="209"/>
      <c r="W5" s="213"/>
      <c r="X5" s="214"/>
      <c r="Y5" s="214"/>
      <c r="Z5" s="215"/>
      <c r="AA5" s="213"/>
      <c r="AB5" s="214"/>
      <c r="AC5" s="214"/>
      <c r="AD5" s="214"/>
      <c r="AE5" s="214"/>
      <c r="AF5" s="214"/>
      <c r="AG5" s="215"/>
      <c r="AH5" s="237" t="s">
        <v>26</v>
      </c>
      <c r="AI5" s="237"/>
      <c r="AJ5" s="237"/>
      <c r="AK5" s="237"/>
      <c r="AL5" s="237"/>
      <c r="AM5" s="237"/>
      <c r="AN5" s="237"/>
      <c r="AO5" s="237"/>
      <c r="AP5" s="237"/>
      <c r="AQ5" s="237"/>
      <c r="AR5" s="237"/>
      <c r="AS5" s="237"/>
      <c r="AT5" s="237"/>
      <c r="AU5" s="237"/>
      <c r="AV5" s="237"/>
      <c r="AW5" s="237"/>
      <c r="AX5" s="237"/>
      <c r="AY5" s="237"/>
      <c r="AZ5" s="237"/>
      <c r="BA5" s="237"/>
      <c r="BB5" s="237"/>
      <c r="BC5" s="237"/>
      <c r="BD5" s="237"/>
      <c r="BE5" s="237"/>
      <c r="BF5" s="237"/>
      <c r="BG5" s="237"/>
      <c r="BH5" s="237"/>
      <c r="BI5" s="237"/>
      <c r="BJ5" s="237"/>
      <c r="BK5" s="237"/>
      <c r="BL5" s="237"/>
      <c r="BM5" s="237"/>
      <c r="BN5" s="237"/>
      <c r="BO5" s="237"/>
      <c r="BP5" s="237"/>
      <c r="BQ5" s="237"/>
      <c r="BR5" s="233" t="str">
        <f>タイトル!I46</f>
        <v>大久保　梓沙</v>
      </c>
      <c r="BS5" s="233"/>
      <c r="BT5" s="233"/>
      <c r="BU5" s="233"/>
      <c r="BV5" s="233"/>
      <c r="BW5" s="233"/>
      <c r="BX5" s="233"/>
    </row>
    <row r="6" spans="1:76" s="34" customFormat="1" ht="15" customHeight="1" x14ac:dyDescent="0.15">
      <c r="A6" s="210"/>
      <c r="B6" s="211"/>
      <c r="C6" s="211"/>
      <c r="D6" s="212"/>
      <c r="E6" s="200"/>
      <c r="F6" s="201"/>
      <c r="G6" s="201"/>
      <c r="H6" s="201"/>
      <c r="I6" s="202"/>
      <c r="J6" s="197"/>
      <c r="K6" s="198"/>
      <c r="L6" s="198"/>
      <c r="M6" s="198"/>
      <c r="N6" s="198"/>
      <c r="O6" s="198"/>
      <c r="P6" s="198"/>
      <c r="Q6" s="199"/>
      <c r="R6" s="210"/>
      <c r="S6" s="211"/>
      <c r="T6" s="211"/>
      <c r="U6" s="211"/>
      <c r="V6" s="212"/>
      <c r="W6" s="213"/>
      <c r="X6" s="214"/>
      <c r="Y6" s="214"/>
      <c r="Z6" s="215"/>
      <c r="AA6" s="210"/>
      <c r="AB6" s="211"/>
      <c r="AC6" s="211"/>
      <c r="AD6" s="211"/>
      <c r="AE6" s="211"/>
      <c r="AF6" s="211"/>
      <c r="AG6" s="212"/>
      <c r="AH6" s="243"/>
      <c r="AI6" s="243"/>
      <c r="AJ6" s="243"/>
      <c r="AK6" s="243"/>
      <c r="AL6" s="243"/>
      <c r="AM6" s="243"/>
      <c r="AN6" s="243"/>
      <c r="AO6" s="243"/>
      <c r="AP6" s="243"/>
      <c r="AQ6" s="243"/>
      <c r="AR6" s="243"/>
      <c r="AS6" s="243"/>
      <c r="AT6" s="243"/>
      <c r="AU6" s="243"/>
      <c r="AV6" s="243"/>
      <c r="AW6" s="243"/>
      <c r="AX6" s="243"/>
      <c r="AY6" s="243"/>
      <c r="AZ6" s="243"/>
      <c r="BA6" s="243"/>
      <c r="BB6" s="243"/>
      <c r="BC6" s="243"/>
      <c r="BD6" s="243"/>
      <c r="BE6" s="243"/>
      <c r="BF6" s="243"/>
      <c r="BG6" s="243"/>
      <c r="BH6" s="243"/>
      <c r="BI6" s="243"/>
      <c r="BJ6" s="243"/>
      <c r="BK6" s="243"/>
      <c r="BL6" s="243"/>
      <c r="BM6" s="243"/>
      <c r="BN6" s="243"/>
      <c r="BO6" s="243"/>
      <c r="BP6" s="243"/>
      <c r="BQ6" s="243"/>
      <c r="BR6" s="233"/>
      <c r="BS6" s="233"/>
      <c r="BT6" s="233"/>
      <c r="BU6" s="233"/>
      <c r="BV6" s="233"/>
      <c r="BW6" s="233"/>
      <c r="BX6" s="233"/>
    </row>
    <row r="7" spans="1:76" s="34" customFormat="1" ht="15" customHeight="1" x14ac:dyDescent="0.15">
      <c r="A7" s="216"/>
      <c r="B7" s="216"/>
      <c r="C7" s="216"/>
      <c r="D7" s="216"/>
      <c r="E7" s="217"/>
      <c r="F7" s="218"/>
      <c r="G7" s="218"/>
      <c r="H7" s="218"/>
      <c r="I7" s="219"/>
      <c r="J7" s="220"/>
      <c r="K7" s="221"/>
      <c r="L7" s="221"/>
      <c r="M7" s="221"/>
      <c r="N7" s="221"/>
      <c r="O7" s="221"/>
      <c r="P7" s="221"/>
      <c r="Q7" s="222"/>
      <c r="R7" s="204"/>
      <c r="S7" s="205"/>
      <c r="T7" s="205"/>
      <c r="U7" s="205"/>
      <c r="V7" s="206"/>
      <c r="W7" s="213"/>
      <c r="X7" s="214"/>
      <c r="Y7" s="214"/>
      <c r="Z7" s="215"/>
      <c r="AA7" s="238"/>
      <c r="AB7" s="239"/>
      <c r="AC7" s="239"/>
      <c r="AD7" s="239"/>
      <c r="AE7" s="239"/>
      <c r="AF7" s="239"/>
      <c r="AG7" s="240"/>
      <c r="AH7" s="245"/>
      <c r="AI7" s="245"/>
      <c r="AJ7" s="245"/>
      <c r="AK7" s="245"/>
      <c r="AL7" s="245"/>
      <c r="AM7" s="245"/>
      <c r="AN7" s="245"/>
      <c r="AO7" s="245"/>
      <c r="AP7" s="245"/>
      <c r="AQ7" s="245"/>
      <c r="AR7" s="245"/>
      <c r="AS7" s="245"/>
      <c r="AT7" s="245"/>
      <c r="AU7" s="245"/>
      <c r="AV7" s="245"/>
      <c r="AW7" s="245"/>
      <c r="AX7" s="245"/>
      <c r="AY7" s="245"/>
      <c r="AZ7" s="245"/>
      <c r="BA7" s="245"/>
      <c r="BB7" s="245"/>
      <c r="BC7" s="245"/>
      <c r="BD7" s="245"/>
      <c r="BE7" s="245"/>
      <c r="BF7" s="245"/>
      <c r="BG7" s="245"/>
      <c r="BH7" s="245"/>
      <c r="BI7" s="245"/>
      <c r="BJ7" s="245"/>
      <c r="BK7" s="245"/>
      <c r="BL7" s="245"/>
      <c r="BM7" s="245"/>
      <c r="BN7" s="245"/>
      <c r="BO7" s="245"/>
      <c r="BP7" s="245"/>
      <c r="BQ7" s="245"/>
      <c r="BR7" s="216"/>
      <c r="BS7" s="216"/>
      <c r="BT7" s="216"/>
      <c r="BU7" s="216"/>
      <c r="BV7" s="216"/>
      <c r="BW7" s="216"/>
      <c r="BX7" s="216"/>
    </row>
    <row r="8" spans="1:76" s="34" customFormat="1" ht="15" customHeight="1" x14ac:dyDescent="0.15">
      <c r="A8" s="216"/>
      <c r="B8" s="216"/>
      <c r="C8" s="216"/>
      <c r="D8" s="216"/>
      <c r="E8" s="217"/>
      <c r="F8" s="218"/>
      <c r="G8" s="218"/>
      <c r="H8" s="218"/>
      <c r="I8" s="219"/>
      <c r="J8" s="220"/>
      <c r="K8" s="221"/>
      <c r="L8" s="221"/>
      <c r="M8" s="221"/>
      <c r="N8" s="221"/>
      <c r="O8" s="221"/>
      <c r="P8" s="221"/>
      <c r="Q8" s="222"/>
      <c r="R8" s="204"/>
      <c r="S8" s="205"/>
      <c r="T8" s="205"/>
      <c r="U8" s="205"/>
      <c r="V8" s="206"/>
      <c r="W8" s="234"/>
      <c r="X8" s="235"/>
      <c r="Y8" s="235"/>
      <c r="Z8" s="236"/>
      <c r="AA8" s="241"/>
      <c r="AB8" s="239"/>
      <c r="AC8" s="239"/>
      <c r="AD8" s="239"/>
      <c r="AE8" s="239"/>
      <c r="AF8" s="239"/>
      <c r="AG8" s="240"/>
      <c r="AH8" s="245"/>
      <c r="AI8" s="245"/>
      <c r="AJ8" s="245"/>
      <c r="AK8" s="245"/>
      <c r="AL8" s="245"/>
      <c r="AM8" s="245"/>
      <c r="AN8" s="245"/>
      <c r="AO8" s="245"/>
      <c r="AP8" s="245"/>
      <c r="AQ8" s="245"/>
      <c r="AR8" s="245"/>
      <c r="AS8" s="245"/>
      <c r="AT8" s="245"/>
      <c r="AU8" s="245"/>
      <c r="AV8" s="245"/>
      <c r="AW8" s="245"/>
      <c r="AX8" s="245"/>
      <c r="AY8" s="245"/>
      <c r="AZ8" s="245"/>
      <c r="BA8" s="245"/>
      <c r="BB8" s="245"/>
      <c r="BC8" s="245"/>
      <c r="BD8" s="245"/>
      <c r="BE8" s="245"/>
      <c r="BF8" s="245"/>
      <c r="BG8" s="245"/>
      <c r="BH8" s="245"/>
      <c r="BI8" s="245"/>
      <c r="BJ8" s="245"/>
      <c r="BK8" s="245"/>
      <c r="BL8" s="245"/>
      <c r="BM8" s="245"/>
      <c r="BN8" s="245"/>
      <c r="BO8" s="245"/>
      <c r="BP8" s="245"/>
      <c r="BQ8" s="245"/>
      <c r="BR8" s="216"/>
      <c r="BS8" s="216"/>
      <c r="BT8" s="216"/>
      <c r="BU8" s="216"/>
      <c r="BV8" s="216"/>
      <c r="BW8" s="216"/>
      <c r="BX8" s="216"/>
    </row>
    <row r="9" spans="1:76" s="34" customFormat="1" ht="15" customHeight="1" x14ac:dyDescent="0.15">
      <c r="A9" s="216"/>
      <c r="B9" s="216"/>
      <c r="C9" s="216"/>
      <c r="D9" s="216"/>
      <c r="E9" s="217"/>
      <c r="F9" s="218"/>
      <c r="G9" s="218"/>
      <c r="H9" s="218"/>
      <c r="I9" s="219"/>
      <c r="J9" s="220"/>
      <c r="K9" s="221"/>
      <c r="L9" s="221"/>
      <c r="M9" s="221"/>
      <c r="N9" s="221"/>
      <c r="O9" s="221"/>
      <c r="P9" s="221"/>
      <c r="Q9" s="222"/>
      <c r="R9" s="204"/>
      <c r="S9" s="205"/>
      <c r="T9" s="205"/>
      <c r="U9" s="205"/>
      <c r="V9" s="206"/>
      <c r="W9" s="234"/>
      <c r="X9" s="235"/>
      <c r="Y9" s="235"/>
      <c r="Z9" s="236"/>
      <c r="AA9" s="242"/>
      <c r="AB9" s="205"/>
      <c r="AC9" s="205"/>
      <c r="AD9" s="205"/>
      <c r="AE9" s="205"/>
      <c r="AF9" s="205"/>
      <c r="AG9" s="206"/>
      <c r="AH9" s="244"/>
      <c r="AI9" s="245"/>
      <c r="AJ9" s="245"/>
      <c r="AK9" s="245"/>
      <c r="AL9" s="245"/>
      <c r="AM9" s="245"/>
      <c r="AN9" s="245"/>
      <c r="AO9" s="245"/>
      <c r="AP9" s="245"/>
      <c r="AQ9" s="245"/>
      <c r="AR9" s="245"/>
      <c r="AS9" s="245"/>
      <c r="AT9" s="245"/>
      <c r="AU9" s="245"/>
      <c r="AV9" s="245"/>
      <c r="AW9" s="245"/>
      <c r="AX9" s="245"/>
      <c r="AY9" s="245"/>
      <c r="AZ9" s="245"/>
      <c r="BA9" s="245"/>
      <c r="BB9" s="245"/>
      <c r="BC9" s="245"/>
      <c r="BD9" s="245"/>
      <c r="BE9" s="245"/>
      <c r="BF9" s="245"/>
      <c r="BG9" s="245"/>
      <c r="BH9" s="245"/>
      <c r="BI9" s="245"/>
      <c r="BJ9" s="245"/>
      <c r="BK9" s="245"/>
      <c r="BL9" s="245"/>
      <c r="BM9" s="245"/>
      <c r="BN9" s="245"/>
      <c r="BO9" s="245"/>
      <c r="BP9" s="245"/>
      <c r="BQ9" s="245"/>
      <c r="BR9" s="216"/>
      <c r="BS9" s="216"/>
      <c r="BT9" s="216"/>
      <c r="BU9" s="216"/>
      <c r="BV9" s="216"/>
      <c r="BW9" s="216"/>
      <c r="BX9" s="216"/>
    </row>
    <row r="10" spans="1:76" s="34" customFormat="1" ht="15" customHeight="1" x14ac:dyDescent="0.15">
      <c r="A10" s="233"/>
      <c r="B10" s="233"/>
      <c r="C10" s="233"/>
      <c r="D10" s="233"/>
      <c r="E10" s="200"/>
      <c r="F10" s="201"/>
      <c r="G10" s="201"/>
      <c r="H10" s="201"/>
      <c r="I10" s="202"/>
      <c r="J10" s="197"/>
      <c r="K10" s="198"/>
      <c r="L10" s="198"/>
      <c r="M10" s="198"/>
      <c r="N10" s="198"/>
      <c r="O10" s="198"/>
      <c r="P10" s="198"/>
      <c r="Q10" s="199"/>
      <c r="R10" s="210"/>
      <c r="S10" s="211"/>
      <c r="T10" s="211"/>
      <c r="U10" s="211"/>
      <c r="V10" s="212"/>
      <c r="W10" s="213"/>
      <c r="X10" s="214"/>
      <c r="Y10" s="214"/>
      <c r="Z10" s="215"/>
      <c r="AA10" s="213"/>
      <c r="AB10" s="214"/>
      <c r="AC10" s="214"/>
      <c r="AD10" s="214"/>
      <c r="AE10" s="214"/>
      <c r="AF10" s="214"/>
      <c r="AG10" s="215"/>
      <c r="AH10" s="237"/>
      <c r="AI10" s="237"/>
      <c r="AJ10" s="237"/>
      <c r="AK10" s="237"/>
      <c r="AL10" s="237"/>
      <c r="AM10" s="237"/>
      <c r="AN10" s="237"/>
      <c r="AO10" s="237"/>
      <c r="AP10" s="237"/>
      <c r="AQ10" s="237"/>
      <c r="AR10" s="237"/>
      <c r="AS10" s="237"/>
      <c r="AT10" s="237"/>
      <c r="AU10" s="237"/>
      <c r="AV10" s="237"/>
      <c r="AW10" s="237"/>
      <c r="AX10" s="237"/>
      <c r="AY10" s="237"/>
      <c r="AZ10" s="237"/>
      <c r="BA10" s="237"/>
      <c r="BB10" s="237"/>
      <c r="BC10" s="237"/>
      <c r="BD10" s="237"/>
      <c r="BE10" s="237"/>
      <c r="BF10" s="237"/>
      <c r="BG10" s="237"/>
      <c r="BH10" s="237"/>
      <c r="BI10" s="237"/>
      <c r="BJ10" s="237"/>
      <c r="BK10" s="237"/>
      <c r="BL10" s="237"/>
      <c r="BM10" s="237"/>
      <c r="BN10" s="237"/>
      <c r="BO10" s="237"/>
      <c r="BP10" s="237"/>
      <c r="BQ10" s="237"/>
      <c r="BR10" s="233"/>
      <c r="BS10" s="233"/>
      <c r="BT10" s="233"/>
      <c r="BU10" s="233"/>
      <c r="BV10" s="233"/>
      <c r="BW10" s="233"/>
      <c r="BX10" s="233"/>
    </row>
    <row r="11" spans="1:76" s="34" customFormat="1" ht="15" customHeight="1" x14ac:dyDescent="0.15">
      <c r="A11" s="233"/>
      <c r="B11" s="233"/>
      <c r="C11" s="233"/>
      <c r="D11" s="233"/>
      <c r="E11" s="200"/>
      <c r="F11" s="201"/>
      <c r="G11" s="201"/>
      <c r="H11" s="201"/>
      <c r="I11" s="202"/>
      <c r="J11" s="197"/>
      <c r="K11" s="198"/>
      <c r="L11" s="198"/>
      <c r="M11" s="198"/>
      <c r="N11" s="198"/>
      <c r="O11" s="198"/>
      <c r="P11" s="198"/>
      <c r="Q11" s="199"/>
      <c r="R11" s="210"/>
      <c r="S11" s="211"/>
      <c r="T11" s="211"/>
      <c r="U11" s="211"/>
      <c r="V11" s="212"/>
      <c r="W11" s="213"/>
      <c r="X11" s="214"/>
      <c r="Y11" s="214"/>
      <c r="Z11" s="215"/>
      <c r="AA11" s="213"/>
      <c r="AB11" s="214"/>
      <c r="AC11" s="214"/>
      <c r="AD11" s="214"/>
      <c r="AE11" s="214"/>
      <c r="AF11" s="214"/>
      <c r="AG11" s="215"/>
      <c r="AH11" s="237"/>
      <c r="AI11" s="237"/>
      <c r="AJ11" s="237"/>
      <c r="AK11" s="237"/>
      <c r="AL11" s="237"/>
      <c r="AM11" s="237"/>
      <c r="AN11" s="237"/>
      <c r="AO11" s="237"/>
      <c r="AP11" s="237"/>
      <c r="AQ11" s="237"/>
      <c r="AR11" s="237"/>
      <c r="AS11" s="237"/>
      <c r="AT11" s="237"/>
      <c r="AU11" s="237"/>
      <c r="AV11" s="237"/>
      <c r="AW11" s="237"/>
      <c r="AX11" s="237"/>
      <c r="AY11" s="237"/>
      <c r="AZ11" s="237"/>
      <c r="BA11" s="237"/>
      <c r="BB11" s="237"/>
      <c r="BC11" s="237"/>
      <c r="BD11" s="237"/>
      <c r="BE11" s="237"/>
      <c r="BF11" s="237"/>
      <c r="BG11" s="237"/>
      <c r="BH11" s="237"/>
      <c r="BI11" s="237"/>
      <c r="BJ11" s="237"/>
      <c r="BK11" s="237"/>
      <c r="BL11" s="237"/>
      <c r="BM11" s="237"/>
      <c r="BN11" s="237"/>
      <c r="BO11" s="237"/>
      <c r="BP11" s="237"/>
      <c r="BQ11" s="237"/>
      <c r="BR11" s="233"/>
      <c r="BS11" s="233"/>
      <c r="BT11" s="233"/>
      <c r="BU11" s="233"/>
      <c r="BV11" s="233"/>
      <c r="BW11" s="233"/>
      <c r="BX11" s="233"/>
    </row>
    <row r="12" spans="1:76" s="34" customFormat="1" ht="15" customHeight="1" x14ac:dyDescent="0.15">
      <c r="A12" s="233"/>
      <c r="B12" s="233"/>
      <c r="C12" s="233"/>
      <c r="D12" s="233"/>
      <c r="E12" s="200"/>
      <c r="F12" s="201"/>
      <c r="G12" s="201"/>
      <c r="H12" s="201"/>
      <c r="I12" s="202"/>
      <c r="J12" s="197"/>
      <c r="K12" s="198"/>
      <c r="L12" s="198"/>
      <c r="M12" s="198"/>
      <c r="N12" s="198"/>
      <c r="O12" s="198"/>
      <c r="P12" s="198"/>
      <c r="Q12" s="199"/>
      <c r="R12" s="210"/>
      <c r="S12" s="211"/>
      <c r="T12" s="211"/>
      <c r="U12" s="211"/>
      <c r="V12" s="212"/>
      <c r="W12" s="213"/>
      <c r="X12" s="214"/>
      <c r="Y12" s="214"/>
      <c r="Z12" s="215"/>
      <c r="AA12" s="213"/>
      <c r="AB12" s="214"/>
      <c r="AC12" s="214"/>
      <c r="AD12" s="214"/>
      <c r="AE12" s="214"/>
      <c r="AF12" s="214"/>
      <c r="AG12" s="215"/>
      <c r="AH12" s="237"/>
      <c r="AI12" s="237"/>
      <c r="AJ12" s="237"/>
      <c r="AK12" s="237"/>
      <c r="AL12" s="237"/>
      <c r="AM12" s="237"/>
      <c r="AN12" s="237"/>
      <c r="AO12" s="237"/>
      <c r="AP12" s="237"/>
      <c r="AQ12" s="237"/>
      <c r="AR12" s="237"/>
      <c r="AS12" s="237"/>
      <c r="AT12" s="237"/>
      <c r="AU12" s="237"/>
      <c r="AV12" s="237"/>
      <c r="AW12" s="237"/>
      <c r="AX12" s="237"/>
      <c r="AY12" s="237"/>
      <c r="AZ12" s="237"/>
      <c r="BA12" s="237"/>
      <c r="BB12" s="237"/>
      <c r="BC12" s="237"/>
      <c r="BD12" s="237"/>
      <c r="BE12" s="237"/>
      <c r="BF12" s="237"/>
      <c r="BG12" s="237"/>
      <c r="BH12" s="237"/>
      <c r="BI12" s="237"/>
      <c r="BJ12" s="237"/>
      <c r="BK12" s="237"/>
      <c r="BL12" s="237"/>
      <c r="BM12" s="237"/>
      <c r="BN12" s="237"/>
      <c r="BO12" s="237"/>
      <c r="BP12" s="237"/>
      <c r="BQ12" s="237"/>
      <c r="BR12" s="233"/>
      <c r="BS12" s="233"/>
      <c r="BT12" s="233"/>
      <c r="BU12" s="233"/>
      <c r="BV12" s="233"/>
      <c r="BW12" s="233"/>
      <c r="BX12" s="233"/>
    </row>
    <row r="13" spans="1:76" s="34" customFormat="1" ht="15" customHeight="1" x14ac:dyDescent="0.15">
      <c r="A13" s="233"/>
      <c r="B13" s="233"/>
      <c r="C13" s="233"/>
      <c r="D13" s="233"/>
      <c r="E13" s="200"/>
      <c r="F13" s="201"/>
      <c r="G13" s="201"/>
      <c r="H13" s="201"/>
      <c r="I13" s="202"/>
      <c r="J13" s="197"/>
      <c r="K13" s="198"/>
      <c r="L13" s="198"/>
      <c r="M13" s="198"/>
      <c r="N13" s="198"/>
      <c r="O13" s="198"/>
      <c r="P13" s="198"/>
      <c r="Q13" s="199"/>
      <c r="R13" s="210"/>
      <c r="S13" s="211"/>
      <c r="T13" s="211"/>
      <c r="U13" s="211"/>
      <c r="V13" s="212"/>
      <c r="W13" s="213"/>
      <c r="X13" s="214"/>
      <c r="Y13" s="214"/>
      <c r="Z13" s="215"/>
      <c r="AA13" s="213"/>
      <c r="AB13" s="214"/>
      <c r="AC13" s="214"/>
      <c r="AD13" s="214"/>
      <c r="AE13" s="214"/>
      <c r="AF13" s="214"/>
      <c r="AG13" s="215"/>
      <c r="AH13" s="237"/>
      <c r="AI13" s="237"/>
      <c r="AJ13" s="237"/>
      <c r="AK13" s="237"/>
      <c r="AL13" s="237"/>
      <c r="AM13" s="237"/>
      <c r="AN13" s="237"/>
      <c r="AO13" s="237"/>
      <c r="AP13" s="237"/>
      <c r="AQ13" s="237"/>
      <c r="AR13" s="237"/>
      <c r="AS13" s="237"/>
      <c r="AT13" s="237"/>
      <c r="AU13" s="237"/>
      <c r="AV13" s="237"/>
      <c r="AW13" s="237"/>
      <c r="AX13" s="237"/>
      <c r="AY13" s="237"/>
      <c r="AZ13" s="237"/>
      <c r="BA13" s="237"/>
      <c r="BB13" s="237"/>
      <c r="BC13" s="237"/>
      <c r="BD13" s="237"/>
      <c r="BE13" s="237"/>
      <c r="BF13" s="237"/>
      <c r="BG13" s="237"/>
      <c r="BH13" s="237"/>
      <c r="BI13" s="237"/>
      <c r="BJ13" s="237"/>
      <c r="BK13" s="237"/>
      <c r="BL13" s="237"/>
      <c r="BM13" s="237"/>
      <c r="BN13" s="237"/>
      <c r="BO13" s="237"/>
      <c r="BP13" s="237"/>
      <c r="BQ13" s="237"/>
      <c r="BR13" s="233"/>
      <c r="BS13" s="233"/>
      <c r="BT13" s="233"/>
      <c r="BU13" s="233"/>
      <c r="BV13" s="233"/>
      <c r="BW13" s="233"/>
      <c r="BX13" s="233"/>
    </row>
    <row r="14" spans="1:76" s="34" customFormat="1" ht="15" customHeight="1" x14ac:dyDescent="0.15">
      <c r="A14" s="233"/>
      <c r="B14" s="233"/>
      <c r="C14" s="233"/>
      <c r="D14" s="233"/>
      <c r="E14" s="200"/>
      <c r="F14" s="201"/>
      <c r="G14" s="201"/>
      <c r="H14" s="201"/>
      <c r="I14" s="202"/>
      <c r="J14" s="197"/>
      <c r="K14" s="198"/>
      <c r="L14" s="198"/>
      <c r="M14" s="198"/>
      <c r="N14" s="198"/>
      <c r="O14" s="198"/>
      <c r="P14" s="198"/>
      <c r="Q14" s="199"/>
      <c r="R14" s="210"/>
      <c r="S14" s="211"/>
      <c r="T14" s="211"/>
      <c r="U14" s="211"/>
      <c r="V14" s="212"/>
      <c r="W14" s="213"/>
      <c r="X14" s="214"/>
      <c r="Y14" s="214"/>
      <c r="Z14" s="215"/>
      <c r="AA14" s="213"/>
      <c r="AB14" s="214"/>
      <c r="AC14" s="214"/>
      <c r="AD14" s="214"/>
      <c r="AE14" s="214"/>
      <c r="AF14" s="214"/>
      <c r="AG14" s="215"/>
      <c r="AH14" s="237"/>
      <c r="AI14" s="237"/>
      <c r="AJ14" s="237"/>
      <c r="AK14" s="237"/>
      <c r="AL14" s="237"/>
      <c r="AM14" s="237"/>
      <c r="AN14" s="237"/>
      <c r="AO14" s="237"/>
      <c r="AP14" s="237"/>
      <c r="AQ14" s="237"/>
      <c r="AR14" s="237"/>
      <c r="AS14" s="237"/>
      <c r="AT14" s="237"/>
      <c r="AU14" s="237"/>
      <c r="AV14" s="237"/>
      <c r="AW14" s="237"/>
      <c r="AX14" s="237"/>
      <c r="AY14" s="237"/>
      <c r="AZ14" s="237"/>
      <c r="BA14" s="237"/>
      <c r="BB14" s="237"/>
      <c r="BC14" s="237"/>
      <c r="BD14" s="237"/>
      <c r="BE14" s="237"/>
      <c r="BF14" s="237"/>
      <c r="BG14" s="237"/>
      <c r="BH14" s="237"/>
      <c r="BI14" s="237"/>
      <c r="BJ14" s="237"/>
      <c r="BK14" s="237"/>
      <c r="BL14" s="237"/>
      <c r="BM14" s="237"/>
      <c r="BN14" s="237"/>
      <c r="BO14" s="237"/>
      <c r="BP14" s="237"/>
      <c r="BQ14" s="237"/>
      <c r="BR14" s="233"/>
      <c r="BS14" s="233"/>
      <c r="BT14" s="233"/>
      <c r="BU14" s="233"/>
      <c r="BV14" s="233"/>
      <c r="BW14" s="233"/>
      <c r="BX14" s="233"/>
    </row>
    <row r="15" spans="1:76" s="34" customFormat="1" ht="15" customHeight="1" x14ac:dyDescent="0.15">
      <c r="A15" s="233"/>
      <c r="B15" s="233"/>
      <c r="C15" s="233"/>
      <c r="D15" s="233"/>
      <c r="E15" s="200"/>
      <c r="F15" s="201"/>
      <c r="G15" s="201"/>
      <c r="H15" s="201"/>
      <c r="I15" s="202"/>
      <c r="J15" s="197"/>
      <c r="K15" s="198"/>
      <c r="L15" s="198"/>
      <c r="M15" s="198"/>
      <c r="N15" s="198"/>
      <c r="O15" s="198"/>
      <c r="P15" s="198"/>
      <c r="Q15" s="199"/>
      <c r="R15" s="210"/>
      <c r="S15" s="211"/>
      <c r="T15" s="211"/>
      <c r="U15" s="211"/>
      <c r="V15" s="212"/>
      <c r="W15" s="213"/>
      <c r="X15" s="214"/>
      <c r="Y15" s="214"/>
      <c r="Z15" s="215"/>
      <c r="AA15" s="213"/>
      <c r="AB15" s="214"/>
      <c r="AC15" s="214"/>
      <c r="AD15" s="214"/>
      <c r="AE15" s="214"/>
      <c r="AF15" s="214"/>
      <c r="AG15" s="215"/>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c r="BM15" s="237"/>
      <c r="BN15" s="237"/>
      <c r="BO15" s="237"/>
      <c r="BP15" s="237"/>
      <c r="BQ15" s="237"/>
      <c r="BR15" s="233"/>
      <c r="BS15" s="233"/>
      <c r="BT15" s="233"/>
      <c r="BU15" s="233"/>
      <c r="BV15" s="233"/>
      <c r="BW15" s="233"/>
      <c r="BX15" s="233"/>
    </row>
    <row r="16" spans="1:76" s="34" customFormat="1" ht="15" customHeight="1" x14ac:dyDescent="0.15">
      <c r="A16" s="233"/>
      <c r="B16" s="233"/>
      <c r="C16" s="233"/>
      <c r="D16" s="233"/>
      <c r="E16" s="200"/>
      <c r="F16" s="201"/>
      <c r="G16" s="201"/>
      <c r="H16" s="201"/>
      <c r="I16" s="202"/>
      <c r="J16" s="197"/>
      <c r="K16" s="198"/>
      <c r="L16" s="198"/>
      <c r="M16" s="198"/>
      <c r="N16" s="198"/>
      <c r="O16" s="198"/>
      <c r="P16" s="198"/>
      <c r="Q16" s="199"/>
      <c r="R16" s="210"/>
      <c r="S16" s="211"/>
      <c r="T16" s="211"/>
      <c r="U16" s="211"/>
      <c r="V16" s="212"/>
      <c r="W16" s="213"/>
      <c r="X16" s="214"/>
      <c r="Y16" s="214"/>
      <c r="Z16" s="215"/>
      <c r="AA16" s="213"/>
      <c r="AB16" s="214"/>
      <c r="AC16" s="214"/>
      <c r="AD16" s="214"/>
      <c r="AE16" s="214"/>
      <c r="AF16" s="214"/>
      <c r="AG16" s="215"/>
      <c r="AH16" s="237"/>
      <c r="AI16" s="237"/>
      <c r="AJ16" s="237"/>
      <c r="AK16" s="237"/>
      <c r="AL16" s="237"/>
      <c r="AM16" s="237"/>
      <c r="AN16" s="237"/>
      <c r="AO16" s="237"/>
      <c r="AP16" s="237"/>
      <c r="AQ16" s="237"/>
      <c r="AR16" s="237"/>
      <c r="AS16" s="237"/>
      <c r="AT16" s="237"/>
      <c r="AU16" s="237"/>
      <c r="AV16" s="237"/>
      <c r="AW16" s="237"/>
      <c r="AX16" s="237"/>
      <c r="AY16" s="237"/>
      <c r="AZ16" s="237"/>
      <c r="BA16" s="237"/>
      <c r="BB16" s="237"/>
      <c r="BC16" s="237"/>
      <c r="BD16" s="237"/>
      <c r="BE16" s="237"/>
      <c r="BF16" s="237"/>
      <c r="BG16" s="237"/>
      <c r="BH16" s="237"/>
      <c r="BI16" s="237"/>
      <c r="BJ16" s="237"/>
      <c r="BK16" s="237"/>
      <c r="BL16" s="237"/>
      <c r="BM16" s="237"/>
      <c r="BN16" s="237"/>
      <c r="BO16" s="237"/>
      <c r="BP16" s="237"/>
      <c r="BQ16" s="237"/>
      <c r="BR16" s="233"/>
      <c r="BS16" s="233"/>
      <c r="BT16" s="233"/>
      <c r="BU16" s="233"/>
      <c r="BV16" s="233"/>
      <c r="BW16" s="233"/>
      <c r="BX16" s="233"/>
    </row>
    <row r="17" spans="1:76" s="34" customFormat="1" ht="15" customHeight="1" x14ac:dyDescent="0.15">
      <c r="A17" s="233"/>
      <c r="B17" s="233"/>
      <c r="C17" s="233"/>
      <c r="D17" s="233"/>
      <c r="E17" s="200"/>
      <c r="F17" s="201"/>
      <c r="G17" s="201"/>
      <c r="H17" s="201"/>
      <c r="I17" s="202"/>
      <c r="J17" s="197"/>
      <c r="K17" s="198"/>
      <c r="L17" s="198"/>
      <c r="M17" s="198"/>
      <c r="N17" s="198"/>
      <c r="O17" s="198"/>
      <c r="P17" s="198"/>
      <c r="Q17" s="199"/>
      <c r="R17" s="210"/>
      <c r="S17" s="211"/>
      <c r="T17" s="211"/>
      <c r="U17" s="211"/>
      <c r="V17" s="212"/>
      <c r="W17" s="213"/>
      <c r="X17" s="214"/>
      <c r="Y17" s="214"/>
      <c r="Z17" s="215"/>
      <c r="AA17" s="213"/>
      <c r="AB17" s="214"/>
      <c r="AC17" s="214"/>
      <c r="AD17" s="214"/>
      <c r="AE17" s="214"/>
      <c r="AF17" s="214"/>
      <c r="AG17" s="215"/>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7"/>
      <c r="BD17" s="237"/>
      <c r="BE17" s="237"/>
      <c r="BF17" s="237"/>
      <c r="BG17" s="237"/>
      <c r="BH17" s="237"/>
      <c r="BI17" s="237"/>
      <c r="BJ17" s="237"/>
      <c r="BK17" s="237"/>
      <c r="BL17" s="237"/>
      <c r="BM17" s="237"/>
      <c r="BN17" s="237"/>
      <c r="BO17" s="237"/>
      <c r="BP17" s="237"/>
      <c r="BQ17" s="237"/>
      <c r="BR17" s="233"/>
      <c r="BS17" s="233"/>
      <c r="BT17" s="233"/>
      <c r="BU17" s="233"/>
      <c r="BV17" s="233"/>
      <c r="BW17" s="233"/>
      <c r="BX17" s="233"/>
    </row>
    <row r="18" spans="1:76" s="34" customFormat="1" ht="15" customHeight="1" x14ac:dyDescent="0.15">
      <c r="A18" s="233"/>
      <c r="B18" s="233"/>
      <c r="C18" s="233"/>
      <c r="D18" s="233"/>
      <c r="E18" s="200"/>
      <c r="F18" s="201"/>
      <c r="G18" s="201"/>
      <c r="H18" s="201"/>
      <c r="I18" s="202"/>
      <c r="J18" s="197"/>
      <c r="K18" s="198"/>
      <c r="L18" s="198"/>
      <c r="M18" s="198"/>
      <c r="N18" s="198"/>
      <c r="O18" s="198"/>
      <c r="P18" s="198"/>
      <c r="Q18" s="199"/>
      <c r="R18" s="210"/>
      <c r="S18" s="211"/>
      <c r="T18" s="211"/>
      <c r="U18" s="211"/>
      <c r="V18" s="212"/>
      <c r="W18" s="213"/>
      <c r="X18" s="214"/>
      <c r="Y18" s="214"/>
      <c r="Z18" s="215"/>
      <c r="AA18" s="213"/>
      <c r="AB18" s="214"/>
      <c r="AC18" s="214"/>
      <c r="AD18" s="214"/>
      <c r="AE18" s="214"/>
      <c r="AF18" s="214"/>
      <c r="AG18" s="215"/>
      <c r="AH18" s="237"/>
      <c r="AI18" s="237"/>
      <c r="AJ18" s="237"/>
      <c r="AK18" s="237"/>
      <c r="AL18" s="237"/>
      <c r="AM18" s="237"/>
      <c r="AN18" s="237"/>
      <c r="AO18" s="237"/>
      <c r="AP18" s="237"/>
      <c r="AQ18" s="237"/>
      <c r="AR18" s="237"/>
      <c r="AS18" s="237"/>
      <c r="AT18" s="237"/>
      <c r="AU18" s="237"/>
      <c r="AV18" s="237"/>
      <c r="AW18" s="237"/>
      <c r="AX18" s="237"/>
      <c r="AY18" s="237"/>
      <c r="AZ18" s="237"/>
      <c r="BA18" s="237"/>
      <c r="BB18" s="237"/>
      <c r="BC18" s="237"/>
      <c r="BD18" s="237"/>
      <c r="BE18" s="237"/>
      <c r="BF18" s="237"/>
      <c r="BG18" s="237"/>
      <c r="BH18" s="237"/>
      <c r="BI18" s="237"/>
      <c r="BJ18" s="237"/>
      <c r="BK18" s="237"/>
      <c r="BL18" s="237"/>
      <c r="BM18" s="237"/>
      <c r="BN18" s="237"/>
      <c r="BO18" s="237"/>
      <c r="BP18" s="237"/>
      <c r="BQ18" s="237"/>
      <c r="BR18" s="233"/>
      <c r="BS18" s="233"/>
      <c r="BT18" s="233"/>
      <c r="BU18" s="233"/>
      <c r="BV18" s="233"/>
      <c r="BW18" s="233"/>
      <c r="BX18" s="233"/>
    </row>
    <row r="19" spans="1:76" s="34" customFormat="1" ht="15" customHeight="1" x14ac:dyDescent="0.15">
      <c r="A19" s="233"/>
      <c r="B19" s="233"/>
      <c r="C19" s="233"/>
      <c r="D19" s="233"/>
      <c r="E19" s="200"/>
      <c r="F19" s="201"/>
      <c r="G19" s="201"/>
      <c r="H19" s="201"/>
      <c r="I19" s="202"/>
      <c r="J19" s="197"/>
      <c r="K19" s="198"/>
      <c r="L19" s="198"/>
      <c r="M19" s="198"/>
      <c r="N19" s="198"/>
      <c r="O19" s="198"/>
      <c r="P19" s="198"/>
      <c r="Q19" s="199"/>
      <c r="R19" s="210"/>
      <c r="S19" s="211"/>
      <c r="T19" s="211"/>
      <c r="U19" s="211"/>
      <c r="V19" s="212"/>
      <c r="W19" s="213"/>
      <c r="X19" s="214"/>
      <c r="Y19" s="214"/>
      <c r="Z19" s="215"/>
      <c r="AA19" s="213"/>
      <c r="AB19" s="214"/>
      <c r="AC19" s="214"/>
      <c r="AD19" s="214"/>
      <c r="AE19" s="214"/>
      <c r="AF19" s="214"/>
      <c r="AG19" s="215"/>
      <c r="AH19" s="237"/>
      <c r="AI19" s="237"/>
      <c r="AJ19" s="237"/>
      <c r="AK19" s="237"/>
      <c r="AL19" s="237"/>
      <c r="AM19" s="237"/>
      <c r="AN19" s="237"/>
      <c r="AO19" s="237"/>
      <c r="AP19" s="237"/>
      <c r="AQ19" s="237"/>
      <c r="AR19" s="237"/>
      <c r="AS19" s="237"/>
      <c r="AT19" s="237"/>
      <c r="AU19" s="237"/>
      <c r="AV19" s="237"/>
      <c r="AW19" s="237"/>
      <c r="AX19" s="237"/>
      <c r="AY19" s="237"/>
      <c r="AZ19" s="237"/>
      <c r="BA19" s="237"/>
      <c r="BB19" s="237"/>
      <c r="BC19" s="237"/>
      <c r="BD19" s="237"/>
      <c r="BE19" s="237"/>
      <c r="BF19" s="237"/>
      <c r="BG19" s="237"/>
      <c r="BH19" s="237"/>
      <c r="BI19" s="237"/>
      <c r="BJ19" s="237"/>
      <c r="BK19" s="237"/>
      <c r="BL19" s="237"/>
      <c r="BM19" s="237"/>
      <c r="BN19" s="237"/>
      <c r="BO19" s="237"/>
      <c r="BP19" s="237"/>
      <c r="BQ19" s="237"/>
      <c r="BR19" s="233"/>
      <c r="BS19" s="233"/>
      <c r="BT19" s="233"/>
      <c r="BU19" s="233"/>
      <c r="BV19" s="233"/>
      <c r="BW19" s="233"/>
      <c r="BX19" s="233"/>
    </row>
    <row r="20" spans="1:76" s="34" customFormat="1" ht="15" customHeight="1" x14ac:dyDescent="0.15">
      <c r="A20" s="233"/>
      <c r="B20" s="233"/>
      <c r="C20" s="233"/>
      <c r="D20" s="233"/>
      <c r="E20" s="200"/>
      <c r="F20" s="201"/>
      <c r="G20" s="201"/>
      <c r="H20" s="201"/>
      <c r="I20" s="202"/>
      <c r="J20" s="197"/>
      <c r="K20" s="198"/>
      <c r="L20" s="198"/>
      <c r="M20" s="198"/>
      <c r="N20" s="198"/>
      <c r="O20" s="198"/>
      <c r="P20" s="198"/>
      <c r="Q20" s="199"/>
      <c r="R20" s="210"/>
      <c r="S20" s="211"/>
      <c r="T20" s="211"/>
      <c r="U20" s="211"/>
      <c r="V20" s="212"/>
      <c r="W20" s="213"/>
      <c r="X20" s="214"/>
      <c r="Y20" s="214"/>
      <c r="Z20" s="215"/>
      <c r="AA20" s="213"/>
      <c r="AB20" s="214"/>
      <c r="AC20" s="214"/>
      <c r="AD20" s="214"/>
      <c r="AE20" s="214"/>
      <c r="AF20" s="214"/>
      <c r="AG20" s="215"/>
      <c r="AH20" s="237"/>
      <c r="AI20" s="237"/>
      <c r="AJ20" s="237"/>
      <c r="AK20" s="237"/>
      <c r="AL20" s="237"/>
      <c r="AM20" s="237"/>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7"/>
      <c r="BK20" s="237"/>
      <c r="BL20" s="237"/>
      <c r="BM20" s="237"/>
      <c r="BN20" s="237"/>
      <c r="BO20" s="237"/>
      <c r="BP20" s="237"/>
      <c r="BQ20" s="237"/>
      <c r="BR20" s="233"/>
      <c r="BS20" s="233"/>
      <c r="BT20" s="233"/>
      <c r="BU20" s="233"/>
      <c r="BV20" s="233"/>
      <c r="BW20" s="233"/>
      <c r="BX20" s="233"/>
    </row>
    <row r="21" spans="1:76" s="34" customFormat="1" ht="15" customHeight="1" x14ac:dyDescent="0.15">
      <c r="A21" s="233"/>
      <c r="B21" s="233"/>
      <c r="C21" s="233"/>
      <c r="D21" s="233"/>
      <c r="E21" s="200"/>
      <c r="F21" s="201"/>
      <c r="G21" s="201"/>
      <c r="H21" s="201"/>
      <c r="I21" s="202"/>
      <c r="J21" s="197"/>
      <c r="K21" s="198"/>
      <c r="L21" s="198"/>
      <c r="M21" s="198"/>
      <c r="N21" s="198"/>
      <c r="O21" s="198"/>
      <c r="P21" s="198"/>
      <c r="Q21" s="199"/>
      <c r="R21" s="210"/>
      <c r="S21" s="211"/>
      <c r="T21" s="211"/>
      <c r="U21" s="211"/>
      <c r="V21" s="212"/>
      <c r="W21" s="213"/>
      <c r="X21" s="214"/>
      <c r="Y21" s="214"/>
      <c r="Z21" s="215"/>
      <c r="AA21" s="213"/>
      <c r="AB21" s="214"/>
      <c r="AC21" s="214"/>
      <c r="AD21" s="214"/>
      <c r="AE21" s="214"/>
      <c r="AF21" s="214"/>
      <c r="AG21" s="215"/>
      <c r="AH21" s="237"/>
      <c r="AI21" s="237"/>
      <c r="AJ21" s="237"/>
      <c r="AK21" s="237"/>
      <c r="AL21" s="237"/>
      <c r="AM21" s="237"/>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7"/>
      <c r="BK21" s="237"/>
      <c r="BL21" s="237"/>
      <c r="BM21" s="237"/>
      <c r="BN21" s="237"/>
      <c r="BO21" s="237"/>
      <c r="BP21" s="237"/>
      <c r="BQ21" s="237"/>
      <c r="BR21" s="233"/>
      <c r="BS21" s="233"/>
      <c r="BT21" s="233"/>
      <c r="BU21" s="233"/>
      <c r="BV21" s="233"/>
      <c r="BW21" s="233"/>
      <c r="BX21" s="233"/>
    </row>
    <row r="22" spans="1:76" s="34" customFormat="1" ht="15" customHeight="1" x14ac:dyDescent="0.15">
      <c r="A22" s="233"/>
      <c r="B22" s="233"/>
      <c r="C22" s="233"/>
      <c r="D22" s="233"/>
      <c r="E22" s="200"/>
      <c r="F22" s="201"/>
      <c r="G22" s="201"/>
      <c r="H22" s="201"/>
      <c r="I22" s="202"/>
      <c r="J22" s="197"/>
      <c r="K22" s="198"/>
      <c r="L22" s="198"/>
      <c r="M22" s="198"/>
      <c r="N22" s="198"/>
      <c r="O22" s="198"/>
      <c r="P22" s="198"/>
      <c r="Q22" s="199"/>
      <c r="R22" s="210"/>
      <c r="S22" s="211"/>
      <c r="T22" s="211"/>
      <c r="U22" s="211"/>
      <c r="V22" s="212"/>
      <c r="W22" s="213"/>
      <c r="X22" s="214"/>
      <c r="Y22" s="214"/>
      <c r="Z22" s="215"/>
      <c r="AA22" s="213"/>
      <c r="AB22" s="214"/>
      <c r="AC22" s="214"/>
      <c r="AD22" s="214"/>
      <c r="AE22" s="214"/>
      <c r="AF22" s="214"/>
      <c r="AG22" s="215"/>
      <c r="AH22" s="237"/>
      <c r="AI22" s="237"/>
      <c r="AJ22" s="237"/>
      <c r="AK22" s="237"/>
      <c r="AL22" s="237"/>
      <c r="AM22" s="237"/>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7"/>
      <c r="BK22" s="237"/>
      <c r="BL22" s="237"/>
      <c r="BM22" s="237"/>
      <c r="BN22" s="237"/>
      <c r="BO22" s="237"/>
      <c r="BP22" s="237"/>
      <c r="BQ22" s="237"/>
      <c r="BR22" s="233"/>
      <c r="BS22" s="233"/>
      <c r="BT22" s="233"/>
      <c r="BU22" s="233"/>
      <c r="BV22" s="233"/>
      <c r="BW22" s="233"/>
      <c r="BX22" s="233"/>
    </row>
    <row r="23" spans="1:76" s="34" customFormat="1" ht="15" customHeight="1" x14ac:dyDescent="0.15">
      <c r="A23" s="233"/>
      <c r="B23" s="233"/>
      <c r="C23" s="233"/>
      <c r="D23" s="233"/>
      <c r="E23" s="200"/>
      <c r="F23" s="201"/>
      <c r="G23" s="201"/>
      <c r="H23" s="201"/>
      <c r="I23" s="202"/>
      <c r="J23" s="197"/>
      <c r="K23" s="198"/>
      <c r="L23" s="198"/>
      <c r="M23" s="198"/>
      <c r="N23" s="198"/>
      <c r="O23" s="198"/>
      <c r="P23" s="198"/>
      <c r="Q23" s="199"/>
      <c r="R23" s="210"/>
      <c r="S23" s="211"/>
      <c r="T23" s="211"/>
      <c r="U23" s="211"/>
      <c r="V23" s="212"/>
      <c r="W23" s="213"/>
      <c r="X23" s="214"/>
      <c r="Y23" s="214"/>
      <c r="Z23" s="215"/>
      <c r="AA23" s="213"/>
      <c r="AB23" s="214"/>
      <c r="AC23" s="214"/>
      <c r="AD23" s="214"/>
      <c r="AE23" s="214"/>
      <c r="AF23" s="214"/>
      <c r="AG23" s="215"/>
      <c r="AH23" s="237"/>
      <c r="AI23" s="237"/>
      <c r="AJ23" s="237"/>
      <c r="AK23" s="237"/>
      <c r="AL23" s="237"/>
      <c r="AM23" s="237"/>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7"/>
      <c r="BK23" s="237"/>
      <c r="BL23" s="237"/>
      <c r="BM23" s="237"/>
      <c r="BN23" s="237"/>
      <c r="BO23" s="237"/>
      <c r="BP23" s="237"/>
      <c r="BQ23" s="237"/>
      <c r="BR23" s="233"/>
      <c r="BS23" s="233"/>
      <c r="BT23" s="233"/>
      <c r="BU23" s="233"/>
      <c r="BV23" s="233"/>
      <c r="BW23" s="233"/>
      <c r="BX23" s="233"/>
    </row>
    <row r="24" spans="1:76" s="34" customFormat="1" ht="15" customHeight="1" x14ac:dyDescent="0.15">
      <c r="A24" s="233"/>
      <c r="B24" s="233"/>
      <c r="C24" s="233"/>
      <c r="D24" s="233"/>
      <c r="E24" s="200"/>
      <c r="F24" s="201"/>
      <c r="G24" s="201"/>
      <c r="H24" s="201"/>
      <c r="I24" s="202"/>
      <c r="J24" s="197"/>
      <c r="K24" s="198"/>
      <c r="L24" s="198"/>
      <c r="M24" s="198"/>
      <c r="N24" s="198"/>
      <c r="O24" s="198"/>
      <c r="P24" s="198"/>
      <c r="Q24" s="199"/>
      <c r="R24" s="210"/>
      <c r="S24" s="211"/>
      <c r="T24" s="211"/>
      <c r="U24" s="211"/>
      <c r="V24" s="212"/>
      <c r="W24" s="213"/>
      <c r="X24" s="214"/>
      <c r="Y24" s="214"/>
      <c r="Z24" s="215"/>
      <c r="AA24" s="213"/>
      <c r="AB24" s="214"/>
      <c r="AC24" s="214"/>
      <c r="AD24" s="214"/>
      <c r="AE24" s="214"/>
      <c r="AF24" s="214"/>
      <c r="AG24" s="215"/>
      <c r="AH24" s="237"/>
      <c r="AI24" s="237"/>
      <c r="AJ24" s="237"/>
      <c r="AK24" s="237"/>
      <c r="AL24" s="237"/>
      <c r="AM24" s="237"/>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c r="BM24" s="237"/>
      <c r="BN24" s="237"/>
      <c r="BO24" s="237"/>
      <c r="BP24" s="237"/>
      <c r="BQ24" s="237"/>
      <c r="BR24" s="233"/>
      <c r="BS24" s="233"/>
      <c r="BT24" s="233"/>
      <c r="BU24" s="233"/>
      <c r="BV24" s="233"/>
      <c r="BW24" s="233"/>
      <c r="BX24" s="233"/>
    </row>
    <row r="25" spans="1:76" s="34" customFormat="1" ht="15" customHeight="1" x14ac:dyDescent="0.15">
      <c r="A25" s="233"/>
      <c r="B25" s="233"/>
      <c r="C25" s="233"/>
      <c r="D25" s="233"/>
      <c r="E25" s="200"/>
      <c r="F25" s="201"/>
      <c r="G25" s="201"/>
      <c r="H25" s="201"/>
      <c r="I25" s="202"/>
      <c r="J25" s="197"/>
      <c r="K25" s="198"/>
      <c r="L25" s="198"/>
      <c r="M25" s="198"/>
      <c r="N25" s="198"/>
      <c r="O25" s="198"/>
      <c r="P25" s="198"/>
      <c r="Q25" s="199"/>
      <c r="R25" s="210"/>
      <c r="S25" s="211"/>
      <c r="T25" s="211"/>
      <c r="U25" s="211"/>
      <c r="V25" s="212"/>
      <c r="W25" s="213"/>
      <c r="X25" s="214"/>
      <c r="Y25" s="214"/>
      <c r="Z25" s="215"/>
      <c r="AA25" s="213"/>
      <c r="AB25" s="214"/>
      <c r="AC25" s="214"/>
      <c r="AD25" s="214"/>
      <c r="AE25" s="214"/>
      <c r="AF25" s="214"/>
      <c r="AG25" s="215"/>
      <c r="AH25" s="237"/>
      <c r="AI25" s="237"/>
      <c r="AJ25" s="237"/>
      <c r="AK25" s="237"/>
      <c r="AL25" s="237"/>
      <c r="AM25" s="237"/>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7"/>
      <c r="BK25" s="237"/>
      <c r="BL25" s="237"/>
      <c r="BM25" s="237"/>
      <c r="BN25" s="237"/>
      <c r="BO25" s="237"/>
      <c r="BP25" s="237"/>
      <c r="BQ25" s="237"/>
      <c r="BR25" s="233"/>
      <c r="BS25" s="233"/>
      <c r="BT25" s="233"/>
      <c r="BU25" s="233"/>
      <c r="BV25" s="233"/>
      <c r="BW25" s="233"/>
      <c r="BX25" s="233"/>
    </row>
    <row r="26" spans="1:76" s="34" customFormat="1" ht="15" customHeight="1" x14ac:dyDescent="0.15">
      <c r="A26" s="233"/>
      <c r="B26" s="233"/>
      <c r="C26" s="233"/>
      <c r="D26" s="233"/>
      <c r="E26" s="200"/>
      <c r="F26" s="201"/>
      <c r="G26" s="201"/>
      <c r="H26" s="201"/>
      <c r="I26" s="202"/>
      <c r="J26" s="197"/>
      <c r="K26" s="198"/>
      <c r="L26" s="198"/>
      <c r="M26" s="198"/>
      <c r="N26" s="198"/>
      <c r="O26" s="198"/>
      <c r="P26" s="198"/>
      <c r="Q26" s="199"/>
      <c r="R26" s="210"/>
      <c r="S26" s="211"/>
      <c r="T26" s="211"/>
      <c r="U26" s="211"/>
      <c r="V26" s="212"/>
      <c r="W26" s="213"/>
      <c r="X26" s="214"/>
      <c r="Y26" s="214"/>
      <c r="Z26" s="215"/>
      <c r="AA26" s="213"/>
      <c r="AB26" s="214"/>
      <c r="AC26" s="214"/>
      <c r="AD26" s="214"/>
      <c r="AE26" s="214"/>
      <c r="AF26" s="214"/>
      <c r="AG26" s="215"/>
      <c r="AH26" s="237"/>
      <c r="AI26" s="237"/>
      <c r="AJ26" s="237"/>
      <c r="AK26" s="237"/>
      <c r="AL26" s="237"/>
      <c r="AM26" s="237"/>
      <c r="AN26" s="237"/>
      <c r="AO26" s="237"/>
      <c r="AP26" s="237"/>
      <c r="AQ26" s="237"/>
      <c r="AR26" s="237"/>
      <c r="AS26" s="237"/>
      <c r="AT26" s="237"/>
      <c r="AU26" s="237"/>
      <c r="AV26" s="237"/>
      <c r="AW26" s="237"/>
      <c r="AX26" s="237"/>
      <c r="AY26" s="237"/>
      <c r="AZ26" s="237"/>
      <c r="BA26" s="237"/>
      <c r="BB26" s="237"/>
      <c r="BC26" s="237"/>
      <c r="BD26" s="237"/>
      <c r="BE26" s="237"/>
      <c r="BF26" s="237"/>
      <c r="BG26" s="237"/>
      <c r="BH26" s="237"/>
      <c r="BI26" s="237"/>
      <c r="BJ26" s="237"/>
      <c r="BK26" s="237"/>
      <c r="BL26" s="237"/>
      <c r="BM26" s="237"/>
      <c r="BN26" s="237"/>
      <c r="BO26" s="237"/>
      <c r="BP26" s="237"/>
      <c r="BQ26" s="237"/>
      <c r="BR26" s="233"/>
      <c r="BS26" s="233"/>
      <c r="BT26" s="233"/>
      <c r="BU26" s="233"/>
      <c r="BV26" s="233"/>
      <c r="BW26" s="233"/>
      <c r="BX26" s="233"/>
    </row>
    <row r="27" spans="1:76" s="34" customFormat="1" ht="15" customHeight="1" x14ac:dyDescent="0.15">
      <c r="A27" s="233"/>
      <c r="B27" s="233"/>
      <c r="C27" s="233"/>
      <c r="D27" s="233"/>
      <c r="E27" s="200"/>
      <c r="F27" s="201"/>
      <c r="G27" s="201"/>
      <c r="H27" s="201"/>
      <c r="I27" s="202"/>
      <c r="J27" s="197"/>
      <c r="K27" s="198"/>
      <c r="L27" s="198"/>
      <c r="M27" s="198"/>
      <c r="N27" s="198"/>
      <c r="O27" s="198"/>
      <c r="P27" s="198"/>
      <c r="Q27" s="199"/>
      <c r="R27" s="210"/>
      <c r="S27" s="211"/>
      <c r="T27" s="211"/>
      <c r="U27" s="211"/>
      <c r="V27" s="212"/>
      <c r="W27" s="213"/>
      <c r="X27" s="214"/>
      <c r="Y27" s="214"/>
      <c r="Z27" s="215"/>
      <c r="AA27" s="213"/>
      <c r="AB27" s="214"/>
      <c r="AC27" s="214"/>
      <c r="AD27" s="214"/>
      <c r="AE27" s="214"/>
      <c r="AF27" s="214"/>
      <c r="AG27" s="215"/>
      <c r="AH27" s="237"/>
      <c r="AI27" s="237"/>
      <c r="AJ27" s="237"/>
      <c r="AK27" s="237"/>
      <c r="AL27" s="237"/>
      <c r="AM27" s="237"/>
      <c r="AN27" s="237"/>
      <c r="AO27" s="237"/>
      <c r="AP27" s="237"/>
      <c r="AQ27" s="237"/>
      <c r="AR27" s="237"/>
      <c r="AS27" s="237"/>
      <c r="AT27" s="237"/>
      <c r="AU27" s="237"/>
      <c r="AV27" s="237"/>
      <c r="AW27" s="237"/>
      <c r="AX27" s="237"/>
      <c r="AY27" s="237"/>
      <c r="AZ27" s="237"/>
      <c r="BA27" s="237"/>
      <c r="BB27" s="237"/>
      <c r="BC27" s="237"/>
      <c r="BD27" s="237"/>
      <c r="BE27" s="237"/>
      <c r="BF27" s="237"/>
      <c r="BG27" s="237"/>
      <c r="BH27" s="237"/>
      <c r="BI27" s="237"/>
      <c r="BJ27" s="237"/>
      <c r="BK27" s="237"/>
      <c r="BL27" s="237"/>
      <c r="BM27" s="237"/>
      <c r="BN27" s="237"/>
      <c r="BO27" s="237"/>
      <c r="BP27" s="237"/>
      <c r="BQ27" s="237"/>
      <c r="BR27" s="233"/>
      <c r="BS27" s="233"/>
      <c r="BT27" s="233"/>
      <c r="BU27" s="233"/>
      <c r="BV27" s="233"/>
      <c r="BW27" s="233"/>
      <c r="BX27" s="233"/>
    </row>
    <row r="28" spans="1:76" s="34" customFormat="1" ht="15" customHeight="1" x14ac:dyDescent="0.15">
      <c r="A28" s="233"/>
      <c r="B28" s="233"/>
      <c r="C28" s="233"/>
      <c r="D28" s="233"/>
      <c r="E28" s="200"/>
      <c r="F28" s="201"/>
      <c r="G28" s="201"/>
      <c r="H28" s="201"/>
      <c r="I28" s="202"/>
      <c r="J28" s="197"/>
      <c r="K28" s="198"/>
      <c r="L28" s="198"/>
      <c r="M28" s="198"/>
      <c r="N28" s="198"/>
      <c r="O28" s="198"/>
      <c r="P28" s="198"/>
      <c r="Q28" s="199"/>
      <c r="R28" s="210"/>
      <c r="S28" s="211"/>
      <c r="T28" s="211"/>
      <c r="U28" s="211"/>
      <c r="V28" s="212"/>
      <c r="W28" s="213"/>
      <c r="X28" s="214"/>
      <c r="Y28" s="214"/>
      <c r="Z28" s="215"/>
      <c r="AA28" s="213"/>
      <c r="AB28" s="214"/>
      <c r="AC28" s="214"/>
      <c r="AD28" s="214"/>
      <c r="AE28" s="214"/>
      <c r="AF28" s="214"/>
      <c r="AG28" s="215"/>
      <c r="AH28" s="237"/>
      <c r="AI28" s="237"/>
      <c r="AJ28" s="237"/>
      <c r="AK28" s="237"/>
      <c r="AL28" s="237"/>
      <c r="AM28" s="237"/>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c r="BM28" s="237"/>
      <c r="BN28" s="237"/>
      <c r="BO28" s="237"/>
      <c r="BP28" s="237"/>
      <c r="BQ28" s="237"/>
      <c r="BR28" s="233"/>
      <c r="BS28" s="233"/>
      <c r="BT28" s="233"/>
      <c r="BU28" s="233"/>
      <c r="BV28" s="233"/>
      <c r="BW28" s="233"/>
      <c r="BX28" s="233"/>
    </row>
    <row r="29" spans="1:76" s="34" customFormat="1" ht="15" customHeight="1" x14ac:dyDescent="0.15">
      <c r="A29" s="233"/>
      <c r="B29" s="233"/>
      <c r="C29" s="233"/>
      <c r="D29" s="233"/>
      <c r="E29" s="200"/>
      <c r="F29" s="201"/>
      <c r="G29" s="201"/>
      <c r="H29" s="201"/>
      <c r="I29" s="202"/>
      <c r="J29" s="197"/>
      <c r="K29" s="198"/>
      <c r="L29" s="198"/>
      <c r="M29" s="198"/>
      <c r="N29" s="198"/>
      <c r="O29" s="198"/>
      <c r="P29" s="198"/>
      <c r="Q29" s="199"/>
      <c r="R29" s="210"/>
      <c r="S29" s="211"/>
      <c r="T29" s="211"/>
      <c r="U29" s="211"/>
      <c r="V29" s="212"/>
      <c r="W29" s="213"/>
      <c r="X29" s="214"/>
      <c r="Y29" s="214"/>
      <c r="Z29" s="215"/>
      <c r="AA29" s="213"/>
      <c r="AB29" s="214"/>
      <c r="AC29" s="214"/>
      <c r="AD29" s="214"/>
      <c r="AE29" s="214"/>
      <c r="AF29" s="214"/>
      <c r="AG29" s="215"/>
      <c r="AH29" s="237"/>
      <c r="AI29" s="237"/>
      <c r="AJ29" s="237"/>
      <c r="AK29" s="237"/>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3"/>
      <c r="BS29" s="233"/>
      <c r="BT29" s="233"/>
      <c r="BU29" s="233"/>
      <c r="BV29" s="233"/>
      <c r="BW29" s="233"/>
      <c r="BX29" s="233"/>
    </row>
    <row r="30" spans="1:76" s="34" customFormat="1" ht="15" customHeight="1" x14ac:dyDescent="0.15">
      <c r="A30" s="233"/>
      <c r="B30" s="233"/>
      <c r="C30" s="233"/>
      <c r="D30" s="233"/>
      <c r="E30" s="200"/>
      <c r="F30" s="201"/>
      <c r="G30" s="201"/>
      <c r="H30" s="201"/>
      <c r="I30" s="202"/>
      <c r="J30" s="197"/>
      <c r="K30" s="198"/>
      <c r="L30" s="198"/>
      <c r="M30" s="198"/>
      <c r="N30" s="198"/>
      <c r="O30" s="198"/>
      <c r="P30" s="198"/>
      <c r="Q30" s="199"/>
      <c r="R30" s="210"/>
      <c r="S30" s="211"/>
      <c r="T30" s="211"/>
      <c r="U30" s="211"/>
      <c r="V30" s="212"/>
      <c r="W30" s="213"/>
      <c r="X30" s="214"/>
      <c r="Y30" s="214"/>
      <c r="Z30" s="215"/>
      <c r="AA30" s="213"/>
      <c r="AB30" s="214"/>
      <c r="AC30" s="214"/>
      <c r="AD30" s="214"/>
      <c r="AE30" s="214"/>
      <c r="AF30" s="214"/>
      <c r="AG30" s="215"/>
      <c r="AH30" s="237"/>
      <c r="AI30" s="237"/>
      <c r="AJ30" s="237"/>
      <c r="AK30" s="237"/>
      <c r="AL30" s="237"/>
      <c r="AM30" s="237"/>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7"/>
      <c r="BK30" s="237"/>
      <c r="BL30" s="237"/>
      <c r="BM30" s="237"/>
      <c r="BN30" s="237"/>
      <c r="BO30" s="237"/>
      <c r="BP30" s="237"/>
      <c r="BQ30" s="237"/>
      <c r="BR30" s="233"/>
      <c r="BS30" s="233"/>
      <c r="BT30" s="233"/>
      <c r="BU30" s="233"/>
      <c r="BV30" s="233"/>
      <c r="BW30" s="233"/>
      <c r="BX30" s="233"/>
    </row>
    <row r="31" spans="1:76" s="34" customFormat="1" ht="15" customHeight="1" x14ac:dyDescent="0.15">
      <c r="A31" s="233"/>
      <c r="B31" s="233"/>
      <c r="C31" s="233"/>
      <c r="D31" s="233"/>
      <c r="E31" s="200"/>
      <c r="F31" s="201"/>
      <c r="G31" s="201"/>
      <c r="H31" s="201"/>
      <c r="I31" s="202"/>
      <c r="J31" s="197"/>
      <c r="K31" s="198"/>
      <c r="L31" s="198"/>
      <c r="M31" s="198"/>
      <c r="N31" s="198"/>
      <c r="O31" s="198"/>
      <c r="P31" s="198"/>
      <c r="Q31" s="199"/>
      <c r="R31" s="210"/>
      <c r="S31" s="211"/>
      <c r="T31" s="211"/>
      <c r="U31" s="211"/>
      <c r="V31" s="212"/>
      <c r="W31" s="213"/>
      <c r="X31" s="214"/>
      <c r="Y31" s="214"/>
      <c r="Z31" s="215"/>
      <c r="AA31" s="213"/>
      <c r="AB31" s="214"/>
      <c r="AC31" s="214"/>
      <c r="AD31" s="214"/>
      <c r="AE31" s="214"/>
      <c r="AF31" s="214"/>
      <c r="AG31" s="215"/>
      <c r="AH31" s="237"/>
      <c r="AI31" s="237"/>
      <c r="AJ31" s="237"/>
      <c r="AK31" s="237"/>
      <c r="AL31" s="237"/>
      <c r="AM31" s="237"/>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7"/>
      <c r="BK31" s="237"/>
      <c r="BL31" s="237"/>
      <c r="BM31" s="237"/>
      <c r="BN31" s="237"/>
      <c r="BO31" s="237"/>
      <c r="BP31" s="237"/>
      <c r="BQ31" s="237"/>
      <c r="BR31" s="233"/>
      <c r="BS31" s="233"/>
      <c r="BT31" s="233"/>
      <c r="BU31" s="233"/>
      <c r="BV31" s="233"/>
      <c r="BW31" s="233"/>
      <c r="BX31" s="233"/>
    </row>
    <row r="32" spans="1:76" s="34" customFormat="1" ht="15" customHeight="1" x14ac:dyDescent="0.15">
      <c r="A32" s="233"/>
      <c r="B32" s="233"/>
      <c r="C32" s="233"/>
      <c r="D32" s="233"/>
      <c r="E32" s="200"/>
      <c r="F32" s="201"/>
      <c r="G32" s="201"/>
      <c r="H32" s="201"/>
      <c r="I32" s="202"/>
      <c r="J32" s="197"/>
      <c r="K32" s="198"/>
      <c r="L32" s="198"/>
      <c r="M32" s="198"/>
      <c r="N32" s="198"/>
      <c r="O32" s="198"/>
      <c r="P32" s="198"/>
      <c r="Q32" s="199"/>
      <c r="R32" s="210"/>
      <c r="S32" s="211"/>
      <c r="T32" s="211"/>
      <c r="U32" s="211"/>
      <c r="V32" s="212"/>
      <c r="W32" s="213"/>
      <c r="X32" s="214"/>
      <c r="Y32" s="214"/>
      <c r="Z32" s="215"/>
      <c r="AA32" s="213"/>
      <c r="AB32" s="214"/>
      <c r="AC32" s="214"/>
      <c r="AD32" s="214"/>
      <c r="AE32" s="214"/>
      <c r="AF32" s="214"/>
      <c r="AG32" s="215"/>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7"/>
      <c r="BK32" s="237"/>
      <c r="BL32" s="237"/>
      <c r="BM32" s="237"/>
      <c r="BN32" s="237"/>
      <c r="BO32" s="237"/>
      <c r="BP32" s="237"/>
      <c r="BQ32" s="237"/>
      <c r="BR32" s="233"/>
      <c r="BS32" s="233"/>
      <c r="BT32" s="233"/>
      <c r="BU32" s="233"/>
      <c r="BV32" s="233"/>
      <c r="BW32" s="233"/>
      <c r="BX32" s="233"/>
    </row>
    <row r="33" spans="1:76" s="34" customFormat="1" ht="15" customHeight="1" x14ac:dyDescent="0.15">
      <c r="A33" s="233"/>
      <c r="B33" s="233"/>
      <c r="C33" s="233"/>
      <c r="D33" s="233"/>
      <c r="E33" s="200"/>
      <c r="F33" s="201"/>
      <c r="G33" s="201"/>
      <c r="H33" s="201"/>
      <c r="I33" s="202"/>
      <c r="J33" s="197"/>
      <c r="K33" s="198"/>
      <c r="L33" s="198"/>
      <c r="M33" s="198"/>
      <c r="N33" s="198"/>
      <c r="O33" s="198"/>
      <c r="P33" s="198"/>
      <c r="Q33" s="199"/>
      <c r="R33" s="210"/>
      <c r="S33" s="211"/>
      <c r="T33" s="211"/>
      <c r="U33" s="211"/>
      <c r="V33" s="212"/>
      <c r="W33" s="213"/>
      <c r="X33" s="214"/>
      <c r="Y33" s="214"/>
      <c r="Z33" s="215"/>
      <c r="AA33" s="213"/>
      <c r="AB33" s="214"/>
      <c r="AC33" s="214"/>
      <c r="AD33" s="214"/>
      <c r="AE33" s="214"/>
      <c r="AF33" s="214"/>
      <c r="AG33" s="215"/>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7"/>
      <c r="BK33" s="237"/>
      <c r="BL33" s="237"/>
      <c r="BM33" s="237"/>
      <c r="BN33" s="237"/>
      <c r="BO33" s="237"/>
      <c r="BP33" s="237"/>
      <c r="BQ33" s="237"/>
      <c r="BR33" s="233"/>
      <c r="BS33" s="233"/>
      <c r="BT33" s="233"/>
      <c r="BU33" s="233"/>
      <c r="BV33" s="233"/>
      <c r="BW33" s="233"/>
      <c r="BX33" s="233"/>
    </row>
    <row r="34" spans="1:76" s="34" customFormat="1" ht="15" customHeight="1" x14ac:dyDescent="0.15">
      <c r="A34" s="233"/>
      <c r="B34" s="233"/>
      <c r="C34" s="233"/>
      <c r="D34" s="233"/>
      <c r="E34" s="200"/>
      <c r="F34" s="201"/>
      <c r="G34" s="201"/>
      <c r="H34" s="201"/>
      <c r="I34" s="202"/>
      <c r="J34" s="197"/>
      <c r="K34" s="198"/>
      <c r="L34" s="198"/>
      <c r="M34" s="198"/>
      <c r="N34" s="198"/>
      <c r="O34" s="198"/>
      <c r="P34" s="198"/>
      <c r="Q34" s="199"/>
      <c r="R34" s="210"/>
      <c r="S34" s="211"/>
      <c r="T34" s="211"/>
      <c r="U34" s="211"/>
      <c r="V34" s="212"/>
      <c r="W34" s="213"/>
      <c r="X34" s="214"/>
      <c r="Y34" s="214"/>
      <c r="Z34" s="215"/>
      <c r="AA34" s="213"/>
      <c r="AB34" s="214"/>
      <c r="AC34" s="214"/>
      <c r="AD34" s="214"/>
      <c r="AE34" s="214"/>
      <c r="AF34" s="214"/>
      <c r="AG34" s="215"/>
      <c r="AH34" s="237"/>
      <c r="AI34" s="237"/>
      <c r="AJ34" s="237"/>
      <c r="AK34" s="237"/>
      <c r="AL34" s="237"/>
      <c r="AM34" s="237"/>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7"/>
      <c r="BK34" s="237"/>
      <c r="BL34" s="237"/>
      <c r="BM34" s="237"/>
      <c r="BN34" s="237"/>
      <c r="BO34" s="237"/>
      <c r="BP34" s="237"/>
      <c r="BQ34" s="237"/>
      <c r="BR34" s="233"/>
      <c r="BS34" s="233"/>
      <c r="BT34" s="233"/>
      <c r="BU34" s="233"/>
      <c r="BV34" s="233"/>
      <c r="BW34" s="233"/>
      <c r="BX34" s="233"/>
    </row>
    <row r="35" spans="1:76" s="34" customFormat="1" ht="15" customHeight="1" x14ac:dyDescent="0.15">
      <c r="A35" s="233"/>
      <c r="B35" s="233"/>
      <c r="C35" s="233"/>
      <c r="D35" s="233"/>
      <c r="E35" s="200"/>
      <c r="F35" s="201"/>
      <c r="G35" s="201"/>
      <c r="H35" s="201"/>
      <c r="I35" s="202"/>
      <c r="J35" s="197"/>
      <c r="K35" s="198"/>
      <c r="L35" s="198"/>
      <c r="M35" s="198"/>
      <c r="N35" s="198"/>
      <c r="O35" s="198"/>
      <c r="P35" s="198"/>
      <c r="Q35" s="199"/>
      <c r="R35" s="210"/>
      <c r="S35" s="211"/>
      <c r="T35" s="211"/>
      <c r="U35" s="211"/>
      <c r="V35" s="212"/>
      <c r="W35" s="213"/>
      <c r="X35" s="214"/>
      <c r="Y35" s="214"/>
      <c r="Z35" s="215"/>
      <c r="AA35" s="213"/>
      <c r="AB35" s="214"/>
      <c r="AC35" s="214"/>
      <c r="AD35" s="214"/>
      <c r="AE35" s="214"/>
      <c r="AF35" s="214"/>
      <c r="AG35" s="215"/>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c r="BM35" s="237"/>
      <c r="BN35" s="237"/>
      <c r="BO35" s="237"/>
      <c r="BP35" s="237"/>
      <c r="BQ35" s="237"/>
      <c r="BR35" s="233"/>
      <c r="BS35" s="233"/>
      <c r="BT35" s="233"/>
      <c r="BU35" s="233"/>
      <c r="BV35" s="233"/>
      <c r="BW35" s="233"/>
      <c r="BX35" s="233"/>
    </row>
    <row r="36" spans="1:76" s="34" customFormat="1" ht="15" customHeight="1" x14ac:dyDescent="0.15">
      <c r="A36" s="233"/>
      <c r="B36" s="233"/>
      <c r="C36" s="233"/>
      <c r="D36" s="233"/>
      <c r="E36" s="200"/>
      <c r="F36" s="201"/>
      <c r="G36" s="201"/>
      <c r="H36" s="201"/>
      <c r="I36" s="202"/>
      <c r="J36" s="197"/>
      <c r="K36" s="198"/>
      <c r="L36" s="198"/>
      <c r="M36" s="198"/>
      <c r="N36" s="198"/>
      <c r="O36" s="198"/>
      <c r="P36" s="198"/>
      <c r="Q36" s="199"/>
      <c r="R36" s="210"/>
      <c r="S36" s="211"/>
      <c r="T36" s="211"/>
      <c r="U36" s="211"/>
      <c r="V36" s="212"/>
      <c r="W36" s="213"/>
      <c r="X36" s="214"/>
      <c r="Y36" s="214"/>
      <c r="Z36" s="215"/>
      <c r="AA36" s="213"/>
      <c r="AB36" s="214"/>
      <c r="AC36" s="214"/>
      <c r="AD36" s="214"/>
      <c r="AE36" s="214"/>
      <c r="AF36" s="214"/>
      <c r="AG36" s="215"/>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c r="BL36" s="237"/>
      <c r="BM36" s="237"/>
      <c r="BN36" s="237"/>
      <c r="BO36" s="237"/>
      <c r="BP36" s="237"/>
      <c r="BQ36" s="237"/>
      <c r="BR36" s="233"/>
      <c r="BS36" s="233"/>
      <c r="BT36" s="233"/>
      <c r="BU36" s="233"/>
      <c r="BV36" s="233"/>
      <c r="BW36" s="233"/>
      <c r="BX36" s="233"/>
    </row>
  </sheetData>
  <mergeCells count="266">
    <mergeCell ref="AA24:AG24"/>
    <mergeCell ref="AH24:BQ24"/>
    <mergeCell ref="BR24:BX24"/>
    <mergeCell ref="A25:D25"/>
    <mergeCell ref="E25:I25"/>
    <mergeCell ref="J25:Q25"/>
    <mergeCell ref="R25:V25"/>
    <mergeCell ref="W25:Z25"/>
    <mergeCell ref="AA25:AG25"/>
    <mergeCell ref="AH25:BQ25"/>
    <mergeCell ref="BR25:BX25"/>
    <mergeCell ref="AA26:AG26"/>
    <mergeCell ref="AH26:BQ26"/>
    <mergeCell ref="BR26:BX26"/>
    <mergeCell ref="A27:D27"/>
    <mergeCell ref="E27:I27"/>
    <mergeCell ref="J27:Q27"/>
    <mergeCell ref="R27:V27"/>
    <mergeCell ref="W27:Z27"/>
    <mergeCell ref="AA27:AG27"/>
    <mergeCell ref="AH27:BQ27"/>
    <mergeCell ref="BR27:BX27"/>
    <mergeCell ref="AA22:AG22"/>
    <mergeCell ref="AH22:BQ22"/>
    <mergeCell ref="BR22:BX22"/>
    <mergeCell ref="A23:D23"/>
    <mergeCell ref="E23:I23"/>
    <mergeCell ref="J23:Q23"/>
    <mergeCell ref="R23:V23"/>
    <mergeCell ref="W23:Z23"/>
    <mergeCell ref="AA23:AG23"/>
    <mergeCell ref="AH23:BQ23"/>
    <mergeCell ref="BR23:BX23"/>
    <mergeCell ref="BR32:BX32"/>
    <mergeCell ref="BR30:BX30"/>
    <mergeCell ref="AH31:BQ31"/>
    <mergeCell ref="BR31:BX31"/>
    <mergeCell ref="BR36:BX36"/>
    <mergeCell ref="BR33:BX33"/>
    <mergeCell ref="BR16:BX16"/>
    <mergeCell ref="AH28:BQ28"/>
    <mergeCell ref="BR28:BX28"/>
    <mergeCell ref="AH17:BQ17"/>
    <mergeCell ref="BR17:BX17"/>
    <mergeCell ref="AH18:BQ18"/>
    <mergeCell ref="BR18:BX18"/>
    <mergeCell ref="AH19:BQ19"/>
    <mergeCell ref="BR19:BX19"/>
    <mergeCell ref="AH20:BQ20"/>
    <mergeCell ref="BR20:BX20"/>
    <mergeCell ref="AH21:BQ21"/>
    <mergeCell ref="BR21:BX21"/>
    <mergeCell ref="AA36:AG36"/>
    <mergeCell ref="AH36:BQ36"/>
    <mergeCell ref="R36:V36"/>
    <mergeCell ref="W36:Z36"/>
    <mergeCell ref="BR35:BX35"/>
    <mergeCell ref="R34:V34"/>
    <mergeCell ref="W34:Z34"/>
    <mergeCell ref="AA34:AG34"/>
    <mergeCell ref="AH34:BQ34"/>
    <mergeCell ref="BR34:BX34"/>
    <mergeCell ref="R35:V35"/>
    <mergeCell ref="W35:Z35"/>
    <mergeCell ref="AA35:AG35"/>
    <mergeCell ref="AH35:BQ35"/>
    <mergeCell ref="W33:Z33"/>
    <mergeCell ref="AA33:AG33"/>
    <mergeCell ref="AH33:BQ33"/>
    <mergeCell ref="W29:Z29"/>
    <mergeCell ref="AH30:BQ30"/>
    <mergeCell ref="AA29:AG29"/>
    <mergeCell ref="AH7:BQ7"/>
    <mergeCell ref="AH29:BQ29"/>
    <mergeCell ref="AH16:BQ16"/>
    <mergeCell ref="W32:Z32"/>
    <mergeCell ref="AA32:AG32"/>
    <mergeCell ref="AH32:BQ32"/>
    <mergeCell ref="AA31:AG31"/>
    <mergeCell ref="AH13:BQ13"/>
    <mergeCell ref="W17:Z17"/>
    <mergeCell ref="AA17:AG17"/>
    <mergeCell ref="W18:Z18"/>
    <mergeCell ref="AA18:AG18"/>
    <mergeCell ref="W19:Z19"/>
    <mergeCell ref="AA19:AG19"/>
    <mergeCell ref="W20:Z20"/>
    <mergeCell ref="AA20:AG20"/>
    <mergeCell ref="W21:Z21"/>
    <mergeCell ref="AA21:AG21"/>
    <mergeCell ref="R13:V13"/>
    <mergeCell ref="R30:V30"/>
    <mergeCell ref="R14:V14"/>
    <mergeCell ref="R29:V29"/>
    <mergeCell ref="R15:V15"/>
    <mergeCell ref="R28:V28"/>
    <mergeCell ref="W14:Z14"/>
    <mergeCell ref="W15:Z15"/>
    <mergeCell ref="W16:Z16"/>
    <mergeCell ref="R17:V17"/>
    <mergeCell ref="R18:V18"/>
    <mergeCell ref="R19:V19"/>
    <mergeCell ref="R20:V20"/>
    <mergeCell ref="R21:V21"/>
    <mergeCell ref="R22:V22"/>
    <mergeCell ref="W22:Z22"/>
    <mergeCell ref="R26:V26"/>
    <mergeCell ref="W26:Z26"/>
    <mergeCell ref="R24:V24"/>
    <mergeCell ref="W24:Z24"/>
    <mergeCell ref="AA30:AG30"/>
    <mergeCell ref="W30:Z30"/>
    <mergeCell ref="A30:D30"/>
    <mergeCell ref="W31:Z31"/>
    <mergeCell ref="AH15:BQ15"/>
    <mergeCell ref="BR15:BX15"/>
    <mergeCell ref="AA15:AG15"/>
    <mergeCell ref="W28:Z28"/>
    <mergeCell ref="AA16:AG16"/>
    <mergeCell ref="AA28:AG28"/>
    <mergeCell ref="E30:I30"/>
    <mergeCell ref="J30:Q30"/>
    <mergeCell ref="E31:I31"/>
    <mergeCell ref="BR29:BX29"/>
    <mergeCell ref="J17:Q17"/>
    <mergeCell ref="A18:D18"/>
    <mergeCell ref="E18:I18"/>
    <mergeCell ref="J18:Q18"/>
    <mergeCell ref="A19:D19"/>
    <mergeCell ref="E19:I19"/>
    <mergeCell ref="J19:Q19"/>
    <mergeCell ref="A20:D20"/>
    <mergeCell ref="E20:I20"/>
    <mergeCell ref="J20:Q20"/>
    <mergeCell ref="AA14:AG14"/>
    <mergeCell ref="AA9:AG9"/>
    <mergeCell ref="AA10:AG10"/>
    <mergeCell ref="AA12:AG12"/>
    <mergeCell ref="AA13:AG13"/>
    <mergeCell ref="AA11:AG11"/>
    <mergeCell ref="BR3:BX4"/>
    <mergeCell ref="AH3:BQ4"/>
    <mergeCell ref="AH5:BQ5"/>
    <mergeCell ref="BR5:BX5"/>
    <mergeCell ref="AH6:BQ6"/>
    <mergeCell ref="BR6:BX6"/>
    <mergeCell ref="AH9:BQ9"/>
    <mergeCell ref="BR9:BX9"/>
    <mergeCell ref="AH10:BQ10"/>
    <mergeCell ref="BR10:BX10"/>
    <mergeCell ref="BR7:BX7"/>
    <mergeCell ref="AH8:BQ8"/>
    <mergeCell ref="BR8:BX8"/>
    <mergeCell ref="BR13:BX13"/>
    <mergeCell ref="AH14:BQ14"/>
    <mergeCell ref="BR14:BX14"/>
    <mergeCell ref="W5:Z5"/>
    <mergeCell ref="W6:Z6"/>
    <mergeCell ref="W7:Z7"/>
    <mergeCell ref="W8:Z8"/>
    <mergeCell ref="W9:Z9"/>
    <mergeCell ref="W10:Z10"/>
    <mergeCell ref="AH12:BQ12"/>
    <mergeCell ref="BR12:BX12"/>
    <mergeCell ref="AH11:BQ11"/>
    <mergeCell ref="BR11:BX11"/>
    <mergeCell ref="AA5:AG5"/>
    <mergeCell ref="AA6:AG6"/>
    <mergeCell ref="AA7:AG7"/>
    <mergeCell ref="AA8:AG8"/>
    <mergeCell ref="A36:D36"/>
    <mergeCell ref="E36:I36"/>
    <mergeCell ref="J36:Q36"/>
    <mergeCell ref="R16:V16"/>
    <mergeCell ref="A15:D15"/>
    <mergeCell ref="A16:D16"/>
    <mergeCell ref="E15:I15"/>
    <mergeCell ref="J15:Q15"/>
    <mergeCell ref="E16:I16"/>
    <mergeCell ref="J16:Q16"/>
    <mergeCell ref="A34:D34"/>
    <mergeCell ref="A35:D35"/>
    <mergeCell ref="E34:I34"/>
    <mergeCell ref="J34:Q34"/>
    <mergeCell ref="E35:I35"/>
    <mergeCell ref="J35:Q35"/>
    <mergeCell ref="A28:D28"/>
    <mergeCell ref="A29:D29"/>
    <mergeCell ref="E28:I28"/>
    <mergeCell ref="J28:Q28"/>
    <mergeCell ref="A31:D31"/>
    <mergeCell ref="R31:V31"/>
    <mergeCell ref="R32:V32"/>
    <mergeCell ref="R33:V33"/>
    <mergeCell ref="A32:D32"/>
    <mergeCell ref="A33:D33"/>
    <mergeCell ref="E33:I33"/>
    <mergeCell ref="J33:Q33"/>
    <mergeCell ref="E32:I32"/>
    <mergeCell ref="J32:Q32"/>
    <mergeCell ref="A17:D17"/>
    <mergeCell ref="E17:I17"/>
    <mergeCell ref="A13:D13"/>
    <mergeCell ref="A21:D21"/>
    <mergeCell ref="E21:I21"/>
    <mergeCell ref="J21:Q21"/>
    <mergeCell ref="A22:D22"/>
    <mergeCell ref="E22:I22"/>
    <mergeCell ref="J22:Q22"/>
    <mergeCell ref="A26:D26"/>
    <mergeCell ref="E26:I26"/>
    <mergeCell ref="J26:Q26"/>
    <mergeCell ref="A24:D24"/>
    <mergeCell ref="E24:I24"/>
    <mergeCell ref="J24:Q24"/>
    <mergeCell ref="A10:D10"/>
    <mergeCell ref="A12:D12"/>
    <mergeCell ref="A11:D11"/>
    <mergeCell ref="E10:I10"/>
    <mergeCell ref="E12:I12"/>
    <mergeCell ref="J12:Q12"/>
    <mergeCell ref="A14:D14"/>
    <mergeCell ref="E14:I14"/>
    <mergeCell ref="J14:Q14"/>
    <mergeCell ref="A8:D8"/>
    <mergeCell ref="A9:D9"/>
    <mergeCell ref="E8:I8"/>
    <mergeCell ref="J8:Q8"/>
    <mergeCell ref="E9:I9"/>
    <mergeCell ref="J9:Q9"/>
    <mergeCell ref="A5:D5"/>
    <mergeCell ref="A3:D4"/>
    <mergeCell ref="A6:D6"/>
    <mergeCell ref="A7:D7"/>
    <mergeCell ref="E7:I7"/>
    <mergeCell ref="J7:Q7"/>
    <mergeCell ref="E3:I4"/>
    <mergeCell ref="E5:I5"/>
    <mergeCell ref="E6:I6"/>
    <mergeCell ref="J6:Q6"/>
    <mergeCell ref="J3:Q4"/>
    <mergeCell ref="J5:Q5"/>
    <mergeCell ref="G1:AG1"/>
    <mergeCell ref="J31:Q31"/>
    <mergeCell ref="E13:I13"/>
    <mergeCell ref="J13:Q13"/>
    <mergeCell ref="E29:I29"/>
    <mergeCell ref="J29:Q29"/>
    <mergeCell ref="J10:Q10"/>
    <mergeCell ref="E11:I11"/>
    <mergeCell ref="J11:Q11"/>
    <mergeCell ref="AA4:AG4"/>
    <mergeCell ref="W3:AG3"/>
    <mergeCell ref="R8:V8"/>
    <mergeCell ref="R3:V4"/>
    <mergeCell ref="W4:Z4"/>
    <mergeCell ref="R5:V5"/>
    <mergeCell ref="R6:V6"/>
    <mergeCell ref="R7:V7"/>
    <mergeCell ref="R9:V9"/>
    <mergeCell ref="R10:V10"/>
    <mergeCell ref="R12:V12"/>
    <mergeCell ref="R11:V11"/>
    <mergeCell ref="W12:Z12"/>
    <mergeCell ref="W13:Z13"/>
    <mergeCell ref="W11:Z11"/>
  </mergeCells>
  <phoneticPr fontId="3"/>
  <pageMargins left="0.39370078740157483" right="0.15748031496062992" top="0.78740157480314965" bottom="0.39370078740157483" header="0.59055118110236227" footer="0.19685039370078741"/>
  <pageSetup paperSize="9"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R26"/>
  <sheetViews>
    <sheetView view="pageBreakPreview" zoomScaleNormal="100" zoomScaleSheetLayoutView="100" workbookViewId="0"/>
  </sheetViews>
  <sheetFormatPr defaultColWidth="1.875" defaultRowHeight="15" customHeight="1" x14ac:dyDescent="0.15"/>
  <cols>
    <col min="1" max="3" width="1.875" style="38"/>
    <col min="4" max="4" width="1.875" style="38" customWidth="1"/>
    <col min="5" max="16384" width="1.875" style="38"/>
  </cols>
  <sheetData>
    <row r="1" spans="1:70" ht="15" customHeight="1" x14ac:dyDescent="0.15">
      <c r="A1" s="35"/>
      <c r="B1" s="35"/>
      <c r="C1" s="247" t="s">
        <v>27</v>
      </c>
      <c r="D1" s="247"/>
      <c r="E1" s="247"/>
      <c r="F1" s="247"/>
      <c r="G1" s="247"/>
      <c r="H1" s="247"/>
      <c r="I1" s="247"/>
      <c r="J1" s="247"/>
      <c r="K1" s="36"/>
      <c r="L1" s="37"/>
      <c r="M1" s="37"/>
      <c r="N1" s="37"/>
      <c r="O1" s="37"/>
      <c r="P1" s="37"/>
      <c r="Q1" s="37"/>
      <c r="R1" s="37"/>
      <c r="S1" s="37"/>
      <c r="T1" s="37"/>
      <c r="U1" s="37"/>
      <c r="V1" s="37"/>
      <c r="W1" s="37"/>
      <c r="X1" s="35"/>
      <c r="Y1" s="37"/>
      <c r="Z1" s="35"/>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row>
    <row r="2" spans="1:70" ht="15" customHeight="1" thickBot="1" x14ac:dyDescent="0.2">
      <c r="A2" s="39"/>
      <c r="B2" s="39"/>
      <c r="C2" s="248"/>
      <c r="D2" s="248"/>
      <c r="E2" s="248"/>
      <c r="F2" s="248"/>
      <c r="G2" s="248"/>
      <c r="H2" s="248"/>
      <c r="I2" s="248"/>
      <c r="J2" s="248"/>
      <c r="K2" s="40"/>
      <c r="L2" s="41"/>
      <c r="M2" s="41"/>
      <c r="N2" s="41"/>
      <c r="O2" s="41"/>
      <c r="P2" s="41"/>
      <c r="Q2" s="41"/>
      <c r="R2" s="41"/>
      <c r="S2" s="41"/>
      <c r="T2" s="41"/>
      <c r="U2" s="41"/>
      <c r="V2" s="41"/>
      <c r="W2" s="41"/>
      <c r="X2" s="39"/>
      <c r="Y2" s="41"/>
      <c r="Z2" s="39"/>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row>
    <row r="5" spans="1:70" ht="15" customHeight="1" x14ac:dyDescent="0.15">
      <c r="C5" s="38" t="s">
        <v>977</v>
      </c>
      <c r="D5" s="42"/>
      <c r="AE5" s="43"/>
      <c r="AG5" s="246"/>
      <c r="AH5" s="246"/>
      <c r="AI5" s="246"/>
      <c r="AJ5" s="246"/>
      <c r="AN5" s="42"/>
      <c r="BO5" s="43"/>
    </row>
    <row r="6" spans="1:70" ht="15" customHeight="1" x14ac:dyDescent="0.15">
      <c r="D6" s="249" t="s">
        <v>91</v>
      </c>
      <c r="E6" s="250"/>
      <c r="F6" s="250"/>
      <c r="G6" s="250"/>
      <c r="I6" s="42" t="s">
        <v>593</v>
      </c>
      <c r="J6" s="42"/>
      <c r="K6" s="42"/>
      <c r="L6" s="42"/>
      <c r="M6" s="42"/>
      <c r="N6" s="42"/>
      <c r="O6" s="42"/>
      <c r="P6" s="42"/>
      <c r="Q6" s="42"/>
      <c r="R6" s="42"/>
      <c r="AE6" s="43"/>
      <c r="AG6" s="246"/>
      <c r="AH6" s="246"/>
      <c r="AI6" s="246"/>
      <c r="AJ6" s="246"/>
      <c r="AN6" s="42"/>
      <c r="BO6" s="43"/>
    </row>
    <row r="7" spans="1:70" ht="15" customHeight="1" x14ac:dyDescent="0.15">
      <c r="D7" s="249" t="s">
        <v>92</v>
      </c>
      <c r="E7" s="250"/>
      <c r="F7" s="250"/>
      <c r="G7" s="250"/>
      <c r="I7" s="42" t="s">
        <v>796</v>
      </c>
      <c r="J7" s="42"/>
      <c r="K7" s="42"/>
      <c r="L7" s="42"/>
      <c r="M7" s="42"/>
      <c r="N7" s="42"/>
      <c r="O7" s="42"/>
      <c r="P7" s="42"/>
      <c r="Q7" s="42"/>
      <c r="R7" s="42"/>
      <c r="AE7" s="43"/>
      <c r="AG7" s="246"/>
      <c r="AH7" s="246"/>
      <c r="AI7" s="246"/>
      <c r="AJ7" s="246"/>
      <c r="AN7" s="42"/>
      <c r="BO7" s="43"/>
    </row>
    <row r="8" spans="1:70" ht="15" customHeight="1" x14ac:dyDescent="0.15">
      <c r="D8" s="249" t="s">
        <v>93</v>
      </c>
      <c r="E8" s="250"/>
      <c r="F8" s="250"/>
      <c r="G8" s="250"/>
      <c r="I8" s="42" t="s">
        <v>595</v>
      </c>
      <c r="J8" s="42"/>
      <c r="K8" s="42"/>
      <c r="L8" s="42"/>
      <c r="M8" s="42"/>
      <c r="N8" s="42"/>
      <c r="O8" s="42"/>
      <c r="P8" s="42"/>
      <c r="Q8" s="42"/>
      <c r="R8" s="42"/>
      <c r="AE8" s="43"/>
      <c r="AG8" s="246"/>
      <c r="AH8" s="246"/>
      <c r="AI8" s="246"/>
      <c r="AJ8" s="246"/>
      <c r="AN8" s="42"/>
      <c r="BO8" s="43"/>
    </row>
    <row r="9" spans="1:70" ht="15" customHeight="1" x14ac:dyDescent="0.2">
      <c r="D9" s="249" t="s">
        <v>94</v>
      </c>
      <c r="E9" s="250"/>
      <c r="F9" s="250"/>
      <c r="G9" s="250"/>
      <c r="I9" s="42" t="s">
        <v>795</v>
      </c>
      <c r="J9" s="42"/>
      <c r="K9" s="42"/>
      <c r="L9" s="42"/>
      <c r="M9" s="42"/>
      <c r="N9" s="42"/>
      <c r="O9" s="42"/>
      <c r="P9" s="42"/>
      <c r="Q9" s="42"/>
      <c r="R9" s="42"/>
      <c r="AE9" s="43"/>
      <c r="AG9" s="246"/>
      <c r="AH9" s="246"/>
      <c r="AI9" s="246"/>
      <c r="AJ9" s="246"/>
      <c r="AM9" s="44"/>
      <c r="AN9" s="42"/>
      <c r="BO9" s="43"/>
    </row>
    <row r="10" spans="1:70" ht="15" customHeight="1" x14ac:dyDescent="0.2">
      <c r="D10" s="249" t="s">
        <v>95</v>
      </c>
      <c r="E10" s="250"/>
      <c r="F10" s="250"/>
      <c r="G10" s="250"/>
      <c r="I10" s="42" t="s">
        <v>797</v>
      </c>
      <c r="J10" s="42"/>
      <c r="K10" s="42"/>
      <c r="L10" s="42"/>
      <c r="M10" s="42"/>
      <c r="N10" s="42"/>
      <c r="O10" s="42"/>
      <c r="P10" s="42"/>
      <c r="Q10" s="42"/>
      <c r="R10" s="42"/>
      <c r="AE10" s="43"/>
      <c r="AG10" s="246"/>
      <c r="AH10" s="246"/>
      <c r="AI10" s="246"/>
      <c r="AJ10" s="246"/>
      <c r="AM10" s="44"/>
      <c r="AN10" s="42"/>
      <c r="BO10" s="43"/>
    </row>
    <row r="11" spans="1:70" ht="15" customHeight="1" x14ac:dyDescent="0.15">
      <c r="D11" s="249" t="s">
        <v>96</v>
      </c>
      <c r="E11" s="250"/>
      <c r="F11" s="250"/>
      <c r="G11" s="250"/>
      <c r="I11" s="42" t="s">
        <v>132</v>
      </c>
      <c r="J11" s="42"/>
      <c r="K11" s="42"/>
      <c r="L11" s="42"/>
      <c r="M11" s="42"/>
      <c r="N11" s="42"/>
      <c r="O11" s="42"/>
      <c r="P11" s="42"/>
      <c r="Q11" s="42"/>
      <c r="R11" s="42"/>
      <c r="AE11" s="43"/>
      <c r="AG11" s="246"/>
      <c r="AH11" s="246"/>
      <c r="AI11" s="246"/>
      <c r="AJ11" s="246"/>
      <c r="AN11" s="42"/>
      <c r="BO11" s="43"/>
    </row>
    <row r="12" spans="1:70" ht="15" customHeight="1" x14ac:dyDescent="0.15">
      <c r="D12" s="249" t="s">
        <v>97</v>
      </c>
      <c r="E12" s="250"/>
      <c r="F12" s="250"/>
      <c r="G12" s="250"/>
      <c r="I12" s="42" t="s">
        <v>1314</v>
      </c>
      <c r="J12" s="42"/>
      <c r="K12" s="42"/>
      <c r="L12" s="42"/>
      <c r="M12" s="42"/>
      <c r="N12" s="42"/>
      <c r="O12" s="42"/>
      <c r="P12" s="42"/>
      <c r="Q12" s="42"/>
      <c r="R12" s="42"/>
      <c r="AE12" s="43"/>
      <c r="AG12" s="246"/>
      <c r="AH12" s="246"/>
      <c r="AI12" s="246"/>
      <c r="AJ12" s="246"/>
      <c r="AN12" s="42"/>
      <c r="BO12" s="43"/>
    </row>
    <row r="13" spans="1:70" ht="15" customHeight="1" x14ac:dyDescent="0.15">
      <c r="D13" s="251" t="s">
        <v>434</v>
      </c>
      <c r="E13" s="252"/>
      <c r="F13" s="252"/>
      <c r="G13" s="252"/>
      <c r="H13" s="180"/>
      <c r="I13" s="179" t="s">
        <v>628</v>
      </c>
      <c r="J13" s="179"/>
      <c r="K13" s="179"/>
      <c r="L13" s="179"/>
      <c r="M13" s="179"/>
      <c r="N13" s="179"/>
      <c r="O13" s="179"/>
      <c r="P13" s="179"/>
      <c r="Q13" s="179"/>
      <c r="R13" s="179"/>
      <c r="S13" s="180"/>
      <c r="T13" s="180"/>
      <c r="U13" s="180"/>
      <c r="AG13" s="246"/>
      <c r="AH13" s="246"/>
      <c r="AI13" s="246"/>
      <c r="AJ13" s="246"/>
      <c r="BO13" s="43"/>
    </row>
    <row r="14" spans="1:70" ht="15" customHeight="1" x14ac:dyDescent="0.15">
      <c r="D14" s="249" t="s">
        <v>98</v>
      </c>
      <c r="E14" s="250"/>
      <c r="F14" s="250"/>
      <c r="G14" s="250"/>
      <c r="I14" s="42" t="s">
        <v>798</v>
      </c>
      <c r="J14" s="42"/>
      <c r="K14" s="42"/>
      <c r="L14" s="42"/>
      <c r="M14" s="42"/>
      <c r="N14" s="42"/>
      <c r="O14" s="42"/>
      <c r="P14" s="42"/>
      <c r="Q14" s="42"/>
      <c r="R14" s="42"/>
      <c r="AE14" s="43"/>
      <c r="AG14" s="246"/>
      <c r="AH14" s="246"/>
      <c r="AI14" s="246"/>
      <c r="AJ14" s="246"/>
      <c r="AN14" s="42"/>
      <c r="BO14" s="43"/>
    </row>
    <row r="15" spans="1:70" ht="15" customHeight="1" x14ac:dyDescent="0.15">
      <c r="D15" s="249" t="s">
        <v>99</v>
      </c>
      <c r="E15" s="250"/>
      <c r="F15" s="250"/>
      <c r="G15" s="250"/>
      <c r="I15" s="42" t="s">
        <v>799</v>
      </c>
      <c r="J15" s="42"/>
      <c r="K15" s="42"/>
      <c r="L15" s="42"/>
      <c r="M15" s="42"/>
      <c r="N15" s="42"/>
      <c r="O15" s="42"/>
      <c r="P15" s="42"/>
      <c r="Q15" s="42"/>
      <c r="R15" s="42"/>
      <c r="S15" s="42"/>
      <c r="T15" s="42"/>
      <c r="U15" s="42"/>
      <c r="AE15" s="43"/>
      <c r="AG15" s="246"/>
      <c r="AH15" s="246"/>
      <c r="AI15" s="246"/>
      <c r="AJ15" s="246"/>
      <c r="AN15" s="42"/>
      <c r="BO15" s="43"/>
    </row>
    <row r="16" spans="1:70" ht="15" customHeight="1" x14ac:dyDescent="0.15">
      <c r="D16" s="249" t="s">
        <v>100</v>
      </c>
      <c r="E16" s="250"/>
      <c r="F16" s="250"/>
      <c r="G16" s="250"/>
      <c r="I16" s="42" t="s">
        <v>1186</v>
      </c>
      <c r="J16" s="42"/>
      <c r="K16" s="42"/>
      <c r="L16" s="42"/>
      <c r="M16" s="42"/>
      <c r="N16" s="42"/>
      <c r="O16" s="42"/>
      <c r="P16" s="42"/>
      <c r="Q16" s="42"/>
      <c r="R16" s="42"/>
      <c r="S16" s="42"/>
      <c r="T16" s="42"/>
      <c r="U16" s="42"/>
      <c r="AG16" s="246"/>
      <c r="AH16" s="246"/>
      <c r="AI16" s="246"/>
      <c r="AJ16" s="246"/>
      <c r="BO16" s="43"/>
    </row>
    <row r="17" spans="4:67" ht="15" customHeight="1" x14ac:dyDescent="0.15">
      <c r="D17" s="249"/>
      <c r="E17" s="250"/>
      <c r="F17" s="250"/>
      <c r="G17" s="250"/>
      <c r="BO17" s="43"/>
    </row>
    <row r="18" spans="4:67" ht="15" customHeight="1" x14ac:dyDescent="0.15">
      <c r="D18" s="249"/>
      <c r="E18" s="250"/>
      <c r="F18" s="250"/>
      <c r="G18" s="250"/>
    </row>
    <row r="19" spans="4:67" ht="15" customHeight="1" x14ac:dyDescent="0.15">
      <c r="D19" s="249"/>
      <c r="E19" s="250"/>
      <c r="F19" s="250"/>
      <c r="G19" s="250"/>
    </row>
    <row r="20" spans="4:67" ht="15" customHeight="1" x14ac:dyDescent="0.15">
      <c r="D20" s="249"/>
      <c r="E20" s="250"/>
      <c r="F20" s="250"/>
      <c r="G20" s="250"/>
    </row>
    <row r="21" spans="4:67" ht="15" customHeight="1" x14ac:dyDescent="0.15">
      <c r="D21" s="249"/>
      <c r="E21" s="250"/>
      <c r="F21" s="250"/>
      <c r="G21" s="250"/>
    </row>
    <row r="22" spans="4:67" ht="15" customHeight="1" x14ac:dyDescent="0.15">
      <c r="D22" s="249"/>
      <c r="E22" s="250"/>
      <c r="F22" s="250"/>
      <c r="G22" s="250"/>
    </row>
    <row r="23" spans="4:67" ht="15" customHeight="1" x14ac:dyDescent="0.15">
      <c r="D23" s="249"/>
      <c r="E23" s="250"/>
      <c r="F23" s="250"/>
      <c r="G23" s="250"/>
    </row>
    <row r="24" spans="4:67" ht="15" customHeight="1" x14ac:dyDescent="0.15">
      <c r="D24" s="249"/>
      <c r="E24" s="250"/>
      <c r="F24" s="250"/>
      <c r="G24" s="250"/>
    </row>
    <row r="25" spans="4:67" ht="15" customHeight="1" x14ac:dyDescent="0.15">
      <c r="D25" s="249"/>
      <c r="E25" s="250"/>
      <c r="F25" s="250"/>
      <c r="G25" s="250"/>
    </row>
    <row r="26" spans="4:67" ht="15" customHeight="1" x14ac:dyDescent="0.15">
      <c r="D26" s="249"/>
      <c r="E26" s="250"/>
      <c r="F26" s="250"/>
      <c r="G26" s="250"/>
    </row>
  </sheetData>
  <mergeCells count="34">
    <mergeCell ref="D18:G18"/>
    <mergeCell ref="D19:G19"/>
    <mergeCell ref="D20:G20"/>
    <mergeCell ref="D21:G21"/>
    <mergeCell ref="D26:G26"/>
    <mergeCell ref="D22:G22"/>
    <mergeCell ref="D23:G23"/>
    <mergeCell ref="D24:G24"/>
    <mergeCell ref="D25:G25"/>
    <mergeCell ref="D17:G17"/>
    <mergeCell ref="D6:G6"/>
    <mergeCell ref="D7:G7"/>
    <mergeCell ref="D8:G8"/>
    <mergeCell ref="D9:G9"/>
    <mergeCell ref="D10:G10"/>
    <mergeCell ref="D12:G12"/>
    <mergeCell ref="D13:G13"/>
    <mergeCell ref="D14:G14"/>
    <mergeCell ref="D15:G15"/>
    <mergeCell ref="D11:G11"/>
    <mergeCell ref="D16:G16"/>
    <mergeCell ref="C1:J2"/>
    <mergeCell ref="AG5:AJ5"/>
    <mergeCell ref="AG6:AJ6"/>
    <mergeCell ref="AG8:AJ8"/>
    <mergeCell ref="AG7:AJ7"/>
    <mergeCell ref="AG13:AJ13"/>
    <mergeCell ref="AG16:AJ16"/>
    <mergeCell ref="AG9:AJ9"/>
    <mergeCell ref="AG10:AJ10"/>
    <mergeCell ref="AG15:AJ15"/>
    <mergeCell ref="AG11:AJ11"/>
    <mergeCell ref="AG14:AJ14"/>
    <mergeCell ref="AG12:AJ12"/>
  </mergeCells>
  <phoneticPr fontId="3"/>
  <pageMargins left="0.78740157480314965" right="0.78740157480314965" top="0.78740157480314965" bottom="0.39370078740157483" header="0.59055118110236227" footer="0.19685039370078741"/>
  <pageSetup paperSize="9" orientation="landscape" r:id="rId1"/>
  <headerFooter alignWithMargins="0">
    <oddFooter>&amp;R&amp;9株式会社　京信システムサービス</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P47"/>
  <sheetViews>
    <sheetView view="pageBreakPreview" zoomScaleNormal="100" zoomScaleSheetLayoutView="100" workbookViewId="0">
      <pane ySplit="3" topLeftCell="A4" activePane="bottomLeft" state="frozen"/>
      <selection pane="bottomLeft" activeCell="A4" sqref="A4"/>
    </sheetView>
  </sheetViews>
  <sheetFormatPr defaultColWidth="1.875" defaultRowHeight="15" customHeight="1" x14ac:dyDescent="0.15"/>
  <cols>
    <col min="1" max="16384" width="1.875" style="2"/>
  </cols>
  <sheetData>
    <row r="1" spans="1:94" s="8" customFormat="1" ht="15" customHeight="1" x14ac:dyDescent="0.15">
      <c r="A1" s="297" t="s">
        <v>39</v>
      </c>
      <c r="B1" s="298"/>
      <c r="C1" s="298"/>
      <c r="D1" s="298"/>
      <c r="E1" s="298"/>
      <c r="F1" s="298"/>
      <c r="G1" s="298"/>
      <c r="H1" s="298"/>
      <c r="I1" s="299" t="str">
        <f>タイトル!$I$40</f>
        <v>教務システム</v>
      </c>
      <c r="J1" s="300"/>
      <c r="K1" s="300"/>
      <c r="L1" s="300"/>
      <c r="M1" s="300"/>
      <c r="N1" s="300"/>
      <c r="O1" s="300"/>
      <c r="P1" s="300"/>
      <c r="Q1" s="300"/>
      <c r="R1" s="300"/>
      <c r="S1" s="300"/>
      <c r="T1" s="300"/>
      <c r="U1" s="300"/>
      <c r="V1" s="300"/>
      <c r="W1" s="300"/>
      <c r="X1" s="300"/>
      <c r="Y1" s="300"/>
      <c r="Z1" s="300"/>
      <c r="AA1" s="300"/>
      <c r="AB1" s="300"/>
      <c r="AC1" s="300"/>
      <c r="AD1" s="301"/>
      <c r="AE1" s="302" t="s">
        <v>30</v>
      </c>
      <c r="AF1" s="302"/>
      <c r="AG1" s="302"/>
      <c r="AH1" s="302"/>
      <c r="AI1" s="302"/>
      <c r="AJ1" s="302"/>
      <c r="AK1" s="302"/>
      <c r="AL1" s="303" t="str">
        <f>タイトル!$I$43</f>
        <v>構築手順書の作成</v>
      </c>
      <c r="AM1" s="304"/>
      <c r="AN1" s="304"/>
      <c r="AO1" s="304"/>
      <c r="AP1" s="304"/>
      <c r="AQ1" s="304"/>
      <c r="AR1" s="304"/>
      <c r="AS1" s="304"/>
      <c r="AT1" s="304"/>
      <c r="AU1" s="304"/>
      <c r="AV1" s="304"/>
      <c r="AW1" s="304"/>
      <c r="AX1" s="304"/>
      <c r="AY1" s="304"/>
      <c r="AZ1" s="304"/>
      <c r="BA1" s="304"/>
      <c r="BB1" s="304"/>
      <c r="BC1" s="304"/>
      <c r="BD1" s="304"/>
      <c r="BE1" s="304"/>
      <c r="BF1" s="304"/>
      <c r="BG1" s="302" t="s">
        <v>31</v>
      </c>
      <c r="BH1" s="302"/>
      <c r="BI1" s="302"/>
      <c r="BJ1" s="302"/>
      <c r="BK1" s="305" t="str">
        <f>タイトル!$I$46</f>
        <v>大久保　梓沙</v>
      </c>
      <c r="BL1" s="306"/>
      <c r="BM1" s="306"/>
      <c r="BN1" s="306"/>
      <c r="BO1" s="306"/>
      <c r="BP1" s="306"/>
      <c r="BQ1" s="306"/>
      <c r="BR1" s="306"/>
      <c r="BS1" s="306"/>
      <c r="BT1" s="307"/>
      <c r="BU1" s="266">
        <f>タイトル!$I$47</f>
        <v>45336</v>
      </c>
      <c r="BV1" s="266"/>
      <c r="BW1" s="266"/>
      <c r="BX1" s="266"/>
      <c r="BY1" s="266"/>
      <c r="BZ1" s="266"/>
      <c r="CA1" s="266"/>
      <c r="CB1" s="266"/>
      <c r="CC1" s="266"/>
      <c r="CD1" s="267" t="s">
        <v>38</v>
      </c>
      <c r="CE1" s="268"/>
      <c r="CF1" s="268"/>
      <c r="CG1" s="268"/>
      <c r="CH1" s="269"/>
      <c r="CI1" s="276" t="str">
        <f>タイトル!$I$50</f>
        <v xml:space="preserve"> </v>
      </c>
      <c r="CJ1" s="277"/>
      <c r="CK1" s="277"/>
      <c r="CL1" s="277"/>
      <c r="CM1" s="277"/>
      <c r="CN1" s="277"/>
      <c r="CO1" s="277"/>
      <c r="CP1" s="278"/>
    </row>
    <row r="2" spans="1:94" s="8" customFormat="1" ht="15" customHeight="1" x14ac:dyDescent="0.15">
      <c r="A2" s="285" t="s">
        <v>40</v>
      </c>
      <c r="B2" s="286"/>
      <c r="C2" s="286"/>
      <c r="D2" s="286"/>
      <c r="E2" s="286"/>
      <c r="F2" s="286"/>
      <c r="G2" s="286"/>
      <c r="H2" s="286"/>
      <c r="I2" s="287" t="str">
        <f>タイトル!$I$41</f>
        <v>基盤構築</v>
      </c>
      <c r="J2" s="288"/>
      <c r="K2" s="288"/>
      <c r="L2" s="288"/>
      <c r="M2" s="288"/>
      <c r="N2" s="288"/>
      <c r="O2" s="288"/>
      <c r="P2" s="288"/>
      <c r="Q2" s="288"/>
      <c r="R2" s="288"/>
      <c r="S2" s="288"/>
      <c r="T2" s="288"/>
      <c r="U2" s="288"/>
      <c r="V2" s="288"/>
      <c r="W2" s="288"/>
      <c r="X2" s="288"/>
      <c r="Y2" s="288"/>
      <c r="Z2" s="288"/>
      <c r="AA2" s="288"/>
      <c r="AB2" s="288"/>
      <c r="AC2" s="288"/>
      <c r="AD2" s="289"/>
      <c r="AE2" s="290" t="s">
        <v>32</v>
      </c>
      <c r="AF2" s="290"/>
      <c r="AG2" s="290"/>
      <c r="AH2" s="290"/>
      <c r="AI2" s="290"/>
      <c r="AJ2" s="290"/>
      <c r="AK2" s="290"/>
      <c r="AL2" s="291" t="str">
        <f>タイトル!$I$44</f>
        <v>システム環境定義書</v>
      </c>
      <c r="AM2" s="292"/>
      <c r="AN2" s="292"/>
      <c r="AO2" s="292"/>
      <c r="AP2" s="292"/>
      <c r="AQ2" s="292"/>
      <c r="AR2" s="292"/>
      <c r="AS2" s="292"/>
      <c r="AT2" s="292"/>
      <c r="AU2" s="292"/>
      <c r="AV2" s="292"/>
      <c r="AW2" s="292"/>
      <c r="AX2" s="292"/>
      <c r="AY2" s="292"/>
      <c r="AZ2" s="292"/>
      <c r="BA2" s="292"/>
      <c r="BB2" s="292"/>
      <c r="BC2" s="292"/>
      <c r="BD2" s="292"/>
      <c r="BE2" s="292"/>
      <c r="BF2" s="292"/>
      <c r="BG2" s="290" t="s">
        <v>33</v>
      </c>
      <c r="BH2" s="290"/>
      <c r="BI2" s="290"/>
      <c r="BJ2" s="290"/>
      <c r="BK2" s="293"/>
      <c r="BL2" s="294"/>
      <c r="BM2" s="294"/>
      <c r="BN2" s="294"/>
      <c r="BO2" s="294"/>
      <c r="BP2" s="294"/>
      <c r="BQ2" s="294"/>
      <c r="BR2" s="294"/>
      <c r="BS2" s="294"/>
      <c r="BT2" s="295"/>
      <c r="BU2" s="296"/>
      <c r="BV2" s="296"/>
      <c r="BW2" s="296"/>
      <c r="BX2" s="296"/>
      <c r="BY2" s="296"/>
      <c r="BZ2" s="296"/>
      <c r="CA2" s="296"/>
      <c r="CB2" s="296"/>
      <c r="CC2" s="296"/>
      <c r="CD2" s="270"/>
      <c r="CE2" s="271"/>
      <c r="CF2" s="271"/>
      <c r="CG2" s="271"/>
      <c r="CH2" s="272"/>
      <c r="CI2" s="279"/>
      <c r="CJ2" s="280"/>
      <c r="CK2" s="280"/>
      <c r="CL2" s="280"/>
      <c r="CM2" s="280"/>
      <c r="CN2" s="280"/>
      <c r="CO2" s="280"/>
      <c r="CP2" s="281"/>
    </row>
    <row r="3" spans="1:94" s="8" customFormat="1" ht="15" customHeight="1" thickBot="1" x14ac:dyDescent="0.2">
      <c r="A3" s="253"/>
      <c r="B3" s="254"/>
      <c r="C3" s="254"/>
      <c r="D3" s="254"/>
      <c r="E3" s="254"/>
      <c r="F3" s="254"/>
      <c r="G3" s="254"/>
      <c r="H3" s="254"/>
      <c r="I3" s="255" t="s">
        <v>88</v>
      </c>
      <c r="J3" s="256"/>
      <c r="K3" s="256"/>
      <c r="L3" s="256"/>
      <c r="M3" s="256"/>
      <c r="N3" s="256"/>
      <c r="O3" s="256"/>
      <c r="P3" s="256"/>
      <c r="Q3" s="256"/>
      <c r="R3" s="256"/>
      <c r="S3" s="256"/>
      <c r="T3" s="256"/>
      <c r="U3" s="256"/>
      <c r="V3" s="256"/>
      <c r="W3" s="256"/>
      <c r="X3" s="256"/>
      <c r="Y3" s="256"/>
      <c r="Z3" s="256"/>
      <c r="AA3" s="256"/>
      <c r="AB3" s="256"/>
      <c r="AC3" s="256"/>
      <c r="AD3" s="257"/>
      <c r="AE3" s="261"/>
      <c r="AF3" s="261"/>
      <c r="AG3" s="261"/>
      <c r="AH3" s="261"/>
      <c r="AI3" s="261"/>
      <c r="AJ3" s="261"/>
      <c r="AK3" s="261"/>
      <c r="AL3" s="258" t="str">
        <f>タイトル!$I$42</f>
        <v>社内開発機</v>
      </c>
      <c r="AM3" s="259"/>
      <c r="AN3" s="259"/>
      <c r="AO3" s="259"/>
      <c r="AP3" s="259"/>
      <c r="AQ3" s="259"/>
      <c r="AR3" s="259"/>
      <c r="AS3" s="259"/>
      <c r="AT3" s="259"/>
      <c r="AU3" s="259"/>
      <c r="AV3" s="259"/>
      <c r="AW3" s="259"/>
      <c r="AX3" s="259"/>
      <c r="AY3" s="259"/>
      <c r="AZ3" s="259"/>
      <c r="BA3" s="259"/>
      <c r="BB3" s="259"/>
      <c r="BC3" s="259"/>
      <c r="BD3" s="259"/>
      <c r="BE3" s="259"/>
      <c r="BF3" s="260"/>
      <c r="BG3" s="261"/>
      <c r="BH3" s="261"/>
      <c r="BI3" s="261"/>
      <c r="BJ3" s="261"/>
      <c r="BK3" s="262"/>
      <c r="BL3" s="263"/>
      <c r="BM3" s="263"/>
      <c r="BN3" s="263"/>
      <c r="BO3" s="263"/>
      <c r="BP3" s="263"/>
      <c r="BQ3" s="263"/>
      <c r="BR3" s="263"/>
      <c r="BS3" s="263"/>
      <c r="BT3" s="263"/>
      <c r="BU3" s="264"/>
      <c r="BV3" s="264"/>
      <c r="BW3" s="264"/>
      <c r="BX3" s="264"/>
      <c r="BY3" s="264"/>
      <c r="BZ3" s="264"/>
      <c r="CA3" s="264"/>
      <c r="CB3" s="264"/>
      <c r="CC3" s="265"/>
      <c r="CD3" s="273"/>
      <c r="CE3" s="274"/>
      <c r="CF3" s="274"/>
      <c r="CG3" s="274"/>
      <c r="CH3" s="275"/>
      <c r="CI3" s="282"/>
      <c r="CJ3" s="283"/>
      <c r="CK3" s="283"/>
      <c r="CL3" s="283"/>
      <c r="CM3" s="283"/>
      <c r="CN3" s="283"/>
      <c r="CO3" s="283"/>
      <c r="CP3" s="284"/>
    </row>
    <row r="4" spans="1:94" ht="15" customHeight="1" x14ac:dyDescent="0.1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2"/>
    </row>
    <row r="5" spans="1:94" ht="15" customHeight="1" x14ac:dyDescent="0.15">
      <c r="A5" s="1"/>
      <c r="B5" s="4" t="s">
        <v>372</v>
      </c>
      <c r="CP5" s="3"/>
    </row>
    <row r="6" spans="1:94" ht="15" customHeight="1" x14ac:dyDescent="0.15">
      <c r="A6" s="1"/>
      <c r="CP6" s="3"/>
    </row>
    <row r="7" spans="1:94" ht="15" customHeight="1" x14ac:dyDescent="0.15">
      <c r="A7" s="1"/>
      <c r="C7" s="4" t="s">
        <v>594</v>
      </c>
      <c r="CP7" s="3"/>
    </row>
    <row r="8" spans="1:94" ht="15" customHeight="1" x14ac:dyDescent="0.15">
      <c r="A8" s="1"/>
      <c r="CP8" s="3"/>
    </row>
    <row r="9" spans="1:94" ht="15" customHeight="1" x14ac:dyDescent="0.15">
      <c r="A9" s="1"/>
      <c r="CP9" s="3"/>
    </row>
    <row r="10" spans="1:94" ht="15" customHeight="1" x14ac:dyDescent="0.15">
      <c r="A10" s="1"/>
      <c r="CP10" s="3"/>
    </row>
    <row r="11" spans="1:94" ht="15" customHeight="1" x14ac:dyDescent="0.15">
      <c r="A11" s="1"/>
      <c r="CP11" s="3"/>
    </row>
    <row r="12" spans="1:94" ht="15" customHeight="1" x14ac:dyDescent="0.15">
      <c r="A12" s="1"/>
      <c r="CP12" s="3"/>
    </row>
    <row r="13" spans="1:94" ht="15" customHeight="1" x14ac:dyDescent="0.15">
      <c r="A13" s="1"/>
      <c r="CP13" s="3"/>
    </row>
    <row r="14" spans="1:94" ht="15" customHeight="1" x14ac:dyDescent="0.15">
      <c r="A14" s="1"/>
      <c r="CP14" s="3"/>
    </row>
    <row r="15" spans="1:94" ht="15" customHeight="1" x14ac:dyDescent="0.15">
      <c r="A15" s="1"/>
      <c r="CP15" s="3"/>
    </row>
    <row r="16" spans="1:94" ht="15" customHeight="1" x14ac:dyDescent="0.15">
      <c r="A16" s="1"/>
      <c r="CP16" s="3"/>
    </row>
    <row r="17" spans="1:94" ht="15" customHeight="1" x14ac:dyDescent="0.15">
      <c r="A17" s="1"/>
      <c r="CP17" s="3"/>
    </row>
    <row r="18" spans="1:94" ht="15" customHeight="1" x14ac:dyDescent="0.15">
      <c r="A18" s="1"/>
      <c r="CP18" s="3"/>
    </row>
    <row r="19" spans="1:94" ht="15" customHeight="1" x14ac:dyDescent="0.15">
      <c r="A19" s="1"/>
      <c r="CP19" s="3"/>
    </row>
    <row r="20" spans="1:94" ht="15" customHeight="1" x14ac:dyDescent="0.15">
      <c r="A20" s="1"/>
      <c r="CP20" s="3"/>
    </row>
    <row r="21" spans="1:94" ht="15" customHeight="1" x14ac:dyDescent="0.15">
      <c r="A21" s="1"/>
      <c r="CP21" s="3"/>
    </row>
    <row r="22" spans="1:94" ht="15" customHeight="1" x14ac:dyDescent="0.15">
      <c r="A22" s="1"/>
      <c r="CP22" s="3"/>
    </row>
    <row r="23" spans="1:94" ht="15" customHeight="1" x14ac:dyDescent="0.15">
      <c r="A23" s="1"/>
      <c r="CP23" s="3"/>
    </row>
    <row r="24" spans="1:94" ht="15" customHeight="1" x14ac:dyDescent="0.15">
      <c r="A24" s="1"/>
      <c r="CP24" s="3"/>
    </row>
    <row r="25" spans="1:94" ht="15" customHeight="1" x14ac:dyDescent="0.15">
      <c r="A25" s="1"/>
      <c r="CP25" s="3"/>
    </row>
    <row r="26" spans="1:94" ht="15" customHeight="1" x14ac:dyDescent="0.15">
      <c r="A26" s="1"/>
      <c r="CP26" s="3"/>
    </row>
    <row r="27" spans="1:94" ht="15" customHeight="1" x14ac:dyDescent="0.15">
      <c r="A27" s="1"/>
      <c r="CP27" s="3"/>
    </row>
    <row r="28" spans="1:94" ht="15" customHeight="1" x14ac:dyDescent="0.15">
      <c r="A28" s="1"/>
      <c r="CP28" s="3"/>
    </row>
    <row r="29" spans="1:94" ht="15" customHeight="1" x14ac:dyDescent="0.15">
      <c r="A29" s="1"/>
      <c r="CP29" s="3"/>
    </row>
    <row r="30" spans="1:94" ht="15" customHeight="1" x14ac:dyDescent="0.15">
      <c r="A30" s="1"/>
      <c r="CP30" s="3"/>
    </row>
    <row r="31" spans="1:94" ht="15" customHeight="1" x14ac:dyDescent="0.15">
      <c r="A31" s="1"/>
      <c r="CP31" s="3"/>
    </row>
    <row r="32" spans="1:94" ht="15" customHeight="1" x14ac:dyDescent="0.15">
      <c r="A32" s="1"/>
      <c r="CP32" s="3"/>
    </row>
    <row r="33" spans="1:94" ht="15" customHeight="1" x14ac:dyDescent="0.15">
      <c r="A33" s="1"/>
      <c r="CP33" s="3"/>
    </row>
    <row r="34" spans="1:94" ht="15" customHeight="1" x14ac:dyDescent="0.15">
      <c r="A34" s="1"/>
      <c r="CP34" s="3"/>
    </row>
    <row r="35" spans="1:94" ht="15" customHeight="1" x14ac:dyDescent="0.15">
      <c r="A35" s="1"/>
      <c r="CP35" s="3"/>
    </row>
    <row r="36" spans="1:94" ht="15" customHeight="1" x14ac:dyDescent="0.15">
      <c r="A36" s="1"/>
      <c r="CP36" s="3"/>
    </row>
    <row r="37" spans="1:94" ht="15" customHeight="1" x14ac:dyDescent="0.15">
      <c r="A37" s="1"/>
      <c r="CP37" s="3"/>
    </row>
    <row r="38" spans="1:94" ht="15" customHeight="1" x14ac:dyDescent="0.15">
      <c r="A38" s="1"/>
      <c r="CP38" s="3"/>
    </row>
    <row r="39" spans="1:94" ht="15" customHeight="1" x14ac:dyDescent="0.15">
      <c r="A39" s="1"/>
      <c r="CP39" s="3"/>
    </row>
    <row r="40" spans="1:94" ht="15" customHeight="1" x14ac:dyDescent="0.15">
      <c r="A40" s="1"/>
      <c r="CP40" s="3"/>
    </row>
    <row r="41" spans="1:94" ht="15" customHeight="1" x14ac:dyDescent="0.15">
      <c r="A41" s="1"/>
      <c r="CP41" s="3"/>
    </row>
    <row r="42" spans="1:94" ht="15" customHeight="1" x14ac:dyDescent="0.15">
      <c r="A42" s="1"/>
      <c r="CP42" s="3"/>
    </row>
    <row r="43" spans="1:94" ht="15" customHeight="1" x14ac:dyDescent="0.15">
      <c r="A43" s="1"/>
      <c r="CP43" s="3"/>
    </row>
    <row r="44" spans="1:94" ht="15" customHeight="1" x14ac:dyDescent="0.15">
      <c r="A44" s="1"/>
      <c r="CP44" s="3"/>
    </row>
    <row r="45" spans="1:94" ht="15" customHeight="1" x14ac:dyDescent="0.15">
      <c r="A45" s="1"/>
      <c r="CP45" s="3"/>
    </row>
    <row r="46" spans="1:94" ht="15" customHeight="1" x14ac:dyDescent="0.15">
      <c r="A46" s="1"/>
      <c r="CP46" s="3"/>
    </row>
    <row r="47" spans="1:94" ht="15" customHeight="1" thickBot="1" x14ac:dyDescent="0.2">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7"/>
    </row>
  </sheetData>
  <mergeCells count="21">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 ref="A3:H3"/>
    <mergeCell ref="I3:AD3"/>
    <mergeCell ref="AL3:BF3"/>
    <mergeCell ref="BG3:BJ3"/>
    <mergeCell ref="BK3:CC3"/>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R47"/>
  <sheetViews>
    <sheetView view="pageBreakPreview" zoomScaleNormal="85" zoomScaleSheetLayoutView="100" workbookViewId="0">
      <pane ySplit="3" topLeftCell="A4" activePane="bottomLeft" state="frozen"/>
      <selection pane="bottomLeft" activeCell="A4" sqref="A4"/>
    </sheetView>
  </sheetViews>
  <sheetFormatPr defaultColWidth="1.875" defaultRowHeight="15" customHeight="1" x14ac:dyDescent="0.15"/>
  <cols>
    <col min="1" max="16384" width="1.875" style="2"/>
  </cols>
  <sheetData>
    <row r="1" spans="1:94" s="8" customFormat="1" ht="15" customHeight="1" x14ac:dyDescent="0.15">
      <c r="A1" s="297" t="s">
        <v>39</v>
      </c>
      <c r="B1" s="298"/>
      <c r="C1" s="298"/>
      <c r="D1" s="298"/>
      <c r="E1" s="298"/>
      <c r="F1" s="298"/>
      <c r="G1" s="298"/>
      <c r="H1" s="298"/>
      <c r="I1" s="299" t="str">
        <f>タイトル!$I$40</f>
        <v>教務システム</v>
      </c>
      <c r="J1" s="300"/>
      <c r="K1" s="300"/>
      <c r="L1" s="300"/>
      <c r="M1" s="300"/>
      <c r="N1" s="300"/>
      <c r="O1" s="300"/>
      <c r="P1" s="300"/>
      <c r="Q1" s="300"/>
      <c r="R1" s="300"/>
      <c r="S1" s="300"/>
      <c r="T1" s="300"/>
      <c r="U1" s="300"/>
      <c r="V1" s="300"/>
      <c r="W1" s="300"/>
      <c r="X1" s="300"/>
      <c r="Y1" s="300"/>
      <c r="Z1" s="300"/>
      <c r="AA1" s="300"/>
      <c r="AB1" s="300"/>
      <c r="AC1" s="300"/>
      <c r="AD1" s="301"/>
      <c r="AE1" s="302" t="s">
        <v>30</v>
      </c>
      <c r="AF1" s="302"/>
      <c r="AG1" s="302"/>
      <c r="AH1" s="302"/>
      <c r="AI1" s="302"/>
      <c r="AJ1" s="302"/>
      <c r="AK1" s="302"/>
      <c r="AL1" s="303" t="str">
        <f>タイトル!$I$43</f>
        <v>構築手順書の作成</v>
      </c>
      <c r="AM1" s="304"/>
      <c r="AN1" s="304"/>
      <c r="AO1" s="304"/>
      <c r="AP1" s="304"/>
      <c r="AQ1" s="304"/>
      <c r="AR1" s="304"/>
      <c r="AS1" s="304"/>
      <c r="AT1" s="304"/>
      <c r="AU1" s="304"/>
      <c r="AV1" s="304"/>
      <c r="AW1" s="304"/>
      <c r="AX1" s="304"/>
      <c r="AY1" s="304"/>
      <c r="AZ1" s="304"/>
      <c r="BA1" s="304"/>
      <c r="BB1" s="304"/>
      <c r="BC1" s="304"/>
      <c r="BD1" s="304"/>
      <c r="BE1" s="304"/>
      <c r="BF1" s="304"/>
      <c r="BG1" s="302" t="s">
        <v>31</v>
      </c>
      <c r="BH1" s="302"/>
      <c r="BI1" s="302"/>
      <c r="BJ1" s="302"/>
      <c r="BK1" s="305" t="str">
        <f>タイトル!$I$46</f>
        <v>大久保　梓沙</v>
      </c>
      <c r="BL1" s="306"/>
      <c r="BM1" s="306"/>
      <c r="BN1" s="306"/>
      <c r="BO1" s="306"/>
      <c r="BP1" s="306"/>
      <c r="BQ1" s="306"/>
      <c r="BR1" s="306"/>
      <c r="BS1" s="306"/>
      <c r="BT1" s="307"/>
      <c r="BU1" s="266">
        <f>タイトル!$I$47</f>
        <v>45336</v>
      </c>
      <c r="BV1" s="266"/>
      <c r="BW1" s="266"/>
      <c r="BX1" s="266"/>
      <c r="BY1" s="266"/>
      <c r="BZ1" s="266"/>
      <c r="CA1" s="266"/>
      <c r="CB1" s="266"/>
      <c r="CC1" s="266"/>
      <c r="CD1" s="267" t="s">
        <v>38</v>
      </c>
      <c r="CE1" s="268"/>
      <c r="CF1" s="268"/>
      <c r="CG1" s="268"/>
      <c r="CH1" s="269"/>
      <c r="CI1" s="276" t="str">
        <f>タイトル!$I$50</f>
        <v xml:space="preserve"> </v>
      </c>
      <c r="CJ1" s="277"/>
      <c r="CK1" s="277"/>
      <c r="CL1" s="277"/>
      <c r="CM1" s="277"/>
      <c r="CN1" s="277"/>
      <c r="CO1" s="277"/>
      <c r="CP1" s="278"/>
    </row>
    <row r="2" spans="1:94" s="8" customFormat="1" ht="15" customHeight="1" x14ac:dyDescent="0.15">
      <c r="A2" s="285" t="s">
        <v>40</v>
      </c>
      <c r="B2" s="286"/>
      <c r="C2" s="286"/>
      <c r="D2" s="286"/>
      <c r="E2" s="286"/>
      <c r="F2" s="286"/>
      <c r="G2" s="286"/>
      <c r="H2" s="286"/>
      <c r="I2" s="287" t="str">
        <f>タイトル!$I$41</f>
        <v>基盤構築</v>
      </c>
      <c r="J2" s="288"/>
      <c r="K2" s="288"/>
      <c r="L2" s="288"/>
      <c r="M2" s="288"/>
      <c r="N2" s="288"/>
      <c r="O2" s="288"/>
      <c r="P2" s="288"/>
      <c r="Q2" s="288"/>
      <c r="R2" s="288"/>
      <c r="S2" s="288"/>
      <c r="T2" s="288"/>
      <c r="U2" s="288"/>
      <c r="V2" s="288"/>
      <c r="W2" s="288"/>
      <c r="X2" s="288"/>
      <c r="Y2" s="288"/>
      <c r="Z2" s="288"/>
      <c r="AA2" s="288"/>
      <c r="AB2" s="288"/>
      <c r="AC2" s="288"/>
      <c r="AD2" s="289"/>
      <c r="AE2" s="290" t="s">
        <v>32</v>
      </c>
      <c r="AF2" s="290"/>
      <c r="AG2" s="290"/>
      <c r="AH2" s="290"/>
      <c r="AI2" s="290"/>
      <c r="AJ2" s="290"/>
      <c r="AK2" s="290"/>
      <c r="AL2" s="291" t="str">
        <f>タイトル!$I$44</f>
        <v>システム環境定義書</v>
      </c>
      <c r="AM2" s="292"/>
      <c r="AN2" s="292"/>
      <c r="AO2" s="292"/>
      <c r="AP2" s="292"/>
      <c r="AQ2" s="292"/>
      <c r="AR2" s="292"/>
      <c r="AS2" s="292"/>
      <c r="AT2" s="292"/>
      <c r="AU2" s="292"/>
      <c r="AV2" s="292"/>
      <c r="AW2" s="292"/>
      <c r="AX2" s="292"/>
      <c r="AY2" s="292"/>
      <c r="AZ2" s="292"/>
      <c r="BA2" s="292"/>
      <c r="BB2" s="292"/>
      <c r="BC2" s="292"/>
      <c r="BD2" s="292"/>
      <c r="BE2" s="292"/>
      <c r="BF2" s="292"/>
      <c r="BG2" s="290" t="s">
        <v>33</v>
      </c>
      <c r="BH2" s="290"/>
      <c r="BI2" s="290"/>
      <c r="BJ2" s="290"/>
      <c r="BK2" s="293"/>
      <c r="BL2" s="294"/>
      <c r="BM2" s="294"/>
      <c r="BN2" s="294"/>
      <c r="BO2" s="294"/>
      <c r="BP2" s="294"/>
      <c r="BQ2" s="294"/>
      <c r="BR2" s="294"/>
      <c r="BS2" s="294"/>
      <c r="BT2" s="295"/>
      <c r="BU2" s="296"/>
      <c r="BV2" s="296"/>
      <c r="BW2" s="296"/>
      <c r="BX2" s="296"/>
      <c r="BY2" s="296"/>
      <c r="BZ2" s="296"/>
      <c r="CA2" s="296"/>
      <c r="CB2" s="296"/>
      <c r="CC2" s="296"/>
      <c r="CD2" s="270"/>
      <c r="CE2" s="271"/>
      <c r="CF2" s="271"/>
      <c r="CG2" s="271"/>
      <c r="CH2" s="272"/>
      <c r="CI2" s="279"/>
      <c r="CJ2" s="280"/>
      <c r="CK2" s="280"/>
      <c r="CL2" s="280"/>
      <c r="CM2" s="280"/>
      <c r="CN2" s="280"/>
      <c r="CO2" s="280"/>
      <c r="CP2" s="281"/>
    </row>
    <row r="3" spans="1:94" s="8" customFormat="1" ht="15" customHeight="1" thickBot="1" x14ac:dyDescent="0.2">
      <c r="A3" s="253"/>
      <c r="B3" s="254"/>
      <c r="C3" s="254"/>
      <c r="D3" s="254"/>
      <c r="E3" s="254"/>
      <c r="F3" s="254"/>
      <c r="G3" s="254"/>
      <c r="H3" s="254"/>
      <c r="I3" s="255" t="s">
        <v>68</v>
      </c>
      <c r="J3" s="256"/>
      <c r="K3" s="256"/>
      <c r="L3" s="256"/>
      <c r="M3" s="256"/>
      <c r="N3" s="256"/>
      <c r="O3" s="256"/>
      <c r="P3" s="256"/>
      <c r="Q3" s="256"/>
      <c r="R3" s="256"/>
      <c r="S3" s="256"/>
      <c r="T3" s="256"/>
      <c r="U3" s="256"/>
      <c r="V3" s="256"/>
      <c r="W3" s="256"/>
      <c r="X3" s="256"/>
      <c r="Y3" s="256"/>
      <c r="Z3" s="256"/>
      <c r="AA3" s="256"/>
      <c r="AB3" s="256"/>
      <c r="AC3" s="256"/>
      <c r="AD3" s="257"/>
      <c r="AE3" s="261"/>
      <c r="AF3" s="261"/>
      <c r="AG3" s="261"/>
      <c r="AH3" s="261"/>
      <c r="AI3" s="261"/>
      <c r="AJ3" s="261"/>
      <c r="AK3" s="261"/>
      <c r="AL3" s="258" t="str">
        <f>タイトル!$I$42</f>
        <v>社内開発機</v>
      </c>
      <c r="AM3" s="259"/>
      <c r="AN3" s="259"/>
      <c r="AO3" s="259"/>
      <c r="AP3" s="259"/>
      <c r="AQ3" s="259"/>
      <c r="AR3" s="259"/>
      <c r="AS3" s="259"/>
      <c r="AT3" s="259"/>
      <c r="AU3" s="259"/>
      <c r="AV3" s="259"/>
      <c r="AW3" s="259"/>
      <c r="AX3" s="259"/>
      <c r="AY3" s="259"/>
      <c r="AZ3" s="259"/>
      <c r="BA3" s="259"/>
      <c r="BB3" s="259"/>
      <c r="BC3" s="259"/>
      <c r="BD3" s="259"/>
      <c r="BE3" s="259"/>
      <c r="BF3" s="260"/>
      <c r="BG3" s="261"/>
      <c r="BH3" s="261"/>
      <c r="BI3" s="261"/>
      <c r="BJ3" s="261"/>
      <c r="BK3" s="262"/>
      <c r="BL3" s="263"/>
      <c r="BM3" s="263"/>
      <c r="BN3" s="263"/>
      <c r="BO3" s="263"/>
      <c r="BP3" s="263"/>
      <c r="BQ3" s="263"/>
      <c r="BR3" s="263"/>
      <c r="BS3" s="263"/>
      <c r="BT3" s="263"/>
      <c r="BU3" s="264"/>
      <c r="BV3" s="264"/>
      <c r="BW3" s="264"/>
      <c r="BX3" s="264"/>
      <c r="BY3" s="264"/>
      <c r="BZ3" s="264"/>
      <c r="CA3" s="264"/>
      <c r="CB3" s="264"/>
      <c r="CC3" s="265"/>
      <c r="CD3" s="273"/>
      <c r="CE3" s="274"/>
      <c r="CF3" s="274"/>
      <c r="CG3" s="274"/>
      <c r="CH3" s="275"/>
      <c r="CI3" s="282"/>
      <c r="CJ3" s="283"/>
      <c r="CK3" s="283"/>
      <c r="CL3" s="283"/>
      <c r="CM3" s="283"/>
      <c r="CN3" s="283"/>
      <c r="CO3" s="283"/>
      <c r="CP3" s="284"/>
    </row>
    <row r="4" spans="1:94" ht="15" customHeight="1" x14ac:dyDescent="0.15">
      <c r="A4" s="1"/>
      <c r="CP4" s="3"/>
    </row>
    <row r="5" spans="1:94" ht="15" customHeight="1" x14ac:dyDescent="0.15">
      <c r="A5" s="1"/>
      <c r="C5" s="8" t="s">
        <v>71</v>
      </c>
      <c r="CP5" s="3"/>
    </row>
    <row r="6" spans="1:94" ht="15" customHeight="1" x14ac:dyDescent="0.15">
      <c r="A6" s="1"/>
      <c r="C6" s="8"/>
      <c r="CP6" s="3"/>
    </row>
    <row r="7" spans="1:94" ht="15" customHeight="1" x14ac:dyDescent="0.15">
      <c r="A7" s="1"/>
      <c r="C7" s="2" t="s">
        <v>102</v>
      </c>
      <c r="CP7" s="3"/>
    </row>
    <row r="8" spans="1:94" ht="15" customHeight="1" x14ac:dyDescent="0.15">
      <c r="A8" s="1"/>
      <c r="CP8" s="3"/>
    </row>
    <row r="9" spans="1:94" ht="15" customHeight="1" x14ac:dyDescent="0.15">
      <c r="A9" s="1"/>
      <c r="BO9" s="308"/>
      <c r="BP9" s="308"/>
      <c r="BQ9" s="308"/>
      <c r="BR9" s="308"/>
      <c r="BS9" s="308"/>
      <c r="BT9" s="308"/>
      <c r="CP9" s="3"/>
    </row>
    <row r="10" spans="1:94" ht="15" customHeight="1" x14ac:dyDescent="0.15">
      <c r="A10" s="1"/>
      <c r="CP10" s="3"/>
    </row>
    <row r="11" spans="1:94" ht="15" customHeight="1" x14ac:dyDescent="0.15">
      <c r="A11" s="1"/>
      <c r="CP11" s="3"/>
    </row>
    <row r="12" spans="1:94" ht="15" customHeight="1" x14ac:dyDescent="0.15">
      <c r="A12" s="1"/>
      <c r="CP12" s="3"/>
    </row>
    <row r="13" spans="1:94" ht="15" customHeight="1" x14ac:dyDescent="0.15">
      <c r="A13" s="1"/>
      <c r="B13" s="2" t="s">
        <v>596</v>
      </c>
      <c r="CP13" s="3"/>
    </row>
    <row r="14" spans="1:94" ht="15" customHeight="1" x14ac:dyDescent="0.15">
      <c r="A14" s="1"/>
      <c r="CP14" s="3"/>
    </row>
    <row r="15" spans="1:94" ht="15" customHeight="1" x14ac:dyDescent="0.15">
      <c r="A15" s="1"/>
      <c r="B15" s="61" t="s">
        <v>597</v>
      </c>
      <c r="CP15" s="3"/>
    </row>
    <row r="16" spans="1:94" ht="15" customHeight="1" x14ac:dyDescent="0.15">
      <c r="A16" s="1"/>
      <c r="B16" s="61"/>
      <c r="CP16" s="3"/>
    </row>
    <row r="17" spans="1:96" ht="15" customHeight="1" x14ac:dyDescent="0.15">
      <c r="A17" s="1"/>
      <c r="B17" s="61" t="s">
        <v>142</v>
      </c>
      <c r="CP17" s="3"/>
    </row>
    <row r="18" spans="1:96" ht="15" customHeight="1" x14ac:dyDescent="0.15">
      <c r="A18" s="1"/>
      <c r="B18" s="61"/>
      <c r="CP18" s="3"/>
    </row>
    <row r="19" spans="1:96" ht="15" customHeight="1" x14ac:dyDescent="0.15">
      <c r="A19" s="1"/>
      <c r="B19" s="61" t="s">
        <v>143</v>
      </c>
      <c r="CP19" s="3"/>
    </row>
    <row r="20" spans="1:96" ht="15" customHeight="1" x14ac:dyDescent="0.15">
      <c r="A20" s="1"/>
      <c r="B20" s="61"/>
      <c r="CP20" s="3"/>
    </row>
    <row r="21" spans="1:96" ht="15" customHeight="1" x14ac:dyDescent="0.15">
      <c r="A21" s="1"/>
      <c r="B21" s="61"/>
      <c r="O21" s="46"/>
      <c r="CP21" s="3"/>
      <c r="CR21" s="94"/>
    </row>
    <row r="22" spans="1:96" ht="15" customHeight="1" x14ac:dyDescent="0.15">
      <c r="A22" s="1"/>
      <c r="O22" s="46"/>
      <c r="CP22" s="3"/>
    </row>
    <row r="23" spans="1:96" ht="15" customHeight="1" x14ac:dyDescent="0.15">
      <c r="A23" s="1"/>
      <c r="O23" s="46"/>
      <c r="CP23" s="3"/>
    </row>
    <row r="24" spans="1:96" ht="15" customHeight="1" x14ac:dyDescent="0.15">
      <c r="A24" s="1"/>
      <c r="O24" s="46"/>
      <c r="CP24" s="3"/>
    </row>
    <row r="25" spans="1:96" ht="15" customHeight="1" x14ac:dyDescent="0.15">
      <c r="A25" s="1"/>
      <c r="O25" s="46"/>
      <c r="CP25" s="3"/>
    </row>
    <row r="26" spans="1:96" ht="15" customHeight="1" x14ac:dyDescent="0.15">
      <c r="A26" s="1"/>
      <c r="O26" s="46"/>
      <c r="CP26" s="3"/>
    </row>
    <row r="27" spans="1:96" ht="15" customHeight="1" x14ac:dyDescent="0.15">
      <c r="A27" s="1"/>
      <c r="CP27" s="3"/>
    </row>
    <row r="28" spans="1:96" ht="15" customHeight="1" x14ac:dyDescent="0.15">
      <c r="A28" s="1"/>
      <c r="CP28" s="3"/>
    </row>
    <row r="29" spans="1:96" ht="15" customHeight="1" x14ac:dyDescent="0.15">
      <c r="A29" s="1"/>
      <c r="CP29" s="3"/>
    </row>
    <row r="30" spans="1:96" ht="15" customHeight="1" x14ac:dyDescent="0.15">
      <c r="A30" s="1"/>
      <c r="CP30" s="3"/>
    </row>
    <row r="31" spans="1:96" ht="15" customHeight="1" x14ac:dyDescent="0.15">
      <c r="A31" s="1"/>
      <c r="CP31" s="3"/>
    </row>
    <row r="32" spans="1:96" ht="15" customHeight="1" x14ac:dyDescent="0.15">
      <c r="A32" s="1"/>
      <c r="CP32" s="3"/>
    </row>
    <row r="33" spans="1:94" ht="15" customHeight="1" x14ac:dyDescent="0.15">
      <c r="A33" s="1"/>
      <c r="CP33" s="3"/>
    </row>
    <row r="34" spans="1:94" ht="15" customHeight="1" x14ac:dyDescent="0.15">
      <c r="A34" s="1"/>
      <c r="CP34" s="3"/>
    </row>
    <row r="35" spans="1:94" ht="15" customHeight="1" x14ac:dyDescent="0.15">
      <c r="A35" s="1"/>
      <c r="CP35" s="3"/>
    </row>
    <row r="36" spans="1:94" ht="15" customHeight="1" x14ac:dyDescent="0.15">
      <c r="A36" s="1"/>
      <c r="CP36" s="3"/>
    </row>
    <row r="37" spans="1:94" ht="15" customHeight="1" x14ac:dyDescent="0.15">
      <c r="A37" s="1"/>
      <c r="CP37" s="3"/>
    </row>
    <row r="38" spans="1:94" ht="15" customHeight="1" x14ac:dyDescent="0.15">
      <c r="A38" s="1"/>
      <c r="CP38" s="3"/>
    </row>
    <row r="39" spans="1:94" ht="15" customHeight="1" x14ac:dyDescent="0.15">
      <c r="A39" s="1"/>
      <c r="C39" s="2" t="s">
        <v>608</v>
      </c>
      <c r="CP39" s="3"/>
    </row>
    <row r="40" spans="1:94" ht="15" customHeight="1" x14ac:dyDescent="0.15">
      <c r="A40" s="1"/>
      <c r="CP40" s="3"/>
    </row>
    <row r="41" spans="1:94" ht="15" customHeight="1" x14ac:dyDescent="0.15">
      <c r="A41" s="1"/>
      <c r="C41" s="310" t="s">
        <v>123</v>
      </c>
      <c r="D41" s="310"/>
      <c r="E41" s="310"/>
      <c r="F41" s="310"/>
      <c r="G41" s="310"/>
      <c r="H41" s="310"/>
      <c r="I41" s="310"/>
      <c r="J41" s="310"/>
      <c r="K41" s="310"/>
      <c r="L41" s="310"/>
      <c r="M41" s="310"/>
      <c r="N41" s="310" t="s">
        <v>119</v>
      </c>
      <c r="O41" s="310"/>
      <c r="P41" s="310"/>
      <c r="Q41" s="310"/>
      <c r="R41" s="310"/>
      <c r="S41" s="310"/>
      <c r="T41" s="310"/>
      <c r="U41" s="310"/>
      <c r="V41" s="310" t="s">
        <v>118</v>
      </c>
      <c r="W41" s="310"/>
      <c r="X41" s="310"/>
      <c r="Y41" s="310"/>
      <c r="Z41" s="310"/>
      <c r="AA41" s="310"/>
      <c r="AB41" s="310"/>
      <c r="AC41" s="310"/>
      <c r="AD41" s="311" t="s">
        <v>598</v>
      </c>
      <c r="AE41" s="312"/>
      <c r="AF41" s="312"/>
      <c r="AG41" s="312"/>
      <c r="AH41" s="312"/>
      <c r="AI41" s="312"/>
      <c r="AJ41" s="312"/>
      <c r="AK41" s="312"/>
      <c r="AL41" s="312"/>
      <c r="AM41" s="312"/>
      <c r="AN41" s="312"/>
      <c r="AO41" s="312"/>
      <c r="AP41" s="312"/>
      <c r="AQ41" s="312"/>
      <c r="AR41" s="312"/>
      <c r="AS41" s="309"/>
      <c r="AT41" s="311" t="s">
        <v>124</v>
      </c>
      <c r="AU41" s="312"/>
      <c r="AV41" s="312"/>
      <c r="AW41" s="312"/>
      <c r="AX41" s="312"/>
      <c r="AY41" s="312"/>
      <c r="AZ41" s="312"/>
      <c r="BA41" s="312"/>
      <c r="BB41" s="312"/>
      <c r="BC41" s="312"/>
      <c r="BD41" s="312"/>
      <c r="BE41" s="312"/>
      <c r="BF41" s="312"/>
      <c r="BG41" s="312"/>
      <c r="BH41" s="312"/>
      <c r="BI41" s="312"/>
      <c r="BJ41" s="312"/>
      <c r="BK41" s="312"/>
      <c r="BL41" s="312"/>
      <c r="BM41" s="312"/>
      <c r="BN41" s="312"/>
      <c r="BO41" s="312"/>
      <c r="BP41" s="312"/>
      <c r="BQ41" s="312"/>
      <c r="BR41" s="312"/>
      <c r="BS41" s="312"/>
      <c r="BT41" s="312"/>
      <c r="BU41" s="312"/>
      <c r="BV41" s="312"/>
      <c r="BW41" s="312"/>
      <c r="BX41" s="312"/>
      <c r="BY41" s="312"/>
      <c r="BZ41" s="309"/>
      <c r="CA41" s="309" t="s">
        <v>607</v>
      </c>
      <c r="CB41" s="310"/>
      <c r="CC41" s="310"/>
      <c r="CD41" s="310"/>
      <c r="CE41" s="310"/>
      <c r="CF41" s="310"/>
      <c r="CG41" s="310"/>
      <c r="CH41" s="310"/>
      <c r="CP41" s="3"/>
    </row>
    <row r="42" spans="1:94" ht="15" customHeight="1" x14ac:dyDescent="0.15">
      <c r="A42" s="1"/>
      <c r="C42" s="310"/>
      <c r="D42" s="310"/>
      <c r="E42" s="310"/>
      <c r="F42" s="310"/>
      <c r="G42" s="310"/>
      <c r="H42" s="310"/>
      <c r="I42" s="310"/>
      <c r="J42" s="310"/>
      <c r="K42" s="310"/>
      <c r="L42" s="310"/>
      <c r="M42" s="310"/>
      <c r="N42" s="310"/>
      <c r="O42" s="310"/>
      <c r="P42" s="310"/>
      <c r="Q42" s="310"/>
      <c r="R42" s="310"/>
      <c r="S42" s="310"/>
      <c r="T42" s="310"/>
      <c r="U42" s="310"/>
      <c r="V42" s="310"/>
      <c r="W42" s="310"/>
      <c r="X42" s="310"/>
      <c r="Y42" s="310"/>
      <c r="Z42" s="310"/>
      <c r="AA42" s="310"/>
      <c r="AB42" s="310"/>
      <c r="AC42" s="310"/>
      <c r="AD42" s="310" t="s">
        <v>81</v>
      </c>
      <c r="AE42" s="310"/>
      <c r="AF42" s="310"/>
      <c r="AG42" s="310"/>
      <c r="AH42" s="310"/>
      <c r="AI42" s="310"/>
      <c r="AJ42" s="310"/>
      <c r="AK42" s="310"/>
      <c r="AL42" s="311" t="s">
        <v>120</v>
      </c>
      <c r="AM42" s="312"/>
      <c r="AN42" s="312"/>
      <c r="AO42" s="312"/>
      <c r="AP42" s="312"/>
      <c r="AQ42" s="312"/>
      <c r="AR42" s="312"/>
      <c r="AS42" s="309"/>
      <c r="AT42" s="309" t="s">
        <v>81</v>
      </c>
      <c r="AU42" s="310"/>
      <c r="AV42" s="310"/>
      <c r="AW42" s="310"/>
      <c r="AX42" s="310"/>
      <c r="AY42" s="310"/>
      <c r="AZ42" s="310"/>
      <c r="BA42" s="310"/>
      <c r="BB42" s="311" t="s">
        <v>120</v>
      </c>
      <c r="BC42" s="312"/>
      <c r="BD42" s="312"/>
      <c r="BE42" s="312"/>
      <c r="BF42" s="312"/>
      <c r="BG42" s="311" t="s">
        <v>121</v>
      </c>
      <c r="BH42" s="312"/>
      <c r="BI42" s="312"/>
      <c r="BJ42" s="312"/>
      <c r="BK42" s="312"/>
      <c r="BL42" s="312"/>
      <c r="BM42" s="311" t="s">
        <v>122</v>
      </c>
      <c r="BN42" s="312"/>
      <c r="BO42" s="312"/>
      <c r="BP42" s="312"/>
      <c r="BQ42" s="312"/>
      <c r="BR42" s="312"/>
      <c r="BS42" s="312"/>
      <c r="BT42" s="311" t="s">
        <v>599</v>
      </c>
      <c r="BU42" s="312"/>
      <c r="BV42" s="312"/>
      <c r="BW42" s="312"/>
      <c r="BX42" s="312"/>
      <c r="BY42" s="312"/>
      <c r="BZ42" s="309"/>
      <c r="CA42" s="309" t="s">
        <v>125</v>
      </c>
      <c r="CB42" s="310"/>
      <c r="CC42" s="310"/>
      <c r="CD42" s="310"/>
      <c r="CE42" s="310"/>
      <c r="CF42" s="310"/>
      <c r="CG42" s="310"/>
      <c r="CH42" s="310"/>
      <c r="CP42" s="3"/>
    </row>
    <row r="43" spans="1:94" ht="15" customHeight="1" x14ac:dyDescent="0.15">
      <c r="A43" s="1"/>
      <c r="C43" s="237" t="s">
        <v>600</v>
      </c>
      <c r="D43" s="237"/>
      <c r="E43" s="237"/>
      <c r="F43" s="237"/>
      <c r="G43" s="237"/>
      <c r="H43" s="237"/>
      <c r="I43" s="237"/>
      <c r="J43" s="237"/>
      <c r="K43" s="237"/>
      <c r="L43" s="237"/>
      <c r="M43" s="237"/>
      <c r="N43" s="237" t="s">
        <v>978</v>
      </c>
      <c r="O43" s="237"/>
      <c r="P43" s="237"/>
      <c r="Q43" s="237"/>
      <c r="R43" s="237"/>
      <c r="S43" s="237"/>
      <c r="T43" s="237"/>
      <c r="U43" s="237"/>
      <c r="V43" s="313" t="s">
        <v>601</v>
      </c>
      <c r="W43" s="237"/>
      <c r="X43" s="237"/>
      <c r="Y43" s="237"/>
      <c r="Z43" s="237"/>
      <c r="AA43" s="237"/>
      <c r="AB43" s="237"/>
      <c r="AC43" s="237"/>
      <c r="AD43" s="317" t="s">
        <v>815</v>
      </c>
      <c r="AE43" s="318"/>
      <c r="AF43" s="318"/>
      <c r="AG43" s="318"/>
      <c r="AH43" s="318"/>
      <c r="AI43" s="318"/>
      <c r="AJ43" s="318"/>
      <c r="AK43" s="319"/>
      <c r="AL43" s="317" t="s">
        <v>154</v>
      </c>
      <c r="AM43" s="318"/>
      <c r="AN43" s="318"/>
      <c r="AO43" s="318"/>
      <c r="AP43" s="318"/>
      <c r="AQ43" s="318"/>
      <c r="AR43" s="318"/>
      <c r="AS43" s="319"/>
      <c r="AT43" s="313" t="s">
        <v>602</v>
      </c>
      <c r="AU43" s="237"/>
      <c r="AV43" s="237"/>
      <c r="AW43" s="237"/>
      <c r="AX43" s="237"/>
      <c r="AY43" s="237"/>
      <c r="AZ43" s="237"/>
      <c r="BA43" s="237"/>
      <c r="BB43" s="314" t="s">
        <v>35</v>
      </c>
      <c r="BC43" s="315"/>
      <c r="BD43" s="315"/>
      <c r="BE43" s="315"/>
      <c r="BF43" s="315"/>
      <c r="BG43" s="314" t="s">
        <v>603</v>
      </c>
      <c r="BH43" s="315"/>
      <c r="BI43" s="315"/>
      <c r="BJ43" s="315"/>
      <c r="BK43" s="315"/>
      <c r="BL43" s="315"/>
      <c r="BM43" s="314" t="s">
        <v>604</v>
      </c>
      <c r="BN43" s="315"/>
      <c r="BO43" s="315"/>
      <c r="BP43" s="315"/>
      <c r="BQ43" s="315"/>
      <c r="BR43" s="315"/>
      <c r="BS43" s="315"/>
      <c r="BT43" s="314" t="s">
        <v>605</v>
      </c>
      <c r="BU43" s="315"/>
      <c r="BV43" s="315"/>
      <c r="BW43" s="315"/>
      <c r="BX43" s="315"/>
      <c r="BY43" s="315"/>
      <c r="BZ43" s="316"/>
      <c r="CA43" s="313" t="s">
        <v>606</v>
      </c>
      <c r="CB43" s="237"/>
      <c r="CC43" s="237"/>
      <c r="CD43" s="237"/>
      <c r="CE43" s="237"/>
      <c r="CF43" s="237"/>
      <c r="CG43" s="237"/>
      <c r="CH43" s="237"/>
      <c r="CP43" s="3"/>
    </row>
    <row r="44" spans="1:94" ht="15" customHeight="1" x14ac:dyDescent="0.15">
      <c r="A44" s="1"/>
      <c r="C44" s="237" t="s">
        <v>600</v>
      </c>
      <c r="D44" s="237"/>
      <c r="E44" s="237"/>
      <c r="F44" s="237"/>
      <c r="G44" s="237"/>
      <c r="H44" s="237"/>
      <c r="I44" s="237"/>
      <c r="J44" s="237"/>
      <c r="K44" s="237"/>
      <c r="L44" s="237"/>
      <c r="M44" s="237"/>
      <c r="N44" s="237" t="s">
        <v>986</v>
      </c>
      <c r="O44" s="237"/>
      <c r="P44" s="237"/>
      <c r="Q44" s="237"/>
      <c r="R44" s="237"/>
      <c r="S44" s="237"/>
      <c r="T44" s="237"/>
      <c r="U44" s="237"/>
      <c r="V44" s="313" t="s">
        <v>985</v>
      </c>
      <c r="W44" s="237"/>
      <c r="X44" s="237"/>
      <c r="Y44" s="237"/>
      <c r="Z44" s="237"/>
      <c r="AA44" s="237"/>
      <c r="AB44" s="237"/>
      <c r="AC44" s="237"/>
      <c r="AD44" s="317" t="s">
        <v>981</v>
      </c>
      <c r="AE44" s="318"/>
      <c r="AF44" s="318"/>
      <c r="AG44" s="318"/>
      <c r="AH44" s="318"/>
      <c r="AI44" s="318"/>
      <c r="AJ44" s="318"/>
      <c r="AK44" s="319"/>
      <c r="AL44" s="317" t="s">
        <v>979</v>
      </c>
      <c r="AM44" s="318"/>
      <c r="AN44" s="318"/>
      <c r="AO44" s="318"/>
      <c r="AP44" s="318"/>
      <c r="AQ44" s="318"/>
      <c r="AR44" s="318"/>
      <c r="AS44" s="319"/>
      <c r="AT44" s="313" t="s">
        <v>980</v>
      </c>
      <c r="AU44" s="237"/>
      <c r="AV44" s="237"/>
      <c r="AW44" s="237"/>
      <c r="AX44" s="237"/>
      <c r="AY44" s="237"/>
      <c r="AZ44" s="237"/>
      <c r="BA44" s="237"/>
      <c r="BB44" s="314" t="s">
        <v>35</v>
      </c>
      <c r="BC44" s="315"/>
      <c r="BD44" s="315"/>
      <c r="BE44" s="315"/>
      <c r="BF44" s="315"/>
      <c r="BG44" s="314" t="s">
        <v>982</v>
      </c>
      <c r="BH44" s="315"/>
      <c r="BI44" s="315"/>
      <c r="BJ44" s="315"/>
      <c r="BK44" s="315"/>
      <c r="BL44" s="315"/>
      <c r="BM44" s="314" t="s">
        <v>983</v>
      </c>
      <c r="BN44" s="315"/>
      <c r="BO44" s="315"/>
      <c r="BP44" s="315"/>
      <c r="BQ44" s="315"/>
      <c r="BR44" s="315"/>
      <c r="BS44" s="315"/>
      <c r="BT44" s="314" t="s">
        <v>984</v>
      </c>
      <c r="BU44" s="315"/>
      <c r="BV44" s="315"/>
      <c r="BW44" s="315"/>
      <c r="BX44" s="315"/>
      <c r="BY44" s="315"/>
      <c r="BZ44" s="316"/>
      <c r="CA44" s="313" t="s">
        <v>624</v>
      </c>
      <c r="CB44" s="237"/>
      <c r="CC44" s="237"/>
      <c r="CD44" s="237"/>
      <c r="CE44" s="237"/>
      <c r="CF44" s="237"/>
      <c r="CG44" s="237"/>
      <c r="CH44" s="237"/>
      <c r="CP44" s="3"/>
    </row>
    <row r="45" spans="1:94" ht="15" customHeight="1" x14ac:dyDescent="0.15">
      <c r="A45" s="1"/>
      <c r="CP45" s="3"/>
    </row>
    <row r="46" spans="1:94" ht="15" customHeight="1" x14ac:dyDescent="0.15">
      <c r="A46" s="1"/>
      <c r="CP46" s="3"/>
    </row>
    <row r="47" spans="1:94" ht="15" customHeight="1" thickBot="1" x14ac:dyDescent="0.2">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7"/>
    </row>
  </sheetData>
  <mergeCells count="58">
    <mergeCell ref="CA44:CH44"/>
    <mergeCell ref="AT44:BA44"/>
    <mergeCell ref="BB44:BF44"/>
    <mergeCell ref="BG44:BL44"/>
    <mergeCell ref="BM44:BS44"/>
    <mergeCell ref="BT44:BZ44"/>
    <mergeCell ref="C43:M43"/>
    <mergeCell ref="N43:U43"/>
    <mergeCell ref="V43:AC43"/>
    <mergeCell ref="AD42:AK42"/>
    <mergeCell ref="AL42:AS42"/>
    <mergeCell ref="AD43:AK43"/>
    <mergeCell ref="AL43:AS43"/>
    <mergeCell ref="C44:M44"/>
    <mergeCell ref="N44:U44"/>
    <mergeCell ref="V44:AC44"/>
    <mergeCell ref="AD44:AK44"/>
    <mergeCell ref="AL44:AS44"/>
    <mergeCell ref="AT43:BA43"/>
    <mergeCell ref="BB43:BF43"/>
    <mergeCell ref="CA42:CH42"/>
    <mergeCell ref="BG43:BL43"/>
    <mergeCell ref="BM43:BS43"/>
    <mergeCell ref="BT43:BZ43"/>
    <mergeCell ref="AT42:BA42"/>
    <mergeCell ref="BB42:BF42"/>
    <mergeCell ref="BG42:BL42"/>
    <mergeCell ref="CA43:CH43"/>
    <mergeCell ref="BM42:BS42"/>
    <mergeCell ref="BT42:BZ42"/>
    <mergeCell ref="CI1:CP3"/>
    <mergeCell ref="CD1:CH3"/>
    <mergeCell ref="BU2:CC2"/>
    <mergeCell ref="AL3:BF3"/>
    <mergeCell ref="BG3:BJ3"/>
    <mergeCell ref="AL1:BF1"/>
    <mergeCell ref="BK3:CC3"/>
    <mergeCell ref="BG1:BJ1"/>
    <mergeCell ref="BK1:BT1"/>
    <mergeCell ref="BU1:CC1"/>
    <mergeCell ref="AL2:BF2"/>
    <mergeCell ref="BG2:BJ2"/>
    <mergeCell ref="BK2:BT2"/>
    <mergeCell ref="BO9:BT9"/>
    <mergeCell ref="CA41:CH41"/>
    <mergeCell ref="A1:H1"/>
    <mergeCell ref="I1:AD1"/>
    <mergeCell ref="AE1:AK1"/>
    <mergeCell ref="A2:H2"/>
    <mergeCell ref="I2:AD2"/>
    <mergeCell ref="AE2:AK3"/>
    <mergeCell ref="A3:H3"/>
    <mergeCell ref="I3:AD3"/>
    <mergeCell ref="AT41:BZ41"/>
    <mergeCell ref="C41:M42"/>
    <mergeCell ref="N41:U42"/>
    <mergeCell ref="V41:AC42"/>
    <mergeCell ref="AD41:AS41"/>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P47"/>
  <sheetViews>
    <sheetView view="pageBreakPreview" zoomScaleNormal="100" zoomScaleSheetLayoutView="100" workbookViewId="0">
      <pane ySplit="3" topLeftCell="A4" activePane="bottomLeft" state="frozen"/>
      <selection pane="bottomLeft" activeCell="A4" sqref="A4"/>
    </sheetView>
  </sheetViews>
  <sheetFormatPr defaultColWidth="1.875" defaultRowHeight="15" customHeight="1" x14ac:dyDescent="0.15"/>
  <cols>
    <col min="1" max="43" width="1.875" style="2"/>
    <col min="44" max="44" width="1.875" style="2" customWidth="1"/>
    <col min="45" max="16384" width="1.875" style="2"/>
  </cols>
  <sheetData>
    <row r="1" spans="1:94" s="8" customFormat="1" ht="15" customHeight="1" x14ac:dyDescent="0.15">
      <c r="A1" s="350" t="s">
        <v>39</v>
      </c>
      <c r="B1" s="351"/>
      <c r="C1" s="351"/>
      <c r="D1" s="351"/>
      <c r="E1" s="351"/>
      <c r="F1" s="351"/>
      <c r="G1" s="351"/>
      <c r="H1" s="351"/>
      <c r="I1" s="352" t="str">
        <f>タイトル!$I$40</f>
        <v>教務システム</v>
      </c>
      <c r="J1" s="353"/>
      <c r="K1" s="353"/>
      <c r="L1" s="353"/>
      <c r="M1" s="353"/>
      <c r="N1" s="353"/>
      <c r="O1" s="353"/>
      <c r="P1" s="353"/>
      <c r="Q1" s="353"/>
      <c r="R1" s="353"/>
      <c r="S1" s="353"/>
      <c r="T1" s="353"/>
      <c r="U1" s="353"/>
      <c r="V1" s="353"/>
      <c r="W1" s="353"/>
      <c r="X1" s="353"/>
      <c r="Y1" s="353"/>
      <c r="Z1" s="353"/>
      <c r="AA1" s="353"/>
      <c r="AB1" s="353"/>
      <c r="AC1" s="353"/>
      <c r="AD1" s="354"/>
      <c r="AE1" s="336" t="s">
        <v>30</v>
      </c>
      <c r="AF1" s="336"/>
      <c r="AG1" s="336"/>
      <c r="AH1" s="336"/>
      <c r="AI1" s="336"/>
      <c r="AJ1" s="336"/>
      <c r="AK1" s="336"/>
      <c r="AL1" s="355" t="str">
        <f>タイトル!$I$43</f>
        <v>構築手順書の作成</v>
      </c>
      <c r="AM1" s="356"/>
      <c r="AN1" s="356"/>
      <c r="AO1" s="356"/>
      <c r="AP1" s="356"/>
      <c r="AQ1" s="356"/>
      <c r="AR1" s="356"/>
      <c r="AS1" s="356"/>
      <c r="AT1" s="356"/>
      <c r="AU1" s="356"/>
      <c r="AV1" s="356"/>
      <c r="AW1" s="356"/>
      <c r="AX1" s="356"/>
      <c r="AY1" s="356"/>
      <c r="AZ1" s="356"/>
      <c r="BA1" s="356"/>
      <c r="BB1" s="356"/>
      <c r="BC1" s="356"/>
      <c r="BD1" s="356"/>
      <c r="BE1" s="356"/>
      <c r="BF1" s="356"/>
      <c r="BG1" s="336" t="s">
        <v>31</v>
      </c>
      <c r="BH1" s="336"/>
      <c r="BI1" s="336"/>
      <c r="BJ1" s="336"/>
      <c r="BK1" s="347" t="str">
        <f>タイトル!$I$46</f>
        <v>大久保　梓沙</v>
      </c>
      <c r="BL1" s="348"/>
      <c r="BM1" s="348"/>
      <c r="BN1" s="348"/>
      <c r="BO1" s="348"/>
      <c r="BP1" s="348"/>
      <c r="BQ1" s="348"/>
      <c r="BR1" s="348"/>
      <c r="BS1" s="348"/>
      <c r="BT1" s="349"/>
      <c r="BU1" s="337">
        <f>タイトル!$I$47</f>
        <v>45336</v>
      </c>
      <c r="BV1" s="337"/>
      <c r="BW1" s="337"/>
      <c r="BX1" s="337"/>
      <c r="BY1" s="337"/>
      <c r="BZ1" s="337"/>
      <c r="CA1" s="337"/>
      <c r="CB1" s="337"/>
      <c r="CC1" s="337"/>
      <c r="CD1" s="338" t="s">
        <v>38</v>
      </c>
      <c r="CE1" s="339"/>
      <c r="CF1" s="339"/>
      <c r="CG1" s="339"/>
      <c r="CH1" s="340"/>
      <c r="CI1" s="327" t="str">
        <f>タイトル!$I$50</f>
        <v xml:space="preserve"> </v>
      </c>
      <c r="CJ1" s="328"/>
      <c r="CK1" s="328"/>
      <c r="CL1" s="328"/>
      <c r="CM1" s="328"/>
      <c r="CN1" s="328"/>
      <c r="CO1" s="328"/>
      <c r="CP1" s="329"/>
    </row>
    <row r="2" spans="1:94" s="8" customFormat="1" ht="15" customHeight="1" x14ac:dyDescent="0.15">
      <c r="A2" s="357" t="s">
        <v>40</v>
      </c>
      <c r="B2" s="358"/>
      <c r="C2" s="358"/>
      <c r="D2" s="358"/>
      <c r="E2" s="358"/>
      <c r="F2" s="358"/>
      <c r="G2" s="358"/>
      <c r="H2" s="358"/>
      <c r="I2" s="359" t="str">
        <f>タイトル!$I$41</f>
        <v>基盤構築</v>
      </c>
      <c r="J2" s="360"/>
      <c r="K2" s="360"/>
      <c r="L2" s="360"/>
      <c r="M2" s="360"/>
      <c r="N2" s="360"/>
      <c r="O2" s="360"/>
      <c r="P2" s="360"/>
      <c r="Q2" s="360"/>
      <c r="R2" s="360"/>
      <c r="S2" s="360"/>
      <c r="T2" s="360"/>
      <c r="U2" s="360"/>
      <c r="V2" s="360"/>
      <c r="W2" s="360"/>
      <c r="X2" s="360"/>
      <c r="Y2" s="360"/>
      <c r="Z2" s="360"/>
      <c r="AA2" s="360"/>
      <c r="AB2" s="360"/>
      <c r="AC2" s="360"/>
      <c r="AD2" s="361"/>
      <c r="AE2" s="362" t="s">
        <v>89</v>
      </c>
      <c r="AF2" s="362"/>
      <c r="AG2" s="362"/>
      <c r="AH2" s="362"/>
      <c r="AI2" s="362"/>
      <c r="AJ2" s="362"/>
      <c r="AK2" s="362"/>
      <c r="AL2" s="364" t="str">
        <f>タイトル!$I$44</f>
        <v>システム環境定義書</v>
      </c>
      <c r="AM2" s="365"/>
      <c r="AN2" s="365"/>
      <c r="AO2" s="365"/>
      <c r="AP2" s="365"/>
      <c r="AQ2" s="365"/>
      <c r="AR2" s="365"/>
      <c r="AS2" s="365"/>
      <c r="AT2" s="365"/>
      <c r="AU2" s="365"/>
      <c r="AV2" s="365"/>
      <c r="AW2" s="365"/>
      <c r="AX2" s="365"/>
      <c r="AY2" s="365"/>
      <c r="AZ2" s="365"/>
      <c r="BA2" s="365"/>
      <c r="BB2" s="365"/>
      <c r="BC2" s="365"/>
      <c r="BD2" s="365"/>
      <c r="BE2" s="365"/>
      <c r="BF2" s="365"/>
      <c r="BG2" s="362" t="s">
        <v>33</v>
      </c>
      <c r="BH2" s="362"/>
      <c r="BI2" s="362"/>
      <c r="BJ2" s="362"/>
      <c r="BK2" s="375"/>
      <c r="BL2" s="376"/>
      <c r="BM2" s="376"/>
      <c r="BN2" s="376"/>
      <c r="BO2" s="376"/>
      <c r="BP2" s="376"/>
      <c r="BQ2" s="376"/>
      <c r="BR2" s="376"/>
      <c r="BS2" s="376"/>
      <c r="BT2" s="377"/>
      <c r="BU2" s="378"/>
      <c r="BV2" s="378"/>
      <c r="BW2" s="378"/>
      <c r="BX2" s="378"/>
      <c r="BY2" s="378"/>
      <c r="BZ2" s="378"/>
      <c r="CA2" s="378"/>
      <c r="CB2" s="378"/>
      <c r="CC2" s="378"/>
      <c r="CD2" s="341"/>
      <c r="CE2" s="342"/>
      <c r="CF2" s="342"/>
      <c r="CG2" s="342"/>
      <c r="CH2" s="343"/>
      <c r="CI2" s="330"/>
      <c r="CJ2" s="331"/>
      <c r="CK2" s="331"/>
      <c r="CL2" s="331"/>
      <c r="CM2" s="331"/>
      <c r="CN2" s="331"/>
      <c r="CO2" s="331"/>
      <c r="CP2" s="332"/>
    </row>
    <row r="3" spans="1:94" s="8" customFormat="1" ht="15" customHeight="1" thickBot="1" x14ac:dyDescent="0.2">
      <c r="A3" s="366"/>
      <c r="B3" s="367"/>
      <c r="C3" s="367"/>
      <c r="D3" s="367"/>
      <c r="E3" s="367"/>
      <c r="F3" s="367"/>
      <c r="G3" s="367"/>
      <c r="H3" s="367"/>
      <c r="I3" s="368" t="s">
        <v>595</v>
      </c>
      <c r="J3" s="369"/>
      <c r="K3" s="369"/>
      <c r="L3" s="369"/>
      <c r="M3" s="369"/>
      <c r="N3" s="369"/>
      <c r="O3" s="369"/>
      <c r="P3" s="369"/>
      <c r="Q3" s="369"/>
      <c r="R3" s="369"/>
      <c r="S3" s="369"/>
      <c r="T3" s="369"/>
      <c r="U3" s="369"/>
      <c r="V3" s="369"/>
      <c r="W3" s="369"/>
      <c r="X3" s="369"/>
      <c r="Y3" s="369"/>
      <c r="Z3" s="369"/>
      <c r="AA3" s="369"/>
      <c r="AB3" s="369"/>
      <c r="AC3" s="369"/>
      <c r="AD3" s="370"/>
      <c r="AE3" s="363"/>
      <c r="AF3" s="363"/>
      <c r="AG3" s="363"/>
      <c r="AH3" s="363"/>
      <c r="AI3" s="363"/>
      <c r="AJ3" s="363"/>
      <c r="AK3" s="363"/>
      <c r="AL3" s="371" t="str">
        <f>タイトル!$I$42</f>
        <v>社内開発機</v>
      </c>
      <c r="AM3" s="372"/>
      <c r="AN3" s="372"/>
      <c r="AO3" s="372"/>
      <c r="AP3" s="372"/>
      <c r="AQ3" s="372"/>
      <c r="AR3" s="372"/>
      <c r="AS3" s="372"/>
      <c r="AT3" s="372"/>
      <c r="AU3" s="372"/>
      <c r="AV3" s="372"/>
      <c r="AW3" s="372"/>
      <c r="AX3" s="372"/>
      <c r="AY3" s="372"/>
      <c r="AZ3" s="372"/>
      <c r="BA3" s="372"/>
      <c r="BB3" s="372"/>
      <c r="BC3" s="372"/>
      <c r="BD3" s="372"/>
      <c r="BE3" s="372"/>
      <c r="BF3" s="373"/>
      <c r="BG3" s="363"/>
      <c r="BH3" s="363"/>
      <c r="BI3" s="363"/>
      <c r="BJ3" s="363"/>
      <c r="BK3" s="379"/>
      <c r="BL3" s="380"/>
      <c r="BM3" s="380"/>
      <c r="BN3" s="380"/>
      <c r="BO3" s="380"/>
      <c r="BP3" s="380"/>
      <c r="BQ3" s="380"/>
      <c r="BR3" s="380"/>
      <c r="BS3" s="380"/>
      <c r="BT3" s="380"/>
      <c r="BU3" s="264"/>
      <c r="BV3" s="264"/>
      <c r="BW3" s="264"/>
      <c r="BX3" s="264"/>
      <c r="BY3" s="264"/>
      <c r="BZ3" s="264"/>
      <c r="CA3" s="264"/>
      <c r="CB3" s="264"/>
      <c r="CC3" s="265"/>
      <c r="CD3" s="344"/>
      <c r="CE3" s="345"/>
      <c r="CF3" s="345"/>
      <c r="CG3" s="345"/>
      <c r="CH3" s="346"/>
      <c r="CI3" s="333"/>
      <c r="CJ3" s="334"/>
      <c r="CK3" s="334"/>
      <c r="CL3" s="334"/>
      <c r="CM3" s="334"/>
      <c r="CN3" s="334"/>
      <c r="CO3" s="334"/>
      <c r="CP3" s="335"/>
    </row>
    <row r="4" spans="1:94" ht="15" customHeight="1" x14ac:dyDescent="0.1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2"/>
    </row>
    <row r="5" spans="1:94" ht="15" customHeight="1" x14ac:dyDescent="0.15">
      <c r="A5" s="1"/>
      <c r="C5" s="8" t="s">
        <v>609</v>
      </c>
      <c r="CP5" s="3"/>
    </row>
    <row r="6" spans="1:94" ht="15" customHeight="1" x14ac:dyDescent="0.15">
      <c r="A6" s="1"/>
      <c r="AO6" s="14"/>
      <c r="CP6" s="3"/>
    </row>
    <row r="7" spans="1:94" ht="15" customHeight="1" x14ac:dyDescent="0.15">
      <c r="A7" s="1"/>
      <c r="B7" s="8"/>
      <c r="C7" s="2" t="s">
        <v>101</v>
      </c>
      <c r="CP7" s="3"/>
    </row>
    <row r="8" spans="1:94" ht="15" customHeight="1" x14ac:dyDescent="0.15">
      <c r="A8" s="1"/>
      <c r="CP8" s="3"/>
    </row>
    <row r="9" spans="1:94" ht="15" customHeight="1" x14ac:dyDescent="0.15">
      <c r="A9" s="1"/>
      <c r="D9" s="310" t="s">
        <v>611</v>
      </c>
      <c r="E9" s="310"/>
      <c r="F9" s="310"/>
      <c r="G9" s="310"/>
      <c r="H9" s="310"/>
      <c r="I9" s="310"/>
      <c r="J9" s="310"/>
      <c r="K9" s="310"/>
      <c r="L9" s="310"/>
      <c r="M9" s="310"/>
      <c r="N9" s="310"/>
      <c r="O9" s="310"/>
      <c r="P9" s="386" t="s">
        <v>90</v>
      </c>
      <c r="Q9" s="387"/>
      <c r="R9" s="387"/>
      <c r="S9" s="387"/>
      <c r="T9" s="387"/>
      <c r="U9" s="387"/>
      <c r="V9" s="387"/>
      <c r="W9" s="387"/>
      <c r="X9" s="387"/>
      <c r="Y9" s="387"/>
      <c r="Z9" s="387"/>
      <c r="AA9" s="387"/>
      <c r="AB9" s="387"/>
      <c r="AC9" s="387"/>
      <c r="AD9" s="387"/>
      <c r="AE9" s="387"/>
      <c r="AF9" s="387"/>
      <c r="AG9" s="387"/>
      <c r="AH9" s="387"/>
      <c r="AI9" s="387"/>
      <c r="AJ9" s="387"/>
      <c r="AK9" s="387"/>
      <c r="AL9" s="388"/>
      <c r="AM9" s="326" t="s">
        <v>612</v>
      </c>
      <c r="AN9" s="321"/>
      <c r="AO9" s="321"/>
      <c r="AP9" s="321"/>
      <c r="AQ9" s="322"/>
      <c r="AR9" s="326" t="s">
        <v>613</v>
      </c>
      <c r="AS9" s="392"/>
      <c r="AT9" s="392"/>
      <c r="AU9" s="392"/>
      <c r="AV9" s="393"/>
      <c r="AW9" s="320" t="s">
        <v>614</v>
      </c>
      <c r="AX9" s="321"/>
      <c r="AY9" s="321"/>
      <c r="AZ9" s="321"/>
      <c r="BA9" s="322"/>
      <c r="BB9" s="326" t="s">
        <v>615</v>
      </c>
      <c r="BC9" s="321"/>
      <c r="BD9" s="321"/>
      <c r="BE9" s="321"/>
      <c r="BF9" s="322"/>
      <c r="BG9" s="326" t="s">
        <v>616</v>
      </c>
      <c r="BH9" s="321"/>
      <c r="BI9" s="321"/>
      <c r="BJ9" s="321"/>
      <c r="BK9" s="322"/>
      <c r="CP9" s="3"/>
    </row>
    <row r="10" spans="1:94" ht="15" customHeight="1" thickBot="1" x14ac:dyDescent="0.2">
      <c r="A10" s="1"/>
      <c r="D10" s="381"/>
      <c r="E10" s="381"/>
      <c r="F10" s="381"/>
      <c r="G10" s="381"/>
      <c r="H10" s="381"/>
      <c r="I10" s="381"/>
      <c r="J10" s="381"/>
      <c r="K10" s="381"/>
      <c r="L10" s="381"/>
      <c r="M10" s="381"/>
      <c r="N10" s="381"/>
      <c r="O10" s="381"/>
      <c r="P10" s="389"/>
      <c r="Q10" s="390"/>
      <c r="R10" s="390"/>
      <c r="S10" s="390"/>
      <c r="T10" s="390"/>
      <c r="U10" s="390"/>
      <c r="V10" s="390"/>
      <c r="W10" s="390"/>
      <c r="X10" s="390"/>
      <c r="Y10" s="390"/>
      <c r="Z10" s="390"/>
      <c r="AA10" s="390"/>
      <c r="AB10" s="390"/>
      <c r="AC10" s="390"/>
      <c r="AD10" s="390"/>
      <c r="AE10" s="390"/>
      <c r="AF10" s="390"/>
      <c r="AG10" s="390"/>
      <c r="AH10" s="390"/>
      <c r="AI10" s="390"/>
      <c r="AJ10" s="390"/>
      <c r="AK10" s="390"/>
      <c r="AL10" s="391"/>
      <c r="AM10" s="323"/>
      <c r="AN10" s="324"/>
      <c r="AO10" s="324"/>
      <c r="AP10" s="324"/>
      <c r="AQ10" s="325"/>
      <c r="AR10" s="394"/>
      <c r="AS10" s="395"/>
      <c r="AT10" s="395"/>
      <c r="AU10" s="395"/>
      <c r="AV10" s="396"/>
      <c r="AW10" s="323"/>
      <c r="AX10" s="324"/>
      <c r="AY10" s="324"/>
      <c r="AZ10" s="324"/>
      <c r="BA10" s="325"/>
      <c r="BB10" s="323"/>
      <c r="BC10" s="324"/>
      <c r="BD10" s="324"/>
      <c r="BE10" s="324"/>
      <c r="BF10" s="325"/>
      <c r="BG10" s="323"/>
      <c r="BH10" s="324"/>
      <c r="BI10" s="324"/>
      <c r="BJ10" s="324"/>
      <c r="BK10" s="325"/>
      <c r="CP10" s="3"/>
    </row>
    <row r="11" spans="1:94" ht="15" customHeight="1" thickTop="1" x14ac:dyDescent="0.15">
      <c r="A11" s="1"/>
      <c r="D11" s="374" t="s">
        <v>987</v>
      </c>
      <c r="E11" s="374"/>
      <c r="F11" s="374"/>
      <c r="G11" s="374"/>
      <c r="H11" s="374"/>
      <c r="I11" s="374"/>
      <c r="J11" s="374"/>
      <c r="K11" s="374"/>
      <c r="L11" s="374"/>
      <c r="M11" s="374"/>
      <c r="N11" s="374"/>
      <c r="O11" s="374"/>
      <c r="P11" s="382" t="s">
        <v>610</v>
      </c>
      <c r="Q11" s="383"/>
      <c r="R11" s="383"/>
      <c r="S11" s="383"/>
      <c r="T11" s="383"/>
      <c r="U11" s="383"/>
      <c r="V11" s="383"/>
      <c r="W11" s="383"/>
      <c r="X11" s="383"/>
      <c r="Y11" s="383"/>
      <c r="Z11" s="383"/>
      <c r="AA11" s="383"/>
      <c r="AB11" s="383"/>
      <c r="AC11" s="383"/>
      <c r="AD11" s="383"/>
      <c r="AE11" s="383"/>
      <c r="AF11" s="383"/>
      <c r="AG11" s="383"/>
      <c r="AH11" s="383"/>
      <c r="AI11" s="383"/>
      <c r="AJ11" s="383"/>
      <c r="AK11" s="383"/>
      <c r="AL11" s="384"/>
      <c r="AM11" s="385">
        <v>1</v>
      </c>
      <c r="AN11" s="385"/>
      <c r="AO11" s="385"/>
      <c r="AP11" s="385"/>
      <c r="AQ11" s="385"/>
      <c r="AR11" s="385" t="s">
        <v>988</v>
      </c>
      <c r="AS11" s="385"/>
      <c r="AT11" s="385"/>
      <c r="AU11" s="385"/>
      <c r="AV11" s="385"/>
      <c r="AW11" s="385">
        <v>2</v>
      </c>
      <c r="AX11" s="385"/>
      <c r="AY11" s="385"/>
      <c r="AZ11" s="385"/>
      <c r="BA11" s="385"/>
      <c r="BB11" s="385">
        <v>4</v>
      </c>
      <c r="BC11" s="385"/>
      <c r="BD11" s="385"/>
      <c r="BE11" s="385"/>
      <c r="BF11" s="385"/>
      <c r="BG11" s="385">
        <v>50</v>
      </c>
      <c r="BH11" s="385"/>
      <c r="BI11" s="385"/>
      <c r="BJ11" s="385"/>
      <c r="BK11" s="385"/>
      <c r="CP11" s="3"/>
    </row>
    <row r="12" spans="1:94" ht="15" customHeight="1" x14ac:dyDescent="0.15">
      <c r="A12" s="1"/>
      <c r="CP12" s="3"/>
    </row>
    <row r="13" spans="1:94" ht="15" customHeight="1" x14ac:dyDescent="0.15">
      <c r="A13" s="1"/>
      <c r="M13" s="61"/>
      <c r="N13" s="61"/>
      <c r="O13" s="61"/>
      <c r="P13" s="61"/>
      <c r="Q13" s="61"/>
      <c r="R13" s="61"/>
      <c r="S13" s="61"/>
      <c r="T13" s="61"/>
      <c r="U13" s="61"/>
      <c r="V13" s="61"/>
      <c r="W13" s="61"/>
      <c r="X13" s="61"/>
      <c r="Y13" s="61"/>
      <c r="Z13" s="61"/>
      <c r="AA13" s="61"/>
      <c r="AB13" s="61"/>
      <c r="AC13" s="61"/>
      <c r="AD13" s="61"/>
      <c r="AE13" s="61"/>
      <c r="CM13" s="53"/>
      <c r="CN13" s="53"/>
      <c r="CO13" s="53"/>
      <c r="CP13" s="3"/>
    </row>
    <row r="14" spans="1:94" ht="15" customHeight="1" x14ac:dyDescent="0.15">
      <c r="A14" s="1"/>
      <c r="E14" s="75"/>
      <c r="BQ14" s="53"/>
      <c r="BR14" s="53"/>
      <c r="CP14" s="50"/>
    </row>
    <row r="15" spans="1:94" ht="15" customHeight="1" x14ac:dyDescent="0.15">
      <c r="A15" s="1"/>
      <c r="CP15" s="3"/>
    </row>
    <row r="16" spans="1:94" ht="15" customHeight="1" x14ac:dyDescent="0.15">
      <c r="A16" s="1"/>
      <c r="CP16" s="3"/>
    </row>
    <row r="17" spans="1:94" ht="15" customHeight="1" x14ac:dyDescent="0.15">
      <c r="A17" s="1"/>
      <c r="CP17" s="3"/>
    </row>
    <row r="18" spans="1:94" ht="15" customHeight="1" x14ac:dyDescent="0.15">
      <c r="A18" s="1"/>
      <c r="CP18" s="3"/>
    </row>
    <row r="19" spans="1:94" ht="15" customHeight="1" x14ac:dyDescent="0.15">
      <c r="A19" s="1"/>
      <c r="CP19" s="3"/>
    </row>
    <row r="20" spans="1:94" ht="15" customHeight="1" x14ac:dyDescent="0.15">
      <c r="A20" s="1"/>
      <c r="CP20" s="3"/>
    </row>
    <row r="21" spans="1:94" ht="15" customHeight="1" x14ac:dyDescent="0.15">
      <c r="A21" s="1"/>
      <c r="CP21" s="3"/>
    </row>
    <row r="22" spans="1:94" ht="15" customHeight="1" x14ac:dyDescent="0.15">
      <c r="A22" s="1"/>
      <c r="CP22" s="3"/>
    </row>
    <row r="23" spans="1:94" ht="15" customHeight="1" x14ac:dyDescent="0.15">
      <c r="A23" s="1"/>
      <c r="CP23" s="3"/>
    </row>
    <row r="24" spans="1:94" ht="15" customHeight="1" x14ac:dyDescent="0.15">
      <c r="A24" s="1"/>
      <c r="CP24" s="3"/>
    </row>
    <row r="25" spans="1:94" ht="15" customHeight="1" x14ac:dyDescent="0.15">
      <c r="A25" s="1"/>
      <c r="CP25" s="3"/>
    </row>
    <row r="26" spans="1:94" ht="15" customHeight="1" x14ac:dyDescent="0.15">
      <c r="A26" s="1"/>
      <c r="CP26" s="3"/>
    </row>
    <row r="27" spans="1:94" ht="15" customHeight="1" x14ac:dyDescent="0.15">
      <c r="A27" s="1"/>
      <c r="CP27" s="3"/>
    </row>
    <row r="28" spans="1:94" ht="15" customHeight="1" x14ac:dyDescent="0.15">
      <c r="A28" s="1"/>
      <c r="CP28" s="3"/>
    </row>
    <row r="29" spans="1:94" ht="15" customHeight="1" x14ac:dyDescent="0.15">
      <c r="A29" s="1"/>
      <c r="CP29" s="3"/>
    </row>
    <row r="30" spans="1:94" ht="15" customHeight="1" x14ac:dyDescent="0.15">
      <c r="A30" s="1"/>
      <c r="CP30" s="3"/>
    </row>
    <row r="31" spans="1:94" ht="15" customHeight="1" x14ac:dyDescent="0.15">
      <c r="A31" s="1"/>
      <c r="CP31" s="3"/>
    </row>
    <row r="32" spans="1:94" ht="15" customHeight="1" x14ac:dyDescent="0.15">
      <c r="A32" s="1"/>
      <c r="CP32" s="3"/>
    </row>
    <row r="33" spans="1:94" ht="15" customHeight="1" x14ac:dyDescent="0.15">
      <c r="A33" s="1"/>
      <c r="CP33" s="3"/>
    </row>
    <row r="34" spans="1:94" ht="15" customHeight="1" x14ac:dyDescent="0.15">
      <c r="A34" s="1"/>
      <c r="CP34" s="3"/>
    </row>
    <row r="35" spans="1:94" ht="15" customHeight="1" x14ac:dyDescent="0.15">
      <c r="A35" s="1"/>
      <c r="CP35" s="3"/>
    </row>
    <row r="36" spans="1:94" ht="15" customHeight="1" x14ac:dyDescent="0.15">
      <c r="A36" s="1"/>
      <c r="CP36" s="3"/>
    </row>
    <row r="37" spans="1:94" ht="15" customHeight="1" x14ac:dyDescent="0.15">
      <c r="A37" s="1"/>
      <c r="CP37" s="3"/>
    </row>
    <row r="38" spans="1:94" ht="15" customHeight="1" x14ac:dyDescent="0.15">
      <c r="A38" s="1"/>
      <c r="CP38" s="3"/>
    </row>
    <row r="39" spans="1:94" ht="15" customHeight="1" x14ac:dyDescent="0.15">
      <c r="A39" s="1"/>
      <c r="CP39" s="3"/>
    </row>
    <row r="40" spans="1:94" ht="15" customHeight="1" x14ac:dyDescent="0.15">
      <c r="A40" s="1"/>
      <c r="CP40" s="3"/>
    </row>
    <row r="41" spans="1:94" ht="15" customHeight="1" x14ac:dyDescent="0.15">
      <c r="A41" s="1"/>
      <c r="CP41" s="3"/>
    </row>
    <row r="42" spans="1:94" ht="15" customHeight="1" x14ac:dyDescent="0.15">
      <c r="A42" s="1"/>
      <c r="CP42" s="3"/>
    </row>
    <row r="43" spans="1:94" ht="15" customHeight="1" x14ac:dyDescent="0.15">
      <c r="A43" s="1"/>
      <c r="CP43" s="3"/>
    </row>
    <row r="44" spans="1:94" ht="15" customHeight="1" x14ac:dyDescent="0.15">
      <c r="A44" s="1"/>
      <c r="CP44" s="3"/>
    </row>
    <row r="45" spans="1:94" ht="15" customHeight="1" x14ac:dyDescent="0.15">
      <c r="A45" s="1"/>
      <c r="CP45" s="3"/>
    </row>
    <row r="46" spans="1:94" ht="15" customHeight="1" x14ac:dyDescent="0.15">
      <c r="A46" s="1"/>
      <c r="CP46" s="3"/>
    </row>
    <row r="47" spans="1:94" ht="15" customHeight="1" thickBot="1" x14ac:dyDescent="0.2">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7"/>
    </row>
  </sheetData>
  <mergeCells count="35">
    <mergeCell ref="D11:O11"/>
    <mergeCell ref="BG2:BJ2"/>
    <mergeCell ref="BK2:BT2"/>
    <mergeCell ref="BU2:CC2"/>
    <mergeCell ref="BG3:BJ3"/>
    <mergeCell ref="BK3:CC3"/>
    <mergeCell ref="D9:O10"/>
    <mergeCell ref="P11:AL11"/>
    <mergeCell ref="AM11:AQ11"/>
    <mergeCell ref="AR11:AV11"/>
    <mergeCell ref="AW11:BA11"/>
    <mergeCell ref="BB11:BF11"/>
    <mergeCell ref="BG11:BK11"/>
    <mergeCell ref="P9:AL10"/>
    <mergeCell ref="AM9:AQ10"/>
    <mergeCell ref="AR9:AV10"/>
    <mergeCell ref="A1:H1"/>
    <mergeCell ref="I1:AD1"/>
    <mergeCell ref="AE1:AK1"/>
    <mergeCell ref="AL1:BF1"/>
    <mergeCell ref="A2:H2"/>
    <mergeCell ref="I2:AD2"/>
    <mergeCell ref="AE2:AK3"/>
    <mergeCell ref="AL2:BF2"/>
    <mergeCell ref="A3:H3"/>
    <mergeCell ref="I3:AD3"/>
    <mergeCell ref="AL3:BF3"/>
    <mergeCell ref="AW9:BA10"/>
    <mergeCell ref="BB9:BF10"/>
    <mergeCell ref="BG9:BK10"/>
    <mergeCell ref="CI1:CP3"/>
    <mergeCell ref="BG1:BJ1"/>
    <mergeCell ref="BU1:CC1"/>
    <mergeCell ref="CD1:CH3"/>
    <mergeCell ref="BK1:BT1"/>
  </mergeCells>
  <phoneticPr fontId="3"/>
  <pageMargins left="0.39370078740157483" right="0.39370078740157483" top="0.78740157480314965" bottom="0.39370078740157483" header="0.59055118110236227" footer="0.19685039370078741"/>
  <pageSetup paperSize="9" scale="80" fitToHeight="0" orientation="landscape" r:id="rId1"/>
  <headerFooter alignWithMargins="0">
    <oddFooter>&amp;C&amp;P　/　&amp;N&amp;R株式会社　京信システムサービス</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P40"/>
  <sheetViews>
    <sheetView view="pageBreakPreview" zoomScaleNormal="100" zoomScaleSheetLayoutView="100" workbookViewId="0">
      <pane ySplit="3" topLeftCell="A4" activePane="bottomLeft" state="frozen"/>
      <selection pane="bottomLeft" activeCell="A4" sqref="A4"/>
    </sheetView>
  </sheetViews>
  <sheetFormatPr defaultColWidth="1.875" defaultRowHeight="15" customHeight="1" x14ac:dyDescent="0.15"/>
  <cols>
    <col min="1" max="16384" width="1.875" style="9"/>
  </cols>
  <sheetData>
    <row r="1" spans="1:94" s="17" customFormat="1" ht="15" customHeight="1" x14ac:dyDescent="0.15">
      <c r="A1" s="412" t="s">
        <v>39</v>
      </c>
      <c r="B1" s="413"/>
      <c r="C1" s="413"/>
      <c r="D1" s="413"/>
      <c r="E1" s="413"/>
      <c r="F1" s="413"/>
      <c r="G1" s="413"/>
      <c r="H1" s="413"/>
      <c r="I1" s="414" t="str">
        <f>タイトル!$I$40</f>
        <v>教務システム</v>
      </c>
      <c r="J1" s="415"/>
      <c r="K1" s="415"/>
      <c r="L1" s="415"/>
      <c r="M1" s="415"/>
      <c r="N1" s="415"/>
      <c r="O1" s="415"/>
      <c r="P1" s="415"/>
      <c r="Q1" s="415"/>
      <c r="R1" s="415"/>
      <c r="S1" s="415"/>
      <c r="T1" s="415"/>
      <c r="U1" s="415"/>
      <c r="V1" s="415"/>
      <c r="W1" s="415"/>
      <c r="X1" s="415"/>
      <c r="Y1" s="415"/>
      <c r="Z1" s="415"/>
      <c r="AA1" s="415"/>
      <c r="AB1" s="415"/>
      <c r="AC1" s="415"/>
      <c r="AD1" s="416"/>
      <c r="AE1" s="417" t="s">
        <v>30</v>
      </c>
      <c r="AF1" s="417"/>
      <c r="AG1" s="417"/>
      <c r="AH1" s="417"/>
      <c r="AI1" s="417"/>
      <c r="AJ1" s="417"/>
      <c r="AK1" s="417"/>
      <c r="AL1" s="418" t="str">
        <f>タイトル!$I$43</f>
        <v>構築手順書の作成</v>
      </c>
      <c r="AM1" s="419"/>
      <c r="AN1" s="419"/>
      <c r="AO1" s="419"/>
      <c r="AP1" s="419"/>
      <c r="AQ1" s="419"/>
      <c r="AR1" s="419"/>
      <c r="AS1" s="419"/>
      <c r="AT1" s="419"/>
      <c r="AU1" s="419"/>
      <c r="AV1" s="419"/>
      <c r="AW1" s="419"/>
      <c r="AX1" s="419"/>
      <c r="AY1" s="419"/>
      <c r="AZ1" s="419"/>
      <c r="BA1" s="419"/>
      <c r="BB1" s="419"/>
      <c r="BC1" s="419"/>
      <c r="BD1" s="419"/>
      <c r="BE1" s="419"/>
      <c r="BF1" s="419"/>
      <c r="BG1" s="302" t="s">
        <v>31</v>
      </c>
      <c r="BH1" s="302"/>
      <c r="BI1" s="302"/>
      <c r="BJ1" s="302"/>
      <c r="BK1" s="406" t="str">
        <f>タイトル!$I$46</f>
        <v>大久保　梓沙</v>
      </c>
      <c r="BL1" s="407"/>
      <c r="BM1" s="407"/>
      <c r="BN1" s="407"/>
      <c r="BO1" s="407"/>
      <c r="BP1" s="407"/>
      <c r="BQ1" s="407"/>
      <c r="BR1" s="407"/>
      <c r="BS1" s="407"/>
      <c r="BT1" s="408"/>
      <c r="BU1" s="401">
        <f>タイトル!$I$47</f>
        <v>45336</v>
      </c>
      <c r="BV1" s="401"/>
      <c r="BW1" s="401"/>
      <c r="BX1" s="401"/>
      <c r="BY1" s="401"/>
      <c r="BZ1" s="401"/>
      <c r="CA1" s="401"/>
      <c r="CB1" s="401"/>
      <c r="CC1" s="401"/>
      <c r="CD1" s="267" t="s">
        <v>38</v>
      </c>
      <c r="CE1" s="268"/>
      <c r="CF1" s="268"/>
      <c r="CG1" s="268"/>
      <c r="CH1" s="269"/>
      <c r="CI1" s="276" t="str">
        <f>タイトル!$I$50</f>
        <v xml:space="preserve"> </v>
      </c>
      <c r="CJ1" s="277"/>
      <c r="CK1" s="277"/>
      <c r="CL1" s="277"/>
      <c r="CM1" s="277"/>
      <c r="CN1" s="277"/>
      <c r="CO1" s="277"/>
      <c r="CP1" s="278"/>
    </row>
    <row r="2" spans="1:94" s="17" customFormat="1" ht="15" customHeight="1" x14ac:dyDescent="0.15">
      <c r="A2" s="420" t="s">
        <v>40</v>
      </c>
      <c r="B2" s="421"/>
      <c r="C2" s="421"/>
      <c r="D2" s="421"/>
      <c r="E2" s="421"/>
      <c r="F2" s="421"/>
      <c r="G2" s="421"/>
      <c r="H2" s="421"/>
      <c r="I2" s="422" t="str">
        <f>タイトル!$I$41</f>
        <v>基盤構築</v>
      </c>
      <c r="J2" s="423"/>
      <c r="K2" s="423"/>
      <c r="L2" s="423"/>
      <c r="M2" s="423"/>
      <c r="N2" s="423"/>
      <c r="O2" s="423"/>
      <c r="P2" s="423"/>
      <c r="Q2" s="423"/>
      <c r="R2" s="423"/>
      <c r="S2" s="423"/>
      <c r="T2" s="423"/>
      <c r="U2" s="423"/>
      <c r="V2" s="423"/>
      <c r="W2" s="423"/>
      <c r="X2" s="423"/>
      <c r="Y2" s="423"/>
      <c r="Z2" s="423"/>
      <c r="AA2" s="423"/>
      <c r="AB2" s="423"/>
      <c r="AC2" s="423"/>
      <c r="AD2" s="424"/>
      <c r="AE2" s="427" t="s">
        <v>32</v>
      </c>
      <c r="AF2" s="428"/>
      <c r="AG2" s="428"/>
      <c r="AH2" s="428"/>
      <c r="AI2" s="428"/>
      <c r="AJ2" s="428"/>
      <c r="AK2" s="429"/>
      <c r="AL2" s="435" t="str">
        <f>タイトル!$I$44</f>
        <v>システム環境定義書</v>
      </c>
      <c r="AM2" s="436"/>
      <c r="AN2" s="436"/>
      <c r="AO2" s="436"/>
      <c r="AP2" s="436"/>
      <c r="AQ2" s="436"/>
      <c r="AR2" s="436"/>
      <c r="AS2" s="436"/>
      <c r="AT2" s="436"/>
      <c r="AU2" s="436"/>
      <c r="AV2" s="436"/>
      <c r="AW2" s="436"/>
      <c r="AX2" s="436"/>
      <c r="AY2" s="436"/>
      <c r="AZ2" s="436"/>
      <c r="BA2" s="436"/>
      <c r="BB2" s="436"/>
      <c r="BC2" s="436"/>
      <c r="BD2" s="436"/>
      <c r="BE2" s="436"/>
      <c r="BF2" s="436"/>
      <c r="BG2" s="290" t="s">
        <v>33</v>
      </c>
      <c r="BH2" s="290"/>
      <c r="BI2" s="290"/>
      <c r="BJ2" s="290"/>
      <c r="BK2" s="398"/>
      <c r="BL2" s="399"/>
      <c r="BM2" s="399"/>
      <c r="BN2" s="399"/>
      <c r="BO2" s="399"/>
      <c r="BP2" s="399"/>
      <c r="BQ2" s="399"/>
      <c r="BR2" s="399"/>
      <c r="BS2" s="399"/>
      <c r="BT2" s="400"/>
      <c r="BU2" s="397"/>
      <c r="BV2" s="397"/>
      <c r="BW2" s="397"/>
      <c r="BX2" s="397"/>
      <c r="BY2" s="397"/>
      <c r="BZ2" s="397"/>
      <c r="CA2" s="397"/>
      <c r="CB2" s="397"/>
      <c r="CC2" s="397"/>
      <c r="CD2" s="270"/>
      <c r="CE2" s="271"/>
      <c r="CF2" s="271"/>
      <c r="CG2" s="271"/>
      <c r="CH2" s="272"/>
      <c r="CI2" s="279"/>
      <c r="CJ2" s="280"/>
      <c r="CK2" s="280"/>
      <c r="CL2" s="280"/>
      <c r="CM2" s="280"/>
      <c r="CN2" s="280"/>
      <c r="CO2" s="280"/>
      <c r="CP2" s="281"/>
    </row>
    <row r="3" spans="1:94" s="17" customFormat="1" ht="15" customHeight="1" thickBot="1" x14ac:dyDescent="0.2">
      <c r="A3" s="425"/>
      <c r="B3" s="426"/>
      <c r="C3" s="426"/>
      <c r="D3" s="426"/>
      <c r="E3" s="426"/>
      <c r="F3" s="426"/>
      <c r="G3" s="426"/>
      <c r="H3" s="426"/>
      <c r="I3" s="430" t="s">
        <v>56</v>
      </c>
      <c r="J3" s="431"/>
      <c r="K3" s="431"/>
      <c r="L3" s="431"/>
      <c r="M3" s="431"/>
      <c r="N3" s="431"/>
      <c r="O3" s="431"/>
      <c r="P3" s="431"/>
      <c r="Q3" s="431"/>
      <c r="R3" s="431"/>
      <c r="S3" s="431"/>
      <c r="T3" s="431"/>
      <c r="U3" s="431"/>
      <c r="V3" s="431"/>
      <c r="W3" s="431"/>
      <c r="X3" s="431"/>
      <c r="Y3" s="431"/>
      <c r="Z3" s="431"/>
      <c r="AA3" s="431"/>
      <c r="AB3" s="431"/>
      <c r="AC3" s="431"/>
      <c r="AD3" s="432"/>
      <c r="AE3" s="273"/>
      <c r="AF3" s="274"/>
      <c r="AG3" s="274"/>
      <c r="AH3" s="274"/>
      <c r="AI3" s="274"/>
      <c r="AJ3" s="274"/>
      <c r="AK3" s="275"/>
      <c r="AL3" s="433" t="str">
        <f>タイトル!$I$42</f>
        <v>社内開発機</v>
      </c>
      <c r="AM3" s="434"/>
      <c r="AN3" s="434"/>
      <c r="AO3" s="434"/>
      <c r="AP3" s="434"/>
      <c r="AQ3" s="434"/>
      <c r="AR3" s="434"/>
      <c r="AS3" s="434"/>
      <c r="AT3" s="434"/>
      <c r="AU3" s="434"/>
      <c r="AV3" s="434"/>
      <c r="AW3" s="434"/>
      <c r="AX3" s="434"/>
      <c r="AY3" s="434"/>
      <c r="AZ3" s="434"/>
      <c r="BA3" s="434"/>
      <c r="BB3" s="434"/>
      <c r="BC3" s="434"/>
      <c r="BD3" s="434"/>
      <c r="BE3" s="434"/>
      <c r="BF3" s="434"/>
      <c r="BG3" s="261"/>
      <c r="BH3" s="261"/>
      <c r="BI3" s="261"/>
      <c r="BJ3" s="261"/>
      <c r="BK3" s="402"/>
      <c r="BL3" s="403"/>
      <c r="BM3" s="403"/>
      <c r="BN3" s="403"/>
      <c r="BO3" s="403"/>
      <c r="BP3" s="403"/>
      <c r="BQ3" s="403"/>
      <c r="BR3" s="403"/>
      <c r="BS3" s="403"/>
      <c r="BT3" s="403"/>
      <c r="BU3" s="404"/>
      <c r="BV3" s="404"/>
      <c r="BW3" s="404"/>
      <c r="BX3" s="404"/>
      <c r="BY3" s="404"/>
      <c r="BZ3" s="404"/>
      <c r="CA3" s="404"/>
      <c r="CB3" s="404"/>
      <c r="CC3" s="405"/>
      <c r="CD3" s="273"/>
      <c r="CE3" s="274"/>
      <c r="CF3" s="274"/>
      <c r="CG3" s="274"/>
      <c r="CH3" s="275"/>
      <c r="CI3" s="282"/>
      <c r="CJ3" s="283"/>
      <c r="CK3" s="283"/>
      <c r="CL3" s="283"/>
      <c r="CM3" s="283"/>
      <c r="CN3" s="283"/>
      <c r="CO3" s="283"/>
      <c r="CP3" s="284"/>
    </row>
    <row r="4" spans="1:94" ht="15" customHeight="1" x14ac:dyDescent="0.15">
      <c r="A4" s="15"/>
      <c r="CP4" s="16"/>
    </row>
    <row r="5" spans="1:94" ht="15" customHeight="1" x14ac:dyDescent="0.15">
      <c r="A5" s="15"/>
      <c r="C5" s="17" t="s">
        <v>72</v>
      </c>
      <c r="CP5" s="16"/>
    </row>
    <row r="6" spans="1:94" ht="15" customHeight="1" x14ac:dyDescent="0.15">
      <c r="A6" s="15"/>
      <c r="CP6" s="16"/>
    </row>
    <row r="7" spans="1:94" s="2" customFormat="1" ht="15" customHeight="1" x14ac:dyDescent="0.15">
      <c r="A7" s="1"/>
      <c r="C7" s="9" t="s">
        <v>998</v>
      </c>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P7" s="3"/>
    </row>
    <row r="8" spans="1:94" s="2" customFormat="1" ht="15" customHeight="1" x14ac:dyDescent="0.15">
      <c r="A8" s="1"/>
      <c r="D8" s="2" t="s">
        <v>629</v>
      </c>
      <c r="J8" s="2" t="s">
        <v>990</v>
      </c>
      <c r="CP8" s="3"/>
    </row>
    <row r="9" spans="1:94" s="2" customFormat="1" ht="15" customHeight="1" thickBot="1" x14ac:dyDescent="0.2">
      <c r="A9" s="1"/>
      <c r="D9" s="451" t="s">
        <v>58</v>
      </c>
      <c r="E9" s="452"/>
      <c r="F9" s="452"/>
      <c r="G9" s="452"/>
      <c r="H9" s="452"/>
      <c r="I9" s="452"/>
      <c r="J9" s="452"/>
      <c r="K9" s="452"/>
      <c r="L9" s="452"/>
      <c r="M9" s="452"/>
      <c r="N9" s="452"/>
      <c r="O9" s="452"/>
      <c r="P9" s="453"/>
      <c r="Q9" s="454" t="s">
        <v>618</v>
      </c>
      <c r="R9" s="454"/>
      <c r="S9" s="454"/>
      <c r="T9" s="454"/>
      <c r="U9" s="454"/>
      <c r="V9" s="454"/>
      <c r="W9" s="454"/>
      <c r="X9" s="454"/>
      <c r="Y9" s="454"/>
      <c r="Z9" s="437" t="s">
        <v>57</v>
      </c>
      <c r="AA9" s="438"/>
      <c r="AB9" s="438"/>
      <c r="AC9" s="438"/>
      <c r="AD9" s="438"/>
      <c r="AE9" s="438"/>
      <c r="AF9" s="438"/>
      <c r="AG9" s="438"/>
      <c r="AH9" s="409" t="s">
        <v>991</v>
      </c>
      <c r="AI9" s="410"/>
      <c r="AJ9" s="410"/>
      <c r="AK9" s="410"/>
      <c r="AL9" s="410"/>
      <c r="AM9" s="410"/>
      <c r="AN9" s="410"/>
      <c r="AO9" s="410"/>
      <c r="AP9" s="410"/>
      <c r="AQ9" s="411"/>
      <c r="AR9" s="409" t="s">
        <v>992</v>
      </c>
      <c r="AS9" s="410"/>
      <c r="AT9" s="410"/>
      <c r="AU9" s="410"/>
      <c r="AV9" s="410"/>
      <c r="AW9" s="410"/>
      <c r="AX9" s="410"/>
      <c r="AY9" s="410"/>
      <c r="AZ9" s="410"/>
      <c r="BA9" s="411"/>
      <c r="BB9" s="409" t="s">
        <v>993</v>
      </c>
      <c r="BC9" s="410"/>
      <c r="BD9" s="410"/>
      <c r="BE9" s="410"/>
      <c r="BF9" s="410"/>
      <c r="BG9" s="410"/>
      <c r="BH9" s="410"/>
      <c r="BI9" s="410"/>
      <c r="BJ9" s="410"/>
      <c r="BK9" s="411"/>
      <c r="BL9" s="437" t="s">
        <v>619</v>
      </c>
      <c r="BM9" s="438"/>
      <c r="BN9" s="438"/>
      <c r="BO9" s="438"/>
      <c r="BP9" s="438"/>
      <c r="BQ9" s="438"/>
      <c r="BR9" s="438"/>
      <c r="BS9" s="438"/>
      <c r="BT9" s="438"/>
      <c r="BU9" s="438"/>
      <c r="BV9" s="439"/>
      <c r="BW9" s="440" t="s">
        <v>994</v>
      </c>
      <c r="BX9" s="440"/>
      <c r="BY9" s="440"/>
      <c r="BZ9" s="440"/>
      <c r="CA9" s="440"/>
      <c r="CB9" s="440"/>
      <c r="CC9" s="440"/>
      <c r="CD9" s="440"/>
      <c r="CE9" s="440"/>
      <c r="CF9" s="440"/>
      <c r="CG9" s="440"/>
      <c r="CH9" s="440"/>
      <c r="CI9" s="440"/>
      <c r="CP9" s="3"/>
    </row>
    <row r="10" spans="1:94" ht="30" customHeight="1" thickTop="1" x14ac:dyDescent="0.15">
      <c r="A10" s="15"/>
      <c r="C10" s="2"/>
      <c r="D10" s="441" t="s">
        <v>995</v>
      </c>
      <c r="E10" s="442"/>
      <c r="F10" s="443" t="s">
        <v>996</v>
      </c>
      <c r="G10" s="443"/>
      <c r="H10" s="443"/>
      <c r="I10" s="443"/>
      <c r="J10" s="443"/>
      <c r="K10" s="443"/>
      <c r="L10" s="443"/>
      <c r="M10" s="443"/>
      <c r="N10" s="443"/>
      <c r="O10" s="443"/>
      <c r="P10" s="444"/>
      <c r="Q10" s="445" t="s">
        <v>610</v>
      </c>
      <c r="R10" s="445"/>
      <c r="S10" s="445"/>
      <c r="T10" s="445"/>
      <c r="U10" s="445"/>
      <c r="V10" s="445"/>
      <c r="W10" s="445"/>
      <c r="X10" s="445"/>
      <c r="Y10" s="445"/>
      <c r="Z10" s="446" t="s">
        <v>999</v>
      </c>
      <c r="AA10" s="446"/>
      <c r="AB10" s="446"/>
      <c r="AC10" s="446"/>
      <c r="AD10" s="446"/>
      <c r="AE10" s="446"/>
      <c r="AF10" s="446"/>
      <c r="AG10" s="446"/>
      <c r="AH10" s="447" t="s">
        <v>1000</v>
      </c>
      <c r="AI10" s="447"/>
      <c r="AJ10" s="447"/>
      <c r="AK10" s="447"/>
      <c r="AL10" s="447"/>
      <c r="AM10" s="447"/>
      <c r="AN10" s="447"/>
      <c r="AO10" s="447"/>
      <c r="AP10" s="447"/>
      <c r="AQ10" s="447"/>
      <c r="AR10" s="448" t="s">
        <v>35</v>
      </c>
      <c r="AS10" s="448"/>
      <c r="AT10" s="448"/>
      <c r="AU10" s="448"/>
      <c r="AV10" s="448"/>
      <c r="AW10" s="448"/>
      <c r="AX10" s="448"/>
      <c r="AY10" s="448"/>
      <c r="AZ10" s="448"/>
      <c r="BA10" s="448"/>
      <c r="BB10" s="447" t="s">
        <v>35</v>
      </c>
      <c r="BC10" s="447"/>
      <c r="BD10" s="447"/>
      <c r="BE10" s="447"/>
      <c r="BF10" s="447"/>
      <c r="BG10" s="447"/>
      <c r="BH10" s="447"/>
      <c r="BI10" s="447"/>
      <c r="BJ10" s="447"/>
      <c r="BK10" s="447"/>
      <c r="BL10" s="449"/>
      <c r="BM10" s="449"/>
      <c r="BN10" s="449"/>
      <c r="BO10" s="449"/>
      <c r="BP10" s="449"/>
      <c r="BQ10" s="449"/>
      <c r="BR10" s="449"/>
      <c r="BS10" s="449"/>
      <c r="BT10" s="449"/>
      <c r="BU10" s="449"/>
      <c r="BV10" s="449"/>
      <c r="BW10" s="450"/>
      <c r="BX10" s="450"/>
      <c r="BY10" s="450"/>
      <c r="BZ10" s="450"/>
      <c r="CA10" s="450"/>
      <c r="CB10" s="450"/>
      <c r="CC10" s="450"/>
      <c r="CD10" s="450"/>
      <c r="CE10" s="450"/>
      <c r="CF10" s="450"/>
      <c r="CG10" s="450"/>
      <c r="CH10" s="450"/>
      <c r="CI10" s="450"/>
      <c r="CJ10" s="2"/>
      <c r="CK10" s="2"/>
      <c r="CL10" s="2"/>
      <c r="CM10" s="2"/>
      <c r="CP10" s="16"/>
    </row>
    <row r="11" spans="1:94" s="2" customFormat="1" ht="15" customHeight="1" x14ac:dyDescent="0.15">
      <c r="A11" s="1"/>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P11" s="3"/>
    </row>
    <row r="12" spans="1:94" s="2" customFormat="1" ht="15" customHeight="1" x14ac:dyDescent="0.15">
      <c r="A12" s="1"/>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P12" s="3"/>
    </row>
    <row r="13" spans="1:94" s="2" customFormat="1" ht="15" customHeight="1" x14ac:dyDescent="0.15">
      <c r="A13" s="1"/>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s="9"/>
      <c r="CP13" s="3"/>
    </row>
    <row r="14" spans="1:94" s="2" customFormat="1" ht="15" customHeight="1" x14ac:dyDescent="0.15">
      <c r="A14" s="1"/>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P14" s="3"/>
    </row>
    <row r="15" spans="1:94" s="2" customFormat="1" ht="15" customHeight="1" x14ac:dyDescent="0.15">
      <c r="A15" s="1"/>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P15" s="3"/>
    </row>
    <row r="16" spans="1:94" ht="15" customHeight="1" x14ac:dyDescent="0.15">
      <c r="A16" s="15"/>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s="2"/>
      <c r="CP16" s="16"/>
    </row>
    <row r="17" spans="1:94" s="2" customFormat="1" ht="15" customHeight="1" x14ac:dyDescent="0.15">
      <c r="A17" s="1"/>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P17" s="3"/>
    </row>
    <row r="18" spans="1:94" s="2" customFormat="1" ht="15" customHeight="1" x14ac:dyDescent="0.15">
      <c r="A18" s="1"/>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P18" s="3"/>
    </row>
    <row r="19" spans="1:94" s="2" customFormat="1" ht="15" customHeight="1" x14ac:dyDescent="0.15">
      <c r="A19" s="1"/>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P19" s="3"/>
    </row>
    <row r="20" spans="1:94" s="2" customFormat="1" ht="15" customHeight="1" x14ac:dyDescent="0.15">
      <c r="A20" s="1"/>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P20" s="3"/>
    </row>
    <row r="21" spans="1:94" ht="15" customHeight="1" x14ac:dyDescent="0.15">
      <c r="A21" s="15"/>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s="2"/>
      <c r="CP21" s="16"/>
    </row>
    <row r="22" spans="1:94" ht="15" customHeight="1" x14ac:dyDescent="0.15">
      <c r="A22" s="15"/>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s="2"/>
      <c r="CP22" s="16"/>
    </row>
    <row r="23" spans="1:94" ht="15" customHeight="1" x14ac:dyDescent="0.15">
      <c r="A23" s="15"/>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P23" s="16"/>
    </row>
    <row r="24" spans="1:94" ht="15" customHeight="1" x14ac:dyDescent="0.15">
      <c r="A24" s="15"/>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P24" s="16"/>
    </row>
    <row r="25" spans="1:94" ht="15" customHeight="1" x14ac:dyDescent="0.15">
      <c r="A25" s="1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P25" s="16"/>
    </row>
    <row r="26" spans="1:94" ht="15" customHeight="1" x14ac:dyDescent="0.15">
      <c r="A26" s="15"/>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P26" s="16"/>
    </row>
    <row r="27" spans="1:94" ht="15" customHeight="1" x14ac:dyDescent="0.15">
      <c r="A27" s="15"/>
      <c r="CP27" s="16"/>
    </row>
    <row r="28" spans="1:94" ht="15" customHeight="1" x14ac:dyDescent="0.15">
      <c r="A28" s="15"/>
      <c r="CP28" s="16"/>
    </row>
    <row r="29" spans="1:94" ht="15" customHeight="1" x14ac:dyDescent="0.15">
      <c r="A29" s="15"/>
      <c r="CP29" s="16"/>
    </row>
    <row r="30" spans="1:94" ht="15" customHeight="1" x14ac:dyDescent="0.15">
      <c r="A30" s="15"/>
      <c r="CP30" s="16"/>
    </row>
    <row r="31" spans="1:94" ht="15" customHeight="1" x14ac:dyDescent="0.15">
      <c r="A31" s="15"/>
      <c r="CP31" s="16"/>
    </row>
    <row r="32" spans="1:94" ht="15" customHeight="1" x14ac:dyDescent="0.15">
      <c r="A32" s="15"/>
      <c r="CP32" s="16"/>
    </row>
    <row r="33" spans="1:94" ht="15" customHeight="1" x14ac:dyDescent="0.15">
      <c r="A33" s="15"/>
      <c r="CP33" s="16"/>
    </row>
    <row r="34" spans="1:94" ht="15" customHeight="1" x14ac:dyDescent="0.15">
      <c r="A34" s="15"/>
      <c r="CP34" s="16"/>
    </row>
    <row r="35" spans="1:94" ht="15" customHeight="1" x14ac:dyDescent="0.15">
      <c r="A35" s="15"/>
      <c r="CP35" s="16"/>
    </row>
    <row r="36" spans="1:94" ht="15" customHeight="1" x14ac:dyDescent="0.15">
      <c r="A36" s="15"/>
      <c r="CP36" s="16"/>
    </row>
    <row r="37" spans="1:94" ht="15" customHeight="1" x14ac:dyDescent="0.15">
      <c r="A37" s="15"/>
      <c r="CP37" s="16"/>
    </row>
    <row r="38" spans="1:94" ht="15" customHeight="1" x14ac:dyDescent="0.15">
      <c r="A38" s="15"/>
      <c r="CP38" s="16"/>
    </row>
    <row r="39" spans="1:94" ht="15" customHeight="1" x14ac:dyDescent="0.15">
      <c r="A39" s="15"/>
      <c r="CP39" s="16"/>
    </row>
    <row r="40" spans="1:94" ht="15" customHeight="1" thickBot="1" x14ac:dyDescent="0.2">
      <c r="A40" s="19"/>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c r="CL40" s="20"/>
      <c r="CM40" s="20"/>
      <c r="CN40" s="20"/>
      <c r="CO40" s="20"/>
      <c r="CP40" s="21"/>
    </row>
  </sheetData>
  <mergeCells count="38">
    <mergeCell ref="BL9:BV9"/>
    <mergeCell ref="BW9:CI9"/>
    <mergeCell ref="D10:E10"/>
    <mergeCell ref="F10:P10"/>
    <mergeCell ref="Q10:Y10"/>
    <mergeCell ref="Z10:AG10"/>
    <mergeCell ref="AH10:AQ10"/>
    <mergeCell ref="AR10:BA10"/>
    <mergeCell ref="BB10:BK10"/>
    <mergeCell ref="BL10:BV10"/>
    <mergeCell ref="BW10:CI10"/>
    <mergeCell ref="D9:P9"/>
    <mergeCell ref="Q9:Y9"/>
    <mergeCell ref="Z9:AG9"/>
    <mergeCell ref="AH9:AQ9"/>
    <mergeCell ref="AR9:BA9"/>
    <mergeCell ref="A1:H1"/>
    <mergeCell ref="I1:AD1"/>
    <mergeCell ref="AE1:AK1"/>
    <mergeCell ref="AL1:BF1"/>
    <mergeCell ref="A2:H2"/>
    <mergeCell ref="I2:AD2"/>
    <mergeCell ref="A3:H3"/>
    <mergeCell ref="AE2:AK3"/>
    <mergeCell ref="I3:AD3"/>
    <mergeCell ref="AL3:BF3"/>
    <mergeCell ref="AL2:BF2"/>
    <mergeCell ref="BB9:BK9"/>
    <mergeCell ref="BG1:BJ1"/>
    <mergeCell ref="BU2:CC2"/>
    <mergeCell ref="BK2:BT2"/>
    <mergeCell ref="CI1:CP3"/>
    <mergeCell ref="CD1:CH3"/>
    <mergeCell ref="BU1:CC1"/>
    <mergeCell ref="BK3:CC3"/>
    <mergeCell ref="BK1:BT1"/>
    <mergeCell ref="BG3:BJ3"/>
    <mergeCell ref="BG2:BJ2"/>
  </mergeCells>
  <phoneticPr fontId="3"/>
  <conditionalFormatting sqref="O16:X16 O20:X20">
    <cfRule type="cellIs" dxfId="0" priority="1" stopIfTrue="1" operator="equal">
      <formula>"-"</formula>
    </cfRule>
  </conditionalFormatting>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P47"/>
  <sheetViews>
    <sheetView view="pageBreakPreview" zoomScaleNormal="100" zoomScaleSheetLayoutView="100" workbookViewId="0">
      <pane ySplit="3" topLeftCell="A4" activePane="bottomLeft" state="frozen"/>
      <selection pane="bottomLeft" activeCell="A4" sqref="A4"/>
    </sheetView>
  </sheetViews>
  <sheetFormatPr defaultColWidth="1.875" defaultRowHeight="15" customHeight="1" x14ac:dyDescent="0.15"/>
  <cols>
    <col min="1" max="16384" width="1.875" style="2"/>
  </cols>
  <sheetData>
    <row r="1" spans="1:94" s="8" customFormat="1" ht="15" customHeight="1" x14ac:dyDescent="0.15">
      <c r="A1" s="297" t="s">
        <v>39</v>
      </c>
      <c r="B1" s="298"/>
      <c r="C1" s="298"/>
      <c r="D1" s="298"/>
      <c r="E1" s="298"/>
      <c r="F1" s="298"/>
      <c r="G1" s="298"/>
      <c r="H1" s="298"/>
      <c r="I1" s="299" t="str">
        <f>タイトル!$I$40</f>
        <v>教務システム</v>
      </c>
      <c r="J1" s="300"/>
      <c r="K1" s="300"/>
      <c r="L1" s="300"/>
      <c r="M1" s="300"/>
      <c r="N1" s="300"/>
      <c r="O1" s="300"/>
      <c r="P1" s="300"/>
      <c r="Q1" s="300"/>
      <c r="R1" s="300"/>
      <c r="S1" s="300"/>
      <c r="T1" s="300"/>
      <c r="U1" s="300"/>
      <c r="V1" s="300"/>
      <c r="W1" s="300"/>
      <c r="X1" s="300"/>
      <c r="Y1" s="300"/>
      <c r="Z1" s="300"/>
      <c r="AA1" s="300"/>
      <c r="AB1" s="300"/>
      <c r="AC1" s="300"/>
      <c r="AD1" s="301"/>
      <c r="AE1" s="302" t="s">
        <v>30</v>
      </c>
      <c r="AF1" s="302"/>
      <c r="AG1" s="302"/>
      <c r="AH1" s="302"/>
      <c r="AI1" s="302"/>
      <c r="AJ1" s="302"/>
      <c r="AK1" s="302"/>
      <c r="AL1" s="303" t="str">
        <f>タイトル!$I$43</f>
        <v>構築手順書の作成</v>
      </c>
      <c r="AM1" s="304"/>
      <c r="AN1" s="304"/>
      <c r="AO1" s="304"/>
      <c r="AP1" s="304"/>
      <c r="AQ1" s="304"/>
      <c r="AR1" s="304"/>
      <c r="AS1" s="304"/>
      <c r="AT1" s="304"/>
      <c r="AU1" s="304"/>
      <c r="AV1" s="304"/>
      <c r="AW1" s="304"/>
      <c r="AX1" s="304"/>
      <c r="AY1" s="304"/>
      <c r="AZ1" s="304"/>
      <c r="BA1" s="304"/>
      <c r="BB1" s="304"/>
      <c r="BC1" s="304"/>
      <c r="BD1" s="304"/>
      <c r="BE1" s="304"/>
      <c r="BF1" s="304"/>
      <c r="BG1" s="302" t="s">
        <v>31</v>
      </c>
      <c r="BH1" s="302"/>
      <c r="BI1" s="302"/>
      <c r="BJ1" s="302"/>
      <c r="BK1" s="305" t="str">
        <f>タイトル!$I$46</f>
        <v>大久保　梓沙</v>
      </c>
      <c r="BL1" s="306"/>
      <c r="BM1" s="306"/>
      <c r="BN1" s="306"/>
      <c r="BO1" s="306"/>
      <c r="BP1" s="306"/>
      <c r="BQ1" s="306"/>
      <c r="BR1" s="306"/>
      <c r="BS1" s="306"/>
      <c r="BT1" s="307"/>
      <c r="BU1" s="266">
        <f>タイトル!$I$47</f>
        <v>45336</v>
      </c>
      <c r="BV1" s="266"/>
      <c r="BW1" s="266"/>
      <c r="BX1" s="266"/>
      <c r="BY1" s="266"/>
      <c r="BZ1" s="266"/>
      <c r="CA1" s="266"/>
      <c r="CB1" s="266"/>
      <c r="CC1" s="266"/>
      <c r="CD1" s="267" t="s">
        <v>38</v>
      </c>
      <c r="CE1" s="268"/>
      <c r="CF1" s="268"/>
      <c r="CG1" s="268"/>
      <c r="CH1" s="269"/>
      <c r="CI1" s="276" t="str">
        <f>タイトル!$I$50</f>
        <v xml:space="preserve"> </v>
      </c>
      <c r="CJ1" s="277"/>
      <c r="CK1" s="277"/>
      <c r="CL1" s="277"/>
      <c r="CM1" s="277"/>
      <c r="CN1" s="277"/>
      <c r="CO1" s="277"/>
      <c r="CP1" s="278"/>
    </row>
    <row r="2" spans="1:94" s="8" customFormat="1" ht="15" customHeight="1" x14ac:dyDescent="0.15">
      <c r="A2" s="285" t="s">
        <v>40</v>
      </c>
      <c r="B2" s="286"/>
      <c r="C2" s="286"/>
      <c r="D2" s="286"/>
      <c r="E2" s="286"/>
      <c r="F2" s="286"/>
      <c r="G2" s="286"/>
      <c r="H2" s="286"/>
      <c r="I2" s="287" t="str">
        <f>タイトル!$I$41</f>
        <v>基盤構築</v>
      </c>
      <c r="J2" s="288"/>
      <c r="K2" s="288"/>
      <c r="L2" s="288"/>
      <c r="M2" s="288"/>
      <c r="N2" s="288"/>
      <c r="O2" s="288"/>
      <c r="P2" s="288"/>
      <c r="Q2" s="288"/>
      <c r="R2" s="288"/>
      <c r="S2" s="288"/>
      <c r="T2" s="288"/>
      <c r="U2" s="288"/>
      <c r="V2" s="288"/>
      <c r="W2" s="288"/>
      <c r="X2" s="288"/>
      <c r="Y2" s="288"/>
      <c r="Z2" s="288"/>
      <c r="AA2" s="288"/>
      <c r="AB2" s="288"/>
      <c r="AC2" s="288"/>
      <c r="AD2" s="289"/>
      <c r="AE2" s="290" t="s">
        <v>32</v>
      </c>
      <c r="AF2" s="290"/>
      <c r="AG2" s="290"/>
      <c r="AH2" s="290"/>
      <c r="AI2" s="290"/>
      <c r="AJ2" s="290"/>
      <c r="AK2" s="290"/>
      <c r="AL2" s="291" t="str">
        <f>タイトル!$I$44</f>
        <v>システム環境定義書</v>
      </c>
      <c r="AM2" s="292"/>
      <c r="AN2" s="292"/>
      <c r="AO2" s="292"/>
      <c r="AP2" s="292"/>
      <c r="AQ2" s="292"/>
      <c r="AR2" s="292"/>
      <c r="AS2" s="292"/>
      <c r="AT2" s="292"/>
      <c r="AU2" s="292"/>
      <c r="AV2" s="292"/>
      <c r="AW2" s="292"/>
      <c r="AX2" s="292"/>
      <c r="AY2" s="292"/>
      <c r="AZ2" s="292"/>
      <c r="BA2" s="292"/>
      <c r="BB2" s="292"/>
      <c r="BC2" s="292"/>
      <c r="BD2" s="292"/>
      <c r="BE2" s="292"/>
      <c r="BF2" s="292"/>
      <c r="BG2" s="290" t="s">
        <v>33</v>
      </c>
      <c r="BH2" s="290"/>
      <c r="BI2" s="290"/>
      <c r="BJ2" s="290"/>
      <c r="BK2" s="293"/>
      <c r="BL2" s="294"/>
      <c r="BM2" s="294"/>
      <c r="BN2" s="294"/>
      <c r="BO2" s="294"/>
      <c r="BP2" s="294"/>
      <c r="BQ2" s="294"/>
      <c r="BR2" s="294"/>
      <c r="BS2" s="294"/>
      <c r="BT2" s="295"/>
      <c r="BU2" s="296"/>
      <c r="BV2" s="296"/>
      <c r="BW2" s="296"/>
      <c r="BX2" s="296"/>
      <c r="BY2" s="296"/>
      <c r="BZ2" s="296"/>
      <c r="CA2" s="296"/>
      <c r="CB2" s="296"/>
      <c r="CC2" s="296"/>
      <c r="CD2" s="270"/>
      <c r="CE2" s="271"/>
      <c r="CF2" s="271"/>
      <c r="CG2" s="271"/>
      <c r="CH2" s="272"/>
      <c r="CI2" s="279"/>
      <c r="CJ2" s="280"/>
      <c r="CK2" s="280"/>
      <c r="CL2" s="280"/>
      <c r="CM2" s="280"/>
      <c r="CN2" s="280"/>
      <c r="CO2" s="280"/>
      <c r="CP2" s="281"/>
    </row>
    <row r="3" spans="1:94" s="8" customFormat="1" ht="15" customHeight="1" thickBot="1" x14ac:dyDescent="0.2">
      <c r="A3" s="253"/>
      <c r="B3" s="254"/>
      <c r="C3" s="254"/>
      <c r="D3" s="254"/>
      <c r="E3" s="254"/>
      <c r="F3" s="254"/>
      <c r="G3" s="254"/>
      <c r="H3" s="254"/>
      <c r="I3" s="255" t="s">
        <v>34</v>
      </c>
      <c r="J3" s="256"/>
      <c r="K3" s="256"/>
      <c r="L3" s="256"/>
      <c r="M3" s="256"/>
      <c r="N3" s="256"/>
      <c r="O3" s="256"/>
      <c r="P3" s="256"/>
      <c r="Q3" s="256"/>
      <c r="R3" s="256"/>
      <c r="S3" s="256"/>
      <c r="T3" s="256"/>
      <c r="U3" s="256"/>
      <c r="V3" s="256"/>
      <c r="W3" s="256"/>
      <c r="X3" s="256"/>
      <c r="Y3" s="256"/>
      <c r="Z3" s="256"/>
      <c r="AA3" s="256"/>
      <c r="AB3" s="256"/>
      <c r="AC3" s="256"/>
      <c r="AD3" s="257"/>
      <c r="AE3" s="261"/>
      <c r="AF3" s="261"/>
      <c r="AG3" s="261"/>
      <c r="AH3" s="261"/>
      <c r="AI3" s="261"/>
      <c r="AJ3" s="261"/>
      <c r="AK3" s="261"/>
      <c r="AL3" s="258" t="str">
        <f>タイトル!$I$42</f>
        <v>社内開発機</v>
      </c>
      <c r="AM3" s="259"/>
      <c r="AN3" s="259"/>
      <c r="AO3" s="259"/>
      <c r="AP3" s="259"/>
      <c r="AQ3" s="259"/>
      <c r="AR3" s="259"/>
      <c r="AS3" s="259"/>
      <c r="AT3" s="259"/>
      <c r="AU3" s="259"/>
      <c r="AV3" s="259"/>
      <c r="AW3" s="259"/>
      <c r="AX3" s="259"/>
      <c r="AY3" s="259"/>
      <c r="AZ3" s="259"/>
      <c r="BA3" s="259"/>
      <c r="BB3" s="259"/>
      <c r="BC3" s="259"/>
      <c r="BD3" s="259"/>
      <c r="BE3" s="259"/>
      <c r="BF3" s="260"/>
      <c r="BG3" s="261"/>
      <c r="BH3" s="261"/>
      <c r="BI3" s="261"/>
      <c r="BJ3" s="261"/>
      <c r="BK3" s="262"/>
      <c r="BL3" s="263"/>
      <c r="BM3" s="263"/>
      <c r="BN3" s="263"/>
      <c r="BO3" s="263"/>
      <c r="BP3" s="263"/>
      <c r="BQ3" s="263"/>
      <c r="BR3" s="263"/>
      <c r="BS3" s="263"/>
      <c r="BT3" s="263"/>
      <c r="BU3" s="264"/>
      <c r="BV3" s="264"/>
      <c r="BW3" s="264"/>
      <c r="BX3" s="264"/>
      <c r="BY3" s="264"/>
      <c r="BZ3" s="264"/>
      <c r="CA3" s="264"/>
      <c r="CB3" s="264"/>
      <c r="CC3" s="265"/>
      <c r="CD3" s="273"/>
      <c r="CE3" s="274"/>
      <c r="CF3" s="274"/>
      <c r="CG3" s="274"/>
      <c r="CH3" s="275"/>
      <c r="CI3" s="282"/>
      <c r="CJ3" s="283"/>
      <c r="CK3" s="283"/>
      <c r="CL3" s="283"/>
      <c r="CM3" s="283"/>
      <c r="CN3" s="283"/>
      <c r="CO3" s="283"/>
      <c r="CP3" s="284"/>
    </row>
    <row r="4" spans="1:94" ht="15" customHeight="1" x14ac:dyDescent="0.1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2"/>
    </row>
    <row r="5" spans="1:94" ht="15" customHeight="1" x14ac:dyDescent="0.15">
      <c r="A5" s="1"/>
      <c r="B5" s="8" t="s">
        <v>620</v>
      </c>
      <c r="CP5" s="3"/>
    </row>
    <row r="6" spans="1:94" ht="15" customHeight="1" x14ac:dyDescent="0.15">
      <c r="A6" s="1"/>
      <c r="CP6" s="3"/>
    </row>
    <row r="7" spans="1:94" ht="15" customHeight="1" x14ac:dyDescent="0.15">
      <c r="A7" s="1"/>
      <c r="C7" s="2" t="s">
        <v>150</v>
      </c>
      <c r="CP7" s="3"/>
    </row>
    <row r="8" spans="1:94" ht="15" customHeight="1" x14ac:dyDescent="0.15">
      <c r="A8" s="1"/>
      <c r="C8" s="458" t="s">
        <v>141</v>
      </c>
      <c r="D8" s="459"/>
      <c r="E8" s="459"/>
      <c r="F8" s="459"/>
      <c r="G8" s="459"/>
      <c r="H8" s="459"/>
      <c r="I8" s="459"/>
      <c r="J8" s="459"/>
      <c r="K8" s="459"/>
      <c r="L8" s="459"/>
      <c r="M8" s="459"/>
      <c r="N8" s="459"/>
      <c r="O8" s="459"/>
      <c r="P8" s="459"/>
      <c r="Q8" s="459"/>
      <c r="R8" s="460"/>
      <c r="S8" s="458" t="s">
        <v>140</v>
      </c>
      <c r="T8" s="459"/>
      <c r="U8" s="459"/>
      <c r="V8" s="459"/>
      <c r="W8" s="459"/>
      <c r="X8" s="459"/>
      <c r="Y8" s="459"/>
      <c r="Z8" s="459"/>
      <c r="AA8" s="459"/>
      <c r="AB8" s="459"/>
      <c r="AC8" s="459"/>
      <c r="AD8" s="460"/>
      <c r="AE8" s="458" t="s">
        <v>55</v>
      </c>
      <c r="AF8" s="459"/>
      <c r="AG8" s="459"/>
      <c r="AH8" s="459"/>
      <c r="AI8" s="459"/>
      <c r="AJ8" s="459"/>
      <c r="AK8" s="459"/>
      <c r="AL8" s="459"/>
      <c r="AM8" s="459"/>
      <c r="AN8" s="460"/>
      <c r="AO8" s="458" t="s">
        <v>151</v>
      </c>
      <c r="AP8" s="459"/>
      <c r="AQ8" s="459"/>
      <c r="AR8" s="459"/>
      <c r="AS8" s="459"/>
      <c r="AT8" s="459"/>
      <c r="AU8" s="459"/>
      <c r="AV8" s="459"/>
      <c r="AW8" s="459"/>
      <c r="AX8" s="460"/>
      <c r="AY8" s="461" t="s">
        <v>1004</v>
      </c>
      <c r="AZ8" s="461"/>
      <c r="BA8" s="461"/>
      <c r="BB8" s="461"/>
      <c r="BC8" s="461"/>
      <c r="BD8" s="461"/>
      <c r="BE8" s="461"/>
      <c r="BF8" s="461"/>
      <c r="BG8" s="461"/>
      <c r="CP8" s="3"/>
    </row>
    <row r="9" spans="1:94" ht="15" customHeight="1" x14ac:dyDescent="0.15">
      <c r="A9" s="1"/>
      <c r="C9" s="237" t="s">
        <v>1001</v>
      </c>
      <c r="D9" s="237"/>
      <c r="E9" s="237"/>
      <c r="F9" s="237"/>
      <c r="G9" s="237"/>
      <c r="H9" s="237"/>
      <c r="I9" s="237"/>
      <c r="J9" s="237"/>
      <c r="K9" s="237"/>
      <c r="L9" s="237"/>
      <c r="M9" s="237"/>
      <c r="N9" s="237"/>
      <c r="O9" s="237"/>
      <c r="P9" s="237"/>
      <c r="Q9" s="237"/>
      <c r="R9" s="237"/>
      <c r="S9" s="455" t="s">
        <v>54</v>
      </c>
      <c r="T9" s="456"/>
      <c r="U9" s="456"/>
      <c r="V9" s="456"/>
      <c r="W9" s="456"/>
      <c r="X9" s="456"/>
      <c r="Y9" s="456"/>
      <c r="Z9" s="456"/>
      <c r="AA9" s="456"/>
      <c r="AB9" s="456"/>
      <c r="AC9" s="456"/>
      <c r="AD9" s="457"/>
      <c r="AE9" s="455" t="s">
        <v>1002</v>
      </c>
      <c r="AF9" s="456"/>
      <c r="AG9" s="456"/>
      <c r="AH9" s="456"/>
      <c r="AI9" s="456"/>
      <c r="AJ9" s="456"/>
      <c r="AK9" s="456"/>
      <c r="AL9" s="456"/>
      <c r="AM9" s="456"/>
      <c r="AN9" s="457"/>
      <c r="AO9" s="455" t="s">
        <v>1003</v>
      </c>
      <c r="AP9" s="456"/>
      <c r="AQ9" s="456"/>
      <c r="AR9" s="456"/>
      <c r="AS9" s="456"/>
      <c r="AT9" s="456"/>
      <c r="AU9" s="456"/>
      <c r="AV9" s="456"/>
      <c r="AW9" s="456"/>
      <c r="AX9" s="457"/>
      <c r="AY9" s="462" t="s">
        <v>1005</v>
      </c>
      <c r="AZ9" s="462"/>
      <c r="BA9" s="462"/>
      <c r="BB9" s="462"/>
      <c r="BC9" s="462"/>
      <c r="BD9" s="462"/>
      <c r="BE9" s="462"/>
      <c r="BF9" s="462"/>
      <c r="BG9" s="462"/>
      <c r="CP9" s="3"/>
    </row>
    <row r="10" spans="1:94" ht="15" customHeight="1" x14ac:dyDescent="0.15">
      <c r="A10" s="1"/>
      <c r="CP10" s="3"/>
    </row>
    <row r="11" spans="1:94" ht="15" customHeight="1" x14ac:dyDescent="0.15">
      <c r="A11" s="1"/>
      <c r="CP11" s="3"/>
    </row>
    <row r="12" spans="1:94" ht="15" customHeight="1" x14ac:dyDescent="0.15">
      <c r="A12" s="1"/>
      <c r="C12" s="2" t="s">
        <v>621</v>
      </c>
      <c r="CP12" s="3"/>
    </row>
    <row r="13" spans="1:94" ht="15" customHeight="1" x14ac:dyDescent="0.15">
      <c r="A13" s="1"/>
      <c r="C13" s="458" t="s">
        <v>152</v>
      </c>
      <c r="D13" s="459"/>
      <c r="E13" s="459"/>
      <c r="F13" s="459"/>
      <c r="G13" s="459"/>
      <c r="H13" s="459"/>
      <c r="I13" s="459"/>
      <c r="J13" s="459"/>
      <c r="K13" s="459"/>
      <c r="L13" s="460"/>
      <c r="M13" s="458" t="s">
        <v>55</v>
      </c>
      <c r="N13" s="459"/>
      <c r="O13" s="459"/>
      <c r="P13" s="459"/>
      <c r="Q13" s="459"/>
      <c r="R13" s="459"/>
      <c r="S13" s="459"/>
      <c r="T13" s="459"/>
      <c r="U13" s="459"/>
      <c r="V13" s="460"/>
      <c r="W13" s="458" t="s">
        <v>151</v>
      </c>
      <c r="X13" s="459"/>
      <c r="Y13" s="459"/>
      <c r="Z13" s="459"/>
      <c r="AA13" s="459"/>
      <c r="AB13" s="459"/>
      <c r="AC13" s="459"/>
      <c r="AD13" s="459"/>
      <c r="AE13" s="459"/>
      <c r="AF13" s="460"/>
      <c r="AG13" s="88" t="s">
        <v>622</v>
      </c>
      <c r="AH13" s="89"/>
      <c r="AI13" s="89"/>
      <c r="AJ13" s="89"/>
      <c r="AK13" s="89"/>
      <c r="AL13" s="89"/>
      <c r="AM13" s="89"/>
      <c r="AN13" s="89"/>
      <c r="AO13" s="90"/>
      <c r="AP13" s="88" t="s">
        <v>617</v>
      </c>
      <c r="AQ13" s="89"/>
      <c r="AR13" s="89"/>
      <c r="AS13" s="89"/>
      <c r="AT13" s="89"/>
      <c r="AU13" s="89"/>
      <c r="AV13" s="89"/>
      <c r="AW13" s="89"/>
      <c r="AX13" s="89"/>
      <c r="AY13" s="89"/>
      <c r="AZ13" s="90"/>
      <c r="CP13" s="3"/>
    </row>
    <row r="14" spans="1:94" ht="15" customHeight="1" x14ac:dyDescent="0.15">
      <c r="A14" s="1"/>
      <c r="C14" s="237" t="s">
        <v>606</v>
      </c>
      <c r="D14" s="237"/>
      <c r="E14" s="237"/>
      <c r="F14" s="237"/>
      <c r="G14" s="237"/>
      <c r="H14" s="237"/>
      <c r="I14" s="237"/>
      <c r="J14" s="237"/>
      <c r="K14" s="237"/>
      <c r="L14" s="237"/>
      <c r="M14" s="237" t="s">
        <v>606</v>
      </c>
      <c r="N14" s="237"/>
      <c r="O14" s="237"/>
      <c r="P14" s="237"/>
      <c r="Q14" s="237"/>
      <c r="R14" s="237"/>
      <c r="S14" s="237"/>
      <c r="T14" s="237"/>
      <c r="U14" s="237"/>
      <c r="V14" s="237"/>
      <c r="W14" s="237" t="s">
        <v>1006</v>
      </c>
      <c r="X14" s="237"/>
      <c r="Y14" s="237"/>
      <c r="Z14" s="237"/>
      <c r="AA14" s="237"/>
      <c r="AB14" s="237"/>
      <c r="AC14" s="237"/>
      <c r="AD14" s="237"/>
      <c r="AE14" s="237"/>
      <c r="AF14" s="237"/>
      <c r="AG14" s="91" t="s">
        <v>606</v>
      </c>
      <c r="AH14" s="92"/>
      <c r="AI14" s="92"/>
      <c r="AJ14" s="92"/>
      <c r="AK14" s="92"/>
      <c r="AL14" s="92"/>
      <c r="AM14" s="92"/>
      <c r="AN14" s="92"/>
      <c r="AO14" s="93"/>
      <c r="AP14" s="91" t="s">
        <v>1007</v>
      </c>
      <c r="AQ14" s="92"/>
      <c r="AR14" s="92"/>
      <c r="AS14" s="92"/>
      <c r="AT14" s="92"/>
      <c r="AU14" s="92"/>
      <c r="AV14" s="92"/>
      <c r="AW14" s="92"/>
      <c r="AX14" s="92"/>
      <c r="AY14" s="92"/>
      <c r="AZ14" s="93"/>
      <c r="CP14" s="3"/>
    </row>
    <row r="15" spans="1:94" ht="15" customHeight="1" x14ac:dyDescent="0.15">
      <c r="A15" s="1"/>
      <c r="C15" s="237" t="s">
        <v>624</v>
      </c>
      <c r="D15" s="237"/>
      <c r="E15" s="237"/>
      <c r="F15" s="237"/>
      <c r="G15" s="237"/>
      <c r="H15" s="237"/>
      <c r="I15" s="237"/>
      <c r="J15" s="237"/>
      <c r="K15" s="237"/>
      <c r="L15" s="237"/>
      <c r="M15" s="237" t="s">
        <v>624</v>
      </c>
      <c r="N15" s="237"/>
      <c r="O15" s="237"/>
      <c r="P15" s="237"/>
      <c r="Q15" s="237"/>
      <c r="R15" s="237"/>
      <c r="S15" s="237"/>
      <c r="T15" s="237"/>
      <c r="U15" s="237"/>
      <c r="V15" s="237"/>
      <c r="W15" s="237" t="s">
        <v>625</v>
      </c>
      <c r="X15" s="237"/>
      <c r="Y15" s="237"/>
      <c r="Z15" s="237"/>
      <c r="AA15" s="237"/>
      <c r="AB15" s="237"/>
      <c r="AC15" s="237"/>
      <c r="AD15" s="237"/>
      <c r="AE15" s="237"/>
      <c r="AF15" s="237"/>
      <c r="AG15" s="91" t="s">
        <v>606</v>
      </c>
      <c r="AH15" s="92"/>
      <c r="AI15" s="92"/>
      <c r="AJ15" s="92"/>
      <c r="AK15" s="92"/>
      <c r="AL15" s="92"/>
      <c r="AM15" s="92"/>
      <c r="AN15" s="92"/>
      <c r="AO15" s="93"/>
      <c r="AP15" s="91" t="s">
        <v>1008</v>
      </c>
      <c r="AQ15" s="92"/>
      <c r="AR15" s="92"/>
      <c r="AS15" s="92"/>
      <c r="AT15" s="92"/>
      <c r="AU15" s="92"/>
      <c r="AV15" s="92"/>
      <c r="AW15" s="92"/>
      <c r="AX15" s="92"/>
      <c r="AY15" s="92"/>
      <c r="AZ15" s="93"/>
      <c r="CP15" s="3"/>
    </row>
    <row r="16" spans="1:94" ht="15" customHeight="1" x14ac:dyDescent="0.15">
      <c r="A16" s="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CP16" s="3"/>
    </row>
    <row r="17" spans="1:94" ht="15" customHeight="1" x14ac:dyDescent="0.15">
      <c r="A17" s="1"/>
      <c r="CP17" s="3"/>
    </row>
    <row r="18" spans="1:94" ht="15" customHeight="1" x14ac:dyDescent="0.15">
      <c r="A18" s="1"/>
      <c r="C18" s="61" t="s">
        <v>800</v>
      </c>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CP18" s="3"/>
    </row>
    <row r="19" spans="1:94" ht="15" customHeight="1" x14ac:dyDescent="0.15">
      <c r="A19" s="1"/>
      <c r="C19" s="458" t="s">
        <v>55</v>
      </c>
      <c r="D19" s="459"/>
      <c r="E19" s="459"/>
      <c r="F19" s="459"/>
      <c r="G19" s="459"/>
      <c r="H19" s="459"/>
      <c r="I19" s="459"/>
      <c r="J19" s="459"/>
      <c r="K19" s="459"/>
      <c r="L19" s="460"/>
      <c r="M19" s="461" t="s">
        <v>371</v>
      </c>
      <c r="N19" s="461"/>
      <c r="O19" s="461"/>
      <c r="P19" s="461"/>
      <c r="Q19" s="461"/>
      <c r="R19" s="461"/>
      <c r="S19" s="461"/>
      <c r="T19" s="461"/>
      <c r="U19" s="461"/>
      <c r="V19" s="461"/>
      <c r="W19" s="461"/>
      <c r="X19" s="461"/>
      <c r="Y19" s="461"/>
      <c r="Z19" s="461"/>
      <c r="AA19" s="461"/>
      <c r="AB19" s="461"/>
      <c r="AC19" s="461"/>
      <c r="AD19" s="461"/>
      <c r="AE19" s="461"/>
      <c r="AF19" s="461"/>
      <c r="AG19" s="61"/>
      <c r="AH19" s="61"/>
      <c r="AI19" s="61"/>
      <c r="AJ19" s="61"/>
      <c r="AK19" s="61"/>
      <c r="AL19" s="61"/>
      <c r="AM19" s="61"/>
      <c r="AN19" s="61"/>
      <c r="AO19" s="61"/>
      <c r="AP19" s="61"/>
      <c r="CP19" s="3"/>
    </row>
    <row r="20" spans="1:94" ht="15" customHeight="1" x14ac:dyDescent="0.15">
      <c r="A20" s="1"/>
      <c r="C20" s="237" t="s">
        <v>606</v>
      </c>
      <c r="D20" s="237"/>
      <c r="E20" s="237"/>
      <c r="F20" s="237"/>
      <c r="G20" s="237"/>
      <c r="H20" s="237"/>
      <c r="I20" s="237"/>
      <c r="J20" s="237"/>
      <c r="K20" s="237"/>
      <c r="L20" s="237"/>
      <c r="M20" s="237" t="s">
        <v>801</v>
      </c>
      <c r="N20" s="237"/>
      <c r="O20" s="237"/>
      <c r="P20" s="237"/>
      <c r="Q20" s="237"/>
      <c r="R20" s="237"/>
      <c r="S20" s="237"/>
      <c r="T20" s="237"/>
      <c r="U20" s="237"/>
      <c r="V20" s="237"/>
      <c r="W20" s="237"/>
      <c r="X20" s="237"/>
      <c r="Y20" s="237"/>
      <c r="Z20" s="237"/>
      <c r="AA20" s="237"/>
      <c r="AB20" s="237"/>
      <c r="AC20" s="237"/>
      <c r="AD20" s="237"/>
      <c r="AE20" s="237"/>
      <c r="AF20" s="237"/>
      <c r="AG20" s="61"/>
      <c r="AH20" s="61"/>
      <c r="AI20" s="61"/>
      <c r="AJ20" s="61"/>
      <c r="AK20" s="61"/>
      <c r="AL20" s="61"/>
      <c r="AM20" s="61"/>
      <c r="AN20" s="61"/>
      <c r="AO20" s="61"/>
      <c r="AP20" s="61"/>
      <c r="CP20" s="3"/>
    </row>
    <row r="21" spans="1:94" ht="15" customHeight="1" x14ac:dyDescent="0.15">
      <c r="A21" s="1"/>
      <c r="C21" s="237" t="s">
        <v>624</v>
      </c>
      <c r="D21" s="237"/>
      <c r="E21" s="237"/>
      <c r="F21" s="237"/>
      <c r="G21" s="237"/>
      <c r="H21" s="237"/>
      <c r="I21" s="237"/>
      <c r="J21" s="237"/>
      <c r="K21" s="237"/>
      <c r="L21" s="237"/>
      <c r="M21" s="237" t="s">
        <v>801</v>
      </c>
      <c r="N21" s="237"/>
      <c r="O21" s="237"/>
      <c r="P21" s="237"/>
      <c r="Q21" s="237"/>
      <c r="R21" s="237"/>
      <c r="S21" s="237"/>
      <c r="T21" s="237"/>
      <c r="U21" s="237"/>
      <c r="V21" s="237"/>
      <c r="W21" s="237"/>
      <c r="X21" s="237"/>
      <c r="Y21" s="237"/>
      <c r="Z21" s="237"/>
      <c r="AA21" s="237"/>
      <c r="AB21" s="237"/>
      <c r="AC21" s="237"/>
      <c r="AD21" s="237"/>
      <c r="AE21" s="237"/>
      <c r="AF21" s="237"/>
      <c r="AG21" s="61"/>
      <c r="AH21" s="61"/>
      <c r="AI21" s="61"/>
      <c r="AJ21" s="61"/>
      <c r="AK21" s="61"/>
      <c r="AL21" s="61"/>
      <c r="AM21" s="61"/>
      <c r="AN21" s="61"/>
      <c r="AO21" s="61"/>
      <c r="AP21" s="61"/>
      <c r="CP21" s="3"/>
    </row>
    <row r="22" spans="1:94" ht="15" customHeight="1" x14ac:dyDescent="0.15">
      <c r="A22" s="1"/>
      <c r="C22" s="61"/>
      <c r="D22" s="61"/>
      <c r="E22" s="61"/>
      <c r="F22" s="61"/>
      <c r="G22" s="61"/>
      <c r="H22" s="61"/>
      <c r="I22" s="61"/>
      <c r="J22" s="61"/>
      <c r="K22" s="61"/>
      <c r="L22" s="61"/>
      <c r="M22" s="61"/>
      <c r="N22" s="61"/>
      <c r="O22" s="61"/>
      <c r="P22" s="61"/>
      <c r="Q22" s="61"/>
      <c r="R22" s="61"/>
      <c r="S22" s="61"/>
      <c r="T22" s="61"/>
      <c r="U22" s="61"/>
      <c r="V22" s="61"/>
      <c r="W22" s="61"/>
      <c r="X22" s="61"/>
      <c r="Y22" s="61"/>
      <c r="Z22" s="61"/>
      <c r="AA22" s="61"/>
      <c r="AB22" s="61"/>
      <c r="AC22" s="61"/>
      <c r="AD22" s="61"/>
      <c r="AE22" s="61"/>
      <c r="AF22" s="61"/>
      <c r="AG22" s="61"/>
      <c r="AH22" s="61"/>
      <c r="AI22" s="61"/>
      <c r="AJ22" s="61"/>
      <c r="AK22" s="61"/>
      <c r="AL22" s="61"/>
      <c r="AM22" s="61"/>
      <c r="AN22" s="61"/>
      <c r="AO22" s="61"/>
      <c r="AP22" s="61"/>
      <c r="CP22" s="3"/>
    </row>
    <row r="23" spans="1:94" ht="15" customHeight="1" x14ac:dyDescent="0.15">
      <c r="A23" s="1"/>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c r="AC23" s="61"/>
      <c r="AD23" s="61"/>
      <c r="AE23" s="61"/>
      <c r="AF23" s="61"/>
      <c r="AG23" s="61"/>
      <c r="AH23" s="61"/>
      <c r="AI23" s="61"/>
      <c r="AJ23" s="61"/>
      <c r="AK23" s="61"/>
      <c r="AL23" s="61"/>
      <c r="AM23" s="61"/>
      <c r="AN23" s="61"/>
      <c r="AO23" s="61"/>
      <c r="AP23" s="61"/>
      <c r="CP23" s="3"/>
    </row>
    <row r="24" spans="1:94" ht="15" customHeight="1" x14ac:dyDescent="0.15">
      <c r="A24" s="1"/>
      <c r="C24" s="61" t="s">
        <v>802</v>
      </c>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c r="AL24" s="61"/>
      <c r="AM24" s="61"/>
      <c r="AN24" s="61"/>
      <c r="AO24" s="61"/>
      <c r="AP24" s="61"/>
      <c r="CP24" s="3"/>
    </row>
    <row r="25" spans="1:94" ht="15" customHeight="1" x14ac:dyDescent="0.15">
      <c r="A25" s="1"/>
      <c r="C25" s="458" t="s">
        <v>803</v>
      </c>
      <c r="D25" s="459"/>
      <c r="E25" s="459"/>
      <c r="F25" s="459"/>
      <c r="G25" s="459"/>
      <c r="H25" s="459"/>
      <c r="I25" s="459"/>
      <c r="J25" s="459"/>
      <c r="K25" s="459"/>
      <c r="L25" s="460"/>
      <c r="M25" s="458" t="s">
        <v>151</v>
      </c>
      <c r="N25" s="459"/>
      <c r="O25" s="459"/>
      <c r="P25" s="459"/>
      <c r="Q25" s="459"/>
      <c r="R25" s="459"/>
      <c r="S25" s="459"/>
      <c r="T25" s="459"/>
      <c r="U25" s="459"/>
      <c r="V25" s="460"/>
      <c r="W25" s="461" t="s">
        <v>804</v>
      </c>
      <c r="X25" s="461"/>
      <c r="Y25" s="461"/>
      <c r="Z25" s="461"/>
      <c r="AA25" s="461"/>
      <c r="AB25" s="461"/>
      <c r="AC25" s="461"/>
      <c r="AD25" s="461"/>
      <c r="AE25" s="461"/>
      <c r="AF25" s="461"/>
      <c r="AG25" s="461"/>
      <c r="AH25" s="461"/>
      <c r="AI25" s="461"/>
      <c r="AJ25" s="61"/>
      <c r="AK25" s="61"/>
      <c r="AL25" s="61"/>
      <c r="AM25" s="61"/>
      <c r="AN25" s="61"/>
      <c r="AO25" s="61"/>
      <c r="AP25" s="61"/>
      <c r="CP25" s="3"/>
    </row>
    <row r="26" spans="1:94" ht="15" customHeight="1" x14ac:dyDescent="0.15">
      <c r="A26" s="1"/>
      <c r="C26" s="237"/>
      <c r="D26" s="237"/>
      <c r="E26" s="237"/>
      <c r="F26" s="237"/>
      <c r="G26" s="237"/>
      <c r="H26" s="237"/>
      <c r="I26" s="237"/>
      <c r="J26" s="237"/>
      <c r="K26" s="237"/>
      <c r="L26" s="237"/>
      <c r="M26" s="237"/>
      <c r="N26" s="237"/>
      <c r="O26" s="237"/>
      <c r="P26" s="237"/>
      <c r="Q26" s="237"/>
      <c r="R26" s="237"/>
      <c r="S26" s="237"/>
      <c r="T26" s="237"/>
      <c r="U26" s="237"/>
      <c r="V26" s="237"/>
      <c r="W26" s="237"/>
      <c r="X26" s="237"/>
      <c r="Y26" s="237"/>
      <c r="Z26" s="237"/>
      <c r="AA26" s="237"/>
      <c r="AB26" s="237"/>
      <c r="AC26" s="237"/>
      <c r="AD26" s="237"/>
      <c r="AE26" s="237"/>
      <c r="AF26" s="237"/>
      <c r="AG26" s="237"/>
      <c r="AH26" s="237"/>
      <c r="AI26" s="237"/>
      <c r="AJ26" s="61"/>
      <c r="AK26" s="61"/>
      <c r="AL26" s="61"/>
      <c r="AM26" s="61"/>
      <c r="AN26" s="61"/>
      <c r="AO26" s="61"/>
      <c r="AP26" s="61"/>
      <c r="CP26" s="3"/>
    </row>
    <row r="27" spans="1:94" ht="15" customHeight="1" x14ac:dyDescent="0.15">
      <c r="A27" s="1"/>
      <c r="CP27" s="3"/>
    </row>
    <row r="28" spans="1:94" ht="15" customHeight="1" x14ac:dyDescent="0.15">
      <c r="A28" s="1"/>
      <c r="CP28" s="3"/>
    </row>
    <row r="29" spans="1:94" ht="15" customHeight="1" x14ac:dyDescent="0.15">
      <c r="A29" s="1"/>
      <c r="CP29" s="3"/>
    </row>
    <row r="30" spans="1:94" ht="15" customHeight="1" x14ac:dyDescent="0.15">
      <c r="A30" s="1"/>
      <c r="CP30" s="3"/>
    </row>
    <row r="31" spans="1:94" ht="15" customHeight="1" x14ac:dyDescent="0.15">
      <c r="A31" s="1"/>
      <c r="CP31" s="3"/>
    </row>
    <row r="32" spans="1:94" ht="15" customHeight="1" x14ac:dyDescent="0.15">
      <c r="A32" s="1"/>
      <c r="CP32" s="3"/>
    </row>
    <row r="33" spans="1:94" ht="15" customHeight="1" x14ac:dyDescent="0.15">
      <c r="A33" s="1"/>
      <c r="CP33" s="3"/>
    </row>
    <row r="34" spans="1:94" ht="15" customHeight="1" x14ac:dyDescent="0.15">
      <c r="A34" s="1"/>
      <c r="CP34" s="3"/>
    </row>
    <row r="35" spans="1:94" ht="15" customHeight="1" x14ac:dyDescent="0.15">
      <c r="A35" s="1"/>
      <c r="CP35" s="3"/>
    </row>
    <row r="36" spans="1:94" ht="15" customHeight="1" x14ac:dyDescent="0.15">
      <c r="A36" s="1"/>
      <c r="CP36" s="3"/>
    </row>
    <row r="37" spans="1:94" ht="15" customHeight="1" x14ac:dyDescent="0.15">
      <c r="A37" s="1"/>
      <c r="CP37" s="3"/>
    </row>
    <row r="38" spans="1:94" ht="15" customHeight="1" x14ac:dyDescent="0.15">
      <c r="A38" s="1"/>
      <c r="CP38" s="3"/>
    </row>
    <row r="39" spans="1:94" ht="15" customHeight="1" x14ac:dyDescent="0.15">
      <c r="A39" s="1"/>
      <c r="CP39" s="3"/>
    </row>
    <row r="40" spans="1:94" ht="15" customHeight="1" x14ac:dyDescent="0.15">
      <c r="A40" s="1"/>
      <c r="CP40" s="3"/>
    </row>
    <row r="41" spans="1:94" ht="15" customHeight="1" x14ac:dyDescent="0.15">
      <c r="A41" s="1"/>
      <c r="CP41" s="3"/>
    </row>
    <row r="42" spans="1:94" ht="15" customHeight="1" x14ac:dyDescent="0.15">
      <c r="A42" s="1"/>
      <c r="CP42" s="3"/>
    </row>
    <row r="43" spans="1:94" ht="15" customHeight="1" x14ac:dyDescent="0.15">
      <c r="A43" s="1"/>
      <c r="CP43" s="3"/>
    </row>
    <row r="44" spans="1:94" ht="15" customHeight="1" x14ac:dyDescent="0.15">
      <c r="A44" s="1"/>
      <c r="CP44" s="3"/>
    </row>
    <row r="45" spans="1:94" ht="15" customHeight="1" x14ac:dyDescent="0.15">
      <c r="A45" s="1"/>
      <c r="CP45" s="3"/>
    </row>
    <row r="46" spans="1:94" ht="15" customHeight="1" x14ac:dyDescent="0.15">
      <c r="A46" s="1"/>
      <c r="CP46" s="3"/>
    </row>
    <row r="47" spans="1:94" ht="15" customHeight="1" thickBot="1" x14ac:dyDescent="0.2">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7"/>
    </row>
  </sheetData>
  <mergeCells count="52">
    <mergeCell ref="AY9:BG9"/>
    <mergeCell ref="C14:L14"/>
    <mergeCell ref="M14:V14"/>
    <mergeCell ref="W14:AF14"/>
    <mergeCell ref="C20:L20"/>
    <mergeCell ref="M20:AF20"/>
    <mergeCell ref="C9:R9"/>
    <mergeCell ref="S9:AD9"/>
    <mergeCell ref="C19:L19"/>
    <mergeCell ref="M19:AF19"/>
    <mergeCell ref="C25:L25"/>
    <mergeCell ref="M25:V25"/>
    <mergeCell ref="W25:AI25"/>
    <mergeCell ref="C26:L26"/>
    <mergeCell ref="M26:V26"/>
    <mergeCell ref="W26:AI26"/>
    <mergeCell ref="C21:L21"/>
    <mergeCell ref="M21:AF21"/>
    <mergeCell ref="C13:L13"/>
    <mergeCell ref="M13:V13"/>
    <mergeCell ref="W13:AF13"/>
    <mergeCell ref="C15:L15"/>
    <mergeCell ref="M15:V15"/>
    <mergeCell ref="W15:AF15"/>
    <mergeCell ref="S8:AD8"/>
    <mergeCell ref="AE8:AN8"/>
    <mergeCell ref="AO8:AX8"/>
    <mergeCell ref="A2:H2"/>
    <mergeCell ref="I2:AD2"/>
    <mergeCell ref="AE2:AK3"/>
    <mergeCell ref="AL2:BF2"/>
    <mergeCell ref="A3:H3"/>
    <mergeCell ref="I3:AD3"/>
    <mergeCell ref="AL3:BF3"/>
    <mergeCell ref="C8:R8"/>
    <mergeCell ref="AY8:BG8"/>
    <mergeCell ref="A1:H1"/>
    <mergeCell ref="I1:AD1"/>
    <mergeCell ref="AE9:AN9"/>
    <mergeCell ref="AO9:AX9"/>
    <mergeCell ref="CI1:CP3"/>
    <mergeCell ref="BG2:BJ2"/>
    <mergeCell ref="BK2:BT2"/>
    <mergeCell ref="BU2:CC2"/>
    <mergeCell ref="BG1:BJ1"/>
    <mergeCell ref="BK1:BT1"/>
    <mergeCell ref="BU1:CC1"/>
    <mergeCell ref="CD1:CH3"/>
    <mergeCell ref="BK3:CC3"/>
    <mergeCell ref="BG3:BJ3"/>
    <mergeCell ref="AE1:AK1"/>
    <mergeCell ref="AL1:BF1"/>
  </mergeCells>
  <phoneticPr fontId="3"/>
  <pageMargins left="0.39370078740157483" right="0.39370078740157483" top="0.78740157480314965" bottom="0.39370078740157483" header="0.59055118110236227" footer="0.19685039370078741"/>
  <pageSetup paperSize="9" scale="80" orientation="landscape" copies="2" r:id="rId1"/>
  <headerFooter alignWithMargins="0">
    <oddFooter>&amp;C&amp;P　/　&amp;N&amp;R株式会社　京信システムサービス</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CP47"/>
  <sheetViews>
    <sheetView view="pageBreakPreview" zoomScaleNormal="100" zoomScaleSheetLayoutView="100" workbookViewId="0">
      <pane ySplit="3" topLeftCell="A4" activePane="bottomLeft" state="frozen"/>
      <selection activeCell="BR7" sqref="BR7:BX7"/>
      <selection pane="bottomLeft" activeCell="A4" sqref="A4"/>
    </sheetView>
  </sheetViews>
  <sheetFormatPr defaultColWidth="1.875" defaultRowHeight="15" customHeight="1" x14ac:dyDescent="0.15"/>
  <cols>
    <col min="1" max="16384" width="1.875" style="2"/>
  </cols>
  <sheetData>
    <row r="1" spans="1:94" s="8" customFormat="1" ht="15" customHeight="1" x14ac:dyDescent="0.15">
      <c r="A1" s="297" t="s">
        <v>39</v>
      </c>
      <c r="B1" s="298"/>
      <c r="C1" s="298"/>
      <c r="D1" s="298"/>
      <c r="E1" s="298"/>
      <c r="F1" s="298"/>
      <c r="G1" s="298"/>
      <c r="H1" s="298"/>
      <c r="I1" s="299" t="str">
        <f>タイトル!$I$40</f>
        <v>教務システム</v>
      </c>
      <c r="J1" s="300"/>
      <c r="K1" s="300"/>
      <c r="L1" s="300"/>
      <c r="M1" s="300"/>
      <c r="N1" s="300"/>
      <c r="O1" s="300"/>
      <c r="P1" s="300"/>
      <c r="Q1" s="300"/>
      <c r="R1" s="300"/>
      <c r="S1" s="300"/>
      <c r="T1" s="300"/>
      <c r="U1" s="300"/>
      <c r="V1" s="300"/>
      <c r="W1" s="300"/>
      <c r="X1" s="300"/>
      <c r="Y1" s="300"/>
      <c r="Z1" s="300"/>
      <c r="AA1" s="300"/>
      <c r="AB1" s="300"/>
      <c r="AC1" s="300"/>
      <c r="AD1" s="301"/>
      <c r="AE1" s="302" t="s">
        <v>30</v>
      </c>
      <c r="AF1" s="302"/>
      <c r="AG1" s="302"/>
      <c r="AH1" s="302"/>
      <c r="AI1" s="302"/>
      <c r="AJ1" s="302"/>
      <c r="AK1" s="302"/>
      <c r="AL1" s="303" t="str">
        <f>タイトル!$I$43</f>
        <v>構築手順書の作成</v>
      </c>
      <c r="AM1" s="304"/>
      <c r="AN1" s="304"/>
      <c r="AO1" s="304"/>
      <c r="AP1" s="304"/>
      <c r="AQ1" s="304"/>
      <c r="AR1" s="304"/>
      <c r="AS1" s="304"/>
      <c r="AT1" s="304"/>
      <c r="AU1" s="304"/>
      <c r="AV1" s="304"/>
      <c r="AW1" s="304"/>
      <c r="AX1" s="304"/>
      <c r="AY1" s="304"/>
      <c r="AZ1" s="304"/>
      <c r="BA1" s="304"/>
      <c r="BB1" s="304"/>
      <c r="BC1" s="304"/>
      <c r="BD1" s="304"/>
      <c r="BE1" s="304"/>
      <c r="BF1" s="304"/>
      <c r="BG1" s="302" t="s">
        <v>31</v>
      </c>
      <c r="BH1" s="302"/>
      <c r="BI1" s="302"/>
      <c r="BJ1" s="302"/>
      <c r="BK1" s="305" t="str">
        <f>タイトル!$I$46</f>
        <v>大久保　梓沙</v>
      </c>
      <c r="BL1" s="306"/>
      <c r="BM1" s="306"/>
      <c r="BN1" s="306"/>
      <c r="BO1" s="306"/>
      <c r="BP1" s="306"/>
      <c r="BQ1" s="306"/>
      <c r="BR1" s="306"/>
      <c r="BS1" s="306"/>
      <c r="BT1" s="307"/>
      <c r="BU1" s="266">
        <f>タイトル!$I$47</f>
        <v>45336</v>
      </c>
      <c r="BV1" s="266"/>
      <c r="BW1" s="266"/>
      <c r="BX1" s="266"/>
      <c r="BY1" s="266"/>
      <c r="BZ1" s="266"/>
      <c r="CA1" s="266"/>
      <c r="CB1" s="266"/>
      <c r="CC1" s="266"/>
      <c r="CD1" s="267" t="s">
        <v>38</v>
      </c>
      <c r="CE1" s="268"/>
      <c r="CF1" s="268"/>
      <c r="CG1" s="268"/>
      <c r="CH1" s="269"/>
      <c r="CI1" s="276" t="str">
        <f>タイトル!$I$50</f>
        <v xml:space="preserve"> </v>
      </c>
      <c r="CJ1" s="277"/>
      <c r="CK1" s="277"/>
      <c r="CL1" s="277"/>
      <c r="CM1" s="277"/>
      <c r="CN1" s="277"/>
      <c r="CO1" s="277"/>
      <c r="CP1" s="278"/>
    </row>
    <row r="2" spans="1:94" s="8" customFormat="1" ht="15" customHeight="1" x14ac:dyDescent="0.15">
      <c r="A2" s="285" t="s">
        <v>40</v>
      </c>
      <c r="B2" s="286"/>
      <c r="C2" s="286"/>
      <c r="D2" s="286"/>
      <c r="E2" s="286"/>
      <c r="F2" s="286"/>
      <c r="G2" s="286"/>
      <c r="H2" s="286"/>
      <c r="I2" s="287" t="str">
        <f>タイトル!$I$41</f>
        <v>基盤構築</v>
      </c>
      <c r="J2" s="288"/>
      <c r="K2" s="288"/>
      <c r="L2" s="288"/>
      <c r="M2" s="288"/>
      <c r="N2" s="288"/>
      <c r="O2" s="288"/>
      <c r="P2" s="288"/>
      <c r="Q2" s="288"/>
      <c r="R2" s="288"/>
      <c r="S2" s="288"/>
      <c r="T2" s="288"/>
      <c r="U2" s="288"/>
      <c r="V2" s="288"/>
      <c r="W2" s="288"/>
      <c r="X2" s="288"/>
      <c r="Y2" s="288"/>
      <c r="Z2" s="288"/>
      <c r="AA2" s="288"/>
      <c r="AB2" s="288"/>
      <c r="AC2" s="288"/>
      <c r="AD2" s="289"/>
      <c r="AE2" s="290" t="s">
        <v>32</v>
      </c>
      <c r="AF2" s="290"/>
      <c r="AG2" s="290"/>
      <c r="AH2" s="290"/>
      <c r="AI2" s="290"/>
      <c r="AJ2" s="290"/>
      <c r="AK2" s="290"/>
      <c r="AL2" s="291" t="str">
        <f>タイトル!$I$44</f>
        <v>システム環境定義書</v>
      </c>
      <c r="AM2" s="292"/>
      <c r="AN2" s="292"/>
      <c r="AO2" s="292"/>
      <c r="AP2" s="292"/>
      <c r="AQ2" s="292"/>
      <c r="AR2" s="292"/>
      <c r="AS2" s="292"/>
      <c r="AT2" s="292"/>
      <c r="AU2" s="292"/>
      <c r="AV2" s="292"/>
      <c r="AW2" s="292"/>
      <c r="AX2" s="292"/>
      <c r="AY2" s="292"/>
      <c r="AZ2" s="292"/>
      <c r="BA2" s="292"/>
      <c r="BB2" s="292"/>
      <c r="BC2" s="292"/>
      <c r="BD2" s="292"/>
      <c r="BE2" s="292"/>
      <c r="BF2" s="292"/>
      <c r="BG2" s="290" t="s">
        <v>33</v>
      </c>
      <c r="BH2" s="290"/>
      <c r="BI2" s="290"/>
      <c r="BJ2" s="290"/>
      <c r="BK2" s="293"/>
      <c r="BL2" s="294"/>
      <c r="BM2" s="294"/>
      <c r="BN2" s="294"/>
      <c r="BO2" s="294"/>
      <c r="BP2" s="294"/>
      <c r="BQ2" s="294"/>
      <c r="BR2" s="294"/>
      <c r="BS2" s="294"/>
      <c r="BT2" s="295"/>
      <c r="BU2" s="296"/>
      <c r="BV2" s="296"/>
      <c r="BW2" s="296"/>
      <c r="BX2" s="296"/>
      <c r="BY2" s="296"/>
      <c r="BZ2" s="296"/>
      <c r="CA2" s="296"/>
      <c r="CB2" s="296"/>
      <c r="CC2" s="296"/>
      <c r="CD2" s="270"/>
      <c r="CE2" s="271"/>
      <c r="CF2" s="271"/>
      <c r="CG2" s="271"/>
      <c r="CH2" s="272"/>
      <c r="CI2" s="279"/>
      <c r="CJ2" s="280"/>
      <c r="CK2" s="280"/>
      <c r="CL2" s="280"/>
      <c r="CM2" s="280"/>
      <c r="CN2" s="280"/>
      <c r="CO2" s="280"/>
      <c r="CP2" s="281"/>
    </row>
    <row r="3" spans="1:94" s="8" customFormat="1" ht="15" customHeight="1" thickBot="1" x14ac:dyDescent="0.2">
      <c r="A3" s="253"/>
      <c r="B3" s="254"/>
      <c r="C3" s="254"/>
      <c r="D3" s="254"/>
      <c r="E3" s="254"/>
      <c r="F3" s="254"/>
      <c r="G3" s="254"/>
      <c r="H3" s="254"/>
      <c r="I3" s="255" t="s">
        <v>132</v>
      </c>
      <c r="J3" s="256"/>
      <c r="K3" s="256"/>
      <c r="L3" s="256"/>
      <c r="M3" s="256"/>
      <c r="N3" s="256"/>
      <c r="O3" s="256"/>
      <c r="P3" s="256"/>
      <c r="Q3" s="256"/>
      <c r="R3" s="256"/>
      <c r="S3" s="256"/>
      <c r="T3" s="256"/>
      <c r="U3" s="256"/>
      <c r="V3" s="256"/>
      <c r="W3" s="256"/>
      <c r="X3" s="256"/>
      <c r="Y3" s="256"/>
      <c r="Z3" s="256"/>
      <c r="AA3" s="256"/>
      <c r="AB3" s="256"/>
      <c r="AC3" s="256"/>
      <c r="AD3" s="257"/>
      <c r="AE3" s="261"/>
      <c r="AF3" s="261"/>
      <c r="AG3" s="261"/>
      <c r="AH3" s="261"/>
      <c r="AI3" s="261"/>
      <c r="AJ3" s="261"/>
      <c r="AK3" s="261"/>
      <c r="AL3" s="258" t="str">
        <f>タイトル!$I$42</f>
        <v>社内開発機</v>
      </c>
      <c r="AM3" s="259"/>
      <c r="AN3" s="259"/>
      <c r="AO3" s="259"/>
      <c r="AP3" s="259"/>
      <c r="AQ3" s="259"/>
      <c r="AR3" s="259"/>
      <c r="AS3" s="259"/>
      <c r="AT3" s="259"/>
      <c r="AU3" s="259"/>
      <c r="AV3" s="259"/>
      <c r="AW3" s="259"/>
      <c r="AX3" s="259"/>
      <c r="AY3" s="259"/>
      <c r="AZ3" s="259"/>
      <c r="BA3" s="259"/>
      <c r="BB3" s="259"/>
      <c r="BC3" s="259"/>
      <c r="BD3" s="259"/>
      <c r="BE3" s="259"/>
      <c r="BF3" s="260"/>
      <c r="BG3" s="261"/>
      <c r="BH3" s="261"/>
      <c r="BI3" s="261"/>
      <c r="BJ3" s="261"/>
      <c r="BK3" s="262"/>
      <c r="BL3" s="263"/>
      <c r="BM3" s="263"/>
      <c r="BN3" s="263"/>
      <c r="BO3" s="263"/>
      <c r="BP3" s="263"/>
      <c r="BQ3" s="263"/>
      <c r="BR3" s="263"/>
      <c r="BS3" s="263"/>
      <c r="BT3" s="263"/>
      <c r="BU3" s="264"/>
      <c r="BV3" s="264"/>
      <c r="BW3" s="264"/>
      <c r="BX3" s="264"/>
      <c r="BY3" s="264"/>
      <c r="BZ3" s="264"/>
      <c r="CA3" s="264"/>
      <c r="CB3" s="264"/>
      <c r="CC3" s="265"/>
      <c r="CD3" s="273"/>
      <c r="CE3" s="274"/>
      <c r="CF3" s="274"/>
      <c r="CG3" s="274"/>
      <c r="CH3" s="275"/>
      <c r="CI3" s="282"/>
      <c r="CJ3" s="283"/>
      <c r="CK3" s="283"/>
      <c r="CL3" s="283"/>
      <c r="CM3" s="283"/>
      <c r="CN3" s="283"/>
      <c r="CO3" s="283"/>
      <c r="CP3" s="284"/>
    </row>
    <row r="4" spans="1:94" ht="15" customHeight="1" x14ac:dyDescent="0.1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2"/>
    </row>
    <row r="5" spans="1:94" ht="15" customHeight="1" x14ac:dyDescent="0.15">
      <c r="A5" s="1"/>
      <c r="B5" s="8" t="s">
        <v>626</v>
      </c>
      <c r="C5" s="9"/>
      <c r="CP5" s="3"/>
    </row>
    <row r="6" spans="1:94" ht="15" customHeight="1" x14ac:dyDescent="0.15">
      <c r="A6" s="1"/>
      <c r="CP6" s="3"/>
    </row>
    <row r="7" spans="1:94" ht="15" customHeight="1" x14ac:dyDescent="0.15">
      <c r="A7" s="1"/>
      <c r="D7" s="2" t="s">
        <v>1009</v>
      </c>
      <c r="CP7" s="3"/>
    </row>
    <row r="8" spans="1:94" ht="15" customHeight="1" x14ac:dyDescent="0.15">
      <c r="A8" s="1"/>
      <c r="CP8" s="3"/>
    </row>
    <row r="9" spans="1:94" ht="15" customHeight="1" x14ac:dyDescent="0.15">
      <c r="A9" s="1"/>
      <c r="CP9" s="3"/>
    </row>
    <row r="10" spans="1:94" ht="15" customHeight="1" x14ac:dyDescent="0.15">
      <c r="A10" s="1"/>
      <c r="CP10" s="3"/>
    </row>
    <row r="11" spans="1:94" ht="15" customHeight="1" x14ac:dyDescent="0.15">
      <c r="A11" s="1"/>
      <c r="CP11" s="3"/>
    </row>
    <row r="12" spans="1:94" ht="15" customHeight="1" x14ac:dyDescent="0.15">
      <c r="A12" s="1"/>
      <c r="CP12" s="3"/>
    </row>
    <row r="13" spans="1:94" ht="15" customHeight="1" x14ac:dyDescent="0.15">
      <c r="A13" s="1"/>
      <c r="CP13" s="3"/>
    </row>
    <row r="14" spans="1:94" ht="15" customHeight="1" x14ac:dyDescent="0.15">
      <c r="A14" s="1"/>
      <c r="CP14" s="3"/>
    </row>
    <row r="15" spans="1:94" ht="15" customHeight="1" x14ac:dyDescent="0.15">
      <c r="A15" s="1"/>
      <c r="CP15" s="3"/>
    </row>
    <row r="16" spans="1:94" ht="15" customHeight="1" x14ac:dyDescent="0.15">
      <c r="A16" s="1"/>
      <c r="CP16" s="3"/>
    </row>
    <row r="17" spans="1:94" ht="15" customHeight="1" x14ac:dyDescent="0.15">
      <c r="A17" s="1"/>
      <c r="CP17" s="3"/>
    </row>
    <row r="18" spans="1:94" ht="15" customHeight="1" x14ac:dyDescent="0.15">
      <c r="A18" s="1"/>
      <c r="CP18" s="3"/>
    </row>
    <row r="19" spans="1:94" ht="15" customHeight="1" x14ac:dyDescent="0.15">
      <c r="A19" s="1"/>
      <c r="F19" s="2" t="s">
        <v>1010</v>
      </c>
      <c r="CP19" s="3"/>
    </row>
    <row r="20" spans="1:94" ht="15" customHeight="1" x14ac:dyDescent="0.15">
      <c r="A20" s="1"/>
      <c r="F20" s="2" t="s">
        <v>1011</v>
      </c>
      <c r="CP20" s="3"/>
    </row>
    <row r="21" spans="1:94" ht="15" customHeight="1" x14ac:dyDescent="0.15">
      <c r="A21" s="1"/>
      <c r="CP21" s="3"/>
    </row>
    <row r="22" spans="1:94" ht="15" customHeight="1" x14ac:dyDescent="0.15">
      <c r="A22" s="1"/>
      <c r="CP22" s="3"/>
    </row>
    <row r="23" spans="1:94" ht="15" customHeight="1" x14ac:dyDescent="0.15">
      <c r="A23" s="1"/>
      <c r="D23" s="2" t="s">
        <v>1012</v>
      </c>
      <c r="CP23" s="3"/>
    </row>
    <row r="24" spans="1:94" ht="15" customHeight="1" x14ac:dyDescent="0.15">
      <c r="A24" s="1"/>
      <c r="CP24" s="3"/>
    </row>
    <row r="25" spans="1:94" ht="15" customHeight="1" thickBot="1" x14ac:dyDescent="0.2">
      <c r="A25" s="1"/>
      <c r="F25" s="463" t="s">
        <v>1013</v>
      </c>
      <c r="G25" s="463"/>
      <c r="H25" s="463"/>
      <c r="I25" s="463"/>
      <c r="J25" s="463"/>
      <c r="K25" s="463"/>
      <c r="L25" s="463"/>
      <c r="M25" s="463"/>
      <c r="N25" s="463" t="s">
        <v>1014</v>
      </c>
      <c r="O25" s="463"/>
      <c r="P25" s="463"/>
      <c r="Q25" s="463"/>
      <c r="R25" s="463"/>
      <c r="S25" s="463"/>
      <c r="T25" s="463"/>
      <c r="U25" s="463"/>
      <c r="V25" s="463"/>
      <c r="W25" s="463"/>
      <c r="X25" s="463"/>
      <c r="Y25" s="463"/>
      <c r="Z25" s="463"/>
      <c r="AA25" s="463"/>
      <c r="AB25" s="463"/>
      <c r="AC25" s="463"/>
      <c r="AD25" s="463"/>
      <c r="AE25" s="463"/>
      <c r="AF25" s="463"/>
      <c r="AG25" s="464" t="s">
        <v>1015</v>
      </c>
      <c r="AH25" s="464"/>
      <c r="AI25" s="464"/>
      <c r="AJ25" s="464"/>
      <c r="AK25" s="464"/>
      <c r="AL25" s="464"/>
      <c r="AM25" s="464"/>
      <c r="AN25" s="464"/>
      <c r="AO25" s="464"/>
      <c r="AP25" s="464"/>
      <c r="AQ25" s="464"/>
      <c r="AR25" s="464"/>
      <c r="AS25" s="464"/>
      <c r="AT25" s="464" t="s">
        <v>1016</v>
      </c>
      <c r="AU25" s="464"/>
      <c r="AV25" s="464"/>
      <c r="AW25" s="464"/>
      <c r="AX25" s="464"/>
      <c r="AY25" s="464"/>
      <c r="AZ25" s="464"/>
      <c r="BA25" s="464"/>
      <c r="BB25" s="464"/>
      <c r="BC25" s="464"/>
      <c r="BD25" s="464"/>
      <c r="BE25" s="464"/>
      <c r="BF25" s="464"/>
      <c r="BG25" s="464"/>
      <c r="BH25" s="464"/>
      <c r="BI25" s="464"/>
      <c r="BJ25" s="464"/>
      <c r="BK25" s="464"/>
      <c r="BL25" s="464"/>
      <c r="BM25" s="464"/>
      <c r="BN25" s="464"/>
      <c r="BO25" s="464" t="s">
        <v>1017</v>
      </c>
      <c r="BP25" s="464"/>
      <c r="BQ25" s="464"/>
      <c r="BR25" s="464"/>
      <c r="BS25" s="464"/>
      <c r="BT25" s="464"/>
      <c r="BU25" s="464"/>
      <c r="CP25" s="3"/>
    </row>
    <row r="26" spans="1:94" ht="15" customHeight="1" thickTop="1" x14ac:dyDescent="0.15">
      <c r="A26" s="1"/>
      <c r="F26" s="465" t="s">
        <v>1020</v>
      </c>
      <c r="G26" s="465"/>
      <c r="H26" s="465"/>
      <c r="I26" s="465"/>
      <c r="J26" s="465"/>
      <c r="K26" s="465"/>
      <c r="L26" s="465"/>
      <c r="M26" s="465"/>
      <c r="N26" s="466" t="s">
        <v>1021</v>
      </c>
      <c r="O26" s="466"/>
      <c r="P26" s="466"/>
      <c r="Q26" s="466"/>
      <c r="R26" s="466"/>
      <c r="S26" s="466"/>
      <c r="T26" s="466"/>
      <c r="U26" s="466"/>
      <c r="V26" s="466"/>
      <c r="W26" s="466"/>
      <c r="X26" s="466"/>
      <c r="Y26" s="466"/>
      <c r="Z26" s="466"/>
      <c r="AA26" s="466"/>
      <c r="AB26" s="466"/>
      <c r="AC26" s="466"/>
      <c r="AD26" s="466"/>
      <c r="AE26" s="466"/>
      <c r="AF26" s="466"/>
      <c r="AG26" s="467">
        <v>4.1666666666666664E-2</v>
      </c>
      <c r="AH26" s="468"/>
      <c r="AI26" s="468"/>
      <c r="AJ26" s="468"/>
      <c r="AK26" s="468"/>
      <c r="AL26" s="468"/>
      <c r="AM26" s="468"/>
      <c r="AN26" s="468"/>
      <c r="AO26" s="468"/>
      <c r="AP26" s="468"/>
      <c r="AQ26" s="468"/>
      <c r="AR26" s="468"/>
      <c r="AS26" s="468"/>
      <c r="AT26" s="466" t="s">
        <v>1018</v>
      </c>
      <c r="AU26" s="466"/>
      <c r="AV26" s="466"/>
      <c r="AW26" s="466"/>
      <c r="AX26" s="466"/>
      <c r="AY26" s="466"/>
      <c r="AZ26" s="466"/>
      <c r="BA26" s="466"/>
      <c r="BB26" s="466"/>
      <c r="BC26" s="466"/>
      <c r="BD26" s="466"/>
      <c r="BE26" s="466"/>
      <c r="BF26" s="466"/>
      <c r="BG26" s="466"/>
      <c r="BH26" s="466"/>
      <c r="BI26" s="466"/>
      <c r="BJ26" s="466"/>
      <c r="BK26" s="466"/>
      <c r="BL26" s="466"/>
      <c r="BM26" s="466"/>
      <c r="BN26" s="466"/>
      <c r="BO26" s="466" t="s">
        <v>1019</v>
      </c>
      <c r="BP26" s="466"/>
      <c r="BQ26" s="466"/>
      <c r="BR26" s="466"/>
      <c r="BS26" s="466"/>
      <c r="BT26" s="466"/>
      <c r="BU26" s="466"/>
      <c r="CP26" s="3"/>
    </row>
    <row r="27" spans="1:94" ht="15" customHeight="1" x14ac:dyDescent="0.15">
      <c r="A27" s="1"/>
      <c r="CP27" s="3"/>
    </row>
    <row r="28" spans="1:94" ht="15" customHeight="1" x14ac:dyDescent="0.15">
      <c r="A28" s="1"/>
      <c r="CP28" s="3"/>
    </row>
    <row r="29" spans="1:94" ht="15" customHeight="1" x14ac:dyDescent="0.15">
      <c r="A29" s="1"/>
      <c r="CP29" s="3"/>
    </row>
    <row r="30" spans="1:94" ht="15" customHeight="1" x14ac:dyDescent="0.15">
      <c r="A30" s="1"/>
      <c r="CP30" s="3"/>
    </row>
    <row r="31" spans="1:94" ht="15" customHeight="1" x14ac:dyDescent="0.15">
      <c r="A31" s="1"/>
      <c r="CP31" s="3"/>
    </row>
    <row r="32" spans="1:94" ht="15" customHeight="1" x14ac:dyDescent="0.15">
      <c r="A32" s="1"/>
      <c r="CP32" s="3"/>
    </row>
    <row r="33" spans="1:94" ht="15" customHeight="1" x14ac:dyDescent="0.15">
      <c r="A33" s="1"/>
      <c r="CP33" s="3"/>
    </row>
    <row r="34" spans="1:94" ht="15" customHeight="1" x14ac:dyDescent="0.15">
      <c r="A34" s="1"/>
      <c r="CP34" s="3"/>
    </row>
    <row r="35" spans="1:94" ht="15" customHeight="1" x14ac:dyDescent="0.15">
      <c r="A35" s="1"/>
      <c r="CP35" s="3"/>
    </row>
    <row r="36" spans="1:94" ht="15" customHeight="1" x14ac:dyDescent="0.15">
      <c r="A36" s="1"/>
      <c r="CP36" s="3"/>
    </row>
    <row r="37" spans="1:94" ht="15" customHeight="1" x14ac:dyDescent="0.15">
      <c r="A37" s="1"/>
      <c r="CP37" s="3"/>
    </row>
    <row r="38" spans="1:94" ht="15" customHeight="1" x14ac:dyDescent="0.15">
      <c r="A38" s="1"/>
      <c r="CP38" s="3"/>
    </row>
    <row r="39" spans="1:94" ht="15" customHeight="1" x14ac:dyDescent="0.15">
      <c r="A39" s="1"/>
      <c r="CP39" s="3"/>
    </row>
    <row r="40" spans="1:94" ht="15" customHeight="1" x14ac:dyDescent="0.15">
      <c r="A40" s="1"/>
      <c r="CP40" s="3"/>
    </row>
    <row r="41" spans="1:94" ht="15" customHeight="1" x14ac:dyDescent="0.15">
      <c r="A41" s="1"/>
      <c r="CP41" s="3"/>
    </row>
    <row r="42" spans="1:94" ht="15" customHeight="1" x14ac:dyDescent="0.15">
      <c r="A42" s="1"/>
      <c r="CP42" s="3"/>
    </row>
    <row r="43" spans="1:94" ht="15" customHeight="1" x14ac:dyDescent="0.15">
      <c r="A43" s="1"/>
      <c r="CP43" s="3"/>
    </row>
    <row r="44" spans="1:94" ht="15" customHeight="1" x14ac:dyDescent="0.15">
      <c r="A44" s="1"/>
      <c r="CP44" s="3"/>
    </row>
    <row r="45" spans="1:94" ht="15" customHeight="1" x14ac:dyDescent="0.15">
      <c r="A45" s="1"/>
      <c r="CP45" s="3"/>
    </row>
    <row r="46" spans="1:94" ht="15" customHeight="1" x14ac:dyDescent="0.15">
      <c r="A46" s="1"/>
      <c r="CP46" s="3"/>
    </row>
    <row r="47" spans="1:94" ht="15" customHeight="1" thickBot="1" x14ac:dyDescent="0.2">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7"/>
    </row>
  </sheetData>
  <mergeCells count="31">
    <mergeCell ref="F26:M26"/>
    <mergeCell ref="N26:AF26"/>
    <mergeCell ref="AG26:AS26"/>
    <mergeCell ref="AT26:BN26"/>
    <mergeCell ref="BO26:BU26"/>
    <mergeCell ref="F25:M25"/>
    <mergeCell ref="N25:AF25"/>
    <mergeCell ref="AG25:AS25"/>
    <mergeCell ref="AT25:BN25"/>
    <mergeCell ref="BO25:BU25"/>
    <mergeCell ref="I3:AD3"/>
    <mergeCell ref="AL3:BF3"/>
    <mergeCell ref="BK3:CC3"/>
    <mergeCell ref="BU1:CC1"/>
    <mergeCell ref="CD1:CH3"/>
    <mergeCell ref="CI1:CP3"/>
    <mergeCell ref="BK2:BT2"/>
    <mergeCell ref="BU2:CC2"/>
    <mergeCell ref="BK1:BT1"/>
    <mergeCell ref="A2:H2"/>
    <mergeCell ref="I2:AD2"/>
    <mergeCell ref="AE2:AK3"/>
    <mergeCell ref="AL2:BF2"/>
    <mergeCell ref="BG2:BJ2"/>
    <mergeCell ref="A3:H3"/>
    <mergeCell ref="BG3:BJ3"/>
    <mergeCell ref="A1:H1"/>
    <mergeCell ref="I1:AD1"/>
    <mergeCell ref="AE1:AK1"/>
    <mergeCell ref="AL1:BF1"/>
    <mergeCell ref="BG1:BJ1"/>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86A18-06AE-4B68-B6A8-9147AC0525F6}">
  <dimension ref="A1:CP47"/>
  <sheetViews>
    <sheetView view="pageBreakPreview" zoomScaleNormal="80" zoomScaleSheetLayoutView="100" workbookViewId="0">
      <pane ySplit="3" topLeftCell="A4" activePane="bottomLeft" state="frozen"/>
      <selection activeCell="BR7" sqref="BR7:BX7"/>
      <selection pane="bottomLeft" activeCell="A4" sqref="A4"/>
    </sheetView>
  </sheetViews>
  <sheetFormatPr defaultColWidth="1.875" defaultRowHeight="15" customHeight="1" x14ac:dyDescent="0.15"/>
  <cols>
    <col min="1" max="16384" width="1.875" style="2"/>
  </cols>
  <sheetData>
    <row r="1" spans="1:94" s="8" customFormat="1" ht="15" customHeight="1" x14ac:dyDescent="0.15">
      <c r="A1" s="297" t="s">
        <v>39</v>
      </c>
      <c r="B1" s="298"/>
      <c r="C1" s="298"/>
      <c r="D1" s="298"/>
      <c r="E1" s="298"/>
      <c r="F1" s="298"/>
      <c r="G1" s="298"/>
      <c r="H1" s="298"/>
      <c r="I1" s="299" t="str">
        <f>タイトル!$I$40</f>
        <v>教務システム</v>
      </c>
      <c r="J1" s="300"/>
      <c r="K1" s="300"/>
      <c r="L1" s="300"/>
      <c r="M1" s="300"/>
      <c r="N1" s="300"/>
      <c r="O1" s="300"/>
      <c r="P1" s="300"/>
      <c r="Q1" s="300"/>
      <c r="R1" s="300"/>
      <c r="S1" s="300"/>
      <c r="T1" s="300"/>
      <c r="U1" s="300"/>
      <c r="V1" s="300"/>
      <c r="W1" s="300"/>
      <c r="X1" s="300"/>
      <c r="Y1" s="300"/>
      <c r="Z1" s="300"/>
      <c r="AA1" s="300"/>
      <c r="AB1" s="300"/>
      <c r="AC1" s="300"/>
      <c r="AD1" s="301"/>
      <c r="AE1" s="302" t="s">
        <v>30</v>
      </c>
      <c r="AF1" s="302"/>
      <c r="AG1" s="302"/>
      <c r="AH1" s="302"/>
      <c r="AI1" s="302"/>
      <c r="AJ1" s="302"/>
      <c r="AK1" s="302"/>
      <c r="AL1" s="303" t="str">
        <f>タイトル!$I$43</f>
        <v>構築手順書の作成</v>
      </c>
      <c r="AM1" s="304"/>
      <c r="AN1" s="304"/>
      <c r="AO1" s="304"/>
      <c r="AP1" s="304"/>
      <c r="AQ1" s="304"/>
      <c r="AR1" s="304"/>
      <c r="AS1" s="304"/>
      <c r="AT1" s="304"/>
      <c r="AU1" s="304"/>
      <c r="AV1" s="304"/>
      <c r="AW1" s="304"/>
      <c r="AX1" s="304"/>
      <c r="AY1" s="304"/>
      <c r="AZ1" s="304"/>
      <c r="BA1" s="304"/>
      <c r="BB1" s="304"/>
      <c r="BC1" s="304"/>
      <c r="BD1" s="304"/>
      <c r="BE1" s="304"/>
      <c r="BF1" s="304"/>
      <c r="BG1" s="302" t="s">
        <v>31</v>
      </c>
      <c r="BH1" s="302"/>
      <c r="BI1" s="302"/>
      <c r="BJ1" s="302"/>
      <c r="BK1" s="305" t="str">
        <f>タイトル!$I$46</f>
        <v>大久保　梓沙</v>
      </c>
      <c r="BL1" s="306"/>
      <c r="BM1" s="306"/>
      <c r="BN1" s="306"/>
      <c r="BO1" s="306"/>
      <c r="BP1" s="306"/>
      <c r="BQ1" s="306"/>
      <c r="BR1" s="306"/>
      <c r="BS1" s="306"/>
      <c r="BT1" s="307"/>
      <c r="BU1" s="266">
        <f>タイトル!$I$47</f>
        <v>45336</v>
      </c>
      <c r="BV1" s="266"/>
      <c r="BW1" s="266"/>
      <c r="BX1" s="266"/>
      <c r="BY1" s="266"/>
      <c r="BZ1" s="266"/>
      <c r="CA1" s="266"/>
      <c r="CB1" s="266"/>
      <c r="CC1" s="266"/>
      <c r="CD1" s="338" t="s">
        <v>38</v>
      </c>
      <c r="CE1" s="339"/>
      <c r="CF1" s="339"/>
      <c r="CG1" s="339"/>
      <c r="CH1" s="340"/>
      <c r="CI1" s="327" t="str">
        <f>タイトル!$I$50</f>
        <v xml:space="preserve"> </v>
      </c>
      <c r="CJ1" s="328"/>
      <c r="CK1" s="328"/>
      <c r="CL1" s="328"/>
      <c r="CM1" s="328"/>
      <c r="CN1" s="328"/>
      <c r="CO1" s="328"/>
      <c r="CP1" s="329"/>
    </row>
    <row r="2" spans="1:94" s="8" customFormat="1" ht="15" customHeight="1" x14ac:dyDescent="0.15">
      <c r="A2" s="285" t="s">
        <v>40</v>
      </c>
      <c r="B2" s="286"/>
      <c r="C2" s="286"/>
      <c r="D2" s="286"/>
      <c r="E2" s="286"/>
      <c r="F2" s="286"/>
      <c r="G2" s="286"/>
      <c r="H2" s="286"/>
      <c r="I2" s="287" t="str">
        <f>タイトル!$I$41</f>
        <v>基盤構築</v>
      </c>
      <c r="J2" s="288"/>
      <c r="K2" s="288"/>
      <c r="L2" s="288"/>
      <c r="M2" s="288"/>
      <c r="N2" s="288"/>
      <c r="O2" s="288"/>
      <c r="P2" s="288"/>
      <c r="Q2" s="288"/>
      <c r="R2" s="288"/>
      <c r="S2" s="288"/>
      <c r="T2" s="288"/>
      <c r="U2" s="288"/>
      <c r="V2" s="288"/>
      <c r="W2" s="288"/>
      <c r="X2" s="288"/>
      <c r="Y2" s="288"/>
      <c r="Z2" s="288"/>
      <c r="AA2" s="288"/>
      <c r="AB2" s="288"/>
      <c r="AC2" s="288"/>
      <c r="AD2" s="289"/>
      <c r="AE2" s="362" t="s">
        <v>32</v>
      </c>
      <c r="AF2" s="362"/>
      <c r="AG2" s="362"/>
      <c r="AH2" s="362"/>
      <c r="AI2" s="362"/>
      <c r="AJ2" s="362"/>
      <c r="AK2" s="362"/>
      <c r="AL2" s="291" t="str">
        <f>タイトル!$I$44</f>
        <v>システム環境定義書</v>
      </c>
      <c r="AM2" s="292"/>
      <c r="AN2" s="292"/>
      <c r="AO2" s="292"/>
      <c r="AP2" s="292"/>
      <c r="AQ2" s="292"/>
      <c r="AR2" s="292"/>
      <c r="AS2" s="292"/>
      <c r="AT2" s="292"/>
      <c r="AU2" s="292"/>
      <c r="AV2" s="292"/>
      <c r="AW2" s="292"/>
      <c r="AX2" s="292"/>
      <c r="AY2" s="292"/>
      <c r="AZ2" s="292"/>
      <c r="BA2" s="292"/>
      <c r="BB2" s="292"/>
      <c r="BC2" s="292"/>
      <c r="BD2" s="292"/>
      <c r="BE2" s="292"/>
      <c r="BF2" s="292"/>
      <c r="BG2" s="290" t="s">
        <v>33</v>
      </c>
      <c r="BH2" s="290"/>
      <c r="BI2" s="290"/>
      <c r="BJ2" s="290"/>
      <c r="BK2" s="293"/>
      <c r="BL2" s="294"/>
      <c r="BM2" s="294"/>
      <c r="BN2" s="294"/>
      <c r="BO2" s="294"/>
      <c r="BP2" s="294"/>
      <c r="BQ2" s="294"/>
      <c r="BR2" s="294"/>
      <c r="BS2" s="294"/>
      <c r="BT2" s="295"/>
      <c r="BU2" s="296"/>
      <c r="BV2" s="296"/>
      <c r="BW2" s="296"/>
      <c r="BX2" s="296"/>
      <c r="BY2" s="296"/>
      <c r="BZ2" s="296"/>
      <c r="CA2" s="296"/>
      <c r="CB2" s="296"/>
      <c r="CC2" s="296"/>
      <c r="CD2" s="341"/>
      <c r="CE2" s="342"/>
      <c r="CF2" s="342"/>
      <c r="CG2" s="342"/>
      <c r="CH2" s="343"/>
      <c r="CI2" s="330"/>
      <c r="CJ2" s="331"/>
      <c r="CK2" s="331"/>
      <c r="CL2" s="331"/>
      <c r="CM2" s="331"/>
      <c r="CN2" s="331"/>
      <c r="CO2" s="331"/>
      <c r="CP2" s="332"/>
    </row>
    <row r="3" spans="1:94" s="8" customFormat="1" ht="15" customHeight="1" thickBot="1" x14ac:dyDescent="0.2">
      <c r="A3" s="366"/>
      <c r="B3" s="367"/>
      <c r="C3" s="367"/>
      <c r="D3" s="367"/>
      <c r="E3" s="367"/>
      <c r="F3" s="367"/>
      <c r="G3" s="367"/>
      <c r="H3" s="367"/>
      <c r="I3" s="368" t="s">
        <v>628</v>
      </c>
      <c r="J3" s="369"/>
      <c r="K3" s="369"/>
      <c r="L3" s="369"/>
      <c r="M3" s="369"/>
      <c r="N3" s="369"/>
      <c r="O3" s="369"/>
      <c r="P3" s="369"/>
      <c r="Q3" s="369"/>
      <c r="R3" s="369"/>
      <c r="S3" s="369"/>
      <c r="T3" s="369"/>
      <c r="U3" s="369"/>
      <c r="V3" s="369"/>
      <c r="W3" s="369"/>
      <c r="X3" s="369"/>
      <c r="Y3" s="369"/>
      <c r="Z3" s="369"/>
      <c r="AA3" s="369"/>
      <c r="AB3" s="369"/>
      <c r="AC3" s="369"/>
      <c r="AD3" s="370"/>
      <c r="AE3" s="363"/>
      <c r="AF3" s="363"/>
      <c r="AG3" s="363"/>
      <c r="AH3" s="363"/>
      <c r="AI3" s="363"/>
      <c r="AJ3" s="363"/>
      <c r="AK3" s="363"/>
      <c r="AL3" s="371" t="str">
        <f>タイトル!$I$42</f>
        <v>社内開発機</v>
      </c>
      <c r="AM3" s="372"/>
      <c r="AN3" s="372"/>
      <c r="AO3" s="372"/>
      <c r="AP3" s="372"/>
      <c r="AQ3" s="372"/>
      <c r="AR3" s="372"/>
      <c r="AS3" s="372"/>
      <c r="AT3" s="372"/>
      <c r="AU3" s="372"/>
      <c r="AV3" s="372"/>
      <c r="AW3" s="372"/>
      <c r="AX3" s="372"/>
      <c r="AY3" s="372"/>
      <c r="AZ3" s="372"/>
      <c r="BA3" s="372"/>
      <c r="BB3" s="372"/>
      <c r="BC3" s="372"/>
      <c r="BD3" s="372"/>
      <c r="BE3" s="372"/>
      <c r="BF3" s="373"/>
      <c r="BG3" s="363"/>
      <c r="BH3" s="363"/>
      <c r="BI3" s="363"/>
      <c r="BJ3" s="363"/>
      <c r="BK3" s="379"/>
      <c r="BL3" s="380"/>
      <c r="BM3" s="380"/>
      <c r="BN3" s="380"/>
      <c r="BO3" s="380"/>
      <c r="BP3" s="380"/>
      <c r="BQ3" s="380"/>
      <c r="BR3" s="380"/>
      <c r="BS3" s="380"/>
      <c r="BT3" s="380"/>
      <c r="BU3" s="264"/>
      <c r="BV3" s="264"/>
      <c r="BW3" s="264"/>
      <c r="BX3" s="264"/>
      <c r="BY3" s="264"/>
      <c r="BZ3" s="264"/>
      <c r="CA3" s="264"/>
      <c r="CB3" s="264"/>
      <c r="CC3" s="265"/>
      <c r="CD3" s="344"/>
      <c r="CE3" s="345"/>
      <c r="CF3" s="345"/>
      <c r="CG3" s="345"/>
      <c r="CH3" s="346"/>
      <c r="CI3" s="333"/>
      <c r="CJ3" s="334"/>
      <c r="CK3" s="334"/>
      <c r="CL3" s="334"/>
      <c r="CM3" s="334"/>
      <c r="CN3" s="334"/>
      <c r="CO3" s="334"/>
      <c r="CP3" s="335"/>
    </row>
    <row r="4" spans="1:94" ht="15" customHeight="1" x14ac:dyDescent="0.1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2"/>
    </row>
    <row r="5" spans="1:94" ht="15" customHeight="1" x14ac:dyDescent="0.15">
      <c r="A5" s="1"/>
      <c r="B5" s="8" t="s">
        <v>805</v>
      </c>
      <c r="C5" s="9"/>
      <c r="CP5" s="3"/>
    </row>
    <row r="6" spans="1:94" ht="15" customHeight="1" x14ac:dyDescent="0.15">
      <c r="A6" s="1"/>
      <c r="B6" s="8"/>
      <c r="C6" s="9"/>
      <c r="CP6" s="3"/>
    </row>
    <row r="7" spans="1:94" ht="15" customHeight="1" x14ac:dyDescent="0.15">
      <c r="A7" s="1"/>
      <c r="B7" s="8"/>
      <c r="C7" s="9"/>
      <c r="E7" s="2" t="s">
        <v>1022</v>
      </c>
      <c r="AU7" s="94"/>
      <c r="CP7" s="3"/>
    </row>
    <row r="8" spans="1:94" ht="15" customHeight="1" x14ac:dyDescent="0.15">
      <c r="A8" s="1"/>
      <c r="B8" s="8"/>
      <c r="E8" s="2" t="s">
        <v>1184</v>
      </c>
      <c r="CP8" s="3"/>
    </row>
    <row r="9" spans="1:94" ht="15" customHeight="1" x14ac:dyDescent="0.15">
      <c r="A9" s="1"/>
      <c r="B9" s="8"/>
      <c r="CP9" s="3"/>
    </row>
    <row r="10" spans="1:94" ht="15" customHeight="1" x14ac:dyDescent="0.15">
      <c r="A10" s="1"/>
      <c r="B10" s="8"/>
      <c r="CP10" s="3"/>
    </row>
    <row r="11" spans="1:94" ht="15" customHeight="1" x14ac:dyDescent="0.15">
      <c r="A11" s="1"/>
      <c r="B11" s="8"/>
      <c r="CP11" s="3"/>
    </row>
    <row r="12" spans="1:94" ht="15" customHeight="1" x14ac:dyDescent="0.15">
      <c r="A12" s="1"/>
      <c r="CP12" s="3"/>
    </row>
    <row r="13" spans="1:94" ht="15" customHeight="1" x14ac:dyDescent="0.15">
      <c r="A13" s="1"/>
      <c r="B13" s="8"/>
      <c r="CP13" s="3"/>
    </row>
    <row r="14" spans="1:94" ht="15" customHeight="1" x14ac:dyDescent="0.15">
      <c r="A14" s="1"/>
      <c r="B14" s="8"/>
      <c r="CP14" s="3"/>
    </row>
    <row r="15" spans="1:94" ht="15" customHeight="1" x14ac:dyDescent="0.15">
      <c r="A15" s="1"/>
      <c r="B15" s="8"/>
      <c r="CP15" s="3"/>
    </row>
    <row r="16" spans="1:94" ht="15" customHeight="1" x14ac:dyDescent="0.15">
      <c r="A16" s="1"/>
      <c r="B16" s="8"/>
      <c r="CP16" s="3"/>
    </row>
    <row r="17" spans="1:94" ht="15" customHeight="1" x14ac:dyDescent="0.15">
      <c r="A17" s="1"/>
      <c r="CP17" s="3"/>
    </row>
    <row r="18" spans="1:94" ht="15" customHeight="1" x14ac:dyDescent="0.15">
      <c r="A18" s="1"/>
      <c r="B18" s="8"/>
      <c r="CP18" s="3"/>
    </row>
    <row r="19" spans="1:94" ht="15" customHeight="1" x14ac:dyDescent="0.15">
      <c r="A19" s="1"/>
      <c r="B19" s="8"/>
      <c r="CP19" s="3"/>
    </row>
    <row r="20" spans="1:94" ht="15" customHeight="1" x14ac:dyDescent="0.15">
      <c r="A20" s="1"/>
      <c r="B20" s="8"/>
      <c r="CP20" s="3"/>
    </row>
    <row r="21" spans="1:94" ht="15" customHeight="1" x14ac:dyDescent="0.15">
      <c r="A21" s="1"/>
      <c r="B21" s="8"/>
      <c r="CP21" s="3"/>
    </row>
    <row r="22" spans="1:94" ht="15" customHeight="1" x14ac:dyDescent="0.15">
      <c r="A22" s="1"/>
      <c r="B22" s="8"/>
      <c r="CP22" s="3"/>
    </row>
    <row r="23" spans="1:94" ht="15" customHeight="1" x14ac:dyDescent="0.15">
      <c r="A23" s="1"/>
      <c r="CP23" s="3"/>
    </row>
    <row r="24" spans="1:94" ht="15" customHeight="1" x14ac:dyDescent="0.15">
      <c r="A24" s="1"/>
      <c r="B24" s="8"/>
      <c r="CP24" s="3"/>
    </row>
    <row r="25" spans="1:94" ht="15" customHeight="1" x14ac:dyDescent="0.15">
      <c r="A25" s="1"/>
      <c r="B25" s="8"/>
      <c r="CP25" s="3"/>
    </row>
    <row r="26" spans="1:94" ht="15" customHeight="1" x14ac:dyDescent="0.15">
      <c r="A26" s="1"/>
      <c r="B26" s="8"/>
      <c r="CP26" s="3"/>
    </row>
    <row r="27" spans="1:94" ht="15" customHeight="1" x14ac:dyDescent="0.15">
      <c r="A27" s="1"/>
      <c r="B27" s="8"/>
      <c r="CP27" s="3"/>
    </row>
    <row r="28" spans="1:94" ht="15" customHeight="1" x14ac:dyDescent="0.15">
      <c r="A28" s="1"/>
      <c r="CP28" s="3"/>
    </row>
    <row r="29" spans="1:94" ht="15" customHeight="1" x14ac:dyDescent="0.15">
      <c r="A29" s="1"/>
      <c r="B29" s="8"/>
      <c r="E29" s="9"/>
      <c r="CP29" s="3"/>
    </row>
    <row r="30" spans="1:94" ht="15" customHeight="1" x14ac:dyDescent="0.15">
      <c r="A30" s="1"/>
      <c r="B30" s="8"/>
      <c r="E30" s="9"/>
      <c r="CP30" s="3"/>
    </row>
    <row r="31" spans="1:94" ht="15" customHeight="1" x14ac:dyDescent="0.15">
      <c r="A31" s="1"/>
      <c r="B31" s="8"/>
      <c r="E31" s="9"/>
      <c r="CP31" s="3"/>
    </row>
    <row r="32" spans="1:94" ht="15" customHeight="1" x14ac:dyDescent="0.15">
      <c r="A32" s="1"/>
      <c r="B32" s="8"/>
      <c r="E32" s="9"/>
      <c r="CP32" s="3"/>
    </row>
    <row r="33" spans="1:94" ht="15" customHeight="1" x14ac:dyDescent="0.15">
      <c r="A33" s="1"/>
      <c r="CP33" s="3"/>
    </row>
    <row r="34" spans="1:94" ht="15" customHeight="1" x14ac:dyDescent="0.15">
      <c r="A34" s="1"/>
      <c r="B34" s="8"/>
      <c r="E34" s="9"/>
      <c r="CP34" s="3"/>
    </row>
    <row r="35" spans="1:94" ht="15" customHeight="1" x14ac:dyDescent="0.15">
      <c r="A35" s="1"/>
      <c r="B35" s="8"/>
      <c r="E35" s="9"/>
      <c r="CP35" s="3"/>
    </row>
    <row r="36" spans="1:94" ht="15" customHeight="1" x14ac:dyDescent="0.15">
      <c r="A36" s="1"/>
      <c r="B36" s="8"/>
      <c r="E36" s="9"/>
      <c r="CP36" s="3"/>
    </row>
    <row r="37" spans="1:94" ht="15" customHeight="1" x14ac:dyDescent="0.15">
      <c r="A37" s="1"/>
      <c r="B37" s="8"/>
      <c r="E37" s="9"/>
      <c r="CP37" s="3"/>
    </row>
    <row r="38" spans="1:94" ht="15" customHeight="1" x14ac:dyDescent="0.15">
      <c r="A38" s="1"/>
      <c r="CP38" s="3"/>
    </row>
    <row r="39" spans="1:94" ht="15" customHeight="1" x14ac:dyDescent="0.15">
      <c r="A39" s="1"/>
      <c r="B39" s="8"/>
      <c r="E39" s="9"/>
      <c r="CP39" s="3"/>
    </row>
    <row r="40" spans="1:94" ht="15" customHeight="1" x14ac:dyDescent="0.15">
      <c r="A40" s="1"/>
      <c r="B40" s="8"/>
      <c r="E40" s="9"/>
      <c r="CP40" s="3"/>
    </row>
    <row r="41" spans="1:94" ht="15" customHeight="1" x14ac:dyDescent="0.15">
      <c r="A41" s="1"/>
      <c r="B41" s="8"/>
      <c r="E41" s="9"/>
      <c r="CP41" s="3"/>
    </row>
    <row r="42" spans="1:94" ht="15" customHeight="1" x14ac:dyDescent="0.15">
      <c r="A42" s="1"/>
      <c r="CP42" s="3"/>
    </row>
    <row r="43" spans="1:94" ht="15" customHeight="1" x14ac:dyDescent="0.15">
      <c r="A43" s="1"/>
      <c r="B43" s="8"/>
      <c r="E43" s="9"/>
      <c r="CP43" s="3"/>
    </row>
    <row r="44" spans="1:94" ht="15" customHeight="1" x14ac:dyDescent="0.15">
      <c r="A44" s="1"/>
      <c r="B44" s="8"/>
      <c r="E44" s="9"/>
      <c r="CP44" s="3"/>
    </row>
    <row r="45" spans="1:94" ht="15" customHeight="1" x14ac:dyDescent="0.15">
      <c r="A45" s="1"/>
      <c r="B45" s="8"/>
      <c r="E45" s="9"/>
      <c r="CP45" s="3"/>
    </row>
    <row r="46" spans="1:94" ht="15" customHeight="1" x14ac:dyDescent="0.15">
      <c r="A46" s="1"/>
      <c r="B46" s="8"/>
      <c r="E46" s="9"/>
      <c r="CP46" s="3"/>
    </row>
    <row r="47" spans="1:94" ht="15" customHeight="1" thickBot="1" x14ac:dyDescent="0.2">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7"/>
    </row>
  </sheetData>
  <mergeCells count="21">
    <mergeCell ref="A3:H3"/>
    <mergeCell ref="I3:AD3"/>
    <mergeCell ref="AL3:BF3"/>
    <mergeCell ref="BG3:BJ3"/>
    <mergeCell ref="BK3:CC3"/>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DA5A0-FC5E-48C3-9BF3-482F6ADDD17B}">
  <dimension ref="A1:CP47"/>
  <sheetViews>
    <sheetView view="pageBreakPreview" zoomScaleNormal="80" zoomScaleSheetLayoutView="100" workbookViewId="0">
      <pane ySplit="3" topLeftCell="A4" activePane="bottomLeft" state="frozen"/>
      <selection activeCell="BR7" sqref="BR7:BX7"/>
      <selection pane="bottomLeft" activeCell="A4" sqref="A4"/>
    </sheetView>
  </sheetViews>
  <sheetFormatPr defaultColWidth="1.875" defaultRowHeight="15" customHeight="1" x14ac:dyDescent="0.15"/>
  <cols>
    <col min="1" max="16384" width="1.875" style="2"/>
  </cols>
  <sheetData>
    <row r="1" spans="1:94" s="8" customFormat="1" ht="15" customHeight="1" x14ac:dyDescent="0.15">
      <c r="A1" s="297" t="s">
        <v>39</v>
      </c>
      <c r="B1" s="298"/>
      <c r="C1" s="298"/>
      <c r="D1" s="298"/>
      <c r="E1" s="298"/>
      <c r="F1" s="298"/>
      <c r="G1" s="298"/>
      <c r="H1" s="298"/>
      <c r="I1" s="299" t="str">
        <f>タイトル!$I$40</f>
        <v>教務システム</v>
      </c>
      <c r="J1" s="300"/>
      <c r="K1" s="300"/>
      <c r="L1" s="300"/>
      <c r="M1" s="300"/>
      <c r="N1" s="300"/>
      <c r="O1" s="300"/>
      <c r="P1" s="300"/>
      <c r="Q1" s="300"/>
      <c r="R1" s="300"/>
      <c r="S1" s="300"/>
      <c r="T1" s="300"/>
      <c r="U1" s="300"/>
      <c r="V1" s="300"/>
      <c r="W1" s="300"/>
      <c r="X1" s="300"/>
      <c r="Y1" s="300"/>
      <c r="Z1" s="300"/>
      <c r="AA1" s="300"/>
      <c r="AB1" s="300"/>
      <c r="AC1" s="300"/>
      <c r="AD1" s="301"/>
      <c r="AE1" s="302" t="s">
        <v>30</v>
      </c>
      <c r="AF1" s="302"/>
      <c r="AG1" s="302"/>
      <c r="AH1" s="302"/>
      <c r="AI1" s="302"/>
      <c r="AJ1" s="302"/>
      <c r="AK1" s="302"/>
      <c r="AL1" s="303" t="str">
        <f>タイトル!$I$43</f>
        <v>構築手順書の作成</v>
      </c>
      <c r="AM1" s="304"/>
      <c r="AN1" s="304"/>
      <c r="AO1" s="304"/>
      <c r="AP1" s="304"/>
      <c r="AQ1" s="304"/>
      <c r="AR1" s="304"/>
      <c r="AS1" s="304"/>
      <c r="AT1" s="304"/>
      <c r="AU1" s="304"/>
      <c r="AV1" s="304"/>
      <c r="AW1" s="304"/>
      <c r="AX1" s="304"/>
      <c r="AY1" s="304"/>
      <c r="AZ1" s="304"/>
      <c r="BA1" s="304"/>
      <c r="BB1" s="304"/>
      <c r="BC1" s="304"/>
      <c r="BD1" s="304"/>
      <c r="BE1" s="304"/>
      <c r="BF1" s="304"/>
      <c r="BG1" s="302" t="s">
        <v>31</v>
      </c>
      <c r="BH1" s="302"/>
      <c r="BI1" s="302"/>
      <c r="BJ1" s="302"/>
      <c r="BK1" s="305" t="str">
        <f>タイトル!$I$46</f>
        <v>大久保　梓沙</v>
      </c>
      <c r="BL1" s="306"/>
      <c r="BM1" s="306"/>
      <c r="BN1" s="306"/>
      <c r="BO1" s="306"/>
      <c r="BP1" s="306"/>
      <c r="BQ1" s="306"/>
      <c r="BR1" s="306"/>
      <c r="BS1" s="306"/>
      <c r="BT1" s="307"/>
      <c r="BU1" s="266">
        <f>タイトル!$I$47</f>
        <v>45336</v>
      </c>
      <c r="BV1" s="266"/>
      <c r="BW1" s="266"/>
      <c r="BX1" s="266"/>
      <c r="BY1" s="266"/>
      <c r="BZ1" s="266"/>
      <c r="CA1" s="266"/>
      <c r="CB1" s="266"/>
      <c r="CC1" s="266"/>
      <c r="CD1" s="338" t="s">
        <v>38</v>
      </c>
      <c r="CE1" s="339"/>
      <c r="CF1" s="339"/>
      <c r="CG1" s="339"/>
      <c r="CH1" s="340"/>
      <c r="CI1" s="327" t="str">
        <f>タイトル!$I$50</f>
        <v xml:space="preserve"> </v>
      </c>
      <c r="CJ1" s="328"/>
      <c r="CK1" s="328"/>
      <c r="CL1" s="328"/>
      <c r="CM1" s="328"/>
      <c r="CN1" s="328"/>
      <c r="CO1" s="328"/>
      <c r="CP1" s="329"/>
    </row>
    <row r="2" spans="1:94" s="8" customFormat="1" ht="15" customHeight="1" x14ac:dyDescent="0.15">
      <c r="A2" s="285" t="s">
        <v>40</v>
      </c>
      <c r="B2" s="286"/>
      <c r="C2" s="286"/>
      <c r="D2" s="286"/>
      <c r="E2" s="286"/>
      <c r="F2" s="286"/>
      <c r="G2" s="286"/>
      <c r="H2" s="286"/>
      <c r="I2" s="287" t="str">
        <f>タイトル!$I$41</f>
        <v>基盤構築</v>
      </c>
      <c r="J2" s="288"/>
      <c r="K2" s="288"/>
      <c r="L2" s="288"/>
      <c r="M2" s="288"/>
      <c r="N2" s="288"/>
      <c r="O2" s="288"/>
      <c r="P2" s="288"/>
      <c r="Q2" s="288"/>
      <c r="R2" s="288"/>
      <c r="S2" s="288"/>
      <c r="T2" s="288"/>
      <c r="U2" s="288"/>
      <c r="V2" s="288"/>
      <c r="W2" s="288"/>
      <c r="X2" s="288"/>
      <c r="Y2" s="288"/>
      <c r="Z2" s="288"/>
      <c r="AA2" s="288"/>
      <c r="AB2" s="288"/>
      <c r="AC2" s="288"/>
      <c r="AD2" s="289"/>
      <c r="AE2" s="362" t="s">
        <v>32</v>
      </c>
      <c r="AF2" s="362"/>
      <c r="AG2" s="362"/>
      <c r="AH2" s="362"/>
      <c r="AI2" s="362"/>
      <c r="AJ2" s="362"/>
      <c r="AK2" s="362"/>
      <c r="AL2" s="291" t="str">
        <f>タイトル!$I$44</f>
        <v>システム環境定義書</v>
      </c>
      <c r="AM2" s="292"/>
      <c r="AN2" s="292"/>
      <c r="AO2" s="292"/>
      <c r="AP2" s="292"/>
      <c r="AQ2" s="292"/>
      <c r="AR2" s="292"/>
      <c r="AS2" s="292"/>
      <c r="AT2" s="292"/>
      <c r="AU2" s="292"/>
      <c r="AV2" s="292"/>
      <c r="AW2" s="292"/>
      <c r="AX2" s="292"/>
      <c r="AY2" s="292"/>
      <c r="AZ2" s="292"/>
      <c r="BA2" s="292"/>
      <c r="BB2" s="292"/>
      <c r="BC2" s="292"/>
      <c r="BD2" s="292"/>
      <c r="BE2" s="292"/>
      <c r="BF2" s="292"/>
      <c r="BG2" s="290" t="s">
        <v>33</v>
      </c>
      <c r="BH2" s="290"/>
      <c r="BI2" s="290"/>
      <c r="BJ2" s="290"/>
      <c r="BK2" s="293"/>
      <c r="BL2" s="294"/>
      <c r="BM2" s="294"/>
      <c r="BN2" s="294"/>
      <c r="BO2" s="294"/>
      <c r="BP2" s="294"/>
      <c r="BQ2" s="294"/>
      <c r="BR2" s="294"/>
      <c r="BS2" s="294"/>
      <c r="BT2" s="295"/>
      <c r="BU2" s="296"/>
      <c r="BV2" s="296"/>
      <c r="BW2" s="296"/>
      <c r="BX2" s="296"/>
      <c r="BY2" s="296"/>
      <c r="BZ2" s="296"/>
      <c r="CA2" s="296"/>
      <c r="CB2" s="296"/>
      <c r="CC2" s="296"/>
      <c r="CD2" s="341"/>
      <c r="CE2" s="342"/>
      <c r="CF2" s="342"/>
      <c r="CG2" s="342"/>
      <c r="CH2" s="343"/>
      <c r="CI2" s="330"/>
      <c r="CJ2" s="331"/>
      <c r="CK2" s="331"/>
      <c r="CL2" s="331"/>
      <c r="CM2" s="331"/>
      <c r="CN2" s="331"/>
      <c r="CO2" s="331"/>
      <c r="CP2" s="332"/>
    </row>
    <row r="3" spans="1:94" s="8" customFormat="1" ht="15" customHeight="1" thickBot="1" x14ac:dyDescent="0.2">
      <c r="A3" s="366"/>
      <c r="B3" s="367"/>
      <c r="C3" s="367"/>
      <c r="D3" s="367"/>
      <c r="E3" s="367"/>
      <c r="F3" s="367"/>
      <c r="G3" s="367"/>
      <c r="H3" s="367"/>
      <c r="I3" s="368" t="s">
        <v>628</v>
      </c>
      <c r="J3" s="369"/>
      <c r="K3" s="369"/>
      <c r="L3" s="369"/>
      <c r="M3" s="369"/>
      <c r="N3" s="369"/>
      <c r="O3" s="369"/>
      <c r="P3" s="369"/>
      <c r="Q3" s="369"/>
      <c r="R3" s="369"/>
      <c r="S3" s="369"/>
      <c r="T3" s="369"/>
      <c r="U3" s="369"/>
      <c r="V3" s="369"/>
      <c r="W3" s="369"/>
      <c r="X3" s="369"/>
      <c r="Y3" s="369"/>
      <c r="Z3" s="369"/>
      <c r="AA3" s="369"/>
      <c r="AB3" s="369"/>
      <c r="AC3" s="369"/>
      <c r="AD3" s="370"/>
      <c r="AE3" s="363"/>
      <c r="AF3" s="363"/>
      <c r="AG3" s="363"/>
      <c r="AH3" s="363"/>
      <c r="AI3" s="363"/>
      <c r="AJ3" s="363"/>
      <c r="AK3" s="363"/>
      <c r="AL3" s="371" t="str">
        <f>タイトル!$I$42</f>
        <v>社内開発機</v>
      </c>
      <c r="AM3" s="372"/>
      <c r="AN3" s="372"/>
      <c r="AO3" s="372"/>
      <c r="AP3" s="372"/>
      <c r="AQ3" s="372"/>
      <c r="AR3" s="372"/>
      <c r="AS3" s="372"/>
      <c r="AT3" s="372"/>
      <c r="AU3" s="372"/>
      <c r="AV3" s="372"/>
      <c r="AW3" s="372"/>
      <c r="AX3" s="372"/>
      <c r="AY3" s="372"/>
      <c r="AZ3" s="372"/>
      <c r="BA3" s="372"/>
      <c r="BB3" s="372"/>
      <c r="BC3" s="372"/>
      <c r="BD3" s="372"/>
      <c r="BE3" s="372"/>
      <c r="BF3" s="373"/>
      <c r="BG3" s="363"/>
      <c r="BH3" s="363"/>
      <c r="BI3" s="363"/>
      <c r="BJ3" s="363"/>
      <c r="BK3" s="379"/>
      <c r="BL3" s="380"/>
      <c r="BM3" s="380"/>
      <c r="BN3" s="380"/>
      <c r="BO3" s="380"/>
      <c r="BP3" s="380"/>
      <c r="BQ3" s="380"/>
      <c r="BR3" s="380"/>
      <c r="BS3" s="380"/>
      <c r="BT3" s="380"/>
      <c r="BU3" s="264"/>
      <c r="BV3" s="264"/>
      <c r="BW3" s="264"/>
      <c r="BX3" s="264"/>
      <c r="BY3" s="264"/>
      <c r="BZ3" s="264"/>
      <c r="CA3" s="264"/>
      <c r="CB3" s="264"/>
      <c r="CC3" s="265"/>
      <c r="CD3" s="344"/>
      <c r="CE3" s="345"/>
      <c r="CF3" s="345"/>
      <c r="CG3" s="345"/>
      <c r="CH3" s="346"/>
      <c r="CI3" s="333"/>
      <c r="CJ3" s="334"/>
      <c r="CK3" s="334"/>
      <c r="CL3" s="334"/>
      <c r="CM3" s="334"/>
      <c r="CN3" s="334"/>
      <c r="CO3" s="334"/>
      <c r="CP3" s="335"/>
    </row>
    <row r="4" spans="1:94" ht="15" customHeight="1" x14ac:dyDescent="0.1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2"/>
    </row>
    <row r="5" spans="1:94" ht="15" customHeight="1" x14ac:dyDescent="0.15">
      <c r="A5" s="1"/>
      <c r="B5" s="8" t="s">
        <v>806</v>
      </c>
      <c r="C5" s="9"/>
      <c r="CP5" s="3"/>
    </row>
    <row r="6" spans="1:94" ht="15" customHeight="1" x14ac:dyDescent="0.15">
      <c r="A6" s="1"/>
      <c r="B6" s="8"/>
      <c r="CP6" s="3"/>
    </row>
    <row r="7" spans="1:94" ht="15" customHeight="1" x14ac:dyDescent="0.15">
      <c r="A7" s="1"/>
      <c r="B7" s="8"/>
      <c r="D7" s="2" t="s">
        <v>1023</v>
      </c>
      <c r="CP7" s="3"/>
    </row>
    <row r="8" spans="1:94" ht="15" customHeight="1" x14ac:dyDescent="0.15">
      <c r="A8" s="1"/>
      <c r="B8" s="8"/>
      <c r="CP8" s="3"/>
    </row>
    <row r="9" spans="1:94" ht="15" customHeight="1" thickBot="1" x14ac:dyDescent="0.2">
      <c r="A9" s="1"/>
      <c r="B9" s="8"/>
      <c r="CP9" s="3"/>
    </row>
    <row r="10" spans="1:94" ht="15" customHeight="1" x14ac:dyDescent="0.15">
      <c r="A10" s="1"/>
      <c r="B10" s="8"/>
      <c r="D10" s="10" t="s">
        <v>1024</v>
      </c>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2"/>
      <c r="CP10" s="3"/>
    </row>
    <row r="11" spans="1:94" ht="15" customHeight="1" x14ac:dyDescent="0.15">
      <c r="A11" s="1"/>
      <c r="D11" s="1"/>
      <c r="CK11" s="3"/>
      <c r="CP11" s="3"/>
    </row>
    <row r="12" spans="1:94" ht="15" customHeight="1" x14ac:dyDescent="0.15">
      <c r="A12" s="1"/>
      <c r="D12" s="1"/>
      <c r="CK12" s="3"/>
      <c r="CP12" s="3"/>
    </row>
    <row r="13" spans="1:94" ht="15" customHeight="1" x14ac:dyDescent="0.15">
      <c r="A13" s="1"/>
      <c r="B13" s="8"/>
      <c r="D13" s="1"/>
      <c r="F13" s="122"/>
      <c r="G13" s="123"/>
      <c r="H13" s="123"/>
      <c r="I13" s="123"/>
      <c r="J13" s="123"/>
      <c r="K13" s="123"/>
      <c r="L13" s="123"/>
      <c r="M13" s="123"/>
      <c r="N13" s="123"/>
      <c r="O13" s="123"/>
      <c r="P13" s="123"/>
      <c r="Q13" s="123"/>
      <c r="R13" s="123"/>
      <c r="S13" s="124"/>
      <c r="AC13" s="122"/>
      <c r="AD13" s="123"/>
      <c r="AE13" s="123"/>
      <c r="AF13" s="123"/>
      <c r="AG13" s="123"/>
      <c r="AH13" s="123"/>
      <c r="AI13" s="123"/>
      <c r="AJ13" s="123"/>
      <c r="AK13" s="123"/>
      <c r="AL13" s="123"/>
      <c r="AM13" s="123"/>
      <c r="AN13" s="123"/>
      <c r="AO13" s="123"/>
      <c r="AP13" s="124"/>
      <c r="BA13" s="122"/>
      <c r="BB13" s="123"/>
      <c r="BC13" s="123"/>
      <c r="BD13" s="123"/>
      <c r="BE13" s="123"/>
      <c r="BF13" s="123"/>
      <c r="BG13" s="123"/>
      <c r="BH13" s="123"/>
      <c r="BI13" s="123"/>
      <c r="BJ13" s="123"/>
      <c r="BK13" s="123"/>
      <c r="BL13" s="123"/>
      <c r="BM13" s="123"/>
      <c r="BN13" s="124"/>
      <c r="CK13" s="3"/>
      <c r="CP13" s="3"/>
    </row>
    <row r="14" spans="1:94" ht="15" customHeight="1" x14ac:dyDescent="0.15">
      <c r="A14" s="1"/>
      <c r="B14" s="8"/>
      <c r="D14" s="1"/>
      <c r="F14" s="125"/>
      <c r="G14" s="126" t="s">
        <v>1025</v>
      </c>
      <c r="H14" s="126"/>
      <c r="I14" s="126"/>
      <c r="J14" s="126"/>
      <c r="K14" s="126"/>
      <c r="L14" s="126"/>
      <c r="M14" s="126"/>
      <c r="N14" s="126"/>
      <c r="O14" s="126"/>
      <c r="P14" s="126"/>
      <c r="Q14" s="126"/>
      <c r="R14" s="126"/>
      <c r="S14" s="127"/>
      <c r="AC14" s="125"/>
      <c r="AD14" s="126" t="s">
        <v>1026</v>
      </c>
      <c r="AE14" s="126"/>
      <c r="AF14" s="126"/>
      <c r="AG14" s="126"/>
      <c r="AH14" s="126"/>
      <c r="AI14" s="126"/>
      <c r="AJ14" s="126"/>
      <c r="AK14" s="126"/>
      <c r="AL14" s="126"/>
      <c r="AM14" s="126"/>
      <c r="AN14" s="126"/>
      <c r="AO14" s="126"/>
      <c r="AP14" s="127"/>
      <c r="AR14" s="2" t="s">
        <v>1027</v>
      </c>
      <c r="BA14" s="125"/>
      <c r="BB14" s="126" t="s">
        <v>1028</v>
      </c>
      <c r="BC14" s="126"/>
      <c r="BD14" s="126"/>
      <c r="BE14" s="126"/>
      <c r="BF14" s="126"/>
      <c r="BG14" s="126"/>
      <c r="BH14" s="126"/>
      <c r="BI14" s="126"/>
      <c r="BJ14" s="126"/>
      <c r="BK14" s="126"/>
      <c r="BL14" s="126"/>
      <c r="BM14" s="126"/>
      <c r="BN14" s="127"/>
      <c r="CK14" s="3"/>
      <c r="CP14" s="3"/>
    </row>
    <row r="15" spans="1:94" ht="15" customHeight="1" x14ac:dyDescent="0.15">
      <c r="A15" s="1"/>
      <c r="B15" s="8"/>
      <c r="D15" s="1"/>
      <c r="F15" s="125"/>
      <c r="G15" s="126"/>
      <c r="H15" s="126"/>
      <c r="I15" s="126"/>
      <c r="J15" s="126"/>
      <c r="K15" s="126"/>
      <c r="L15" s="126"/>
      <c r="M15" s="126"/>
      <c r="N15" s="126"/>
      <c r="O15" s="126"/>
      <c r="P15" s="126"/>
      <c r="Q15" s="126"/>
      <c r="R15" s="126"/>
      <c r="S15" s="127"/>
      <c r="AC15" s="125"/>
      <c r="AD15" s="126"/>
      <c r="AE15" s="126" t="s">
        <v>1029</v>
      </c>
      <c r="AF15" s="126"/>
      <c r="AG15" s="126"/>
      <c r="AH15" s="126"/>
      <c r="AI15" s="126"/>
      <c r="AJ15" s="126"/>
      <c r="AK15" s="126"/>
      <c r="AL15" s="126"/>
      <c r="AM15" s="126"/>
      <c r="AN15" s="126"/>
      <c r="AO15" s="126"/>
      <c r="AP15" s="127"/>
      <c r="BA15" s="125"/>
      <c r="BB15" s="126"/>
      <c r="BC15" s="126" t="s">
        <v>1030</v>
      </c>
      <c r="BD15" s="126"/>
      <c r="BE15" s="126"/>
      <c r="BF15" s="126"/>
      <c r="BG15" s="126"/>
      <c r="BH15" s="126"/>
      <c r="BI15" s="126"/>
      <c r="BJ15" s="126"/>
      <c r="BK15" s="126"/>
      <c r="BL15" s="126"/>
      <c r="BM15" s="126"/>
      <c r="BN15" s="127"/>
      <c r="CK15" s="3"/>
      <c r="CP15" s="3"/>
    </row>
    <row r="16" spans="1:94" ht="15" customHeight="1" x14ac:dyDescent="0.15">
      <c r="A16" s="1"/>
      <c r="B16" s="8"/>
      <c r="D16" s="1"/>
      <c r="F16" s="125"/>
      <c r="G16" s="126"/>
      <c r="H16" s="150" t="s">
        <v>1031</v>
      </c>
      <c r="I16" s="151"/>
      <c r="J16" s="152"/>
      <c r="K16" s="152"/>
      <c r="L16" s="152"/>
      <c r="M16" s="152"/>
      <c r="N16" s="152"/>
      <c r="O16" s="152"/>
      <c r="P16" s="153"/>
      <c r="Q16" s="126"/>
      <c r="R16" s="126"/>
      <c r="S16" s="127"/>
      <c r="AC16" s="125"/>
      <c r="AD16" s="126"/>
      <c r="AE16" s="126"/>
      <c r="AF16" s="126"/>
      <c r="AG16" s="126"/>
      <c r="AH16" s="126"/>
      <c r="AI16" s="126"/>
      <c r="AJ16" s="126"/>
      <c r="AK16" s="126"/>
      <c r="AL16" s="126"/>
      <c r="AM16" s="126"/>
      <c r="AN16" s="126"/>
      <c r="AO16" s="126"/>
      <c r="AP16" s="127"/>
      <c r="BA16" s="125"/>
      <c r="BB16" s="126"/>
      <c r="BC16" s="126"/>
      <c r="BD16" s="126"/>
      <c r="BE16" s="126"/>
      <c r="BF16" s="126"/>
      <c r="BG16" s="126"/>
      <c r="BH16" s="126"/>
      <c r="BI16" s="126"/>
      <c r="BJ16" s="126"/>
      <c r="BK16" s="126"/>
      <c r="BL16" s="126"/>
      <c r="BM16" s="126"/>
      <c r="BN16" s="127"/>
      <c r="CK16" s="3"/>
      <c r="CP16" s="3"/>
    </row>
    <row r="17" spans="1:94" ht="15" customHeight="1" x14ac:dyDescent="0.15">
      <c r="A17" s="1"/>
      <c r="D17" s="1"/>
      <c r="F17" s="125"/>
      <c r="G17" s="126"/>
      <c r="H17" s="150" t="s">
        <v>1032</v>
      </c>
      <c r="I17" s="151"/>
      <c r="J17" s="152"/>
      <c r="K17" s="152"/>
      <c r="L17" s="152"/>
      <c r="M17" s="152"/>
      <c r="N17" s="152"/>
      <c r="O17" s="152"/>
      <c r="P17" s="153"/>
      <c r="Q17" s="126"/>
      <c r="R17" s="126"/>
      <c r="S17" s="127"/>
      <c r="U17" s="2" t="s">
        <v>1033</v>
      </c>
      <c r="AC17" s="125"/>
      <c r="AD17" s="126"/>
      <c r="AE17" s="126"/>
      <c r="AF17" s="126"/>
      <c r="AG17" s="126"/>
      <c r="AH17" s="126"/>
      <c r="AI17" s="126"/>
      <c r="AJ17" s="126"/>
      <c r="AK17" s="126"/>
      <c r="AL17" s="126"/>
      <c r="AM17" s="126"/>
      <c r="AN17" s="126"/>
      <c r="AO17" s="126"/>
      <c r="AP17" s="127"/>
      <c r="BA17" s="125"/>
      <c r="BB17" s="126"/>
      <c r="BC17" s="126"/>
      <c r="BD17" s="126"/>
      <c r="BE17" s="126"/>
      <c r="BF17" s="126"/>
      <c r="BG17" s="126"/>
      <c r="BH17" s="126"/>
      <c r="BI17" s="126"/>
      <c r="BJ17" s="126"/>
      <c r="BK17" s="126"/>
      <c r="BL17" s="126"/>
      <c r="BM17" s="126"/>
      <c r="BN17" s="127"/>
      <c r="CK17" s="3"/>
      <c r="CP17" s="3"/>
    </row>
    <row r="18" spans="1:94" ht="15" customHeight="1" x14ac:dyDescent="0.15">
      <c r="A18" s="1"/>
      <c r="B18" s="8"/>
      <c r="D18" s="1"/>
      <c r="F18" s="125"/>
      <c r="G18" s="126"/>
      <c r="H18" s="126"/>
      <c r="I18" s="126"/>
      <c r="J18" s="126"/>
      <c r="K18" s="126"/>
      <c r="L18" s="126"/>
      <c r="M18" s="126"/>
      <c r="N18" s="469" t="s">
        <v>808</v>
      </c>
      <c r="O18" s="469"/>
      <c r="P18" s="469"/>
      <c r="Q18" s="126"/>
      <c r="R18" s="126"/>
      <c r="S18" s="127"/>
      <c r="U18" s="2" t="s">
        <v>151</v>
      </c>
      <c r="AC18" s="125"/>
      <c r="AD18" s="126"/>
      <c r="AE18" s="126"/>
      <c r="AF18" s="126"/>
      <c r="AG18" s="126"/>
      <c r="AH18" s="126"/>
      <c r="AI18" s="126"/>
      <c r="AJ18" s="126"/>
      <c r="AK18" s="126"/>
      <c r="AL18" s="126"/>
      <c r="AM18" s="126"/>
      <c r="AN18" s="126"/>
      <c r="AO18" s="126"/>
      <c r="AP18" s="127"/>
      <c r="BA18" s="125"/>
      <c r="BB18" s="126"/>
      <c r="BC18" s="126"/>
      <c r="BD18" s="126"/>
      <c r="BE18" s="126"/>
      <c r="BF18" s="126"/>
      <c r="BG18" s="126"/>
      <c r="BH18" s="126"/>
      <c r="BI18" s="126"/>
      <c r="BJ18" s="126"/>
      <c r="BK18" s="126"/>
      <c r="BL18" s="126"/>
      <c r="BM18" s="126"/>
      <c r="BN18" s="127"/>
      <c r="CK18" s="3"/>
      <c r="CP18" s="3"/>
    </row>
    <row r="19" spans="1:94" ht="15" customHeight="1" x14ac:dyDescent="0.15">
      <c r="A19" s="1"/>
      <c r="B19" s="8"/>
      <c r="D19" s="1"/>
      <c r="F19" s="128"/>
      <c r="G19" s="129"/>
      <c r="H19" s="129"/>
      <c r="I19" s="129"/>
      <c r="J19" s="129"/>
      <c r="K19" s="129"/>
      <c r="L19" s="129"/>
      <c r="M19" s="129"/>
      <c r="N19" s="129"/>
      <c r="O19" s="129"/>
      <c r="P19" s="129"/>
      <c r="Q19" s="129"/>
      <c r="R19" s="129"/>
      <c r="S19" s="130"/>
      <c r="U19" s="2" t="s">
        <v>1034</v>
      </c>
      <c r="AC19" s="128"/>
      <c r="AD19" s="129"/>
      <c r="AE19" s="129"/>
      <c r="AF19" s="129"/>
      <c r="AG19" s="129"/>
      <c r="AH19" s="129"/>
      <c r="AI19" s="129"/>
      <c r="AJ19" s="129"/>
      <c r="AK19" s="129"/>
      <c r="AL19" s="129"/>
      <c r="AM19" s="129"/>
      <c r="AN19" s="129"/>
      <c r="AO19" s="129"/>
      <c r="AP19" s="130"/>
      <c r="BA19" s="128"/>
      <c r="BB19" s="129"/>
      <c r="BC19" s="129"/>
      <c r="BD19" s="129"/>
      <c r="BE19" s="129"/>
      <c r="BF19" s="129"/>
      <c r="BG19" s="129"/>
      <c r="BH19" s="129"/>
      <c r="BI19" s="129"/>
      <c r="BJ19" s="129"/>
      <c r="BK19" s="129"/>
      <c r="BL19" s="129"/>
      <c r="BM19" s="129"/>
      <c r="BN19" s="130"/>
      <c r="CK19" s="3"/>
      <c r="CP19" s="3"/>
    </row>
    <row r="20" spans="1:94" ht="15" customHeight="1" x14ac:dyDescent="0.15">
      <c r="A20" s="1"/>
      <c r="B20" s="8"/>
      <c r="D20" s="1"/>
      <c r="CK20" s="3"/>
      <c r="CP20" s="3"/>
    </row>
    <row r="21" spans="1:94" ht="15" customHeight="1" x14ac:dyDescent="0.15">
      <c r="A21" s="1"/>
      <c r="B21" s="8"/>
      <c r="D21" s="1"/>
      <c r="CK21" s="3"/>
      <c r="CP21" s="3"/>
    </row>
    <row r="22" spans="1:94" ht="15" customHeight="1" thickBot="1" x14ac:dyDescent="0.2">
      <c r="A22" s="1"/>
      <c r="B22" s="8"/>
      <c r="D22" s="5"/>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7"/>
      <c r="CP22" s="3"/>
    </row>
    <row r="23" spans="1:94" ht="15" customHeight="1" x14ac:dyDescent="0.15">
      <c r="A23" s="1"/>
      <c r="CP23" s="3"/>
    </row>
    <row r="24" spans="1:94" ht="15" customHeight="1" x14ac:dyDescent="0.15">
      <c r="A24" s="1"/>
      <c r="B24" s="8"/>
      <c r="CP24" s="3"/>
    </row>
    <row r="25" spans="1:94" ht="15" customHeight="1" x14ac:dyDescent="0.15">
      <c r="A25" s="1"/>
      <c r="B25" s="8"/>
      <c r="CP25" s="3"/>
    </row>
    <row r="26" spans="1:94" ht="15" customHeight="1" thickBot="1" x14ac:dyDescent="0.2">
      <c r="A26" s="1"/>
      <c r="B26" s="8"/>
      <c r="CP26" s="3"/>
    </row>
    <row r="27" spans="1:94" ht="15" customHeight="1" x14ac:dyDescent="0.15">
      <c r="A27" s="1"/>
      <c r="B27" s="8"/>
      <c r="AC27" s="10" t="s">
        <v>1035</v>
      </c>
      <c r="AD27" s="11"/>
      <c r="AE27" s="11"/>
      <c r="AF27" s="11"/>
      <c r="AG27" s="11"/>
      <c r="AH27" s="11"/>
      <c r="AI27" s="11"/>
      <c r="AJ27" s="11"/>
      <c r="AK27" s="11"/>
      <c r="AL27" s="11"/>
      <c r="AM27" s="11"/>
      <c r="AN27" s="11"/>
      <c r="AO27" s="11"/>
      <c r="AP27" s="11"/>
      <c r="AQ27" s="11"/>
      <c r="AR27" s="12"/>
      <c r="CP27" s="3"/>
    </row>
    <row r="28" spans="1:94" ht="15" customHeight="1" x14ac:dyDescent="0.15">
      <c r="A28" s="1"/>
      <c r="AC28" s="1"/>
      <c r="AR28" s="3"/>
      <c r="CP28" s="3"/>
    </row>
    <row r="29" spans="1:94" ht="15" customHeight="1" x14ac:dyDescent="0.15">
      <c r="A29" s="1"/>
      <c r="B29" s="8"/>
      <c r="AC29" s="1"/>
      <c r="AG29" s="2" t="s">
        <v>1036</v>
      </c>
      <c r="AR29" s="3"/>
      <c r="CP29" s="3"/>
    </row>
    <row r="30" spans="1:94" ht="15" customHeight="1" x14ac:dyDescent="0.15">
      <c r="A30" s="1"/>
      <c r="B30" s="8"/>
      <c r="AC30" s="1"/>
      <c r="AR30" s="3"/>
      <c r="CP30" s="3"/>
    </row>
    <row r="31" spans="1:94" ht="15" customHeight="1" x14ac:dyDescent="0.15">
      <c r="A31" s="1"/>
      <c r="B31" s="8"/>
      <c r="AC31" s="1"/>
      <c r="AR31" s="3"/>
      <c r="CP31" s="3"/>
    </row>
    <row r="32" spans="1:94" ht="15" customHeight="1" x14ac:dyDescent="0.15">
      <c r="A32" s="1"/>
      <c r="B32" s="8"/>
      <c r="AC32" s="1"/>
      <c r="AR32" s="3"/>
      <c r="CP32" s="3"/>
    </row>
    <row r="33" spans="1:94" ht="15" customHeight="1" x14ac:dyDescent="0.15">
      <c r="A33" s="1"/>
      <c r="AC33" s="1"/>
      <c r="AR33" s="3"/>
      <c r="CP33" s="3"/>
    </row>
    <row r="34" spans="1:94" ht="15" customHeight="1" x14ac:dyDescent="0.15">
      <c r="A34" s="1"/>
      <c r="B34" s="8"/>
      <c r="AC34" s="1"/>
      <c r="AR34" s="3"/>
      <c r="CP34" s="3"/>
    </row>
    <row r="35" spans="1:94" ht="15" customHeight="1" x14ac:dyDescent="0.15">
      <c r="A35" s="1"/>
      <c r="B35" s="8"/>
      <c r="AC35" s="1"/>
      <c r="AR35" s="3"/>
      <c r="CP35" s="3"/>
    </row>
    <row r="36" spans="1:94" ht="15" customHeight="1" thickBot="1" x14ac:dyDescent="0.2">
      <c r="A36" s="1"/>
      <c r="B36" s="8"/>
      <c r="AC36" s="5"/>
      <c r="AD36" s="6"/>
      <c r="AE36" s="6"/>
      <c r="AF36" s="6"/>
      <c r="AG36" s="6"/>
      <c r="AH36" s="6"/>
      <c r="AI36" s="6"/>
      <c r="AJ36" s="6"/>
      <c r="AK36" s="6"/>
      <c r="AL36" s="6"/>
      <c r="AM36" s="6"/>
      <c r="AN36" s="6"/>
      <c r="AO36" s="6"/>
      <c r="AP36" s="6"/>
      <c r="AQ36" s="6"/>
      <c r="AR36" s="7"/>
      <c r="CP36" s="3"/>
    </row>
    <row r="37" spans="1:94" ht="15" customHeight="1" x14ac:dyDescent="0.15">
      <c r="A37" s="1"/>
      <c r="B37" s="8"/>
      <c r="CP37" s="3"/>
    </row>
    <row r="38" spans="1:94" ht="15" customHeight="1" x14ac:dyDescent="0.15">
      <c r="A38" s="1"/>
      <c r="CP38" s="3"/>
    </row>
    <row r="39" spans="1:94" ht="15" customHeight="1" x14ac:dyDescent="0.15">
      <c r="A39" s="1"/>
      <c r="B39" s="8"/>
      <c r="CP39" s="3"/>
    </row>
    <row r="40" spans="1:94" ht="15" customHeight="1" x14ac:dyDescent="0.15">
      <c r="A40" s="1"/>
      <c r="CP40" s="3"/>
    </row>
    <row r="41" spans="1:94" ht="15" customHeight="1" x14ac:dyDescent="0.15">
      <c r="A41" s="1"/>
      <c r="CP41" s="3"/>
    </row>
    <row r="42" spans="1:94" ht="15" customHeight="1" x14ac:dyDescent="0.15">
      <c r="A42" s="1"/>
      <c r="CP42" s="3"/>
    </row>
    <row r="43" spans="1:94" ht="15" customHeight="1" x14ac:dyDescent="0.15">
      <c r="A43" s="1"/>
      <c r="CP43" s="3"/>
    </row>
    <row r="44" spans="1:94" ht="15" customHeight="1" x14ac:dyDescent="0.15">
      <c r="A44" s="1"/>
      <c r="CP44" s="3"/>
    </row>
    <row r="45" spans="1:94" ht="15" customHeight="1" x14ac:dyDescent="0.15">
      <c r="A45" s="1"/>
      <c r="CP45" s="3"/>
    </row>
    <row r="46" spans="1:94" ht="15" customHeight="1" x14ac:dyDescent="0.15">
      <c r="A46" s="1"/>
      <c r="B46" s="8"/>
      <c r="E46" s="9"/>
      <c r="CP46" s="3"/>
    </row>
    <row r="47" spans="1:94" ht="15" customHeight="1" thickBot="1" x14ac:dyDescent="0.2">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7"/>
    </row>
  </sheetData>
  <mergeCells count="22">
    <mergeCell ref="N18:P18"/>
    <mergeCell ref="BK3:CC3"/>
    <mergeCell ref="BG1:BJ1"/>
    <mergeCell ref="A3:H3"/>
    <mergeCell ref="I3:AD3"/>
    <mergeCell ref="AL3:BF3"/>
    <mergeCell ref="BG3:BJ3"/>
    <mergeCell ref="BK1:BT1"/>
    <mergeCell ref="BU1:CC1"/>
    <mergeCell ref="CD1:CH3"/>
    <mergeCell ref="CI1:CP3"/>
    <mergeCell ref="A2:H2"/>
    <mergeCell ref="I2:AD2"/>
    <mergeCell ref="AE2:AK3"/>
    <mergeCell ref="AL2:BF2"/>
    <mergeCell ref="BG2:BJ2"/>
    <mergeCell ref="BK2:BT2"/>
    <mergeCell ref="BU2:CC2"/>
    <mergeCell ref="A1:H1"/>
    <mergeCell ref="I1:AD1"/>
    <mergeCell ref="AE1:AK1"/>
    <mergeCell ref="AL1:BF1"/>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B899-7FE1-49DD-9FE3-247DF3017D36}">
  <dimension ref="A1:CP91"/>
  <sheetViews>
    <sheetView view="pageBreakPreview" zoomScaleNormal="80" zoomScaleSheetLayoutView="100" workbookViewId="0">
      <pane ySplit="3" topLeftCell="A4" activePane="bottomLeft" state="frozen"/>
      <selection activeCell="BR7" sqref="BR7:BX7"/>
      <selection pane="bottomLeft" activeCell="A4" sqref="A4"/>
    </sheetView>
  </sheetViews>
  <sheetFormatPr defaultColWidth="1.875" defaultRowHeight="15" customHeight="1" x14ac:dyDescent="0.15"/>
  <cols>
    <col min="1" max="16384" width="1.875" style="2"/>
  </cols>
  <sheetData>
    <row r="1" spans="1:94" s="8" customFormat="1" ht="15" customHeight="1" x14ac:dyDescent="0.15">
      <c r="A1" s="297" t="s">
        <v>39</v>
      </c>
      <c r="B1" s="298"/>
      <c r="C1" s="298"/>
      <c r="D1" s="298"/>
      <c r="E1" s="298"/>
      <c r="F1" s="298"/>
      <c r="G1" s="298"/>
      <c r="H1" s="298"/>
      <c r="I1" s="299" t="str">
        <f>タイトル!$I$40</f>
        <v>教務システム</v>
      </c>
      <c r="J1" s="300"/>
      <c r="K1" s="300"/>
      <c r="L1" s="300"/>
      <c r="M1" s="300"/>
      <c r="N1" s="300"/>
      <c r="O1" s="300"/>
      <c r="P1" s="300"/>
      <c r="Q1" s="300"/>
      <c r="R1" s="300"/>
      <c r="S1" s="300"/>
      <c r="T1" s="300"/>
      <c r="U1" s="300"/>
      <c r="V1" s="300"/>
      <c r="W1" s="300"/>
      <c r="X1" s="300"/>
      <c r="Y1" s="300"/>
      <c r="Z1" s="300"/>
      <c r="AA1" s="300"/>
      <c r="AB1" s="300"/>
      <c r="AC1" s="300"/>
      <c r="AD1" s="301"/>
      <c r="AE1" s="302" t="s">
        <v>30</v>
      </c>
      <c r="AF1" s="302"/>
      <c r="AG1" s="302"/>
      <c r="AH1" s="302"/>
      <c r="AI1" s="302"/>
      <c r="AJ1" s="302"/>
      <c r="AK1" s="302"/>
      <c r="AL1" s="303" t="str">
        <f>タイトル!$I$43</f>
        <v>構築手順書の作成</v>
      </c>
      <c r="AM1" s="304"/>
      <c r="AN1" s="304"/>
      <c r="AO1" s="304"/>
      <c r="AP1" s="304"/>
      <c r="AQ1" s="304"/>
      <c r="AR1" s="304"/>
      <c r="AS1" s="304"/>
      <c r="AT1" s="304"/>
      <c r="AU1" s="304"/>
      <c r="AV1" s="304"/>
      <c r="AW1" s="304"/>
      <c r="AX1" s="304"/>
      <c r="AY1" s="304"/>
      <c r="AZ1" s="304"/>
      <c r="BA1" s="304"/>
      <c r="BB1" s="304"/>
      <c r="BC1" s="304"/>
      <c r="BD1" s="304"/>
      <c r="BE1" s="304"/>
      <c r="BF1" s="304"/>
      <c r="BG1" s="302" t="s">
        <v>31</v>
      </c>
      <c r="BH1" s="302"/>
      <c r="BI1" s="302"/>
      <c r="BJ1" s="302"/>
      <c r="BK1" s="305" t="str">
        <f>タイトル!$I$46</f>
        <v>大久保　梓沙</v>
      </c>
      <c r="BL1" s="306"/>
      <c r="BM1" s="306"/>
      <c r="BN1" s="306"/>
      <c r="BO1" s="306"/>
      <c r="BP1" s="306"/>
      <c r="BQ1" s="306"/>
      <c r="BR1" s="306"/>
      <c r="BS1" s="306"/>
      <c r="BT1" s="307"/>
      <c r="BU1" s="266">
        <f>タイトル!$I$47</f>
        <v>45336</v>
      </c>
      <c r="BV1" s="266"/>
      <c r="BW1" s="266"/>
      <c r="BX1" s="266"/>
      <c r="BY1" s="266"/>
      <c r="BZ1" s="266"/>
      <c r="CA1" s="266"/>
      <c r="CB1" s="266"/>
      <c r="CC1" s="266"/>
      <c r="CD1" s="338" t="s">
        <v>38</v>
      </c>
      <c r="CE1" s="339"/>
      <c r="CF1" s="339"/>
      <c r="CG1" s="339"/>
      <c r="CH1" s="340"/>
      <c r="CI1" s="327" t="str">
        <f>タイトル!$I$50</f>
        <v xml:space="preserve"> </v>
      </c>
      <c r="CJ1" s="328"/>
      <c r="CK1" s="328"/>
      <c r="CL1" s="328"/>
      <c r="CM1" s="328"/>
      <c r="CN1" s="328"/>
      <c r="CO1" s="328"/>
      <c r="CP1" s="329"/>
    </row>
    <row r="2" spans="1:94" s="8" customFormat="1" ht="15" customHeight="1" x14ac:dyDescent="0.15">
      <c r="A2" s="285" t="s">
        <v>40</v>
      </c>
      <c r="B2" s="286"/>
      <c r="C2" s="286"/>
      <c r="D2" s="286"/>
      <c r="E2" s="286"/>
      <c r="F2" s="286"/>
      <c r="G2" s="286"/>
      <c r="H2" s="286"/>
      <c r="I2" s="287" t="str">
        <f>タイトル!$I$41</f>
        <v>基盤構築</v>
      </c>
      <c r="J2" s="288"/>
      <c r="K2" s="288"/>
      <c r="L2" s="288"/>
      <c r="M2" s="288"/>
      <c r="N2" s="288"/>
      <c r="O2" s="288"/>
      <c r="P2" s="288"/>
      <c r="Q2" s="288"/>
      <c r="R2" s="288"/>
      <c r="S2" s="288"/>
      <c r="T2" s="288"/>
      <c r="U2" s="288"/>
      <c r="V2" s="288"/>
      <c r="W2" s="288"/>
      <c r="X2" s="288"/>
      <c r="Y2" s="288"/>
      <c r="Z2" s="288"/>
      <c r="AA2" s="288"/>
      <c r="AB2" s="288"/>
      <c r="AC2" s="288"/>
      <c r="AD2" s="289"/>
      <c r="AE2" s="362" t="s">
        <v>32</v>
      </c>
      <c r="AF2" s="362"/>
      <c r="AG2" s="362"/>
      <c r="AH2" s="362"/>
      <c r="AI2" s="362"/>
      <c r="AJ2" s="362"/>
      <c r="AK2" s="362"/>
      <c r="AL2" s="291" t="str">
        <f>タイトル!$I$44</f>
        <v>システム環境定義書</v>
      </c>
      <c r="AM2" s="292"/>
      <c r="AN2" s="292"/>
      <c r="AO2" s="292"/>
      <c r="AP2" s="292"/>
      <c r="AQ2" s="292"/>
      <c r="AR2" s="292"/>
      <c r="AS2" s="292"/>
      <c r="AT2" s="292"/>
      <c r="AU2" s="292"/>
      <c r="AV2" s="292"/>
      <c r="AW2" s="292"/>
      <c r="AX2" s="292"/>
      <c r="AY2" s="292"/>
      <c r="AZ2" s="292"/>
      <c r="BA2" s="292"/>
      <c r="BB2" s="292"/>
      <c r="BC2" s="292"/>
      <c r="BD2" s="292"/>
      <c r="BE2" s="292"/>
      <c r="BF2" s="292"/>
      <c r="BG2" s="290" t="s">
        <v>33</v>
      </c>
      <c r="BH2" s="290"/>
      <c r="BI2" s="290"/>
      <c r="BJ2" s="290"/>
      <c r="BK2" s="293"/>
      <c r="BL2" s="294"/>
      <c r="BM2" s="294"/>
      <c r="BN2" s="294"/>
      <c r="BO2" s="294"/>
      <c r="BP2" s="294"/>
      <c r="BQ2" s="294"/>
      <c r="BR2" s="294"/>
      <c r="BS2" s="294"/>
      <c r="BT2" s="295"/>
      <c r="BU2" s="296"/>
      <c r="BV2" s="296"/>
      <c r="BW2" s="296"/>
      <c r="BX2" s="296"/>
      <c r="BY2" s="296"/>
      <c r="BZ2" s="296"/>
      <c r="CA2" s="296"/>
      <c r="CB2" s="296"/>
      <c r="CC2" s="296"/>
      <c r="CD2" s="341"/>
      <c r="CE2" s="342"/>
      <c r="CF2" s="342"/>
      <c r="CG2" s="342"/>
      <c r="CH2" s="343"/>
      <c r="CI2" s="330"/>
      <c r="CJ2" s="331"/>
      <c r="CK2" s="331"/>
      <c r="CL2" s="331"/>
      <c r="CM2" s="331"/>
      <c r="CN2" s="331"/>
      <c r="CO2" s="331"/>
      <c r="CP2" s="332"/>
    </row>
    <row r="3" spans="1:94" s="8" customFormat="1" ht="15" customHeight="1" thickBot="1" x14ac:dyDescent="0.2">
      <c r="A3" s="366"/>
      <c r="B3" s="367"/>
      <c r="C3" s="367"/>
      <c r="D3" s="367"/>
      <c r="E3" s="367"/>
      <c r="F3" s="367"/>
      <c r="G3" s="367"/>
      <c r="H3" s="367"/>
      <c r="I3" s="368" t="s">
        <v>628</v>
      </c>
      <c r="J3" s="369"/>
      <c r="K3" s="369"/>
      <c r="L3" s="369"/>
      <c r="M3" s="369"/>
      <c r="N3" s="369"/>
      <c r="O3" s="369"/>
      <c r="P3" s="369"/>
      <c r="Q3" s="369"/>
      <c r="R3" s="369"/>
      <c r="S3" s="369"/>
      <c r="T3" s="369"/>
      <c r="U3" s="369"/>
      <c r="V3" s="369"/>
      <c r="W3" s="369"/>
      <c r="X3" s="369"/>
      <c r="Y3" s="369"/>
      <c r="Z3" s="369"/>
      <c r="AA3" s="369"/>
      <c r="AB3" s="369"/>
      <c r="AC3" s="369"/>
      <c r="AD3" s="370"/>
      <c r="AE3" s="363"/>
      <c r="AF3" s="363"/>
      <c r="AG3" s="363"/>
      <c r="AH3" s="363"/>
      <c r="AI3" s="363"/>
      <c r="AJ3" s="363"/>
      <c r="AK3" s="363"/>
      <c r="AL3" s="371" t="str">
        <f>タイトル!$I$42</f>
        <v>社内開発機</v>
      </c>
      <c r="AM3" s="372"/>
      <c r="AN3" s="372"/>
      <c r="AO3" s="372"/>
      <c r="AP3" s="372"/>
      <c r="AQ3" s="372"/>
      <c r="AR3" s="372"/>
      <c r="AS3" s="372"/>
      <c r="AT3" s="372"/>
      <c r="AU3" s="372"/>
      <c r="AV3" s="372"/>
      <c r="AW3" s="372"/>
      <c r="AX3" s="372"/>
      <c r="AY3" s="372"/>
      <c r="AZ3" s="372"/>
      <c r="BA3" s="372"/>
      <c r="BB3" s="372"/>
      <c r="BC3" s="372"/>
      <c r="BD3" s="372"/>
      <c r="BE3" s="372"/>
      <c r="BF3" s="373"/>
      <c r="BG3" s="363"/>
      <c r="BH3" s="363"/>
      <c r="BI3" s="363"/>
      <c r="BJ3" s="363"/>
      <c r="BK3" s="379"/>
      <c r="BL3" s="380"/>
      <c r="BM3" s="380"/>
      <c r="BN3" s="380"/>
      <c r="BO3" s="380"/>
      <c r="BP3" s="380"/>
      <c r="BQ3" s="380"/>
      <c r="BR3" s="380"/>
      <c r="BS3" s="380"/>
      <c r="BT3" s="380"/>
      <c r="BU3" s="264"/>
      <c r="BV3" s="264"/>
      <c r="BW3" s="264"/>
      <c r="BX3" s="264"/>
      <c r="BY3" s="264"/>
      <c r="BZ3" s="264"/>
      <c r="CA3" s="264"/>
      <c r="CB3" s="264"/>
      <c r="CC3" s="265"/>
      <c r="CD3" s="344"/>
      <c r="CE3" s="345"/>
      <c r="CF3" s="345"/>
      <c r="CG3" s="345"/>
      <c r="CH3" s="346"/>
      <c r="CI3" s="333"/>
      <c r="CJ3" s="334"/>
      <c r="CK3" s="334"/>
      <c r="CL3" s="334"/>
      <c r="CM3" s="334"/>
      <c r="CN3" s="334"/>
      <c r="CO3" s="334"/>
      <c r="CP3" s="335"/>
    </row>
    <row r="4" spans="1:94" ht="15" customHeight="1" x14ac:dyDescent="0.1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2"/>
    </row>
    <row r="5" spans="1:94" ht="15" customHeight="1" x14ac:dyDescent="0.15">
      <c r="A5" s="1"/>
      <c r="B5" s="8" t="s">
        <v>809</v>
      </c>
      <c r="C5" s="9"/>
      <c r="CP5" s="3"/>
    </row>
    <row r="6" spans="1:94" ht="15" customHeight="1" x14ac:dyDescent="0.15">
      <c r="A6" s="1"/>
      <c r="CP6" s="3"/>
    </row>
    <row r="7" spans="1:94" ht="15" customHeight="1" x14ac:dyDescent="0.15">
      <c r="A7" s="1"/>
      <c r="B7" s="8"/>
      <c r="C7" s="2" t="s">
        <v>810</v>
      </c>
      <c r="CP7" s="3"/>
    </row>
    <row r="8" spans="1:94" ht="15" customHeight="1" x14ac:dyDescent="0.15">
      <c r="A8" s="1"/>
      <c r="B8" s="8"/>
      <c r="C8" s="154" t="s">
        <v>1316</v>
      </c>
      <c r="CP8" s="3"/>
    </row>
    <row r="9" spans="1:94" ht="15" customHeight="1" thickBot="1" x14ac:dyDescent="0.2">
      <c r="A9" s="1"/>
      <c r="B9" s="8"/>
      <c r="C9" s="9"/>
      <c r="CP9" s="3"/>
    </row>
    <row r="10" spans="1:94" ht="15" customHeight="1" x14ac:dyDescent="0.15">
      <c r="A10" s="1"/>
      <c r="B10" s="8"/>
      <c r="C10" s="95"/>
      <c r="D10" s="96" t="s">
        <v>1037</v>
      </c>
      <c r="E10" s="96"/>
      <c r="F10" s="96"/>
      <c r="G10" s="96"/>
      <c r="H10" s="96"/>
      <c r="I10" s="96"/>
      <c r="J10" s="96"/>
      <c r="K10" s="96"/>
      <c r="L10" s="96"/>
      <c r="M10" s="96"/>
      <c r="N10" s="96"/>
      <c r="O10" s="96"/>
      <c r="P10" s="96"/>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c r="BD10" s="96"/>
      <c r="BE10" s="96"/>
      <c r="BF10" s="96"/>
      <c r="BG10" s="96"/>
      <c r="BH10" s="96"/>
      <c r="BI10" s="96"/>
      <c r="BJ10" s="96"/>
      <c r="BK10" s="96"/>
      <c r="BL10" s="96"/>
      <c r="BM10" s="96"/>
      <c r="BN10" s="96"/>
      <c r="BO10" s="96"/>
      <c r="BP10" s="96"/>
      <c r="BQ10" s="96"/>
      <c r="BR10" s="96"/>
      <c r="BS10" s="96"/>
      <c r="BT10" s="96"/>
      <c r="BU10" s="96"/>
      <c r="BV10" s="96"/>
      <c r="BW10" s="96"/>
      <c r="BX10" s="96"/>
      <c r="BY10" s="96"/>
      <c r="BZ10" s="96"/>
      <c r="CA10" s="96"/>
      <c r="CB10" s="96"/>
      <c r="CC10" s="96"/>
      <c r="CD10" s="96"/>
      <c r="CE10" s="96"/>
      <c r="CF10" s="96"/>
      <c r="CG10" s="96"/>
      <c r="CH10" s="96"/>
      <c r="CI10" s="97"/>
      <c r="CP10" s="3"/>
    </row>
    <row r="11" spans="1:94" ht="15" customHeight="1" x14ac:dyDescent="0.15">
      <c r="A11" s="1"/>
      <c r="B11" s="8"/>
      <c r="C11" s="98"/>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0"/>
      <c r="AU11" s="100"/>
      <c r="AV11" s="100"/>
      <c r="AW11" s="100"/>
      <c r="AX11" s="100"/>
      <c r="AY11" s="100"/>
      <c r="AZ11" s="100"/>
      <c r="BA11" s="100"/>
      <c r="BB11" s="100"/>
      <c r="BC11" s="100"/>
      <c r="BD11" s="100"/>
      <c r="BE11" s="100"/>
      <c r="BF11" s="100"/>
      <c r="BG11" s="100"/>
      <c r="BH11" s="100"/>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1"/>
      <c r="CP11" s="3"/>
    </row>
    <row r="12" spans="1:94" ht="15" customHeight="1" x14ac:dyDescent="0.15">
      <c r="A12" s="1"/>
      <c r="B12" s="8"/>
      <c r="C12" s="98"/>
      <c r="D12" s="100"/>
      <c r="E12" s="100" t="s">
        <v>811</v>
      </c>
      <c r="F12" s="100"/>
      <c r="G12" s="100"/>
      <c r="H12" s="100"/>
      <c r="I12" s="100"/>
      <c r="J12" s="100"/>
      <c r="K12" s="100"/>
      <c r="L12" s="100"/>
      <c r="M12" s="100"/>
      <c r="N12" s="100"/>
      <c r="O12" s="100"/>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c r="BC12" s="100"/>
      <c r="BD12" s="100"/>
      <c r="BE12" s="100" t="s">
        <v>812</v>
      </c>
      <c r="BF12" s="100"/>
      <c r="BG12" s="100"/>
      <c r="BH12" s="100"/>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1"/>
      <c r="CP12" s="3"/>
    </row>
    <row r="13" spans="1:94" ht="15" customHeight="1" x14ac:dyDescent="0.15">
      <c r="A13" s="1"/>
      <c r="C13" s="98"/>
      <c r="D13" s="100"/>
      <c r="E13" s="100"/>
      <c r="F13" s="100"/>
      <c r="G13" s="100"/>
      <c r="H13" s="100"/>
      <c r="I13" s="100"/>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1"/>
      <c r="CP13" s="3"/>
    </row>
    <row r="14" spans="1:94" ht="15" customHeight="1" x14ac:dyDescent="0.15">
      <c r="A14" s="1"/>
      <c r="B14" s="8"/>
      <c r="C14" s="98"/>
      <c r="D14" s="100"/>
      <c r="E14" s="100"/>
      <c r="F14" s="100"/>
      <c r="G14" s="100"/>
      <c r="H14" s="100"/>
      <c r="I14" s="100"/>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0"/>
      <c r="AX14" s="100"/>
      <c r="AY14" s="100"/>
      <c r="AZ14" s="100"/>
      <c r="BA14" s="100"/>
      <c r="BB14" s="100"/>
      <c r="BC14" s="100"/>
      <c r="BD14" s="100"/>
      <c r="BE14" s="100"/>
      <c r="BF14" s="100"/>
      <c r="BG14" s="100"/>
      <c r="BH14" s="100"/>
      <c r="BI14" s="100"/>
      <c r="BJ14" s="100"/>
      <c r="BK14" s="100"/>
      <c r="BL14" s="100"/>
      <c r="BM14" s="100"/>
      <c r="BN14" s="100"/>
      <c r="BO14" s="100"/>
      <c r="BP14" s="100"/>
      <c r="BQ14" s="100"/>
      <c r="BR14" s="100"/>
      <c r="BS14" s="100"/>
      <c r="BU14" s="100"/>
      <c r="BV14" s="100"/>
      <c r="BW14" s="100"/>
      <c r="BX14" s="100"/>
      <c r="BY14" s="100"/>
      <c r="BZ14" s="100"/>
      <c r="CA14" s="100"/>
      <c r="CB14" s="100"/>
      <c r="CC14" s="100"/>
      <c r="CD14" s="100"/>
      <c r="CE14" s="100"/>
      <c r="CF14" s="100"/>
      <c r="CG14" s="100"/>
      <c r="CH14" s="100"/>
      <c r="CI14" s="101"/>
      <c r="CP14" s="3"/>
    </row>
    <row r="15" spans="1:94" ht="15" customHeight="1" x14ac:dyDescent="0.15">
      <c r="A15" s="1"/>
      <c r="B15" s="8"/>
      <c r="C15" s="98"/>
      <c r="D15" s="100"/>
      <c r="E15" s="100"/>
      <c r="F15" s="100"/>
      <c r="G15" s="100"/>
      <c r="H15" s="100"/>
      <c r="I15" s="100"/>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c r="BU15" s="100"/>
      <c r="BV15" s="100"/>
      <c r="BW15" s="100"/>
      <c r="BX15" s="100"/>
      <c r="BY15" s="100"/>
      <c r="BZ15" s="100"/>
      <c r="CA15" s="100"/>
      <c r="CB15" s="100"/>
      <c r="CC15" s="100"/>
      <c r="CD15" s="100"/>
      <c r="CE15" s="100"/>
      <c r="CF15" s="100"/>
      <c r="CG15" s="100"/>
      <c r="CH15" s="100"/>
      <c r="CI15" s="101"/>
      <c r="CP15" s="3"/>
    </row>
    <row r="16" spans="1:94" ht="15" customHeight="1" x14ac:dyDescent="0.15">
      <c r="A16" s="1"/>
      <c r="B16" s="8"/>
      <c r="C16" s="98"/>
      <c r="D16" s="100"/>
      <c r="E16" s="100"/>
      <c r="F16" s="100"/>
      <c r="G16" s="100"/>
      <c r="H16" s="100"/>
      <c r="I16" s="100"/>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c r="BG16" s="100"/>
      <c r="BH16" s="100"/>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1"/>
      <c r="CP16" s="3"/>
    </row>
    <row r="17" spans="1:94" ht="15" customHeight="1" x14ac:dyDescent="0.15">
      <c r="A17" s="1"/>
      <c r="B17" s="8"/>
      <c r="C17" s="98"/>
      <c r="D17" s="100"/>
      <c r="E17" s="100"/>
      <c r="F17" s="100"/>
      <c r="G17" s="100"/>
      <c r="H17" s="100"/>
      <c r="I17" s="100"/>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1"/>
      <c r="CP17" s="3"/>
    </row>
    <row r="18" spans="1:94" ht="15" customHeight="1" x14ac:dyDescent="0.15">
      <c r="A18" s="1"/>
      <c r="C18" s="98"/>
      <c r="D18" s="100"/>
      <c r="E18" s="100"/>
      <c r="F18" s="100"/>
      <c r="G18" s="100"/>
      <c r="H18" s="100"/>
      <c r="I18" s="100"/>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1"/>
      <c r="CP18" s="3"/>
    </row>
    <row r="19" spans="1:94" ht="15" customHeight="1" x14ac:dyDescent="0.15">
      <c r="A19" s="1"/>
      <c r="B19" s="8"/>
      <c r="C19" s="98"/>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1"/>
      <c r="CP19" s="3"/>
    </row>
    <row r="20" spans="1:94" ht="15" customHeight="1" x14ac:dyDescent="0.15">
      <c r="A20" s="1"/>
      <c r="B20" s="8"/>
      <c r="C20" s="98"/>
      <c r="D20" s="100"/>
      <c r="E20" s="100"/>
      <c r="F20" s="100"/>
      <c r="G20" s="100"/>
      <c r="H20" s="100"/>
      <c r="I20" s="100"/>
      <c r="J20" s="100"/>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O20" s="100"/>
      <c r="BP20" s="100"/>
      <c r="BQ20" s="100"/>
      <c r="BR20" s="100"/>
      <c r="BS20" s="100"/>
      <c r="BT20" s="100"/>
      <c r="BU20" s="100"/>
      <c r="BV20" s="100"/>
      <c r="BW20" s="100"/>
      <c r="BX20" s="100"/>
      <c r="BY20" s="100"/>
      <c r="BZ20" s="100"/>
      <c r="CA20" s="100"/>
      <c r="CB20" s="100"/>
      <c r="CC20" s="100"/>
      <c r="CD20" s="100"/>
      <c r="CE20" s="100"/>
      <c r="CF20" s="100"/>
      <c r="CG20" s="100"/>
      <c r="CH20" s="100"/>
      <c r="CI20" s="101"/>
      <c r="CP20" s="3"/>
    </row>
    <row r="21" spans="1:94" ht="15" customHeight="1" x14ac:dyDescent="0.15">
      <c r="A21" s="1"/>
      <c r="B21" s="8"/>
      <c r="C21" s="98"/>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c r="BM21" s="100"/>
      <c r="BN21" s="100"/>
      <c r="BO21" s="100"/>
      <c r="BP21" s="100"/>
      <c r="BQ21" s="100"/>
      <c r="BR21" s="100"/>
      <c r="BS21" s="100"/>
      <c r="BT21" s="100"/>
      <c r="BU21" s="100"/>
      <c r="BV21" s="100"/>
      <c r="BW21" s="100"/>
      <c r="BX21" s="100"/>
      <c r="BY21" s="100"/>
      <c r="BZ21" s="100"/>
      <c r="CA21" s="100"/>
      <c r="CB21" s="100"/>
      <c r="CC21" s="100"/>
      <c r="CD21" s="100"/>
      <c r="CE21" s="100"/>
      <c r="CF21" s="100"/>
      <c r="CG21" s="100"/>
      <c r="CH21" s="100"/>
      <c r="CI21" s="101"/>
      <c r="CP21" s="3"/>
    </row>
    <row r="22" spans="1:94" ht="15" customHeight="1" x14ac:dyDescent="0.15">
      <c r="A22" s="1"/>
      <c r="B22" s="8"/>
      <c r="C22" s="98"/>
      <c r="D22" s="100"/>
      <c r="E22" s="100"/>
      <c r="F22" s="100"/>
      <c r="G22" s="100"/>
      <c r="H22" s="100"/>
      <c r="I22" s="100"/>
      <c r="J22" s="100"/>
      <c r="K22" s="100"/>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1"/>
      <c r="CP22" s="3"/>
    </row>
    <row r="23" spans="1:94" ht="15" customHeight="1" x14ac:dyDescent="0.15">
      <c r="A23" s="1"/>
      <c r="B23" s="8"/>
      <c r="C23" s="98"/>
      <c r="D23" s="100"/>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1"/>
      <c r="CP23" s="3"/>
    </row>
    <row r="24" spans="1:94" ht="15" customHeight="1" x14ac:dyDescent="0.15">
      <c r="A24" s="1"/>
      <c r="C24" s="98"/>
      <c r="D24" s="100"/>
      <c r="E24" s="100"/>
      <c r="F24" s="100"/>
      <c r="G24" s="100"/>
      <c r="H24" s="100"/>
      <c r="I24" s="100"/>
      <c r="J24" s="100"/>
      <c r="K24" s="100"/>
      <c r="L24" s="100"/>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c r="BH24" s="100"/>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1"/>
      <c r="CP24" s="3"/>
    </row>
    <row r="25" spans="1:94" ht="15" customHeight="1" x14ac:dyDescent="0.15">
      <c r="A25" s="1"/>
      <c r="B25" s="8"/>
      <c r="C25" s="98"/>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1"/>
      <c r="CP25" s="3"/>
    </row>
    <row r="26" spans="1:94" ht="15" customHeight="1" x14ac:dyDescent="0.15">
      <c r="A26" s="1"/>
      <c r="B26" s="8"/>
      <c r="C26" s="98"/>
      <c r="D26" s="100"/>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c r="BG26" s="100"/>
      <c r="BH26" s="100"/>
      <c r="BI26" s="100"/>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1"/>
      <c r="CP26" s="3"/>
    </row>
    <row r="27" spans="1:94" ht="15" customHeight="1" x14ac:dyDescent="0.15">
      <c r="A27" s="1"/>
      <c r="B27" s="8"/>
      <c r="C27" s="98"/>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1"/>
      <c r="CP27" s="3"/>
    </row>
    <row r="28" spans="1:94" ht="15" customHeight="1" x14ac:dyDescent="0.15">
      <c r="A28" s="1"/>
      <c r="B28" s="8"/>
      <c r="C28" s="98"/>
      <c r="D28" s="100"/>
      <c r="E28" s="100"/>
      <c r="F28" s="100"/>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c r="BG28" s="100"/>
      <c r="BH28" s="100"/>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1"/>
      <c r="CP28" s="3"/>
    </row>
    <row r="29" spans="1:94" ht="15" customHeight="1" x14ac:dyDescent="0.15">
      <c r="A29" s="1"/>
      <c r="C29" s="98"/>
      <c r="D29" s="100"/>
      <c r="E29" s="100"/>
      <c r="F29" s="100"/>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0"/>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1"/>
      <c r="CP29" s="3"/>
    </row>
    <row r="30" spans="1:94" ht="15" customHeight="1" x14ac:dyDescent="0.15">
      <c r="A30" s="1"/>
      <c r="B30" s="8"/>
      <c r="C30" s="98"/>
      <c r="D30" s="100"/>
      <c r="E30" s="100"/>
      <c r="F30" s="100"/>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c r="BH30" s="100"/>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1"/>
      <c r="CP30" s="3"/>
    </row>
    <row r="31" spans="1:94" ht="15" customHeight="1" thickBot="1" x14ac:dyDescent="0.2">
      <c r="A31" s="1"/>
      <c r="B31" s="8"/>
      <c r="C31" s="102"/>
      <c r="D31" s="103"/>
      <c r="E31" s="103"/>
      <c r="F31" s="103"/>
      <c r="G31" s="103"/>
      <c r="H31" s="103"/>
      <c r="I31" s="103"/>
      <c r="J31" s="103"/>
      <c r="K31" s="103"/>
      <c r="L31" s="103"/>
      <c r="M31" s="103"/>
      <c r="N31" s="103"/>
      <c r="O31" s="103"/>
      <c r="P31" s="103"/>
      <c r="Q31" s="103"/>
      <c r="R31" s="103"/>
      <c r="S31" s="103"/>
      <c r="T31" s="103"/>
      <c r="U31" s="103"/>
      <c r="V31" s="103"/>
      <c r="W31" s="103"/>
      <c r="X31" s="103"/>
      <c r="Y31" s="103"/>
      <c r="Z31" s="103"/>
      <c r="AA31" s="103"/>
      <c r="AB31" s="103"/>
      <c r="AC31" s="103"/>
      <c r="AD31" s="103"/>
      <c r="AE31" s="103"/>
      <c r="AF31" s="103"/>
      <c r="AG31" s="103"/>
      <c r="AH31" s="103"/>
      <c r="AI31" s="103"/>
      <c r="AJ31" s="103"/>
      <c r="AK31" s="103"/>
      <c r="AL31" s="103"/>
      <c r="AM31" s="103"/>
      <c r="AN31" s="103"/>
      <c r="AO31" s="103"/>
      <c r="AP31" s="103"/>
      <c r="AQ31" s="103"/>
      <c r="AR31" s="103"/>
      <c r="AS31" s="103"/>
      <c r="AT31" s="103"/>
      <c r="AU31" s="103"/>
      <c r="AV31" s="103"/>
      <c r="AW31" s="103"/>
      <c r="AX31" s="103"/>
      <c r="AY31" s="103"/>
      <c r="AZ31" s="103"/>
      <c r="BA31" s="103"/>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c r="CA31" s="103"/>
      <c r="CB31" s="103"/>
      <c r="CC31" s="103"/>
      <c r="CD31" s="103"/>
      <c r="CE31" s="103"/>
      <c r="CF31" s="103"/>
      <c r="CG31" s="103"/>
      <c r="CH31" s="103"/>
      <c r="CI31" s="104"/>
      <c r="CP31" s="3"/>
    </row>
    <row r="32" spans="1:94" ht="15" customHeight="1" x14ac:dyDescent="0.15">
      <c r="A32" s="1"/>
      <c r="B32" s="8"/>
      <c r="CP32" s="3"/>
    </row>
    <row r="33" spans="1:94" ht="15" customHeight="1" x14ac:dyDescent="0.15">
      <c r="A33" s="1"/>
      <c r="B33" s="8"/>
      <c r="CP33" s="3"/>
    </row>
    <row r="34" spans="1:94" ht="15" customHeight="1" x14ac:dyDescent="0.15">
      <c r="A34" s="1"/>
      <c r="B34" s="8"/>
      <c r="CP34" s="3"/>
    </row>
    <row r="35" spans="1:94" ht="15" customHeight="1" x14ac:dyDescent="0.15">
      <c r="A35" s="1"/>
      <c r="CP35" s="3"/>
    </row>
    <row r="36" spans="1:94" ht="15" customHeight="1" x14ac:dyDescent="0.15">
      <c r="A36" s="1"/>
      <c r="B36" s="8"/>
      <c r="CP36" s="3"/>
    </row>
    <row r="37" spans="1:94" ht="15" customHeight="1" x14ac:dyDescent="0.15">
      <c r="A37" s="1"/>
      <c r="B37" s="8"/>
      <c r="CP37" s="3"/>
    </row>
    <row r="38" spans="1:94" ht="15" customHeight="1" x14ac:dyDescent="0.15">
      <c r="A38" s="1"/>
      <c r="B38" s="8"/>
      <c r="CP38" s="3"/>
    </row>
    <row r="39" spans="1:94" ht="15" customHeight="1" x14ac:dyDescent="0.15">
      <c r="A39" s="1"/>
      <c r="B39" s="8"/>
      <c r="CP39" s="3"/>
    </row>
    <row r="40" spans="1:94" ht="15" customHeight="1" x14ac:dyDescent="0.15">
      <c r="A40" s="1"/>
      <c r="CP40" s="3"/>
    </row>
    <row r="41" spans="1:94" ht="15" customHeight="1" x14ac:dyDescent="0.15">
      <c r="A41" s="1"/>
      <c r="B41" s="8"/>
      <c r="CP41" s="3"/>
    </row>
    <row r="42" spans="1:94" ht="15" customHeight="1" x14ac:dyDescent="0.15">
      <c r="A42" s="1"/>
      <c r="B42" s="8"/>
      <c r="CP42" s="3"/>
    </row>
    <row r="43" spans="1:94" ht="15" customHeight="1" x14ac:dyDescent="0.15">
      <c r="A43" s="1"/>
      <c r="B43" s="8"/>
      <c r="CP43" s="3"/>
    </row>
    <row r="44" spans="1:94" ht="15" customHeight="1" x14ac:dyDescent="0.15">
      <c r="A44" s="1"/>
      <c r="B44" s="8"/>
      <c r="CP44" s="3"/>
    </row>
    <row r="45" spans="1:94" ht="15" customHeight="1" x14ac:dyDescent="0.15">
      <c r="A45" s="1"/>
      <c r="B45" s="8"/>
      <c r="E45" s="9"/>
      <c r="CP45" s="3"/>
    </row>
    <row r="46" spans="1:94" ht="15" customHeight="1" x14ac:dyDescent="0.15">
      <c r="A46" s="1"/>
      <c r="B46" s="8"/>
      <c r="E46" s="9"/>
      <c r="CP46" s="3"/>
    </row>
    <row r="47" spans="1:94" ht="15" customHeight="1" thickBot="1" x14ac:dyDescent="0.2">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7"/>
    </row>
    <row r="48" spans="1:94" ht="15" customHeight="1" x14ac:dyDescent="0.15">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2"/>
    </row>
    <row r="49" spans="1:94" ht="15" customHeight="1" x14ac:dyDescent="0.15">
      <c r="A49" s="1"/>
      <c r="B49" s="8"/>
      <c r="C49" s="9"/>
      <c r="CP49" s="3"/>
    </row>
    <row r="50" spans="1:94" ht="15" customHeight="1" x14ac:dyDescent="0.15">
      <c r="A50" s="1"/>
      <c r="C50" s="149" t="s">
        <v>921</v>
      </c>
      <c r="CP50" s="3"/>
    </row>
    <row r="51" spans="1:94" ht="15" customHeight="1" x14ac:dyDescent="0.15">
      <c r="A51" s="1"/>
      <c r="B51" s="8"/>
      <c r="CP51" s="3"/>
    </row>
    <row r="52" spans="1:94" ht="15" customHeight="1" x14ac:dyDescent="0.15">
      <c r="A52" s="1"/>
      <c r="B52" s="8"/>
      <c r="E52" s="470" t="s">
        <v>922</v>
      </c>
      <c r="F52" s="470"/>
      <c r="G52" s="470"/>
      <c r="H52" s="470"/>
      <c r="I52" s="470"/>
      <c r="J52" s="470"/>
      <c r="K52" s="470"/>
      <c r="L52" s="470"/>
      <c r="M52" s="470"/>
      <c r="N52" s="470"/>
      <c r="O52" s="470"/>
      <c r="P52" s="470"/>
      <c r="Q52" s="471" t="s">
        <v>997</v>
      </c>
      <c r="R52" s="472"/>
      <c r="S52" s="472"/>
      <c r="T52" s="472"/>
      <c r="U52" s="472"/>
      <c r="V52" s="472"/>
      <c r="W52" s="472"/>
      <c r="X52" s="472"/>
      <c r="Y52" s="472"/>
      <c r="Z52" s="472"/>
      <c r="AA52" s="472"/>
      <c r="AB52" s="472"/>
      <c r="AC52" s="472"/>
      <c r="AD52" s="472"/>
      <c r="AE52" s="472"/>
      <c r="AF52" s="472"/>
      <c r="AG52" s="472"/>
      <c r="AH52" s="472"/>
      <c r="AI52" s="472"/>
      <c r="AJ52" s="472"/>
      <c r="AK52" s="472"/>
      <c r="AL52" s="472"/>
      <c r="AM52" s="472"/>
      <c r="AN52" s="472"/>
      <c r="AO52" s="473"/>
      <c r="AP52" s="470" t="s">
        <v>111</v>
      </c>
      <c r="AQ52" s="470"/>
      <c r="AR52" s="470"/>
      <c r="AS52" s="470"/>
      <c r="AT52" s="470"/>
      <c r="AU52" s="470"/>
      <c r="AV52" s="470"/>
      <c r="AW52" s="470"/>
      <c r="AX52" s="470"/>
      <c r="AY52" s="470"/>
      <c r="AZ52" s="470"/>
      <c r="BA52" s="470"/>
      <c r="BB52" s="471" t="s">
        <v>1185</v>
      </c>
      <c r="BC52" s="472"/>
      <c r="BD52" s="472"/>
      <c r="BE52" s="472"/>
      <c r="BF52" s="472"/>
      <c r="BG52" s="472"/>
      <c r="BH52" s="472"/>
      <c r="BI52" s="472"/>
      <c r="BJ52" s="472"/>
      <c r="BK52" s="472"/>
      <c r="BL52" s="472"/>
      <c r="BM52" s="472"/>
      <c r="BN52" s="472"/>
      <c r="BO52" s="472"/>
      <c r="BP52" s="472"/>
      <c r="BQ52" s="472"/>
      <c r="BR52" s="472"/>
      <c r="BS52" s="472"/>
      <c r="BT52" s="472"/>
      <c r="BU52" s="472"/>
      <c r="BV52" s="472"/>
      <c r="BW52" s="472"/>
      <c r="BX52" s="472"/>
      <c r="BY52" s="472"/>
      <c r="BZ52" s="473"/>
      <c r="CP52" s="3"/>
    </row>
    <row r="53" spans="1:94" ht="15" customHeight="1" x14ac:dyDescent="0.15">
      <c r="A53" s="1"/>
      <c r="B53" s="8"/>
      <c r="E53" s="470"/>
      <c r="F53" s="470"/>
      <c r="G53" s="470"/>
      <c r="H53" s="470"/>
      <c r="I53" s="470"/>
      <c r="J53" s="470"/>
      <c r="K53" s="470"/>
      <c r="L53" s="470"/>
      <c r="M53" s="470"/>
      <c r="N53" s="470"/>
      <c r="O53" s="470"/>
      <c r="P53" s="470"/>
      <c r="Q53" s="474"/>
      <c r="R53" s="475"/>
      <c r="S53" s="475"/>
      <c r="T53" s="475"/>
      <c r="U53" s="475"/>
      <c r="V53" s="475"/>
      <c r="W53" s="475"/>
      <c r="X53" s="475"/>
      <c r="Y53" s="475"/>
      <c r="Z53" s="475"/>
      <c r="AA53" s="475"/>
      <c r="AB53" s="475"/>
      <c r="AC53" s="475"/>
      <c r="AD53" s="475"/>
      <c r="AE53" s="475"/>
      <c r="AF53" s="475"/>
      <c r="AG53" s="475"/>
      <c r="AH53" s="475"/>
      <c r="AI53" s="475"/>
      <c r="AJ53" s="475"/>
      <c r="AK53" s="475"/>
      <c r="AL53" s="475"/>
      <c r="AM53" s="475"/>
      <c r="AN53" s="475"/>
      <c r="AO53" s="476"/>
      <c r="AP53" s="470"/>
      <c r="AQ53" s="470"/>
      <c r="AR53" s="470"/>
      <c r="AS53" s="470"/>
      <c r="AT53" s="470"/>
      <c r="AU53" s="470"/>
      <c r="AV53" s="470"/>
      <c r="AW53" s="470"/>
      <c r="AX53" s="470"/>
      <c r="AY53" s="470"/>
      <c r="AZ53" s="470"/>
      <c r="BA53" s="470"/>
      <c r="BB53" s="474"/>
      <c r="BC53" s="475"/>
      <c r="BD53" s="475"/>
      <c r="BE53" s="475"/>
      <c r="BF53" s="475"/>
      <c r="BG53" s="475"/>
      <c r="BH53" s="475"/>
      <c r="BI53" s="475"/>
      <c r="BJ53" s="475"/>
      <c r="BK53" s="475"/>
      <c r="BL53" s="475"/>
      <c r="BM53" s="475"/>
      <c r="BN53" s="475"/>
      <c r="BO53" s="475"/>
      <c r="BP53" s="475"/>
      <c r="BQ53" s="475"/>
      <c r="BR53" s="475"/>
      <c r="BS53" s="475"/>
      <c r="BT53" s="475"/>
      <c r="BU53" s="475"/>
      <c r="BV53" s="475"/>
      <c r="BW53" s="475"/>
      <c r="BX53" s="475"/>
      <c r="BY53" s="475"/>
      <c r="BZ53" s="476"/>
      <c r="CP53" s="3"/>
    </row>
    <row r="54" spans="1:94" ht="15" customHeight="1" x14ac:dyDescent="0.15">
      <c r="A54" s="1"/>
      <c r="B54" s="8"/>
      <c r="E54" s="470" t="s">
        <v>923</v>
      </c>
      <c r="F54" s="470"/>
      <c r="G54" s="470"/>
      <c r="H54" s="470"/>
      <c r="I54" s="470"/>
      <c r="J54" s="470"/>
      <c r="K54" s="470"/>
      <c r="L54" s="470"/>
      <c r="M54" s="470"/>
      <c r="N54" s="470"/>
      <c r="O54" s="470"/>
      <c r="P54" s="470"/>
      <c r="Q54" s="471" t="s">
        <v>1038</v>
      </c>
      <c r="R54" s="472"/>
      <c r="S54" s="472"/>
      <c r="T54" s="472"/>
      <c r="U54" s="472"/>
      <c r="V54" s="472"/>
      <c r="W54" s="472"/>
      <c r="X54" s="472"/>
      <c r="Y54" s="472"/>
      <c r="Z54" s="472"/>
      <c r="AA54" s="472"/>
      <c r="AB54" s="472"/>
      <c r="AC54" s="472"/>
      <c r="AD54" s="472"/>
      <c r="AE54" s="472"/>
      <c r="AF54" s="472"/>
      <c r="AG54" s="472"/>
      <c r="AH54" s="472"/>
      <c r="AI54" s="472"/>
      <c r="AJ54" s="472"/>
      <c r="AK54" s="472"/>
      <c r="AL54" s="472"/>
      <c r="AM54" s="472"/>
      <c r="AN54" s="472"/>
      <c r="AO54" s="473"/>
      <c r="AP54" s="470" t="s">
        <v>924</v>
      </c>
      <c r="AQ54" s="470"/>
      <c r="AR54" s="470"/>
      <c r="AS54" s="470"/>
      <c r="AT54" s="470"/>
      <c r="AU54" s="470"/>
      <c r="AV54" s="470"/>
      <c r="AW54" s="470"/>
      <c r="AX54" s="470"/>
      <c r="AY54" s="470"/>
      <c r="AZ54" s="470"/>
      <c r="BA54" s="470"/>
      <c r="BB54" s="471" t="s">
        <v>925</v>
      </c>
      <c r="BC54" s="472"/>
      <c r="BD54" s="472"/>
      <c r="BE54" s="472"/>
      <c r="BF54" s="472"/>
      <c r="BG54" s="472"/>
      <c r="BH54" s="472"/>
      <c r="BI54" s="472"/>
      <c r="BJ54" s="472"/>
      <c r="BK54" s="472"/>
      <c r="BL54" s="472"/>
      <c r="BM54" s="472"/>
      <c r="BN54" s="472"/>
      <c r="BO54" s="472"/>
      <c r="BP54" s="472"/>
      <c r="BQ54" s="472"/>
      <c r="BR54" s="472"/>
      <c r="BS54" s="472"/>
      <c r="BT54" s="472"/>
      <c r="BU54" s="472"/>
      <c r="BV54" s="472"/>
      <c r="BW54" s="472"/>
      <c r="BX54" s="472"/>
      <c r="BY54" s="472"/>
      <c r="BZ54" s="473"/>
      <c r="CP54" s="3"/>
    </row>
    <row r="55" spans="1:94" ht="15" customHeight="1" x14ac:dyDescent="0.15">
      <c r="A55" s="1"/>
      <c r="B55" s="8"/>
      <c r="E55" s="470"/>
      <c r="F55" s="470"/>
      <c r="G55" s="470"/>
      <c r="H55" s="470"/>
      <c r="I55" s="470"/>
      <c r="J55" s="470"/>
      <c r="K55" s="470"/>
      <c r="L55" s="470"/>
      <c r="M55" s="470"/>
      <c r="N55" s="470"/>
      <c r="O55" s="470"/>
      <c r="P55" s="470"/>
      <c r="Q55" s="474"/>
      <c r="R55" s="475"/>
      <c r="S55" s="475"/>
      <c r="T55" s="475"/>
      <c r="U55" s="475"/>
      <c r="V55" s="475"/>
      <c r="W55" s="475"/>
      <c r="X55" s="475"/>
      <c r="Y55" s="475"/>
      <c r="Z55" s="475"/>
      <c r="AA55" s="475"/>
      <c r="AB55" s="475"/>
      <c r="AC55" s="475"/>
      <c r="AD55" s="475"/>
      <c r="AE55" s="475"/>
      <c r="AF55" s="475"/>
      <c r="AG55" s="475"/>
      <c r="AH55" s="475"/>
      <c r="AI55" s="475"/>
      <c r="AJ55" s="475"/>
      <c r="AK55" s="475"/>
      <c r="AL55" s="475"/>
      <c r="AM55" s="475"/>
      <c r="AN55" s="475"/>
      <c r="AO55" s="476"/>
      <c r="AP55" s="470"/>
      <c r="AQ55" s="470"/>
      <c r="AR55" s="470"/>
      <c r="AS55" s="470"/>
      <c r="AT55" s="470"/>
      <c r="AU55" s="470"/>
      <c r="AV55" s="470"/>
      <c r="AW55" s="470"/>
      <c r="AX55" s="470"/>
      <c r="AY55" s="470"/>
      <c r="AZ55" s="470"/>
      <c r="BA55" s="470"/>
      <c r="BB55" s="474"/>
      <c r="BC55" s="475"/>
      <c r="BD55" s="475"/>
      <c r="BE55" s="475"/>
      <c r="BF55" s="475"/>
      <c r="BG55" s="475"/>
      <c r="BH55" s="475"/>
      <c r="BI55" s="475"/>
      <c r="BJ55" s="475"/>
      <c r="BK55" s="475"/>
      <c r="BL55" s="475"/>
      <c r="BM55" s="475"/>
      <c r="BN55" s="475"/>
      <c r="BO55" s="475"/>
      <c r="BP55" s="475"/>
      <c r="BQ55" s="475"/>
      <c r="BR55" s="475"/>
      <c r="BS55" s="475"/>
      <c r="BT55" s="475"/>
      <c r="BU55" s="475"/>
      <c r="BV55" s="475"/>
      <c r="BW55" s="475"/>
      <c r="BX55" s="475"/>
      <c r="BY55" s="475"/>
      <c r="BZ55" s="476"/>
      <c r="CP55" s="3"/>
    </row>
    <row r="56" spans="1:94" ht="15" customHeight="1" x14ac:dyDescent="0.15">
      <c r="A56" s="1"/>
      <c r="B56" s="8"/>
      <c r="E56" s="470" t="s">
        <v>926</v>
      </c>
      <c r="F56" s="470"/>
      <c r="G56" s="470"/>
      <c r="H56" s="470"/>
      <c r="I56" s="470"/>
      <c r="J56" s="470"/>
      <c r="K56" s="470"/>
      <c r="L56" s="470"/>
      <c r="M56" s="470"/>
      <c r="N56" s="470"/>
      <c r="O56" s="470"/>
      <c r="P56" s="470"/>
      <c r="Q56" s="471" t="s">
        <v>1039</v>
      </c>
      <c r="R56" s="472"/>
      <c r="S56" s="472"/>
      <c r="T56" s="472"/>
      <c r="U56" s="472"/>
      <c r="V56" s="472"/>
      <c r="W56" s="472"/>
      <c r="X56" s="472"/>
      <c r="Y56" s="472"/>
      <c r="Z56" s="472"/>
      <c r="AA56" s="472"/>
      <c r="AB56" s="472"/>
      <c r="AC56" s="472"/>
      <c r="AD56" s="472"/>
      <c r="AE56" s="472"/>
      <c r="AF56" s="472"/>
      <c r="AG56" s="472"/>
      <c r="AH56" s="472"/>
      <c r="AI56" s="472"/>
      <c r="AJ56" s="472"/>
      <c r="AK56" s="472"/>
      <c r="AL56" s="472"/>
      <c r="AM56" s="472"/>
      <c r="AN56" s="472"/>
      <c r="AO56" s="473"/>
      <c r="AP56" s="470" t="s">
        <v>927</v>
      </c>
      <c r="AQ56" s="470"/>
      <c r="AR56" s="470"/>
      <c r="AS56" s="470"/>
      <c r="AT56" s="470"/>
      <c r="AU56" s="470"/>
      <c r="AV56" s="470"/>
      <c r="AW56" s="470"/>
      <c r="AX56" s="470"/>
      <c r="AY56" s="470"/>
      <c r="AZ56" s="470"/>
      <c r="BA56" s="470"/>
      <c r="BB56" s="471" t="s">
        <v>606</v>
      </c>
      <c r="BC56" s="472"/>
      <c r="BD56" s="472"/>
      <c r="BE56" s="472"/>
      <c r="BF56" s="472"/>
      <c r="BG56" s="472"/>
      <c r="BH56" s="472"/>
      <c r="BI56" s="472"/>
      <c r="BJ56" s="472"/>
      <c r="BK56" s="472"/>
      <c r="BL56" s="472"/>
      <c r="BM56" s="472"/>
      <c r="BN56" s="472"/>
      <c r="BO56" s="472"/>
      <c r="BP56" s="472"/>
      <c r="BQ56" s="472"/>
      <c r="BR56" s="472"/>
      <c r="BS56" s="472"/>
      <c r="BT56" s="472"/>
      <c r="BU56" s="472"/>
      <c r="BV56" s="472"/>
      <c r="BW56" s="472"/>
      <c r="BX56" s="472"/>
      <c r="BY56" s="472"/>
      <c r="BZ56" s="473"/>
      <c r="CP56" s="3"/>
    </row>
    <row r="57" spans="1:94" ht="15" customHeight="1" x14ac:dyDescent="0.15">
      <c r="A57" s="1"/>
      <c r="E57" s="470"/>
      <c r="F57" s="470"/>
      <c r="G57" s="470"/>
      <c r="H57" s="470"/>
      <c r="I57" s="470"/>
      <c r="J57" s="470"/>
      <c r="K57" s="470"/>
      <c r="L57" s="470"/>
      <c r="M57" s="470"/>
      <c r="N57" s="470"/>
      <c r="O57" s="470"/>
      <c r="P57" s="470"/>
      <c r="Q57" s="474"/>
      <c r="R57" s="475"/>
      <c r="S57" s="475"/>
      <c r="T57" s="475"/>
      <c r="U57" s="475"/>
      <c r="V57" s="475"/>
      <c r="W57" s="475"/>
      <c r="X57" s="475"/>
      <c r="Y57" s="475"/>
      <c r="Z57" s="475"/>
      <c r="AA57" s="475"/>
      <c r="AB57" s="475"/>
      <c r="AC57" s="475"/>
      <c r="AD57" s="475"/>
      <c r="AE57" s="475"/>
      <c r="AF57" s="475"/>
      <c r="AG57" s="475"/>
      <c r="AH57" s="475"/>
      <c r="AI57" s="475"/>
      <c r="AJ57" s="475"/>
      <c r="AK57" s="475"/>
      <c r="AL57" s="475"/>
      <c r="AM57" s="475"/>
      <c r="AN57" s="475"/>
      <c r="AO57" s="476"/>
      <c r="AP57" s="470"/>
      <c r="AQ57" s="470"/>
      <c r="AR57" s="470"/>
      <c r="AS57" s="470"/>
      <c r="AT57" s="470"/>
      <c r="AU57" s="470"/>
      <c r="AV57" s="470"/>
      <c r="AW57" s="470"/>
      <c r="AX57" s="470"/>
      <c r="AY57" s="470"/>
      <c r="AZ57" s="470"/>
      <c r="BA57" s="470"/>
      <c r="BB57" s="474"/>
      <c r="BC57" s="475"/>
      <c r="BD57" s="475"/>
      <c r="BE57" s="475"/>
      <c r="BF57" s="475"/>
      <c r="BG57" s="475"/>
      <c r="BH57" s="475"/>
      <c r="BI57" s="475"/>
      <c r="BJ57" s="475"/>
      <c r="BK57" s="475"/>
      <c r="BL57" s="475"/>
      <c r="BM57" s="475"/>
      <c r="BN57" s="475"/>
      <c r="BO57" s="475"/>
      <c r="BP57" s="475"/>
      <c r="BQ57" s="475"/>
      <c r="BR57" s="475"/>
      <c r="BS57" s="475"/>
      <c r="BT57" s="475"/>
      <c r="BU57" s="475"/>
      <c r="BV57" s="475"/>
      <c r="BW57" s="475"/>
      <c r="BX57" s="475"/>
      <c r="BY57" s="475"/>
      <c r="BZ57" s="476"/>
      <c r="CP57" s="3"/>
    </row>
    <row r="58" spans="1:94" ht="15" customHeight="1" x14ac:dyDescent="0.15">
      <c r="A58" s="1"/>
      <c r="B58" s="8"/>
      <c r="E58" s="470" t="s">
        <v>928</v>
      </c>
      <c r="F58" s="470"/>
      <c r="G58" s="470"/>
      <c r="H58" s="470"/>
      <c r="I58" s="470"/>
      <c r="J58" s="470"/>
      <c r="K58" s="470"/>
      <c r="L58" s="470"/>
      <c r="M58" s="470"/>
      <c r="N58" s="470"/>
      <c r="O58" s="470"/>
      <c r="P58" s="470"/>
      <c r="Q58" s="471" t="s">
        <v>929</v>
      </c>
      <c r="R58" s="472"/>
      <c r="S58" s="472"/>
      <c r="T58" s="472"/>
      <c r="U58" s="472"/>
      <c r="V58" s="472"/>
      <c r="W58" s="472"/>
      <c r="X58" s="472"/>
      <c r="Y58" s="472"/>
      <c r="Z58" s="472"/>
      <c r="AA58" s="472"/>
      <c r="AB58" s="472"/>
      <c r="AC58" s="472"/>
      <c r="AD58" s="472"/>
      <c r="AE58" s="472"/>
      <c r="AF58" s="472"/>
      <c r="AG58" s="472"/>
      <c r="AH58" s="472"/>
      <c r="AI58" s="472"/>
      <c r="AJ58" s="472"/>
      <c r="AK58" s="472"/>
      <c r="AL58" s="472"/>
      <c r="AM58" s="472"/>
      <c r="AN58" s="472"/>
      <c r="AO58" s="473"/>
      <c r="CP58" s="3"/>
    </row>
    <row r="59" spans="1:94" ht="15" customHeight="1" x14ac:dyDescent="0.15">
      <c r="A59" s="1"/>
      <c r="B59" s="8"/>
      <c r="E59" s="470"/>
      <c r="F59" s="470"/>
      <c r="G59" s="470"/>
      <c r="H59" s="470"/>
      <c r="I59" s="470"/>
      <c r="J59" s="470"/>
      <c r="K59" s="470"/>
      <c r="L59" s="470"/>
      <c r="M59" s="470"/>
      <c r="N59" s="470"/>
      <c r="O59" s="470"/>
      <c r="P59" s="470"/>
      <c r="Q59" s="474"/>
      <c r="R59" s="475"/>
      <c r="S59" s="475"/>
      <c r="T59" s="475"/>
      <c r="U59" s="475"/>
      <c r="V59" s="475"/>
      <c r="W59" s="475"/>
      <c r="X59" s="475"/>
      <c r="Y59" s="475"/>
      <c r="Z59" s="475"/>
      <c r="AA59" s="475"/>
      <c r="AB59" s="475"/>
      <c r="AC59" s="475"/>
      <c r="AD59" s="475"/>
      <c r="AE59" s="475"/>
      <c r="AF59" s="475"/>
      <c r="AG59" s="475"/>
      <c r="AH59" s="475"/>
      <c r="AI59" s="475"/>
      <c r="AJ59" s="475"/>
      <c r="AK59" s="475"/>
      <c r="AL59" s="475"/>
      <c r="AM59" s="475"/>
      <c r="AN59" s="475"/>
      <c r="AO59" s="476"/>
      <c r="CP59" s="3"/>
    </row>
    <row r="60" spans="1:94" ht="15" customHeight="1" x14ac:dyDescent="0.15">
      <c r="A60" s="1"/>
      <c r="B60" s="8"/>
      <c r="CP60" s="3"/>
    </row>
    <row r="61" spans="1:94" ht="15" customHeight="1" x14ac:dyDescent="0.15">
      <c r="A61" s="1"/>
      <c r="B61" s="8"/>
      <c r="CP61" s="3"/>
    </row>
    <row r="62" spans="1:94" ht="15" customHeight="1" x14ac:dyDescent="0.15">
      <c r="A62" s="1"/>
      <c r="C62" s="149" t="s">
        <v>930</v>
      </c>
      <c r="CP62" s="3"/>
    </row>
    <row r="63" spans="1:94" ht="15" customHeight="1" x14ac:dyDescent="0.15">
      <c r="A63" s="1"/>
      <c r="B63" s="8"/>
      <c r="CP63" s="3"/>
    </row>
    <row r="64" spans="1:94" ht="15" customHeight="1" x14ac:dyDescent="0.15">
      <c r="A64" s="1"/>
      <c r="B64" s="8"/>
      <c r="E64" s="470" t="s">
        <v>807</v>
      </c>
      <c r="F64" s="470"/>
      <c r="G64" s="470"/>
      <c r="H64" s="470"/>
      <c r="I64" s="470"/>
      <c r="J64" s="470"/>
      <c r="K64" s="470"/>
      <c r="L64" s="470"/>
      <c r="M64" s="470"/>
      <c r="N64" s="470"/>
      <c r="O64" s="470"/>
      <c r="P64" s="470"/>
      <c r="Q64" s="471" t="s">
        <v>606</v>
      </c>
      <c r="R64" s="472"/>
      <c r="S64" s="472"/>
      <c r="T64" s="472"/>
      <c r="U64" s="472"/>
      <c r="V64" s="472"/>
      <c r="W64" s="472"/>
      <c r="X64" s="472"/>
      <c r="Y64" s="472"/>
      <c r="Z64" s="472"/>
      <c r="AA64" s="472"/>
      <c r="AB64" s="472"/>
      <c r="AC64" s="472"/>
      <c r="AD64" s="472"/>
      <c r="AE64" s="472"/>
      <c r="AF64" s="472"/>
      <c r="AG64" s="472"/>
      <c r="AH64" s="472"/>
      <c r="AI64" s="472"/>
      <c r="AJ64" s="472"/>
      <c r="AK64" s="472"/>
      <c r="AL64" s="472"/>
      <c r="AM64" s="472"/>
      <c r="AN64" s="472"/>
      <c r="AO64" s="473"/>
      <c r="AP64" s="470" t="s">
        <v>151</v>
      </c>
      <c r="AQ64" s="470"/>
      <c r="AR64" s="470"/>
      <c r="AS64" s="470"/>
      <c r="AT64" s="470"/>
      <c r="AU64" s="470"/>
      <c r="AV64" s="470"/>
      <c r="AW64" s="470"/>
      <c r="AX64" s="470"/>
      <c r="AY64" s="470"/>
      <c r="AZ64" s="470"/>
      <c r="BA64" s="470"/>
      <c r="BB64" s="471" t="s">
        <v>1006</v>
      </c>
      <c r="BC64" s="472"/>
      <c r="BD64" s="472"/>
      <c r="BE64" s="472"/>
      <c r="BF64" s="472"/>
      <c r="BG64" s="472"/>
      <c r="BH64" s="472"/>
      <c r="BI64" s="472"/>
      <c r="BJ64" s="472"/>
      <c r="BK64" s="472"/>
      <c r="BL64" s="472"/>
      <c r="BM64" s="472"/>
      <c r="BN64" s="472"/>
      <c r="BO64" s="472"/>
      <c r="BP64" s="472"/>
      <c r="BQ64" s="472"/>
      <c r="BR64" s="472"/>
      <c r="BS64" s="472"/>
      <c r="BT64" s="472"/>
      <c r="BU64" s="472"/>
      <c r="BV64" s="472"/>
      <c r="BW64" s="472"/>
      <c r="BX64" s="472"/>
      <c r="BY64" s="472"/>
      <c r="BZ64" s="473"/>
      <c r="CP64" s="3"/>
    </row>
    <row r="65" spans="1:94" ht="15" customHeight="1" x14ac:dyDescent="0.15">
      <c r="A65" s="1"/>
      <c r="B65" s="8"/>
      <c r="E65" s="470"/>
      <c r="F65" s="470"/>
      <c r="G65" s="470"/>
      <c r="H65" s="470"/>
      <c r="I65" s="470"/>
      <c r="J65" s="470"/>
      <c r="K65" s="470"/>
      <c r="L65" s="470"/>
      <c r="M65" s="470"/>
      <c r="N65" s="470"/>
      <c r="O65" s="470"/>
      <c r="P65" s="470"/>
      <c r="Q65" s="474"/>
      <c r="R65" s="475"/>
      <c r="S65" s="475"/>
      <c r="T65" s="475"/>
      <c r="U65" s="475"/>
      <c r="V65" s="475"/>
      <c r="W65" s="475"/>
      <c r="X65" s="475"/>
      <c r="Y65" s="475"/>
      <c r="Z65" s="475"/>
      <c r="AA65" s="475"/>
      <c r="AB65" s="475"/>
      <c r="AC65" s="475"/>
      <c r="AD65" s="475"/>
      <c r="AE65" s="475"/>
      <c r="AF65" s="475"/>
      <c r="AG65" s="475"/>
      <c r="AH65" s="475"/>
      <c r="AI65" s="475"/>
      <c r="AJ65" s="475"/>
      <c r="AK65" s="475"/>
      <c r="AL65" s="475"/>
      <c r="AM65" s="475"/>
      <c r="AN65" s="475"/>
      <c r="AO65" s="476"/>
      <c r="AP65" s="470"/>
      <c r="AQ65" s="470"/>
      <c r="AR65" s="470"/>
      <c r="AS65" s="470"/>
      <c r="AT65" s="470"/>
      <c r="AU65" s="470"/>
      <c r="AV65" s="470"/>
      <c r="AW65" s="470"/>
      <c r="AX65" s="470"/>
      <c r="AY65" s="470"/>
      <c r="AZ65" s="470"/>
      <c r="BA65" s="470"/>
      <c r="BB65" s="474"/>
      <c r="BC65" s="475"/>
      <c r="BD65" s="475"/>
      <c r="BE65" s="475"/>
      <c r="BF65" s="475"/>
      <c r="BG65" s="475"/>
      <c r="BH65" s="475"/>
      <c r="BI65" s="475"/>
      <c r="BJ65" s="475"/>
      <c r="BK65" s="475"/>
      <c r="BL65" s="475"/>
      <c r="BM65" s="475"/>
      <c r="BN65" s="475"/>
      <c r="BO65" s="475"/>
      <c r="BP65" s="475"/>
      <c r="BQ65" s="475"/>
      <c r="BR65" s="475"/>
      <c r="BS65" s="475"/>
      <c r="BT65" s="475"/>
      <c r="BU65" s="475"/>
      <c r="BV65" s="475"/>
      <c r="BW65" s="475"/>
      <c r="BX65" s="475"/>
      <c r="BY65" s="475"/>
      <c r="BZ65" s="476"/>
      <c r="CP65" s="3"/>
    </row>
    <row r="66" spans="1:94" ht="15" customHeight="1" x14ac:dyDescent="0.15">
      <c r="A66" s="1"/>
      <c r="CP66" s="3"/>
    </row>
    <row r="67" spans="1:94" ht="15" customHeight="1" x14ac:dyDescent="0.15">
      <c r="A67" s="1"/>
      <c r="B67" s="8"/>
      <c r="CP67" s="3"/>
    </row>
    <row r="68" spans="1:94" ht="15" customHeight="1" x14ac:dyDescent="0.15">
      <c r="A68" s="1"/>
      <c r="B68" s="8"/>
      <c r="C68" s="149" t="s">
        <v>931</v>
      </c>
      <c r="CP68" s="3"/>
    </row>
    <row r="69" spans="1:94" ht="15" customHeight="1" x14ac:dyDescent="0.15">
      <c r="A69" s="1"/>
      <c r="B69" s="8"/>
      <c r="CP69" s="3"/>
    </row>
    <row r="70" spans="1:94" ht="15" customHeight="1" x14ac:dyDescent="0.15">
      <c r="A70" s="1"/>
      <c r="B70" s="8"/>
      <c r="E70" s="470" t="s">
        <v>932</v>
      </c>
      <c r="F70" s="470"/>
      <c r="G70" s="470"/>
      <c r="H70" s="470"/>
      <c r="I70" s="470"/>
      <c r="J70" s="470"/>
      <c r="K70" s="470"/>
      <c r="L70" s="470"/>
      <c r="M70" s="470"/>
      <c r="N70" s="470"/>
      <c r="O70" s="470"/>
      <c r="P70" s="470"/>
      <c r="Q70" s="471" t="s">
        <v>933</v>
      </c>
      <c r="R70" s="472"/>
      <c r="S70" s="472"/>
      <c r="T70" s="472"/>
      <c r="U70" s="472"/>
      <c r="V70" s="472"/>
      <c r="W70" s="472"/>
      <c r="X70" s="472"/>
      <c r="Y70" s="472"/>
      <c r="Z70" s="472"/>
      <c r="AA70" s="472"/>
      <c r="AB70" s="472"/>
      <c r="AC70" s="472"/>
      <c r="AD70" s="472"/>
      <c r="AE70" s="472"/>
      <c r="AF70" s="472"/>
      <c r="AG70" s="472"/>
      <c r="AH70" s="472"/>
      <c r="AI70" s="472"/>
      <c r="AJ70" s="472"/>
      <c r="AK70" s="472"/>
      <c r="AL70" s="472"/>
      <c r="AM70" s="472"/>
      <c r="AN70" s="472"/>
      <c r="AO70" s="473"/>
      <c r="AP70" s="471" t="s">
        <v>934</v>
      </c>
      <c r="AQ70" s="472"/>
      <c r="AR70" s="472"/>
      <c r="AS70" s="472"/>
      <c r="AT70" s="472"/>
      <c r="AU70" s="472"/>
      <c r="AV70" s="472"/>
      <c r="AW70" s="472"/>
      <c r="AX70" s="472"/>
      <c r="AY70" s="472"/>
      <c r="AZ70" s="472"/>
      <c r="BA70" s="472"/>
      <c r="BB70" s="472"/>
      <c r="BC70" s="472"/>
      <c r="BD70" s="472"/>
      <c r="BE70" s="472"/>
      <c r="BF70" s="472"/>
      <c r="BG70" s="472"/>
      <c r="BH70" s="472"/>
      <c r="BI70" s="472"/>
      <c r="BJ70" s="472"/>
      <c r="BK70" s="472"/>
      <c r="BL70" s="472"/>
      <c r="BM70" s="472"/>
      <c r="BN70" s="473"/>
      <c r="CP70" s="3"/>
    </row>
    <row r="71" spans="1:94" ht="15" customHeight="1" x14ac:dyDescent="0.15">
      <c r="A71" s="1"/>
      <c r="E71" s="470"/>
      <c r="F71" s="470"/>
      <c r="G71" s="470"/>
      <c r="H71" s="470"/>
      <c r="I71" s="470"/>
      <c r="J71" s="470"/>
      <c r="K71" s="470"/>
      <c r="L71" s="470"/>
      <c r="M71" s="470"/>
      <c r="N71" s="470"/>
      <c r="O71" s="470"/>
      <c r="P71" s="470"/>
      <c r="Q71" s="474"/>
      <c r="R71" s="475"/>
      <c r="S71" s="475"/>
      <c r="T71" s="475"/>
      <c r="U71" s="475"/>
      <c r="V71" s="475"/>
      <c r="W71" s="475"/>
      <c r="X71" s="475"/>
      <c r="Y71" s="475"/>
      <c r="Z71" s="475"/>
      <c r="AA71" s="475"/>
      <c r="AB71" s="475"/>
      <c r="AC71" s="475"/>
      <c r="AD71" s="475"/>
      <c r="AE71" s="475"/>
      <c r="AF71" s="475"/>
      <c r="AG71" s="475"/>
      <c r="AH71" s="475"/>
      <c r="AI71" s="475"/>
      <c r="AJ71" s="475"/>
      <c r="AK71" s="475"/>
      <c r="AL71" s="475"/>
      <c r="AM71" s="475"/>
      <c r="AN71" s="475"/>
      <c r="AO71" s="476"/>
      <c r="AP71" s="474"/>
      <c r="AQ71" s="475"/>
      <c r="AR71" s="475"/>
      <c r="AS71" s="475"/>
      <c r="AT71" s="475"/>
      <c r="AU71" s="475"/>
      <c r="AV71" s="475"/>
      <c r="AW71" s="475"/>
      <c r="AX71" s="475"/>
      <c r="AY71" s="475"/>
      <c r="AZ71" s="475"/>
      <c r="BA71" s="475"/>
      <c r="BB71" s="475"/>
      <c r="BC71" s="475"/>
      <c r="BD71" s="475"/>
      <c r="BE71" s="475"/>
      <c r="BF71" s="475"/>
      <c r="BG71" s="475"/>
      <c r="BH71" s="475"/>
      <c r="BI71" s="475"/>
      <c r="BJ71" s="475"/>
      <c r="BK71" s="475"/>
      <c r="BL71" s="475"/>
      <c r="BM71" s="475"/>
      <c r="BN71" s="476"/>
      <c r="CP71" s="3"/>
    </row>
    <row r="72" spans="1:94" ht="15" customHeight="1" x14ac:dyDescent="0.15">
      <c r="A72" s="1"/>
      <c r="B72" s="8"/>
      <c r="Q72" s="471" t="s">
        <v>935</v>
      </c>
      <c r="R72" s="472"/>
      <c r="S72" s="472"/>
      <c r="T72" s="472"/>
      <c r="U72" s="472"/>
      <c r="V72" s="472"/>
      <c r="W72" s="472"/>
      <c r="X72" s="472"/>
      <c r="Y72" s="472"/>
      <c r="Z72" s="472"/>
      <c r="AA72" s="472"/>
      <c r="AB72" s="472"/>
      <c r="AC72" s="472"/>
      <c r="AD72" s="472"/>
      <c r="AE72" s="472"/>
      <c r="AF72" s="472"/>
      <c r="AG72" s="472"/>
      <c r="AH72" s="472"/>
      <c r="AI72" s="472"/>
      <c r="AJ72" s="472"/>
      <c r="AK72" s="472"/>
      <c r="AL72" s="472"/>
      <c r="AM72" s="472"/>
      <c r="AN72" s="472"/>
      <c r="AO72" s="473"/>
      <c r="AP72" s="471" t="s">
        <v>936</v>
      </c>
      <c r="AQ72" s="472"/>
      <c r="AR72" s="472"/>
      <c r="AS72" s="472"/>
      <c r="AT72" s="472"/>
      <c r="AU72" s="472"/>
      <c r="AV72" s="472"/>
      <c r="AW72" s="472"/>
      <c r="AX72" s="472"/>
      <c r="AY72" s="472"/>
      <c r="AZ72" s="472"/>
      <c r="BA72" s="472"/>
      <c r="BB72" s="472"/>
      <c r="BC72" s="472"/>
      <c r="BD72" s="472"/>
      <c r="BE72" s="472"/>
      <c r="BF72" s="472"/>
      <c r="BG72" s="472"/>
      <c r="BH72" s="472"/>
      <c r="BI72" s="472"/>
      <c r="BJ72" s="472"/>
      <c r="BK72" s="472"/>
      <c r="BL72" s="472"/>
      <c r="BM72" s="472"/>
      <c r="BN72" s="473"/>
      <c r="CP72" s="3"/>
    </row>
    <row r="73" spans="1:94" ht="15" customHeight="1" x14ac:dyDescent="0.15">
      <c r="A73" s="1"/>
      <c r="B73" s="8"/>
      <c r="Q73" s="474"/>
      <c r="R73" s="475"/>
      <c r="S73" s="475"/>
      <c r="T73" s="475"/>
      <c r="U73" s="475"/>
      <c r="V73" s="475"/>
      <c r="W73" s="475"/>
      <c r="X73" s="475"/>
      <c r="Y73" s="475"/>
      <c r="Z73" s="475"/>
      <c r="AA73" s="475"/>
      <c r="AB73" s="475"/>
      <c r="AC73" s="475"/>
      <c r="AD73" s="475"/>
      <c r="AE73" s="475"/>
      <c r="AF73" s="475"/>
      <c r="AG73" s="475"/>
      <c r="AH73" s="475"/>
      <c r="AI73" s="475"/>
      <c r="AJ73" s="475"/>
      <c r="AK73" s="475"/>
      <c r="AL73" s="475"/>
      <c r="AM73" s="475"/>
      <c r="AN73" s="475"/>
      <c r="AO73" s="476"/>
      <c r="AP73" s="474"/>
      <c r="AQ73" s="475"/>
      <c r="AR73" s="475"/>
      <c r="AS73" s="475"/>
      <c r="AT73" s="475"/>
      <c r="AU73" s="475"/>
      <c r="AV73" s="475"/>
      <c r="AW73" s="475"/>
      <c r="AX73" s="475"/>
      <c r="AY73" s="475"/>
      <c r="AZ73" s="475"/>
      <c r="BA73" s="475"/>
      <c r="BB73" s="475"/>
      <c r="BC73" s="475"/>
      <c r="BD73" s="475"/>
      <c r="BE73" s="475"/>
      <c r="BF73" s="475"/>
      <c r="BG73" s="475"/>
      <c r="BH73" s="475"/>
      <c r="BI73" s="475"/>
      <c r="BJ73" s="475"/>
      <c r="BK73" s="475"/>
      <c r="BL73" s="475"/>
      <c r="BM73" s="475"/>
      <c r="BN73" s="476"/>
      <c r="CP73" s="3"/>
    </row>
    <row r="74" spans="1:94" ht="15" customHeight="1" x14ac:dyDescent="0.15">
      <c r="A74" s="1"/>
      <c r="B74" s="8"/>
      <c r="Q74" s="471" t="s">
        <v>937</v>
      </c>
      <c r="R74" s="472"/>
      <c r="S74" s="472"/>
      <c r="T74" s="472"/>
      <c r="U74" s="472"/>
      <c r="V74" s="472"/>
      <c r="W74" s="472"/>
      <c r="X74" s="472"/>
      <c r="Y74" s="472"/>
      <c r="Z74" s="472"/>
      <c r="AA74" s="472"/>
      <c r="AB74" s="472"/>
      <c r="AC74" s="472"/>
      <c r="AD74" s="472"/>
      <c r="AE74" s="472"/>
      <c r="AF74" s="472"/>
      <c r="AG74" s="472"/>
      <c r="AH74" s="472"/>
      <c r="AI74" s="472"/>
      <c r="AJ74" s="472"/>
      <c r="AK74" s="472"/>
      <c r="AL74" s="472"/>
      <c r="AM74" s="472"/>
      <c r="AN74" s="472"/>
      <c r="AO74" s="473"/>
      <c r="AP74" s="471" t="s">
        <v>938</v>
      </c>
      <c r="AQ74" s="472"/>
      <c r="AR74" s="472"/>
      <c r="AS74" s="472"/>
      <c r="AT74" s="472"/>
      <c r="AU74" s="472"/>
      <c r="AV74" s="472"/>
      <c r="AW74" s="472"/>
      <c r="AX74" s="472"/>
      <c r="AY74" s="472"/>
      <c r="AZ74" s="472"/>
      <c r="BA74" s="472"/>
      <c r="BB74" s="472"/>
      <c r="BC74" s="472"/>
      <c r="BD74" s="472"/>
      <c r="BE74" s="472"/>
      <c r="BF74" s="472"/>
      <c r="BG74" s="472"/>
      <c r="BH74" s="472"/>
      <c r="BI74" s="472"/>
      <c r="BJ74" s="472"/>
      <c r="BK74" s="472"/>
      <c r="BL74" s="472"/>
      <c r="BM74" s="472"/>
      <c r="BN74" s="473"/>
      <c r="CP74" s="3"/>
    </row>
    <row r="75" spans="1:94" ht="15" customHeight="1" x14ac:dyDescent="0.15">
      <c r="A75" s="1"/>
      <c r="B75" s="8"/>
      <c r="Q75" s="474"/>
      <c r="R75" s="475"/>
      <c r="S75" s="475"/>
      <c r="T75" s="475"/>
      <c r="U75" s="475"/>
      <c r="V75" s="475"/>
      <c r="W75" s="475"/>
      <c r="X75" s="475"/>
      <c r="Y75" s="475"/>
      <c r="Z75" s="475"/>
      <c r="AA75" s="475"/>
      <c r="AB75" s="475"/>
      <c r="AC75" s="475"/>
      <c r="AD75" s="475"/>
      <c r="AE75" s="475"/>
      <c r="AF75" s="475"/>
      <c r="AG75" s="475"/>
      <c r="AH75" s="475"/>
      <c r="AI75" s="475"/>
      <c r="AJ75" s="475"/>
      <c r="AK75" s="475"/>
      <c r="AL75" s="475"/>
      <c r="AM75" s="475"/>
      <c r="AN75" s="475"/>
      <c r="AO75" s="476"/>
      <c r="AP75" s="474"/>
      <c r="AQ75" s="475"/>
      <c r="AR75" s="475"/>
      <c r="AS75" s="475"/>
      <c r="AT75" s="475"/>
      <c r="AU75" s="475"/>
      <c r="AV75" s="475"/>
      <c r="AW75" s="475"/>
      <c r="AX75" s="475"/>
      <c r="AY75" s="475"/>
      <c r="AZ75" s="475"/>
      <c r="BA75" s="475"/>
      <c r="BB75" s="475"/>
      <c r="BC75" s="475"/>
      <c r="BD75" s="475"/>
      <c r="BE75" s="475"/>
      <c r="BF75" s="475"/>
      <c r="BG75" s="475"/>
      <c r="BH75" s="475"/>
      <c r="BI75" s="475"/>
      <c r="BJ75" s="475"/>
      <c r="BK75" s="475"/>
      <c r="BL75" s="475"/>
      <c r="BM75" s="475"/>
      <c r="BN75" s="476"/>
      <c r="CP75" s="3"/>
    </row>
    <row r="76" spans="1:94" ht="15" customHeight="1" x14ac:dyDescent="0.15">
      <c r="A76" s="1"/>
      <c r="Q76" s="471" t="s">
        <v>939</v>
      </c>
      <c r="R76" s="472"/>
      <c r="S76" s="472"/>
      <c r="T76" s="472"/>
      <c r="U76" s="472"/>
      <c r="V76" s="472"/>
      <c r="W76" s="472"/>
      <c r="X76" s="472"/>
      <c r="Y76" s="472"/>
      <c r="Z76" s="472"/>
      <c r="AA76" s="472"/>
      <c r="AB76" s="472"/>
      <c r="AC76" s="472"/>
      <c r="AD76" s="472"/>
      <c r="AE76" s="472"/>
      <c r="AF76" s="472"/>
      <c r="AG76" s="472"/>
      <c r="AH76" s="472"/>
      <c r="AI76" s="472"/>
      <c r="AJ76" s="472"/>
      <c r="AK76" s="472"/>
      <c r="AL76" s="472"/>
      <c r="AM76" s="472"/>
      <c r="AN76" s="472"/>
      <c r="AO76" s="473"/>
      <c r="AP76" s="471" t="s">
        <v>940</v>
      </c>
      <c r="AQ76" s="472"/>
      <c r="AR76" s="472"/>
      <c r="AS76" s="472"/>
      <c r="AT76" s="472"/>
      <c r="AU76" s="472"/>
      <c r="AV76" s="472"/>
      <c r="AW76" s="472"/>
      <c r="AX76" s="472"/>
      <c r="AY76" s="472"/>
      <c r="AZ76" s="472"/>
      <c r="BA76" s="472"/>
      <c r="BB76" s="472"/>
      <c r="BC76" s="472"/>
      <c r="BD76" s="472"/>
      <c r="BE76" s="472"/>
      <c r="BF76" s="472"/>
      <c r="BG76" s="472"/>
      <c r="BH76" s="472"/>
      <c r="BI76" s="472"/>
      <c r="BJ76" s="472"/>
      <c r="BK76" s="472"/>
      <c r="BL76" s="472"/>
      <c r="BM76" s="472"/>
      <c r="BN76" s="473"/>
      <c r="CP76" s="3"/>
    </row>
    <row r="77" spans="1:94" ht="15" customHeight="1" x14ac:dyDescent="0.15">
      <c r="A77" s="1"/>
      <c r="B77" s="8"/>
      <c r="Q77" s="474"/>
      <c r="R77" s="475"/>
      <c r="S77" s="475"/>
      <c r="T77" s="475"/>
      <c r="U77" s="475"/>
      <c r="V77" s="475"/>
      <c r="W77" s="475"/>
      <c r="X77" s="475"/>
      <c r="Y77" s="475"/>
      <c r="Z77" s="475"/>
      <c r="AA77" s="475"/>
      <c r="AB77" s="475"/>
      <c r="AC77" s="475"/>
      <c r="AD77" s="475"/>
      <c r="AE77" s="475"/>
      <c r="AF77" s="475"/>
      <c r="AG77" s="475"/>
      <c r="AH77" s="475"/>
      <c r="AI77" s="475"/>
      <c r="AJ77" s="475"/>
      <c r="AK77" s="475"/>
      <c r="AL77" s="475"/>
      <c r="AM77" s="475"/>
      <c r="AN77" s="475"/>
      <c r="AO77" s="476"/>
      <c r="AP77" s="474"/>
      <c r="AQ77" s="475"/>
      <c r="AR77" s="475"/>
      <c r="AS77" s="475"/>
      <c r="AT77" s="475"/>
      <c r="AU77" s="475"/>
      <c r="AV77" s="475"/>
      <c r="AW77" s="475"/>
      <c r="AX77" s="475"/>
      <c r="AY77" s="475"/>
      <c r="AZ77" s="475"/>
      <c r="BA77" s="475"/>
      <c r="BB77" s="475"/>
      <c r="BC77" s="475"/>
      <c r="BD77" s="475"/>
      <c r="BE77" s="475"/>
      <c r="BF77" s="475"/>
      <c r="BG77" s="475"/>
      <c r="BH77" s="475"/>
      <c r="BI77" s="475"/>
      <c r="BJ77" s="475"/>
      <c r="BK77" s="475"/>
      <c r="BL77" s="475"/>
      <c r="BM77" s="475"/>
      <c r="BN77" s="476"/>
      <c r="CP77" s="3"/>
    </row>
    <row r="78" spans="1:94" ht="15" customHeight="1" x14ac:dyDescent="0.15">
      <c r="A78" s="1"/>
      <c r="B78" s="8"/>
      <c r="Q78" s="471" t="s">
        <v>941</v>
      </c>
      <c r="R78" s="472"/>
      <c r="S78" s="472"/>
      <c r="T78" s="472"/>
      <c r="U78" s="472"/>
      <c r="V78" s="472"/>
      <c r="W78" s="472"/>
      <c r="X78" s="472"/>
      <c r="Y78" s="472"/>
      <c r="Z78" s="472"/>
      <c r="AA78" s="472"/>
      <c r="AB78" s="472"/>
      <c r="AC78" s="472"/>
      <c r="AD78" s="472"/>
      <c r="AE78" s="472"/>
      <c r="AF78" s="472"/>
      <c r="AG78" s="472"/>
      <c r="AH78" s="472"/>
      <c r="AI78" s="472"/>
      <c r="AJ78" s="472"/>
      <c r="AK78" s="472"/>
      <c r="AL78" s="472"/>
      <c r="AM78" s="472"/>
      <c r="AN78" s="472"/>
      <c r="AO78" s="473"/>
      <c r="AP78" s="471" t="s">
        <v>942</v>
      </c>
      <c r="AQ78" s="472"/>
      <c r="AR78" s="472"/>
      <c r="AS78" s="472"/>
      <c r="AT78" s="472"/>
      <c r="AU78" s="472"/>
      <c r="AV78" s="472"/>
      <c r="AW78" s="472"/>
      <c r="AX78" s="472"/>
      <c r="AY78" s="472"/>
      <c r="AZ78" s="472"/>
      <c r="BA78" s="472"/>
      <c r="BB78" s="472"/>
      <c r="BC78" s="472"/>
      <c r="BD78" s="472"/>
      <c r="BE78" s="472"/>
      <c r="BF78" s="472"/>
      <c r="BG78" s="472"/>
      <c r="BH78" s="472"/>
      <c r="BI78" s="472"/>
      <c r="BJ78" s="472"/>
      <c r="BK78" s="472"/>
      <c r="BL78" s="472"/>
      <c r="BM78" s="472"/>
      <c r="BN78" s="473"/>
      <c r="CP78" s="3"/>
    </row>
    <row r="79" spans="1:94" ht="15" customHeight="1" x14ac:dyDescent="0.15">
      <c r="A79" s="1"/>
      <c r="B79" s="8"/>
      <c r="Q79" s="474"/>
      <c r="R79" s="475"/>
      <c r="S79" s="475"/>
      <c r="T79" s="475"/>
      <c r="U79" s="475"/>
      <c r="V79" s="475"/>
      <c r="W79" s="475"/>
      <c r="X79" s="475"/>
      <c r="Y79" s="475"/>
      <c r="Z79" s="475"/>
      <c r="AA79" s="475"/>
      <c r="AB79" s="475"/>
      <c r="AC79" s="475"/>
      <c r="AD79" s="475"/>
      <c r="AE79" s="475"/>
      <c r="AF79" s="475"/>
      <c r="AG79" s="475"/>
      <c r="AH79" s="475"/>
      <c r="AI79" s="475"/>
      <c r="AJ79" s="475"/>
      <c r="AK79" s="475"/>
      <c r="AL79" s="475"/>
      <c r="AM79" s="475"/>
      <c r="AN79" s="475"/>
      <c r="AO79" s="476"/>
      <c r="AP79" s="474"/>
      <c r="AQ79" s="475"/>
      <c r="AR79" s="475"/>
      <c r="AS79" s="475"/>
      <c r="AT79" s="475"/>
      <c r="AU79" s="475"/>
      <c r="AV79" s="475"/>
      <c r="AW79" s="475"/>
      <c r="AX79" s="475"/>
      <c r="AY79" s="475"/>
      <c r="AZ79" s="475"/>
      <c r="BA79" s="475"/>
      <c r="BB79" s="475"/>
      <c r="BC79" s="475"/>
      <c r="BD79" s="475"/>
      <c r="BE79" s="475"/>
      <c r="BF79" s="475"/>
      <c r="BG79" s="475"/>
      <c r="BH79" s="475"/>
      <c r="BI79" s="475"/>
      <c r="BJ79" s="475"/>
      <c r="BK79" s="475"/>
      <c r="BL79" s="475"/>
      <c r="BM79" s="475"/>
      <c r="BN79" s="476"/>
      <c r="CP79" s="3"/>
    </row>
    <row r="80" spans="1:94" ht="15" customHeight="1" x14ac:dyDescent="0.15">
      <c r="A80" s="1"/>
      <c r="B80" s="8"/>
      <c r="Q80" s="471" t="s">
        <v>943</v>
      </c>
      <c r="R80" s="472"/>
      <c r="S80" s="472"/>
      <c r="T80" s="472"/>
      <c r="U80" s="472"/>
      <c r="V80" s="472"/>
      <c r="W80" s="472"/>
      <c r="X80" s="472"/>
      <c r="Y80" s="472"/>
      <c r="Z80" s="472"/>
      <c r="AA80" s="472"/>
      <c r="AB80" s="472"/>
      <c r="AC80" s="472"/>
      <c r="AD80" s="472"/>
      <c r="AE80" s="472"/>
      <c r="AF80" s="472"/>
      <c r="AG80" s="472"/>
      <c r="AH80" s="472"/>
      <c r="AI80" s="472"/>
      <c r="AJ80" s="472"/>
      <c r="AK80" s="472"/>
      <c r="AL80" s="472"/>
      <c r="AM80" s="472"/>
      <c r="AN80" s="472"/>
      <c r="AO80" s="473"/>
      <c r="CP80" s="3"/>
    </row>
    <row r="81" spans="1:94" ht="15" customHeight="1" x14ac:dyDescent="0.15">
      <c r="A81" s="1"/>
      <c r="B81" s="8"/>
      <c r="Q81" s="474"/>
      <c r="R81" s="475"/>
      <c r="S81" s="475"/>
      <c r="T81" s="475"/>
      <c r="U81" s="475"/>
      <c r="V81" s="475"/>
      <c r="W81" s="475"/>
      <c r="X81" s="475"/>
      <c r="Y81" s="475"/>
      <c r="Z81" s="475"/>
      <c r="AA81" s="475"/>
      <c r="AB81" s="475"/>
      <c r="AC81" s="475"/>
      <c r="AD81" s="475"/>
      <c r="AE81" s="475"/>
      <c r="AF81" s="475"/>
      <c r="AG81" s="475"/>
      <c r="AH81" s="475"/>
      <c r="AI81" s="475"/>
      <c r="AJ81" s="475"/>
      <c r="AK81" s="475"/>
      <c r="AL81" s="475"/>
      <c r="AM81" s="475"/>
      <c r="AN81" s="475"/>
      <c r="AO81" s="476"/>
      <c r="CP81" s="3"/>
    </row>
    <row r="82" spans="1:94" ht="15" customHeight="1" x14ac:dyDescent="0.15">
      <c r="A82" s="1"/>
      <c r="Q82" s="471" t="s">
        <v>944</v>
      </c>
      <c r="R82" s="472"/>
      <c r="S82" s="472"/>
      <c r="T82" s="472"/>
      <c r="U82" s="472"/>
      <c r="V82" s="472"/>
      <c r="W82" s="472"/>
      <c r="X82" s="472"/>
      <c r="Y82" s="472"/>
      <c r="Z82" s="472"/>
      <c r="AA82" s="472"/>
      <c r="AB82" s="472"/>
      <c r="AC82" s="472"/>
      <c r="AD82" s="472"/>
      <c r="AE82" s="472"/>
      <c r="AF82" s="472"/>
      <c r="AG82" s="472"/>
      <c r="AH82" s="472"/>
      <c r="AI82" s="472"/>
      <c r="AJ82" s="472"/>
      <c r="AK82" s="472"/>
      <c r="AL82" s="472"/>
      <c r="AM82" s="472"/>
      <c r="AN82" s="472"/>
      <c r="AO82" s="473"/>
      <c r="CP82" s="3"/>
    </row>
    <row r="83" spans="1:94" ht="15" customHeight="1" x14ac:dyDescent="0.15">
      <c r="A83" s="1"/>
      <c r="B83" s="8"/>
      <c r="Q83" s="474"/>
      <c r="R83" s="475"/>
      <c r="S83" s="475"/>
      <c r="T83" s="475"/>
      <c r="U83" s="475"/>
      <c r="V83" s="475"/>
      <c r="W83" s="475"/>
      <c r="X83" s="475"/>
      <c r="Y83" s="475"/>
      <c r="Z83" s="475"/>
      <c r="AA83" s="475"/>
      <c r="AB83" s="475"/>
      <c r="AC83" s="475"/>
      <c r="AD83" s="475"/>
      <c r="AE83" s="475"/>
      <c r="AF83" s="475"/>
      <c r="AG83" s="475"/>
      <c r="AH83" s="475"/>
      <c r="AI83" s="475"/>
      <c r="AJ83" s="475"/>
      <c r="AK83" s="475"/>
      <c r="AL83" s="475"/>
      <c r="AM83" s="475"/>
      <c r="AN83" s="475"/>
      <c r="AO83" s="476"/>
      <c r="CP83" s="3"/>
    </row>
    <row r="84" spans="1:94" ht="15" customHeight="1" x14ac:dyDescent="0.15">
      <c r="A84" s="1"/>
      <c r="B84" s="8"/>
      <c r="Q84" s="471" t="s">
        <v>945</v>
      </c>
      <c r="R84" s="472"/>
      <c r="S84" s="472"/>
      <c r="T84" s="472"/>
      <c r="U84" s="472"/>
      <c r="V84" s="472"/>
      <c r="W84" s="472"/>
      <c r="X84" s="472"/>
      <c r="Y84" s="472"/>
      <c r="Z84" s="472"/>
      <c r="AA84" s="472"/>
      <c r="AB84" s="472"/>
      <c r="AC84" s="472"/>
      <c r="AD84" s="472"/>
      <c r="AE84" s="472"/>
      <c r="AF84" s="472"/>
      <c r="AG84" s="472"/>
      <c r="AH84" s="472"/>
      <c r="AI84" s="472"/>
      <c r="AJ84" s="472"/>
      <c r="AK84" s="472"/>
      <c r="AL84" s="472"/>
      <c r="AM84" s="472"/>
      <c r="AN84" s="472"/>
      <c r="AO84" s="473"/>
      <c r="CP84" s="3"/>
    </row>
    <row r="85" spans="1:94" ht="15" customHeight="1" x14ac:dyDescent="0.15">
      <c r="A85" s="1"/>
      <c r="B85" s="8"/>
      <c r="Q85" s="474"/>
      <c r="R85" s="475"/>
      <c r="S85" s="475"/>
      <c r="T85" s="475"/>
      <c r="U85" s="475"/>
      <c r="V85" s="475"/>
      <c r="W85" s="475"/>
      <c r="X85" s="475"/>
      <c r="Y85" s="475"/>
      <c r="Z85" s="475"/>
      <c r="AA85" s="475"/>
      <c r="AB85" s="475"/>
      <c r="AC85" s="475"/>
      <c r="AD85" s="475"/>
      <c r="AE85" s="475"/>
      <c r="AF85" s="475"/>
      <c r="AG85" s="475"/>
      <c r="AH85" s="475"/>
      <c r="AI85" s="475"/>
      <c r="AJ85" s="475"/>
      <c r="AK85" s="475"/>
      <c r="AL85" s="475"/>
      <c r="AM85" s="475"/>
      <c r="AN85" s="475"/>
      <c r="AO85" s="476"/>
      <c r="CP85" s="3"/>
    </row>
    <row r="86" spans="1:94" ht="15" customHeight="1" x14ac:dyDescent="0.15">
      <c r="A86" s="1"/>
      <c r="B86" s="8"/>
      <c r="Q86" s="471" t="s">
        <v>946</v>
      </c>
      <c r="R86" s="472"/>
      <c r="S86" s="472"/>
      <c r="T86" s="472"/>
      <c r="U86" s="472"/>
      <c r="V86" s="472"/>
      <c r="W86" s="472"/>
      <c r="X86" s="472"/>
      <c r="Y86" s="472"/>
      <c r="Z86" s="472"/>
      <c r="AA86" s="472"/>
      <c r="AB86" s="472"/>
      <c r="AC86" s="472"/>
      <c r="AD86" s="472"/>
      <c r="AE86" s="472"/>
      <c r="AF86" s="472"/>
      <c r="AG86" s="472"/>
      <c r="AH86" s="472"/>
      <c r="AI86" s="472"/>
      <c r="AJ86" s="472"/>
      <c r="AK86" s="472"/>
      <c r="AL86" s="472"/>
      <c r="AM86" s="472"/>
      <c r="AN86" s="472"/>
      <c r="AO86" s="473"/>
      <c r="CP86" s="3"/>
    </row>
    <row r="87" spans="1:94" ht="15" customHeight="1" x14ac:dyDescent="0.15">
      <c r="A87" s="1"/>
      <c r="B87" s="8"/>
      <c r="Q87" s="474"/>
      <c r="R87" s="475"/>
      <c r="S87" s="475"/>
      <c r="T87" s="475"/>
      <c r="U87" s="475"/>
      <c r="V87" s="475"/>
      <c r="W87" s="475"/>
      <c r="X87" s="475"/>
      <c r="Y87" s="475"/>
      <c r="Z87" s="475"/>
      <c r="AA87" s="475"/>
      <c r="AB87" s="475"/>
      <c r="AC87" s="475"/>
      <c r="AD87" s="475"/>
      <c r="AE87" s="475"/>
      <c r="AF87" s="475"/>
      <c r="AG87" s="475"/>
      <c r="AH87" s="475"/>
      <c r="AI87" s="475"/>
      <c r="AJ87" s="475"/>
      <c r="AK87" s="475"/>
      <c r="AL87" s="475"/>
      <c r="AM87" s="475"/>
      <c r="AN87" s="475"/>
      <c r="AO87" s="476"/>
      <c r="CP87" s="3"/>
    </row>
    <row r="88" spans="1:94" ht="15" customHeight="1" x14ac:dyDescent="0.15">
      <c r="A88" s="1"/>
      <c r="B88" s="8"/>
      <c r="CP88" s="3"/>
    </row>
    <row r="89" spans="1:94" ht="15" customHeight="1" x14ac:dyDescent="0.15">
      <c r="A89" s="1"/>
      <c r="B89" s="8"/>
      <c r="CP89" s="3"/>
    </row>
    <row r="90" spans="1:94" ht="15" customHeight="1" x14ac:dyDescent="0.15">
      <c r="A90" s="1"/>
      <c r="B90" s="8"/>
      <c r="E90" s="9"/>
      <c r="CP90" s="3"/>
    </row>
    <row r="91" spans="1:94" ht="15" customHeight="1" thickBot="1" x14ac:dyDescent="0.2">
      <c r="A91" s="5"/>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7"/>
    </row>
  </sheetData>
  <mergeCells count="54">
    <mergeCell ref="Q82:AO83"/>
    <mergeCell ref="Q84:AO85"/>
    <mergeCell ref="Q86:AO87"/>
    <mergeCell ref="Q76:AO77"/>
    <mergeCell ref="AP76:BN77"/>
    <mergeCell ref="Q78:AO79"/>
    <mergeCell ref="AP78:BN79"/>
    <mergeCell ref="Q80:AO81"/>
    <mergeCell ref="Q74:AO75"/>
    <mergeCell ref="AP74:BN75"/>
    <mergeCell ref="E58:P59"/>
    <mergeCell ref="Q58:AO59"/>
    <mergeCell ref="E64:P65"/>
    <mergeCell ref="Q64:AO65"/>
    <mergeCell ref="AP64:BA65"/>
    <mergeCell ref="BB64:BZ65"/>
    <mergeCell ref="E70:P71"/>
    <mergeCell ref="Q70:AO71"/>
    <mergeCell ref="AP70:BN71"/>
    <mergeCell ref="Q72:AO73"/>
    <mergeCell ref="AP72:BN73"/>
    <mergeCell ref="E54:P55"/>
    <mergeCell ref="Q54:AO55"/>
    <mergeCell ref="AP54:BA55"/>
    <mergeCell ref="BB54:BZ55"/>
    <mergeCell ref="E56:P57"/>
    <mergeCell ref="Q56:AO57"/>
    <mergeCell ref="AP56:BA57"/>
    <mergeCell ref="BB56:BZ57"/>
    <mergeCell ref="E52:P53"/>
    <mergeCell ref="Q52:AO53"/>
    <mergeCell ref="AP52:BA53"/>
    <mergeCell ref="BB52:BZ53"/>
    <mergeCell ref="BU1:CC1"/>
    <mergeCell ref="A3:H3"/>
    <mergeCell ref="I3:AD3"/>
    <mergeCell ref="AL3:BF3"/>
    <mergeCell ref="BG3:BJ3"/>
    <mergeCell ref="BK3:CC3"/>
    <mergeCell ref="CD1:CH3"/>
    <mergeCell ref="CI1:CP3"/>
    <mergeCell ref="A2:H2"/>
    <mergeCell ref="I2:AD2"/>
    <mergeCell ref="AE2:AK3"/>
    <mergeCell ref="AL2:BF2"/>
    <mergeCell ref="BG2:BJ2"/>
    <mergeCell ref="BK2:BT2"/>
    <mergeCell ref="BU2:CC2"/>
    <mergeCell ref="A1:H1"/>
    <mergeCell ref="I1:AD1"/>
    <mergeCell ref="AE1:AK1"/>
    <mergeCell ref="AL1:BF1"/>
    <mergeCell ref="BG1:BJ1"/>
    <mergeCell ref="BK1:BT1"/>
  </mergeCells>
  <phoneticPr fontId="3"/>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CS1058"/>
  <sheetViews>
    <sheetView view="pageBreakPreview" zoomScaleNormal="100" zoomScaleSheetLayoutView="100" workbookViewId="0">
      <selection sqref="A1:H1"/>
    </sheetView>
  </sheetViews>
  <sheetFormatPr defaultColWidth="1.875" defaultRowHeight="15" customHeight="1" x14ac:dyDescent="0.15"/>
  <cols>
    <col min="1" max="16384" width="1.875" style="2"/>
  </cols>
  <sheetData>
    <row r="1" spans="1:94" s="8" customFormat="1" ht="15" customHeight="1" x14ac:dyDescent="0.15">
      <c r="A1" s="297" t="s">
        <v>39</v>
      </c>
      <c r="B1" s="298"/>
      <c r="C1" s="298"/>
      <c r="D1" s="298"/>
      <c r="E1" s="298"/>
      <c r="F1" s="298"/>
      <c r="G1" s="298"/>
      <c r="H1" s="298"/>
      <c r="I1" s="299" t="str">
        <f>タイトル!$I$40</f>
        <v>教務システム</v>
      </c>
      <c r="J1" s="300"/>
      <c r="K1" s="300"/>
      <c r="L1" s="300"/>
      <c r="M1" s="300"/>
      <c r="N1" s="300"/>
      <c r="O1" s="300"/>
      <c r="P1" s="300"/>
      <c r="Q1" s="300"/>
      <c r="R1" s="300"/>
      <c r="S1" s="300"/>
      <c r="T1" s="300"/>
      <c r="U1" s="300"/>
      <c r="V1" s="300"/>
      <c r="W1" s="300"/>
      <c r="X1" s="300"/>
      <c r="Y1" s="300"/>
      <c r="Z1" s="300"/>
      <c r="AA1" s="300"/>
      <c r="AB1" s="300"/>
      <c r="AC1" s="300"/>
      <c r="AD1" s="301"/>
      <c r="AE1" s="302" t="s">
        <v>30</v>
      </c>
      <c r="AF1" s="302"/>
      <c r="AG1" s="302"/>
      <c r="AH1" s="302"/>
      <c r="AI1" s="302"/>
      <c r="AJ1" s="302"/>
      <c r="AK1" s="302"/>
      <c r="AL1" s="303" t="str">
        <f>タイトル!$I$43</f>
        <v>構築手順書の作成</v>
      </c>
      <c r="AM1" s="304"/>
      <c r="AN1" s="304"/>
      <c r="AO1" s="304"/>
      <c r="AP1" s="304"/>
      <c r="AQ1" s="304"/>
      <c r="AR1" s="304"/>
      <c r="AS1" s="304"/>
      <c r="AT1" s="304"/>
      <c r="AU1" s="304"/>
      <c r="AV1" s="304"/>
      <c r="AW1" s="304"/>
      <c r="AX1" s="304"/>
      <c r="AY1" s="304"/>
      <c r="AZ1" s="304"/>
      <c r="BA1" s="304"/>
      <c r="BB1" s="304"/>
      <c r="BC1" s="304"/>
      <c r="BD1" s="304"/>
      <c r="BE1" s="304"/>
      <c r="BF1" s="304"/>
      <c r="BG1" s="302" t="s">
        <v>31</v>
      </c>
      <c r="BH1" s="302"/>
      <c r="BI1" s="302"/>
      <c r="BJ1" s="302"/>
      <c r="BK1" s="305" t="str">
        <f>タイトル!$I$46</f>
        <v>大久保　梓沙</v>
      </c>
      <c r="BL1" s="306"/>
      <c r="BM1" s="306"/>
      <c r="BN1" s="306"/>
      <c r="BO1" s="306"/>
      <c r="BP1" s="306"/>
      <c r="BQ1" s="306"/>
      <c r="BR1" s="306"/>
      <c r="BS1" s="306"/>
      <c r="BT1" s="307"/>
      <c r="BU1" s="266">
        <f>タイトル!$I$47</f>
        <v>45336</v>
      </c>
      <c r="BV1" s="266"/>
      <c r="BW1" s="266"/>
      <c r="BX1" s="266"/>
      <c r="BY1" s="266"/>
      <c r="BZ1" s="266"/>
      <c r="CA1" s="266"/>
      <c r="CB1" s="266"/>
      <c r="CC1" s="266"/>
      <c r="CD1" s="267" t="s">
        <v>38</v>
      </c>
      <c r="CE1" s="268"/>
      <c r="CF1" s="268"/>
      <c r="CG1" s="268"/>
      <c r="CH1" s="269"/>
      <c r="CI1" s="276" t="str">
        <f>タイトル!$I$50</f>
        <v xml:space="preserve"> </v>
      </c>
      <c r="CJ1" s="277"/>
      <c r="CK1" s="277"/>
      <c r="CL1" s="277"/>
      <c r="CM1" s="277"/>
      <c r="CN1" s="277"/>
      <c r="CO1" s="277"/>
      <c r="CP1" s="278"/>
    </row>
    <row r="2" spans="1:94" s="8" customFormat="1" ht="15" customHeight="1" x14ac:dyDescent="0.15">
      <c r="A2" s="285" t="s">
        <v>40</v>
      </c>
      <c r="B2" s="286"/>
      <c r="C2" s="286"/>
      <c r="D2" s="286"/>
      <c r="E2" s="286"/>
      <c r="F2" s="286"/>
      <c r="G2" s="286"/>
      <c r="H2" s="286"/>
      <c r="I2" s="287" t="str">
        <f>タイトル!$I$41</f>
        <v>基盤構築</v>
      </c>
      <c r="J2" s="288"/>
      <c r="K2" s="288"/>
      <c r="L2" s="288"/>
      <c r="M2" s="288"/>
      <c r="N2" s="288"/>
      <c r="O2" s="288"/>
      <c r="P2" s="288"/>
      <c r="Q2" s="288"/>
      <c r="R2" s="288"/>
      <c r="S2" s="288"/>
      <c r="T2" s="288"/>
      <c r="U2" s="288"/>
      <c r="V2" s="288"/>
      <c r="W2" s="288"/>
      <c r="X2" s="288"/>
      <c r="Y2" s="288"/>
      <c r="Z2" s="288"/>
      <c r="AA2" s="288"/>
      <c r="AB2" s="288"/>
      <c r="AC2" s="288"/>
      <c r="AD2" s="289"/>
      <c r="AE2" s="290" t="s">
        <v>32</v>
      </c>
      <c r="AF2" s="290"/>
      <c r="AG2" s="290"/>
      <c r="AH2" s="290"/>
      <c r="AI2" s="290"/>
      <c r="AJ2" s="290"/>
      <c r="AK2" s="290"/>
      <c r="AL2" s="291" t="str">
        <f>タイトル!$I$44</f>
        <v>システム環境定義書</v>
      </c>
      <c r="AM2" s="292"/>
      <c r="AN2" s="292"/>
      <c r="AO2" s="292"/>
      <c r="AP2" s="292"/>
      <c r="AQ2" s="292"/>
      <c r="AR2" s="292"/>
      <c r="AS2" s="292"/>
      <c r="AT2" s="292"/>
      <c r="AU2" s="292"/>
      <c r="AV2" s="292"/>
      <c r="AW2" s="292"/>
      <c r="AX2" s="292"/>
      <c r="AY2" s="292"/>
      <c r="AZ2" s="292"/>
      <c r="BA2" s="292"/>
      <c r="BB2" s="292"/>
      <c r="BC2" s="292"/>
      <c r="BD2" s="292"/>
      <c r="BE2" s="292"/>
      <c r="BF2" s="292"/>
      <c r="BG2" s="290" t="s">
        <v>33</v>
      </c>
      <c r="BH2" s="290"/>
      <c r="BI2" s="290"/>
      <c r="BJ2" s="290"/>
      <c r="BK2" s="293"/>
      <c r="BL2" s="294"/>
      <c r="BM2" s="294"/>
      <c r="BN2" s="294"/>
      <c r="BO2" s="294"/>
      <c r="BP2" s="294"/>
      <c r="BQ2" s="294"/>
      <c r="BR2" s="294"/>
      <c r="BS2" s="294"/>
      <c r="BT2" s="295"/>
      <c r="BU2" s="296"/>
      <c r="BV2" s="296"/>
      <c r="BW2" s="296"/>
      <c r="BX2" s="296"/>
      <c r="BY2" s="296"/>
      <c r="BZ2" s="296"/>
      <c r="CA2" s="296"/>
      <c r="CB2" s="296"/>
      <c r="CC2" s="296"/>
      <c r="CD2" s="270"/>
      <c r="CE2" s="271"/>
      <c r="CF2" s="271"/>
      <c r="CG2" s="271"/>
      <c r="CH2" s="272"/>
      <c r="CI2" s="279"/>
      <c r="CJ2" s="280"/>
      <c r="CK2" s="280"/>
      <c r="CL2" s="280"/>
      <c r="CM2" s="280"/>
      <c r="CN2" s="280"/>
      <c r="CO2" s="280"/>
      <c r="CP2" s="281"/>
    </row>
    <row r="3" spans="1:94" s="8" customFormat="1" ht="15" customHeight="1" thickBot="1" x14ac:dyDescent="0.2">
      <c r="A3" s="253"/>
      <c r="B3" s="254"/>
      <c r="C3" s="254"/>
      <c r="D3" s="254"/>
      <c r="E3" s="254"/>
      <c r="F3" s="254"/>
      <c r="G3" s="254"/>
      <c r="H3" s="254"/>
      <c r="I3" s="255" t="s">
        <v>1186</v>
      </c>
      <c r="J3" s="256"/>
      <c r="K3" s="256"/>
      <c r="L3" s="256"/>
      <c r="M3" s="256"/>
      <c r="N3" s="256"/>
      <c r="O3" s="256"/>
      <c r="P3" s="256"/>
      <c r="Q3" s="256"/>
      <c r="R3" s="256"/>
      <c r="S3" s="256"/>
      <c r="T3" s="256"/>
      <c r="U3" s="256"/>
      <c r="V3" s="256"/>
      <c r="W3" s="256"/>
      <c r="X3" s="256"/>
      <c r="Y3" s="256"/>
      <c r="Z3" s="256"/>
      <c r="AA3" s="256"/>
      <c r="AB3" s="256"/>
      <c r="AC3" s="256"/>
      <c r="AD3" s="257"/>
      <c r="AE3" s="261"/>
      <c r="AF3" s="261"/>
      <c r="AG3" s="261"/>
      <c r="AH3" s="261"/>
      <c r="AI3" s="261"/>
      <c r="AJ3" s="261"/>
      <c r="AK3" s="261"/>
      <c r="AL3" s="258" t="str">
        <f>タイトル!$I$42</f>
        <v>社内開発機</v>
      </c>
      <c r="AM3" s="259"/>
      <c r="AN3" s="259"/>
      <c r="AO3" s="259"/>
      <c r="AP3" s="259"/>
      <c r="AQ3" s="259"/>
      <c r="AR3" s="259"/>
      <c r="AS3" s="259"/>
      <c r="AT3" s="259"/>
      <c r="AU3" s="259"/>
      <c r="AV3" s="259"/>
      <c r="AW3" s="259"/>
      <c r="AX3" s="259"/>
      <c r="AY3" s="259"/>
      <c r="AZ3" s="259"/>
      <c r="BA3" s="259"/>
      <c r="BB3" s="259"/>
      <c r="BC3" s="259"/>
      <c r="BD3" s="259"/>
      <c r="BE3" s="259"/>
      <c r="BF3" s="260"/>
      <c r="BG3" s="261"/>
      <c r="BH3" s="261"/>
      <c r="BI3" s="261"/>
      <c r="BJ3" s="261"/>
      <c r="BK3" s="262"/>
      <c r="BL3" s="263"/>
      <c r="BM3" s="263"/>
      <c r="BN3" s="263"/>
      <c r="BO3" s="263"/>
      <c r="BP3" s="263"/>
      <c r="BQ3" s="263"/>
      <c r="BR3" s="263"/>
      <c r="BS3" s="263"/>
      <c r="BT3" s="263"/>
      <c r="BU3" s="264"/>
      <c r="BV3" s="264"/>
      <c r="BW3" s="264"/>
      <c r="BX3" s="264"/>
      <c r="BY3" s="264"/>
      <c r="BZ3" s="264"/>
      <c r="CA3" s="264"/>
      <c r="CB3" s="264"/>
      <c r="CC3" s="265"/>
      <c r="CD3" s="273"/>
      <c r="CE3" s="274"/>
      <c r="CF3" s="274"/>
      <c r="CG3" s="274"/>
      <c r="CH3" s="275"/>
      <c r="CI3" s="282"/>
      <c r="CJ3" s="283"/>
      <c r="CK3" s="283"/>
      <c r="CL3" s="283"/>
      <c r="CM3" s="283"/>
      <c r="CN3" s="283"/>
      <c r="CO3" s="283"/>
      <c r="CP3" s="284"/>
    </row>
    <row r="4" spans="1:94" ht="15" customHeight="1" x14ac:dyDescent="0.1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2"/>
    </row>
    <row r="5" spans="1:94" ht="15" customHeight="1" x14ac:dyDescent="0.15">
      <c r="A5" s="1"/>
      <c r="B5" s="8" t="s">
        <v>1315</v>
      </c>
      <c r="CP5" s="3"/>
    </row>
    <row r="6" spans="1:94" ht="15" customHeight="1" x14ac:dyDescent="0.15">
      <c r="A6" s="1"/>
      <c r="CP6" s="3"/>
    </row>
    <row r="7" spans="1:94" ht="15" customHeight="1" x14ac:dyDescent="0.15">
      <c r="A7" s="1"/>
      <c r="C7" s="2" t="s">
        <v>133</v>
      </c>
      <c r="CP7" s="3"/>
    </row>
    <row r="8" spans="1:94" ht="15" customHeight="1" x14ac:dyDescent="0.15">
      <c r="A8" s="1"/>
      <c r="CP8" s="3"/>
    </row>
    <row r="9" spans="1:94" ht="15" customHeight="1" x14ac:dyDescent="0.15">
      <c r="A9" s="1"/>
      <c r="E9" s="563" t="s">
        <v>42</v>
      </c>
      <c r="F9" s="564"/>
      <c r="G9" s="564"/>
      <c r="H9" s="564"/>
      <c r="I9" s="564"/>
      <c r="J9" s="564"/>
      <c r="K9" s="564"/>
      <c r="L9" s="564"/>
      <c r="M9" s="564"/>
      <c r="N9" s="565"/>
      <c r="O9" s="458" t="s">
        <v>1040</v>
      </c>
      <c r="P9" s="459"/>
      <c r="Q9" s="459"/>
      <c r="R9" s="459"/>
      <c r="S9" s="459"/>
      <c r="T9" s="459"/>
      <c r="U9" s="459"/>
      <c r="V9" s="459"/>
      <c r="W9" s="459"/>
      <c r="X9" s="459"/>
      <c r="Y9" s="459"/>
      <c r="Z9" s="459"/>
      <c r="AA9" s="459"/>
      <c r="AB9" s="459"/>
      <c r="AC9" s="459"/>
      <c r="AD9" s="459"/>
      <c r="AE9" s="459"/>
      <c r="AF9" s="459"/>
      <c r="AG9" s="459"/>
      <c r="AH9" s="459"/>
      <c r="AI9" s="459"/>
      <c r="AJ9" s="459"/>
      <c r="AK9" s="459"/>
      <c r="AL9" s="460"/>
      <c r="AM9" s="458" t="s">
        <v>106</v>
      </c>
      <c r="AN9" s="459"/>
      <c r="AO9" s="459"/>
      <c r="AP9" s="459"/>
      <c r="AQ9" s="459"/>
      <c r="AR9" s="459"/>
      <c r="AS9" s="459"/>
      <c r="AT9" s="459"/>
      <c r="AU9" s="459"/>
      <c r="AV9" s="460"/>
      <c r="AW9" s="563" t="s">
        <v>1041</v>
      </c>
      <c r="AX9" s="564"/>
      <c r="AY9" s="564"/>
      <c r="AZ9" s="564"/>
      <c r="BA9" s="564"/>
      <c r="BB9" s="564"/>
      <c r="BC9" s="564"/>
      <c r="BD9" s="564"/>
      <c r="BE9" s="564"/>
      <c r="BF9" s="565"/>
      <c r="CP9" s="3"/>
    </row>
    <row r="10" spans="1:94" ht="15" customHeight="1" x14ac:dyDescent="0.15">
      <c r="A10" s="1"/>
      <c r="E10" s="569" t="str">
        <f>ネットワーク設計!Z10</f>
        <v>v20gksvr</v>
      </c>
      <c r="F10" s="570"/>
      <c r="G10" s="570"/>
      <c r="H10" s="570"/>
      <c r="I10" s="570"/>
      <c r="J10" s="570"/>
      <c r="K10" s="570"/>
      <c r="L10" s="570"/>
      <c r="M10" s="570"/>
      <c r="N10" s="571"/>
      <c r="O10" s="213" t="s">
        <v>1183</v>
      </c>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5"/>
      <c r="AM10" s="213" t="s">
        <v>35</v>
      </c>
      <c r="AN10" s="214"/>
      <c r="AO10" s="214"/>
      <c r="AP10" s="214"/>
      <c r="AQ10" s="214"/>
      <c r="AR10" s="214"/>
      <c r="AS10" s="214"/>
      <c r="AT10" s="214"/>
      <c r="AU10" s="214"/>
      <c r="AV10" s="215"/>
      <c r="AW10" s="569" t="s">
        <v>990</v>
      </c>
      <c r="AX10" s="570"/>
      <c r="AY10" s="570"/>
      <c r="AZ10" s="570"/>
      <c r="BA10" s="570"/>
      <c r="BB10" s="570"/>
      <c r="BC10" s="570"/>
      <c r="BD10" s="570"/>
      <c r="BE10" s="570"/>
      <c r="BF10" s="571"/>
      <c r="CP10" s="3"/>
    </row>
    <row r="11" spans="1:94" ht="15" customHeight="1" x14ac:dyDescent="0.15">
      <c r="A11" s="1"/>
      <c r="CP11" s="3"/>
    </row>
    <row r="12" spans="1:94" ht="15" customHeight="1" x14ac:dyDescent="0.15">
      <c r="A12" s="1"/>
      <c r="CP12" s="3"/>
    </row>
    <row r="13" spans="1:94" ht="15" customHeight="1" x14ac:dyDescent="0.15">
      <c r="A13" s="1"/>
      <c r="C13" s="2" t="s">
        <v>136</v>
      </c>
      <c r="CP13" s="3"/>
    </row>
    <row r="14" spans="1:94" ht="15" customHeight="1" x14ac:dyDescent="0.15">
      <c r="A14" s="1"/>
      <c r="CP14" s="3"/>
    </row>
    <row r="15" spans="1:94" ht="15" customHeight="1" x14ac:dyDescent="0.15">
      <c r="A15" s="1"/>
      <c r="D15" s="9"/>
      <c r="E15" s="458" t="s">
        <v>75</v>
      </c>
      <c r="F15" s="459"/>
      <c r="G15" s="459"/>
      <c r="H15" s="459"/>
      <c r="I15" s="459"/>
      <c r="J15" s="459"/>
      <c r="K15" s="459"/>
      <c r="L15" s="459"/>
      <c r="M15" s="460"/>
      <c r="N15" s="458" t="s">
        <v>80</v>
      </c>
      <c r="O15" s="459"/>
      <c r="P15" s="459"/>
      <c r="Q15" s="459"/>
      <c r="R15" s="459"/>
      <c r="S15" s="459"/>
      <c r="T15" s="459"/>
      <c r="U15" s="459"/>
      <c r="V15" s="460"/>
      <c r="W15" s="458" t="s">
        <v>73</v>
      </c>
      <c r="X15" s="459"/>
      <c r="Y15" s="459"/>
      <c r="Z15" s="459"/>
      <c r="AA15" s="459"/>
      <c r="AB15" s="459"/>
      <c r="AC15" s="459"/>
      <c r="AD15" s="460"/>
      <c r="AE15" s="458" t="s">
        <v>36</v>
      </c>
      <c r="AF15" s="459"/>
      <c r="AG15" s="459"/>
      <c r="AH15" s="459"/>
      <c r="AI15" s="459"/>
      <c r="AJ15" s="459"/>
      <c r="AK15" s="459"/>
      <c r="AL15" s="459"/>
      <c r="AM15" s="460"/>
      <c r="AN15" s="458" t="s">
        <v>70</v>
      </c>
      <c r="AO15" s="459"/>
      <c r="AP15" s="459"/>
      <c r="AQ15" s="459"/>
      <c r="AR15" s="459"/>
      <c r="AS15" s="459"/>
      <c r="AT15" s="459"/>
      <c r="AU15" s="459"/>
      <c r="AV15" s="460"/>
      <c r="AW15" s="458" t="s">
        <v>41</v>
      </c>
      <c r="AX15" s="459"/>
      <c r="AY15" s="459"/>
      <c r="AZ15" s="459"/>
      <c r="BA15" s="459"/>
      <c r="BB15" s="459"/>
      <c r="BC15" s="459"/>
      <c r="BD15" s="460"/>
      <c r="CP15" s="3"/>
    </row>
    <row r="16" spans="1:94" ht="15" customHeight="1" x14ac:dyDescent="0.15">
      <c r="A16" s="1"/>
      <c r="D16" s="9"/>
      <c r="E16" s="493" t="s">
        <v>76</v>
      </c>
      <c r="F16" s="493"/>
      <c r="G16" s="493"/>
      <c r="H16" s="493"/>
      <c r="I16" s="493"/>
      <c r="J16" s="493"/>
      <c r="K16" s="493"/>
      <c r="L16" s="493"/>
      <c r="M16" s="493"/>
      <c r="N16" s="214" t="s">
        <v>86</v>
      </c>
      <c r="O16" s="214"/>
      <c r="P16" s="214"/>
      <c r="Q16" s="214"/>
      <c r="R16" s="214"/>
      <c r="S16" s="214"/>
      <c r="T16" s="214"/>
      <c r="U16" s="214"/>
      <c r="V16" s="215"/>
      <c r="W16" s="566" t="s">
        <v>77</v>
      </c>
      <c r="X16" s="567"/>
      <c r="Y16" s="567"/>
      <c r="Z16" s="567"/>
      <c r="AA16" s="567"/>
      <c r="AB16" s="567"/>
      <c r="AC16" s="567"/>
      <c r="AD16" s="568"/>
      <c r="AE16" s="566" t="s">
        <v>79</v>
      </c>
      <c r="AF16" s="567"/>
      <c r="AG16" s="567"/>
      <c r="AH16" s="567"/>
      <c r="AI16" s="567"/>
      <c r="AJ16" s="567"/>
      <c r="AK16" s="567"/>
      <c r="AL16" s="567"/>
      <c r="AM16" s="568"/>
      <c r="AN16" s="572">
        <v>0.1</v>
      </c>
      <c r="AO16" s="573"/>
      <c r="AP16" s="573"/>
      <c r="AQ16" s="573"/>
      <c r="AR16" s="573"/>
      <c r="AS16" s="573"/>
      <c r="AT16" s="573"/>
      <c r="AU16" s="573"/>
      <c r="AV16" s="574"/>
      <c r="AW16" s="213"/>
      <c r="AX16" s="214"/>
      <c r="AY16" s="214"/>
      <c r="AZ16" s="214"/>
      <c r="BA16" s="214"/>
      <c r="BB16" s="214"/>
      <c r="BC16" s="214"/>
      <c r="BD16" s="215"/>
      <c r="CP16" s="3"/>
    </row>
    <row r="17" spans="1:94" ht="15" customHeight="1" x14ac:dyDescent="0.15">
      <c r="A17" s="1"/>
      <c r="D17" s="9"/>
      <c r="E17" s="493"/>
      <c r="F17" s="493"/>
      <c r="G17" s="493"/>
      <c r="H17" s="493"/>
      <c r="I17" s="493"/>
      <c r="J17" s="493"/>
      <c r="K17" s="493"/>
      <c r="L17" s="493"/>
      <c r="M17" s="493"/>
      <c r="N17" s="567" t="s">
        <v>78</v>
      </c>
      <c r="O17" s="567"/>
      <c r="P17" s="567"/>
      <c r="Q17" s="567"/>
      <c r="R17" s="567"/>
      <c r="S17" s="567"/>
      <c r="T17" s="567"/>
      <c r="U17" s="567"/>
      <c r="V17" s="568"/>
      <c r="W17" s="566" t="s">
        <v>77</v>
      </c>
      <c r="X17" s="567"/>
      <c r="Y17" s="567"/>
      <c r="Z17" s="567"/>
      <c r="AA17" s="567"/>
      <c r="AB17" s="567"/>
      <c r="AC17" s="567"/>
      <c r="AD17" s="568"/>
      <c r="AE17" s="566" t="s">
        <v>79</v>
      </c>
      <c r="AF17" s="567"/>
      <c r="AG17" s="567"/>
      <c r="AH17" s="567"/>
      <c r="AI17" s="567"/>
      <c r="AJ17" s="567"/>
      <c r="AK17" s="567"/>
      <c r="AL17" s="567"/>
      <c r="AM17" s="568"/>
      <c r="AN17" s="572">
        <f>AN18-AN16</f>
        <v>49.9</v>
      </c>
      <c r="AO17" s="573"/>
      <c r="AP17" s="573"/>
      <c r="AQ17" s="573"/>
      <c r="AR17" s="573"/>
      <c r="AS17" s="573"/>
      <c r="AT17" s="573"/>
      <c r="AU17" s="573"/>
      <c r="AV17" s="574"/>
      <c r="AW17" s="493" t="s">
        <v>74</v>
      </c>
      <c r="AX17" s="493"/>
      <c r="AY17" s="493"/>
      <c r="AZ17" s="493"/>
      <c r="BA17" s="493"/>
      <c r="BB17" s="493"/>
      <c r="BC17" s="493"/>
      <c r="BD17" s="493"/>
      <c r="CP17" s="3"/>
    </row>
    <row r="18" spans="1:94" ht="15" customHeight="1" x14ac:dyDescent="0.15">
      <c r="A18" s="1"/>
      <c r="D18" s="9"/>
      <c r="E18" s="493"/>
      <c r="F18" s="493"/>
      <c r="G18" s="493"/>
      <c r="H18" s="493"/>
      <c r="I18" s="493"/>
      <c r="J18" s="493"/>
      <c r="K18" s="493"/>
      <c r="L18" s="493"/>
      <c r="M18" s="493"/>
      <c r="N18" s="494" t="s">
        <v>369</v>
      </c>
      <c r="O18" s="495"/>
      <c r="P18" s="495"/>
      <c r="Q18" s="495"/>
      <c r="R18" s="495"/>
      <c r="S18" s="495"/>
      <c r="T18" s="495"/>
      <c r="U18" s="495"/>
      <c r="V18" s="495"/>
      <c r="W18" s="495"/>
      <c r="X18" s="495"/>
      <c r="Y18" s="495"/>
      <c r="Z18" s="495"/>
      <c r="AA18" s="495"/>
      <c r="AB18" s="495"/>
      <c r="AC18" s="495"/>
      <c r="AD18" s="495"/>
      <c r="AE18" s="495"/>
      <c r="AF18" s="495"/>
      <c r="AG18" s="495"/>
      <c r="AH18" s="495"/>
      <c r="AI18" s="495"/>
      <c r="AJ18" s="495"/>
      <c r="AK18" s="495"/>
      <c r="AL18" s="495"/>
      <c r="AM18" s="496"/>
      <c r="AN18" s="497">
        <v>50</v>
      </c>
      <c r="AO18" s="498"/>
      <c r="AP18" s="498"/>
      <c r="AQ18" s="498"/>
      <c r="AR18" s="498"/>
      <c r="AS18" s="498"/>
      <c r="AT18" s="498"/>
      <c r="AU18" s="498"/>
      <c r="AV18" s="499"/>
      <c r="AW18" s="500"/>
      <c r="AX18" s="500"/>
      <c r="AY18" s="500"/>
      <c r="AZ18" s="500"/>
      <c r="BA18" s="500"/>
      <c r="BB18" s="500"/>
      <c r="BC18" s="500"/>
      <c r="BD18" s="500"/>
      <c r="BE18" s="9"/>
      <c r="BF18" s="9"/>
      <c r="BG18" s="51"/>
      <c r="BH18" s="51"/>
      <c r="BI18" s="51"/>
      <c r="BJ18" s="51"/>
      <c r="BK18" s="51"/>
      <c r="BL18" s="51"/>
      <c r="BM18" s="51"/>
      <c r="BN18" s="51"/>
      <c r="BO18" s="51"/>
      <c r="CP18" s="3"/>
    </row>
    <row r="19" spans="1:94" ht="15" customHeight="1" x14ac:dyDescent="0.15">
      <c r="A19" s="1"/>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51"/>
      <c r="AO19" s="51"/>
      <c r="AP19" s="51"/>
      <c r="AQ19" s="51"/>
      <c r="AR19" s="51"/>
      <c r="AS19" s="51"/>
      <c r="AT19" s="51"/>
      <c r="AU19" s="51"/>
      <c r="AV19" s="51"/>
      <c r="AW19" s="9"/>
      <c r="AX19" s="9"/>
      <c r="AY19" s="9"/>
      <c r="AZ19" s="9"/>
      <c r="BA19" s="9"/>
      <c r="BB19" s="9"/>
      <c r="BC19" s="9"/>
      <c r="BD19" s="9"/>
      <c r="BE19" s="9"/>
      <c r="BF19" s="9"/>
      <c r="BG19" s="51"/>
      <c r="BH19" s="51"/>
      <c r="BI19" s="51"/>
      <c r="BJ19" s="51"/>
      <c r="BK19" s="51"/>
      <c r="BL19" s="51"/>
      <c r="BM19" s="51"/>
      <c r="BN19" s="51"/>
      <c r="BO19" s="51"/>
      <c r="CP19" s="3"/>
    </row>
    <row r="20" spans="1:94" ht="15" customHeight="1" x14ac:dyDescent="0.15">
      <c r="A20" s="1"/>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51"/>
      <c r="AO20" s="51"/>
      <c r="AP20" s="51"/>
      <c r="AQ20" s="51"/>
      <c r="AR20" s="51"/>
      <c r="AS20" s="51"/>
      <c r="AT20" s="51"/>
      <c r="AU20" s="51"/>
      <c r="AV20" s="51"/>
      <c r="AW20" s="9"/>
      <c r="AX20" s="9"/>
      <c r="AY20" s="9"/>
      <c r="AZ20" s="9"/>
      <c r="BA20" s="9"/>
      <c r="BB20" s="9"/>
      <c r="BC20" s="9"/>
      <c r="BD20" s="9"/>
      <c r="BE20" s="9"/>
      <c r="BF20" s="9"/>
      <c r="BG20" s="51"/>
      <c r="BH20" s="51"/>
      <c r="BI20" s="51"/>
      <c r="BJ20" s="51"/>
      <c r="BK20" s="51"/>
      <c r="BL20" s="51"/>
      <c r="BM20" s="51"/>
      <c r="BN20" s="51"/>
      <c r="BO20" s="51"/>
      <c r="CP20" s="3"/>
    </row>
    <row r="21" spans="1:94" ht="15" customHeight="1" x14ac:dyDescent="0.15">
      <c r="A21" s="1"/>
      <c r="C21" s="2" t="s">
        <v>134</v>
      </c>
      <c r="CP21" s="3"/>
    </row>
    <row r="22" spans="1:94" ht="15" customHeight="1" x14ac:dyDescent="0.15">
      <c r="A22" s="1"/>
      <c r="CP22" s="3"/>
    </row>
    <row r="23" spans="1:94" ht="15" customHeight="1" x14ac:dyDescent="0.15">
      <c r="A23" s="1"/>
      <c r="E23" s="578"/>
      <c r="F23" s="579"/>
      <c r="G23" s="557" t="s">
        <v>107</v>
      </c>
      <c r="H23" s="558"/>
      <c r="I23" s="558"/>
      <c r="J23" s="558"/>
      <c r="K23" s="558"/>
      <c r="L23" s="558"/>
      <c r="M23" s="558"/>
      <c r="N23" s="558"/>
      <c r="O23" s="558"/>
      <c r="P23" s="558"/>
      <c r="Q23" s="558"/>
      <c r="R23" s="558"/>
      <c r="S23" s="558"/>
      <c r="T23" s="559"/>
      <c r="U23" s="577" t="s">
        <v>108</v>
      </c>
      <c r="V23" s="577"/>
      <c r="W23" s="577"/>
      <c r="X23" s="577"/>
      <c r="Y23" s="577"/>
      <c r="Z23" s="577"/>
      <c r="AA23" s="577"/>
      <c r="AB23" s="577"/>
      <c r="AC23" s="577"/>
      <c r="AD23" s="577"/>
      <c r="AE23" s="577"/>
      <c r="AF23" s="577"/>
      <c r="AG23" s="577"/>
      <c r="AH23" s="577"/>
      <c r="AI23" s="577"/>
      <c r="AJ23" s="577"/>
      <c r="AK23" s="577"/>
      <c r="AL23" s="577"/>
      <c r="AM23" s="577"/>
      <c r="AN23" s="577"/>
      <c r="AO23" s="577"/>
      <c r="AP23" s="577"/>
      <c r="AQ23" s="577"/>
      <c r="AR23" s="577"/>
      <c r="AS23" s="577"/>
      <c r="AT23" s="577"/>
      <c r="AU23" s="577"/>
      <c r="AV23" s="577"/>
      <c r="AW23" s="577"/>
      <c r="AX23" s="577"/>
      <c r="AY23" s="577"/>
      <c r="AZ23" s="577"/>
      <c r="BA23" s="557" t="s">
        <v>41</v>
      </c>
      <c r="BB23" s="558"/>
      <c r="BC23" s="558"/>
      <c r="BD23" s="558"/>
      <c r="BE23" s="558"/>
      <c r="BF23" s="558"/>
      <c r="BG23" s="558"/>
      <c r="BH23" s="558"/>
      <c r="BI23" s="558"/>
      <c r="BJ23" s="558"/>
      <c r="BK23" s="558"/>
      <c r="BL23" s="558"/>
      <c r="BM23" s="558"/>
      <c r="BN23" s="558"/>
      <c r="BO23" s="558"/>
      <c r="BP23" s="558"/>
      <c r="BQ23" s="558"/>
      <c r="BR23" s="559"/>
      <c r="CP23" s="3"/>
    </row>
    <row r="24" spans="1:94" ht="15" customHeight="1" x14ac:dyDescent="0.15">
      <c r="A24" s="1"/>
      <c r="E24" s="555">
        <v>1</v>
      </c>
      <c r="F24" s="556"/>
      <c r="G24" s="560" t="s">
        <v>391</v>
      </c>
      <c r="H24" s="561"/>
      <c r="I24" s="561"/>
      <c r="J24" s="561"/>
      <c r="K24" s="561"/>
      <c r="L24" s="561"/>
      <c r="M24" s="561"/>
      <c r="N24" s="561"/>
      <c r="O24" s="561"/>
      <c r="P24" s="561"/>
      <c r="Q24" s="561"/>
      <c r="R24" s="561"/>
      <c r="S24" s="561"/>
      <c r="T24" s="562"/>
      <c r="U24" s="576" t="s">
        <v>1042</v>
      </c>
      <c r="V24" s="576"/>
      <c r="W24" s="576"/>
      <c r="X24" s="576"/>
      <c r="Y24" s="576"/>
      <c r="Z24" s="576"/>
      <c r="AA24" s="576"/>
      <c r="AB24" s="576"/>
      <c r="AC24" s="576"/>
      <c r="AD24" s="576"/>
      <c r="AE24" s="576"/>
      <c r="AF24" s="576"/>
      <c r="AG24" s="576"/>
      <c r="AH24" s="576"/>
      <c r="AI24" s="576"/>
      <c r="AJ24" s="576"/>
      <c r="AK24" s="576"/>
      <c r="AL24" s="576"/>
      <c r="AM24" s="576"/>
      <c r="AN24" s="576"/>
      <c r="AO24" s="576"/>
      <c r="AP24" s="576"/>
      <c r="AQ24" s="576"/>
      <c r="AR24" s="576"/>
      <c r="AS24" s="576"/>
      <c r="AT24" s="576"/>
      <c r="AU24" s="576"/>
      <c r="AV24" s="576"/>
      <c r="AW24" s="576"/>
      <c r="AX24" s="576"/>
      <c r="AY24" s="576"/>
      <c r="AZ24" s="576"/>
      <c r="BA24" s="560" t="s">
        <v>109</v>
      </c>
      <c r="BB24" s="561"/>
      <c r="BC24" s="561"/>
      <c r="BD24" s="561"/>
      <c r="BE24" s="561"/>
      <c r="BF24" s="561"/>
      <c r="BG24" s="561"/>
      <c r="BH24" s="561"/>
      <c r="BI24" s="561"/>
      <c r="BJ24" s="561"/>
      <c r="BK24" s="561"/>
      <c r="BL24" s="561"/>
      <c r="BM24" s="561"/>
      <c r="BN24" s="561"/>
      <c r="BO24" s="561"/>
      <c r="BP24" s="561"/>
      <c r="BQ24" s="561"/>
      <c r="BR24" s="562"/>
      <c r="BS24" s="2" t="s">
        <v>630</v>
      </c>
      <c r="CP24" s="3"/>
    </row>
    <row r="25" spans="1:94" ht="15" customHeight="1" x14ac:dyDescent="0.15">
      <c r="A25" s="1"/>
      <c r="E25" s="656">
        <v>2</v>
      </c>
      <c r="F25" s="657"/>
      <c r="G25" s="658" t="s">
        <v>110</v>
      </c>
      <c r="H25" s="659"/>
      <c r="I25" s="659"/>
      <c r="J25" s="659"/>
      <c r="K25" s="659"/>
      <c r="L25" s="659"/>
      <c r="M25" s="659"/>
      <c r="N25" s="659"/>
      <c r="O25" s="659"/>
      <c r="P25" s="659"/>
      <c r="Q25" s="659"/>
      <c r="R25" s="659"/>
      <c r="S25" s="659"/>
      <c r="T25" s="660"/>
      <c r="U25" s="594" t="s">
        <v>144</v>
      </c>
      <c r="V25" s="594"/>
      <c r="W25" s="594"/>
      <c r="X25" s="594"/>
      <c r="Y25" s="594"/>
      <c r="Z25" s="594"/>
      <c r="AA25" s="594"/>
      <c r="AB25" s="594"/>
      <c r="AC25" s="594"/>
      <c r="AD25" s="594"/>
      <c r="AE25" s="594"/>
      <c r="AF25" s="594"/>
      <c r="AG25" s="594"/>
      <c r="AH25" s="594"/>
      <c r="AI25" s="594"/>
      <c r="AJ25" s="594"/>
      <c r="AK25" s="594"/>
      <c r="AL25" s="594"/>
      <c r="AM25" s="594"/>
      <c r="AN25" s="594"/>
      <c r="AO25" s="594"/>
      <c r="AP25" s="594"/>
      <c r="AQ25" s="594"/>
      <c r="AR25" s="594"/>
      <c r="AS25" s="594"/>
      <c r="AT25" s="594"/>
      <c r="AU25" s="594"/>
      <c r="AV25" s="594"/>
      <c r="AW25" s="594"/>
      <c r="AX25" s="594"/>
      <c r="AY25" s="594"/>
      <c r="AZ25" s="594"/>
      <c r="BA25" s="616"/>
      <c r="BB25" s="617"/>
      <c r="BC25" s="617"/>
      <c r="BD25" s="617"/>
      <c r="BE25" s="617"/>
      <c r="BF25" s="617"/>
      <c r="BG25" s="617"/>
      <c r="BH25" s="617"/>
      <c r="BI25" s="617"/>
      <c r="BJ25" s="617"/>
      <c r="BK25" s="617"/>
      <c r="BL25" s="617"/>
      <c r="BM25" s="617"/>
      <c r="BN25" s="617"/>
      <c r="BO25" s="617"/>
      <c r="BP25" s="617"/>
      <c r="BQ25" s="617"/>
      <c r="BR25" s="618"/>
      <c r="CP25" s="3"/>
    </row>
    <row r="26" spans="1:94" ht="15" customHeight="1" x14ac:dyDescent="0.15">
      <c r="A26" s="1"/>
      <c r="E26" s="580"/>
      <c r="F26" s="581"/>
      <c r="G26" s="582"/>
      <c r="H26" s="583"/>
      <c r="I26" s="583"/>
      <c r="J26" s="583"/>
      <c r="K26" s="583"/>
      <c r="L26" s="583"/>
      <c r="M26" s="583"/>
      <c r="N26" s="583"/>
      <c r="O26" s="583"/>
      <c r="P26" s="583"/>
      <c r="Q26" s="583"/>
      <c r="R26" s="583"/>
      <c r="S26" s="583"/>
      <c r="T26" s="584"/>
      <c r="U26" s="595" t="s">
        <v>392</v>
      </c>
      <c r="V26" s="595"/>
      <c r="W26" s="595"/>
      <c r="X26" s="595"/>
      <c r="Y26" s="595"/>
      <c r="Z26" s="595"/>
      <c r="AA26" s="595"/>
      <c r="AB26" s="595"/>
      <c r="AC26" s="595"/>
      <c r="AD26" s="595"/>
      <c r="AE26" s="595"/>
      <c r="AF26" s="595"/>
      <c r="AG26" s="595"/>
      <c r="AH26" s="595"/>
      <c r="AI26" s="595"/>
      <c r="AJ26" s="595"/>
      <c r="AK26" s="595"/>
      <c r="AL26" s="595"/>
      <c r="AM26" s="595"/>
      <c r="AN26" s="595"/>
      <c r="AO26" s="595"/>
      <c r="AP26" s="595"/>
      <c r="AQ26" s="595"/>
      <c r="AR26" s="595"/>
      <c r="AS26" s="595"/>
      <c r="AT26" s="595"/>
      <c r="AU26" s="595"/>
      <c r="AV26" s="595"/>
      <c r="AW26" s="595"/>
      <c r="AX26" s="595"/>
      <c r="AY26" s="595"/>
      <c r="AZ26" s="595"/>
      <c r="BA26" s="585"/>
      <c r="BB26" s="586"/>
      <c r="BC26" s="586"/>
      <c r="BD26" s="586"/>
      <c r="BE26" s="586"/>
      <c r="BF26" s="586"/>
      <c r="BG26" s="586"/>
      <c r="BH26" s="586"/>
      <c r="BI26" s="586"/>
      <c r="BJ26" s="586"/>
      <c r="BK26" s="586"/>
      <c r="BL26" s="586"/>
      <c r="BM26" s="586"/>
      <c r="BN26" s="586"/>
      <c r="BO26" s="586"/>
      <c r="BP26" s="586"/>
      <c r="BQ26" s="586"/>
      <c r="BR26" s="587"/>
      <c r="CP26" s="3"/>
    </row>
    <row r="27" spans="1:94" ht="15" customHeight="1" x14ac:dyDescent="0.15">
      <c r="A27" s="1"/>
      <c r="E27" s="580"/>
      <c r="F27" s="581"/>
      <c r="G27" s="582"/>
      <c r="H27" s="583"/>
      <c r="I27" s="583"/>
      <c r="J27" s="583"/>
      <c r="K27" s="583"/>
      <c r="L27" s="583"/>
      <c r="M27" s="583"/>
      <c r="N27" s="583"/>
      <c r="O27" s="583"/>
      <c r="P27" s="583"/>
      <c r="Q27" s="583"/>
      <c r="R27" s="583"/>
      <c r="S27" s="583"/>
      <c r="T27" s="584"/>
      <c r="U27" s="595" t="s">
        <v>145</v>
      </c>
      <c r="V27" s="595"/>
      <c r="W27" s="595"/>
      <c r="X27" s="595"/>
      <c r="Y27" s="595"/>
      <c r="Z27" s="595"/>
      <c r="AA27" s="595"/>
      <c r="AB27" s="595"/>
      <c r="AC27" s="595"/>
      <c r="AD27" s="595"/>
      <c r="AE27" s="595"/>
      <c r="AF27" s="595"/>
      <c r="AG27" s="595"/>
      <c r="AH27" s="595"/>
      <c r="AI27" s="595"/>
      <c r="AJ27" s="595"/>
      <c r="AK27" s="595"/>
      <c r="AL27" s="595"/>
      <c r="AM27" s="595"/>
      <c r="AN27" s="595"/>
      <c r="AO27" s="595"/>
      <c r="AP27" s="595"/>
      <c r="AQ27" s="595"/>
      <c r="AR27" s="595"/>
      <c r="AS27" s="595"/>
      <c r="AT27" s="595"/>
      <c r="AU27" s="595"/>
      <c r="AV27" s="595"/>
      <c r="AW27" s="595"/>
      <c r="AX27" s="595"/>
      <c r="AY27" s="595"/>
      <c r="AZ27" s="595"/>
      <c r="BA27" s="585"/>
      <c r="BB27" s="586"/>
      <c r="BC27" s="586"/>
      <c r="BD27" s="586"/>
      <c r="BE27" s="586"/>
      <c r="BF27" s="586"/>
      <c r="BG27" s="586"/>
      <c r="BH27" s="586"/>
      <c r="BI27" s="586"/>
      <c r="BJ27" s="586"/>
      <c r="BK27" s="586"/>
      <c r="BL27" s="586"/>
      <c r="BM27" s="586"/>
      <c r="BN27" s="586"/>
      <c r="BO27" s="586"/>
      <c r="BP27" s="586"/>
      <c r="BQ27" s="586"/>
      <c r="BR27" s="587"/>
      <c r="CP27" s="3"/>
    </row>
    <row r="28" spans="1:94" ht="15" customHeight="1" x14ac:dyDescent="0.15">
      <c r="A28" s="1"/>
      <c r="E28" s="580"/>
      <c r="F28" s="581"/>
      <c r="G28" s="582"/>
      <c r="H28" s="583"/>
      <c r="I28" s="583"/>
      <c r="J28" s="583"/>
      <c r="K28" s="583"/>
      <c r="L28" s="583"/>
      <c r="M28" s="583"/>
      <c r="N28" s="583"/>
      <c r="O28" s="583"/>
      <c r="P28" s="583"/>
      <c r="Q28" s="583"/>
      <c r="R28" s="583"/>
      <c r="S28" s="583"/>
      <c r="T28" s="584"/>
      <c r="U28" s="595" t="s">
        <v>393</v>
      </c>
      <c r="V28" s="595"/>
      <c r="W28" s="595"/>
      <c r="X28" s="595"/>
      <c r="Y28" s="595"/>
      <c r="Z28" s="595"/>
      <c r="AA28" s="595"/>
      <c r="AB28" s="595"/>
      <c r="AC28" s="595"/>
      <c r="AD28" s="595"/>
      <c r="AE28" s="595"/>
      <c r="AF28" s="595"/>
      <c r="AG28" s="595"/>
      <c r="AH28" s="595"/>
      <c r="AI28" s="595"/>
      <c r="AJ28" s="595"/>
      <c r="AK28" s="595"/>
      <c r="AL28" s="595"/>
      <c r="AM28" s="595"/>
      <c r="AN28" s="595"/>
      <c r="AO28" s="595"/>
      <c r="AP28" s="595"/>
      <c r="AQ28" s="595"/>
      <c r="AR28" s="595"/>
      <c r="AS28" s="595"/>
      <c r="AT28" s="595"/>
      <c r="AU28" s="595"/>
      <c r="AV28" s="595"/>
      <c r="AW28" s="595"/>
      <c r="AX28" s="595"/>
      <c r="AY28" s="595"/>
      <c r="AZ28" s="595"/>
      <c r="BA28" s="585"/>
      <c r="BB28" s="586"/>
      <c r="BC28" s="586"/>
      <c r="BD28" s="586"/>
      <c r="BE28" s="586"/>
      <c r="BF28" s="586"/>
      <c r="BG28" s="586"/>
      <c r="BH28" s="586"/>
      <c r="BI28" s="586"/>
      <c r="BJ28" s="586"/>
      <c r="BK28" s="586"/>
      <c r="BL28" s="586"/>
      <c r="BM28" s="586"/>
      <c r="BN28" s="586"/>
      <c r="BO28" s="586"/>
      <c r="BP28" s="586"/>
      <c r="BQ28" s="586"/>
      <c r="BR28" s="587"/>
      <c r="CP28" s="3"/>
    </row>
    <row r="29" spans="1:94" ht="15" customHeight="1" x14ac:dyDescent="0.15">
      <c r="A29" s="1"/>
      <c r="E29" s="580"/>
      <c r="F29" s="581"/>
      <c r="G29" s="582"/>
      <c r="H29" s="583"/>
      <c r="I29" s="583"/>
      <c r="J29" s="583"/>
      <c r="K29" s="583"/>
      <c r="L29" s="583"/>
      <c r="M29" s="583"/>
      <c r="N29" s="583"/>
      <c r="O29" s="583"/>
      <c r="P29" s="583"/>
      <c r="Q29" s="583"/>
      <c r="R29" s="583"/>
      <c r="S29" s="583"/>
      <c r="T29" s="584"/>
      <c r="U29" s="595" t="s">
        <v>813</v>
      </c>
      <c r="V29" s="595"/>
      <c r="W29" s="595"/>
      <c r="X29" s="595"/>
      <c r="Y29" s="595"/>
      <c r="Z29" s="595"/>
      <c r="AA29" s="595"/>
      <c r="AB29" s="595"/>
      <c r="AC29" s="595"/>
      <c r="AD29" s="595"/>
      <c r="AE29" s="595"/>
      <c r="AF29" s="595"/>
      <c r="AG29" s="595"/>
      <c r="AH29" s="595"/>
      <c r="AI29" s="595"/>
      <c r="AJ29" s="595"/>
      <c r="AK29" s="595"/>
      <c r="AL29" s="595"/>
      <c r="AM29" s="595"/>
      <c r="AN29" s="595"/>
      <c r="AO29" s="595"/>
      <c r="AP29" s="595"/>
      <c r="AQ29" s="595"/>
      <c r="AR29" s="595"/>
      <c r="AS29" s="595"/>
      <c r="AT29" s="595"/>
      <c r="AU29" s="595"/>
      <c r="AV29" s="595"/>
      <c r="AW29" s="595"/>
      <c r="AX29" s="595"/>
      <c r="AY29" s="595"/>
      <c r="AZ29" s="595"/>
      <c r="BA29" s="585"/>
      <c r="BB29" s="586"/>
      <c r="BC29" s="586"/>
      <c r="BD29" s="586"/>
      <c r="BE29" s="586"/>
      <c r="BF29" s="586"/>
      <c r="BG29" s="586"/>
      <c r="BH29" s="586"/>
      <c r="BI29" s="586"/>
      <c r="BJ29" s="586"/>
      <c r="BK29" s="586"/>
      <c r="BL29" s="586"/>
      <c r="BM29" s="586"/>
      <c r="BN29" s="586"/>
      <c r="BO29" s="586"/>
      <c r="BP29" s="586"/>
      <c r="BQ29" s="586"/>
      <c r="BR29" s="587"/>
      <c r="CP29" s="3"/>
    </row>
    <row r="30" spans="1:94" ht="15" customHeight="1" x14ac:dyDescent="0.15">
      <c r="A30" s="1"/>
      <c r="E30" s="580"/>
      <c r="F30" s="581"/>
      <c r="G30" s="582"/>
      <c r="H30" s="583"/>
      <c r="I30" s="583"/>
      <c r="J30" s="583"/>
      <c r="K30" s="583"/>
      <c r="L30" s="583"/>
      <c r="M30" s="583"/>
      <c r="N30" s="583"/>
      <c r="O30" s="583"/>
      <c r="P30" s="583"/>
      <c r="Q30" s="583"/>
      <c r="R30" s="583"/>
      <c r="S30" s="583"/>
      <c r="T30" s="584"/>
      <c r="U30" s="595" t="s">
        <v>814</v>
      </c>
      <c r="V30" s="595"/>
      <c r="W30" s="595"/>
      <c r="X30" s="595"/>
      <c r="Y30" s="595"/>
      <c r="Z30" s="595"/>
      <c r="AA30" s="595"/>
      <c r="AB30" s="595"/>
      <c r="AC30" s="595"/>
      <c r="AD30" s="595"/>
      <c r="AE30" s="595"/>
      <c r="AF30" s="595"/>
      <c r="AG30" s="595"/>
      <c r="AH30" s="595"/>
      <c r="AI30" s="595"/>
      <c r="AJ30" s="595"/>
      <c r="AK30" s="595"/>
      <c r="AL30" s="595"/>
      <c r="AM30" s="595"/>
      <c r="AN30" s="595"/>
      <c r="AO30" s="595"/>
      <c r="AP30" s="595"/>
      <c r="AQ30" s="595"/>
      <c r="AR30" s="595"/>
      <c r="AS30" s="595"/>
      <c r="AT30" s="595"/>
      <c r="AU30" s="595"/>
      <c r="AV30" s="595"/>
      <c r="AW30" s="595"/>
      <c r="AX30" s="595"/>
      <c r="AY30" s="595"/>
      <c r="AZ30" s="595"/>
      <c r="BA30" s="585"/>
      <c r="BB30" s="586"/>
      <c r="BC30" s="586"/>
      <c r="BD30" s="586"/>
      <c r="BE30" s="586"/>
      <c r="BF30" s="586"/>
      <c r="BG30" s="586"/>
      <c r="BH30" s="586"/>
      <c r="BI30" s="586"/>
      <c r="BJ30" s="586"/>
      <c r="BK30" s="586"/>
      <c r="BL30" s="586"/>
      <c r="BM30" s="586"/>
      <c r="BN30" s="586"/>
      <c r="BO30" s="586"/>
      <c r="BP30" s="586"/>
      <c r="BQ30" s="586"/>
      <c r="BR30" s="587"/>
      <c r="CP30" s="3"/>
    </row>
    <row r="31" spans="1:94" ht="15" customHeight="1" x14ac:dyDescent="0.15">
      <c r="A31" s="1"/>
      <c r="E31" s="580"/>
      <c r="F31" s="581"/>
      <c r="G31" s="582"/>
      <c r="H31" s="583"/>
      <c r="I31" s="583"/>
      <c r="J31" s="583"/>
      <c r="K31" s="583"/>
      <c r="L31" s="583"/>
      <c r="M31" s="583"/>
      <c r="N31" s="583"/>
      <c r="O31" s="583"/>
      <c r="P31" s="583"/>
      <c r="Q31" s="583"/>
      <c r="R31" s="583"/>
      <c r="S31" s="583"/>
      <c r="T31" s="584"/>
      <c r="U31" s="654" t="s">
        <v>1043</v>
      </c>
      <c r="V31" s="654"/>
      <c r="W31" s="654"/>
      <c r="X31" s="654"/>
      <c r="Y31" s="654"/>
      <c r="Z31" s="654"/>
      <c r="AA31" s="654"/>
      <c r="AB31" s="654"/>
      <c r="AC31" s="654"/>
      <c r="AD31" s="654"/>
      <c r="AE31" s="654"/>
      <c r="AF31" s="654"/>
      <c r="AG31" s="654"/>
      <c r="AH31" s="654"/>
      <c r="AI31" s="654"/>
      <c r="AJ31" s="654"/>
      <c r="AK31" s="654"/>
      <c r="AL31" s="654"/>
      <c r="AM31" s="654"/>
      <c r="AN31" s="654"/>
      <c r="AO31" s="654"/>
      <c r="AP31" s="654"/>
      <c r="AQ31" s="654"/>
      <c r="AR31" s="654"/>
      <c r="AS31" s="654"/>
      <c r="AT31" s="654"/>
      <c r="AU31" s="654"/>
      <c r="AV31" s="654"/>
      <c r="AW31" s="654"/>
      <c r="AX31" s="654"/>
      <c r="AY31" s="654"/>
      <c r="AZ31" s="654"/>
      <c r="BA31" s="591" t="s">
        <v>414</v>
      </c>
      <c r="BB31" s="592"/>
      <c r="BC31" s="592"/>
      <c r="BD31" s="592"/>
      <c r="BE31" s="592"/>
      <c r="BF31" s="592"/>
      <c r="BG31" s="592"/>
      <c r="BH31" s="592"/>
      <c r="BI31" s="592"/>
      <c r="BJ31" s="592"/>
      <c r="BK31" s="592"/>
      <c r="BL31" s="592"/>
      <c r="BM31" s="592"/>
      <c r="BN31" s="592"/>
      <c r="BO31" s="592"/>
      <c r="BP31" s="592"/>
      <c r="BQ31" s="592"/>
      <c r="BR31" s="593"/>
      <c r="CP31" s="3"/>
    </row>
    <row r="32" spans="1:94" ht="15" customHeight="1" x14ac:dyDescent="0.15">
      <c r="A32" s="1"/>
      <c r="E32" s="580"/>
      <c r="F32" s="581"/>
      <c r="G32" s="582"/>
      <c r="H32" s="583"/>
      <c r="I32" s="583"/>
      <c r="J32" s="583"/>
      <c r="K32" s="583"/>
      <c r="L32" s="583"/>
      <c r="M32" s="583"/>
      <c r="N32" s="583"/>
      <c r="O32" s="583"/>
      <c r="P32" s="583"/>
      <c r="Q32" s="583"/>
      <c r="R32" s="583"/>
      <c r="S32" s="583"/>
      <c r="T32" s="584"/>
      <c r="U32" s="654" t="s">
        <v>1044</v>
      </c>
      <c r="V32" s="654"/>
      <c r="W32" s="654"/>
      <c r="X32" s="654"/>
      <c r="Y32" s="654"/>
      <c r="Z32" s="654"/>
      <c r="AA32" s="654"/>
      <c r="AB32" s="654"/>
      <c r="AC32" s="654"/>
      <c r="AD32" s="654"/>
      <c r="AE32" s="654"/>
      <c r="AF32" s="654"/>
      <c r="AG32" s="654"/>
      <c r="AH32" s="654"/>
      <c r="AI32" s="654"/>
      <c r="AJ32" s="654"/>
      <c r="AK32" s="654"/>
      <c r="AL32" s="654"/>
      <c r="AM32" s="654"/>
      <c r="AN32" s="654"/>
      <c r="AO32" s="654"/>
      <c r="AP32" s="654"/>
      <c r="AQ32" s="654"/>
      <c r="AR32" s="654"/>
      <c r="AS32" s="654"/>
      <c r="AT32" s="654"/>
      <c r="AU32" s="654"/>
      <c r="AV32" s="654"/>
      <c r="AW32" s="654"/>
      <c r="AX32" s="654"/>
      <c r="AY32" s="654"/>
      <c r="AZ32" s="654"/>
      <c r="BA32" s="591" t="s">
        <v>414</v>
      </c>
      <c r="BB32" s="592"/>
      <c r="BC32" s="592"/>
      <c r="BD32" s="592"/>
      <c r="BE32" s="592"/>
      <c r="BF32" s="592"/>
      <c r="BG32" s="592"/>
      <c r="BH32" s="592"/>
      <c r="BI32" s="592"/>
      <c r="BJ32" s="592"/>
      <c r="BK32" s="592"/>
      <c r="BL32" s="592"/>
      <c r="BM32" s="592"/>
      <c r="BN32" s="592"/>
      <c r="BO32" s="592"/>
      <c r="BP32" s="592"/>
      <c r="BQ32" s="592"/>
      <c r="BR32" s="593"/>
      <c r="CP32" s="3"/>
    </row>
    <row r="33" spans="1:94" ht="15" customHeight="1" x14ac:dyDescent="0.15">
      <c r="A33" s="1"/>
      <c r="E33" s="580"/>
      <c r="F33" s="581"/>
      <c r="G33" s="582"/>
      <c r="H33" s="583"/>
      <c r="I33" s="583"/>
      <c r="J33" s="583"/>
      <c r="K33" s="583"/>
      <c r="L33" s="583"/>
      <c r="M33" s="583"/>
      <c r="N33" s="583"/>
      <c r="O33" s="583"/>
      <c r="P33" s="583"/>
      <c r="Q33" s="583"/>
      <c r="R33" s="583"/>
      <c r="S33" s="583"/>
      <c r="T33" s="584"/>
      <c r="U33" s="654" t="s">
        <v>1045</v>
      </c>
      <c r="V33" s="654"/>
      <c r="W33" s="654"/>
      <c r="X33" s="654"/>
      <c r="Y33" s="654"/>
      <c r="Z33" s="654"/>
      <c r="AA33" s="654"/>
      <c r="AB33" s="654"/>
      <c r="AC33" s="654"/>
      <c r="AD33" s="654"/>
      <c r="AE33" s="654"/>
      <c r="AF33" s="654"/>
      <c r="AG33" s="654"/>
      <c r="AH33" s="654"/>
      <c r="AI33" s="654"/>
      <c r="AJ33" s="654"/>
      <c r="AK33" s="654"/>
      <c r="AL33" s="654"/>
      <c r="AM33" s="654"/>
      <c r="AN33" s="654"/>
      <c r="AO33" s="654"/>
      <c r="AP33" s="654"/>
      <c r="AQ33" s="654"/>
      <c r="AR33" s="654"/>
      <c r="AS33" s="654"/>
      <c r="AT33" s="654"/>
      <c r="AU33" s="654"/>
      <c r="AV33" s="654"/>
      <c r="AW33" s="654"/>
      <c r="AX33" s="654"/>
      <c r="AY33" s="654"/>
      <c r="AZ33" s="654"/>
      <c r="BA33" s="591" t="s">
        <v>815</v>
      </c>
      <c r="BB33" s="592"/>
      <c r="BC33" s="592"/>
      <c r="BD33" s="592"/>
      <c r="BE33" s="592"/>
      <c r="BF33" s="592"/>
      <c r="BG33" s="592"/>
      <c r="BH33" s="592"/>
      <c r="BI33" s="592"/>
      <c r="BJ33" s="592"/>
      <c r="BK33" s="592"/>
      <c r="BL33" s="592"/>
      <c r="BM33" s="592"/>
      <c r="BN33" s="592"/>
      <c r="BO33" s="592"/>
      <c r="BP33" s="592"/>
      <c r="BQ33" s="592"/>
      <c r="BR33" s="593"/>
      <c r="CP33" s="3"/>
    </row>
    <row r="34" spans="1:94" ht="15" customHeight="1" x14ac:dyDescent="0.15">
      <c r="A34" s="1"/>
      <c r="E34" s="580"/>
      <c r="F34" s="581"/>
      <c r="G34" s="582"/>
      <c r="H34" s="583"/>
      <c r="I34" s="583"/>
      <c r="J34" s="583"/>
      <c r="K34" s="583"/>
      <c r="L34" s="583"/>
      <c r="M34" s="583"/>
      <c r="N34" s="583"/>
      <c r="O34" s="583"/>
      <c r="P34" s="583"/>
      <c r="Q34" s="583"/>
      <c r="R34" s="583"/>
      <c r="S34" s="583"/>
      <c r="T34" s="584"/>
      <c r="U34" s="654" t="s">
        <v>1046</v>
      </c>
      <c r="V34" s="654"/>
      <c r="W34" s="654"/>
      <c r="X34" s="654"/>
      <c r="Y34" s="654"/>
      <c r="Z34" s="654"/>
      <c r="AA34" s="654"/>
      <c r="AB34" s="654"/>
      <c r="AC34" s="654"/>
      <c r="AD34" s="654"/>
      <c r="AE34" s="654"/>
      <c r="AF34" s="654"/>
      <c r="AG34" s="654"/>
      <c r="AH34" s="654"/>
      <c r="AI34" s="654"/>
      <c r="AJ34" s="654"/>
      <c r="AK34" s="654"/>
      <c r="AL34" s="654"/>
      <c r="AM34" s="654"/>
      <c r="AN34" s="654"/>
      <c r="AO34" s="654"/>
      <c r="AP34" s="654"/>
      <c r="AQ34" s="654"/>
      <c r="AR34" s="654"/>
      <c r="AS34" s="654"/>
      <c r="AT34" s="654"/>
      <c r="AU34" s="654"/>
      <c r="AV34" s="654"/>
      <c r="AW34" s="654"/>
      <c r="AX34" s="654"/>
      <c r="AY34" s="654"/>
      <c r="AZ34" s="654"/>
      <c r="BA34" s="591" t="s">
        <v>816</v>
      </c>
      <c r="BB34" s="592"/>
      <c r="BC34" s="592"/>
      <c r="BD34" s="592"/>
      <c r="BE34" s="592"/>
      <c r="BF34" s="592"/>
      <c r="BG34" s="592"/>
      <c r="BH34" s="592"/>
      <c r="BI34" s="592"/>
      <c r="BJ34" s="592"/>
      <c r="BK34" s="592"/>
      <c r="BL34" s="592"/>
      <c r="BM34" s="592"/>
      <c r="BN34" s="592"/>
      <c r="BO34" s="592"/>
      <c r="BP34" s="592"/>
      <c r="BQ34" s="592"/>
      <c r="BR34" s="593"/>
      <c r="CP34" s="3"/>
    </row>
    <row r="35" spans="1:94" ht="15" customHeight="1" x14ac:dyDescent="0.15">
      <c r="A35" s="1"/>
      <c r="E35" s="580"/>
      <c r="F35" s="581"/>
      <c r="G35" s="582"/>
      <c r="H35" s="583"/>
      <c r="I35" s="583"/>
      <c r="J35" s="583"/>
      <c r="K35" s="583"/>
      <c r="L35" s="583"/>
      <c r="M35" s="583"/>
      <c r="N35" s="583"/>
      <c r="O35" s="583"/>
      <c r="P35" s="583"/>
      <c r="Q35" s="583"/>
      <c r="R35" s="583"/>
      <c r="S35" s="583"/>
      <c r="T35" s="584"/>
      <c r="U35" s="654" t="s">
        <v>1047</v>
      </c>
      <c r="V35" s="654"/>
      <c r="W35" s="654"/>
      <c r="X35" s="654"/>
      <c r="Y35" s="654"/>
      <c r="Z35" s="654"/>
      <c r="AA35" s="654"/>
      <c r="AB35" s="654"/>
      <c r="AC35" s="654"/>
      <c r="AD35" s="654"/>
      <c r="AE35" s="654"/>
      <c r="AF35" s="654"/>
      <c r="AG35" s="654"/>
      <c r="AH35" s="654"/>
      <c r="AI35" s="654"/>
      <c r="AJ35" s="654"/>
      <c r="AK35" s="654"/>
      <c r="AL35" s="654"/>
      <c r="AM35" s="654"/>
      <c r="AN35" s="654"/>
      <c r="AO35" s="654"/>
      <c r="AP35" s="654"/>
      <c r="AQ35" s="654"/>
      <c r="AR35" s="654"/>
      <c r="AS35" s="654"/>
      <c r="AT35" s="654"/>
      <c r="AU35" s="654"/>
      <c r="AV35" s="654"/>
      <c r="AW35" s="654"/>
      <c r="AX35" s="654"/>
      <c r="AY35" s="654"/>
      <c r="AZ35" s="654"/>
      <c r="BA35" s="591" t="s">
        <v>656</v>
      </c>
      <c r="BB35" s="592"/>
      <c r="BC35" s="592"/>
      <c r="BD35" s="592"/>
      <c r="BE35" s="592"/>
      <c r="BF35" s="592"/>
      <c r="BG35" s="592"/>
      <c r="BH35" s="592"/>
      <c r="BI35" s="592"/>
      <c r="BJ35" s="592"/>
      <c r="BK35" s="592"/>
      <c r="BL35" s="592"/>
      <c r="BM35" s="592"/>
      <c r="BN35" s="592"/>
      <c r="BO35" s="592"/>
      <c r="BP35" s="592"/>
      <c r="BQ35" s="592"/>
      <c r="BR35" s="593"/>
      <c r="CP35" s="3"/>
    </row>
    <row r="36" spans="1:94" ht="15" customHeight="1" x14ac:dyDescent="0.15">
      <c r="A36" s="1"/>
      <c r="E36" s="580"/>
      <c r="F36" s="581"/>
      <c r="G36" s="582"/>
      <c r="H36" s="583"/>
      <c r="I36" s="583"/>
      <c r="J36" s="583"/>
      <c r="K36" s="583"/>
      <c r="L36" s="583"/>
      <c r="M36" s="583"/>
      <c r="N36" s="583"/>
      <c r="O36" s="583"/>
      <c r="P36" s="583"/>
      <c r="Q36" s="583"/>
      <c r="R36" s="583"/>
      <c r="S36" s="583"/>
      <c r="T36" s="584"/>
      <c r="U36" s="654" t="s">
        <v>817</v>
      </c>
      <c r="V36" s="654"/>
      <c r="W36" s="654"/>
      <c r="X36" s="654"/>
      <c r="Y36" s="654"/>
      <c r="Z36" s="654"/>
      <c r="AA36" s="654"/>
      <c r="AB36" s="654"/>
      <c r="AC36" s="654"/>
      <c r="AD36" s="654"/>
      <c r="AE36" s="654"/>
      <c r="AF36" s="654"/>
      <c r="AG36" s="654"/>
      <c r="AH36" s="654"/>
      <c r="AI36" s="654"/>
      <c r="AJ36" s="654"/>
      <c r="AK36" s="654"/>
      <c r="AL36" s="654"/>
      <c r="AM36" s="654"/>
      <c r="AN36" s="654"/>
      <c r="AO36" s="654"/>
      <c r="AP36" s="654"/>
      <c r="AQ36" s="654"/>
      <c r="AR36" s="654"/>
      <c r="AS36" s="654"/>
      <c r="AT36" s="654"/>
      <c r="AU36" s="654"/>
      <c r="AV36" s="654"/>
      <c r="AW36" s="654"/>
      <c r="AX36" s="654"/>
      <c r="AY36" s="654"/>
      <c r="AZ36" s="654"/>
      <c r="BA36" s="591" t="s">
        <v>818</v>
      </c>
      <c r="BB36" s="592"/>
      <c r="BC36" s="592"/>
      <c r="BD36" s="592"/>
      <c r="BE36" s="592"/>
      <c r="BF36" s="592"/>
      <c r="BG36" s="592"/>
      <c r="BH36" s="592"/>
      <c r="BI36" s="592"/>
      <c r="BJ36" s="592"/>
      <c r="BK36" s="592"/>
      <c r="BL36" s="592"/>
      <c r="BM36" s="592"/>
      <c r="BN36" s="592"/>
      <c r="BO36" s="592"/>
      <c r="BP36" s="592"/>
      <c r="BQ36" s="592"/>
      <c r="BR36" s="593"/>
      <c r="CP36" s="3"/>
    </row>
    <row r="37" spans="1:94" ht="15" customHeight="1" x14ac:dyDescent="0.15">
      <c r="A37" s="1"/>
      <c r="E37" s="580"/>
      <c r="F37" s="581"/>
      <c r="G37" s="582"/>
      <c r="H37" s="583"/>
      <c r="I37" s="583"/>
      <c r="J37" s="583"/>
      <c r="K37" s="583"/>
      <c r="L37" s="583"/>
      <c r="M37" s="583"/>
      <c r="N37" s="583"/>
      <c r="O37" s="583"/>
      <c r="P37" s="583"/>
      <c r="Q37" s="583"/>
      <c r="R37" s="583"/>
      <c r="S37" s="583"/>
      <c r="T37" s="584"/>
      <c r="U37" s="655" t="s">
        <v>1048</v>
      </c>
      <c r="V37" s="655"/>
      <c r="W37" s="655"/>
      <c r="X37" s="655"/>
      <c r="Y37" s="655"/>
      <c r="Z37" s="655"/>
      <c r="AA37" s="655"/>
      <c r="AB37" s="655"/>
      <c r="AC37" s="655"/>
      <c r="AD37" s="655"/>
      <c r="AE37" s="655"/>
      <c r="AF37" s="655"/>
      <c r="AG37" s="655"/>
      <c r="AH37" s="655"/>
      <c r="AI37" s="655"/>
      <c r="AJ37" s="655"/>
      <c r="AK37" s="655"/>
      <c r="AL37" s="655"/>
      <c r="AM37" s="655"/>
      <c r="AN37" s="655"/>
      <c r="AO37" s="655"/>
      <c r="AP37" s="655"/>
      <c r="AQ37" s="655"/>
      <c r="AR37" s="655"/>
      <c r="AS37" s="655"/>
      <c r="AT37" s="655"/>
      <c r="AU37" s="655"/>
      <c r="AV37" s="655"/>
      <c r="AW37" s="655"/>
      <c r="AX37" s="655"/>
      <c r="AY37" s="655"/>
      <c r="AZ37" s="655"/>
      <c r="BA37" s="602" t="s">
        <v>1049</v>
      </c>
      <c r="BB37" s="603"/>
      <c r="BC37" s="603"/>
      <c r="BD37" s="603"/>
      <c r="BE37" s="603"/>
      <c r="BF37" s="603"/>
      <c r="BG37" s="603"/>
      <c r="BH37" s="603"/>
      <c r="BI37" s="603"/>
      <c r="BJ37" s="603"/>
      <c r="BK37" s="603"/>
      <c r="BL37" s="603"/>
      <c r="BM37" s="603"/>
      <c r="BN37" s="603"/>
      <c r="BO37" s="603"/>
      <c r="BP37" s="603"/>
      <c r="BQ37" s="603"/>
      <c r="BR37" s="604"/>
      <c r="CP37" s="3"/>
    </row>
    <row r="38" spans="1:94" ht="15" customHeight="1" x14ac:dyDescent="0.15">
      <c r="A38" s="1"/>
      <c r="E38" s="605"/>
      <c r="F38" s="606"/>
      <c r="G38" s="607"/>
      <c r="H38" s="608"/>
      <c r="I38" s="608"/>
      <c r="J38" s="608"/>
      <c r="K38" s="608"/>
      <c r="L38" s="608"/>
      <c r="M38" s="608"/>
      <c r="N38" s="608"/>
      <c r="O38" s="608"/>
      <c r="P38" s="608"/>
      <c r="Q38" s="608"/>
      <c r="R38" s="608"/>
      <c r="S38" s="608"/>
      <c r="T38" s="609"/>
      <c r="U38" s="619"/>
      <c r="V38" s="619"/>
      <c r="W38" s="619"/>
      <c r="X38" s="619"/>
      <c r="Y38" s="619"/>
      <c r="Z38" s="619"/>
      <c r="AA38" s="619"/>
      <c r="AB38" s="619"/>
      <c r="AC38" s="619"/>
      <c r="AD38" s="619"/>
      <c r="AE38" s="619"/>
      <c r="AF38" s="619"/>
      <c r="AG38" s="619"/>
      <c r="AH38" s="619"/>
      <c r="AI38" s="619"/>
      <c r="AJ38" s="619"/>
      <c r="AK38" s="619"/>
      <c r="AL38" s="619"/>
      <c r="AM38" s="619"/>
      <c r="AN38" s="619"/>
      <c r="AO38" s="619"/>
      <c r="AP38" s="619"/>
      <c r="AQ38" s="619"/>
      <c r="AR38" s="619"/>
      <c r="AS38" s="619"/>
      <c r="AT38" s="619"/>
      <c r="AU38" s="619"/>
      <c r="AV38" s="619"/>
      <c r="AW38" s="619"/>
      <c r="AX38" s="619"/>
      <c r="AY38" s="619"/>
      <c r="AZ38" s="619"/>
      <c r="BA38" s="610"/>
      <c r="BB38" s="611"/>
      <c r="BC38" s="611"/>
      <c r="BD38" s="611"/>
      <c r="BE38" s="611"/>
      <c r="BF38" s="611"/>
      <c r="BG38" s="611"/>
      <c r="BH38" s="611"/>
      <c r="BI38" s="611"/>
      <c r="BJ38" s="611"/>
      <c r="BK38" s="611"/>
      <c r="BL38" s="611"/>
      <c r="BM38" s="611"/>
      <c r="BN38" s="611"/>
      <c r="BO38" s="611"/>
      <c r="BP38" s="611"/>
      <c r="BQ38" s="611"/>
      <c r="BR38" s="612"/>
      <c r="CP38" s="3"/>
    </row>
    <row r="39" spans="1:94" ht="15" customHeight="1" x14ac:dyDescent="0.15">
      <c r="A39" s="1"/>
      <c r="CP39" s="3"/>
    </row>
    <row r="40" spans="1:94" ht="15" customHeight="1" x14ac:dyDescent="0.15">
      <c r="A40" s="1"/>
      <c r="C40" s="2" t="s">
        <v>135</v>
      </c>
      <c r="CP40" s="3"/>
    </row>
    <row r="41" spans="1:94" ht="15" customHeight="1" x14ac:dyDescent="0.15">
      <c r="A41" s="1"/>
      <c r="CP41" s="3"/>
    </row>
    <row r="42" spans="1:94" ht="15" customHeight="1" x14ac:dyDescent="0.15">
      <c r="A42" s="1"/>
      <c r="E42" s="2" t="s">
        <v>104</v>
      </c>
      <c r="CP42" s="3"/>
    </row>
    <row r="43" spans="1:94" ht="15" customHeight="1" x14ac:dyDescent="0.15">
      <c r="A43" s="1"/>
      <c r="CP43" s="3"/>
    </row>
    <row r="44" spans="1:94" ht="15" customHeight="1" x14ac:dyDescent="0.15">
      <c r="A44" s="1"/>
      <c r="CP44" s="3"/>
    </row>
    <row r="45" spans="1:94" ht="15" customHeight="1" x14ac:dyDescent="0.15">
      <c r="A45" s="1"/>
      <c r="CP45" s="3"/>
    </row>
    <row r="46" spans="1:94" ht="15" customHeight="1" x14ac:dyDescent="0.15">
      <c r="A46" s="1"/>
      <c r="CP46" s="3"/>
    </row>
    <row r="47" spans="1:94" ht="15" customHeight="1" thickBot="1" x14ac:dyDescent="0.2">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7"/>
    </row>
    <row r="48" spans="1:94" ht="15" customHeight="1" x14ac:dyDescent="0.15">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2"/>
    </row>
    <row r="49" spans="1:94" ht="15" customHeight="1" x14ac:dyDescent="0.15">
      <c r="A49" s="1"/>
      <c r="C49" s="2" t="s">
        <v>137</v>
      </c>
      <c r="CP49" s="3"/>
    </row>
    <row r="50" spans="1:94" ht="15" customHeight="1" x14ac:dyDescent="0.15">
      <c r="A50" s="1"/>
      <c r="CP50" s="3"/>
    </row>
    <row r="51" spans="1:94" ht="15" customHeight="1" x14ac:dyDescent="0.15">
      <c r="A51" s="1"/>
      <c r="E51" s="2" t="s">
        <v>631</v>
      </c>
      <c r="CP51" s="3"/>
    </row>
    <row r="52" spans="1:94" ht="15" customHeight="1" x14ac:dyDescent="0.15">
      <c r="A52" s="1"/>
      <c r="E52" s="465" t="s">
        <v>82</v>
      </c>
      <c r="F52" s="465"/>
      <c r="G52" s="465"/>
      <c r="H52" s="465"/>
      <c r="I52" s="465"/>
      <c r="J52" s="465"/>
      <c r="K52" s="465"/>
      <c r="L52" s="465"/>
      <c r="M52" s="465"/>
      <c r="N52" s="465"/>
      <c r="O52" s="465"/>
      <c r="P52" s="465"/>
      <c r="Q52" s="465"/>
      <c r="R52" s="465"/>
      <c r="S52" s="465"/>
      <c r="T52" s="465"/>
      <c r="U52" s="465"/>
      <c r="V52" s="465"/>
      <c r="W52" s="465" t="s">
        <v>35</v>
      </c>
      <c r="X52" s="465"/>
      <c r="Y52" s="465"/>
      <c r="Z52" s="465"/>
      <c r="AA52" s="465"/>
      <c r="AB52" s="465"/>
      <c r="AC52" s="465"/>
      <c r="AD52" s="465"/>
      <c r="AE52" s="465"/>
      <c r="AF52" s="465"/>
      <c r="AG52" s="465"/>
      <c r="AH52" s="465"/>
      <c r="AI52" s="465"/>
      <c r="AJ52" s="465"/>
      <c r="AK52" s="465"/>
      <c r="CP52" s="3"/>
    </row>
    <row r="53" spans="1:94" ht="15" customHeight="1" x14ac:dyDescent="0.15">
      <c r="A53" s="1"/>
      <c r="E53" s="465" t="s">
        <v>111</v>
      </c>
      <c r="F53" s="465"/>
      <c r="G53" s="465"/>
      <c r="H53" s="465"/>
      <c r="I53" s="465"/>
      <c r="J53" s="465"/>
      <c r="K53" s="465"/>
      <c r="L53" s="465"/>
      <c r="M53" s="465"/>
      <c r="N53" s="465"/>
      <c r="O53" s="465"/>
      <c r="P53" s="465"/>
      <c r="Q53" s="465"/>
      <c r="R53" s="465"/>
      <c r="S53" s="465"/>
      <c r="T53" s="465"/>
      <c r="U53" s="465"/>
      <c r="V53" s="465"/>
      <c r="W53" s="465" t="str">
        <f>ネットワーク設計!AH10</f>
        <v>172.16.1.46</v>
      </c>
      <c r="X53" s="465"/>
      <c r="Y53" s="465"/>
      <c r="Z53" s="465"/>
      <c r="AA53" s="465"/>
      <c r="AB53" s="465"/>
      <c r="AC53" s="465"/>
      <c r="AD53" s="465"/>
      <c r="AE53" s="465"/>
      <c r="AF53" s="465"/>
      <c r="AG53" s="465"/>
      <c r="AH53" s="465"/>
      <c r="AI53" s="465"/>
      <c r="AJ53" s="465"/>
      <c r="AK53" s="465"/>
      <c r="CP53" s="3"/>
    </row>
    <row r="54" spans="1:94" ht="15" customHeight="1" x14ac:dyDescent="0.15">
      <c r="A54" s="1"/>
      <c r="E54" s="465" t="s">
        <v>112</v>
      </c>
      <c r="F54" s="465"/>
      <c r="G54" s="465"/>
      <c r="H54" s="465"/>
      <c r="I54" s="465"/>
      <c r="J54" s="465"/>
      <c r="K54" s="465"/>
      <c r="L54" s="465"/>
      <c r="M54" s="465"/>
      <c r="N54" s="465"/>
      <c r="O54" s="465"/>
      <c r="P54" s="465"/>
      <c r="Q54" s="465"/>
      <c r="R54" s="465"/>
      <c r="S54" s="465"/>
      <c r="T54" s="465"/>
      <c r="U54" s="465"/>
      <c r="V54" s="465"/>
      <c r="W54" s="576" t="s">
        <v>819</v>
      </c>
      <c r="X54" s="576"/>
      <c r="Y54" s="576"/>
      <c r="Z54" s="576"/>
      <c r="AA54" s="576"/>
      <c r="AB54" s="576"/>
      <c r="AC54" s="576"/>
      <c r="AD54" s="576"/>
      <c r="AE54" s="576"/>
      <c r="AF54" s="576"/>
      <c r="AG54" s="576"/>
      <c r="AH54" s="576"/>
      <c r="AI54" s="576"/>
      <c r="AJ54" s="576"/>
      <c r="AK54" s="576"/>
      <c r="CP54" s="3"/>
    </row>
    <row r="55" spans="1:94" ht="15" customHeight="1" x14ac:dyDescent="0.15">
      <c r="A55" s="1"/>
      <c r="E55" s="465" t="s">
        <v>113</v>
      </c>
      <c r="F55" s="465"/>
      <c r="G55" s="465"/>
      <c r="H55" s="465"/>
      <c r="I55" s="465"/>
      <c r="J55" s="465"/>
      <c r="K55" s="465"/>
      <c r="L55" s="465"/>
      <c r="M55" s="465"/>
      <c r="N55" s="465"/>
      <c r="O55" s="465"/>
      <c r="P55" s="465"/>
      <c r="Q55" s="465"/>
      <c r="R55" s="465"/>
      <c r="S55" s="465"/>
      <c r="T55" s="465"/>
      <c r="U55" s="465"/>
      <c r="V55" s="465"/>
      <c r="W55" s="576" t="s">
        <v>989</v>
      </c>
      <c r="X55" s="576"/>
      <c r="Y55" s="576"/>
      <c r="Z55" s="576"/>
      <c r="AA55" s="576"/>
      <c r="AB55" s="576"/>
      <c r="AC55" s="576"/>
      <c r="AD55" s="576"/>
      <c r="AE55" s="576"/>
      <c r="AF55" s="576"/>
      <c r="AG55" s="576"/>
      <c r="AH55" s="576"/>
      <c r="AI55" s="576"/>
      <c r="AJ55" s="576"/>
      <c r="AK55" s="576"/>
      <c r="CP55" s="3"/>
    </row>
    <row r="56" spans="1:94" ht="15" customHeight="1" x14ac:dyDescent="0.15">
      <c r="A56" s="1"/>
      <c r="E56" s="465" t="s">
        <v>149</v>
      </c>
      <c r="F56" s="465"/>
      <c r="G56" s="465"/>
      <c r="H56" s="465"/>
      <c r="I56" s="465"/>
      <c r="J56" s="465"/>
      <c r="K56" s="465"/>
      <c r="L56" s="465"/>
      <c r="M56" s="465"/>
      <c r="N56" s="465"/>
      <c r="O56" s="465"/>
      <c r="P56" s="465"/>
      <c r="Q56" s="465"/>
      <c r="R56" s="465"/>
      <c r="S56" s="465"/>
      <c r="T56" s="465"/>
      <c r="U56" s="465"/>
      <c r="V56" s="465"/>
      <c r="W56" s="576" t="s">
        <v>1050</v>
      </c>
      <c r="X56" s="576"/>
      <c r="Y56" s="576"/>
      <c r="Z56" s="576"/>
      <c r="AA56" s="576"/>
      <c r="AB56" s="576"/>
      <c r="AC56" s="576"/>
      <c r="AD56" s="576"/>
      <c r="AE56" s="576"/>
      <c r="AF56" s="576"/>
      <c r="AG56" s="576"/>
      <c r="AH56" s="576"/>
      <c r="AI56" s="576"/>
      <c r="AJ56" s="576"/>
      <c r="AK56" s="576"/>
      <c r="CP56" s="3"/>
    </row>
    <row r="57" spans="1:94" ht="15" customHeight="1" x14ac:dyDescent="0.15">
      <c r="A57" s="1"/>
      <c r="E57" s="465" t="s">
        <v>87</v>
      </c>
      <c r="F57" s="465"/>
      <c r="G57" s="465"/>
      <c r="H57" s="465"/>
      <c r="I57" s="465"/>
      <c r="J57" s="465"/>
      <c r="K57" s="465"/>
      <c r="L57" s="465"/>
      <c r="M57" s="465"/>
      <c r="N57" s="465"/>
      <c r="O57" s="465"/>
      <c r="P57" s="465"/>
      <c r="Q57" s="465"/>
      <c r="R57" s="465"/>
      <c r="S57" s="465"/>
      <c r="T57" s="465"/>
      <c r="U57" s="465"/>
      <c r="V57" s="465"/>
      <c r="W57" s="465" t="s">
        <v>35</v>
      </c>
      <c r="X57" s="465"/>
      <c r="Y57" s="465"/>
      <c r="Z57" s="465"/>
      <c r="AA57" s="465"/>
      <c r="AB57" s="465"/>
      <c r="AC57" s="465"/>
      <c r="AD57" s="465"/>
      <c r="AE57" s="465"/>
      <c r="AF57" s="465"/>
      <c r="AG57" s="465"/>
      <c r="AH57" s="465"/>
      <c r="AI57" s="465"/>
      <c r="AJ57" s="465"/>
      <c r="AK57" s="465"/>
      <c r="AL57" s="2" t="s">
        <v>1187</v>
      </c>
      <c r="CP57" s="3"/>
    </row>
    <row r="58" spans="1:94" ht="15" customHeight="1" x14ac:dyDescent="0.15">
      <c r="A58" s="1"/>
      <c r="E58" s="465" t="s">
        <v>83</v>
      </c>
      <c r="F58" s="465"/>
      <c r="G58" s="465"/>
      <c r="H58" s="465"/>
      <c r="I58" s="465"/>
      <c r="J58" s="465"/>
      <c r="K58" s="465"/>
      <c r="L58" s="465"/>
      <c r="M58" s="465"/>
      <c r="N58" s="465"/>
      <c r="O58" s="465"/>
      <c r="P58" s="465"/>
      <c r="Q58" s="465"/>
      <c r="R58" s="465"/>
      <c r="S58" s="465"/>
      <c r="T58" s="465"/>
      <c r="U58" s="465"/>
      <c r="V58" s="465"/>
      <c r="W58" s="465" t="s">
        <v>990</v>
      </c>
      <c r="X58" s="465"/>
      <c r="Y58" s="465"/>
      <c r="Z58" s="465"/>
      <c r="AA58" s="465"/>
      <c r="AB58" s="465"/>
      <c r="AC58" s="465"/>
      <c r="AD58" s="465"/>
      <c r="AE58" s="465"/>
      <c r="AF58" s="465"/>
      <c r="AG58" s="465"/>
      <c r="AH58" s="465"/>
      <c r="AI58" s="465"/>
      <c r="AJ58" s="465"/>
      <c r="AK58" s="465"/>
      <c r="CP58" s="3"/>
    </row>
    <row r="59" spans="1:94" ht="15" customHeight="1" x14ac:dyDescent="0.15">
      <c r="A59" s="1"/>
      <c r="E59" s="465" t="s">
        <v>84</v>
      </c>
      <c r="F59" s="465"/>
      <c r="G59" s="465"/>
      <c r="H59" s="465"/>
      <c r="I59" s="465"/>
      <c r="J59" s="465"/>
      <c r="K59" s="465"/>
      <c r="L59" s="465"/>
      <c r="M59" s="465"/>
      <c r="N59" s="465"/>
      <c r="O59" s="465"/>
      <c r="P59" s="465"/>
      <c r="Q59" s="465"/>
      <c r="R59" s="465"/>
      <c r="S59" s="465"/>
      <c r="T59" s="465"/>
      <c r="U59" s="465"/>
      <c r="V59" s="465"/>
      <c r="W59" s="465" t="s">
        <v>1188</v>
      </c>
      <c r="X59" s="465"/>
      <c r="Y59" s="465"/>
      <c r="Z59" s="465"/>
      <c r="AA59" s="465"/>
      <c r="AB59" s="465"/>
      <c r="AC59" s="465"/>
      <c r="AD59" s="465"/>
      <c r="AE59" s="465"/>
      <c r="AF59" s="465"/>
      <c r="AG59" s="465"/>
      <c r="AH59" s="465"/>
      <c r="AI59" s="465"/>
      <c r="AJ59" s="465"/>
      <c r="AK59" s="465"/>
      <c r="CP59" s="3"/>
    </row>
    <row r="60" spans="1:94" ht="15" customHeight="1" x14ac:dyDescent="0.15">
      <c r="A60" s="1"/>
      <c r="E60" s="465" t="s">
        <v>85</v>
      </c>
      <c r="F60" s="465"/>
      <c r="G60" s="465"/>
      <c r="H60" s="465"/>
      <c r="I60" s="465"/>
      <c r="J60" s="465"/>
      <c r="K60" s="465"/>
      <c r="L60" s="465"/>
      <c r="M60" s="465"/>
      <c r="N60" s="465"/>
      <c r="O60" s="465"/>
      <c r="P60" s="465"/>
      <c r="Q60" s="465"/>
      <c r="R60" s="465"/>
      <c r="S60" s="465"/>
      <c r="T60" s="465"/>
      <c r="U60" s="465"/>
      <c r="V60" s="465"/>
      <c r="W60" s="465" t="s">
        <v>139</v>
      </c>
      <c r="X60" s="465"/>
      <c r="Y60" s="465"/>
      <c r="Z60" s="465"/>
      <c r="AA60" s="465"/>
      <c r="AB60" s="465"/>
      <c r="AC60" s="465"/>
      <c r="AD60" s="465"/>
      <c r="AE60" s="465"/>
      <c r="AF60" s="465"/>
      <c r="AG60" s="465"/>
      <c r="AH60" s="465"/>
      <c r="AI60" s="465"/>
      <c r="AJ60" s="465"/>
      <c r="AK60" s="465"/>
      <c r="CP60" s="3"/>
    </row>
    <row r="61" spans="1:94" ht="15" customHeight="1" x14ac:dyDescent="0.15">
      <c r="A61" s="1"/>
      <c r="CP61" s="3"/>
    </row>
    <row r="62" spans="1:94" ht="15" customHeight="1" x14ac:dyDescent="0.15">
      <c r="A62" s="1"/>
      <c r="CP62" s="3"/>
    </row>
    <row r="63" spans="1:94" ht="15" customHeight="1" x14ac:dyDescent="0.15">
      <c r="A63" s="1"/>
      <c r="C63" s="2" t="s">
        <v>394</v>
      </c>
      <c r="W63" s="75"/>
      <c r="CP63" s="3"/>
    </row>
    <row r="64" spans="1:94" ht="15" customHeight="1" x14ac:dyDescent="0.15">
      <c r="A64" s="1"/>
      <c r="CP64" s="3"/>
    </row>
    <row r="65" spans="1:94" ht="15" customHeight="1" x14ac:dyDescent="0.15">
      <c r="A65" s="1"/>
      <c r="F65" s="2" t="s">
        <v>1189</v>
      </c>
      <c r="CP65" s="3"/>
    </row>
    <row r="66" spans="1:94" ht="15" customHeight="1" x14ac:dyDescent="0.15">
      <c r="A66" s="1"/>
      <c r="CP66" s="3"/>
    </row>
    <row r="67" spans="1:94" ht="15" customHeight="1" x14ac:dyDescent="0.15">
      <c r="A67" s="1"/>
      <c r="CP67" s="3"/>
    </row>
    <row r="68" spans="1:94" ht="15" customHeight="1" x14ac:dyDescent="0.15">
      <c r="A68" s="1"/>
      <c r="C68" s="2" t="s">
        <v>962</v>
      </c>
      <c r="CP68" s="3"/>
    </row>
    <row r="69" spans="1:94" ht="15" customHeight="1" x14ac:dyDescent="0.15">
      <c r="A69" s="1"/>
      <c r="CP69" s="3"/>
    </row>
    <row r="70" spans="1:94" ht="15" customHeight="1" x14ac:dyDescent="0.15">
      <c r="A70" s="1"/>
      <c r="F70" s="2" t="s">
        <v>1187</v>
      </c>
      <c r="L70" s="2" t="s">
        <v>1190</v>
      </c>
      <c r="CP70" s="3"/>
    </row>
    <row r="71" spans="1:94" ht="15" customHeight="1" x14ac:dyDescent="0.15">
      <c r="A71" s="1"/>
      <c r="CP71" s="3"/>
    </row>
    <row r="72" spans="1:94" ht="15" customHeight="1" x14ac:dyDescent="0.15">
      <c r="A72" s="1"/>
      <c r="CP72" s="3"/>
    </row>
    <row r="73" spans="1:94" ht="15" customHeight="1" x14ac:dyDescent="0.15">
      <c r="A73" s="1"/>
      <c r="C73" s="2" t="s">
        <v>963</v>
      </c>
      <c r="CP73" s="3"/>
    </row>
    <row r="74" spans="1:94" ht="15" customHeight="1" x14ac:dyDescent="0.15">
      <c r="A74" s="1"/>
      <c r="BQ74" s="13"/>
      <c r="CP74" s="3"/>
    </row>
    <row r="75" spans="1:94" ht="15" customHeight="1" x14ac:dyDescent="0.15">
      <c r="A75" s="1"/>
      <c r="E75" s="563" t="s">
        <v>64</v>
      </c>
      <c r="F75" s="564"/>
      <c r="G75" s="564"/>
      <c r="H75" s="564"/>
      <c r="I75" s="564"/>
      <c r="J75" s="564"/>
      <c r="K75" s="564"/>
      <c r="L75" s="564"/>
      <c r="M75" s="564"/>
      <c r="N75" s="564"/>
      <c r="O75" s="564"/>
      <c r="P75" s="565"/>
      <c r="Q75" s="563" t="s">
        <v>66</v>
      </c>
      <c r="R75" s="564"/>
      <c r="S75" s="564"/>
      <c r="T75" s="564"/>
      <c r="U75" s="564"/>
      <c r="V75" s="564"/>
      <c r="W75" s="564"/>
      <c r="X75" s="564"/>
      <c r="Y75" s="564"/>
      <c r="Z75" s="564"/>
      <c r="AA75" s="565"/>
      <c r="CP75" s="3"/>
    </row>
    <row r="76" spans="1:94" ht="15" customHeight="1" x14ac:dyDescent="0.15">
      <c r="A76" s="1"/>
      <c r="E76" s="569" t="s">
        <v>65</v>
      </c>
      <c r="F76" s="570"/>
      <c r="G76" s="570"/>
      <c r="H76" s="570"/>
      <c r="I76" s="570"/>
      <c r="J76" s="570"/>
      <c r="K76" s="570"/>
      <c r="L76" s="570"/>
      <c r="M76" s="570"/>
      <c r="N76" s="570"/>
      <c r="O76" s="570"/>
      <c r="P76" s="571"/>
      <c r="Q76" s="569" t="s">
        <v>105</v>
      </c>
      <c r="R76" s="570"/>
      <c r="S76" s="570"/>
      <c r="T76" s="570"/>
      <c r="U76" s="570"/>
      <c r="V76" s="570"/>
      <c r="W76" s="570"/>
      <c r="X76" s="570"/>
      <c r="Y76" s="570"/>
      <c r="Z76" s="570"/>
      <c r="AA76" s="571"/>
      <c r="CP76" s="3"/>
    </row>
    <row r="77" spans="1:94" ht="15" customHeight="1" x14ac:dyDescent="0.15">
      <c r="A77" s="1"/>
      <c r="CP77" s="3"/>
    </row>
    <row r="78" spans="1:94" ht="15" customHeight="1" x14ac:dyDescent="0.15">
      <c r="A78" s="1"/>
      <c r="CP78" s="3"/>
    </row>
    <row r="79" spans="1:94" ht="15" customHeight="1" x14ac:dyDescent="0.15">
      <c r="A79" s="1"/>
      <c r="C79" s="2" t="s">
        <v>964</v>
      </c>
      <c r="CP79" s="3"/>
    </row>
    <row r="80" spans="1:94" ht="15" customHeight="1" x14ac:dyDescent="0.15">
      <c r="A80" s="1"/>
      <c r="CP80" s="3"/>
    </row>
    <row r="81" spans="1:94" ht="15" customHeight="1" x14ac:dyDescent="0.15">
      <c r="A81" s="1"/>
      <c r="F81" s="2" t="s">
        <v>1187</v>
      </c>
      <c r="L81" s="2" t="s">
        <v>1191</v>
      </c>
      <c r="CP81" s="3"/>
    </row>
    <row r="82" spans="1:94" ht="15" customHeight="1" x14ac:dyDescent="0.15">
      <c r="A82" s="1"/>
      <c r="CP82" s="3"/>
    </row>
    <row r="83" spans="1:94" ht="15" customHeight="1" x14ac:dyDescent="0.15">
      <c r="A83" s="1"/>
      <c r="CP83" s="3"/>
    </row>
    <row r="84" spans="1:94" ht="15" customHeight="1" x14ac:dyDescent="0.15">
      <c r="A84" s="1"/>
      <c r="CP84" s="3"/>
    </row>
    <row r="85" spans="1:94" ht="15" customHeight="1" x14ac:dyDescent="0.15">
      <c r="A85" s="1"/>
      <c r="CP85" s="3"/>
    </row>
    <row r="86" spans="1:94" ht="15" customHeight="1" x14ac:dyDescent="0.15">
      <c r="A86" s="1"/>
      <c r="CP86" s="3"/>
    </row>
    <row r="87" spans="1:94" ht="15" customHeight="1" x14ac:dyDescent="0.15">
      <c r="A87" s="1"/>
      <c r="CP87" s="3"/>
    </row>
    <row r="88" spans="1:94" ht="15" customHeight="1" x14ac:dyDescent="0.15">
      <c r="A88" s="1"/>
      <c r="CP88" s="3"/>
    </row>
    <row r="89" spans="1:94" ht="15" customHeight="1" x14ac:dyDescent="0.15">
      <c r="A89" s="1"/>
      <c r="CP89" s="3"/>
    </row>
    <row r="90" spans="1:94" ht="15" customHeight="1" x14ac:dyDescent="0.15">
      <c r="A90" s="1"/>
      <c r="CP90" s="3"/>
    </row>
    <row r="91" spans="1:94" ht="15" customHeight="1" thickBot="1" x14ac:dyDescent="0.2">
      <c r="A91" s="5"/>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7"/>
    </row>
    <row r="92" spans="1:94" ht="15" customHeight="1" x14ac:dyDescent="0.15">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2"/>
    </row>
    <row r="93" spans="1:94" ht="15" customHeight="1" x14ac:dyDescent="0.15">
      <c r="A93" s="1"/>
      <c r="C93" s="2" t="s">
        <v>965</v>
      </c>
      <c r="CP93" s="3"/>
    </row>
    <row r="94" spans="1:94" ht="15" customHeight="1" x14ac:dyDescent="0.15">
      <c r="A94" s="1"/>
      <c r="CP94" s="3"/>
    </row>
    <row r="95" spans="1:94" ht="15" customHeight="1" x14ac:dyDescent="0.15">
      <c r="A95" s="1"/>
      <c r="D95" s="596" t="s">
        <v>67</v>
      </c>
      <c r="E95" s="597"/>
      <c r="F95" s="597"/>
      <c r="G95" s="597"/>
      <c r="H95" s="597"/>
      <c r="I95" s="597"/>
      <c r="J95" s="597"/>
      <c r="K95" s="597"/>
      <c r="L95" s="597"/>
      <c r="M95" s="597"/>
      <c r="N95" s="597"/>
      <c r="O95" s="597"/>
      <c r="P95" s="597"/>
      <c r="Q95" s="597"/>
      <c r="R95" s="597"/>
      <c r="S95" s="597"/>
      <c r="T95" s="597"/>
      <c r="U95" s="597"/>
      <c r="V95" s="597"/>
      <c r="W95" s="597"/>
      <c r="X95" s="597"/>
      <c r="Y95" s="597"/>
      <c r="Z95" s="597"/>
      <c r="AA95" s="597"/>
      <c r="AB95" s="597"/>
      <c r="AC95" s="597"/>
      <c r="AD95" s="597"/>
      <c r="AE95" s="597"/>
      <c r="AF95" s="597"/>
      <c r="AG95" s="597"/>
      <c r="AH95" s="597"/>
      <c r="AI95" s="597"/>
      <c r="AJ95" s="597"/>
      <c r="AK95" s="597"/>
      <c r="AL95" s="597"/>
      <c r="AM95" s="597"/>
      <c r="AN95" s="598"/>
      <c r="AO95" s="596" t="s">
        <v>41</v>
      </c>
      <c r="AP95" s="597"/>
      <c r="AQ95" s="597"/>
      <c r="AR95" s="597"/>
      <c r="AS95" s="597"/>
      <c r="AT95" s="597"/>
      <c r="AU95" s="597"/>
      <c r="AV95" s="597"/>
      <c r="AW95" s="597"/>
      <c r="AX95" s="597"/>
      <c r="AY95" s="597"/>
      <c r="AZ95" s="597"/>
      <c r="BA95" s="597"/>
      <c r="BB95" s="597"/>
      <c r="BC95" s="597"/>
      <c r="BD95" s="598"/>
      <c r="CP95" s="3"/>
    </row>
    <row r="96" spans="1:94" ht="15" customHeight="1" x14ac:dyDescent="0.15">
      <c r="A96" s="1"/>
      <c r="D96" s="588" t="s">
        <v>1042</v>
      </c>
      <c r="E96" s="589"/>
      <c r="F96" s="589"/>
      <c r="G96" s="589"/>
      <c r="H96" s="589"/>
      <c r="I96" s="589"/>
      <c r="J96" s="589"/>
      <c r="K96" s="589"/>
      <c r="L96" s="589"/>
      <c r="M96" s="589"/>
      <c r="N96" s="589"/>
      <c r="O96" s="589"/>
      <c r="P96" s="589"/>
      <c r="Q96" s="589"/>
      <c r="R96" s="589"/>
      <c r="S96" s="589"/>
      <c r="T96" s="589"/>
      <c r="U96" s="589"/>
      <c r="V96" s="589"/>
      <c r="W96" s="589"/>
      <c r="X96" s="589"/>
      <c r="Y96" s="589"/>
      <c r="Z96" s="589"/>
      <c r="AA96" s="589"/>
      <c r="AB96" s="589"/>
      <c r="AC96" s="589"/>
      <c r="AD96" s="589"/>
      <c r="AE96" s="589"/>
      <c r="AF96" s="589"/>
      <c r="AG96" s="589"/>
      <c r="AH96" s="589"/>
      <c r="AI96" s="589"/>
      <c r="AJ96" s="589"/>
      <c r="AK96" s="589"/>
      <c r="AL96" s="589"/>
      <c r="AM96" s="589"/>
      <c r="AN96" s="590"/>
      <c r="AO96" s="588" t="s">
        <v>414</v>
      </c>
      <c r="AP96" s="589"/>
      <c r="AQ96" s="589"/>
      <c r="AR96" s="589"/>
      <c r="AS96" s="589"/>
      <c r="AT96" s="589"/>
      <c r="AU96" s="589"/>
      <c r="AV96" s="589"/>
      <c r="AW96" s="589"/>
      <c r="AX96" s="589"/>
      <c r="AY96" s="589"/>
      <c r="AZ96" s="589"/>
      <c r="BA96" s="589"/>
      <c r="BB96" s="589"/>
      <c r="BC96" s="589"/>
      <c r="BD96" s="590"/>
      <c r="CP96" s="3"/>
    </row>
    <row r="97" spans="1:94" ht="15" customHeight="1" x14ac:dyDescent="0.15">
      <c r="A97" s="1"/>
      <c r="D97" s="486" t="s">
        <v>1051</v>
      </c>
      <c r="E97" s="487"/>
      <c r="F97" s="487"/>
      <c r="G97" s="487"/>
      <c r="H97" s="487"/>
      <c r="I97" s="487"/>
      <c r="J97" s="487"/>
      <c r="K97" s="487"/>
      <c r="L97" s="487"/>
      <c r="M97" s="487"/>
      <c r="N97" s="487"/>
      <c r="O97" s="487"/>
      <c r="P97" s="487"/>
      <c r="Q97" s="487"/>
      <c r="R97" s="487"/>
      <c r="S97" s="487"/>
      <c r="T97" s="487"/>
      <c r="U97" s="487"/>
      <c r="V97" s="487"/>
      <c r="W97" s="487"/>
      <c r="X97" s="487"/>
      <c r="Y97" s="487"/>
      <c r="Z97" s="487"/>
      <c r="AA97" s="487"/>
      <c r="AB97" s="487"/>
      <c r="AC97" s="487"/>
      <c r="AD97" s="487"/>
      <c r="AE97" s="487"/>
      <c r="AF97" s="487"/>
      <c r="AG97" s="487"/>
      <c r="AH97" s="487"/>
      <c r="AI97" s="487"/>
      <c r="AJ97" s="487"/>
      <c r="AK97" s="487"/>
      <c r="AL97" s="487"/>
      <c r="AM97" s="487"/>
      <c r="AN97" s="488"/>
      <c r="AO97" s="486" t="s">
        <v>820</v>
      </c>
      <c r="AP97" s="487"/>
      <c r="AQ97" s="487"/>
      <c r="AR97" s="487"/>
      <c r="AS97" s="487"/>
      <c r="AT97" s="487"/>
      <c r="AU97" s="487"/>
      <c r="AV97" s="487"/>
      <c r="AW97" s="487"/>
      <c r="AX97" s="487"/>
      <c r="AY97" s="487"/>
      <c r="AZ97" s="487"/>
      <c r="BA97" s="487"/>
      <c r="BB97" s="487"/>
      <c r="BC97" s="487"/>
      <c r="BD97" s="488"/>
      <c r="CP97" s="3"/>
    </row>
    <row r="98" spans="1:94" ht="15" customHeight="1" x14ac:dyDescent="0.15">
      <c r="A98" s="1"/>
      <c r="D98" s="642" t="s">
        <v>1052</v>
      </c>
      <c r="E98" s="643"/>
      <c r="F98" s="643"/>
      <c r="G98" s="643"/>
      <c r="H98" s="643"/>
      <c r="I98" s="643"/>
      <c r="J98" s="643"/>
      <c r="K98" s="643"/>
      <c r="L98" s="643"/>
      <c r="M98" s="643"/>
      <c r="N98" s="643"/>
      <c r="O98" s="643"/>
      <c r="P98" s="643"/>
      <c r="Q98" s="643"/>
      <c r="R98" s="643"/>
      <c r="S98" s="643"/>
      <c r="T98" s="643"/>
      <c r="U98" s="643"/>
      <c r="V98" s="643"/>
      <c r="W98" s="643"/>
      <c r="X98" s="643"/>
      <c r="Y98" s="643"/>
      <c r="Z98" s="643"/>
      <c r="AA98" s="643"/>
      <c r="AB98" s="643"/>
      <c r="AC98" s="643"/>
      <c r="AD98" s="643"/>
      <c r="AE98" s="643"/>
      <c r="AF98" s="643"/>
      <c r="AG98" s="643"/>
      <c r="AH98" s="643"/>
      <c r="AI98" s="643"/>
      <c r="AJ98" s="643"/>
      <c r="AK98" s="643"/>
      <c r="AL98" s="643"/>
      <c r="AM98" s="643"/>
      <c r="AN98" s="644"/>
      <c r="AO98" s="642" t="s">
        <v>821</v>
      </c>
      <c r="AP98" s="643"/>
      <c r="AQ98" s="643"/>
      <c r="AR98" s="643"/>
      <c r="AS98" s="643"/>
      <c r="AT98" s="643"/>
      <c r="AU98" s="643"/>
      <c r="AV98" s="643"/>
      <c r="AW98" s="643"/>
      <c r="AX98" s="643"/>
      <c r="AY98" s="643"/>
      <c r="AZ98" s="643"/>
      <c r="BA98" s="643"/>
      <c r="BB98" s="643"/>
      <c r="BC98" s="643"/>
      <c r="BD98" s="644"/>
      <c r="CP98" s="3"/>
    </row>
    <row r="99" spans="1:94" ht="15" customHeight="1" x14ac:dyDescent="0.15">
      <c r="A99" s="1"/>
      <c r="D99" s="599" t="s">
        <v>632</v>
      </c>
      <c r="E99" s="600"/>
      <c r="F99" s="600"/>
      <c r="G99" s="600"/>
      <c r="H99" s="600"/>
      <c r="I99" s="600"/>
      <c r="J99" s="600"/>
      <c r="K99" s="600"/>
      <c r="L99" s="600"/>
      <c r="M99" s="600"/>
      <c r="N99" s="600"/>
      <c r="O99" s="600"/>
      <c r="P99" s="600"/>
      <c r="Q99" s="600"/>
      <c r="R99" s="600"/>
      <c r="S99" s="600"/>
      <c r="T99" s="600"/>
      <c r="U99" s="600"/>
      <c r="V99" s="600"/>
      <c r="W99" s="600"/>
      <c r="X99" s="600"/>
      <c r="Y99" s="600"/>
      <c r="Z99" s="600"/>
      <c r="AA99" s="600"/>
      <c r="AB99" s="600"/>
      <c r="AC99" s="600"/>
      <c r="AD99" s="600"/>
      <c r="AE99" s="600"/>
      <c r="AF99" s="600"/>
      <c r="AG99" s="600"/>
      <c r="AH99" s="600"/>
      <c r="AI99" s="600"/>
      <c r="AJ99" s="600"/>
      <c r="AK99" s="600"/>
      <c r="AL99" s="600"/>
      <c r="AM99" s="600"/>
      <c r="AN99" s="601"/>
      <c r="AO99" s="599" t="s">
        <v>822</v>
      </c>
      <c r="AP99" s="600"/>
      <c r="AQ99" s="600"/>
      <c r="AR99" s="600"/>
      <c r="AS99" s="600"/>
      <c r="AT99" s="600"/>
      <c r="AU99" s="600"/>
      <c r="AV99" s="600"/>
      <c r="AW99" s="600"/>
      <c r="AX99" s="600"/>
      <c r="AY99" s="600"/>
      <c r="AZ99" s="600"/>
      <c r="BA99" s="600"/>
      <c r="BB99" s="600"/>
      <c r="BC99" s="600"/>
      <c r="BD99" s="601"/>
      <c r="CP99" s="3"/>
    </row>
    <row r="100" spans="1:94" ht="15" customHeight="1" x14ac:dyDescent="0.15">
      <c r="A100" s="1"/>
      <c r="D100" s="486" t="s">
        <v>635</v>
      </c>
      <c r="E100" s="487"/>
      <c r="F100" s="487"/>
      <c r="G100" s="487"/>
      <c r="H100" s="487"/>
      <c r="I100" s="487"/>
      <c r="J100" s="487"/>
      <c r="K100" s="487"/>
      <c r="L100" s="487"/>
      <c r="M100" s="487"/>
      <c r="N100" s="487"/>
      <c r="O100" s="487"/>
      <c r="P100" s="487"/>
      <c r="Q100" s="487"/>
      <c r="R100" s="487"/>
      <c r="S100" s="487"/>
      <c r="T100" s="487"/>
      <c r="U100" s="487"/>
      <c r="V100" s="487"/>
      <c r="W100" s="487"/>
      <c r="X100" s="487"/>
      <c r="Y100" s="487"/>
      <c r="Z100" s="487"/>
      <c r="AA100" s="487"/>
      <c r="AB100" s="487"/>
      <c r="AC100" s="487"/>
      <c r="AD100" s="487"/>
      <c r="AE100" s="487"/>
      <c r="AF100" s="487"/>
      <c r="AG100" s="487"/>
      <c r="AH100" s="487"/>
      <c r="AI100" s="487"/>
      <c r="AJ100" s="487"/>
      <c r="AK100" s="487"/>
      <c r="AL100" s="487"/>
      <c r="AM100" s="487"/>
      <c r="AN100" s="488"/>
      <c r="AO100" s="486" t="s">
        <v>823</v>
      </c>
      <c r="AP100" s="487"/>
      <c r="AQ100" s="487"/>
      <c r="AR100" s="487"/>
      <c r="AS100" s="487"/>
      <c r="AT100" s="487"/>
      <c r="AU100" s="487"/>
      <c r="AV100" s="487"/>
      <c r="AW100" s="487"/>
      <c r="AX100" s="487"/>
      <c r="AY100" s="487"/>
      <c r="AZ100" s="487"/>
      <c r="BA100" s="487"/>
      <c r="BB100" s="487"/>
      <c r="BC100" s="487"/>
      <c r="BD100" s="488"/>
      <c r="CP100" s="3"/>
    </row>
    <row r="101" spans="1:94" ht="15" customHeight="1" x14ac:dyDescent="0.15">
      <c r="A101" s="1"/>
      <c r="D101" s="639" t="s">
        <v>1053</v>
      </c>
      <c r="E101" s="640"/>
      <c r="F101" s="640"/>
      <c r="G101" s="640"/>
      <c r="H101" s="640"/>
      <c r="I101" s="640"/>
      <c r="J101" s="640"/>
      <c r="K101" s="640"/>
      <c r="L101" s="640"/>
      <c r="M101" s="640"/>
      <c r="N101" s="640"/>
      <c r="O101" s="640"/>
      <c r="P101" s="640"/>
      <c r="Q101" s="640"/>
      <c r="R101" s="640"/>
      <c r="S101" s="640"/>
      <c r="T101" s="640"/>
      <c r="U101" s="640"/>
      <c r="V101" s="640"/>
      <c r="W101" s="640"/>
      <c r="X101" s="640"/>
      <c r="Y101" s="640"/>
      <c r="Z101" s="640"/>
      <c r="AA101" s="640"/>
      <c r="AB101" s="640"/>
      <c r="AC101" s="640"/>
      <c r="AD101" s="640"/>
      <c r="AE101" s="640"/>
      <c r="AF101" s="640"/>
      <c r="AG101" s="640"/>
      <c r="AH101" s="640"/>
      <c r="AI101" s="640"/>
      <c r="AJ101" s="640"/>
      <c r="AK101" s="640"/>
      <c r="AL101" s="640"/>
      <c r="AM101" s="640"/>
      <c r="AN101" s="641"/>
      <c r="AO101" s="588" t="s">
        <v>126</v>
      </c>
      <c r="AP101" s="589"/>
      <c r="AQ101" s="589"/>
      <c r="AR101" s="589"/>
      <c r="AS101" s="589"/>
      <c r="AT101" s="589"/>
      <c r="AU101" s="589"/>
      <c r="AV101" s="589"/>
      <c r="AW101" s="589"/>
      <c r="AX101" s="589"/>
      <c r="AY101" s="589"/>
      <c r="AZ101" s="589"/>
      <c r="BA101" s="589"/>
      <c r="BB101" s="589"/>
      <c r="BC101" s="589"/>
      <c r="BD101" s="590"/>
      <c r="CP101" s="3"/>
    </row>
    <row r="102" spans="1:94" ht="15" customHeight="1" x14ac:dyDescent="0.15">
      <c r="A102" s="1"/>
      <c r="D102" s="502" t="s">
        <v>1054</v>
      </c>
      <c r="E102" s="503"/>
      <c r="F102" s="503"/>
      <c r="G102" s="503"/>
      <c r="H102" s="503"/>
      <c r="I102" s="503"/>
      <c r="J102" s="503"/>
      <c r="K102" s="503"/>
      <c r="L102" s="503"/>
      <c r="M102" s="503"/>
      <c r="N102" s="503"/>
      <c r="O102" s="503"/>
      <c r="P102" s="503"/>
      <c r="Q102" s="503"/>
      <c r="R102" s="503"/>
      <c r="S102" s="503"/>
      <c r="T102" s="503"/>
      <c r="U102" s="503"/>
      <c r="V102" s="503"/>
      <c r="W102" s="503"/>
      <c r="X102" s="503"/>
      <c r="Y102" s="503"/>
      <c r="Z102" s="503"/>
      <c r="AA102" s="503"/>
      <c r="AB102" s="503"/>
      <c r="AC102" s="503"/>
      <c r="AD102" s="503"/>
      <c r="AE102" s="503"/>
      <c r="AF102" s="503"/>
      <c r="AG102" s="503"/>
      <c r="AH102" s="503"/>
      <c r="AI102" s="503"/>
      <c r="AJ102" s="503"/>
      <c r="AK102" s="503"/>
      <c r="AL102" s="503"/>
      <c r="AM102" s="503"/>
      <c r="AN102" s="504"/>
      <c r="AO102" s="599" t="s">
        <v>1187</v>
      </c>
      <c r="AP102" s="600"/>
      <c r="AQ102" s="600"/>
      <c r="AR102" s="600"/>
      <c r="AS102" s="600"/>
      <c r="AT102" s="600"/>
      <c r="AU102" s="600"/>
      <c r="AV102" s="600"/>
      <c r="AW102" s="600"/>
      <c r="AX102" s="600"/>
      <c r="AY102" s="600"/>
      <c r="AZ102" s="600"/>
      <c r="BA102" s="600"/>
      <c r="BB102" s="600"/>
      <c r="BC102" s="600"/>
      <c r="BD102" s="601"/>
      <c r="CP102" s="3"/>
    </row>
    <row r="103" spans="1:94" ht="15" customHeight="1" x14ac:dyDescent="0.15">
      <c r="A103" s="1"/>
      <c r="D103" s="502" t="s">
        <v>1055</v>
      </c>
      <c r="E103" s="503"/>
      <c r="F103" s="503"/>
      <c r="G103" s="503"/>
      <c r="H103" s="503"/>
      <c r="I103" s="503"/>
      <c r="J103" s="503"/>
      <c r="K103" s="503"/>
      <c r="L103" s="503"/>
      <c r="M103" s="503"/>
      <c r="N103" s="503"/>
      <c r="O103" s="503"/>
      <c r="P103" s="503"/>
      <c r="Q103" s="503"/>
      <c r="R103" s="503"/>
      <c r="S103" s="503"/>
      <c r="T103" s="503"/>
      <c r="U103" s="503"/>
      <c r="V103" s="503"/>
      <c r="W103" s="503"/>
      <c r="X103" s="503"/>
      <c r="Y103" s="503"/>
      <c r="Z103" s="503"/>
      <c r="AA103" s="503"/>
      <c r="AB103" s="503"/>
      <c r="AC103" s="503"/>
      <c r="AD103" s="503"/>
      <c r="AE103" s="503"/>
      <c r="AF103" s="503"/>
      <c r="AG103" s="503"/>
      <c r="AH103" s="503"/>
      <c r="AI103" s="503"/>
      <c r="AJ103" s="503"/>
      <c r="AK103" s="503"/>
      <c r="AL103" s="503"/>
      <c r="AM103" s="503"/>
      <c r="AN103" s="504"/>
      <c r="AO103" s="599" t="s">
        <v>1193</v>
      </c>
      <c r="AP103" s="600"/>
      <c r="AQ103" s="600"/>
      <c r="AR103" s="600"/>
      <c r="AS103" s="600"/>
      <c r="AT103" s="600"/>
      <c r="AU103" s="600"/>
      <c r="AV103" s="600"/>
      <c r="AW103" s="600"/>
      <c r="AX103" s="600"/>
      <c r="AY103" s="600"/>
      <c r="AZ103" s="600"/>
      <c r="BA103" s="600"/>
      <c r="BB103" s="600"/>
      <c r="BC103" s="600"/>
      <c r="BD103" s="601"/>
      <c r="CP103" s="3"/>
    </row>
    <row r="104" spans="1:94" ht="15" customHeight="1" x14ac:dyDescent="0.15">
      <c r="A104" s="1"/>
      <c r="D104" s="502" t="s">
        <v>1192</v>
      </c>
      <c r="E104" s="503"/>
      <c r="F104" s="503"/>
      <c r="G104" s="503"/>
      <c r="H104" s="503"/>
      <c r="I104" s="503"/>
      <c r="J104" s="503"/>
      <c r="K104" s="503"/>
      <c r="L104" s="503"/>
      <c r="M104" s="503"/>
      <c r="N104" s="503"/>
      <c r="O104" s="503"/>
      <c r="P104" s="503"/>
      <c r="Q104" s="503"/>
      <c r="R104" s="503"/>
      <c r="S104" s="503"/>
      <c r="T104" s="503"/>
      <c r="U104" s="503"/>
      <c r="V104" s="503"/>
      <c r="W104" s="503"/>
      <c r="X104" s="503"/>
      <c r="Y104" s="503"/>
      <c r="Z104" s="503"/>
      <c r="AA104" s="503"/>
      <c r="AB104" s="503"/>
      <c r="AC104" s="503"/>
      <c r="AD104" s="503"/>
      <c r="AE104" s="503"/>
      <c r="AF104" s="503"/>
      <c r="AG104" s="503"/>
      <c r="AH104" s="503"/>
      <c r="AI104" s="503"/>
      <c r="AJ104" s="503"/>
      <c r="AK104" s="503"/>
      <c r="AL104" s="503"/>
      <c r="AM104" s="503"/>
      <c r="AN104" s="504"/>
      <c r="AO104" s="599" t="s">
        <v>1194</v>
      </c>
      <c r="AP104" s="600"/>
      <c r="AQ104" s="600"/>
      <c r="AR104" s="600"/>
      <c r="AS104" s="600"/>
      <c r="AT104" s="600"/>
      <c r="AU104" s="600"/>
      <c r="AV104" s="600"/>
      <c r="AW104" s="600"/>
      <c r="AX104" s="600"/>
      <c r="AY104" s="600"/>
      <c r="AZ104" s="600"/>
      <c r="BA104" s="600"/>
      <c r="BB104" s="600"/>
      <c r="BC104" s="600"/>
      <c r="BD104" s="601"/>
      <c r="CP104" s="3"/>
    </row>
    <row r="105" spans="1:94" ht="15" customHeight="1" x14ac:dyDescent="0.15">
      <c r="A105" s="1"/>
      <c r="D105" s="624" t="s">
        <v>1056</v>
      </c>
      <c r="E105" s="625"/>
      <c r="F105" s="625"/>
      <c r="G105" s="625"/>
      <c r="H105" s="625"/>
      <c r="I105" s="625"/>
      <c r="J105" s="625"/>
      <c r="K105" s="625"/>
      <c r="L105" s="625"/>
      <c r="M105" s="625"/>
      <c r="N105" s="625"/>
      <c r="O105" s="625"/>
      <c r="P105" s="625"/>
      <c r="Q105" s="625"/>
      <c r="R105" s="625"/>
      <c r="S105" s="625"/>
      <c r="T105" s="625"/>
      <c r="U105" s="625"/>
      <c r="V105" s="625"/>
      <c r="W105" s="625"/>
      <c r="X105" s="625"/>
      <c r="Y105" s="625"/>
      <c r="Z105" s="625"/>
      <c r="AA105" s="625"/>
      <c r="AB105" s="625"/>
      <c r="AC105" s="625"/>
      <c r="AD105" s="625"/>
      <c r="AE105" s="625"/>
      <c r="AF105" s="625"/>
      <c r="AG105" s="625"/>
      <c r="AH105" s="625"/>
      <c r="AI105" s="625"/>
      <c r="AJ105" s="625"/>
      <c r="AK105" s="625"/>
      <c r="AL105" s="625"/>
      <c r="AM105" s="625"/>
      <c r="AN105" s="626"/>
      <c r="AO105" s="486" t="s">
        <v>824</v>
      </c>
      <c r="AP105" s="487"/>
      <c r="AQ105" s="487"/>
      <c r="AR105" s="487"/>
      <c r="AS105" s="487"/>
      <c r="AT105" s="487"/>
      <c r="AU105" s="487"/>
      <c r="AV105" s="487"/>
      <c r="AW105" s="487"/>
      <c r="AX105" s="487"/>
      <c r="AY105" s="487"/>
      <c r="AZ105" s="487"/>
      <c r="BA105" s="487"/>
      <c r="BB105" s="487"/>
      <c r="BC105" s="487"/>
      <c r="BD105" s="488"/>
      <c r="CP105" s="3"/>
    </row>
    <row r="106" spans="1:94" ht="15" customHeight="1" x14ac:dyDescent="0.15">
      <c r="A106" s="1"/>
      <c r="D106" s="599" t="s">
        <v>1199</v>
      </c>
      <c r="E106" s="600"/>
      <c r="F106" s="600"/>
      <c r="G106" s="600"/>
      <c r="H106" s="600"/>
      <c r="I106" s="600"/>
      <c r="J106" s="600"/>
      <c r="K106" s="600"/>
      <c r="L106" s="600"/>
      <c r="M106" s="600"/>
      <c r="N106" s="600"/>
      <c r="O106" s="600"/>
      <c r="P106" s="600"/>
      <c r="Q106" s="600"/>
      <c r="R106" s="600"/>
      <c r="S106" s="600"/>
      <c r="T106" s="600"/>
      <c r="U106" s="600"/>
      <c r="V106" s="600"/>
      <c r="W106" s="600"/>
      <c r="X106" s="600"/>
      <c r="Y106" s="600"/>
      <c r="Z106" s="600"/>
      <c r="AA106" s="600"/>
      <c r="AB106" s="600"/>
      <c r="AC106" s="600"/>
      <c r="AD106" s="600"/>
      <c r="AE106" s="600"/>
      <c r="AF106" s="600"/>
      <c r="AG106" s="600"/>
      <c r="AH106" s="600"/>
      <c r="AI106" s="600"/>
      <c r="AJ106" s="600"/>
      <c r="AK106" s="600"/>
      <c r="AL106" s="600"/>
      <c r="AM106" s="600"/>
      <c r="AN106" s="601"/>
      <c r="AO106" s="615" t="s">
        <v>638</v>
      </c>
      <c r="AP106" s="615"/>
      <c r="AQ106" s="615"/>
      <c r="AR106" s="615"/>
      <c r="AS106" s="615"/>
      <c r="AT106" s="615"/>
      <c r="AU106" s="615"/>
      <c r="AV106" s="615"/>
      <c r="AW106" s="615"/>
      <c r="AX106" s="615"/>
      <c r="AY106" s="615"/>
      <c r="AZ106" s="615"/>
      <c r="BA106" s="615"/>
      <c r="BB106" s="615"/>
      <c r="BC106" s="615"/>
      <c r="BD106" s="615"/>
      <c r="CP106" s="3"/>
    </row>
    <row r="107" spans="1:94" ht="15" customHeight="1" x14ac:dyDescent="0.15">
      <c r="A107" s="1"/>
      <c r="D107" s="599" t="s">
        <v>1200</v>
      </c>
      <c r="E107" s="600"/>
      <c r="F107" s="600"/>
      <c r="G107" s="600"/>
      <c r="H107" s="600"/>
      <c r="I107" s="600"/>
      <c r="J107" s="600"/>
      <c r="K107" s="600"/>
      <c r="L107" s="600"/>
      <c r="M107" s="600"/>
      <c r="N107" s="600"/>
      <c r="O107" s="600"/>
      <c r="P107" s="600"/>
      <c r="Q107" s="600"/>
      <c r="R107" s="600"/>
      <c r="S107" s="600"/>
      <c r="T107" s="600"/>
      <c r="U107" s="600"/>
      <c r="V107" s="600"/>
      <c r="W107" s="600"/>
      <c r="X107" s="600"/>
      <c r="Y107" s="600"/>
      <c r="Z107" s="600"/>
      <c r="AA107" s="600"/>
      <c r="AB107" s="600"/>
      <c r="AC107" s="600"/>
      <c r="AD107" s="600"/>
      <c r="AE107" s="600"/>
      <c r="AF107" s="600"/>
      <c r="AG107" s="600"/>
      <c r="AH107" s="600"/>
      <c r="AI107" s="600"/>
      <c r="AJ107" s="600"/>
      <c r="AK107" s="600"/>
      <c r="AL107" s="600"/>
      <c r="AM107" s="600"/>
      <c r="AN107" s="601"/>
      <c r="AO107" s="614" t="s">
        <v>850</v>
      </c>
      <c r="AP107" s="614"/>
      <c r="AQ107" s="614"/>
      <c r="AR107" s="614"/>
      <c r="AS107" s="614"/>
      <c r="AT107" s="614"/>
      <c r="AU107" s="614"/>
      <c r="AV107" s="614"/>
      <c r="AW107" s="614"/>
      <c r="AX107" s="614"/>
      <c r="AY107" s="614"/>
      <c r="AZ107" s="614"/>
      <c r="BA107" s="614"/>
      <c r="BB107" s="614"/>
      <c r="BC107" s="614"/>
      <c r="BD107" s="614"/>
      <c r="CP107" s="3"/>
    </row>
    <row r="108" spans="1:94" ht="15" customHeight="1" x14ac:dyDescent="0.15">
      <c r="A108" s="1"/>
      <c r="D108" s="599" t="s">
        <v>1201</v>
      </c>
      <c r="E108" s="600"/>
      <c r="F108" s="600"/>
      <c r="G108" s="600"/>
      <c r="H108" s="600"/>
      <c r="I108" s="600"/>
      <c r="J108" s="600"/>
      <c r="K108" s="600"/>
      <c r="L108" s="600"/>
      <c r="M108" s="600"/>
      <c r="N108" s="600"/>
      <c r="O108" s="600"/>
      <c r="P108" s="600"/>
      <c r="Q108" s="600"/>
      <c r="R108" s="600"/>
      <c r="S108" s="600"/>
      <c r="T108" s="600"/>
      <c r="U108" s="600"/>
      <c r="V108" s="600"/>
      <c r="W108" s="600"/>
      <c r="X108" s="600"/>
      <c r="Y108" s="600"/>
      <c r="Z108" s="600"/>
      <c r="AA108" s="600"/>
      <c r="AB108" s="600"/>
      <c r="AC108" s="600"/>
      <c r="AD108" s="600"/>
      <c r="AE108" s="600"/>
      <c r="AF108" s="600"/>
      <c r="AG108" s="600"/>
      <c r="AH108" s="600"/>
      <c r="AI108" s="600"/>
      <c r="AJ108" s="600"/>
      <c r="AK108" s="600"/>
      <c r="AL108" s="600"/>
      <c r="AM108" s="600"/>
      <c r="AN108" s="601"/>
      <c r="AO108" s="614" t="s">
        <v>851</v>
      </c>
      <c r="AP108" s="614"/>
      <c r="AQ108" s="614"/>
      <c r="AR108" s="614"/>
      <c r="AS108" s="614"/>
      <c r="AT108" s="614"/>
      <c r="AU108" s="614"/>
      <c r="AV108" s="614"/>
      <c r="AW108" s="614"/>
      <c r="AX108" s="614"/>
      <c r="AY108" s="614"/>
      <c r="AZ108" s="614"/>
      <c r="BA108" s="614"/>
      <c r="BB108" s="614"/>
      <c r="BC108" s="614"/>
      <c r="BD108" s="614"/>
      <c r="CP108" s="3"/>
    </row>
    <row r="109" spans="1:94" ht="15" customHeight="1" x14ac:dyDescent="0.15">
      <c r="A109" s="1"/>
      <c r="D109" s="599" t="s">
        <v>852</v>
      </c>
      <c r="E109" s="600"/>
      <c r="F109" s="600"/>
      <c r="G109" s="600"/>
      <c r="H109" s="600"/>
      <c r="I109" s="600"/>
      <c r="J109" s="600"/>
      <c r="K109" s="600"/>
      <c r="L109" s="600"/>
      <c r="M109" s="600"/>
      <c r="N109" s="600"/>
      <c r="O109" s="600"/>
      <c r="P109" s="600"/>
      <c r="Q109" s="600"/>
      <c r="R109" s="600"/>
      <c r="S109" s="600"/>
      <c r="T109" s="600"/>
      <c r="U109" s="600"/>
      <c r="V109" s="600"/>
      <c r="W109" s="600"/>
      <c r="X109" s="600"/>
      <c r="Y109" s="600"/>
      <c r="Z109" s="600"/>
      <c r="AA109" s="600"/>
      <c r="AB109" s="600"/>
      <c r="AC109" s="600"/>
      <c r="AD109" s="600"/>
      <c r="AE109" s="600"/>
      <c r="AF109" s="600"/>
      <c r="AG109" s="600"/>
      <c r="AH109" s="600"/>
      <c r="AI109" s="600"/>
      <c r="AJ109" s="600"/>
      <c r="AK109" s="600"/>
      <c r="AL109" s="600"/>
      <c r="AM109" s="600"/>
      <c r="AN109" s="601"/>
      <c r="AO109" s="614" t="s">
        <v>153</v>
      </c>
      <c r="AP109" s="614"/>
      <c r="AQ109" s="614"/>
      <c r="AR109" s="614"/>
      <c r="AS109" s="614"/>
      <c r="AT109" s="614"/>
      <c r="AU109" s="614"/>
      <c r="AV109" s="614"/>
      <c r="AW109" s="614"/>
      <c r="AX109" s="614"/>
      <c r="AY109" s="614"/>
      <c r="AZ109" s="614"/>
      <c r="BA109" s="614"/>
      <c r="BB109" s="614"/>
      <c r="BC109" s="614"/>
      <c r="BD109" s="614"/>
      <c r="CP109" s="3"/>
    </row>
    <row r="110" spans="1:94" ht="15" customHeight="1" x14ac:dyDescent="0.15">
      <c r="A110" s="1"/>
      <c r="D110" s="599" t="s">
        <v>853</v>
      </c>
      <c r="E110" s="600"/>
      <c r="F110" s="600"/>
      <c r="G110" s="600"/>
      <c r="H110" s="600"/>
      <c r="I110" s="600"/>
      <c r="J110" s="600"/>
      <c r="K110" s="600"/>
      <c r="L110" s="600"/>
      <c r="M110" s="600"/>
      <c r="N110" s="600"/>
      <c r="O110" s="600"/>
      <c r="P110" s="600"/>
      <c r="Q110" s="600"/>
      <c r="R110" s="600"/>
      <c r="S110" s="600"/>
      <c r="T110" s="600"/>
      <c r="U110" s="600"/>
      <c r="V110" s="600"/>
      <c r="W110" s="600"/>
      <c r="X110" s="600"/>
      <c r="Y110" s="600"/>
      <c r="Z110" s="600"/>
      <c r="AA110" s="600"/>
      <c r="AB110" s="600"/>
      <c r="AC110" s="600"/>
      <c r="AD110" s="600"/>
      <c r="AE110" s="600"/>
      <c r="AF110" s="600"/>
      <c r="AG110" s="600"/>
      <c r="AH110" s="600"/>
      <c r="AI110" s="600"/>
      <c r="AJ110" s="600"/>
      <c r="AK110" s="600"/>
      <c r="AL110" s="600"/>
      <c r="AM110" s="600"/>
      <c r="AN110" s="601"/>
      <c r="AO110" s="489" t="s">
        <v>639</v>
      </c>
      <c r="AP110" s="489"/>
      <c r="AQ110" s="489"/>
      <c r="AR110" s="489"/>
      <c r="AS110" s="489"/>
      <c r="AT110" s="489"/>
      <c r="AU110" s="489"/>
      <c r="AV110" s="489"/>
      <c r="AW110" s="489"/>
      <c r="AX110" s="489"/>
      <c r="AY110" s="489"/>
      <c r="AZ110" s="489"/>
      <c r="BA110" s="489"/>
      <c r="BB110" s="489"/>
      <c r="BC110" s="489"/>
      <c r="BD110" s="489"/>
      <c r="CP110" s="3"/>
    </row>
    <row r="111" spans="1:94" ht="15" customHeight="1" x14ac:dyDescent="0.15">
      <c r="A111" s="1"/>
      <c r="D111" s="661" t="s">
        <v>854</v>
      </c>
      <c r="E111" s="662"/>
      <c r="F111" s="662"/>
      <c r="G111" s="662"/>
      <c r="H111" s="662"/>
      <c r="I111" s="662"/>
      <c r="J111" s="662"/>
      <c r="K111" s="662"/>
      <c r="L111" s="662"/>
      <c r="M111" s="662"/>
      <c r="N111" s="662"/>
      <c r="O111" s="662"/>
      <c r="P111" s="662"/>
      <c r="Q111" s="662"/>
      <c r="R111" s="662"/>
      <c r="S111" s="662"/>
      <c r="T111" s="662"/>
      <c r="U111" s="662"/>
      <c r="V111" s="662"/>
      <c r="W111" s="662"/>
      <c r="X111" s="662"/>
      <c r="Y111" s="662"/>
      <c r="Z111" s="662"/>
      <c r="AA111" s="662"/>
      <c r="AB111" s="662"/>
      <c r="AC111" s="662"/>
      <c r="AD111" s="662"/>
      <c r="AE111" s="662"/>
      <c r="AF111" s="662"/>
      <c r="AG111" s="662"/>
      <c r="AH111" s="662"/>
      <c r="AI111" s="662"/>
      <c r="AJ111" s="662"/>
      <c r="AK111" s="662"/>
      <c r="AL111" s="662"/>
      <c r="AM111" s="662"/>
      <c r="AN111" s="663"/>
      <c r="AO111" s="613" t="s">
        <v>855</v>
      </c>
      <c r="AP111" s="613"/>
      <c r="AQ111" s="613"/>
      <c r="AR111" s="613"/>
      <c r="AS111" s="613"/>
      <c r="AT111" s="613"/>
      <c r="AU111" s="613"/>
      <c r="AV111" s="613"/>
      <c r="AW111" s="613"/>
      <c r="AX111" s="613"/>
      <c r="AY111" s="613"/>
      <c r="AZ111" s="613"/>
      <c r="BA111" s="613"/>
      <c r="BB111" s="613"/>
      <c r="BC111" s="613"/>
      <c r="BD111" s="613"/>
      <c r="CP111" s="3"/>
    </row>
    <row r="112" spans="1:94" ht="15" customHeight="1" x14ac:dyDescent="0.15">
      <c r="A112" s="1"/>
      <c r="D112" s="651" t="s">
        <v>827</v>
      </c>
      <c r="E112" s="652"/>
      <c r="F112" s="652"/>
      <c r="G112" s="652"/>
      <c r="H112" s="652"/>
      <c r="I112" s="652"/>
      <c r="J112" s="652"/>
      <c r="K112" s="652"/>
      <c r="L112" s="652"/>
      <c r="M112" s="652"/>
      <c r="N112" s="652"/>
      <c r="O112" s="652"/>
      <c r="P112" s="652"/>
      <c r="Q112" s="652"/>
      <c r="R112" s="652"/>
      <c r="S112" s="652"/>
      <c r="T112" s="652"/>
      <c r="U112" s="652"/>
      <c r="V112" s="652"/>
      <c r="W112" s="652"/>
      <c r="X112" s="652"/>
      <c r="Y112" s="652"/>
      <c r="Z112" s="652"/>
      <c r="AA112" s="652"/>
      <c r="AB112" s="652"/>
      <c r="AC112" s="652"/>
      <c r="AD112" s="652"/>
      <c r="AE112" s="652"/>
      <c r="AF112" s="652"/>
      <c r="AG112" s="652"/>
      <c r="AH112" s="652"/>
      <c r="AI112" s="652"/>
      <c r="AJ112" s="652"/>
      <c r="AK112" s="652"/>
      <c r="AL112" s="652"/>
      <c r="AM112" s="652"/>
      <c r="AN112" s="653"/>
      <c r="AO112" s="613" t="s">
        <v>131</v>
      </c>
      <c r="AP112" s="613"/>
      <c r="AQ112" s="613"/>
      <c r="AR112" s="613"/>
      <c r="AS112" s="613"/>
      <c r="AT112" s="613"/>
      <c r="AU112" s="613"/>
      <c r="AV112" s="613"/>
      <c r="AW112" s="613"/>
      <c r="AX112" s="613"/>
      <c r="AY112" s="613"/>
      <c r="AZ112" s="613"/>
      <c r="BA112" s="613"/>
      <c r="BB112" s="613"/>
      <c r="BC112" s="613"/>
      <c r="BD112" s="613"/>
      <c r="CP112" s="3"/>
    </row>
    <row r="113" spans="1:94" ht="15" customHeight="1" x14ac:dyDescent="0.15">
      <c r="A113" s="1"/>
      <c r="D113" s="2" t="s">
        <v>1063</v>
      </c>
      <c r="CP113" s="3"/>
    </row>
    <row r="114" spans="1:94" ht="15" customHeight="1" x14ac:dyDescent="0.15">
      <c r="A114" s="1"/>
      <c r="D114" s="596" t="s">
        <v>67</v>
      </c>
      <c r="E114" s="597"/>
      <c r="F114" s="597"/>
      <c r="G114" s="597"/>
      <c r="H114" s="597"/>
      <c r="I114" s="597"/>
      <c r="J114" s="597"/>
      <c r="K114" s="597"/>
      <c r="L114" s="597"/>
      <c r="M114" s="597"/>
      <c r="N114" s="597"/>
      <c r="O114" s="597"/>
      <c r="P114" s="597"/>
      <c r="Q114" s="597"/>
      <c r="R114" s="597"/>
      <c r="S114" s="597"/>
      <c r="T114" s="597"/>
      <c r="U114" s="597"/>
      <c r="V114" s="597"/>
      <c r="W114" s="597"/>
      <c r="X114" s="597"/>
      <c r="Y114" s="597"/>
      <c r="Z114" s="597"/>
      <c r="AA114" s="597"/>
      <c r="AB114" s="597"/>
      <c r="AC114" s="597"/>
      <c r="AD114" s="597"/>
      <c r="AE114" s="597"/>
      <c r="AF114" s="597"/>
      <c r="AG114" s="597"/>
      <c r="AH114" s="597"/>
      <c r="AI114" s="597"/>
      <c r="AJ114" s="597"/>
      <c r="AK114" s="597"/>
      <c r="AL114" s="597"/>
      <c r="AM114" s="597"/>
      <c r="AN114" s="598"/>
      <c r="AO114" s="596" t="s">
        <v>41</v>
      </c>
      <c r="AP114" s="597"/>
      <c r="AQ114" s="597"/>
      <c r="AR114" s="597"/>
      <c r="AS114" s="597"/>
      <c r="AT114" s="597"/>
      <c r="AU114" s="597"/>
      <c r="AV114" s="597"/>
      <c r="AW114" s="597"/>
      <c r="AX114" s="597"/>
      <c r="AY114" s="597"/>
      <c r="AZ114" s="597"/>
      <c r="BA114" s="597"/>
      <c r="BB114" s="597"/>
      <c r="BC114" s="597"/>
      <c r="BD114" s="598"/>
      <c r="CP114" s="3"/>
    </row>
    <row r="115" spans="1:94" ht="15" customHeight="1" x14ac:dyDescent="0.15">
      <c r="A115" s="1"/>
      <c r="D115" s="664" t="s">
        <v>633</v>
      </c>
      <c r="E115" s="665"/>
      <c r="F115" s="665"/>
      <c r="G115" s="665"/>
      <c r="H115" s="665"/>
      <c r="I115" s="665"/>
      <c r="J115" s="665"/>
      <c r="K115" s="665"/>
      <c r="L115" s="665"/>
      <c r="M115" s="665"/>
      <c r="N115" s="665"/>
      <c r="O115" s="665"/>
      <c r="P115" s="665"/>
      <c r="Q115" s="665"/>
      <c r="R115" s="665"/>
      <c r="S115" s="665"/>
      <c r="T115" s="665"/>
      <c r="U115" s="665"/>
      <c r="V115" s="665"/>
      <c r="W115" s="665"/>
      <c r="X115" s="665"/>
      <c r="Y115" s="665"/>
      <c r="Z115" s="665"/>
      <c r="AA115" s="665"/>
      <c r="AB115" s="665"/>
      <c r="AC115" s="665"/>
      <c r="AD115" s="665"/>
      <c r="AE115" s="665"/>
      <c r="AF115" s="665"/>
      <c r="AG115" s="665"/>
      <c r="AH115" s="665"/>
      <c r="AI115" s="665"/>
      <c r="AJ115" s="665"/>
      <c r="AK115" s="665"/>
      <c r="AL115" s="665"/>
      <c r="AM115" s="665"/>
      <c r="AN115" s="666"/>
      <c r="AO115" s="633" t="s">
        <v>1061</v>
      </c>
      <c r="AP115" s="634"/>
      <c r="AQ115" s="634"/>
      <c r="AR115" s="634"/>
      <c r="AS115" s="634"/>
      <c r="AT115" s="634"/>
      <c r="AU115" s="634"/>
      <c r="AV115" s="634"/>
      <c r="AW115" s="634"/>
      <c r="AX115" s="634"/>
      <c r="AY115" s="634"/>
      <c r="AZ115" s="634"/>
      <c r="BA115" s="634"/>
      <c r="BB115" s="634"/>
      <c r="BC115" s="634"/>
      <c r="BD115" s="635"/>
      <c r="CP115" s="3"/>
    </row>
    <row r="116" spans="1:94" ht="15" customHeight="1" x14ac:dyDescent="0.15">
      <c r="A116" s="1"/>
      <c r="D116" s="648" t="s">
        <v>634</v>
      </c>
      <c r="E116" s="649"/>
      <c r="F116" s="649"/>
      <c r="G116" s="649"/>
      <c r="H116" s="649"/>
      <c r="I116" s="649"/>
      <c r="J116" s="649"/>
      <c r="K116" s="649"/>
      <c r="L116" s="649"/>
      <c r="M116" s="649"/>
      <c r="N116" s="649"/>
      <c r="O116" s="649"/>
      <c r="P116" s="649"/>
      <c r="Q116" s="649"/>
      <c r="R116" s="649"/>
      <c r="S116" s="649"/>
      <c r="T116" s="649"/>
      <c r="U116" s="649"/>
      <c r="V116" s="649"/>
      <c r="W116" s="649"/>
      <c r="X116" s="649"/>
      <c r="Y116" s="649"/>
      <c r="Z116" s="649"/>
      <c r="AA116" s="649"/>
      <c r="AB116" s="649"/>
      <c r="AC116" s="649"/>
      <c r="AD116" s="649"/>
      <c r="AE116" s="649"/>
      <c r="AF116" s="649"/>
      <c r="AG116" s="649"/>
      <c r="AH116" s="649"/>
      <c r="AI116" s="649"/>
      <c r="AJ116" s="649"/>
      <c r="AK116" s="649"/>
      <c r="AL116" s="649"/>
      <c r="AM116" s="649"/>
      <c r="AN116" s="650"/>
      <c r="AO116" s="636"/>
      <c r="AP116" s="637"/>
      <c r="AQ116" s="637"/>
      <c r="AR116" s="637"/>
      <c r="AS116" s="637"/>
      <c r="AT116" s="637"/>
      <c r="AU116" s="637"/>
      <c r="AV116" s="637"/>
      <c r="AW116" s="637"/>
      <c r="AX116" s="637"/>
      <c r="AY116" s="637"/>
      <c r="AZ116" s="637"/>
      <c r="BA116" s="637"/>
      <c r="BB116" s="637"/>
      <c r="BC116" s="637"/>
      <c r="BD116" s="638"/>
      <c r="CP116" s="3"/>
    </row>
    <row r="117" spans="1:94" ht="15" customHeight="1" x14ac:dyDescent="0.15">
      <c r="A117" s="1"/>
      <c r="D117" s="645" t="s">
        <v>1059</v>
      </c>
      <c r="E117" s="646"/>
      <c r="F117" s="646"/>
      <c r="G117" s="646"/>
      <c r="H117" s="646"/>
      <c r="I117" s="646"/>
      <c r="J117" s="646"/>
      <c r="K117" s="646"/>
      <c r="L117" s="646"/>
      <c r="M117" s="646"/>
      <c r="N117" s="646"/>
      <c r="O117" s="646"/>
      <c r="P117" s="646"/>
      <c r="Q117" s="646"/>
      <c r="R117" s="646"/>
      <c r="S117" s="646"/>
      <c r="T117" s="646"/>
      <c r="U117" s="646"/>
      <c r="V117" s="646"/>
      <c r="W117" s="646"/>
      <c r="X117" s="646"/>
      <c r="Y117" s="646"/>
      <c r="Z117" s="646"/>
      <c r="AA117" s="646"/>
      <c r="AB117" s="646"/>
      <c r="AC117" s="646"/>
      <c r="AD117" s="646"/>
      <c r="AE117" s="646"/>
      <c r="AF117" s="646"/>
      <c r="AG117" s="646"/>
      <c r="AH117" s="646"/>
      <c r="AI117" s="646"/>
      <c r="AJ117" s="646"/>
      <c r="AK117" s="646"/>
      <c r="AL117" s="646"/>
      <c r="AM117" s="646"/>
      <c r="AN117" s="647"/>
      <c r="AO117" s="633" t="s">
        <v>986</v>
      </c>
      <c r="AP117" s="634"/>
      <c r="AQ117" s="634"/>
      <c r="AR117" s="634"/>
      <c r="AS117" s="634"/>
      <c r="AT117" s="634"/>
      <c r="AU117" s="634"/>
      <c r="AV117" s="634"/>
      <c r="AW117" s="634"/>
      <c r="AX117" s="634"/>
      <c r="AY117" s="634"/>
      <c r="AZ117" s="634"/>
      <c r="BA117" s="634"/>
      <c r="BB117" s="634"/>
      <c r="BC117" s="634"/>
      <c r="BD117" s="635"/>
      <c r="CP117" s="3"/>
    </row>
    <row r="118" spans="1:94" ht="15" customHeight="1" x14ac:dyDescent="0.15">
      <c r="A118" s="1"/>
      <c r="D118" s="648" t="s">
        <v>1060</v>
      </c>
      <c r="E118" s="649"/>
      <c r="F118" s="649"/>
      <c r="G118" s="649"/>
      <c r="H118" s="649"/>
      <c r="I118" s="649"/>
      <c r="J118" s="649"/>
      <c r="K118" s="649"/>
      <c r="L118" s="649"/>
      <c r="M118" s="649"/>
      <c r="N118" s="649"/>
      <c r="O118" s="649"/>
      <c r="P118" s="649"/>
      <c r="Q118" s="649"/>
      <c r="R118" s="649"/>
      <c r="S118" s="649"/>
      <c r="T118" s="649"/>
      <c r="U118" s="649"/>
      <c r="V118" s="649"/>
      <c r="W118" s="649"/>
      <c r="X118" s="649"/>
      <c r="Y118" s="649"/>
      <c r="Z118" s="649"/>
      <c r="AA118" s="649"/>
      <c r="AB118" s="649"/>
      <c r="AC118" s="649"/>
      <c r="AD118" s="649"/>
      <c r="AE118" s="649"/>
      <c r="AF118" s="649"/>
      <c r="AG118" s="649"/>
      <c r="AH118" s="649"/>
      <c r="AI118" s="649"/>
      <c r="AJ118" s="649"/>
      <c r="AK118" s="649"/>
      <c r="AL118" s="649"/>
      <c r="AM118" s="649"/>
      <c r="AN118" s="650"/>
      <c r="AO118" s="636"/>
      <c r="AP118" s="637"/>
      <c r="AQ118" s="637"/>
      <c r="AR118" s="637"/>
      <c r="AS118" s="637"/>
      <c r="AT118" s="637"/>
      <c r="AU118" s="637"/>
      <c r="AV118" s="637"/>
      <c r="AW118" s="637"/>
      <c r="AX118" s="637"/>
      <c r="AY118" s="637"/>
      <c r="AZ118" s="637"/>
      <c r="BA118" s="637"/>
      <c r="BB118" s="637"/>
      <c r="BC118" s="637"/>
      <c r="BD118" s="638"/>
      <c r="CP118" s="3"/>
    </row>
    <row r="119" spans="1:94" ht="15" customHeight="1" x14ac:dyDescent="0.15">
      <c r="A119" s="1"/>
      <c r="D119" s="620" t="s">
        <v>636</v>
      </c>
      <c r="E119" s="621"/>
      <c r="F119" s="621"/>
      <c r="G119" s="621"/>
      <c r="H119" s="621"/>
      <c r="I119" s="621"/>
      <c r="J119" s="621"/>
      <c r="K119" s="621"/>
      <c r="L119" s="621"/>
      <c r="M119" s="621"/>
      <c r="N119" s="621"/>
      <c r="O119" s="621"/>
      <c r="P119" s="621"/>
      <c r="Q119" s="621"/>
      <c r="R119" s="621"/>
      <c r="S119" s="621"/>
      <c r="T119" s="621"/>
      <c r="U119" s="621"/>
      <c r="V119" s="621"/>
      <c r="W119" s="621"/>
      <c r="X119" s="621"/>
      <c r="Y119" s="621"/>
      <c r="Z119" s="621"/>
      <c r="AA119" s="621"/>
      <c r="AB119" s="621"/>
      <c r="AC119" s="621"/>
      <c r="AD119" s="621"/>
      <c r="AE119" s="621"/>
      <c r="AF119" s="621"/>
      <c r="AG119" s="621"/>
      <c r="AH119" s="621"/>
      <c r="AI119" s="621"/>
      <c r="AJ119" s="621"/>
      <c r="AK119" s="621"/>
      <c r="AL119" s="621"/>
      <c r="AM119" s="621"/>
      <c r="AN119" s="622"/>
      <c r="AO119" s="486" t="s">
        <v>627</v>
      </c>
      <c r="AP119" s="487"/>
      <c r="AQ119" s="487"/>
      <c r="AR119" s="487"/>
      <c r="AS119" s="487"/>
      <c r="AT119" s="487"/>
      <c r="AU119" s="487"/>
      <c r="AV119" s="487"/>
      <c r="AW119" s="487"/>
      <c r="AX119" s="487"/>
      <c r="AY119" s="487"/>
      <c r="AZ119" s="487"/>
      <c r="BA119" s="487"/>
      <c r="BB119" s="487"/>
      <c r="BC119" s="487"/>
      <c r="BD119" s="488"/>
      <c r="CP119" s="3"/>
    </row>
    <row r="120" spans="1:94" ht="15" customHeight="1" x14ac:dyDescent="0.15">
      <c r="A120" s="1"/>
      <c r="D120" s="2" t="s">
        <v>1062</v>
      </c>
      <c r="CP120" s="3"/>
    </row>
    <row r="121" spans="1:94" ht="15" customHeight="1" x14ac:dyDescent="0.15">
      <c r="A121" s="1"/>
      <c r="D121" s="596" t="s">
        <v>67</v>
      </c>
      <c r="E121" s="597"/>
      <c r="F121" s="597"/>
      <c r="G121" s="597"/>
      <c r="H121" s="597"/>
      <c r="I121" s="597"/>
      <c r="J121" s="597"/>
      <c r="K121" s="597"/>
      <c r="L121" s="597"/>
      <c r="M121" s="597"/>
      <c r="N121" s="597"/>
      <c r="O121" s="597"/>
      <c r="P121" s="597"/>
      <c r="Q121" s="597"/>
      <c r="R121" s="597"/>
      <c r="S121" s="597"/>
      <c r="T121" s="597"/>
      <c r="U121" s="597"/>
      <c r="V121" s="597"/>
      <c r="W121" s="597"/>
      <c r="X121" s="597"/>
      <c r="Y121" s="597"/>
      <c r="Z121" s="597"/>
      <c r="AA121" s="597"/>
      <c r="AB121" s="597"/>
      <c r="AC121" s="597"/>
      <c r="AD121" s="597"/>
      <c r="AE121" s="597"/>
      <c r="AF121" s="597"/>
      <c r="AG121" s="597"/>
      <c r="AH121" s="597"/>
      <c r="AI121" s="597"/>
      <c r="AJ121" s="597"/>
      <c r="AK121" s="597"/>
      <c r="AL121" s="597"/>
      <c r="AM121" s="597"/>
      <c r="AN121" s="598"/>
      <c r="AO121" s="596" t="s">
        <v>41</v>
      </c>
      <c r="AP121" s="597"/>
      <c r="AQ121" s="597"/>
      <c r="AR121" s="597"/>
      <c r="AS121" s="597"/>
      <c r="AT121" s="597"/>
      <c r="AU121" s="597"/>
      <c r="AV121" s="597"/>
      <c r="AW121" s="597"/>
      <c r="AX121" s="597"/>
      <c r="AY121" s="597"/>
      <c r="AZ121" s="597"/>
      <c r="BA121" s="597"/>
      <c r="BB121" s="597"/>
      <c r="BC121" s="597"/>
      <c r="BD121" s="598"/>
      <c r="CP121" s="3"/>
    </row>
    <row r="122" spans="1:94" ht="15" customHeight="1" x14ac:dyDescent="0.15">
      <c r="A122" s="1"/>
      <c r="D122" s="588" t="s">
        <v>825</v>
      </c>
      <c r="E122" s="589"/>
      <c r="F122" s="589"/>
      <c r="G122" s="589"/>
      <c r="H122" s="589"/>
      <c r="I122" s="589"/>
      <c r="J122" s="589"/>
      <c r="K122" s="589"/>
      <c r="L122" s="589"/>
      <c r="M122" s="589"/>
      <c r="N122" s="589"/>
      <c r="O122" s="589"/>
      <c r="P122" s="589"/>
      <c r="Q122" s="589"/>
      <c r="R122" s="589"/>
      <c r="S122" s="589"/>
      <c r="T122" s="589"/>
      <c r="U122" s="589"/>
      <c r="V122" s="589"/>
      <c r="W122" s="589"/>
      <c r="X122" s="589"/>
      <c r="Y122" s="589"/>
      <c r="Z122" s="589"/>
      <c r="AA122" s="589"/>
      <c r="AB122" s="589"/>
      <c r="AC122" s="589"/>
      <c r="AD122" s="589"/>
      <c r="AE122" s="589"/>
      <c r="AF122" s="589"/>
      <c r="AG122" s="589"/>
      <c r="AH122" s="589"/>
      <c r="AI122" s="589"/>
      <c r="AJ122" s="589"/>
      <c r="AK122" s="589"/>
      <c r="AL122" s="589"/>
      <c r="AM122" s="589"/>
      <c r="AN122" s="590"/>
      <c r="AO122" s="588" t="s">
        <v>1195</v>
      </c>
      <c r="AP122" s="589"/>
      <c r="AQ122" s="589"/>
      <c r="AR122" s="589"/>
      <c r="AS122" s="589"/>
      <c r="AT122" s="589"/>
      <c r="AU122" s="589"/>
      <c r="AV122" s="589"/>
      <c r="AW122" s="589"/>
      <c r="AX122" s="589"/>
      <c r="AY122" s="589"/>
      <c r="AZ122" s="589"/>
      <c r="BA122" s="589"/>
      <c r="BB122" s="589"/>
      <c r="BC122" s="589"/>
      <c r="BD122" s="590"/>
      <c r="CP122" s="3"/>
    </row>
    <row r="123" spans="1:94" ht="15" customHeight="1" x14ac:dyDescent="0.15">
      <c r="A123" s="1"/>
      <c r="D123" s="486" t="s">
        <v>826</v>
      </c>
      <c r="E123" s="487"/>
      <c r="F123" s="487"/>
      <c r="G123" s="487"/>
      <c r="H123" s="487"/>
      <c r="I123" s="487"/>
      <c r="J123" s="487"/>
      <c r="K123" s="487"/>
      <c r="L123" s="487"/>
      <c r="M123" s="487"/>
      <c r="N123" s="487"/>
      <c r="O123" s="487"/>
      <c r="P123" s="487"/>
      <c r="Q123" s="487"/>
      <c r="R123" s="487"/>
      <c r="S123" s="487"/>
      <c r="T123" s="487"/>
      <c r="U123" s="487"/>
      <c r="V123" s="487"/>
      <c r="W123" s="487"/>
      <c r="X123" s="487"/>
      <c r="Y123" s="487"/>
      <c r="Z123" s="487"/>
      <c r="AA123" s="487"/>
      <c r="AB123" s="487"/>
      <c r="AC123" s="487"/>
      <c r="AD123" s="487"/>
      <c r="AE123" s="487"/>
      <c r="AF123" s="487"/>
      <c r="AG123" s="487"/>
      <c r="AH123" s="487"/>
      <c r="AI123" s="487"/>
      <c r="AJ123" s="487"/>
      <c r="AK123" s="487"/>
      <c r="AL123" s="487"/>
      <c r="AM123" s="487"/>
      <c r="AN123" s="488"/>
      <c r="AO123" s="599" t="s">
        <v>1196</v>
      </c>
      <c r="AP123" s="600"/>
      <c r="AQ123" s="600"/>
      <c r="AR123" s="600"/>
      <c r="AS123" s="600"/>
      <c r="AT123" s="600"/>
      <c r="AU123" s="600"/>
      <c r="AV123" s="600"/>
      <c r="AW123" s="600"/>
      <c r="AX123" s="600"/>
      <c r="AY123" s="600"/>
      <c r="AZ123" s="600"/>
      <c r="BA123" s="600"/>
      <c r="BB123" s="600"/>
      <c r="BC123" s="600"/>
      <c r="BD123" s="601"/>
      <c r="CP123" s="3"/>
    </row>
    <row r="124" spans="1:94" ht="15" customHeight="1" x14ac:dyDescent="0.15">
      <c r="A124" s="1"/>
      <c r="D124" s="588" t="s">
        <v>1057</v>
      </c>
      <c r="E124" s="589"/>
      <c r="F124" s="589"/>
      <c r="G124" s="589"/>
      <c r="H124" s="589"/>
      <c r="I124" s="589"/>
      <c r="J124" s="589"/>
      <c r="K124" s="589"/>
      <c r="L124" s="589"/>
      <c r="M124" s="589"/>
      <c r="N124" s="589"/>
      <c r="O124" s="589"/>
      <c r="P124" s="589"/>
      <c r="Q124" s="589"/>
      <c r="R124" s="589"/>
      <c r="S124" s="589"/>
      <c r="T124" s="589"/>
      <c r="U124" s="589"/>
      <c r="V124" s="589"/>
      <c r="W124" s="589"/>
      <c r="X124" s="589"/>
      <c r="Y124" s="589"/>
      <c r="Z124" s="589"/>
      <c r="AA124" s="589"/>
      <c r="AB124" s="589"/>
      <c r="AC124" s="589"/>
      <c r="AD124" s="589"/>
      <c r="AE124" s="589"/>
      <c r="AF124" s="589"/>
      <c r="AG124" s="589"/>
      <c r="AH124" s="589"/>
      <c r="AI124" s="589"/>
      <c r="AJ124" s="589"/>
      <c r="AK124" s="589"/>
      <c r="AL124" s="589"/>
      <c r="AM124" s="589"/>
      <c r="AN124" s="590"/>
      <c r="AO124" s="588" t="s">
        <v>1197</v>
      </c>
      <c r="AP124" s="589"/>
      <c r="AQ124" s="589"/>
      <c r="AR124" s="589"/>
      <c r="AS124" s="589"/>
      <c r="AT124" s="589"/>
      <c r="AU124" s="589"/>
      <c r="AV124" s="589"/>
      <c r="AW124" s="589"/>
      <c r="AX124" s="589"/>
      <c r="AY124" s="589"/>
      <c r="AZ124" s="589"/>
      <c r="BA124" s="589"/>
      <c r="BB124" s="589"/>
      <c r="BC124" s="589"/>
      <c r="BD124" s="590"/>
      <c r="CP124" s="3"/>
    </row>
    <row r="125" spans="1:94" ht="15" customHeight="1" x14ac:dyDescent="0.15">
      <c r="A125" s="1"/>
      <c r="D125" s="486" t="s">
        <v>1058</v>
      </c>
      <c r="E125" s="487"/>
      <c r="F125" s="487"/>
      <c r="G125" s="487"/>
      <c r="H125" s="487"/>
      <c r="I125" s="487"/>
      <c r="J125" s="487"/>
      <c r="K125" s="487"/>
      <c r="L125" s="487"/>
      <c r="M125" s="487"/>
      <c r="N125" s="487"/>
      <c r="O125" s="487"/>
      <c r="P125" s="487"/>
      <c r="Q125" s="487"/>
      <c r="R125" s="487"/>
      <c r="S125" s="487"/>
      <c r="T125" s="487"/>
      <c r="U125" s="487"/>
      <c r="V125" s="487"/>
      <c r="W125" s="487"/>
      <c r="X125" s="487"/>
      <c r="Y125" s="487"/>
      <c r="Z125" s="487"/>
      <c r="AA125" s="487"/>
      <c r="AB125" s="487"/>
      <c r="AC125" s="487"/>
      <c r="AD125" s="487"/>
      <c r="AE125" s="487"/>
      <c r="AF125" s="487"/>
      <c r="AG125" s="487"/>
      <c r="AH125" s="487"/>
      <c r="AI125" s="487"/>
      <c r="AJ125" s="487"/>
      <c r="AK125" s="487"/>
      <c r="AL125" s="487"/>
      <c r="AM125" s="487"/>
      <c r="AN125" s="488"/>
      <c r="AO125" s="486" t="s">
        <v>1198</v>
      </c>
      <c r="AP125" s="487"/>
      <c r="AQ125" s="487"/>
      <c r="AR125" s="487"/>
      <c r="AS125" s="487"/>
      <c r="AT125" s="487"/>
      <c r="AU125" s="487"/>
      <c r="AV125" s="487"/>
      <c r="AW125" s="487"/>
      <c r="AX125" s="487"/>
      <c r="AY125" s="487"/>
      <c r="AZ125" s="487"/>
      <c r="BA125" s="487"/>
      <c r="BB125" s="487"/>
      <c r="BC125" s="487"/>
      <c r="BD125" s="488"/>
      <c r="CP125" s="3"/>
    </row>
    <row r="126" spans="1:94" ht="15" customHeight="1" x14ac:dyDescent="0.15">
      <c r="A126" s="1"/>
      <c r="D126" s="620" t="s">
        <v>972</v>
      </c>
      <c r="E126" s="621"/>
      <c r="F126" s="621"/>
      <c r="G126" s="621"/>
      <c r="H126" s="621"/>
      <c r="I126" s="621"/>
      <c r="J126" s="621"/>
      <c r="K126" s="621"/>
      <c r="L126" s="621"/>
      <c r="M126" s="621"/>
      <c r="N126" s="621"/>
      <c r="O126" s="621"/>
      <c r="P126" s="621"/>
      <c r="Q126" s="621"/>
      <c r="R126" s="621"/>
      <c r="S126" s="621"/>
      <c r="T126" s="621"/>
      <c r="U126" s="621"/>
      <c r="V126" s="621"/>
      <c r="W126" s="621"/>
      <c r="X126" s="621"/>
      <c r="Y126" s="621"/>
      <c r="Z126" s="621"/>
      <c r="AA126" s="621"/>
      <c r="AB126" s="621"/>
      <c r="AC126" s="621"/>
      <c r="AD126" s="621"/>
      <c r="AE126" s="621"/>
      <c r="AF126" s="621"/>
      <c r="AG126" s="621"/>
      <c r="AH126" s="621"/>
      <c r="AI126" s="621"/>
      <c r="AJ126" s="621"/>
      <c r="AK126" s="621"/>
      <c r="AL126" s="621"/>
      <c r="AM126" s="621"/>
      <c r="AN126" s="622"/>
      <c r="AO126" s="620" t="s">
        <v>973</v>
      </c>
      <c r="AP126" s="621"/>
      <c r="AQ126" s="621"/>
      <c r="AR126" s="621"/>
      <c r="AS126" s="621"/>
      <c r="AT126" s="621"/>
      <c r="AU126" s="621"/>
      <c r="AV126" s="621"/>
      <c r="AW126" s="621"/>
      <c r="AX126" s="621"/>
      <c r="AY126" s="621"/>
      <c r="AZ126" s="621"/>
      <c r="BA126" s="621"/>
      <c r="BB126" s="621"/>
      <c r="BC126" s="621"/>
      <c r="BD126" s="622"/>
      <c r="CP126" s="3"/>
    </row>
    <row r="127" spans="1:94" ht="15" customHeight="1" x14ac:dyDescent="0.15">
      <c r="A127" s="1"/>
      <c r="D127" s="2" t="s">
        <v>1065</v>
      </c>
      <c r="CP127" s="3"/>
    </row>
    <row r="128" spans="1:94" ht="15" customHeight="1" x14ac:dyDescent="0.15">
      <c r="A128" s="1"/>
      <c r="D128" s="596" t="s">
        <v>67</v>
      </c>
      <c r="E128" s="597"/>
      <c r="F128" s="597"/>
      <c r="G128" s="597"/>
      <c r="H128" s="597"/>
      <c r="I128" s="597"/>
      <c r="J128" s="597"/>
      <c r="K128" s="597"/>
      <c r="L128" s="597"/>
      <c r="M128" s="597"/>
      <c r="N128" s="597"/>
      <c r="O128" s="597"/>
      <c r="P128" s="597"/>
      <c r="Q128" s="597"/>
      <c r="R128" s="597"/>
      <c r="S128" s="597"/>
      <c r="T128" s="597"/>
      <c r="U128" s="597"/>
      <c r="V128" s="597"/>
      <c r="W128" s="597"/>
      <c r="X128" s="597"/>
      <c r="Y128" s="597"/>
      <c r="Z128" s="597"/>
      <c r="AA128" s="597"/>
      <c r="AB128" s="597"/>
      <c r="AC128" s="597"/>
      <c r="AD128" s="597"/>
      <c r="AE128" s="597"/>
      <c r="AF128" s="597"/>
      <c r="AG128" s="597"/>
      <c r="AH128" s="597"/>
      <c r="AI128" s="597"/>
      <c r="AJ128" s="597"/>
      <c r="AK128" s="597"/>
      <c r="AL128" s="597"/>
      <c r="AM128" s="597"/>
      <c r="AN128" s="598"/>
      <c r="AO128" s="596" t="s">
        <v>41</v>
      </c>
      <c r="AP128" s="597"/>
      <c r="AQ128" s="597"/>
      <c r="AR128" s="597"/>
      <c r="AS128" s="597"/>
      <c r="AT128" s="597"/>
      <c r="AU128" s="597"/>
      <c r="AV128" s="597"/>
      <c r="AW128" s="597"/>
      <c r="AX128" s="597"/>
      <c r="AY128" s="597"/>
      <c r="AZ128" s="597"/>
      <c r="BA128" s="597"/>
      <c r="BB128" s="597"/>
      <c r="BC128" s="597"/>
      <c r="BD128" s="598"/>
      <c r="CP128" s="3"/>
    </row>
    <row r="129" spans="1:94" ht="15" customHeight="1" x14ac:dyDescent="0.15">
      <c r="A129" s="1"/>
      <c r="D129" s="588" t="s">
        <v>1064</v>
      </c>
      <c r="E129" s="589"/>
      <c r="F129" s="589"/>
      <c r="G129" s="589"/>
      <c r="H129" s="589"/>
      <c r="I129" s="589"/>
      <c r="J129" s="589"/>
      <c r="K129" s="589"/>
      <c r="L129" s="589"/>
      <c r="M129" s="589"/>
      <c r="N129" s="589"/>
      <c r="O129" s="589"/>
      <c r="P129" s="589"/>
      <c r="Q129" s="589"/>
      <c r="R129" s="589"/>
      <c r="S129" s="589"/>
      <c r="T129" s="589"/>
      <c r="U129" s="589"/>
      <c r="V129" s="589"/>
      <c r="W129" s="589"/>
      <c r="X129" s="589"/>
      <c r="Y129" s="589"/>
      <c r="Z129" s="589"/>
      <c r="AA129" s="589"/>
      <c r="AB129" s="589"/>
      <c r="AC129" s="589"/>
      <c r="AD129" s="589"/>
      <c r="AE129" s="589"/>
      <c r="AF129" s="589"/>
      <c r="AG129" s="589"/>
      <c r="AH129" s="589"/>
      <c r="AI129" s="589"/>
      <c r="AJ129" s="589"/>
      <c r="AK129" s="589"/>
      <c r="AL129" s="589"/>
      <c r="AM129" s="589"/>
      <c r="AN129" s="590"/>
      <c r="AO129" s="615" t="s">
        <v>131</v>
      </c>
      <c r="AP129" s="615"/>
      <c r="AQ129" s="615"/>
      <c r="AR129" s="615"/>
      <c r="AS129" s="615"/>
      <c r="AT129" s="615"/>
      <c r="AU129" s="615"/>
      <c r="AV129" s="615"/>
      <c r="AW129" s="615"/>
      <c r="AX129" s="615"/>
      <c r="AY129" s="615"/>
      <c r="AZ129" s="615"/>
      <c r="BA129" s="615"/>
      <c r="BB129" s="615"/>
      <c r="BC129" s="615"/>
      <c r="BD129" s="615"/>
      <c r="CP129" s="3"/>
    </row>
    <row r="130" spans="1:94" ht="15" customHeight="1" x14ac:dyDescent="0.15">
      <c r="A130" s="1"/>
      <c r="D130" s="599" t="s">
        <v>1067</v>
      </c>
      <c r="E130" s="600"/>
      <c r="F130" s="600"/>
      <c r="G130" s="600"/>
      <c r="H130" s="600"/>
      <c r="I130" s="600"/>
      <c r="J130" s="600"/>
      <c r="K130" s="600"/>
      <c r="L130" s="600"/>
      <c r="M130" s="600"/>
      <c r="N130" s="600"/>
      <c r="O130" s="600"/>
      <c r="P130" s="600"/>
      <c r="Q130" s="600"/>
      <c r="R130" s="600"/>
      <c r="S130" s="600"/>
      <c r="T130" s="600"/>
      <c r="U130" s="600"/>
      <c r="V130" s="600"/>
      <c r="W130" s="600"/>
      <c r="X130" s="600"/>
      <c r="Y130" s="600"/>
      <c r="Z130" s="600"/>
      <c r="AA130" s="600"/>
      <c r="AB130" s="600"/>
      <c r="AC130" s="600"/>
      <c r="AD130" s="600"/>
      <c r="AE130" s="600"/>
      <c r="AF130" s="600"/>
      <c r="AG130" s="600"/>
      <c r="AH130" s="600"/>
      <c r="AI130" s="600"/>
      <c r="AJ130" s="600"/>
      <c r="AK130" s="600"/>
      <c r="AL130" s="600"/>
      <c r="AM130" s="600"/>
      <c r="AN130" s="601"/>
      <c r="AO130" s="614" t="s">
        <v>1069</v>
      </c>
      <c r="AP130" s="614"/>
      <c r="AQ130" s="614"/>
      <c r="AR130" s="614"/>
      <c r="AS130" s="614"/>
      <c r="AT130" s="614"/>
      <c r="AU130" s="614"/>
      <c r="AV130" s="614"/>
      <c r="AW130" s="614"/>
      <c r="AX130" s="614"/>
      <c r="AY130" s="614"/>
      <c r="AZ130" s="614"/>
      <c r="BA130" s="614"/>
      <c r="BB130" s="614"/>
      <c r="BC130" s="614"/>
      <c r="BD130" s="614"/>
      <c r="CP130" s="3"/>
    </row>
    <row r="131" spans="1:94" ht="15" customHeight="1" x14ac:dyDescent="0.15">
      <c r="A131" s="1"/>
      <c r="D131" s="599" t="s">
        <v>1068</v>
      </c>
      <c r="E131" s="600"/>
      <c r="F131" s="600"/>
      <c r="G131" s="600"/>
      <c r="H131" s="600"/>
      <c r="I131" s="600"/>
      <c r="J131" s="600"/>
      <c r="K131" s="600"/>
      <c r="L131" s="600"/>
      <c r="M131" s="600"/>
      <c r="N131" s="600"/>
      <c r="O131" s="600"/>
      <c r="P131" s="600"/>
      <c r="Q131" s="600"/>
      <c r="R131" s="600"/>
      <c r="S131" s="600"/>
      <c r="T131" s="600"/>
      <c r="U131" s="600"/>
      <c r="V131" s="600"/>
      <c r="W131" s="600"/>
      <c r="X131" s="600"/>
      <c r="Y131" s="600"/>
      <c r="Z131" s="600"/>
      <c r="AA131" s="600"/>
      <c r="AB131" s="600"/>
      <c r="AC131" s="600"/>
      <c r="AD131" s="600"/>
      <c r="AE131" s="600"/>
      <c r="AF131" s="600"/>
      <c r="AG131" s="600"/>
      <c r="AH131" s="600"/>
      <c r="AI131" s="600"/>
      <c r="AJ131" s="600"/>
      <c r="AK131" s="600"/>
      <c r="AL131" s="600"/>
      <c r="AM131" s="600"/>
      <c r="AN131" s="601"/>
      <c r="AO131" s="599" t="s">
        <v>1070</v>
      </c>
      <c r="AP131" s="600"/>
      <c r="AQ131" s="600"/>
      <c r="AR131" s="600"/>
      <c r="AS131" s="600"/>
      <c r="AT131" s="600"/>
      <c r="AU131" s="600"/>
      <c r="AV131" s="600"/>
      <c r="AW131" s="600"/>
      <c r="AX131" s="600"/>
      <c r="AY131" s="600"/>
      <c r="AZ131" s="600"/>
      <c r="BA131" s="600"/>
      <c r="BB131" s="600"/>
      <c r="BC131" s="600"/>
      <c r="BD131" s="601"/>
      <c r="CP131" s="3"/>
    </row>
    <row r="132" spans="1:94" ht="15" customHeight="1" x14ac:dyDescent="0.15">
      <c r="A132" s="1"/>
      <c r="D132" s="599" t="s">
        <v>1066</v>
      </c>
      <c r="E132" s="600"/>
      <c r="F132" s="600"/>
      <c r="G132" s="600"/>
      <c r="H132" s="600"/>
      <c r="I132" s="600"/>
      <c r="J132" s="600"/>
      <c r="K132" s="600"/>
      <c r="L132" s="600"/>
      <c r="M132" s="600"/>
      <c r="N132" s="600"/>
      <c r="O132" s="600"/>
      <c r="P132" s="600"/>
      <c r="Q132" s="600"/>
      <c r="R132" s="600"/>
      <c r="S132" s="600"/>
      <c r="T132" s="600"/>
      <c r="U132" s="600"/>
      <c r="V132" s="600"/>
      <c r="W132" s="600"/>
      <c r="X132" s="600"/>
      <c r="Y132" s="600"/>
      <c r="Z132" s="600"/>
      <c r="AA132" s="600"/>
      <c r="AB132" s="600"/>
      <c r="AC132" s="600"/>
      <c r="AD132" s="600"/>
      <c r="AE132" s="600"/>
      <c r="AF132" s="600"/>
      <c r="AG132" s="600"/>
      <c r="AH132" s="600"/>
      <c r="AI132" s="600"/>
      <c r="AJ132" s="600"/>
      <c r="AK132" s="600"/>
      <c r="AL132" s="600"/>
      <c r="AM132" s="600"/>
      <c r="AN132" s="601"/>
      <c r="AO132" s="614" t="s">
        <v>637</v>
      </c>
      <c r="AP132" s="614"/>
      <c r="AQ132" s="614"/>
      <c r="AR132" s="614"/>
      <c r="AS132" s="614"/>
      <c r="AT132" s="614"/>
      <c r="AU132" s="614"/>
      <c r="AV132" s="614"/>
      <c r="AW132" s="614"/>
      <c r="AX132" s="614"/>
      <c r="AY132" s="614"/>
      <c r="AZ132" s="614"/>
      <c r="BA132" s="614"/>
      <c r="BB132" s="614"/>
      <c r="BC132" s="614"/>
      <c r="BD132" s="614"/>
      <c r="CP132" s="3"/>
    </row>
    <row r="133" spans="1:94" ht="15" customHeight="1" x14ac:dyDescent="0.15">
      <c r="A133" s="1"/>
      <c r="D133" s="486" t="s">
        <v>1203</v>
      </c>
      <c r="E133" s="487"/>
      <c r="F133" s="487"/>
      <c r="G133" s="487"/>
      <c r="H133" s="487"/>
      <c r="I133" s="487"/>
      <c r="J133" s="487"/>
      <c r="K133" s="487"/>
      <c r="L133" s="487"/>
      <c r="M133" s="487"/>
      <c r="N133" s="487"/>
      <c r="O133" s="487"/>
      <c r="P133" s="487"/>
      <c r="Q133" s="487"/>
      <c r="R133" s="487"/>
      <c r="S133" s="487"/>
      <c r="T133" s="487"/>
      <c r="U133" s="487"/>
      <c r="V133" s="487"/>
      <c r="W133" s="487"/>
      <c r="X133" s="487"/>
      <c r="Y133" s="487"/>
      <c r="Z133" s="487"/>
      <c r="AA133" s="487"/>
      <c r="AB133" s="487"/>
      <c r="AC133" s="487"/>
      <c r="AD133" s="487"/>
      <c r="AE133" s="487"/>
      <c r="AF133" s="487"/>
      <c r="AG133" s="487"/>
      <c r="AH133" s="487"/>
      <c r="AI133" s="487"/>
      <c r="AJ133" s="487"/>
      <c r="AK133" s="487"/>
      <c r="AL133" s="487"/>
      <c r="AM133" s="487"/>
      <c r="AN133" s="488"/>
      <c r="AO133" s="489" t="s">
        <v>1204</v>
      </c>
      <c r="AP133" s="489"/>
      <c r="AQ133" s="489"/>
      <c r="AR133" s="489"/>
      <c r="AS133" s="489"/>
      <c r="AT133" s="489"/>
      <c r="AU133" s="489"/>
      <c r="AV133" s="489"/>
      <c r="AW133" s="489"/>
      <c r="AX133" s="489"/>
      <c r="AY133" s="489"/>
      <c r="AZ133" s="489"/>
      <c r="BA133" s="489"/>
      <c r="BB133" s="489"/>
      <c r="BC133" s="489"/>
      <c r="BD133" s="489"/>
      <c r="CP133" s="3"/>
    </row>
    <row r="134" spans="1:94" ht="15" customHeight="1" x14ac:dyDescent="0.15">
      <c r="A134" s="1"/>
      <c r="CP134" s="3"/>
    </row>
    <row r="135" spans="1:94" ht="15" customHeight="1" thickBot="1" x14ac:dyDescent="0.2">
      <c r="A135" s="5"/>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7"/>
    </row>
    <row r="136" spans="1:94" ht="15" customHeight="1" thickBot="1" x14ac:dyDescent="0.2">
      <c r="A136" s="47"/>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52"/>
      <c r="AK136" s="52"/>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8"/>
      <c r="BY136" s="48"/>
      <c r="BZ136" s="48"/>
      <c r="CA136" s="48"/>
      <c r="CB136" s="48"/>
      <c r="CC136" s="48"/>
      <c r="CD136" s="48"/>
      <c r="CE136" s="48"/>
      <c r="CF136" s="48"/>
      <c r="CG136" s="48"/>
      <c r="CH136" s="48"/>
      <c r="CI136" s="48"/>
      <c r="CJ136" s="48"/>
      <c r="CK136" s="48"/>
      <c r="CL136" s="48"/>
      <c r="CM136" s="48"/>
      <c r="CN136" s="48"/>
      <c r="CO136" s="48"/>
      <c r="CP136" s="49"/>
    </row>
    <row r="137" spans="1:94" ht="15" customHeight="1" x14ac:dyDescent="0.15">
      <c r="A137" s="15"/>
      <c r="B137" s="9"/>
      <c r="D137" s="95" t="s">
        <v>640</v>
      </c>
      <c r="E137" s="96"/>
      <c r="F137" s="96"/>
      <c r="G137" s="96"/>
      <c r="H137" s="96"/>
      <c r="I137" s="96"/>
      <c r="J137" s="96"/>
      <c r="K137" s="96"/>
      <c r="L137" s="96"/>
      <c r="M137" s="96"/>
      <c r="N137" s="96"/>
      <c r="O137" s="96"/>
      <c r="P137" s="96"/>
      <c r="Q137" s="96"/>
      <c r="R137" s="96"/>
      <c r="S137" s="96"/>
      <c r="T137" s="96"/>
      <c r="U137" s="96"/>
      <c r="V137" s="96"/>
      <c r="W137" s="96"/>
      <c r="X137" s="96"/>
      <c r="Y137" s="96"/>
      <c r="Z137" s="96"/>
      <c r="AA137" s="96"/>
      <c r="AB137" s="96"/>
      <c r="AC137" s="96"/>
      <c r="AD137" s="96"/>
      <c r="AE137" s="96"/>
      <c r="AF137" s="96"/>
      <c r="AG137" s="96"/>
      <c r="AH137" s="96"/>
      <c r="AI137" s="96"/>
      <c r="AJ137" s="96"/>
      <c r="AK137" s="96"/>
      <c r="AL137" s="96"/>
      <c r="AM137" s="97"/>
      <c r="AO137" s="98" t="s">
        <v>1094</v>
      </c>
      <c r="AP137" s="100"/>
      <c r="AQ137" s="100"/>
      <c r="AR137" s="100"/>
      <c r="AS137" s="100"/>
      <c r="AT137" s="100"/>
      <c r="AU137" s="100"/>
      <c r="AV137" s="100"/>
      <c r="AW137" s="100"/>
      <c r="AX137" s="100"/>
      <c r="AY137" s="100"/>
      <c r="AZ137" s="100"/>
      <c r="BA137" s="100"/>
      <c r="BB137" s="100"/>
      <c r="BC137" s="100"/>
      <c r="BD137" s="100"/>
      <c r="BE137" s="100"/>
      <c r="BF137" s="100"/>
      <c r="BG137" s="100"/>
      <c r="BH137" s="100"/>
      <c r="BI137" s="100"/>
      <c r="BJ137" s="100"/>
      <c r="BK137" s="100"/>
      <c r="BL137" s="100"/>
      <c r="BM137" s="100"/>
      <c r="BN137" s="100"/>
      <c r="BO137" s="100"/>
      <c r="BP137" s="100"/>
      <c r="BQ137" s="100"/>
      <c r="BR137" s="100"/>
      <c r="BS137" s="100"/>
      <c r="BT137" s="100"/>
      <c r="BU137" s="100"/>
      <c r="BV137" s="100"/>
      <c r="BW137" s="100"/>
      <c r="BX137" s="101"/>
      <c r="BY137" s="9"/>
      <c r="BZ137" s="9"/>
      <c r="CA137" s="9"/>
      <c r="CB137" s="9"/>
      <c r="CC137" s="9"/>
      <c r="CD137" s="9"/>
      <c r="CE137" s="9"/>
      <c r="CF137" s="9"/>
      <c r="CG137" s="9"/>
      <c r="CH137" s="9"/>
      <c r="CI137" s="9"/>
      <c r="CJ137" s="9"/>
      <c r="CK137" s="9"/>
      <c r="CL137" s="9"/>
      <c r="CM137" s="9"/>
      <c r="CN137" s="9"/>
      <c r="CO137" s="9"/>
      <c r="CP137" s="16"/>
    </row>
    <row r="138" spans="1:94" ht="15" customHeight="1" x14ac:dyDescent="0.25">
      <c r="A138" s="15"/>
      <c r="B138" s="9"/>
      <c r="D138" s="98"/>
      <c r="E138" s="99" t="s">
        <v>641</v>
      </c>
      <c r="F138" s="100"/>
      <c r="G138" s="100"/>
      <c r="H138" s="100"/>
      <c r="I138" s="100"/>
      <c r="J138" s="100"/>
      <c r="K138" s="100"/>
      <c r="L138" s="100"/>
      <c r="M138" s="100"/>
      <c r="N138" s="100"/>
      <c r="O138" s="100"/>
      <c r="P138" s="100"/>
      <c r="Q138" s="100"/>
      <c r="R138" s="100"/>
      <c r="S138" s="100"/>
      <c r="T138" s="100"/>
      <c r="U138" s="100"/>
      <c r="V138" s="100"/>
      <c r="W138" s="100"/>
      <c r="X138" s="100"/>
      <c r="Y138" s="100"/>
      <c r="Z138" s="100"/>
      <c r="AA138" s="100"/>
      <c r="AB138" s="100"/>
      <c r="AC138" s="100"/>
      <c r="AD138" s="100"/>
      <c r="AE138" s="100"/>
      <c r="AF138" s="100"/>
      <c r="AG138" s="100"/>
      <c r="AH138" s="100"/>
      <c r="AI138" s="100"/>
      <c r="AJ138" s="100"/>
      <c r="AK138" s="100"/>
      <c r="AL138" s="100"/>
      <c r="AM138" s="101"/>
      <c r="AO138" s="98"/>
      <c r="AP138" s="99" t="s">
        <v>642</v>
      </c>
      <c r="AQ138" s="100"/>
      <c r="AR138" s="100" t="s">
        <v>654</v>
      </c>
      <c r="AS138" s="100"/>
      <c r="AT138" s="100"/>
      <c r="AU138" s="100"/>
      <c r="AV138" s="100"/>
      <c r="AW138" s="100"/>
      <c r="AX138" s="100"/>
      <c r="AY138" s="131" t="s">
        <v>644</v>
      </c>
      <c r="AZ138" s="131"/>
      <c r="BA138" s="131"/>
      <c r="BB138" s="131"/>
      <c r="BC138" s="131" t="s">
        <v>655</v>
      </c>
      <c r="BD138" s="131"/>
      <c r="BE138" s="100"/>
      <c r="BF138" s="100"/>
      <c r="BG138" s="100"/>
      <c r="BH138" s="100"/>
      <c r="BI138" s="100"/>
      <c r="BJ138" s="100"/>
      <c r="BK138" s="100"/>
      <c r="BL138" s="100"/>
      <c r="BM138" s="100"/>
      <c r="BN138" s="100"/>
      <c r="BO138" s="100"/>
      <c r="BP138" s="100"/>
      <c r="BQ138" s="100"/>
      <c r="BR138" s="100"/>
      <c r="BS138" s="100"/>
      <c r="BT138" s="100"/>
      <c r="BU138" s="100"/>
      <c r="BV138" s="100"/>
      <c r="BW138" s="100"/>
      <c r="BX138" s="101"/>
      <c r="BZ138" s="9"/>
      <c r="CA138" s="9"/>
      <c r="CB138" s="9"/>
      <c r="CC138" s="9"/>
      <c r="CD138" s="9"/>
      <c r="CE138" s="9"/>
      <c r="CF138" s="9"/>
      <c r="CG138" s="9"/>
      <c r="CH138" s="9"/>
      <c r="CI138" s="9"/>
      <c r="CJ138" s="9"/>
      <c r="CK138" s="9"/>
      <c r="CL138" s="9"/>
      <c r="CM138" s="9"/>
      <c r="CN138" s="9"/>
      <c r="CO138" s="9"/>
      <c r="CP138" s="16"/>
    </row>
    <row r="139" spans="1:94" ht="15" customHeight="1" x14ac:dyDescent="0.25">
      <c r="A139" s="15"/>
      <c r="B139" s="9"/>
      <c r="D139" s="98"/>
      <c r="E139" s="99" t="s">
        <v>642</v>
      </c>
      <c r="F139" s="100"/>
      <c r="G139" s="100" t="s">
        <v>1072</v>
      </c>
      <c r="H139" s="100"/>
      <c r="I139" s="100"/>
      <c r="J139" s="100"/>
      <c r="K139" s="100"/>
      <c r="L139" s="100"/>
      <c r="M139" s="131" t="s">
        <v>644</v>
      </c>
      <c r="N139" s="131"/>
      <c r="O139" s="131"/>
      <c r="P139" s="131"/>
      <c r="Q139" s="131" t="s">
        <v>645</v>
      </c>
      <c r="R139" s="131"/>
      <c r="S139" s="131"/>
      <c r="T139" s="131"/>
      <c r="U139" s="100"/>
      <c r="V139" s="100"/>
      <c r="W139" s="100"/>
      <c r="X139" s="100"/>
      <c r="Y139" s="100"/>
      <c r="Z139" s="100"/>
      <c r="AA139" s="100"/>
      <c r="AB139" s="100"/>
      <c r="AC139" s="100"/>
      <c r="AD139" s="100"/>
      <c r="AE139" s="100"/>
      <c r="AF139" s="100"/>
      <c r="AG139" s="100"/>
      <c r="AH139" s="100"/>
      <c r="AI139" s="100"/>
      <c r="AJ139" s="100"/>
      <c r="AK139" s="100"/>
      <c r="AL139" s="100"/>
      <c r="AM139" s="101"/>
      <c r="AO139" s="98"/>
      <c r="AP139" s="99" t="s">
        <v>643</v>
      </c>
      <c r="AQ139" s="100"/>
      <c r="AR139" s="99" t="s">
        <v>646</v>
      </c>
      <c r="AS139" s="100"/>
      <c r="AT139" s="100" t="s">
        <v>842</v>
      </c>
      <c r="AU139" s="100"/>
      <c r="AV139" s="100"/>
      <c r="AW139" s="131"/>
      <c r="AX139" s="100"/>
      <c r="AY139" s="100"/>
      <c r="AZ139" s="131"/>
      <c r="BA139" s="131"/>
      <c r="BB139" s="131"/>
      <c r="BC139" s="131"/>
      <c r="BD139" s="131"/>
      <c r="BE139" s="100"/>
      <c r="BF139" s="100"/>
      <c r="BG139" s="100"/>
      <c r="BH139" s="100"/>
      <c r="BI139" s="100"/>
      <c r="BJ139" s="100"/>
      <c r="BK139" s="100"/>
      <c r="BL139" s="100"/>
      <c r="BM139" s="100"/>
      <c r="BN139" s="100"/>
      <c r="BO139" s="100"/>
      <c r="BP139" s="100"/>
      <c r="BQ139" s="100"/>
      <c r="BR139" s="100"/>
      <c r="BS139" s="100"/>
      <c r="BT139" s="100"/>
      <c r="BU139" s="100"/>
      <c r="BV139" s="100"/>
      <c r="BW139" s="100"/>
      <c r="BX139" s="101"/>
      <c r="BZ139" s="9"/>
      <c r="CA139" s="9"/>
      <c r="CB139" s="9"/>
      <c r="CC139" s="9"/>
      <c r="CD139" s="9"/>
      <c r="CE139" s="9"/>
      <c r="CF139" s="9"/>
      <c r="CG139" s="9"/>
      <c r="CH139" s="9"/>
      <c r="CI139" s="9"/>
      <c r="CJ139" s="9"/>
      <c r="CK139" s="9"/>
      <c r="CL139" s="9"/>
      <c r="CM139" s="9"/>
      <c r="CN139" s="9"/>
      <c r="CO139" s="9"/>
      <c r="CP139" s="16"/>
    </row>
    <row r="140" spans="1:94" ht="15" customHeight="1" x14ac:dyDescent="0.25">
      <c r="A140" s="15"/>
      <c r="B140" s="9"/>
      <c r="D140" s="98"/>
      <c r="E140" s="99" t="s">
        <v>643</v>
      </c>
      <c r="F140" s="100"/>
      <c r="G140" s="100"/>
      <c r="H140" s="99" t="s">
        <v>646</v>
      </c>
      <c r="I140" s="100"/>
      <c r="J140" s="100" t="s">
        <v>828</v>
      </c>
      <c r="K140" s="100"/>
      <c r="L140" s="100"/>
      <c r="M140" s="131"/>
      <c r="N140" s="131" t="s">
        <v>644</v>
      </c>
      <c r="O140" s="131"/>
      <c r="P140" s="131"/>
      <c r="Q140" s="131"/>
      <c r="R140" s="131" t="s">
        <v>829</v>
      </c>
      <c r="S140" s="131"/>
      <c r="T140" s="131"/>
      <c r="U140" s="131"/>
      <c r="V140" s="131"/>
      <c r="W140" s="131"/>
      <c r="X140" s="100"/>
      <c r="Y140" s="100"/>
      <c r="Z140" s="100"/>
      <c r="AA140" s="100"/>
      <c r="AB140" s="100"/>
      <c r="AC140" s="100"/>
      <c r="AD140" s="100"/>
      <c r="AE140" s="100"/>
      <c r="AF140" s="100"/>
      <c r="AG140" s="100"/>
      <c r="AH140" s="100"/>
      <c r="AI140" s="100"/>
      <c r="AJ140" s="100"/>
      <c r="AK140" s="100"/>
      <c r="AL140" s="100"/>
      <c r="AM140" s="101"/>
      <c r="AO140" s="98"/>
      <c r="AP140" s="99" t="s">
        <v>643</v>
      </c>
      <c r="AQ140" s="100"/>
      <c r="AR140" s="100"/>
      <c r="AS140" s="100"/>
      <c r="AT140" s="100"/>
      <c r="AU140" s="99" t="s">
        <v>642</v>
      </c>
      <c r="AV140" s="100"/>
      <c r="AW140" s="100" t="s">
        <v>843</v>
      </c>
      <c r="AX140" s="100"/>
      <c r="AY140" s="100"/>
      <c r="AZ140" s="100"/>
      <c r="BA140" s="100"/>
      <c r="BB140" s="100"/>
      <c r="BC140" s="100"/>
      <c r="BD140" s="100"/>
      <c r="BE140" s="100"/>
      <c r="BF140" s="100"/>
      <c r="BG140" s="100"/>
      <c r="BH140" s="100"/>
      <c r="BI140" s="100"/>
      <c r="BJ140" s="100"/>
      <c r="BK140" s="100"/>
      <c r="BL140" s="100"/>
      <c r="BM140" s="100"/>
      <c r="BN140" s="100"/>
      <c r="BO140" s="100"/>
      <c r="BP140" s="100"/>
      <c r="BQ140" s="100"/>
      <c r="BR140" s="100"/>
      <c r="BS140" s="100"/>
      <c r="BT140" s="100"/>
      <c r="BU140" s="100"/>
      <c r="BV140" s="100"/>
      <c r="BW140" s="100"/>
      <c r="BX140" s="101"/>
      <c r="BZ140" s="9"/>
      <c r="CA140" s="9"/>
      <c r="CB140" s="9"/>
      <c r="CC140" s="9"/>
      <c r="CD140" s="9"/>
      <c r="CE140" s="9"/>
      <c r="CF140" s="9"/>
      <c r="CG140" s="9"/>
      <c r="CH140" s="9"/>
      <c r="CI140" s="9"/>
      <c r="CJ140" s="9"/>
      <c r="CK140" s="9"/>
      <c r="CL140" s="9"/>
      <c r="CM140" s="9"/>
      <c r="CN140" s="9"/>
      <c r="CO140" s="9"/>
      <c r="CP140" s="16"/>
    </row>
    <row r="141" spans="1:94" ht="15" customHeight="1" x14ac:dyDescent="0.25">
      <c r="A141" s="15"/>
      <c r="B141" s="9"/>
      <c r="D141" s="98"/>
      <c r="E141" s="99" t="s">
        <v>643</v>
      </c>
      <c r="F141" s="100"/>
      <c r="G141" s="100"/>
      <c r="H141" s="100"/>
      <c r="I141" s="100"/>
      <c r="J141" s="100"/>
      <c r="K141" s="99" t="s">
        <v>642</v>
      </c>
      <c r="L141" s="100"/>
      <c r="M141" s="100" t="s">
        <v>830</v>
      </c>
      <c r="N141" s="100"/>
      <c r="O141" s="100"/>
      <c r="P141" s="100"/>
      <c r="Q141" s="100"/>
      <c r="R141" s="100"/>
      <c r="S141" s="100"/>
      <c r="T141" s="100"/>
      <c r="U141" s="100"/>
      <c r="V141" s="100"/>
      <c r="W141" s="100"/>
      <c r="X141" s="100"/>
      <c r="Y141" s="100"/>
      <c r="Z141" s="100"/>
      <c r="AA141" s="100"/>
      <c r="AB141" s="100"/>
      <c r="AC141" s="100"/>
      <c r="AD141" s="100"/>
      <c r="AE141" s="100"/>
      <c r="AF141" s="100"/>
      <c r="AG141" s="100"/>
      <c r="AH141" s="100"/>
      <c r="AI141" s="100"/>
      <c r="AJ141" s="100"/>
      <c r="AK141" s="100"/>
      <c r="AL141" s="100"/>
      <c r="AM141" s="101"/>
      <c r="AO141" s="98"/>
      <c r="AP141" s="99" t="s">
        <v>643</v>
      </c>
      <c r="AQ141" s="100"/>
      <c r="AR141" s="100"/>
      <c r="AS141" s="100"/>
      <c r="AT141" s="100"/>
      <c r="AU141" s="99" t="s">
        <v>646</v>
      </c>
      <c r="AV141" s="100"/>
      <c r="AW141" s="100" t="s">
        <v>844</v>
      </c>
      <c r="AX141" s="100"/>
      <c r="AY141" s="100"/>
      <c r="AZ141" s="100"/>
      <c r="BA141" s="131"/>
      <c r="BB141" s="131"/>
      <c r="BC141" s="131"/>
      <c r="BD141" s="131"/>
      <c r="BE141" s="131"/>
      <c r="BF141" s="131"/>
      <c r="BG141" s="100"/>
      <c r="BH141" s="100"/>
      <c r="BI141" s="100"/>
      <c r="BJ141" s="100"/>
      <c r="BK141" s="100"/>
      <c r="BL141" s="100"/>
      <c r="BM141" s="100"/>
      <c r="BN141" s="100"/>
      <c r="BO141" s="100"/>
      <c r="BP141" s="100"/>
      <c r="BQ141" s="100"/>
      <c r="BR141" s="100"/>
      <c r="BS141" s="100"/>
      <c r="BT141" s="100"/>
      <c r="BU141" s="100"/>
      <c r="BV141" s="100"/>
      <c r="BW141" s="100"/>
      <c r="BX141" s="101"/>
      <c r="BZ141" s="9"/>
      <c r="CA141" s="9"/>
      <c r="CB141" s="9"/>
      <c r="CC141" s="9"/>
      <c r="CD141" s="9"/>
      <c r="CE141" s="9"/>
      <c r="CF141" s="9"/>
      <c r="CG141" s="9"/>
      <c r="CH141" s="9"/>
      <c r="CI141" s="9"/>
      <c r="CJ141" s="9"/>
      <c r="CK141" s="9"/>
      <c r="CL141" s="9"/>
      <c r="CM141" s="9"/>
      <c r="CN141" s="9"/>
      <c r="CO141" s="9"/>
      <c r="CP141" s="16"/>
    </row>
    <row r="142" spans="1:94" ht="15" customHeight="1" x14ac:dyDescent="0.25">
      <c r="A142" s="15"/>
      <c r="B142" s="9"/>
      <c r="D142" s="98"/>
      <c r="E142" s="99" t="s">
        <v>643</v>
      </c>
      <c r="F142" s="100"/>
      <c r="G142" s="100"/>
      <c r="H142" s="100"/>
      <c r="I142" s="100"/>
      <c r="J142" s="100"/>
      <c r="K142" s="99" t="s">
        <v>643</v>
      </c>
      <c r="L142" s="100"/>
      <c r="M142" s="99" t="s">
        <v>642</v>
      </c>
      <c r="N142" s="100"/>
      <c r="O142" s="100" t="s">
        <v>831</v>
      </c>
      <c r="P142" s="100"/>
      <c r="Q142" s="100"/>
      <c r="R142" s="100"/>
      <c r="S142" s="100"/>
      <c r="T142" s="100"/>
      <c r="U142" s="100"/>
      <c r="V142" s="100"/>
      <c r="W142" s="100"/>
      <c r="X142" s="100"/>
      <c r="Y142" s="100"/>
      <c r="Z142" s="100"/>
      <c r="AA142" s="100"/>
      <c r="AB142" s="100"/>
      <c r="AC142" s="100"/>
      <c r="AD142" s="100"/>
      <c r="AE142" s="100"/>
      <c r="AF142" s="100"/>
      <c r="AG142" s="100"/>
      <c r="AH142" s="100"/>
      <c r="AI142" s="100"/>
      <c r="AJ142" s="100"/>
      <c r="AK142" s="100"/>
      <c r="AL142" s="100"/>
      <c r="AM142" s="101"/>
      <c r="AO142" s="98"/>
      <c r="AP142" s="99" t="s">
        <v>643</v>
      </c>
      <c r="AQ142" s="100"/>
      <c r="AR142" s="99"/>
      <c r="AS142" s="100"/>
      <c r="AT142" s="100"/>
      <c r="AU142" s="100"/>
      <c r="AV142" s="100"/>
      <c r="AW142" s="100"/>
      <c r="AX142" s="100"/>
      <c r="AY142" s="100"/>
      <c r="AZ142" s="100"/>
      <c r="BA142" s="100"/>
      <c r="BB142" s="100"/>
      <c r="BC142" s="100"/>
      <c r="BD142" s="100"/>
      <c r="BE142" s="100"/>
      <c r="BF142" s="100"/>
      <c r="BG142" s="100"/>
      <c r="BH142" s="100"/>
      <c r="BI142" s="100"/>
      <c r="BJ142" s="100"/>
      <c r="BK142" s="100"/>
      <c r="BL142" s="100"/>
      <c r="BM142" s="100"/>
      <c r="BN142" s="100"/>
      <c r="BO142" s="100"/>
      <c r="BP142" s="100"/>
      <c r="BQ142" s="100"/>
      <c r="BR142" s="100"/>
      <c r="BS142" s="100"/>
      <c r="BT142" s="100"/>
      <c r="BU142" s="100"/>
      <c r="BV142" s="100"/>
      <c r="BW142" s="100"/>
      <c r="BX142" s="101"/>
      <c r="BZ142" s="9"/>
      <c r="CA142" s="9"/>
      <c r="CB142" s="9"/>
      <c r="CC142" s="9"/>
      <c r="CD142" s="9"/>
      <c r="CE142" s="9"/>
      <c r="CF142" s="9"/>
      <c r="CG142" s="9"/>
      <c r="CH142" s="9"/>
      <c r="CI142" s="9"/>
      <c r="CJ142" s="9"/>
      <c r="CK142" s="9"/>
      <c r="CL142" s="9"/>
      <c r="CM142" s="9"/>
      <c r="CN142" s="9"/>
      <c r="CO142" s="9"/>
      <c r="CP142" s="16"/>
    </row>
    <row r="143" spans="1:94" ht="15" customHeight="1" x14ac:dyDescent="0.25">
      <c r="A143" s="15"/>
      <c r="B143" s="9"/>
      <c r="D143" s="98"/>
      <c r="E143" s="99" t="s">
        <v>643</v>
      </c>
      <c r="F143" s="100"/>
      <c r="G143" s="100"/>
      <c r="H143" s="100"/>
      <c r="I143" s="100"/>
      <c r="J143" s="100"/>
      <c r="K143" s="99" t="s">
        <v>643</v>
      </c>
      <c r="L143" s="100"/>
      <c r="M143" s="99" t="s">
        <v>642</v>
      </c>
      <c r="N143" s="100"/>
      <c r="O143" s="100" t="s">
        <v>832</v>
      </c>
      <c r="P143" s="100"/>
      <c r="Q143" s="100"/>
      <c r="R143" s="100"/>
      <c r="S143" s="100"/>
      <c r="T143" s="100"/>
      <c r="U143" s="100"/>
      <c r="V143" s="100"/>
      <c r="W143" s="100"/>
      <c r="X143" s="100"/>
      <c r="Y143" s="100"/>
      <c r="Z143" s="100"/>
      <c r="AA143" s="100"/>
      <c r="AB143" s="100"/>
      <c r="AC143" s="100"/>
      <c r="AD143" s="100"/>
      <c r="AE143" s="100"/>
      <c r="AF143" s="100"/>
      <c r="AG143" s="100"/>
      <c r="AH143" s="100"/>
      <c r="AI143" s="100"/>
      <c r="AJ143" s="100"/>
      <c r="AK143" s="100"/>
      <c r="AL143" s="100"/>
      <c r="AM143" s="101"/>
      <c r="AO143" s="98"/>
      <c r="AP143" s="99" t="s">
        <v>642</v>
      </c>
      <c r="AQ143" s="100"/>
      <c r="AR143" s="100" t="s">
        <v>841</v>
      </c>
      <c r="AS143" s="100"/>
      <c r="AT143" s="100"/>
      <c r="AU143" s="100"/>
      <c r="AV143" s="100"/>
      <c r="AW143" s="100"/>
      <c r="AX143" s="100"/>
      <c r="AY143" s="100"/>
      <c r="AZ143" s="131" t="s">
        <v>644</v>
      </c>
      <c r="BA143" s="131"/>
      <c r="BB143" s="131"/>
      <c r="BC143" s="131"/>
      <c r="BD143" s="131" t="s">
        <v>1082</v>
      </c>
      <c r="BE143" s="131"/>
      <c r="BF143" s="100"/>
      <c r="BG143" s="100"/>
      <c r="BH143" s="100"/>
      <c r="BI143" s="100"/>
      <c r="BJ143" s="100"/>
      <c r="BK143" s="100"/>
      <c r="BL143" s="100"/>
      <c r="BM143" s="100"/>
      <c r="BN143" s="100"/>
      <c r="BO143" s="100"/>
      <c r="BP143" s="100"/>
      <c r="BQ143" s="100"/>
      <c r="BR143" s="100"/>
      <c r="BS143" s="100"/>
      <c r="BT143" s="100"/>
      <c r="BU143" s="100"/>
      <c r="BV143" s="100"/>
      <c r="BW143" s="100"/>
      <c r="BX143" s="101"/>
      <c r="BZ143" s="9"/>
      <c r="CA143" s="9"/>
      <c r="CB143" s="9"/>
      <c r="CC143" s="9"/>
      <c r="CD143" s="9"/>
      <c r="CE143" s="9"/>
      <c r="CF143" s="9"/>
      <c r="CG143" s="9"/>
      <c r="CH143" s="9"/>
      <c r="CI143" s="9"/>
      <c r="CJ143" s="9"/>
      <c r="CK143" s="9"/>
      <c r="CL143" s="9"/>
      <c r="CM143" s="9"/>
      <c r="CN143" s="9"/>
      <c r="CO143" s="9"/>
      <c r="CP143" s="16"/>
    </row>
    <row r="144" spans="1:94" ht="15" customHeight="1" x14ac:dyDescent="0.25">
      <c r="A144" s="15"/>
      <c r="B144" s="9"/>
      <c r="D144" s="98"/>
      <c r="E144" s="99" t="s">
        <v>643</v>
      </c>
      <c r="F144" s="100"/>
      <c r="G144" s="100"/>
      <c r="H144" s="100"/>
      <c r="I144" s="100"/>
      <c r="J144" s="100"/>
      <c r="K144" s="99" t="s">
        <v>643</v>
      </c>
      <c r="L144" s="100"/>
      <c r="M144" s="99" t="s">
        <v>642</v>
      </c>
      <c r="N144" s="100"/>
      <c r="O144" s="100" t="s">
        <v>833</v>
      </c>
      <c r="P144" s="100"/>
      <c r="Q144" s="100"/>
      <c r="R144" s="100"/>
      <c r="S144" s="100"/>
      <c r="T144" s="100"/>
      <c r="U144" s="100"/>
      <c r="V144" s="100"/>
      <c r="W144" s="100"/>
      <c r="X144" s="100"/>
      <c r="Y144" s="100"/>
      <c r="Z144" s="100"/>
      <c r="AA144" s="100"/>
      <c r="AB144" s="100"/>
      <c r="AC144" s="100"/>
      <c r="AD144" s="100"/>
      <c r="AE144" s="100"/>
      <c r="AF144" s="100"/>
      <c r="AG144" s="100"/>
      <c r="AH144" s="100"/>
      <c r="AI144" s="100"/>
      <c r="AJ144" s="100"/>
      <c r="AK144" s="100"/>
      <c r="AL144" s="100"/>
      <c r="AM144" s="101"/>
      <c r="AO144" s="98"/>
      <c r="AP144" s="132" t="s">
        <v>643</v>
      </c>
      <c r="AQ144" s="100"/>
      <c r="AR144" s="100"/>
      <c r="AS144" s="99" t="s">
        <v>646</v>
      </c>
      <c r="AT144" s="100"/>
      <c r="AU144" s="100" t="s">
        <v>649</v>
      </c>
      <c r="AV144" s="100"/>
      <c r="AW144" s="100"/>
      <c r="AX144" s="70"/>
      <c r="AY144" s="100"/>
      <c r="AZ144" s="100"/>
      <c r="BA144" s="131"/>
      <c r="BB144" s="131"/>
      <c r="BC144" s="131"/>
      <c r="BD144" s="131"/>
      <c r="BE144" s="131"/>
      <c r="BF144" s="131"/>
      <c r="BG144" s="100"/>
      <c r="BH144" s="100"/>
      <c r="BI144" s="100"/>
      <c r="BJ144" s="100"/>
      <c r="BK144" s="100"/>
      <c r="BL144" s="100"/>
      <c r="BM144" s="100"/>
      <c r="BN144" s="100"/>
      <c r="BO144" s="100"/>
      <c r="BP144" s="100"/>
      <c r="BQ144" s="100"/>
      <c r="BR144" s="100"/>
      <c r="BS144" s="100"/>
      <c r="BT144" s="100"/>
      <c r="BU144" s="100"/>
      <c r="BV144" s="100"/>
      <c r="BW144" s="100"/>
      <c r="BX144" s="101"/>
      <c r="BZ144" s="9"/>
      <c r="CA144" s="9"/>
      <c r="CB144" s="9"/>
      <c r="CC144" s="9"/>
      <c r="CD144" s="9"/>
      <c r="CE144" s="9"/>
      <c r="CF144" s="9"/>
      <c r="CG144" s="9"/>
      <c r="CH144" s="9"/>
      <c r="CI144" s="9"/>
      <c r="CJ144" s="9"/>
      <c r="CK144" s="9"/>
      <c r="CL144" s="9"/>
      <c r="CM144" s="9"/>
      <c r="CN144" s="9"/>
      <c r="CO144" s="9"/>
      <c r="CP144" s="16"/>
    </row>
    <row r="145" spans="1:94" ht="15" customHeight="1" x14ac:dyDescent="0.25">
      <c r="A145" s="15"/>
      <c r="B145" s="9"/>
      <c r="D145" s="98"/>
      <c r="E145" s="99" t="s">
        <v>643</v>
      </c>
      <c r="F145" s="100"/>
      <c r="G145" s="100"/>
      <c r="H145" s="100"/>
      <c r="I145" s="100"/>
      <c r="J145" s="100"/>
      <c r="K145" s="99" t="s">
        <v>643</v>
      </c>
      <c r="L145" s="100"/>
      <c r="M145" s="99" t="s">
        <v>646</v>
      </c>
      <c r="N145" s="100"/>
      <c r="O145" s="100" t="s">
        <v>1074</v>
      </c>
      <c r="P145" s="100"/>
      <c r="Q145" s="100"/>
      <c r="R145" s="100"/>
      <c r="S145" s="100"/>
      <c r="T145" s="100"/>
      <c r="U145" s="100"/>
      <c r="V145" s="100"/>
      <c r="W145" s="100"/>
      <c r="X145" s="100"/>
      <c r="Y145" s="100"/>
      <c r="Z145" s="100"/>
      <c r="AA145" s="100"/>
      <c r="AB145" s="100"/>
      <c r="AC145" s="100"/>
      <c r="AD145" s="100"/>
      <c r="AE145" s="100"/>
      <c r="AF145" s="100"/>
      <c r="AG145" s="100"/>
      <c r="AH145" s="100"/>
      <c r="AI145" s="100"/>
      <c r="AJ145" s="100"/>
      <c r="AK145" s="100"/>
      <c r="AL145" s="100"/>
      <c r="AM145" s="101"/>
      <c r="AO145" s="98"/>
      <c r="AP145" s="99" t="s">
        <v>642</v>
      </c>
      <c r="AQ145" s="100"/>
      <c r="AR145" s="100" t="s">
        <v>1081</v>
      </c>
      <c r="AS145" s="100"/>
      <c r="AT145" s="100"/>
      <c r="AU145" s="100"/>
      <c r="AV145" s="100"/>
      <c r="AW145" s="100"/>
      <c r="AX145" s="100"/>
      <c r="AY145" s="100"/>
      <c r="AZ145" s="131" t="s">
        <v>644</v>
      </c>
      <c r="BA145" s="131"/>
      <c r="BB145" s="131"/>
      <c r="BC145" s="131"/>
      <c r="BD145" s="131" t="s">
        <v>986</v>
      </c>
      <c r="BE145" s="131"/>
      <c r="BF145" s="100"/>
      <c r="BG145" s="100"/>
      <c r="BH145" s="100"/>
      <c r="BI145" s="100"/>
      <c r="BJ145" s="100"/>
      <c r="BK145" s="100"/>
      <c r="BL145" s="100"/>
      <c r="BM145" s="100"/>
      <c r="BN145" s="100"/>
      <c r="BO145" s="100"/>
      <c r="BP145" s="100"/>
      <c r="BQ145" s="100"/>
      <c r="BR145" s="100"/>
      <c r="BS145" s="100"/>
      <c r="BT145" s="100"/>
      <c r="BU145" s="100"/>
      <c r="BV145" s="100"/>
      <c r="BW145" s="100"/>
      <c r="BX145" s="101"/>
      <c r="BZ145" s="9"/>
      <c r="CA145" s="9"/>
      <c r="CB145" s="9"/>
      <c r="CC145" s="9"/>
      <c r="CD145" s="9"/>
      <c r="CE145" s="9"/>
      <c r="CF145" s="9"/>
      <c r="CG145" s="9"/>
      <c r="CH145" s="9"/>
      <c r="CI145" s="9"/>
      <c r="CJ145" s="9"/>
      <c r="CK145" s="9"/>
      <c r="CL145" s="9"/>
      <c r="CM145" s="9"/>
      <c r="CN145" s="9"/>
      <c r="CO145" s="9"/>
      <c r="CP145" s="16"/>
    </row>
    <row r="146" spans="1:94" ht="15" customHeight="1" x14ac:dyDescent="0.25">
      <c r="A146" s="15"/>
      <c r="B146" s="9"/>
      <c r="D146" s="98"/>
      <c r="E146" s="99" t="s">
        <v>643</v>
      </c>
      <c r="F146" s="100"/>
      <c r="G146" s="100"/>
      <c r="H146" s="100"/>
      <c r="I146" s="100"/>
      <c r="J146" s="100"/>
      <c r="K146" s="99" t="s">
        <v>643</v>
      </c>
      <c r="L146" s="100"/>
      <c r="M146" s="100" t="s">
        <v>834</v>
      </c>
      <c r="N146" s="100"/>
      <c r="O146" s="100"/>
      <c r="P146" s="100"/>
      <c r="Q146" s="100"/>
      <c r="R146" s="100"/>
      <c r="S146" s="100"/>
      <c r="T146" s="100"/>
      <c r="U146" s="100"/>
      <c r="V146" s="100"/>
      <c r="W146" s="100"/>
      <c r="X146" s="100"/>
      <c r="Y146" s="100"/>
      <c r="Z146" s="100"/>
      <c r="AA146" s="100"/>
      <c r="AB146" s="100"/>
      <c r="AC146" s="100"/>
      <c r="AD146" s="100"/>
      <c r="AE146" s="100"/>
      <c r="AF146" s="100"/>
      <c r="AG146" s="100"/>
      <c r="AH146" s="100"/>
      <c r="AI146" s="100"/>
      <c r="AJ146" s="100"/>
      <c r="AK146" s="100"/>
      <c r="AL146" s="100"/>
      <c r="AM146" s="101"/>
      <c r="AO146" s="98"/>
      <c r="AP146" s="132" t="s">
        <v>643</v>
      </c>
      <c r="AQ146" s="100"/>
      <c r="AR146" s="100"/>
      <c r="AS146" s="99" t="s">
        <v>646</v>
      </c>
      <c r="AT146" s="100"/>
      <c r="AU146" s="100" t="s">
        <v>649</v>
      </c>
      <c r="AV146" s="100"/>
      <c r="AW146" s="100"/>
      <c r="AX146" s="70"/>
      <c r="AY146" s="100"/>
      <c r="AZ146" s="100"/>
      <c r="BA146" s="131"/>
      <c r="BB146" s="131"/>
      <c r="BC146" s="131"/>
      <c r="BD146" s="131"/>
      <c r="BE146" s="131"/>
      <c r="BF146" s="131"/>
      <c r="BG146" s="100"/>
      <c r="BH146" s="100"/>
      <c r="BI146" s="100"/>
      <c r="BJ146" s="100"/>
      <c r="BK146" s="100"/>
      <c r="BL146" s="100"/>
      <c r="BM146" s="100"/>
      <c r="BN146" s="100"/>
      <c r="BO146" s="100"/>
      <c r="BP146" s="100"/>
      <c r="BQ146" s="100"/>
      <c r="BR146" s="100"/>
      <c r="BS146" s="100"/>
      <c r="BT146" s="100"/>
      <c r="BU146" s="100"/>
      <c r="BV146" s="100"/>
      <c r="BW146" s="100"/>
      <c r="BX146" s="101"/>
      <c r="BZ146" s="9"/>
      <c r="CA146" s="9"/>
      <c r="CB146" s="9"/>
      <c r="CC146" s="9"/>
      <c r="CD146" s="9"/>
      <c r="CE146" s="9"/>
      <c r="CF146" s="9"/>
      <c r="CG146" s="9"/>
      <c r="CH146" s="9"/>
      <c r="CI146" s="9"/>
      <c r="CJ146" s="9"/>
      <c r="CK146" s="9"/>
      <c r="CL146" s="9"/>
      <c r="CM146" s="9"/>
      <c r="CN146" s="9"/>
      <c r="CO146" s="9"/>
      <c r="CP146" s="16"/>
    </row>
    <row r="147" spans="1:94" ht="15" customHeight="1" x14ac:dyDescent="0.25">
      <c r="A147" s="15"/>
      <c r="B147" s="9"/>
      <c r="D147" s="98"/>
      <c r="E147" s="99" t="s">
        <v>643</v>
      </c>
      <c r="F147" s="100"/>
      <c r="G147" s="100"/>
      <c r="H147" s="100"/>
      <c r="I147" s="100"/>
      <c r="K147" s="99" t="s">
        <v>646</v>
      </c>
      <c r="L147" s="100"/>
      <c r="M147" s="100" t="s">
        <v>1073</v>
      </c>
      <c r="N147" s="100"/>
      <c r="O147" s="100"/>
      <c r="P147" s="100"/>
      <c r="Q147" s="100"/>
      <c r="R147" s="100"/>
      <c r="S147" s="100"/>
      <c r="T147" s="100"/>
      <c r="U147" s="100"/>
      <c r="V147" s="100"/>
      <c r="W147" s="100"/>
      <c r="X147" s="100"/>
      <c r="Y147" s="100"/>
      <c r="Z147" s="100"/>
      <c r="AA147" s="100"/>
      <c r="AB147" s="100"/>
      <c r="AC147" s="100"/>
      <c r="AD147" s="100"/>
      <c r="AE147" s="100"/>
      <c r="AF147" s="100"/>
      <c r="AG147" s="100"/>
      <c r="AH147" s="100"/>
      <c r="AI147" s="100"/>
      <c r="AJ147" s="100"/>
      <c r="AK147" s="100"/>
      <c r="AL147" s="100"/>
      <c r="AM147" s="101"/>
      <c r="AO147" s="98"/>
      <c r="AP147" s="99" t="s">
        <v>643</v>
      </c>
      <c r="AQ147" s="100"/>
      <c r="AR147" s="99"/>
      <c r="AS147" s="100"/>
      <c r="AT147" s="100"/>
      <c r="AU147" s="100"/>
      <c r="AV147" s="100"/>
      <c r="AW147" s="100"/>
      <c r="AX147" s="100"/>
      <c r="AY147" s="100"/>
      <c r="AZ147" s="100"/>
      <c r="BA147" s="100"/>
      <c r="BB147" s="100"/>
      <c r="BC147" s="100"/>
      <c r="BD147" s="100"/>
      <c r="BE147" s="100"/>
      <c r="BF147" s="100"/>
      <c r="BG147" s="100"/>
      <c r="BH147" s="100"/>
      <c r="BI147" s="100"/>
      <c r="BJ147" s="100"/>
      <c r="BK147" s="100"/>
      <c r="BL147" s="100"/>
      <c r="BM147" s="100"/>
      <c r="BN147" s="100"/>
      <c r="BO147" s="100"/>
      <c r="BP147" s="100"/>
      <c r="BQ147" s="100"/>
      <c r="BR147" s="100"/>
      <c r="BS147" s="100"/>
      <c r="BT147" s="100"/>
      <c r="BU147" s="100"/>
      <c r="BV147" s="100"/>
      <c r="BW147" s="100"/>
      <c r="BX147" s="101"/>
      <c r="BZ147" s="9"/>
      <c r="CA147" s="9"/>
      <c r="CB147" s="9"/>
      <c r="CC147" s="9"/>
      <c r="CD147" s="9"/>
      <c r="CE147" s="9"/>
      <c r="CF147" s="9"/>
      <c r="CG147" s="9"/>
      <c r="CH147" s="9"/>
      <c r="CI147" s="9"/>
      <c r="CJ147" s="9"/>
      <c r="CK147" s="9"/>
      <c r="CL147" s="9"/>
      <c r="CM147" s="9"/>
      <c r="CN147" s="9"/>
      <c r="CO147" s="9"/>
      <c r="CP147" s="16"/>
    </row>
    <row r="148" spans="1:94" ht="15" customHeight="1" x14ac:dyDescent="0.25">
      <c r="A148" s="15"/>
      <c r="B148" s="9"/>
      <c r="D148" s="98"/>
      <c r="E148" s="99" t="s">
        <v>643</v>
      </c>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c r="AM148" s="101"/>
      <c r="AO148" s="98"/>
      <c r="AP148" s="99" t="s">
        <v>642</v>
      </c>
      <c r="AQ148" s="100"/>
      <c r="AR148" s="100" t="s">
        <v>606</v>
      </c>
      <c r="AS148" s="100"/>
      <c r="AT148" s="100"/>
      <c r="AU148" s="100"/>
      <c r="AV148" s="100"/>
      <c r="AW148" s="100"/>
      <c r="AX148" s="100"/>
      <c r="AY148" s="100"/>
      <c r="AZ148" s="100" t="s">
        <v>644</v>
      </c>
      <c r="BA148" s="131"/>
      <c r="BB148" s="131"/>
      <c r="BC148" s="131"/>
      <c r="BD148" s="131" t="s">
        <v>1082</v>
      </c>
      <c r="BE148" s="131"/>
      <c r="BF148" s="131"/>
      <c r="BG148" s="100"/>
      <c r="BH148" s="100"/>
      <c r="BI148" s="100"/>
      <c r="BJ148" s="100"/>
      <c r="BK148" s="100"/>
      <c r="BL148" s="100"/>
      <c r="BM148" s="100"/>
      <c r="BN148" s="100"/>
      <c r="BO148" s="100"/>
      <c r="BP148" s="100"/>
      <c r="BQ148" s="100"/>
      <c r="BR148" s="100"/>
      <c r="BS148" s="100"/>
      <c r="BT148" s="100"/>
      <c r="BU148" s="100"/>
      <c r="BV148" s="100"/>
      <c r="BW148" s="100"/>
      <c r="BX148" s="101"/>
      <c r="BZ148" s="9"/>
      <c r="CA148" s="9"/>
      <c r="CB148" s="9"/>
      <c r="CC148" s="9"/>
      <c r="CD148" s="9"/>
      <c r="CE148" s="9"/>
      <c r="CF148" s="9"/>
      <c r="CG148" s="9"/>
      <c r="CH148" s="9"/>
      <c r="CI148" s="9"/>
      <c r="CJ148" s="9"/>
      <c r="CK148" s="9"/>
      <c r="CL148" s="9"/>
      <c r="CM148" s="9"/>
      <c r="CN148" s="9"/>
      <c r="CO148" s="9"/>
      <c r="CP148" s="16"/>
    </row>
    <row r="149" spans="1:94" ht="15" customHeight="1" x14ac:dyDescent="0.25">
      <c r="A149" s="15"/>
      <c r="B149" s="9"/>
      <c r="D149" s="98"/>
      <c r="E149" s="99" t="s">
        <v>642</v>
      </c>
      <c r="F149" s="99"/>
      <c r="G149" s="100" t="s">
        <v>1071</v>
      </c>
      <c r="H149" s="100"/>
      <c r="I149" s="100"/>
      <c r="J149" s="100"/>
      <c r="K149" s="100"/>
      <c r="L149" s="100"/>
      <c r="M149" s="131" t="s">
        <v>644</v>
      </c>
      <c r="N149" s="131"/>
      <c r="O149" s="131"/>
      <c r="P149" s="131"/>
      <c r="Q149" s="131" t="s">
        <v>414</v>
      </c>
      <c r="R149" s="131"/>
      <c r="S149" s="131"/>
      <c r="T149" s="131"/>
      <c r="U149" s="100"/>
      <c r="V149" s="100"/>
      <c r="W149" s="100"/>
      <c r="X149" s="100"/>
      <c r="Y149" s="100"/>
      <c r="Z149" s="100"/>
      <c r="AA149" s="100"/>
      <c r="AB149" s="100"/>
      <c r="AC149" s="100"/>
      <c r="AD149" s="100"/>
      <c r="AE149" s="100"/>
      <c r="AF149" s="100"/>
      <c r="AG149" s="100"/>
      <c r="AH149" s="100"/>
      <c r="AI149" s="100"/>
      <c r="AJ149" s="100"/>
      <c r="AK149" s="100"/>
      <c r="AL149" s="100"/>
      <c r="AM149" s="101"/>
      <c r="AO149" s="98"/>
      <c r="AP149" s="99" t="s">
        <v>642</v>
      </c>
      <c r="AQ149" s="100"/>
      <c r="AR149" s="100" t="s">
        <v>624</v>
      </c>
      <c r="AS149" s="100"/>
      <c r="AT149" s="100"/>
      <c r="AU149" s="100"/>
      <c r="AV149" s="100"/>
      <c r="AW149" s="100"/>
      <c r="AX149" s="100"/>
      <c r="AY149" s="100"/>
      <c r="AZ149" s="100" t="s">
        <v>644</v>
      </c>
      <c r="BA149" s="131"/>
      <c r="BB149" s="131"/>
      <c r="BC149" s="131"/>
      <c r="BD149" s="131" t="s">
        <v>986</v>
      </c>
      <c r="BE149" s="131"/>
      <c r="BF149" s="131"/>
      <c r="BG149" s="100"/>
      <c r="BH149" s="100"/>
      <c r="BI149" s="100"/>
      <c r="BJ149" s="100"/>
      <c r="BK149" s="100"/>
      <c r="BL149" s="100"/>
      <c r="BM149" s="100"/>
      <c r="BN149" s="100"/>
      <c r="BO149" s="100"/>
      <c r="BP149" s="100"/>
      <c r="BQ149" s="100"/>
      <c r="BR149" s="100"/>
      <c r="BS149" s="100"/>
      <c r="BT149" s="100"/>
      <c r="BU149" s="100"/>
      <c r="BV149" s="100"/>
      <c r="BW149" s="100"/>
      <c r="BX149" s="101"/>
      <c r="BZ149" s="9"/>
      <c r="CA149" s="9"/>
      <c r="CB149" s="9"/>
      <c r="CC149" s="9"/>
      <c r="CD149" s="9"/>
      <c r="CE149" s="9"/>
      <c r="CF149" s="9"/>
      <c r="CG149" s="9"/>
      <c r="CH149" s="9"/>
      <c r="CI149" s="9"/>
      <c r="CJ149" s="9"/>
      <c r="CK149" s="9"/>
      <c r="CL149" s="9"/>
      <c r="CM149" s="9"/>
      <c r="CN149" s="9"/>
      <c r="CO149" s="9"/>
      <c r="CP149" s="16"/>
    </row>
    <row r="150" spans="1:94" ht="15" customHeight="1" x14ac:dyDescent="0.25">
      <c r="A150" s="15"/>
      <c r="B150" s="9"/>
      <c r="D150" s="98"/>
      <c r="E150" s="99" t="s">
        <v>643</v>
      </c>
      <c r="F150" s="100"/>
      <c r="G150" s="100"/>
      <c r="H150" s="100"/>
      <c r="I150" s="100"/>
      <c r="J150" s="100"/>
      <c r="K150" s="100"/>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1"/>
      <c r="AO150" s="98"/>
      <c r="AP150" s="99" t="s">
        <v>643</v>
      </c>
      <c r="AQ150" s="100"/>
      <c r="AR150" s="99"/>
      <c r="AS150" s="100"/>
      <c r="AT150" s="100"/>
      <c r="AU150" s="100"/>
      <c r="AV150" s="100"/>
      <c r="AW150" s="100"/>
      <c r="AX150" s="100"/>
      <c r="AY150" s="100"/>
      <c r="AZ150" s="100"/>
      <c r="BA150" s="100"/>
      <c r="BB150" s="100"/>
      <c r="BC150" s="100"/>
      <c r="BD150" s="100"/>
      <c r="BE150" s="100"/>
      <c r="BF150" s="100"/>
      <c r="BG150" s="100"/>
      <c r="BH150" s="100"/>
      <c r="BI150" s="100"/>
      <c r="BJ150" s="100"/>
      <c r="BK150" s="100"/>
      <c r="BL150" s="100"/>
      <c r="BM150" s="100"/>
      <c r="BN150" s="100"/>
      <c r="BO150" s="100"/>
      <c r="BP150" s="100"/>
      <c r="BQ150" s="100"/>
      <c r="BR150" s="100"/>
      <c r="BS150" s="100"/>
      <c r="BT150" s="100"/>
      <c r="BU150" s="100"/>
      <c r="BV150" s="100"/>
      <c r="BW150" s="100"/>
      <c r="BX150" s="101"/>
      <c r="BY150" s="9"/>
      <c r="BZ150" s="9"/>
      <c r="CA150" s="9"/>
      <c r="CB150" s="9"/>
      <c r="CC150" s="9"/>
      <c r="CD150" s="9"/>
      <c r="CE150" s="9"/>
      <c r="CF150" s="9"/>
      <c r="CG150" s="9"/>
      <c r="CH150" s="9"/>
      <c r="CI150" s="9"/>
      <c r="CJ150" s="9"/>
      <c r="CK150" s="9"/>
      <c r="CL150" s="9"/>
      <c r="CM150" s="9"/>
      <c r="CN150" s="9"/>
      <c r="CO150" s="9"/>
      <c r="CP150" s="16"/>
    </row>
    <row r="151" spans="1:94" ht="15" customHeight="1" x14ac:dyDescent="0.25">
      <c r="A151" s="15"/>
      <c r="B151" s="9"/>
      <c r="D151" s="98"/>
      <c r="E151" s="99" t="s">
        <v>642</v>
      </c>
      <c r="F151" s="100"/>
      <c r="G151" s="100" t="s">
        <v>1078</v>
      </c>
      <c r="H151" s="100"/>
      <c r="I151" s="100"/>
      <c r="J151" s="100"/>
      <c r="K151" s="100"/>
      <c r="L151" s="100"/>
      <c r="M151" s="100"/>
      <c r="N151" s="100"/>
      <c r="O151" s="100"/>
      <c r="P151" s="100"/>
      <c r="Q151" s="100"/>
      <c r="R151" s="100"/>
      <c r="S151" s="100"/>
      <c r="T151" s="100"/>
      <c r="U151" s="100"/>
      <c r="V151" s="100"/>
      <c r="W151" s="100"/>
      <c r="X151" s="100"/>
      <c r="Y151" s="100"/>
      <c r="Z151" s="100"/>
      <c r="AA151" s="100"/>
      <c r="AB151" s="100"/>
      <c r="AC151" s="100"/>
      <c r="AD151" s="100"/>
      <c r="AE151" s="100"/>
      <c r="AF151" s="100"/>
      <c r="AG151" s="100"/>
      <c r="AH151" s="100"/>
      <c r="AI151" s="100"/>
      <c r="AJ151" s="100"/>
      <c r="AK151" s="100"/>
      <c r="AL151" s="100"/>
      <c r="AM151" s="101"/>
      <c r="AO151" s="98"/>
      <c r="AP151" s="99" t="s">
        <v>642</v>
      </c>
      <c r="AQ151" s="100"/>
      <c r="AR151" s="100" t="s">
        <v>651</v>
      </c>
      <c r="AS151" s="100"/>
      <c r="AT151" s="100"/>
      <c r="AU151" s="100"/>
      <c r="AV151" s="100"/>
      <c r="AW151" s="100"/>
      <c r="AX151" s="100"/>
      <c r="AY151" s="131" t="s">
        <v>644</v>
      </c>
      <c r="AZ151" s="131"/>
      <c r="BA151" s="131"/>
      <c r="BB151" s="131"/>
      <c r="BC151" s="131" t="s">
        <v>840</v>
      </c>
      <c r="BD151" s="131"/>
      <c r="BE151" s="131"/>
      <c r="BF151" s="131"/>
      <c r="BG151" s="100"/>
      <c r="BH151" s="100"/>
      <c r="BI151" s="100"/>
      <c r="BJ151" s="100"/>
      <c r="BK151" s="100"/>
      <c r="BL151" s="100"/>
      <c r="BM151" s="100"/>
      <c r="BN151" s="100"/>
      <c r="BO151" s="100"/>
      <c r="BP151" s="100"/>
      <c r="BQ151" s="100"/>
      <c r="BR151" s="100"/>
      <c r="BS151" s="100"/>
      <c r="BT151" s="100"/>
      <c r="BU151" s="100"/>
      <c r="BV151" s="100"/>
      <c r="BW151" s="100"/>
      <c r="BX151" s="101"/>
      <c r="BY151" s="9"/>
      <c r="BZ151" s="9"/>
      <c r="CA151" s="9"/>
      <c r="CB151" s="9"/>
      <c r="CC151" s="9"/>
      <c r="CD151" s="9"/>
      <c r="CE151" s="9"/>
      <c r="CF151" s="9"/>
      <c r="CG151" s="9"/>
      <c r="CH151" s="9"/>
      <c r="CI151" s="9"/>
      <c r="CJ151" s="9"/>
      <c r="CK151" s="9"/>
      <c r="CL151" s="9"/>
      <c r="CM151" s="9"/>
      <c r="CN151" s="9"/>
      <c r="CO151" s="9"/>
      <c r="CP151" s="16"/>
    </row>
    <row r="152" spans="1:94" ht="15" customHeight="1" x14ac:dyDescent="0.25">
      <c r="A152" s="15"/>
      <c r="B152" s="9"/>
      <c r="D152" s="98"/>
      <c r="E152" s="99" t="s">
        <v>643</v>
      </c>
      <c r="F152" s="100"/>
      <c r="G152" s="100"/>
      <c r="H152" s="99" t="s">
        <v>642</v>
      </c>
      <c r="I152" s="100"/>
      <c r="J152" s="100" t="s">
        <v>1077</v>
      </c>
      <c r="K152" s="100"/>
      <c r="L152" s="100"/>
      <c r="M152" s="100"/>
      <c r="N152" s="100"/>
      <c r="O152" s="100"/>
      <c r="P152" s="100"/>
      <c r="Q152" s="100"/>
      <c r="R152" s="100"/>
      <c r="S152" s="100"/>
      <c r="T152" s="100"/>
      <c r="U152" s="100"/>
      <c r="V152" s="100"/>
      <c r="W152" s="100"/>
      <c r="X152" s="100"/>
      <c r="Y152" s="100"/>
      <c r="Z152" s="100"/>
      <c r="AA152" s="100"/>
      <c r="AB152" s="100"/>
      <c r="AC152" s="100"/>
      <c r="AD152" s="100"/>
      <c r="AE152" s="100"/>
      <c r="AF152" s="100"/>
      <c r="AG152" s="100"/>
      <c r="AH152" s="100"/>
      <c r="AI152" s="100"/>
      <c r="AJ152" s="100"/>
      <c r="AK152" s="100"/>
      <c r="AL152" s="100"/>
      <c r="AM152" s="101"/>
      <c r="AO152" s="98"/>
      <c r="AP152" s="99" t="s">
        <v>642</v>
      </c>
      <c r="AQ152" s="100"/>
      <c r="AR152" s="100" t="s">
        <v>652</v>
      </c>
      <c r="AS152" s="100"/>
      <c r="AT152" s="100"/>
      <c r="AU152" s="100"/>
      <c r="AV152" s="100"/>
      <c r="AW152" s="100"/>
      <c r="AX152" s="100"/>
      <c r="AY152" s="131" t="s">
        <v>644</v>
      </c>
      <c r="AZ152" s="131"/>
      <c r="BA152" s="131"/>
      <c r="BB152" s="131"/>
      <c r="BC152" s="131" t="s">
        <v>653</v>
      </c>
      <c r="BD152" s="131"/>
      <c r="BE152" s="131"/>
      <c r="BF152" s="131"/>
      <c r="BG152" s="100"/>
      <c r="BK152" s="100"/>
      <c r="BL152" s="100"/>
      <c r="BM152" s="100"/>
      <c r="BN152" s="100"/>
      <c r="BO152" s="100"/>
      <c r="BP152" s="100"/>
      <c r="BQ152" s="100"/>
      <c r="BR152" s="100"/>
      <c r="BS152" s="100"/>
      <c r="BT152" s="100"/>
      <c r="BU152" s="100"/>
      <c r="BV152" s="100"/>
      <c r="BW152" s="100"/>
      <c r="BX152" s="101"/>
      <c r="BY152" s="9"/>
      <c r="BZ152" s="9"/>
      <c r="CA152" s="9"/>
      <c r="CB152" s="9"/>
      <c r="CC152" s="9"/>
      <c r="CD152" s="9"/>
      <c r="CE152" s="9"/>
      <c r="CF152" s="9"/>
      <c r="CG152" s="9"/>
      <c r="CH152" s="9"/>
      <c r="CI152" s="9"/>
      <c r="CJ152" s="9"/>
      <c r="CK152" s="9"/>
      <c r="CL152" s="9"/>
      <c r="CM152" s="9"/>
      <c r="CN152" s="9"/>
      <c r="CO152" s="9"/>
      <c r="CP152" s="16"/>
    </row>
    <row r="153" spans="1:94" ht="15" customHeight="1" x14ac:dyDescent="0.25">
      <c r="A153" s="15"/>
      <c r="B153" s="9"/>
      <c r="D153" s="98"/>
      <c r="E153" s="99" t="s">
        <v>643</v>
      </c>
      <c r="F153" s="100"/>
      <c r="G153" s="100"/>
      <c r="H153" s="99" t="s">
        <v>643</v>
      </c>
      <c r="I153" s="100"/>
      <c r="J153" s="100"/>
      <c r="K153" s="99" t="s">
        <v>646</v>
      </c>
      <c r="L153" s="100"/>
      <c r="M153" s="100" t="s">
        <v>647</v>
      </c>
      <c r="N153" s="100"/>
      <c r="O153" s="100"/>
      <c r="P153" s="100"/>
      <c r="Q153" s="100"/>
      <c r="R153" s="100"/>
      <c r="S153" s="131" t="s">
        <v>644</v>
      </c>
      <c r="T153" s="131"/>
      <c r="U153" s="131"/>
      <c r="V153" s="131"/>
      <c r="W153" s="131" t="s">
        <v>648</v>
      </c>
      <c r="X153" s="131"/>
      <c r="Y153" s="131"/>
      <c r="Z153" s="131"/>
      <c r="AA153" s="131"/>
      <c r="AB153" s="131"/>
      <c r="AC153" s="100"/>
      <c r="AD153" s="100"/>
      <c r="AE153" s="100"/>
      <c r="AF153" s="100"/>
      <c r="AG153" s="100"/>
      <c r="AH153" s="100"/>
      <c r="AI153" s="100"/>
      <c r="AJ153" s="100"/>
      <c r="AK153" s="100"/>
      <c r="AL153" s="100"/>
      <c r="AM153" s="101"/>
      <c r="AO153" s="98"/>
      <c r="AP153" s="99" t="s">
        <v>642</v>
      </c>
      <c r="AQ153" s="100"/>
      <c r="AR153" s="100" t="s">
        <v>974</v>
      </c>
      <c r="AS153" s="100"/>
      <c r="AT153" s="100"/>
      <c r="AU153" s="100"/>
      <c r="AV153" s="100"/>
      <c r="AW153" s="100"/>
      <c r="AX153" s="100"/>
      <c r="AY153" s="131" t="s">
        <v>644</v>
      </c>
      <c r="AZ153" s="131"/>
      <c r="BA153" s="131"/>
      <c r="BB153" s="131"/>
      <c r="BC153" s="131" t="s">
        <v>975</v>
      </c>
      <c r="BE153" s="131"/>
      <c r="BF153" s="100"/>
      <c r="BG153" s="100"/>
      <c r="BH153" s="100"/>
      <c r="BI153" s="100"/>
      <c r="BJ153" s="100"/>
      <c r="BK153" s="100"/>
      <c r="BL153" s="100"/>
      <c r="BM153" s="100"/>
      <c r="BN153" s="100"/>
      <c r="BO153" s="100"/>
      <c r="BP153" s="100"/>
      <c r="BQ153" s="100"/>
      <c r="BR153" s="100"/>
      <c r="BS153" s="100"/>
      <c r="BT153" s="100"/>
      <c r="BU153" s="100"/>
      <c r="BV153" s="100"/>
      <c r="BW153" s="100"/>
      <c r="BX153" s="101"/>
      <c r="CB153" s="9"/>
      <c r="CC153" s="9"/>
      <c r="CD153" s="9"/>
      <c r="CE153" s="9"/>
      <c r="CF153" s="9"/>
      <c r="CG153" s="9"/>
      <c r="CH153" s="9"/>
      <c r="CI153" s="9"/>
      <c r="CJ153" s="9"/>
      <c r="CK153" s="9"/>
      <c r="CL153" s="9"/>
      <c r="CM153" s="9"/>
      <c r="CN153" s="9"/>
      <c r="CO153" s="9"/>
      <c r="CP153" s="16"/>
    </row>
    <row r="154" spans="1:94" ht="15" customHeight="1" x14ac:dyDescent="0.25">
      <c r="A154" s="15"/>
      <c r="B154" s="9"/>
      <c r="D154" s="98"/>
      <c r="E154" s="99" t="s">
        <v>643</v>
      </c>
      <c r="F154" s="100"/>
      <c r="G154" s="100"/>
      <c r="H154" s="99" t="s">
        <v>643</v>
      </c>
      <c r="I154" s="100"/>
      <c r="J154" s="100"/>
      <c r="K154" s="100"/>
      <c r="L154" s="100"/>
      <c r="M154" s="100"/>
      <c r="N154" s="99" t="s">
        <v>642</v>
      </c>
      <c r="O154" s="100"/>
      <c r="P154" s="100" t="s">
        <v>828</v>
      </c>
      <c r="Q154" s="100"/>
      <c r="R154" s="100"/>
      <c r="S154" s="131"/>
      <c r="T154" s="131" t="s">
        <v>644</v>
      </c>
      <c r="U154" s="131"/>
      <c r="V154" s="131"/>
      <c r="W154" s="131"/>
      <c r="X154" s="131" t="s">
        <v>829</v>
      </c>
      <c r="Y154" s="131"/>
      <c r="Z154" s="131"/>
      <c r="AA154" s="131"/>
      <c r="AB154" s="131"/>
      <c r="AC154" s="100"/>
      <c r="AD154" s="100"/>
      <c r="AE154" s="100"/>
      <c r="AF154" s="100"/>
      <c r="AG154" s="100"/>
      <c r="AH154" s="100"/>
      <c r="AI154" s="100"/>
      <c r="AJ154" s="100"/>
      <c r="AK154" s="100"/>
      <c r="AL154" s="100"/>
      <c r="AM154" s="101"/>
      <c r="AO154" s="98"/>
      <c r="AP154" s="99" t="s">
        <v>643</v>
      </c>
      <c r="AQ154" s="100"/>
      <c r="AR154" s="99"/>
      <c r="AS154" s="100"/>
      <c r="AT154" s="100"/>
      <c r="AU154" s="100"/>
      <c r="AV154" s="100"/>
      <c r="AW154" s="100"/>
      <c r="AX154" s="100"/>
      <c r="AY154" s="100"/>
      <c r="AZ154" s="100"/>
      <c r="BA154" s="100"/>
      <c r="BB154" s="100"/>
      <c r="BC154" s="100"/>
      <c r="BD154" s="100"/>
      <c r="BE154" s="100"/>
      <c r="BF154" s="100"/>
      <c r="BG154" s="100"/>
      <c r="BH154" s="100"/>
      <c r="BI154" s="100"/>
      <c r="BJ154" s="100"/>
      <c r="BK154" s="100"/>
      <c r="BL154" s="100"/>
      <c r="BM154" s="100"/>
      <c r="BN154" s="100"/>
      <c r="BO154" s="100"/>
      <c r="BP154" s="100"/>
      <c r="BQ154" s="100"/>
      <c r="BR154" s="100"/>
      <c r="BS154" s="100"/>
      <c r="BT154" s="100"/>
      <c r="BU154" s="100"/>
      <c r="BV154" s="100"/>
      <c r="BW154" s="100"/>
      <c r="BX154" s="101"/>
      <c r="CB154" s="9"/>
      <c r="CC154" s="9"/>
      <c r="CD154" s="9"/>
      <c r="CE154" s="9"/>
      <c r="CF154" s="9"/>
      <c r="CG154" s="9"/>
      <c r="CH154" s="9"/>
      <c r="CI154" s="9"/>
      <c r="CJ154" s="9"/>
      <c r="CK154" s="9"/>
      <c r="CL154" s="9"/>
      <c r="CM154" s="9"/>
      <c r="CN154" s="9"/>
      <c r="CO154" s="9"/>
      <c r="CP154" s="16"/>
    </row>
    <row r="155" spans="1:94" ht="15" customHeight="1" x14ac:dyDescent="0.25">
      <c r="A155" s="15"/>
      <c r="B155" s="9"/>
      <c r="D155" s="98"/>
      <c r="E155" s="99" t="s">
        <v>643</v>
      </c>
      <c r="F155" s="100"/>
      <c r="G155" s="100"/>
      <c r="H155" s="99" t="s">
        <v>643</v>
      </c>
      <c r="I155" s="100"/>
      <c r="J155" s="100"/>
      <c r="K155" s="100"/>
      <c r="L155" s="100"/>
      <c r="M155" s="100"/>
      <c r="N155" s="99" t="s">
        <v>643</v>
      </c>
      <c r="O155" s="100"/>
      <c r="P155" s="100"/>
      <c r="Q155" s="99" t="s">
        <v>642</v>
      </c>
      <c r="R155" s="100"/>
      <c r="S155" s="100" t="s">
        <v>835</v>
      </c>
      <c r="T155" s="100"/>
      <c r="U155" s="100"/>
      <c r="V155" s="100"/>
      <c r="W155" s="100"/>
      <c r="X155" s="100"/>
      <c r="Y155" s="100"/>
      <c r="Z155" s="100"/>
      <c r="AA155" s="100"/>
      <c r="AB155" s="100"/>
      <c r="AC155" s="100"/>
      <c r="AD155" s="100"/>
      <c r="AE155" s="100"/>
      <c r="AF155" s="100"/>
      <c r="AG155" s="100"/>
      <c r="AH155" s="100"/>
      <c r="AI155" s="100"/>
      <c r="AJ155" s="100"/>
      <c r="AK155" s="100"/>
      <c r="AL155" s="100"/>
      <c r="AM155" s="101"/>
      <c r="AO155" s="98"/>
      <c r="AP155" s="99" t="s">
        <v>642</v>
      </c>
      <c r="AQ155" s="100"/>
      <c r="AR155" s="100" t="s">
        <v>845</v>
      </c>
      <c r="AS155" s="100"/>
      <c r="AT155" s="100"/>
      <c r="AU155" s="100"/>
      <c r="AV155" s="100"/>
      <c r="AW155" s="100"/>
      <c r="AX155" s="100"/>
      <c r="AY155" s="100" t="s">
        <v>644</v>
      </c>
      <c r="AZ155" s="131"/>
      <c r="BA155" s="131"/>
      <c r="BB155" s="131"/>
      <c r="BC155" s="131" t="s">
        <v>846</v>
      </c>
      <c r="BD155" s="131"/>
      <c r="BE155" s="100"/>
      <c r="BF155" s="100"/>
      <c r="BG155" s="100"/>
      <c r="BH155" s="100"/>
      <c r="BI155" s="100"/>
      <c r="BK155" s="100"/>
      <c r="BL155" s="100"/>
      <c r="BM155" s="100"/>
      <c r="BN155" s="100"/>
      <c r="BO155" s="100"/>
      <c r="BP155" s="100"/>
      <c r="BQ155" s="100"/>
      <c r="BR155" s="100"/>
      <c r="BS155" s="100"/>
      <c r="BT155" s="100"/>
      <c r="BU155" s="100"/>
      <c r="BV155" s="100"/>
      <c r="BW155" s="100"/>
      <c r="BX155" s="101"/>
      <c r="BY155" s="9"/>
      <c r="BZ155" s="9"/>
      <c r="CA155" s="9"/>
      <c r="CB155" s="9"/>
      <c r="CC155" s="9"/>
      <c r="CD155" s="9"/>
      <c r="CE155" s="9"/>
      <c r="CF155" s="9"/>
      <c r="CG155" s="9"/>
      <c r="CH155" s="9"/>
      <c r="CI155" s="9"/>
      <c r="CJ155" s="9"/>
      <c r="CK155" s="9"/>
      <c r="CL155" s="9"/>
      <c r="CM155" s="9"/>
      <c r="CN155" s="9"/>
      <c r="CO155" s="9"/>
      <c r="CP155" s="16"/>
    </row>
    <row r="156" spans="1:94" ht="15" customHeight="1" x14ac:dyDescent="0.25">
      <c r="A156" s="15"/>
      <c r="B156" s="9"/>
      <c r="D156" s="98"/>
      <c r="E156" s="99" t="s">
        <v>643</v>
      </c>
      <c r="F156" s="100"/>
      <c r="G156" s="100"/>
      <c r="H156" s="99" t="s">
        <v>643</v>
      </c>
      <c r="I156" s="100"/>
      <c r="J156" s="100"/>
      <c r="K156" s="100"/>
      <c r="L156" s="100"/>
      <c r="M156" s="100"/>
      <c r="N156" s="99" t="s">
        <v>643</v>
      </c>
      <c r="O156" s="100"/>
      <c r="P156" s="100"/>
      <c r="Q156" s="99" t="s">
        <v>643</v>
      </c>
      <c r="R156" s="100"/>
      <c r="S156" s="100"/>
      <c r="T156" s="99" t="s">
        <v>646</v>
      </c>
      <c r="U156" s="100"/>
      <c r="V156" s="100" t="s">
        <v>836</v>
      </c>
      <c r="W156" s="100"/>
      <c r="X156" s="100"/>
      <c r="Y156" s="100"/>
      <c r="Z156" s="100"/>
      <c r="AA156" s="100"/>
      <c r="AB156" s="100"/>
      <c r="AC156" s="100"/>
      <c r="AD156" s="100"/>
      <c r="AE156" s="100"/>
      <c r="AF156" s="100"/>
      <c r="AG156" s="100"/>
      <c r="AH156" s="100"/>
      <c r="AI156" s="100"/>
      <c r="AJ156" s="100"/>
      <c r="AK156" s="100"/>
      <c r="AL156" s="100"/>
      <c r="AM156" s="101"/>
      <c r="AO156" s="98"/>
      <c r="AP156" s="99" t="s">
        <v>643</v>
      </c>
      <c r="AQ156" s="100"/>
      <c r="AR156" s="100"/>
      <c r="AS156" s="99" t="s">
        <v>642</v>
      </c>
      <c r="AT156" s="100"/>
      <c r="AU156" s="100" t="s">
        <v>847</v>
      </c>
      <c r="AV156" s="100"/>
      <c r="AW156" s="100"/>
      <c r="AX156" s="100"/>
      <c r="AY156" s="100"/>
      <c r="AZ156" s="100"/>
      <c r="BA156" s="100"/>
      <c r="BB156" s="100"/>
      <c r="BC156" s="100"/>
      <c r="BD156" s="100"/>
      <c r="BE156" s="100"/>
      <c r="BF156" s="100"/>
      <c r="BG156" s="100"/>
      <c r="BH156" s="100"/>
      <c r="BI156" s="100"/>
      <c r="BJ156" s="100"/>
      <c r="BK156" s="100"/>
      <c r="BL156" s="100"/>
      <c r="BM156" s="100"/>
      <c r="BN156" s="100"/>
      <c r="BO156" s="100"/>
      <c r="BP156" s="100"/>
      <c r="BQ156" s="100"/>
      <c r="BR156" s="100"/>
      <c r="BS156" s="100"/>
      <c r="BT156" s="100"/>
      <c r="BU156" s="100"/>
      <c r="BV156" s="100"/>
      <c r="BW156" s="100"/>
      <c r="BX156" s="101"/>
      <c r="BY156" s="9"/>
      <c r="BZ156" s="9"/>
      <c r="CA156" s="9"/>
      <c r="CB156" s="9"/>
      <c r="CC156" s="9"/>
      <c r="CD156" s="9"/>
      <c r="CE156" s="9"/>
      <c r="CF156" s="9"/>
      <c r="CG156" s="9"/>
      <c r="CH156" s="9"/>
      <c r="CI156" s="9"/>
      <c r="CJ156" s="9"/>
      <c r="CK156" s="9"/>
      <c r="CL156" s="9"/>
      <c r="CM156" s="9"/>
      <c r="CN156" s="9"/>
      <c r="CO156" s="9"/>
      <c r="CP156" s="16"/>
    </row>
    <row r="157" spans="1:94" ht="15" customHeight="1" x14ac:dyDescent="0.25">
      <c r="A157" s="15"/>
      <c r="B157" s="9"/>
      <c r="D157" s="98"/>
      <c r="E157" s="99" t="s">
        <v>643</v>
      </c>
      <c r="F157" s="100"/>
      <c r="G157" s="100"/>
      <c r="H157" s="99" t="s">
        <v>643</v>
      </c>
      <c r="I157" s="100"/>
      <c r="J157" s="100"/>
      <c r="K157" s="100"/>
      <c r="L157" s="100"/>
      <c r="M157" s="100"/>
      <c r="N157" s="99" t="s">
        <v>643</v>
      </c>
      <c r="O157" s="100"/>
      <c r="P157" s="100"/>
      <c r="Q157" s="99" t="s">
        <v>642</v>
      </c>
      <c r="R157" s="100"/>
      <c r="S157" s="100" t="s">
        <v>1075</v>
      </c>
      <c r="T157" s="100"/>
      <c r="U157" s="100"/>
      <c r="V157" s="100"/>
      <c r="W157" s="100"/>
      <c r="X157" s="100"/>
      <c r="Y157" s="100"/>
      <c r="Z157" s="100"/>
      <c r="AA157" s="100"/>
      <c r="AB157" s="100"/>
      <c r="AC157" s="100"/>
      <c r="AD157" s="100"/>
      <c r="AE157" s="100"/>
      <c r="AF157" s="100"/>
      <c r="AG157" s="100"/>
      <c r="AH157" s="100"/>
      <c r="AI157" s="100"/>
      <c r="AJ157" s="100"/>
      <c r="AK157" s="100"/>
      <c r="AL157" s="100"/>
      <c r="AM157" s="101"/>
      <c r="AO157" s="98"/>
      <c r="AP157" s="99" t="s">
        <v>643</v>
      </c>
      <c r="AQ157" s="100"/>
      <c r="AR157" s="100"/>
      <c r="AS157" s="99" t="s">
        <v>642</v>
      </c>
      <c r="AT157" s="100"/>
      <c r="AU157" s="100" t="s">
        <v>848</v>
      </c>
      <c r="AV157" s="100"/>
      <c r="AW157" s="100"/>
      <c r="AX157" s="100"/>
      <c r="AY157" s="100"/>
      <c r="AZ157" s="100"/>
      <c r="BA157" s="100"/>
      <c r="BB157" s="100"/>
      <c r="BC157" s="100"/>
      <c r="BD157" s="100"/>
      <c r="BE157" s="100"/>
      <c r="BF157" s="100"/>
      <c r="BG157" s="100"/>
      <c r="BH157" s="100"/>
      <c r="BI157" s="100"/>
      <c r="BJ157" s="100"/>
      <c r="BK157" s="100"/>
      <c r="BL157" s="100"/>
      <c r="BM157" s="100"/>
      <c r="BN157" s="100"/>
      <c r="BO157" s="100"/>
      <c r="BP157" s="100"/>
      <c r="BQ157" s="100"/>
      <c r="BR157" s="100"/>
      <c r="BS157" s="100"/>
      <c r="BT157" s="100"/>
      <c r="BU157" s="100"/>
      <c r="BV157" s="100"/>
      <c r="BW157" s="100"/>
      <c r="BX157" s="101"/>
      <c r="CF157" s="9"/>
      <c r="CG157" s="9"/>
      <c r="CH157" s="9"/>
      <c r="CI157" s="9"/>
      <c r="CJ157" s="9"/>
      <c r="CK157" s="9"/>
      <c r="CL157" s="9"/>
      <c r="CM157" s="9"/>
      <c r="CN157" s="9"/>
      <c r="CO157" s="9"/>
      <c r="CP157" s="16"/>
    </row>
    <row r="158" spans="1:94" ht="15" customHeight="1" x14ac:dyDescent="0.25">
      <c r="A158" s="15"/>
      <c r="B158" s="9"/>
      <c r="D158" s="98"/>
      <c r="E158" s="99" t="s">
        <v>643</v>
      </c>
      <c r="F158" s="100"/>
      <c r="G158" s="100"/>
      <c r="H158" s="99" t="s">
        <v>643</v>
      </c>
      <c r="I158" s="100"/>
      <c r="J158" s="100"/>
      <c r="K158" s="100"/>
      <c r="L158" s="100"/>
      <c r="M158" s="100"/>
      <c r="N158" s="99" t="s">
        <v>643</v>
      </c>
      <c r="O158" s="100"/>
      <c r="P158" s="100"/>
      <c r="Q158" s="99" t="s">
        <v>643</v>
      </c>
      <c r="R158" s="100"/>
      <c r="S158" s="100"/>
      <c r="T158" s="99" t="s">
        <v>646</v>
      </c>
      <c r="U158" s="100"/>
      <c r="V158" s="100" t="s">
        <v>836</v>
      </c>
      <c r="W158" s="100"/>
      <c r="X158" s="100"/>
      <c r="Y158" s="100"/>
      <c r="Z158" s="100"/>
      <c r="AA158" s="100"/>
      <c r="AB158" s="100"/>
      <c r="AC158" s="100"/>
      <c r="AD158" s="100"/>
      <c r="AE158" s="100"/>
      <c r="AF158" s="100"/>
      <c r="AG158" s="100"/>
      <c r="AH158" s="100"/>
      <c r="AI158" s="100"/>
      <c r="AJ158" s="100"/>
      <c r="AK158" s="100"/>
      <c r="AL158" s="100"/>
      <c r="AM158" s="101"/>
      <c r="AO158" s="98"/>
      <c r="AP158" s="99" t="s">
        <v>643</v>
      </c>
      <c r="AQ158" s="100"/>
      <c r="AR158" s="100"/>
      <c r="AS158" s="99" t="s">
        <v>646</v>
      </c>
      <c r="AT158" s="100"/>
      <c r="AU158" s="100" t="s">
        <v>1083</v>
      </c>
      <c r="AV158" s="100"/>
      <c r="AW158" s="100"/>
      <c r="AX158" s="100"/>
      <c r="AY158" s="100"/>
      <c r="AZ158" s="100"/>
      <c r="BA158" s="100"/>
      <c r="BB158" s="100"/>
      <c r="BC158" s="100"/>
      <c r="BD158" s="100"/>
      <c r="BE158" s="100"/>
      <c r="BF158" s="100"/>
      <c r="BG158" s="100"/>
      <c r="BH158" s="100"/>
      <c r="BI158" s="100"/>
      <c r="BJ158" s="100"/>
      <c r="BK158" s="100"/>
      <c r="BL158" s="100"/>
      <c r="BM158" s="100"/>
      <c r="BN158" s="100"/>
      <c r="BO158" s="100"/>
      <c r="BP158" s="100"/>
      <c r="BQ158" s="100"/>
      <c r="BR158" s="100"/>
      <c r="BS158" s="100"/>
      <c r="BT158" s="100"/>
      <c r="BU158" s="100"/>
      <c r="BV158" s="100"/>
      <c r="BW158" s="100"/>
      <c r="BX158" s="101"/>
      <c r="CF158" s="9"/>
      <c r="CG158" s="9"/>
      <c r="CH158" s="9"/>
      <c r="CI158" s="9"/>
      <c r="CJ158" s="9"/>
      <c r="CK158" s="9"/>
      <c r="CL158" s="9"/>
      <c r="CM158" s="9"/>
      <c r="CN158" s="9"/>
      <c r="CO158" s="9"/>
      <c r="CP158" s="16"/>
    </row>
    <row r="159" spans="1:94" ht="15" customHeight="1" x14ac:dyDescent="0.25">
      <c r="A159" s="15"/>
      <c r="B159" s="9"/>
      <c r="D159" s="98"/>
      <c r="E159" s="99" t="s">
        <v>643</v>
      </c>
      <c r="F159" s="100"/>
      <c r="G159" s="100"/>
      <c r="H159" s="99" t="s">
        <v>643</v>
      </c>
      <c r="I159" s="100"/>
      <c r="J159" s="100"/>
      <c r="K159" s="100"/>
      <c r="L159" s="100"/>
      <c r="M159" s="100"/>
      <c r="N159" s="99" t="s">
        <v>643</v>
      </c>
      <c r="O159" s="100"/>
      <c r="P159" s="100"/>
      <c r="Q159" s="99" t="s">
        <v>642</v>
      </c>
      <c r="R159" s="100"/>
      <c r="S159" s="100" t="s">
        <v>837</v>
      </c>
      <c r="T159" s="100"/>
      <c r="U159" s="100"/>
      <c r="V159" s="100"/>
      <c r="W159" s="100"/>
      <c r="X159" s="100"/>
      <c r="Y159" s="100"/>
      <c r="Z159" s="100"/>
      <c r="AA159" s="100"/>
      <c r="AB159" s="100"/>
      <c r="AC159" s="100"/>
      <c r="AD159" s="100"/>
      <c r="AE159" s="100"/>
      <c r="AF159" s="100"/>
      <c r="AG159" s="100"/>
      <c r="AH159" s="100"/>
      <c r="AI159" s="100"/>
      <c r="AJ159" s="100"/>
      <c r="AK159" s="100"/>
      <c r="AL159" s="100"/>
      <c r="AM159" s="101"/>
      <c r="AO159" s="98"/>
      <c r="AP159" s="99" t="s">
        <v>643</v>
      </c>
      <c r="AQ159" s="100"/>
      <c r="AR159" s="100"/>
      <c r="AS159" s="100"/>
      <c r="AT159" s="100"/>
      <c r="AU159" s="100"/>
      <c r="AV159" s="100"/>
      <c r="AW159" s="100"/>
      <c r="AX159" s="100"/>
      <c r="AY159" s="100"/>
      <c r="AZ159" s="100"/>
      <c r="BA159" s="100"/>
      <c r="BB159" s="100"/>
      <c r="BC159" s="100"/>
      <c r="BD159" s="100"/>
      <c r="BE159" s="100"/>
      <c r="BF159" s="100"/>
      <c r="BG159" s="100"/>
      <c r="BH159" s="100"/>
      <c r="BI159" s="100"/>
      <c r="BJ159" s="100"/>
      <c r="BK159" s="100"/>
      <c r="BL159" s="100"/>
      <c r="BM159" s="100"/>
      <c r="BN159" s="100"/>
      <c r="BO159" s="100"/>
      <c r="BP159" s="100"/>
      <c r="BQ159" s="100"/>
      <c r="BR159" s="100"/>
      <c r="BS159" s="100"/>
      <c r="BT159" s="100"/>
      <c r="BU159" s="100"/>
      <c r="BV159" s="100"/>
      <c r="BW159" s="100"/>
      <c r="BX159" s="101"/>
      <c r="CF159" s="9"/>
      <c r="CG159" s="9"/>
      <c r="CH159" s="9"/>
      <c r="CI159" s="9"/>
      <c r="CJ159" s="9"/>
      <c r="CK159" s="9"/>
      <c r="CL159" s="9"/>
      <c r="CM159" s="9"/>
      <c r="CN159" s="9"/>
      <c r="CO159" s="9"/>
      <c r="CP159" s="16"/>
    </row>
    <row r="160" spans="1:94" ht="15" customHeight="1" x14ac:dyDescent="0.25">
      <c r="A160" s="15"/>
      <c r="B160" s="9"/>
      <c r="D160" s="98"/>
      <c r="E160" s="99" t="s">
        <v>643</v>
      </c>
      <c r="F160" s="100"/>
      <c r="G160" s="100"/>
      <c r="H160" s="99" t="s">
        <v>643</v>
      </c>
      <c r="I160" s="100"/>
      <c r="J160" s="100"/>
      <c r="K160" s="100"/>
      <c r="L160" s="100"/>
      <c r="M160" s="100"/>
      <c r="N160" s="99" t="s">
        <v>643</v>
      </c>
      <c r="O160" s="100"/>
      <c r="P160" s="100"/>
      <c r="Q160" s="99" t="s">
        <v>642</v>
      </c>
      <c r="R160" s="100"/>
      <c r="S160" s="100" t="s">
        <v>838</v>
      </c>
      <c r="T160" s="100"/>
      <c r="U160" s="100"/>
      <c r="V160" s="100"/>
      <c r="W160" s="100"/>
      <c r="X160" s="100"/>
      <c r="Y160" s="100"/>
      <c r="Z160" s="100"/>
      <c r="AA160" s="100"/>
      <c r="AB160" s="100"/>
      <c r="AC160" s="100"/>
      <c r="AD160" s="100"/>
      <c r="AE160" s="100"/>
      <c r="AF160" s="100"/>
      <c r="AG160" s="100"/>
      <c r="AH160" s="100"/>
      <c r="AI160" s="100"/>
      <c r="AJ160" s="100"/>
      <c r="AK160" s="100"/>
      <c r="AL160" s="100"/>
      <c r="AM160" s="101"/>
      <c r="AO160" s="98"/>
      <c r="AP160" s="99" t="s">
        <v>642</v>
      </c>
      <c r="AQ160" s="100"/>
      <c r="AR160" s="100" t="s">
        <v>1084</v>
      </c>
      <c r="AS160" s="100"/>
      <c r="AT160" s="100"/>
      <c r="AU160" s="100"/>
      <c r="AV160" s="100"/>
      <c r="AW160" s="100"/>
      <c r="AX160" s="100"/>
      <c r="AY160" s="100"/>
      <c r="AZ160" s="100"/>
      <c r="BA160" s="131" t="s">
        <v>644</v>
      </c>
      <c r="BB160" s="131"/>
      <c r="BC160" s="131"/>
      <c r="BD160" s="131"/>
      <c r="BE160" s="131" t="s">
        <v>1085</v>
      </c>
      <c r="BF160" s="100"/>
      <c r="BG160" s="100"/>
      <c r="BH160" s="100"/>
      <c r="BI160" s="100"/>
      <c r="BJ160" s="100"/>
      <c r="BK160" s="100"/>
      <c r="BL160" s="100"/>
      <c r="BM160" s="100"/>
      <c r="BN160" s="100"/>
      <c r="BO160" s="100"/>
      <c r="BP160" s="100"/>
      <c r="BQ160" s="100"/>
      <c r="BR160" s="100"/>
      <c r="BS160" s="100"/>
      <c r="BT160" s="100"/>
      <c r="BU160" s="100"/>
      <c r="BV160" s="100"/>
      <c r="BW160" s="100"/>
      <c r="BX160" s="101"/>
      <c r="CF160" s="9"/>
      <c r="CG160" s="9"/>
      <c r="CH160" s="9"/>
      <c r="CI160" s="9"/>
      <c r="CJ160" s="9"/>
      <c r="CK160" s="9"/>
      <c r="CL160" s="9"/>
      <c r="CM160" s="9"/>
      <c r="CN160" s="9"/>
      <c r="CO160" s="9"/>
      <c r="CP160" s="16"/>
    </row>
    <row r="161" spans="1:94" ht="15" customHeight="1" x14ac:dyDescent="0.25">
      <c r="A161" s="15"/>
      <c r="B161" s="9"/>
      <c r="D161" s="98"/>
      <c r="E161" s="99" t="s">
        <v>643</v>
      </c>
      <c r="F161" s="100"/>
      <c r="G161" s="100"/>
      <c r="H161" s="99" t="s">
        <v>643</v>
      </c>
      <c r="I161" s="100"/>
      <c r="J161" s="100"/>
      <c r="K161" s="100"/>
      <c r="L161" s="100"/>
      <c r="M161" s="100"/>
      <c r="N161" s="99" t="s">
        <v>643</v>
      </c>
      <c r="O161" s="100"/>
      <c r="P161" s="100"/>
      <c r="Q161" s="99" t="s">
        <v>642</v>
      </c>
      <c r="R161" s="100"/>
      <c r="S161" s="100" t="s">
        <v>1076</v>
      </c>
      <c r="T161" s="100"/>
      <c r="U161" s="100"/>
      <c r="V161" s="100"/>
      <c r="W161" s="100"/>
      <c r="X161" s="100"/>
      <c r="Y161" s="100"/>
      <c r="Z161" s="100"/>
      <c r="AA161" s="100"/>
      <c r="AB161" s="100"/>
      <c r="AC161" s="100"/>
      <c r="AD161" s="100"/>
      <c r="AE161" s="100"/>
      <c r="AF161" s="100"/>
      <c r="AG161" s="100"/>
      <c r="AH161" s="100"/>
      <c r="AI161" s="100"/>
      <c r="AJ161" s="100"/>
      <c r="AK161" s="100"/>
      <c r="AL161" s="100"/>
      <c r="AM161" s="101"/>
      <c r="AO161" s="98"/>
      <c r="AP161" s="99" t="s">
        <v>643</v>
      </c>
      <c r="AQ161" s="100"/>
      <c r="AR161" s="100"/>
      <c r="AS161" s="99" t="s">
        <v>642</v>
      </c>
      <c r="AT161" s="100"/>
      <c r="AU161" s="100" t="s">
        <v>1086</v>
      </c>
      <c r="AV161" s="100"/>
      <c r="AW161" s="100"/>
      <c r="AX161" s="100"/>
      <c r="AY161" s="100"/>
      <c r="AZ161" s="100"/>
      <c r="BA161" s="100"/>
      <c r="BB161" s="100"/>
      <c r="BC161" s="100"/>
      <c r="BD161" s="100"/>
      <c r="BE161" s="131" t="s">
        <v>1090</v>
      </c>
      <c r="BF161" s="131"/>
      <c r="BG161" s="131"/>
      <c r="BH161" s="131"/>
      <c r="BI161" s="131"/>
      <c r="BJ161" s="100"/>
      <c r="BK161" s="100"/>
      <c r="BL161" s="100"/>
      <c r="BM161" s="100"/>
      <c r="BN161" s="100"/>
      <c r="BO161" s="100"/>
      <c r="BP161" s="100"/>
      <c r="BQ161" s="100"/>
      <c r="BR161" s="100"/>
      <c r="BS161" s="100"/>
      <c r="BT161" s="100"/>
      <c r="BU161" s="100"/>
      <c r="BV161" s="100"/>
      <c r="BW161" s="100"/>
      <c r="BX161" s="101"/>
      <c r="CF161" s="9"/>
      <c r="CG161" s="9"/>
      <c r="CH161" s="9"/>
      <c r="CI161" s="9"/>
      <c r="CJ161" s="9"/>
      <c r="CK161" s="9"/>
      <c r="CL161" s="9"/>
      <c r="CM161" s="9"/>
      <c r="CN161" s="9"/>
      <c r="CO161" s="9"/>
      <c r="CP161" s="16"/>
    </row>
    <row r="162" spans="1:94" ht="15" customHeight="1" x14ac:dyDescent="0.25">
      <c r="A162" s="15"/>
      <c r="B162" s="9"/>
      <c r="D162" s="98"/>
      <c r="E162" s="99" t="s">
        <v>643</v>
      </c>
      <c r="F162" s="100"/>
      <c r="G162" s="100"/>
      <c r="H162" s="99" t="s">
        <v>643</v>
      </c>
      <c r="I162" s="100"/>
      <c r="J162" s="100"/>
      <c r="K162" s="100"/>
      <c r="L162" s="100"/>
      <c r="M162" s="100"/>
      <c r="N162" s="99" t="s">
        <v>643</v>
      </c>
      <c r="O162" s="100"/>
      <c r="P162" s="100"/>
      <c r="Q162" s="99" t="s">
        <v>646</v>
      </c>
      <c r="R162" s="100"/>
      <c r="S162" s="100" t="s">
        <v>839</v>
      </c>
      <c r="T162" s="100"/>
      <c r="U162" s="100"/>
      <c r="V162" s="100"/>
      <c r="W162" s="100"/>
      <c r="X162" s="100"/>
      <c r="Y162" s="100"/>
      <c r="Z162" s="100"/>
      <c r="AA162" s="100"/>
      <c r="AB162" s="100"/>
      <c r="AC162" s="100"/>
      <c r="AD162" s="100"/>
      <c r="AE162" s="100"/>
      <c r="AF162" s="100"/>
      <c r="AG162" s="100"/>
      <c r="AH162" s="100"/>
      <c r="AI162" s="100"/>
      <c r="AJ162" s="100"/>
      <c r="AK162" s="100"/>
      <c r="AL162" s="100"/>
      <c r="AM162" s="101"/>
      <c r="AO162" s="98"/>
      <c r="AP162" s="99" t="s">
        <v>643</v>
      </c>
      <c r="AQ162" s="100"/>
      <c r="AR162" s="100"/>
      <c r="AS162" s="99" t="s">
        <v>642</v>
      </c>
      <c r="AT162" s="100"/>
      <c r="AU162" s="100" t="s">
        <v>1088</v>
      </c>
      <c r="AV162" s="100"/>
      <c r="AW162" s="100"/>
      <c r="AX162" s="100"/>
      <c r="AY162" s="100"/>
      <c r="AZ162" s="100"/>
      <c r="BA162" s="100"/>
      <c r="BB162" s="100"/>
      <c r="BC162" s="100"/>
      <c r="BD162" s="100"/>
      <c r="BE162" s="100"/>
      <c r="BF162" s="100"/>
      <c r="BG162" s="100"/>
      <c r="BH162" s="100"/>
      <c r="BI162" s="100"/>
      <c r="BJ162" s="100"/>
      <c r="BK162" s="100"/>
      <c r="BL162" s="100"/>
      <c r="BM162" s="100"/>
      <c r="BN162" s="100"/>
      <c r="BO162" s="100"/>
      <c r="BP162" s="100"/>
      <c r="BQ162" s="100"/>
      <c r="BR162" s="100"/>
      <c r="BS162" s="100"/>
      <c r="BT162" s="100"/>
      <c r="BU162" s="100"/>
      <c r="BV162" s="100"/>
      <c r="BW162" s="100"/>
      <c r="BX162" s="101"/>
      <c r="CF162" s="9"/>
      <c r="CG162" s="9"/>
      <c r="CH162" s="9"/>
      <c r="CI162" s="9"/>
      <c r="CJ162" s="9"/>
      <c r="CK162" s="9"/>
      <c r="CL162" s="9"/>
      <c r="CM162" s="9"/>
      <c r="CN162" s="9"/>
      <c r="CO162" s="9"/>
      <c r="CP162" s="16"/>
    </row>
    <row r="163" spans="1:94" ht="15" customHeight="1" x14ac:dyDescent="0.25">
      <c r="A163" s="15"/>
      <c r="B163" s="9"/>
      <c r="D163" s="98"/>
      <c r="E163" s="99" t="s">
        <v>643</v>
      </c>
      <c r="F163" s="100"/>
      <c r="G163" s="100"/>
      <c r="H163" s="99" t="s">
        <v>643</v>
      </c>
      <c r="I163" s="100"/>
      <c r="J163" s="100"/>
      <c r="K163" s="100"/>
      <c r="L163" s="100"/>
      <c r="M163" s="100"/>
      <c r="N163" s="99" t="s">
        <v>646</v>
      </c>
      <c r="O163" s="100"/>
      <c r="P163" s="100" t="s">
        <v>649</v>
      </c>
      <c r="Q163" s="100"/>
      <c r="R163" s="100"/>
      <c r="S163" s="100"/>
      <c r="T163" s="131" t="s">
        <v>644</v>
      </c>
      <c r="U163" s="131"/>
      <c r="V163" s="131"/>
      <c r="W163" s="131"/>
      <c r="X163" s="131" t="s">
        <v>650</v>
      </c>
      <c r="Y163" s="131"/>
      <c r="Z163" s="131"/>
      <c r="AA163" s="100"/>
      <c r="AB163" s="100"/>
      <c r="AC163" s="100"/>
      <c r="AD163" s="100"/>
      <c r="AE163" s="100"/>
      <c r="AF163" s="100"/>
      <c r="AG163" s="100"/>
      <c r="AH163" s="100"/>
      <c r="AI163" s="100"/>
      <c r="AJ163" s="100"/>
      <c r="AK163" s="100"/>
      <c r="AL163" s="100"/>
      <c r="AM163" s="101"/>
      <c r="AO163" s="98"/>
      <c r="AP163" s="99" t="s">
        <v>643</v>
      </c>
      <c r="AQ163" s="100"/>
      <c r="AR163" s="100"/>
      <c r="AS163" s="99" t="s">
        <v>642</v>
      </c>
      <c r="AT163" s="100"/>
      <c r="AU163" s="100" t="s">
        <v>1087</v>
      </c>
      <c r="AV163" s="100"/>
      <c r="AW163" s="100"/>
      <c r="AX163" s="100"/>
      <c r="AY163" s="100"/>
      <c r="AZ163" s="100"/>
      <c r="BA163" s="100"/>
      <c r="BB163" s="100"/>
      <c r="BC163" s="100"/>
      <c r="BD163" s="100"/>
      <c r="BE163" s="100"/>
      <c r="BF163" s="100"/>
      <c r="BG163" s="100"/>
      <c r="BH163" s="100"/>
      <c r="BI163" s="100"/>
      <c r="BJ163" s="100"/>
      <c r="BK163" s="100"/>
      <c r="BL163" s="100"/>
      <c r="BM163" s="100"/>
      <c r="BN163" s="100"/>
      <c r="BO163" s="100"/>
      <c r="BP163" s="100"/>
      <c r="BQ163" s="100"/>
      <c r="BR163" s="100"/>
      <c r="BS163" s="100"/>
      <c r="BT163" s="100"/>
      <c r="BU163" s="100"/>
      <c r="BV163" s="100"/>
      <c r="BW163" s="100"/>
      <c r="BX163" s="101"/>
      <c r="CF163" s="9"/>
      <c r="CG163" s="9"/>
      <c r="CH163" s="9"/>
      <c r="CI163" s="9"/>
      <c r="CJ163" s="9"/>
      <c r="CK163" s="9"/>
      <c r="CL163" s="9"/>
      <c r="CM163" s="9"/>
      <c r="CN163" s="9"/>
      <c r="CO163" s="9"/>
      <c r="CP163" s="16"/>
    </row>
    <row r="164" spans="1:94" ht="15" customHeight="1" x14ac:dyDescent="0.25">
      <c r="A164" s="15"/>
      <c r="B164" s="9"/>
      <c r="D164" s="98"/>
      <c r="E164" s="99" t="s">
        <v>641</v>
      </c>
      <c r="F164" s="100"/>
      <c r="G164" s="100"/>
      <c r="H164" s="99" t="s">
        <v>643</v>
      </c>
      <c r="I164" s="100"/>
      <c r="J164" s="100"/>
      <c r="K164" s="100"/>
      <c r="L164" s="100"/>
      <c r="M164" s="100"/>
      <c r="N164" s="100"/>
      <c r="O164" s="100"/>
      <c r="P164" s="100"/>
      <c r="Q164" s="100"/>
      <c r="R164" s="100"/>
      <c r="S164" s="100"/>
      <c r="T164" s="100"/>
      <c r="U164" s="100"/>
      <c r="V164" s="100"/>
      <c r="W164" s="100"/>
      <c r="X164" s="100"/>
      <c r="Y164" s="100"/>
      <c r="Z164" s="100"/>
      <c r="AA164" s="100"/>
      <c r="AB164" s="100"/>
      <c r="AC164" s="100"/>
      <c r="AD164" s="100"/>
      <c r="AE164" s="100"/>
      <c r="AF164" s="100"/>
      <c r="AG164" s="100"/>
      <c r="AH164" s="100"/>
      <c r="AI164" s="100"/>
      <c r="AJ164" s="100"/>
      <c r="AK164" s="100"/>
      <c r="AL164" s="100"/>
      <c r="AM164" s="101"/>
      <c r="AN164" s="9"/>
      <c r="AO164" s="98"/>
      <c r="AP164" s="99" t="s">
        <v>643</v>
      </c>
      <c r="AQ164" s="100"/>
      <c r="AR164" s="100"/>
      <c r="AS164" s="99" t="s">
        <v>646</v>
      </c>
      <c r="AT164" s="100"/>
      <c r="AU164" s="100" t="s">
        <v>1089</v>
      </c>
      <c r="AV164" s="100"/>
      <c r="AW164" s="100"/>
      <c r="AX164" s="100"/>
      <c r="AY164" s="100"/>
      <c r="AZ164" s="100"/>
      <c r="BA164" s="100"/>
      <c r="BB164" s="100"/>
      <c r="BC164" s="100"/>
      <c r="BD164" s="100"/>
      <c r="BE164" s="100"/>
      <c r="BF164" s="100"/>
      <c r="BG164" s="100"/>
      <c r="BH164" s="100"/>
      <c r="BI164" s="100"/>
      <c r="BJ164" s="100"/>
      <c r="BK164" s="100"/>
      <c r="BL164" s="100"/>
      <c r="BM164" s="100"/>
      <c r="BN164" s="131"/>
      <c r="BO164" s="131"/>
      <c r="BP164" s="131"/>
      <c r="BQ164" s="131"/>
      <c r="BR164" s="131"/>
      <c r="BS164" s="131"/>
      <c r="BT164" s="131"/>
      <c r="BU164" s="131"/>
      <c r="BV164" s="131"/>
      <c r="BW164" s="131"/>
      <c r="BX164" s="101"/>
      <c r="CF164" s="9"/>
      <c r="CG164" s="9"/>
      <c r="CH164" s="9"/>
      <c r="CI164" s="9"/>
      <c r="CJ164" s="9"/>
      <c r="CK164" s="9"/>
      <c r="CL164" s="9"/>
      <c r="CM164" s="9"/>
      <c r="CN164" s="9"/>
      <c r="CO164" s="9"/>
      <c r="CP164" s="16"/>
    </row>
    <row r="165" spans="1:94" ht="15" customHeight="1" x14ac:dyDescent="0.25">
      <c r="A165" s="15"/>
      <c r="B165" s="9"/>
      <c r="D165" s="98"/>
      <c r="E165" s="99" t="s">
        <v>641</v>
      </c>
      <c r="F165" s="100"/>
      <c r="G165" s="100"/>
      <c r="H165" s="99" t="s">
        <v>643</v>
      </c>
      <c r="I165" s="100"/>
      <c r="J165" s="100"/>
      <c r="K165" s="100"/>
      <c r="L165" s="100"/>
      <c r="M165" s="100"/>
      <c r="N165" s="100"/>
      <c r="O165" s="100"/>
      <c r="P165" s="100"/>
      <c r="Q165" s="100"/>
      <c r="R165" s="100"/>
      <c r="S165" s="100"/>
      <c r="T165" s="100"/>
      <c r="U165" s="100"/>
      <c r="V165" s="100"/>
      <c r="W165" s="100"/>
      <c r="X165" s="100"/>
      <c r="Y165" s="100"/>
      <c r="Z165" s="100"/>
      <c r="AA165" s="100"/>
      <c r="AB165" s="100"/>
      <c r="AC165" s="100"/>
      <c r="AD165" s="100"/>
      <c r="AE165" s="100"/>
      <c r="AF165" s="100"/>
      <c r="AG165" s="100"/>
      <c r="AH165" s="100"/>
      <c r="AI165" s="100"/>
      <c r="AJ165" s="100"/>
      <c r="AK165" s="100"/>
      <c r="AL165" s="100"/>
      <c r="AM165" s="101"/>
      <c r="AN165" s="9"/>
      <c r="AO165" s="98"/>
      <c r="AP165" s="99" t="s">
        <v>642</v>
      </c>
      <c r="AQ165" s="100"/>
      <c r="AR165" s="100" t="s">
        <v>1091</v>
      </c>
      <c r="AS165" s="100"/>
      <c r="AT165" s="100"/>
      <c r="AU165" s="100"/>
      <c r="AV165" s="100"/>
      <c r="AW165" s="100"/>
      <c r="AX165" s="100"/>
      <c r="AY165" s="131" t="s">
        <v>644</v>
      </c>
      <c r="AZ165" s="100"/>
      <c r="BA165" s="100"/>
      <c r="BB165" s="100"/>
      <c r="BC165" s="131" t="s">
        <v>1069</v>
      </c>
      <c r="BD165" s="131"/>
      <c r="BE165" s="100"/>
      <c r="BF165" s="100"/>
      <c r="BG165" s="100"/>
      <c r="BH165" s="100"/>
      <c r="BI165" s="100"/>
      <c r="BJ165" s="100"/>
      <c r="BK165" s="100"/>
      <c r="BL165" s="131"/>
      <c r="BM165" s="131"/>
      <c r="BN165" s="131"/>
      <c r="BO165" s="131"/>
      <c r="BP165" s="131"/>
      <c r="BQ165" s="131"/>
      <c r="BR165" s="131"/>
      <c r="BS165" s="131"/>
      <c r="BT165" s="131"/>
      <c r="BU165" s="131"/>
      <c r="BV165" s="131"/>
      <c r="BW165" s="131"/>
      <c r="BX165" s="101"/>
      <c r="CF165" s="9"/>
      <c r="CG165" s="9"/>
      <c r="CH165" s="9"/>
      <c r="CI165" s="9"/>
      <c r="CJ165" s="9"/>
      <c r="CK165" s="9"/>
      <c r="CL165" s="9"/>
      <c r="CM165" s="9"/>
      <c r="CN165" s="9"/>
      <c r="CO165" s="9"/>
      <c r="CP165" s="16"/>
    </row>
    <row r="166" spans="1:94" ht="15" customHeight="1" x14ac:dyDescent="0.25">
      <c r="A166" s="15"/>
      <c r="B166" s="9"/>
      <c r="D166" s="98"/>
      <c r="E166" s="99" t="s">
        <v>641</v>
      </c>
      <c r="F166" s="99"/>
      <c r="G166" s="100"/>
      <c r="H166" s="99" t="s">
        <v>642</v>
      </c>
      <c r="I166" s="100"/>
      <c r="J166" s="100" t="s">
        <v>656</v>
      </c>
      <c r="K166" s="100"/>
      <c r="L166" s="100"/>
      <c r="M166" s="100"/>
      <c r="N166" s="100"/>
      <c r="O166" s="100"/>
      <c r="P166" s="100"/>
      <c r="Q166" s="131" t="s">
        <v>644</v>
      </c>
      <c r="R166" s="131"/>
      <c r="S166" s="131"/>
      <c r="T166" s="131"/>
      <c r="U166" s="131" t="s">
        <v>657</v>
      </c>
      <c r="V166" s="131"/>
      <c r="W166" s="131"/>
      <c r="X166" s="100"/>
      <c r="Y166" s="100"/>
      <c r="Z166" s="100"/>
      <c r="AA166" s="100"/>
      <c r="AB166" s="100"/>
      <c r="AC166" s="100"/>
      <c r="AD166" s="100"/>
      <c r="AE166" s="100"/>
      <c r="AF166" s="100"/>
      <c r="AG166" s="100"/>
      <c r="AH166" s="100"/>
      <c r="AI166" s="100"/>
      <c r="AJ166" s="100"/>
      <c r="AK166" s="100"/>
      <c r="AL166" s="100"/>
      <c r="AM166" s="101"/>
      <c r="AN166" s="9"/>
      <c r="AO166" s="98"/>
      <c r="AP166" s="99" t="s">
        <v>643</v>
      </c>
      <c r="AQ166" s="100"/>
      <c r="AR166" s="100"/>
      <c r="AS166" s="99" t="s">
        <v>642</v>
      </c>
      <c r="AT166" s="100"/>
      <c r="AU166" s="100" t="s">
        <v>606</v>
      </c>
      <c r="AV166" s="100"/>
      <c r="AW166" s="100"/>
      <c r="AX166" s="100"/>
      <c r="AY166" s="100"/>
      <c r="AZ166" s="100"/>
      <c r="BA166" s="100"/>
      <c r="BB166" s="131" t="s">
        <v>644</v>
      </c>
      <c r="BC166" s="100"/>
      <c r="BD166" s="100"/>
      <c r="BE166" s="100"/>
      <c r="BF166" s="131" t="s">
        <v>1212</v>
      </c>
      <c r="BG166" s="100"/>
      <c r="BH166" s="100"/>
      <c r="BI166" s="100"/>
      <c r="BJ166" s="100"/>
      <c r="BK166" s="100"/>
      <c r="BL166" s="100"/>
      <c r="BM166" s="100"/>
      <c r="BN166" s="100"/>
      <c r="BO166" s="100"/>
      <c r="BP166" s="100"/>
      <c r="BQ166" s="100"/>
      <c r="BR166" s="100"/>
      <c r="BS166" s="100"/>
      <c r="BT166" s="100"/>
      <c r="BU166" s="100"/>
      <c r="BV166" s="100"/>
      <c r="BW166" s="100"/>
      <c r="BX166" s="101"/>
      <c r="CF166" s="9"/>
      <c r="CG166" s="9"/>
      <c r="CH166" s="9"/>
      <c r="CI166" s="9"/>
      <c r="CJ166" s="9"/>
      <c r="CK166" s="9"/>
      <c r="CL166" s="9"/>
      <c r="CM166" s="9"/>
      <c r="CN166" s="9"/>
      <c r="CO166" s="9"/>
      <c r="CP166" s="16"/>
    </row>
    <row r="167" spans="1:94" ht="15" customHeight="1" x14ac:dyDescent="0.25">
      <c r="A167" s="15"/>
      <c r="B167" s="9"/>
      <c r="D167" s="98"/>
      <c r="E167" s="99" t="s">
        <v>641</v>
      </c>
      <c r="F167" s="100"/>
      <c r="G167" s="100"/>
      <c r="H167" s="99" t="s">
        <v>643</v>
      </c>
      <c r="I167" s="100"/>
      <c r="J167" s="100"/>
      <c r="K167" s="99" t="s">
        <v>1202</v>
      </c>
      <c r="L167" s="100"/>
      <c r="M167" s="100"/>
      <c r="N167" s="100"/>
      <c r="O167" s="100"/>
      <c r="P167" s="100"/>
      <c r="Q167" s="131"/>
      <c r="R167" s="131"/>
      <c r="S167" s="131"/>
      <c r="T167" s="131"/>
      <c r="U167" s="131"/>
      <c r="V167" s="131"/>
      <c r="W167" s="131"/>
      <c r="X167" s="100"/>
      <c r="Y167" s="100"/>
      <c r="Z167" s="100"/>
      <c r="AA167" s="100"/>
      <c r="AB167" s="100"/>
      <c r="AC167" s="100"/>
      <c r="AD167" s="100"/>
      <c r="AE167" s="100"/>
      <c r="AF167" s="100"/>
      <c r="AG167" s="100"/>
      <c r="AH167" s="100"/>
      <c r="AI167" s="100"/>
      <c r="AJ167" s="100"/>
      <c r="AK167" s="100"/>
      <c r="AL167" s="100"/>
      <c r="AM167" s="101"/>
      <c r="AN167" s="9"/>
      <c r="AO167" s="98"/>
      <c r="AP167" s="99" t="s">
        <v>643</v>
      </c>
      <c r="AQ167" s="100"/>
      <c r="AR167" s="100"/>
      <c r="AS167" s="100"/>
      <c r="AT167" s="100"/>
      <c r="AU167" s="100"/>
      <c r="AV167" s="99" t="s">
        <v>642</v>
      </c>
      <c r="AW167" s="100"/>
      <c r="AX167" s="100" t="s">
        <v>1208</v>
      </c>
      <c r="AY167" s="100"/>
      <c r="AZ167" s="100"/>
      <c r="BA167" s="100"/>
      <c r="BB167" s="100"/>
      <c r="BC167" s="100"/>
      <c r="BD167" s="100"/>
      <c r="BE167" s="100"/>
      <c r="BF167" s="100"/>
      <c r="BG167" s="100"/>
      <c r="BH167" s="100"/>
      <c r="BI167" s="100"/>
      <c r="BJ167" s="100"/>
      <c r="BK167" s="100"/>
      <c r="BL167" s="100"/>
      <c r="BM167" s="100"/>
      <c r="BN167" s="100"/>
      <c r="BO167" s="100"/>
      <c r="BP167" s="100"/>
      <c r="BQ167" s="100"/>
      <c r="BR167" s="100"/>
      <c r="BS167" s="100"/>
      <c r="BT167" s="100"/>
      <c r="BU167" s="100"/>
      <c r="BV167" s="100"/>
      <c r="BW167" s="100"/>
      <c r="BX167" s="101"/>
      <c r="CF167" s="9"/>
      <c r="CG167" s="9"/>
      <c r="CH167" s="9"/>
      <c r="CI167" s="9"/>
      <c r="CJ167" s="9"/>
      <c r="CK167" s="9"/>
      <c r="CL167" s="9"/>
      <c r="CM167" s="9"/>
      <c r="CN167" s="9"/>
      <c r="CO167" s="9"/>
      <c r="CP167" s="16"/>
    </row>
    <row r="168" spans="1:94" ht="15" customHeight="1" x14ac:dyDescent="0.25">
      <c r="A168" s="15"/>
      <c r="B168" s="9"/>
      <c r="D168" s="98"/>
      <c r="E168" s="99" t="s">
        <v>641</v>
      </c>
      <c r="F168" s="100"/>
      <c r="G168" s="100"/>
      <c r="H168" s="99" t="s">
        <v>642</v>
      </c>
      <c r="I168" s="100"/>
      <c r="J168" s="100" t="s">
        <v>658</v>
      </c>
      <c r="K168" s="100"/>
      <c r="L168" s="100"/>
      <c r="M168" s="100"/>
      <c r="N168" s="100"/>
      <c r="O168" s="100"/>
      <c r="P168" s="100"/>
      <c r="Q168" s="131" t="s">
        <v>644</v>
      </c>
      <c r="R168" s="131"/>
      <c r="S168" s="131"/>
      <c r="T168" s="131"/>
      <c r="U168" s="131" t="s">
        <v>659</v>
      </c>
      <c r="V168" s="131"/>
      <c r="W168" s="131"/>
      <c r="X168" s="100"/>
      <c r="Y168" s="100"/>
      <c r="Z168" s="100"/>
      <c r="AA168" s="100"/>
      <c r="AB168" s="100"/>
      <c r="AC168" s="100"/>
      <c r="AD168" s="100"/>
      <c r="AE168" s="100"/>
      <c r="AF168" s="100"/>
      <c r="AG168" s="100"/>
      <c r="AH168" s="100"/>
      <c r="AI168" s="100"/>
      <c r="AJ168" s="100"/>
      <c r="AK168" s="100"/>
      <c r="AL168" s="100"/>
      <c r="AM168" s="101"/>
      <c r="AN168" s="9"/>
      <c r="AO168" s="98"/>
      <c r="AP168" s="99" t="s">
        <v>643</v>
      </c>
      <c r="AQ168" s="100"/>
      <c r="AR168" s="100"/>
      <c r="AS168" s="100"/>
      <c r="AT168" s="100"/>
      <c r="AU168" s="100"/>
      <c r="AV168" s="99" t="s">
        <v>642</v>
      </c>
      <c r="AW168" s="100"/>
      <c r="AX168" s="100" t="s">
        <v>1209</v>
      </c>
      <c r="AY168" s="100"/>
      <c r="AZ168" s="100"/>
      <c r="BA168" s="100"/>
      <c r="BB168" s="100"/>
      <c r="BC168" s="100"/>
      <c r="BD168" s="100"/>
      <c r="BE168" s="100"/>
      <c r="BF168" s="131" t="s">
        <v>1213</v>
      </c>
      <c r="BG168" s="100"/>
      <c r="BH168" s="100"/>
      <c r="BI168" s="100"/>
      <c r="BJ168" s="100"/>
      <c r="BK168" s="100"/>
      <c r="BL168" s="100"/>
      <c r="BM168" s="100"/>
      <c r="BN168" s="100"/>
      <c r="BO168" s="100"/>
      <c r="BP168" s="100"/>
      <c r="BQ168" s="100"/>
      <c r="BR168" s="100"/>
      <c r="BS168" s="100"/>
      <c r="BT168" s="100"/>
      <c r="BU168" s="100"/>
      <c r="BV168" s="100"/>
      <c r="BW168" s="100"/>
      <c r="BX168" s="101"/>
      <c r="CF168" s="9"/>
      <c r="CG168" s="9"/>
      <c r="CH168" s="9"/>
      <c r="CI168" s="9"/>
      <c r="CJ168" s="9"/>
      <c r="CK168" s="9"/>
      <c r="CL168" s="9"/>
      <c r="CM168" s="9"/>
      <c r="CN168" s="9"/>
      <c r="CO168" s="9"/>
      <c r="CP168" s="16"/>
    </row>
    <row r="169" spans="1:94" ht="15" customHeight="1" x14ac:dyDescent="0.25">
      <c r="A169" s="15"/>
      <c r="B169" s="9"/>
      <c r="D169" s="98"/>
      <c r="E169" s="99" t="s">
        <v>641</v>
      </c>
      <c r="F169" s="100"/>
      <c r="G169" s="100"/>
      <c r="H169" s="99" t="s">
        <v>642</v>
      </c>
      <c r="I169" s="100"/>
      <c r="J169" s="100" t="s">
        <v>1205</v>
      </c>
      <c r="K169" s="100"/>
      <c r="L169" s="100"/>
      <c r="M169" s="100"/>
      <c r="N169" s="100"/>
      <c r="O169" s="100"/>
      <c r="P169" s="100"/>
      <c r="Q169" s="100"/>
      <c r="R169" s="100"/>
      <c r="S169" s="100"/>
      <c r="T169" s="100"/>
      <c r="U169" s="131" t="s">
        <v>644</v>
      </c>
      <c r="V169" s="131"/>
      <c r="W169" s="131"/>
      <c r="X169" s="131"/>
      <c r="Y169" s="131" t="s">
        <v>818</v>
      </c>
      <c r="Z169" s="100"/>
      <c r="AA169" s="100"/>
      <c r="AB169" s="100"/>
      <c r="AC169" s="100"/>
      <c r="AD169" s="100"/>
      <c r="AE169" s="100"/>
      <c r="AF169" s="100"/>
      <c r="AG169" s="100"/>
      <c r="AH169" s="100"/>
      <c r="AI169" s="100"/>
      <c r="AJ169" s="100"/>
      <c r="AK169" s="100"/>
      <c r="AL169" s="100"/>
      <c r="AM169" s="101"/>
      <c r="AN169" s="9"/>
      <c r="AO169" s="98"/>
      <c r="AP169" s="99" t="s">
        <v>643</v>
      </c>
      <c r="AQ169" s="100"/>
      <c r="AR169" s="100"/>
      <c r="AS169" s="100"/>
      <c r="AT169" s="100"/>
      <c r="AU169" s="100"/>
      <c r="AV169" s="99" t="s">
        <v>642</v>
      </c>
      <c r="AW169" s="100"/>
      <c r="AX169" s="100" t="s">
        <v>1207</v>
      </c>
      <c r="AY169" s="100"/>
      <c r="AZ169" s="100"/>
      <c r="BA169" s="100"/>
      <c r="BB169" s="100"/>
      <c r="BC169" s="100"/>
      <c r="BD169" s="100"/>
      <c r="BE169" s="100"/>
      <c r="BF169" s="100"/>
      <c r="BG169" s="100"/>
      <c r="BH169" s="100"/>
      <c r="BI169" s="100"/>
      <c r="BJ169" s="100"/>
      <c r="BK169" s="100"/>
      <c r="BL169" s="100"/>
      <c r="BM169" s="100"/>
      <c r="BN169" s="100"/>
      <c r="BO169" s="100"/>
      <c r="BP169" s="100"/>
      <c r="BQ169" s="100"/>
      <c r="BR169" s="100"/>
      <c r="BS169" s="100"/>
      <c r="BT169" s="100"/>
      <c r="BU169" s="100"/>
      <c r="BV169" s="100"/>
      <c r="BW169" s="100"/>
      <c r="BX169" s="101"/>
      <c r="CF169" s="9"/>
      <c r="CG169" s="9"/>
      <c r="CH169" s="9"/>
      <c r="CI169" s="9"/>
      <c r="CJ169" s="9"/>
      <c r="CK169" s="9"/>
      <c r="CL169" s="9"/>
      <c r="CM169" s="9"/>
      <c r="CN169" s="9"/>
      <c r="CO169" s="9"/>
      <c r="CP169" s="16"/>
    </row>
    <row r="170" spans="1:94" ht="15" customHeight="1" x14ac:dyDescent="0.25">
      <c r="A170" s="15"/>
      <c r="B170" s="9"/>
      <c r="D170" s="98"/>
      <c r="E170" s="99" t="s">
        <v>641</v>
      </c>
      <c r="F170" s="100"/>
      <c r="G170" s="100"/>
      <c r="H170" s="99" t="s">
        <v>642</v>
      </c>
      <c r="I170" s="100"/>
      <c r="J170" s="100" t="s">
        <v>1079</v>
      </c>
      <c r="K170" s="100"/>
      <c r="L170" s="100"/>
      <c r="M170" s="100"/>
      <c r="N170" s="100"/>
      <c r="O170" s="100"/>
      <c r="P170" s="100"/>
      <c r="Q170" s="131" t="s">
        <v>644</v>
      </c>
      <c r="R170" s="131"/>
      <c r="S170" s="131"/>
      <c r="T170" s="131"/>
      <c r="U170" s="131" t="s">
        <v>1080</v>
      </c>
      <c r="V170" s="131"/>
      <c r="W170" s="131"/>
      <c r="X170" s="100"/>
      <c r="Y170" s="100"/>
      <c r="Z170" s="100"/>
      <c r="AA170" s="100"/>
      <c r="AB170" s="100"/>
      <c r="AC170" s="100"/>
      <c r="AD170" s="100"/>
      <c r="AE170" s="100"/>
      <c r="AF170" s="100"/>
      <c r="AG170" s="100"/>
      <c r="AH170" s="100"/>
      <c r="AI170" s="100"/>
      <c r="AJ170" s="100"/>
      <c r="AK170" s="100"/>
      <c r="AL170" s="100"/>
      <c r="AM170" s="101"/>
      <c r="AN170" s="9"/>
      <c r="AO170" s="98"/>
      <c r="AP170" s="99" t="s">
        <v>642</v>
      </c>
      <c r="AQ170" s="100"/>
      <c r="AR170" s="100" t="s">
        <v>1092</v>
      </c>
      <c r="AS170" s="100"/>
      <c r="AT170" s="100"/>
      <c r="AU170" s="100"/>
      <c r="AV170" s="100"/>
      <c r="AW170" s="100"/>
      <c r="AX170" s="100"/>
      <c r="AY170" s="131" t="s">
        <v>644</v>
      </c>
      <c r="AZ170" s="100"/>
      <c r="BA170" s="100"/>
      <c r="BB170" s="100"/>
      <c r="BC170" s="131" t="s">
        <v>1070</v>
      </c>
      <c r="BD170" s="131"/>
      <c r="BG170" s="100"/>
      <c r="BH170" s="100"/>
      <c r="BI170" s="100"/>
      <c r="BJ170" s="100"/>
      <c r="BK170" s="100"/>
      <c r="BL170" s="131"/>
      <c r="BM170" s="131"/>
      <c r="BN170" s="100"/>
      <c r="BO170" s="100"/>
      <c r="BP170" s="100"/>
      <c r="BQ170" s="100"/>
      <c r="BR170" s="100"/>
      <c r="BS170" s="100"/>
      <c r="BT170" s="100"/>
      <c r="BU170" s="100"/>
      <c r="BV170" s="100"/>
      <c r="BW170" s="100"/>
      <c r="BX170" s="101"/>
      <c r="CF170" s="9"/>
      <c r="CG170" s="9"/>
      <c r="CH170" s="9"/>
      <c r="CI170" s="9"/>
      <c r="CJ170" s="9"/>
      <c r="CK170" s="9"/>
      <c r="CL170" s="9"/>
      <c r="CM170" s="9"/>
      <c r="CN170" s="9"/>
      <c r="CO170" s="9"/>
      <c r="CP170" s="16"/>
    </row>
    <row r="171" spans="1:94" ht="15" customHeight="1" x14ac:dyDescent="0.25">
      <c r="A171" s="15"/>
      <c r="B171" s="9"/>
      <c r="D171" s="98"/>
      <c r="E171" s="99" t="s">
        <v>641</v>
      </c>
      <c r="F171" s="100"/>
      <c r="G171" s="100"/>
      <c r="H171" s="99" t="s">
        <v>642</v>
      </c>
      <c r="I171" s="100"/>
      <c r="J171" s="100" t="s">
        <v>1206</v>
      </c>
      <c r="K171" s="100"/>
      <c r="L171" s="100"/>
      <c r="M171" s="100"/>
      <c r="N171" s="100"/>
      <c r="O171" s="100"/>
      <c r="P171" s="100"/>
      <c r="Q171" s="131"/>
      <c r="R171" s="131"/>
      <c r="S171" s="131"/>
      <c r="T171" s="131"/>
      <c r="U171" s="131"/>
      <c r="V171" s="131"/>
      <c r="W171" s="100"/>
      <c r="X171" s="100"/>
      <c r="Y171" s="100"/>
      <c r="Z171" s="100"/>
      <c r="AA171" s="100"/>
      <c r="AB171" s="100"/>
      <c r="AC171" s="100"/>
      <c r="AD171" s="100"/>
      <c r="AE171" s="100"/>
      <c r="AF171" s="100"/>
      <c r="AG171" s="100"/>
      <c r="AH171" s="100"/>
      <c r="AI171" s="100"/>
      <c r="AJ171" s="100"/>
      <c r="AK171" s="100"/>
      <c r="AL171" s="100"/>
      <c r="AM171" s="101"/>
      <c r="AN171" s="9"/>
      <c r="AO171" s="98"/>
      <c r="AP171" s="99" t="s">
        <v>643</v>
      </c>
      <c r="AQ171" s="100"/>
      <c r="AR171" s="100"/>
      <c r="AS171" s="99" t="s">
        <v>642</v>
      </c>
      <c r="AT171" s="100"/>
      <c r="AU171" s="100" t="s">
        <v>1210</v>
      </c>
      <c r="AV171" s="100"/>
      <c r="AW171" s="100"/>
      <c r="AX171" s="100"/>
      <c r="AY171" s="100"/>
      <c r="AZ171" s="131" t="s">
        <v>644</v>
      </c>
      <c r="BA171" s="100"/>
      <c r="BB171" s="100"/>
      <c r="BC171" s="100"/>
      <c r="BD171" s="131" t="s">
        <v>1211</v>
      </c>
      <c r="BE171" s="100"/>
      <c r="BF171" s="100"/>
      <c r="BG171" s="100"/>
      <c r="BH171" s="100"/>
      <c r="BI171" s="100"/>
      <c r="BJ171" s="100"/>
      <c r="BK171" s="100"/>
      <c r="BL171" s="100"/>
      <c r="BM171" s="100"/>
      <c r="BN171" s="100"/>
      <c r="BO171" s="100"/>
      <c r="BP171" s="100"/>
      <c r="BQ171" s="100"/>
      <c r="BR171" s="100"/>
      <c r="BS171" s="100"/>
      <c r="BT171" s="100"/>
      <c r="BU171" s="100"/>
      <c r="BV171" s="100"/>
      <c r="BW171" s="100"/>
      <c r="BX171" s="101"/>
      <c r="CF171" s="9"/>
      <c r="CG171" s="9"/>
      <c r="CH171" s="9"/>
      <c r="CI171" s="9"/>
      <c r="CJ171" s="9"/>
      <c r="CK171" s="9"/>
      <c r="CL171" s="9"/>
      <c r="CM171" s="9"/>
      <c r="CN171" s="9"/>
      <c r="CO171" s="9"/>
      <c r="CP171" s="16"/>
    </row>
    <row r="172" spans="1:94" ht="15" customHeight="1" x14ac:dyDescent="0.25">
      <c r="A172" s="15"/>
      <c r="B172" s="9"/>
      <c r="D172" s="98"/>
      <c r="E172" s="99" t="s">
        <v>641</v>
      </c>
      <c r="F172" s="100"/>
      <c r="G172" s="100"/>
      <c r="H172" s="100"/>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00"/>
      <c r="AM172" s="101"/>
      <c r="AN172" s="9"/>
      <c r="AO172" s="98"/>
      <c r="AP172" s="99" t="s">
        <v>643</v>
      </c>
      <c r="AQ172" s="100"/>
      <c r="AR172" s="100"/>
      <c r="AS172" s="99" t="s">
        <v>642</v>
      </c>
      <c r="AT172" s="100"/>
      <c r="AU172" s="100" t="s">
        <v>606</v>
      </c>
      <c r="AV172" s="100"/>
      <c r="AW172" s="100"/>
      <c r="AX172" s="100"/>
      <c r="AY172" s="100"/>
      <c r="AZ172" s="100"/>
      <c r="BA172" s="100"/>
      <c r="BB172" s="131" t="s">
        <v>644</v>
      </c>
      <c r="BC172" s="100"/>
      <c r="BD172" s="100"/>
      <c r="BE172" s="100"/>
      <c r="BF172" s="131" t="s">
        <v>1212</v>
      </c>
      <c r="BG172" s="100"/>
      <c r="BH172" s="100"/>
      <c r="BI172" s="100"/>
      <c r="BJ172" s="100"/>
      <c r="BK172" s="100"/>
      <c r="BL172" s="100"/>
      <c r="BM172" s="100"/>
      <c r="BN172" s="100"/>
      <c r="BO172" s="100"/>
      <c r="BP172" s="100"/>
      <c r="BQ172" s="100"/>
      <c r="BR172" s="100"/>
      <c r="BS172" s="100"/>
      <c r="BT172" s="100"/>
      <c r="BU172" s="100"/>
      <c r="BV172" s="100"/>
      <c r="BW172" s="100"/>
      <c r="BX172" s="101"/>
      <c r="CF172" s="9"/>
      <c r="CG172" s="9"/>
      <c r="CH172" s="9"/>
      <c r="CI172" s="9"/>
      <c r="CJ172" s="9"/>
      <c r="CK172" s="9"/>
      <c r="CL172" s="9"/>
      <c r="CM172" s="9"/>
      <c r="CN172" s="9"/>
      <c r="CO172" s="9"/>
      <c r="CP172" s="16"/>
    </row>
    <row r="173" spans="1:94" ht="15" customHeight="1" x14ac:dyDescent="0.25">
      <c r="A173" s="15"/>
      <c r="B173" s="9"/>
      <c r="D173" s="98"/>
      <c r="E173" s="99" t="s">
        <v>642</v>
      </c>
      <c r="F173" s="100"/>
      <c r="G173" s="100" t="s">
        <v>660</v>
      </c>
      <c r="H173" s="100"/>
      <c r="I173" s="100"/>
      <c r="J173" s="100"/>
      <c r="K173" s="100"/>
      <c r="L173" s="100"/>
      <c r="M173" s="100"/>
      <c r="N173" s="100" t="s">
        <v>644</v>
      </c>
      <c r="O173" s="100"/>
      <c r="P173" s="100"/>
      <c r="Q173" s="100"/>
      <c r="R173" s="100" t="s">
        <v>153</v>
      </c>
      <c r="S173" s="100"/>
      <c r="T173" s="100"/>
      <c r="U173" s="100"/>
      <c r="V173" s="100"/>
      <c r="W173" s="100"/>
      <c r="X173" s="100"/>
      <c r="Y173" s="100"/>
      <c r="Z173" s="100"/>
      <c r="AA173" s="100"/>
      <c r="AB173" s="100"/>
      <c r="AC173" s="100"/>
      <c r="AD173" s="100"/>
      <c r="AE173" s="100"/>
      <c r="AF173" s="100"/>
      <c r="AG173" s="100"/>
      <c r="AH173" s="100"/>
      <c r="AI173" s="100"/>
      <c r="AJ173" s="100"/>
      <c r="AK173" s="100"/>
      <c r="AL173" s="100"/>
      <c r="AM173" s="101"/>
      <c r="AN173" s="9"/>
      <c r="AO173" s="98"/>
      <c r="AP173" s="99" t="s">
        <v>643</v>
      </c>
      <c r="AQ173" s="100"/>
      <c r="AR173" s="100"/>
      <c r="AS173" s="100"/>
      <c r="AT173" s="100"/>
      <c r="AU173" s="100"/>
      <c r="AV173" s="99" t="s">
        <v>642</v>
      </c>
      <c r="AW173" s="100"/>
      <c r="AX173" s="100" t="s">
        <v>1208</v>
      </c>
      <c r="AY173" s="100"/>
      <c r="AZ173" s="100"/>
      <c r="BA173" s="100"/>
      <c r="BB173" s="100"/>
      <c r="BC173" s="100"/>
      <c r="BD173" s="100"/>
      <c r="BE173" s="100"/>
      <c r="BF173" s="100"/>
      <c r="BG173" s="100"/>
      <c r="BH173" s="100"/>
      <c r="BI173" s="100"/>
      <c r="BJ173" s="100"/>
      <c r="BK173" s="100"/>
      <c r="BL173" s="100"/>
      <c r="BM173" s="100"/>
      <c r="BN173" s="100"/>
      <c r="BO173" s="100"/>
      <c r="BP173" s="100"/>
      <c r="BQ173" s="100"/>
      <c r="BR173" s="100"/>
      <c r="BS173" s="100"/>
      <c r="BT173" s="100"/>
      <c r="BU173" s="100"/>
      <c r="BV173" s="100"/>
      <c r="BW173" s="100"/>
      <c r="BX173" s="101"/>
      <c r="CF173" s="9"/>
      <c r="CG173" s="9"/>
      <c r="CH173" s="9"/>
      <c r="CI173" s="9"/>
      <c r="CJ173" s="9"/>
      <c r="CK173" s="9"/>
      <c r="CL173" s="9"/>
      <c r="CM173" s="9"/>
      <c r="CN173" s="9"/>
      <c r="CO173" s="9"/>
      <c r="CP173" s="16"/>
    </row>
    <row r="174" spans="1:94" ht="15" customHeight="1" x14ac:dyDescent="0.25">
      <c r="A174" s="15"/>
      <c r="B174" s="9"/>
      <c r="D174" s="98"/>
      <c r="E174" s="99" t="s">
        <v>642</v>
      </c>
      <c r="F174" s="100"/>
      <c r="G174" s="100" t="s">
        <v>856</v>
      </c>
      <c r="H174" s="100"/>
      <c r="I174" s="100"/>
      <c r="J174" s="100"/>
      <c r="K174" s="100"/>
      <c r="L174" s="100"/>
      <c r="M174" s="100"/>
      <c r="N174" s="100" t="s">
        <v>644</v>
      </c>
      <c r="O174" s="100"/>
      <c r="P174" s="100"/>
      <c r="Q174" s="100"/>
      <c r="R174" s="100" t="s">
        <v>639</v>
      </c>
      <c r="S174" s="100"/>
      <c r="T174" s="100"/>
      <c r="U174" s="100"/>
      <c r="V174" s="100"/>
      <c r="W174" s="100"/>
      <c r="X174" s="100"/>
      <c r="Y174" s="100"/>
      <c r="Z174" s="100"/>
      <c r="AA174" s="100"/>
      <c r="AB174" s="100"/>
      <c r="AC174" s="100"/>
      <c r="AD174" s="100"/>
      <c r="AE174" s="100"/>
      <c r="AF174" s="100"/>
      <c r="AG174" s="100"/>
      <c r="AH174" s="100"/>
      <c r="AI174" s="100"/>
      <c r="AJ174" s="100"/>
      <c r="AK174" s="100"/>
      <c r="AL174" s="100"/>
      <c r="AM174" s="101"/>
      <c r="AN174" s="9"/>
      <c r="AO174" s="98"/>
      <c r="AP174" s="99" t="s">
        <v>643</v>
      </c>
      <c r="AQ174" s="100"/>
      <c r="AR174" s="100"/>
      <c r="AS174" s="100"/>
      <c r="AT174" s="100"/>
      <c r="AU174" s="100"/>
      <c r="AV174" s="99" t="s">
        <v>642</v>
      </c>
      <c r="AW174" s="100"/>
      <c r="AX174" s="100" t="s">
        <v>1209</v>
      </c>
      <c r="AY174" s="100"/>
      <c r="AZ174" s="100"/>
      <c r="BA174" s="100"/>
      <c r="BB174" s="100"/>
      <c r="BC174" s="100"/>
      <c r="BD174" s="100"/>
      <c r="BE174" s="100"/>
      <c r="BF174" s="131"/>
      <c r="BG174" s="100"/>
      <c r="BH174" s="100"/>
      <c r="BI174" s="100"/>
      <c r="BJ174" s="100"/>
      <c r="BK174" s="100"/>
      <c r="BL174" s="100"/>
      <c r="BM174" s="100"/>
      <c r="BN174" s="100"/>
      <c r="BO174" s="100"/>
      <c r="BP174" s="100"/>
      <c r="BQ174" s="100"/>
      <c r="BR174" s="100"/>
      <c r="BS174" s="100"/>
      <c r="BT174" s="100"/>
      <c r="BU174" s="100"/>
      <c r="BV174" s="100"/>
      <c r="BW174" s="100"/>
      <c r="BX174" s="101"/>
      <c r="CA174" s="9"/>
      <c r="CB174" s="9"/>
      <c r="CC174" s="9"/>
      <c r="CD174" s="9"/>
      <c r="CE174" s="9"/>
      <c r="CF174" s="9"/>
      <c r="CG174" s="9"/>
      <c r="CH174" s="9"/>
      <c r="CI174" s="9"/>
      <c r="CJ174" s="9"/>
      <c r="CK174" s="9"/>
      <c r="CL174" s="9"/>
      <c r="CM174" s="9"/>
      <c r="CN174" s="9"/>
      <c r="CO174" s="9"/>
      <c r="CP174" s="16"/>
    </row>
    <row r="175" spans="1:94" ht="15" customHeight="1" x14ac:dyDescent="0.25">
      <c r="A175" s="15"/>
      <c r="B175" s="9"/>
      <c r="C175" s="9"/>
      <c r="D175" s="98"/>
      <c r="E175" s="99" t="s">
        <v>642</v>
      </c>
      <c r="F175" s="100"/>
      <c r="G175" s="100" t="s">
        <v>857</v>
      </c>
      <c r="H175" s="100"/>
      <c r="I175" s="100"/>
      <c r="J175" s="100"/>
      <c r="K175" s="100"/>
      <c r="L175" s="100"/>
      <c r="M175" s="100"/>
      <c r="N175" s="100" t="s">
        <v>644</v>
      </c>
      <c r="O175" s="100"/>
      <c r="P175" s="100"/>
      <c r="Q175" s="100"/>
      <c r="R175" s="100" t="s">
        <v>855</v>
      </c>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1"/>
      <c r="AN175" s="9"/>
      <c r="AO175" s="98"/>
      <c r="AP175" s="99" t="s">
        <v>643</v>
      </c>
      <c r="AQ175" s="100"/>
      <c r="AR175" s="100"/>
      <c r="AS175" s="100"/>
      <c r="AT175" s="100"/>
      <c r="AU175" s="100"/>
      <c r="AV175" s="99" t="s">
        <v>642</v>
      </c>
      <c r="AW175" s="100"/>
      <c r="AX175" s="100" t="s">
        <v>1207</v>
      </c>
      <c r="AY175" s="100"/>
      <c r="AZ175" s="100"/>
      <c r="BA175" s="100"/>
      <c r="BB175" s="100"/>
      <c r="BC175" s="100"/>
      <c r="BD175" s="100"/>
      <c r="BE175" s="100"/>
      <c r="BF175" s="100"/>
      <c r="BG175" s="100"/>
      <c r="BH175" s="100"/>
      <c r="BI175" s="100"/>
      <c r="BJ175" s="100"/>
      <c r="BK175" s="100"/>
      <c r="BL175" s="100"/>
      <c r="BM175" s="100"/>
      <c r="BN175" s="100"/>
      <c r="BO175" s="100"/>
      <c r="BP175" s="100"/>
      <c r="BQ175" s="100"/>
      <c r="BR175" s="100"/>
      <c r="BS175" s="100"/>
      <c r="BT175" s="100"/>
      <c r="BU175" s="100"/>
      <c r="BV175" s="100"/>
      <c r="BW175" s="100"/>
      <c r="BX175" s="101"/>
      <c r="CB175" s="9"/>
      <c r="CF175" s="9"/>
      <c r="CG175" s="9"/>
      <c r="CH175" s="9"/>
      <c r="CI175" s="9"/>
      <c r="CJ175" s="9"/>
      <c r="CK175" s="9"/>
      <c r="CL175" s="9"/>
      <c r="CM175" s="9"/>
      <c r="CN175" s="9"/>
      <c r="CO175" s="9"/>
      <c r="CP175" s="16"/>
    </row>
    <row r="176" spans="1:94" ht="15" customHeight="1" x14ac:dyDescent="0.25">
      <c r="A176" s="15"/>
      <c r="B176" s="9"/>
      <c r="C176" s="9"/>
      <c r="D176" s="98"/>
      <c r="E176" s="99" t="s">
        <v>641</v>
      </c>
      <c r="F176" s="100"/>
      <c r="G176" s="100"/>
      <c r="H176" s="100"/>
      <c r="I176" s="100"/>
      <c r="J176" s="100"/>
      <c r="K176" s="100"/>
      <c r="L176" s="100"/>
      <c r="M176" s="100"/>
      <c r="N176" s="100"/>
      <c r="O176" s="100"/>
      <c r="P176" s="100"/>
      <c r="Q176" s="100"/>
      <c r="R176" s="100"/>
      <c r="S176" s="100"/>
      <c r="T176" s="100"/>
      <c r="U176" s="100"/>
      <c r="V176" s="100"/>
      <c r="W176" s="100"/>
      <c r="X176" s="100"/>
      <c r="Y176" s="100"/>
      <c r="Z176" s="100"/>
      <c r="AA176" s="100"/>
      <c r="AB176" s="100"/>
      <c r="AC176" s="100"/>
      <c r="AD176" s="100"/>
      <c r="AE176" s="100"/>
      <c r="AF176" s="100"/>
      <c r="AG176" s="100"/>
      <c r="AH176" s="100"/>
      <c r="AI176" s="100"/>
      <c r="AJ176" s="100"/>
      <c r="AK176" s="100"/>
      <c r="AL176" s="100"/>
      <c r="AM176" s="101"/>
      <c r="AN176" s="9"/>
      <c r="AO176" s="98"/>
      <c r="AP176" s="99" t="s">
        <v>643</v>
      </c>
      <c r="AQ176" s="100"/>
      <c r="AR176" s="100"/>
      <c r="AS176" s="100"/>
      <c r="AT176" s="100"/>
      <c r="AU176" s="100"/>
      <c r="AV176" s="100"/>
      <c r="AW176" s="100"/>
      <c r="AX176" s="100"/>
      <c r="AY176" s="100"/>
      <c r="AZ176" s="100"/>
      <c r="BA176" s="100"/>
      <c r="BB176" s="100"/>
      <c r="BC176" s="100"/>
      <c r="BD176" s="100"/>
      <c r="BE176" s="100"/>
      <c r="BF176" s="100"/>
      <c r="BG176" s="100"/>
      <c r="BH176" s="100"/>
      <c r="BI176" s="100"/>
      <c r="BJ176" s="100"/>
      <c r="BK176" s="100"/>
      <c r="BL176" s="100"/>
      <c r="BM176" s="100"/>
      <c r="BN176" s="100"/>
      <c r="BO176" s="100"/>
      <c r="BP176" s="100"/>
      <c r="BQ176" s="100"/>
      <c r="BR176" s="100"/>
      <c r="BS176" s="100"/>
      <c r="BT176" s="100"/>
      <c r="BU176" s="100"/>
      <c r="BV176" s="100"/>
      <c r="BW176" s="100"/>
      <c r="BX176" s="101"/>
      <c r="BY176" s="9"/>
      <c r="BZ176" s="9"/>
      <c r="CA176" s="9"/>
      <c r="CB176" s="9"/>
      <c r="CF176" s="9"/>
      <c r="CG176" s="9"/>
      <c r="CH176" s="9"/>
      <c r="CI176" s="9"/>
      <c r="CJ176" s="9"/>
      <c r="CK176" s="9"/>
      <c r="CL176" s="9"/>
      <c r="CM176" s="9"/>
      <c r="CN176" s="9"/>
      <c r="CO176" s="9"/>
      <c r="CP176" s="16"/>
    </row>
    <row r="177" spans="1:94" ht="15" customHeight="1" x14ac:dyDescent="0.25">
      <c r="A177" s="15"/>
      <c r="B177" s="9"/>
      <c r="C177" s="9"/>
      <c r="D177" s="98" t="s">
        <v>1095</v>
      </c>
      <c r="E177" s="99"/>
      <c r="F177" s="100"/>
      <c r="G177" s="100"/>
      <c r="H177" s="100"/>
      <c r="I177" s="100"/>
      <c r="J177" s="100"/>
      <c r="K177" s="100"/>
      <c r="L177" s="100"/>
      <c r="M177" s="100"/>
      <c r="N177" s="100"/>
      <c r="O177" s="100"/>
      <c r="P177" s="100"/>
      <c r="Q177" s="100"/>
      <c r="R177" s="100"/>
      <c r="S177" s="100"/>
      <c r="T177" s="100"/>
      <c r="U177" s="100"/>
      <c r="V177" s="100"/>
      <c r="W177" s="100"/>
      <c r="X177" s="100"/>
      <c r="Y177" s="100"/>
      <c r="Z177" s="100"/>
      <c r="AA177" s="100"/>
      <c r="AB177" s="100"/>
      <c r="AC177" s="100"/>
      <c r="AD177" s="100"/>
      <c r="AE177" s="100"/>
      <c r="AF177" s="100"/>
      <c r="AG177" s="100"/>
      <c r="AH177" s="100"/>
      <c r="AI177" s="100"/>
      <c r="AJ177" s="100"/>
      <c r="AK177" s="100"/>
      <c r="AL177" s="100"/>
      <c r="AM177" s="101"/>
      <c r="AN177" s="9"/>
      <c r="AO177" s="98"/>
      <c r="AP177" s="99" t="s">
        <v>646</v>
      </c>
      <c r="AQ177" s="100"/>
      <c r="AR177" s="100" t="s">
        <v>849</v>
      </c>
      <c r="AS177" s="100"/>
      <c r="AT177" s="100"/>
      <c r="AU177" s="100"/>
      <c r="AV177" s="100"/>
      <c r="AW177" s="100"/>
      <c r="AX177" s="100"/>
      <c r="AY177" s="100"/>
      <c r="AZ177" s="100"/>
      <c r="BA177" s="100"/>
      <c r="BB177" s="131" t="s">
        <v>644</v>
      </c>
      <c r="BC177" s="100"/>
      <c r="BD177" s="100"/>
      <c r="BE177" s="100"/>
      <c r="BF177" s="131" t="s">
        <v>1093</v>
      </c>
      <c r="BG177" s="100"/>
      <c r="BH177" s="100"/>
      <c r="BI177" s="100"/>
      <c r="BJ177" s="100"/>
      <c r="BK177" s="100"/>
      <c r="BL177" s="100"/>
      <c r="BM177" s="100"/>
      <c r="BN177" s="100"/>
      <c r="BO177" s="100"/>
      <c r="BP177" s="100"/>
      <c r="BQ177" s="100"/>
      <c r="BR177" s="100"/>
      <c r="BS177" s="100"/>
      <c r="BT177" s="100"/>
      <c r="BU177" s="100"/>
      <c r="BV177" s="100"/>
      <c r="BW177" s="100"/>
      <c r="BX177" s="101"/>
      <c r="BY177" s="9"/>
      <c r="BZ177" s="9"/>
      <c r="CA177" s="9"/>
      <c r="CB177" s="9"/>
      <c r="CF177" s="9"/>
      <c r="CG177" s="9"/>
      <c r="CH177" s="9"/>
      <c r="CI177" s="9"/>
      <c r="CJ177" s="9"/>
      <c r="CK177" s="9"/>
      <c r="CL177" s="9"/>
      <c r="CM177" s="9"/>
      <c r="CN177" s="9"/>
      <c r="CO177" s="9"/>
      <c r="CP177" s="16"/>
    </row>
    <row r="178" spans="1:94" ht="15" customHeight="1" thickBot="1" x14ac:dyDescent="0.3">
      <c r="A178" s="15"/>
      <c r="B178" s="9"/>
      <c r="C178" s="9"/>
      <c r="D178" s="98"/>
      <c r="E178" s="99"/>
      <c r="F178" s="100"/>
      <c r="G178" s="100"/>
      <c r="H178" s="100"/>
      <c r="I178" s="100"/>
      <c r="J178" s="100"/>
      <c r="K178" s="100"/>
      <c r="L178" s="100"/>
      <c r="M178" s="100"/>
      <c r="N178" s="100"/>
      <c r="O178" s="100"/>
      <c r="P178" s="100"/>
      <c r="Q178" s="100"/>
      <c r="R178" s="100"/>
      <c r="S178" s="100"/>
      <c r="T178" s="100"/>
      <c r="U178" s="100"/>
      <c r="V178" s="100"/>
      <c r="W178" s="100"/>
      <c r="X178" s="100"/>
      <c r="Y178" s="100"/>
      <c r="Z178" s="100"/>
      <c r="AA178" s="100"/>
      <c r="AB178" s="100"/>
      <c r="AC178" s="100"/>
      <c r="AD178" s="100"/>
      <c r="AE178" s="100"/>
      <c r="AF178" s="100"/>
      <c r="AG178" s="100"/>
      <c r="AH178" s="100"/>
      <c r="AI178" s="100"/>
      <c r="AJ178" s="100"/>
      <c r="AK178" s="100"/>
      <c r="AL178" s="100"/>
      <c r="AM178" s="101"/>
      <c r="AN178" s="9"/>
      <c r="AO178" s="102"/>
      <c r="AP178" s="103"/>
      <c r="AQ178" s="103"/>
      <c r="AR178" s="103"/>
      <c r="AS178" s="103"/>
      <c r="AT178" s="103"/>
      <c r="AU178" s="103"/>
      <c r="AV178" s="103"/>
      <c r="AW178" s="103"/>
      <c r="AX178" s="103"/>
      <c r="AY178" s="103"/>
      <c r="AZ178" s="103"/>
      <c r="BA178" s="103"/>
      <c r="BB178" s="103"/>
      <c r="BC178" s="103"/>
      <c r="BD178" s="103"/>
      <c r="BE178" s="103"/>
      <c r="BF178" s="103"/>
      <c r="BG178" s="103"/>
      <c r="BH178" s="103"/>
      <c r="BI178" s="103"/>
      <c r="BJ178" s="103"/>
      <c r="BK178" s="103"/>
      <c r="BL178" s="103"/>
      <c r="BM178" s="103"/>
      <c r="BN178" s="103"/>
      <c r="BO178" s="103"/>
      <c r="BP178" s="103"/>
      <c r="BQ178" s="103"/>
      <c r="BR178" s="103"/>
      <c r="BS178" s="103"/>
      <c r="BT178" s="103"/>
      <c r="BU178" s="103"/>
      <c r="BV178" s="103"/>
      <c r="BW178" s="103"/>
      <c r="BX178" s="104"/>
      <c r="BY178" s="9"/>
      <c r="BZ178" s="9"/>
      <c r="CA178" s="9"/>
      <c r="CB178" s="9"/>
      <c r="CF178" s="9"/>
      <c r="CG178" s="9"/>
      <c r="CH178" s="9"/>
      <c r="CI178" s="9"/>
      <c r="CJ178" s="9"/>
      <c r="CK178" s="9"/>
      <c r="CL178" s="9"/>
      <c r="CM178" s="9"/>
      <c r="CN178" s="9"/>
      <c r="CO178" s="9"/>
      <c r="CP178" s="16"/>
    </row>
    <row r="179" spans="1:94" ht="15" customHeight="1" thickBot="1" x14ac:dyDescent="0.2">
      <c r="A179" s="19"/>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1"/>
    </row>
    <row r="180" spans="1:94" ht="15" customHeight="1" x14ac:dyDescent="0.15">
      <c r="A180" s="47"/>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52"/>
      <c r="AK180" s="52"/>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c r="BS180" s="48"/>
      <c r="BT180" s="48"/>
      <c r="BU180" s="48"/>
      <c r="BV180" s="48"/>
      <c r="BW180" s="48"/>
      <c r="BX180" s="48"/>
      <c r="BY180" s="48"/>
      <c r="BZ180" s="48"/>
      <c r="CA180" s="48"/>
      <c r="CB180" s="48"/>
      <c r="CC180" s="48"/>
      <c r="CD180" s="48"/>
      <c r="CE180" s="48"/>
      <c r="CF180" s="48"/>
      <c r="CG180" s="48"/>
      <c r="CH180" s="48"/>
      <c r="CI180" s="48"/>
      <c r="CJ180" s="48"/>
      <c r="CK180" s="48"/>
      <c r="CL180" s="48"/>
      <c r="CM180" s="48"/>
      <c r="CN180" s="48"/>
      <c r="CO180" s="48"/>
      <c r="CP180" s="49"/>
    </row>
    <row r="181" spans="1:94" ht="15" customHeight="1" x14ac:dyDescent="0.15">
      <c r="A181" s="15"/>
      <c r="B181" s="9"/>
      <c r="C181" s="9" t="s">
        <v>966</v>
      </c>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16"/>
    </row>
    <row r="182" spans="1:94" ht="15" customHeight="1" x14ac:dyDescent="0.15">
      <c r="A182" s="15"/>
      <c r="B182" s="9"/>
      <c r="C182" s="9"/>
      <c r="D182" s="9"/>
      <c r="E182" s="545"/>
      <c r="F182" s="545"/>
      <c r="G182" s="545" t="s">
        <v>81</v>
      </c>
      <c r="H182" s="545"/>
      <c r="I182" s="545"/>
      <c r="J182" s="545"/>
      <c r="K182" s="545"/>
      <c r="L182" s="545"/>
      <c r="M182" s="545"/>
      <c r="N182" s="545"/>
      <c r="O182" s="545"/>
      <c r="P182" s="545"/>
      <c r="Q182" s="545"/>
      <c r="R182" s="545"/>
      <c r="S182" s="545"/>
      <c r="T182" s="545"/>
      <c r="U182" s="545"/>
      <c r="V182" s="545"/>
      <c r="W182" s="545"/>
      <c r="X182" s="545"/>
      <c r="Y182" s="545"/>
      <c r="Z182" s="545"/>
      <c r="AA182" s="545"/>
      <c r="AB182" s="545"/>
      <c r="AC182" s="545"/>
      <c r="AD182" s="545"/>
      <c r="AE182" s="545"/>
      <c r="AF182" s="545"/>
      <c r="AG182" s="545" t="s">
        <v>117</v>
      </c>
      <c r="AH182" s="545"/>
      <c r="AI182" s="545"/>
      <c r="AJ182" s="545"/>
      <c r="AK182" s="545"/>
      <c r="AL182" s="545"/>
      <c r="AM182" s="545"/>
      <c r="AN182" s="545"/>
      <c r="AO182" s="9"/>
      <c r="AP182" s="9"/>
      <c r="AQ182" s="545"/>
      <c r="AR182" s="545"/>
      <c r="AS182" s="545" t="s">
        <v>81</v>
      </c>
      <c r="AT182" s="545"/>
      <c r="AU182" s="545"/>
      <c r="AV182" s="545"/>
      <c r="AW182" s="545"/>
      <c r="AX182" s="545"/>
      <c r="AY182" s="545"/>
      <c r="AZ182" s="545"/>
      <c r="BA182" s="545"/>
      <c r="BB182" s="545"/>
      <c r="BC182" s="545"/>
      <c r="BD182" s="545"/>
      <c r="BE182" s="545"/>
      <c r="BF182" s="545"/>
      <c r="BG182" s="545"/>
      <c r="BH182" s="545"/>
      <c r="BI182" s="545"/>
      <c r="BJ182" s="545"/>
      <c r="BK182" s="545"/>
      <c r="BL182" s="545"/>
      <c r="BM182" s="545"/>
      <c r="BN182" s="545"/>
      <c r="BO182" s="545"/>
      <c r="BP182" s="545"/>
      <c r="BQ182" s="545"/>
      <c r="BR182" s="545"/>
      <c r="BS182" s="545" t="s">
        <v>117</v>
      </c>
      <c r="BT182" s="545"/>
      <c r="BU182" s="545"/>
      <c r="BV182" s="545"/>
      <c r="BW182" s="545"/>
      <c r="BX182" s="545"/>
      <c r="BY182" s="545"/>
      <c r="BZ182" s="545"/>
      <c r="CA182" s="9"/>
      <c r="CB182" s="9"/>
      <c r="CC182" s="9"/>
      <c r="CD182" s="9"/>
      <c r="CE182" s="9"/>
      <c r="CF182" s="9"/>
      <c r="CG182" s="551" t="s">
        <v>117</v>
      </c>
      <c r="CH182" s="551"/>
      <c r="CI182" s="551"/>
      <c r="CJ182" s="551"/>
      <c r="CK182" s="551"/>
      <c r="CL182" s="551"/>
      <c r="CM182" s="551"/>
      <c r="CN182" s="551"/>
      <c r="CO182" s="9"/>
      <c r="CP182" s="16"/>
    </row>
    <row r="183" spans="1:94" ht="15" customHeight="1" thickBot="1" x14ac:dyDescent="0.2">
      <c r="A183" s="15"/>
      <c r="B183" s="9"/>
      <c r="C183" s="9"/>
      <c r="D183" s="9"/>
      <c r="E183" s="546"/>
      <c r="F183" s="546"/>
      <c r="G183" s="546"/>
      <c r="H183" s="546"/>
      <c r="I183" s="546"/>
      <c r="J183" s="546"/>
      <c r="K183" s="546"/>
      <c r="L183" s="546"/>
      <c r="M183" s="546"/>
      <c r="N183" s="546"/>
      <c r="O183" s="546"/>
      <c r="P183" s="546"/>
      <c r="Q183" s="546"/>
      <c r="R183" s="546"/>
      <c r="S183" s="546"/>
      <c r="T183" s="546"/>
      <c r="U183" s="546"/>
      <c r="V183" s="546"/>
      <c r="W183" s="546"/>
      <c r="X183" s="546"/>
      <c r="Y183" s="546"/>
      <c r="Z183" s="546"/>
      <c r="AA183" s="546"/>
      <c r="AB183" s="546"/>
      <c r="AC183" s="546"/>
      <c r="AD183" s="546"/>
      <c r="AE183" s="546"/>
      <c r="AF183" s="546"/>
      <c r="AG183" s="546"/>
      <c r="AH183" s="546"/>
      <c r="AI183" s="546"/>
      <c r="AJ183" s="546"/>
      <c r="AK183" s="546"/>
      <c r="AL183" s="546"/>
      <c r="AM183" s="546"/>
      <c r="AN183" s="546"/>
      <c r="AO183" s="9"/>
      <c r="AP183" s="9"/>
      <c r="AQ183" s="546"/>
      <c r="AR183" s="546"/>
      <c r="AS183" s="546"/>
      <c r="AT183" s="546"/>
      <c r="AU183" s="546"/>
      <c r="AV183" s="546"/>
      <c r="AW183" s="546"/>
      <c r="AX183" s="546"/>
      <c r="AY183" s="546"/>
      <c r="AZ183" s="546"/>
      <c r="BA183" s="546"/>
      <c r="BB183" s="546"/>
      <c r="BC183" s="546"/>
      <c r="BD183" s="546"/>
      <c r="BE183" s="546"/>
      <c r="BF183" s="546"/>
      <c r="BG183" s="546"/>
      <c r="BH183" s="546"/>
      <c r="BI183" s="546"/>
      <c r="BJ183" s="546"/>
      <c r="BK183" s="546"/>
      <c r="BL183" s="546"/>
      <c r="BM183" s="546"/>
      <c r="BN183" s="546"/>
      <c r="BO183" s="546"/>
      <c r="BP183" s="546"/>
      <c r="BQ183" s="546"/>
      <c r="BR183" s="546"/>
      <c r="BS183" s="546"/>
      <c r="BT183" s="546"/>
      <c r="BU183" s="546"/>
      <c r="BV183" s="546"/>
      <c r="BW183" s="546"/>
      <c r="BX183" s="546"/>
      <c r="BY183" s="546"/>
      <c r="BZ183" s="546"/>
      <c r="CA183" s="9"/>
      <c r="CB183" s="9"/>
      <c r="CC183" s="9"/>
      <c r="CD183" s="9"/>
      <c r="CE183" s="9"/>
      <c r="CF183" s="9"/>
      <c r="CG183" s="493" t="s">
        <v>59</v>
      </c>
      <c r="CH183" s="493"/>
      <c r="CI183" s="493"/>
      <c r="CJ183" s="493"/>
      <c r="CK183" s="493"/>
      <c r="CL183" s="493"/>
      <c r="CM183" s="493"/>
      <c r="CN183" s="493"/>
      <c r="CO183" s="9"/>
      <c r="CP183" s="16"/>
    </row>
    <row r="184" spans="1:94" ht="15" customHeight="1" thickTop="1" x14ac:dyDescent="0.15">
      <c r="A184" s="15"/>
      <c r="B184" s="9"/>
      <c r="C184" s="9"/>
      <c r="D184" s="9"/>
      <c r="E184" s="548">
        <v>1</v>
      </c>
      <c r="F184" s="548"/>
      <c r="G184" s="552" t="s">
        <v>1269</v>
      </c>
      <c r="H184" s="553"/>
      <c r="I184" s="553"/>
      <c r="J184" s="553"/>
      <c r="K184" s="553"/>
      <c r="L184" s="553"/>
      <c r="M184" s="553"/>
      <c r="N184" s="553"/>
      <c r="O184" s="553"/>
      <c r="P184" s="553"/>
      <c r="Q184" s="553"/>
      <c r="R184" s="553"/>
      <c r="S184" s="553"/>
      <c r="T184" s="553"/>
      <c r="U184" s="553"/>
      <c r="V184" s="553"/>
      <c r="W184" s="553"/>
      <c r="X184" s="553"/>
      <c r="Y184" s="553"/>
      <c r="Z184" s="553"/>
      <c r="AA184" s="553"/>
      <c r="AB184" s="553"/>
      <c r="AC184" s="553"/>
      <c r="AD184" s="553"/>
      <c r="AE184" s="553"/>
      <c r="AF184" s="554"/>
      <c r="AG184" s="550" t="s">
        <v>445</v>
      </c>
      <c r="AH184" s="550"/>
      <c r="AI184" s="550"/>
      <c r="AJ184" s="550"/>
      <c r="AK184" s="550"/>
      <c r="AL184" s="550"/>
      <c r="AM184" s="550"/>
      <c r="AN184" s="550"/>
      <c r="AO184" s="9"/>
      <c r="AP184" s="9"/>
      <c r="AQ184" s="505">
        <v>40</v>
      </c>
      <c r="AR184" s="505"/>
      <c r="AS184" s="478" t="s">
        <v>456</v>
      </c>
      <c r="AT184" s="479"/>
      <c r="AU184" s="479"/>
      <c r="AV184" s="479"/>
      <c r="AW184" s="479"/>
      <c r="AX184" s="479"/>
      <c r="AY184" s="479"/>
      <c r="AZ184" s="479"/>
      <c r="BA184" s="479"/>
      <c r="BB184" s="479"/>
      <c r="BC184" s="479"/>
      <c r="BD184" s="479"/>
      <c r="BE184" s="479"/>
      <c r="BF184" s="479"/>
      <c r="BG184" s="479"/>
      <c r="BH184" s="479"/>
      <c r="BI184" s="479"/>
      <c r="BJ184" s="479"/>
      <c r="BK184" s="479"/>
      <c r="BL184" s="479"/>
      <c r="BM184" s="479"/>
      <c r="BN184" s="479"/>
      <c r="BO184" s="479"/>
      <c r="BP184" s="479"/>
      <c r="BQ184" s="479"/>
      <c r="BR184" s="480"/>
      <c r="BS184" s="477" t="s">
        <v>439</v>
      </c>
      <c r="BT184" s="477"/>
      <c r="BU184" s="477"/>
      <c r="BV184" s="477"/>
      <c r="BW184" s="477"/>
      <c r="BX184" s="477"/>
      <c r="BY184" s="477"/>
      <c r="BZ184" s="477"/>
      <c r="CA184" s="9"/>
      <c r="CB184" s="9"/>
      <c r="CC184" s="9"/>
      <c r="CD184" s="9"/>
      <c r="CE184" s="9"/>
      <c r="CF184" s="9"/>
      <c r="CG184" s="493" t="s">
        <v>114</v>
      </c>
      <c r="CH184" s="493"/>
      <c r="CI184" s="493"/>
      <c r="CJ184" s="493"/>
      <c r="CK184" s="493"/>
      <c r="CL184" s="493"/>
      <c r="CM184" s="493"/>
      <c r="CN184" s="493"/>
      <c r="CO184" s="9"/>
      <c r="CP184" s="16"/>
    </row>
    <row r="185" spans="1:94" ht="15" customHeight="1" x14ac:dyDescent="0.15">
      <c r="A185" s="15"/>
      <c r="B185" s="9"/>
      <c r="C185" s="9"/>
      <c r="D185" s="9"/>
      <c r="E185" s="491">
        <f t="shared" ref="E185:E222" si="0">E184+1</f>
        <v>2</v>
      </c>
      <c r="F185" s="491"/>
      <c r="G185" s="478" t="s">
        <v>435</v>
      </c>
      <c r="H185" s="479"/>
      <c r="I185" s="479"/>
      <c r="J185" s="479"/>
      <c r="K185" s="479"/>
      <c r="L185" s="479"/>
      <c r="M185" s="479"/>
      <c r="N185" s="479"/>
      <c r="O185" s="479"/>
      <c r="P185" s="479"/>
      <c r="Q185" s="479"/>
      <c r="R185" s="479"/>
      <c r="S185" s="479"/>
      <c r="T185" s="479"/>
      <c r="U185" s="479"/>
      <c r="V185" s="479"/>
      <c r="W185" s="479"/>
      <c r="X185" s="479"/>
      <c r="Y185" s="479"/>
      <c r="Z185" s="479"/>
      <c r="AA185" s="479"/>
      <c r="AB185" s="479"/>
      <c r="AC185" s="479"/>
      <c r="AD185" s="479"/>
      <c r="AE185" s="479"/>
      <c r="AF185" s="480"/>
      <c r="AG185" s="477" t="s">
        <v>1268</v>
      </c>
      <c r="AH185" s="477"/>
      <c r="AI185" s="477"/>
      <c r="AJ185" s="477"/>
      <c r="AK185" s="477"/>
      <c r="AL185" s="477"/>
      <c r="AM185" s="477"/>
      <c r="AN185" s="477"/>
      <c r="AO185" s="9"/>
      <c r="AP185" s="9"/>
      <c r="AQ185" s="505">
        <v>41</v>
      </c>
      <c r="AR185" s="505"/>
      <c r="AS185" s="478" t="s">
        <v>470</v>
      </c>
      <c r="AT185" s="479"/>
      <c r="AU185" s="479"/>
      <c r="AV185" s="479"/>
      <c r="AW185" s="479"/>
      <c r="AX185" s="479"/>
      <c r="AY185" s="479"/>
      <c r="AZ185" s="479"/>
      <c r="BA185" s="479"/>
      <c r="BB185" s="479"/>
      <c r="BC185" s="479"/>
      <c r="BD185" s="479"/>
      <c r="BE185" s="479"/>
      <c r="BF185" s="479"/>
      <c r="BG185" s="479"/>
      <c r="BH185" s="479"/>
      <c r="BI185" s="479"/>
      <c r="BJ185" s="479"/>
      <c r="BK185" s="479"/>
      <c r="BL185" s="479"/>
      <c r="BM185" s="479"/>
      <c r="BN185" s="479"/>
      <c r="BO185" s="479"/>
      <c r="BP185" s="479"/>
      <c r="BQ185" s="479"/>
      <c r="BR185" s="480"/>
      <c r="BS185" s="477" t="s">
        <v>1268</v>
      </c>
      <c r="BT185" s="477"/>
      <c r="BU185" s="477"/>
      <c r="BV185" s="477"/>
      <c r="BW185" s="477"/>
      <c r="BX185" s="477"/>
      <c r="BY185" s="477"/>
      <c r="BZ185" s="477"/>
      <c r="CA185" s="9"/>
      <c r="CB185" s="9"/>
      <c r="CC185" s="9"/>
      <c r="CD185" s="9"/>
      <c r="CE185" s="9"/>
      <c r="CF185" s="9"/>
      <c r="CG185" s="493" t="s">
        <v>148</v>
      </c>
      <c r="CH185" s="493"/>
      <c r="CI185" s="493"/>
      <c r="CJ185" s="493"/>
      <c r="CK185" s="493"/>
      <c r="CL185" s="493"/>
      <c r="CM185" s="493"/>
      <c r="CN185" s="493"/>
      <c r="CO185" s="9"/>
      <c r="CP185" s="16"/>
    </row>
    <row r="186" spans="1:94" ht="15" customHeight="1" x14ac:dyDescent="0.15">
      <c r="A186" s="15"/>
      <c r="B186" s="9"/>
      <c r="C186" s="9"/>
      <c r="D186" s="9"/>
      <c r="E186" s="491">
        <f t="shared" si="0"/>
        <v>3</v>
      </c>
      <c r="F186" s="491"/>
      <c r="G186" s="509" t="s">
        <v>1214</v>
      </c>
      <c r="H186" s="510"/>
      <c r="I186" s="510"/>
      <c r="J186" s="510"/>
      <c r="K186" s="510"/>
      <c r="L186" s="510"/>
      <c r="M186" s="510"/>
      <c r="N186" s="510"/>
      <c r="O186" s="510"/>
      <c r="P186" s="510"/>
      <c r="Q186" s="510"/>
      <c r="R186" s="510"/>
      <c r="S186" s="510"/>
      <c r="T186" s="510"/>
      <c r="U186" s="510"/>
      <c r="V186" s="510"/>
      <c r="W186" s="510"/>
      <c r="X186" s="510"/>
      <c r="Y186" s="510"/>
      <c r="Z186" s="510"/>
      <c r="AA186" s="510"/>
      <c r="AB186" s="510"/>
      <c r="AC186" s="510"/>
      <c r="AD186" s="510"/>
      <c r="AE186" s="510"/>
      <c r="AF186" s="511"/>
      <c r="AG186" s="549" t="s">
        <v>439</v>
      </c>
      <c r="AH186" s="549"/>
      <c r="AI186" s="549"/>
      <c r="AJ186" s="549"/>
      <c r="AK186" s="549"/>
      <c r="AL186" s="549"/>
      <c r="AM186" s="549"/>
      <c r="AN186" s="549"/>
      <c r="AO186" s="9"/>
      <c r="AP186" s="9"/>
      <c r="AQ186" s="491">
        <f>AQ185+1</f>
        <v>42</v>
      </c>
      <c r="AR186" s="491"/>
      <c r="AS186" s="478" t="s">
        <v>458</v>
      </c>
      <c r="AT186" s="479"/>
      <c r="AU186" s="479"/>
      <c r="AV186" s="479"/>
      <c r="AW186" s="479"/>
      <c r="AX186" s="479"/>
      <c r="AY186" s="479"/>
      <c r="AZ186" s="479"/>
      <c r="BA186" s="479"/>
      <c r="BB186" s="479"/>
      <c r="BC186" s="479"/>
      <c r="BD186" s="479"/>
      <c r="BE186" s="479"/>
      <c r="BF186" s="479"/>
      <c r="BG186" s="479"/>
      <c r="BH186" s="479"/>
      <c r="BI186" s="479"/>
      <c r="BJ186" s="479"/>
      <c r="BK186" s="479"/>
      <c r="BL186" s="479"/>
      <c r="BM186" s="479"/>
      <c r="BN186" s="479"/>
      <c r="BO186" s="479"/>
      <c r="BP186" s="479"/>
      <c r="BQ186" s="479"/>
      <c r="BR186" s="480"/>
      <c r="BS186" s="477" t="s">
        <v>439</v>
      </c>
      <c r="BT186" s="477"/>
      <c r="BU186" s="477"/>
      <c r="BV186" s="477"/>
      <c r="BW186" s="477"/>
      <c r="BX186" s="477"/>
      <c r="BY186" s="477"/>
      <c r="BZ186" s="477"/>
      <c r="CA186" s="9"/>
      <c r="CB186" s="9"/>
      <c r="CC186" s="9"/>
      <c r="CD186" s="9"/>
      <c r="CE186" s="9"/>
      <c r="CF186" s="9"/>
      <c r="CG186" s="493" t="s">
        <v>115</v>
      </c>
      <c r="CH186" s="493"/>
      <c r="CI186" s="493"/>
      <c r="CJ186" s="493"/>
      <c r="CK186" s="493"/>
      <c r="CL186" s="493"/>
      <c r="CM186" s="493"/>
      <c r="CN186" s="493"/>
      <c r="CO186" s="9"/>
      <c r="CP186" s="16"/>
    </row>
    <row r="187" spans="1:94" ht="15" customHeight="1" x14ac:dyDescent="0.15">
      <c r="A187" s="15"/>
      <c r="B187" s="9"/>
      <c r="C187" s="9"/>
      <c r="D187" s="9"/>
      <c r="E187" s="491">
        <f t="shared" si="0"/>
        <v>4</v>
      </c>
      <c r="F187" s="491"/>
      <c r="G187" s="509" t="s">
        <v>1215</v>
      </c>
      <c r="H187" s="510"/>
      <c r="I187" s="510"/>
      <c r="J187" s="510"/>
      <c r="K187" s="510"/>
      <c r="L187" s="510"/>
      <c r="M187" s="510"/>
      <c r="N187" s="510"/>
      <c r="O187" s="510"/>
      <c r="P187" s="510"/>
      <c r="Q187" s="510"/>
      <c r="R187" s="510"/>
      <c r="S187" s="510"/>
      <c r="T187" s="510"/>
      <c r="U187" s="510"/>
      <c r="V187" s="510"/>
      <c r="W187" s="510"/>
      <c r="X187" s="510"/>
      <c r="Y187" s="510"/>
      <c r="Z187" s="510"/>
      <c r="AA187" s="510"/>
      <c r="AB187" s="510"/>
      <c r="AC187" s="510"/>
      <c r="AD187" s="510"/>
      <c r="AE187" s="510"/>
      <c r="AF187" s="511"/>
      <c r="AG187" s="549" t="s">
        <v>439</v>
      </c>
      <c r="AH187" s="549"/>
      <c r="AI187" s="549"/>
      <c r="AJ187" s="549"/>
      <c r="AK187" s="549"/>
      <c r="AL187" s="549"/>
      <c r="AM187" s="549"/>
      <c r="AN187" s="549"/>
      <c r="AO187" s="9"/>
      <c r="AP187" s="9"/>
      <c r="AQ187" s="491">
        <f>AQ186+1</f>
        <v>43</v>
      </c>
      <c r="AR187" s="491"/>
      <c r="AS187" s="478" t="s">
        <v>1231</v>
      </c>
      <c r="AT187" s="479"/>
      <c r="AU187" s="479"/>
      <c r="AV187" s="479"/>
      <c r="AW187" s="479"/>
      <c r="AX187" s="479"/>
      <c r="AY187" s="479"/>
      <c r="AZ187" s="479"/>
      <c r="BA187" s="479"/>
      <c r="BB187" s="479"/>
      <c r="BC187" s="479"/>
      <c r="BD187" s="479"/>
      <c r="BE187" s="479"/>
      <c r="BF187" s="479"/>
      <c r="BG187" s="479"/>
      <c r="BH187" s="479"/>
      <c r="BI187" s="479"/>
      <c r="BJ187" s="479"/>
      <c r="BK187" s="479"/>
      <c r="BL187" s="479"/>
      <c r="BM187" s="479"/>
      <c r="BN187" s="479"/>
      <c r="BO187" s="479"/>
      <c r="BP187" s="479"/>
      <c r="BQ187" s="479"/>
      <c r="BR187" s="480"/>
      <c r="BS187" s="477" t="s">
        <v>1268</v>
      </c>
      <c r="BT187" s="477"/>
      <c r="BU187" s="477"/>
      <c r="BV187" s="477"/>
      <c r="BW187" s="477"/>
      <c r="BX187" s="477"/>
      <c r="BY187" s="477"/>
      <c r="BZ187" s="477"/>
      <c r="CA187" s="9"/>
      <c r="CB187" s="9"/>
      <c r="CC187" s="9"/>
      <c r="CD187" s="9"/>
      <c r="CE187" s="9"/>
      <c r="CF187" s="9"/>
      <c r="CG187" s="493" t="s">
        <v>147</v>
      </c>
      <c r="CH187" s="493"/>
      <c r="CI187" s="493"/>
      <c r="CJ187" s="493"/>
      <c r="CK187" s="493"/>
      <c r="CL187" s="493"/>
      <c r="CM187" s="493"/>
      <c r="CN187" s="493"/>
      <c r="CO187" s="9"/>
      <c r="CP187" s="16"/>
    </row>
    <row r="188" spans="1:94" ht="15" customHeight="1" x14ac:dyDescent="0.15">
      <c r="A188" s="15"/>
      <c r="B188" s="9"/>
      <c r="C188" s="9"/>
      <c r="D188" s="9"/>
      <c r="E188" s="491">
        <f t="shared" si="0"/>
        <v>5</v>
      </c>
      <c r="F188" s="491"/>
      <c r="G188" s="512" t="s">
        <v>1216</v>
      </c>
      <c r="H188" s="513"/>
      <c r="I188" s="513"/>
      <c r="J188" s="513"/>
      <c r="K188" s="513"/>
      <c r="L188" s="513"/>
      <c r="M188" s="513"/>
      <c r="N188" s="513"/>
      <c r="O188" s="513"/>
      <c r="P188" s="513"/>
      <c r="Q188" s="513"/>
      <c r="R188" s="513"/>
      <c r="S188" s="513"/>
      <c r="T188" s="513"/>
      <c r="U188" s="513"/>
      <c r="V188" s="513"/>
      <c r="W188" s="513"/>
      <c r="X188" s="513"/>
      <c r="Y188" s="513"/>
      <c r="Z188" s="513"/>
      <c r="AA188" s="513"/>
      <c r="AB188" s="513"/>
      <c r="AC188" s="513"/>
      <c r="AD188" s="513"/>
      <c r="AE188" s="513"/>
      <c r="AF188" s="514"/>
      <c r="AG188" s="515" t="s">
        <v>439</v>
      </c>
      <c r="AH188" s="515"/>
      <c r="AI188" s="515"/>
      <c r="AJ188" s="515"/>
      <c r="AK188" s="515"/>
      <c r="AL188" s="515"/>
      <c r="AM188" s="515"/>
      <c r="AN188" s="515"/>
      <c r="AO188" s="9"/>
      <c r="AP188" s="9"/>
      <c r="AQ188" s="491">
        <f>AQ187+1</f>
        <v>44</v>
      </c>
      <c r="AR188" s="491"/>
      <c r="AS188" s="478" t="s">
        <v>1232</v>
      </c>
      <c r="AT188" s="479"/>
      <c r="AU188" s="479"/>
      <c r="AV188" s="479"/>
      <c r="AW188" s="479"/>
      <c r="AX188" s="479"/>
      <c r="AY188" s="479"/>
      <c r="AZ188" s="479"/>
      <c r="BA188" s="479"/>
      <c r="BB188" s="479"/>
      <c r="BC188" s="479"/>
      <c r="BD188" s="479"/>
      <c r="BE188" s="479"/>
      <c r="BF188" s="479"/>
      <c r="BG188" s="479"/>
      <c r="BH188" s="479"/>
      <c r="BI188" s="479"/>
      <c r="BJ188" s="479"/>
      <c r="BK188" s="479"/>
      <c r="BL188" s="479"/>
      <c r="BM188" s="479"/>
      <c r="BN188" s="479"/>
      <c r="BO188" s="479"/>
      <c r="BP188" s="479"/>
      <c r="BQ188" s="479"/>
      <c r="BR188" s="480"/>
      <c r="BS188" s="477" t="s">
        <v>1268</v>
      </c>
      <c r="BT188" s="477"/>
      <c r="BU188" s="477"/>
      <c r="BV188" s="477"/>
      <c r="BW188" s="477"/>
      <c r="BX188" s="477"/>
      <c r="BY188" s="477"/>
      <c r="BZ188" s="477"/>
      <c r="CA188" s="9"/>
      <c r="CB188" s="9"/>
      <c r="CC188" s="9"/>
      <c r="CD188" s="9"/>
      <c r="CE188" s="9"/>
      <c r="CF188" s="9"/>
      <c r="CG188" s="9"/>
      <c r="CH188" s="9"/>
      <c r="CI188" s="9"/>
      <c r="CJ188" s="9"/>
      <c r="CK188" s="9"/>
      <c r="CL188" s="9"/>
      <c r="CM188" s="9"/>
      <c r="CN188" s="9"/>
      <c r="CO188" s="9"/>
      <c r="CP188" s="16"/>
    </row>
    <row r="189" spans="1:94" ht="15" customHeight="1" x14ac:dyDescent="0.15">
      <c r="A189" s="15"/>
      <c r="B189" s="9"/>
      <c r="C189" s="9"/>
      <c r="D189" s="9"/>
      <c r="E189" s="491">
        <f t="shared" si="0"/>
        <v>6</v>
      </c>
      <c r="F189" s="491"/>
      <c r="G189" s="512" t="s">
        <v>1218</v>
      </c>
      <c r="H189" s="513"/>
      <c r="I189" s="513"/>
      <c r="J189" s="513"/>
      <c r="K189" s="513"/>
      <c r="L189" s="513"/>
      <c r="M189" s="513"/>
      <c r="N189" s="513"/>
      <c r="O189" s="513"/>
      <c r="P189" s="513"/>
      <c r="Q189" s="513"/>
      <c r="R189" s="513"/>
      <c r="S189" s="513"/>
      <c r="T189" s="513"/>
      <c r="U189" s="513"/>
      <c r="V189" s="513"/>
      <c r="W189" s="513"/>
      <c r="X189" s="513"/>
      <c r="Y189" s="513"/>
      <c r="Z189" s="513"/>
      <c r="AA189" s="513"/>
      <c r="AB189" s="513"/>
      <c r="AC189" s="513"/>
      <c r="AD189" s="513"/>
      <c r="AE189" s="513"/>
      <c r="AF189" s="514"/>
      <c r="AG189" s="515" t="s">
        <v>439</v>
      </c>
      <c r="AH189" s="515"/>
      <c r="AI189" s="515"/>
      <c r="AJ189" s="515"/>
      <c r="AK189" s="515"/>
      <c r="AL189" s="515"/>
      <c r="AM189" s="515"/>
      <c r="AN189" s="515"/>
      <c r="AO189" s="9"/>
      <c r="AP189" s="9"/>
      <c r="AQ189" s="491">
        <f>AQ188+1</f>
        <v>45</v>
      </c>
      <c r="AR189" s="491"/>
      <c r="AS189" s="478" t="s">
        <v>460</v>
      </c>
      <c r="AT189" s="479"/>
      <c r="AU189" s="479"/>
      <c r="AV189" s="479"/>
      <c r="AW189" s="479"/>
      <c r="AX189" s="479"/>
      <c r="AY189" s="479"/>
      <c r="AZ189" s="479"/>
      <c r="BA189" s="479"/>
      <c r="BB189" s="479"/>
      <c r="BC189" s="479"/>
      <c r="BD189" s="479"/>
      <c r="BE189" s="479"/>
      <c r="BF189" s="479"/>
      <c r="BG189" s="479"/>
      <c r="BH189" s="479"/>
      <c r="BI189" s="479"/>
      <c r="BJ189" s="479"/>
      <c r="BK189" s="479"/>
      <c r="BL189" s="479"/>
      <c r="BM189" s="479"/>
      <c r="BN189" s="479"/>
      <c r="BO189" s="479"/>
      <c r="BP189" s="479"/>
      <c r="BQ189" s="479"/>
      <c r="BR189" s="480"/>
      <c r="BS189" s="477" t="s">
        <v>1268</v>
      </c>
      <c r="BT189" s="477"/>
      <c r="BU189" s="477"/>
      <c r="BV189" s="477"/>
      <c r="BW189" s="477"/>
      <c r="BX189" s="477"/>
      <c r="BY189" s="477"/>
      <c r="BZ189" s="477"/>
      <c r="CA189" s="9"/>
      <c r="CB189" s="9"/>
      <c r="CC189" s="9"/>
      <c r="CD189" s="9"/>
      <c r="CE189" s="9"/>
      <c r="CF189" s="9"/>
      <c r="CG189" s="493" t="s">
        <v>116</v>
      </c>
      <c r="CH189" s="493"/>
      <c r="CI189" s="493"/>
      <c r="CJ189" s="493"/>
      <c r="CK189" s="493"/>
      <c r="CL189" s="493"/>
      <c r="CM189" s="493"/>
      <c r="CN189" s="493"/>
      <c r="CO189" s="9"/>
      <c r="CP189" s="16"/>
    </row>
    <row r="190" spans="1:94" ht="15" customHeight="1" x14ac:dyDescent="0.15">
      <c r="A190" s="15"/>
      <c r="B190" s="9"/>
      <c r="C190" s="9"/>
      <c r="D190" s="9"/>
      <c r="E190" s="491">
        <f t="shared" si="0"/>
        <v>7</v>
      </c>
      <c r="F190" s="491"/>
      <c r="G190" s="512" t="s">
        <v>554</v>
      </c>
      <c r="H190" s="513"/>
      <c r="I190" s="513"/>
      <c r="J190" s="513"/>
      <c r="K190" s="513"/>
      <c r="L190" s="513"/>
      <c r="M190" s="513"/>
      <c r="N190" s="513"/>
      <c r="O190" s="513"/>
      <c r="P190" s="513"/>
      <c r="Q190" s="513"/>
      <c r="R190" s="513"/>
      <c r="S190" s="513"/>
      <c r="T190" s="513"/>
      <c r="U190" s="513"/>
      <c r="V190" s="513"/>
      <c r="W190" s="513"/>
      <c r="X190" s="513"/>
      <c r="Y190" s="513"/>
      <c r="Z190" s="513"/>
      <c r="AA190" s="513"/>
      <c r="AB190" s="513"/>
      <c r="AC190" s="513"/>
      <c r="AD190" s="513"/>
      <c r="AE190" s="513"/>
      <c r="AF190" s="514"/>
      <c r="AG190" s="515" t="s">
        <v>445</v>
      </c>
      <c r="AH190" s="515"/>
      <c r="AI190" s="515"/>
      <c r="AJ190" s="515"/>
      <c r="AK190" s="515"/>
      <c r="AL190" s="515"/>
      <c r="AM190" s="515"/>
      <c r="AN190" s="515"/>
      <c r="AO190" s="9"/>
      <c r="AP190" s="9"/>
      <c r="AQ190" s="491">
        <f t="shared" ref="AQ190:AQ222" si="1">AQ189+1</f>
        <v>46</v>
      </c>
      <c r="AR190" s="491"/>
      <c r="AS190" s="478" t="s">
        <v>461</v>
      </c>
      <c r="AT190" s="479"/>
      <c r="AU190" s="479"/>
      <c r="AV190" s="479"/>
      <c r="AW190" s="479"/>
      <c r="AX190" s="479"/>
      <c r="AY190" s="479"/>
      <c r="AZ190" s="479"/>
      <c r="BA190" s="479"/>
      <c r="BB190" s="479"/>
      <c r="BC190" s="479"/>
      <c r="BD190" s="479"/>
      <c r="BE190" s="479"/>
      <c r="BF190" s="479"/>
      <c r="BG190" s="479"/>
      <c r="BH190" s="479"/>
      <c r="BI190" s="479"/>
      <c r="BJ190" s="479"/>
      <c r="BK190" s="479"/>
      <c r="BL190" s="479"/>
      <c r="BM190" s="479"/>
      <c r="BN190" s="479"/>
      <c r="BO190" s="479"/>
      <c r="BP190" s="479"/>
      <c r="BQ190" s="479"/>
      <c r="BR190" s="480"/>
      <c r="BS190" s="477" t="s">
        <v>1268</v>
      </c>
      <c r="BT190" s="477"/>
      <c r="BU190" s="477"/>
      <c r="BV190" s="477"/>
      <c r="BW190" s="477"/>
      <c r="BX190" s="477"/>
      <c r="BY190" s="477"/>
      <c r="BZ190" s="477"/>
      <c r="CA190" s="9"/>
      <c r="CB190" s="9"/>
      <c r="CC190" s="9"/>
      <c r="CD190" s="9"/>
      <c r="CE190" s="9"/>
      <c r="CF190" s="9"/>
      <c r="CG190" s="9"/>
      <c r="CH190" s="9"/>
      <c r="CI190" s="9"/>
      <c r="CJ190" s="9"/>
      <c r="CK190" s="9"/>
      <c r="CL190" s="9"/>
      <c r="CM190" s="9"/>
      <c r="CN190" s="9"/>
      <c r="CO190" s="9"/>
      <c r="CP190" s="16"/>
    </row>
    <row r="191" spans="1:94" ht="15" customHeight="1" x14ac:dyDescent="0.15">
      <c r="A191" s="15"/>
      <c r="B191" s="9"/>
      <c r="C191" s="9"/>
      <c r="D191" s="9"/>
      <c r="E191" s="491">
        <f t="shared" si="0"/>
        <v>8</v>
      </c>
      <c r="F191" s="491"/>
      <c r="G191" s="506" t="s">
        <v>438</v>
      </c>
      <c r="H191" s="507"/>
      <c r="I191" s="507"/>
      <c r="J191" s="507"/>
      <c r="K191" s="507"/>
      <c r="L191" s="507"/>
      <c r="M191" s="507"/>
      <c r="N191" s="507"/>
      <c r="O191" s="507"/>
      <c r="P191" s="507"/>
      <c r="Q191" s="507"/>
      <c r="R191" s="507"/>
      <c r="S191" s="507"/>
      <c r="T191" s="507"/>
      <c r="U191" s="507"/>
      <c r="V191" s="507"/>
      <c r="W191" s="507"/>
      <c r="X191" s="507"/>
      <c r="Y191" s="507"/>
      <c r="Z191" s="507"/>
      <c r="AA191" s="507"/>
      <c r="AB191" s="507"/>
      <c r="AC191" s="507"/>
      <c r="AD191" s="507"/>
      <c r="AE191" s="507"/>
      <c r="AF191" s="508"/>
      <c r="AG191" s="547" t="s">
        <v>439</v>
      </c>
      <c r="AH191" s="547"/>
      <c r="AI191" s="547"/>
      <c r="AJ191" s="547"/>
      <c r="AK191" s="547"/>
      <c r="AL191" s="547"/>
      <c r="AM191" s="547"/>
      <c r="AN191" s="547"/>
      <c r="AO191" s="9"/>
      <c r="AP191" s="9"/>
      <c r="AQ191" s="491">
        <f t="shared" si="1"/>
        <v>47</v>
      </c>
      <c r="AR191" s="491"/>
      <c r="AS191" s="478" t="s">
        <v>469</v>
      </c>
      <c r="AT191" s="479"/>
      <c r="AU191" s="479"/>
      <c r="AV191" s="479"/>
      <c r="AW191" s="479"/>
      <c r="AX191" s="479"/>
      <c r="AY191" s="479"/>
      <c r="AZ191" s="479"/>
      <c r="BA191" s="479"/>
      <c r="BB191" s="479"/>
      <c r="BC191" s="479"/>
      <c r="BD191" s="479"/>
      <c r="BE191" s="479"/>
      <c r="BF191" s="479"/>
      <c r="BG191" s="479"/>
      <c r="BH191" s="479"/>
      <c r="BI191" s="479"/>
      <c r="BJ191" s="479"/>
      <c r="BK191" s="479"/>
      <c r="BL191" s="479"/>
      <c r="BM191" s="479"/>
      <c r="BN191" s="479"/>
      <c r="BO191" s="479"/>
      <c r="BP191" s="479"/>
      <c r="BQ191" s="479"/>
      <c r="BR191" s="480"/>
      <c r="BS191" s="477" t="s">
        <v>1268</v>
      </c>
      <c r="BT191" s="477"/>
      <c r="BU191" s="477"/>
      <c r="BV191" s="477"/>
      <c r="BW191" s="477"/>
      <c r="BX191" s="477"/>
      <c r="BY191" s="477"/>
      <c r="BZ191" s="477"/>
      <c r="CA191" s="9"/>
      <c r="CB191" s="9"/>
      <c r="CC191" s="9"/>
      <c r="CD191" s="9"/>
      <c r="CE191" s="9"/>
      <c r="CF191" s="9"/>
      <c r="CG191" s="9"/>
      <c r="CH191" s="9"/>
      <c r="CI191" s="9"/>
      <c r="CJ191" s="9"/>
      <c r="CK191" s="9"/>
      <c r="CL191" s="9"/>
      <c r="CM191" s="9"/>
      <c r="CN191" s="9"/>
      <c r="CO191" s="9"/>
      <c r="CP191" s="16"/>
    </row>
    <row r="192" spans="1:94" ht="15" customHeight="1" x14ac:dyDescent="0.15">
      <c r="A192" s="15"/>
      <c r="B192" s="9"/>
      <c r="C192" s="9"/>
      <c r="D192" s="9"/>
      <c r="E192" s="491">
        <f t="shared" si="0"/>
        <v>9</v>
      </c>
      <c r="F192" s="491"/>
      <c r="G192" s="506" t="s">
        <v>1219</v>
      </c>
      <c r="H192" s="507"/>
      <c r="I192" s="507"/>
      <c r="J192" s="507"/>
      <c r="K192" s="507"/>
      <c r="L192" s="507"/>
      <c r="M192" s="507"/>
      <c r="N192" s="507"/>
      <c r="O192" s="507"/>
      <c r="P192" s="507"/>
      <c r="Q192" s="507"/>
      <c r="R192" s="507"/>
      <c r="S192" s="507"/>
      <c r="T192" s="507"/>
      <c r="U192" s="507"/>
      <c r="V192" s="507"/>
      <c r="W192" s="507"/>
      <c r="X192" s="507"/>
      <c r="Y192" s="507"/>
      <c r="Z192" s="507"/>
      <c r="AA192" s="507"/>
      <c r="AB192" s="507"/>
      <c r="AC192" s="507"/>
      <c r="AD192" s="507"/>
      <c r="AE192" s="507"/>
      <c r="AF192" s="508"/>
      <c r="AG192" s="547" t="s">
        <v>439</v>
      </c>
      <c r="AH192" s="547"/>
      <c r="AI192" s="547"/>
      <c r="AJ192" s="547"/>
      <c r="AK192" s="547"/>
      <c r="AL192" s="547"/>
      <c r="AM192" s="547"/>
      <c r="AN192" s="547"/>
      <c r="AO192" s="9"/>
      <c r="AP192" s="9"/>
      <c r="AQ192" s="491">
        <f t="shared" si="1"/>
        <v>48</v>
      </c>
      <c r="AR192" s="491"/>
      <c r="AS192" s="478" t="s">
        <v>1233</v>
      </c>
      <c r="AT192" s="479"/>
      <c r="AU192" s="479"/>
      <c r="AV192" s="479"/>
      <c r="AW192" s="479"/>
      <c r="AX192" s="479"/>
      <c r="AY192" s="479"/>
      <c r="AZ192" s="479"/>
      <c r="BA192" s="479"/>
      <c r="BB192" s="479"/>
      <c r="BC192" s="479"/>
      <c r="BD192" s="479"/>
      <c r="BE192" s="479"/>
      <c r="BF192" s="479"/>
      <c r="BG192" s="479"/>
      <c r="BH192" s="479"/>
      <c r="BI192" s="479"/>
      <c r="BJ192" s="479"/>
      <c r="BK192" s="479"/>
      <c r="BL192" s="479"/>
      <c r="BM192" s="479"/>
      <c r="BN192" s="479"/>
      <c r="BO192" s="479"/>
      <c r="BP192" s="479"/>
      <c r="BQ192" s="479"/>
      <c r="BR192" s="480"/>
      <c r="BS192" s="477" t="s">
        <v>436</v>
      </c>
      <c r="BT192" s="477"/>
      <c r="BU192" s="477"/>
      <c r="BV192" s="477"/>
      <c r="BW192" s="477"/>
      <c r="BX192" s="477"/>
      <c r="BY192" s="477"/>
      <c r="BZ192" s="477"/>
      <c r="CA192" s="9"/>
      <c r="CB192" s="9"/>
      <c r="CC192" s="9"/>
      <c r="CD192" s="9"/>
      <c r="CE192" s="9"/>
      <c r="CF192" s="9"/>
      <c r="CG192" s="9"/>
      <c r="CH192" s="9"/>
      <c r="CI192" s="9"/>
      <c r="CJ192" s="9"/>
      <c r="CK192" s="9"/>
      <c r="CL192" s="9"/>
      <c r="CM192" s="9"/>
      <c r="CN192" s="9"/>
      <c r="CO192" s="9"/>
      <c r="CP192" s="16"/>
    </row>
    <row r="193" spans="1:94" ht="15" customHeight="1" x14ac:dyDescent="0.15">
      <c r="A193" s="15"/>
      <c r="B193" s="9"/>
      <c r="C193" s="9"/>
      <c r="D193" s="9"/>
      <c r="E193" s="491">
        <f t="shared" si="0"/>
        <v>10</v>
      </c>
      <c r="F193" s="491"/>
      <c r="G193" s="478" t="s">
        <v>1220</v>
      </c>
      <c r="H193" s="479"/>
      <c r="I193" s="479"/>
      <c r="J193" s="479"/>
      <c r="K193" s="479"/>
      <c r="L193" s="479"/>
      <c r="M193" s="479"/>
      <c r="N193" s="479"/>
      <c r="O193" s="479"/>
      <c r="P193" s="479"/>
      <c r="Q193" s="479"/>
      <c r="R193" s="479"/>
      <c r="S193" s="479"/>
      <c r="T193" s="479"/>
      <c r="U193" s="479"/>
      <c r="V193" s="479"/>
      <c r="W193" s="479"/>
      <c r="X193" s="479"/>
      <c r="Y193" s="479"/>
      <c r="Z193" s="479"/>
      <c r="AA193" s="479"/>
      <c r="AB193" s="479"/>
      <c r="AC193" s="479"/>
      <c r="AD193" s="479"/>
      <c r="AE193" s="479"/>
      <c r="AF193" s="480"/>
      <c r="AG193" s="477" t="s">
        <v>436</v>
      </c>
      <c r="AH193" s="477"/>
      <c r="AI193" s="477"/>
      <c r="AJ193" s="477"/>
      <c r="AK193" s="477"/>
      <c r="AL193" s="477"/>
      <c r="AM193" s="477"/>
      <c r="AN193" s="477"/>
      <c r="AO193" s="9"/>
      <c r="AP193" s="9"/>
      <c r="AQ193" s="491">
        <f t="shared" si="1"/>
        <v>49</v>
      </c>
      <c r="AR193" s="491"/>
      <c r="AS193" s="478" t="s">
        <v>1234</v>
      </c>
      <c r="AT193" s="479"/>
      <c r="AU193" s="479"/>
      <c r="AV193" s="479"/>
      <c r="AW193" s="479"/>
      <c r="AX193" s="479"/>
      <c r="AY193" s="479"/>
      <c r="AZ193" s="479"/>
      <c r="BA193" s="479"/>
      <c r="BB193" s="479"/>
      <c r="BC193" s="479"/>
      <c r="BD193" s="479"/>
      <c r="BE193" s="479"/>
      <c r="BF193" s="479"/>
      <c r="BG193" s="479"/>
      <c r="BH193" s="479"/>
      <c r="BI193" s="479"/>
      <c r="BJ193" s="479"/>
      <c r="BK193" s="479"/>
      <c r="BL193" s="479"/>
      <c r="BM193" s="479"/>
      <c r="BN193" s="479"/>
      <c r="BO193" s="479"/>
      <c r="BP193" s="479"/>
      <c r="BQ193" s="479"/>
      <c r="BR193" s="480"/>
      <c r="BS193" s="477" t="s">
        <v>445</v>
      </c>
      <c r="BT193" s="477"/>
      <c r="BU193" s="477"/>
      <c r="BV193" s="477"/>
      <c r="BW193" s="477"/>
      <c r="BX193" s="477"/>
      <c r="BY193" s="477"/>
      <c r="BZ193" s="477"/>
      <c r="CA193" s="9"/>
      <c r="CB193" s="9"/>
      <c r="CC193" s="9"/>
      <c r="CD193" s="9"/>
      <c r="CE193" s="9"/>
      <c r="CF193" s="9"/>
      <c r="CG193" s="9"/>
      <c r="CH193" s="9"/>
      <c r="CI193" s="9"/>
      <c r="CJ193" s="9"/>
      <c r="CK193" s="9"/>
      <c r="CL193" s="9"/>
      <c r="CM193" s="9"/>
      <c r="CN193" s="9"/>
      <c r="CO193" s="9"/>
      <c r="CP193" s="16"/>
    </row>
    <row r="194" spans="1:94" ht="15" customHeight="1" x14ac:dyDescent="0.15">
      <c r="A194" s="15"/>
      <c r="B194" s="9"/>
      <c r="C194" s="9"/>
      <c r="D194" s="9"/>
      <c r="E194" s="491">
        <f t="shared" si="0"/>
        <v>11</v>
      </c>
      <c r="F194" s="491"/>
      <c r="G194" s="478" t="s">
        <v>1221</v>
      </c>
      <c r="H194" s="479"/>
      <c r="I194" s="479"/>
      <c r="J194" s="479"/>
      <c r="K194" s="479"/>
      <c r="L194" s="479"/>
      <c r="M194" s="479"/>
      <c r="N194" s="479"/>
      <c r="O194" s="479"/>
      <c r="P194" s="479"/>
      <c r="Q194" s="479"/>
      <c r="R194" s="479"/>
      <c r="S194" s="479"/>
      <c r="T194" s="479"/>
      <c r="U194" s="479"/>
      <c r="V194" s="479"/>
      <c r="W194" s="479"/>
      <c r="X194" s="479"/>
      <c r="Y194" s="479"/>
      <c r="Z194" s="479"/>
      <c r="AA194" s="479"/>
      <c r="AB194" s="479"/>
      <c r="AC194" s="479"/>
      <c r="AD194" s="479"/>
      <c r="AE194" s="479"/>
      <c r="AF194" s="480"/>
      <c r="AG194" s="477" t="s">
        <v>439</v>
      </c>
      <c r="AH194" s="477"/>
      <c r="AI194" s="477"/>
      <c r="AJ194" s="477"/>
      <c r="AK194" s="477"/>
      <c r="AL194" s="477"/>
      <c r="AM194" s="477"/>
      <c r="AN194" s="477"/>
      <c r="AO194" s="9"/>
      <c r="AP194" s="9"/>
      <c r="AQ194" s="491">
        <f t="shared" si="1"/>
        <v>50</v>
      </c>
      <c r="AR194" s="491"/>
      <c r="AS194" s="478" t="s">
        <v>462</v>
      </c>
      <c r="AT194" s="479"/>
      <c r="AU194" s="479"/>
      <c r="AV194" s="479"/>
      <c r="AW194" s="479"/>
      <c r="AX194" s="479"/>
      <c r="AY194" s="479"/>
      <c r="AZ194" s="479"/>
      <c r="BA194" s="479"/>
      <c r="BB194" s="479"/>
      <c r="BC194" s="479"/>
      <c r="BD194" s="479"/>
      <c r="BE194" s="479"/>
      <c r="BF194" s="479"/>
      <c r="BG194" s="479"/>
      <c r="BH194" s="479"/>
      <c r="BI194" s="479"/>
      <c r="BJ194" s="479"/>
      <c r="BK194" s="479"/>
      <c r="BL194" s="479"/>
      <c r="BM194" s="479"/>
      <c r="BN194" s="479"/>
      <c r="BO194" s="479"/>
      <c r="BP194" s="479"/>
      <c r="BQ194" s="479"/>
      <c r="BR194" s="480"/>
      <c r="BS194" s="477" t="s">
        <v>1268</v>
      </c>
      <c r="BT194" s="477"/>
      <c r="BU194" s="477"/>
      <c r="BV194" s="477"/>
      <c r="BW194" s="477"/>
      <c r="BX194" s="477"/>
      <c r="BY194" s="477"/>
      <c r="BZ194" s="477"/>
      <c r="CA194" s="9"/>
      <c r="CB194" s="9"/>
      <c r="CC194" s="9"/>
      <c r="CD194" s="9"/>
      <c r="CE194" s="9"/>
      <c r="CF194" s="9"/>
      <c r="CG194" s="9"/>
      <c r="CH194" s="9"/>
      <c r="CI194" s="9"/>
      <c r="CJ194" s="9"/>
      <c r="CK194" s="9"/>
      <c r="CL194" s="9"/>
      <c r="CM194" s="9"/>
      <c r="CN194" s="9"/>
      <c r="CO194" s="9"/>
      <c r="CP194" s="16"/>
    </row>
    <row r="195" spans="1:94" ht="15" customHeight="1" x14ac:dyDescent="0.15">
      <c r="A195" s="15"/>
      <c r="B195" s="9"/>
      <c r="C195" s="9"/>
      <c r="D195" s="9"/>
      <c r="E195" s="491">
        <f t="shared" si="0"/>
        <v>12</v>
      </c>
      <c r="F195" s="491"/>
      <c r="G195" s="478" t="s">
        <v>1222</v>
      </c>
      <c r="H195" s="479"/>
      <c r="I195" s="479"/>
      <c r="J195" s="479"/>
      <c r="K195" s="479"/>
      <c r="L195" s="479"/>
      <c r="M195" s="479"/>
      <c r="N195" s="479"/>
      <c r="O195" s="479"/>
      <c r="P195" s="479"/>
      <c r="Q195" s="479"/>
      <c r="R195" s="479"/>
      <c r="S195" s="479"/>
      <c r="T195" s="479"/>
      <c r="U195" s="479"/>
      <c r="V195" s="479"/>
      <c r="W195" s="479"/>
      <c r="X195" s="479"/>
      <c r="Y195" s="479"/>
      <c r="Z195" s="479"/>
      <c r="AA195" s="479"/>
      <c r="AB195" s="479"/>
      <c r="AC195" s="479"/>
      <c r="AD195" s="479"/>
      <c r="AE195" s="479"/>
      <c r="AF195" s="480"/>
      <c r="AG195" s="477" t="s">
        <v>439</v>
      </c>
      <c r="AH195" s="477"/>
      <c r="AI195" s="477"/>
      <c r="AJ195" s="477"/>
      <c r="AK195" s="477"/>
      <c r="AL195" s="477"/>
      <c r="AM195" s="477"/>
      <c r="AN195" s="477"/>
      <c r="AO195" s="9"/>
      <c r="AP195" s="9"/>
      <c r="AQ195" s="491">
        <f t="shared" si="1"/>
        <v>51</v>
      </c>
      <c r="AR195" s="491"/>
      <c r="AS195" s="478" t="s">
        <v>463</v>
      </c>
      <c r="AT195" s="479"/>
      <c r="AU195" s="479"/>
      <c r="AV195" s="479"/>
      <c r="AW195" s="479"/>
      <c r="AX195" s="479"/>
      <c r="AY195" s="479"/>
      <c r="AZ195" s="479"/>
      <c r="BA195" s="479"/>
      <c r="BB195" s="479"/>
      <c r="BC195" s="479"/>
      <c r="BD195" s="479"/>
      <c r="BE195" s="479"/>
      <c r="BF195" s="479"/>
      <c r="BG195" s="479"/>
      <c r="BH195" s="479"/>
      <c r="BI195" s="479"/>
      <c r="BJ195" s="479"/>
      <c r="BK195" s="479"/>
      <c r="BL195" s="479"/>
      <c r="BM195" s="479"/>
      <c r="BN195" s="479"/>
      <c r="BO195" s="479"/>
      <c r="BP195" s="479"/>
      <c r="BQ195" s="479"/>
      <c r="BR195" s="480"/>
      <c r="BS195" s="477" t="s">
        <v>439</v>
      </c>
      <c r="BT195" s="477"/>
      <c r="BU195" s="477"/>
      <c r="BV195" s="477"/>
      <c r="BW195" s="477"/>
      <c r="BX195" s="477"/>
      <c r="BY195" s="477"/>
      <c r="BZ195" s="477"/>
      <c r="CA195" s="9"/>
      <c r="CB195" s="9"/>
      <c r="CC195" s="9"/>
      <c r="CD195" s="9"/>
      <c r="CE195" s="9"/>
      <c r="CF195" s="9"/>
      <c r="CG195" s="9"/>
      <c r="CH195" s="9"/>
      <c r="CI195" s="9"/>
      <c r="CJ195" s="9"/>
      <c r="CK195" s="9"/>
      <c r="CL195" s="9"/>
      <c r="CM195" s="9"/>
      <c r="CN195" s="9"/>
      <c r="CO195" s="9"/>
      <c r="CP195" s="16"/>
    </row>
    <row r="196" spans="1:94" ht="15" customHeight="1" x14ac:dyDescent="0.15">
      <c r="A196" s="15"/>
      <c r="B196" s="9"/>
      <c r="C196" s="9"/>
      <c r="D196" s="9"/>
      <c r="E196" s="491">
        <f t="shared" si="0"/>
        <v>13</v>
      </c>
      <c r="F196" s="491"/>
      <c r="G196" s="478" t="s">
        <v>1223</v>
      </c>
      <c r="H196" s="479"/>
      <c r="I196" s="479"/>
      <c r="J196" s="479"/>
      <c r="K196" s="479"/>
      <c r="L196" s="479"/>
      <c r="M196" s="479"/>
      <c r="N196" s="479"/>
      <c r="O196" s="479"/>
      <c r="P196" s="479"/>
      <c r="Q196" s="479"/>
      <c r="R196" s="479"/>
      <c r="S196" s="479"/>
      <c r="T196" s="479"/>
      <c r="U196" s="479"/>
      <c r="V196" s="479"/>
      <c r="W196" s="479"/>
      <c r="X196" s="479"/>
      <c r="Y196" s="479"/>
      <c r="Z196" s="479"/>
      <c r="AA196" s="479"/>
      <c r="AB196" s="479"/>
      <c r="AC196" s="479"/>
      <c r="AD196" s="479"/>
      <c r="AE196" s="479"/>
      <c r="AF196" s="480"/>
      <c r="AG196" s="477" t="s">
        <v>439</v>
      </c>
      <c r="AH196" s="477"/>
      <c r="AI196" s="477"/>
      <c r="AJ196" s="477"/>
      <c r="AK196" s="477"/>
      <c r="AL196" s="477"/>
      <c r="AM196" s="477"/>
      <c r="AN196" s="477"/>
      <c r="AO196" s="9"/>
      <c r="AP196" s="9"/>
      <c r="AQ196" s="491">
        <f t="shared" si="1"/>
        <v>52</v>
      </c>
      <c r="AR196" s="491"/>
      <c r="AS196" s="478" t="s">
        <v>468</v>
      </c>
      <c r="AT196" s="479"/>
      <c r="AU196" s="479"/>
      <c r="AV196" s="479"/>
      <c r="AW196" s="479"/>
      <c r="AX196" s="479"/>
      <c r="AY196" s="479"/>
      <c r="AZ196" s="479"/>
      <c r="BA196" s="479"/>
      <c r="BB196" s="479"/>
      <c r="BC196" s="479"/>
      <c r="BD196" s="479"/>
      <c r="BE196" s="479"/>
      <c r="BF196" s="479"/>
      <c r="BG196" s="479"/>
      <c r="BH196" s="479"/>
      <c r="BI196" s="479"/>
      <c r="BJ196" s="479"/>
      <c r="BK196" s="479"/>
      <c r="BL196" s="479"/>
      <c r="BM196" s="479"/>
      <c r="BN196" s="479"/>
      <c r="BO196" s="479"/>
      <c r="BP196" s="479"/>
      <c r="BQ196" s="479"/>
      <c r="BR196" s="480"/>
      <c r="BS196" s="477" t="s">
        <v>1273</v>
      </c>
      <c r="BT196" s="477"/>
      <c r="BU196" s="477"/>
      <c r="BV196" s="477"/>
      <c r="BW196" s="477"/>
      <c r="BX196" s="477"/>
      <c r="BY196" s="477"/>
      <c r="BZ196" s="477"/>
      <c r="CA196" s="9"/>
      <c r="CB196" s="9"/>
      <c r="CC196" s="9"/>
      <c r="CD196" s="9"/>
      <c r="CE196" s="9"/>
      <c r="CF196" s="9"/>
      <c r="CG196" s="9"/>
      <c r="CH196" s="9"/>
      <c r="CI196" s="9"/>
      <c r="CJ196" s="9"/>
      <c r="CK196" s="9"/>
      <c r="CL196" s="9"/>
      <c r="CM196" s="9"/>
      <c r="CN196" s="9"/>
      <c r="CO196" s="9"/>
      <c r="CP196" s="16"/>
    </row>
    <row r="197" spans="1:94" ht="15" customHeight="1" x14ac:dyDescent="0.15">
      <c r="A197" s="15"/>
      <c r="B197" s="9"/>
      <c r="C197" s="9"/>
      <c r="D197" s="9"/>
      <c r="E197" s="491">
        <f t="shared" si="0"/>
        <v>14</v>
      </c>
      <c r="F197" s="491"/>
      <c r="G197" s="478" t="s">
        <v>443</v>
      </c>
      <c r="H197" s="479"/>
      <c r="I197" s="479"/>
      <c r="J197" s="479"/>
      <c r="K197" s="479"/>
      <c r="L197" s="479"/>
      <c r="M197" s="479"/>
      <c r="N197" s="479"/>
      <c r="O197" s="479"/>
      <c r="P197" s="479"/>
      <c r="Q197" s="479"/>
      <c r="R197" s="479"/>
      <c r="S197" s="479"/>
      <c r="T197" s="479"/>
      <c r="U197" s="479"/>
      <c r="V197" s="479"/>
      <c r="W197" s="479"/>
      <c r="X197" s="479"/>
      <c r="Y197" s="479"/>
      <c r="Z197" s="479"/>
      <c r="AA197" s="479"/>
      <c r="AB197" s="479"/>
      <c r="AC197" s="479"/>
      <c r="AD197" s="479"/>
      <c r="AE197" s="479"/>
      <c r="AF197" s="480"/>
      <c r="AG197" s="477" t="s">
        <v>436</v>
      </c>
      <c r="AH197" s="477"/>
      <c r="AI197" s="477"/>
      <c r="AJ197" s="477"/>
      <c r="AK197" s="477"/>
      <c r="AL197" s="477"/>
      <c r="AM197" s="477"/>
      <c r="AN197" s="477"/>
      <c r="AO197" s="9"/>
      <c r="AP197" s="9"/>
      <c r="AQ197" s="491">
        <f t="shared" si="1"/>
        <v>53</v>
      </c>
      <c r="AR197" s="491"/>
      <c r="AS197" s="478" t="s">
        <v>577</v>
      </c>
      <c r="AT197" s="479"/>
      <c r="AU197" s="479"/>
      <c r="AV197" s="479"/>
      <c r="AW197" s="479"/>
      <c r="AX197" s="479"/>
      <c r="AY197" s="479"/>
      <c r="AZ197" s="479"/>
      <c r="BA197" s="479"/>
      <c r="BB197" s="479"/>
      <c r="BC197" s="479"/>
      <c r="BD197" s="479"/>
      <c r="BE197" s="479"/>
      <c r="BF197" s="479"/>
      <c r="BG197" s="479"/>
      <c r="BH197" s="479"/>
      <c r="BI197" s="479"/>
      <c r="BJ197" s="479"/>
      <c r="BK197" s="479"/>
      <c r="BL197" s="479"/>
      <c r="BM197" s="479"/>
      <c r="BN197" s="479"/>
      <c r="BO197" s="479"/>
      <c r="BP197" s="479"/>
      <c r="BQ197" s="479"/>
      <c r="BR197" s="480"/>
      <c r="BS197" s="477" t="s">
        <v>436</v>
      </c>
      <c r="BT197" s="477"/>
      <c r="BU197" s="477"/>
      <c r="BV197" s="477"/>
      <c r="BW197" s="477"/>
      <c r="BX197" s="477"/>
      <c r="BY197" s="477"/>
      <c r="BZ197" s="477"/>
      <c r="CA197" s="9"/>
      <c r="CB197" s="9"/>
      <c r="CC197" s="9"/>
      <c r="CD197" s="9"/>
      <c r="CE197" s="9"/>
      <c r="CF197" s="9"/>
      <c r="CG197" s="9"/>
      <c r="CH197" s="9"/>
      <c r="CI197" s="9"/>
      <c r="CJ197" s="9"/>
      <c r="CK197" s="9"/>
      <c r="CL197" s="9"/>
      <c r="CM197" s="9"/>
      <c r="CN197" s="9"/>
      <c r="CO197" s="9"/>
      <c r="CP197" s="16"/>
    </row>
    <row r="198" spans="1:94" ht="15" customHeight="1" x14ac:dyDescent="0.15">
      <c r="A198" s="15"/>
      <c r="B198" s="9"/>
      <c r="C198" s="9"/>
      <c r="D198" s="9"/>
      <c r="E198" s="491">
        <f t="shared" si="0"/>
        <v>15</v>
      </c>
      <c r="F198" s="491"/>
      <c r="G198" s="478" t="s">
        <v>440</v>
      </c>
      <c r="H198" s="479"/>
      <c r="I198" s="479"/>
      <c r="J198" s="479"/>
      <c r="K198" s="479"/>
      <c r="L198" s="479"/>
      <c r="M198" s="479"/>
      <c r="N198" s="479"/>
      <c r="O198" s="479"/>
      <c r="P198" s="479"/>
      <c r="Q198" s="479"/>
      <c r="R198" s="479"/>
      <c r="S198" s="479"/>
      <c r="T198" s="479"/>
      <c r="U198" s="479"/>
      <c r="V198" s="479"/>
      <c r="W198" s="479"/>
      <c r="X198" s="479"/>
      <c r="Y198" s="479"/>
      <c r="Z198" s="479"/>
      <c r="AA198" s="479"/>
      <c r="AB198" s="479"/>
      <c r="AC198" s="479"/>
      <c r="AD198" s="479"/>
      <c r="AE198" s="479"/>
      <c r="AF198" s="480"/>
      <c r="AG198" s="477" t="s">
        <v>1268</v>
      </c>
      <c r="AH198" s="477"/>
      <c r="AI198" s="477"/>
      <c r="AJ198" s="477"/>
      <c r="AK198" s="477"/>
      <c r="AL198" s="477"/>
      <c r="AM198" s="477"/>
      <c r="AN198" s="477"/>
      <c r="AO198" s="9"/>
      <c r="AP198" s="9"/>
      <c r="AQ198" s="491">
        <f t="shared" si="1"/>
        <v>54</v>
      </c>
      <c r="AR198" s="491"/>
      <c r="AS198" s="478" t="s">
        <v>578</v>
      </c>
      <c r="AT198" s="479"/>
      <c r="AU198" s="479"/>
      <c r="AV198" s="479"/>
      <c r="AW198" s="479"/>
      <c r="AX198" s="479"/>
      <c r="AY198" s="479"/>
      <c r="AZ198" s="479"/>
      <c r="BA198" s="479"/>
      <c r="BB198" s="479"/>
      <c r="BC198" s="479"/>
      <c r="BD198" s="479"/>
      <c r="BE198" s="479"/>
      <c r="BF198" s="479"/>
      <c r="BG198" s="479"/>
      <c r="BH198" s="479"/>
      <c r="BI198" s="479"/>
      <c r="BJ198" s="479"/>
      <c r="BK198" s="479"/>
      <c r="BL198" s="479"/>
      <c r="BM198" s="479"/>
      <c r="BN198" s="479"/>
      <c r="BO198" s="479"/>
      <c r="BP198" s="479"/>
      <c r="BQ198" s="479"/>
      <c r="BR198" s="480"/>
      <c r="BS198" s="477" t="s">
        <v>436</v>
      </c>
      <c r="BT198" s="477"/>
      <c r="BU198" s="477"/>
      <c r="BV198" s="477"/>
      <c r="BW198" s="477"/>
      <c r="BX198" s="477"/>
      <c r="BY198" s="477"/>
      <c r="BZ198" s="477"/>
      <c r="CA198" s="9"/>
      <c r="CB198" s="9"/>
      <c r="CC198" s="9"/>
      <c r="CD198" s="9"/>
      <c r="CE198" s="9"/>
      <c r="CF198" s="9"/>
      <c r="CG198" s="9"/>
      <c r="CH198" s="9"/>
      <c r="CI198" s="9"/>
      <c r="CJ198" s="9"/>
      <c r="CK198" s="9"/>
      <c r="CL198" s="9"/>
      <c r="CM198" s="9"/>
      <c r="CN198" s="9"/>
      <c r="CO198" s="9"/>
      <c r="CP198" s="16"/>
    </row>
    <row r="199" spans="1:94" ht="15" customHeight="1" x14ac:dyDescent="0.15">
      <c r="A199" s="15"/>
      <c r="B199" s="9"/>
      <c r="C199" s="9"/>
      <c r="D199" s="9"/>
      <c r="E199" s="491">
        <f t="shared" si="0"/>
        <v>16</v>
      </c>
      <c r="F199" s="491"/>
      <c r="G199" s="478" t="s">
        <v>441</v>
      </c>
      <c r="H199" s="479"/>
      <c r="I199" s="479"/>
      <c r="J199" s="479"/>
      <c r="K199" s="479"/>
      <c r="L199" s="479"/>
      <c r="M199" s="479"/>
      <c r="N199" s="479"/>
      <c r="O199" s="479"/>
      <c r="P199" s="479"/>
      <c r="Q199" s="479"/>
      <c r="R199" s="479"/>
      <c r="S199" s="479"/>
      <c r="T199" s="479"/>
      <c r="U199" s="479"/>
      <c r="V199" s="479"/>
      <c r="W199" s="479"/>
      <c r="X199" s="479"/>
      <c r="Y199" s="479"/>
      <c r="Z199" s="479"/>
      <c r="AA199" s="479"/>
      <c r="AB199" s="479"/>
      <c r="AC199" s="479"/>
      <c r="AD199" s="479"/>
      <c r="AE199" s="479"/>
      <c r="AF199" s="480"/>
      <c r="AG199" s="477" t="s">
        <v>1268</v>
      </c>
      <c r="AH199" s="477"/>
      <c r="AI199" s="477"/>
      <c r="AJ199" s="477"/>
      <c r="AK199" s="477"/>
      <c r="AL199" s="477"/>
      <c r="AM199" s="477"/>
      <c r="AN199" s="477"/>
      <c r="AO199" s="9"/>
      <c r="AP199" s="9"/>
      <c r="AQ199" s="491">
        <f t="shared" si="1"/>
        <v>55</v>
      </c>
      <c r="AR199" s="491"/>
      <c r="AS199" s="478" t="s">
        <v>555</v>
      </c>
      <c r="AT199" s="479"/>
      <c r="AU199" s="479"/>
      <c r="AV199" s="479"/>
      <c r="AW199" s="479"/>
      <c r="AX199" s="479"/>
      <c r="AY199" s="479"/>
      <c r="AZ199" s="479"/>
      <c r="BA199" s="479"/>
      <c r="BB199" s="479"/>
      <c r="BC199" s="479"/>
      <c r="BD199" s="479"/>
      <c r="BE199" s="479"/>
      <c r="BF199" s="479"/>
      <c r="BG199" s="479"/>
      <c r="BH199" s="479"/>
      <c r="BI199" s="479"/>
      <c r="BJ199" s="479"/>
      <c r="BK199" s="479"/>
      <c r="BL199" s="479"/>
      <c r="BM199" s="479"/>
      <c r="BN199" s="479"/>
      <c r="BO199" s="479"/>
      <c r="BP199" s="479"/>
      <c r="BQ199" s="479"/>
      <c r="BR199" s="480"/>
      <c r="BS199" s="477" t="s">
        <v>439</v>
      </c>
      <c r="BT199" s="477"/>
      <c r="BU199" s="477"/>
      <c r="BV199" s="477"/>
      <c r="BW199" s="477"/>
      <c r="BX199" s="477"/>
      <c r="BY199" s="477"/>
      <c r="BZ199" s="477"/>
      <c r="CA199" s="9"/>
      <c r="CB199" s="9"/>
      <c r="CC199" s="9"/>
      <c r="CD199" s="9"/>
      <c r="CE199" s="9"/>
      <c r="CF199" s="9"/>
      <c r="CG199" s="9"/>
      <c r="CH199" s="9"/>
      <c r="CI199" s="9"/>
      <c r="CJ199" s="9"/>
      <c r="CK199" s="9"/>
      <c r="CL199" s="9"/>
      <c r="CM199" s="9"/>
      <c r="CN199" s="9"/>
      <c r="CO199" s="9"/>
      <c r="CP199" s="16"/>
    </row>
    <row r="200" spans="1:94" ht="15" customHeight="1" x14ac:dyDescent="0.15">
      <c r="A200" s="15"/>
      <c r="B200" s="9"/>
      <c r="C200" s="9"/>
      <c r="D200" s="9"/>
      <c r="E200" s="491">
        <f t="shared" si="0"/>
        <v>17</v>
      </c>
      <c r="F200" s="491"/>
      <c r="G200" s="478" t="s">
        <v>437</v>
      </c>
      <c r="H200" s="479"/>
      <c r="I200" s="479"/>
      <c r="J200" s="479"/>
      <c r="K200" s="479"/>
      <c r="L200" s="479"/>
      <c r="M200" s="479"/>
      <c r="N200" s="479"/>
      <c r="O200" s="479"/>
      <c r="P200" s="479"/>
      <c r="Q200" s="479"/>
      <c r="R200" s="479"/>
      <c r="S200" s="479"/>
      <c r="T200" s="479"/>
      <c r="U200" s="479"/>
      <c r="V200" s="479"/>
      <c r="W200" s="479"/>
      <c r="X200" s="479"/>
      <c r="Y200" s="479"/>
      <c r="Z200" s="479"/>
      <c r="AA200" s="479"/>
      <c r="AB200" s="479"/>
      <c r="AC200" s="479"/>
      <c r="AD200" s="479"/>
      <c r="AE200" s="479"/>
      <c r="AF200" s="480"/>
      <c r="AG200" s="477" t="s">
        <v>436</v>
      </c>
      <c r="AH200" s="477"/>
      <c r="AI200" s="477"/>
      <c r="AJ200" s="477"/>
      <c r="AK200" s="477"/>
      <c r="AL200" s="477"/>
      <c r="AM200" s="477"/>
      <c r="AN200" s="477"/>
      <c r="AO200" s="9"/>
      <c r="AP200" s="9"/>
      <c r="AQ200" s="491">
        <f t="shared" si="1"/>
        <v>56</v>
      </c>
      <c r="AR200" s="491"/>
      <c r="AS200" s="478" t="s">
        <v>495</v>
      </c>
      <c r="AT200" s="479"/>
      <c r="AU200" s="479"/>
      <c r="AV200" s="479"/>
      <c r="AW200" s="479"/>
      <c r="AX200" s="479"/>
      <c r="AY200" s="479"/>
      <c r="AZ200" s="479"/>
      <c r="BA200" s="479"/>
      <c r="BB200" s="479"/>
      <c r="BC200" s="479"/>
      <c r="BD200" s="479"/>
      <c r="BE200" s="479"/>
      <c r="BF200" s="479"/>
      <c r="BG200" s="479"/>
      <c r="BH200" s="479"/>
      <c r="BI200" s="479"/>
      <c r="BJ200" s="479"/>
      <c r="BK200" s="479"/>
      <c r="BL200" s="479"/>
      <c r="BM200" s="479"/>
      <c r="BN200" s="479"/>
      <c r="BO200" s="479"/>
      <c r="BP200" s="479"/>
      <c r="BQ200" s="479"/>
      <c r="BR200" s="480"/>
      <c r="BS200" s="477" t="s">
        <v>1273</v>
      </c>
      <c r="BT200" s="477"/>
      <c r="BU200" s="477"/>
      <c r="BV200" s="477"/>
      <c r="BW200" s="477"/>
      <c r="BX200" s="477"/>
      <c r="BY200" s="477"/>
      <c r="BZ200" s="477"/>
      <c r="CA200" s="9"/>
      <c r="CB200" s="9"/>
      <c r="CC200" s="9"/>
      <c r="CD200" s="9"/>
      <c r="CE200" s="9"/>
      <c r="CF200" s="9"/>
      <c r="CG200" s="9"/>
      <c r="CH200" s="9"/>
      <c r="CI200" s="9"/>
      <c r="CJ200" s="9"/>
      <c r="CK200" s="9"/>
      <c r="CL200" s="9"/>
      <c r="CM200" s="9"/>
      <c r="CN200" s="9"/>
      <c r="CO200" s="9"/>
      <c r="CP200" s="16"/>
    </row>
    <row r="201" spans="1:94" ht="15" customHeight="1" x14ac:dyDescent="0.15">
      <c r="A201" s="15"/>
      <c r="B201" s="9"/>
      <c r="C201" s="9"/>
      <c r="D201" s="9"/>
      <c r="E201" s="491">
        <f t="shared" si="0"/>
        <v>18</v>
      </c>
      <c r="F201" s="491"/>
      <c r="G201" s="478" t="s">
        <v>442</v>
      </c>
      <c r="H201" s="479"/>
      <c r="I201" s="479"/>
      <c r="J201" s="479"/>
      <c r="K201" s="479"/>
      <c r="L201" s="479"/>
      <c r="M201" s="479"/>
      <c r="N201" s="479"/>
      <c r="O201" s="479"/>
      <c r="P201" s="479"/>
      <c r="Q201" s="479"/>
      <c r="R201" s="479"/>
      <c r="S201" s="479"/>
      <c r="T201" s="479"/>
      <c r="U201" s="479"/>
      <c r="V201" s="479"/>
      <c r="W201" s="479"/>
      <c r="X201" s="479"/>
      <c r="Y201" s="479"/>
      <c r="Z201" s="479"/>
      <c r="AA201" s="479"/>
      <c r="AB201" s="479"/>
      <c r="AC201" s="479"/>
      <c r="AD201" s="479"/>
      <c r="AE201" s="479"/>
      <c r="AF201" s="480"/>
      <c r="AG201" s="477" t="s">
        <v>436</v>
      </c>
      <c r="AH201" s="477"/>
      <c r="AI201" s="477"/>
      <c r="AJ201" s="477"/>
      <c r="AK201" s="477"/>
      <c r="AL201" s="477"/>
      <c r="AM201" s="477"/>
      <c r="AN201" s="477"/>
      <c r="AO201" s="9"/>
      <c r="AP201" s="9"/>
      <c r="AQ201" s="491">
        <f t="shared" si="1"/>
        <v>57</v>
      </c>
      <c r="AR201" s="491"/>
      <c r="AS201" s="478" t="s">
        <v>466</v>
      </c>
      <c r="AT201" s="479"/>
      <c r="AU201" s="479"/>
      <c r="AV201" s="479"/>
      <c r="AW201" s="479"/>
      <c r="AX201" s="479"/>
      <c r="AY201" s="479"/>
      <c r="AZ201" s="479"/>
      <c r="BA201" s="479"/>
      <c r="BB201" s="479"/>
      <c r="BC201" s="479"/>
      <c r="BD201" s="479"/>
      <c r="BE201" s="479"/>
      <c r="BF201" s="479"/>
      <c r="BG201" s="479"/>
      <c r="BH201" s="479"/>
      <c r="BI201" s="479"/>
      <c r="BJ201" s="479"/>
      <c r="BK201" s="479"/>
      <c r="BL201" s="479"/>
      <c r="BM201" s="479"/>
      <c r="BN201" s="479"/>
      <c r="BO201" s="479"/>
      <c r="BP201" s="479"/>
      <c r="BQ201" s="479"/>
      <c r="BR201" s="480"/>
      <c r="BS201" s="477" t="s">
        <v>1274</v>
      </c>
      <c r="BT201" s="477"/>
      <c r="BU201" s="477"/>
      <c r="BV201" s="477"/>
      <c r="BW201" s="477"/>
      <c r="BX201" s="477"/>
      <c r="BY201" s="477"/>
      <c r="BZ201" s="477"/>
      <c r="CA201" s="9"/>
      <c r="CB201" s="9"/>
      <c r="CC201" s="9"/>
      <c r="CD201" s="9"/>
      <c r="CE201" s="9"/>
      <c r="CF201" s="9"/>
      <c r="CG201" s="9"/>
      <c r="CH201" s="9"/>
      <c r="CI201" s="9"/>
      <c r="CJ201" s="9"/>
      <c r="CK201" s="9"/>
      <c r="CL201" s="9"/>
      <c r="CM201" s="9"/>
      <c r="CN201" s="9"/>
      <c r="CO201" s="9"/>
      <c r="CP201" s="16"/>
    </row>
    <row r="202" spans="1:94" ht="15" customHeight="1" x14ac:dyDescent="0.15">
      <c r="A202" s="15"/>
      <c r="B202" s="9"/>
      <c r="C202" s="9"/>
      <c r="D202" s="9"/>
      <c r="E202" s="491">
        <f t="shared" si="0"/>
        <v>19</v>
      </c>
      <c r="F202" s="491"/>
      <c r="G202" s="478" t="s">
        <v>1270</v>
      </c>
      <c r="H202" s="479"/>
      <c r="I202" s="479"/>
      <c r="J202" s="479"/>
      <c r="K202" s="479"/>
      <c r="L202" s="479"/>
      <c r="M202" s="479"/>
      <c r="N202" s="479"/>
      <c r="O202" s="479"/>
      <c r="P202" s="479"/>
      <c r="Q202" s="479"/>
      <c r="R202" s="479"/>
      <c r="S202" s="479"/>
      <c r="T202" s="479"/>
      <c r="U202" s="479"/>
      <c r="V202" s="479"/>
      <c r="W202" s="479"/>
      <c r="X202" s="479"/>
      <c r="Y202" s="479"/>
      <c r="Z202" s="479"/>
      <c r="AA202" s="479"/>
      <c r="AB202" s="479"/>
      <c r="AC202" s="479"/>
      <c r="AD202" s="479"/>
      <c r="AE202" s="479"/>
      <c r="AF202" s="480"/>
      <c r="AG202" s="477" t="s">
        <v>1268</v>
      </c>
      <c r="AH202" s="477"/>
      <c r="AI202" s="477"/>
      <c r="AJ202" s="477"/>
      <c r="AK202" s="477"/>
      <c r="AL202" s="477"/>
      <c r="AM202" s="477"/>
      <c r="AN202" s="477"/>
      <c r="AO202" s="9"/>
      <c r="AP202" s="9"/>
      <c r="AQ202" s="491">
        <f t="shared" si="1"/>
        <v>58</v>
      </c>
      <c r="AR202" s="491"/>
      <c r="AS202" s="478" t="s">
        <v>494</v>
      </c>
      <c r="AT202" s="479"/>
      <c r="AU202" s="479"/>
      <c r="AV202" s="479"/>
      <c r="AW202" s="479"/>
      <c r="AX202" s="479"/>
      <c r="AY202" s="479"/>
      <c r="AZ202" s="479"/>
      <c r="BA202" s="479"/>
      <c r="BB202" s="479"/>
      <c r="BC202" s="479"/>
      <c r="BD202" s="479"/>
      <c r="BE202" s="479"/>
      <c r="BF202" s="479"/>
      <c r="BG202" s="479"/>
      <c r="BH202" s="479"/>
      <c r="BI202" s="479"/>
      <c r="BJ202" s="479"/>
      <c r="BK202" s="479"/>
      <c r="BL202" s="479"/>
      <c r="BM202" s="479"/>
      <c r="BN202" s="479"/>
      <c r="BO202" s="479"/>
      <c r="BP202" s="479"/>
      <c r="BQ202" s="479"/>
      <c r="BR202" s="480"/>
      <c r="BS202" s="477" t="s">
        <v>445</v>
      </c>
      <c r="BT202" s="477"/>
      <c r="BU202" s="477"/>
      <c r="BV202" s="477"/>
      <c r="BW202" s="477"/>
      <c r="BX202" s="477"/>
      <c r="BY202" s="477"/>
      <c r="BZ202" s="477"/>
      <c r="CA202" s="9"/>
      <c r="CB202" s="9"/>
      <c r="CC202" s="9"/>
      <c r="CD202" s="9"/>
      <c r="CE202" s="9"/>
      <c r="CF202" s="9"/>
      <c r="CG202" s="9"/>
      <c r="CH202" s="9"/>
      <c r="CI202" s="9"/>
      <c r="CJ202" s="9"/>
      <c r="CK202" s="9"/>
      <c r="CL202" s="9"/>
      <c r="CM202" s="9"/>
      <c r="CN202" s="9"/>
      <c r="CO202" s="9"/>
      <c r="CP202" s="16"/>
    </row>
    <row r="203" spans="1:94" ht="15" customHeight="1" x14ac:dyDescent="0.15">
      <c r="A203" s="15"/>
      <c r="B203" s="9"/>
      <c r="C203" s="9"/>
      <c r="D203" s="9"/>
      <c r="E203" s="491">
        <f t="shared" si="0"/>
        <v>20</v>
      </c>
      <c r="F203" s="491"/>
      <c r="G203" s="478" t="s">
        <v>1224</v>
      </c>
      <c r="H203" s="479"/>
      <c r="I203" s="479"/>
      <c r="J203" s="479"/>
      <c r="K203" s="479"/>
      <c r="L203" s="479"/>
      <c r="M203" s="479"/>
      <c r="N203" s="479"/>
      <c r="O203" s="479"/>
      <c r="P203" s="479"/>
      <c r="Q203" s="479"/>
      <c r="R203" s="479"/>
      <c r="S203" s="479"/>
      <c r="T203" s="479"/>
      <c r="U203" s="479"/>
      <c r="V203" s="479"/>
      <c r="W203" s="479"/>
      <c r="X203" s="479"/>
      <c r="Y203" s="479"/>
      <c r="Z203" s="479"/>
      <c r="AA203" s="479"/>
      <c r="AB203" s="479"/>
      <c r="AC203" s="479"/>
      <c r="AD203" s="479"/>
      <c r="AE203" s="479"/>
      <c r="AF203" s="480"/>
      <c r="AG203" s="477" t="s">
        <v>439</v>
      </c>
      <c r="AH203" s="477"/>
      <c r="AI203" s="477"/>
      <c r="AJ203" s="477"/>
      <c r="AK203" s="477"/>
      <c r="AL203" s="477"/>
      <c r="AM203" s="477"/>
      <c r="AN203" s="477"/>
      <c r="AO203" s="9"/>
      <c r="AP203" s="9"/>
      <c r="AQ203" s="491">
        <f t="shared" si="1"/>
        <v>59</v>
      </c>
      <c r="AR203" s="491"/>
      <c r="AS203" s="478" t="s">
        <v>1275</v>
      </c>
      <c r="AT203" s="479"/>
      <c r="AU203" s="479"/>
      <c r="AV203" s="479"/>
      <c r="AW203" s="479"/>
      <c r="AX203" s="479"/>
      <c r="AY203" s="479"/>
      <c r="AZ203" s="479"/>
      <c r="BA203" s="479"/>
      <c r="BB203" s="479"/>
      <c r="BC203" s="479"/>
      <c r="BD203" s="479"/>
      <c r="BE203" s="479"/>
      <c r="BF203" s="479"/>
      <c r="BG203" s="479"/>
      <c r="BH203" s="479"/>
      <c r="BI203" s="479"/>
      <c r="BJ203" s="479"/>
      <c r="BK203" s="479"/>
      <c r="BL203" s="479"/>
      <c r="BM203" s="479"/>
      <c r="BN203" s="479"/>
      <c r="BO203" s="479"/>
      <c r="BP203" s="479"/>
      <c r="BQ203" s="479"/>
      <c r="BR203" s="480"/>
      <c r="BS203" s="477" t="s">
        <v>1268</v>
      </c>
      <c r="BT203" s="477"/>
      <c r="BU203" s="477"/>
      <c r="BV203" s="477"/>
      <c r="BW203" s="477"/>
      <c r="BX203" s="477"/>
      <c r="BY203" s="477"/>
      <c r="BZ203" s="477"/>
      <c r="CA203" s="9"/>
      <c r="CB203" s="9"/>
      <c r="CC203" s="9"/>
      <c r="CD203" s="9"/>
      <c r="CE203" s="9"/>
      <c r="CF203" s="9"/>
      <c r="CG203" s="9"/>
      <c r="CH203" s="9"/>
      <c r="CI203" s="9"/>
      <c r="CJ203" s="9"/>
      <c r="CK203" s="9"/>
      <c r="CL203" s="9"/>
      <c r="CM203" s="9"/>
      <c r="CN203" s="9"/>
      <c r="CO203" s="9"/>
      <c r="CP203" s="16"/>
    </row>
    <row r="204" spans="1:94" ht="15" customHeight="1" x14ac:dyDescent="0.15">
      <c r="A204" s="15"/>
      <c r="B204" s="9"/>
      <c r="C204" s="9"/>
      <c r="D204" s="9"/>
      <c r="E204" s="491">
        <f t="shared" si="0"/>
        <v>21</v>
      </c>
      <c r="F204" s="491"/>
      <c r="G204" s="478" t="s">
        <v>449</v>
      </c>
      <c r="H204" s="479"/>
      <c r="I204" s="479"/>
      <c r="J204" s="479"/>
      <c r="K204" s="479"/>
      <c r="L204" s="479"/>
      <c r="M204" s="479"/>
      <c r="N204" s="479"/>
      <c r="O204" s="479"/>
      <c r="P204" s="479"/>
      <c r="Q204" s="479"/>
      <c r="R204" s="479"/>
      <c r="S204" s="479"/>
      <c r="T204" s="479"/>
      <c r="U204" s="479"/>
      <c r="V204" s="479"/>
      <c r="W204" s="479"/>
      <c r="X204" s="479"/>
      <c r="Y204" s="479"/>
      <c r="Z204" s="479"/>
      <c r="AA204" s="479"/>
      <c r="AB204" s="479"/>
      <c r="AC204" s="479"/>
      <c r="AD204" s="479"/>
      <c r="AE204" s="479"/>
      <c r="AF204" s="480"/>
      <c r="AG204" s="477" t="s">
        <v>436</v>
      </c>
      <c r="AH204" s="477"/>
      <c r="AI204" s="477"/>
      <c r="AJ204" s="477"/>
      <c r="AK204" s="477"/>
      <c r="AL204" s="477"/>
      <c r="AM204" s="477"/>
      <c r="AN204" s="477"/>
      <c r="AO204" s="9"/>
      <c r="AP204" s="9"/>
      <c r="AQ204" s="491">
        <f t="shared" si="1"/>
        <v>60</v>
      </c>
      <c r="AR204" s="491"/>
      <c r="AS204" s="478" t="s">
        <v>473</v>
      </c>
      <c r="AT204" s="479"/>
      <c r="AU204" s="479"/>
      <c r="AV204" s="479"/>
      <c r="AW204" s="479"/>
      <c r="AX204" s="479"/>
      <c r="AY204" s="479"/>
      <c r="AZ204" s="479"/>
      <c r="BA204" s="479"/>
      <c r="BB204" s="479"/>
      <c r="BC204" s="479"/>
      <c r="BD204" s="479"/>
      <c r="BE204" s="479"/>
      <c r="BF204" s="479"/>
      <c r="BG204" s="479"/>
      <c r="BH204" s="479"/>
      <c r="BI204" s="479"/>
      <c r="BJ204" s="479"/>
      <c r="BK204" s="479"/>
      <c r="BL204" s="479"/>
      <c r="BM204" s="479"/>
      <c r="BN204" s="479"/>
      <c r="BO204" s="479"/>
      <c r="BP204" s="479"/>
      <c r="BQ204" s="479"/>
      <c r="BR204" s="480"/>
      <c r="BS204" s="477" t="s">
        <v>436</v>
      </c>
      <c r="BT204" s="477"/>
      <c r="BU204" s="477"/>
      <c r="BV204" s="477"/>
      <c r="BW204" s="477"/>
      <c r="BX204" s="477"/>
      <c r="BY204" s="477"/>
      <c r="BZ204" s="477"/>
      <c r="CA204" s="9"/>
      <c r="CB204" s="9"/>
      <c r="CC204" s="9"/>
      <c r="CD204" s="9"/>
      <c r="CE204" s="9"/>
      <c r="CF204" s="9"/>
      <c r="CG204" s="9"/>
      <c r="CH204" s="9"/>
      <c r="CI204" s="9"/>
      <c r="CJ204" s="9"/>
      <c r="CK204" s="9"/>
      <c r="CL204" s="9"/>
      <c r="CM204" s="9"/>
      <c r="CN204" s="9"/>
      <c r="CO204" s="9"/>
      <c r="CP204" s="16"/>
    </row>
    <row r="205" spans="1:94" ht="15" customHeight="1" x14ac:dyDescent="0.15">
      <c r="A205" s="15"/>
      <c r="B205" s="9"/>
      <c r="C205" s="9"/>
      <c r="D205" s="9"/>
      <c r="E205" s="491">
        <f t="shared" si="0"/>
        <v>22</v>
      </c>
      <c r="F205" s="491"/>
      <c r="G205" s="478" t="s">
        <v>450</v>
      </c>
      <c r="H205" s="479"/>
      <c r="I205" s="479"/>
      <c r="J205" s="479"/>
      <c r="K205" s="479"/>
      <c r="L205" s="479"/>
      <c r="M205" s="479"/>
      <c r="N205" s="479"/>
      <c r="O205" s="479"/>
      <c r="P205" s="479"/>
      <c r="Q205" s="479"/>
      <c r="R205" s="479"/>
      <c r="S205" s="479"/>
      <c r="T205" s="479"/>
      <c r="U205" s="479"/>
      <c r="V205" s="479"/>
      <c r="W205" s="479"/>
      <c r="X205" s="479"/>
      <c r="Y205" s="479"/>
      <c r="Z205" s="479"/>
      <c r="AA205" s="479"/>
      <c r="AB205" s="479"/>
      <c r="AC205" s="479"/>
      <c r="AD205" s="479"/>
      <c r="AE205" s="479"/>
      <c r="AF205" s="480"/>
      <c r="AG205" s="477" t="s">
        <v>439</v>
      </c>
      <c r="AH205" s="477"/>
      <c r="AI205" s="477"/>
      <c r="AJ205" s="477"/>
      <c r="AK205" s="477"/>
      <c r="AL205" s="477"/>
      <c r="AM205" s="477"/>
      <c r="AN205" s="477"/>
      <c r="AO205" s="9"/>
      <c r="AP205" s="9"/>
      <c r="AQ205" s="491">
        <f t="shared" si="1"/>
        <v>61</v>
      </c>
      <c r="AR205" s="491"/>
      <c r="AS205" s="478" t="s">
        <v>471</v>
      </c>
      <c r="AT205" s="479"/>
      <c r="AU205" s="479"/>
      <c r="AV205" s="479"/>
      <c r="AW205" s="479"/>
      <c r="AX205" s="479"/>
      <c r="AY205" s="479"/>
      <c r="AZ205" s="479"/>
      <c r="BA205" s="479"/>
      <c r="BB205" s="479"/>
      <c r="BC205" s="479"/>
      <c r="BD205" s="479"/>
      <c r="BE205" s="479"/>
      <c r="BF205" s="479"/>
      <c r="BG205" s="479"/>
      <c r="BH205" s="479"/>
      <c r="BI205" s="479"/>
      <c r="BJ205" s="479"/>
      <c r="BK205" s="479"/>
      <c r="BL205" s="479"/>
      <c r="BM205" s="479"/>
      <c r="BN205" s="479"/>
      <c r="BO205" s="479"/>
      <c r="BP205" s="479"/>
      <c r="BQ205" s="479"/>
      <c r="BR205" s="480"/>
      <c r="BS205" s="477" t="s">
        <v>436</v>
      </c>
      <c r="BT205" s="477"/>
      <c r="BU205" s="477"/>
      <c r="BV205" s="477"/>
      <c r="BW205" s="477"/>
      <c r="BX205" s="477"/>
      <c r="BY205" s="477"/>
      <c r="BZ205" s="477"/>
      <c r="CA205" s="9"/>
      <c r="CB205" s="9"/>
      <c r="CC205" s="9"/>
      <c r="CD205" s="9"/>
      <c r="CE205" s="9"/>
      <c r="CF205" s="9"/>
      <c r="CG205" s="9"/>
      <c r="CH205" s="9"/>
      <c r="CI205" s="9"/>
      <c r="CJ205" s="9"/>
      <c r="CK205" s="9"/>
      <c r="CL205" s="9"/>
      <c r="CM205" s="9"/>
      <c r="CN205" s="9"/>
      <c r="CO205" s="9"/>
      <c r="CP205" s="16"/>
    </row>
    <row r="206" spans="1:94" ht="15" customHeight="1" x14ac:dyDescent="0.15">
      <c r="A206" s="15"/>
      <c r="B206" s="9"/>
      <c r="C206" s="9"/>
      <c r="D206" s="9"/>
      <c r="E206" s="491">
        <f t="shared" si="0"/>
        <v>23</v>
      </c>
      <c r="F206" s="491"/>
      <c r="G206" s="478" t="s">
        <v>448</v>
      </c>
      <c r="H206" s="479"/>
      <c r="I206" s="479"/>
      <c r="J206" s="479"/>
      <c r="K206" s="479"/>
      <c r="L206" s="479"/>
      <c r="M206" s="479"/>
      <c r="N206" s="479"/>
      <c r="O206" s="479"/>
      <c r="P206" s="479"/>
      <c r="Q206" s="479"/>
      <c r="R206" s="479"/>
      <c r="S206" s="479"/>
      <c r="T206" s="479"/>
      <c r="U206" s="479"/>
      <c r="V206" s="479"/>
      <c r="W206" s="479"/>
      <c r="X206" s="479"/>
      <c r="Y206" s="479"/>
      <c r="Z206" s="479"/>
      <c r="AA206" s="479"/>
      <c r="AB206" s="479"/>
      <c r="AC206" s="479"/>
      <c r="AD206" s="479"/>
      <c r="AE206" s="479"/>
      <c r="AF206" s="480"/>
      <c r="AG206" s="477" t="s">
        <v>439</v>
      </c>
      <c r="AH206" s="477"/>
      <c r="AI206" s="477"/>
      <c r="AJ206" s="477"/>
      <c r="AK206" s="477"/>
      <c r="AL206" s="477"/>
      <c r="AM206" s="477"/>
      <c r="AN206" s="477"/>
      <c r="AO206" s="9"/>
      <c r="AP206" s="9"/>
      <c r="AQ206" s="491">
        <f t="shared" si="1"/>
        <v>62</v>
      </c>
      <c r="AR206" s="491"/>
      <c r="AS206" s="478" t="s">
        <v>476</v>
      </c>
      <c r="AT206" s="479"/>
      <c r="AU206" s="479"/>
      <c r="AV206" s="479"/>
      <c r="AW206" s="479"/>
      <c r="AX206" s="479"/>
      <c r="AY206" s="479"/>
      <c r="AZ206" s="479"/>
      <c r="BA206" s="479"/>
      <c r="BB206" s="479"/>
      <c r="BC206" s="479"/>
      <c r="BD206" s="479"/>
      <c r="BE206" s="479"/>
      <c r="BF206" s="479"/>
      <c r="BG206" s="479"/>
      <c r="BH206" s="479"/>
      <c r="BI206" s="479"/>
      <c r="BJ206" s="479"/>
      <c r="BK206" s="479"/>
      <c r="BL206" s="479"/>
      <c r="BM206" s="479"/>
      <c r="BN206" s="479"/>
      <c r="BO206" s="479"/>
      <c r="BP206" s="479"/>
      <c r="BQ206" s="479"/>
      <c r="BR206" s="480"/>
      <c r="BS206" s="477" t="s">
        <v>436</v>
      </c>
      <c r="BT206" s="477"/>
      <c r="BU206" s="477"/>
      <c r="BV206" s="477"/>
      <c r="BW206" s="477"/>
      <c r="BX206" s="477"/>
      <c r="BY206" s="477"/>
      <c r="BZ206" s="477"/>
      <c r="CA206" s="9"/>
      <c r="CB206" s="9"/>
      <c r="CC206" s="9"/>
      <c r="CD206" s="9"/>
      <c r="CE206" s="9"/>
      <c r="CF206" s="9"/>
      <c r="CG206" s="9"/>
      <c r="CH206" s="9"/>
      <c r="CI206" s="9"/>
      <c r="CJ206" s="9"/>
      <c r="CK206" s="9"/>
      <c r="CL206" s="9"/>
      <c r="CM206" s="9"/>
      <c r="CN206" s="9"/>
      <c r="CO206" s="9"/>
      <c r="CP206" s="16"/>
    </row>
    <row r="207" spans="1:94" ht="15" customHeight="1" x14ac:dyDescent="0.15">
      <c r="A207" s="15"/>
      <c r="B207" s="9"/>
      <c r="C207" s="9"/>
      <c r="D207" s="9"/>
      <c r="E207" s="491">
        <f t="shared" si="0"/>
        <v>24</v>
      </c>
      <c r="F207" s="491"/>
      <c r="G207" s="478" t="s">
        <v>451</v>
      </c>
      <c r="H207" s="479"/>
      <c r="I207" s="479"/>
      <c r="J207" s="479"/>
      <c r="K207" s="479"/>
      <c r="L207" s="479"/>
      <c r="M207" s="479"/>
      <c r="N207" s="479"/>
      <c r="O207" s="479"/>
      <c r="P207" s="479"/>
      <c r="Q207" s="479"/>
      <c r="R207" s="479"/>
      <c r="S207" s="479"/>
      <c r="T207" s="479"/>
      <c r="U207" s="479"/>
      <c r="V207" s="479"/>
      <c r="W207" s="479"/>
      <c r="X207" s="479"/>
      <c r="Y207" s="479"/>
      <c r="Z207" s="479"/>
      <c r="AA207" s="479"/>
      <c r="AB207" s="479"/>
      <c r="AC207" s="479"/>
      <c r="AD207" s="479"/>
      <c r="AE207" s="479"/>
      <c r="AF207" s="480"/>
      <c r="AG207" s="477" t="s">
        <v>1268</v>
      </c>
      <c r="AH207" s="477"/>
      <c r="AI207" s="477"/>
      <c r="AJ207" s="477"/>
      <c r="AK207" s="477"/>
      <c r="AL207" s="477"/>
      <c r="AM207" s="477"/>
      <c r="AN207" s="477"/>
      <c r="AO207" s="9"/>
      <c r="AP207" s="9"/>
      <c r="AQ207" s="491">
        <f t="shared" si="1"/>
        <v>63</v>
      </c>
      <c r="AR207" s="491"/>
      <c r="AS207" s="478" t="s">
        <v>477</v>
      </c>
      <c r="AT207" s="479"/>
      <c r="AU207" s="479"/>
      <c r="AV207" s="479"/>
      <c r="AW207" s="479"/>
      <c r="AX207" s="479"/>
      <c r="AY207" s="479"/>
      <c r="AZ207" s="479"/>
      <c r="BA207" s="479"/>
      <c r="BB207" s="479"/>
      <c r="BC207" s="479"/>
      <c r="BD207" s="479"/>
      <c r="BE207" s="479"/>
      <c r="BF207" s="479"/>
      <c r="BG207" s="479"/>
      <c r="BH207" s="479"/>
      <c r="BI207" s="479"/>
      <c r="BJ207" s="479"/>
      <c r="BK207" s="479"/>
      <c r="BL207" s="479"/>
      <c r="BM207" s="479"/>
      <c r="BN207" s="479"/>
      <c r="BO207" s="479"/>
      <c r="BP207" s="479"/>
      <c r="BQ207" s="479"/>
      <c r="BR207" s="480"/>
      <c r="BS207" s="477" t="s">
        <v>1268</v>
      </c>
      <c r="BT207" s="477"/>
      <c r="BU207" s="477"/>
      <c r="BV207" s="477"/>
      <c r="BW207" s="477"/>
      <c r="BX207" s="477"/>
      <c r="BY207" s="477"/>
      <c r="BZ207" s="477"/>
      <c r="CA207" s="9"/>
      <c r="CB207" s="9"/>
      <c r="CC207" s="9"/>
      <c r="CD207" s="9"/>
      <c r="CE207" s="9"/>
      <c r="CF207" s="9"/>
      <c r="CG207" s="9"/>
      <c r="CH207" s="9"/>
      <c r="CI207" s="9"/>
      <c r="CJ207" s="9"/>
      <c r="CK207" s="9"/>
      <c r="CL207" s="9"/>
      <c r="CM207" s="9"/>
      <c r="CN207" s="9"/>
      <c r="CO207" s="9"/>
      <c r="CP207" s="16"/>
    </row>
    <row r="208" spans="1:94" ht="15" customHeight="1" x14ac:dyDescent="0.15">
      <c r="A208" s="15"/>
      <c r="B208" s="9"/>
      <c r="C208" s="9"/>
      <c r="D208" s="9"/>
      <c r="E208" s="491">
        <f t="shared" si="0"/>
        <v>25</v>
      </c>
      <c r="F208" s="491"/>
      <c r="G208" s="478" t="s">
        <v>1225</v>
      </c>
      <c r="H208" s="479"/>
      <c r="I208" s="479"/>
      <c r="J208" s="479"/>
      <c r="K208" s="479"/>
      <c r="L208" s="479"/>
      <c r="M208" s="479"/>
      <c r="N208" s="479"/>
      <c r="O208" s="479"/>
      <c r="P208" s="479"/>
      <c r="Q208" s="479"/>
      <c r="R208" s="479"/>
      <c r="S208" s="479"/>
      <c r="T208" s="479"/>
      <c r="U208" s="479"/>
      <c r="V208" s="479"/>
      <c r="W208" s="479"/>
      <c r="X208" s="479"/>
      <c r="Y208" s="479"/>
      <c r="Z208" s="479"/>
      <c r="AA208" s="479"/>
      <c r="AB208" s="479"/>
      <c r="AC208" s="479"/>
      <c r="AD208" s="479"/>
      <c r="AE208" s="479"/>
      <c r="AF208" s="480"/>
      <c r="AG208" s="477" t="s">
        <v>436</v>
      </c>
      <c r="AH208" s="477"/>
      <c r="AI208" s="477"/>
      <c r="AJ208" s="477"/>
      <c r="AK208" s="477"/>
      <c r="AL208" s="477"/>
      <c r="AM208" s="477"/>
      <c r="AN208" s="477"/>
      <c r="AO208" s="9"/>
      <c r="AP208" s="9"/>
      <c r="AQ208" s="491">
        <f t="shared" si="1"/>
        <v>64</v>
      </c>
      <c r="AR208" s="491"/>
      <c r="AS208" s="478" t="s">
        <v>489</v>
      </c>
      <c r="AT208" s="479"/>
      <c r="AU208" s="479"/>
      <c r="AV208" s="479"/>
      <c r="AW208" s="479"/>
      <c r="AX208" s="479"/>
      <c r="AY208" s="479"/>
      <c r="AZ208" s="479"/>
      <c r="BA208" s="479"/>
      <c r="BB208" s="479"/>
      <c r="BC208" s="479"/>
      <c r="BD208" s="479"/>
      <c r="BE208" s="479"/>
      <c r="BF208" s="479"/>
      <c r="BG208" s="479"/>
      <c r="BH208" s="479"/>
      <c r="BI208" s="479"/>
      <c r="BJ208" s="479"/>
      <c r="BK208" s="479"/>
      <c r="BL208" s="479"/>
      <c r="BM208" s="479"/>
      <c r="BN208" s="479"/>
      <c r="BO208" s="479"/>
      <c r="BP208" s="479"/>
      <c r="BQ208" s="479"/>
      <c r="BR208" s="480"/>
      <c r="BS208" s="477" t="s">
        <v>445</v>
      </c>
      <c r="BT208" s="477"/>
      <c r="BU208" s="477"/>
      <c r="BV208" s="477"/>
      <c r="BW208" s="477"/>
      <c r="BX208" s="477"/>
      <c r="BY208" s="477"/>
      <c r="BZ208" s="477"/>
      <c r="CA208" s="9"/>
      <c r="CB208" s="9"/>
      <c r="CC208" s="9"/>
      <c r="CD208" s="9"/>
      <c r="CE208" s="9"/>
      <c r="CF208" s="9"/>
      <c r="CG208" s="9"/>
      <c r="CH208" s="9"/>
      <c r="CI208" s="9"/>
      <c r="CJ208" s="9"/>
      <c r="CK208" s="9"/>
      <c r="CL208" s="9"/>
      <c r="CM208" s="9"/>
      <c r="CN208" s="9"/>
      <c r="CO208" s="9"/>
      <c r="CP208" s="16"/>
    </row>
    <row r="209" spans="1:94" ht="15" customHeight="1" x14ac:dyDescent="0.15">
      <c r="A209" s="15"/>
      <c r="B209" s="9"/>
      <c r="C209" s="9"/>
      <c r="D209" s="9"/>
      <c r="E209" s="491">
        <f t="shared" si="0"/>
        <v>26</v>
      </c>
      <c r="F209" s="491"/>
      <c r="G209" s="478" t="s">
        <v>453</v>
      </c>
      <c r="H209" s="479"/>
      <c r="I209" s="479"/>
      <c r="J209" s="479"/>
      <c r="K209" s="479"/>
      <c r="L209" s="479"/>
      <c r="M209" s="479"/>
      <c r="N209" s="479"/>
      <c r="O209" s="479"/>
      <c r="P209" s="479"/>
      <c r="Q209" s="479"/>
      <c r="R209" s="479"/>
      <c r="S209" s="479"/>
      <c r="T209" s="479"/>
      <c r="U209" s="479"/>
      <c r="V209" s="479"/>
      <c r="W209" s="479"/>
      <c r="X209" s="479"/>
      <c r="Y209" s="479"/>
      <c r="Z209" s="479"/>
      <c r="AA209" s="479"/>
      <c r="AB209" s="479"/>
      <c r="AC209" s="479"/>
      <c r="AD209" s="479"/>
      <c r="AE209" s="479"/>
      <c r="AF209" s="480"/>
      <c r="AG209" s="477" t="s">
        <v>1268</v>
      </c>
      <c r="AH209" s="477"/>
      <c r="AI209" s="477"/>
      <c r="AJ209" s="477"/>
      <c r="AK209" s="477"/>
      <c r="AL209" s="477"/>
      <c r="AM209" s="477"/>
      <c r="AN209" s="477"/>
      <c r="AO209" s="9"/>
      <c r="AP209" s="9"/>
      <c r="AQ209" s="491">
        <f t="shared" si="1"/>
        <v>65</v>
      </c>
      <c r="AR209" s="491"/>
      <c r="AS209" s="478" t="s">
        <v>1235</v>
      </c>
      <c r="AT209" s="479"/>
      <c r="AU209" s="479"/>
      <c r="AV209" s="479"/>
      <c r="AW209" s="479"/>
      <c r="AX209" s="479"/>
      <c r="AY209" s="479"/>
      <c r="AZ209" s="479"/>
      <c r="BA209" s="479"/>
      <c r="BB209" s="479"/>
      <c r="BC209" s="479"/>
      <c r="BD209" s="479"/>
      <c r="BE209" s="479"/>
      <c r="BF209" s="479"/>
      <c r="BG209" s="479"/>
      <c r="BH209" s="479"/>
      <c r="BI209" s="479"/>
      <c r="BJ209" s="479"/>
      <c r="BK209" s="479"/>
      <c r="BL209" s="479"/>
      <c r="BM209" s="479"/>
      <c r="BN209" s="479"/>
      <c r="BO209" s="479"/>
      <c r="BP209" s="479"/>
      <c r="BQ209" s="479"/>
      <c r="BR209" s="480"/>
      <c r="BS209" s="477" t="s">
        <v>445</v>
      </c>
      <c r="BT209" s="477"/>
      <c r="BU209" s="477"/>
      <c r="BV209" s="477"/>
      <c r="BW209" s="477"/>
      <c r="BX209" s="477"/>
      <c r="BY209" s="477"/>
      <c r="BZ209" s="477"/>
      <c r="CA209" s="9"/>
      <c r="CB209" s="9"/>
      <c r="CC209" s="9"/>
      <c r="CD209" s="9"/>
      <c r="CE209" s="9"/>
      <c r="CF209" s="9"/>
      <c r="CG209" s="9"/>
      <c r="CH209" s="9"/>
      <c r="CI209" s="9"/>
      <c r="CJ209" s="9"/>
      <c r="CK209" s="9"/>
      <c r="CL209" s="9"/>
      <c r="CM209" s="9"/>
      <c r="CN209" s="9"/>
      <c r="CO209" s="9"/>
      <c r="CP209" s="16"/>
    </row>
    <row r="210" spans="1:94" ht="15" customHeight="1" x14ac:dyDescent="0.15">
      <c r="A210" s="15"/>
      <c r="B210" s="9"/>
      <c r="C210" s="9"/>
      <c r="D210" s="9"/>
      <c r="E210" s="491">
        <f t="shared" si="0"/>
        <v>27</v>
      </c>
      <c r="F210" s="491"/>
      <c r="G210" s="478" t="s">
        <v>1271</v>
      </c>
      <c r="H210" s="479"/>
      <c r="I210" s="479"/>
      <c r="J210" s="479"/>
      <c r="K210" s="479"/>
      <c r="L210" s="479"/>
      <c r="M210" s="479"/>
      <c r="N210" s="479"/>
      <c r="O210" s="479"/>
      <c r="P210" s="479"/>
      <c r="Q210" s="479"/>
      <c r="R210" s="479"/>
      <c r="S210" s="479"/>
      <c r="T210" s="479"/>
      <c r="U210" s="479"/>
      <c r="V210" s="479"/>
      <c r="W210" s="479"/>
      <c r="X210" s="479"/>
      <c r="Y210" s="479"/>
      <c r="Z210" s="479"/>
      <c r="AA210" s="479"/>
      <c r="AB210" s="479"/>
      <c r="AC210" s="479"/>
      <c r="AD210" s="479"/>
      <c r="AE210" s="479"/>
      <c r="AF210" s="480"/>
      <c r="AG210" s="477" t="s">
        <v>1268</v>
      </c>
      <c r="AH210" s="477"/>
      <c r="AI210" s="477"/>
      <c r="AJ210" s="477"/>
      <c r="AK210" s="477"/>
      <c r="AL210" s="477"/>
      <c r="AM210" s="477"/>
      <c r="AN210" s="477"/>
      <c r="AO210" s="9"/>
      <c r="AP210" s="9"/>
      <c r="AQ210" s="491">
        <f t="shared" si="1"/>
        <v>66</v>
      </c>
      <c r="AR210" s="491"/>
      <c r="AS210" s="478" t="s">
        <v>480</v>
      </c>
      <c r="AT210" s="479"/>
      <c r="AU210" s="479"/>
      <c r="AV210" s="479"/>
      <c r="AW210" s="479"/>
      <c r="AX210" s="479"/>
      <c r="AY210" s="479"/>
      <c r="AZ210" s="479"/>
      <c r="BA210" s="479"/>
      <c r="BB210" s="479"/>
      <c r="BC210" s="479"/>
      <c r="BD210" s="479"/>
      <c r="BE210" s="479"/>
      <c r="BF210" s="479"/>
      <c r="BG210" s="479"/>
      <c r="BH210" s="479"/>
      <c r="BI210" s="479"/>
      <c r="BJ210" s="479"/>
      <c r="BK210" s="479"/>
      <c r="BL210" s="479"/>
      <c r="BM210" s="479"/>
      <c r="BN210" s="479"/>
      <c r="BO210" s="479"/>
      <c r="BP210" s="479"/>
      <c r="BQ210" s="479"/>
      <c r="BR210" s="480"/>
      <c r="BS210" s="477" t="s">
        <v>1274</v>
      </c>
      <c r="BT210" s="477"/>
      <c r="BU210" s="477"/>
      <c r="BV210" s="477"/>
      <c r="BW210" s="477"/>
      <c r="BX210" s="477"/>
      <c r="BY210" s="477"/>
      <c r="BZ210" s="477"/>
      <c r="CA210" s="9"/>
      <c r="CB210" s="9"/>
      <c r="CC210" s="9"/>
      <c r="CD210" s="9"/>
      <c r="CE210" s="9"/>
      <c r="CF210" s="9"/>
      <c r="CG210" s="9"/>
      <c r="CH210" s="9"/>
      <c r="CI210" s="9"/>
      <c r="CJ210" s="9"/>
      <c r="CK210" s="9"/>
      <c r="CL210" s="9"/>
      <c r="CM210" s="9"/>
      <c r="CN210" s="9"/>
      <c r="CO210" s="9"/>
      <c r="CP210" s="16"/>
    </row>
    <row r="211" spans="1:94" ht="15" customHeight="1" x14ac:dyDescent="0.15">
      <c r="A211" s="15"/>
      <c r="B211" s="9"/>
      <c r="C211" s="9"/>
      <c r="D211" s="9"/>
      <c r="E211" s="491">
        <f t="shared" si="0"/>
        <v>28</v>
      </c>
      <c r="F211" s="491"/>
      <c r="G211" s="478" t="s">
        <v>1226</v>
      </c>
      <c r="H211" s="479"/>
      <c r="I211" s="479"/>
      <c r="J211" s="479"/>
      <c r="K211" s="479"/>
      <c r="L211" s="479"/>
      <c r="M211" s="479"/>
      <c r="N211" s="479"/>
      <c r="O211" s="479"/>
      <c r="P211" s="479"/>
      <c r="Q211" s="479"/>
      <c r="R211" s="479"/>
      <c r="S211" s="479"/>
      <c r="T211" s="479"/>
      <c r="U211" s="479"/>
      <c r="V211" s="479"/>
      <c r="W211" s="479"/>
      <c r="X211" s="479"/>
      <c r="Y211" s="479"/>
      <c r="Z211" s="479"/>
      <c r="AA211" s="479"/>
      <c r="AB211" s="479"/>
      <c r="AC211" s="479"/>
      <c r="AD211" s="479"/>
      <c r="AE211" s="479"/>
      <c r="AF211" s="480"/>
      <c r="AG211" s="477" t="s">
        <v>436</v>
      </c>
      <c r="AH211" s="477"/>
      <c r="AI211" s="477"/>
      <c r="AJ211" s="477"/>
      <c r="AK211" s="477"/>
      <c r="AL211" s="477"/>
      <c r="AM211" s="477"/>
      <c r="AN211" s="477"/>
      <c r="AO211" s="9"/>
      <c r="AP211" s="9"/>
      <c r="AQ211" s="491">
        <f t="shared" si="1"/>
        <v>67</v>
      </c>
      <c r="AR211" s="491"/>
      <c r="AS211" s="478" t="s">
        <v>481</v>
      </c>
      <c r="AT211" s="479"/>
      <c r="AU211" s="479"/>
      <c r="AV211" s="479"/>
      <c r="AW211" s="479"/>
      <c r="AX211" s="479"/>
      <c r="AY211" s="479"/>
      <c r="AZ211" s="479"/>
      <c r="BA211" s="479"/>
      <c r="BB211" s="479"/>
      <c r="BC211" s="479"/>
      <c r="BD211" s="479"/>
      <c r="BE211" s="479"/>
      <c r="BF211" s="479"/>
      <c r="BG211" s="479"/>
      <c r="BH211" s="479"/>
      <c r="BI211" s="479"/>
      <c r="BJ211" s="479"/>
      <c r="BK211" s="479"/>
      <c r="BL211" s="479"/>
      <c r="BM211" s="479"/>
      <c r="BN211" s="479"/>
      <c r="BO211" s="479"/>
      <c r="BP211" s="479"/>
      <c r="BQ211" s="479"/>
      <c r="BR211" s="480"/>
      <c r="BS211" s="477" t="s">
        <v>1268</v>
      </c>
      <c r="BT211" s="477"/>
      <c r="BU211" s="477"/>
      <c r="BV211" s="477"/>
      <c r="BW211" s="477"/>
      <c r="BX211" s="477"/>
      <c r="BY211" s="477"/>
      <c r="BZ211" s="477"/>
      <c r="CA211" s="9"/>
      <c r="CB211" s="9"/>
      <c r="CC211" s="9"/>
      <c r="CD211" s="9"/>
      <c r="CE211" s="9"/>
      <c r="CF211" s="9"/>
      <c r="CG211" s="9"/>
      <c r="CH211" s="9"/>
      <c r="CI211" s="9"/>
      <c r="CJ211" s="9"/>
      <c r="CK211" s="9"/>
      <c r="CL211" s="9"/>
      <c r="CM211" s="9"/>
      <c r="CN211" s="9"/>
      <c r="CO211" s="9"/>
      <c r="CP211" s="16"/>
    </row>
    <row r="212" spans="1:94" ht="15" customHeight="1" x14ac:dyDescent="0.15">
      <c r="A212" s="15"/>
      <c r="B212" s="9"/>
      <c r="C212" s="9"/>
      <c r="D212" s="9"/>
      <c r="E212" s="491">
        <f t="shared" si="0"/>
        <v>29</v>
      </c>
      <c r="F212" s="491"/>
      <c r="G212" s="478" t="s">
        <v>485</v>
      </c>
      <c r="H212" s="479"/>
      <c r="I212" s="479"/>
      <c r="J212" s="479"/>
      <c r="K212" s="479"/>
      <c r="L212" s="479"/>
      <c r="M212" s="479"/>
      <c r="N212" s="479"/>
      <c r="O212" s="479"/>
      <c r="P212" s="479"/>
      <c r="Q212" s="479"/>
      <c r="R212" s="479"/>
      <c r="S212" s="479"/>
      <c r="T212" s="479"/>
      <c r="U212" s="479"/>
      <c r="V212" s="479"/>
      <c r="W212" s="479"/>
      <c r="X212" s="479"/>
      <c r="Y212" s="479"/>
      <c r="Z212" s="479"/>
      <c r="AA212" s="479"/>
      <c r="AB212" s="479"/>
      <c r="AC212" s="479"/>
      <c r="AD212" s="479"/>
      <c r="AE212" s="479"/>
      <c r="AF212" s="480"/>
      <c r="AG212" s="477" t="s">
        <v>1268</v>
      </c>
      <c r="AH212" s="477"/>
      <c r="AI212" s="477"/>
      <c r="AJ212" s="477"/>
      <c r="AK212" s="477"/>
      <c r="AL212" s="477"/>
      <c r="AM212" s="477"/>
      <c r="AN212" s="477"/>
      <c r="AO212" s="9"/>
      <c r="AP212" s="9"/>
      <c r="AQ212" s="491">
        <f t="shared" si="1"/>
        <v>68</v>
      </c>
      <c r="AR212" s="491"/>
      <c r="AS212" s="478" t="s">
        <v>482</v>
      </c>
      <c r="AT212" s="479"/>
      <c r="AU212" s="479"/>
      <c r="AV212" s="479"/>
      <c r="AW212" s="479"/>
      <c r="AX212" s="479"/>
      <c r="AY212" s="479"/>
      <c r="AZ212" s="479"/>
      <c r="BA212" s="479"/>
      <c r="BB212" s="479"/>
      <c r="BC212" s="479"/>
      <c r="BD212" s="479"/>
      <c r="BE212" s="479"/>
      <c r="BF212" s="479"/>
      <c r="BG212" s="479"/>
      <c r="BH212" s="479"/>
      <c r="BI212" s="479"/>
      <c r="BJ212" s="479"/>
      <c r="BK212" s="479"/>
      <c r="BL212" s="479"/>
      <c r="BM212" s="479"/>
      <c r="BN212" s="479"/>
      <c r="BO212" s="479"/>
      <c r="BP212" s="479"/>
      <c r="BQ212" s="479"/>
      <c r="BR212" s="480"/>
      <c r="BS212" s="477" t="s">
        <v>1268</v>
      </c>
      <c r="BT212" s="477"/>
      <c r="BU212" s="477"/>
      <c r="BV212" s="477"/>
      <c r="BW212" s="477"/>
      <c r="BX212" s="477"/>
      <c r="BY212" s="477"/>
      <c r="BZ212" s="477"/>
      <c r="CA212" s="9"/>
      <c r="CB212" s="9"/>
      <c r="CC212" s="9"/>
      <c r="CD212" s="9"/>
      <c r="CE212" s="9"/>
      <c r="CF212" s="9"/>
      <c r="CG212" s="9"/>
      <c r="CH212" s="9"/>
      <c r="CI212" s="9"/>
      <c r="CJ212" s="9"/>
      <c r="CK212" s="9"/>
      <c r="CL212" s="9"/>
      <c r="CM212" s="9"/>
      <c r="CN212" s="9"/>
      <c r="CO212" s="9"/>
      <c r="CP212" s="16"/>
    </row>
    <row r="213" spans="1:94" ht="15" customHeight="1" x14ac:dyDescent="0.15">
      <c r="A213" s="15"/>
      <c r="B213" s="9"/>
      <c r="C213" s="9"/>
      <c r="D213" s="9"/>
      <c r="E213" s="491">
        <f t="shared" si="0"/>
        <v>30</v>
      </c>
      <c r="F213" s="491"/>
      <c r="G213" s="478" t="s">
        <v>475</v>
      </c>
      <c r="H213" s="479"/>
      <c r="I213" s="479"/>
      <c r="J213" s="479"/>
      <c r="K213" s="479"/>
      <c r="L213" s="479"/>
      <c r="M213" s="479"/>
      <c r="N213" s="479"/>
      <c r="O213" s="479"/>
      <c r="P213" s="479"/>
      <c r="Q213" s="479"/>
      <c r="R213" s="479"/>
      <c r="S213" s="479"/>
      <c r="T213" s="479"/>
      <c r="U213" s="479"/>
      <c r="V213" s="479"/>
      <c r="W213" s="479"/>
      <c r="X213" s="479"/>
      <c r="Y213" s="479"/>
      <c r="Z213" s="479"/>
      <c r="AA213" s="479"/>
      <c r="AB213" s="479"/>
      <c r="AC213" s="479"/>
      <c r="AD213" s="479"/>
      <c r="AE213" s="479"/>
      <c r="AF213" s="480"/>
      <c r="AG213" s="477" t="s">
        <v>439</v>
      </c>
      <c r="AH213" s="477"/>
      <c r="AI213" s="477"/>
      <c r="AJ213" s="477"/>
      <c r="AK213" s="477"/>
      <c r="AL213" s="477"/>
      <c r="AM213" s="477"/>
      <c r="AN213" s="477"/>
      <c r="AO213" s="9"/>
      <c r="AP213" s="9"/>
      <c r="AQ213" s="491">
        <f t="shared" si="1"/>
        <v>69</v>
      </c>
      <c r="AR213" s="491"/>
      <c r="AS213" s="478" t="s">
        <v>567</v>
      </c>
      <c r="AT213" s="479"/>
      <c r="AU213" s="479"/>
      <c r="AV213" s="479"/>
      <c r="AW213" s="479"/>
      <c r="AX213" s="479"/>
      <c r="AY213" s="479"/>
      <c r="AZ213" s="479"/>
      <c r="BA213" s="479"/>
      <c r="BB213" s="479"/>
      <c r="BC213" s="479"/>
      <c r="BD213" s="479"/>
      <c r="BE213" s="479"/>
      <c r="BF213" s="479"/>
      <c r="BG213" s="479"/>
      <c r="BH213" s="479"/>
      <c r="BI213" s="479"/>
      <c r="BJ213" s="479"/>
      <c r="BK213" s="479"/>
      <c r="BL213" s="479"/>
      <c r="BM213" s="479"/>
      <c r="BN213" s="479"/>
      <c r="BO213" s="479"/>
      <c r="BP213" s="479"/>
      <c r="BQ213" s="479"/>
      <c r="BR213" s="480"/>
      <c r="BS213" s="477" t="s">
        <v>1268</v>
      </c>
      <c r="BT213" s="477"/>
      <c r="BU213" s="477"/>
      <c r="BV213" s="477"/>
      <c r="BW213" s="477"/>
      <c r="BX213" s="477"/>
      <c r="BY213" s="477"/>
      <c r="BZ213" s="477"/>
      <c r="CA213" s="9"/>
      <c r="CB213" s="9"/>
      <c r="CC213" s="9"/>
      <c r="CD213" s="9"/>
      <c r="CE213" s="9"/>
      <c r="CF213" s="9"/>
      <c r="CG213" s="9"/>
      <c r="CH213" s="9"/>
      <c r="CI213" s="9"/>
      <c r="CJ213" s="9"/>
      <c r="CK213" s="9"/>
      <c r="CL213" s="9"/>
      <c r="CM213" s="9"/>
      <c r="CN213" s="9"/>
      <c r="CO213" s="9"/>
      <c r="CP213" s="16"/>
    </row>
    <row r="214" spans="1:94" ht="15" customHeight="1" x14ac:dyDescent="0.15">
      <c r="A214" s="15"/>
      <c r="B214" s="9"/>
      <c r="C214" s="9"/>
      <c r="D214" s="9"/>
      <c r="E214" s="491">
        <f t="shared" si="0"/>
        <v>31</v>
      </c>
      <c r="F214" s="491"/>
      <c r="G214" s="478" t="s">
        <v>454</v>
      </c>
      <c r="H214" s="479"/>
      <c r="I214" s="479"/>
      <c r="J214" s="479"/>
      <c r="K214" s="479"/>
      <c r="L214" s="479"/>
      <c r="M214" s="479"/>
      <c r="N214" s="479"/>
      <c r="O214" s="479"/>
      <c r="P214" s="479"/>
      <c r="Q214" s="479"/>
      <c r="R214" s="479"/>
      <c r="S214" s="479"/>
      <c r="T214" s="479"/>
      <c r="U214" s="479"/>
      <c r="V214" s="479"/>
      <c r="W214" s="479"/>
      <c r="X214" s="479"/>
      <c r="Y214" s="479"/>
      <c r="Z214" s="479"/>
      <c r="AA214" s="479"/>
      <c r="AB214" s="479"/>
      <c r="AC214" s="479"/>
      <c r="AD214" s="479"/>
      <c r="AE214" s="479"/>
      <c r="AF214" s="480"/>
      <c r="AG214" s="477" t="s">
        <v>436</v>
      </c>
      <c r="AH214" s="477"/>
      <c r="AI214" s="477"/>
      <c r="AJ214" s="477"/>
      <c r="AK214" s="477"/>
      <c r="AL214" s="477"/>
      <c r="AM214" s="477"/>
      <c r="AN214" s="477"/>
      <c r="AO214" s="9"/>
      <c r="AP214" s="9"/>
      <c r="AQ214" s="491">
        <f t="shared" si="1"/>
        <v>70</v>
      </c>
      <c r="AR214" s="491"/>
      <c r="AS214" s="478" t="s">
        <v>565</v>
      </c>
      <c r="AT214" s="479"/>
      <c r="AU214" s="479"/>
      <c r="AV214" s="479"/>
      <c r="AW214" s="479"/>
      <c r="AX214" s="479"/>
      <c r="AY214" s="479"/>
      <c r="AZ214" s="479"/>
      <c r="BA214" s="479"/>
      <c r="BB214" s="479"/>
      <c r="BC214" s="479"/>
      <c r="BD214" s="479"/>
      <c r="BE214" s="479"/>
      <c r="BF214" s="479"/>
      <c r="BG214" s="479"/>
      <c r="BH214" s="479"/>
      <c r="BI214" s="479"/>
      <c r="BJ214" s="479"/>
      <c r="BK214" s="479"/>
      <c r="BL214" s="479"/>
      <c r="BM214" s="479"/>
      <c r="BN214" s="479"/>
      <c r="BO214" s="479"/>
      <c r="BP214" s="479"/>
      <c r="BQ214" s="479"/>
      <c r="BR214" s="480"/>
      <c r="BS214" s="477" t="s">
        <v>1268</v>
      </c>
      <c r="BT214" s="477"/>
      <c r="BU214" s="477"/>
      <c r="BV214" s="477"/>
      <c r="BW214" s="477"/>
      <c r="BX214" s="477"/>
      <c r="BY214" s="477"/>
      <c r="BZ214" s="477"/>
      <c r="CA214" s="9"/>
      <c r="CB214" s="9"/>
      <c r="CC214" s="9"/>
      <c r="CD214" s="9"/>
      <c r="CE214" s="9"/>
      <c r="CF214" s="9"/>
      <c r="CG214" s="9"/>
      <c r="CH214" s="9"/>
      <c r="CI214" s="9"/>
      <c r="CJ214" s="9"/>
      <c r="CK214" s="9"/>
      <c r="CL214" s="9"/>
      <c r="CM214" s="9"/>
      <c r="CN214" s="9"/>
      <c r="CO214" s="9"/>
      <c r="CP214" s="16"/>
    </row>
    <row r="215" spans="1:94" ht="15" customHeight="1" x14ac:dyDescent="0.15">
      <c r="A215" s="15"/>
      <c r="B215" s="9"/>
      <c r="C215" s="9"/>
      <c r="D215" s="9"/>
      <c r="E215" s="491">
        <f t="shared" si="0"/>
        <v>32</v>
      </c>
      <c r="F215" s="491"/>
      <c r="G215" s="478" t="s">
        <v>452</v>
      </c>
      <c r="H215" s="479"/>
      <c r="I215" s="479"/>
      <c r="J215" s="479"/>
      <c r="K215" s="479"/>
      <c r="L215" s="479"/>
      <c r="M215" s="479"/>
      <c r="N215" s="479"/>
      <c r="O215" s="479"/>
      <c r="P215" s="479"/>
      <c r="Q215" s="479"/>
      <c r="R215" s="479"/>
      <c r="S215" s="479"/>
      <c r="T215" s="479"/>
      <c r="U215" s="479"/>
      <c r="V215" s="479"/>
      <c r="W215" s="479"/>
      <c r="X215" s="479"/>
      <c r="Y215" s="479"/>
      <c r="Z215" s="479"/>
      <c r="AA215" s="479"/>
      <c r="AB215" s="479"/>
      <c r="AC215" s="479"/>
      <c r="AD215" s="479"/>
      <c r="AE215" s="479"/>
      <c r="AF215" s="480"/>
      <c r="AG215" s="477" t="s">
        <v>1272</v>
      </c>
      <c r="AH215" s="477"/>
      <c r="AI215" s="477"/>
      <c r="AJ215" s="477"/>
      <c r="AK215" s="477"/>
      <c r="AL215" s="477"/>
      <c r="AM215" s="477"/>
      <c r="AN215" s="477"/>
      <c r="AO215" s="9"/>
      <c r="AP215" s="9"/>
      <c r="AQ215" s="491">
        <f t="shared" si="1"/>
        <v>71</v>
      </c>
      <c r="AR215" s="491"/>
      <c r="AS215" s="478" t="s">
        <v>568</v>
      </c>
      <c r="AT215" s="479"/>
      <c r="AU215" s="479"/>
      <c r="AV215" s="479"/>
      <c r="AW215" s="479"/>
      <c r="AX215" s="479"/>
      <c r="AY215" s="479"/>
      <c r="AZ215" s="479"/>
      <c r="BA215" s="479"/>
      <c r="BB215" s="479"/>
      <c r="BC215" s="479"/>
      <c r="BD215" s="479"/>
      <c r="BE215" s="479"/>
      <c r="BF215" s="479"/>
      <c r="BG215" s="479"/>
      <c r="BH215" s="479"/>
      <c r="BI215" s="479"/>
      <c r="BJ215" s="479"/>
      <c r="BK215" s="479"/>
      <c r="BL215" s="479"/>
      <c r="BM215" s="479"/>
      <c r="BN215" s="479"/>
      <c r="BO215" s="479"/>
      <c r="BP215" s="479"/>
      <c r="BQ215" s="479"/>
      <c r="BR215" s="480"/>
      <c r="BS215" s="477" t="s">
        <v>1268</v>
      </c>
      <c r="BT215" s="477"/>
      <c r="BU215" s="477"/>
      <c r="BV215" s="477"/>
      <c r="BW215" s="477"/>
      <c r="BX215" s="477"/>
      <c r="BY215" s="477"/>
      <c r="BZ215" s="477"/>
      <c r="CA215" s="9"/>
      <c r="CB215" s="9"/>
      <c r="CC215" s="9"/>
      <c r="CD215" s="9"/>
      <c r="CE215" s="9"/>
      <c r="CF215" s="9"/>
      <c r="CG215" s="9"/>
      <c r="CH215" s="9"/>
      <c r="CI215" s="9"/>
      <c r="CJ215" s="9"/>
      <c r="CK215" s="9"/>
      <c r="CL215" s="9"/>
      <c r="CM215" s="9"/>
      <c r="CN215" s="9"/>
      <c r="CO215" s="9"/>
      <c r="CP215" s="16"/>
    </row>
    <row r="216" spans="1:94" ht="15" customHeight="1" x14ac:dyDescent="0.15">
      <c r="A216" s="15"/>
      <c r="B216" s="9"/>
      <c r="C216" s="9"/>
      <c r="D216" s="9"/>
      <c r="E216" s="491">
        <f t="shared" si="0"/>
        <v>33</v>
      </c>
      <c r="F216" s="491"/>
      <c r="G216" s="478" t="s">
        <v>1227</v>
      </c>
      <c r="H216" s="479"/>
      <c r="I216" s="479"/>
      <c r="J216" s="479"/>
      <c r="K216" s="479"/>
      <c r="L216" s="479"/>
      <c r="M216" s="479"/>
      <c r="N216" s="479"/>
      <c r="O216" s="479"/>
      <c r="P216" s="479"/>
      <c r="Q216" s="479"/>
      <c r="R216" s="479"/>
      <c r="S216" s="479"/>
      <c r="T216" s="479"/>
      <c r="U216" s="479"/>
      <c r="V216" s="479"/>
      <c r="W216" s="479"/>
      <c r="X216" s="479"/>
      <c r="Y216" s="479"/>
      <c r="Z216" s="479"/>
      <c r="AA216" s="479"/>
      <c r="AB216" s="479"/>
      <c r="AC216" s="479"/>
      <c r="AD216" s="479"/>
      <c r="AE216" s="479"/>
      <c r="AF216" s="480"/>
      <c r="AG216" s="477" t="s">
        <v>439</v>
      </c>
      <c r="AH216" s="477"/>
      <c r="AI216" s="477"/>
      <c r="AJ216" s="477"/>
      <c r="AK216" s="477"/>
      <c r="AL216" s="477"/>
      <c r="AM216" s="477"/>
      <c r="AN216" s="477"/>
      <c r="AO216" s="9"/>
      <c r="AP216" s="9"/>
      <c r="AQ216" s="491">
        <f t="shared" si="1"/>
        <v>72</v>
      </c>
      <c r="AR216" s="491"/>
      <c r="AS216" s="478" t="s">
        <v>566</v>
      </c>
      <c r="AT216" s="479"/>
      <c r="AU216" s="479"/>
      <c r="AV216" s="479"/>
      <c r="AW216" s="479"/>
      <c r="AX216" s="479"/>
      <c r="AY216" s="479"/>
      <c r="AZ216" s="479"/>
      <c r="BA216" s="479"/>
      <c r="BB216" s="479"/>
      <c r="BC216" s="479"/>
      <c r="BD216" s="479"/>
      <c r="BE216" s="479"/>
      <c r="BF216" s="479"/>
      <c r="BG216" s="479"/>
      <c r="BH216" s="479"/>
      <c r="BI216" s="479"/>
      <c r="BJ216" s="479"/>
      <c r="BK216" s="479"/>
      <c r="BL216" s="479"/>
      <c r="BM216" s="479"/>
      <c r="BN216" s="479"/>
      <c r="BO216" s="479"/>
      <c r="BP216" s="479"/>
      <c r="BQ216" s="479"/>
      <c r="BR216" s="480"/>
      <c r="BS216" s="477" t="s">
        <v>1268</v>
      </c>
      <c r="BT216" s="477"/>
      <c r="BU216" s="477"/>
      <c r="BV216" s="477"/>
      <c r="BW216" s="477"/>
      <c r="BX216" s="477"/>
      <c r="BY216" s="477"/>
      <c r="BZ216" s="477"/>
      <c r="CA216" s="9"/>
      <c r="CB216" s="9"/>
      <c r="CC216" s="9"/>
      <c r="CD216" s="9"/>
      <c r="CE216" s="9"/>
      <c r="CF216" s="9"/>
      <c r="CG216" s="9"/>
      <c r="CH216" s="9"/>
      <c r="CI216" s="9"/>
      <c r="CJ216" s="9"/>
      <c r="CK216" s="9"/>
      <c r="CL216" s="9"/>
      <c r="CM216" s="9"/>
      <c r="CN216" s="9"/>
      <c r="CO216" s="9"/>
      <c r="CP216" s="16"/>
    </row>
    <row r="217" spans="1:94" ht="15" customHeight="1" x14ac:dyDescent="0.15">
      <c r="A217" s="15"/>
      <c r="B217" s="9"/>
      <c r="C217" s="9"/>
      <c r="D217" s="9"/>
      <c r="E217" s="491">
        <f t="shared" si="0"/>
        <v>34</v>
      </c>
      <c r="F217" s="491"/>
      <c r="G217" s="478" t="s">
        <v>464</v>
      </c>
      <c r="H217" s="479"/>
      <c r="I217" s="479"/>
      <c r="J217" s="479"/>
      <c r="K217" s="479"/>
      <c r="L217" s="479"/>
      <c r="M217" s="479"/>
      <c r="N217" s="479"/>
      <c r="O217" s="479"/>
      <c r="P217" s="479"/>
      <c r="Q217" s="479"/>
      <c r="R217" s="479"/>
      <c r="S217" s="479"/>
      <c r="T217" s="479"/>
      <c r="U217" s="479"/>
      <c r="V217" s="479"/>
      <c r="W217" s="479"/>
      <c r="X217" s="479"/>
      <c r="Y217" s="479"/>
      <c r="Z217" s="479"/>
      <c r="AA217" s="479"/>
      <c r="AB217" s="479"/>
      <c r="AC217" s="479"/>
      <c r="AD217" s="479"/>
      <c r="AE217" s="479"/>
      <c r="AF217" s="480"/>
      <c r="AG217" s="477" t="s">
        <v>445</v>
      </c>
      <c r="AH217" s="477"/>
      <c r="AI217" s="477"/>
      <c r="AJ217" s="477"/>
      <c r="AK217" s="477"/>
      <c r="AL217" s="477"/>
      <c r="AM217" s="477"/>
      <c r="AN217" s="477"/>
      <c r="AO217" s="9"/>
      <c r="AP217" s="9"/>
      <c r="AQ217" s="491">
        <f t="shared" si="1"/>
        <v>73</v>
      </c>
      <c r="AR217" s="491"/>
      <c r="AS217" s="478" t="s">
        <v>570</v>
      </c>
      <c r="AT217" s="479"/>
      <c r="AU217" s="479"/>
      <c r="AV217" s="479"/>
      <c r="AW217" s="479"/>
      <c r="AX217" s="479"/>
      <c r="AY217" s="479"/>
      <c r="AZ217" s="479"/>
      <c r="BA217" s="479"/>
      <c r="BB217" s="479"/>
      <c r="BC217" s="479"/>
      <c r="BD217" s="479"/>
      <c r="BE217" s="479"/>
      <c r="BF217" s="479"/>
      <c r="BG217" s="479"/>
      <c r="BH217" s="479"/>
      <c r="BI217" s="479"/>
      <c r="BJ217" s="479"/>
      <c r="BK217" s="479"/>
      <c r="BL217" s="479"/>
      <c r="BM217" s="479"/>
      <c r="BN217" s="479"/>
      <c r="BO217" s="479"/>
      <c r="BP217" s="479"/>
      <c r="BQ217" s="479"/>
      <c r="BR217" s="480"/>
      <c r="BS217" s="477" t="s">
        <v>1268</v>
      </c>
      <c r="BT217" s="477"/>
      <c r="BU217" s="477"/>
      <c r="BV217" s="477"/>
      <c r="BW217" s="477"/>
      <c r="BX217" s="477"/>
      <c r="BY217" s="477"/>
      <c r="BZ217" s="477"/>
      <c r="CA217" s="9"/>
      <c r="CB217" s="9"/>
      <c r="CC217" s="9"/>
      <c r="CD217" s="9"/>
      <c r="CE217" s="9"/>
      <c r="CF217" s="9"/>
      <c r="CG217" s="9"/>
      <c r="CH217" s="9"/>
      <c r="CI217" s="9"/>
      <c r="CJ217" s="9"/>
      <c r="CK217" s="9"/>
      <c r="CL217" s="9"/>
      <c r="CM217" s="9"/>
      <c r="CN217" s="9"/>
      <c r="CO217" s="9"/>
      <c r="CP217" s="16"/>
    </row>
    <row r="218" spans="1:94" ht="15" customHeight="1" x14ac:dyDescent="0.15">
      <c r="A218" s="15"/>
      <c r="B218" s="9"/>
      <c r="C218" s="9"/>
      <c r="D218" s="9"/>
      <c r="E218" s="491">
        <f t="shared" si="0"/>
        <v>35</v>
      </c>
      <c r="F218" s="491"/>
      <c r="G218" s="478" t="s">
        <v>1228</v>
      </c>
      <c r="H218" s="479"/>
      <c r="I218" s="479"/>
      <c r="J218" s="479"/>
      <c r="K218" s="479"/>
      <c r="L218" s="479"/>
      <c r="M218" s="479"/>
      <c r="N218" s="479"/>
      <c r="O218" s="479"/>
      <c r="P218" s="479"/>
      <c r="Q218" s="479"/>
      <c r="R218" s="479"/>
      <c r="S218" s="479"/>
      <c r="T218" s="479"/>
      <c r="U218" s="479"/>
      <c r="V218" s="479"/>
      <c r="W218" s="479"/>
      <c r="X218" s="479"/>
      <c r="Y218" s="479"/>
      <c r="Z218" s="479"/>
      <c r="AA218" s="479"/>
      <c r="AB218" s="479"/>
      <c r="AC218" s="479"/>
      <c r="AD218" s="479"/>
      <c r="AE218" s="479"/>
      <c r="AF218" s="480"/>
      <c r="AG218" s="477" t="s">
        <v>436</v>
      </c>
      <c r="AH218" s="477"/>
      <c r="AI218" s="477"/>
      <c r="AJ218" s="477"/>
      <c r="AK218" s="477"/>
      <c r="AL218" s="477"/>
      <c r="AM218" s="477"/>
      <c r="AN218" s="477"/>
      <c r="AO218" s="9"/>
      <c r="AP218" s="9"/>
      <c r="AQ218" s="491">
        <f t="shared" si="1"/>
        <v>74</v>
      </c>
      <c r="AR218" s="491"/>
      <c r="AS218" s="478" t="s">
        <v>569</v>
      </c>
      <c r="AT218" s="479"/>
      <c r="AU218" s="479"/>
      <c r="AV218" s="479"/>
      <c r="AW218" s="479"/>
      <c r="AX218" s="479"/>
      <c r="AY218" s="479"/>
      <c r="AZ218" s="479"/>
      <c r="BA218" s="479"/>
      <c r="BB218" s="479"/>
      <c r="BC218" s="479"/>
      <c r="BD218" s="479"/>
      <c r="BE218" s="479"/>
      <c r="BF218" s="479"/>
      <c r="BG218" s="479"/>
      <c r="BH218" s="479"/>
      <c r="BI218" s="479"/>
      <c r="BJ218" s="479"/>
      <c r="BK218" s="479"/>
      <c r="BL218" s="479"/>
      <c r="BM218" s="479"/>
      <c r="BN218" s="479"/>
      <c r="BO218" s="479"/>
      <c r="BP218" s="479"/>
      <c r="BQ218" s="479"/>
      <c r="BR218" s="480"/>
      <c r="BS218" s="477" t="s">
        <v>1268</v>
      </c>
      <c r="BT218" s="477"/>
      <c r="BU218" s="477"/>
      <c r="BV218" s="477"/>
      <c r="BW218" s="477"/>
      <c r="BX218" s="477"/>
      <c r="BY218" s="477"/>
      <c r="BZ218" s="477"/>
      <c r="CA218" s="9"/>
      <c r="CB218" s="9"/>
      <c r="CC218" s="9"/>
      <c r="CD218" s="9"/>
      <c r="CE218" s="9"/>
      <c r="CF218" s="9"/>
      <c r="CG218" s="9"/>
      <c r="CH218" s="9"/>
      <c r="CI218" s="9"/>
      <c r="CJ218" s="9"/>
      <c r="CK218" s="9"/>
      <c r="CL218" s="9"/>
      <c r="CM218" s="9"/>
      <c r="CN218" s="9"/>
      <c r="CO218" s="9"/>
      <c r="CP218" s="16"/>
    </row>
    <row r="219" spans="1:94" ht="15" customHeight="1" x14ac:dyDescent="0.15">
      <c r="A219" s="15"/>
      <c r="B219" s="9"/>
      <c r="C219" s="9"/>
      <c r="D219" s="9"/>
      <c r="E219" s="491">
        <f t="shared" si="0"/>
        <v>36</v>
      </c>
      <c r="F219" s="491"/>
      <c r="G219" s="478" t="s">
        <v>1229</v>
      </c>
      <c r="H219" s="479"/>
      <c r="I219" s="479"/>
      <c r="J219" s="479"/>
      <c r="K219" s="479"/>
      <c r="L219" s="479"/>
      <c r="M219" s="479"/>
      <c r="N219" s="479"/>
      <c r="O219" s="479"/>
      <c r="P219" s="479"/>
      <c r="Q219" s="479"/>
      <c r="R219" s="479"/>
      <c r="S219" s="479"/>
      <c r="T219" s="479"/>
      <c r="U219" s="479"/>
      <c r="V219" s="479"/>
      <c r="W219" s="479"/>
      <c r="X219" s="479"/>
      <c r="Y219" s="479"/>
      <c r="Z219" s="479"/>
      <c r="AA219" s="479"/>
      <c r="AB219" s="479"/>
      <c r="AC219" s="479"/>
      <c r="AD219" s="479"/>
      <c r="AE219" s="479"/>
      <c r="AF219" s="480"/>
      <c r="AG219" s="477" t="s">
        <v>436</v>
      </c>
      <c r="AH219" s="477"/>
      <c r="AI219" s="477"/>
      <c r="AJ219" s="477"/>
      <c r="AK219" s="477"/>
      <c r="AL219" s="477"/>
      <c r="AM219" s="477"/>
      <c r="AN219" s="477"/>
      <c r="AO219" s="9"/>
      <c r="AP219" s="9"/>
      <c r="AQ219" s="491">
        <f t="shared" si="1"/>
        <v>75</v>
      </c>
      <c r="AR219" s="491"/>
      <c r="AS219" s="478" t="s">
        <v>571</v>
      </c>
      <c r="AT219" s="479"/>
      <c r="AU219" s="479"/>
      <c r="AV219" s="479"/>
      <c r="AW219" s="479"/>
      <c r="AX219" s="479"/>
      <c r="AY219" s="479"/>
      <c r="AZ219" s="479"/>
      <c r="BA219" s="479"/>
      <c r="BB219" s="479"/>
      <c r="BC219" s="479"/>
      <c r="BD219" s="479"/>
      <c r="BE219" s="479"/>
      <c r="BF219" s="479"/>
      <c r="BG219" s="479"/>
      <c r="BH219" s="479"/>
      <c r="BI219" s="479"/>
      <c r="BJ219" s="479"/>
      <c r="BK219" s="479"/>
      <c r="BL219" s="479"/>
      <c r="BM219" s="479"/>
      <c r="BN219" s="479"/>
      <c r="BO219" s="479"/>
      <c r="BP219" s="479"/>
      <c r="BQ219" s="479"/>
      <c r="BR219" s="480"/>
      <c r="BS219" s="477" t="s">
        <v>1268</v>
      </c>
      <c r="BT219" s="477"/>
      <c r="BU219" s="477"/>
      <c r="BV219" s="477"/>
      <c r="BW219" s="477"/>
      <c r="BX219" s="477"/>
      <c r="BY219" s="477"/>
      <c r="BZ219" s="477"/>
      <c r="CA219" s="9"/>
      <c r="CB219" s="9"/>
      <c r="CC219" s="9"/>
      <c r="CD219" s="9"/>
      <c r="CE219" s="9"/>
      <c r="CF219" s="9"/>
      <c r="CG219" s="9"/>
      <c r="CH219" s="9"/>
      <c r="CI219" s="9"/>
      <c r="CJ219" s="9"/>
      <c r="CK219" s="9"/>
      <c r="CL219" s="9"/>
      <c r="CM219" s="9"/>
      <c r="CN219" s="9"/>
      <c r="CO219" s="9"/>
      <c r="CP219" s="16"/>
    </row>
    <row r="220" spans="1:94" ht="15" customHeight="1" x14ac:dyDescent="0.15">
      <c r="A220" s="15"/>
      <c r="B220" s="9"/>
      <c r="C220" s="9"/>
      <c r="D220" s="9"/>
      <c r="E220" s="491">
        <f t="shared" si="0"/>
        <v>37</v>
      </c>
      <c r="F220" s="491"/>
      <c r="G220" s="478" t="s">
        <v>455</v>
      </c>
      <c r="H220" s="479"/>
      <c r="I220" s="479"/>
      <c r="J220" s="479"/>
      <c r="K220" s="479"/>
      <c r="L220" s="479"/>
      <c r="M220" s="479"/>
      <c r="N220" s="479"/>
      <c r="O220" s="479"/>
      <c r="P220" s="479"/>
      <c r="Q220" s="479"/>
      <c r="R220" s="479"/>
      <c r="S220" s="479"/>
      <c r="T220" s="479"/>
      <c r="U220" s="479"/>
      <c r="V220" s="479"/>
      <c r="W220" s="479"/>
      <c r="X220" s="479"/>
      <c r="Y220" s="479"/>
      <c r="Z220" s="479"/>
      <c r="AA220" s="479"/>
      <c r="AB220" s="479"/>
      <c r="AC220" s="479"/>
      <c r="AD220" s="479"/>
      <c r="AE220" s="479"/>
      <c r="AF220" s="480"/>
      <c r="AG220" s="477" t="s">
        <v>439</v>
      </c>
      <c r="AH220" s="477"/>
      <c r="AI220" s="477"/>
      <c r="AJ220" s="477"/>
      <c r="AK220" s="477"/>
      <c r="AL220" s="477"/>
      <c r="AM220" s="477"/>
      <c r="AN220" s="477"/>
      <c r="AO220" s="9"/>
      <c r="AP220" s="9"/>
      <c r="AQ220" s="491">
        <f t="shared" si="1"/>
        <v>76</v>
      </c>
      <c r="AR220" s="491"/>
      <c r="AS220" s="478" t="s">
        <v>483</v>
      </c>
      <c r="AT220" s="479"/>
      <c r="AU220" s="479"/>
      <c r="AV220" s="479"/>
      <c r="AW220" s="479"/>
      <c r="AX220" s="479"/>
      <c r="AY220" s="479"/>
      <c r="AZ220" s="479"/>
      <c r="BA220" s="479"/>
      <c r="BB220" s="479"/>
      <c r="BC220" s="479"/>
      <c r="BD220" s="479"/>
      <c r="BE220" s="479"/>
      <c r="BF220" s="479"/>
      <c r="BG220" s="479"/>
      <c r="BH220" s="479"/>
      <c r="BI220" s="479"/>
      <c r="BJ220" s="479"/>
      <c r="BK220" s="479"/>
      <c r="BL220" s="479"/>
      <c r="BM220" s="479"/>
      <c r="BN220" s="479"/>
      <c r="BO220" s="479"/>
      <c r="BP220" s="479"/>
      <c r="BQ220" s="479"/>
      <c r="BR220" s="480"/>
      <c r="BS220" s="477" t="s">
        <v>1268</v>
      </c>
      <c r="BT220" s="477"/>
      <c r="BU220" s="477"/>
      <c r="BV220" s="477"/>
      <c r="BW220" s="477"/>
      <c r="BX220" s="477"/>
      <c r="BY220" s="477"/>
      <c r="BZ220" s="477"/>
      <c r="CA220" s="9"/>
      <c r="CB220" s="9"/>
      <c r="CC220" s="9"/>
      <c r="CD220" s="9"/>
      <c r="CE220" s="9"/>
      <c r="CF220" s="9"/>
      <c r="CG220" s="9"/>
      <c r="CH220" s="9"/>
      <c r="CI220" s="9"/>
      <c r="CJ220" s="9"/>
      <c r="CK220" s="9"/>
      <c r="CL220" s="9"/>
      <c r="CM220" s="9"/>
      <c r="CN220" s="9"/>
      <c r="CO220" s="9"/>
      <c r="CP220" s="16"/>
    </row>
    <row r="221" spans="1:94" ht="15" customHeight="1" x14ac:dyDescent="0.15">
      <c r="A221" s="15"/>
      <c r="B221" s="9"/>
      <c r="C221" s="9"/>
      <c r="D221" s="9"/>
      <c r="E221" s="491">
        <f t="shared" si="0"/>
        <v>38</v>
      </c>
      <c r="F221" s="491"/>
      <c r="G221" s="478" t="s">
        <v>563</v>
      </c>
      <c r="H221" s="479"/>
      <c r="I221" s="479"/>
      <c r="J221" s="479"/>
      <c r="K221" s="479"/>
      <c r="L221" s="479"/>
      <c r="M221" s="479"/>
      <c r="N221" s="479"/>
      <c r="O221" s="479"/>
      <c r="P221" s="479"/>
      <c r="Q221" s="479"/>
      <c r="R221" s="479"/>
      <c r="S221" s="479"/>
      <c r="T221" s="479"/>
      <c r="U221" s="479"/>
      <c r="V221" s="479"/>
      <c r="W221" s="479"/>
      <c r="X221" s="479"/>
      <c r="Y221" s="479"/>
      <c r="Z221" s="479"/>
      <c r="AA221" s="479"/>
      <c r="AB221" s="479"/>
      <c r="AC221" s="479"/>
      <c r="AD221" s="479"/>
      <c r="AE221" s="479"/>
      <c r="AF221" s="480"/>
      <c r="AG221" s="477" t="s">
        <v>436</v>
      </c>
      <c r="AH221" s="477"/>
      <c r="AI221" s="477"/>
      <c r="AJ221" s="477"/>
      <c r="AK221" s="477"/>
      <c r="AL221" s="477"/>
      <c r="AM221" s="477"/>
      <c r="AN221" s="477"/>
      <c r="AO221" s="9"/>
      <c r="AP221" s="9"/>
      <c r="AQ221" s="491">
        <f t="shared" si="1"/>
        <v>77</v>
      </c>
      <c r="AR221" s="491"/>
      <c r="AS221" s="478" t="s">
        <v>1276</v>
      </c>
      <c r="AT221" s="479"/>
      <c r="AU221" s="479"/>
      <c r="AV221" s="479"/>
      <c r="AW221" s="479"/>
      <c r="AX221" s="479"/>
      <c r="AY221" s="479"/>
      <c r="AZ221" s="479"/>
      <c r="BA221" s="479"/>
      <c r="BB221" s="479"/>
      <c r="BC221" s="479"/>
      <c r="BD221" s="479"/>
      <c r="BE221" s="479"/>
      <c r="BF221" s="479"/>
      <c r="BG221" s="479"/>
      <c r="BH221" s="479"/>
      <c r="BI221" s="479"/>
      <c r="BJ221" s="479"/>
      <c r="BK221" s="479"/>
      <c r="BL221" s="479"/>
      <c r="BM221" s="479"/>
      <c r="BN221" s="479"/>
      <c r="BO221" s="479"/>
      <c r="BP221" s="479"/>
      <c r="BQ221" s="479"/>
      <c r="BR221" s="480"/>
      <c r="BS221" s="477" t="s">
        <v>445</v>
      </c>
      <c r="BT221" s="477"/>
      <c r="BU221" s="477"/>
      <c r="BV221" s="477"/>
      <c r="BW221" s="477"/>
      <c r="BX221" s="477"/>
      <c r="BY221" s="477"/>
      <c r="BZ221" s="477"/>
      <c r="CA221" s="9"/>
      <c r="CB221" s="9"/>
      <c r="CC221" s="9"/>
      <c r="CD221" s="9"/>
      <c r="CE221" s="9"/>
      <c r="CF221" s="9"/>
      <c r="CG221" s="9"/>
      <c r="CH221" s="9"/>
      <c r="CI221" s="9"/>
      <c r="CJ221" s="9"/>
      <c r="CK221" s="9"/>
      <c r="CL221" s="9"/>
      <c r="CM221" s="9"/>
      <c r="CN221" s="9"/>
      <c r="CO221" s="9"/>
      <c r="CP221" s="16"/>
    </row>
    <row r="222" spans="1:94" ht="15" customHeight="1" x14ac:dyDescent="0.15">
      <c r="A222" s="15"/>
      <c r="B222" s="9"/>
      <c r="C222" s="9"/>
      <c r="D222" s="9"/>
      <c r="E222" s="491">
        <f t="shared" si="0"/>
        <v>39</v>
      </c>
      <c r="F222" s="491"/>
      <c r="G222" s="478" t="s">
        <v>1230</v>
      </c>
      <c r="H222" s="479"/>
      <c r="I222" s="479"/>
      <c r="J222" s="479"/>
      <c r="K222" s="479"/>
      <c r="L222" s="479"/>
      <c r="M222" s="479"/>
      <c r="N222" s="479"/>
      <c r="O222" s="479"/>
      <c r="P222" s="479"/>
      <c r="Q222" s="479"/>
      <c r="R222" s="479"/>
      <c r="S222" s="479"/>
      <c r="T222" s="479"/>
      <c r="U222" s="479"/>
      <c r="V222" s="479"/>
      <c r="W222" s="479"/>
      <c r="X222" s="479"/>
      <c r="Y222" s="479"/>
      <c r="Z222" s="479"/>
      <c r="AA222" s="479"/>
      <c r="AB222" s="479"/>
      <c r="AC222" s="479"/>
      <c r="AD222" s="479"/>
      <c r="AE222" s="479"/>
      <c r="AF222" s="480"/>
      <c r="AG222" s="477" t="s">
        <v>436</v>
      </c>
      <c r="AH222" s="477"/>
      <c r="AI222" s="477"/>
      <c r="AJ222" s="477"/>
      <c r="AK222" s="477"/>
      <c r="AL222" s="477"/>
      <c r="AM222" s="477"/>
      <c r="AN222" s="477"/>
      <c r="AO222" s="9"/>
      <c r="AP222" s="9"/>
      <c r="AQ222" s="491">
        <f t="shared" si="1"/>
        <v>78</v>
      </c>
      <c r="AR222" s="491"/>
      <c r="AS222" s="478" t="s">
        <v>484</v>
      </c>
      <c r="AT222" s="479"/>
      <c r="AU222" s="479"/>
      <c r="AV222" s="479"/>
      <c r="AW222" s="479"/>
      <c r="AX222" s="479"/>
      <c r="AY222" s="479"/>
      <c r="AZ222" s="479"/>
      <c r="BA222" s="479"/>
      <c r="BB222" s="479"/>
      <c r="BC222" s="479"/>
      <c r="BD222" s="479"/>
      <c r="BE222" s="479"/>
      <c r="BF222" s="479"/>
      <c r="BG222" s="479"/>
      <c r="BH222" s="479"/>
      <c r="BI222" s="479"/>
      <c r="BJ222" s="479"/>
      <c r="BK222" s="479"/>
      <c r="BL222" s="479"/>
      <c r="BM222" s="479"/>
      <c r="BN222" s="479"/>
      <c r="BO222" s="479"/>
      <c r="BP222" s="479"/>
      <c r="BQ222" s="479"/>
      <c r="BR222" s="480"/>
      <c r="BS222" s="477" t="s">
        <v>439</v>
      </c>
      <c r="BT222" s="477"/>
      <c r="BU222" s="477"/>
      <c r="BV222" s="477"/>
      <c r="BW222" s="477"/>
      <c r="BX222" s="477"/>
      <c r="BY222" s="477"/>
      <c r="BZ222" s="477"/>
      <c r="CA222" s="9"/>
      <c r="CB222" s="9"/>
      <c r="CC222" s="9"/>
      <c r="CD222" s="9"/>
      <c r="CE222" s="9"/>
      <c r="CF222" s="9"/>
      <c r="CG222" s="9"/>
      <c r="CH222" s="9"/>
      <c r="CI222" s="9"/>
      <c r="CJ222" s="9"/>
      <c r="CK222" s="9"/>
      <c r="CL222" s="9"/>
      <c r="CM222" s="9"/>
      <c r="CN222" s="9"/>
      <c r="CO222" s="9"/>
      <c r="CP222" s="16"/>
    </row>
    <row r="223" spans="1:94" ht="15" customHeight="1" thickBot="1" x14ac:dyDescent="0.2">
      <c r="A223" s="19"/>
      <c r="B223" s="20"/>
      <c r="C223" s="20"/>
      <c r="D223" s="20"/>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1"/>
    </row>
    <row r="224" spans="1:94" ht="15" customHeight="1" x14ac:dyDescent="0.15">
      <c r="A224" s="47"/>
      <c r="B224" s="48"/>
      <c r="C224" s="48"/>
      <c r="D224" s="48"/>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48"/>
      <c r="BW224" s="48"/>
      <c r="BX224" s="48"/>
      <c r="BY224" s="48"/>
      <c r="BZ224" s="48"/>
      <c r="CA224" s="48"/>
      <c r="CB224" s="48"/>
      <c r="CC224" s="48"/>
      <c r="CD224" s="48"/>
      <c r="CE224" s="48"/>
      <c r="CF224" s="48"/>
      <c r="CG224" s="48"/>
      <c r="CH224" s="48"/>
      <c r="CI224" s="48"/>
      <c r="CJ224" s="48"/>
      <c r="CK224" s="48"/>
      <c r="CL224" s="48"/>
      <c r="CM224" s="48"/>
      <c r="CN224" s="48"/>
      <c r="CO224" s="48"/>
      <c r="CP224" s="49"/>
    </row>
    <row r="225" spans="1:94" ht="15" customHeight="1" x14ac:dyDescent="0.15">
      <c r="A225" s="15"/>
      <c r="B225" s="9"/>
      <c r="C225" s="9"/>
      <c r="D225" s="9"/>
      <c r="E225" s="545"/>
      <c r="F225" s="545"/>
      <c r="G225" s="545" t="s">
        <v>81</v>
      </c>
      <c r="H225" s="545"/>
      <c r="I225" s="545"/>
      <c r="J225" s="545"/>
      <c r="K225" s="545"/>
      <c r="L225" s="545"/>
      <c r="M225" s="545"/>
      <c r="N225" s="545"/>
      <c r="O225" s="545"/>
      <c r="P225" s="545"/>
      <c r="Q225" s="545"/>
      <c r="R225" s="545"/>
      <c r="S225" s="545"/>
      <c r="T225" s="545"/>
      <c r="U225" s="545"/>
      <c r="V225" s="545"/>
      <c r="W225" s="545"/>
      <c r="X225" s="545"/>
      <c r="Y225" s="545"/>
      <c r="Z225" s="545"/>
      <c r="AA225" s="545"/>
      <c r="AB225" s="545"/>
      <c r="AC225" s="545"/>
      <c r="AD225" s="545"/>
      <c r="AE225" s="545"/>
      <c r="AF225" s="545"/>
      <c r="AG225" s="545" t="s">
        <v>117</v>
      </c>
      <c r="AH225" s="545"/>
      <c r="AI225" s="545"/>
      <c r="AJ225" s="545"/>
      <c r="AK225" s="545"/>
      <c r="AL225" s="545"/>
      <c r="AM225" s="545"/>
      <c r="AN225" s="545"/>
      <c r="AO225" s="9"/>
      <c r="AP225" s="9"/>
      <c r="AQ225" s="545"/>
      <c r="AR225" s="545"/>
      <c r="AS225" s="545" t="s">
        <v>81</v>
      </c>
      <c r="AT225" s="545"/>
      <c r="AU225" s="545"/>
      <c r="AV225" s="545"/>
      <c r="AW225" s="545"/>
      <c r="AX225" s="545"/>
      <c r="AY225" s="545"/>
      <c r="AZ225" s="545"/>
      <c r="BA225" s="545"/>
      <c r="BB225" s="545"/>
      <c r="BC225" s="545"/>
      <c r="BD225" s="545"/>
      <c r="BE225" s="545"/>
      <c r="BF225" s="545"/>
      <c r="BG225" s="545"/>
      <c r="BH225" s="545"/>
      <c r="BI225" s="545"/>
      <c r="BJ225" s="545"/>
      <c r="BK225" s="545"/>
      <c r="BL225" s="545"/>
      <c r="BM225" s="545"/>
      <c r="BN225" s="545"/>
      <c r="BO225" s="545"/>
      <c r="BP225" s="545"/>
      <c r="BQ225" s="545"/>
      <c r="BR225" s="545"/>
      <c r="BS225" s="545" t="s">
        <v>117</v>
      </c>
      <c r="BT225" s="545"/>
      <c r="BU225" s="545"/>
      <c r="BV225" s="545"/>
      <c r="BW225" s="545"/>
      <c r="BX225" s="545"/>
      <c r="BY225" s="545"/>
      <c r="BZ225" s="545"/>
      <c r="CA225" s="9"/>
      <c r="CB225" s="9"/>
      <c r="CC225" s="9"/>
      <c r="CD225" s="9"/>
      <c r="CE225" s="9"/>
      <c r="CF225" s="9"/>
      <c r="CG225" s="9"/>
      <c r="CH225" s="9"/>
      <c r="CI225" s="9"/>
      <c r="CJ225" s="9"/>
      <c r="CK225" s="9"/>
      <c r="CL225" s="9"/>
      <c r="CM225" s="9"/>
      <c r="CN225" s="9"/>
      <c r="CO225" s="9"/>
      <c r="CP225" s="16"/>
    </row>
    <row r="226" spans="1:94" ht="15" customHeight="1" thickBot="1" x14ac:dyDescent="0.2">
      <c r="A226" s="15"/>
      <c r="B226" s="9"/>
      <c r="C226" s="9"/>
      <c r="D226" s="9"/>
      <c r="E226" s="546"/>
      <c r="F226" s="546"/>
      <c r="G226" s="546"/>
      <c r="H226" s="546"/>
      <c r="I226" s="546"/>
      <c r="J226" s="546"/>
      <c r="K226" s="546"/>
      <c r="L226" s="546"/>
      <c r="M226" s="546"/>
      <c r="N226" s="546"/>
      <c r="O226" s="546"/>
      <c r="P226" s="546"/>
      <c r="Q226" s="546"/>
      <c r="R226" s="546"/>
      <c r="S226" s="546"/>
      <c r="T226" s="546"/>
      <c r="U226" s="546"/>
      <c r="V226" s="546"/>
      <c r="W226" s="546"/>
      <c r="X226" s="546"/>
      <c r="Y226" s="546"/>
      <c r="Z226" s="546"/>
      <c r="AA226" s="546"/>
      <c r="AB226" s="546"/>
      <c r="AC226" s="546"/>
      <c r="AD226" s="546"/>
      <c r="AE226" s="546"/>
      <c r="AF226" s="546"/>
      <c r="AG226" s="546"/>
      <c r="AH226" s="546"/>
      <c r="AI226" s="546"/>
      <c r="AJ226" s="546"/>
      <c r="AK226" s="546"/>
      <c r="AL226" s="546"/>
      <c r="AM226" s="546"/>
      <c r="AN226" s="546"/>
      <c r="AO226" s="9"/>
      <c r="AP226" s="9"/>
      <c r="AQ226" s="546"/>
      <c r="AR226" s="546"/>
      <c r="AS226" s="546"/>
      <c r="AT226" s="546"/>
      <c r="AU226" s="546"/>
      <c r="AV226" s="546"/>
      <c r="AW226" s="546"/>
      <c r="AX226" s="546"/>
      <c r="AY226" s="546"/>
      <c r="AZ226" s="546"/>
      <c r="BA226" s="546"/>
      <c r="BB226" s="546"/>
      <c r="BC226" s="546"/>
      <c r="BD226" s="546"/>
      <c r="BE226" s="546"/>
      <c r="BF226" s="546"/>
      <c r="BG226" s="546"/>
      <c r="BH226" s="546"/>
      <c r="BI226" s="546"/>
      <c r="BJ226" s="546"/>
      <c r="BK226" s="546"/>
      <c r="BL226" s="546"/>
      <c r="BM226" s="546"/>
      <c r="BN226" s="546"/>
      <c r="BO226" s="546"/>
      <c r="BP226" s="546"/>
      <c r="BQ226" s="546"/>
      <c r="BR226" s="546"/>
      <c r="BS226" s="546"/>
      <c r="BT226" s="546"/>
      <c r="BU226" s="546"/>
      <c r="BV226" s="546"/>
      <c r="BW226" s="546"/>
      <c r="BX226" s="546"/>
      <c r="BY226" s="546"/>
      <c r="BZ226" s="546"/>
      <c r="CA226" s="9"/>
      <c r="CB226" s="9"/>
      <c r="CC226" s="9"/>
      <c r="CD226" s="9"/>
      <c r="CE226" s="9"/>
      <c r="CF226" s="9"/>
      <c r="CG226" s="9"/>
      <c r="CH226" s="9"/>
      <c r="CI226" s="9"/>
      <c r="CJ226" s="9"/>
      <c r="CK226" s="9"/>
      <c r="CL226" s="9"/>
      <c r="CM226" s="9"/>
      <c r="CN226" s="9"/>
      <c r="CO226" s="9"/>
      <c r="CP226" s="16"/>
    </row>
    <row r="227" spans="1:94" ht="15" customHeight="1" thickTop="1" x14ac:dyDescent="0.15">
      <c r="A227" s="15"/>
      <c r="B227" s="9"/>
      <c r="C227" s="9"/>
      <c r="D227" s="9"/>
      <c r="E227" s="491">
        <f>AQ222+1</f>
        <v>79</v>
      </c>
      <c r="F227" s="491"/>
      <c r="G227" s="478" t="s">
        <v>513</v>
      </c>
      <c r="H227" s="479"/>
      <c r="I227" s="479"/>
      <c r="J227" s="479"/>
      <c r="K227" s="479"/>
      <c r="L227" s="479"/>
      <c r="M227" s="479"/>
      <c r="N227" s="479"/>
      <c r="O227" s="479"/>
      <c r="P227" s="479"/>
      <c r="Q227" s="479"/>
      <c r="R227" s="479"/>
      <c r="S227" s="479"/>
      <c r="T227" s="479"/>
      <c r="U227" s="479"/>
      <c r="V227" s="479"/>
      <c r="W227" s="479"/>
      <c r="X227" s="479"/>
      <c r="Y227" s="479"/>
      <c r="Z227" s="479"/>
      <c r="AA227" s="479"/>
      <c r="AB227" s="479"/>
      <c r="AC227" s="479"/>
      <c r="AD227" s="479"/>
      <c r="AE227" s="479"/>
      <c r="AF227" s="480"/>
      <c r="AG227" s="477" t="s">
        <v>1268</v>
      </c>
      <c r="AH227" s="477"/>
      <c r="AI227" s="477"/>
      <c r="AJ227" s="477"/>
      <c r="AK227" s="477"/>
      <c r="AL227" s="477"/>
      <c r="AM227" s="477"/>
      <c r="AN227" s="477"/>
      <c r="AO227" s="9"/>
      <c r="AP227" s="9"/>
      <c r="AQ227" s="491">
        <f>E265+1</f>
        <v>118</v>
      </c>
      <c r="AR227" s="491"/>
      <c r="AS227" s="478" t="s">
        <v>539</v>
      </c>
      <c r="AT227" s="479"/>
      <c r="AU227" s="479"/>
      <c r="AV227" s="479"/>
      <c r="AW227" s="479"/>
      <c r="AX227" s="479"/>
      <c r="AY227" s="479"/>
      <c r="AZ227" s="479"/>
      <c r="BA227" s="479"/>
      <c r="BB227" s="479"/>
      <c r="BC227" s="479"/>
      <c r="BD227" s="479"/>
      <c r="BE227" s="479"/>
      <c r="BF227" s="479"/>
      <c r="BG227" s="479"/>
      <c r="BH227" s="479"/>
      <c r="BI227" s="479"/>
      <c r="BJ227" s="479"/>
      <c r="BK227" s="479"/>
      <c r="BL227" s="479"/>
      <c r="BM227" s="479"/>
      <c r="BN227" s="479"/>
      <c r="BO227" s="479"/>
      <c r="BP227" s="479"/>
      <c r="BQ227" s="479"/>
      <c r="BR227" s="480"/>
      <c r="BS227" s="477" t="s">
        <v>439</v>
      </c>
      <c r="BT227" s="477"/>
      <c r="BU227" s="477"/>
      <c r="BV227" s="477"/>
      <c r="BW227" s="477"/>
      <c r="BX227" s="477"/>
      <c r="BY227" s="477"/>
      <c r="BZ227" s="477"/>
      <c r="CA227" s="9"/>
      <c r="CB227" s="9"/>
      <c r="CC227" s="9"/>
      <c r="CD227" s="9"/>
      <c r="CE227" s="9"/>
      <c r="CF227" s="9"/>
      <c r="CG227" s="9"/>
      <c r="CH227" s="9"/>
      <c r="CI227" s="9"/>
      <c r="CJ227" s="9"/>
      <c r="CK227" s="9"/>
      <c r="CL227" s="9"/>
      <c r="CM227" s="9"/>
      <c r="CN227" s="9"/>
      <c r="CO227" s="9"/>
      <c r="CP227" s="16"/>
    </row>
    <row r="228" spans="1:94" ht="15" customHeight="1" x14ac:dyDescent="0.15">
      <c r="A228" s="15"/>
      <c r="B228" s="9"/>
      <c r="C228" s="9"/>
      <c r="D228" s="9"/>
      <c r="E228" s="491">
        <f t="shared" ref="E228:E265" si="2">E227+1</f>
        <v>80</v>
      </c>
      <c r="F228" s="491"/>
      <c r="G228" s="478" t="s">
        <v>1277</v>
      </c>
      <c r="H228" s="479"/>
      <c r="I228" s="479"/>
      <c r="J228" s="479"/>
      <c r="K228" s="479"/>
      <c r="L228" s="479"/>
      <c r="M228" s="479"/>
      <c r="N228" s="479"/>
      <c r="O228" s="479"/>
      <c r="P228" s="479"/>
      <c r="Q228" s="479"/>
      <c r="R228" s="479"/>
      <c r="S228" s="479"/>
      <c r="T228" s="479"/>
      <c r="U228" s="479"/>
      <c r="V228" s="479"/>
      <c r="W228" s="479"/>
      <c r="X228" s="479"/>
      <c r="Y228" s="479"/>
      <c r="Z228" s="479"/>
      <c r="AA228" s="479"/>
      <c r="AB228" s="479"/>
      <c r="AC228" s="479"/>
      <c r="AD228" s="479"/>
      <c r="AE228" s="479"/>
      <c r="AF228" s="480"/>
      <c r="AG228" s="477" t="s">
        <v>436</v>
      </c>
      <c r="AH228" s="477"/>
      <c r="AI228" s="477"/>
      <c r="AJ228" s="477"/>
      <c r="AK228" s="477"/>
      <c r="AL228" s="477"/>
      <c r="AM228" s="477"/>
      <c r="AN228" s="477"/>
      <c r="AO228" s="9"/>
      <c r="AP228" s="9"/>
      <c r="AQ228" s="491">
        <f>AQ227+1</f>
        <v>119</v>
      </c>
      <c r="AR228" s="491"/>
      <c r="AS228" s="478" t="s">
        <v>515</v>
      </c>
      <c r="AT228" s="479"/>
      <c r="AU228" s="479"/>
      <c r="AV228" s="479"/>
      <c r="AW228" s="479"/>
      <c r="AX228" s="479"/>
      <c r="AY228" s="479"/>
      <c r="AZ228" s="479"/>
      <c r="BA228" s="479"/>
      <c r="BB228" s="479"/>
      <c r="BC228" s="479"/>
      <c r="BD228" s="479"/>
      <c r="BE228" s="479"/>
      <c r="BF228" s="479"/>
      <c r="BG228" s="479"/>
      <c r="BH228" s="479"/>
      <c r="BI228" s="479"/>
      <c r="BJ228" s="479"/>
      <c r="BK228" s="479"/>
      <c r="BL228" s="479"/>
      <c r="BM228" s="479"/>
      <c r="BN228" s="479"/>
      <c r="BO228" s="479"/>
      <c r="BP228" s="479"/>
      <c r="BQ228" s="479"/>
      <c r="BR228" s="480"/>
      <c r="BS228" s="477" t="s">
        <v>436</v>
      </c>
      <c r="BT228" s="477"/>
      <c r="BU228" s="477"/>
      <c r="BV228" s="477"/>
      <c r="BW228" s="477"/>
      <c r="BX228" s="477"/>
      <c r="BY228" s="477"/>
      <c r="BZ228" s="477"/>
      <c r="CA228" s="9"/>
      <c r="CB228" s="9"/>
      <c r="CC228" s="9"/>
      <c r="CD228" s="9"/>
      <c r="CE228" s="9"/>
      <c r="CF228" s="9"/>
      <c r="CG228" s="9"/>
      <c r="CH228" s="9"/>
      <c r="CI228" s="9"/>
      <c r="CJ228" s="9"/>
      <c r="CK228" s="9"/>
      <c r="CL228" s="9"/>
      <c r="CM228" s="9"/>
      <c r="CN228" s="9"/>
      <c r="CO228" s="9"/>
      <c r="CP228" s="16"/>
    </row>
    <row r="229" spans="1:94" ht="15" customHeight="1" x14ac:dyDescent="0.15">
      <c r="A229" s="15"/>
      <c r="B229" s="9"/>
      <c r="C229" s="9"/>
      <c r="D229" s="9"/>
      <c r="E229" s="491">
        <f t="shared" si="2"/>
        <v>81</v>
      </c>
      <c r="F229" s="491"/>
      <c r="G229" s="478" t="s">
        <v>486</v>
      </c>
      <c r="H229" s="479"/>
      <c r="I229" s="479"/>
      <c r="J229" s="479"/>
      <c r="K229" s="479"/>
      <c r="L229" s="479"/>
      <c r="M229" s="479"/>
      <c r="N229" s="479"/>
      <c r="O229" s="479"/>
      <c r="P229" s="479"/>
      <c r="Q229" s="479"/>
      <c r="R229" s="479"/>
      <c r="S229" s="479"/>
      <c r="T229" s="479"/>
      <c r="U229" s="479"/>
      <c r="V229" s="479"/>
      <c r="W229" s="479"/>
      <c r="X229" s="479"/>
      <c r="Y229" s="479"/>
      <c r="Z229" s="479"/>
      <c r="AA229" s="479"/>
      <c r="AB229" s="479"/>
      <c r="AC229" s="479"/>
      <c r="AD229" s="479"/>
      <c r="AE229" s="479"/>
      <c r="AF229" s="480"/>
      <c r="AG229" s="477" t="s">
        <v>1268</v>
      </c>
      <c r="AH229" s="477"/>
      <c r="AI229" s="477"/>
      <c r="AJ229" s="477"/>
      <c r="AK229" s="477"/>
      <c r="AL229" s="477"/>
      <c r="AM229" s="477"/>
      <c r="AN229" s="477"/>
      <c r="AO229" s="9"/>
      <c r="AP229" s="9"/>
      <c r="AQ229" s="491">
        <f>AQ228+1</f>
        <v>120</v>
      </c>
      <c r="AR229" s="491"/>
      <c r="AS229" s="478" t="s">
        <v>1243</v>
      </c>
      <c r="AT229" s="479"/>
      <c r="AU229" s="479"/>
      <c r="AV229" s="479"/>
      <c r="AW229" s="479"/>
      <c r="AX229" s="479"/>
      <c r="AY229" s="479"/>
      <c r="AZ229" s="479"/>
      <c r="BA229" s="479"/>
      <c r="BB229" s="479"/>
      <c r="BC229" s="479"/>
      <c r="BD229" s="479"/>
      <c r="BE229" s="479"/>
      <c r="BF229" s="479"/>
      <c r="BG229" s="479"/>
      <c r="BH229" s="479"/>
      <c r="BI229" s="479"/>
      <c r="BJ229" s="479"/>
      <c r="BK229" s="479"/>
      <c r="BL229" s="479"/>
      <c r="BM229" s="479"/>
      <c r="BN229" s="479"/>
      <c r="BO229" s="479"/>
      <c r="BP229" s="479"/>
      <c r="BQ229" s="479"/>
      <c r="BR229" s="480"/>
      <c r="BS229" s="477" t="s">
        <v>1268</v>
      </c>
      <c r="BT229" s="477"/>
      <c r="BU229" s="477"/>
      <c r="BV229" s="477"/>
      <c r="BW229" s="477"/>
      <c r="BX229" s="477"/>
      <c r="BY229" s="477"/>
      <c r="BZ229" s="477"/>
      <c r="CA229" s="9"/>
      <c r="CB229" s="9"/>
      <c r="CC229" s="9"/>
      <c r="CD229" s="9"/>
      <c r="CE229" s="9"/>
      <c r="CF229" s="9"/>
      <c r="CG229" s="9"/>
      <c r="CH229" s="9"/>
      <c r="CI229" s="9"/>
      <c r="CJ229" s="9"/>
      <c r="CK229" s="9"/>
      <c r="CL229" s="9"/>
      <c r="CM229" s="9"/>
      <c r="CN229" s="9"/>
      <c r="CO229" s="9"/>
      <c r="CP229" s="16"/>
    </row>
    <row r="230" spans="1:94" ht="15" customHeight="1" x14ac:dyDescent="0.15">
      <c r="A230" s="15"/>
      <c r="B230" s="9"/>
      <c r="C230" s="9"/>
      <c r="D230" s="9"/>
      <c r="E230" s="491">
        <f t="shared" si="2"/>
        <v>82</v>
      </c>
      <c r="F230" s="491"/>
      <c r="G230" s="478" t="s">
        <v>491</v>
      </c>
      <c r="H230" s="479"/>
      <c r="I230" s="479"/>
      <c r="J230" s="479"/>
      <c r="K230" s="479"/>
      <c r="L230" s="479"/>
      <c r="M230" s="479"/>
      <c r="N230" s="479"/>
      <c r="O230" s="479"/>
      <c r="P230" s="479"/>
      <c r="Q230" s="479"/>
      <c r="R230" s="479"/>
      <c r="S230" s="479"/>
      <c r="T230" s="479"/>
      <c r="U230" s="479"/>
      <c r="V230" s="479"/>
      <c r="W230" s="479"/>
      <c r="X230" s="479"/>
      <c r="Y230" s="479"/>
      <c r="Z230" s="479"/>
      <c r="AA230" s="479"/>
      <c r="AB230" s="479"/>
      <c r="AC230" s="479"/>
      <c r="AD230" s="479"/>
      <c r="AE230" s="479"/>
      <c r="AF230" s="480"/>
      <c r="AG230" s="477" t="s">
        <v>445</v>
      </c>
      <c r="AH230" s="477"/>
      <c r="AI230" s="477"/>
      <c r="AJ230" s="477"/>
      <c r="AK230" s="477"/>
      <c r="AL230" s="477"/>
      <c r="AM230" s="477"/>
      <c r="AN230" s="477"/>
      <c r="AO230" s="9"/>
      <c r="AP230" s="9"/>
      <c r="AQ230" s="491">
        <f>AQ229+1</f>
        <v>121</v>
      </c>
      <c r="AR230" s="491"/>
      <c r="AS230" s="478" t="s">
        <v>1244</v>
      </c>
      <c r="AT230" s="479"/>
      <c r="AU230" s="479"/>
      <c r="AV230" s="479"/>
      <c r="AW230" s="479"/>
      <c r="AX230" s="479"/>
      <c r="AY230" s="479"/>
      <c r="AZ230" s="479"/>
      <c r="BA230" s="479"/>
      <c r="BB230" s="479"/>
      <c r="BC230" s="479"/>
      <c r="BD230" s="479"/>
      <c r="BE230" s="479"/>
      <c r="BF230" s="479"/>
      <c r="BG230" s="479"/>
      <c r="BH230" s="479"/>
      <c r="BI230" s="479"/>
      <c r="BJ230" s="479"/>
      <c r="BK230" s="479"/>
      <c r="BL230" s="479"/>
      <c r="BM230" s="479"/>
      <c r="BN230" s="479"/>
      <c r="BO230" s="479"/>
      <c r="BP230" s="479"/>
      <c r="BQ230" s="479"/>
      <c r="BR230" s="480"/>
      <c r="BS230" s="477" t="s">
        <v>436</v>
      </c>
      <c r="BT230" s="477"/>
      <c r="BU230" s="477"/>
      <c r="BV230" s="477"/>
      <c r="BW230" s="477"/>
      <c r="BX230" s="477"/>
      <c r="BY230" s="477"/>
      <c r="BZ230" s="477"/>
      <c r="CA230" s="9"/>
      <c r="CB230" s="9"/>
      <c r="CC230" s="9"/>
      <c r="CD230" s="9"/>
      <c r="CE230" s="9"/>
      <c r="CF230" s="9"/>
      <c r="CG230" s="9"/>
      <c r="CH230" s="9"/>
      <c r="CI230" s="9"/>
      <c r="CJ230" s="9"/>
      <c r="CK230" s="9"/>
      <c r="CL230" s="9"/>
      <c r="CM230" s="9"/>
      <c r="CN230" s="9"/>
      <c r="CO230" s="9"/>
      <c r="CP230" s="16"/>
    </row>
    <row r="231" spans="1:94" ht="15" customHeight="1" x14ac:dyDescent="0.15">
      <c r="A231" s="15"/>
      <c r="B231" s="9"/>
      <c r="C231" s="9"/>
      <c r="D231" s="9"/>
      <c r="E231" s="491">
        <f t="shared" si="2"/>
        <v>83</v>
      </c>
      <c r="F231" s="491"/>
      <c r="G231" s="478" t="s">
        <v>493</v>
      </c>
      <c r="H231" s="479"/>
      <c r="I231" s="479"/>
      <c r="J231" s="479"/>
      <c r="K231" s="479"/>
      <c r="L231" s="479"/>
      <c r="M231" s="479"/>
      <c r="N231" s="479"/>
      <c r="O231" s="479"/>
      <c r="P231" s="479"/>
      <c r="Q231" s="479"/>
      <c r="R231" s="479"/>
      <c r="S231" s="479"/>
      <c r="T231" s="479"/>
      <c r="U231" s="479"/>
      <c r="V231" s="479"/>
      <c r="W231" s="479"/>
      <c r="X231" s="479"/>
      <c r="Y231" s="479"/>
      <c r="Z231" s="479"/>
      <c r="AA231" s="479"/>
      <c r="AB231" s="479"/>
      <c r="AC231" s="479"/>
      <c r="AD231" s="479"/>
      <c r="AE231" s="479"/>
      <c r="AF231" s="480"/>
      <c r="AG231" s="477" t="s">
        <v>439</v>
      </c>
      <c r="AH231" s="477"/>
      <c r="AI231" s="477"/>
      <c r="AJ231" s="477"/>
      <c r="AK231" s="477"/>
      <c r="AL231" s="477"/>
      <c r="AM231" s="477"/>
      <c r="AN231" s="477"/>
      <c r="AO231" s="9"/>
      <c r="AP231" s="9"/>
      <c r="AQ231" s="491">
        <f t="shared" ref="AQ231:AQ265" si="3">AQ230+1</f>
        <v>122</v>
      </c>
      <c r="AR231" s="491"/>
      <c r="AS231" s="478" t="s">
        <v>509</v>
      </c>
      <c r="AT231" s="479"/>
      <c r="AU231" s="479"/>
      <c r="AV231" s="479"/>
      <c r="AW231" s="479"/>
      <c r="AX231" s="479"/>
      <c r="AY231" s="479"/>
      <c r="AZ231" s="479"/>
      <c r="BA231" s="479"/>
      <c r="BB231" s="479"/>
      <c r="BC231" s="479"/>
      <c r="BD231" s="479"/>
      <c r="BE231" s="479"/>
      <c r="BF231" s="479"/>
      <c r="BG231" s="479"/>
      <c r="BH231" s="479"/>
      <c r="BI231" s="479"/>
      <c r="BJ231" s="479"/>
      <c r="BK231" s="479"/>
      <c r="BL231" s="479"/>
      <c r="BM231" s="479"/>
      <c r="BN231" s="479"/>
      <c r="BO231" s="479"/>
      <c r="BP231" s="479"/>
      <c r="BQ231" s="479"/>
      <c r="BR231" s="480"/>
      <c r="BS231" s="477" t="s">
        <v>1272</v>
      </c>
      <c r="BT231" s="477"/>
      <c r="BU231" s="477"/>
      <c r="BV231" s="477"/>
      <c r="BW231" s="477"/>
      <c r="BX231" s="477"/>
      <c r="BY231" s="477"/>
      <c r="BZ231" s="477"/>
      <c r="CA231" s="9"/>
      <c r="CB231" s="9"/>
      <c r="CC231" s="9"/>
      <c r="CD231" s="9"/>
      <c r="CE231" s="9"/>
      <c r="CF231" s="9"/>
      <c r="CG231" s="9"/>
      <c r="CH231" s="9"/>
      <c r="CI231" s="9"/>
      <c r="CJ231" s="9"/>
      <c r="CK231" s="9"/>
      <c r="CL231" s="9"/>
      <c r="CM231" s="9"/>
      <c r="CN231" s="9"/>
      <c r="CO231" s="9"/>
      <c r="CP231" s="16"/>
    </row>
    <row r="232" spans="1:94" ht="15" customHeight="1" x14ac:dyDescent="0.15">
      <c r="A232" s="15"/>
      <c r="B232" s="9"/>
      <c r="C232" s="9"/>
      <c r="D232" s="9"/>
      <c r="E232" s="491">
        <f t="shared" si="2"/>
        <v>84</v>
      </c>
      <c r="F232" s="491"/>
      <c r="G232" s="478" t="s">
        <v>1236</v>
      </c>
      <c r="H232" s="479"/>
      <c r="I232" s="479"/>
      <c r="J232" s="479"/>
      <c r="K232" s="479"/>
      <c r="L232" s="479"/>
      <c r="M232" s="479"/>
      <c r="N232" s="479"/>
      <c r="O232" s="479"/>
      <c r="P232" s="479"/>
      <c r="Q232" s="479"/>
      <c r="R232" s="479"/>
      <c r="S232" s="479"/>
      <c r="T232" s="479"/>
      <c r="U232" s="479"/>
      <c r="V232" s="479"/>
      <c r="W232" s="479"/>
      <c r="X232" s="479"/>
      <c r="Y232" s="479"/>
      <c r="Z232" s="479"/>
      <c r="AA232" s="479"/>
      <c r="AB232" s="479"/>
      <c r="AC232" s="479"/>
      <c r="AD232" s="479"/>
      <c r="AE232" s="479"/>
      <c r="AF232" s="480"/>
      <c r="AG232" s="477" t="s">
        <v>436</v>
      </c>
      <c r="AH232" s="477"/>
      <c r="AI232" s="477"/>
      <c r="AJ232" s="477"/>
      <c r="AK232" s="477"/>
      <c r="AL232" s="477"/>
      <c r="AM232" s="477"/>
      <c r="AN232" s="477"/>
      <c r="AO232" s="9"/>
      <c r="AP232" s="9"/>
      <c r="AQ232" s="491">
        <f t="shared" si="3"/>
        <v>123</v>
      </c>
      <c r="AR232" s="491"/>
      <c r="AS232" s="478" t="s">
        <v>517</v>
      </c>
      <c r="AT232" s="479"/>
      <c r="AU232" s="479"/>
      <c r="AV232" s="479"/>
      <c r="AW232" s="479"/>
      <c r="AX232" s="479"/>
      <c r="AY232" s="479"/>
      <c r="AZ232" s="479"/>
      <c r="BA232" s="479"/>
      <c r="BB232" s="479"/>
      <c r="BC232" s="479"/>
      <c r="BD232" s="479"/>
      <c r="BE232" s="479"/>
      <c r="BF232" s="479"/>
      <c r="BG232" s="479"/>
      <c r="BH232" s="479"/>
      <c r="BI232" s="479"/>
      <c r="BJ232" s="479"/>
      <c r="BK232" s="479"/>
      <c r="BL232" s="479"/>
      <c r="BM232" s="479"/>
      <c r="BN232" s="479"/>
      <c r="BO232" s="479"/>
      <c r="BP232" s="479"/>
      <c r="BQ232" s="479"/>
      <c r="BR232" s="480"/>
      <c r="BS232" s="477" t="s">
        <v>436</v>
      </c>
      <c r="BT232" s="477"/>
      <c r="BU232" s="477"/>
      <c r="BV232" s="477"/>
      <c r="BW232" s="477"/>
      <c r="BX232" s="477"/>
      <c r="BY232" s="477"/>
      <c r="BZ232" s="477"/>
      <c r="CA232" s="9"/>
      <c r="CB232" s="9"/>
      <c r="CC232" s="9"/>
      <c r="CD232" s="9"/>
      <c r="CE232" s="9"/>
      <c r="CF232" s="9"/>
      <c r="CG232" s="9"/>
      <c r="CH232" s="9"/>
      <c r="CI232" s="9"/>
      <c r="CJ232" s="9"/>
      <c r="CK232" s="9"/>
      <c r="CL232" s="9"/>
      <c r="CM232" s="9"/>
      <c r="CN232" s="9"/>
      <c r="CO232" s="9"/>
      <c r="CP232" s="16"/>
    </row>
    <row r="233" spans="1:94" ht="15" customHeight="1" x14ac:dyDescent="0.15">
      <c r="A233" s="15"/>
      <c r="B233" s="9"/>
      <c r="C233" s="9"/>
      <c r="D233" s="9"/>
      <c r="E233" s="491">
        <f t="shared" si="2"/>
        <v>85</v>
      </c>
      <c r="F233" s="491"/>
      <c r="G233" s="478" t="s">
        <v>1278</v>
      </c>
      <c r="H233" s="479"/>
      <c r="I233" s="479"/>
      <c r="J233" s="479"/>
      <c r="K233" s="479"/>
      <c r="L233" s="479"/>
      <c r="M233" s="479"/>
      <c r="N233" s="479"/>
      <c r="O233" s="479"/>
      <c r="P233" s="479"/>
      <c r="Q233" s="479"/>
      <c r="R233" s="479"/>
      <c r="S233" s="479"/>
      <c r="T233" s="479"/>
      <c r="U233" s="479"/>
      <c r="V233" s="479"/>
      <c r="W233" s="479"/>
      <c r="X233" s="479"/>
      <c r="Y233" s="479"/>
      <c r="Z233" s="479"/>
      <c r="AA233" s="479"/>
      <c r="AB233" s="479"/>
      <c r="AC233" s="479"/>
      <c r="AD233" s="479"/>
      <c r="AE233" s="479"/>
      <c r="AF233" s="480"/>
      <c r="AG233" s="477" t="s">
        <v>436</v>
      </c>
      <c r="AH233" s="477"/>
      <c r="AI233" s="477"/>
      <c r="AJ233" s="477"/>
      <c r="AK233" s="477"/>
      <c r="AL233" s="477"/>
      <c r="AM233" s="477"/>
      <c r="AN233" s="477"/>
      <c r="AO233" s="9"/>
      <c r="AP233" s="9"/>
      <c r="AQ233" s="491">
        <f t="shared" si="3"/>
        <v>124</v>
      </c>
      <c r="AR233" s="491"/>
      <c r="AS233" s="478" t="s">
        <v>518</v>
      </c>
      <c r="AT233" s="479"/>
      <c r="AU233" s="479"/>
      <c r="AV233" s="479"/>
      <c r="AW233" s="479"/>
      <c r="AX233" s="479"/>
      <c r="AY233" s="479"/>
      <c r="AZ233" s="479"/>
      <c r="BA233" s="479"/>
      <c r="BB233" s="479"/>
      <c r="BC233" s="479"/>
      <c r="BD233" s="479"/>
      <c r="BE233" s="479"/>
      <c r="BF233" s="479"/>
      <c r="BG233" s="479"/>
      <c r="BH233" s="479"/>
      <c r="BI233" s="479"/>
      <c r="BJ233" s="479"/>
      <c r="BK233" s="479"/>
      <c r="BL233" s="479"/>
      <c r="BM233" s="479"/>
      <c r="BN233" s="479"/>
      <c r="BO233" s="479"/>
      <c r="BP233" s="479"/>
      <c r="BQ233" s="479"/>
      <c r="BR233" s="480"/>
      <c r="BS233" s="477" t="s">
        <v>436</v>
      </c>
      <c r="BT233" s="477"/>
      <c r="BU233" s="477"/>
      <c r="BV233" s="477"/>
      <c r="BW233" s="477"/>
      <c r="BX233" s="477"/>
      <c r="BY233" s="477"/>
      <c r="BZ233" s="477"/>
      <c r="CA233" s="9"/>
      <c r="CB233" s="9"/>
      <c r="CC233" s="9"/>
      <c r="CD233" s="9"/>
      <c r="CE233" s="9"/>
      <c r="CF233" s="9"/>
      <c r="CG233" s="9"/>
      <c r="CH233" s="9"/>
      <c r="CI233" s="9"/>
      <c r="CJ233" s="9"/>
      <c r="CK233" s="9"/>
      <c r="CL233" s="9"/>
      <c r="CM233" s="9"/>
      <c r="CN233" s="9"/>
      <c r="CO233" s="9"/>
      <c r="CP233" s="16"/>
    </row>
    <row r="234" spans="1:94" ht="15" customHeight="1" x14ac:dyDescent="0.15">
      <c r="A234" s="15"/>
      <c r="B234" s="9"/>
      <c r="C234" s="9"/>
      <c r="D234" s="9"/>
      <c r="E234" s="491">
        <f t="shared" si="2"/>
        <v>86</v>
      </c>
      <c r="F234" s="491"/>
      <c r="G234" s="478" t="s">
        <v>586</v>
      </c>
      <c r="H234" s="479"/>
      <c r="I234" s="479"/>
      <c r="J234" s="479"/>
      <c r="K234" s="479"/>
      <c r="L234" s="479"/>
      <c r="M234" s="479"/>
      <c r="N234" s="479"/>
      <c r="O234" s="479"/>
      <c r="P234" s="479"/>
      <c r="Q234" s="479"/>
      <c r="R234" s="479"/>
      <c r="S234" s="479"/>
      <c r="T234" s="479"/>
      <c r="U234" s="479"/>
      <c r="V234" s="479"/>
      <c r="W234" s="479"/>
      <c r="X234" s="479"/>
      <c r="Y234" s="479"/>
      <c r="Z234" s="479"/>
      <c r="AA234" s="479"/>
      <c r="AB234" s="479"/>
      <c r="AC234" s="479"/>
      <c r="AD234" s="479"/>
      <c r="AE234" s="479"/>
      <c r="AF234" s="480"/>
      <c r="AG234" s="477" t="s">
        <v>1268</v>
      </c>
      <c r="AH234" s="477"/>
      <c r="AI234" s="477"/>
      <c r="AJ234" s="477"/>
      <c r="AK234" s="477"/>
      <c r="AL234" s="477"/>
      <c r="AM234" s="477"/>
      <c r="AN234" s="477"/>
      <c r="AO234" s="9"/>
      <c r="AP234" s="9"/>
      <c r="AQ234" s="491">
        <f t="shared" si="3"/>
        <v>125</v>
      </c>
      <c r="AR234" s="491"/>
      <c r="AS234" s="478" t="s">
        <v>519</v>
      </c>
      <c r="AT234" s="479"/>
      <c r="AU234" s="479"/>
      <c r="AV234" s="479"/>
      <c r="AW234" s="479"/>
      <c r="AX234" s="479"/>
      <c r="AY234" s="479"/>
      <c r="AZ234" s="479"/>
      <c r="BA234" s="479"/>
      <c r="BB234" s="479"/>
      <c r="BC234" s="479"/>
      <c r="BD234" s="479"/>
      <c r="BE234" s="479"/>
      <c r="BF234" s="479"/>
      <c r="BG234" s="479"/>
      <c r="BH234" s="479"/>
      <c r="BI234" s="479"/>
      <c r="BJ234" s="479"/>
      <c r="BK234" s="479"/>
      <c r="BL234" s="479"/>
      <c r="BM234" s="479"/>
      <c r="BN234" s="479"/>
      <c r="BO234" s="479"/>
      <c r="BP234" s="479"/>
      <c r="BQ234" s="479"/>
      <c r="BR234" s="480"/>
      <c r="BS234" s="477" t="s">
        <v>439</v>
      </c>
      <c r="BT234" s="477"/>
      <c r="BU234" s="477"/>
      <c r="BV234" s="477"/>
      <c r="BW234" s="477"/>
      <c r="BX234" s="477"/>
      <c r="BY234" s="477"/>
      <c r="BZ234" s="477"/>
      <c r="CA234" s="9"/>
      <c r="CB234" s="9"/>
      <c r="CC234" s="9"/>
      <c r="CD234" s="9"/>
      <c r="CE234" s="9"/>
      <c r="CF234" s="9"/>
      <c r="CG234" s="9"/>
      <c r="CH234" s="9"/>
      <c r="CI234" s="9"/>
      <c r="CJ234" s="9"/>
      <c r="CK234" s="9"/>
      <c r="CL234" s="9"/>
      <c r="CM234" s="9"/>
      <c r="CN234" s="9"/>
      <c r="CO234" s="9"/>
      <c r="CP234" s="16"/>
    </row>
    <row r="235" spans="1:94" ht="15" customHeight="1" x14ac:dyDescent="0.15">
      <c r="A235" s="15"/>
      <c r="B235" s="9"/>
      <c r="C235" s="9"/>
      <c r="D235" s="9"/>
      <c r="E235" s="491">
        <f t="shared" si="2"/>
        <v>87</v>
      </c>
      <c r="F235" s="491"/>
      <c r="G235" s="478" t="s">
        <v>444</v>
      </c>
      <c r="H235" s="479"/>
      <c r="I235" s="479"/>
      <c r="J235" s="479"/>
      <c r="K235" s="479"/>
      <c r="L235" s="479"/>
      <c r="M235" s="479"/>
      <c r="N235" s="479"/>
      <c r="O235" s="479"/>
      <c r="P235" s="479"/>
      <c r="Q235" s="479"/>
      <c r="R235" s="479"/>
      <c r="S235" s="479"/>
      <c r="T235" s="479"/>
      <c r="U235" s="479"/>
      <c r="V235" s="479"/>
      <c r="W235" s="479"/>
      <c r="X235" s="479"/>
      <c r="Y235" s="479"/>
      <c r="Z235" s="479"/>
      <c r="AA235" s="479"/>
      <c r="AB235" s="479"/>
      <c r="AC235" s="479"/>
      <c r="AD235" s="479"/>
      <c r="AE235" s="479"/>
      <c r="AF235" s="480"/>
      <c r="AG235" s="477" t="s">
        <v>445</v>
      </c>
      <c r="AH235" s="477"/>
      <c r="AI235" s="477"/>
      <c r="AJ235" s="477"/>
      <c r="AK235" s="477"/>
      <c r="AL235" s="477"/>
      <c r="AM235" s="477"/>
      <c r="AN235" s="477"/>
      <c r="AO235" s="9"/>
      <c r="AP235" s="9"/>
      <c r="AQ235" s="491">
        <f t="shared" si="3"/>
        <v>126</v>
      </c>
      <c r="AR235" s="491"/>
      <c r="AS235" s="478" t="s">
        <v>536</v>
      </c>
      <c r="AT235" s="479"/>
      <c r="AU235" s="479"/>
      <c r="AV235" s="479"/>
      <c r="AW235" s="479"/>
      <c r="AX235" s="479"/>
      <c r="AY235" s="479"/>
      <c r="AZ235" s="479"/>
      <c r="BA235" s="479"/>
      <c r="BB235" s="479"/>
      <c r="BC235" s="479"/>
      <c r="BD235" s="479"/>
      <c r="BE235" s="479"/>
      <c r="BF235" s="479"/>
      <c r="BG235" s="479"/>
      <c r="BH235" s="479"/>
      <c r="BI235" s="479"/>
      <c r="BJ235" s="479"/>
      <c r="BK235" s="479"/>
      <c r="BL235" s="479"/>
      <c r="BM235" s="479"/>
      <c r="BN235" s="479"/>
      <c r="BO235" s="479"/>
      <c r="BP235" s="479"/>
      <c r="BQ235" s="479"/>
      <c r="BR235" s="480"/>
      <c r="BS235" s="477" t="s">
        <v>436</v>
      </c>
      <c r="BT235" s="477"/>
      <c r="BU235" s="477"/>
      <c r="BV235" s="477"/>
      <c r="BW235" s="477"/>
      <c r="BX235" s="477"/>
      <c r="BY235" s="477"/>
      <c r="BZ235" s="477"/>
      <c r="CA235" s="9"/>
      <c r="CB235" s="9"/>
      <c r="CC235" s="9"/>
      <c r="CD235" s="9"/>
      <c r="CE235" s="9"/>
      <c r="CF235" s="9"/>
      <c r="CG235" s="9"/>
      <c r="CH235" s="9"/>
      <c r="CI235" s="9"/>
      <c r="CJ235" s="9"/>
      <c r="CK235" s="9"/>
      <c r="CL235" s="9"/>
      <c r="CM235" s="9"/>
      <c r="CN235" s="9"/>
      <c r="CO235" s="9"/>
      <c r="CP235" s="16"/>
    </row>
    <row r="236" spans="1:94" ht="15" customHeight="1" x14ac:dyDescent="0.15">
      <c r="A236" s="15"/>
      <c r="B236" s="9"/>
      <c r="C236" s="9"/>
      <c r="D236" s="9"/>
      <c r="E236" s="491">
        <f t="shared" si="2"/>
        <v>88</v>
      </c>
      <c r="F236" s="491"/>
      <c r="G236" s="478" t="s">
        <v>1237</v>
      </c>
      <c r="H236" s="479"/>
      <c r="I236" s="479"/>
      <c r="J236" s="479"/>
      <c r="K236" s="479"/>
      <c r="L236" s="479"/>
      <c r="M236" s="479"/>
      <c r="N236" s="479"/>
      <c r="O236" s="479"/>
      <c r="P236" s="479"/>
      <c r="Q236" s="479"/>
      <c r="R236" s="479"/>
      <c r="S236" s="479"/>
      <c r="T236" s="479"/>
      <c r="U236" s="479"/>
      <c r="V236" s="479"/>
      <c r="W236" s="479"/>
      <c r="X236" s="479"/>
      <c r="Y236" s="479"/>
      <c r="Z236" s="479"/>
      <c r="AA236" s="479"/>
      <c r="AB236" s="479"/>
      <c r="AC236" s="479"/>
      <c r="AD236" s="479"/>
      <c r="AE236" s="479"/>
      <c r="AF236" s="480"/>
      <c r="AG236" s="477" t="s">
        <v>436</v>
      </c>
      <c r="AH236" s="477"/>
      <c r="AI236" s="477"/>
      <c r="AJ236" s="477"/>
      <c r="AK236" s="477"/>
      <c r="AL236" s="477"/>
      <c r="AM236" s="477"/>
      <c r="AN236" s="477"/>
      <c r="AO236" s="9"/>
      <c r="AP236" s="9"/>
      <c r="AQ236" s="491">
        <f t="shared" si="3"/>
        <v>127</v>
      </c>
      <c r="AR236" s="491"/>
      <c r="AS236" s="478" t="s">
        <v>550</v>
      </c>
      <c r="AT236" s="479"/>
      <c r="AU236" s="479"/>
      <c r="AV236" s="479"/>
      <c r="AW236" s="479"/>
      <c r="AX236" s="479"/>
      <c r="AY236" s="479"/>
      <c r="AZ236" s="479"/>
      <c r="BA236" s="479"/>
      <c r="BB236" s="479"/>
      <c r="BC236" s="479"/>
      <c r="BD236" s="479"/>
      <c r="BE236" s="479"/>
      <c r="BF236" s="479"/>
      <c r="BG236" s="479"/>
      <c r="BH236" s="479"/>
      <c r="BI236" s="479"/>
      <c r="BJ236" s="479"/>
      <c r="BK236" s="479"/>
      <c r="BL236" s="479"/>
      <c r="BM236" s="479"/>
      <c r="BN236" s="479"/>
      <c r="BO236" s="479"/>
      <c r="BP236" s="479"/>
      <c r="BQ236" s="479"/>
      <c r="BR236" s="480"/>
      <c r="BS236" s="477" t="s">
        <v>436</v>
      </c>
      <c r="BT236" s="477"/>
      <c r="BU236" s="477"/>
      <c r="BV236" s="477"/>
      <c r="BW236" s="477"/>
      <c r="BX236" s="477"/>
      <c r="BY236" s="477"/>
      <c r="BZ236" s="477"/>
      <c r="CA236" s="9"/>
      <c r="CB236" s="9"/>
      <c r="CC236" s="9"/>
      <c r="CD236" s="9"/>
      <c r="CE236" s="9"/>
      <c r="CF236" s="9"/>
      <c r="CG236" s="9"/>
      <c r="CH236" s="9"/>
      <c r="CI236" s="9"/>
      <c r="CJ236" s="9"/>
      <c r="CK236" s="9"/>
      <c r="CL236" s="9"/>
      <c r="CM236" s="9"/>
      <c r="CN236" s="9"/>
      <c r="CO236" s="9"/>
      <c r="CP236" s="16"/>
    </row>
    <row r="237" spans="1:94" ht="15" customHeight="1" x14ac:dyDescent="0.15">
      <c r="A237" s="15"/>
      <c r="B237" s="9"/>
      <c r="C237" s="9"/>
      <c r="D237" s="9"/>
      <c r="E237" s="491">
        <f t="shared" si="2"/>
        <v>89</v>
      </c>
      <c r="F237" s="491"/>
      <c r="G237" s="478" t="s">
        <v>1238</v>
      </c>
      <c r="H237" s="479"/>
      <c r="I237" s="479"/>
      <c r="J237" s="479"/>
      <c r="K237" s="479"/>
      <c r="L237" s="479"/>
      <c r="M237" s="479"/>
      <c r="N237" s="479"/>
      <c r="O237" s="479"/>
      <c r="P237" s="479"/>
      <c r="Q237" s="479"/>
      <c r="R237" s="479"/>
      <c r="S237" s="479"/>
      <c r="T237" s="479"/>
      <c r="U237" s="479"/>
      <c r="V237" s="479"/>
      <c r="W237" s="479"/>
      <c r="X237" s="479"/>
      <c r="Y237" s="479"/>
      <c r="Z237" s="479"/>
      <c r="AA237" s="479"/>
      <c r="AB237" s="479"/>
      <c r="AC237" s="479"/>
      <c r="AD237" s="479"/>
      <c r="AE237" s="479"/>
      <c r="AF237" s="480"/>
      <c r="AG237" s="477" t="s">
        <v>439</v>
      </c>
      <c r="AH237" s="477"/>
      <c r="AI237" s="477"/>
      <c r="AJ237" s="477"/>
      <c r="AK237" s="477"/>
      <c r="AL237" s="477"/>
      <c r="AM237" s="477"/>
      <c r="AN237" s="477"/>
      <c r="AO237" s="9"/>
      <c r="AP237" s="9"/>
      <c r="AQ237" s="491">
        <f t="shared" si="3"/>
        <v>128</v>
      </c>
      <c r="AR237" s="491"/>
      <c r="AS237" s="478" t="s">
        <v>560</v>
      </c>
      <c r="AT237" s="479"/>
      <c r="AU237" s="479"/>
      <c r="AV237" s="479"/>
      <c r="AW237" s="479"/>
      <c r="AX237" s="479"/>
      <c r="AY237" s="479"/>
      <c r="AZ237" s="479"/>
      <c r="BA237" s="479"/>
      <c r="BB237" s="479"/>
      <c r="BC237" s="479"/>
      <c r="BD237" s="479"/>
      <c r="BE237" s="479"/>
      <c r="BF237" s="479"/>
      <c r="BG237" s="479"/>
      <c r="BH237" s="479"/>
      <c r="BI237" s="479"/>
      <c r="BJ237" s="479"/>
      <c r="BK237" s="479"/>
      <c r="BL237" s="479"/>
      <c r="BM237" s="479"/>
      <c r="BN237" s="479"/>
      <c r="BO237" s="479"/>
      <c r="BP237" s="479"/>
      <c r="BQ237" s="479"/>
      <c r="BR237" s="480"/>
      <c r="BS237" s="477" t="s">
        <v>436</v>
      </c>
      <c r="BT237" s="477"/>
      <c r="BU237" s="477"/>
      <c r="BV237" s="477"/>
      <c r="BW237" s="477"/>
      <c r="BX237" s="477"/>
      <c r="BY237" s="477"/>
      <c r="BZ237" s="477"/>
      <c r="CA237" s="9"/>
      <c r="CB237" s="9"/>
      <c r="CC237" s="9"/>
      <c r="CD237" s="9"/>
      <c r="CE237" s="9"/>
      <c r="CF237" s="9"/>
      <c r="CG237" s="9"/>
      <c r="CH237" s="9"/>
      <c r="CI237" s="9"/>
      <c r="CJ237" s="9"/>
      <c r="CK237" s="9"/>
      <c r="CL237" s="9"/>
      <c r="CM237" s="9"/>
      <c r="CN237" s="9"/>
      <c r="CO237" s="9"/>
      <c r="CP237" s="16"/>
    </row>
    <row r="238" spans="1:94" ht="15" customHeight="1" x14ac:dyDescent="0.15">
      <c r="A238" s="15"/>
      <c r="B238" s="9"/>
      <c r="C238" s="9"/>
      <c r="D238" s="9"/>
      <c r="E238" s="491">
        <f t="shared" si="2"/>
        <v>90</v>
      </c>
      <c r="F238" s="491"/>
      <c r="G238" s="478" t="s">
        <v>1279</v>
      </c>
      <c r="H238" s="479"/>
      <c r="I238" s="479"/>
      <c r="J238" s="479"/>
      <c r="K238" s="479"/>
      <c r="L238" s="479"/>
      <c r="M238" s="479"/>
      <c r="N238" s="479"/>
      <c r="O238" s="479"/>
      <c r="P238" s="479"/>
      <c r="Q238" s="479"/>
      <c r="R238" s="479"/>
      <c r="S238" s="479"/>
      <c r="T238" s="479"/>
      <c r="U238" s="479"/>
      <c r="V238" s="479"/>
      <c r="W238" s="479"/>
      <c r="X238" s="479"/>
      <c r="Y238" s="479"/>
      <c r="Z238" s="479"/>
      <c r="AA238" s="479"/>
      <c r="AB238" s="479"/>
      <c r="AC238" s="479"/>
      <c r="AD238" s="479"/>
      <c r="AE238" s="479"/>
      <c r="AF238" s="480"/>
      <c r="AG238" s="477" t="s">
        <v>436</v>
      </c>
      <c r="AH238" s="477"/>
      <c r="AI238" s="477"/>
      <c r="AJ238" s="477"/>
      <c r="AK238" s="477"/>
      <c r="AL238" s="477"/>
      <c r="AM238" s="477"/>
      <c r="AN238" s="477"/>
      <c r="AO238" s="9"/>
      <c r="AP238" s="9"/>
      <c r="AQ238" s="491">
        <f t="shared" si="3"/>
        <v>129</v>
      </c>
      <c r="AR238" s="491"/>
      <c r="AS238" s="478" t="s">
        <v>1282</v>
      </c>
      <c r="AT238" s="479"/>
      <c r="AU238" s="479"/>
      <c r="AV238" s="479"/>
      <c r="AW238" s="479"/>
      <c r="AX238" s="479"/>
      <c r="AY238" s="479"/>
      <c r="AZ238" s="479"/>
      <c r="BA238" s="479"/>
      <c r="BB238" s="479"/>
      <c r="BC238" s="479"/>
      <c r="BD238" s="479"/>
      <c r="BE238" s="479"/>
      <c r="BF238" s="479"/>
      <c r="BG238" s="479"/>
      <c r="BH238" s="479"/>
      <c r="BI238" s="479"/>
      <c r="BJ238" s="479"/>
      <c r="BK238" s="479"/>
      <c r="BL238" s="479"/>
      <c r="BM238" s="479"/>
      <c r="BN238" s="479"/>
      <c r="BO238" s="479"/>
      <c r="BP238" s="479"/>
      <c r="BQ238" s="479"/>
      <c r="BR238" s="480"/>
      <c r="BS238" s="477" t="s">
        <v>436</v>
      </c>
      <c r="BT238" s="477"/>
      <c r="BU238" s="477"/>
      <c r="BV238" s="477"/>
      <c r="BW238" s="477"/>
      <c r="BX238" s="477"/>
      <c r="BY238" s="477"/>
      <c r="BZ238" s="477"/>
      <c r="CA238" s="9"/>
      <c r="CB238" s="9"/>
      <c r="CC238" s="9"/>
      <c r="CD238" s="9"/>
      <c r="CE238" s="9"/>
      <c r="CF238" s="9"/>
      <c r="CG238" s="9"/>
      <c r="CH238" s="9"/>
      <c r="CI238" s="9"/>
      <c r="CJ238" s="9"/>
      <c r="CK238" s="9"/>
      <c r="CL238" s="9"/>
      <c r="CM238" s="9"/>
      <c r="CN238" s="9"/>
      <c r="CO238" s="9"/>
      <c r="CP238" s="16"/>
    </row>
    <row r="239" spans="1:94" ht="15" customHeight="1" x14ac:dyDescent="0.15">
      <c r="A239" s="15"/>
      <c r="B239" s="9"/>
      <c r="C239" s="9"/>
      <c r="D239" s="9"/>
      <c r="E239" s="491">
        <f t="shared" si="2"/>
        <v>91</v>
      </c>
      <c r="F239" s="491"/>
      <c r="G239" s="478" t="s">
        <v>1280</v>
      </c>
      <c r="H239" s="479"/>
      <c r="I239" s="479"/>
      <c r="J239" s="479"/>
      <c r="K239" s="479"/>
      <c r="L239" s="479"/>
      <c r="M239" s="479"/>
      <c r="N239" s="479"/>
      <c r="O239" s="479"/>
      <c r="P239" s="479"/>
      <c r="Q239" s="479"/>
      <c r="R239" s="479"/>
      <c r="S239" s="479"/>
      <c r="T239" s="479"/>
      <c r="U239" s="479"/>
      <c r="V239" s="479"/>
      <c r="W239" s="479"/>
      <c r="X239" s="479"/>
      <c r="Y239" s="479"/>
      <c r="Z239" s="479"/>
      <c r="AA239" s="479"/>
      <c r="AB239" s="479"/>
      <c r="AC239" s="479"/>
      <c r="AD239" s="479"/>
      <c r="AE239" s="479"/>
      <c r="AF239" s="480"/>
      <c r="AG239" s="477" t="s">
        <v>1272</v>
      </c>
      <c r="AH239" s="477"/>
      <c r="AI239" s="477"/>
      <c r="AJ239" s="477"/>
      <c r="AK239" s="477"/>
      <c r="AL239" s="477"/>
      <c r="AM239" s="477"/>
      <c r="AN239" s="477"/>
      <c r="AO239" s="9"/>
      <c r="AP239" s="9"/>
      <c r="AQ239" s="491">
        <f t="shared" si="3"/>
        <v>130</v>
      </c>
      <c r="AR239" s="491"/>
      <c r="AS239" s="478" t="s">
        <v>1283</v>
      </c>
      <c r="AT239" s="479"/>
      <c r="AU239" s="479"/>
      <c r="AV239" s="479"/>
      <c r="AW239" s="479"/>
      <c r="AX239" s="479"/>
      <c r="AY239" s="479"/>
      <c r="AZ239" s="479"/>
      <c r="BA239" s="479"/>
      <c r="BB239" s="479"/>
      <c r="BC239" s="479"/>
      <c r="BD239" s="479"/>
      <c r="BE239" s="479"/>
      <c r="BF239" s="479"/>
      <c r="BG239" s="479"/>
      <c r="BH239" s="479"/>
      <c r="BI239" s="479"/>
      <c r="BJ239" s="479"/>
      <c r="BK239" s="479"/>
      <c r="BL239" s="479"/>
      <c r="BM239" s="479"/>
      <c r="BN239" s="479"/>
      <c r="BO239" s="479"/>
      <c r="BP239" s="479"/>
      <c r="BQ239" s="479"/>
      <c r="BR239" s="480"/>
      <c r="BS239" s="477" t="s">
        <v>439</v>
      </c>
      <c r="BT239" s="477"/>
      <c r="BU239" s="477"/>
      <c r="BV239" s="477"/>
      <c r="BW239" s="477"/>
      <c r="BX239" s="477"/>
      <c r="BY239" s="477"/>
      <c r="BZ239" s="477"/>
      <c r="CA239" s="9"/>
      <c r="CB239" s="9"/>
      <c r="CC239" s="9"/>
      <c r="CD239" s="9"/>
      <c r="CE239" s="9"/>
      <c r="CF239" s="9"/>
      <c r="CG239" s="9"/>
      <c r="CH239" s="9"/>
      <c r="CI239" s="9"/>
      <c r="CJ239" s="9"/>
      <c r="CK239" s="9"/>
      <c r="CL239" s="9"/>
      <c r="CM239" s="9"/>
      <c r="CN239" s="9"/>
      <c r="CO239" s="9"/>
      <c r="CP239" s="16"/>
    </row>
    <row r="240" spans="1:94" ht="15" customHeight="1" x14ac:dyDescent="0.15">
      <c r="A240" s="15"/>
      <c r="B240" s="9"/>
      <c r="C240" s="9"/>
      <c r="D240" s="9"/>
      <c r="E240" s="491">
        <f t="shared" si="2"/>
        <v>92</v>
      </c>
      <c r="F240" s="491"/>
      <c r="G240" s="478" t="s">
        <v>1281</v>
      </c>
      <c r="H240" s="479"/>
      <c r="I240" s="479"/>
      <c r="J240" s="479"/>
      <c r="K240" s="479"/>
      <c r="L240" s="479"/>
      <c r="M240" s="479"/>
      <c r="N240" s="479"/>
      <c r="O240" s="479"/>
      <c r="P240" s="479"/>
      <c r="Q240" s="479"/>
      <c r="R240" s="479"/>
      <c r="S240" s="479"/>
      <c r="T240" s="479"/>
      <c r="U240" s="479"/>
      <c r="V240" s="479"/>
      <c r="W240" s="479"/>
      <c r="X240" s="479"/>
      <c r="Y240" s="479"/>
      <c r="Z240" s="479"/>
      <c r="AA240" s="479"/>
      <c r="AB240" s="479"/>
      <c r="AC240" s="479"/>
      <c r="AD240" s="479"/>
      <c r="AE240" s="479"/>
      <c r="AF240" s="480"/>
      <c r="AG240" s="477" t="s">
        <v>1268</v>
      </c>
      <c r="AH240" s="477"/>
      <c r="AI240" s="477"/>
      <c r="AJ240" s="477"/>
      <c r="AK240" s="477"/>
      <c r="AL240" s="477"/>
      <c r="AM240" s="477"/>
      <c r="AN240" s="477"/>
      <c r="AO240" s="9"/>
      <c r="AP240" s="9"/>
      <c r="AQ240" s="491">
        <f t="shared" si="3"/>
        <v>131</v>
      </c>
      <c r="AR240" s="491"/>
      <c r="AS240" s="478" t="s">
        <v>1284</v>
      </c>
      <c r="AT240" s="479"/>
      <c r="AU240" s="479"/>
      <c r="AV240" s="479"/>
      <c r="AW240" s="479"/>
      <c r="AX240" s="479"/>
      <c r="AY240" s="479"/>
      <c r="AZ240" s="479"/>
      <c r="BA240" s="479"/>
      <c r="BB240" s="479"/>
      <c r="BC240" s="479"/>
      <c r="BD240" s="479"/>
      <c r="BE240" s="479"/>
      <c r="BF240" s="479"/>
      <c r="BG240" s="479"/>
      <c r="BH240" s="479"/>
      <c r="BI240" s="479"/>
      <c r="BJ240" s="479"/>
      <c r="BK240" s="479"/>
      <c r="BL240" s="479"/>
      <c r="BM240" s="479"/>
      <c r="BN240" s="479"/>
      <c r="BO240" s="479"/>
      <c r="BP240" s="479"/>
      <c r="BQ240" s="479"/>
      <c r="BR240" s="480"/>
      <c r="BS240" s="477" t="s">
        <v>436</v>
      </c>
      <c r="BT240" s="477"/>
      <c r="BU240" s="477"/>
      <c r="BV240" s="477"/>
      <c r="BW240" s="477"/>
      <c r="BX240" s="477"/>
      <c r="BY240" s="477"/>
      <c r="BZ240" s="477"/>
      <c r="CA240" s="9"/>
      <c r="CB240" s="9"/>
      <c r="CC240" s="9"/>
      <c r="CD240" s="9"/>
      <c r="CE240" s="9"/>
      <c r="CF240" s="9"/>
      <c r="CG240" s="9"/>
      <c r="CH240" s="9"/>
      <c r="CI240" s="9"/>
      <c r="CJ240" s="9"/>
      <c r="CK240" s="9"/>
      <c r="CL240" s="9"/>
      <c r="CM240" s="9"/>
      <c r="CN240" s="9"/>
      <c r="CO240" s="9"/>
      <c r="CP240" s="16"/>
    </row>
    <row r="241" spans="1:94" ht="15" customHeight="1" x14ac:dyDescent="0.15">
      <c r="A241" s="15"/>
      <c r="B241" s="9"/>
      <c r="C241" s="9"/>
      <c r="D241" s="9"/>
      <c r="E241" s="491">
        <f t="shared" si="2"/>
        <v>93</v>
      </c>
      <c r="F241" s="491"/>
      <c r="G241" s="478" t="s">
        <v>496</v>
      </c>
      <c r="H241" s="479"/>
      <c r="I241" s="479"/>
      <c r="J241" s="479"/>
      <c r="K241" s="479"/>
      <c r="L241" s="479"/>
      <c r="M241" s="479"/>
      <c r="N241" s="479"/>
      <c r="O241" s="479"/>
      <c r="P241" s="479"/>
      <c r="Q241" s="479"/>
      <c r="R241" s="479"/>
      <c r="S241" s="479"/>
      <c r="T241" s="479"/>
      <c r="U241" s="479"/>
      <c r="V241" s="479"/>
      <c r="W241" s="479"/>
      <c r="X241" s="479"/>
      <c r="Y241" s="479"/>
      <c r="Z241" s="479"/>
      <c r="AA241" s="479"/>
      <c r="AB241" s="479"/>
      <c r="AC241" s="479"/>
      <c r="AD241" s="479"/>
      <c r="AE241" s="479"/>
      <c r="AF241" s="480"/>
      <c r="AG241" s="477" t="s">
        <v>436</v>
      </c>
      <c r="AH241" s="477"/>
      <c r="AI241" s="477"/>
      <c r="AJ241" s="477"/>
      <c r="AK241" s="477"/>
      <c r="AL241" s="477"/>
      <c r="AM241" s="477"/>
      <c r="AN241" s="477"/>
      <c r="AO241" s="9"/>
      <c r="AP241" s="9"/>
      <c r="AQ241" s="491">
        <f t="shared" si="3"/>
        <v>132</v>
      </c>
      <c r="AR241" s="491"/>
      <c r="AS241" s="478" t="s">
        <v>521</v>
      </c>
      <c r="AT241" s="479"/>
      <c r="AU241" s="479"/>
      <c r="AV241" s="479"/>
      <c r="AW241" s="479"/>
      <c r="AX241" s="479"/>
      <c r="AY241" s="479"/>
      <c r="AZ241" s="479"/>
      <c r="BA241" s="479"/>
      <c r="BB241" s="479"/>
      <c r="BC241" s="479"/>
      <c r="BD241" s="479"/>
      <c r="BE241" s="479"/>
      <c r="BF241" s="479"/>
      <c r="BG241" s="479"/>
      <c r="BH241" s="479"/>
      <c r="BI241" s="479"/>
      <c r="BJ241" s="479"/>
      <c r="BK241" s="479"/>
      <c r="BL241" s="479"/>
      <c r="BM241" s="479"/>
      <c r="BN241" s="479"/>
      <c r="BO241" s="479"/>
      <c r="BP241" s="479"/>
      <c r="BQ241" s="479"/>
      <c r="BR241" s="480"/>
      <c r="BS241" s="477" t="s">
        <v>1274</v>
      </c>
      <c r="BT241" s="477"/>
      <c r="BU241" s="477"/>
      <c r="BV241" s="477"/>
      <c r="BW241" s="477"/>
      <c r="BX241" s="477"/>
      <c r="BY241" s="477"/>
      <c r="BZ241" s="477"/>
      <c r="CA241" s="9"/>
      <c r="CB241" s="9"/>
      <c r="CC241" s="9"/>
      <c r="CD241" s="9"/>
      <c r="CE241" s="9"/>
      <c r="CF241" s="9"/>
      <c r="CG241" s="9"/>
      <c r="CH241" s="9"/>
      <c r="CI241" s="9"/>
      <c r="CJ241" s="9"/>
      <c r="CK241" s="9"/>
      <c r="CL241" s="9"/>
      <c r="CM241" s="9"/>
      <c r="CN241" s="9"/>
      <c r="CO241" s="9"/>
      <c r="CP241" s="16"/>
    </row>
    <row r="242" spans="1:94" ht="15" customHeight="1" x14ac:dyDescent="0.15">
      <c r="A242" s="15"/>
      <c r="B242" s="9"/>
      <c r="C242" s="9"/>
      <c r="D242" s="9"/>
      <c r="E242" s="491">
        <f t="shared" si="2"/>
        <v>94</v>
      </c>
      <c r="F242" s="491"/>
      <c r="G242" s="478" t="s">
        <v>506</v>
      </c>
      <c r="H242" s="479"/>
      <c r="I242" s="479"/>
      <c r="J242" s="479"/>
      <c r="K242" s="479"/>
      <c r="L242" s="479"/>
      <c r="M242" s="479"/>
      <c r="N242" s="479"/>
      <c r="O242" s="479"/>
      <c r="P242" s="479"/>
      <c r="Q242" s="479"/>
      <c r="R242" s="479"/>
      <c r="S242" s="479"/>
      <c r="T242" s="479"/>
      <c r="U242" s="479"/>
      <c r="V242" s="479"/>
      <c r="W242" s="479"/>
      <c r="X242" s="479"/>
      <c r="Y242" s="479"/>
      <c r="Z242" s="479"/>
      <c r="AA242" s="479"/>
      <c r="AB242" s="479"/>
      <c r="AC242" s="479"/>
      <c r="AD242" s="479"/>
      <c r="AE242" s="479"/>
      <c r="AF242" s="480"/>
      <c r="AG242" s="477" t="s">
        <v>1268</v>
      </c>
      <c r="AH242" s="477"/>
      <c r="AI242" s="477"/>
      <c r="AJ242" s="477"/>
      <c r="AK242" s="477"/>
      <c r="AL242" s="477"/>
      <c r="AM242" s="477"/>
      <c r="AN242" s="477"/>
      <c r="AO242" s="9"/>
      <c r="AP242" s="9"/>
      <c r="AQ242" s="491">
        <f t="shared" si="3"/>
        <v>133</v>
      </c>
      <c r="AR242" s="491"/>
      <c r="AS242" s="478" t="s">
        <v>524</v>
      </c>
      <c r="AT242" s="479"/>
      <c r="AU242" s="479"/>
      <c r="AV242" s="479"/>
      <c r="AW242" s="479"/>
      <c r="AX242" s="479"/>
      <c r="AY242" s="479"/>
      <c r="AZ242" s="479"/>
      <c r="BA242" s="479"/>
      <c r="BB242" s="479"/>
      <c r="BC242" s="479"/>
      <c r="BD242" s="479"/>
      <c r="BE242" s="479"/>
      <c r="BF242" s="479"/>
      <c r="BG242" s="479"/>
      <c r="BH242" s="479"/>
      <c r="BI242" s="479"/>
      <c r="BJ242" s="479"/>
      <c r="BK242" s="479"/>
      <c r="BL242" s="479"/>
      <c r="BM242" s="479"/>
      <c r="BN242" s="479"/>
      <c r="BO242" s="479"/>
      <c r="BP242" s="479"/>
      <c r="BQ242" s="479"/>
      <c r="BR242" s="480"/>
      <c r="BS242" s="477" t="s">
        <v>436</v>
      </c>
      <c r="BT242" s="477"/>
      <c r="BU242" s="477"/>
      <c r="BV242" s="477"/>
      <c r="BW242" s="477"/>
      <c r="BX242" s="477"/>
      <c r="BY242" s="477"/>
      <c r="BZ242" s="477"/>
      <c r="CA242" s="9"/>
      <c r="CB242" s="9"/>
      <c r="CC242" s="9"/>
      <c r="CD242" s="9"/>
      <c r="CE242" s="9"/>
      <c r="CF242" s="9"/>
      <c r="CG242" s="9"/>
      <c r="CH242" s="9"/>
      <c r="CI242" s="9"/>
      <c r="CJ242" s="9"/>
      <c r="CK242" s="9"/>
      <c r="CL242" s="9"/>
      <c r="CM242" s="9"/>
      <c r="CN242" s="9"/>
      <c r="CO242" s="9"/>
      <c r="CP242" s="16"/>
    </row>
    <row r="243" spans="1:94" ht="15" customHeight="1" x14ac:dyDescent="0.15">
      <c r="A243" s="15"/>
      <c r="B243" s="9"/>
      <c r="C243" s="9"/>
      <c r="D243" s="9"/>
      <c r="E243" s="491">
        <f t="shared" si="2"/>
        <v>95</v>
      </c>
      <c r="F243" s="491"/>
      <c r="G243" s="478" t="s">
        <v>505</v>
      </c>
      <c r="H243" s="479"/>
      <c r="I243" s="479"/>
      <c r="J243" s="479"/>
      <c r="K243" s="479"/>
      <c r="L243" s="479"/>
      <c r="M243" s="479"/>
      <c r="N243" s="479"/>
      <c r="O243" s="479"/>
      <c r="P243" s="479"/>
      <c r="Q243" s="479"/>
      <c r="R243" s="479"/>
      <c r="S243" s="479"/>
      <c r="T243" s="479"/>
      <c r="U243" s="479"/>
      <c r="V243" s="479"/>
      <c r="W243" s="479"/>
      <c r="X243" s="479"/>
      <c r="Y243" s="479"/>
      <c r="Z243" s="479"/>
      <c r="AA243" s="479"/>
      <c r="AB243" s="479"/>
      <c r="AC243" s="479"/>
      <c r="AD243" s="479"/>
      <c r="AE243" s="479"/>
      <c r="AF243" s="480"/>
      <c r="AG243" s="477" t="s">
        <v>1268</v>
      </c>
      <c r="AH243" s="477"/>
      <c r="AI243" s="477"/>
      <c r="AJ243" s="477"/>
      <c r="AK243" s="477"/>
      <c r="AL243" s="477"/>
      <c r="AM243" s="477"/>
      <c r="AN243" s="477"/>
      <c r="AO243" s="9"/>
      <c r="AP243" s="9"/>
      <c r="AQ243" s="491">
        <f t="shared" si="3"/>
        <v>134</v>
      </c>
      <c r="AR243" s="491"/>
      <c r="AS243" s="478" t="s">
        <v>520</v>
      </c>
      <c r="AT243" s="479"/>
      <c r="AU243" s="479"/>
      <c r="AV243" s="479"/>
      <c r="AW243" s="479"/>
      <c r="AX243" s="479"/>
      <c r="AY243" s="479"/>
      <c r="AZ243" s="479"/>
      <c r="BA243" s="479"/>
      <c r="BB243" s="479"/>
      <c r="BC243" s="479"/>
      <c r="BD243" s="479"/>
      <c r="BE243" s="479"/>
      <c r="BF243" s="479"/>
      <c r="BG243" s="479"/>
      <c r="BH243" s="479"/>
      <c r="BI243" s="479"/>
      <c r="BJ243" s="479"/>
      <c r="BK243" s="479"/>
      <c r="BL243" s="479"/>
      <c r="BM243" s="479"/>
      <c r="BN243" s="479"/>
      <c r="BO243" s="479"/>
      <c r="BP243" s="479"/>
      <c r="BQ243" s="479"/>
      <c r="BR243" s="480"/>
      <c r="BS243" s="477" t="s">
        <v>445</v>
      </c>
      <c r="BT243" s="477"/>
      <c r="BU243" s="477"/>
      <c r="BV243" s="477"/>
      <c r="BW243" s="477"/>
      <c r="BX243" s="477"/>
      <c r="BY243" s="477"/>
      <c r="BZ243" s="477"/>
      <c r="CA243" s="9"/>
      <c r="CB243" s="9"/>
      <c r="CC243" s="9"/>
      <c r="CD243" s="9"/>
      <c r="CE243" s="9"/>
      <c r="CF243" s="9"/>
      <c r="CG243" s="9"/>
      <c r="CH243" s="9"/>
      <c r="CI243" s="9"/>
      <c r="CJ243" s="9"/>
      <c r="CK243" s="9"/>
      <c r="CL243" s="9"/>
      <c r="CM243" s="9"/>
      <c r="CN243" s="9"/>
      <c r="CO243" s="9"/>
      <c r="CP243" s="16"/>
    </row>
    <row r="244" spans="1:94" ht="15" customHeight="1" x14ac:dyDescent="0.15">
      <c r="A244" s="15"/>
      <c r="B244" s="9"/>
      <c r="C244" s="9"/>
      <c r="D244" s="9"/>
      <c r="E244" s="491">
        <f t="shared" si="2"/>
        <v>96</v>
      </c>
      <c r="F244" s="491"/>
      <c r="G244" s="478" t="s">
        <v>546</v>
      </c>
      <c r="H244" s="479"/>
      <c r="I244" s="479"/>
      <c r="J244" s="479"/>
      <c r="K244" s="479"/>
      <c r="L244" s="479"/>
      <c r="M244" s="479"/>
      <c r="N244" s="479"/>
      <c r="O244" s="479"/>
      <c r="P244" s="479"/>
      <c r="Q244" s="479"/>
      <c r="R244" s="479"/>
      <c r="S244" s="479"/>
      <c r="T244" s="479"/>
      <c r="U244" s="479"/>
      <c r="V244" s="479"/>
      <c r="W244" s="479"/>
      <c r="X244" s="479"/>
      <c r="Y244" s="479"/>
      <c r="Z244" s="479"/>
      <c r="AA244" s="479"/>
      <c r="AB244" s="479"/>
      <c r="AC244" s="479"/>
      <c r="AD244" s="479"/>
      <c r="AE244" s="479"/>
      <c r="AF244" s="480"/>
      <c r="AG244" s="477" t="s">
        <v>436</v>
      </c>
      <c r="AH244" s="477"/>
      <c r="AI244" s="477"/>
      <c r="AJ244" s="477"/>
      <c r="AK244" s="477"/>
      <c r="AL244" s="477"/>
      <c r="AM244" s="477"/>
      <c r="AN244" s="477"/>
      <c r="AO244" s="9"/>
      <c r="AP244" s="9"/>
      <c r="AQ244" s="491">
        <f t="shared" si="3"/>
        <v>135</v>
      </c>
      <c r="AR244" s="491"/>
      <c r="AS244" s="478" t="s">
        <v>523</v>
      </c>
      <c r="AT244" s="479"/>
      <c r="AU244" s="479"/>
      <c r="AV244" s="479"/>
      <c r="AW244" s="479"/>
      <c r="AX244" s="479"/>
      <c r="AY244" s="479"/>
      <c r="AZ244" s="479"/>
      <c r="BA244" s="479"/>
      <c r="BB244" s="479"/>
      <c r="BC244" s="479"/>
      <c r="BD244" s="479"/>
      <c r="BE244" s="479"/>
      <c r="BF244" s="479"/>
      <c r="BG244" s="479"/>
      <c r="BH244" s="479"/>
      <c r="BI244" s="479"/>
      <c r="BJ244" s="479"/>
      <c r="BK244" s="479"/>
      <c r="BL244" s="479"/>
      <c r="BM244" s="479"/>
      <c r="BN244" s="479"/>
      <c r="BO244" s="479"/>
      <c r="BP244" s="479"/>
      <c r="BQ244" s="479"/>
      <c r="BR244" s="480"/>
      <c r="BS244" s="477" t="s">
        <v>439</v>
      </c>
      <c r="BT244" s="477"/>
      <c r="BU244" s="477"/>
      <c r="BV244" s="477"/>
      <c r="BW244" s="477"/>
      <c r="BX244" s="477"/>
      <c r="BY244" s="477"/>
      <c r="BZ244" s="477"/>
      <c r="CA244" s="9"/>
      <c r="CB244" s="9"/>
      <c r="CC244" s="9"/>
      <c r="CD244" s="9"/>
      <c r="CE244" s="9"/>
      <c r="CF244" s="9"/>
      <c r="CG244" s="9"/>
      <c r="CH244" s="9"/>
      <c r="CI244" s="9"/>
      <c r="CJ244" s="9"/>
      <c r="CK244" s="9"/>
      <c r="CL244" s="9"/>
      <c r="CM244" s="9"/>
      <c r="CN244" s="9"/>
      <c r="CO244" s="9"/>
      <c r="CP244" s="16"/>
    </row>
    <row r="245" spans="1:94" ht="15" customHeight="1" x14ac:dyDescent="0.15">
      <c r="A245" s="15"/>
      <c r="B245" s="9"/>
      <c r="C245" s="9"/>
      <c r="D245" s="9"/>
      <c r="E245" s="491">
        <f t="shared" si="2"/>
        <v>97</v>
      </c>
      <c r="F245" s="491"/>
      <c r="G245" s="478" t="s">
        <v>538</v>
      </c>
      <c r="H245" s="479"/>
      <c r="I245" s="479"/>
      <c r="J245" s="479"/>
      <c r="K245" s="479"/>
      <c r="L245" s="479"/>
      <c r="M245" s="479"/>
      <c r="N245" s="479"/>
      <c r="O245" s="479"/>
      <c r="P245" s="479"/>
      <c r="Q245" s="479"/>
      <c r="R245" s="479"/>
      <c r="S245" s="479"/>
      <c r="T245" s="479"/>
      <c r="U245" s="479"/>
      <c r="V245" s="479"/>
      <c r="W245" s="479"/>
      <c r="X245" s="479"/>
      <c r="Y245" s="479"/>
      <c r="Z245" s="479"/>
      <c r="AA245" s="479"/>
      <c r="AB245" s="479"/>
      <c r="AC245" s="479"/>
      <c r="AD245" s="479"/>
      <c r="AE245" s="479"/>
      <c r="AF245" s="480"/>
      <c r="AG245" s="477" t="s">
        <v>436</v>
      </c>
      <c r="AH245" s="477"/>
      <c r="AI245" s="477"/>
      <c r="AJ245" s="477"/>
      <c r="AK245" s="477"/>
      <c r="AL245" s="477"/>
      <c r="AM245" s="477"/>
      <c r="AN245" s="477"/>
      <c r="AO245" s="9"/>
      <c r="AP245" s="9"/>
      <c r="AQ245" s="491">
        <f t="shared" si="3"/>
        <v>136</v>
      </c>
      <c r="AR245" s="491"/>
      <c r="AS245" s="478" t="s">
        <v>531</v>
      </c>
      <c r="AT245" s="479"/>
      <c r="AU245" s="479"/>
      <c r="AV245" s="479"/>
      <c r="AW245" s="479"/>
      <c r="AX245" s="479"/>
      <c r="AY245" s="479"/>
      <c r="AZ245" s="479"/>
      <c r="BA245" s="479"/>
      <c r="BB245" s="479"/>
      <c r="BC245" s="479"/>
      <c r="BD245" s="479"/>
      <c r="BE245" s="479"/>
      <c r="BF245" s="479"/>
      <c r="BG245" s="479"/>
      <c r="BH245" s="479"/>
      <c r="BI245" s="479"/>
      <c r="BJ245" s="479"/>
      <c r="BK245" s="479"/>
      <c r="BL245" s="479"/>
      <c r="BM245" s="479"/>
      <c r="BN245" s="479"/>
      <c r="BO245" s="479"/>
      <c r="BP245" s="479"/>
      <c r="BQ245" s="479"/>
      <c r="BR245" s="480"/>
      <c r="BS245" s="477" t="s">
        <v>436</v>
      </c>
      <c r="BT245" s="477"/>
      <c r="BU245" s="477"/>
      <c r="BV245" s="477"/>
      <c r="BW245" s="477"/>
      <c r="BX245" s="477"/>
      <c r="BY245" s="477"/>
      <c r="BZ245" s="477"/>
      <c r="CA245" s="9"/>
      <c r="CB245" s="9"/>
      <c r="CC245" s="9"/>
      <c r="CD245" s="9"/>
      <c r="CE245" s="9"/>
      <c r="CF245" s="9"/>
      <c r="CG245" s="9"/>
      <c r="CH245" s="9"/>
      <c r="CI245" s="9"/>
      <c r="CJ245" s="9"/>
      <c r="CK245" s="9"/>
      <c r="CL245" s="9"/>
      <c r="CM245" s="9"/>
      <c r="CN245" s="9"/>
      <c r="CO245" s="9"/>
      <c r="CP245" s="16"/>
    </row>
    <row r="246" spans="1:94" ht="15" customHeight="1" x14ac:dyDescent="0.15">
      <c r="A246" s="15"/>
      <c r="B246" s="9"/>
      <c r="C246" s="9"/>
      <c r="D246" s="9"/>
      <c r="E246" s="491">
        <f t="shared" si="2"/>
        <v>98</v>
      </c>
      <c r="F246" s="491"/>
      <c r="G246" s="478" t="s">
        <v>1239</v>
      </c>
      <c r="H246" s="479"/>
      <c r="I246" s="479"/>
      <c r="J246" s="479"/>
      <c r="K246" s="479"/>
      <c r="L246" s="479"/>
      <c r="M246" s="479"/>
      <c r="N246" s="479"/>
      <c r="O246" s="479"/>
      <c r="P246" s="479"/>
      <c r="Q246" s="479"/>
      <c r="R246" s="479"/>
      <c r="S246" s="479"/>
      <c r="T246" s="479"/>
      <c r="U246" s="479"/>
      <c r="V246" s="479"/>
      <c r="W246" s="479"/>
      <c r="X246" s="479"/>
      <c r="Y246" s="479"/>
      <c r="Z246" s="479"/>
      <c r="AA246" s="479"/>
      <c r="AB246" s="479"/>
      <c r="AC246" s="479"/>
      <c r="AD246" s="479"/>
      <c r="AE246" s="479"/>
      <c r="AF246" s="480"/>
      <c r="AG246" s="477" t="s">
        <v>436</v>
      </c>
      <c r="AH246" s="477"/>
      <c r="AI246" s="477"/>
      <c r="AJ246" s="477"/>
      <c r="AK246" s="477"/>
      <c r="AL246" s="477"/>
      <c r="AM246" s="477"/>
      <c r="AN246" s="477"/>
      <c r="AO246" s="9"/>
      <c r="AP246" s="9"/>
      <c r="AQ246" s="491">
        <f t="shared" si="3"/>
        <v>137</v>
      </c>
      <c r="AR246" s="491"/>
      <c r="AS246" s="478" t="s">
        <v>542</v>
      </c>
      <c r="AT246" s="479"/>
      <c r="AU246" s="479"/>
      <c r="AV246" s="479"/>
      <c r="AW246" s="479"/>
      <c r="AX246" s="479"/>
      <c r="AY246" s="479"/>
      <c r="AZ246" s="479"/>
      <c r="BA246" s="479"/>
      <c r="BB246" s="479"/>
      <c r="BC246" s="479"/>
      <c r="BD246" s="479"/>
      <c r="BE246" s="479"/>
      <c r="BF246" s="479"/>
      <c r="BG246" s="479"/>
      <c r="BH246" s="479"/>
      <c r="BI246" s="479"/>
      <c r="BJ246" s="479"/>
      <c r="BK246" s="479"/>
      <c r="BL246" s="479"/>
      <c r="BM246" s="479"/>
      <c r="BN246" s="479"/>
      <c r="BO246" s="479"/>
      <c r="BP246" s="479"/>
      <c r="BQ246" s="479"/>
      <c r="BR246" s="480"/>
      <c r="BS246" s="477" t="s">
        <v>436</v>
      </c>
      <c r="BT246" s="477"/>
      <c r="BU246" s="477"/>
      <c r="BV246" s="477"/>
      <c r="BW246" s="477"/>
      <c r="BX246" s="477"/>
      <c r="BY246" s="477"/>
      <c r="BZ246" s="477"/>
      <c r="CA246" s="9"/>
      <c r="CB246" s="9"/>
      <c r="CC246" s="9"/>
      <c r="CD246" s="9"/>
      <c r="CE246" s="9"/>
      <c r="CF246" s="9"/>
      <c r="CG246" s="9"/>
      <c r="CH246" s="9"/>
      <c r="CI246" s="9"/>
      <c r="CJ246" s="9"/>
      <c r="CK246" s="9"/>
      <c r="CL246" s="9"/>
      <c r="CM246" s="9"/>
      <c r="CN246" s="9"/>
      <c r="CO246" s="9"/>
      <c r="CP246" s="16"/>
    </row>
    <row r="247" spans="1:94" ht="15" customHeight="1" x14ac:dyDescent="0.15">
      <c r="A247" s="15"/>
      <c r="B247" s="9"/>
      <c r="C247" s="9"/>
      <c r="D247" s="9"/>
      <c r="E247" s="491">
        <f t="shared" si="2"/>
        <v>99</v>
      </c>
      <c r="F247" s="491"/>
      <c r="G247" s="478" t="s">
        <v>504</v>
      </c>
      <c r="H247" s="479"/>
      <c r="I247" s="479"/>
      <c r="J247" s="479"/>
      <c r="K247" s="479"/>
      <c r="L247" s="479"/>
      <c r="M247" s="479"/>
      <c r="N247" s="479"/>
      <c r="O247" s="479"/>
      <c r="P247" s="479"/>
      <c r="Q247" s="479"/>
      <c r="R247" s="479"/>
      <c r="S247" s="479"/>
      <c r="T247" s="479"/>
      <c r="U247" s="479"/>
      <c r="V247" s="479"/>
      <c r="W247" s="479"/>
      <c r="X247" s="479"/>
      <c r="Y247" s="479"/>
      <c r="Z247" s="479"/>
      <c r="AA247" s="479"/>
      <c r="AB247" s="479"/>
      <c r="AC247" s="479"/>
      <c r="AD247" s="479"/>
      <c r="AE247" s="479"/>
      <c r="AF247" s="480"/>
      <c r="AG247" s="477" t="s">
        <v>445</v>
      </c>
      <c r="AH247" s="477"/>
      <c r="AI247" s="477"/>
      <c r="AJ247" s="477"/>
      <c r="AK247" s="477"/>
      <c r="AL247" s="477"/>
      <c r="AM247" s="477"/>
      <c r="AN247" s="477"/>
      <c r="AO247" s="9"/>
      <c r="AP247" s="9"/>
      <c r="AQ247" s="491">
        <f t="shared" si="3"/>
        <v>138</v>
      </c>
      <c r="AR247" s="491"/>
      <c r="AS247" s="478" t="s">
        <v>526</v>
      </c>
      <c r="AT247" s="479"/>
      <c r="AU247" s="479"/>
      <c r="AV247" s="479"/>
      <c r="AW247" s="479"/>
      <c r="AX247" s="479"/>
      <c r="AY247" s="479"/>
      <c r="AZ247" s="479"/>
      <c r="BA247" s="479"/>
      <c r="BB247" s="479"/>
      <c r="BC247" s="479"/>
      <c r="BD247" s="479"/>
      <c r="BE247" s="479"/>
      <c r="BF247" s="479"/>
      <c r="BG247" s="479"/>
      <c r="BH247" s="479"/>
      <c r="BI247" s="479"/>
      <c r="BJ247" s="479"/>
      <c r="BK247" s="479"/>
      <c r="BL247" s="479"/>
      <c r="BM247" s="479"/>
      <c r="BN247" s="479"/>
      <c r="BO247" s="479"/>
      <c r="BP247" s="479"/>
      <c r="BQ247" s="479"/>
      <c r="BR247" s="480"/>
      <c r="BS247" s="477" t="s">
        <v>439</v>
      </c>
      <c r="BT247" s="477"/>
      <c r="BU247" s="477"/>
      <c r="BV247" s="477"/>
      <c r="BW247" s="477"/>
      <c r="BX247" s="477"/>
      <c r="BY247" s="477"/>
      <c r="BZ247" s="477"/>
      <c r="CA247" s="9"/>
      <c r="CB247" s="9"/>
      <c r="CC247" s="9"/>
      <c r="CD247" s="9"/>
      <c r="CE247" s="9"/>
      <c r="CF247" s="9"/>
      <c r="CG247" s="9"/>
      <c r="CH247" s="9"/>
      <c r="CI247" s="9"/>
      <c r="CJ247" s="9"/>
      <c r="CK247" s="9"/>
      <c r="CL247" s="9"/>
      <c r="CM247" s="9"/>
      <c r="CN247" s="9"/>
      <c r="CO247" s="9"/>
      <c r="CP247" s="16"/>
    </row>
    <row r="248" spans="1:94" ht="15" customHeight="1" x14ac:dyDescent="0.15">
      <c r="A248" s="15"/>
      <c r="B248" s="9"/>
      <c r="C248" s="9"/>
      <c r="D248" s="9"/>
      <c r="E248" s="491">
        <f t="shared" si="2"/>
        <v>100</v>
      </c>
      <c r="F248" s="491"/>
      <c r="G248" s="630" t="s">
        <v>500</v>
      </c>
      <c r="H248" s="631"/>
      <c r="I248" s="631"/>
      <c r="J248" s="631"/>
      <c r="K248" s="631"/>
      <c r="L248" s="631"/>
      <c r="M248" s="631"/>
      <c r="N248" s="631"/>
      <c r="O248" s="631"/>
      <c r="P248" s="631"/>
      <c r="Q248" s="631"/>
      <c r="R248" s="631"/>
      <c r="S248" s="631"/>
      <c r="T248" s="631"/>
      <c r="U248" s="631"/>
      <c r="V248" s="631"/>
      <c r="W248" s="631"/>
      <c r="X248" s="631"/>
      <c r="Y248" s="631"/>
      <c r="Z248" s="631"/>
      <c r="AA248" s="631"/>
      <c r="AB248" s="631"/>
      <c r="AC248" s="631"/>
      <c r="AD248" s="631"/>
      <c r="AE248" s="631"/>
      <c r="AF248" s="632"/>
      <c r="AG248" s="549" t="s">
        <v>439</v>
      </c>
      <c r="AH248" s="549"/>
      <c r="AI248" s="549"/>
      <c r="AJ248" s="549"/>
      <c r="AK248" s="549"/>
      <c r="AL248" s="549"/>
      <c r="AM248" s="549"/>
      <c r="AN248" s="549"/>
      <c r="AO248" s="9"/>
      <c r="AP248" s="9"/>
      <c r="AQ248" s="491">
        <f t="shared" si="3"/>
        <v>139</v>
      </c>
      <c r="AR248" s="491"/>
      <c r="AS248" s="478" t="s">
        <v>533</v>
      </c>
      <c r="AT248" s="479"/>
      <c r="AU248" s="479"/>
      <c r="AV248" s="479"/>
      <c r="AW248" s="479"/>
      <c r="AX248" s="479"/>
      <c r="AY248" s="479"/>
      <c r="AZ248" s="479"/>
      <c r="BA248" s="479"/>
      <c r="BB248" s="479"/>
      <c r="BC248" s="479"/>
      <c r="BD248" s="479"/>
      <c r="BE248" s="479"/>
      <c r="BF248" s="479"/>
      <c r="BG248" s="479"/>
      <c r="BH248" s="479"/>
      <c r="BI248" s="479"/>
      <c r="BJ248" s="479"/>
      <c r="BK248" s="479"/>
      <c r="BL248" s="479"/>
      <c r="BM248" s="479"/>
      <c r="BN248" s="479"/>
      <c r="BO248" s="479"/>
      <c r="BP248" s="479"/>
      <c r="BQ248" s="479"/>
      <c r="BR248" s="480"/>
      <c r="BS248" s="477" t="s">
        <v>445</v>
      </c>
      <c r="BT248" s="477"/>
      <c r="BU248" s="477"/>
      <c r="BV248" s="477"/>
      <c r="BW248" s="477"/>
      <c r="BX248" s="477"/>
      <c r="BY248" s="477"/>
      <c r="BZ248" s="477"/>
      <c r="CA248" s="9"/>
      <c r="CB248" s="9"/>
      <c r="CC248" s="9"/>
      <c r="CD248" s="9"/>
      <c r="CE248" s="9"/>
      <c r="CF248" s="9"/>
      <c r="CG248" s="9"/>
      <c r="CH248" s="9"/>
      <c r="CI248" s="9"/>
      <c r="CJ248" s="9"/>
      <c r="CK248" s="9"/>
      <c r="CL248" s="9"/>
      <c r="CM248" s="9"/>
      <c r="CN248" s="9"/>
      <c r="CO248" s="9"/>
      <c r="CP248" s="16"/>
    </row>
    <row r="249" spans="1:94" ht="15" customHeight="1" x14ac:dyDescent="0.15">
      <c r="A249" s="15"/>
      <c r="B249" s="9"/>
      <c r="C249" s="9"/>
      <c r="D249" s="9"/>
      <c r="E249" s="491">
        <f t="shared" si="2"/>
        <v>101</v>
      </c>
      <c r="F249" s="491"/>
      <c r="G249" s="478" t="s">
        <v>499</v>
      </c>
      <c r="H249" s="479"/>
      <c r="I249" s="479"/>
      <c r="J249" s="479"/>
      <c r="K249" s="479"/>
      <c r="L249" s="479"/>
      <c r="M249" s="479"/>
      <c r="N249" s="479"/>
      <c r="O249" s="479"/>
      <c r="P249" s="479"/>
      <c r="Q249" s="479"/>
      <c r="R249" s="479"/>
      <c r="S249" s="479"/>
      <c r="T249" s="479"/>
      <c r="U249" s="479"/>
      <c r="V249" s="479"/>
      <c r="W249" s="479"/>
      <c r="X249" s="479"/>
      <c r="Y249" s="479"/>
      <c r="Z249" s="479"/>
      <c r="AA249" s="479"/>
      <c r="AB249" s="479"/>
      <c r="AC249" s="479"/>
      <c r="AD249" s="479"/>
      <c r="AE249" s="479"/>
      <c r="AF249" s="480"/>
      <c r="AG249" s="477" t="s">
        <v>1268</v>
      </c>
      <c r="AH249" s="477"/>
      <c r="AI249" s="477"/>
      <c r="AJ249" s="477"/>
      <c r="AK249" s="477"/>
      <c r="AL249" s="477"/>
      <c r="AM249" s="477"/>
      <c r="AN249" s="477"/>
      <c r="AO249" s="9"/>
      <c r="AP249" s="9"/>
      <c r="AQ249" s="491">
        <f t="shared" si="3"/>
        <v>140</v>
      </c>
      <c r="AR249" s="491"/>
      <c r="AS249" s="478" t="s">
        <v>535</v>
      </c>
      <c r="AT249" s="479"/>
      <c r="AU249" s="479"/>
      <c r="AV249" s="479"/>
      <c r="AW249" s="479"/>
      <c r="AX249" s="479"/>
      <c r="AY249" s="479"/>
      <c r="AZ249" s="479"/>
      <c r="BA249" s="479"/>
      <c r="BB249" s="479"/>
      <c r="BC249" s="479"/>
      <c r="BD249" s="479"/>
      <c r="BE249" s="479"/>
      <c r="BF249" s="479"/>
      <c r="BG249" s="479"/>
      <c r="BH249" s="479"/>
      <c r="BI249" s="479"/>
      <c r="BJ249" s="479"/>
      <c r="BK249" s="479"/>
      <c r="BL249" s="479"/>
      <c r="BM249" s="479"/>
      <c r="BN249" s="479"/>
      <c r="BO249" s="479"/>
      <c r="BP249" s="479"/>
      <c r="BQ249" s="479"/>
      <c r="BR249" s="480"/>
      <c r="BS249" s="477" t="s">
        <v>1268</v>
      </c>
      <c r="BT249" s="477"/>
      <c r="BU249" s="477"/>
      <c r="BV249" s="477"/>
      <c r="BW249" s="477"/>
      <c r="BX249" s="477"/>
      <c r="BY249" s="477"/>
      <c r="BZ249" s="477"/>
      <c r="CA249" s="9"/>
      <c r="CB249" s="9"/>
      <c r="CC249" s="9"/>
      <c r="CD249" s="9"/>
      <c r="CE249" s="9"/>
      <c r="CF249" s="9"/>
      <c r="CG249" s="9"/>
      <c r="CH249" s="9"/>
      <c r="CI249" s="9"/>
      <c r="CJ249" s="9"/>
      <c r="CK249" s="9"/>
      <c r="CL249" s="9"/>
      <c r="CM249" s="9"/>
      <c r="CN249" s="9"/>
      <c r="CO249" s="9"/>
      <c r="CP249" s="16"/>
    </row>
    <row r="250" spans="1:94" ht="15" customHeight="1" x14ac:dyDescent="0.15">
      <c r="A250" s="15"/>
      <c r="B250" s="9"/>
      <c r="C250" s="9"/>
      <c r="D250" s="9"/>
      <c r="E250" s="491">
        <f t="shared" si="2"/>
        <v>102</v>
      </c>
      <c r="F250" s="491"/>
      <c r="G250" s="478" t="s">
        <v>501</v>
      </c>
      <c r="H250" s="479"/>
      <c r="I250" s="479"/>
      <c r="J250" s="479"/>
      <c r="K250" s="479"/>
      <c r="L250" s="479"/>
      <c r="M250" s="479"/>
      <c r="N250" s="479"/>
      <c r="O250" s="479"/>
      <c r="P250" s="479"/>
      <c r="Q250" s="479"/>
      <c r="R250" s="479"/>
      <c r="S250" s="479"/>
      <c r="T250" s="479"/>
      <c r="U250" s="479"/>
      <c r="V250" s="479"/>
      <c r="W250" s="479"/>
      <c r="X250" s="479"/>
      <c r="Y250" s="479"/>
      <c r="Z250" s="479"/>
      <c r="AA250" s="479"/>
      <c r="AB250" s="479"/>
      <c r="AC250" s="479"/>
      <c r="AD250" s="479"/>
      <c r="AE250" s="479"/>
      <c r="AF250" s="480"/>
      <c r="AG250" s="477" t="s">
        <v>436</v>
      </c>
      <c r="AH250" s="477"/>
      <c r="AI250" s="477"/>
      <c r="AJ250" s="477"/>
      <c r="AK250" s="477"/>
      <c r="AL250" s="477"/>
      <c r="AM250" s="477"/>
      <c r="AN250" s="477"/>
      <c r="AO250" s="9"/>
      <c r="AP250" s="9"/>
      <c r="AQ250" s="491">
        <f t="shared" si="3"/>
        <v>141</v>
      </c>
      <c r="AR250" s="491"/>
      <c r="AS250" s="478" t="s">
        <v>534</v>
      </c>
      <c r="AT250" s="479"/>
      <c r="AU250" s="479"/>
      <c r="AV250" s="479"/>
      <c r="AW250" s="479"/>
      <c r="AX250" s="479"/>
      <c r="AY250" s="479"/>
      <c r="AZ250" s="479"/>
      <c r="BA250" s="479"/>
      <c r="BB250" s="479"/>
      <c r="BC250" s="479"/>
      <c r="BD250" s="479"/>
      <c r="BE250" s="479"/>
      <c r="BF250" s="479"/>
      <c r="BG250" s="479"/>
      <c r="BH250" s="479"/>
      <c r="BI250" s="479"/>
      <c r="BJ250" s="479"/>
      <c r="BK250" s="479"/>
      <c r="BL250" s="479"/>
      <c r="BM250" s="479"/>
      <c r="BN250" s="479"/>
      <c r="BO250" s="479"/>
      <c r="BP250" s="479"/>
      <c r="BQ250" s="479"/>
      <c r="BR250" s="480"/>
      <c r="BS250" s="477" t="s">
        <v>1268</v>
      </c>
      <c r="BT250" s="477"/>
      <c r="BU250" s="477"/>
      <c r="BV250" s="477"/>
      <c r="BW250" s="477"/>
      <c r="BX250" s="477"/>
      <c r="BY250" s="477"/>
      <c r="BZ250" s="477"/>
      <c r="CA250" s="9"/>
      <c r="CB250" s="9"/>
      <c r="CC250" s="9"/>
      <c r="CD250" s="9"/>
      <c r="CE250" s="9"/>
      <c r="CF250" s="9"/>
      <c r="CG250" s="9"/>
      <c r="CH250" s="9"/>
      <c r="CI250" s="9"/>
      <c r="CJ250" s="9"/>
      <c r="CK250" s="9"/>
      <c r="CL250" s="9"/>
      <c r="CM250" s="9"/>
      <c r="CN250" s="9"/>
      <c r="CO250" s="9"/>
      <c r="CP250" s="16"/>
    </row>
    <row r="251" spans="1:94" ht="15" customHeight="1" x14ac:dyDescent="0.15">
      <c r="A251" s="15"/>
      <c r="B251" s="9"/>
      <c r="C251" s="9"/>
      <c r="D251" s="9"/>
      <c r="E251" s="491">
        <f t="shared" si="2"/>
        <v>103</v>
      </c>
      <c r="F251" s="491"/>
      <c r="G251" s="478" t="s">
        <v>498</v>
      </c>
      <c r="H251" s="479"/>
      <c r="I251" s="479"/>
      <c r="J251" s="479"/>
      <c r="K251" s="479"/>
      <c r="L251" s="479"/>
      <c r="M251" s="479"/>
      <c r="N251" s="479"/>
      <c r="O251" s="479"/>
      <c r="P251" s="479"/>
      <c r="Q251" s="479"/>
      <c r="R251" s="479"/>
      <c r="S251" s="479"/>
      <c r="T251" s="479"/>
      <c r="U251" s="479"/>
      <c r="V251" s="479"/>
      <c r="W251" s="479"/>
      <c r="X251" s="479"/>
      <c r="Y251" s="479"/>
      <c r="Z251" s="479"/>
      <c r="AA251" s="479"/>
      <c r="AB251" s="479"/>
      <c r="AC251" s="479"/>
      <c r="AD251" s="479"/>
      <c r="AE251" s="479"/>
      <c r="AF251" s="480"/>
      <c r="AG251" s="477" t="s">
        <v>1268</v>
      </c>
      <c r="AH251" s="477"/>
      <c r="AI251" s="477"/>
      <c r="AJ251" s="477"/>
      <c r="AK251" s="477"/>
      <c r="AL251" s="477"/>
      <c r="AM251" s="477"/>
      <c r="AN251" s="477"/>
      <c r="AO251" s="9"/>
      <c r="AP251" s="9"/>
      <c r="AQ251" s="491">
        <f t="shared" si="3"/>
        <v>142</v>
      </c>
      <c r="AR251" s="491"/>
      <c r="AS251" s="478" t="s">
        <v>487</v>
      </c>
      <c r="AT251" s="479"/>
      <c r="AU251" s="479"/>
      <c r="AV251" s="479"/>
      <c r="AW251" s="479"/>
      <c r="AX251" s="479"/>
      <c r="AY251" s="479"/>
      <c r="AZ251" s="479"/>
      <c r="BA251" s="479"/>
      <c r="BB251" s="479"/>
      <c r="BC251" s="479"/>
      <c r="BD251" s="479"/>
      <c r="BE251" s="479"/>
      <c r="BF251" s="479"/>
      <c r="BG251" s="479"/>
      <c r="BH251" s="479"/>
      <c r="BI251" s="479"/>
      <c r="BJ251" s="479"/>
      <c r="BK251" s="479"/>
      <c r="BL251" s="479"/>
      <c r="BM251" s="479"/>
      <c r="BN251" s="479"/>
      <c r="BO251" s="479"/>
      <c r="BP251" s="479"/>
      <c r="BQ251" s="479"/>
      <c r="BR251" s="480"/>
      <c r="BS251" s="477" t="s">
        <v>1274</v>
      </c>
      <c r="BT251" s="477"/>
      <c r="BU251" s="477"/>
      <c r="BV251" s="477"/>
      <c r="BW251" s="477"/>
      <c r="BX251" s="477"/>
      <c r="BY251" s="477"/>
      <c r="BZ251" s="477"/>
      <c r="CA251" s="9"/>
      <c r="CB251" s="9"/>
      <c r="CC251" s="9"/>
      <c r="CD251" s="9"/>
      <c r="CE251" s="9"/>
      <c r="CF251" s="9"/>
      <c r="CG251" s="9"/>
      <c r="CH251" s="9"/>
      <c r="CI251" s="9"/>
      <c r="CJ251" s="9"/>
      <c r="CK251" s="9"/>
      <c r="CL251" s="9"/>
      <c r="CM251" s="9"/>
      <c r="CN251" s="9"/>
      <c r="CO251" s="9"/>
      <c r="CP251" s="16"/>
    </row>
    <row r="252" spans="1:94" ht="15" customHeight="1" x14ac:dyDescent="0.15">
      <c r="A252" s="15"/>
      <c r="B252" s="9"/>
      <c r="C252" s="9"/>
      <c r="D252" s="9"/>
      <c r="E252" s="491">
        <f t="shared" si="2"/>
        <v>104</v>
      </c>
      <c r="F252" s="491"/>
      <c r="G252" s="478" t="s">
        <v>502</v>
      </c>
      <c r="H252" s="479"/>
      <c r="I252" s="479"/>
      <c r="J252" s="479"/>
      <c r="K252" s="479"/>
      <c r="L252" s="479"/>
      <c r="M252" s="479"/>
      <c r="N252" s="479"/>
      <c r="O252" s="479"/>
      <c r="P252" s="479"/>
      <c r="Q252" s="479"/>
      <c r="R252" s="479"/>
      <c r="S252" s="479"/>
      <c r="T252" s="479"/>
      <c r="U252" s="479"/>
      <c r="V252" s="479"/>
      <c r="W252" s="479"/>
      <c r="X252" s="479"/>
      <c r="Y252" s="479"/>
      <c r="Z252" s="479"/>
      <c r="AA252" s="479"/>
      <c r="AB252" s="479"/>
      <c r="AC252" s="479"/>
      <c r="AD252" s="479"/>
      <c r="AE252" s="479"/>
      <c r="AF252" s="480"/>
      <c r="AG252" s="477" t="s">
        <v>436</v>
      </c>
      <c r="AH252" s="477"/>
      <c r="AI252" s="477"/>
      <c r="AJ252" s="477"/>
      <c r="AK252" s="477"/>
      <c r="AL252" s="477"/>
      <c r="AM252" s="477"/>
      <c r="AN252" s="477"/>
      <c r="AO252" s="9"/>
      <c r="AP252" s="9"/>
      <c r="AQ252" s="491">
        <f t="shared" si="3"/>
        <v>143</v>
      </c>
      <c r="AR252" s="491"/>
      <c r="AS252" s="478" t="s">
        <v>1245</v>
      </c>
      <c r="AT252" s="479"/>
      <c r="AU252" s="479"/>
      <c r="AV252" s="479"/>
      <c r="AW252" s="479"/>
      <c r="AX252" s="479"/>
      <c r="AY252" s="479"/>
      <c r="AZ252" s="479"/>
      <c r="BA252" s="479"/>
      <c r="BB252" s="479"/>
      <c r="BC252" s="479"/>
      <c r="BD252" s="479"/>
      <c r="BE252" s="479"/>
      <c r="BF252" s="479"/>
      <c r="BG252" s="479"/>
      <c r="BH252" s="479"/>
      <c r="BI252" s="479"/>
      <c r="BJ252" s="479"/>
      <c r="BK252" s="479"/>
      <c r="BL252" s="479"/>
      <c r="BM252" s="479"/>
      <c r="BN252" s="479"/>
      <c r="BO252" s="479"/>
      <c r="BP252" s="479"/>
      <c r="BQ252" s="479"/>
      <c r="BR252" s="480"/>
      <c r="BS252" s="477" t="s">
        <v>445</v>
      </c>
      <c r="BT252" s="477"/>
      <c r="BU252" s="477"/>
      <c r="BV252" s="477"/>
      <c r="BW252" s="477"/>
      <c r="BX252" s="477"/>
      <c r="BY252" s="477"/>
      <c r="BZ252" s="477"/>
      <c r="CA252" s="9"/>
      <c r="CB252" s="9"/>
      <c r="CC252" s="9"/>
      <c r="CD252" s="9"/>
      <c r="CE252" s="9"/>
      <c r="CF252" s="9"/>
      <c r="CG252" s="9"/>
      <c r="CH252" s="9"/>
      <c r="CI252" s="9"/>
      <c r="CJ252" s="9"/>
      <c r="CK252" s="9"/>
      <c r="CL252" s="9"/>
      <c r="CM252" s="9"/>
      <c r="CN252" s="9"/>
      <c r="CO252" s="9"/>
      <c r="CP252" s="16"/>
    </row>
    <row r="253" spans="1:94" ht="15" customHeight="1" x14ac:dyDescent="0.15">
      <c r="A253" s="15"/>
      <c r="B253" s="9"/>
      <c r="C253" s="9"/>
      <c r="D253" s="9"/>
      <c r="E253" s="491">
        <f t="shared" si="2"/>
        <v>105</v>
      </c>
      <c r="F253" s="491"/>
      <c r="G253" s="478" t="s">
        <v>507</v>
      </c>
      <c r="H253" s="479"/>
      <c r="I253" s="479"/>
      <c r="J253" s="479"/>
      <c r="K253" s="479"/>
      <c r="L253" s="479"/>
      <c r="M253" s="479"/>
      <c r="N253" s="479"/>
      <c r="O253" s="479"/>
      <c r="P253" s="479"/>
      <c r="Q253" s="479"/>
      <c r="R253" s="479"/>
      <c r="S253" s="479"/>
      <c r="T253" s="479"/>
      <c r="U253" s="479"/>
      <c r="V253" s="479"/>
      <c r="W253" s="479"/>
      <c r="X253" s="479"/>
      <c r="Y253" s="479"/>
      <c r="Z253" s="479"/>
      <c r="AA253" s="479"/>
      <c r="AB253" s="479"/>
      <c r="AC253" s="479"/>
      <c r="AD253" s="479"/>
      <c r="AE253" s="479"/>
      <c r="AF253" s="480"/>
      <c r="AG253" s="477" t="s">
        <v>439</v>
      </c>
      <c r="AH253" s="477"/>
      <c r="AI253" s="477"/>
      <c r="AJ253" s="477"/>
      <c r="AK253" s="477"/>
      <c r="AL253" s="477"/>
      <c r="AM253" s="477"/>
      <c r="AN253" s="477"/>
      <c r="AO253" s="9"/>
      <c r="AP253" s="9"/>
      <c r="AQ253" s="491">
        <f t="shared" si="3"/>
        <v>144</v>
      </c>
      <c r="AR253" s="491"/>
      <c r="AS253" s="478" t="s">
        <v>537</v>
      </c>
      <c r="AT253" s="479"/>
      <c r="AU253" s="479"/>
      <c r="AV253" s="479"/>
      <c r="AW253" s="479"/>
      <c r="AX253" s="479"/>
      <c r="AY253" s="479"/>
      <c r="AZ253" s="479"/>
      <c r="BA253" s="479"/>
      <c r="BB253" s="479"/>
      <c r="BC253" s="479"/>
      <c r="BD253" s="479"/>
      <c r="BE253" s="479"/>
      <c r="BF253" s="479"/>
      <c r="BG253" s="479"/>
      <c r="BH253" s="479"/>
      <c r="BI253" s="479"/>
      <c r="BJ253" s="479"/>
      <c r="BK253" s="479"/>
      <c r="BL253" s="479"/>
      <c r="BM253" s="479"/>
      <c r="BN253" s="479"/>
      <c r="BO253" s="479"/>
      <c r="BP253" s="479"/>
      <c r="BQ253" s="479"/>
      <c r="BR253" s="480"/>
      <c r="BS253" s="477" t="s">
        <v>439</v>
      </c>
      <c r="BT253" s="477"/>
      <c r="BU253" s="477"/>
      <c r="BV253" s="477"/>
      <c r="BW253" s="477"/>
      <c r="BX253" s="477"/>
      <c r="BY253" s="477"/>
      <c r="BZ253" s="477"/>
      <c r="CA253" s="9"/>
      <c r="CB253" s="9"/>
      <c r="CC253" s="9"/>
      <c r="CD253" s="9"/>
      <c r="CE253" s="9"/>
      <c r="CF253" s="9"/>
      <c r="CG253" s="9"/>
      <c r="CH253" s="9"/>
      <c r="CI253" s="9"/>
      <c r="CJ253" s="9"/>
      <c r="CK253" s="9"/>
      <c r="CL253" s="9"/>
      <c r="CM253" s="9"/>
      <c r="CN253" s="9"/>
      <c r="CO253" s="9"/>
      <c r="CP253" s="16"/>
    </row>
    <row r="254" spans="1:94" ht="15" customHeight="1" x14ac:dyDescent="0.15">
      <c r="A254" s="15"/>
      <c r="B254" s="9"/>
      <c r="C254" s="9"/>
      <c r="D254" s="9"/>
      <c r="E254" s="491">
        <f t="shared" si="2"/>
        <v>106</v>
      </c>
      <c r="F254" s="491"/>
      <c r="G254" s="478" t="s">
        <v>503</v>
      </c>
      <c r="H254" s="479"/>
      <c r="I254" s="479"/>
      <c r="J254" s="479"/>
      <c r="K254" s="479"/>
      <c r="L254" s="479"/>
      <c r="M254" s="479"/>
      <c r="N254" s="479"/>
      <c r="O254" s="479"/>
      <c r="P254" s="479"/>
      <c r="Q254" s="479"/>
      <c r="R254" s="479"/>
      <c r="S254" s="479"/>
      <c r="T254" s="479"/>
      <c r="U254" s="479"/>
      <c r="V254" s="479"/>
      <c r="W254" s="479"/>
      <c r="X254" s="479"/>
      <c r="Y254" s="479"/>
      <c r="Z254" s="479"/>
      <c r="AA254" s="479"/>
      <c r="AB254" s="479"/>
      <c r="AC254" s="479"/>
      <c r="AD254" s="479"/>
      <c r="AE254" s="479"/>
      <c r="AF254" s="480"/>
      <c r="AG254" s="477" t="s">
        <v>1268</v>
      </c>
      <c r="AH254" s="477"/>
      <c r="AI254" s="477"/>
      <c r="AJ254" s="477"/>
      <c r="AK254" s="477"/>
      <c r="AL254" s="477"/>
      <c r="AM254" s="477"/>
      <c r="AN254" s="477"/>
      <c r="AO254" s="9"/>
      <c r="AP254" s="9"/>
      <c r="AQ254" s="491">
        <f t="shared" si="3"/>
        <v>145</v>
      </c>
      <c r="AR254" s="491"/>
      <c r="AS254" s="478" t="s">
        <v>527</v>
      </c>
      <c r="AT254" s="479"/>
      <c r="AU254" s="479"/>
      <c r="AV254" s="479"/>
      <c r="AW254" s="479"/>
      <c r="AX254" s="479"/>
      <c r="AY254" s="479"/>
      <c r="AZ254" s="479"/>
      <c r="BA254" s="479"/>
      <c r="BB254" s="479"/>
      <c r="BC254" s="479"/>
      <c r="BD254" s="479"/>
      <c r="BE254" s="479"/>
      <c r="BF254" s="479"/>
      <c r="BG254" s="479"/>
      <c r="BH254" s="479"/>
      <c r="BI254" s="479"/>
      <c r="BJ254" s="479"/>
      <c r="BK254" s="479"/>
      <c r="BL254" s="479"/>
      <c r="BM254" s="479"/>
      <c r="BN254" s="479"/>
      <c r="BO254" s="479"/>
      <c r="BP254" s="479"/>
      <c r="BQ254" s="479"/>
      <c r="BR254" s="480"/>
      <c r="BS254" s="477" t="s">
        <v>1268</v>
      </c>
      <c r="BT254" s="477"/>
      <c r="BU254" s="477"/>
      <c r="BV254" s="477"/>
      <c r="BW254" s="477"/>
      <c r="BX254" s="477"/>
      <c r="BY254" s="477"/>
      <c r="BZ254" s="477"/>
      <c r="CA254" s="9"/>
      <c r="CB254" s="9"/>
      <c r="CC254" s="9"/>
      <c r="CD254" s="9"/>
      <c r="CE254" s="9"/>
      <c r="CF254" s="9"/>
      <c r="CG254" s="9"/>
      <c r="CH254" s="9"/>
      <c r="CI254" s="9"/>
      <c r="CJ254" s="9"/>
      <c r="CK254" s="9"/>
      <c r="CL254" s="9"/>
      <c r="CM254" s="9"/>
      <c r="CN254" s="9"/>
      <c r="CO254" s="9"/>
      <c r="CP254" s="16"/>
    </row>
    <row r="255" spans="1:94" ht="15" customHeight="1" x14ac:dyDescent="0.15">
      <c r="A255" s="15"/>
      <c r="B255" s="9"/>
      <c r="C255" s="9"/>
      <c r="D255" s="9"/>
      <c r="E255" s="491">
        <f t="shared" si="2"/>
        <v>107</v>
      </c>
      <c r="F255" s="491"/>
      <c r="G255" s="478" t="s">
        <v>508</v>
      </c>
      <c r="H255" s="479"/>
      <c r="I255" s="479"/>
      <c r="J255" s="479"/>
      <c r="K255" s="479"/>
      <c r="L255" s="479"/>
      <c r="M255" s="479"/>
      <c r="N255" s="479"/>
      <c r="O255" s="479"/>
      <c r="P255" s="479"/>
      <c r="Q255" s="479"/>
      <c r="R255" s="479"/>
      <c r="S255" s="479"/>
      <c r="T255" s="479"/>
      <c r="U255" s="479"/>
      <c r="V255" s="479"/>
      <c r="W255" s="479"/>
      <c r="X255" s="479"/>
      <c r="Y255" s="479"/>
      <c r="Z255" s="479"/>
      <c r="AA255" s="479"/>
      <c r="AB255" s="479"/>
      <c r="AC255" s="479"/>
      <c r="AD255" s="479"/>
      <c r="AE255" s="479"/>
      <c r="AF255" s="480"/>
      <c r="AG255" s="477" t="s">
        <v>439</v>
      </c>
      <c r="AH255" s="477"/>
      <c r="AI255" s="477"/>
      <c r="AJ255" s="477"/>
      <c r="AK255" s="477"/>
      <c r="AL255" s="477"/>
      <c r="AM255" s="477"/>
      <c r="AN255" s="477"/>
      <c r="AO255" s="9"/>
      <c r="AP255" s="9"/>
      <c r="AQ255" s="491">
        <f t="shared" si="3"/>
        <v>146</v>
      </c>
      <c r="AR255" s="491"/>
      <c r="AS255" s="478" t="s">
        <v>528</v>
      </c>
      <c r="AT255" s="479"/>
      <c r="AU255" s="479"/>
      <c r="AV255" s="479"/>
      <c r="AW255" s="479"/>
      <c r="AX255" s="479"/>
      <c r="AY255" s="479"/>
      <c r="AZ255" s="479"/>
      <c r="BA255" s="479"/>
      <c r="BB255" s="479"/>
      <c r="BC255" s="479"/>
      <c r="BD255" s="479"/>
      <c r="BE255" s="479"/>
      <c r="BF255" s="479"/>
      <c r="BG255" s="479"/>
      <c r="BH255" s="479"/>
      <c r="BI255" s="479"/>
      <c r="BJ255" s="479"/>
      <c r="BK255" s="479"/>
      <c r="BL255" s="479"/>
      <c r="BM255" s="479"/>
      <c r="BN255" s="479"/>
      <c r="BO255" s="479"/>
      <c r="BP255" s="479"/>
      <c r="BQ255" s="479"/>
      <c r="BR255" s="480"/>
      <c r="BS255" s="477" t="s">
        <v>445</v>
      </c>
      <c r="BT255" s="477"/>
      <c r="BU255" s="477"/>
      <c r="BV255" s="477"/>
      <c r="BW255" s="477"/>
      <c r="BX255" s="477"/>
      <c r="BY255" s="477"/>
      <c r="BZ255" s="477"/>
      <c r="CA255" s="9"/>
      <c r="CB255" s="9"/>
      <c r="CC255" s="9"/>
      <c r="CD255" s="9"/>
      <c r="CE255" s="9"/>
      <c r="CF255" s="9"/>
      <c r="CG255" s="9"/>
      <c r="CH255" s="9"/>
      <c r="CI255" s="9"/>
      <c r="CJ255" s="9"/>
      <c r="CK255" s="9"/>
      <c r="CL255" s="9"/>
      <c r="CM255" s="9"/>
      <c r="CN255" s="9"/>
      <c r="CO255" s="9"/>
      <c r="CP255" s="16"/>
    </row>
    <row r="256" spans="1:94" ht="15" customHeight="1" x14ac:dyDescent="0.15">
      <c r="A256" s="15"/>
      <c r="B256" s="9"/>
      <c r="C256" s="9"/>
      <c r="D256" s="9"/>
      <c r="E256" s="491">
        <f t="shared" si="2"/>
        <v>108</v>
      </c>
      <c r="F256" s="491"/>
      <c r="G256" s="478" t="s">
        <v>457</v>
      </c>
      <c r="H256" s="479"/>
      <c r="I256" s="479"/>
      <c r="J256" s="479"/>
      <c r="K256" s="479"/>
      <c r="L256" s="479"/>
      <c r="M256" s="479"/>
      <c r="N256" s="479"/>
      <c r="O256" s="479"/>
      <c r="P256" s="479"/>
      <c r="Q256" s="479"/>
      <c r="R256" s="479"/>
      <c r="S256" s="479"/>
      <c r="T256" s="479"/>
      <c r="U256" s="479"/>
      <c r="V256" s="479"/>
      <c r="W256" s="479"/>
      <c r="X256" s="479"/>
      <c r="Y256" s="479"/>
      <c r="Z256" s="479"/>
      <c r="AA256" s="479"/>
      <c r="AB256" s="479"/>
      <c r="AC256" s="479"/>
      <c r="AD256" s="479"/>
      <c r="AE256" s="479"/>
      <c r="AF256" s="480"/>
      <c r="AG256" s="477" t="s">
        <v>445</v>
      </c>
      <c r="AH256" s="477"/>
      <c r="AI256" s="477"/>
      <c r="AJ256" s="477"/>
      <c r="AK256" s="477"/>
      <c r="AL256" s="477"/>
      <c r="AM256" s="477"/>
      <c r="AN256" s="477"/>
      <c r="AO256" s="9"/>
      <c r="AP256" s="9"/>
      <c r="AQ256" s="491">
        <f t="shared" si="3"/>
        <v>147</v>
      </c>
      <c r="AR256" s="491"/>
      <c r="AS256" s="478" t="s">
        <v>530</v>
      </c>
      <c r="AT256" s="479"/>
      <c r="AU256" s="479"/>
      <c r="AV256" s="479"/>
      <c r="AW256" s="479"/>
      <c r="AX256" s="479"/>
      <c r="AY256" s="479"/>
      <c r="AZ256" s="479"/>
      <c r="BA256" s="479"/>
      <c r="BB256" s="479"/>
      <c r="BC256" s="479"/>
      <c r="BD256" s="479"/>
      <c r="BE256" s="479"/>
      <c r="BF256" s="479"/>
      <c r="BG256" s="479"/>
      <c r="BH256" s="479"/>
      <c r="BI256" s="479"/>
      <c r="BJ256" s="479"/>
      <c r="BK256" s="479"/>
      <c r="BL256" s="479"/>
      <c r="BM256" s="479"/>
      <c r="BN256" s="479"/>
      <c r="BO256" s="479"/>
      <c r="BP256" s="479"/>
      <c r="BQ256" s="479"/>
      <c r="BR256" s="480"/>
      <c r="BS256" s="477" t="s">
        <v>436</v>
      </c>
      <c r="BT256" s="477"/>
      <c r="BU256" s="477"/>
      <c r="BV256" s="477"/>
      <c r="BW256" s="477"/>
      <c r="BX256" s="477"/>
      <c r="BY256" s="477"/>
      <c r="BZ256" s="477"/>
      <c r="CA256" s="9"/>
      <c r="CB256" s="9"/>
      <c r="CC256" s="9"/>
      <c r="CD256" s="9"/>
      <c r="CE256" s="9"/>
      <c r="CF256" s="9"/>
      <c r="CG256" s="9"/>
      <c r="CH256" s="9"/>
      <c r="CI256" s="9"/>
      <c r="CJ256" s="9"/>
      <c r="CK256" s="9"/>
      <c r="CL256" s="9"/>
      <c r="CM256" s="9"/>
      <c r="CN256" s="9"/>
      <c r="CO256" s="9"/>
      <c r="CP256" s="16"/>
    </row>
    <row r="257" spans="1:94" ht="15" customHeight="1" x14ac:dyDescent="0.15">
      <c r="A257" s="15"/>
      <c r="B257" s="9"/>
      <c r="C257" s="9"/>
      <c r="D257" s="9"/>
      <c r="E257" s="491">
        <f t="shared" si="2"/>
        <v>109</v>
      </c>
      <c r="F257" s="491"/>
      <c r="G257" s="478" t="s">
        <v>1240</v>
      </c>
      <c r="H257" s="479"/>
      <c r="I257" s="479"/>
      <c r="J257" s="479"/>
      <c r="K257" s="479"/>
      <c r="L257" s="479"/>
      <c r="M257" s="479"/>
      <c r="N257" s="479"/>
      <c r="O257" s="479"/>
      <c r="P257" s="479"/>
      <c r="Q257" s="479"/>
      <c r="R257" s="479"/>
      <c r="S257" s="479"/>
      <c r="T257" s="479"/>
      <c r="U257" s="479"/>
      <c r="V257" s="479"/>
      <c r="W257" s="479"/>
      <c r="X257" s="479"/>
      <c r="Y257" s="479"/>
      <c r="Z257" s="479"/>
      <c r="AA257" s="479"/>
      <c r="AB257" s="479"/>
      <c r="AC257" s="479"/>
      <c r="AD257" s="479"/>
      <c r="AE257" s="479"/>
      <c r="AF257" s="480"/>
      <c r="AG257" s="477" t="s">
        <v>445</v>
      </c>
      <c r="AH257" s="477"/>
      <c r="AI257" s="477"/>
      <c r="AJ257" s="477"/>
      <c r="AK257" s="477"/>
      <c r="AL257" s="477"/>
      <c r="AM257" s="477"/>
      <c r="AN257" s="477"/>
      <c r="AO257" s="9"/>
      <c r="AP257" s="9"/>
      <c r="AQ257" s="491">
        <f t="shared" si="3"/>
        <v>148</v>
      </c>
      <c r="AR257" s="491"/>
      <c r="AS257" s="478" t="s">
        <v>1246</v>
      </c>
      <c r="AT257" s="479"/>
      <c r="AU257" s="479"/>
      <c r="AV257" s="479"/>
      <c r="AW257" s="479"/>
      <c r="AX257" s="479"/>
      <c r="AY257" s="479"/>
      <c r="AZ257" s="479"/>
      <c r="BA257" s="479"/>
      <c r="BB257" s="479"/>
      <c r="BC257" s="479"/>
      <c r="BD257" s="479"/>
      <c r="BE257" s="479"/>
      <c r="BF257" s="479"/>
      <c r="BG257" s="479"/>
      <c r="BH257" s="479"/>
      <c r="BI257" s="479"/>
      <c r="BJ257" s="479"/>
      <c r="BK257" s="479"/>
      <c r="BL257" s="479"/>
      <c r="BM257" s="479"/>
      <c r="BN257" s="479"/>
      <c r="BO257" s="479"/>
      <c r="BP257" s="479"/>
      <c r="BQ257" s="479"/>
      <c r="BR257" s="480"/>
      <c r="BS257" s="477" t="s">
        <v>436</v>
      </c>
      <c r="BT257" s="477"/>
      <c r="BU257" s="477"/>
      <c r="BV257" s="477"/>
      <c r="BW257" s="477"/>
      <c r="BX257" s="477"/>
      <c r="BY257" s="477"/>
      <c r="BZ257" s="477"/>
      <c r="CA257" s="9"/>
      <c r="CB257" s="9"/>
      <c r="CC257" s="9"/>
      <c r="CD257" s="9"/>
      <c r="CE257" s="9"/>
      <c r="CF257" s="9"/>
      <c r="CG257" s="9"/>
      <c r="CH257" s="9"/>
      <c r="CI257" s="9"/>
      <c r="CJ257" s="9"/>
      <c r="CK257" s="9"/>
      <c r="CL257" s="9"/>
      <c r="CM257" s="9"/>
      <c r="CN257" s="9"/>
      <c r="CO257" s="9"/>
      <c r="CP257" s="16"/>
    </row>
    <row r="258" spans="1:94" ht="15" customHeight="1" x14ac:dyDescent="0.15">
      <c r="A258" s="15"/>
      <c r="B258" s="9"/>
      <c r="C258" s="9"/>
      <c r="D258" s="9"/>
      <c r="E258" s="491">
        <f t="shared" si="2"/>
        <v>110</v>
      </c>
      <c r="F258" s="491"/>
      <c r="G258" s="478" t="s">
        <v>459</v>
      </c>
      <c r="H258" s="479"/>
      <c r="I258" s="479"/>
      <c r="J258" s="479"/>
      <c r="K258" s="479"/>
      <c r="L258" s="479"/>
      <c r="M258" s="479"/>
      <c r="N258" s="479"/>
      <c r="O258" s="479"/>
      <c r="P258" s="479"/>
      <c r="Q258" s="479"/>
      <c r="R258" s="479"/>
      <c r="S258" s="479"/>
      <c r="T258" s="479"/>
      <c r="U258" s="479"/>
      <c r="V258" s="479"/>
      <c r="W258" s="479"/>
      <c r="X258" s="479"/>
      <c r="Y258" s="479"/>
      <c r="Z258" s="479"/>
      <c r="AA258" s="479"/>
      <c r="AB258" s="479"/>
      <c r="AC258" s="479"/>
      <c r="AD258" s="479"/>
      <c r="AE258" s="479"/>
      <c r="AF258" s="480"/>
      <c r="AG258" s="477" t="s">
        <v>436</v>
      </c>
      <c r="AH258" s="477"/>
      <c r="AI258" s="477"/>
      <c r="AJ258" s="477"/>
      <c r="AK258" s="477"/>
      <c r="AL258" s="477"/>
      <c r="AM258" s="477"/>
      <c r="AN258" s="477"/>
      <c r="AO258" s="9"/>
      <c r="AP258" s="9"/>
      <c r="AQ258" s="491">
        <f t="shared" si="3"/>
        <v>149</v>
      </c>
      <c r="AR258" s="491"/>
      <c r="AS258" s="478" t="s">
        <v>540</v>
      </c>
      <c r="AT258" s="479"/>
      <c r="AU258" s="479"/>
      <c r="AV258" s="479"/>
      <c r="AW258" s="479"/>
      <c r="AX258" s="479"/>
      <c r="AY258" s="479"/>
      <c r="AZ258" s="479"/>
      <c r="BA258" s="479"/>
      <c r="BB258" s="479"/>
      <c r="BC258" s="479"/>
      <c r="BD258" s="479"/>
      <c r="BE258" s="479"/>
      <c r="BF258" s="479"/>
      <c r="BG258" s="479"/>
      <c r="BH258" s="479"/>
      <c r="BI258" s="479"/>
      <c r="BJ258" s="479"/>
      <c r="BK258" s="479"/>
      <c r="BL258" s="479"/>
      <c r="BM258" s="479"/>
      <c r="BN258" s="479"/>
      <c r="BO258" s="479"/>
      <c r="BP258" s="479"/>
      <c r="BQ258" s="479"/>
      <c r="BR258" s="480"/>
      <c r="BS258" s="477" t="s">
        <v>1272</v>
      </c>
      <c r="BT258" s="477"/>
      <c r="BU258" s="477"/>
      <c r="BV258" s="477"/>
      <c r="BW258" s="477"/>
      <c r="BX258" s="477"/>
      <c r="BY258" s="477"/>
      <c r="BZ258" s="477"/>
      <c r="CA258" s="9"/>
      <c r="CB258" s="9"/>
      <c r="CC258" s="9"/>
      <c r="CD258" s="9"/>
      <c r="CE258" s="9"/>
      <c r="CF258" s="9"/>
      <c r="CG258" s="9"/>
      <c r="CH258" s="9"/>
      <c r="CI258" s="9"/>
      <c r="CJ258" s="9"/>
      <c r="CK258" s="9"/>
      <c r="CL258" s="9"/>
      <c r="CM258" s="9"/>
      <c r="CN258" s="9"/>
      <c r="CO258" s="9"/>
      <c r="CP258" s="16"/>
    </row>
    <row r="259" spans="1:94" ht="15" customHeight="1" x14ac:dyDescent="0.15">
      <c r="A259" s="15"/>
      <c r="B259" s="9"/>
      <c r="C259" s="9"/>
      <c r="D259" s="9"/>
      <c r="E259" s="491">
        <f t="shared" si="2"/>
        <v>111</v>
      </c>
      <c r="F259" s="491"/>
      <c r="G259" s="478" t="s">
        <v>1241</v>
      </c>
      <c r="H259" s="479"/>
      <c r="I259" s="479"/>
      <c r="J259" s="479"/>
      <c r="K259" s="479"/>
      <c r="L259" s="479"/>
      <c r="M259" s="479"/>
      <c r="N259" s="479"/>
      <c r="O259" s="479"/>
      <c r="P259" s="479"/>
      <c r="Q259" s="479"/>
      <c r="R259" s="479"/>
      <c r="S259" s="479"/>
      <c r="T259" s="479"/>
      <c r="U259" s="479"/>
      <c r="V259" s="479"/>
      <c r="W259" s="479"/>
      <c r="X259" s="479"/>
      <c r="Y259" s="479"/>
      <c r="Z259" s="479"/>
      <c r="AA259" s="479"/>
      <c r="AB259" s="479"/>
      <c r="AC259" s="479"/>
      <c r="AD259" s="479"/>
      <c r="AE259" s="479"/>
      <c r="AF259" s="480"/>
      <c r="AG259" s="477" t="s">
        <v>1273</v>
      </c>
      <c r="AH259" s="477"/>
      <c r="AI259" s="477"/>
      <c r="AJ259" s="477"/>
      <c r="AK259" s="477"/>
      <c r="AL259" s="477"/>
      <c r="AM259" s="477"/>
      <c r="AN259" s="477"/>
      <c r="AO259" s="9"/>
      <c r="AP259" s="9"/>
      <c r="AQ259" s="491">
        <f t="shared" si="3"/>
        <v>150</v>
      </c>
      <c r="AR259" s="491"/>
      <c r="AS259" s="478" t="s">
        <v>525</v>
      </c>
      <c r="AT259" s="479"/>
      <c r="AU259" s="479"/>
      <c r="AV259" s="479"/>
      <c r="AW259" s="479"/>
      <c r="AX259" s="479"/>
      <c r="AY259" s="479"/>
      <c r="AZ259" s="479"/>
      <c r="BA259" s="479"/>
      <c r="BB259" s="479"/>
      <c r="BC259" s="479"/>
      <c r="BD259" s="479"/>
      <c r="BE259" s="479"/>
      <c r="BF259" s="479"/>
      <c r="BG259" s="479"/>
      <c r="BH259" s="479"/>
      <c r="BI259" s="479"/>
      <c r="BJ259" s="479"/>
      <c r="BK259" s="479"/>
      <c r="BL259" s="479"/>
      <c r="BM259" s="479"/>
      <c r="BN259" s="479"/>
      <c r="BO259" s="479"/>
      <c r="BP259" s="479"/>
      <c r="BQ259" s="479"/>
      <c r="BR259" s="480"/>
      <c r="BS259" s="477" t="s">
        <v>436</v>
      </c>
      <c r="BT259" s="477"/>
      <c r="BU259" s="477"/>
      <c r="BV259" s="477"/>
      <c r="BW259" s="477"/>
      <c r="BX259" s="477"/>
      <c r="BY259" s="477"/>
      <c r="BZ259" s="477"/>
      <c r="CA259" s="9"/>
      <c r="CB259" s="9"/>
      <c r="CC259" s="9"/>
      <c r="CD259" s="9"/>
      <c r="CE259" s="9"/>
      <c r="CF259" s="9"/>
      <c r="CG259" s="9"/>
      <c r="CH259" s="9"/>
      <c r="CI259" s="9"/>
      <c r="CJ259" s="9"/>
      <c r="CK259" s="9"/>
      <c r="CL259" s="9"/>
      <c r="CM259" s="9"/>
      <c r="CN259" s="9"/>
      <c r="CO259" s="9"/>
      <c r="CP259" s="16"/>
    </row>
    <row r="260" spans="1:94" ht="15" customHeight="1" x14ac:dyDescent="0.15">
      <c r="A260" s="15"/>
      <c r="B260" s="9"/>
      <c r="C260" s="9"/>
      <c r="D260" s="9"/>
      <c r="E260" s="491">
        <f t="shared" si="2"/>
        <v>112</v>
      </c>
      <c r="F260" s="491"/>
      <c r="G260" s="478" t="s">
        <v>510</v>
      </c>
      <c r="H260" s="479"/>
      <c r="I260" s="479"/>
      <c r="J260" s="479"/>
      <c r="K260" s="479"/>
      <c r="L260" s="479"/>
      <c r="M260" s="479"/>
      <c r="N260" s="479"/>
      <c r="O260" s="479"/>
      <c r="P260" s="479"/>
      <c r="Q260" s="479"/>
      <c r="R260" s="479"/>
      <c r="S260" s="479"/>
      <c r="T260" s="479"/>
      <c r="U260" s="479"/>
      <c r="V260" s="479"/>
      <c r="W260" s="479"/>
      <c r="X260" s="479"/>
      <c r="Y260" s="479"/>
      <c r="Z260" s="479"/>
      <c r="AA260" s="479"/>
      <c r="AB260" s="479"/>
      <c r="AC260" s="479"/>
      <c r="AD260" s="479"/>
      <c r="AE260" s="479"/>
      <c r="AF260" s="480"/>
      <c r="AG260" s="477" t="s">
        <v>436</v>
      </c>
      <c r="AH260" s="477"/>
      <c r="AI260" s="477"/>
      <c r="AJ260" s="477"/>
      <c r="AK260" s="477"/>
      <c r="AL260" s="477"/>
      <c r="AM260" s="477"/>
      <c r="AN260" s="477"/>
      <c r="AO260" s="9"/>
      <c r="AP260" s="9"/>
      <c r="AQ260" s="491">
        <f t="shared" si="3"/>
        <v>151</v>
      </c>
      <c r="AR260" s="491"/>
      <c r="AS260" s="478" t="s">
        <v>545</v>
      </c>
      <c r="AT260" s="479"/>
      <c r="AU260" s="479"/>
      <c r="AV260" s="479"/>
      <c r="AW260" s="479"/>
      <c r="AX260" s="479"/>
      <c r="AY260" s="479"/>
      <c r="AZ260" s="479"/>
      <c r="BA260" s="479"/>
      <c r="BB260" s="479"/>
      <c r="BC260" s="479"/>
      <c r="BD260" s="479"/>
      <c r="BE260" s="479"/>
      <c r="BF260" s="479"/>
      <c r="BG260" s="479"/>
      <c r="BH260" s="479"/>
      <c r="BI260" s="479"/>
      <c r="BJ260" s="479"/>
      <c r="BK260" s="479"/>
      <c r="BL260" s="479"/>
      <c r="BM260" s="479"/>
      <c r="BN260" s="479"/>
      <c r="BO260" s="479"/>
      <c r="BP260" s="479"/>
      <c r="BQ260" s="479"/>
      <c r="BR260" s="480"/>
      <c r="BS260" s="477" t="s">
        <v>1268</v>
      </c>
      <c r="BT260" s="477"/>
      <c r="BU260" s="477"/>
      <c r="BV260" s="477"/>
      <c r="BW260" s="477"/>
      <c r="BX260" s="477"/>
      <c r="BY260" s="477"/>
      <c r="BZ260" s="477"/>
      <c r="CA260" s="9"/>
      <c r="CB260" s="9"/>
      <c r="CC260" s="9"/>
      <c r="CD260" s="9"/>
      <c r="CE260" s="9"/>
      <c r="CF260" s="9"/>
      <c r="CG260" s="9"/>
      <c r="CH260" s="9"/>
      <c r="CI260" s="9"/>
      <c r="CJ260" s="9"/>
      <c r="CK260" s="9"/>
      <c r="CL260" s="9"/>
      <c r="CM260" s="9"/>
      <c r="CN260" s="9"/>
      <c r="CO260" s="9"/>
      <c r="CP260" s="16"/>
    </row>
    <row r="261" spans="1:94" ht="15" customHeight="1" x14ac:dyDescent="0.15">
      <c r="A261" s="15"/>
      <c r="B261" s="9"/>
      <c r="C261" s="9"/>
      <c r="D261" s="9"/>
      <c r="E261" s="491">
        <f t="shared" si="2"/>
        <v>113</v>
      </c>
      <c r="F261" s="491"/>
      <c r="G261" s="478" t="s">
        <v>511</v>
      </c>
      <c r="H261" s="479"/>
      <c r="I261" s="479"/>
      <c r="J261" s="479"/>
      <c r="K261" s="479"/>
      <c r="L261" s="479"/>
      <c r="M261" s="479"/>
      <c r="N261" s="479"/>
      <c r="O261" s="479"/>
      <c r="P261" s="479"/>
      <c r="Q261" s="479"/>
      <c r="R261" s="479"/>
      <c r="S261" s="479"/>
      <c r="T261" s="479"/>
      <c r="U261" s="479"/>
      <c r="V261" s="479"/>
      <c r="W261" s="479"/>
      <c r="X261" s="479"/>
      <c r="Y261" s="479"/>
      <c r="Z261" s="479"/>
      <c r="AA261" s="479"/>
      <c r="AB261" s="479"/>
      <c r="AC261" s="479"/>
      <c r="AD261" s="479"/>
      <c r="AE261" s="479"/>
      <c r="AF261" s="480"/>
      <c r="AG261" s="477" t="s">
        <v>436</v>
      </c>
      <c r="AH261" s="477"/>
      <c r="AI261" s="477"/>
      <c r="AJ261" s="477"/>
      <c r="AK261" s="477"/>
      <c r="AL261" s="477"/>
      <c r="AM261" s="477"/>
      <c r="AN261" s="477"/>
      <c r="AO261" s="9"/>
      <c r="AP261" s="9"/>
      <c r="AQ261" s="491">
        <f t="shared" si="3"/>
        <v>152</v>
      </c>
      <c r="AR261" s="491"/>
      <c r="AS261" s="478" t="s">
        <v>541</v>
      </c>
      <c r="AT261" s="479"/>
      <c r="AU261" s="479"/>
      <c r="AV261" s="479"/>
      <c r="AW261" s="479"/>
      <c r="AX261" s="479"/>
      <c r="AY261" s="479"/>
      <c r="AZ261" s="479"/>
      <c r="BA261" s="479"/>
      <c r="BB261" s="479"/>
      <c r="BC261" s="479"/>
      <c r="BD261" s="479"/>
      <c r="BE261" s="479"/>
      <c r="BF261" s="479"/>
      <c r="BG261" s="479"/>
      <c r="BH261" s="479"/>
      <c r="BI261" s="479"/>
      <c r="BJ261" s="479"/>
      <c r="BK261" s="479"/>
      <c r="BL261" s="479"/>
      <c r="BM261" s="479"/>
      <c r="BN261" s="479"/>
      <c r="BO261" s="479"/>
      <c r="BP261" s="479"/>
      <c r="BQ261" s="479"/>
      <c r="BR261" s="480"/>
      <c r="BS261" s="477" t="s">
        <v>445</v>
      </c>
      <c r="BT261" s="477"/>
      <c r="BU261" s="477"/>
      <c r="BV261" s="477"/>
      <c r="BW261" s="477"/>
      <c r="BX261" s="477"/>
      <c r="BY261" s="477"/>
      <c r="BZ261" s="477"/>
      <c r="CA261" s="9"/>
      <c r="CB261" s="9"/>
      <c r="CC261" s="9"/>
      <c r="CD261" s="9"/>
      <c r="CE261" s="9"/>
      <c r="CF261" s="9"/>
      <c r="CG261" s="9"/>
      <c r="CH261" s="9"/>
      <c r="CI261" s="9"/>
      <c r="CJ261" s="9"/>
      <c r="CK261" s="9"/>
      <c r="CL261" s="9"/>
      <c r="CM261" s="9"/>
      <c r="CN261" s="9"/>
      <c r="CO261" s="9"/>
      <c r="CP261" s="16"/>
    </row>
    <row r="262" spans="1:94" ht="15" customHeight="1" x14ac:dyDescent="0.15">
      <c r="A262" s="15"/>
      <c r="B262" s="9"/>
      <c r="C262" s="9"/>
      <c r="D262" s="9"/>
      <c r="E262" s="491">
        <f t="shared" si="2"/>
        <v>114</v>
      </c>
      <c r="F262" s="491"/>
      <c r="G262" s="478" t="s">
        <v>512</v>
      </c>
      <c r="H262" s="479"/>
      <c r="I262" s="479"/>
      <c r="J262" s="479"/>
      <c r="K262" s="479"/>
      <c r="L262" s="479"/>
      <c r="M262" s="479"/>
      <c r="N262" s="479"/>
      <c r="O262" s="479"/>
      <c r="P262" s="479"/>
      <c r="Q262" s="479"/>
      <c r="R262" s="479"/>
      <c r="S262" s="479"/>
      <c r="T262" s="479"/>
      <c r="U262" s="479"/>
      <c r="V262" s="479"/>
      <c r="W262" s="479"/>
      <c r="X262" s="479"/>
      <c r="Y262" s="479"/>
      <c r="Z262" s="479"/>
      <c r="AA262" s="479"/>
      <c r="AB262" s="479"/>
      <c r="AC262" s="479"/>
      <c r="AD262" s="479"/>
      <c r="AE262" s="479"/>
      <c r="AF262" s="480"/>
      <c r="AG262" s="477" t="s">
        <v>436</v>
      </c>
      <c r="AH262" s="477"/>
      <c r="AI262" s="477"/>
      <c r="AJ262" s="477"/>
      <c r="AK262" s="477"/>
      <c r="AL262" s="477"/>
      <c r="AM262" s="477"/>
      <c r="AN262" s="477"/>
      <c r="AO262" s="9"/>
      <c r="AP262" s="9"/>
      <c r="AQ262" s="491">
        <f t="shared" si="3"/>
        <v>153</v>
      </c>
      <c r="AR262" s="491"/>
      <c r="AS262" s="478" t="s">
        <v>543</v>
      </c>
      <c r="AT262" s="479"/>
      <c r="AU262" s="479"/>
      <c r="AV262" s="479"/>
      <c r="AW262" s="479"/>
      <c r="AX262" s="479"/>
      <c r="AY262" s="479"/>
      <c r="AZ262" s="479"/>
      <c r="BA262" s="479"/>
      <c r="BB262" s="479"/>
      <c r="BC262" s="479"/>
      <c r="BD262" s="479"/>
      <c r="BE262" s="479"/>
      <c r="BF262" s="479"/>
      <c r="BG262" s="479"/>
      <c r="BH262" s="479"/>
      <c r="BI262" s="479"/>
      <c r="BJ262" s="479"/>
      <c r="BK262" s="479"/>
      <c r="BL262" s="479"/>
      <c r="BM262" s="479"/>
      <c r="BN262" s="479"/>
      <c r="BO262" s="479"/>
      <c r="BP262" s="479"/>
      <c r="BQ262" s="479"/>
      <c r="BR262" s="480"/>
      <c r="BS262" s="477" t="s">
        <v>439</v>
      </c>
      <c r="BT262" s="477"/>
      <c r="BU262" s="477"/>
      <c r="BV262" s="477"/>
      <c r="BW262" s="477"/>
      <c r="BX262" s="477"/>
      <c r="BY262" s="477"/>
      <c r="BZ262" s="477"/>
      <c r="CA262" s="9"/>
      <c r="CB262" s="9"/>
      <c r="CC262" s="9"/>
      <c r="CD262" s="9"/>
      <c r="CE262" s="9"/>
      <c r="CF262" s="9"/>
      <c r="CG262" s="9"/>
      <c r="CH262" s="9"/>
      <c r="CI262" s="9"/>
      <c r="CJ262" s="9"/>
      <c r="CK262" s="9"/>
      <c r="CL262" s="9"/>
      <c r="CM262" s="9"/>
      <c r="CN262" s="9"/>
      <c r="CO262" s="9"/>
      <c r="CP262" s="16"/>
    </row>
    <row r="263" spans="1:94" ht="15" customHeight="1" x14ac:dyDescent="0.15">
      <c r="A263" s="15"/>
      <c r="B263" s="9"/>
      <c r="C263" s="9"/>
      <c r="D263" s="9"/>
      <c r="E263" s="491">
        <f t="shared" si="2"/>
        <v>115</v>
      </c>
      <c r="F263" s="491"/>
      <c r="G263" s="478" t="s">
        <v>588</v>
      </c>
      <c r="H263" s="479"/>
      <c r="I263" s="479"/>
      <c r="J263" s="479"/>
      <c r="K263" s="479"/>
      <c r="L263" s="479"/>
      <c r="M263" s="479"/>
      <c r="N263" s="479"/>
      <c r="O263" s="479"/>
      <c r="P263" s="479"/>
      <c r="Q263" s="479"/>
      <c r="R263" s="479"/>
      <c r="S263" s="479"/>
      <c r="T263" s="479"/>
      <c r="U263" s="479"/>
      <c r="V263" s="479"/>
      <c r="W263" s="479"/>
      <c r="X263" s="479"/>
      <c r="Y263" s="479"/>
      <c r="Z263" s="479"/>
      <c r="AA263" s="479"/>
      <c r="AB263" s="479"/>
      <c r="AC263" s="479"/>
      <c r="AD263" s="479"/>
      <c r="AE263" s="479"/>
      <c r="AF263" s="480"/>
      <c r="AG263" s="477" t="s">
        <v>1268</v>
      </c>
      <c r="AH263" s="477"/>
      <c r="AI263" s="477"/>
      <c r="AJ263" s="477"/>
      <c r="AK263" s="477"/>
      <c r="AL263" s="477"/>
      <c r="AM263" s="477"/>
      <c r="AN263" s="477"/>
      <c r="AO263" s="9"/>
      <c r="AP263" s="9"/>
      <c r="AQ263" s="491">
        <f t="shared" si="3"/>
        <v>154</v>
      </c>
      <c r="AR263" s="491"/>
      <c r="AS263" s="478" t="s">
        <v>582</v>
      </c>
      <c r="AT263" s="479"/>
      <c r="AU263" s="479"/>
      <c r="AV263" s="479"/>
      <c r="AW263" s="479"/>
      <c r="AX263" s="479"/>
      <c r="AY263" s="479"/>
      <c r="AZ263" s="479"/>
      <c r="BA263" s="479"/>
      <c r="BB263" s="479"/>
      <c r="BC263" s="479"/>
      <c r="BD263" s="479"/>
      <c r="BE263" s="479"/>
      <c r="BF263" s="479"/>
      <c r="BG263" s="479"/>
      <c r="BH263" s="479"/>
      <c r="BI263" s="479"/>
      <c r="BJ263" s="479"/>
      <c r="BK263" s="479"/>
      <c r="BL263" s="479"/>
      <c r="BM263" s="479"/>
      <c r="BN263" s="479"/>
      <c r="BO263" s="479"/>
      <c r="BP263" s="479"/>
      <c r="BQ263" s="479"/>
      <c r="BR263" s="480"/>
      <c r="BS263" s="477" t="s">
        <v>436</v>
      </c>
      <c r="BT263" s="477"/>
      <c r="BU263" s="477"/>
      <c r="BV263" s="477"/>
      <c r="BW263" s="477"/>
      <c r="BX263" s="477"/>
      <c r="BY263" s="477"/>
      <c r="BZ263" s="477"/>
      <c r="CA263" s="9"/>
      <c r="CB263" s="9"/>
      <c r="CC263" s="9"/>
      <c r="CD263" s="9"/>
      <c r="CE263" s="9"/>
      <c r="CF263" s="9"/>
      <c r="CG263" s="9"/>
      <c r="CH263" s="9"/>
      <c r="CI263" s="9"/>
      <c r="CJ263" s="9"/>
      <c r="CK263" s="9"/>
      <c r="CL263" s="9"/>
      <c r="CM263" s="9"/>
      <c r="CN263" s="9"/>
      <c r="CO263" s="9"/>
      <c r="CP263" s="16"/>
    </row>
    <row r="264" spans="1:94" ht="15" customHeight="1" x14ac:dyDescent="0.15">
      <c r="A264" s="15"/>
      <c r="B264" s="9"/>
      <c r="C264" s="9"/>
      <c r="D264" s="9"/>
      <c r="E264" s="491">
        <f t="shared" si="2"/>
        <v>116</v>
      </c>
      <c r="F264" s="491"/>
      <c r="G264" s="506" t="s">
        <v>1242</v>
      </c>
      <c r="H264" s="507"/>
      <c r="I264" s="507"/>
      <c r="J264" s="507"/>
      <c r="K264" s="507"/>
      <c r="L264" s="507"/>
      <c r="M264" s="507"/>
      <c r="N264" s="507"/>
      <c r="O264" s="507"/>
      <c r="P264" s="507"/>
      <c r="Q264" s="507"/>
      <c r="R264" s="507"/>
      <c r="S264" s="507"/>
      <c r="T264" s="507"/>
      <c r="U264" s="507"/>
      <c r="V264" s="507"/>
      <c r="W264" s="507"/>
      <c r="X264" s="507"/>
      <c r="Y264" s="507"/>
      <c r="Z264" s="507"/>
      <c r="AA264" s="507"/>
      <c r="AB264" s="507"/>
      <c r="AC264" s="507"/>
      <c r="AD264" s="507"/>
      <c r="AE264" s="507"/>
      <c r="AF264" s="508"/>
      <c r="AG264" s="547" t="s">
        <v>439</v>
      </c>
      <c r="AH264" s="547"/>
      <c r="AI264" s="547"/>
      <c r="AJ264" s="547"/>
      <c r="AK264" s="547"/>
      <c r="AL264" s="547"/>
      <c r="AM264" s="547"/>
      <c r="AN264" s="547"/>
      <c r="AO264" s="9"/>
      <c r="AP264" s="9"/>
      <c r="AQ264" s="491">
        <f t="shared" si="3"/>
        <v>155</v>
      </c>
      <c r="AR264" s="491"/>
      <c r="AS264" s="478" t="s">
        <v>544</v>
      </c>
      <c r="AT264" s="479"/>
      <c r="AU264" s="479"/>
      <c r="AV264" s="479"/>
      <c r="AW264" s="479"/>
      <c r="AX264" s="479"/>
      <c r="AY264" s="479"/>
      <c r="AZ264" s="479"/>
      <c r="BA264" s="479"/>
      <c r="BB264" s="479"/>
      <c r="BC264" s="479"/>
      <c r="BD264" s="479"/>
      <c r="BE264" s="479"/>
      <c r="BF264" s="479"/>
      <c r="BG264" s="479"/>
      <c r="BH264" s="479"/>
      <c r="BI264" s="479"/>
      <c r="BJ264" s="479"/>
      <c r="BK264" s="479"/>
      <c r="BL264" s="479"/>
      <c r="BM264" s="479"/>
      <c r="BN264" s="479"/>
      <c r="BO264" s="479"/>
      <c r="BP264" s="479"/>
      <c r="BQ264" s="479"/>
      <c r="BR264" s="480"/>
      <c r="BS264" s="477" t="s">
        <v>1272</v>
      </c>
      <c r="BT264" s="477"/>
      <c r="BU264" s="477"/>
      <c r="BV264" s="477"/>
      <c r="BW264" s="477"/>
      <c r="BX264" s="477"/>
      <c r="BY264" s="477"/>
      <c r="BZ264" s="477"/>
      <c r="CA264" s="9"/>
      <c r="CB264" s="9"/>
      <c r="CC264" s="9"/>
      <c r="CD264" s="9"/>
      <c r="CE264" s="9"/>
      <c r="CF264" s="9"/>
      <c r="CG264" s="9"/>
      <c r="CH264" s="9"/>
      <c r="CI264" s="9"/>
      <c r="CJ264" s="9"/>
      <c r="CK264" s="9"/>
      <c r="CL264" s="9"/>
      <c r="CM264" s="9"/>
      <c r="CN264" s="9"/>
      <c r="CO264" s="9"/>
      <c r="CP264" s="16"/>
    </row>
    <row r="265" spans="1:94" ht="15" customHeight="1" x14ac:dyDescent="0.15">
      <c r="A265" s="15"/>
      <c r="B265" s="9"/>
      <c r="C265" s="9"/>
      <c r="D265" s="9"/>
      <c r="E265" s="491">
        <f t="shared" si="2"/>
        <v>117</v>
      </c>
      <c r="F265" s="491"/>
      <c r="G265" s="478" t="s">
        <v>514</v>
      </c>
      <c r="H265" s="479"/>
      <c r="I265" s="479"/>
      <c r="J265" s="479"/>
      <c r="K265" s="479"/>
      <c r="L265" s="479"/>
      <c r="M265" s="479"/>
      <c r="N265" s="479"/>
      <c r="O265" s="479"/>
      <c r="P265" s="479"/>
      <c r="Q265" s="479"/>
      <c r="R265" s="479"/>
      <c r="S265" s="479"/>
      <c r="T265" s="479"/>
      <c r="U265" s="479"/>
      <c r="V265" s="479"/>
      <c r="W265" s="479"/>
      <c r="X265" s="479"/>
      <c r="Y265" s="479"/>
      <c r="Z265" s="479"/>
      <c r="AA265" s="479"/>
      <c r="AB265" s="479"/>
      <c r="AC265" s="479"/>
      <c r="AD265" s="479"/>
      <c r="AE265" s="479"/>
      <c r="AF265" s="480"/>
      <c r="AG265" s="477" t="s">
        <v>439</v>
      </c>
      <c r="AH265" s="477"/>
      <c r="AI265" s="477"/>
      <c r="AJ265" s="477"/>
      <c r="AK265" s="477"/>
      <c r="AL265" s="477"/>
      <c r="AM265" s="477"/>
      <c r="AN265" s="477"/>
      <c r="AO265" s="9"/>
      <c r="AP265" s="9"/>
      <c r="AQ265" s="491">
        <f t="shared" si="3"/>
        <v>156</v>
      </c>
      <c r="AR265" s="491"/>
      <c r="AS265" s="478" t="s">
        <v>552</v>
      </c>
      <c r="AT265" s="479"/>
      <c r="AU265" s="479"/>
      <c r="AV265" s="479"/>
      <c r="AW265" s="479"/>
      <c r="AX265" s="479"/>
      <c r="AY265" s="479"/>
      <c r="AZ265" s="479"/>
      <c r="BA265" s="479"/>
      <c r="BB265" s="479"/>
      <c r="BC265" s="479"/>
      <c r="BD265" s="479"/>
      <c r="BE265" s="479"/>
      <c r="BF265" s="479"/>
      <c r="BG265" s="479"/>
      <c r="BH265" s="479"/>
      <c r="BI265" s="479"/>
      <c r="BJ265" s="479"/>
      <c r="BK265" s="479"/>
      <c r="BL265" s="479"/>
      <c r="BM265" s="479"/>
      <c r="BN265" s="479"/>
      <c r="BO265" s="479"/>
      <c r="BP265" s="479"/>
      <c r="BQ265" s="479"/>
      <c r="BR265" s="480"/>
      <c r="BS265" s="477" t="s">
        <v>436</v>
      </c>
      <c r="BT265" s="477"/>
      <c r="BU265" s="477"/>
      <c r="BV265" s="477"/>
      <c r="BW265" s="477"/>
      <c r="BX265" s="477"/>
      <c r="BY265" s="477"/>
      <c r="BZ265" s="477"/>
      <c r="CA265" s="9"/>
      <c r="CB265" s="9"/>
      <c r="CC265" s="9"/>
      <c r="CD265" s="9"/>
      <c r="CE265" s="9"/>
      <c r="CF265" s="9"/>
      <c r="CG265" s="9"/>
      <c r="CH265" s="9"/>
      <c r="CI265" s="9"/>
      <c r="CJ265" s="9"/>
      <c r="CK265" s="9"/>
      <c r="CL265" s="9"/>
      <c r="CM265" s="9"/>
      <c r="CN265" s="9"/>
      <c r="CO265" s="9"/>
      <c r="CP265" s="16"/>
    </row>
    <row r="266" spans="1:94" ht="15" customHeight="1" x14ac:dyDescent="0.15">
      <c r="A266" s="15"/>
      <c r="B266" s="9"/>
      <c r="C266" s="9"/>
      <c r="D266" s="9"/>
      <c r="AO266" s="9"/>
      <c r="AP266" s="9"/>
      <c r="CA266" s="9"/>
      <c r="CB266" s="9"/>
      <c r="CC266" s="9"/>
      <c r="CD266" s="9"/>
      <c r="CE266" s="9"/>
      <c r="CF266" s="9"/>
      <c r="CG266" s="9"/>
      <c r="CH266" s="9"/>
      <c r="CI266" s="9"/>
      <c r="CJ266" s="9"/>
      <c r="CK266" s="9"/>
      <c r="CL266" s="9"/>
      <c r="CM266" s="9"/>
      <c r="CN266" s="9"/>
      <c r="CO266" s="9"/>
      <c r="CP266" s="16"/>
    </row>
    <row r="267" spans="1:94" ht="15" customHeight="1" thickBot="1" x14ac:dyDescent="0.2">
      <c r="A267" s="19"/>
      <c r="B267" s="20"/>
      <c r="C267" s="20"/>
      <c r="D267" s="20"/>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1"/>
    </row>
    <row r="268" spans="1:94" ht="15" customHeight="1" x14ac:dyDescent="0.15">
      <c r="A268" s="47"/>
      <c r="B268" s="48"/>
      <c r="C268" s="48"/>
      <c r="D268" s="48"/>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8"/>
      <c r="BY268" s="48"/>
      <c r="BZ268" s="48"/>
      <c r="CA268" s="48"/>
      <c r="CB268" s="48"/>
      <c r="CC268" s="48"/>
      <c r="CD268" s="48"/>
      <c r="CE268" s="48"/>
      <c r="CF268" s="48"/>
      <c r="CG268" s="48"/>
      <c r="CH268" s="48"/>
      <c r="CI268" s="48"/>
      <c r="CJ268" s="48"/>
      <c r="CK268" s="48"/>
      <c r="CL268" s="48"/>
      <c r="CM268" s="48"/>
      <c r="CN268" s="48"/>
      <c r="CO268" s="48"/>
      <c r="CP268" s="49"/>
    </row>
    <row r="269" spans="1:94" ht="15" customHeight="1" x14ac:dyDescent="0.15">
      <c r="A269" s="15"/>
      <c r="B269" s="9"/>
      <c r="C269" s="9"/>
      <c r="D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16"/>
    </row>
    <row r="270" spans="1:94" ht="15" customHeight="1" x14ac:dyDescent="0.15">
      <c r="A270" s="15"/>
      <c r="B270" s="9"/>
      <c r="C270" s="9"/>
      <c r="D270" s="9"/>
      <c r="E270" s="545"/>
      <c r="F270" s="545"/>
      <c r="G270" s="545" t="s">
        <v>81</v>
      </c>
      <c r="H270" s="545"/>
      <c r="I270" s="545"/>
      <c r="J270" s="545"/>
      <c r="K270" s="545"/>
      <c r="L270" s="545"/>
      <c r="M270" s="545"/>
      <c r="N270" s="545"/>
      <c r="O270" s="545"/>
      <c r="P270" s="545"/>
      <c r="Q270" s="545"/>
      <c r="R270" s="545"/>
      <c r="S270" s="545"/>
      <c r="T270" s="545"/>
      <c r="U270" s="545"/>
      <c r="V270" s="545"/>
      <c r="W270" s="545"/>
      <c r="X270" s="545"/>
      <c r="Y270" s="545"/>
      <c r="Z270" s="545"/>
      <c r="AA270" s="545"/>
      <c r="AB270" s="545"/>
      <c r="AC270" s="545"/>
      <c r="AD270" s="545"/>
      <c r="AE270" s="545"/>
      <c r="AF270" s="545"/>
      <c r="AG270" s="545" t="s">
        <v>117</v>
      </c>
      <c r="AH270" s="545"/>
      <c r="AI270" s="545"/>
      <c r="AJ270" s="545"/>
      <c r="AK270" s="545"/>
      <c r="AL270" s="545"/>
      <c r="AM270" s="545"/>
      <c r="AN270" s="545"/>
      <c r="AO270" s="9"/>
      <c r="AP270" s="9"/>
      <c r="AQ270" s="545"/>
      <c r="AR270" s="545"/>
      <c r="AS270" s="545" t="s">
        <v>81</v>
      </c>
      <c r="AT270" s="545"/>
      <c r="AU270" s="545"/>
      <c r="AV270" s="545"/>
      <c r="AW270" s="545"/>
      <c r="AX270" s="545"/>
      <c r="AY270" s="545"/>
      <c r="AZ270" s="545"/>
      <c r="BA270" s="545"/>
      <c r="BB270" s="545"/>
      <c r="BC270" s="545"/>
      <c r="BD270" s="545"/>
      <c r="BE270" s="545"/>
      <c r="BF270" s="545"/>
      <c r="BG270" s="545"/>
      <c r="BH270" s="545"/>
      <c r="BI270" s="545"/>
      <c r="BJ270" s="545"/>
      <c r="BK270" s="545"/>
      <c r="BL270" s="545"/>
      <c r="BM270" s="545"/>
      <c r="BN270" s="545"/>
      <c r="BO270" s="545"/>
      <c r="BP270" s="545"/>
      <c r="BQ270" s="545"/>
      <c r="BR270" s="545"/>
      <c r="BS270" s="545" t="s">
        <v>117</v>
      </c>
      <c r="BT270" s="545"/>
      <c r="BU270" s="545"/>
      <c r="BV270" s="545"/>
      <c r="BW270" s="545"/>
      <c r="BX270" s="545"/>
      <c r="BY270" s="545"/>
      <c r="BZ270" s="545"/>
      <c r="CA270" s="9"/>
      <c r="CB270" s="9"/>
      <c r="CC270" s="9"/>
      <c r="CD270" s="9"/>
      <c r="CE270" s="9"/>
      <c r="CF270" s="9"/>
      <c r="CG270" s="9"/>
      <c r="CH270" s="9"/>
      <c r="CI270" s="9"/>
      <c r="CJ270" s="9"/>
      <c r="CK270" s="9"/>
      <c r="CL270" s="9"/>
      <c r="CM270" s="9"/>
      <c r="CN270" s="9"/>
      <c r="CO270" s="9"/>
      <c r="CP270" s="16"/>
    </row>
    <row r="271" spans="1:94" ht="15" customHeight="1" thickBot="1" x14ac:dyDescent="0.2">
      <c r="A271" s="15"/>
      <c r="B271" s="9"/>
      <c r="C271" s="9"/>
      <c r="D271" s="9"/>
      <c r="E271" s="546"/>
      <c r="F271" s="546"/>
      <c r="G271" s="546"/>
      <c r="H271" s="546"/>
      <c r="I271" s="546"/>
      <c r="J271" s="546"/>
      <c r="K271" s="546"/>
      <c r="L271" s="546"/>
      <c r="M271" s="546"/>
      <c r="N271" s="546"/>
      <c r="O271" s="546"/>
      <c r="P271" s="546"/>
      <c r="Q271" s="546"/>
      <c r="R271" s="546"/>
      <c r="S271" s="546"/>
      <c r="T271" s="546"/>
      <c r="U271" s="546"/>
      <c r="V271" s="546"/>
      <c r="W271" s="546"/>
      <c r="X271" s="546"/>
      <c r="Y271" s="546"/>
      <c r="Z271" s="546"/>
      <c r="AA271" s="546"/>
      <c r="AB271" s="546"/>
      <c r="AC271" s="546"/>
      <c r="AD271" s="546"/>
      <c r="AE271" s="546"/>
      <c r="AF271" s="546"/>
      <c r="AG271" s="546"/>
      <c r="AH271" s="546"/>
      <c r="AI271" s="546"/>
      <c r="AJ271" s="546"/>
      <c r="AK271" s="546"/>
      <c r="AL271" s="546"/>
      <c r="AM271" s="546"/>
      <c r="AN271" s="546"/>
      <c r="AO271" s="9"/>
      <c r="AP271" s="9"/>
      <c r="AQ271" s="546"/>
      <c r="AR271" s="546"/>
      <c r="AS271" s="546"/>
      <c r="AT271" s="546"/>
      <c r="AU271" s="546"/>
      <c r="AV271" s="546"/>
      <c r="AW271" s="546"/>
      <c r="AX271" s="546"/>
      <c r="AY271" s="546"/>
      <c r="AZ271" s="546"/>
      <c r="BA271" s="546"/>
      <c r="BB271" s="546"/>
      <c r="BC271" s="546"/>
      <c r="BD271" s="546"/>
      <c r="BE271" s="546"/>
      <c r="BF271" s="546"/>
      <c r="BG271" s="546"/>
      <c r="BH271" s="546"/>
      <c r="BI271" s="546"/>
      <c r="BJ271" s="546"/>
      <c r="BK271" s="546"/>
      <c r="BL271" s="546"/>
      <c r="BM271" s="546"/>
      <c r="BN271" s="546"/>
      <c r="BO271" s="546"/>
      <c r="BP271" s="546"/>
      <c r="BQ271" s="546"/>
      <c r="BR271" s="546"/>
      <c r="BS271" s="546"/>
      <c r="BT271" s="546"/>
      <c r="BU271" s="546"/>
      <c r="BV271" s="546"/>
      <c r="BW271" s="546"/>
      <c r="BX271" s="546"/>
      <c r="BY271" s="546"/>
      <c r="BZ271" s="546"/>
      <c r="CA271" s="9"/>
      <c r="CB271" s="9"/>
      <c r="CC271" s="9"/>
      <c r="CD271" s="9"/>
      <c r="CE271" s="9"/>
      <c r="CF271" s="9"/>
      <c r="CG271" s="9"/>
      <c r="CH271" s="9"/>
      <c r="CI271" s="9"/>
      <c r="CJ271" s="9"/>
      <c r="CK271" s="9"/>
      <c r="CL271" s="9"/>
      <c r="CM271" s="9"/>
      <c r="CN271" s="9"/>
      <c r="CO271" s="9"/>
      <c r="CP271" s="16"/>
    </row>
    <row r="272" spans="1:94" ht="15" customHeight="1" thickTop="1" x14ac:dyDescent="0.15">
      <c r="A272" s="15"/>
      <c r="B272" s="9"/>
      <c r="C272" s="9"/>
      <c r="D272" s="9"/>
      <c r="E272" s="491">
        <f>AQ265+1</f>
        <v>157</v>
      </c>
      <c r="F272" s="491"/>
      <c r="G272" s="478" t="s">
        <v>1247</v>
      </c>
      <c r="H272" s="479"/>
      <c r="I272" s="479"/>
      <c r="J272" s="479"/>
      <c r="K272" s="479"/>
      <c r="L272" s="479"/>
      <c r="M272" s="479"/>
      <c r="N272" s="479"/>
      <c r="O272" s="479"/>
      <c r="P272" s="479"/>
      <c r="Q272" s="479"/>
      <c r="R272" s="479"/>
      <c r="S272" s="479"/>
      <c r="T272" s="479"/>
      <c r="U272" s="479"/>
      <c r="V272" s="479"/>
      <c r="W272" s="479"/>
      <c r="X272" s="479"/>
      <c r="Y272" s="479"/>
      <c r="Z272" s="479"/>
      <c r="AA272" s="479"/>
      <c r="AB272" s="479"/>
      <c r="AC272" s="479"/>
      <c r="AD272" s="479"/>
      <c r="AE272" s="479"/>
      <c r="AF272" s="480"/>
      <c r="AG272" s="477" t="s">
        <v>439</v>
      </c>
      <c r="AH272" s="477"/>
      <c r="AI272" s="477"/>
      <c r="AJ272" s="477"/>
      <c r="AK272" s="477"/>
      <c r="AL272" s="477"/>
      <c r="AM272" s="477"/>
      <c r="AN272" s="477"/>
      <c r="AO272" s="9"/>
      <c r="AP272" s="9"/>
      <c r="AQ272" s="491">
        <f>E310+1</f>
        <v>196</v>
      </c>
      <c r="AR272" s="491"/>
      <c r="AS272" s="478" t="s">
        <v>556</v>
      </c>
      <c r="AT272" s="479"/>
      <c r="AU272" s="479"/>
      <c r="AV272" s="479"/>
      <c r="AW272" s="479"/>
      <c r="AX272" s="479"/>
      <c r="AY272" s="479"/>
      <c r="AZ272" s="479"/>
      <c r="BA272" s="479"/>
      <c r="BB272" s="479"/>
      <c r="BC272" s="479"/>
      <c r="BD272" s="479"/>
      <c r="BE272" s="479"/>
      <c r="BF272" s="479"/>
      <c r="BG272" s="479"/>
      <c r="BH272" s="479"/>
      <c r="BI272" s="479"/>
      <c r="BJ272" s="479"/>
      <c r="BK272" s="479"/>
      <c r="BL272" s="479"/>
      <c r="BM272" s="479"/>
      <c r="BN272" s="479"/>
      <c r="BO272" s="479"/>
      <c r="BP272" s="479"/>
      <c r="BQ272" s="479"/>
      <c r="BR272" s="480"/>
      <c r="BS272" s="477" t="s">
        <v>436</v>
      </c>
      <c r="BT272" s="477"/>
      <c r="BU272" s="477"/>
      <c r="BV272" s="477"/>
      <c r="BW272" s="477"/>
      <c r="BX272" s="477"/>
      <c r="BY272" s="477"/>
      <c r="BZ272" s="477"/>
      <c r="CA272" s="9"/>
      <c r="CB272" s="9"/>
      <c r="CC272" s="9"/>
      <c r="CD272" s="9"/>
      <c r="CE272" s="9"/>
      <c r="CF272" s="9"/>
      <c r="CG272" s="9"/>
      <c r="CH272" s="9"/>
      <c r="CI272" s="9"/>
      <c r="CJ272" s="9"/>
      <c r="CK272" s="9"/>
      <c r="CL272" s="9"/>
      <c r="CM272" s="9"/>
      <c r="CN272" s="9"/>
      <c r="CO272" s="9"/>
      <c r="CP272" s="16"/>
    </row>
    <row r="273" spans="1:94" ht="15" customHeight="1" x14ac:dyDescent="0.15">
      <c r="A273" s="15"/>
      <c r="B273" s="9"/>
      <c r="C273" s="9"/>
      <c r="D273" s="9"/>
      <c r="E273" s="491">
        <f t="shared" ref="E273:E310" si="4">E272+1</f>
        <v>158</v>
      </c>
      <c r="F273" s="491"/>
      <c r="G273" s="478" t="s">
        <v>532</v>
      </c>
      <c r="H273" s="479"/>
      <c r="I273" s="479"/>
      <c r="J273" s="479"/>
      <c r="K273" s="479"/>
      <c r="L273" s="479"/>
      <c r="M273" s="479"/>
      <c r="N273" s="479"/>
      <c r="O273" s="479"/>
      <c r="P273" s="479"/>
      <c r="Q273" s="479"/>
      <c r="R273" s="479"/>
      <c r="S273" s="479"/>
      <c r="T273" s="479"/>
      <c r="U273" s="479"/>
      <c r="V273" s="479"/>
      <c r="W273" s="479"/>
      <c r="X273" s="479"/>
      <c r="Y273" s="479"/>
      <c r="Z273" s="479"/>
      <c r="AA273" s="479"/>
      <c r="AB273" s="479"/>
      <c r="AC273" s="479"/>
      <c r="AD273" s="479"/>
      <c r="AE273" s="479"/>
      <c r="AF273" s="480"/>
      <c r="AG273" s="477" t="s">
        <v>439</v>
      </c>
      <c r="AH273" s="477"/>
      <c r="AI273" s="477"/>
      <c r="AJ273" s="477"/>
      <c r="AK273" s="477"/>
      <c r="AL273" s="477"/>
      <c r="AM273" s="477"/>
      <c r="AN273" s="477"/>
      <c r="AO273" s="9"/>
      <c r="AP273" s="9"/>
      <c r="AQ273" s="491">
        <f t="shared" ref="AQ273:AQ299" si="5">AQ272+1</f>
        <v>197</v>
      </c>
      <c r="AR273" s="491"/>
      <c r="AS273" s="478" t="s">
        <v>1258</v>
      </c>
      <c r="AT273" s="479"/>
      <c r="AU273" s="479"/>
      <c r="AV273" s="479"/>
      <c r="AW273" s="479"/>
      <c r="AX273" s="479"/>
      <c r="AY273" s="479"/>
      <c r="AZ273" s="479"/>
      <c r="BA273" s="479"/>
      <c r="BB273" s="479"/>
      <c r="BC273" s="479"/>
      <c r="BD273" s="479"/>
      <c r="BE273" s="479"/>
      <c r="BF273" s="479"/>
      <c r="BG273" s="479"/>
      <c r="BH273" s="479"/>
      <c r="BI273" s="479"/>
      <c r="BJ273" s="479"/>
      <c r="BK273" s="479"/>
      <c r="BL273" s="479"/>
      <c r="BM273" s="479"/>
      <c r="BN273" s="479"/>
      <c r="BO273" s="479"/>
      <c r="BP273" s="479"/>
      <c r="BQ273" s="479"/>
      <c r="BR273" s="480"/>
      <c r="BS273" s="477" t="s">
        <v>439</v>
      </c>
      <c r="BT273" s="477"/>
      <c r="BU273" s="477"/>
      <c r="BV273" s="477"/>
      <c r="BW273" s="477"/>
      <c r="BX273" s="477"/>
      <c r="BY273" s="477"/>
      <c r="BZ273" s="477"/>
      <c r="CA273" s="9"/>
      <c r="CB273" s="9"/>
      <c r="CC273" s="9"/>
      <c r="CD273" s="9"/>
      <c r="CE273" s="9"/>
      <c r="CF273" s="9"/>
      <c r="CG273" s="9"/>
      <c r="CH273" s="9"/>
      <c r="CI273" s="9"/>
      <c r="CJ273" s="9"/>
      <c r="CK273" s="9"/>
      <c r="CL273" s="9"/>
      <c r="CM273" s="9"/>
      <c r="CN273" s="9"/>
      <c r="CO273" s="9"/>
      <c r="CP273" s="16"/>
    </row>
    <row r="274" spans="1:94" ht="15" customHeight="1" x14ac:dyDescent="0.15">
      <c r="A274" s="15"/>
      <c r="B274" s="9"/>
      <c r="C274" s="9"/>
      <c r="D274" s="9"/>
      <c r="E274" s="491">
        <f t="shared" si="4"/>
        <v>159</v>
      </c>
      <c r="F274" s="491"/>
      <c r="G274" s="478" t="s">
        <v>547</v>
      </c>
      <c r="H274" s="479"/>
      <c r="I274" s="479"/>
      <c r="J274" s="479"/>
      <c r="K274" s="479"/>
      <c r="L274" s="479"/>
      <c r="M274" s="479"/>
      <c r="N274" s="479"/>
      <c r="O274" s="479"/>
      <c r="P274" s="479"/>
      <c r="Q274" s="479"/>
      <c r="R274" s="479"/>
      <c r="S274" s="479"/>
      <c r="T274" s="479"/>
      <c r="U274" s="479"/>
      <c r="V274" s="479"/>
      <c r="W274" s="479"/>
      <c r="X274" s="479"/>
      <c r="Y274" s="479"/>
      <c r="Z274" s="479"/>
      <c r="AA274" s="479"/>
      <c r="AB274" s="479"/>
      <c r="AC274" s="479"/>
      <c r="AD274" s="479"/>
      <c r="AE274" s="479"/>
      <c r="AF274" s="480"/>
      <c r="AG274" s="477" t="s">
        <v>1274</v>
      </c>
      <c r="AH274" s="477"/>
      <c r="AI274" s="477"/>
      <c r="AJ274" s="477"/>
      <c r="AK274" s="477"/>
      <c r="AL274" s="477"/>
      <c r="AM274" s="477"/>
      <c r="AN274" s="477"/>
      <c r="AO274" s="9"/>
      <c r="AP274" s="9"/>
      <c r="AQ274" s="491">
        <f t="shared" si="5"/>
        <v>198</v>
      </c>
      <c r="AR274" s="491"/>
      <c r="AS274" s="478" t="s">
        <v>1259</v>
      </c>
      <c r="AT274" s="479"/>
      <c r="AU274" s="479"/>
      <c r="AV274" s="479"/>
      <c r="AW274" s="479"/>
      <c r="AX274" s="479"/>
      <c r="AY274" s="479"/>
      <c r="AZ274" s="479"/>
      <c r="BA274" s="479"/>
      <c r="BB274" s="479"/>
      <c r="BC274" s="479"/>
      <c r="BD274" s="479"/>
      <c r="BE274" s="479"/>
      <c r="BF274" s="479"/>
      <c r="BG274" s="479"/>
      <c r="BH274" s="479"/>
      <c r="BI274" s="479"/>
      <c r="BJ274" s="479"/>
      <c r="BK274" s="479"/>
      <c r="BL274" s="479"/>
      <c r="BM274" s="479"/>
      <c r="BN274" s="479"/>
      <c r="BO274" s="479"/>
      <c r="BP274" s="479"/>
      <c r="BQ274" s="479"/>
      <c r="BR274" s="480"/>
      <c r="BS274" s="477" t="s">
        <v>445</v>
      </c>
      <c r="BT274" s="477"/>
      <c r="BU274" s="477"/>
      <c r="BV274" s="477"/>
      <c r="BW274" s="477"/>
      <c r="BX274" s="477"/>
      <c r="BY274" s="477"/>
      <c r="BZ274" s="477"/>
      <c r="CA274" s="9"/>
      <c r="CB274" s="9"/>
      <c r="CC274" s="9"/>
      <c r="CD274" s="9"/>
      <c r="CE274" s="9"/>
      <c r="CF274" s="9"/>
      <c r="CG274" s="9"/>
      <c r="CH274" s="9"/>
      <c r="CI274" s="9"/>
      <c r="CJ274" s="9"/>
      <c r="CK274" s="9"/>
      <c r="CL274" s="9"/>
      <c r="CM274" s="9"/>
      <c r="CN274" s="9"/>
      <c r="CO274" s="9"/>
      <c r="CP274" s="16"/>
    </row>
    <row r="275" spans="1:94" ht="15" customHeight="1" x14ac:dyDescent="0.15">
      <c r="A275" s="15"/>
      <c r="B275" s="9"/>
      <c r="C275" s="9"/>
      <c r="D275" s="9"/>
      <c r="E275" s="491">
        <f t="shared" si="4"/>
        <v>160</v>
      </c>
      <c r="F275" s="491"/>
      <c r="G275" s="478" t="s">
        <v>1248</v>
      </c>
      <c r="H275" s="479"/>
      <c r="I275" s="479"/>
      <c r="J275" s="479"/>
      <c r="K275" s="479"/>
      <c r="L275" s="479"/>
      <c r="M275" s="479"/>
      <c r="N275" s="479"/>
      <c r="O275" s="479"/>
      <c r="P275" s="479"/>
      <c r="Q275" s="479"/>
      <c r="R275" s="479"/>
      <c r="S275" s="479"/>
      <c r="T275" s="479"/>
      <c r="U275" s="479"/>
      <c r="V275" s="479"/>
      <c r="W275" s="479"/>
      <c r="X275" s="479"/>
      <c r="Y275" s="479"/>
      <c r="Z275" s="479"/>
      <c r="AA275" s="479"/>
      <c r="AB275" s="479"/>
      <c r="AC275" s="479"/>
      <c r="AD275" s="479"/>
      <c r="AE275" s="479"/>
      <c r="AF275" s="480"/>
      <c r="AG275" s="477" t="s">
        <v>1268</v>
      </c>
      <c r="AH275" s="477"/>
      <c r="AI275" s="477"/>
      <c r="AJ275" s="477"/>
      <c r="AK275" s="477"/>
      <c r="AL275" s="477"/>
      <c r="AM275" s="477"/>
      <c r="AN275" s="477"/>
      <c r="AO275" s="9"/>
      <c r="AP275" s="9"/>
      <c r="AQ275" s="491">
        <f t="shared" si="5"/>
        <v>199</v>
      </c>
      <c r="AR275" s="491"/>
      <c r="AS275" s="478" t="s">
        <v>1286</v>
      </c>
      <c r="AT275" s="479"/>
      <c r="AU275" s="479"/>
      <c r="AV275" s="479"/>
      <c r="AW275" s="479"/>
      <c r="AX275" s="479"/>
      <c r="AY275" s="479"/>
      <c r="AZ275" s="479"/>
      <c r="BA275" s="479"/>
      <c r="BB275" s="479"/>
      <c r="BC275" s="479"/>
      <c r="BD275" s="479"/>
      <c r="BE275" s="479"/>
      <c r="BF275" s="479"/>
      <c r="BG275" s="479"/>
      <c r="BH275" s="479"/>
      <c r="BI275" s="479"/>
      <c r="BJ275" s="479"/>
      <c r="BK275" s="479"/>
      <c r="BL275" s="479"/>
      <c r="BM275" s="479"/>
      <c r="BN275" s="479"/>
      <c r="BO275" s="479"/>
      <c r="BP275" s="479"/>
      <c r="BQ275" s="479"/>
      <c r="BR275" s="480"/>
      <c r="BS275" s="477" t="s">
        <v>439</v>
      </c>
      <c r="BT275" s="477"/>
      <c r="BU275" s="477"/>
      <c r="BV275" s="477"/>
      <c r="BW275" s="477"/>
      <c r="BX275" s="477"/>
      <c r="BY275" s="477"/>
      <c r="BZ275" s="477"/>
      <c r="CA275" s="9"/>
      <c r="CB275" s="9"/>
      <c r="CC275" s="9"/>
      <c r="CD275" s="9"/>
      <c r="CE275" s="9"/>
      <c r="CF275" s="9"/>
      <c r="CG275" s="9"/>
      <c r="CH275" s="9"/>
      <c r="CI275" s="9"/>
      <c r="CJ275" s="9"/>
      <c r="CK275" s="9"/>
      <c r="CL275" s="9"/>
      <c r="CM275" s="9"/>
      <c r="CN275" s="9"/>
      <c r="CO275" s="9"/>
      <c r="CP275" s="16"/>
    </row>
    <row r="276" spans="1:94" ht="15" customHeight="1" x14ac:dyDescent="0.15">
      <c r="A276" s="15"/>
      <c r="B276" s="9"/>
      <c r="C276" s="9"/>
      <c r="D276" s="9"/>
      <c r="E276" s="491">
        <f t="shared" si="4"/>
        <v>161</v>
      </c>
      <c r="F276" s="491"/>
      <c r="G276" s="478" t="s">
        <v>529</v>
      </c>
      <c r="H276" s="479"/>
      <c r="I276" s="479"/>
      <c r="J276" s="479"/>
      <c r="K276" s="479"/>
      <c r="L276" s="479"/>
      <c r="M276" s="479"/>
      <c r="N276" s="479"/>
      <c r="O276" s="479"/>
      <c r="P276" s="479"/>
      <c r="Q276" s="479"/>
      <c r="R276" s="479"/>
      <c r="S276" s="479"/>
      <c r="T276" s="479"/>
      <c r="U276" s="479"/>
      <c r="V276" s="479"/>
      <c r="W276" s="479"/>
      <c r="X276" s="479"/>
      <c r="Y276" s="479"/>
      <c r="Z276" s="479"/>
      <c r="AA276" s="479"/>
      <c r="AB276" s="479"/>
      <c r="AC276" s="479"/>
      <c r="AD276" s="479"/>
      <c r="AE276" s="479"/>
      <c r="AF276" s="480"/>
      <c r="AG276" s="477" t="s">
        <v>439</v>
      </c>
      <c r="AH276" s="477"/>
      <c r="AI276" s="477"/>
      <c r="AJ276" s="477"/>
      <c r="AK276" s="477"/>
      <c r="AL276" s="477"/>
      <c r="AM276" s="477"/>
      <c r="AN276" s="477"/>
      <c r="AO276" s="9"/>
      <c r="AP276" s="9"/>
      <c r="AQ276" s="491">
        <f t="shared" si="5"/>
        <v>200</v>
      </c>
      <c r="AR276" s="491"/>
      <c r="AS276" s="478" t="s">
        <v>590</v>
      </c>
      <c r="AT276" s="479"/>
      <c r="AU276" s="479"/>
      <c r="AV276" s="479"/>
      <c r="AW276" s="479"/>
      <c r="AX276" s="479"/>
      <c r="AY276" s="479"/>
      <c r="AZ276" s="479"/>
      <c r="BA276" s="479"/>
      <c r="BB276" s="479"/>
      <c r="BC276" s="479"/>
      <c r="BD276" s="479"/>
      <c r="BE276" s="479"/>
      <c r="BF276" s="479"/>
      <c r="BG276" s="479"/>
      <c r="BH276" s="479"/>
      <c r="BI276" s="479"/>
      <c r="BJ276" s="479"/>
      <c r="BK276" s="479"/>
      <c r="BL276" s="479"/>
      <c r="BM276" s="479"/>
      <c r="BN276" s="479"/>
      <c r="BO276" s="479"/>
      <c r="BP276" s="479"/>
      <c r="BQ276" s="479"/>
      <c r="BR276" s="480"/>
      <c r="BS276" s="477" t="s">
        <v>445</v>
      </c>
      <c r="BT276" s="477"/>
      <c r="BU276" s="477"/>
      <c r="BV276" s="477"/>
      <c r="BW276" s="477"/>
      <c r="BX276" s="477"/>
      <c r="BY276" s="477"/>
      <c r="BZ276" s="477"/>
      <c r="CA276" s="9"/>
      <c r="CB276" s="9"/>
      <c r="CC276" s="9"/>
      <c r="CD276" s="9"/>
      <c r="CE276" s="9"/>
      <c r="CF276" s="9"/>
      <c r="CG276" s="9"/>
      <c r="CH276" s="9"/>
      <c r="CI276" s="9"/>
      <c r="CJ276" s="9"/>
      <c r="CK276" s="9"/>
      <c r="CL276" s="9"/>
      <c r="CM276" s="9"/>
      <c r="CN276" s="9"/>
      <c r="CO276" s="9"/>
      <c r="CP276" s="16"/>
    </row>
    <row r="277" spans="1:94" ht="15" customHeight="1" x14ac:dyDescent="0.15">
      <c r="A277" s="15"/>
      <c r="B277" s="9"/>
      <c r="C277" s="9"/>
      <c r="D277" s="9"/>
      <c r="E277" s="491">
        <f t="shared" si="4"/>
        <v>162</v>
      </c>
      <c r="F277" s="491"/>
      <c r="G277" s="478" t="s">
        <v>492</v>
      </c>
      <c r="H277" s="479"/>
      <c r="I277" s="479"/>
      <c r="J277" s="479"/>
      <c r="K277" s="479"/>
      <c r="L277" s="479"/>
      <c r="M277" s="479"/>
      <c r="N277" s="479"/>
      <c r="O277" s="479"/>
      <c r="P277" s="479"/>
      <c r="Q277" s="479"/>
      <c r="R277" s="479"/>
      <c r="S277" s="479"/>
      <c r="T277" s="479"/>
      <c r="U277" s="479"/>
      <c r="V277" s="479"/>
      <c r="W277" s="479"/>
      <c r="X277" s="479"/>
      <c r="Y277" s="479"/>
      <c r="Z277" s="479"/>
      <c r="AA277" s="479"/>
      <c r="AB277" s="479"/>
      <c r="AC277" s="479"/>
      <c r="AD277" s="479"/>
      <c r="AE277" s="479"/>
      <c r="AF277" s="480"/>
      <c r="AG277" s="477" t="s">
        <v>1268</v>
      </c>
      <c r="AH277" s="477"/>
      <c r="AI277" s="477"/>
      <c r="AJ277" s="477"/>
      <c r="AK277" s="477"/>
      <c r="AL277" s="477"/>
      <c r="AM277" s="477"/>
      <c r="AN277" s="477"/>
      <c r="AO277" s="9"/>
      <c r="AP277" s="9"/>
      <c r="AQ277" s="491">
        <f t="shared" si="5"/>
        <v>201</v>
      </c>
      <c r="AR277" s="491"/>
      <c r="AS277" s="478" t="s">
        <v>573</v>
      </c>
      <c r="AT277" s="479"/>
      <c r="AU277" s="479"/>
      <c r="AV277" s="479"/>
      <c r="AW277" s="479"/>
      <c r="AX277" s="479"/>
      <c r="AY277" s="479"/>
      <c r="AZ277" s="479"/>
      <c r="BA277" s="479"/>
      <c r="BB277" s="479"/>
      <c r="BC277" s="479"/>
      <c r="BD277" s="479"/>
      <c r="BE277" s="479"/>
      <c r="BF277" s="479"/>
      <c r="BG277" s="479"/>
      <c r="BH277" s="479"/>
      <c r="BI277" s="479"/>
      <c r="BJ277" s="479"/>
      <c r="BK277" s="479"/>
      <c r="BL277" s="479"/>
      <c r="BM277" s="479"/>
      <c r="BN277" s="479"/>
      <c r="BO277" s="479"/>
      <c r="BP277" s="479"/>
      <c r="BQ277" s="479"/>
      <c r="BR277" s="480"/>
      <c r="BS277" s="477" t="s">
        <v>1274</v>
      </c>
      <c r="BT277" s="477"/>
      <c r="BU277" s="477"/>
      <c r="BV277" s="477"/>
      <c r="BW277" s="477"/>
      <c r="BX277" s="477"/>
      <c r="BY277" s="477"/>
      <c r="BZ277" s="477"/>
      <c r="CA277" s="9"/>
      <c r="CB277" s="9"/>
      <c r="CC277" s="9"/>
      <c r="CD277" s="9"/>
      <c r="CE277" s="9"/>
      <c r="CF277" s="9"/>
      <c r="CG277" s="9"/>
      <c r="CH277" s="9"/>
      <c r="CI277" s="9"/>
      <c r="CJ277" s="9"/>
      <c r="CK277" s="9"/>
      <c r="CL277" s="9"/>
      <c r="CM277" s="9"/>
      <c r="CN277" s="9"/>
      <c r="CO277" s="9"/>
      <c r="CP277" s="16"/>
    </row>
    <row r="278" spans="1:94" ht="15" customHeight="1" x14ac:dyDescent="0.15">
      <c r="A278" s="15"/>
      <c r="B278" s="9"/>
      <c r="C278" s="9"/>
      <c r="D278" s="9"/>
      <c r="E278" s="491">
        <f t="shared" si="4"/>
        <v>163</v>
      </c>
      <c r="F278" s="491"/>
      <c r="G278" s="478" t="s">
        <v>549</v>
      </c>
      <c r="H278" s="479"/>
      <c r="I278" s="479"/>
      <c r="J278" s="479"/>
      <c r="K278" s="479"/>
      <c r="L278" s="479"/>
      <c r="M278" s="479"/>
      <c r="N278" s="479"/>
      <c r="O278" s="479"/>
      <c r="P278" s="479"/>
      <c r="Q278" s="479"/>
      <c r="R278" s="479"/>
      <c r="S278" s="479"/>
      <c r="T278" s="479"/>
      <c r="U278" s="479"/>
      <c r="V278" s="479"/>
      <c r="W278" s="479"/>
      <c r="X278" s="479"/>
      <c r="Y278" s="479"/>
      <c r="Z278" s="479"/>
      <c r="AA278" s="479"/>
      <c r="AB278" s="479"/>
      <c r="AC278" s="479"/>
      <c r="AD278" s="479"/>
      <c r="AE278" s="479"/>
      <c r="AF278" s="480"/>
      <c r="AG278" s="477" t="s">
        <v>436</v>
      </c>
      <c r="AH278" s="477"/>
      <c r="AI278" s="477"/>
      <c r="AJ278" s="477"/>
      <c r="AK278" s="477"/>
      <c r="AL278" s="477"/>
      <c r="AM278" s="477"/>
      <c r="AN278" s="477"/>
      <c r="AO278" s="9"/>
      <c r="AP278" s="9"/>
      <c r="AQ278" s="491">
        <f t="shared" si="5"/>
        <v>202</v>
      </c>
      <c r="AR278" s="491"/>
      <c r="AS278" s="478" t="s">
        <v>591</v>
      </c>
      <c r="AT278" s="479"/>
      <c r="AU278" s="479"/>
      <c r="AV278" s="479"/>
      <c r="AW278" s="479"/>
      <c r="AX278" s="479"/>
      <c r="AY278" s="479"/>
      <c r="AZ278" s="479"/>
      <c r="BA278" s="479"/>
      <c r="BB278" s="479"/>
      <c r="BC278" s="479"/>
      <c r="BD278" s="479"/>
      <c r="BE278" s="479"/>
      <c r="BF278" s="479"/>
      <c r="BG278" s="479"/>
      <c r="BH278" s="479"/>
      <c r="BI278" s="479"/>
      <c r="BJ278" s="479"/>
      <c r="BK278" s="479"/>
      <c r="BL278" s="479"/>
      <c r="BM278" s="479"/>
      <c r="BN278" s="479"/>
      <c r="BO278" s="479"/>
      <c r="BP278" s="479"/>
      <c r="BQ278" s="479"/>
      <c r="BR278" s="480"/>
      <c r="BS278" s="477" t="s">
        <v>1268</v>
      </c>
      <c r="BT278" s="477"/>
      <c r="BU278" s="477"/>
      <c r="BV278" s="477"/>
      <c r="BW278" s="477"/>
      <c r="BX278" s="477"/>
      <c r="BY278" s="477"/>
      <c r="BZ278" s="477"/>
      <c r="CA278" s="9"/>
      <c r="CB278" s="9"/>
      <c r="CC278" s="9"/>
      <c r="CD278" s="9"/>
      <c r="CE278" s="9"/>
      <c r="CF278" s="9"/>
      <c r="CG278" s="9"/>
      <c r="CH278" s="9"/>
      <c r="CI278" s="9"/>
      <c r="CJ278" s="9"/>
      <c r="CK278" s="9"/>
      <c r="CL278" s="9"/>
      <c r="CM278" s="9"/>
      <c r="CN278" s="9"/>
      <c r="CO278" s="9"/>
      <c r="CP278" s="16"/>
    </row>
    <row r="279" spans="1:94" ht="15" customHeight="1" x14ac:dyDescent="0.15">
      <c r="A279" s="15"/>
      <c r="B279" s="9"/>
      <c r="C279" s="9"/>
      <c r="D279" s="9"/>
      <c r="E279" s="491">
        <f t="shared" si="4"/>
        <v>164</v>
      </c>
      <c r="F279" s="491"/>
      <c r="G279" s="478" t="s">
        <v>551</v>
      </c>
      <c r="H279" s="479"/>
      <c r="I279" s="479"/>
      <c r="J279" s="479"/>
      <c r="K279" s="479"/>
      <c r="L279" s="479"/>
      <c r="M279" s="479"/>
      <c r="N279" s="479"/>
      <c r="O279" s="479"/>
      <c r="P279" s="479"/>
      <c r="Q279" s="479"/>
      <c r="R279" s="479"/>
      <c r="S279" s="479"/>
      <c r="T279" s="479"/>
      <c r="U279" s="479"/>
      <c r="V279" s="479"/>
      <c r="W279" s="479"/>
      <c r="X279" s="479"/>
      <c r="Y279" s="479"/>
      <c r="Z279" s="479"/>
      <c r="AA279" s="479"/>
      <c r="AB279" s="479"/>
      <c r="AC279" s="479"/>
      <c r="AD279" s="479"/>
      <c r="AE279" s="479"/>
      <c r="AF279" s="480"/>
      <c r="AG279" s="477" t="s">
        <v>439</v>
      </c>
      <c r="AH279" s="477"/>
      <c r="AI279" s="477"/>
      <c r="AJ279" s="477"/>
      <c r="AK279" s="477"/>
      <c r="AL279" s="477"/>
      <c r="AM279" s="477"/>
      <c r="AN279" s="477"/>
      <c r="AO279" s="9"/>
      <c r="AP279" s="9"/>
      <c r="AQ279" s="491">
        <f t="shared" si="5"/>
        <v>203</v>
      </c>
      <c r="AR279" s="491"/>
      <c r="AS279" s="478" t="s">
        <v>1260</v>
      </c>
      <c r="AT279" s="479"/>
      <c r="AU279" s="479"/>
      <c r="AV279" s="479"/>
      <c r="AW279" s="479"/>
      <c r="AX279" s="479"/>
      <c r="AY279" s="479"/>
      <c r="AZ279" s="479"/>
      <c r="BA279" s="479"/>
      <c r="BB279" s="479"/>
      <c r="BC279" s="479"/>
      <c r="BD279" s="479"/>
      <c r="BE279" s="479"/>
      <c r="BF279" s="479"/>
      <c r="BG279" s="479"/>
      <c r="BH279" s="479"/>
      <c r="BI279" s="479"/>
      <c r="BJ279" s="479"/>
      <c r="BK279" s="479"/>
      <c r="BL279" s="479"/>
      <c r="BM279" s="479"/>
      <c r="BN279" s="479"/>
      <c r="BO279" s="479"/>
      <c r="BP279" s="479"/>
      <c r="BQ279" s="479"/>
      <c r="BR279" s="480"/>
      <c r="BS279" s="477" t="s">
        <v>436</v>
      </c>
      <c r="BT279" s="477"/>
      <c r="BU279" s="477"/>
      <c r="BV279" s="477"/>
      <c r="BW279" s="477"/>
      <c r="BX279" s="477"/>
      <c r="BY279" s="477"/>
      <c r="BZ279" s="477"/>
      <c r="CA279" s="9"/>
      <c r="CB279" s="9"/>
      <c r="CC279" s="9"/>
      <c r="CD279" s="9"/>
      <c r="CE279" s="9"/>
      <c r="CF279" s="9"/>
      <c r="CG279" s="9"/>
      <c r="CH279" s="9"/>
      <c r="CI279" s="9"/>
      <c r="CJ279" s="9"/>
      <c r="CK279" s="9"/>
      <c r="CL279" s="9"/>
      <c r="CM279" s="9"/>
      <c r="CN279" s="9"/>
      <c r="CO279" s="9"/>
      <c r="CP279" s="16"/>
    </row>
    <row r="280" spans="1:94" ht="15" customHeight="1" x14ac:dyDescent="0.15">
      <c r="A280" s="15"/>
      <c r="B280" s="9"/>
      <c r="C280" s="9"/>
      <c r="D280" s="9"/>
      <c r="E280" s="491">
        <f t="shared" si="4"/>
        <v>165</v>
      </c>
      <c r="F280" s="491"/>
      <c r="G280" s="478" t="s">
        <v>553</v>
      </c>
      <c r="H280" s="479"/>
      <c r="I280" s="479"/>
      <c r="J280" s="479"/>
      <c r="K280" s="479"/>
      <c r="L280" s="479"/>
      <c r="M280" s="479"/>
      <c r="N280" s="479"/>
      <c r="O280" s="479"/>
      <c r="P280" s="479"/>
      <c r="Q280" s="479"/>
      <c r="R280" s="479"/>
      <c r="S280" s="479"/>
      <c r="T280" s="479"/>
      <c r="U280" s="479"/>
      <c r="V280" s="479"/>
      <c r="W280" s="479"/>
      <c r="X280" s="479"/>
      <c r="Y280" s="479"/>
      <c r="Z280" s="479"/>
      <c r="AA280" s="479"/>
      <c r="AB280" s="479"/>
      <c r="AC280" s="479"/>
      <c r="AD280" s="479"/>
      <c r="AE280" s="479"/>
      <c r="AF280" s="480"/>
      <c r="AG280" s="477" t="s">
        <v>1268</v>
      </c>
      <c r="AH280" s="477"/>
      <c r="AI280" s="477"/>
      <c r="AJ280" s="477"/>
      <c r="AK280" s="477"/>
      <c r="AL280" s="477"/>
      <c r="AM280" s="477"/>
      <c r="AN280" s="477"/>
      <c r="AO280" s="9"/>
      <c r="AP280" s="9"/>
      <c r="AQ280" s="491">
        <f t="shared" si="5"/>
        <v>204</v>
      </c>
      <c r="AR280" s="491"/>
      <c r="AS280" s="478" t="s">
        <v>479</v>
      </c>
      <c r="AT280" s="479"/>
      <c r="AU280" s="479"/>
      <c r="AV280" s="479"/>
      <c r="AW280" s="479"/>
      <c r="AX280" s="479"/>
      <c r="AY280" s="479"/>
      <c r="AZ280" s="479"/>
      <c r="BA280" s="479"/>
      <c r="BB280" s="479"/>
      <c r="BC280" s="479"/>
      <c r="BD280" s="479"/>
      <c r="BE280" s="479"/>
      <c r="BF280" s="479"/>
      <c r="BG280" s="479"/>
      <c r="BH280" s="479"/>
      <c r="BI280" s="479"/>
      <c r="BJ280" s="479"/>
      <c r="BK280" s="479"/>
      <c r="BL280" s="479"/>
      <c r="BM280" s="479"/>
      <c r="BN280" s="479"/>
      <c r="BO280" s="479"/>
      <c r="BP280" s="479"/>
      <c r="BQ280" s="479"/>
      <c r="BR280" s="480"/>
      <c r="BS280" s="477" t="s">
        <v>1268</v>
      </c>
      <c r="BT280" s="477"/>
      <c r="BU280" s="477"/>
      <c r="BV280" s="477"/>
      <c r="BW280" s="477"/>
      <c r="BX280" s="477"/>
      <c r="BY280" s="477"/>
      <c r="BZ280" s="477"/>
      <c r="CA280" s="9"/>
      <c r="CB280" s="9"/>
      <c r="CC280" s="9"/>
      <c r="CD280" s="9"/>
      <c r="CE280" s="9"/>
      <c r="CF280" s="9"/>
      <c r="CG280" s="9"/>
      <c r="CH280" s="9"/>
      <c r="CI280" s="9"/>
      <c r="CJ280" s="9"/>
      <c r="CK280" s="9"/>
      <c r="CL280" s="9"/>
      <c r="CM280" s="9"/>
      <c r="CN280" s="9"/>
      <c r="CO280" s="9"/>
      <c r="CP280" s="16"/>
    </row>
    <row r="281" spans="1:94" ht="15" customHeight="1" x14ac:dyDescent="0.15">
      <c r="A281" s="15"/>
      <c r="B281" s="9"/>
      <c r="C281" s="9"/>
      <c r="D281" s="9"/>
      <c r="E281" s="491">
        <f t="shared" si="4"/>
        <v>166</v>
      </c>
      <c r="F281" s="491"/>
      <c r="G281" s="478" t="s">
        <v>548</v>
      </c>
      <c r="H281" s="479"/>
      <c r="I281" s="479"/>
      <c r="J281" s="479"/>
      <c r="K281" s="479"/>
      <c r="L281" s="479"/>
      <c r="M281" s="479"/>
      <c r="N281" s="479"/>
      <c r="O281" s="479"/>
      <c r="P281" s="479"/>
      <c r="Q281" s="479"/>
      <c r="R281" s="479"/>
      <c r="S281" s="479"/>
      <c r="T281" s="479"/>
      <c r="U281" s="479"/>
      <c r="V281" s="479"/>
      <c r="W281" s="479"/>
      <c r="X281" s="479"/>
      <c r="Y281" s="479"/>
      <c r="Z281" s="479"/>
      <c r="AA281" s="479"/>
      <c r="AB281" s="479"/>
      <c r="AC281" s="479"/>
      <c r="AD281" s="479"/>
      <c r="AE281" s="479"/>
      <c r="AF281" s="480"/>
      <c r="AG281" s="477" t="s">
        <v>1268</v>
      </c>
      <c r="AH281" s="477"/>
      <c r="AI281" s="477"/>
      <c r="AJ281" s="477"/>
      <c r="AK281" s="477"/>
      <c r="AL281" s="477"/>
      <c r="AM281" s="477"/>
      <c r="AN281" s="477"/>
      <c r="AO281" s="9"/>
      <c r="AP281" s="9"/>
      <c r="AQ281" s="491">
        <f t="shared" si="5"/>
        <v>205</v>
      </c>
      <c r="AR281" s="491"/>
      <c r="AS281" s="478" t="s">
        <v>1261</v>
      </c>
      <c r="AT281" s="479"/>
      <c r="AU281" s="479"/>
      <c r="AV281" s="479"/>
      <c r="AW281" s="479"/>
      <c r="AX281" s="479"/>
      <c r="AY281" s="479"/>
      <c r="AZ281" s="479"/>
      <c r="BA281" s="479"/>
      <c r="BB281" s="479"/>
      <c r="BC281" s="479"/>
      <c r="BD281" s="479"/>
      <c r="BE281" s="479"/>
      <c r="BF281" s="479"/>
      <c r="BG281" s="479"/>
      <c r="BH281" s="479"/>
      <c r="BI281" s="479"/>
      <c r="BJ281" s="479"/>
      <c r="BK281" s="479"/>
      <c r="BL281" s="479"/>
      <c r="BM281" s="479"/>
      <c r="BN281" s="479"/>
      <c r="BO281" s="479"/>
      <c r="BP281" s="479"/>
      <c r="BQ281" s="479"/>
      <c r="BR281" s="480"/>
      <c r="BS281" s="477" t="s">
        <v>1268</v>
      </c>
      <c r="BT281" s="477"/>
      <c r="BU281" s="477"/>
      <c r="BV281" s="477"/>
      <c r="BW281" s="477"/>
      <c r="BX281" s="477"/>
      <c r="BY281" s="477"/>
      <c r="BZ281" s="477"/>
      <c r="CA281" s="9"/>
      <c r="CB281" s="9"/>
      <c r="CC281" s="9"/>
      <c r="CD281" s="9"/>
      <c r="CE281" s="9"/>
      <c r="CF281" s="9"/>
      <c r="CG281" s="9"/>
      <c r="CH281" s="9"/>
      <c r="CI281" s="9"/>
      <c r="CJ281" s="9"/>
      <c r="CK281" s="9"/>
      <c r="CL281" s="9"/>
      <c r="CM281" s="9"/>
      <c r="CN281" s="9"/>
      <c r="CO281" s="9"/>
      <c r="CP281" s="16"/>
    </row>
    <row r="282" spans="1:94" ht="15" customHeight="1" x14ac:dyDescent="0.15">
      <c r="A282" s="15"/>
      <c r="B282" s="9"/>
      <c r="C282" s="9"/>
      <c r="D282" s="9"/>
      <c r="E282" s="491">
        <f t="shared" si="4"/>
        <v>167</v>
      </c>
      <c r="F282" s="491"/>
      <c r="G282" s="478" t="s">
        <v>1249</v>
      </c>
      <c r="H282" s="479"/>
      <c r="I282" s="479"/>
      <c r="J282" s="479"/>
      <c r="K282" s="479"/>
      <c r="L282" s="479"/>
      <c r="M282" s="479"/>
      <c r="N282" s="479"/>
      <c r="O282" s="479"/>
      <c r="P282" s="479"/>
      <c r="Q282" s="479"/>
      <c r="R282" s="479"/>
      <c r="S282" s="479"/>
      <c r="T282" s="479"/>
      <c r="U282" s="479"/>
      <c r="V282" s="479"/>
      <c r="W282" s="479"/>
      <c r="X282" s="479"/>
      <c r="Y282" s="479"/>
      <c r="Z282" s="479"/>
      <c r="AA282" s="479"/>
      <c r="AB282" s="479"/>
      <c r="AC282" s="479"/>
      <c r="AD282" s="479"/>
      <c r="AE282" s="479"/>
      <c r="AF282" s="480"/>
      <c r="AG282" s="477" t="s">
        <v>436</v>
      </c>
      <c r="AH282" s="477"/>
      <c r="AI282" s="477"/>
      <c r="AJ282" s="477"/>
      <c r="AK282" s="477"/>
      <c r="AL282" s="477"/>
      <c r="AM282" s="477"/>
      <c r="AN282" s="477"/>
      <c r="AO282" s="9"/>
      <c r="AP282" s="9"/>
      <c r="AQ282" s="491">
        <f t="shared" si="5"/>
        <v>206</v>
      </c>
      <c r="AR282" s="491"/>
      <c r="AS282" s="478" t="s">
        <v>1262</v>
      </c>
      <c r="AT282" s="479"/>
      <c r="AU282" s="479"/>
      <c r="AV282" s="479"/>
      <c r="AW282" s="479"/>
      <c r="AX282" s="479"/>
      <c r="AY282" s="479"/>
      <c r="AZ282" s="479"/>
      <c r="BA282" s="479"/>
      <c r="BB282" s="479"/>
      <c r="BC282" s="479"/>
      <c r="BD282" s="479"/>
      <c r="BE282" s="479"/>
      <c r="BF282" s="479"/>
      <c r="BG282" s="479"/>
      <c r="BH282" s="479"/>
      <c r="BI282" s="479"/>
      <c r="BJ282" s="479"/>
      <c r="BK282" s="479"/>
      <c r="BL282" s="479"/>
      <c r="BM282" s="479"/>
      <c r="BN282" s="479"/>
      <c r="BO282" s="479"/>
      <c r="BP282" s="479"/>
      <c r="BQ282" s="479"/>
      <c r="BR282" s="480"/>
      <c r="BS282" s="477" t="s">
        <v>436</v>
      </c>
      <c r="BT282" s="477"/>
      <c r="BU282" s="477"/>
      <c r="BV282" s="477"/>
      <c r="BW282" s="477"/>
      <c r="BX282" s="477"/>
      <c r="BY282" s="477"/>
      <c r="BZ282" s="477"/>
      <c r="CA282" s="9"/>
      <c r="CB282" s="9"/>
      <c r="CC282" s="9"/>
      <c r="CD282" s="9"/>
      <c r="CE282" s="9"/>
      <c r="CF282" s="9"/>
      <c r="CG282" s="9"/>
      <c r="CH282" s="9"/>
      <c r="CI282" s="9"/>
      <c r="CJ282" s="9"/>
      <c r="CK282" s="9"/>
      <c r="CL282" s="9"/>
      <c r="CM282" s="9"/>
      <c r="CN282" s="9"/>
      <c r="CO282" s="9"/>
      <c r="CP282" s="16"/>
    </row>
    <row r="283" spans="1:94" ht="15" customHeight="1" x14ac:dyDescent="0.15">
      <c r="A283" s="15"/>
      <c r="B283" s="9"/>
      <c r="C283" s="9"/>
      <c r="D283" s="9"/>
      <c r="E283" s="491">
        <f t="shared" si="4"/>
        <v>168</v>
      </c>
      <c r="F283" s="491"/>
      <c r="G283" s="478" t="s">
        <v>1250</v>
      </c>
      <c r="H283" s="479"/>
      <c r="I283" s="479"/>
      <c r="J283" s="479"/>
      <c r="K283" s="479"/>
      <c r="L283" s="479"/>
      <c r="M283" s="479"/>
      <c r="N283" s="479"/>
      <c r="O283" s="479"/>
      <c r="P283" s="479"/>
      <c r="Q283" s="479"/>
      <c r="R283" s="479"/>
      <c r="S283" s="479"/>
      <c r="T283" s="479"/>
      <c r="U283" s="479"/>
      <c r="V283" s="479"/>
      <c r="W283" s="479"/>
      <c r="X283" s="479"/>
      <c r="Y283" s="479"/>
      <c r="Z283" s="479"/>
      <c r="AA283" s="479"/>
      <c r="AB283" s="479"/>
      <c r="AC283" s="479"/>
      <c r="AD283" s="479"/>
      <c r="AE283" s="479"/>
      <c r="AF283" s="480"/>
      <c r="AG283" s="477" t="s">
        <v>436</v>
      </c>
      <c r="AH283" s="477"/>
      <c r="AI283" s="477"/>
      <c r="AJ283" s="477"/>
      <c r="AK283" s="477"/>
      <c r="AL283" s="477"/>
      <c r="AM283" s="477"/>
      <c r="AN283" s="477"/>
      <c r="AO283" s="9"/>
      <c r="AP283" s="9"/>
      <c r="AQ283" s="491">
        <f t="shared" si="5"/>
        <v>207</v>
      </c>
      <c r="AR283" s="491"/>
      <c r="AS283" s="478" t="s">
        <v>589</v>
      </c>
      <c r="AT283" s="479"/>
      <c r="AU283" s="479"/>
      <c r="AV283" s="479"/>
      <c r="AW283" s="479"/>
      <c r="AX283" s="479"/>
      <c r="AY283" s="479"/>
      <c r="AZ283" s="479"/>
      <c r="BA283" s="479"/>
      <c r="BB283" s="479"/>
      <c r="BC283" s="479"/>
      <c r="BD283" s="479"/>
      <c r="BE283" s="479"/>
      <c r="BF283" s="479"/>
      <c r="BG283" s="479"/>
      <c r="BH283" s="479"/>
      <c r="BI283" s="479"/>
      <c r="BJ283" s="479"/>
      <c r="BK283" s="479"/>
      <c r="BL283" s="479"/>
      <c r="BM283" s="479"/>
      <c r="BN283" s="479"/>
      <c r="BO283" s="479"/>
      <c r="BP283" s="479"/>
      <c r="BQ283" s="479"/>
      <c r="BR283" s="480"/>
      <c r="BS283" s="477" t="s">
        <v>439</v>
      </c>
      <c r="BT283" s="477"/>
      <c r="BU283" s="477"/>
      <c r="BV283" s="477"/>
      <c r="BW283" s="477"/>
      <c r="BX283" s="477"/>
      <c r="BY283" s="477"/>
      <c r="BZ283" s="477"/>
      <c r="CA283" s="9"/>
      <c r="CB283" s="9"/>
      <c r="CC283" s="9"/>
      <c r="CD283" s="9"/>
      <c r="CE283" s="9"/>
      <c r="CF283" s="9"/>
      <c r="CG283" s="9"/>
      <c r="CH283" s="9"/>
      <c r="CI283" s="9"/>
      <c r="CJ283" s="9"/>
      <c r="CK283" s="9"/>
      <c r="CL283" s="9"/>
      <c r="CM283" s="9"/>
      <c r="CN283" s="9"/>
      <c r="CO283" s="9"/>
      <c r="CP283" s="16"/>
    </row>
    <row r="284" spans="1:94" ht="15" customHeight="1" x14ac:dyDescent="0.15">
      <c r="A284" s="15"/>
      <c r="B284" s="9"/>
      <c r="C284" s="9"/>
      <c r="D284" s="9"/>
      <c r="E284" s="491">
        <f t="shared" si="4"/>
        <v>169</v>
      </c>
      <c r="F284" s="491"/>
      <c r="G284" s="478" t="s">
        <v>561</v>
      </c>
      <c r="H284" s="479"/>
      <c r="I284" s="479"/>
      <c r="J284" s="479"/>
      <c r="K284" s="479"/>
      <c r="L284" s="479"/>
      <c r="M284" s="479"/>
      <c r="N284" s="479"/>
      <c r="O284" s="479"/>
      <c r="P284" s="479"/>
      <c r="Q284" s="479"/>
      <c r="R284" s="479"/>
      <c r="S284" s="479"/>
      <c r="T284" s="479"/>
      <c r="U284" s="479"/>
      <c r="V284" s="479"/>
      <c r="W284" s="479"/>
      <c r="X284" s="479"/>
      <c r="Y284" s="479"/>
      <c r="Z284" s="479"/>
      <c r="AA284" s="479"/>
      <c r="AB284" s="479"/>
      <c r="AC284" s="479"/>
      <c r="AD284" s="479"/>
      <c r="AE284" s="479"/>
      <c r="AF284" s="480"/>
      <c r="AG284" s="477" t="s">
        <v>445</v>
      </c>
      <c r="AH284" s="477"/>
      <c r="AI284" s="477"/>
      <c r="AJ284" s="477"/>
      <c r="AK284" s="477"/>
      <c r="AL284" s="477"/>
      <c r="AM284" s="477"/>
      <c r="AN284" s="477"/>
      <c r="AO284" s="9"/>
      <c r="AP284" s="9"/>
      <c r="AQ284" s="491">
        <f t="shared" si="5"/>
        <v>208</v>
      </c>
      <c r="AR284" s="491"/>
      <c r="AS284" s="478" t="s">
        <v>490</v>
      </c>
      <c r="AT284" s="479"/>
      <c r="AU284" s="479"/>
      <c r="AV284" s="479"/>
      <c r="AW284" s="479"/>
      <c r="AX284" s="479"/>
      <c r="AY284" s="479"/>
      <c r="AZ284" s="479"/>
      <c r="BA284" s="479"/>
      <c r="BB284" s="479"/>
      <c r="BC284" s="479"/>
      <c r="BD284" s="479"/>
      <c r="BE284" s="479"/>
      <c r="BF284" s="479"/>
      <c r="BG284" s="479"/>
      <c r="BH284" s="479"/>
      <c r="BI284" s="479"/>
      <c r="BJ284" s="479"/>
      <c r="BK284" s="479"/>
      <c r="BL284" s="479"/>
      <c r="BM284" s="479"/>
      <c r="BN284" s="479"/>
      <c r="BO284" s="479"/>
      <c r="BP284" s="479"/>
      <c r="BQ284" s="479"/>
      <c r="BR284" s="480"/>
      <c r="BS284" s="477" t="s">
        <v>1268</v>
      </c>
      <c r="BT284" s="477"/>
      <c r="BU284" s="477"/>
      <c r="BV284" s="477"/>
      <c r="BW284" s="477"/>
      <c r="BX284" s="477"/>
      <c r="BY284" s="477"/>
      <c r="BZ284" s="477"/>
      <c r="CA284" s="9"/>
      <c r="CB284" s="9"/>
      <c r="CC284" s="9"/>
      <c r="CD284" s="9"/>
      <c r="CE284" s="9"/>
      <c r="CF284" s="9"/>
      <c r="CG284" s="9"/>
      <c r="CH284" s="9"/>
      <c r="CI284" s="9"/>
      <c r="CJ284" s="9"/>
      <c r="CK284" s="9"/>
      <c r="CL284" s="9"/>
      <c r="CM284" s="9"/>
      <c r="CN284" s="9"/>
      <c r="CO284" s="9"/>
      <c r="CP284" s="16"/>
    </row>
    <row r="285" spans="1:94" ht="15" customHeight="1" x14ac:dyDescent="0.15">
      <c r="A285" s="15"/>
      <c r="B285" s="9"/>
      <c r="C285" s="9"/>
      <c r="D285" s="9"/>
      <c r="E285" s="491">
        <f t="shared" si="4"/>
        <v>170</v>
      </c>
      <c r="F285" s="491"/>
      <c r="G285" s="478" t="s">
        <v>558</v>
      </c>
      <c r="H285" s="479"/>
      <c r="I285" s="479"/>
      <c r="J285" s="479"/>
      <c r="K285" s="479"/>
      <c r="L285" s="479"/>
      <c r="M285" s="479"/>
      <c r="N285" s="479"/>
      <c r="O285" s="479"/>
      <c r="P285" s="479"/>
      <c r="Q285" s="479"/>
      <c r="R285" s="479"/>
      <c r="S285" s="479"/>
      <c r="T285" s="479"/>
      <c r="U285" s="479"/>
      <c r="V285" s="479"/>
      <c r="W285" s="479"/>
      <c r="X285" s="479"/>
      <c r="Y285" s="479"/>
      <c r="Z285" s="479"/>
      <c r="AA285" s="479"/>
      <c r="AB285" s="479"/>
      <c r="AC285" s="479"/>
      <c r="AD285" s="479"/>
      <c r="AE285" s="479"/>
      <c r="AF285" s="480"/>
      <c r="AG285" s="477" t="s">
        <v>1273</v>
      </c>
      <c r="AH285" s="477"/>
      <c r="AI285" s="477"/>
      <c r="AJ285" s="477"/>
      <c r="AK285" s="477"/>
      <c r="AL285" s="477"/>
      <c r="AM285" s="477"/>
      <c r="AN285" s="477"/>
      <c r="AO285" s="9"/>
      <c r="AP285" s="9"/>
      <c r="AQ285" s="491">
        <f t="shared" si="5"/>
        <v>209</v>
      </c>
      <c r="AR285" s="491"/>
      <c r="AS285" s="478" t="s">
        <v>583</v>
      </c>
      <c r="AT285" s="479"/>
      <c r="AU285" s="479"/>
      <c r="AV285" s="479"/>
      <c r="AW285" s="479"/>
      <c r="AX285" s="479"/>
      <c r="AY285" s="479"/>
      <c r="AZ285" s="479"/>
      <c r="BA285" s="479"/>
      <c r="BB285" s="479"/>
      <c r="BC285" s="479"/>
      <c r="BD285" s="479"/>
      <c r="BE285" s="479"/>
      <c r="BF285" s="479"/>
      <c r="BG285" s="479"/>
      <c r="BH285" s="479"/>
      <c r="BI285" s="479"/>
      <c r="BJ285" s="479"/>
      <c r="BK285" s="479"/>
      <c r="BL285" s="479"/>
      <c r="BM285" s="479"/>
      <c r="BN285" s="479"/>
      <c r="BO285" s="479"/>
      <c r="BP285" s="479"/>
      <c r="BQ285" s="479"/>
      <c r="BR285" s="480"/>
      <c r="BS285" s="477" t="s">
        <v>436</v>
      </c>
      <c r="BT285" s="477"/>
      <c r="BU285" s="477"/>
      <c r="BV285" s="477"/>
      <c r="BW285" s="477"/>
      <c r="BX285" s="477"/>
      <c r="BY285" s="477"/>
      <c r="BZ285" s="477"/>
      <c r="CA285" s="9"/>
      <c r="CB285" s="9"/>
      <c r="CC285" s="9"/>
      <c r="CD285" s="9"/>
      <c r="CE285" s="9"/>
      <c r="CF285" s="9"/>
      <c r="CG285" s="9"/>
      <c r="CH285" s="9"/>
      <c r="CI285" s="9"/>
      <c r="CJ285" s="9"/>
      <c r="CK285" s="9"/>
      <c r="CL285" s="9"/>
      <c r="CM285" s="9"/>
      <c r="CN285" s="9"/>
      <c r="CO285" s="9"/>
      <c r="CP285" s="16"/>
    </row>
    <row r="286" spans="1:94" ht="15" customHeight="1" x14ac:dyDescent="0.15">
      <c r="A286" s="15"/>
      <c r="B286" s="9"/>
      <c r="C286" s="9"/>
      <c r="D286" s="9"/>
      <c r="E286" s="491">
        <f t="shared" si="4"/>
        <v>171</v>
      </c>
      <c r="F286" s="491"/>
      <c r="G286" s="478" t="s">
        <v>1251</v>
      </c>
      <c r="H286" s="479"/>
      <c r="I286" s="479"/>
      <c r="J286" s="479"/>
      <c r="K286" s="479"/>
      <c r="L286" s="479"/>
      <c r="M286" s="479"/>
      <c r="N286" s="479"/>
      <c r="O286" s="479"/>
      <c r="P286" s="479"/>
      <c r="Q286" s="479"/>
      <c r="R286" s="479"/>
      <c r="S286" s="479"/>
      <c r="T286" s="479"/>
      <c r="U286" s="479"/>
      <c r="V286" s="479"/>
      <c r="W286" s="479"/>
      <c r="X286" s="479"/>
      <c r="Y286" s="479"/>
      <c r="Z286" s="479"/>
      <c r="AA286" s="479"/>
      <c r="AB286" s="479"/>
      <c r="AC286" s="479"/>
      <c r="AD286" s="479"/>
      <c r="AE286" s="479"/>
      <c r="AF286" s="480"/>
      <c r="AG286" s="477" t="s">
        <v>436</v>
      </c>
      <c r="AH286" s="477"/>
      <c r="AI286" s="477"/>
      <c r="AJ286" s="477"/>
      <c r="AK286" s="477"/>
      <c r="AL286" s="477"/>
      <c r="AM286" s="477"/>
      <c r="AN286" s="477"/>
      <c r="AO286" s="9"/>
      <c r="AP286" s="9"/>
      <c r="AQ286" s="491">
        <f t="shared" si="5"/>
        <v>210</v>
      </c>
      <c r="AR286" s="491"/>
      <c r="AS286" s="478" t="s">
        <v>467</v>
      </c>
      <c r="AT286" s="479"/>
      <c r="AU286" s="479"/>
      <c r="AV286" s="479"/>
      <c r="AW286" s="479"/>
      <c r="AX286" s="479"/>
      <c r="AY286" s="479"/>
      <c r="AZ286" s="479"/>
      <c r="BA286" s="479"/>
      <c r="BB286" s="479"/>
      <c r="BC286" s="479"/>
      <c r="BD286" s="479"/>
      <c r="BE286" s="479"/>
      <c r="BF286" s="479"/>
      <c r="BG286" s="479"/>
      <c r="BH286" s="479"/>
      <c r="BI286" s="479"/>
      <c r="BJ286" s="479"/>
      <c r="BK286" s="479"/>
      <c r="BL286" s="479"/>
      <c r="BM286" s="479"/>
      <c r="BN286" s="479"/>
      <c r="BO286" s="479"/>
      <c r="BP286" s="479"/>
      <c r="BQ286" s="479"/>
      <c r="BR286" s="480"/>
      <c r="BS286" s="477" t="s">
        <v>436</v>
      </c>
      <c r="BT286" s="477"/>
      <c r="BU286" s="477"/>
      <c r="BV286" s="477"/>
      <c r="BW286" s="477"/>
      <c r="BX286" s="477"/>
      <c r="BY286" s="477"/>
      <c r="BZ286" s="477"/>
      <c r="CA286" s="9"/>
      <c r="CB286" s="9"/>
      <c r="CC286" s="9"/>
      <c r="CD286" s="9"/>
      <c r="CE286" s="9"/>
      <c r="CF286" s="9"/>
      <c r="CG286" s="9"/>
      <c r="CH286" s="9"/>
      <c r="CI286" s="9"/>
      <c r="CJ286" s="9"/>
      <c r="CK286" s="9"/>
      <c r="CL286" s="9"/>
      <c r="CM286" s="9"/>
      <c r="CN286" s="9"/>
      <c r="CO286" s="9"/>
      <c r="CP286" s="16"/>
    </row>
    <row r="287" spans="1:94" ht="15" customHeight="1" x14ac:dyDescent="0.15">
      <c r="A287" s="15"/>
      <c r="B287" s="9"/>
      <c r="C287" s="9"/>
      <c r="D287" s="9"/>
      <c r="E287" s="491">
        <f t="shared" si="4"/>
        <v>172</v>
      </c>
      <c r="F287" s="491"/>
      <c r="G287" s="478" t="s">
        <v>1252</v>
      </c>
      <c r="H287" s="479"/>
      <c r="I287" s="479"/>
      <c r="J287" s="479"/>
      <c r="K287" s="479"/>
      <c r="L287" s="479"/>
      <c r="M287" s="479"/>
      <c r="N287" s="479"/>
      <c r="O287" s="479"/>
      <c r="P287" s="479"/>
      <c r="Q287" s="479"/>
      <c r="R287" s="479"/>
      <c r="S287" s="479"/>
      <c r="T287" s="479"/>
      <c r="U287" s="479"/>
      <c r="V287" s="479"/>
      <c r="W287" s="479"/>
      <c r="X287" s="479"/>
      <c r="Y287" s="479"/>
      <c r="Z287" s="479"/>
      <c r="AA287" s="479"/>
      <c r="AB287" s="479"/>
      <c r="AC287" s="479"/>
      <c r="AD287" s="479"/>
      <c r="AE287" s="479"/>
      <c r="AF287" s="480"/>
      <c r="AG287" s="477" t="s">
        <v>436</v>
      </c>
      <c r="AH287" s="477"/>
      <c r="AI287" s="477"/>
      <c r="AJ287" s="477"/>
      <c r="AK287" s="477"/>
      <c r="AL287" s="477"/>
      <c r="AM287" s="477"/>
      <c r="AN287" s="477"/>
      <c r="AO287" s="9"/>
      <c r="AP287" s="9"/>
      <c r="AQ287" s="491">
        <f t="shared" si="5"/>
        <v>211</v>
      </c>
      <c r="AR287" s="491"/>
      <c r="AS287" s="478" t="s">
        <v>587</v>
      </c>
      <c r="AT287" s="479"/>
      <c r="AU287" s="479"/>
      <c r="AV287" s="479"/>
      <c r="AW287" s="479"/>
      <c r="AX287" s="479"/>
      <c r="AY287" s="479"/>
      <c r="AZ287" s="479"/>
      <c r="BA287" s="479"/>
      <c r="BB287" s="479"/>
      <c r="BC287" s="479"/>
      <c r="BD287" s="479"/>
      <c r="BE287" s="479"/>
      <c r="BF287" s="479"/>
      <c r="BG287" s="479"/>
      <c r="BH287" s="479"/>
      <c r="BI287" s="479"/>
      <c r="BJ287" s="479"/>
      <c r="BK287" s="479"/>
      <c r="BL287" s="479"/>
      <c r="BM287" s="479"/>
      <c r="BN287" s="479"/>
      <c r="BO287" s="479"/>
      <c r="BP287" s="479"/>
      <c r="BQ287" s="479"/>
      <c r="BR287" s="480"/>
      <c r="BS287" s="477" t="s">
        <v>436</v>
      </c>
      <c r="BT287" s="477"/>
      <c r="BU287" s="477"/>
      <c r="BV287" s="477"/>
      <c r="BW287" s="477"/>
      <c r="BX287" s="477"/>
      <c r="BY287" s="477"/>
      <c r="BZ287" s="477"/>
      <c r="CA287" s="9"/>
      <c r="CB287" s="9"/>
      <c r="CC287" s="9"/>
      <c r="CD287" s="9"/>
      <c r="CE287" s="9"/>
      <c r="CF287" s="9"/>
      <c r="CG287" s="9"/>
      <c r="CH287" s="9"/>
      <c r="CI287" s="9"/>
      <c r="CJ287" s="9"/>
      <c r="CK287" s="9"/>
      <c r="CL287" s="9"/>
      <c r="CM287" s="9"/>
      <c r="CN287" s="9"/>
      <c r="CO287" s="9"/>
      <c r="CP287" s="16"/>
    </row>
    <row r="288" spans="1:94" ht="15" customHeight="1" x14ac:dyDescent="0.15">
      <c r="A288" s="15"/>
      <c r="B288" s="9"/>
      <c r="C288" s="9"/>
      <c r="D288" s="9"/>
      <c r="E288" s="491">
        <f t="shared" si="4"/>
        <v>173</v>
      </c>
      <c r="F288" s="491"/>
      <c r="G288" s="478" t="s">
        <v>562</v>
      </c>
      <c r="H288" s="479"/>
      <c r="I288" s="479"/>
      <c r="J288" s="479"/>
      <c r="K288" s="479"/>
      <c r="L288" s="479"/>
      <c r="M288" s="479"/>
      <c r="N288" s="479"/>
      <c r="O288" s="479"/>
      <c r="P288" s="479"/>
      <c r="Q288" s="479"/>
      <c r="R288" s="479"/>
      <c r="S288" s="479"/>
      <c r="T288" s="479"/>
      <c r="U288" s="479"/>
      <c r="V288" s="479"/>
      <c r="W288" s="479"/>
      <c r="X288" s="479"/>
      <c r="Y288" s="479"/>
      <c r="Z288" s="479"/>
      <c r="AA288" s="479"/>
      <c r="AB288" s="479"/>
      <c r="AC288" s="479"/>
      <c r="AD288" s="479"/>
      <c r="AE288" s="479"/>
      <c r="AF288" s="480"/>
      <c r="AG288" s="477" t="s">
        <v>1274</v>
      </c>
      <c r="AH288" s="477"/>
      <c r="AI288" s="477"/>
      <c r="AJ288" s="477"/>
      <c r="AK288" s="477"/>
      <c r="AL288" s="477"/>
      <c r="AM288" s="477"/>
      <c r="AN288" s="477"/>
      <c r="AO288" s="9"/>
      <c r="AP288" s="9"/>
      <c r="AQ288" s="491">
        <f t="shared" si="5"/>
        <v>212</v>
      </c>
      <c r="AR288" s="491"/>
      <c r="AS288" s="478" t="s">
        <v>488</v>
      </c>
      <c r="AT288" s="479"/>
      <c r="AU288" s="479"/>
      <c r="AV288" s="479"/>
      <c r="AW288" s="479"/>
      <c r="AX288" s="479"/>
      <c r="AY288" s="479"/>
      <c r="AZ288" s="479"/>
      <c r="BA288" s="479"/>
      <c r="BB288" s="479"/>
      <c r="BC288" s="479"/>
      <c r="BD288" s="479"/>
      <c r="BE288" s="479"/>
      <c r="BF288" s="479"/>
      <c r="BG288" s="479"/>
      <c r="BH288" s="479"/>
      <c r="BI288" s="479"/>
      <c r="BJ288" s="479"/>
      <c r="BK288" s="479"/>
      <c r="BL288" s="479"/>
      <c r="BM288" s="479"/>
      <c r="BN288" s="479"/>
      <c r="BO288" s="479"/>
      <c r="BP288" s="479"/>
      <c r="BQ288" s="479"/>
      <c r="BR288" s="480"/>
      <c r="BS288" s="477" t="s">
        <v>439</v>
      </c>
      <c r="BT288" s="477"/>
      <c r="BU288" s="477"/>
      <c r="BV288" s="477"/>
      <c r="BW288" s="477"/>
      <c r="BX288" s="477"/>
      <c r="BY288" s="477"/>
      <c r="BZ288" s="477"/>
      <c r="CA288" s="9"/>
      <c r="CB288" s="9"/>
      <c r="CC288" s="9"/>
      <c r="CD288" s="9"/>
      <c r="CE288" s="9"/>
      <c r="CF288" s="9"/>
      <c r="CG288" s="9"/>
      <c r="CH288" s="9"/>
      <c r="CI288" s="9"/>
      <c r="CJ288" s="9"/>
      <c r="CK288" s="9"/>
      <c r="CL288" s="9"/>
      <c r="CM288" s="9"/>
      <c r="CN288" s="9"/>
      <c r="CO288" s="9"/>
      <c r="CP288" s="16"/>
    </row>
    <row r="289" spans="1:97" ht="15" customHeight="1" x14ac:dyDescent="0.15">
      <c r="A289" s="15"/>
      <c r="B289" s="9"/>
      <c r="C289" s="9"/>
      <c r="D289" s="9"/>
      <c r="E289" s="491">
        <f t="shared" si="4"/>
        <v>174</v>
      </c>
      <c r="F289" s="491"/>
      <c r="G289" s="478" t="s">
        <v>516</v>
      </c>
      <c r="H289" s="479"/>
      <c r="I289" s="479"/>
      <c r="J289" s="479"/>
      <c r="K289" s="479"/>
      <c r="L289" s="479"/>
      <c r="M289" s="479"/>
      <c r="N289" s="479"/>
      <c r="O289" s="479"/>
      <c r="P289" s="479"/>
      <c r="Q289" s="479"/>
      <c r="R289" s="479"/>
      <c r="S289" s="479"/>
      <c r="T289" s="479"/>
      <c r="U289" s="479"/>
      <c r="V289" s="479"/>
      <c r="W289" s="479"/>
      <c r="X289" s="479"/>
      <c r="Y289" s="479"/>
      <c r="Z289" s="479"/>
      <c r="AA289" s="479"/>
      <c r="AB289" s="479"/>
      <c r="AC289" s="479"/>
      <c r="AD289" s="479"/>
      <c r="AE289" s="479"/>
      <c r="AF289" s="480"/>
      <c r="AG289" s="477" t="s">
        <v>439</v>
      </c>
      <c r="AH289" s="477"/>
      <c r="AI289" s="477"/>
      <c r="AJ289" s="477"/>
      <c r="AK289" s="477"/>
      <c r="AL289" s="477"/>
      <c r="AM289" s="477"/>
      <c r="AN289" s="477"/>
      <c r="AO289" s="9"/>
      <c r="AP289" s="9"/>
      <c r="AQ289" s="491">
        <f t="shared" si="5"/>
        <v>213</v>
      </c>
      <c r="AR289" s="491"/>
      <c r="AS289" s="478" t="s">
        <v>1263</v>
      </c>
      <c r="AT289" s="479"/>
      <c r="AU289" s="479"/>
      <c r="AV289" s="479"/>
      <c r="AW289" s="479"/>
      <c r="AX289" s="479"/>
      <c r="AY289" s="479"/>
      <c r="AZ289" s="479"/>
      <c r="BA289" s="479"/>
      <c r="BB289" s="479"/>
      <c r="BC289" s="479"/>
      <c r="BD289" s="479"/>
      <c r="BE289" s="479"/>
      <c r="BF289" s="479"/>
      <c r="BG289" s="479"/>
      <c r="BH289" s="479"/>
      <c r="BI289" s="479"/>
      <c r="BJ289" s="479"/>
      <c r="BK289" s="479"/>
      <c r="BL289" s="479"/>
      <c r="BM289" s="479"/>
      <c r="BN289" s="479"/>
      <c r="BO289" s="479"/>
      <c r="BP289" s="479"/>
      <c r="BQ289" s="479"/>
      <c r="BR289" s="480"/>
      <c r="BS289" s="477" t="s">
        <v>1273</v>
      </c>
      <c r="BT289" s="477"/>
      <c r="BU289" s="477"/>
      <c r="BV289" s="477"/>
      <c r="BW289" s="477"/>
      <c r="BX289" s="477"/>
      <c r="BY289" s="477"/>
      <c r="BZ289" s="477"/>
      <c r="CA289" s="9"/>
      <c r="CB289" s="9"/>
      <c r="CC289" s="9"/>
      <c r="CD289" s="9"/>
      <c r="CE289" s="9"/>
      <c r="CF289" s="9"/>
      <c r="CG289" s="9"/>
      <c r="CH289" s="9"/>
      <c r="CI289" s="9"/>
      <c r="CJ289" s="9"/>
      <c r="CK289" s="9"/>
      <c r="CL289" s="9"/>
      <c r="CM289" s="9"/>
      <c r="CN289" s="9"/>
      <c r="CO289" s="9"/>
      <c r="CP289" s="16"/>
    </row>
    <row r="290" spans="1:97" ht="15" customHeight="1" x14ac:dyDescent="0.15">
      <c r="A290" s="15"/>
      <c r="B290" s="9"/>
      <c r="C290" s="9"/>
      <c r="D290" s="9"/>
      <c r="E290" s="491">
        <f t="shared" si="4"/>
        <v>175</v>
      </c>
      <c r="F290" s="491"/>
      <c r="G290" s="478" t="s">
        <v>564</v>
      </c>
      <c r="H290" s="479"/>
      <c r="I290" s="479"/>
      <c r="J290" s="479"/>
      <c r="K290" s="479"/>
      <c r="L290" s="479"/>
      <c r="M290" s="479"/>
      <c r="N290" s="479"/>
      <c r="O290" s="479"/>
      <c r="P290" s="479"/>
      <c r="Q290" s="479"/>
      <c r="R290" s="479"/>
      <c r="S290" s="479"/>
      <c r="T290" s="479"/>
      <c r="U290" s="479"/>
      <c r="V290" s="479"/>
      <c r="W290" s="479"/>
      <c r="X290" s="479"/>
      <c r="Y290" s="479"/>
      <c r="Z290" s="479"/>
      <c r="AA290" s="479"/>
      <c r="AB290" s="479"/>
      <c r="AC290" s="479"/>
      <c r="AD290" s="479"/>
      <c r="AE290" s="479"/>
      <c r="AF290" s="480"/>
      <c r="AG290" s="477" t="s">
        <v>436</v>
      </c>
      <c r="AH290" s="477"/>
      <c r="AI290" s="477"/>
      <c r="AJ290" s="477"/>
      <c r="AK290" s="477"/>
      <c r="AL290" s="477"/>
      <c r="AM290" s="477"/>
      <c r="AN290" s="477"/>
      <c r="AO290" s="9"/>
      <c r="AP290" s="9"/>
      <c r="AQ290" s="491">
        <f t="shared" si="5"/>
        <v>214</v>
      </c>
      <c r="AR290" s="491"/>
      <c r="AS290" s="478" t="s">
        <v>557</v>
      </c>
      <c r="AT290" s="479"/>
      <c r="AU290" s="479"/>
      <c r="AV290" s="479"/>
      <c r="AW290" s="479"/>
      <c r="AX290" s="479"/>
      <c r="AY290" s="479"/>
      <c r="AZ290" s="479"/>
      <c r="BA290" s="479"/>
      <c r="BB290" s="479"/>
      <c r="BC290" s="479"/>
      <c r="BD290" s="479"/>
      <c r="BE290" s="479"/>
      <c r="BF290" s="479"/>
      <c r="BG290" s="479"/>
      <c r="BH290" s="479"/>
      <c r="BI290" s="479"/>
      <c r="BJ290" s="479"/>
      <c r="BK290" s="479"/>
      <c r="BL290" s="479"/>
      <c r="BM290" s="479"/>
      <c r="BN290" s="479"/>
      <c r="BO290" s="479"/>
      <c r="BP290" s="479"/>
      <c r="BQ290" s="479"/>
      <c r="BR290" s="480"/>
      <c r="BS290" s="477" t="s">
        <v>445</v>
      </c>
      <c r="BT290" s="477"/>
      <c r="BU290" s="477"/>
      <c r="BV290" s="477"/>
      <c r="BW290" s="477"/>
      <c r="BX290" s="477"/>
      <c r="BY290" s="477"/>
      <c r="BZ290" s="477"/>
      <c r="CA290" s="9"/>
      <c r="CB290" s="9"/>
      <c r="CC290" s="9"/>
      <c r="CD290" s="9"/>
      <c r="CE290" s="9"/>
      <c r="CF290" s="9"/>
      <c r="CG290" s="9"/>
      <c r="CH290" s="9"/>
      <c r="CI290" s="9"/>
      <c r="CJ290" s="9"/>
      <c r="CK290" s="9"/>
      <c r="CL290" s="9"/>
      <c r="CM290" s="9"/>
      <c r="CN290" s="9"/>
      <c r="CO290" s="9"/>
      <c r="CP290" s="16"/>
    </row>
    <row r="291" spans="1:97" ht="15" customHeight="1" x14ac:dyDescent="0.15">
      <c r="A291" s="15"/>
      <c r="B291" s="9"/>
      <c r="C291" s="9"/>
      <c r="D291" s="9"/>
      <c r="E291" s="491">
        <f t="shared" si="4"/>
        <v>176</v>
      </c>
      <c r="F291" s="491"/>
      <c r="G291" s="478" t="s">
        <v>572</v>
      </c>
      <c r="H291" s="479"/>
      <c r="I291" s="479"/>
      <c r="J291" s="479"/>
      <c r="K291" s="479"/>
      <c r="L291" s="479"/>
      <c r="M291" s="479"/>
      <c r="N291" s="479"/>
      <c r="O291" s="479"/>
      <c r="P291" s="479"/>
      <c r="Q291" s="479"/>
      <c r="R291" s="479"/>
      <c r="S291" s="479"/>
      <c r="T291" s="479"/>
      <c r="U291" s="479"/>
      <c r="V291" s="479"/>
      <c r="W291" s="479"/>
      <c r="X291" s="479"/>
      <c r="Y291" s="479"/>
      <c r="Z291" s="479"/>
      <c r="AA291" s="479"/>
      <c r="AB291" s="479"/>
      <c r="AC291" s="479"/>
      <c r="AD291" s="479"/>
      <c r="AE291" s="479"/>
      <c r="AF291" s="480"/>
      <c r="AG291" s="477" t="s">
        <v>436</v>
      </c>
      <c r="AH291" s="477"/>
      <c r="AI291" s="477"/>
      <c r="AJ291" s="477"/>
      <c r="AK291" s="477"/>
      <c r="AL291" s="477"/>
      <c r="AM291" s="477"/>
      <c r="AN291" s="477"/>
      <c r="AO291" s="9"/>
      <c r="AP291" s="9"/>
      <c r="AQ291" s="491">
        <f t="shared" si="5"/>
        <v>215</v>
      </c>
      <c r="AR291" s="491"/>
      <c r="AS291" s="478" t="s">
        <v>1264</v>
      </c>
      <c r="AT291" s="479"/>
      <c r="AU291" s="479"/>
      <c r="AV291" s="479"/>
      <c r="AW291" s="479"/>
      <c r="AX291" s="479"/>
      <c r="AY291" s="479"/>
      <c r="AZ291" s="479"/>
      <c r="BA291" s="479"/>
      <c r="BB291" s="479"/>
      <c r="BC291" s="479"/>
      <c r="BD291" s="479"/>
      <c r="BE291" s="479"/>
      <c r="BF291" s="479"/>
      <c r="BG291" s="479"/>
      <c r="BH291" s="479"/>
      <c r="BI291" s="479"/>
      <c r="BJ291" s="479"/>
      <c r="BK291" s="479"/>
      <c r="BL291" s="479"/>
      <c r="BM291" s="479"/>
      <c r="BN291" s="479"/>
      <c r="BO291" s="479"/>
      <c r="BP291" s="479"/>
      <c r="BQ291" s="479"/>
      <c r="BR291" s="480"/>
      <c r="BS291" s="477" t="s">
        <v>436</v>
      </c>
      <c r="BT291" s="477"/>
      <c r="BU291" s="477"/>
      <c r="BV291" s="477"/>
      <c r="BW291" s="477"/>
      <c r="BX291" s="477"/>
      <c r="BY291" s="477"/>
      <c r="BZ291" s="477"/>
      <c r="CA291" s="9"/>
      <c r="CB291" s="9"/>
      <c r="CC291" s="9"/>
      <c r="CD291" s="9"/>
      <c r="CE291" s="9"/>
      <c r="CF291" s="9"/>
      <c r="CG291" s="9"/>
      <c r="CH291" s="9"/>
      <c r="CI291" s="9"/>
      <c r="CJ291" s="9"/>
      <c r="CK291" s="9"/>
      <c r="CL291" s="9"/>
      <c r="CM291" s="9"/>
      <c r="CN291" s="9"/>
      <c r="CO291" s="9"/>
      <c r="CP291" s="16"/>
    </row>
    <row r="292" spans="1:97" ht="15" customHeight="1" x14ac:dyDescent="0.15">
      <c r="A292" s="15"/>
      <c r="B292" s="9"/>
      <c r="C292" s="9"/>
      <c r="D292" s="9"/>
      <c r="E292" s="491">
        <f t="shared" si="4"/>
        <v>177</v>
      </c>
      <c r="F292" s="491"/>
      <c r="G292" s="478" t="s">
        <v>574</v>
      </c>
      <c r="H292" s="479"/>
      <c r="I292" s="479"/>
      <c r="J292" s="479"/>
      <c r="K292" s="479"/>
      <c r="L292" s="479"/>
      <c r="M292" s="479"/>
      <c r="N292" s="479"/>
      <c r="O292" s="479"/>
      <c r="P292" s="479"/>
      <c r="Q292" s="479"/>
      <c r="R292" s="479"/>
      <c r="S292" s="479"/>
      <c r="T292" s="479"/>
      <c r="U292" s="479"/>
      <c r="V292" s="479"/>
      <c r="W292" s="479"/>
      <c r="X292" s="479"/>
      <c r="Y292" s="479"/>
      <c r="Z292" s="479"/>
      <c r="AA292" s="479"/>
      <c r="AB292" s="479"/>
      <c r="AC292" s="479"/>
      <c r="AD292" s="479"/>
      <c r="AE292" s="479"/>
      <c r="AF292" s="480"/>
      <c r="AG292" s="477" t="s">
        <v>445</v>
      </c>
      <c r="AH292" s="477"/>
      <c r="AI292" s="477"/>
      <c r="AJ292" s="477"/>
      <c r="AK292" s="477"/>
      <c r="AL292" s="477"/>
      <c r="AM292" s="477"/>
      <c r="AN292" s="477"/>
      <c r="AO292" s="9"/>
      <c r="AP292" s="9"/>
      <c r="AQ292" s="491">
        <f t="shared" si="5"/>
        <v>216</v>
      </c>
      <c r="AR292" s="491"/>
      <c r="AS292" s="478" t="s">
        <v>1287</v>
      </c>
      <c r="AT292" s="479"/>
      <c r="AU292" s="479"/>
      <c r="AV292" s="479"/>
      <c r="AW292" s="479"/>
      <c r="AX292" s="479"/>
      <c r="AY292" s="479"/>
      <c r="AZ292" s="479"/>
      <c r="BA292" s="479"/>
      <c r="BB292" s="479"/>
      <c r="BC292" s="479"/>
      <c r="BD292" s="479"/>
      <c r="BE292" s="479"/>
      <c r="BF292" s="479"/>
      <c r="BG292" s="479"/>
      <c r="BH292" s="479"/>
      <c r="BI292" s="479"/>
      <c r="BJ292" s="479"/>
      <c r="BK292" s="479"/>
      <c r="BL292" s="479"/>
      <c r="BM292" s="479"/>
      <c r="BN292" s="479"/>
      <c r="BO292" s="479"/>
      <c r="BP292" s="479"/>
      <c r="BQ292" s="479"/>
      <c r="BR292" s="480"/>
      <c r="BS292" s="477" t="s">
        <v>445</v>
      </c>
      <c r="BT292" s="477"/>
      <c r="BU292" s="477"/>
      <c r="BV292" s="477"/>
      <c r="BW292" s="477"/>
      <c r="BX292" s="477"/>
      <c r="BY292" s="477"/>
      <c r="BZ292" s="477"/>
      <c r="CA292" s="9"/>
      <c r="CB292" s="9"/>
      <c r="CC292" s="9"/>
      <c r="CD292" s="9"/>
      <c r="CE292" s="9"/>
      <c r="CF292" s="9"/>
      <c r="CG292" s="9"/>
      <c r="CH292" s="9"/>
      <c r="CI292" s="9"/>
      <c r="CJ292" s="9"/>
      <c r="CK292" s="9"/>
      <c r="CL292" s="9"/>
      <c r="CM292" s="9"/>
      <c r="CN292" s="9"/>
      <c r="CO292" s="9"/>
      <c r="CP292" s="16"/>
    </row>
    <row r="293" spans="1:97" ht="15" customHeight="1" x14ac:dyDescent="0.15">
      <c r="A293" s="15"/>
      <c r="B293" s="9"/>
      <c r="C293" s="9"/>
      <c r="D293" s="9"/>
      <c r="E293" s="491">
        <f t="shared" si="4"/>
        <v>178</v>
      </c>
      <c r="F293" s="491"/>
      <c r="G293" s="478" t="s">
        <v>1253</v>
      </c>
      <c r="H293" s="479"/>
      <c r="I293" s="479"/>
      <c r="J293" s="479"/>
      <c r="K293" s="479"/>
      <c r="L293" s="479"/>
      <c r="M293" s="479"/>
      <c r="N293" s="479"/>
      <c r="O293" s="479"/>
      <c r="P293" s="479"/>
      <c r="Q293" s="479"/>
      <c r="R293" s="479"/>
      <c r="S293" s="479"/>
      <c r="T293" s="479"/>
      <c r="U293" s="479"/>
      <c r="V293" s="479"/>
      <c r="W293" s="479"/>
      <c r="X293" s="479"/>
      <c r="Y293" s="479"/>
      <c r="Z293" s="479"/>
      <c r="AA293" s="479"/>
      <c r="AB293" s="479"/>
      <c r="AC293" s="479"/>
      <c r="AD293" s="479"/>
      <c r="AE293" s="479"/>
      <c r="AF293" s="480"/>
      <c r="AG293" s="477" t="s">
        <v>1268</v>
      </c>
      <c r="AH293" s="477"/>
      <c r="AI293" s="477"/>
      <c r="AJ293" s="477"/>
      <c r="AK293" s="477"/>
      <c r="AL293" s="477"/>
      <c r="AM293" s="477"/>
      <c r="AN293" s="477"/>
      <c r="AO293" s="9"/>
      <c r="AP293" s="9"/>
      <c r="AQ293" s="491">
        <f t="shared" si="5"/>
        <v>217</v>
      </c>
      <c r="AR293" s="491"/>
      <c r="AS293" s="478" t="s">
        <v>465</v>
      </c>
      <c r="AT293" s="479"/>
      <c r="AU293" s="479"/>
      <c r="AV293" s="479"/>
      <c r="AW293" s="479"/>
      <c r="AX293" s="479"/>
      <c r="AY293" s="479"/>
      <c r="AZ293" s="479"/>
      <c r="BA293" s="479"/>
      <c r="BB293" s="479"/>
      <c r="BC293" s="479"/>
      <c r="BD293" s="479"/>
      <c r="BE293" s="479"/>
      <c r="BF293" s="479"/>
      <c r="BG293" s="479"/>
      <c r="BH293" s="479"/>
      <c r="BI293" s="479"/>
      <c r="BJ293" s="479"/>
      <c r="BK293" s="479"/>
      <c r="BL293" s="479"/>
      <c r="BM293" s="479"/>
      <c r="BN293" s="479"/>
      <c r="BO293" s="479"/>
      <c r="BP293" s="479"/>
      <c r="BQ293" s="479"/>
      <c r="BR293" s="480"/>
      <c r="BS293" s="477" t="s">
        <v>436</v>
      </c>
      <c r="BT293" s="477"/>
      <c r="BU293" s="477"/>
      <c r="BV293" s="477"/>
      <c r="BW293" s="477"/>
      <c r="BX293" s="477"/>
      <c r="BY293" s="477"/>
      <c r="BZ293" s="477"/>
      <c r="CA293" s="9"/>
      <c r="CB293" s="9"/>
      <c r="CC293" s="9"/>
      <c r="CD293" s="9"/>
      <c r="CE293" s="9"/>
      <c r="CF293" s="9"/>
      <c r="CG293" s="9"/>
      <c r="CH293" s="9"/>
      <c r="CI293" s="9"/>
      <c r="CJ293" s="9"/>
      <c r="CK293" s="9"/>
      <c r="CL293" s="9"/>
      <c r="CM293" s="9"/>
      <c r="CN293" s="9"/>
      <c r="CO293" s="9"/>
      <c r="CP293" s="16"/>
    </row>
    <row r="294" spans="1:97" ht="15" customHeight="1" x14ac:dyDescent="0.15">
      <c r="A294" s="15"/>
      <c r="B294" s="9"/>
      <c r="C294" s="9"/>
      <c r="D294" s="9"/>
      <c r="E294" s="491">
        <f t="shared" si="4"/>
        <v>179</v>
      </c>
      <c r="F294" s="491"/>
      <c r="G294" s="478" t="s">
        <v>1254</v>
      </c>
      <c r="H294" s="479"/>
      <c r="I294" s="479"/>
      <c r="J294" s="479"/>
      <c r="K294" s="479"/>
      <c r="L294" s="479"/>
      <c r="M294" s="479"/>
      <c r="N294" s="479"/>
      <c r="O294" s="479"/>
      <c r="P294" s="479"/>
      <c r="Q294" s="479"/>
      <c r="R294" s="479"/>
      <c r="S294" s="479"/>
      <c r="T294" s="479"/>
      <c r="U294" s="479"/>
      <c r="V294" s="479"/>
      <c r="W294" s="479"/>
      <c r="X294" s="479"/>
      <c r="Y294" s="479"/>
      <c r="Z294" s="479"/>
      <c r="AA294" s="479"/>
      <c r="AB294" s="479"/>
      <c r="AC294" s="479"/>
      <c r="AD294" s="479"/>
      <c r="AE294" s="479"/>
      <c r="AF294" s="480"/>
      <c r="AG294" s="477" t="s">
        <v>436</v>
      </c>
      <c r="AH294" s="477"/>
      <c r="AI294" s="477"/>
      <c r="AJ294" s="477"/>
      <c r="AK294" s="477"/>
      <c r="AL294" s="477"/>
      <c r="AM294" s="477"/>
      <c r="AN294" s="477"/>
      <c r="AO294" s="9"/>
      <c r="AP294" s="9"/>
      <c r="AQ294" s="491">
        <f t="shared" si="5"/>
        <v>218</v>
      </c>
      <c r="AR294" s="491"/>
      <c r="AS294" s="478" t="s">
        <v>1265</v>
      </c>
      <c r="AT294" s="479"/>
      <c r="AU294" s="479"/>
      <c r="AV294" s="479"/>
      <c r="AW294" s="479"/>
      <c r="AX294" s="479"/>
      <c r="AY294" s="479"/>
      <c r="AZ294" s="479"/>
      <c r="BA294" s="479"/>
      <c r="BB294" s="479"/>
      <c r="BC294" s="479"/>
      <c r="BD294" s="479"/>
      <c r="BE294" s="479"/>
      <c r="BF294" s="479"/>
      <c r="BG294" s="479"/>
      <c r="BH294" s="479"/>
      <c r="BI294" s="479"/>
      <c r="BJ294" s="479"/>
      <c r="BK294" s="479"/>
      <c r="BL294" s="479"/>
      <c r="BM294" s="479"/>
      <c r="BN294" s="479"/>
      <c r="BO294" s="479"/>
      <c r="BP294" s="479"/>
      <c r="BQ294" s="479"/>
      <c r="BR294" s="480"/>
      <c r="BS294" s="477" t="s">
        <v>1273</v>
      </c>
      <c r="BT294" s="477"/>
      <c r="BU294" s="477"/>
      <c r="BV294" s="477"/>
      <c r="BW294" s="477"/>
      <c r="BX294" s="477"/>
      <c r="BY294" s="477"/>
      <c r="BZ294" s="477"/>
      <c r="CA294" s="9"/>
      <c r="CB294" s="9"/>
      <c r="CC294" s="9"/>
      <c r="CD294" s="9"/>
      <c r="CE294" s="9"/>
      <c r="CF294" s="9"/>
      <c r="CG294" s="9"/>
      <c r="CH294" s="9"/>
      <c r="CI294" s="9"/>
      <c r="CJ294" s="9"/>
      <c r="CK294" s="9"/>
      <c r="CL294" s="9"/>
      <c r="CM294" s="9"/>
      <c r="CN294" s="9"/>
      <c r="CO294" s="9"/>
      <c r="CP294" s="16"/>
    </row>
    <row r="295" spans="1:97" ht="15" customHeight="1" x14ac:dyDescent="0.15">
      <c r="A295" s="15"/>
      <c r="B295" s="9"/>
      <c r="C295" s="9"/>
      <c r="D295" s="9"/>
      <c r="E295" s="544">
        <f t="shared" si="4"/>
        <v>180</v>
      </c>
      <c r="F295" s="544"/>
      <c r="G295" s="478" t="s">
        <v>447</v>
      </c>
      <c r="H295" s="479"/>
      <c r="I295" s="479"/>
      <c r="J295" s="479"/>
      <c r="K295" s="479"/>
      <c r="L295" s="479"/>
      <c r="M295" s="479"/>
      <c r="N295" s="479"/>
      <c r="O295" s="479"/>
      <c r="P295" s="479"/>
      <c r="Q295" s="479"/>
      <c r="R295" s="479"/>
      <c r="S295" s="479"/>
      <c r="T295" s="479"/>
      <c r="U295" s="479"/>
      <c r="V295" s="479"/>
      <c r="W295" s="479"/>
      <c r="X295" s="479"/>
      <c r="Y295" s="479"/>
      <c r="Z295" s="479"/>
      <c r="AA295" s="479"/>
      <c r="AB295" s="479"/>
      <c r="AC295" s="479"/>
      <c r="AD295" s="479"/>
      <c r="AE295" s="479"/>
      <c r="AF295" s="480"/>
      <c r="AG295" s="477" t="s">
        <v>436</v>
      </c>
      <c r="AH295" s="477"/>
      <c r="AI295" s="477"/>
      <c r="AJ295" s="477"/>
      <c r="AK295" s="477"/>
      <c r="AL295" s="477"/>
      <c r="AM295" s="477"/>
      <c r="AN295" s="477"/>
      <c r="AO295" s="9"/>
      <c r="AP295" s="9"/>
      <c r="AQ295" s="491">
        <f t="shared" si="5"/>
        <v>219</v>
      </c>
      <c r="AR295" s="491"/>
      <c r="AS295" s="478" t="s">
        <v>559</v>
      </c>
      <c r="AT295" s="479"/>
      <c r="AU295" s="479"/>
      <c r="AV295" s="479"/>
      <c r="AW295" s="479"/>
      <c r="AX295" s="479"/>
      <c r="AY295" s="479"/>
      <c r="AZ295" s="479"/>
      <c r="BA295" s="479"/>
      <c r="BB295" s="479"/>
      <c r="BC295" s="479"/>
      <c r="BD295" s="479"/>
      <c r="BE295" s="479"/>
      <c r="BF295" s="479"/>
      <c r="BG295" s="479"/>
      <c r="BH295" s="479"/>
      <c r="BI295" s="479"/>
      <c r="BJ295" s="479"/>
      <c r="BK295" s="479"/>
      <c r="BL295" s="479"/>
      <c r="BM295" s="479"/>
      <c r="BN295" s="479"/>
      <c r="BO295" s="479"/>
      <c r="BP295" s="479"/>
      <c r="BQ295" s="479"/>
      <c r="BR295" s="480"/>
      <c r="BS295" s="477" t="s">
        <v>445</v>
      </c>
      <c r="BT295" s="477"/>
      <c r="BU295" s="477"/>
      <c r="BV295" s="477"/>
      <c r="BW295" s="477"/>
      <c r="BX295" s="477"/>
      <c r="BY295" s="477"/>
      <c r="BZ295" s="477"/>
      <c r="CA295" s="9"/>
      <c r="CB295" s="9"/>
      <c r="CC295" s="9"/>
      <c r="CD295" s="9"/>
      <c r="CE295" s="9"/>
      <c r="CF295" s="9"/>
      <c r="CG295" s="9"/>
      <c r="CH295" s="9"/>
      <c r="CI295" s="9"/>
      <c r="CJ295" s="9"/>
      <c r="CK295" s="9"/>
      <c r="CL295" s="9"/>
      <c r="CM295" s="9"/>
      <c r="CN295" s="9"/>
      <c r="CO295" s="9"/>
      <c r="CP295" s="16"/>
    </row>
    <row r="296" spans="1:97" ht="15" customHeight="1" x14ac:dyDescent="0.15">
      <c r="A296" s="15"/>
      <c r="B296" s="9"/>
      <c r="C296" s="9"/>
      <c r="D296" s="9"/>
      <c r="E296" s="501">
        <f t="shared" si="4"/>
        <v>181</v>
      </c>
      <c r="F296" s="501"/>
      <c r="G296" s="478" t="s">
        <v>446</v>
      </c>
      <c r="H296" s="479"/>
      <c r="I296" s="479"/>
      <c r="J296" s="479"/>
      <c r="K296" s="479"/>
      <c r="L296" s="479"/>
      <c r="M296" s="479"/>
      <c r="N296" s="479"/>
      <c r="O296" s="479"/>
      <c r="P296" s="479"/>
      <c r="Q296" s="479"/>
      <c r="R296" s="479"/>
      <c r="S296" s="479"/>
      <c r="T296" s="479"/>
      <c r="U296" s="479"/>
      <c r="V296" s="479"/>
      <c r="W296" s="479"/>
      <c r="X296" s="479"/>
      <c r="Y296" s="479"/>
      <c r="Z296" s="479"/>
      <c r="AA296" s="479"/>
      <c r="AB296" s="479"/>
      <c r="AC296" s="479"/>
      <c r="AD296" s="479"/>
      <c r="AE296" s="479"/>
      <c r="AF296" s="480"/>
      <c r="AG296" s="477" t="s">
        <v>436</v>
      </c>
      <c r="AH296" s="477"/>
      <c r="AI296" s="477"/>
      <c r="AJ296" s="477"/>
      <c r="AK296" s="477"/>
      <c r="AL296" s="477"/>
      <c r="AM296" s="477"/>
      <c r="AN296" s="477"/>
      <c r="AO296" s="9"/>
      <c r="AP296" s="9"/>
      <c r="AQ296" s="491">
        <f t="shared" si="5"/>
        <v>220</v>
      </c>
      <c r="AR296" s="491"/>
      <c r="AS296" s="478" t="s">
        <v>1266</v>
      </c>
      <c r="AT296" s="479"/>
      <c r="AU296" s="479"/>
      <c r="AV296" s="479"/>
      <c r="AW296" s="479"/>
      <c r="AX296" s="479"/>
      <c r="AY296" s="479"/>
      <c r="AZ296" s="479"/>
      <c r="BA296" s="479"/>
      <c r="BB296" s="479"/>
      <c r="BC296" s="479"/>
      <c r="BD296" s="479"/>
      <c r="BE296" s="479"/>
      <c r="BF296" s="479"/>
      <c r="BG296" s="479"/>
      <c r="BH296" s="479"/>
      <c r="BI296" s="479"/>
      <c r="BJ296" s="479"/>
      <c r="BK296" s="479"/>
      <c r="BL296" s="479"/>
      <c r="BM296" s="479"/>
      <c r="BN296" s="479"/>
      <c r="BO296" s="479"/>
      <c r="BP296" s="479"/>
      <c r="BQ296" s="479"/>
      <c r="BR296" s="480"/>
      <c r="BS296" s="477" t="s">
        <v>436</v>
      </c>
      <c r="BT296" s="477"/>
      <c r="BU296" s="477"/>
      <c r="BV296" s="477"/>
      <c r="BW296" s="477"/>
      <c r="BX296" s="477"/>
      <c r="BY296" s="477"/>
      <c r="BZ296" s="477"/>
      <c r="CA296" s="9"/>
      <c r="CB296" s="9"/>
      <c r="CC296" s="9"/>
      <c r="CD296" s="9"/>
      <c r="CE296" s="9"/>
      <c r="CF296" s="9"/>
      <c r="CG296" s="9"/>
      <c r="CH296" s="9"/>
      <c r="CI296" s="9"/>
      <c r="CJ296" s="9"/>
      <c r="CK296" s="9"/>
      <c r="CL296" s="9"/>
      <c r="CM296" s="9"/>
      <c r="CN296" s="9"/>
      <c r="CO296" s="9"/>
      <c r="CP296" s="16"/>
    </row>
    <row r="297" spans="1:97" ht="15" customHeight="1" x14ac:dyDescent="0.15">
      <c r="A297" s="15"/>
      <c r="B297" s="9"/>
      <c r="C297" s="9"/>
      <c r="D297" s="9"/>
      <c r="E297" s="501">
        <f t="shared" si="4"/>
        <v>182</v>
      </c>
      <c r="F297" s="501"/>
      <c r="G297" s="478" t="s">
        <v>575</v>
      </c>
      <c r="H297" s="479"/>
      <c r="I297" s="479"/>
      <c r="J297" s="479"/>
      <c r="K297" s="479"/>
      <c r="L297" s="479"/>
      <c r="M297" s="479"/>
      <c r="N297" s="479"/>
      <c r="O297" s="479"/>
      <c r="P297" s="479"/>
      <c r="Q297" s="479"/>
      <c r="R297" s="479"/>
      <c r="S297" s="479"/>
      <c r="T297" s="479"/>
      <c r="U297" s="479"/>
      <c r="V297" s="479"/>
      <c r="W297" s="479"/>
      <c r="X297" s="479"/>
      <c r="Y297" s="479"/>
      <c r="Z297" s="479"/>
      <c r="AA297" s="479"/>
      <c r="AB297" s="479"/>
      <c r="AC297" s="479"/>
      <c r="AD297" s="479"/>
      <c r="AE297" s="479"/>
      <c r="AF297" s="480"/>
      <c r="AG297" s="477" t="s">
        <v>1268</v>
      </c>
      <c r="AH297" s="477"/>
      <c r="AI297" s="477"/>
      <c r="AJ297" s="477"/>
      <c r="AK297" s="477"/>
      <c r="AL297" s="477"/>
      <c r="AM297" s="477"/>
      <c r="AN297" s="477"/>
      <c r="AO297" s="9"/>
      <c r="AP297" s="9"/>
      <c r="AQ297" s="491">
        <f t="shared" si="5"/>
        <v>221</v>
      </c>
      <c r="AR297" s="491"/>
      <c r="AS297" s="478" t="s">
        <v>1267</v>
      </c>
      <c r="AT297" s="479"/>
      <c r="AU297" s="479"/>
      <c r="AV297" s="479"/>
      <c r="AW297" s="479"/>
      <c r="AX297" s="479"/>
      <c r="AY297" s="479"/>
      <c r="AZ297" s="479"/>
      <c r="BA297" s="479"/>
      <c r="BB297" s="479"/>
      <c r="BC297" s="479"/>
      <c r="BD297" s="479"/>
      <c r="BE297" s="479"/>
      <c r="BF297" s="479"/>
      <c r="BG297" s="479"/>
      <c r="BH297" s="479"/>
      <c r="BI297" s="479"/>
      <c r="BJ297" s="479"/>
      <c r="BK297" s="479"/>
      <c r="BL297" s="479"/>
      <c r="BM297" s="479"/>
      <c r="BN297" s="479"/>
      <c r="BO297" s="479"/>
      <c r="BP297" s="479"/>
      <c r="BQ297" s="479"/>
      <c r="BR297" s="480"/>
      <c r="BS297" s="477" t="s">
        <v>445</v>
      </c>
      <c r="BT297" s="477"/>
      <c r="BU297" s="477"/>
      <c r="BV297" s="477"/>
      <c r="BW297" s="477"/>
      <c r="BX297" s="477"/>
      <c r="BY297" s="477"/>
      <c r="BZ297" s="477"/>
      <c r="CA297" s="9"/>
      <c r="CB297" s="9"/>
      <c r="CC297" s="9"/>
      <c r="CD297" s="9"/>
      <c r="CE297" s="9"/>
      <c r="CF297" s="9"/>
      <c r="CG297" s="9"/>
      <c r="CH297" s="9"/>
      <c r="CI297" s="9"/>
      <c r="CJ297" s="9"/>
      <c r="CK297" s="9"/>
      <c r="CL297" s="9"/>
      <c r="CM297" s="9"/>
      <c r="CN297" s="9"/>
      <c r="CO297" s="9"/>
      <c r="CP297" s="16"/>
    </row>
    <row r="298" spans="1:97" ht="15" customHeight="1" x14ac:dyDescent="0.15">
      <c r="A298" s="15"/>
      <c r="B298" s="9"/>
      <c r="C298" s="9"/>
      <c r="D298" s="9"/>
      <c r="E298" s="501">
        <f t="shared" si="4"/>
        <v>183</v>
      </c>
      <c r="F298" s="501"/>
      <c r="G298" s="478" t="s">
        <v>576</v>
      </c>
      <c r="H298" s="479"/>
      <c r="I298" s="479"/>
      <c r="J298" s="479"/>
      <c r="K298" s="479"/>
      <c r="L298" s="479"/>
      <c r="M298" s="479"/>
      <c r="N298" s="479"/>
      <c r="O298" s="479"/>
      <c r="P298" s="479"/>
      <c r="Q298" s="479"/>
      <c r="R298" s="479"/>
      <c r="S298" s="479"/>
      <c r="T298" s="479"/>
      <c r="U298" s="479"/>
      <c r="V298" s="479"/>
      <c r="W298" s="479"/>
      <c r="X298" s="479"/>
      <c r="Y298" s="479"/>
      <c r="Z298" s="479"/>
      <c r="AA298" s="479"/>
      <c r="AB298" s="479"/>
      <c r="AC298" s="479"/>
      <c r="AD298" s="479"/>
      <c r="AE298" s="479"/>
      <c r="AF298" s="480"/>
      <c r="AG298" s="477" t="s">
        <v>1274</v>
      </c>
      <c r="AH298" s="477"/>
      <c r="AI298" s="477"/>
      <c r="AJ298" s="477"/>
      <c r="AK298" s="477"/>
      <c r="AL298" s="477"/>
      <c r="AM298" s="477"/>
      <c r="AN298" s="477"/>
      <c r="AO298" s="9"/>
      <c r="AP298" s="9"/>
      <c r="AQ298" s="491">
        <f t="shared" si="5"/>
        <v>222</v>
      </c>
      <c r="AR298" s="491"/>
      <c r="AS298" s="478" t="s">
        <v>472</v>
      </c>
      <c r="AT298" s="479"/>
      <c r="AU298" s="479"/>
      <c r="AV298" s="479"/>
      <c r="AW298" s="479"/>
      <c r="AX298" s="479"/>
      <c r="AY298" s="479"/>
      <c r="AZ298" s="479"/>
      <c r="BA298" s="479"/>
      <c r="BB298" s="479"/>
      <c r="BC298" s="479"/>
      <c r="BD298" s="479"/>
      <c r="BE298" s="479"/>
      <c r="BF298" s="479"/>
      <c r="BG298" s="479"/>
      <c r="BH298" s="479"/>
      <c r="BI298" s="479"/>
      <c r="BJ298" s="479"/>
      <c r="BK298" s="479"/>
      <c r="BL298" s="479"/>
      <c r="BM298" s="479"/>
      <c r="BN298" s="479"/>
      <c r="BO298" s="479"/>
      <c r="BP298" s="479"/>
      <c r="BQ298" s="479"/>
      <c r="BR298" s="480"/>
      <c r="BS298" s="477" t="s">
        <v>1268</v>
      </c>
      <c r="BT298" s="477"/>
      <c r="BU298" s="477"/>
      <c r="BV298" s="477"/>
      <c r="BW298" s="477"/>
      <c r="BX298" s="477"/>
      <c r="BY298" s="477"/>
      <c r="BZ298" s="477"/>
      <c r="CA298" s="9"/>
      <c r="CB298" s="9"/>
      <c r="CC298" s="9"/>
      <c r="CD298" s="9"/>
      <c r="CE298" s="9"/>
      <c r="CF298" s="9"/>
      <c r="CG298" s="9"/>
      <c r="CH298" s="9"/>
      <c r="CI298" s="9"/>
      <c r="CJ298" s="9"/>
      <c r="CK298" s="9"/>
      <c r="CL298" s="9"/>
      <c r="CM298" s="9"/>
      <c r="CN298" s="9"/>
      <c r="CO298" s="9"/>
      <c r="CP298" s="16"/>
    </row>
    <row r="299" spans="1:97" ht="15" customHeight="1" x14ac:dyDescent="0.15">
      <c r="A299" s="15"/>
      <c r="B299" s="9"/>
      <c r="C299" s="9"/>
      <c r="D299" s="9"/>
      <c r="E299" s="501">
        <f t="shared" si="4"/>
        <v>184</v>
      </c>
      <c r="F299" s="501"/>
      <c r="G299" s="478" t="s">
        <v>1255</v>
      </c>
      <c r="H299" s="479"/>
      <c r="I299" s="479"/>
      <c r="J299" s="479"/>
      <c r="K299" s="479"/>
      <c r="L299" s="479"/>
      <c r="M299" s="479"/>
      <c r="N299" s="479"/>
      <c r="O299" s="479"/>
      <c r="P299" s="479"/>
      <c r="Q299" s="479"/>
      <c r="R299" s="479"/>
      <c r="S299" s="479"/>
      <c r="T299" s="479"/>
      <c r="U299" s="479"/>
      <c r="V299" s="479"/>
      <c r="W299" s="479"/>
      <c r="X299" s="479"/>
      <c r="Y299" s="479"/>
      <c r="Z299" s="479"/>
      <c r="AA299" s="479"/>
      <c r="AB299" s="479"/>
      <c r="AC299" s="479"/>
      <c r="AD299" s="479"/>
      <c r="AE299" s="479"/>
      <c r="AF299" s="480"/>
      <c r="AG299" s="477" t="s">
        <v>436</v>
      </c>
      <c r="AH299" s="477"/>
      <c r="AI299" s="477"/>
      <c r="AJ299" s="477"/>
      <c r="AK299" s="477"/>
      <c r="AL299" s="477"/>
      <c r="AM299" s="477"/>
      <c r="AN299" s="477"/>
      <c r="AO299" s="9"/>
      <c r="AP299" s="9"/>
      <c r="AQ299" s="492">
        <f t="shared" si="5"/>
        <v>223</v>
      </c>
      <c r="AR299" s="492"/>
      <c r="AS299" s="481" t="s">
        <v>522</v>
      </c>
      <c r="AT299" s="482"/>
      <c r="AU299" s="482"/>
      <c r="AV299" s="482"/>
      <c r="AW299" s="482"/>
      <c r="AX299" s="482"/>
      <c r="AY299" s="482"/>
      <c r="AZ299" s="482"/>
      <c r="BA299" s="482"/>
      <c r="BB299" s="482"/>
      <c r="BC299" s="482"/>
      <c r="BD299" s="482"/>
      <c r="BE299" s="482"/>
      <c r="BF299" s="482"/>
      <c r="BG299" s="482"/>
      <c r="BH299" s="482"/>
      <c r="BI299" s="482"/>
      <c r="BJ299" s="482"/>
      <c r="BK299" s="482"/>
      <c r="BL299" s="482"/>
      <c r="BM299" s="482"/>
      <c r="BN299" s="482"/>
      <c r="BO299" s="482"/>
      <c r="BP299" s="482"/>
      <c r="BQ299" s="482"/>
      <c r="BR299" s="483"/>
      <c r="BS299" s="484" t="s">
        <v>445</v>
      </c>
      <c r="BT299" s="484"/>
      <c r="BU299" s="484"/>
      <c r="BV299" s="484"/>
      <c r="BW299" s="484"/>
      <c r="BX299" s="484"/>
      <c r="BY299" s="484"/>
      <c r="BZ299" s="484"/>
      <c r="CA299" s="9"/>
      <c r="CB299" s="9"/>
      <c r="CC299" s="9"/>
      <c r="CD299" s="9"/>
      <c r="CE299" s="9"/>
      <c r="CF299" s="9"/>
      <c r="CG299" s="9"/>
      <c r="CH299" s="9"/>
      <c r="CI299" s="9"/>
      <c r="CJ299" s="9"/>
      <c r="CK299" s="9"/>
      <c r="CL299" s="9"/>
      <c r="CM299" s="9"/>
      <c r="CN299" s="9"/>
      <c r="CO299" s="9"/>
      <c r="CP299" s="16"/>
    </row>
    <row r="300" spans="1:97" ht="15" customHeight="1" x14ac:dyDescent="0.15">
      <c r="A300" s="15"/>
      <c r="B300" s="9"/>
      <c r="C300" s="9"/>
      <c r="D300" s="9"/>
      <c r="E300" s="501">
        <f t="shared" si="4"/>
        <v>185</v>
      </c>
      <c r="F300" s="501"/>
      <c r="G300" s="478" t="s">
        <v>1256</v>
      </c>
      <c r="H300" s="479"/>
      <c r="I300" s="479"/>
      <c r="J300" s="479"/>
      <c r="K300" s="479"/>
      <c r="L300" s="479"/>
      <c r="M300" s="479"/>
      <c r="N300" s="479"/>
      <c r="O300" s="479"/>
      <c r="P300" s="479"/>
      <c r="Q300" s="479"/>
      <c r="R300" s="479"/>
      <c r="S300" s="479"/>
      <c r="T300" s="479"/>
      <c r="U300" s="479"/>
      <c r="V300" s="479"/>
      <c r="W300" s="479"/>
      <c r="X300" s="479"/>
      <c r="Y300" s="479"/>
      <c r="Z300" s="479"/>
      <c r="AA300" s="479"/>
      <c r="AB300" s="479"/>
      <c r="AC300" s="479"/>
      <c r="AD300" s="479"/>
      <c r="AE300" s="479"/>
      <c r="AF300" s="480"/>
      <c r="AG300" s="477" t="s">
        <v>439</v>
      </c>
      <c r="AH300" s="477"/>
      <c r="AI300" s="477"/>
      <c r="AJ300" s="477"/>
      <c r="AK300" s="477"/>
      <c r="AL300" s="477"/>
      <c r="AM300" s="477"/>
      <c r="AN300" s="477"/>
      <c r="AO300" s="9"/>
      <c r="AP300" s="9"/>
      <c r="CA300" s="9"/>
      <c r="CB300" s="9"/>
      <c r="CC300" s="9"/>
      <c r="CD300" s="9"/>
      <c r="CE300" s="9"/>
      <c r="CF300" s="9"/>
      <c r="CG300" s="9"/>
      <c r="CH300" s="9"/>
      <c r="CI300" s="9"/>
      <c r="CJ300" s="9"/>
      <c r="CK300" s="9"/>
      <c r="CL300" s="9"/>
      <c r="CM300" s="9"/>
      <c r="CN300" s="9"/>
      <c r="CO300" s="9"/>
      <c r="CP300" s="16"/>
    </row>
    <row r="301" spans="1:97" ht="15" customHeight="1" x14ac:dyDescent="0.15">
      <c r="A301" s="15"/>
      <c r="B301" s="9"/>
      <c r="C301" s="9"/>
      <c r="D301" s="9"/>
      <c r="E301" s="501">
        <f t="shared" si="4"/>
        <v>186</v>
      </c>
      <c r="F301" s="501"/>
      <c r="G301" s="478" t="s">
        <v>580</v>
      </c>
      <c r="H301" s="479"/>
      <c r="I301" s="479"/>
      <c r="J301" s="479"/>
      <c r="K301" s="479"/>
      <c r="L301" s="479"/>
      <c r="M301" s="479"/>
      <c r="N301" s="479"/>
      <c r="O301" s="479"/>
      <c r="P301" s="479"/>
      <c r="Q301" s="479"/>
      <c r="R301" s="479"/>
      <c r="S301" s="479"/>
      <c r="T301" s="479"/>
      <c r="U301" s="479"/>
      <c r="V301" s="479"/>
      <c r="W301" s="479"/>
      <c r="X301" s="479"/>
      <c r="Y301" s="479"/>
      <c r="Z301" s="479"/>
      <c r="AA301" s="479"/>
      <c r="AB301" s="479"/>
      <c r="AC301" s="479"/>
      <c r="AD301" s="479"/>
      <c r="AE301" s="479"/>
      <c r="AF301" s="480"/>
      <c r="AG301" s="477" t="s">
        <v>1268</v>
      </c>
      <c r="AH301" s="477"/>
      <c r="AI301" s="477"/>
      <c r="AJ301" s="477"/>
      <c r="AK301" s="477"/>
      <c r="AL301" s="477"/>
      <c r="AM301" s="477"/>
      <c r="AN301" s="477"/>
      <c r="AO301" s="9"/>
      <c r="AP301" s="9"/>
      <c r="CA301" s="9"/>
      <c r="CB301" s="9"/>
      <c r="CC301" s="9"/>
      <c r="CD301" s="9"/>
      <c r="CE301" s="9"/>
      <c r="CF301" s="9"/>
      <c r="CG301" s="9"/>
      <c r="CH301" s="9"/>
      <c r="CI301" s="9"/>
      <c r="CJ301" s="9"/>
      <c r="CK301" s="9"/>
      <c r="CL301" s="9"/>
      <c r="CM301" s="9"/>
      <c r="CN301" s="9"/>
      <c r="CO301" s="9"/>
      <c r="CP301" s="16"/>
    </row>
    <row r="302" spans="1:97" ht="15" customHeight="1" x14ac:dyDescent="0.15">
      <c r="A302" s="15"/>
      <c r="B302" s="9"/>
      <c r="C302" s="9"/>
      <c r="D302" s="9"/>
      <c r="E302" s="501">
        <f t="shared" si="4"/>
        <v>187</v>
      </c>
      <c r="F302" s="501"/>
      <c r="G302" s="478" t="s">
        <v>581</v>
      </c>
      <c r="H302" s="479"/>
      <c r="I302" s="479"/>
      <c r="J302" s="479"/>
      <c r="K302" s="479"/>
      <c r="L302" s="479"/>
      <c r="M302" s="479"/>
      <c r="N302" s="479"/>
      <c r="O302" s="479"/>
      <c r="P302" s="479"/>
      <c r="Q302" s="479"/>
      <c r="R302" s="479"/>
      <c r="S302" s="479"/>
      <c r="T302" s="479"/>
      <c r="U302" s="479"/>
      <c r="V302" s="479"/>
      <c r="W302" s="479"/>
      <c r="X302" s="479"/>
      <c r="Y302" s="479"/>
      <c r="Z302" s="479"/>
      <c r="AA302" s="479"/>
      <c r="AB302" s="479"/>
      <c r="AC302" s="479"/>
      <c r="AD302" s="479"/>
      <c r="AE302" s="479"/>
      <c r="AF302" s="480"/>
      <c r="AG302" s="477" t="s">
        <v>1268</v>
      </c>
      <c r="AH302" s="477"/>
      <c r="AI302" s="477"/>
      <c r="AJ302" s="477"/>
      <c r="AK302" s="477"/>
      <c r="AL302" s="477"/>
      <c r="AM302" s="477"/>
      <c r="AN302" s="477"/>
      <c r="AO302" s="9"/>
      <c r="AP302" s="9"/>
      <c r="CA302" s="9"/>
      <c r="CB302" s="9"/>
      <c r="CC302" s="9"/>
      <c r="CD302" s="9"/>
      <c r="CE302" s="9"/>
      <c r="CF302" s="9"/>
      <c r="CG302" s="9"/>
      <c r="CH302" s="9"/>
      <c r="CI302" s="9"/>
      <c r="CJ302" s="9"/>
      <c r="CK302" s="9"/>
      <c r="CL302" s="9"/>
      <c r="CM302" s="9"/>
      <c r="CN302" s="9"/>
      <c r="CO302" s="9"/>
      <c r="CP302" s="16"/>
    </row>
    <row r="303" spans="1:97" ht="15" customHeight="1" x14ac:dyDescent="0.15">
      <c r="A303" s="15"/>
      <c r="B303" s="9"/>
      <c r="C303" s="9"/>
      <c r="D303" s="9"/>
      <c r="E303" s="501">
        <f t="shared" si="4"/>
        <v>188</v>
      </c>
      <c r="F303" s="501"/>
      <c r="G303" s="478" t="s">
        <v>579</v>
      </c>
      <c r="H303" s="479"/>
      <c r="I303" s="479"/>
      <c r="J303" s="479"/>
      <c r="K303" s="479"/>
      <c r="L303" s="479"/>
      <c r="M303" s="479"/>
      <c r="N303" s="479"/>
      <c r="O303" s="479"/>
      <c r="P303" s="479"/>
      <c r="Q303" s="479"/>
      <c r="R303" s="479"/>
      <c r="S303" s="479"/>
      <c r="T303" s="479"/>
      <c r="U303" s="479"/>
      <c r="V303" s="479"/>
      <c r="W303" s="479"/>
      <c r="X303" s="479"/>
      <c r="Y303" s="479"/>
      <c r="Z303" s="479"/>
      <c r="AA303" s="479"/>
      <c r="AB303" s="479"/>
      <c r="AC303" s="479"/>
      <c r="AD303" s="479"/>
      <c r="AE303" s="479"/>
      <c r="AF303" s="480"/>
      <c r="AG303" s="477" t="s">
        <v>436</v>
      </c>
      <c r="AH303" s="477"/>
      <c r="AI303" s="477"/>
      <c r="AJ303" s="477"/>
      <c r="AK303" s="477"/>
      <c r="AL303" s="477"/>
      <c r="AM303" s="477"/>
      <c r="AN303" s="477"/>
      <c r="AO303" s="9"/>
      <c r="AP303" s="9"/>
      <c r="CA303" s="9"/>
      <c r="CB303" s="9"/>
      <c r="CC303" s="9"/>
      <c r="CD303" s="9"/>
      <c r="CE303" s="9"/>
      <c r="CF303" s="9"/>
      <c r="CG303" s="9"/>
      <c r="CH303" s="9"/>
      <c r="CI303" s="9"/>
      <c r="CJ303" s="9"/>
      <c r="CK303" s="9"/>
      <c r="CL303" s="9"/>
      <c r="CM303" s="9"/>
      <c r="CN303" s="9"/>
      <c r="CO303" s="9"/>
      <c r="CP303" s="16"/>
      <c r="CR303" s="9"/>
      <c r="CS303" s="9"/>
    </row>
    <row r="304" spans="1:97" ht="15" customHeight="1" x14ac:dyDescent="0.15">
      <c r="A304" s="15"/>
      <c r="B304" s="9"/>
      <c r="C304" s="9"/>
      <c r="D304" s="9"/>
      <c r="E304" s="501">
        <f t="shared" si="4"/>
        <v>189</v>
      </c>
      <c r="F304" s="501"/>
      <c r="G304" s="478" t="s">
        <v>474</v>
      </c>
      <c r="H304" s="479"/>
      <c r="I304" s="479"/>
      <c r="J304" s="479"/>
      <c r="K304" s="479"/>
      <c r="L304" s="479"/>
      <c r="M304" s="479"/>
      <c r="N304" s="479"/>
      <c r="O304" s="479"/>
      <c r="P304" s="479"/>
      <c r="Q304" s="479"/>
      <c r="R304" s="479"/>
      <c r="S304" s="479"/>
      <c r="T304" s="479"/>
      <c r="U304" s="479"/>
      <c r="V304" s="479"/>
      <c r="W304" s="479"/>
      <c r="X304" s="479"/>
      <c r="Y304" s="479"/>
      <c r="Z304" s="479"/>
      <c r="AA304" s="479"/>
      <c r="AB304" s="479"/>
      <c r="AC304" s="479"/>
      <c r="AD304" s="479"/>
      <c r="AE304" s="479"/>
      <c r="AF304" s="480"/>
      <c r="AG304" s="477" t="s">
        <v>439</v>
      </c>
      <c r="AH304" s="477"/>
      <c r="AI304" s="477"/>
      <c r="AJ304" s="477"/>
      <c r="AK304" s="477"/>
      <c r="AL304" s="477"/>
      <c r="AM304" s="477"/>
      <c r="AN304" s="477"/>
      <c r="AO304" s="9"/>
      <c r="AP304" s="9"/>
      <c r="CA304" s="9"/>
      <c r="CB304" s="9"/>
      <c r="CC304" s="9"/>
      <c r="CD304" s="9"/>
      <c r="CE304" s="9"/>
      <c r="CF304" s="9"/>
      <c r="CG304" s="9"/>
      <c r="CH304" s="9"/>
      <c r="CI304" s="9"/>
      <c r="CJ304" s="9"/>
      <c r="CK304" s="9"/>
      <c r="CL304" s="9"/>
      <c r="CM304" s="9"/>
      <c r="CN304" s="9"/>
      <c r="CO304" s="9"/>
      <c r="CP304" s="16"/>
    </row>
    <row r="305" spans="1:96" ht="15" customHeight="1" x14ac:dyDescent="0.15">
      <c r="A305" s="15"/>
      <c r="B305" s="9"/>
      <c r="C305" s="9"/>
      <c r="D305" s="9"/>
      <c r="E305" s="501">
        <f t="shared" si="4"/>
        <v>190</v>
      </c>
      <c r="F305" s="501"/>
      <c r="G305" s="478" t="s">
        <v>478</v>
      </c>
      <c r="H305" s="479"/>
      <c r="I305" s="479"/>
      <c r="J305" s="479"/>
      <c r="K305" s="479"/>
      <c r="L305" s="479"/>
      <c r="M305" s="479"/>
      <c r="N305" s="479"/>
      <c r="O305" s="479"/>
      <c r="P305" s="479"/>
      <c r="Q305" s="479"/>
      <c r="R305" s="479"/>
      <c r="S305" s="479"/>
      <c r="T305" s="479"/>
      <c r="U305" s="479"/>
      <c r="V305" s="479"/>
      <c r="W305" s="479"/>
      <c r="X305" s="479"/>
      <c r="Y305" s="479"/>
      <c r="Z305" s="479"/>
      <c r="AA305" s="479"/>
      <c r="AB305" s="479"/>
      <c r="AC305" s="479"/>
      <c r="AD305" s="479"/>
      <c r="AE305" s="479"/>
      <c r="AF305" s="480"/>
      <c r="AG305" s="477" t="s">
        <v>439</v>
      </c>
      <c r="AH305" s="477"/>
      <c r="AI305" s="477"/>
      <c r="AJ305" s="477"/>
      <c r="AK305" s="477"/>
      <c r="AL305" s="477"/>
      <c r="AM305" s="477"/>
      <c r="AN305" s="477"/>
      <c r="AO305" s="9"/>
      <c r="AP305" s="9"/>
      <c r="CA305" s="9"/>
      <c r="CB305" s="9"/>
      <c r="CC305" s="9"/>
      <c r="CD305" s="9"/>
      <c r="CE305" s="9"/>
      <c r="CF305" s="9"/>
      <c r="CG305" s="9"/>
      <c r="CH305" s="9"/>
      <c r="CI305" s="9"/>
      <c r="CJ305" s="9"/>
      <c r="CK305" s="9"/>
      <c r="CL305" s="9"/>
      <c r="CM305" s="9"/>
      <c r="CN305" s="9"/>
      <c r="CO305" s="9"/>
      <c r="CP305" s="16"/>
    </row>
    <row r="306" spans="1:96" ht="15" customHeight="1" x14ac:dyDescent="0.15">
      <c r="A306" s="15"/>
      <c r="B306" s="9"/>
      <c r="C306" s="9"/>
      <c r="D306" s="9"/>
      <c r="E306" s="501">
        <f t="shared" si="4"/>
        <v>191</v>
      </c>
      <c r="F306" s="501"/>
      <c r="G306" s="478" t="s">
        <v>1285</v>
      </c>
      <c r="H306" s="479"/>
      <c r="I306" s="479"/>
      <c r="J306" s="479"/>
      <c r="K306" s="479"/>
      <c r="L306" s="479"/>
      <c r="M306" s="479"/>
      <c r="N306" s="479"/>
      <c r="O306" s="479"/>
      <c r="P306" s="479"/>
      <c r="Q306" s="479"/>
      <c r="R306" s="479"/>
      <c r="S306" s="479"/>
      <c r="T306" s="479"/>
      <c r="U306" s="479"/>
      <c r="V306" s="479"/>
      <c r="W306" s="479"/>
      <c r="X306" s="479"/>
      <c r="Y306" s="479"/>
      <c r="Z306" s="479"/>
      <c r="AA306" s="479"/>
      <c r="AB306" s="479"/>
      <c r="AC306" s="479"/>
      <c r="AD306" s="479"/>
      <c r="AE306" s="479"/>
      <c r="AF306" s="480"/>
      <c r="AG306" s="477" t="s">
        <v>436</v>
      </c>
      <c r="AH306" s="477"/>
      <c r="AI306" s="477"/>
      <c r="AJ306" s="477"/>
      <c r="AK306" s="477"/>
      <c r="AL306" s="477"/>
      <c r="AM306" s="477"/>
      <c r="AN306" s="477"/>
      <c r="AO306" s="9"/>
      <c r="AP306" s="9"/>
      <c r="CA306" s="9"/>
      <c r="CB306" s="9"/>
      <c r="CC306" s="9"/>
      <c r="CD306" s="9"/>
      <c r="CE306" s="9"/>
      <c r="CF306" s="9"/>
      <c r="CG306" s="9"/>
      <c r="CH306" s="9"/>
      <c r="CI306" s="9"/>
      <c r="CJ306" s="9"/>
      <c r="CK306" s="9"/>
      <c r="CL306" s="9"/>
      <c r="CM306" s="9"/>
      <c r="CN306" s="9"/>
      <c r="CO306" s="9"/>
      <c r="CP306" s="16"/>
    </row>
    <row r="307" spans="1:96" ht="15" customHeight="1" x14ac:dyDescent="0.15">
      <c r="A307" s="15"/>
      <c r="B307" s="9"/>
      <c r="C307" s="9"/>
      <c r="D307" s="9"/>
      <c r="E307" s="501">
        <f t="shared" si="4"/>
        <v>192</v>
      </c>
      <c r="F307" s="501"/>
      <c r="G307" s="478" t="s">
        <v>585</v>
      </c>
      <c r="H307" s="479"/>
      <c r="I307" s="479"/>
      <c r="J307" s="479"/>
      <c r="K307" s="479"/>
      <c r="L307" s="479"/>
      <c r="M307" s="479"/>
      <c r="N307" s="479"/>
      <c r="O307" s="479"/>
      <c r="P307" s="479"/>
      <c r="Q307" s="479"/>
      <c r="R307" s="479"/>
      <c r="S307" s="479"/>
      <c r="T307" s="479"/>
      <c r="U307" s="479"/>
      <c r="V307" s="479"/>
      <c r="W307" s="479"/>
      <c r="X307" s="479"/>
      <c r="Y307" s="479"/>
      <c r="Z307" s="479"/>
      <c r="AA307" s="479"/>
      <c r="AB307" s="479"/>
      <c r="AC307" s="479"/>
      <c r="AD307" s="479"/>
      <c r="AE307" s="479"/>
      <c r="AF307" s="480"/>
      <c r="AG307" s="477" t="s">
        <v>445</v>
      </c>
      <c r="AH307" s="477"/>
      <c r="AI307" s="477"/>
      <c r="AJ307" s="477"/>
      <c r="AK307" s="477"/>
      <c r="AL307" s="477"/>
      <c r="AM307" s="477"/>
      <c r="AN307" s="477"/>
      <c r="AO307" s="9"/>
      <c r="AP307" s="9"/>
      <c r="CA307" s="9"/>
      <c r="CB307" s="9"/>
      <c r="CC307" s="9"/>
      <c r="CD307" s="9"/>
      <c r="CE307" s="9"/>
      <c r="CF307" s="9"/>
      <c r="CG307" s="9"/>
      <c r="CH307" s="9"/>
      <c r="CI307" s="9"/>
      <c r="CJ307" s="9"/>
      <c r="CK307" s="9"/>
      <c r="CL307" s="9"/>
      <c r="CM307" s="9"/>
      <c r="CN307" s="9"/>
      <c r="CO307" s="9"/>
      <c r="CP307" s="16"/>
    </row>
    <row r="308" spans="1:96" ht="15" customHeight="1" x14ac:dyDescent="0.15">
      <c r="A308" s="15"/>
      <c r="B308" s="9"/>
      <c r="C308" s="9"/>
      <c r="D308" s="9"/>
      <c r="E308" s="501">
        <f t="shared" si="4"/>
        <v>193</v>
      </c>
      <c r="F308" s="501"/>
      <c r="G308" s="478" t="s">
        <v>497</v>
      </c>
      <c r="H308" s="479"/>
      <c r="I308" s="479"/>
      <c r="J308" s="479"/>
      <c r="K308" s="479"/>
      <c r="L308" s="479"/>
      <c r="M308" s="479"/>
      <c r="N308" s="479"/>
      <c r="O308" s="479"/>
      <c r="P308" s="479"/>
      <c r="Q308" s="479"/>
      <c r="R308" s="479"/>
      <c r="S308" s="479"/>
      <c r="T308" s="479"/>
      <c r="U308" s="479"/>
      <c r="V308" s="479"/>
      <c r="W308" s="479"/>
      <c r="X308" s="479"/>
      <c r="Y308" s="479"/>
      <c r="Z308" s="479"/>
      <c r="AA308" s="479"/>
      <c r="AB308" s="479"/>
      <c r="AC308" s="479"/>
      <c r="AD308" s="479"/>
      <c r="AE308" s="479"/>
      <c r="AF308" s="480"/>
      <c r="AG308" s="477" t="s">
        <v>436</v>
      </c>
      <c r="AH308" s="477"/>
      <c r="AI308" s="477"/>
      <c r="AJ308" s="477"/>
      <c r="AK308" s="477"/>
      <c r="AL308" s="477"/>
      <c r="AM308" s="477"/>
      <c r="AN308" s="477"/>
      <c r="AO308" s="9"/>
      <c r="AP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16"/>
    </row>
    <row r="309" spans="1:96" ht="15" customHeight="1" x14ac:dyDescent="0.15">
      <c r="A309" s="15"/>
      <c r="B309" s="9"/>
      <c r="C309" s="9"/>
      <c r="D309" s="9"/>
      <c r="E309" s="490">
        <f t="shared" si="4"/>
        <v>194</v>
      </c>
      <c r="F309" s="490"/>
      <c r="G309" s="478" t="s">
        <v>584</v>
      </c>
      <c r="H309" s="479"/>
      <c r="I309" s="479"/>
      <c r="J309" s="479"/>
      <c r="K309" s="479"/>
      <c r="L309" s="479"/>
      <c r="M309" s="479"/>
      <c r="N309" s="479"/>
      <c r="O309" s="479"/>
      <c r="P309" s="479"/>
      <c r="Q309" s="479"/>
      <c r="R309" s="479"/>
      <c r="S309" s="479"/>
      <c r="T309" s="479"/>
      <c r="U309" s="479"/>
      <c r="V309" s="479"/>
      <c r="W309" s="479"/>
      <c r="X309" s="479"/>
      <c r="Y309" s="479"/>
      <c r="Z309" s="479"/>
      <c r="AA309" s="479"/>
      <c r="AB309" s="479"/>
      <c r="AC309" s="479"/>
      <c r="AD309" s="479"/>
      <c r="AE309" s="479"/>
      <c r="AF309" s="480"/>
      <c r="AG309" s="477" t="s">
        <v>439</v>
      </c>
      <c r="AH309" s="477"/>
      <c r="AI309" s="477"/>
      <c r="AJ309" s="477"/>
      <c r="AK309" s="477"/>
      <c r="AL309" s="477"/>
      <c r="AM309" s="477"/>
      <c r="AN309" s="477"/>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16"/>
    </row>
    <row r="310" spans="1:96" ht="15" customHeight="1" x14ac:dyDescent="0.15">
      <c r="A310" s="15"/>
      <c r="B310" s="9"/>
      <c r="C310" s="9"/>
      <c r="D310" s="9"/>
      <c r="E310" s="490">
        <f t="shared" si="4"/>
        <v>195</v>
      </c>
      <c r="F310" s="490"/>
      <c r="G310" s="478" t="s">
        <v>1257</v>
      </c>
      <c r="H310" s="479"/>
      <c r="I310" s="479"/>
      <c r="J310" s="479"/>
      <c r="K310" s="479"/>
      <c r="L310" s="479"/>
      <c r="M310" s="479"/>
      <c r="N310" s="479"/>
      <c r="O310" s="479"/>
      <c r="P310" s="479"/>
      <c r="Q310" s="479"/>
      <c r="R310" s="479"/>
      <c r="S310" s="479"/>
      <c r="T310" s="479"/>
      <c r="U310" s="479"/>
      <c r="V310" s="479"/>
      <c r="W310" s="479"/>
      <c r="X310" s="479"/>
      <c r="Y310" s="479"/>
      <c r="Z310" s="479"/>
      <c r="AA310" s="479"/>
      <c r="AB310" s="479"/>
      <c r="AC310" s="479"/>
      <c r="AD310" s="479"/>
      <c r="AE310" s="479"/>
      <c r="AF310" s="480"/>
      <c r="AG310" s="477" t="s">
        <v>436</v>
      </c>
      <c r="AH310" s="477"/>
      <c r="AI310" s="477"/>
      <c r="AJ310" s="477"/>
      <c r="AK310" s="477"/>
      <c r="AL310" s="477"/>
      <c r="AM310" s="477"/>
      <c r="AN310" s="477"/>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16"/>
    </row>
    <row r="311" spans="1:96" ht="15" customHeight="1" thickBot="1" x14ac:dyDescent="0.2">
      <c r="A311" s="19"/>
      <c r="B311" s="20"/>
      <c r="C311" s="20"/>
      <c r="D311" s="20"/>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c r="CL311" s="20"/>
      <c r="CM311" s="20"/>
      <c r="CN311" s="20"/>
      <c r="CO311" s="20"/>
      <c r="CP311" s="21"/>
    </row>
    <row r="312" spans="1:96" ht="15" customHeight="1" x14ac:dyDescent="0.15">
      <c r="A312" s="1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c r="CA312" s="11"/>
      <c r="CB312" s="11"/>
      <c r="CC312" s="11"/>
      <c r="CD312" s="11"/>
      <c r="CE312" s="11"/>
      <c r="CF312" s="11"/>
      <c r="CG312" s="11"/>
      <c r="CH312" s="11"/>
      <c r="CI312" s="11"/>
      <c r="CJ312" s="11"/>
      <c r="CK312" s="11"/>
      <c r="CL312" s="11"/>
      <c r="CM312" s="11"/>
      <c r="CN312" s="11"/>
      <c r="CO312" s="11"/>
      <c r="CP312" s="12"/>
    </row>
    <row r="313" spans="1:96" ht="15" customHeight="1" x14ac:dyDescent="0.15">
      <c r="A313" s="1"/>
      <c r="C313" s="9" t="s">
        <v>967</v>
      </c>
      <c r="CP313" s="3"/>
    </row>
    <row r="314" spans="1:96" ht="15" customHeight="1" x14ac:dyDescent="0.15">
      <c r="A314" s="1"/>
      <c r="E314" s="154" t="s">
        <v>1289</v>
      </c>
      <c r="CP314" s="3"/>
    </row>
    <row r="315" spans="1:96" ht="15" customHeight="1" x14ac:dyDescent="0.15">
      <c r="A315" s="1"/>
      <c r="CP315" s="3"/>
    </row>
    <row r="316" spans="1:96" ht="30" customHeight="1" x14ac:dyDescent="0.15">
      <c r="A316" s="1"/>
      <c r="E316" s="596" t="s">
        <v>127</v>
      </c>
      <c r="F316" s="597"/>
      <c r="G316" s="597"/>
      <c r="H316" s="597"/>
      <c r="I316" s="597"/>
      <c r="J316" s="597"/>
      <c r="K316" s="597"/>
      <c r="L316" s="597"/>
      <c r="M316" s="597"/>
      <c r="N316" s="597"/>
      <c r="O316" s="597"/>
      <c r="P316" s="597"/>
      <c r="Q316" s="597"/>
      <c r="R316" s="597"/>
      <c r="S316" s="597"/>
      <c r="T316" s="597"/>
      <c r="U316" s="597"/>
      <c r="V316" s="597"/>
      <c r="W316" s="597"/>
      <c r="X316" s="597"/>
      <c r="Y316" s="598"/>
      <c r="Z316" s="667" t="s">
        <v>129</v>
      </c>
      <c r="AA316" s="668"/>
      <c r="AB316" s="668"/>
      <c r="AC316" s="668"/>
      <c r="AD316" s="668"/>
      <c r="AE316" s="668"/>
      <c r="AF316" s="668"/>
      <c r="AG316" s="669"/>
      <c r="AH316" s="667" t="s">
        <v>1107</v>
      </c>
      <c r="AI316" s="668"/>
      <c r="AJ316" s="668"/>
      <c r="AK316" s="668"/>
      <c r="AL316" s="668"/>
      <c r="AM316" s="668"/>
      <c r="AN316" s="668"/>
      <c r="AO316" s="669"/>
      <c r="AP316" s="670" t="s">
        <v>1108</v>
      </c>
      <c r="AQ316" s="670"/>
      <c r="AR316" s="670"/>
      <c r="AS316" s="670"/>
      <c r="AT316" s="670"/>
      <c r="AU316" s="667" t="s">
        <v>128</v>
      </c>
      <c r="AV316" s="668"/>
      <c r="AW316" s="668"/>
      <c r="AX316" s="668"/>
      <c r="AY316" s="668"/>
      <c r="AZ316" s="668"/>
      <c r="BA316" s="668"/>
      <c r="BB316" s="669"/>
      <c r="BC316" s="545" t="s">
        <v>130</v>
      </c>
      <c r="BD316" s="545"/>
      <c r="BE316" s="545"/>
      <c r="BF316" s="545"/>
      <c r="BG316" s="545"/>
      <c r="BH316" s="545"/>
      <c r="BI316" s="545"/>
      <c r="BJ316" s="545"/>
      <c r="BK316" s="545"/>
      <c r="BL316" s="545"/>
      <c r="BM316" s="545"/>
      <c r="BN316" s="545"/>
      <c r="BO316" s="545"/>
      <c r="BP316" s="545"/>
      <c r="BQ316" s="545"/>
      <c r="BR316" s="545"/>
      <c r="BS316" s="545"/>
      <c r="BT316" s="545"/>
      <c r="BU316" s="545"/>
      <c r="BV316" s="545"/>
      <c r="BW316" s="545"/>
      <c r="BX316" s="545"/>
      <c r="BY316" s="545"/>
      <c r="BZ316" s="545"/>
      <c r="CA316" s="545"/>
      <c r="CB316" s="545"/>
      <c r="CC316" s="545"/>
      <c r="CD316" s="670" t="s">
        <v>1109</v>
      </c>
      <c r="CE316" s="670"/>
      <c r="CF316" s="670"/>
      <c r="CG316" s="670"/>
      <c r="CH316" s="670"/>
      <c r="CI316" s="545" t="s">
        <v>138</v>
      </c>
      <c r="CJ316" s="545"/>
      <c r="CK316" s="545"/>
      <c r="CL316" s="545"/>
      <c r="CM316" s="545"/>
      <c r="CN316" s="545"/>
      <c r="CP316" s="3"/>
    </row>
    <row r="317" spans="1:96" ht="60" customHeight="1" x14ac:dyDescent="0.15">
      <c r="A317" s="1"/>
      <c r="E317" s="213" t="s">
        <v>1096</v>
      </c>
      <c r="F317" s="214"/>
      <c r="G317" s="214"/>
      <c r="H317" s="214"/>
      <c r="I317" s="214"/>
      <c r="J317" s="214"/>
      <c r="K317" s="214"/>
      <c r="L317" s="214"/>
      <c r="M317" s="214"/>
      <c r="N317" s="214"/>
      <c r="O317" s="214"/>
      <c r="P317" s="214"/>
      <c r="Q317" s="214"/>
      <c r="R317" s="214"/>
      <c r="S317" s="214"/>
      <c r="T317" s="214"/>
      <c r="U317" s="214"/>
      <c r="V317" s="214"/>
      <c r="W317" s="214"/>
      <c r="X317" s="214"/>
      <c r="Y317" s="215"/>
      <c r="Z317" s="317" t="s">
        <v>1182</v>
      </c>
      <c r="AA317" s="214"/>
      <c r="AB317" s="214"/>
      <c r="AC317" s="214"/>
      <c r="AD317" s="214"/>
      <c r="AE317" s="214"/>
      <c r="AF317" s="214"/>
      <c r="AG317" s="214"/>
      <c r="AH317" s="518" t="s">
        <v>1097</v>
      </c>
      <c r="AI317" s="519"/>
      <c r="AJ317" s="519"/>
      <c r="AK317" s="519"/>
      <c r="AL317" s="519"/>
      <c r="AM317" s="519"/>
      <c r="AN317" s="519"/>
      <c r="AO317" s="519"/>
      <c r="AP317" s="233" t="s">
        <v>105</v>
      </c>
      <c r="AQ317" s="233"/>
      <c r="AR317" s="233"/>
      <c r="AS317" s="233"/>
      <c r="AT317" s="233"/>
      <c r="AU317" s="671" t="s">
        <v>1098</v>
      </c>
      <c r="AV317" s="214"/>
      <c r="AW317" s="214"/>
      <c r="AX317" s="214"/>
      <c r="AY317" s="214"/>
      <c r="AZ317" s="214"/>
      <c r="BA317" s="214"/>
      <c r="BB317" s="214"/>
      <c r="BC317" s="213" t="s">
        <v>1099</v>
      </c>
      <c r="BD317" s="214"/>
      <c r="BE317" s="214"/>
      <c r="BF317" s="214"/>
      <c r="BG317" s="214"/>
      <c r="BH317" s="214"/>
      <c r="BI317" s="214"/>
      <c r="BJ317" s="214"/>
      <c r="BK317" s="214"/>
      <c r="BL317" s="214"/>
      <c r="BM317" s="214"/>
      <c r="BN317" s="214"/>
      <c r="BO317" s="214"/>
      <c r="BP317" s="214"/>
      <c r="BQ317" s="214"/>
      <c r="BR317" s="214"/>
      <c r="BS317" s="214"/>
      <c r="BT317" s="214"/>
      <c r="BU317" s="214"/>
      <c r="BV317" s="214"/>
      <c r="BW317" s="214"/>
      <c r="BX317" s="214"/>
      <c r="BY317" s="214"/>
      <c r="BZ317" s="214"/>
      <c r="CA317" s="214"/>
      <c r="CB317" s="214"/>
      <c r="CC317" s="215"/>
      <c r="CD317" s="233">
        <v>3</v>
      </c>
      <c r="CE317" s="233"/>
      <c r="CF317" s="233"/>
      <c r="CG317" s="233"/>
      <c r="CH317" s="233"/>
      <c r="CI317" s="233" t="s">
        <v>1100</v>
      </c>
      <c r="CJ317" s="233"/>
      <c r="CK317" s="233"/>
      <c r="CL317" s="233"/>
      <c r="CM317" s="233"/>
      <c r="CN317" s="233"/>
      <c r="CP317" s="3"/>
    </row>
    <row r="318" spans="1:96" ht="60" customHeight="1" x14ac:dyDescent="0.15">
      <c r="A318" s="1"/>
      <c r="E318" s="213" t="s">
        <v>1110</v>
      </c>
      <c r="F318" s="214"/>
      <c r="G318" s="214"/>
      <c r="H318" s="214"/>
      <c r="I318" s="214"/>
      <c r="J318" s="214"/>
      <c r="K318" s="214"/>
      <c r="L318" s="214"/>
      <c r="M318" s="214"/>
      <c r="N318" s="214"/>
      <c r="O318" s="214"/>
      <c r="P318" s="214"/>
      <c r="Q318" s="214"/>
      <c r="R318" s="214"/>
      <c r="S318" s="214"/>
      <c r="T318" s="214"/>
      <c r="U318" s="214"/>
      <c r="V318" s="214"/>
      <c r="W318" s="214"/>
      <c r="X318" s="214"/>
      <c r="Y318" s="215"/>
      <c r="Z318" s="317" t="s">
        <v>1182</v>
      </c>
      <c r="AA318" s="214"/>
      <c r="AB318" s="214"/>
      <c r="AC318" s="214"/>
      <c r="AD318" s="214"/>
      <c r="AE318" s="214"/>
      <c r="AF318" s="214"/>
      <c r="AG318" s="214"/>
      <c r="AH318" s="518" t="s">
        <v>1097</v>
      </c>
      <c r="AI318" s="519"/>
      <c r="AJ318" s="519"/>
      <c r="AK318" s="519"/>
      <c r="AL318" s="519"/>
      <c r="AM318" s="519"/>
      <c r="AN318" s="519"/>
      <c r="AO318" s="519"/>
      <c r="AP318" s="233" t="s">
        <v>105</v>
      </c>
      <c r="AQ318" s="233"/>
      <c r="AR318" s="233"/>
      <c r="AS318" s="233"/>
      <c r="AT318" s="233"/>
      <c r="AU318" s="671" t="s">
        <v>1111</v>
      </c>
      <c r="AV318" s="214"/>
      <c r="AW318" s="214"/>
      <c r="AX318" s="214"/>
      <c r="AY318" s="214"/>
      <c r="AZ318" s="214"/>
      <c r="BA318" s="214"/>
      <c r="BB318" s="214"/>
      <c r="BC318" s="213" t="s">
        <v>1112</v>
      </c>
      <c r="BD318" s="214"/>
      <c r="BE318" s="214"/>
      <c r="BF318" s="214"/>
      <c r="BG318" s="214"/>
      <c r="BH318" s="214"/>
      <c r="BI318" s="214"/>
      <c r="BJ318" s="214"/>
      <c r="BK318" s="214"/>
      <c r="BL318" s="214"/>
      <c r="BM318" s="214"/>
      <c r="BN318" s="214"/>
      <c r="BO318" s="214"/>
      <c r="BP318" s="214"/>
      <c r="BQ318" s="214"/>
      <c r="BR318" s="214"/>
      <c r="BS318" s="214"/>
      <c r="BT318" s="214"/>
      <c r="BU318" s="214"/>
      <c r="BV318" s="214"/>
      <c r="BW318" s="214"/>
      <c r="BX318" s="214"/>
      <c r="BY318" s="214"/>
      <c r="BZ318" s="214"/>
      <c r="CA318" s="214"/>
      <c r="CB318" s="214"/>
      <c r="CC318" s="215"/>
      <c r="CD318" s="233">
        <v>3</v>
      </c>
      <c r="CE318" s="233"/>
      <c r="CF318" s="233"/>
      <c r="CG318" s="233"/>
      <c r="CH318" s="233"/>
      <c r="CI318" s="233" t="s">
        <v>1100</v>
      </c>
      <c r="CJ318" s="233"/>
      <c r="CK318" s="233"/>
      <c r="CL318" s="233"/>
      <c r="CM318" s="233"/>
      <c r="CN318" s="233"/>
      <c r="CP318" s="3"/>
    </row>
    <row r="319" spans="1:96" ht="60" customHeight="1" x14ac:dyDescent="0.15">
      <c r="A319" s="1"/>
      <c r="E319" s="213" t="s">
        <v>799</v>
      </c>
      <c r="F319" s="214"/>
      <c r="G319" s="214"/>
      <c r="H319" s="214"/>
      <c r="I319" s="214"/>
      <c r="J319" s="214"/>
      <c r="K319" s="214"/>
      <c r="L319" s="214"/>
      <c r="M319" s="214"/>
      <c r="N319" s="214"/>
      <c r="O319" s="214"/>
      <c r="P319" s="214"/>
      <c r="Q319" s="214"/>
      <c r="R319" s="214"/>
      <c r="S319" s="214"/>
      <c r="T319" s="214"/>
      <c r="U319" s="214"/>
      <c r="V319" s="214"/>
      <c r="W319" s="214"/>
      <c r="X319" s="214"/>
      <c r="Y319" s="215"/>
      <c r="Z319" s="317" t="s">
        <v>1182</v>
      </c>
      <c r="AA319" s="214"/>
      <c r="AB319" s="214"/>
      <c r="AC319" s="214"/>
      <c r="AD319" s="214"/>
      <c r="AE319" s="214"/>
      <c r="AF319" s="214"/>
      <c r="AG319" s="214"/>
      <c r="AH319" s="518" t="s">
        <v>1097</v>
      </c>
      <c r="AI319" s="519"/>
      <c r="AJ319" s="519"/>
      <c r="AK319" s="519"/>
      <c r="AL319" s="519"/>
      <c r="AM319" s="519"/>
      <c r="AN319" s="519"/>
      <c r="AO319" s="519"/>
      <c r="AP319" s="233" t="s">
        <v>65</v>
      </c>
      <c r="AQ319" s="233"/>
      <c r="AR319" s="233"/>
      <c r="AS319" s="233"/>
      <c r="AT319" s="233"/>
      <c r="AU319" s="671" t="s">
        <v>1101</v>
      </c>
      <c r="AV319" s="214"/>
      <c r="AW319" s="214"/>
      <c r="AX319" s="214"/>
      <c r="AY319" s="214"/>
      <c r="AZ319" s="214"/>
      <c r="BA319" s="214"/>
      <c r="BB319" s="214"/>
      <c r="BC319" s="382" t="s">
        <v>1288</v>
      </c>
      <c r="BD319" s="383"/>
      <c r="BE319" s="383"/>
      <c r="BF319" s="383"/>
      <c r="BG319" s="383"/>
      <c r="BH319" s="383"/>
      <c r="BI319" s="383"/>
      <c r="BJ319" s="383"/>
      <c r="BK319" s="383"/>
      <c r="BL319" s="383"/>
      <c r="BM319" s="383"/>
      <c r="BN319" s="383"/>
      <c r="BO319" s="383"/>
      <c r="BP319" s="383"/>
      <c r="BQ319" s="383"/>
      <c r="BR319" s="383"/>
      <c r="BS319" s="383"/>
      <c r="BT319" s="383"/>
      <c r="BU319" s="383"/>
      <c r="BV319" s="383"/>
      <c r="BW319" s="383"/>
      <c r="BX319" s="383"/>
      <c r="BY319" s="383"/>
      <c r="BZ319" s="383"/>
      <c r="CA319" s="383"/>
      <c r="CB319" s="383"/>
      <c r="CC319" s="384"/>
      <c r="CD319" s="233">
        <v>3</v>
      </c>
      <c r="CE319" s="233"/>
      <c r="CF319" s="233"/>
      <c r="CG319" s="233"/>
      <c r="CH319" s="233"/>
      <c r="CI319" s="233" t="s">
        <v>1100</v>
      </c>
      <c r="CJ319" s="233"/>
      <c r="CK319" s="233"/>
      <c r="CL319" s="233"/>
      <c r="CM319" s="233"/>
      <c r="CN319" s="233"/>
      <c r="CP319" s="3"/>
      <c r="CR319" s="94"/>
    </row>
    <row r="320" spans="1:96" ht="60" customHeight="1" x14ac:dyDescent="0.15">
      <c r="A320" s="1"/>
      <c r="E320" s="237" t="s">
        <v>1113</v>
      </c>
      <c r="F320" s="237"/>
      <c r="G320" s="237"/>
      <c r="H320" s="237"/>
      <c r="I320" s="237"/>
      <c r="J320" s="237"/>
      <c r="K320" s="237"/>
      <c r="L320" s="237"/>
      <c r="M320" s="237"/>
      <c r="N320" s="237"/>
      <c r="O320" s="237"/>
      <c r="P320" s="237"/>
      <c r="Q320" s="237"/>
      <c r="R320" s="237"/>
      <c r="S320" s="237"/>
      <c r="T320" s="237"/>
      <c r="U320" s="237"/>
      <c r="V320" s="237"/>
      <c r="W320" s="237"/>
      <c r="X320" s="237"/>
      <c r="Y320" s="237"/>
      <c r="Z320" s="317" t="s">
        <v>1182</v>
      </c>
      <c r="AA320" s="214"/>
      <c r="AB320" s="214"/>
      <c r="AC320" s="214"/>
      <c r="AD320" s="214"/>
      <c r="AE320" s="214"/>
      <c r="AF320" s="214"/>
      <c r="AG320" s="214"/>
      <c r="AH320" s="518" t="s">
        <v>1097</v>
      </c>
      <c r="AI320" s="519"/>
      <c r="AJ320" s="519"/>
      <c r="AK320" s="519"/>
      <c r="AL320" s="519"/>
      <c r="AM320" s="519"/>
      <c r="AN320" s="519"/>
      <c r="AO320" s="519"/>
      <c r="AP320" s="233" t="s">
        <v>105</v>
      </c>
      <c r="AQ320" s="233"/>
      <c r="AR320" s="233"/>
      <c r="AS320" s="233"/>
      <c r="AT320" s="233"/>
      <c r="AU320" s="671" t="s">
        <v>1114</v>
      </c>
      <c r="AV320" s="214"/>
      <c r="AW320" s="214"/>
      <c r="AX320" s="214"/>
      <c r="AY320" s="214"/>
      <c r="AZ320" s="214"/>
      <c r="BA320" s="214"/>
      <c r="BB320" s="214"/>
      <c r="BC320" s="213" t="s">
        <v>1115</v>
      </c>
      <c r="BD320" s="214"/>
      <c r="BE320" s="214"/>
      <c r="BF320" s="214"/>
      <c r="BG320" s="214"/>
      <c r="BH320" s="214"/>
      <c r="BI320" s="214"/>
      <c r="BJ320" s="214"/>
      <c r="BK320" s="214"/>
      <c r="BL320" s="214"/>
      <c r="BM320" s="214"/>
      <c r="BN320" s="214"/>
      <c r="BO320" s="214"/>
      <c r="BP320" s="214"/>
      <c r="BQ320" s="214"/>
      <c r="BR320" s="214"/>
      <c r="BS320" s="214"/>
      <c r="BT320" s="214"/>
      <c r="BU320" s="214"/>
      <c r="BV320" s="214"/>
      <c r="BW320" s="214"/>
      <c r="BX320" s="214"/>
      <c r="BY320" s="214"/>
      <c r="BZ320" s="214"/>
      <c r="CA320" s="214"/>
      <c r="CB320" s="214"/>
      <c r="CC320" s="215"/>
      <c r="CD320" s="233">
        <v>3</v>
      </c>
      <c r="CE320" s="233"/>
      <c r="CF320" s="233"/>
      <c r="CG320" s="233"/>
      <c r="CH320" s="233"/>
      <c r="CI320" s="233" t="s">
        <v>1100</v>
      </c>
      <c r="CJ320" s="233"/>
      <c r="CK320" s="233"/>
      <c r="CL320" s="233"/>
      <c r="CM320" s="233"/>
      <c r="CN320" s="233"/>
      <c r="CP320" s="3"/>
    </row>
    <row r="321" spans="1:94" ht="60" customHeight="1" x14ac:dyDescent="0.15">
      <c r="A321" s="1"/>
      <c r="E321" s="213" t="s">
        <v>1102</v>
      </c>
      <c r="F321" s="214"/>
      <c r="G321" s="214"/>
      <c r="H321" s="214"/>
      <c r="I321" s="214"/>
      <c r="J321" s="214"/>
      <c r="K321" s="214"/>
      <c r="L321" s="214"/>
      <c r="M321" s="214"/>
      <c r="N321" s="214"/>
      <c r="O321" s="214"/>
      <c r="P321" s="214"/>
      <c r="Q321" s="214"/>
      <c r="R321" s="214"/>
      <c r="S321" s="214"/>
      <c r="T321" s="214"/>
      <c r="U321" s="214"/>
      <c r="V321" s="214"/>
      <c r="W321" s="214"/>
      <c r="X321" s="214"/>
      <c r="Y321" s="215"/>
      <c r="Z321" s="317" t="s">
        <v>1182</v>
      </c>
      <c r="AA321" s="214"/>
      <c r="AB321" s="214"/>
      <c r="AC321" s="214"/>
      <c r="AD321" s="214"/>
      <c r="AE321" s="214"/>
      <c r="AF321" s="214"/>
      <c r="AG321" s="214"/>
      <c r="AH321" s="518" t="s">
        <v>1097</v>
      </c>
      <c r="AI321" s="519"/>
      <c r="AJ321" s="519"/>
      <c r="AK321" s="519"/>
      <c r="AL321" s="519"/>
      <c r="AM321" s="519"/>
      <c r="AN321" s="519"/>
      <c r="AO321" s="519"/>
      <c r="AP321" s="233" t="s">
        <v>105</v>
      </c>
      <c r="AQ321" s="233"/>
      <c r="AR321" s="233"/>
      <c r="AS321" s="233"/>
      <c r="AT321" s="233"/>
      <c r="AU321" s="671" t="s">
        <v>1103</v>
      </c>
      <c r="AV321" s="214"/>
      <c r="AW321" s="214"/>
      <c r="AX321" s="214"/>
      <c r="AY321" s="214"/>
      <c r="AZ321" s="214"/>
      <c r="BA321" s="214"/>
      <c r="BB321" s="214"/>
      <c r="BC321" s="213" t="s">
        <v>1104</v>
      </c>
      <c r="BD321" s="214"/>
      <c r="BE321" s="214"/>
      <c r="BF321" s="214"/>
      <c r="BG321" s="214"/>
      <c r="BH321" s="214"/>
      <c r="BI321" s="214"/>
      <c r="BJ321" s="214"/>
      <c r="BK321" s="214"/>
      <c r="BL321" s="214"/>
      <c r="BM321" s="214"/>
      <c r="BN321" s="214"/>
      <c r="BO321" s="214"/>
      <c r="BP321" s="214"/>
      <c r="BQ321" s="214"/>
      <c r="BR321" s="214"/>
      <c r="BS321" s="214"/>
      <c r="BT321" s="214"/>
      <c r="BU321" s="214"/>
      <c r="BV321" s="214"/>
      <c r="BW321" s="214"/>
      <c r="BX321" s="214"/>
      <c r="BY321" s="214"/>
      <c r="BZ321" s="214"/>
      <c r="CA321" s="214"/>
      <c r="CB321" s="214"/>
      <c r="CC321" s="215"/>
      <c r="CD321" s="233">
        <v>3</v>
      </c>
      <c r="CE321" s="233"/>
      <c r="CF321" s="233"/>
      <c r="CG321" s="233"/>
      <c r="CH321" s="233"/>
      <c r="CI321" s="233" t="s">
        <v>1100</v>
      </c>
      <c r="CJ321" s="233"/>
      <c r="CK321" s="233"/>
      <c r="CL321" s="233"/>
      <c r="CM321" s="233"/>
      <c r="CN321" s="233"/>
      <c r="CP321" s="3"/>
    </row>
    <row r="322" spans="1:94" ht="60" customHeight="1" x14ac:dyDescent="0.15">
      <c r="A322" s="1"/>
      <c r="E322" s="213" t="s">
        <v>1105</v>
      </c>
      <c r="F322" s="214"/>
      <c r="G322" s="214"/>
      <c r="H322" s="214"/>
      <c r="I322" s="214"/>
      <c r="J322" s="214"/>
      <c r="K322" s="214"/>
      <c r="L322" s="214"/>
      <c r="M322" s="214"/>
      <c r="N322" s="214"/>
      <c r="O322" s="214"/>
      <c r="P322" s="214"/>
      <c r="Q322" s="214"/>
      <c r="R322" s="214"/>
      <c r="S322" s="214"/>
      <c r="T322" s="214"/>
      <c r="U322" s="214"/>
      <c r="V322" s="214"/>
      <c r="W322" s="214"/>
      <c r="X322" s="214"/>
      <c r="Y322" s="215"/>
      <c r="Z322" s="317" t="s">
        <v>1182</v>
      </c>
      <c r="AA322" s="214"/>
      <c r="AB322" s="214"/>
      <c r="AC322" s="214"/>
      <c r="AD322" s="214"/>
      <c r="AE322" s="214"/>
      <c r="AF322" s="214"/>
      <c r="AG322" s="214"/>
      <c r="AH322" s="518" t="s">
        <v>1097</v>
      </c>
      <c r="AI322" s="519"/>
      <c r="AJ322" s="519"/>
      <c r="AK322" s="519"/>
      <c r="AL322" s="519"/>
      <c r="AM322" s="519"/>
      <c r="AN322" s="519"/>
      <c r="AO322" s="519"/>
      <c r="AP322" s="233" t="s">
        <v>65</v>
      </c>
      <c r="AQ322" s="233"/>
      <c r="AR322" s="233"/>
      <c r="AS322" s="233"/>
      <c r="AT322" s="233"/>
      <c r="AU322" s="678" t="s">
        <v>1106</v>
      </c>
      <c r="AV322" s="214"/>
      <c r="AW322" s="214"/>
      <c r="AX322" s="214"/>
      <c r="AY322" s="214"/>
      <c r="AZ322" s="214"/>
      <c r="BA322" s="214"/>
      <c r="BB322" s="214"/>
      <c r="BC322" s="213" t="s">
        <v>1290</v>
      </c>
      <c r="BD322" s="214"/>
      <c r="BE322" s="214"/>
      <c r="BF322" s="214"/>
      <c r="BG322" s="214"/>
      <c r="BH322" s="214"/>
      <c r="BI322" s="214"/>
      <c r="BJ322" s="214"/>
      <c r="BK322" s="214"/>
      <c r="BL322" s="214"/>
      <c r="BM322" s="214"/>
      <c r="BN322" s="214"/>
      <c r="BO322" s="214"/>
      <c r="BP322" s="214"/>
      <c r="BQ322" s="214"/>
      <c r="BR322" s="214"/>
      <c r="BS322" s="214"/>
      <c r="BT322" s="214"/>
      <c r="BU322" s="214"/>
      <c r="BV322" s="214"/>
      <c r="BW322" s="214"/>
      <c r="BX322" s="214"/>
      <c r="BY322" s="214"/>
      <c r="BZ322" s="214"/>
      <c r="CA322" s="214"/>
      <c r="CB322" s="214"/>
      <c r="CC322" s="215"/>
      <c r="CD322" s="233">
        <v>3</v>
      </c>
      <c r="CE322" s="233"/>
      <c r="CF322" s="233"/>
      <c r="CG322" s="233"/>
      <c r="CH322" s="233"/>
      <c r="CI322" s="233" t="s">
        <v>1100</v>
      </c>
      <c r="CJ322" s="233"/>
      <c r="CK322" s="233"/>
      <c r="CL322" s="233"/>
      <c r="CM322" s="233"/>
      <c r="CN322" s="233"/>
      <c r="CP322" s="3"/>
    </row>
    <row r="323" spans="1:94" ht="15" customHeight="1" x14ac:dyDescent="0.15">
      <c r="A323" s="1"/>
      <c r="CP323" s="3"/>
    </row>
    <row r="324" spans="1:94" ht="15" customHeight="1" x14ac:dyDescent="0.15">
      <c r="A324" s="1"/>
      <c r="CP324" s="3"/>
    </row>
    <row r="325" spans="1:94" ht="15" customHeight="1" x14ac:dyDescent="0.15">
      <c r="A325" s="1"/>
      <c r="CP325" s="3"/>
    </row>
    <row r="326" spans="1:94" ht="15" customHeight="1" x14ac:dyDescent="0.15">
      <c r="A326" s="1"/>
      <c r="CP326" s="3"/>
    </row>
    <row r="327" spans="1:94" ht="15" customHeight="1" x14ac:dyDescent="0.15">
      <c r="A327" s="1"/>
      <c r="CP327" s="3"/>
    </row>
    <row r="328" spans="1:94" ht="15" customHeight="1" x14ac:dyDescent="0.15">
      <c r="A328" s="1"/>
      <c r="CP328" s="3"/>
    </row>
    <row r="329" spans="1:94" ht="15" customHeight="1" x14ac:dyDescent="0.15">
      <c r="A329" s="1"/>
      <c r="CP329" s="3"/>
    </row>
    <row r="330" spans="1:94" ht="15" customHeight="1" x14ac:dyDescent="0.15">
      <c r="A330" s="1"/>
      <c r="CP330" s="3"/>
    </row>
    <row r="331" spans="1:94" ht="15" customHeight="1" x14ac:dyDescent="0.15">
      <c r="A331" s="1"/>
      <c r="CP331" s="3"/>
    </row>
    <row r="332" spans="1:94" ht="15" customHeight="1" x14ac:dyDescent="0.15">
      <c r="A332" s="1"/>
      <c r="CP332" s="3"/>
    </row>
    <row r="333" spans="1:94" ht="15" customHeight="1" x14ac:dyDescent="0.15">
      <c r="A333" s="1"/>
      <c r="CP333" s="3"/>
    </row>
    <row r="334" spans="1:94" ht="15" customHeight="1" x14ac:dyDescent="0.15">
      <c r="A334" s="1"/>
      <c r="CP334" s="3"/>
    </row>
    <row r="335" spans="1:94" ht="15" customHeight="1" x14ac:dyDescent="0.15">
      <c r="A335" s="1"/>
      <c r="CP335" s="3"/>
    </row>
    <row r="336" spans="1:94" ht="15" customHeight="1" thickBot="1" x14ac:dyDescent="0.2">
      <c r="A336" s="5"/>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7"/>
    </row>
    <row r="337" spans="1:94" ht="15" customHeight="1" x14ac:dyDescent="0.15">
      <c r="A337" s="47"/>
      <c r="B337" s="55"/>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48"/>
      <c r="BJ337" s="48"/>
      <c r="BK337" s="48"/>
      <c r="BL337" s="48"/>
      <c r="BM337" s="48"/>
      <c r="BN337" s="48"/>
      <c r="BO337" s="48"/>
      <c r="BP337" s="48"/>
      <c r="BQ337" s="48"/>
      <c r="BR337" s="48"/>
      <c r="BS337" s="48"/>
      <c r="BT337" s="48"/>
      <c r="BU337" s="48"/>
      <c r="BV337" s="48"/>
      <c r="BW337" s="48"/>
      <c r="BX337" s="48"/>
      <c r="BY337" s="48"/>
      <c r="BZ337" s="48"/>
      <c r="CA337" s="48"/>
      <c r="CB337" s="48"/>
      <c r="CC337" s="48"/>
      <c r="CD337" s="48"/>
      <c r="CE337" s="48"/>
      <c r="CF337" s="48"/>
      <c r="CG337" s="48"/>
      <c r="CH337" s="48"/>
      <c r="CI337" s="48"/>
      <c r="CJ337" s="48"/>
      <c r="CK337" s="48"/>
      <c r="CL337" s="48"/>
      <c r="CM337" s="48"/>
      <c r="CN337" s="48"/>
      <c r="CO337" s="48"/>
      <c r="CP337" s="49"/>
    </row>
    <row r="338" spans="1:94" ht="15" customHeight="1" x14ac:dyDescent="0.15">
      <c r="A338" s="15"/>
      <c r="B338" s="17"/>
      <c r="C338" s="9" t="s">
        <v>968</v>
      </c>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16"/>
    </row>
    <row r="339" spans="1:94" ht="15" customHeight="1" x14ac:dyDescent="0.15">
      <c r="A339" s="15"/>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16"/>
    </row>
    <row r="340" spans="1:94" ht="15" customHeight="1" x14ac:dyDescent="0.15">
      <c r="A340" s="15"/>
      <c r="B340" s="9"/>
      <c r="C340" s="9"/>
      <c r="D340" s="9"/>
      <c r="E340" s="9" t="s">
        <v>146</v>
      </c>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73" t="s">
        <v>705</v>
      </c>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16"/>
    </row>
    <row r="341" spans="1:94" ht="15" customHeight="1" x14ac:dyDescent="0.15">
      <c r="A341" s="15"/>
      <c r="B341" s="9"/>
      <c r="C341" s="9"/>
      <c r="D341" s="9"/>
      <c r="E341" s="155" t="s">
        <v>1116</v>
      </c>
      <c r="F341" s="67"/>
      <c r="G341" s="67"/>
      <c r="H341" s="67"/>
      <c r="I341" s="67"/>
      <c r="J341" s="67"/>
      <c r="K341" s="67"/>
      <c r="L341" s="67"/>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5"/>
      <c r="CJ341" s="9"/>
      <c r="CK341" s="9"/>
      <c r="CL341" s="9"/>
      <c r="CM341" s="9"/>
      <c r="CN341" s="9"/>
      <c r="CO341" s="9"/>
      <c r="CP341" s="16"/>
    </row>
    <row r="342" spans="1:94" ht="15" customHeight="1" x14ac:dyDescent="0.15">
      <c r="A342" s="15"/>
      <c r="B342" s="9"/>
      <c r="C342" s="9"/>
      <c r="D342" s="9"/>
      <c r="E342" s="57" t="s">
        <v>662</v>
      </c>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66"/>
      <c r="CJ342" s="9"/>
      <c r="CK342" s="9"/>
      <c r="CL342" s="9"/>
      <c r="CM342" s="9"/>
      <c r="CN342" s="9"/>
      <c r="CO342" s="9"/>
      <c r="CP342" s="16"/>
    </row>
    <row r="343" spans="1:94" ht="15" customHeight="1" x14ac:dyDescent="0.15">
      <c r="A343" s="15"/>
      <c r="B343" s="9"/>
      <c r="C343" s="9"/>
      <c r="D343" s="9"/>
      <c r="E343" s="57"/>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66"/>
      <c r="CJ343" s="9"/>
      <c r="CK343" s="9"/>
      <c r="CL343" s="9"/>
      <c r="CM343" s="9"/>
      <c r="CN343" s="9"/>
      <c r="CO343" s="9"/>
      <c r="CP343" s="16"/>
    </row>
    <row r="344" spans="1:94" ht="15" customHeight="1" x14ac:dyDescent="0.15">
      <c r="A344" s="15"/>
      <c r="B344" s="9"/>
      <c r="C344" s="9"/>
      <c r="D344" s="9"/>
      <c r="E344" s="57" t="s">
        <v>373</v>
      </c>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66"/>
      <c r="CJ344" s="9"/>
      <c r="CK344" s="9"/>
      <c r="CL344" s="9"/>
      <c r="CM344" s="9"/>
      <c r="CN344" s="9"/>
      <c r="CO344" s="9"/>
      <c r="CP344" s="16"/>
    </row>
    <row r="345" spans="1:94" ht="15" customHeight="1" x14ac:dyDescent="0.15">
      <c r="A345" s="15"/>
      <c r="B345" s="9"/>
      <c r="C345" s="9"/>
      <c r="D345" s="9"/>
      <c r="E345" s="57"/>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66"/>
      <c r="CJ345" s="9"/>
      <c r="CK345" s="9"/>
      <c r="CL345" s="9"/>
      <c r="CM345" s="9"/>
      <c r="CN345" s="9"/>
      <c r="CO345" s="9"/>
      <c r="CP345" s="16"/>
    </row>
    <row r="346" spans="1:94" ht="15" customHeight="1" x14ac:dyDescent="0.15">
      <c r="A346" s="15"/>
      <c r="B346" s="9"/>
      <c r="C346" s="9"/>
      <c r="D346" s="9"/>
      <c r="E346" s="57" t="s">
        <v>1139</v>
      </c>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66"/>
      <c r="CJ346" s="9"/>
      <c r="CK346" s="9"/>
      <c r="CL346" s="9"/>
      <c r="CM346" s="9"/>
      <c r="CN346" s="9"/>
      <c r="CO346" s="9"/>
      <c r="CP346" s="16"/>
    </row>
    <row r="347" spans="1:94" ht="15" customHeight="1" x14ac:dyDescent="0.15">
      <c r="A347" s="15"/>
      <c r="B347" s="9"/>
      <c r="C347" s="9"/>
      <c r="D347" s="9"/>
      <c r="E347" s="57"/>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66"/>
      <c r="CJ347" s="9"/>
      <c r="CK347" s="9"/>
      <c r="CL347" s="9"/>
      <c r="CM347" s="9"/>
      <c r="CN347" s="9"/>
      <c r="CO347" s="9"/>
      <c r="CP347" s="16"/>
    </row>
    <row r="348" spans="1:94" ht="15" customHeight="1" x14ac:dyDescent="0.15">
      <c r="A348" s="15"/>
      <c r="B348" s="9"/>
      <c r="C348" s="9"/>
      <c r="D348" s="9"/>
      <c r="E348" s="57" t="s">
        <v>373</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66"/>
      <c r="CJ348" s="9"/>
      <c r="CK348" s="9"/>
      <c r="CL348" s="9"/>
      <c r="CM348" s="9"/>
      <c r="CN348" s="9"/>
      <c r="CO348" s="9"/>
      <c r="CP348" s="16"/>
    </row>
    <row r="349" spans="1:94" ht="15" customHeight="1" x14ac:dyDescent="0.15">
      <c r="A349" s="15"/>
      <c r="B349" s="9"/>
      <c r="C349" s="9"/>
      <c r="D349" s="9"/>
      <c r="E349" s="57"/>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66"/>
      <c r="CJ349" s="9"/>
      <c r="CK349" s="9"/>
      <c r="CL349" s="9"/>
      <c r="CM349" s="9"/>
      <c r="CN349" s="9"/>
      <c r="CO349" s="9"/>
      <c r="CP349" s="16"/>
    </row>
    <row r="350" spans="1:94" ht="15" customHeight="1" x14ac:dyDescent="0.15">
      <c r="A350" s="15"/>
      <c r="B350" s="9"/>
      <c r="C350" s="9"/>
      <c r="D350" s="9"/>
      <c r="E350" s="57" t="s">
        <v>663</v>
      </c>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66"/>
      <c r="CJ350" s="9"/>
      <c r="CK350" s="9"/>
      <c r="CL350" s="9"/>
      <c r="CM350" s="9"/>
      <c r="CN350" s="9"/>
      <c r="CO350" s="9"/>
      <c r="CP350" s="16"/>
    </row>
    <row r="351" spans="1:94" ht="15" customHeight="1" x14ac:dyDescent="0.15">
      <c r="A351" s="15"/>
      <c r="B351" s="9"/>
      <c r="C351" s="9"/>
      <c r="D351" s="9"/>
      <c r="E351" s="57" t="s">
        <v>156</v>
      </c>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66"/>
      <c r="CJ351" s="9"/>
      <c r="CK351" s="9"/>
      <c r="CL351" s="9"/>
      <c r="CM351" s="9"/>
      <c r="CN351" s="9"/>
      <c r="CO351" s="9"/>
      <c r="CP351" s="16"/>
    </row>
    <row r="352" spans="1:94" ht="15" customHeight="1" x14ac:dyDescent="0.15">
      <c r="A352" s="15"/>
      <c r="B352" s="9"/>
      <c r="C352" s="9"/>
      <c r="D352" s="9"/>
      <c r="E352" s="57" t="s">
        <v>157</v>
      </c>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66"/>
      <c r="CJ352" s="9"/>
      <c r="CK352" s="9"/>
      <c r="CL352" s="9"/>
      <c r="CM352" s="9"/>
      <c r="CN352" s="9"/>
      <c r="CO352" s="9"/>
      <c r="CP352" s="16"/>
    </row>
    <row r="353" spans="1:94" ht="15" customHeight="1" x14ac:dyDescent="0.15">
      <c r="A353" s="15"/>
      <c r="B353" s="9"/>
      <c r="C353" s="9"/>
      <c r="D353" s="9"/>
      <c r="E353" s="57" t="s">
        <v>158</v>
      </c>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66"/>
      <c r="CJ353" s="9"/>
      <c r="CK353" s="9"/>
      <c r="CL353" s="9"/>
      <c r="CM353" s="9"/>
      <c r="CN353" s="9"/>
      <c r="CO353" s="9"/>
      <c r="CP353" s="16"/>
    </row>
    <row r="354" spans="1:94" ht="15" customHeight="1" x14ac:dyDescent="0.15">
      <c r="A354" s="15"/>
      <c r="B354" s="9"/>
      <c r="C354" s="9"/>
      <c r="D354" s="9"/>
      <c r="E354" s="57" t="s">
        <v>159</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66"/>
      <c r="CJ354" s="9"/>
      <c r="CK354" s="9"/>
      <c r="CL354" s="9"/>
      <c r="CM354" s="9"/>
      <c r="CN354" s="9"/>
      <c r="CO354" s="9"/>
      <c r="CP354" s="16"/>
    </row>
    <row r="355" spans="1:94" ht="15" customHeight="1" x14ac:dyDescent="0.15">
      <c r="A355" s="15"/>
      <c r="B355" s="9"/>
      <c r="C355" s="9"/>
      <c r="D355" s="9"/>
      <c r="E355" s="59" t="s">
        <v>664</v>
      </c>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66"/>
      <c r="CJ355" s="9"/>
      <c r="CK355" s="9"/>
      <c r="CL355" s="9"/>
      <c r="CM355" s="9"/>
      <c r="CN355" s="9"/>
      <c r="CO355" s="9"/>
      <c r="CP355" s="16"/>
    </row>
    <row r="356" spans="1:94" ht="15" customHeight="1" x14ac:dyDescent="0.15">
      <c r="A356" s="15"/>
      <c r="B356" s="9"/>
      <c r="C356" s="9"/>
      <c r="D356" s="9"/>
      <c r="E356" s="57" t="s">
        <v>160</v>
      </c>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66"/>
      <c r="CJ356" s="9"/>
      <c r="CK356" s="9"/>
      <c r="CL356" s="9"/>
      <c r="CM356" s="9"/>
      <c r="CN356" s="9"/>
      <c r="CO356" s="9"/>
      <c r="CP356" s="16"/>
    </row>
    <row r="357" spans="1:94" ht="15" customHeight="1" x14ac:dyDescent="0.15">
      <c r="A357" s="15"/>
      <c r="B357" s="9"/>
      <c r="C357" s="9"/>
      <c r="D357" s="9"/>
      <c r="E357" s="57" t="s">
        <v>665</v>
      </c>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66"/>
      <c r="CJ357" s="9"/>
      <c r="CK357" s="9"/>
      <c r="CL357" s="9"/>
      <c r="CM357" s="9"/>
      <c r="CN357" s="9"/>
      <c r="CO357" s="9"/>
      <c r="CP357" s="16"/>
    </row>
    <row r="358" spans="1:94" ht="15" customHeight="1" x14ac:dyDescent="0.15">
      <c r="A358" s="15"/>
      <c r="B358" s="9"/>
      <c r="C358" s="9"/>
      <c r="D358" s="9"/>
      <c r="E358" s="57" t="s">
        <v>161</v>
      </c>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66"/>
      <c r="CJ358" s="9"/>
      <c r="CK358" s="9"/>
      <c r="CL358" s="9"/>
      <c r="CM358" s="9"/>
      <c r="CN358" s="9"/>
      <c r="CO358" s="9"/>
      <c r="CP358" s="16"/>
    </row>
    <row r="359" spans="1:94" ht="15" customHeight="1" x14ac:dyDescent="0.15">
      <c r="A359" s="15"/>
      <c r="B359" s="9"/>
      <c r="C359" s="9"/>
      <c r="D359" s="9"/>
      <c r="E359" s="69" t="s">
        <v>1117</v>
      </c>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c r="CA359" s="9"/>
      <c r="CB359" s="9"/>
      <c r="CC359" s="9"/>
      <c r="CD359" s="9"/>
      <c r="CE359" s="9"/>
      <c r="CF359" s="9"/>
      <c r="CG359" s="9"/>
      <c r="CH359" s="9"/>
      <c r="CI359" s="66"/>
      <c r="CJ359" s="9"/>
      <c r="CK359" s="9"/>
      <c r="CL359" s="9"/>
      <c r="CM359" s="9"/>
      <c r="CN359" s="9"/>
      <c r="CO359" s="9"/>
      <c r="CP359" s="16"/>
    </row>
    <row r="360" spans="1:94" ht="15" customHeight="1" x14ac:dyDescent="0.15">
      <c r="A360" s="15"/>
      <c r="B360" s="9"/>
      <c r="C360" s="9"/>
      <c r="D360" s="9"/>
      <c r="E360" s="57" t="s">
        <v>162</v>
      </c>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66"/>
      <c r="CJ360" s="9"/>
      <c r="CK360" s="9"/>
      <c r="CL360" s="9"/>
      <c r="CM360" s="9"/>
      <c r="CN360" s="9"/>
      <c r="CO360" s="9"/>
      <c r="CP360" s="16"/>
    </row>
    <row r="361" spans="1:94" ht="15" customHeight="1" x14ac:dyDescent="0.15">
      <c r="A361" s="15"/>
      <c r="B361" s="9"/>
      <c r="C361" s="9"/>
      <c r="D361" s="9"/>
      <c r="E361" s="57" t="s">
        <v>163</v>
      </c>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66"/>
      <c r="CJ361" s="9"/>
      <c r="CK361" s="9"/>
      <c r="CL361" s="9"/>
      <c r="CM361" s="9"/>
      <c r="CN361" s="9"/>
      <c r="CO361" s="9"/>
      <c r="CP361" s="16"/>
    </row>
    <row r="362" spans="1:94" ht="15" customHeight="1" x14ac:dyDescent="0.15">
      <c r="A362" s="15"/>
      <c r="B362" s="9"/>
      <c r="C362" s="9"/>
      <c r="D362" s="9"/>
      <c r="E362" s="59" t="s">
        <v>164</v>
      </c>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66"/>
      <c r="CJ362" s="9"/>
      <c r="CK362" s="9"/>
      <c r="CL362" s="9"/>
      <c r="CM362" s="9"/>
      <c r="CN362" s="9"/>
      <c r="CO362" s="9"/>
      <c r="CP362" s="16"/>
    </row>
    <row r="363" spans="1:94" ht="15" customHeight="1" x14ac:dyDescent="0.15">
      <c r="A363" s="15"/>
      <c r="B363" s="9"/>
      <c r="C363" s="9"/>
      <c r="D363" s="9"/>
      <c r="E363" s="57" t="s">
        <v>165</v>
      </c>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66"/>
      <c r="CJ363" s="9"/>
      <c r="CK363" s="9"/>
      <c r="CL363" s="9"/>
      <c r="CM363" s="9"/>
      <c r="CN363" s="9"/>
      <c r="CO363" s="9"/>
      <c r="CP363" s="16"/>
    </row>
    <row r="364" spans="1:94" ht="15" customHeight="1" x14ac:dyDescent="0.15">
      <c r="A364" s="15"/>
      <c r="B364" s="9"/>
      <c r="C364" s="9"/>
      <c r="D364" s="9"/>
      <c r="E364" s="57" t="s">
        <v>666</v>
      </c>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66"/>
      <c r="CJ364" s="9"/>
      <c r="CK364" s="9"/>
      <c r="CL364" s="9"/>
      <c r="CM364" s="9"/>
      <c r="CN364" s="9"/>
      <c r="CO364" s="9"/>
      <c r="CP364" s="16"/>
    </row>
    <row r="365" spans="1:94" ht="15" customHeight="1" x14ac:dyDescent="0.15">
      <c r="A365" s="15"/>
      <c r="B365" s="9"/>
      <c r="C365" s="9"/>
      <c r="D365" s="9"/>
      <c r="E365" s="57" t="s">
        <v>166</v>
      </c>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66"/>
      <c r="CJ365" s="9"/>
      <c r="CK365" s="9"/>
      <c r="CL365" s="9"/>
      <c r="CM365" s="9"/>
      <c r="CN365" s="9"/>
      <c r="CO365" s="9"/>
      <c r="CP365" s="16"/>
    </row>
    <row r="366" spans="1:94" ht="15" customHeight="1" x14ac:dyDescent="0.15">
      <c r="A366" s="15"/>
      <c r="B366" s="9"/>
      <c r="C366" s="9"/>
      <c r="D366" s="9"/>
      <c r="E366" s="57" t="s">
        <v>793</v>
      </c>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66"/>
      <c r="CJ366" s="9"/>
      <c r="CK366" s="9"/>
      <c r="CL366" s="9"/>
      <c r="CM366" s="9"/>
      <c r="CN366" s="9"/>
      <c r="CO366" s="9"/>
      <c r="CP366" s="16"/>
    </row>
    <row r="367" spans="1:94" ht="15" customHeight="1" x14ac:dyDescent="0.15">
      <c r="A367" s="15"/>
      <c r="B367" s="9"/>
      <c r="C367" s="9"/>
      <c r="D367" s="9"/>
      <c r="E367" s="57" t="s">
        <v>167</v>
      </c>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66"/>
      <c r="CJ367" s="9"/>
      <c r="CK367" s="9"/>
      <c r="CL367" s="9"/>
      <c r="CM367" s="9"/>
      <c r="CN367" s="9"/>
      <c r="CO367" s="9"/>
      <c r="CP367" s="16"/>
    </row>
    <row r="368" spans="1:94" ht="15" customHeight="1" x14ac:dyDescent="0.15">
      <c r="A368" s="15"/>
      <c r="B368" s="9"/>
      <c r="C368" s="9"/>
      <c r="D368" s="9"/>
      <c r="E368" s="57" t="s">
        <v>168</v>
      </c>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66"/>
      <c r="CJ368" s="9"/>
      <c r="CK368" s="9"/>
      <c r="CL368" s="9"/>
      <c r="CM368" s="9"/>
      <c r="CN368" s="9"/>
      <c r="CO368" s="9"/>
      <c r="CP368" s="16"/>
    </row>
    <row r="369" spans="1:94" ht="15" customHeight="1" x14ac:dyDescent="0.15">
      <c r="A369" s="15"/>
      <c r="B369" s="9"/>
      <c r="C369" s="9"/>
      <c r="D369" s="9"/>
      <c r="E369" s="59" t="s">
        <v>169</v>
      </c>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66"/>
      <c r="CJ369" s="9"/>
      <c r="CK369" s="9"/>
      <c r="CL369" s="9"/>
      <c r="CM369" s="9"/>
      <c r="CN369" s="9"/>
      <c r="CO369" s="9"/>
      <c r="CP369" s="16"/>
    </row>
    <row r="370" spans="1:94" ht="15" customHeight="1" x14ac:dyDescent="0.15">
      <c r="A370" s="15"/>
      <c r="B370" s="9"/>
      <c r="C370" s="9"/>
      <c r="D370" s="9"/>
      <c r="E370" s="57" t="s">
        <v>794</v>
      </c>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66"/>
      <c r="CJ370" s="9"/>
      <c r="CK370" s="9"/>
      <c r="CL370" s="9"/>
      <c r="CM370" s="9"/>
      <c r="CN370" s="9"/>
      <c r="CO370" s="9"/>
      <c r="CP370" s="16"/>
    </row>
    <row r="371" spans="1:94" ht="15" customHeight="1" x14ac:dyDescent="0.15">
      <c r="A371" s="15"/>
      <c r="B371" s="9"/>
      <c r="C371" s="9"/>
      <c r="D371" s="9"/>
      <c r="E371" s="57" t="s">
        <v>170</v>
      </c>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66"/>
      <c r="CJ371" s="9"/>
      <c r="CK371" s="9"/>
      <c r="CL371" s="9"/>
      <c r="CM371" s="9"/>
      <c r="CN371" s="9"/>
      <c r="CO371" s="9"/>
      <c r="CP371" s="16"/>
    </row>
    <row r="372" spans="1:94" ht="15" customHeight="1" x14ac:dyDescent="0.15">
      <c r="A372" s="15"/>
      <c r="B372" s="9"/>
      <c r="C372" s="9"/>
      <c r="D372" s="9"/>
      <c r="E372" s="59" t="s">
        <v>171</v>
      </c>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66"/>
      <c r="CJ372" s="9"/>
      <c r="CK372" s="9"/>
      <c r="CL372" s="9"/>
      <c r="CM372" s="9"/>
      <c r="CN372" s="9"/>
      <c r="CO372" s="9"/>
      <c r="CP372" s="16"/>
    </row>
    <row r="373" spans="1:94" ht="15" customHeight="1" x14ac:dyDescent="0.15">
      <c r="A373" s="15"/>
      <c r="B373" s="9"/>
      <c r="C373" s="9"/>
      <c r="D373" s="9"/>
      <c r="E373" s="59" t="s">
        <v>172</v>
      </c>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66"/>
      <c r="CJ373" s="9"/>
      <c r="CK373" s="9"/>
      <c r="CL373" s="9"/>
      <c r="CM373" s="9"/>
      <c r="CN373" s="9"/>
      <c r="CO373" s="9"/>
      <c r="CP373" s="16"/>
    </row>
    <row r="374" spans="1:94" ht="15" customHeight="1" x14ac:dyDescent="0.15">
      <c r="A374" s="15"/>
      <c r="B374" s="9"/>
      <c r="C374" s="9"/>
      <c r="D374" s="9"/>
      <c r="E374" s="57" t="s">
        <v>667</v>
      </c>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66"/>
      <c r="CJ374" s="9"/>
      <c r="CK374" s="9"/>
      <c r="CL374" s="9"/>
      <c r="CM374" s="9"/>
      <c r="CN374" s="9"/>
      <c r="CO374" s="9"/>
      <c r="CP374" s="16"/>
    </row>
    <row r="375" spans="1:94" ht="15" customHeight="1" x14ac:dyDescent="0.15">
      <c r="A375" s="15"/>
      <c r="B375" s="9"/>
      <c r="C375" s="9"/>
      <c r="D375" s="9"/>
      <c r="E375" s="57" t="s">
        <v>173</v>
      </c>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66"/>
      <c r="CJ375" s="9"/>
      <c r="CK375" s="9"/>
      <c r="CL375" s="9"/>
      <c r="CM375" s="9"/>
      <c r="CN375" s="9"/>
      <c r="CO375" s="9"/>
      <c r="CP375" s="16"/>
    </row>
    <row r="376" spans="1:94" ht="15" customHeight="1" x14ac:dyDescent="0.15">
      <c r="A376" s="15"/>
      <c r="B376" s="9"/>
      <c r="C376" s="9"/>
      <c r="D376" s="9"/>
      <c r="E376" s="57" t="s">
        <v>174</v>
      </c>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66"/>
      <c r="CJ376" s="9"/>
      <c r="CK376" s="9"/>
      <c r="CL376" s="9"/>
      <c r="CM376" s="9"/>
      <c r="CN376" s="9"/>
      <c r="CO376" s="9"/>
      <c r="CP376" s="16"/>
    </row>
    <row r="377" spans="1:94" ht="15" customHeight="1" x14ac:dyDescent="0.15">
      <c r="A377" s="15"/>
      <c r="B377" s="9"/>
      <c r="C377" s="9"/>
      <c r="D377" s="9"/>
      <c r="E377" s="57" t="s">
        <v>175</v>
      </c>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66"/>
      <c r="CJ377" s="9"/>
      <c r="CK377" s="9"/>
      <c r="CL377" s="9"/>
      <c r="CM377" s="9"/>
      <c r="CN377" s="9"/>
      <c r="CO377" s="9"/>
      <c r="CP377" s="16"/>
    </row>
    <row r="378" spans="1:94" ht="15" customHeight="1" x14ac:dyDescent="0.15">
      <c r="A378" s="15"/>
      <c r="B378" s="9"/>
      <c r="C378" s="9"/>
      <c r="D378" s="9"/>
      <c r="E378" s="76" t="s">
        <v>668</v>
      </c>
      <c r="F378" s="58"/>
      <c r="G378" s="58"/>
      <c r="H378" s="58"/>
      <c r="I378" s="58"/>
      <c r="J378" s="58"/>
      <c r="K378" s="58"/>
      <c r="L378" s="58"/>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c r="AT378" s="62"/>
      <c r="AU378" s="62"/>
      <c r="AV378" s="62"/>
      <c r="AW378" s="62"/>
      <c r="AX378" s="62"/>
      <c r="AY378" s="62"/>
      <c r="AZ378" s="62"/>
      <c r="BA378" s="62"/>
      <c r="BB378" s="62"/>
      <c r="BC378" s="62"/>
      <c r="BD378" s="62"/>
      <c r="BE378" s="62"/>
      <c r="BF378" s="62"/>
      <c r="BG378" s="62"/>
      <c r="BH378" s="62"/>
      <c r="BI378" s="62"/>
      <c r="BJ378" s="62"/>
      <c r="BK378" s="62"/>
      <c r="BL378" s="62"/>
      <c r="BM378" s="62"/>
      <c r="BN378" s="62"/>
      <c r="BO378" s="62"/>
      <c r="BP378" s="62"/>
      <c r="BQ378" s="62"/>
      <c r="BR378" s="62"/>
      <c r="BS378" s="62"/>
      <c r="BT378" s="62"/>
      <c r="BU378" s="62"/>
      <c r="BV378" s="62"/>
      <c r="BW378" s="62"/>
      <c r="BX378" s="62"/>
      <c r="BY378" s="62"/>
      <c r="BZ378" s="62"/>
      <c r="CA378" s="62"/>
      <c r="CB378" s="62"/>
      <c r="CC378" s="62"/>
      <c r="CD378" s="62"/>
      <c r="CE378" s="62"/>
      <c r="CF378" s="62"/>
      <c r="CG378" s="62"/>
      <c r="CH378" s="62"/>
      <c r="CI378" s="63"/>
      <c r="CJ378" s="9"/>
      <c r="CK378" s="9"/>
      <c r="CL378" s="9"/>
      <c r="CM378" s="9"/>
      <c r="CN378" s="9"/>
      <c r="CO378" s="9"/>
      <c r="CP378" s="16"/>
    </row>
    <row r="379" spans="1:94" ht="15" customHeight="1" x14ac:dyDescent="0.15">
      <c r="A379" s="15"/>
      <c r="B379" s="9"/>
      <c r="C379" s="9"/>
      <c r="D379" s="9"/>
      <c r="E379" s="2" t="s">
        <v>669</v>
      </c>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105"/>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16"/>
    </row>
    <row r="380" spans="1:94" ht="15" customHeight="1" thickBot="1" x14ac:dyDescent="0.2">
      <c r="A380" s="19"/>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106"/>
      <c r="AX380" s="20"/>
      <c r="AY380" s="20"/>
      <c r="AZ380" s="20"/>
      <c r="BA380" s="20"/>
      <c r="BB380" s="20"/>
      <c r="BC380" s="20"/>
      <c r="BD380" s="20"/>
      <c r="BE380" s="20"/>
      <c r="BF380" s="20"/>
      <c r="BG380" s="20"/>
      <c r="BH380" s="20"/>
      <c r="BI380" s="20"/>
      <c r="BJ380" s="20"/>
      <c r="BK380" s="20"/>
      <c r="BL380" s="20"/>
      <c r="BM380" s="20"/>
      <c r="BN380" s="20"/>
      <c r="BO380" s="20"/>
      <c r="BP380" s="20"/>
      <c r="BQ380" s="20"/>
      <c r="BR380" s="20"/>
      <c r="BS380" s="20"/>
      <c r="BT380" s="20"/>
      <c r="BU380" s="20"/>
      <c r="BV380" s="20"/>
      <c r="BW380" s="20"/>
      <c r="BX380" s="20"/>
      <c r="BY380" s="20"/>
      <c r="BZ380" s="20"/>
      <c r="CA380" s="20"/>
      <c r="CB380" s="20"/>
      <c r="CC380" s="20"/>
      <c r="CD380" s="20"/>
      <c r="CE380" s="20"/>
      <c r="CF380" s="20"/>
      <c r="CG380" s="20"/>
      <c r="CH380" s="20"/>
      <c r="CI380" s="20"/>
      <c r="CJ380" s="20"/>
      <c r="CK380" s="20"/>
      <c r="CL380" s="20"/>
      <c r="CM380" s="20"/>
      <c r="CN380" s="20"/>
      <c r="CO380" s="20"/>
      <c r="CP380" s="21"/>
    </row>
    <row r="381" spans="1:94" ht="15" customHeight="1" x14ac:dyDescent="0.15">
      <c r="A381" s="47"/>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107"/>
      <c r="AX381" s="48"/>
      <c r="AY381" s="48"/>
      <c r="AZ381" s="48"/>
      <c r="BA381" s="48"/>
      <c r="BB381" s="48"/>
      <c r="BC381" s="48"/>
      <c r="BD381" s="48"/>
      <c r="BE381" s="48"/>
      <c r="BF381" s="48"/>
      <c r="BG381" s="48"/>
      <c r="BH381" s="48"/>
      <c r="BI381" s="48"/>
      <c r="BJ381" s="48"/>
      <c r="BK381" s="48"/>
      <c r="BL381" s="48"/>
      <c r="BM381" s="48"/>
      <c r="BN381" s="48"/>
      <c r="BO381" s="48"/>
      <c r="BP381" s="48"/>
      <c r="BQ381" s="48"/>
      <c r="BR381" s="48"/>
      <c r="BS381" s="48"/>
      <c r="BT381" s="48"/>
      <c r="BU381" s="48"/>
      <c r="BV381" s="48"/>
      <c r="BW381" s="48"/>
      <c r="BX381" s="48"/>
      <c r="BY381" s="48"/>
      <c r="BZ381" s="48"/>
      <c r="CA381" s="48"/>
      <c r="CB381" s="48"/>
      <c r="CC381" s="48"/>
      <c r="CD381" s="48"/>
      <c r="CE381" s="48"/>
      <c r="CF381" s="48"/>
      <c r="CG381" s="48"/>
      <c r="CH381" s="48"/>
      <c r="CI381" s="48"/>
      <c r="CJ381" s="48"/>
      <c r="CK381" s="48"/>
      <c r="CL381" s="48"/>
      <c r="CM381" s="48"/>
      <c r="CN381" s="48"/>
      <c r="CO381" s="48"/>
      <c r="CP381" s="49"/>
    </row>
    <row r="382" spans="1:94" ht="15" customHeight="1" x14ac:dyDescent="0.15">
      <c r="A382" s="15"/>
      <c r="B382" s="9"/>
      <c r="C382" s="9"/>
      <c r="D382" s="9"/>
      <c r="E382" s="9" t="s">
        <v>670</v>
      </c>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105"/>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16"/>
    </row>
    <row r="383" spans="1:94" ht="15" customHeight="1" x14ac:dyDescent="0.15">
      <c r="A383" s="15"/>
      <c r="B383" s="9"/>
      <c r="C383" s="9"/>
      <c r="D383" s="9"/>
      <c r="E383" s="81" t="s">
        <v>176</v>
      </c>
      <c r="F383" s="67"/>
      <c r="G383" s="67"/>
      <c r="H383" s="67"/>
      <c r="I383" s="67"/>
      <c r="J383" s="67"/>
      <c r="K383" s="67"/>
      <c r="L383" s="67"/>
      <c r="M383" s="64"/>
      <c r="N383" s="64"/>
      <c r="O383" s="64"/>
      <c r="P383" s="64"/>
      <c r="Q383" s="64"/>
      <c r="R383" s="64"/>
      <c r="S383" s="64"/>
      <c r="T383" s="64"/>
      <c r="U383" s="64"/>
      <c r="V383" s="64"/>
      <c r="W383" s="64"/>
      <c r="X383" s="64"/>
      <c r="Y383" s="64"/>
      <c r="Z383" s="64"/>
      <c r="AA383" s="64"/>
      <c r="AB383" s="64"/>
      <c r="AC383" s="64"/>
      <c r="AD383" s="64"/>
      <c r="AE383" s="64"/>
      <c r="AF383" s="64"/>
      <c r="AG383" s="64"/>
      <c r="AH383" s="64"/>
      <c r="AI383" s="64"/>
      <c r="AJ383" s="64"/>
      <c r="AK383" s="64"/>
      <c r="AL383" s="64"/>
      <c r="AM383" s="64"/>
      <c r="AN383" s="64"/>
      <c r="AO383" s="64"/>
      <c r="AP383" s="64"/>
      <c r="AQ383" s="64"/>
      <c r="AR383" s="64"/>
      <c r="AS383" s="64"/>
      <c r="AT383" s="64"/>
      <c r="AU383" s="64"/>
      <c r="AV383" s="64"/>
      <c r="AW383" s="64"/>
      <c r="AX383" s="64"/>
      <c r="AY383" s="64"/>
      <c r="AZ383" s="64"/>
      <c r="BA383" s="64"/>
      <c r="BB383" s="64"/>
      <c r="BC383" s="64"/>
      <c r="BD383" s="64"/>
      <c r="BE383" s="64"/>
      <c r="BF383" s="64"/>
      <c r="BG383" s="64"/>
      <c r="BH383" s="64"/>
      <c r="BI383" s="64"/>
      <c r="BJ383" s="64"/>
      <c r="BK383" s="64"/>
      <c r="BL383" s="64"/>
      <c r="BM383" s="64"/>
      <c r="BN383" s="64"/>
      <c r="BO383" s="64"/>
      <c r="BP383" s="64"/>
      <c r="BQ383" s="64"/>
      <c r="BR383" s="64"/>
      <c r="BS383" s="64"/>
      <c r="BT383" s="64"/>
      <c r="BU383" s="64"/>
      <c r="BV383" s="64"/>
      <c r="BW383" s="64"/>
      <c r="BX383" s="64"/>
      <c r="BY383" s="64"/>
      <c r="BZ383" s="64"/>
      <c r="CA383" s="64"/>
      <c r="CB383" s="64"/>
      <c r="CC383" s="64"/>
      <c r="CD383" s="64"/>
      <c r="CE383" s="64"/>
      <c r="CF383" s="64"/>
      <c r="CG383" s="64"/>
      <c r="CH383" s="64"/>
      <c r="CI383" s="65"/>
      <c r="CJ383" s="9"/>
      <c r="CK383" s="9"/>
      <c r="CL383" s="9"/>
      <c r="CM383" s="9"/>
      <c r="CN383" s="9"/>
      <c r="CO383" s="9"/>
      <c r="CP383" s="16"/>
    </row>
    <row r="384" spans="1:94" ht="15" customHeight="1" x14ac:dyDescent="0.15">
      <c r="A384" s="15"/>
      <c r="B384" s="9"/>
      <c r="C384" s="9"/>
      <c r="D384" s="9"/>
      <c r="E384" s="59" t="s">
        <v>177</v>
      </c>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66"/>
      <c r="CJ384" s="9"/>
      <c r="CK384" s="9"/>
      <c r="CL384" s="9"/>
      <c r="CM384" s="9"/>
      <c r="CN384" s="9"/>
      <c r="CO384" s="9"/>
      <c r="CP384" s="16"/>
    </row>
    <row r="385" spans="1:94" ht="15" customHeight="1" x14ac:dyDescent="0.15">
      <c r="A385" s="15"/>
      <c r="B385" s="9"/>
      <c r="C385" s="9"/>
      <c r="D385" s="9"/>
      <c r="E385" s="57" t="s">
        <v>178</v>
      </c>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66"/>
      <c r="CJ385" s="9"/>
      <c r="CK385" s="9"/>
      <c r="CL385" s="9"/>
      <c r="CM385" s="9"/>
      <c r="CN385" s="9"/>
      <c r="CO385" s="9"/>
      <c r="CP385" s="16"/>
    </row>
    <row r="386" spans="1:94" ht="15" customHeight="1" x14ac:dyDescent="0.15">
      <c r="A386" s="15"/>
      <c r="B386" s="9"/>
      <c r="C386" s="9"/>
      <c r="D386" s="9"/>
      <c r="E386" s="57" t="s">
        <v>179</v>
      </c>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66"/>
      <c r="CJ386" s="9"/>
      <c r="CK386" s="9"/>
      <c r="CL386" s="9"/>
      <c r="CM386" s="9"/>
      <c r="CN386" s="9"/>
      <c r="CO386" s="9"/>
      <c r="CP386" s="16"/>
    </row>
    <row r="387" spans="1:94" ht="15" customHeight="1" x14ac:dyDescent="0.15">
      <c r="A387" s="15"/>
      <c r="B387" s="9"/>
      <c r="C387" s="9"/>
      <c r="D387" s="9"/>
      <c r="E387" s="57" t="s">
        <v>180</v>
      </c>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105"/>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66"/>
      <c r="CJ387" s="9"/>
      <c r="CK387" s="9"/>
      <c r="CL387" s="9"/>
      <c r="CM387" s="9"/>
      <c r="CN387" s="9"/>
      <c r="CO387" s="9"/>
      <c r="CP387" s="16"/>
    </row>
    <row r="388" spans="1:94" ht="15" customHeight="1" x14ac:dyDescent="0.15">
      <c r="A388" s="15"/>
      <c r="B388" s="9"/>
      <c r="C388" s="9"/>
      <c r="D388" s="9"/>
      <c r="E388" s="57" t="s">
        <v>181</v>
      </c>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105"/>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c r="CF388" s="9"/>
      <c r="CG388" s="9"/>
      <c r="CH388" s="9"/>
      <c r="CI388" s="66"/>
      <c r="CJ388" s="9"/>
      <c r="CK388" s="9"/>
      <c r="CL388" s="9"/>
      <c r="CM388" s="9"/>
      <c r="CN388" s="9"/>
      <c r="CO388" s="9"/>
      <c r="CP388" s="16"/>
    </row>
    <row r="389" spans="1:94" ht="15" customHeight="1" x14ac:dyDescent="0.15">
      <c r="A389" s="15"/>
      <c r="B389" s="9"/>
      <c r="C389" s="9"/>
      <c r="D389" s="9"/>
      <c r="E389" s="57" t="s">
        <v>182</v>
      </c>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105"/>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66"/>
      <c r="CJ389" s="9"/>
      <c r="CK389" s="9"/>
      <c r="CL389" s="9"/>
      <c r="CM389" s="9"/>
      <c r="CN389" s="9"/>
      <c r="CO389" s="9"/>
      <c r="CP389" s="16"/>
    </row>
    <row r="390" spans="1:94" ht="15" customHeight="1" x14ac:dyDescent="0.15">
      <c r="A390" s="15"/>
      <c r="B390" s="9"/>
      <c r="C390" s="9"/>
      <c r="D390" s="9"/>
      <c r="E390" s="57" t="s">
        <v>183</v>
      </c>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105"/>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66"/>
      <c r="CJ390" s="9"/>
      <c r="CK390" s="9"/>
      <c r="CL390" s="9"/>
      <c r="CM390" s="9"/>
      <c r="CN390" s="9"/>
      <c r="CO390" s="9"/>
      <c r="CP390" s="16"/>
    </row>
    <row r="391" spans="1:94" ht="15" customHeight="1" x14ac:dyDescent="0.15">
      <c r="A391" s="15"/>
      <c r="B391" s="9"/>
      <c r="C391" s="9"/>
      <c r="D391" s="9"/>
      <c r="E391" s="57" t="s">
        <v>184</v>
      </c>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105"/>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66"/>
      <c r="CJ391" s="9"/>
      <c r="CK391" s="9"/>
      <c r="CL391" s="9"/>
      <c r="CM391" s="9"/>
      <c r="CN391" s="9"/>
      <c r="CO391" s="9"/>
      <c r="CP391" s="16"/>
    </row>
    <row r="392" spans="1:94" ht="15" customHeight="1" x14ac:dyDescent="0.15">
      <c r="A392" s="15"/>
      <c r="B392" s="9"/>
      <c r="C392" s="9"/>
      <c r="D392" s="9"/>
      <c r="E392" s="57" t="s">
        <v>185</v>
      </c>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105"/>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66"/>
      <c r="CJ392" s="9"/>
      <c r="CK392" s="9"/>
      <c r="CL392" s="9"/>
      <c r="CM392" s="9"/>
      <c r="CN392" s="9"/>
      <c r="CO392" s="9"/>
      <c r="CP392" s="16"/>
    </row>
    <row r="393" spans="1:94" ht="15" customHeight="1" x14ac:dyDescent="0.15">
      <c r="A393" s="15"/>
      <c r="B393" s="9"/>
      <c r="C393" s="9"/>
      <c r="D393" s="9"/>
      <c r="E393" s="57" t="s">
        <v>186</v>
      </c>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105"/>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66"/>
      <c r="CJ393" s="9"/>
      <c r="CK393" s="9"/>
      <c r="CL393" s="9"/>
      <c r="CM393" s="9"/>
      <c r="CN393" s="9"/>
      <c r="CO393" s="9"/>
      <c r="CP393" s="16"/>
    </row>
    <row r="394" spans="1:94" ht="15" customHeight="1" x14ac:dyDescent="0.15">
      <c r="A394" s="15"/>
      <c r="B394" s="9"/>
      <c r="C394" s="9"/>
      <c r="D394" s="9"/>
      <c r="E394" s="57" t="s">
        <v>187</v>
      </c>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66"/>
      <c r="CJ394" s="9"/>
      <c r="CK394" s="9"/>
      <c r="CL394" s="9"/>
      <c r="CM394" s="9"/>
      <c r="CN394" s="9"/>
      <c r="CO394" s="9"/>
      <c r="CP394" s="16"/>
    </row>
    <row r="395" spans="1:94" ht="15" customHeight="1" x14ac:dyDescent="0.15">
      <c r="A395" s="15"/>
      <c r="B395" s="9"/>
      <c r="C395" s="9"/>
      <c r="D395" s="9"/>
      <c r="E395" s="59" t="s">
        <v>671</v>
      </c>
      <c r="F395" s="94"/>
      <c r="G395" s="94"/>
      <c r="H395" s="94"/>
      <c r="I395" s="94"/>
      <c r="J395" s="94"/>
      <c r="K395" s="94"/>
      <c r="L395" s="94"/>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9"/>
      <c r="AP395" s="9"/>
      <c r="AQ395" s="9"/>
      <c r="AR395" s="9"/>
      <c r="AS395" s="9"/>
      <c r="AT395" s="9"/>
      <c r="AU395" s="9"/>
      <c r="AV395" s="9"/>
      <c r="AW395" s="9"/>
      <c r="AX395" s="9"/>
      <c r="AY395" s="9"/>
      <c r="AZ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66"/>
      <c r="CJ395" s="9"/>
      <c r="CK395" s="9"/>
      <c r="CL395" s="9"/>
      <c r="CM395" s="9"/>
      <c r="CN395" s="9"/>
      <c r="CO395" s="9"/>
      <c r="CP395" s="16"/>
    </row>
    <row r="396" spans="1:94" ht="15" customHeight="1" x14ac:dyDescent="0.15">
      <c r="A396" s="15"/>
      <c r="B396" s="9"/>
      <c r="C396" s="9"/>
      <c r="D396" s="9"/>
      <c r="E396" s="57" t="s">
        <v>188</v>
      </c>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66"/>
      <c r="CJ396" s="9"/>
      <c r="CK396" s="9"/>
      <c r="CL396" s="9"/>
      <c r="CM396" s="9"/>
      <c r="CN396" s="9"/>
      <c r="CO396" s="9"/>
      <c r="CP396" s="16"/>
    </row>
    <row r="397" spans="1:94" ht="15" customHeight="1" x14ac:dyDescent="0.15">
      <c r="A397" s="15"/>
      <c r="B397" s="9"/>
      <c r="C397" s="9"/>
      <c r="D397" s="9"/>
      <c r="E397" s="57" t="s">
        <v>189</v>
      </c>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66"/>
      <c r="CJ397" s="9"/>
      <c r="CK397" s="9"/>
      <c r="CL397" s="9"/>
      <c r="CM397" s="9"/>
      <c r="CN397" s="9"/>
      <c r="CO397" s="9"/>
      <c r="CP397" s="16"/>
    </row>
    <row r="398" spans="1:94" ht="15" customHeight="1" x14ac:dyDescent="0.15">
      <c r="A398" s="15"/>
      <c r="B398" s="9"/>
      <c r="C398" s="9"/>
      <c r="D398" s="9"/>
      <c r="E398" s="57" t="s">
        <v>190</v>
      </c>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66"/>
      <c r="CJ398" s="9"/>
      <c r="CK398" s="9"/>
      <c r="CL398" s="9"/>
      <c r="CM398" s="9"/>
      <c r="CN398" s="9"/>
      <c r="CO398" s="9"/>
      <c r="CP398" s="16"/>
    </row>
    <row r="399" spans="1:94" ht="15" customHeight="1" x14ac:dyDescent="0.15">
      <c r="A399" s="15"/>
      <c r="B399" s="9"/>
      <c r="C399" s="9"/>
      <c r="D399" s="9"/>
      <c r="E399" s="57" t="s">
        <v>672</v>
      </c>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66"/>
      <c r="CJ399" s="9"/>
      <c r="CK399" s="9"/>
      <c r="CL399" s="9"/>
      <c r="CM399" s="9"/>
      <c r="CN399" s="9"/>
      <c r="CO399" s="9"/>
      <c r="CP399" s="16"/>
    </row>
    <row r="400" spans="1:94" ht="15" customHeight="1" x14ac:dyDescent="0.15">
      <c r="A400" s="15"/>
      <c r="B400" s="9"/>
      <c r="C400" s="9"/>
      <c r="D400" s="9"/>
      <c r="E400" s="59" t="s">
        <v>673</v>
      </c>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66"/>
      <c r="CJ400" s="9"/>
      <c r="CK400" s="9"/>
      <c r="CL400" s="9"/>
      <c r="CM400" s="9"/>
      <c r="CN400" s="9"/>
      <c r="CO400" s="9"/>
      <c r="CP400" s="16"/>
    </row>
    <row r="401" spans="1:94" ht="15" customHeight="1" x14ac:dyDescent="0.15">
      <c r="A401" s="15"/>
      <c r="B401" s="9"/>
      <c r="C401" s="9"/>
      <c r="D401" s="9"/>
      <c r="E401" s="57" t="s">
        <v>191</v>
      </c>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66"/>
      <c r="CJ401" s="9"/>
      <c r="CK401" s="9"/>
      <c r="CL401" s="9"/>
      <c r="CM401" s="9"/>
      <c r="CN401" s="9"/>
      <c r="CO401" s="9"/>
      <c r="CP401" s="16"/>
    </row>
    <row r="402" spans="1:94" ht="15" customHeight="1" x14ac:dyDescent="0.15">
      <c r="A402" s="15"/>
      <c r="B402" s="9"/>
      <c r="C402" s="9"/>
      <c r="D402" s="9"/>
      <c r="E402" s="57" t="s">
        <v>192</v>
      </c>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105"/>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66"/>
      <c r="CJ402" s="9"/>
      <c r="CK402" s="9"/>
      <c r="CL402" s="9"/>
      <c r="CM402" s="9"/>
      <c r="CN402" s="9"/>
      <c r="CO402" s="9"/>
      <c r="CP402" s="16"/>
    </row>
    <row r="403" spans="1:94" ht="15" customHeight="1" x14ac:dyDescent="0.15">
      <c r="A403" s="15"/>
      <c r="B403" s="9"/>
      <c r="C403" s="9"/>
      <c r="D403" s="9"/>
      <c r="E403" s="57" t="s">
        <v>193</v>
      </c>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105"/>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66"/>
      <c r="CJ403" s="9"/>
      <c r="CK403" s="9"/>
      <c r="CL403" s="9"/>
      <c r="CM403" s="9"/>
      <c r="CN403" s="9"/>
      <c r="CO403" s="9"/>
      <c r="CP403" s="16"/>
    </row>
    <row r="404" spans="1:94" ht="15" customHeight="1" x14ac:dyDescent="0.15">
      <c r="A404" s="15"/>
      <c r="B404" s="9"/>
      <c r="C404" s="9"/>
      <c r="D404" s="9"/>
      <c r="E404" s="57" t="s">
        <v>194</v>
      </c>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105"/>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66"/>
      <c r="CJ404" s="9"/>
      <c r="CK404" s="9"/>
      <c r="CL404" s="9"/>
      <c r="CM404" s="9"/>
      <c r="CN404" s="9"/>
      <c r="CO404" s="9"/>
      <c r="CP404" s="16"/>
    </row>
    <row r="405" spans="1:94" ht="15" customHeight="1" x14ac:dyDescent="0.15">
      <c r="A405" s="15"/>
      <c r="B405" s="9"/>
      <c r="C405" s="9"/>
      <c r="D405" s="9"/>
      <c r="E405" s="57" t="s">
        <v>195</v>
      </c>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105"/>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66"/>
      <c r="CJ405" s="9"/>
      <c r="CK405" s="9"/>
      <c r="CL405" s="9"/>
      <c r="CM405" s="9"/>
      <c r="CN405" s="9"/>
      <c r="CO405" s="9"/>
      <c r="CP405" s="16"/>
    </row>
    <row r="406" spans="1:94" ht="15" customHeight="1" x14ac:dyDescent="0.15">
      <c r="A406" s="15"/>
      <c r="B406" s="9"/>
      <c r="C406" s="9"/>
      <c r="D406" s="9"/>
      <c r="E406" s="57" t="s">
        <v>674</v>
      </c>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105"/>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66"/>
      <c r="CJ406" s="9"/>
      <c r="CK406" s="9"/>
      <c r="CL406" s="9"/>
      <c r="CM406" s="9"/>
      <c r="CN406" s="9"/>
      <c r="CO406" s="9"/>
      <c r="CP406" s="16"/>
    </row>
    <row r="407" spans="1:94" ht="15" customHeight="1" x14ac:dyDescent="0.15">
      <c r="A407" s="15"/>
      <c r="B407" s="9"/>
      <c r="C407" s="9"/>
      <c r="D407" s="9"/>
      <c r="E407" s="57" t="s">
        <v>196</v>
      </c>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105"/>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66"/>
      <c r="CJ407" s="9"/>
      <c r="CK407" s="9"/>
      <c r="CL407" s="9"/>
      <c r="CM407" s="9"/>
      <c r="CN407" s="9"/>
      <c r="CO407" s="9"/>
      <c r="CP407" s="16"/>
    </row>
    <row r="408" spans="1:94" ht="15" customHeight="1" x14ac:dyDescent="0.15">
      <c r="A408" s="15"/>
      <c r="B408" s="9"/>
      <c r="C408" s="9"/>
      <c r="D408" s="9"/>
      <c r="E408" s="57" t="s">
        <v>197</v>
      </c>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105"/>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66"/>
      <c r="CJ408" s="9"/>
      <c r="CK408" s="9"/>
      <c r="CL408" s="9"/>
      <c r="CM408" s="9"/>
      <c r="CN408" s="9"/>
      <c r="CO408" s="9"/>
      <c r="CP408" s="16"/>
    </row>
    <row r="409" spans="1:94" ht="15" customHeight="1" x14ac:dyDescent="0.15">
      <c r="A409" s="15"/>
      <c r="B409" s="9"/>
      <c r="C409" s="9"/>
      <c r="D409" s="9"/>
      <c r="E409" s="57" t="s">
        <v>675</v>
      </c>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105"/>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66"/>
      <c r="CJ409" s="9"/>
      <c r="CK409" s="9"/>
      <c r="CL409" s="9"/>
      <c r="CM409" s="9"/>
      <c r="CN409" s="9"/>
      <c r="CO409" s="9"/>
      <c r="CP409" s="16"/>
    </row>
    <row r="410" spans="1:94" ht="15" customHeight="1" x14ac:dyDescent="0.15">
      <c r="A410" s="15"/>
      <c r="B410" s="9"/>
      <c r="C410" s="9"/>
      <c r="D410" s="9"/>
      <c r="E410" s="57" t="s">
        <v>198</v>
      </c>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66"/>
      <c r="CJ410" s="9"/>
      <c r="CK410" s="9"/>
      <c r="CL410" s="9"/>
      <c r="CM410" s="9"/>
      <c r="CN410" s="9"/>
      <c r="CO410" s="9"/>
      <c r="CP410" s="16"/>
    </row>
    <row r="411" spans="1:94" ht="15" customHeight="1" x14ac:dyDescent="0.15">
      <c r="A411" s="15"/>
      <c r="B411" s="9"/>
      <c r="C411" s="9"/>
      <c r="D411" s="9"/>
      <c r="E411" s="57" t="s">
        <v>199</v>
      </c>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66"/>
      <c r="CJ411" s="9"/>
      <c r="CK411" s="9"/>
      <c r="CL411" s="9"/>
      <c r="CM411" s="9"/>
      <c r="CN411" s="9"/>
      <c r="CO411" s="9"/>
      <c r="CP411" s="16"/>
    </row>
    <row r="412" spans="1:94" ht="15" customHeight="1" x14ac:dyDescent="0.15">
      <c r="A412" s="15"/>
      <c r="B412" s="9"/>
      <c r="C412" s="9"/>
      <c r="D412" s="9"/>
      <c r="E412" s="57" t="s">
        <v>200</v>
      </c>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66"/>
      <c r="CJ412" s="9"/>
      <c r="CK412" s="9"/>
      <c r="CL412" s="9"/>
      <c r="CM412" s="9"/>
      <c r="CN412" s="9"/>
      <c r="CO412" s="9"/>
      <c r="CP412" s="16"/>
    </row>
    <row r="413" spans="1:94" ht="15" customHeight="1" x14ac:dyDescent="0.15">
      <c r="A413" s="15"/>
      <c r="B413" s="9"/>
      <c r="C413" s="9"/>
      <c r="D413" s="9"/>
      <c r="E413" s="57" t="s">
        <v>201</v>
      </c>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66"/>
      <c r="CJ413" s="9"/>
      <c r="CK413" s="9"/>
      <c r="CL413" s="9"/>
      <c r="CM413" s="9"/>
      <c r="CN413" s="9"/>
      <c r="CO413" s="9"/>
      <c r="CP413" s="16"/>
    </row>
    <row r="414" spans="1:94" ht="15" customHeight="1" x14ac:dyDescent="0.15">
      <c r="A414" s="15"/>
      <c r="B414" s="9"/>
      <c r="C414" s="9"/>
      <c r="D414" s="9"/>
      <c r="E414" s="57" t="s">
        <v>202</v>
      </c>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66"/>
      <c r="CJ414" s="9"/>
      <c r="CK414" s="9"/>
      <c r="CL414" s="9"/>
      <c r="CM414" s="9"/>
      <c r="CN414" s="9"/>
      <c r="CO414" s="9"/>
      <c r="CP414" s="16"/>
    </row>
    <row r="415" spans="1:94" ht="15" customHeight="1" x14ac:dyDescent="0.15">
      <c r="A415" s="15"/>
      <c r="B415" s="9"/>
      <c r="C415" s="9"/>
      <c r="D415" s="9"/>
      <c r="E415" s="57" t="s">
        <v>203</v>
      </c>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66"/>
      <c r="CJ415" s="9"/>
      <c r="CK415" s="9"/>
      <c r="CL415" s="9"/>
      <c r="CM415" s="9"/>
      <c r="CN415" s="9"/>
      <c r="CO415" s="9"/>
      <c r="CP415" s="16"/>
    </row>
    <row r="416" spans="1:94" ht="15" customHeight="1" x14ac:dyDescent="0.15">
      <c r="A416" s="15"/>
      <c r="B416" s="9"/>
      <c r="C416" s="9"/>
      <c r="D416" s="9"/>
      <c r="E416" s="57" t="s">
        <v>204</v>
      </c>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66"/>
      <c r="CJ416" s="9"/>
      <c r="CK416" s="9"/>
      <c r="CL416" s="9"/>
      <c r="CM416" s="9"/>
      <c r="CN416" s="9"/>
      <c r="CO416" s="9"/>
      <c r="CP416" s="16"/>
    </row>
    <row r="417" spans="1:94" ht="15" customHeight="1" x14ac:dyDescent="0.15">
      <c r="A417" s="15"/>
      <c r="B417" s="9"/>
      <c r="C417" s="9"/>
      <c r="D417" s="9"/>
      <c r="E417" s="57" t="s">
        <v>205</v>
      </c>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66"/>
      <c r="CJ417" s="9"/>
      <c r="CK417" s="9"/>
      <c r="CL417" s="9"/>
      <c r="CM417" s="9"/>
      <c r="CN417" s="9"/>
      <c r="CO417" s="9"/>
      <c r="CP417" s="16"/>
    </row>
    <row r="418" spans="1:94" ht="15" customHeight="1" x14ac:dyDescent="0.15">
      <c r="A418" s="15"/>
      <c r="B418" s="9"/>
      <c r="C418" s="9"/>
      <c r="D418" s="9"/>
      <c r="E418" s="57" t="s">
        <v>676</v>
      </c>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66"/>
      <c r="CJ418" s="9"/>
      <c r="CK418" s="9"/>
      <c r="CL418" s="9"/>
      <c r="CM418" s="9"/>
      <c r="CN418" s="9"/>
      <c r="CO418" s="9"/>
      <c r="CP418" s="16"/>
    </row>
    <row r="419" spans="1:94" ht="15" customHeight="1" x14ac:dyDescent="0.15">
      <c r="A419" s="15"/>
      <c r="B419" s="9"/>
      <c r="C419" s="9"/>
      <c r="D419" s="9"/>
      <c r="E419" s="57" t="s">
        <v>677</v>
      </c>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66"/>
      <c r="CJ419" s="9"/>
      <c r="CK419" s="9"/>
      <c r="CL419" s="9"/>
      <c r="CM419" s="9"/>
      <c r="CN419" s="9"/>
      <c r="CO419" s="9"/>
      <c r="CP419" s="16"/>
    </row>
    <row r="420" spans="1:94" ht="15" customHeight="1" x14ac:dyDescent="0.15">
      <c r="A420" s="15"/>
      <c r="B420" s="9"/>
      <c r="C420" s="9"/>
      <c r="D420" s="9"/>
      <c r="E420" s="57" t="s">
        <v>206</v>
      </c>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66"/>
      <c r="CJ420" s="9"/>
      <c r="CK420" s="9"/>
      <c r="CL420" s="9"/>
      <c r="CM420" s="9"/>
      <c r="CN420" s="9"/>
      <c r="CO420" s="9"/>
      <c r="CP420" s="16"/>
    </row>
    <row r="421" spans="1:94" ht="15" customHeight="1" x14ac:dyDescent="0.15">
      <c r="A421" s="15"/>
      <c r="B421" s="9"/>
      <c r="C421" s="9"/>
      <c r="D421" s="9"/>
      <c r="E421" s="57" t="s">
        <v>207</v>
      </c>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66"/>
      <c r="CJ421" s="9"/>
      <c r="CK421" s="9"/>
      <c r="CL421" s="9"/>
      <c r="CM421" s="9"/>
      <c r="CN421" s="9"/>
      <c r="CO421" s="9"/>
      <c r="CP421" s="16"/>
    </row>
    <row r="422" spans="1:94" ht="15" customHeight="1" x14ac:dyDescent="0.15">
      <c r="A422" s="15"/>
      <c r="B422" s="9"/>
      <c r="C422" s="9"/>
      <c r="D422" s="9"/>
      <c r="E422" s="76" t="s">
        <v>208</v>
      </c>
      <c r="F422" s="58"/>
      <c r="G422" s="58"/>
      <c r="H422" s="58"/>
      <c r="I422" s="58"/>
      <c r="J422" s="58"/>
      <c r="K422" s="58"/>
      <c r="L422" s="58"/>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c r="AT422" s="62"/>
      <c r="AU422" s="62"/>
      <c r="AV422" s="62"/>
      <c r="AW422" s="158"/>
      <c r="AX422" s="62"/>
      <c r="AY422" s="62"/>
      <c r="AZ422" s="62"/>
      <c r="BA422" s="62"/>
      <c r="BB422" s="62"/>
      <c r="BC422" s="62"/>
      <c r="BD422" s="62"/>
      <c r="BE422" s="62"/>
      <c r="BF422" s="62"/>
      <c r="BG422" s="62"/>
      <c r="BH422" s="62"/>
      <c r="BI422" s="62"/>
      <c r="BJ422" s="62"/>
      <c r="BK422" s="62"/>
      <c r="BL422" s="62"/>
      <c r="BM422" s="62"/>
      <c r="BN422" s="62"/>
      <c r="BO422" s="62"/>
      <c r="BP422" s="62"/>
      <c r="BQ422" s="62"/>
      <c r="BR422" s="62"/>
      <c r="BS422" s="62"/>
      <c r="BT422" s="62"/>
      <c r="BU422" s="62"/>
      <c r="BV422" s="62"/>
      <c r="BW422" s="62"/>
      <c r="BX422" s="62"/>
      <c r="BY422" s="62"/>
      <c r="BZ422" s="62"/>
      <c r="CA422" s="62"/>
      <c r="CB422" s="62"/>
      <c r="CC422" s="62"/>
      <c r="CD422" s="62"/>
      <c r="CE422" s="62"/>
      <c r="CF422" s="62"/>
      <c r="CG422" s="62"/>
      <c r="CH422" s="62"/>
      <c r="CI422" s="63"/>
      <c r="CJ422" s="9"/>
      <c r="CK422" s="9"/>
      <c r="CL422" s="9"/>
      <c r="CM422" s="9"/>
      <c r="CN422" s="9"/>
      <c r="CO422" s="9"/>
      <c r="CP422" s="16"/>
    </row>
    <row r="423" spans="1:94" ht="15" customHeight="1" x14ac:dyDescent="0.15">
      <c r="A423" s="15"/>
      <c r="B423" s="9"/>
      <c r="C423" s="9"/>
      <c r="D423" s="9"/>
      <c r="E423" s="2" t="s">
        <v>669</v>
      </c>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16"/>
    </row>
    <row r="424" spans="1:94" ht="15" customHeight="1" thickBot="1" x14ac:dyDescent="0.2">
      <c r="A424" s="19"/>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20"/>
      <c r="CD424" s="20"/>
      <c r="CE424" s="20"/>
      <c r="CF424" s="20"/>
      <c r="CG424" s="20"/>
      <c r="CH424" s="20"/>
      <c r="CI424" s="20"/>
      <c r="CJ424" s="20"/>
      <c r="CK424" s="20"/>
      <c r="CL424" s="20"/>
      <c r="CM424" s="20"/>
      <c r="CN424" s="20"/>
      <c r="CO424" s="20"/>
      <c r="CP424" s="21"/>
    </row>
    <row r="425" spans="1:94" ht="15" customHeight="1" x14ac:dyDescent="0.15">
      <c r="A425" s="47"/>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48"/>
      <c r="BJ425" s="48"/>
      <c r="BK425" s="48"/>
      <c r="BL425" s="48"/>
      <c r="BM425" s="48"/>
      <c r="BN425" s="48"/>
      <c r="BO425" s="48"/>
      <c r="BP425" s="48"/>
      <c r="BQ425" s="48"/>
      <c r="BR425" s="48"/>
      <c r="BS425" s="48"/>
      <c r="BT425" s="48"/>
      <c r="BU425" s="48"/>
      <c r="BV425" s="48"/>
      <c r="BW425" s="48"/>
      <c r="BX425" s="48"/>
      <c r="BY425" s="48"/>
      <c r="BZ425" s="48"/>
      <c r="CA425" s="48"/>
      <c r="CB425" s="48"/>
      <c r="CC425" s="48"/>
      <c r="CD425" s="48"/>
      <c r="CE425" s="48"/>
      <c r="CF425" s="48"/>
      <c r="CG425" s="48"/>
      <c r="CH425" s="48"/>
      <c r="CI425" s="48"/>
      <c r="CJ425" s="48"/>
      <c r="CK425" s="48"/>
      <c r="CL425" s="48"/>
      <c r="CM425" s="48"/>
      <c r="CN425" s="48"/>
      <c r="CO425" s="48"/>
      <c r="CP425" s="49"/>
    </row>
    <row r="426" spans="1:94" ht="15" customHeight="1" x14ac:dyDescent="0.15">
      <c r="A426" s="15"/>
      <c r="B426" s="9"/>
      <c r="C426" s="9"/>
      <c r="D426" s="9"/>
      <c r="E426" s="9" t="s">
        <v>670</v>
      </c>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16"/>
    </row>
    <row r="427" spans="1:94" ht="15" customHeight="1" x14ac:dyDescent="0.15">
      <c r="A427" s="15"/>
      <c r="B427" s="9"/>
      <c r="C427" s="9"/>
      <c r="D427" s="9"/>
      <c r="E427" s="68" t="s">
        <v>678</v>
      </c>
      <c r="F427" s="67"/>
      <c r="G427" s="67"/>
      <c r="H427" s="67"/>
      <c r="I427" s="67"/>
      <c r="J427" s="67"/>
      <c r="K427" s="67"/>
      <c r="L427" s="67"/>
      <c r="M427" s="64"/>
      <c r="N427" s="64"/>
      <c r="O427" s="64"/>
      <c r="P427" s="64"/>
      <c r="Q427" s="64"/>
      <c r="R427" s="64"/>
      <c r="S427" s="64"/>
      <c r="T427" s="64"/>
      <c r="U427" s="64"/>
      <c r="V427" s="64"/>
      <c r="W427" s="64"/>
      <c r="X427" s="64"/>
      <c r="Y427" s="64"/>
      <c r="Z427" s="64"/>
      <c r="AA427" s="64"/>
      <c r="AB427" s="64"/>
      <c r="AC427" s="64"/>
      <c r="AD427" s="64"/>
      <c r="AE427" s="64"/>
      <c r="AF427" s="64"/>
      <c r="AG427" s="64"/>
      <c r="AH427" s="64"/>
      <c r="AI427" s="64"/>
      <c r="AJ427" s="64"/>
      <c r="AK427" s="64"/>
      <c r="AL427" s="64"/>
      <c r="AM427" s="64"/>
      <c r="AN427" s="64"/>
      <c r="AO427" s="64"/>
      <c r="AP427" s="64"/>
      <c r="AQ427" s="64"/>
      <c r="AR427" s="64"/>
      <c r="AS427" s="64"/>
      <c r="AT427" s="64"/>
      <c r="AU427" s="64"/>
      <c r="AV427" s="64"/>
      <c r="AW427" s="108" t="s">
        <v>679</v>
      </c>
      <c r="AX427" s="64"/>
      <c r="AY427" s="64"/>
      <c r="AZ427" s="64"/>
      <c r="BA427" s="64"/>
      <c r="BB427" s="64"/>
      <c r="BC427" s="64"/>
      <c r="BD427" s="64"/>
      <c r="BE427" s="64"/>
      <c r="BF427" s="64"/>
      <c r="BG427" s="64"/>
      <c r="BH427" s="64"/>
      <c r="BI427" s="64"/>
      <c r="BJ427" s="64"/>
      <c r="BK427" s="64"/>
      <c r="BL427" s="64"/>
      <c r="BM427" s="64"/>
      <c r="BN427" s="64"/>
      <c r="BO427" s="64"/>
      <c r="BP427" s="64"/>
      <c r="BQ427" s="64"/>
      <c r="BR427" s="64"/>
      <c r="BS427" s="64"/>
      <c r="BT427" s="64"/>
      <c r="BU427" s="64"/>
      <c r="BV427" s="64"/>
      <c r="BW427" s="64"/>
      <c r="BX427" s="64"/>
      <c r="BY427" s="64"/>
      <c r="BZ427" s="64"/>
      <c r="CA427" s="64"/>
      <c r="CB427" s="64"/>
      <c r="CC427" s="64"/>
      <c r="CD427" s="64"/>
      <c r="CE427" s="64"/>
      <c r="CF427" s="64"/>
      <c r="CG427" s="64"/>
      <c r="CH427" s="64"/>
      <c r="CI427" s="65"/>
      <c r="CJ427" s="9"/>
      <c r="CK427" s="9"/>
      <c r="CL427" s="9"/>
      <c r="CM427" s="9"/>
      <c r="CN427" s="9"/>
      <c r="CO427" s="9"/>
      <c r="CP427" s="16"/>
    </row>
    <row r="428" spans="1:94" ht="15" customHeight="1" x14ac:dyDescent="0.15">
      <c r="A428" s="15"/>
      <c r="B428" s="9"/>
      <c r="C428" s="9"/>
      <c r="D428" s="9"/>
      <c r="E428" s="59" t="s">
        <v>209</v>
      </c>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105" t="s">
        <v>680</v>
      </c>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66"/>
      <c r="CJ428" s="9"/>
      <c r="CK428" s="9"/>
      <c r="CL428" s="9"/>
      <c r="CM428" s="9"/>
      <c r="CN428" s="9"/>
      <c r="CO428" s="9"/>
      <c r="CP428" s="16"/>
    </row>
    <row r="429" spans="1:94" ht="15" customHeight="1" x14ac:dyDescent="0.15">
      <c r="A429" s="15"/>
      <c r="B429" s="9"/>
      <c r="C429" s="9"/>
      <c r="D429" s="9"/>
      <c r="E429" s="57" t="s">
        <v>681</v>
      </c>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105"/>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66"/>
      <c r="CJ429" s="9"/>
      <c r="CK429" s="9"/>
      <c r="CL429" s="9"/>
      <c r="CM429" s="9"/>
      <c r="CN429" s="9"/>
      <c r="CO429" s="9"/>
      <c r="CP429" s="16"/>
    </row>
    <row r="430" spans="1:94" ht="15" customHeight="1" x14ac:dyDescent="0.15">
      <c r="A430" s="15"/>
      <c r="B430" s="9"/>
      <c r="C430" s="9"/>
      <c r="D430" s="9"/>
      <c r="E430" s="57" t="s">
        <v>210</v>
      </c>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66"/>
      <c r="CJ430" s="9"/>
      <c r="CK430" s="9"/>
      <c r="CL430" s="9"/>
      <c r="CM430" s="9"/>
      <c r="CN430" s="9"/>
      <c r="CO430" s="9"/>
      <c r="CP430" s="16"/>
    </row>
    <row r="431" spans="1:94" ht="15" customHeight="1" x14ac:dyDescent="0.15">
      <c r="A431" s="15"/>
      <c r="B431" s="9"/>
      <c r="C431" s="9"/>
      <c r="D431" s="9"/>
      <c r="E431" s="57" t="s">
        <v>211</v>
      </c>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66"/>
      <c r="CJ431" s="9"/>
      <c r="CK431" s="9"/>
      <c r="CL431" s="9"/>
      <c r="CM431" s="9"/>
      <c r="CN431" s="9"/>
      <c r="CO431" s="9"/>
      <c r="CP431" s="16"/>
    </row>
    <row r="432" spans="1:94" ht="15" customHeight="1" x14ac:dyDescent="0.15">
      <c r="A432" s="15"/>
      <c r="B432" s="9"/>
      <c r="C432" s="9"/>
      <c r="D432" s="9"/>
      <c r="E432" s="57" t="s">
        <v>212</v>
      </c>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66"/>
      <c r="CJ432" s="9"/>
      <c r="CK432" s="9"/>
      <c r="CL432" s="9"/>
      <c r="CM432" s="9"/>
      <c r="CN432" s="9"/>
      <c r="CO432" s="9"/>
      <c r="CP432" s="16"/>
    </row>
    <row r="433" spans="1:94" ht="15" customHeight="1" x14ac:dyDescent="0.15">
      <c r="A433" s="15"/>
      <c r="B433" s="9"/>
      <c r="C433" s="9"/>
      <c r="D433" s="9"/>
      <c r="E433" s="57" t="s">
        <v>213</v>
      </c>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66"/>
      <c r="CJ433" s="9"/>
      <c r="CK433" s="9"/>
      <c r="CL433" s="9"/>
      <c r="CM433" s="9"/>
      <c r="CN433" s="9"/>
      <c r="CO433" s="9"/>
      <c r="CP433" s="16"/>
    </row>
    <row r="434" spans="1:94" ht="15" customHeight="1" x14ac:dyDescent="0.15">
      <c r="A434" s="15"/>
      <c r="B434" s="9"/>
      <c r="C434" s="9"/>
      <c r="D434" s="9"/>
      <c r="E434" s="57" t="s">
        <v>682</v>
      </c>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66"/>
      <c r="CJ434" s="9"/>
      <c r="CK434" s="9"/>
      <c r="CL434" s="9"/>
      <c r="CM434" s="9"/>
      <c r="CN434" s="9"/>
      <c r="CO434" s="9"/>
      <c r="CP434" s="16"/>
    </row>
    <row r="435" spans="1:94" ht="15" customHeight="1" x14ac:dyDescent="0.15">
      <c r="A435" s="15"/>
      <c r="B435" s="9"/>
      <c r="C435" s="9"/>
      <c r="D435" s="9"/>
      <c r="E435" s="57" t="s">
        <v>214</v>
      </c>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66"/>
      <c r="CJ435" s="9"/>
      <c r="CK435" s="9"/>
      <c r="CL435" s="9"/>
      <c r="CM435" s="9"/>
      <c r="CN435" s="9"/>
      <c r="CO435" s="9"/>
      <c r="CP435" s="16"/>
    </row>
    <row r="436" spans="1:94" ht="15" customHeight="1" x14ac:dyDescent="0.15">
      <c r="A436" s="15"/>
      <c r="B436" s="9"/>
      <c r="C436" s="9"/>
      <c r="D436" s="9"/>
      <c r="E436" s="57" t="s">
        <v>215</v>
      </c>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9"/>
      <c r="CH436" s="9"/>
      <c r="CI436" s="66"/>
      <c r="CJ436" s="9"/>
      <c r="CK436" s="9"/>
      <c r="CL436" s="9"/>
      <c r="CM436" s="9"/>
      <c r="CN436" s="9"/>
      <c r="CO436" s="9"/>
      <c r="CP436" s="16"/>
    </row>
    <row r="437" spans="1:94" ht="15" customHeight="1" x14ac:dyDescent="0.15">
      <c r="A437" s="15"/>
      <c r="B437" s="9"/>
      <c r="C437" s="9"/>
      <c r="D437" s="9"/>
      <c r="E437" s="57" t="s">
        <v>683</v>
      </c>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66"/>
      <c r="CJ437" s="9"/>
      <c r="CK437" s="9"/>
      <c r="CL437" s="9"/>
      <c r="CM437" s="9"/>
      <c r="CN437" s="9"/>
      <c r="CO437" s="9"/>
      <c r="CP437" s="16"/>
    </row>
    <row r="438" spans="1:94" ht="15" customHeight="1" x14ac:dyDescent="0.15">
      <c r="A438" s="15"/>
      <c r="B438" s="9"/>
      <c r="C438" s="9"/>
      <c r="D438" s="9"/>
      <c r="E438" s="57" t="s">
        <v>216</v>
      </c>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66"/>
      <c r="CJ438" s="9"/>
      <c r="CK438" s="9"/>
      <c r="CL438" s="9"/>
      <c r="CM438" s="9"/>
      <c r="CN438" s="9"/>
      <c r="CO438" s="9"/>
      <c r="CP438" s="16"/>
    </row>
    <row r="439" spans="1:94" ht="15" customHeight="1" x14ac:dyDescent="0.15">
      <c r="A439" s="15"/>
      <c r="B439" s="9"/>
      <c r="C439" s="9"/>
      <c r="D439" s="9"/>
      <c r="E439" s="57" t="s">
        <v>684</v>
      </c>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66"/>
      <c r="CJ439" s="9"/>
      <c r="CK439" s="9"/>
      <c r="CL439" s="9"/>
      <c r="CM439" s="9"/>
      <c r="CN439" s="9"/>
      <c r="CO439" s="9"/>
      <c r="CP439" s="16"/>
    </row>
    <row r="440" spans="1:94" ht="15" customHeight="1" x14ac:dyDescent="0.15">
      <c r="A440" s="15"/>
      <c r="B440" s="9"/>
      <c r="C440" s="9"/>
      <c r="D440" s="9"/>
      <c r="E440" s="57" t="s">
        <v>685</v>
      </c>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66"/>
      <c r="CJ440" s="9"/>
      <c r="CK440" s="9"/>
      <c r="CL440" s="9"/>
      <c r="CM440" s="9"/>
      <c r="CN440" s="9"/>
      <c r="CO440" s="9"/>
      <c r="CP440" s="16"/>
    </row>
    <row r="441" spans="1:94" ht="15" customHeight="1" x14ac:dyDescent="0.15">
      <c r="A441" s="15"/>
      <c r="B441" s="9"/>
      <c r="C441" s="9"/>
      <c r="D441" s="9"/>
      <c r="E441" s="57" t="s">
        <v>217</v>
      </c>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66"/>
      <c r="CJ441" s="9"/>
      <c r="CK441" s="9"/>
      <c r="CL441" s="9"/>
      <c r="CM441" s="9"/>
      <c r="CN441" s="9"/>
      <c r="CO441" s="9"/>
      <c r="CP441" s="16"/>
    </row>
    <row r="442" spans="1:94" ht="15" customHeight="1" x14ac:dyDescent="0.15">
      <c r="A442" s="15"/>
      <c r="B442" s="9"/>
      <c r="C442" s="9"/>
      <c r="D442" s="9"/>
      <c r="E442" s="57" t="s">
        <v>218</v>
      </c>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66"/>
      <c r="CJ442" s="9"/>
      <c r="CK442" s="9"/>
      <c r="CL442" s="9"/>
      <c r="CM442" s="9"/>
      <c r="CN442" s="9"/>
      <c r="CO442" s="9"/>
      <c r="CP442" s="16"/>
    </row>
    <row r="443" spans="1:94" ht="15" customHeight="1" x14ac:dyDescent="0.15">
      <c r="A443" s="15"/>
      <c r="B443" s="9"/>
      <c r="C443" s="9"/>
      <c r="D443" s="9"/>
      <c r="E443" s="57" t="s">
        <v>219</v>
      </c>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66"/>
      <c r="CJ443" s="9"/>
      <c r="CK443" s="9"/>
      <c r="CL443" s="9"/>
      <c r="CM443" s="9"/>
      <c r="CN443" s="9"/>
      <c r="CO443" s="9"/>
      <c r="CP443" s="16"/>
    </row>
    <row r="444" spans="1:94" ht="15" customHeight="1" x14ac:dyDescent="0.15">
      <c r="A444" s="15"/>
      <c r="B444" s="9"/>
      <c r="C444" s="9"/>
      <c r="D444" s="9"/>
      <c r="E444" s="57" t="s">
        <v>220</v>
      </c>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66"/>
      <c r="CJ444" s="9"/>
      <c r="CK444" s="9"/>
      <c r="CL444" s="9"/>
      <c r="CM444" s="9"/>
      <c r="CN444" s="9"/>
      <c r="CO444" s="9"/>
      <c r="CP444" s="16"/>
    </row>
    <row r="445" spans="1:94" ht="15" customHeight="1" x14ac:dyDescent="0.15">
      <c r="A445" s="15"/>
      <c r="B445" s="9"/>
      <c r="C445" s="9"/>
      <c r="D445" s="9"/>
      <c r="E445" s="57" t="s">
        <v>221</v>
      </c>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66"/>
      <c r="CJ445" s="9"/>
      <c r="CK445" s="9"/>
      <c r="CL445" s="9"/>
      <c r="CM445" s="9"/>
      <c r="CN445" s="9"/>
      <c r="CO445" s="9"/>
      <c r="CP445" s="16"/>
    </row>
    <row r="446" spans="1:94" ht="15" customHeight="1" x14ac:dyDescent="0.15">
      <c r="A446" s="15"/>
      <c r="B446" s="9"/>
      <c r="C446" s="9"/>
      <c r="D446" s="9"/>
      <c r="E446" s="57" t="s">
        <v>222</v>
      </c>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66"/>
      <c r="CJ446" s="9"/>
      <c r="CK446" s="9"/>
      <c r="CL446" s="9"/>
      <c r="CM446" s="9"/>
      <c r="CN446" s="9"/>
      <c r="CO446" s="9"/>
      <c r="CP446" s="16"/>
    </row>
    <row r="447" spans="1:94" ht="15" customHeight="1" x14ac:dyDescent="0.15">
      <c r="A447" s="15"/>
      <c r="B447" s="9"/>
      <c r="C447" s="9"/>
      <c r="D447" s="9"/>
      <c r="E447" s="57" t="s">
        <v>223</v>
      </c>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66"/>
      <c r="CJ447" s="9"/>
      <c r="CK447" s="9"/>
      <c r="CL447" s="9"/>
      <c r="CM447" s="9"/>
      <c r="CN447" s="9"/>
      <c r="CO447" s="9"/>
      <c r="CP447" s="16"/>
    </row>
    <row r="448" spans="1:94" ht="15" customHeight="1" x14ac:dyDescent="0.15">
      <c r="A448" s="15"/>
      <c r="B448" s="9"/>
      <c r="C448" s="9"/>
      <c r="D448" s="9"/>
      <c r="E448" s="57" t="s">
        <v>224</v>
      </c>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66"/>
      <c r="CJ448" s="9"/>
      <c r="CK448" s="9"/>
      <c r="CL448" s="9"/>
      <c r="CM448" s="9"/>
      <c r="CN448" s="9"/>
      <c r="CO448" s="9"/>
      <c r="CP448" s="16"/>
    </row>
    <row r="449" spans="1:94" ht="15" customHeight="1" x14ac:dyDescent="0.15">
      <c r="A449" s="15"/>
      <c r="B449" s="9"/>
      <c r="C449" s="9"/>
      <c r="D449" s="9"/>
      <c r="E449" s="57" t="s">
        <v>225</v>
      </c>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66"/>
      <c r="CJ449" s="9"/>
      <c r="CK449" s="9"/>
      <c r="CL449" s="9"/>
      <c r="CM449" s="9"/>
      <c r="CN449" s="9"/>
      <c r="CO449" s="9"/>
      <c r="CP449" s="16"/>
    </row>
    <row r="450" spans="1:94" ht="15" customHeight="1" x14ac:dyDescent="0.15">
      <c r="A450" s="15"/>
      <c r="B450" s="9"/>
      <c r="C450" s="9"/>
      <c r="D450" s="9"/>
      <c r="E450" s="57" t="s">
        <v>226</v>
      </c>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66"/>
      <c r="CJ450" s="9"/>
      <c r="CK450" s="9"/>
      <c r="CL450" s="9"/>
      <c r="CM450" s="9"/>
      <c r="CN450" s="9"/>
      <c r="CO450" s="9"/>
      <c r="CP450" s="16"/>
    </row>
    <row r="451" spans="1:94" ht="15" customHeight="1" x14ac:dyDescent="0.15">
      <c r="A451" s="15"/>
      <c r="B451" s="9"/>
      <c r="C451" s="9"/>
      <c r="D451" s="9"/>
      <c r="E451" s="57" t="s">
        <v>227</v>
      </c>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66"/>
      <c r="CJ451" s="9"/>
      <c r="CK451" s="9"/>
      <c r="CL451" s="9"/>
      <c r="CM451" s="9"/>
      <c r="CN451" s="9"/>
      <c r="CO451" s="9"/>
      <c r="CP451" s="16"/>
    </row>
    <row r="452" spans="1:94" ht="15" customHeight="1" x14ac:dyDescent="0.15">
      <c r="A452" s="15"/>
      <c r="B452" s="9"/>
      <c r="C452" s="9"/>
      <c r="D452" s="9"/>
      <c r="E452" s="57" t="s">
        <v>228</v>
      </c>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66"/>
      <c r="CJ452" s="9"/>
      <c r="CK452" s="9"/>
      <c r="CL452" s="9"/>
      <c r="CM452" s="9"/>
      <c r="CN452" s="9"/>
      <c r="CO452" s="9"/>
      <c r="CP452" s="16"/>
    </row>
    <row r="453" spans="1:94" ht="15" customHeight="1" x14ac:dyDescent="0.15">
      <c r="A453" s="15"/>
      <c r="B453" s="9"/>
      <c r="C453" s="9"/>
      <c r="D453" s="9"/>
      <c r="E453" s="57" t="s">
        <v>229</v>
      </c>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66"/>
      <c r="CJ453" s="9"/>
      <c r="CK453" s="9"/>
      <c r="CL453" s="9"/>
      <c r="CM453" s="9"/>
      <c r="CN453" s="9"/>
      <c r="CO453" s="9"/>
      <c r="CP453" s="16"/>
    </row>
    <row r="454" spans="1:94" ht="15" customHeight="1" x14ac:dyDescent="0.15">
      <c r="A454" s="15"/>
      <c r="B454" s="9"/>
      <c r="C454" s="9"/>
      <c r="D454" s="9"/>
      <c r="E454" s="57" t="s">
        <v>686</v>
      </c>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66"/>
      <c r="CJ454" s="9"/>
      <c r="CK454" s="9"/>
      <c r="CL454" s="9"/>
      <c r="CM454" s="9"/>
      <c r="CN454" s="9"/>
      <c r="CO454" s="9"/>
      <c r="CP454" s="16"/>
    </row>
    <row r="455" spans="1:94" ht="15" customHeight="1" x14ac:dyDescent="0.15">
      <c r="A455" s="15"/>
      <c r="B455" s="9"/>
      <c r="C455" s="9"/>
      <c r="D455" s="9"/>
      <c r="E455" s="57" t="s">
        <v>230</v>
      </c>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66"/>
      <c r="CJ455" s="9"/>
      <c r="CK455" s="9"/>
      <c r="CL455" s="9"/>
      <c r="CM455" s="9"/>
      <c r="CN455" s="9"/>
      <c r="CO455" s="9"/>
      <c r="CP455" s="16"/>
    </row>
    <row r="456" spans="1:94" ht="15" customHeight="1" x14ac:dyDescent="0.15">
      <c r="A456" s="15"/>
      <c r="B456" s="9"/>
      <c r="C456" s="9"/>
      <c r="D456" s="9"/>
      <c r="E456" s="57" t="s">
        <v>231</v>
      </c>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66"/>
      <c r="CJ456" s="9"/>
      <c r="CK456" s="9"/>
      <c r="CL456" s="9"/>
      <c r="CM456" s="9"/>
      <c r="CN456" s="9"/>
      <c r="CO456" s="9"/>
      <c r="CP456" s="16"/>
    </row>
    <row r="457" spans="1:94" ht="15" customHeight="1" x14ac:dyDescent="0.15">
      <c r="A457" s="15"/>
      <c r="B457" s="9"/>
      <c r="C457" s="9"/>
      <c r="D457" s="9"/>
      <c r="E457" s="57" t="s">
        <v>687</v>
      </c>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66"/>
      <c r="CJ457" s="9"/>
      <c r="CK457" s="9"/>
      <c r="CL457" s="9"/>
      <c r="CM457" s="9"/>
      <c r="CN457" s="9"/>
      <c r="CO457" s="9"/>
      <c r="CP457" s="16"/>
    </row>
    <row r="458" spans="1:94" ht="15" customHeight="1" x14ac:dyDescent="0.15">
      <c r="A458" s="15"/>
      <c r="B458" s="9"/>
      <c r="C458" s="9"/>
      <c r="D458" s="9"/>
      <c r="E458" s="57" t="s">
        <v>232</v>
      </c>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66"/>
      <c r="CJ458" s="9"/>
      <c r="CK458" s="9"/>
      <c r="CL458" s="9"/>
      <c r="CM458" s="9"/>
      <c r="CN458" s="9"/>
      <c r="CO458" s="9"/>
      <c r="CP458" s="16"/>
    </row>
    <row r="459" spans="1:94" ht="15" customHeight="1" x14ac:dyDescent="0.15">
      <c r="A459" s="15"/>
      <c r="B459" s="9"/>
      <c r="C459" s="9"/>
      <c r="D459" s="9"/>
      <c r="E459" s="57" t="s">
        <v>233</v>
      </c>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66"/>
      <c r="CJ459" s="9"/>
      <c r="CK459" s="9"/>
      <c r="CL459" s="9"/>
      <c r="CM459" s="9"/>
      <c r="CN459" s="9"/>
      <c r="CO459" s="9"/>
      <c r="CP459" s="16"/>
    </row>
    <row r="460" spans="1:94" ht="15" customHeight="1" x14ac:dyDescent="0.15">
      <c r="A460" s="15"/>
      <c r="B460" s="9"/>
      <c r="C460" s="9"/>
      <c r="D460" s="9"/>
      <c r="E460" s="57" t="s">
        <v>234</v>
      </c>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66"/>
      <c r="CJ460" s="9"/>
      <c r="CK460" s="9"/>
      <c r="CL460" s="9"/>
      <c r="CM460" s="9"/>
      <c r="CN460" s="9"/>
      <c r="CO460" s="9"/>
      <c r="CP460" s="16"/>
    </row>
    <row r="461" spans="1:94" ht="15" customHeight="1" x14ac:dyDescent="0.15">
      <c r="A461" s="15"/>
      <c r="B461" s="9"/>
      <c r="C461" s="9"/>
      <c r="D461" s="9"/>
      <c r="E461" s="59" t="s">
        <v>688</v>
      </c>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105" t="s">
        <v>689</v>
      </c>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66"/>
      <c r="CJ461" s="9"/>
      <c r="CK461" s="9"/>
      <c r="CL461" s="9"/>
      <c r="CM461" s="9"/>
      <c r="CN461" s="9"/>
      <c r="CO461" s="9"/>
      <c r="CP461" s="16"/>
    </row>
    <row r="462" spans="1:94" ht="15" customHeight="1" x14ac:dyDescent="0.15">
      <c r="A462" s="15"/>
      <c r="B462" s="9"/>
      <c r="C462" s="9"/>
      <c r="D462" s="9"/>
      <c r="E462" s="57" t="s">
        <v>235</v>
      </c>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66"/>
      <c r="CJ462" s="9"/>
      <c r="CK462" s="9"/>
      <c r="CL462" s="9"/>
      <c r="CM462" s="9"/>
      <c r="CN462" s="9"/>
      <c r="CO462" s="9"/>
      <c r="CP462" s="16"/>
    </row>
    <row r="463" spans="1:94" ht="15" customHeight="1" x14ac:dyDescent="0.15">
      <c r="A463" s="15"/>
      <c r="B463" s="9"/>
      <c r="C463" s="9"/>
      <c r="D463" s="9"/>
      <c r="E463" s="57" t="s">
        <v>236</v>
      </c>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66"/>
      <c r="CJ463" s="9"/>
      <c r="CK463" s="9"/>
      <c r="CL463" s="9"/>
      <c r="CM463" s="9"/>
      <c r="CN463" s="9"/>
      <c r="CO463" s="9"/>
      <c r="CP463" s="16"/>
    </row>
    <row r="464" spans="1:94" ht="15" customHeight="1" x14ac:dyDescent="0.15">
      <c r="A464" s="15"/>
      <c r="B464" s="9"/>
      <c r="C464" s="9"/>
      <c r="D464" s="9"/>
      <c r="E464" s="57" t="s">
        <v>237</v>
      </c>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66"/>
      <c r="CJ464" s="9"/>
      <c r="CK464" s="9"/>
      <c r="CL464" s="9"/>
      <c r="CM464" s="9"/>
      <c r="CN464" s="9"/>
      <c r="CO464" s="9"/>
      <c r="CP464" s="16"/>
    </row>
    <row r="465" spans="1:94" ht="15" customHeight="1" x14ac:dyDescent="0.15">
      <c r="A465" s="15"/>
      <c r="B465" s="9"/>
      <c r="C465" s="9"/>
      <c r="D465" s="9"/>
      <c r="E465" s="57" t="s">
        <v>238</v>
      </c>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66"/>
      <c r="CJ465" s="9"/>
      <c r="CK465" s="9"/>
      <c r="CL465" s="9"/>
      <c r="CM465" s="9"/>
      <c r="CN465" s="9"/>
      <c r="CO465" s="9"/>
      <c r="CP465" s="16"/>
    </row>
    <row r="466" spans="1:94" ht="15" customHeight="1" x14ac:dyDescent="0.15">
      <c r="A466" s="15"/>
      <c r="B466" s="9"/>
      <c r="C466" s="9"/>
      <c r="D466" s="9"/>
      <c r="E466" s="76" t="s">
        <v>239</v>
      </c>
      <c r="F466" s="58"/>
      <c r="G466" s="58"/>
      <c r="H466" s="58"/>
      <c r="I466" s="58"/>
      <c r="J466" s="58"/>
      <c r="K466" s="58"/>
      <c r="L466" s="58"/>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2"/>
      <c r="AQ466" s="62"/>
      <c r="AR466" s="62"/>
      <c r="AS466" s="62"/>
      <c r="AT466" s="62"/>
      <c r="AU466" s="62"/>
      <c r="AV466" s="62"/>
      <c r="AW466" s="62"/>
      <c r="AX466" s="62"/>
      <c r="AY466" s="62"/>
      <c r="AZ466" s="62"/>
      <c r="BA466" s="62"/>
      <c r="BB466" s="62"/>
      <c r="BC466" s="62"/>
      <c r="BD466" s="62"/>
      <c r="BE466" s="62"/>
      <c r="BF466" s="62"/>
      <c r="BG466" s="62"/>
      <c r="BH466" s="62"/>
      <c r="BI466" s="62"/>
      <c r="BJ466" s="62"/>
      <c r="BK466" s="62"/>
      <c r="BL466" s="62"/>
      <c r="BM466" s="62"/>
      <c r="BN466" s="62"/>
      <c r="BO466" s="62"/>
      <c r="BP466" s="62"/>
      <c r="BQ466" s="62"/>
      <c r="BR466" s="62"/>
      <c r="BS466" s="62"/>
      <c r="BT466" s="62"/>
      <c r="BU466" s="62"/>
      <c r="BV466" s="62"/>
      <c r="BW466" s="62"/>
      <c r="BX466" s="62"/>
      <c r="BY466" s="62"/>
      <c r="BZ466" s="62"/>
      <c r="CA466" s="62"/>
      <c r="CB466" s="62"/>
      <c r="CC466" s="62"/>
      <c r="CD466" s="62"/>
      <c r="CE466" s="62"/>
      <c r="CF466" s="62"/>
      <c r="CG466" s="62"/>
      <c r="CH466" s="62"/>
      <c r="CI466" s="63"/>
      <c r="CJ466" s="9"/>
      <c r="CK466" s="9"/>
      <c r="CL466" s="9"/>
      <c r="CM466" s="9"/>
      <c r="CN466" s="9"/>
      <c r="CO466" s="9"/>
      <c r="CP466" s="16"/>
    </row>
    <row r="467" spans="1:94" ht="15" customHeight="1" x14ac:dyDescent="0.15">
      <c r="A467" s="15"/>
      <c r="B467" s="9"/>
      <c r="C467" s="9"/>
      <c r="D467" s="9"/>
      <c r="E467" s="2" t="s">
        <v>669</v>
      </c>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16"/>
    </row>
    <row r="468" spans="1:94" ht="15" customHeight="1" thickBot="1" x14ac:dyDescent="0.2">
      <c r="A468" s="19"/>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c r="BW468" s="20"/>
      <c r="BX468" s="20"/>
      <c r="BY468" s="20"/>
      <c r="BZ468" s="20"/>
      <c r="CA468" s="20"/>
      <c r="CB468" s="20"/>
      <c r="CC468" s="20"/>
      <c r="CD468" s="20"/>
      <c r="CE468" s="20"/>
      <c r="CF468" s="20"/>
      <c r="CG468" s="20"/>
      <c r="CH468" s="20"/>
      <c r="CI468" s="20"/>
      <c r="CJ468" s="20"/>
      <c r="CK468" s="20"/>
      <c r="CL468" s="20"/>
      <c r="CM468" s="20"/>
      <c r="CN468" s="20"/>
      <c r="CO468" s="20"/>
      <c r="CP468" s="21"/>
    </row>
    <row r="469" spans="1:94" ht="15" customHeight="1" x14ac:dyDescent="0.15">
      <c r="A469" s="47"/>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48"/>
      <c r="BJ469" s="48"/>
      <c r="BK469" s="48"/>
      <c r="BL469" s="48"/>
      <c r="BM469" s="48"/>
      <c r="BN469" s="48"/>
      <c r="BO469" s="48"/>
      <c r="BP469" s="48"/>
      <c r="BQ469" s="48"/>
      <c r="BR469" s="48"/>
      <c r="BS469" s="48"/>
      <c r="BT469" s="48"/>
      <c r="BU469" s="48"/>
      <c r="BV469" s="48"/>
      <c r="BW469" s="48"/>
      <c r="BX469" s="48"/>
      <c r="BY469" s="48"/>
      <c r="BZ469" s="48"/>
      <c r="CA469" s="48"/>
      <c r="CB469" s="48"/>
      <c r="CC469" s="48"/>
      <c r="CD469" s="48"/>
      <c r="CE469" s="48"/>
      <c r="CF469" s="48"/>
      <c r="CG469" s="48"/>
      <c r="CH469" s="48"/>
      <c r="CI469" s="48"/>
      <c r="CJ469" s="48"/>
      <c r="CK469" s="48"/>
      <c r="CL469" s="48"/>
      <c r="CM469" s="48"/>
      <c r="CN469" s="48"/>
      <c r="CO469" s="48"/>
      <c r="CP469" s="49"/>
    </row>
    <row r="470" spans="1:94" ht="15" customHeight="1" x14ac:dyDescent="0.15">
      <c r="A470" s="15"/>
      <c r="B470" s="9"/>
      <c r="C470" s="9"/>
      <c r="D470" s="9"/>
      <c r="E470" s="9" t="s">
        <v>670</v>
      </c>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16"/>
    </row>
    <row r="471" spans="1:94" ht="15" customHeight="1" x14ac:dyDescent="0.15">
      <c r="A471" s="15"/>
      <c r="B471" s="9"/>
      <c r="C471" s="9"/>
      <c r="D471" s="9"/>
      <c r="E471" s="81"/>
      <c r="F471" s="67"/>
      <c r="G471" s="67"/>
      <c r="H471" s="67"/>
      <c r="I471" s="67"/>
      <c r="J471" s="67"/>
      <c r="K471" s="67"/>
      <c r="L471" s="67"/>
      <c r="M471" s="64"/>
      <c r="N471" s="64"/>
      <c r="O471" s="64"/>
      <c r="P471" s="64"/>
      <c r="Q471" s="64"/>
      <c r="R471" s="64"/>
      <c r="S471" s="64"/>
      <c r="T471" s="64"/>
      <c r="U471" s="64"/>
      <c r="V471" s="64"/>
      <c r="W471" s="64"/>
      <c r="X471" s="64"/>
      <c r="Y471" s="64"/>
      <c r="Z471" s="64"/>
      <c r="AA471" s="64"/>
      <c r="AB471" s="64"/>
      <c r="AC471" s="64"/>
      <c r="AD471" s="64"/>
      <c r="AE471" s="64"/>
      <c r="AF471" s="64"/>
      <c r="AG471" s="64"/>
      <c r="AH471" s="64"/>
      <c r="AI471" s="64"/>
      <c r="AJ471" s="64"/>
      <c r="AK471" s="64"/>
      <c r="AL471" s="64"/>
      <c r="AM471" s="64"/>
      <c r="AN471" s="64"/>
      <c r="AO471" s="64"/>
      <c r="AP471" s="67"/>
      <c r="AQ471" s="67"/>
      <c r="AR471" s="67"/>
      <c r="AS471" s="67"/>
      <c r="AT471" s="67"/>
      <c r="AU471" s="67"/>
      <c r="AV471" s="67"/>
      <c r="AW471" s="67"/>
      <c r="AX471" s="67"/>
      <c r="AY471" s="67"/>
      <c r="AZ471" s="67"/>
      <c r="BA471" s="67"/>
      <c r="BB471" s="67"/>
      <c r="BC471" s="67"/>
      <c r="BD471" s="67"/>
      <c r="BE471" s="67"/>
      <c r="BF471" s="67"/>
      <c r="BG471" s="67"/>
      <c r="BH471" s="67"/>
      <c r="BI471" s="67"/>
      <c r="BJ471" s="67"/>
      <c r="BK471" s="67"/>
      <c r="BL471" s="67"/>
      <c r="BM471" s="67"/>
      <c r="BN471" s="67"/>
      <c r="BO471" s="67"/>
      <c r="BP471" s="67"/>
      <c r="BQ471" s="67"/>
      <c r="BR471" s="67"/>
      <c r="BS471" s="67"/>
      <c r="BT471" s="67"/>
      <c r="BU471" s="67"/>
      <c r="BV471" s="67"/>
      <c r="BW471" s="67"/>
      <c r="BX471" s="67"/>
      <c r="BY471" s="67"/>
      <c r="BZ471" s="67"/>
      <c r="CA471" s="64"/>
      <c r="CB471" s="64"/>
      <c r="CC471" s="64"/>
      <c r="CD471" s="64"/>
      <c r="CE471" s="64"/>
      <c r="CF471" s="64"/>
      <c r="CG471" s="64"/>
      <c r="CH471" s="64"/>
      <c r="CI471" s="65"/>
      <c r="CJ471" s="9"/>
      <c r="CK471" s="9"/>
      <c r="CL471" s="9"/>
      <c r="CM471" s="9"/>
      <c r="CN471" s="9"/>
      <c r="CO471" s="9"/>
      <c r="CP471" s="16"/>
    </row>
    <row r="472" spans="1:94" ht="15" customHeight="1" x14ac:dyDescent="0.15">
      <c r="A472" s="15"/>
      <c r="B472" s="9"/>
      <c r="C472" s="9"/>
      <c r="D472" s="9"/>
      <c r="E472" s="57" t="s">
        <v>240</v>
      </c>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66"/>
      <c r="CJ472" s="9"/>
      <c r="CK472" s="9"/>
      <c r="CL472" s="9"/>
      <c r="CM472" s="9"/>
      <c r="CN472" s="9"/>
      <c r="CO472" s="9"/>
      <c r="CP472" s="16"/>
    </row>
    <row r="473" spans="1:94" ht="15" customHeight="1" x14ac:dyDescent="0.15">
      <c r="A473" s="15"/>
      <c r="B473" s="9"/>
      <c r="C473" s="9"/>
      <c r="D473" s="9"/>
      <c r="E473" s="57" t="s">
        <v>241</v>
      </c>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66"/>
      <c r="CJ473" s="9"/>
      <c r="CK473" s="9"/>
      <c r="CL473" s="9"/>
      <c r="CM473" s="9"/>
      <c r="CN473" s="9"/>
      <c r="CO473" s="9"/>
      <c r="CP473" s="16"/>
    </row>
    <row r="474" spans="1:94" ht="15" customHeight="1" x14ac:dyDescent="0.15">
      <c r="A474" s="15"/>
      <c r="B474" s="9"/>
      <c r="C474" s="9"/>
      <c r="D474" s="9"/>
      <c r="E474" s="57" t="s">
        <v>242</v>
      </c>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66"/>
      <c r="CJ474" s="9"/>
      <c r="CK474" s="9"/>
      <c r="CL474" s="9"/>
      <c r="CM474" s="9"/>
      <c r="CN474" s="9"/>
      <c r="CO474" s="9"/>
      <c r="CP474" s="16"/>
    </row>
    <row r="475" spans="1:94" ht="15" customHeight="1" x14ac:dyDescent="0.15">
      <c r="A475" s="15"/>
      <c r="B475" s="9"/>
      <c r="C475" s="9"/>
      <c r="D475" s="9"/>
      <c r="E475" s="57"/>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66"/>
      <c r="CJ475" s="9"/>
      <c r="CK475" s="9"/>
      <c r="CL475" s="9"/>
      <c r="CM475" s="9"/>
      <c r="CN475" s="9"/>
      <c r="CO475" s="9"/>
      <c r="CP475" s="16"/>
    </row>
    <row r="476" spans="1:94" ht="15" customHeight="1" x14ac:dyDescent="0.15">
      <c r="A476" s="15"/>
      <c r="B476" s="9"/>
      <c r="C476" s="9"/>
      <c r="D476" s="9"/>
      <c r="E476" s="57" t="s">
        <v>373</v>
      </c>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CA476" s="9"/>
      <c r="CB476" s="9"/>
      <c r="CC476" s="9"/>
      <c r="CD476" s="9"/>
      <c r="CE476" s="9"/>
      <c r="CF476" s="9"/>
      <c r="CG476" s="9"/>
      <c r="CH476" s="9"/>
      <c r="CI476" s="66"/>
      <c r="CJ476" s="9"/>
      <c r="CK476" s="9"/>
      <c r="CL476" s="9"/>
      <c r="CM476" s="9"/>
      <c r="CN476" s="9"/>
      <c r="CO476" s="9"/>
      <c r="CP476" s="16"/>
    </row>
    <row r="477" spans="1:94" ht="15" customHeight="1" x14ac:dyDescent="0.15">
      <c r="A477" s="15"/>
      <c r="B477" s="9"/>
      <c r="C477" s="9"/>
      <c r="D477" s="9"/>
      <c r="E477" s="57"/>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66"/>
      <c r="CJ477" s="9"/>
      <c r="CK477" s="9"/>
      <c r="CL477" s="9"/>
      <c r="CM477" s="9"/>
      <c r="CN477" s="9"/>
      <c r="CO477" s="9"/>
      <c r="CP477" s="16"/>
    </row>
    <row r="478" spans="1:94" ht="15" customHeight="1" x14ac:dyDescent="0.15">
      <c r="A478" s="15"/>
      <c r="B478" s="9"/>
      <c r="C478" s="9"/>
      <c r="D478" s="9"/>
      <c r="E478" s="59" t="s">
        <v>244</v>
      </c>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66"/>
      <c r="CJ478" s="9"/>
      <c r="CK478" s="9"/>
      <c r="CL478" s="9"/>
      <c r="CM478" s="9"/>
      <c r="CN478" s="9"/>
      <c r="CO478" s="9"/>
      <c r="CP478" s="16"/>
    </row>
    <row r="479" spans="1:94" ht="15" customHeight="1" x14ac:dyDescent="0.15">
      <c r="A479" s="15"/>
      <c r="B479" s="9"/>
      <c r="C479" s="9"/>
      <c r="D479" s="9"/>
      <c r="E479" s="57" t="s">
        <v>373</v>
      </c>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CE479" s="9"/>
      <c r="CF479" s="9"/>
      <c r="CG479" s="9"/>
      <c r="CH479" s="9"/>
      <c r="CI479" s="66"/>
      <c r="CJ479" s="9"/>
      <c r="CK479" s="9"/>
      <c r="CL479" s="9"/>
      <c r="CM479" s="9"/>
      <c r="CN479" s="9"/>
      <c r="CO479" s="9"/>
      <c r="CP479" s="16"/>
    </row>
    <row r="480" spans="1:94" ht="15" customHeight="1" x14ac:dyDescent="0.15">
      <c r="A480" s="15"/>
      <c r="B480" s="9"/>
      <c r="C480" s="9"/>
      <c r="D480" s="9"/>
      <c r="E480" s="57" t="s">
        <v>245</v>
      </c>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66"/>
      <c r="CJ480" s="9"/>
      <c r="CK480" s="9"/>
      <c r="CL480" s="9"/>
      <c r="CM480" s="9"/>
      <c r="CN480" s="9"/>
      <c r="CO480" s="9"/>
      <c r="CP480" s="16"/>
    </row>
    <row r="481" spans="1:94" ht="15" customHeight="1" x14ac:dyDescent="0.15">
      <c r="A481" s="15"/>
      <c r="B481" s="9"/>
      <c r="C481" s="9"/>
      <c r="D481" s="9"/>
      <c r="E481" s="59" t="s">
        <v>1291</v>
      </c>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W481" s="9"/>
      <c r="CC481" s="9"/>
      <c r="CD481" s="9"/>
      <c r="CE481" s="9"/>
      <c r="CF481" s="9"/>
      <c r="CG481" s="9"/>
      <c r="CH481" s="9"/>
      <c r="CI481" s="66"/>
      <c r="CJ481" s="9"/>
      <c r="CK481" s="9"/>
      <c r="CL481" s="9"/>
      <c r="CM481" s="9"/>
      <c r="CN481" s="9"/>
      <c r="CO481" s="9"/>
      <c r="CP481" s="16"/>
    </row>
    <row r="482" spans="1:94" ht="15" customHeight="1" x14ac:dyDescent="0.15">
      <c r="A482" s="15"/>
      <c r="B482" s="9"/>
      <c r="C482" s="9"/>
      <c r="D482" s="9"/>
      <c r="E482" s="5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CC482" s="9"/>
      <c r="CD482" s="9"/>
      <c r="CE482" s="9"/>
      <c r="CF482" s="9"/>
      <c r="CG482" s="9"/>
      <c r="CH482" s="9"/>
      <c r="CI482" s="66"/>
      <c r="CJ482" s="9"/>
      <c r="CK482" s="9"/>
      <c r="CL482" s="9"/>
      <c r="CM482" s="9"/>
      <c r="CN482" s="9"/>
      <c r="CO482" s="9"/>
      <c r="CP482" s="16"/>
    </row>
    <row r="483" spans="1:94" ht="15" customHeight="1" x14ac:dyDescent="0.15">
      <c r="A483" s="15"/>
      <c r="B483" s="9"/>
      <c r="C483" s="9"/>
      <c r="D483" s="9"/>
      <c r="E483" s="57" t="s">
        <v>373</v>
      </c>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CE483" s="9"/>
      <c r="CF483" s="9"/>
      <c r="CG483" s="9"/>
      <c r="CH483" s="9"/>
      <c r="CI483" s="66"/>
      <c r="CJ483" s="9"/>
      <c r="CK483" s="9"/>
      <c r="CL483" s="9"/>
      <c r="CM483" s="9"/>
      <c r="CN483" s="9"/>
      <c r="CO483" s="9"/>
      <c r="CP483" s="16"/>
    </row>
    <row r="484" spans="1:94" ht="15" customHeight="1" x14ac:dyDescent="0.15">
      <c r="A484" s="15"/>
      <c r="B484" s="9"/>
      <c r="C484" s="9"/>
      <c r="D484" s="9"/>
      <c r="E484" s="57"/>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66"/>
      <c r="CJ484" s="9"/>
      <c r="CK484" s="9"/>
      <c r="CL484" s="9"/>
      <c r="CM484" s="9"/>
      <c r="CN484" s="9"/>
      <c r="CO484" s="9"/>
      <c r="CP484" s="16"/>
    </row>
    <row r="485" spans="1:94" ht="15" customHeight="1" x14ac:dyDescent="0.15">
      <c r="A485" s="15"/>
      <c r="B485" s="9"/>
      <c r="C485" s="9"/>
      <c r="D485" s="9"/>
      <c r="E485" s="59" t="s">
        <v>1118</v>
      </c>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66"/>
      <c r="CJ485" s="9"/>
      <c r="CK485" s="9"/>
      <c r="CL485" s="9"/>
      <c r="CM485" s="9"/>
      <c r="CN485" s="9"/>
      <c r="CO485" s="9"/>
      <c r="CP485" s="16"/>
    </row>
    <row r="486" spans="1:94" ht="15" customHeight="1" x14ac:dyDescent="0.15">
      <c r="A486" s="15"/>
      <c r="B486" s="9"/>
      <c r="C486" s="9"/>
      <c r="D486" s="9"/>
      <c r="E486" s="59" t="s">
        <v>690</v>
      </c>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66"/>
      <c r="CJ486" s="9"/>
      <c r="CK486" s="9"/>
      <c r="CL486" s="9"/>
      <c r="CM486" s="9"/>
      <c r="CN486" s="9"/>
      <c r="CO486" s="9"/>
      <c r="CP486" s="16"/>
    </row>
    <row r="487" spans="1:94" ht="15" customHeight="1" x14ac:dyDescent="0.15">
      <c r="A487" s="15"/>
      <c r="B487" s="9"/>
      <c r="C487" s="9"/>
      <c r="D487" s="9"/>
      <c r="E487" s="59" t="s">
        <v>1119</v>
      </c>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66"/>
      <c r="CJ487" s="9"/>
      <c r="CK487" s="9"/>
      <c r="CL487" s="9"/>
      <c r="CM487" s="9"/>
      <c r="CN487" s="9"/>
      <c r="CO487" s="9"/>
      <c r="CP487" s="16"/>
    </row>
    <row r="488" spans="1:94" ht="15" customHeight="1" x14ac:dyDescent="0.15">
      <c r="A488" s="15"/>
      <c r="B488" s="9"/>
      <c r="C488" s="9"/>
      <c r="D488" s="9"/>
      <c r="E488" s="59" t="s">
        <v>691</v>
      </c>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66"/>
      <c r="CJ488" s="9"/>
      <c r="CK488" s="9"/>
      <c r="CL488" s="9"/>
      <c r="CM488" s="9"/>
      <c r="CN488" s="9"/>
      <c r="CO488" s="9"/>
      <c r="CP488" s="16"/>
    </row>
    <row r="489" spans="1:94" ht="15" customHeight="1" x14ac:dyDescent="0.15">
      <c r="A489" s="15"/>
      <c r="B489" s="9"/>
      <c r="C489" s="9"/>
      <c r="D489" s="9"/>
      <c r="E489" s="5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66"/>
      <c r="CJ489" s="9"/>
      <c r="CK489" s="9"/>
      <c r="CL489" s="9"/>
      <c r="CM489" s="9"/>
      <c r="CN489" s="9"/>
      <c r="CO489" s="9"/>
      <c r="CP489" s="16"/>
    </row>
    <row r="490" spans="1:94" ht="15" customHeight="1" x14ac:dyDescent="0.15">
      <c r="A490" s="15"/>
      <c r="B490" s="9"/>
      <c r="C490" s="9"/>
      <c r="D490" s="9"/>
      <c r="E490" s="57" t="s">
        <v>373</v>
      </c>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66"/>
      <c r="CJ490" s="9"/>
      <c r="CK490" s="9"/>
      <c r="CL490" s="9"/>
      <c r="CM490" s="9"/>
      <c r="CN490" s="9"/>
      <c r="CO490" s="9"/>
      <c r="CP490" s="16"/>
    </row>
    <row r="491" spans="1:94" ht="15" customHeight="1" x14ac:dyDescent="0.15">
      <c r="A491" s="15"/>
      <c r="B491" s="9"/>
      <c r="C491" s="9"/>
      <c r="D491" s="9"/>
      <c r="E491" s="57"/>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66"/>
      <c r="CJ491" s="9"/>
      <c r="CK491" s="9"/>
      <c r="CL491" s="9"/>
      <c r="CM491" s="9"/>
      <c r="CN491" s="9"/>
      <c r="CO491" s="9"/>
      <c r="CP491" s="16"/>
    </row>
    <row r="492" spans="1:94" ht="15" customHeight="1" x14ac:dyDescent="0.15">
      <c r="A492" s="15"/>
      <c r="B492" s="9"/>
      <c r="C492" s="9"/>
      <c r="D492" s="9"/>
      <c r="E492" s="57" t="s">
        <v>858</v>
      </c>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66"/>
      <c r="CJ492" s="9"/>
      <c r="CK492" s="9"/>
      <c r="CL492" s="9"/>
      <c r="CM492" s="9"/>
      <c r="CN492" s="9"/>
      <c r="CO492" s="9"/>
      <c r="CP492" s="16"/>
    </row>
    <row r="493" spans="1:94" ht="15" customHeight="1" x14ac:dyDescent="0.15">
      <c r="A493" s="15"/>
      <c r="B493" s="9"/>
      <c r="C493" s="9"/>
      <c r="D493" s="9"/>
      <c r="E493" s="59" t="s">
        <v>859</v>
      </c>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66"/>
      <c r="CJ493" s="9"/>
      <c r="CK493" s="9"/>
      <c r="CL493" s="9"/>
      <c r="CM493" s="9"/>
      <c r="CN493" s="9"/>
      <c r="CO493" s="9"/>
      <c r="CP493" s="16"/>
    </row>
    <row r="494" spans="1:94" ht="15" customHeight="1" x14ac:dyDescent="0.15">
      <c r="A494" s="15"/>
      <c r="B494" s="9"/>
      <c r="C494" s="9"/>
      <c r="D494" s="9"/>
      <c r="E494" s="57" t="s">
        <v>243</v>
      </c>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66"/>
      <c r="CJ494" s="9"/>
      <c r="CK494" s="9"/>
      <c r="CL494" s="9"/>
      <c r="CM494" s="9"/>
      <c r="CN494" s="9"/>
      <c r="CO494" s="9"/>
      <c r="CP494" s="16"/>
    </row>
    <row r="495" spans="1:94" ht="15" customHeight="1" x14ac:dyDescent="0.15">
      <c r="A495" s="15"/>
      <c r="B495" s="9"/>
      <c r="C495" s="9"/>
      <c r="D495" s="9"/>
      <c r="E495" s="57"/>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66"/>
      <c r="CJ495" s="9"/>
      <c r="CK495" s="9"/>
      <c r="CL495" s="9"/>
      <c r="CM495" s="9"/>
      <c r="CN495" s="9"/>
      <c r="CO495" s="9"/>
      <c r="CP495" s="16"/>
    </row>
    <row r="496" spans="1:94" ht="15" customHeight="1" x14ac:dyDescent="0.15">
      <c r="A496" s="15"/>
      <c r="B496" s="9"/>
      <c r="C496" s="9"/>
      <c r="D496" s="9"/>
      <c r="E496" s="57" t="s">
        <v>373</v>
      </c>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66"/>
      <c r="CJ496" s="9"/>
      <c r="CK496" s="9"/>
      <c r="CL496" s="9"/>
      <c r="CM496" s="9"/>
      <c r="CN496" s="9"/>
      <c r="CO496" s="9"/>
      <c r="CP496" s="16"/>
    </row>
    <row r="497" spans="1:94" ht="15" customHeight="1" x14ac:dyDescent="0.15">
      <c r="A497" s="15"/>
      <c r="B497" s="9"/>
      <c r="C497" s="9"/>
      <c r="D497" s="9"/>
      <c r="E497" s="57"/>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66"/>
      <c r="CJ497" s="9"/>
      <c r="CK497" s="9"/>
      <c r="CL497" s="9"/>
      <c r="CM497" s="9"/>
      <c r="CN497" s="9"/>
      <c r="CO497" s="9"/>
      <c r="CP497" s="16"/>
    </row>
    <row r="498" spans="1:94" ht="15" customHeight="1" x14ac:dyDescent="0.15">
      <c r="A498" s="15"/>
      <c r="B498" s="9"/>
      <c r="C498" s="9"/>
      <c r="D498" s="9"/>
      <c r="E498" s="57" t="s">
        <v>693</v>
      </c>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66"/>
      <c r="CJ498" s="9"/>
      <c r="CK498" s="9"/>
      <c r="CL498" s="9"/>
      <c r="CM498" s="9"/>
      <c r="CN498" s="9"/>
      <c r="CO498" s="9"/>
      <c r="CP498" s="16"/>
    </row>
    <row r="499" spans="1:94" ht="15" customHeight="1" x14ac:dyDescent="0.15">
      <c r="A499" s="15"/>
      <c r="B499" s="9"/>
      <c r="C499" s="9"/>
      <c r="D499" s="9"/>
      <c r="E499" s="57" t="s">
        <v>694</v>
      </c>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66"/>
      <c r="CJ499" s="9"/>
      <c r="CK499" s="9"/>
      <c r="CL499" s="9"/>
      <c r="CM499" s="9"/>
      <c r="CN499" s="9"/>
      <c r="CO499" s="9"/>
      <c r="CP499" s="16"/>
    </row>
    <row r="500" spans="1:94" ht="15" customHeight="1" x14ac:dyDescent="0.15">
      <c r="A500" s="15"/>
      <c r="B500" s="9"/>
      <c r="C500" s="9"/>
      <c r="D500" s="9"/>
      <c r="E500" s="57" t="s">
        <v>695</v>
      </c>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66"/>
      <c r="CJ500" s="9"/>
      <c r="CK500" s="9"/>
      <c r="CL500" s="9"/>
      <c r="CM500" s="9"/>
      <c r="CN500" s="9"/>
      <c r="CO500" s="9"/>
      <c r="CP500" s="16"/>
    </row>
    <row r="501" spans="1:94" ht="15" customHeight="1" x14ac:dyDescent="0.15">
      <c r="A501" s="15"/>
      <c r="B501" s="9"/>
      <c r="C501" s="9"/>
      <c r="D501" s="9"/>
      <c r="E501" s="57" t="s">
        <v>696</v>
      </c>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66"/>
      <c r="CJ501" s="9"/>
      <c r="CK501" s="9"/>
      <c r="CL501" s="9"/>
      <c r="CM501" s="9"/>
      <c r="CN501" s="9"/>
      <c r="CO501" s="9"/>
      <c r="CP501" s="16"/>
    </row>
    <row r="502" spans="1:94" ht="15" customHeight="1" x14ac:dyDescent="0.15">
      <c r="A502" s="15"/>
      <c r="B502" s="9"/>
      <c r="C502" s="9"/>
      <c r="D502" s="9"/>
      <c r="E502" s="57" t="s">
        <v>697</v>
      </c>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66"/>
      <c r="CJ502" s="9"/>
      <c r="CK502" s="9"/>
      <c r="CL502" s="9"/>
      <c r="CM502" s="9"/>
      <c r="CN502" s="9"/>
      <c r="CO502" s="9"/>
      <c r="CP502" s="16"/>
    </row>
    <row r="503" spans="1:94" ht="15" customHeight="1" x14ac:dyDescent="0.15">
      <c r="A503" s="15"/>
      <c r="B503" s="9"/>
      <c r="C503" s="9"/>
      <c r="D503" s="9"/>
      <c r="E503" s="57" t="s">
        <v>698</v>
      </c>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66"/>
      <c r="CJ503" s="9"/>
      <c r="CK503" s="9"/>
      <c r="CL503" s="9"/>
      <c r="CM503" s="9"/>
      <c r="CN503" s="9"/>
      <c r="CO503" s="9"/>
      <c r="CP503" s="16"/>
    </row>
    <row r="504" spans="1:94" ht="15" customHeight="1" x14ac:dyDescent="0.15">
      <c r="A504" s="15"/>
      <c r="B504" s="9"/>
      <c r="C504" s="9"/>
      <c r="D504" s="9"/>
      <c r="E504" s="57" t="s">
        <v>693</v>
      </c>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66"/>
      <c r="CJ504" s="9"/>
      <c r="CK504" s="9"/>
      <c r="CL504" s="9"/>
      <c r="CM504" s="9"/>
      <c r="CN504" s="9"/>
      <c r="CO504" s="9"/>
      <c r="CP504" s="16"/>
    </row>
    <row r="505" spans="1:94" ht="15" customHeight="1" x14ac:dyDescent="0.15">
      <c r="A505" s="15"/>
      <c r="B505" s="9"/>
      <c r="C505" s="9"/>
      <c r="D505" s="9"/>
      <c r="E505" s="59" t="s">
        <v>246</v>
      </c>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66"/>
      <c r="CJ505" s="9"/>
      <c r="CK505" s="9"/>
      <c r="CL505" s="9"/>
      <c r="CM505" s="9"/>
      <c r="CN505" s="9"/>
      <c r="CO505" s="9"/>
      <c r="CP505" s="16"/>
    </row>
    <row r="506" spans="1:94" ht="15" customHeight="1" x14ac:dyDescent="0.15">
      <c r="A506" s="15"/>
      <c r="B506" s="9"/>
      <c r="C506" s="9"/>
      <c r="D506" s="9"/>
      <c r="E506" s="59" t="s">
        <v>692</v>
      </c>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66"/>
      <c r="CJ506" s="9"/>
      <c r="CK506" s="9"/>
      <c r="CL506" s="9"/>
      <c r="CM506" s="9"/>
      <c r="CN506" s="9"/>
      <c r="CO506" s="9"/>
      <c r="CP506" s="16"/>
    </row>
    <row r="507" spans="1:94" ht="15" customHeight="1" x14ac:dyDescent="0.15">
      <c r="A507" s="15"/>
      <c r="B507" s="9"/>
      <c r="C507" s="9"/>
      <c r="D507" s="9"/>
      <c r="E507" s="76"/>
      <c r="F507" s="58"/>
      <c r="G507" s="58"/>
      <c r="H507" s="58"/>
      <c r="I507" s="58"/>
      <c r="J507" s="58"/>
      <c r="K507" s="58"/>
      <c r="L507" s="58"/>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2"/>
      <c r="AQ507" s="62"/>
      <c r="AR507" s="62"/>
      <c r="AS507" s="62"/>
      <c r="AT507" s="62"/>
      <c r="AU507" s="62"/>
      <c r="AV507" s="62"/>
      <c r="AW507" s="62"/>
      <c r="AX507" s="62"/>
      <c r="AY507" s="62"/>
      <c r="AZ507" s="62"/>
      <c r="BA507" s="62"/>
      <c r="BB507" s="62"/>
      <c r="BC507" s="62"/>
      <c r="BD507" s="62"/>
      <c r="BE507" s="62"/>
      <c r="BF507" s="62"/>
      <c r="BG507" s="62"/>
      <c r="BH507" s="62"/>
      <c r="BI507" s="62"/>
      <c r="BJ507" s="62"/>
      <c r="BK507" s="62"/>
      <c r="BL507" s="62"/>
      <c r="BM507" s="62"/>
      <c r="BN507" s="62"/>
      <c r="BO507" s="62"/>
      <c r="BP507" s="62"/>
      <c r="BQ507" s="62"/>
      <c r="BR507" s="62"/>
      <c r="BS507" s="62"/>
      <c r="BT507" s="62"/>
      <c r="BU507" s="62"/>
      <c r="BV507" s="62"/>
      <c r="BW507" s="62"/>
      <c r="BX507" s="62"/>
      <c r="BY507" s="62"/>
      <c r="BZ507" s="62"/>
      <c r="CA507" s="62"/>
      <c r="CB507" s="62"/>
      <c r="CC507" s="62"/>
      <c r="CD507" s="62"/>
      <c r="CE507" s="62"/>
      <c r="CF507" s="62"/>
      <c r="CG507" s="62"/>
      <c r="CH507" s="62"/>
      <c r="CI507" s="63"/>
      <c r="CJ507" s="9"/>
      <c r="CK507" s="9"/>
      <c r="CL507" s="9"/>
      <c r="CM507" s="9"/>
      <c r="CN507" s="9"/>
      <c r="CO507" s="9"/>
      <c r="CP507" s="16"/>
    </row>
    <row r="508" spans="1:94" ht="15" customHeight="1" x14ac:dyDescent="0.15">
      <c r="A508" s="15"/>
      <c r="B508" s="9"/>
      <c r="C508" s="9"/>
      <c r="D508" s="9"/>
      <c r="E508" s="2" t="s">
        <v>669</v>
      </c>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c r="CK508" s="9"/>
      <c r="CL508" s="9"/>
      <c r="CM508" s="9"/>
      <c r="CN508" s="9"/>
      <c r="CO508" s="9"/>
      <c r="CP508" s="16"/>
    </row>
    <row r="509" spans="1:94" ht="15" customHeight="1" thickBot="1" x14ac:dyDescent="0.2">
      <c r="A509" s="19"/>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c r="BR509" s="20"/>
      <c r="BS509" s="20"/>
      <c r="BT509" s="20"/>
      <c r="BU509" s="20"/>
      <c r="BV509" s="20"/>
      <c r="BW509" s="20"/>
      <c r="BX509" s="20"/>
      <c r="BY509" s="20"/>
      <c r="BZ509" s="20"/>
      <c r="CA509" s="20"/>
      <c r="CB509" s="20"/>
      <c r="CC509" s="20"/>
      <c r="CD509" s="20"/>
      <c r="CE509" s="20"/>
      <c r="CF509" s="20"/>
      <c r="CG509" s="20"/>
      <c r="CH509" s="20"/>
      <c r="CI509" s="20"/>
      <c r="CJ509" s="20"/>
      <c r="CK509" s="20"/>
      <c r="CL509" s="20"/>
      <c r="CM509" s="20"/>
      <c r="CN509" s="20"/>
      <c r="CO509" s="20"/>
      <c r="CP509" s="21"/>
    </row>
    <row r="510" spans="1:94" ht="15" customHeight="1" x14ac:dyDescent="0.15">
      <c r="A510" s="47"/>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c r="BS510" s="48"/>
      <c r="BT510" s="48"/>
      <c r="BU510" s="48"/>
      <c r="BV510" s="48"/>
      <c r="BW510" s="48"/>
      <c r="BX510" s="48"/>
      <c r="BY510" s="48"/>
      <c r="BZ510" s="48"/>
      <c r="CA510" s="48"/>
      <c r="CB510" s="48"/>
      <c r="CC510" s="48"/>
      <c r="CD510" s="48"/>
      <c r="CE510" s="48"/>
      <c r="CF510" s="48"/>
      <c r="CG510" s="48"/>
      <c r="CH510" s="48"/>
      <c r="CI510" s="48"/>
      <c r="CJ510" s="48"/>
      <c r="CK510" s="48"/>
      <c r="CL510" s="48"/>
      <c r="CM510" s="48"/>
      <c r="CN510" s="48"/>
      <c r="CO510" s="48"/>
      <c r="CP510" s="49"/>
    </row>
    <row r="511" spans="1:94" ht="15" customHeight="1" x14ac:dyDescent="0.15">
      <c r="A511" s="15"/>
      <c r="B511" s="9"/>
      <c r="C511" s="9"/>
      <c r="D511" s="9"/>
      <c r="E511" s="9" t="s">
        <v>670</v>
      </c>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c r="CK511" s="9"/>
      <c r="CL511" s="9"/>
      <c r="CM511" s="9"/>
      <c r="CN511" s="9"/>
      <c r="CO511" s="9"/>
      <c r="CP511" s="16"/>
    </row>
    <row r="512" spans="1:94" ht="15" customHeight="1" x14ac:dyDescent="0.15">
      <c r="A512" s="15"/>
      <c r="B512" s="9"/>
      <c r="C512" s="9"/>
      <c r="D512" s="9"/>
      <c r="E512" s="81" t="s">
        <v>693</v>
      </c>
      <c r="F512" s="67"/>
      <c r="G512" s="67"/>
      <c r="H512" s="67"/>
      <c r="I512" s="67"/>
      <c r="J512" s="67"/>
      <c r="K512" s="67"/>
      <c r="L512" s="67"/>
      <c r="M512" s="64"/>
      <c r="N512" s="64"/>
      <c r="O512" s="64"/>
      <c r="P512" s="64"/>
      <c r="Q512" s="64"/>
      <c r="R512" s="64"/>
      <c r="S512" s="64"/>
      <c r="T512" s="64"/>
      <c r="U512" s="64"/>
      <c r="V512" s="64"/>
      <c r="W512" s="64"/>
      <c r="X512" s="64"/>
      <c r="Y512" s="64"/>
      <c r="Z512" s="64"/>
      <c r="AA512" s="64"/>
      <c r="AB512" s="64"/>
      <c r="AC512" s="64"/>
      <c r="AD512" s="64"/>
      <c r="AE512" s="64"/>
      <c r="AF512" s="64"/>
      <c r="AG512" s="64"/>
      <c r="AH512" s="64"/>
      <c r="AI512" s="64"/>
      <c r="AJ512" s="64"/>
      <c r="AK512" s="64"/>
      <c r="AL512" s="64"/>
      <c r="AM512" s="64"/>
      <c r="AN512" s="64"/>
      <c r="AO512" s="64"/>
      <c r="AP512" s="64"/>
      <c r="AQ512" s="64"/>
      <c r="AR512" s="64"/>
      <c r="AS512" s="64"/>
      <c r="AT512" s="64"/>
      <c r="AU512" s="64"/>
      <c r="AV512" s="64"/>
      <c r="AW512" s="64"/>
      <c r="AX512" s="64"/>
      <c r="AY512" s="64"/>
      <c r="AZ512" s="64"/>
      <c r="BA512" s="64"/>
      <c r="BB512" s="64"/>
      <c r="BC512" s="64"/>
      <c r="BD512" s="64"/>
      <c r="BE512" s="64"/>
      <c r="BF512" s="64"/>
      <c r="BG512" s="64"/>
      <c r="BH512" s="64"/>
      <c r="BI512" s="64"/>
      <c r="BJ512" s="64"/>
      <c r="BK512" s="64"/>
      <c r="BL512" s="64"/>
      <c r="BM512" s="64"/>
      <c r="BN512" s="64"/>
      <c r="BO512" s="64"/>
      <c r="BP512" s="64"/>
      <c r="BQ512" s="64"/>
      <c r="BR512" s="64"/>
      <c r="BS512" s="64"/>
      <c r="BT512" s="64"/>
      <c r="BU512" s="64"/>
      <c r="BV512" s="64"/>
      <c r="BW512" s="64"/>
      <c r="BX512" s="64"/>
      <c r="BY512" s="64"/>
      <c r="BZ512" s="64"/>
      <c r="CA512" s="64"/>
      <c r="CB512" s="64"/>
      <c r="CC512" s="64"/>
      <c r="CD512" s="64"/>
      <c r="CE512" s="64"/>
      <c r="CF512" s="64"/>
      <c r="CG512" s="64"/>
      <c r="CH512" s="64"/>
      <c r="CI512" s="65"/>
      <c r="CJ512" s="9"/>
      <c r="CK512" s="9"/>
      <c r="CL512" s="9"/>
      <c r="CM512" s="9"/>
      <c r="CN512" s="9"/>
      <c r="CO512" s="9"/>
      <c r="CP512" s="16"/>
    </row>
    <row r="513" spans="1:94" ht="15" customHeight="1" x14ac:dyDescent="0.15">
      <c r="A513" s="15"/>
      <c r="B513" s="9"/>
      <c r="C513" s="9"/>
      <c r="D513" s="9"/>
      <c r="E513" s="57" t="s">
        <v>699</v>
      </c>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66"/>
      <c r="CJ513" s="9"/>
      <c r="CK513" s="9"/>
      <c r="CL513" s="9"/>
      <c r="CM513" s="9"/>
      <c r="CN513" s="9"/>
      <c r="CO513" s="9"/>
      <c r="CP513" s="16"/>
    </row>
    <row r="514" spans="1:94" ht="15" customHeight="1" x14ac:dyDescent="0.15">
      <c r="A514" s="15"/>
      <c r="B514" s="9"/>
      <c r="C514" s="9"/>
      <c r="D514" s="9"/>
      <c r="E514" s="57" t="s">
        <v>700</v>
      </c>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66"/>
      <c r="CJ514" s="9"/>
      <c r="CK514" s="9"/>
      <c r="CL514" s="9"/>
      <c r="CM514" s="9"/>
      <c r="CN514" s="9"/>
      <c r="CO514" s="9"/>
      <c r="CP514" s="16"/>
    </row>
    <row r="515" spans="1:94" ht="15" customHeight="1" x14ac:dyDescent="0.15">
      <c r="A515" s="15"/>
      <c r="B515" s="9"/>
      <c r="C515" s="9"/>
      <c r="D515" s="9"/>
      <c r="E515" s="57" t="s">
        <v>701</v>
      </c>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66"/>
      <c r="CJ515" s="9"/>
      <c r="CK515" s="9"/>
      <c r="CL515" s="9"/>
      <c r="CM515" s="9"/>
      <c r="CN515" s="9"/>
      <c r="CO515" s="9"/>
      <c r="CP515" s="16"/>
    </row>
    <row r="516" spans="1:94" ht="15" customHeight="1" x14ac:dyDescent="0.15">
      <c r="A516" s="15"/>
      <c r="B516" s="9"/>
      <c r="C516" s="9"/>
      <c r="D516" s="9"/>
      <c r="E516" s="57" t="s">
        <v>693</v>
      </c>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66"/>
      <c r="CJ516" s="9"/>
      <c r="CK516" s="9"/>
      <c r="CL516" s="9"/>
      <c r="CM516" s="9"/>
      <c r="CN516" s="9"/>
      <c r="CO516" s="9"/>
      <c r="CP516" s="16"/>
    </row>
    <row r="517" spans="1:94" ht="15" customHeight="1" x14ac:dyDescent="0.15">
      <c r="A517" s="15"/>
      <c r="B517" s="9"/>
      <c r="C517" s="9"/>
      <c r="D517" s="9"/>
      <c r="E517" s="57" t="s">
        <v>247</v>
      </c>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66"/>
      <c r="CJ517" s="9"/>
      <c r="CK517" s="9"/>
      <c r="CL517" s="9"/>
      <c r="CM517" s="9"/>
      <c r="CN517" s="9"/>
      <c r="CO517" s="9"/>
      <c r="CP517" s="16"/>
    </row>
    <row r="518" spans="1:94" ht="15" customHeight="1" x14ac:dyDescent="0.15">
      <c r="A518" s="15"/>
      <c r="B518" s="9"/>
      <c r="C518" s="9"/>
      <c r="D518" s="9"/>
      <c r="E518" s="57" t="s">
        <v>248</v>
      </c>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66"/>
      <c r="CJ518" s="9"/>
      <c r="CK518" s="9"/>
      <c r="CL518" s="9"/>
      <c r="CM518" s="9"/>
      <c r="CN518" s="9"/>
      <c r="CO518" s="9"/>
      <c r="CP518" s="16"/>
    </row>
    <row r="519" spans="1:94" ht="15" customHeight="1" x14ac:dyDescent="0.15">
      <c r="A519" s="15"/>
      <c r="B519" s="9"/>
      <c r="C519" s="9"/>
      <c r="D519" s="9"/>
      <c r="E519" s="59" t="s">
        <v>249</v>
      </c>
      <c r="F519" s="94"/>
      <c r="G519" s="70"/>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66"/>
      <c r="CJ519" s="9"/>
      <c r="CK519" s="9"/>
      <c r="CL519" s="9"/>
      <c r="CM519" s="9"/>
      <c r="CN519" s="9"/>
      <c r="CO519" s="9"/>
      <c r="CP519" s="16"/>
    </row>
    <row r="520" spans="1:94" ht="15" customHeight="1" x14ac:dyDescent="0.15">
      <c r="A520" s="15"/>
      <c r="B520" s="9"/>
      <c r="C520" s="9"/>
      <c r="D520" s="9"/>
      <c r="E520" s="59" t="s">
        <v>250</v>
      </c>
      <c r="F520" s="94"/>
      <c r="G520" s="70"/>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66"/>
      <c r="CJ520" s="9"/>
      <c r="CK520" s="9"/>
      <c r="CL520" s="9"/>
      <c r="CM520" s="9"/>
      <c r="CN520" s="9"/>
      <c r="CO520" s="9"/>
      <c r="CP520" s="16"/>
    </row>
    <row r="521" spans="1:94" ht="15" customHeight="1" x14ac:dyDescent="0.15">
      <c r="A521" s="15"/>
      <c r="B521" s="9"/>
      <c r="C521" s="9"/>
      <c r="D521" s="9"/>
      <c r="E521" s="59" t="s">
        <v>251</v>
      </c>
      <c r="F521" s="94"/>
      <c r="G521" s="70"/>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66"/>
      <c r="CJ521" s="9"/>
      <c r="CK521" s="9"/>
      <c r="CL521" s="9"/>
      <c r="CM521" s="9"/>
      <c r="CN521" s="9"/>
      <c r="CO521" s="9"/>
      <c r="CP521" s="16"/>
    </row>
    <row r="522" spans="1:94" ht="15" customHeight="1" x14ac:dyDescent="0.15">
      <c r="A522" s="15"/>
      <c r="B522" s="9"/>
      <c r="C522" s="9"/>
      <c r="D522" s="9"/>
      <c r="E522" s="59" t="s">
        <v>252</v>
      </c>
      <c r="F522" s="94"/>
      <c r="G522" s="70"/>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66"/>
      <c r="CJ522" s="9"/>
      <c r="CK522" s="9"/>
      <c r="CL522" s="9"/>
      <c r="CM522" s="9"/>
      <c r="CN522" s="9"/>
      <c r="CO522" s="9"/>
      <c r="CP522" s="16"/>
    </row>
    <row r="523" spans="1:94" ht="15" customHeight="1" x14ac:dyDescent="0.15">
      <c r="A523" s="15"/>
      <c r="B523" s="9"/>
      <c r="C523" s="9"/>
      <c r="D523" s="9"/>
      <c r="E523" s="59" t="s">
        <v>253</v>
      </c>
      <c r="F523" s="94"/>
      <c r="G523" s="70"/>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66"/>
      <c r="CJ523" s="9"/>
      <c r="CK523" s="9"/>
      <c r="CL523" s="9"/>
      <c r="CM523" s="9"/>
      <c r="CN523" s="9"/>
      <c r="CO523" s="9"/>
      <c r="CP523" s="16"/>
    </row>
    <row r="524" spans="1:94" ht="15" customHeight="1" x14ac:dyDescent="0.15">
      <c r="A524" s="15"/>
      <c r="B524" s="9"/>
      <c r="C524" s="9"/>
      <c r="D524" s="9"/>
      <c r="E524" s="59" t="s">
        <v>860</v>
      </c>
      <c r="G524" s="94"/>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133"/>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66"/>
      <c r="CJ524" s="9"/>
      <c r="CK524" s="9"/>
      <c r="CL524" s="9"/>
      <c r="CM524" s="9"/>
      <c r="CN524" s="9"/>
      <c r="CO524" s="9"/>
      <c r="CP524" s="16"/>
    </row>
    <row r="525" spans="1:94" ht="15" customHeight="1" x14ac:dyDescent="0.15">
      <c r="A525" s="15"/>
      <c r="B525" s="9"/>
      <c r="C525" s="9"/>
      <c r="D525" s="9"/>
      <c r="E525" s="57"/>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66"/>
      <c r="CJ525" s="9"/>
      <c r="CK525" s="9"/>
      <c r="CL525" s="9"/>
      <c r="CM525" s="9"/>
      <c r="CN525" s="9"/>
      <c r="CO525" s="9"/>
      <c r="CP525" s="16"/>
    </row>
    <row r="526" spans="1:94" ht="15" customHeight="1" x14ac:dyDescent="0.15">
      <c r="A526" s="15"/>
      <c r="B526" s="9"/>
      <c r="C526" s="9"/>
      <c r="D526" s="9"/>
      <c r="E526" s="57" t="s">
        <v>702</v>
      </c>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66"/>
      <c r="CJ526" s="9"/>
      <c r="CK526" s="9"/>
      <c r="CL526" s="9"/>
      <c r="CM526" s="9"/>
      <c r="CN526" s="9"/>
      <c r="CO526" s="9"/>
      <c r="CP526" s="16"/>
    </row>
    <row r="527" spans="1:94" ht="15" customHeight="1" x14ac:dyDescent="0.15">
      <c r="A527" s="15"/>
      <c r="B527" s="9"/>
      <c r="C527" s="9"/>
      <c r="D527" s="9"/>
      <c r="E527" s="57" t="s">
        <v>703</v>
      </c>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66"/>
      <c r="CJ527" s="9"/>
      <c r="CK527" s="9"/>
      <c r="CL527" s="9"/>
      <c r="CM527" s="9"/>
      <c r="CN527" s="9"/>
      <c r="CO527" s="9"/>
      <c r="CP527" s="16"/>
    </row>
    <row r="528" spans="1:94" ht="15" customHeight="1" x14ac:dyDescent="0.15">
      <c r="A528" s="15"/>
      <c r="B528" s="9"/>
      <c r="C528" s="9"/>
      <c r="D528" s="9"/>
      <c r="E528" s="57" t="s">
        <v>704</v>
      </c>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66"/>
      <c r="CJ528" s="9"/>
      <c r="CK528" s="9"/>
      <c r="CL528" s="9"/>
      <c r="CM528" s="9"/>
      <c r="CN528" s="9"/>
      <c r="CO528" s="9"/>
      <c r="CP528" s="16"/>
    </row>
    <row r="529" spans="1:94" ht="15" customHeight="1" x14ac:dyDescent="0.15">
      <c r="A529" s="15"/>
      <c r="B529" s="9"/>
      <c r="C529" s="9"/>
      <c r="D529" s="9"/>
      <c r="E529" s="57" t="s">
        <v>702</v>
      </c>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66"/>
      <c r="CJ529" s="9"/>
      <c r="CK529" s="9"/>
      <c r="CL529" s="9"/>
      <c r="CM529" s="9"/>
      <c r="CN529" s="9"/>
      <c r="CO529" s="9"/>
      <c r="CP529" s="16"/>
    </row>
    <row r="530" spans="1:94" ht="15" customHeight="1" x14ac:dyDescent="0.15">
      <c r="A530" s="15"/>
      <c r="B530" s="9"/>
      <c r="C530" s="9"/>
      <c r="D530" s="9"/>
      <c r="E530" s="59" t="s">
        <v>1292</v>
      </c>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X530" s="9"/>
      <c r="AY530" s="9"/>
      <c r="AZ530" s="9"/>
      <c r="BB530" s="9"/>
      <c r="BC530" s="9"/>
      <c r="BD530" s="156" t="s">
        <v>1120</v>
      </c>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66"/>
      <c r="CJ530" s="9"/>
      <c r="CK530" s="9"/>
      <c r="CL530" s="9"/>
      <c r="CM530" s="9"/>
      <c r="CN530" s="9"/>
      <c r="CO530" s="9"/>
      <c r="CP530" s="16"/>
    </row>
    <row r="531" spans="1:94" ht="15" customHeight="1" x14ac:dyDescent="0.15">
      <c r="A531" s="15"/>
      <c r="B531" s="9"/>
      <c r="C531" s="9"/>
      <c r="D531" s="9"/>
      <c r="E531" s="59" t="s">
        <v>1121</v>
      </c>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B531" s="9"/>
      <c r="BC531" s="9"/>
      <c r="BD531" s="156"/>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66"/>
      <c r="CJ531" s="9"/>
      <c r="CK531" s="9"/>
      <c r="CL531" s="9"/>
      <c r="CM531" s="9"/>
      <c r="CN531" s="9"/>
      <c r="CO531" s="9"/>
      <c r="CP531" s="16"/>
    </row>
    <row r="532" spans="1:94" ht="15" customHeight="1" x14ac:dyDescent="0.15">
      <c r="A532" s="15"/>
      <c r="B532" s="9"/>
      <c r="C532" s="9"/>
      <c r="D532" s="9"/>
      <c r="E532" s="59" t="s">
        <v>254</v>
      </c>
      <c r="G532" s="70"/>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B532" s="9"/>
      <c r="BC532" s="9"/>
      <c r="BD532" s="156"/>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66"/>
      <c r="CJ532" s="9"/>
      <c r="CK532" s="9"/>
      <c r="CL532" s="9"/>
      <c r="CM532" s="9"/>
      <c r="CN532" s="9"/>
      <c r="CO532" s="9"/>
      <c r="CP532" s="16"/>
    </row>
    <row r="533" spans="1:94" ht="15" customHeight="1" x14ac:dyDescent="0.15">
      <c r="A533" s="15"/>
      <c r="B533" s="9"/>
      <c r="C533" s="9"/>
      <c r="D533" s="9"/>
      <c r="E533" s="59" t="s">
        <v>1122</v>
      </c>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B533" s="9"/>
      <c r="BC533" s="9"/>
      <c r="BD533" s="156" t="s">
        <v>1120</v>
      </c>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66"/>
      <c r="CJ533" s="9"/>
      <c r="CK533" s="9"/>
      <c r="CL533" s="9"/>
      <c r="CM533" s="9"/>
      <c r="CN533" s="9"/>
      <c r="CO533" s="9"/>
      <c r="CP533" s="16"/>
    </row>
    <row r="534" spans="1:94" ht="15" customHeight="1" x14ac:dyDescent="0.15">
      <c r="A534" s="15"/>
      <c r="B534" s="9"/>
      <c r="C534" s="9"/>
      <c r="D534" s="9"/>
      <c r="E534" s="57"/>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9"/>
      <c r="CH534" s="9"/>
      <c r="CI534" s="66"/>
      <c r="CJ534" s="9"/>
      <c r="CK534" s="9"/>
      <c r="CL534" s="9"/>
      <c r="CM534" s="9"/>
      <c r="CN534" s="9"/>
      <c r="CO534" s="9"/>
      <c r="CP534" s="16"/>
    </row>
    <row r="535" spans="1:94" ht="15" customHeight="1" x14ac:dyDescent="0.15">
      <c r="A535" s="15"/>
      <c r="B535" s="9"/>
      <c r="C535" s="9"/>
      <c r="D535" s="9"/>
      <c r="E535" s="57" t="s">
        <v>255</v>
      </c>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66"/>
      <c r="CJ535" s="9"/>
      <c r="CK535" s="9"/>
      <c r="CL535" s="9"/>
      <c r="CM535" s="9"/>
      <c r="CN535" s="9"/>
      <c r="CO535" s="9"/>
      <c r="CP535" s="16"/>
    </row>
    <row r="536" spans="1:94" ht="15" customHeight="1" x14ac:dyDescent="0.15">
      <c r="A536" s="15"/>
      <c r="B536" s="9"/>
      <c r="C536" s="9"/>
      <c r="D536" s="9"/>
      <c r="E536" s="57" t="s">
        <v>256</v>
      </c>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66"/>
      <c r="CJ536" s="9"/>
      <c r="CK536" s="9"/>
      <c r="CL536" s="9"/>
      <c r="CM536" s="9"/>
      <c r="CN536" s="9"/>
      <c r="CO536" s="9"/>
      <c r="CP536" s="16"/>
    </row>
    <row r="537" spans="1:94" ht="15" customHeight="1" x14ac:dyDescent="0.15">
      <c r="A537" s="15"/>
      <c r="B537" s="9"/>
      <c r="C537" s="9"/>
      <c r="D537" s="9"/>
      <c r="E537" s="57" t="s">
        <v>257</v>
      </c>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66"/>
      <c r="CJ537" s="9"/>
      <c r="CK537" s="9"/>
      <c r="CL537" s="9"/>
      <c r="CM537" s="9"/>
      <c r="CN537" s="9"/>
      <c r="CO537" s="9"/>
      <c r="CP537" s="16"/>
    </row>
    <row r="538" spans="1:94" ht="15" customHeight="1" x14ac:dyDescent="0.15">
      <c r="A538" s="15"/>
      <c r="B538" s="9"/>
      <c r="C538" s="9"/>
      <c r="D538" s="9"/>
      <c r="E538" s="57"/>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66"/>
      <c r="CJ538" s="9"/>
      <c r="CK538" s="9"/>
      <c r="CL538" s="9"/>
      <c r="CM538" s="9"/>
      <c r="CN538" s="9"/>
      <c r="CO538" s="9"/>
      <c r="CP538" s="16"/>
    </row>
    <row r="539" spans="1:94" ht="15" customHeight="1" x14ac:dyDescent="0.15">
      <c r="A539" s="15"/>
      <c r="B539" s="9"/>
      <c r="C539" s="9"/>
      <c r="D539" s="9"/>
      <c r="E539" s="57" t="s">
        <v>702</v>
      </c>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66"/>
      <c r="CJ539" s="9"/>
      <c r="CK539" s="9"/>
      <c r="CL539" s="9"/>
      <c r="CM539" s="9"/>
      <c r="CN539" s="9"/>
      <c r="CO539" s="9"/>
      <c r="CP539" s="16"/>
    </row>
    <row r="540" spans="1:94" ht="15" customHeight="1" x14ac:dyDescent="0.15">
      <c r="A540" s="15"/>
      <c r="B540" s="9"/>
      <c r="C540" s="9"/>
      <c r="D540" s="9"/>
      <c r="E540" s="57" t="s">
        <v>861</v>
      </c>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66"/>
      <c r="CJ540" s="9"/>
      <c r="CK540" s="9"/>
      <c r="CL540" s="9"/>
      <c r="CM540" s="9"/>
      <c r="CN540" s="9"/>
      <c r="CO540" s="9"/>
      <c r="CP540" s="16"/>
    </row>
    <row r="541" spans="1:94" ht="15" customHeight="1" x14ac:dyDescent="0.15">
      <c r="A541" s="15"/>
      <c r="B541" s="9"/>
      <c r="C541" s="9"/>
      <c r="D541" s="9"/>
      <c r="E541" s="57" t="s">
        <v>862</v>
      </c>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66"/>
      <c r="CJ541" s="9"/>
      <c r="CK541" s="9"/>
      <c r="CL541" s="9"/>
      <c r="CM541" s="9"/>
      <c r="CN541" s="9"/>
      <c r="CO541" s="9"/>
      <c r="CP541" s="16"/>
    </row>
    <row r="542" spans="1:94" ht="15" customHeight="1" x14ac:dyDescent="0.15">
      <c r="A542" s="15"/>
      <c r="B542" s="9"/>
      <c r="C542" s="9"/>
      <c r="D542" s="9"/>
      <c r="E542" s="57" t="s">
        <v>863</v>
      </c>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9"/>
      <c r="CH542" s="9"/>
      <c r="CI542" s="66"/>
      <c r="CJ542" s="9"/>
      <c r="CK542" s="9"/>
      <c r="CL542" s="9"/>
      <c r="CM542" s="9"/>
      <c r="CN542" s="9"/>
      <c r="CO542" s="9"/>
      <c r="CP542" s="16"/>
    </row>
    <row r="543" spans="1:94" ht="15" customHeight="1" x14ac:dyDescent="0.15">
      <c r="A543" s="15"/>
      <c r="B543" s="9"/>
      <c r="C543" s="9"/>
      <c r="D543" s="9"/>
      <c r="E543" s="57" t="s">
        <v>864</v>
      </c>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66"/>
      <c r="CJ543" s="9"/>
      <c r="CK543" s="9"/>
      <c r="CL543" s="9"/>
      <c r="CM543" s="9"/>
      <c r="CN543" s="9"/>
      <c r="CO543" s="9"/>
      <c r="CP543" s="16"/>
    </row>
    <row r="544" spans="1:94" ht="15" customHeight="1" x14ac:dyDescent="0.15">
      <c r="A544" s="15"/>
      <c r="B544" s="9"/>
      <c r="C544" s="9"/>
      <c r="D544" s="9"/>
      <c r="E544" s="57" t="s">
        <v>865</v>
      </c>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9"/>
      <c r="CH544" s="9"/>
      <c r="CI544" s="66"/>
      <c r="CJ544" s="9"/>
      <c r="CK544" s="9"/>
      <c r="CL544" s="9"/>
      <c r="CM544" s="9"/>
      <c r="CN544" s="9"/>
      <c r="CO544" s="9"/>
      <c r="CP544" s="16"/>
    </row>
    <row r="545" spans="1:94" ht="15" customHeight="1" x14ac:dyDescent="0.15">
      <c r="A545" s="15"/>
      <c r="B545" s="9"/>
      <c r="C545" s="9"/>
      <c r="D545" s="9"/>
      <c r="E545" s="57" t="s">
        <v>702</v>
      </c>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9"/>
      <c r="CH545" s="9"/>
      <c r="CI545" s="66"/>
      <c r="CJ545" s="9"/>
      <c r="CK545" s="9"/>
      <c r="CL545" s="9"/>
      <c r="CM545" s="9"/>
      <c r="CN545" s="9"/>
      <c r="CO545" s="9"/>
      <c r="CP545" s="16"/>
    </row>
    <row r="546" spans="1:94" ht="15" customHeight="1" x14ac:dyDescent="0.15">
      <c r="A546" s="15"/>
      <c r="B546" s="9"/>
      <c r="C546" s="9"/>
      <c r="D546" s="9"/>
      <c r="E546" s="59" t="s">
        <v>258</v>
      </c>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66"/>
      <c r="CJ546" s="9"/>
      <c r="CK546" s="9"/>
      <c r="CL546" s="9"/>
      <c r="CM546" s="9"/>
      <c r="CN546" s="9"/>
      <c r="CO546" s="9"/>
      <c r="CP546" s="16"/>
    </row>
    <row r="547" spans="1:94" ht="15" customHeight="1" x14ac:dyDescent="0.15">
      <c r="A547" s="15"/>
      <c r="B547" s="9"/>
      <c r="C547" s="9"/>
      <c r="D547" s="9"/>
      <c r="E547" s="59" t="s">
        <v>706</v>
      </c>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66"/>
      <c r="CJ547" s="9"/>
      <c r="CK547" s="9"/>
      <c r="CL547" s="9"/>
      <c r="CM547" s="9"/>
      <c r="CN547" s="9"/>
      <c r="CO547" s="9"/>
      <c r="CP547" s="16"/>
    </row>
    <row r="548" spans="1:94" ht="15" customHeight="1" x14ac:dyDescent="0.15">
      <c r="A548" s="15"/>
      <c r="B548" s="9"/>
      <c r="C548" s="9"/>
      <c r="D548" s="9"/>
      <c r="E548" s="59" t="s">
        <v>707</v>
      </c>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66"/>
      <c r="CJ548" s="9"/>
      <c r="CK548" s="9"/>
      <c r="CL548" s="9"/>
      <c r="CM548" s="9"/>
      <c r="CN548" s="9"/>
      <c r="CO548" s="9"/>
      <c r="CP548" s="16"/>
    </row>
    <row r="549" spans="1:94" ht="15" customHeight="1" x14ac:dyDescent="0.15">
      <c r="A549" s="15"/>
      <c r="B549" s="9"/>
      <c r="C549" s="9"/>
      <c r="D549" s="9"/>
      <c r="E549" s="57"/>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66"/>
      <c r="CJ549" s="9"/>
      <c r="CK549" s="9"/>
      <c r="CL549" s="9"/>
      <c r="CM549" s="9"/>
      <c r="CN549" s="9"/>
      <c r="CO549" s="9"/>
      <c r="CP549" s="16"/>
    </row>
    <row r="550" spans="1:94" ht="15" customHeight="1" x14ac:dyDescent="0.15">
      <c r="A550" s="15"/>
      <c r="B550" s="9"/>
      <c r="C550" s="9"/>
      <c r="D550" s="9"/>
      <c r="E550" s="57" t="s">
        <v>259</v>
      </c>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66"/>
      <c r="CJ550" s="9"/>
      <c r="CK550" s="9"/>
      <c r="CL550" s="9"/>
      <c r="CM550" s="9"/>
      <c r="CN550" s="9"/>
      <c r="CO550" s="9"/>
      <c r="CP550" s="16"/>
    </row>
    <row r="551" spans="1:94" ht="15" customHeight="1" x14ac:dyDescent="0.15">
      <c r="A551" s="15"/>
      <c r="B551" s="9"/>
      <c r="C551" s="9"/>
      <c r="D551" s="9"/>
      <c r="E551" s="76"/>
      <c r="F551" s="58"/>
      <c r="G551" s="58"/>
      <c r="H551" s="58"/>
      <c r="I551" s="58"/>
      <c r="J551" s="58"/>
      <c r="K551" s="58"/>
      <c r="L551" s="58"/>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2"/>
      <c r="AQ551" s="62"/>
      <c r="AR551" s="62"/>
      <c r="AS551" s="62"/>
      <c r="AT551" s="62"/>
      <c r="AU551" s="62"/>
      <c r="AV551" s="62"/>
      <c r="AW551" s="62"/>
      <c r="AX551" s="62"/>
      <c r="AY551" s="62"/>
      <c r="AZ551" s="62"/>
      <c r="BA551" s="62"/>
      <c r="BB551" s="62"/>
      <c r="BC551" s="62"/>
      <c r="BD551" s="62"/>
      <c r="BE551" s="62"/>
      <c r="BF551" s="62"/>
      <c r="BG551" s="62"/>
      <c r="BH551" s="62"/>
      <c r="BI551" s="62"/>
      <c r="BJ551" s="62"/>
      <c r="BK551" s="62"/>
      <c r="BL551" s="62"/>
      <c r="BM551" s="62"/>
      <c r="BN551" s="62"/>
      <c r="BO551" s="62"/>
      <c r="BP551" s="62"/>
      <c r="BQ551" s="62"/>
      <c r="BR551" s="62"/>
      <c r="BS551" s="62"/>
      <c r="BT551" s="62"/>
      <c r="BU551" s="62"/>
      <c r="BV551" s="62"/>
      <c r="BW551" s="62"/>
      <c r="BX551" s="62"/>
      <c r="BY551" s="62"/>
      <c r="BZ551" s="62"/>
      <c r="CA551" s="62"/>
      <c r="CB551" s="62"/>
      <c r="CC551" s="62"/>
      <c r="CD551" s="62"/>
      <c r="CE551" s="62"/>
      <c r="CF551" s="62"/>
      <c r="CG551" s="62"/>
      <c r="CH551" s="62"/>
      <c r="CI551" s="63"/>
      <c r="CJ551" s="9"/>
      <c r="CK551" s="9"/>
      <c r="CL551" s="9"/>
      <c r="CM551" s="9"/>
      <c r="CN551" s="9"/>
      <c r="CO551" s="9"/>
      <c r="CP551" s="16"/>
    </row>
    <row r="552" spans="1:94" ht="15" customHeight="1" x14ac:dyDescent="0.15">
      <c r="A552" s="15"/>
      <c r="B552" s="9"/>
      <c r="C552" s="9"/>
      <c r="D552" s="9"/>
      <c r="E552" s="2" t="s">
        <v>669</v>
      </c>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c r="CK552" s="9"/>
      <c r="CL552" s="9"/>
      <c r="CM552" s="9"/>
      <c r="CN552" s="9"/>
      <c r="CO552" s="9"/>
      <c r="CP552" s="16"/>
    </row>
    <row r="553" spans="1:94" ht="15" customHeight="1" thickBot="1" x14ac:dyDescent="0.2">
      <c r="A553" s="19"/>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c r="BR553" s="20"/>
      <c r="BS553" s="20"/>
      <c r="BT553" s="20"/>
      <c r="BU553" s="20"/>
      <c r="BV553" s="20"/>
      <c r="BW553" s="20"/>
      <c r="BX553" s="20"/>
      <c r="BY553" s="20"/>
      <c r="BZ553" s="20"/>
      <c r="CA553" s="20"/>
      <c r="CB553" s="20"/>
      <c r="CC553" s="20"/>
      <c r="CD553" s="20"/>
      <c r="CE553" s="20"/>
      <c r="CF553" s="20"/>
      <c r="CG553" s="20"/>
      <c r="CH553" s="20"/>
      <c r="CI553" s="20"/>
      <c r="CJ553" s="20"/>
      <c r="CK553" s="20"/>
      <c r="CL553" s="20"/>
      <c r="CM553" s="20"/>
      <c r="CN553" s="20"/>
      <c r="CO553" s="20"/>
      <c r="CP553" s="21"/>
    </row>
    <row r="554" spans="1:94" ht="15" customHeight="1" x14ac:dyDescent="0.15">
      <c r="A554" s="47"/>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c r="BS554" s="48"/>
      <c r="BT554" s="48"/>
      <c r="BU554" s="48"/>
      <c r="BV554" s="48"/>
      <c r="BW554" s="48"/>
      <c r="BX554" s="48"/>
      <c r="BY554" s="48"/>
      <c r="BZ554" s="48"/>
      <c r="CA554" s="48"/>
      <c r="CB554" s="48"/>
      <c r="CC554" s="48"/>
      <c r="CD554" s="48"/>
      <c r="CE554" s="48"/>
      <c r="CF554" s="48"/>
      <c r="CG554" s="48"/>
      <c r="CH554" s="48"/>
      <c r="CI554" s="48"/>
      <c r="CJ554" s="48"/>
      <c r="CK554" s="48"/>
      <c r="CL554" s="48"/>
      <c r="CM554" s="48"/>
      <c r="CN554" s="48"/>
      <c r="CO554" s="48"/>
      <c r="CP554" s="49"/>
    </row>
    <row r="555" spans="1:94" ht="15" customHeight="1" x14ac:dyDescent="0.15">
      <c r="A555" s="15"/>
      <c r="B555" s="9"/>
      <c r="C555" s="9"/>
      <c r="D555" s="9"/>
      <c r="E555" s="9" t="s">
        <v>670</v>
      </c>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16"/>
    </row>
    <row r="556" spans="1:94" ht="15" customHeight="1" x14ac:dyDescent="0.15">
      <c r="A556" s="15"/>
      <c r="B556" s="9"/>
      <c r="C556" s="9"/>
      <c r="D556" s="9"/>
      <c r="E556" s="81"/>
      <c r="F556" s="67"/>
      <c r="G556" s="67"/>
      <c r="H556" s="67"/>
      <c r="I556" s="67"/>
      <c r="J556" s="67"/>
      <c r="K556" s="67"/>
      <c r="L556" s="67"/>
      <c r="M556" s="64"/>
      <c r="N556" s="64"/>
      <c r="O556" s="64"/>
      <c r="P556" s="64"/>
      <c r="Q556" s="64"/>
      <c r="R556" s="64"/>
      <c r="S556" s="64"/>
      <c r="T556" s="64"/>
      <c r="U556" s="64"/>
      <c r="V556" s="64"/>
      <c r="W556" s="64"/>
      <c r="X556" s="64"/>
      <c r="Y556" s="64"/>
      <c r="Z556" s="64"/>
      <c r="AA556" s="64"/>
      <c r="AB556" s="64"/>
      <c r="AC556" s="64"/>
      <c r="AD556" s="64"/>
      <c r="AE556" s="64"/>
      <c r="AF556" s="64"/>
      <c r="AG556" s="64"/>
      <c r="AH556" s="64"/>
      <c r="AI556" s="64"/>
      <c r="AJ556" s="64"/>
      <c r="AK556" s="64"/>
      <c r="AL556" s="64"/>
      <c r="AM556" s="64"/>
      <c r="AN556" s="64"/>
      <c r="AO556" s="64"/>
      <c r="AP556" s="64"/>
      <c r="AQ556" s="64"/>
      <c r="AR556" s="64"/>
      <c r="AS556" s="64"/>
      <c r="AT556" s="64"/>
      <c r="AU556" s="64"/>
      <c r="AV556" s="64"/>
      <c r="AW556" s="64"/>
      <c r="AX556" s="64"/>
      <c r="AY556" s="64"/>
      <c r="AZ556" s="64"/>
      <c r="BA556" s="64"/>
      <c r="BB556" s="64"/>
      <c r="BC556" s="64"/>
      <c r="BD556" s="64"/>
      <c r="BE556" s="64"/>
      <c r="BF556" s="64"/>
      <c r="BG556" s="64"/>
      <c r="BH556" s="64"/>
      <c r="BI556" s="64"/>
      <c r="BJ556" s="64"/>
      <c r="BK556" s="64"/>
      <c r="BL556" s="64"/>
      <c r="BM556" s="64"/>
      <c r="BN556" s="64"/>
      <c r="BO556" s="64"/>
      <c r="BP556" s="64"/>
      <c r="BQ556" s="64"/>
      <c r="BR556" s="64"/>
      <c r="BS556" s="64"/>
      <c r="BT556" s="64"/>
      <c r="BU556" s="64"/>
      <c r="BV556" s="64"/>
      <c r="BW556" s="64"/>
      <c r="BX556" s="64"/>
      <c r="BY556" s="64"/>
      <c r="BZ556" s="64"/>
      <c r="CA556" s="64"/>
      <c r="CB556" s="64"/>
      <c r="CC556" s="64"/>
      <c r="CD556" s="64"/>
      <c r="CE556" s="64"/>
      <c r="CF556" s="64"/>
      <c r="CG556" s="64"/>
      <c r="CH556" s="64"/>
      <c r="CI556" s="65"/>
      <c r="CJ556" s="9"/>
      <c r="CK556" s="9"/>
      <c r="CL556" s="9"/>
      <c r="CM556" s="9"/>
      <c r="CN556" s="9"/>
      <c r="CO556" s="9"/>
      <c r="CP556" s="16"/>
    </row>
    <row r="557" spans="1:94" ht="15" customHeight="1" x14ac:dyDescent="0.15">
      <c r="A557" s="15"/>
      <c r="B557" s="9"/>
      <c r="C557" s="9"/>
      <c r="D557" s="9"/>
      <c r="E557" s="57"/>
      <c r="G557" s="2" t="s">
        <v>373</v>
      </c>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66"/>
      <c r="CJ557" s="9"/>
      <c r="CK557" s="9"/>
      <c r="CL557" s="9"/>
      <c r="CM557" s="9"/>
      <c r="CN557" s="9"/>
      <c r="CO557" s="9"/>
      <c r="CP557" s="16"/>
    </row>
    <row r="558" spans="1:94" ht="15" customHeight="1" x14ac:dyDescent="0.15">
      <c r="A558" s="15"/>
      <c r="B558" s="9"/>
      <c r="C558" s="9"/>
      <c r="D558" s="9"/>
      <c r="E558" s="57"/>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9"/>
      <c r="CH558" s="9"/>
      <c r="CI558" s="66"/>
      <c r="CJ558" s="9"/>
      <c r="CK558" s="9"/>
      <c r="CL558" s="9"/>
      <c r="CM558" s="9"/>
      <c r="CN558" s="9"/>
      <c r="CO558" s="9"/>
      <c r="CP558" s="16"/>
    </row>
    <row r="559" spans="1:94" ht="15" customHeight="1" x14ac:dyDescent="0.15">
      <c r="A559" s="15"/>
      <c r="B559" s="9"/>
      <c r="C559" s="9"/>
      <c r="D559" s="9"/>
      <c r="E559" s="57" t="s">
        <v>243</v>
      </c>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9"/>
      <c r="CH559" s="9"/>
      <c r="CI559" s="66"/>
      <c r="CJ559" s="9"/>
      <c r="CK559" s="9"/>
      <c r="CL559" s="9"/>
      <c r="CM559" s="9"/>
      <c r="CN559" s="9"/>
      <c r="CO559" s="9"/>
      <c r="CP559" s="16"/>
    </row>
    <row r="560" spans="1:94" ht="15" customHeight="1" x14ac:dyDescent="0.15">
      <c r="A560" s="15"/>
      <c r="B560" s="9"/>
      <c r="C560" s="9"/>
      <c r="D560" s="9"/>
      <c r="E560" s="57"/>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66"/>
      <c r="CJ560" s="9"/>
      <c r="CK560" s="9"/>
      <c r="CL560" s="9"/>
      <c r="CM560" s="9"/>
      <c r="CN560" s="9"/>
      <c r="CO560" s="9"/>
      <c r="CP560" s="16"/>
    </row>
    <row r="561" spans="1:94" ht="15" customHeight="1" x14ac:dyDescent="0.15">
      <c r="A561" s="15"/>
      <c r="B561" s="9"/>
      <c r="C561" s="9"/>
      <c r="D561" s="9"/>
      <c r="E561" s="57" t="s">
        <v>260</v>
      </c>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66"/>
      <c r="CJ561" s="9"/>
      <c r="CK561" s="9"/>
      <c r="CL561" s="9"/>
      <c r="CM561" s="9"/>
      <c r="CN561" s="9"/>
      <c r="CO561" s="9"/>
      <c r="CP561" s="16"/>
    </row>
    <row r="562" spans="1:94" ht="15" customHeight="1" x14ac:dyDescent="0.15">
      <c r="A562" s="15"/>
      <c r="B562" s="9"/>
      <c r="C562" s="9"/>
      <c r="D562" s="9"/>
      <c r="E562" s="59" t="s">
        <v>708</v>
      </c>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9"/>
      <c r="CH562" s="9"/>
      <c r="CI562" s="66"/>
      <c r="CJ562" s="9"/>
      <c r="CK562" s="9"/>
      <c r="CL562" s="9"/>
      <c r="CM562" s="9"/>
      <c r="CN562" s="9"/>
      <c r="CO562" s="9"/>
      <c r="CP562" s="16"/>
    </row>
    <row r="563" spans="1:94" ht="15" customHeight="1" x14ac:dyDescent="0.15">
      <c r="A563" s="15"/>
      <c r="B563" s="9"/>
      <c r="C563" s="9"/>
      <c r="D563" s="9"/>
      <c r="E563" s="57" t="s">
        <v>243</v>
      </c>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9"/>
      <c r="CH563" s="9"/>
      <c r="CI563" s="66"/>
      <c r="CJ563" s="9"/>
      <c r="CK563" s="9"/>
      <c r="CL563" s="9"/>
      <c r="CM563" s="9"/>
      <c r="CN563" s="9"/>
      <c r="CO563" s="9"/>
      <c r="CP563" s="16"/>
    </row>
    <row r="564" spans="1:94" ht="15" customHeight="1" x14ac:dyDescent="0.15">
      <c r="A564" s="15"/>
      <c r="B564" s="9"/>
      <c r="C564" s="9"/>
      <c r="D564" s="9"/>
      <c r="E564" s="57"/>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9"/>
      <c r="CH564" s="9"/>
      <c r="CI564" s="66"/>
      <c r="CJ564" s="9"/>
      <c r="CK564" s="9"/>
      <c r="CL564" s="9"/>
      <c r="CM564" s="9"/>
      <c r="CN564" s="9"/>
      <c r="CO564" s="9"/>
      <c r="CP564" s="16"/>
    </row>
    <row r="565" spans="1:94" ht="15" customHeight="1" x14ac:dyDescent="0.15">
      <c r="A565" s="15"/>
      <c r="B565" s="9"/>
      <c r="C565" s="9"/>
      <c r="D565" s="9"/>
      <c r="E565" s="59" t="s">
        <v>709</v>
      </c>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9"/>
      <c r="CH565" s="9"/>
      <c r="CI565" s="66"/>
      <c r="CJ565" s="9"/>
      <c r="CK565" s="9"/>
      <c r="CL565" s="9"/>
      <c r="CM565" s="9"/>
      <c r="CN565" s="9"/>
      <c r="CO565" s="9"/>
      <c r="CP565" s="16"/>
    </row>
    <row r="566" spans="1:94" ht="15" customHeight="1" x14ac:dyDescent="0.15">
      <c r="A566" s="15"/>
      <c r="B566" s="9"/>
      <c r="C566" s="9"/>
      <c r="D566" s="9"/>
      <c r="E566" s="59" t="s">
        <v>261</v>
      </c>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66"/>
      <c r="CJ566" s="9"/>
      <c r="CK566" s="9"/>
      <c r="CL566" s="9"/>
      <c r="CM566" s="9"/>
      <c r="CN566" s="9"/>
      <c r="CO566" s="9"/>
      <c r="CP566" s="16"/>
    </row>
    <row r="567" spans="1:94" ht="15" customHeight="1" x14ac:dyDescent="0.15">
      <c r="A567" s="15"/>
      <c r="B567" s="9"/>
      <c r="C567" s="9"/>
      <c r="D567" s="9"/>
      <c r="E567" s="59" t="s">
        <v>262</v>
      </c>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66"/>
      <c r="CJ567" s="9"/>
      <c r="CK567" s="9"/>
      <c r="CL567" s="9"/>
      <c r="CM567" s="9"/>
      <c r="CN567" s="9"/>
      <c r="CO567" s="9"/>
      <c r="CP567" s="16"/>
    </row>
    <row r="568" spans="1:94" ht="15" customHeight="1" x14ac:dyDescent="0.15">
      <c r="A568" s="15"/>
      <c r="B568" s="9"/>
      <c r="C568" s="9"/>
      <c r="D568" s="9"/>
      <c r="E568" s="59" t="s">
        <v>263</v>
      </c>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66"/>
      <c r="CJ568" s="9"/>
      <c r="CK568" s="9"/>
      <c r="CL568" s="9"/>
      <c r="CM568" s="9"/>
      <c r="CN568" s="9"/>
      <c r="CO568" s="9"/>
      <c r="CP568" s="16"/>
    </row>
    <row r="569" spans="1:94" ht="15" customHeight="1" x14ac:dyDescent="0.15">
      <c r="A569" s="15"/>
      <c r="B569" s="9"/>
      <c r="C569" s="9"/>
      <c r="D569" s="9"/>
      <c r="E569" s="59" t="s">
        <v>264</v>
      </c>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66"/>
      <c r="CJ569" s="9"/>
      <c r="CK569" s="9"/>
      <c r="CL569" s="9"/>
      <c r="CM569" s="9"/>
      <c r="CN569" s="9"/>
      <c r="CO569" s="9"/>
      <c r="CP569" s="16"/>
    </row>
    <row r="570" spans="1:94" ht="15" customHeight="1" x14ac:dyDescent="0.15">
      <c r="A570" s="15"/>
      <c r="B570" s="9"/>
      <c r="C570" s="9"/>
      <c r="D570" s="9"/>
      <c r="E570" s="57"/>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66"/>
      <c r="CJ570" s="9"/>
      <c r="CK570" s="9"/>
      <c r="CL570" s="9"/>
      <c r="CM570" s="9"/>
      <c r="CN570" s="9"/>
      <c r="CO570" s="9"/>
      <c r="CP570" s="16"/>
    </row>
    <row r="571" spans="1:94" ht="15" customHeight="1" x14ac:dyDescent="0.15">
      <c r="A571" s="15"/>
      <c r="B571" s="9"/>
      <c r="C571" s="9"/>
      <c r="D571" s="9"/>
      <c r="E571" s="57" t="s">
        <v>265</v>
      </c>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66"/>
      <c r="CJ571" s="9"/>
      <c r="CK571" s="9"/>
      <c r="CL571" s="9"/>
      <c r="CM571" s="9"/>
      <c r="CN571" s="9"/>
      <c r="CO571" s="9"/>
      <c r="CP571" s="16"/>
    </row>
    <row r="572" spans="1:94" ht="15" customHeight="1" x14ac:dyDescent="0.15">
      <c r="A572" s="15"/>
      <c r="B572" s="9"/>
      <c r="C572" s="9"/>
      <c r="D572" s="9"/>
      <c r="E572" s="57" t="s">
        <v>266</v>
      </c>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66"/>
      <c r="CJ572" s="9"/>
      <c r="CK572" s="9"/>
      <c r="CL572" s="9"/>
      <c r="CM572" s="9"/>
      <c r="CN572" s="9"/>
      <c r="CO572" s="9"/>
      <c r="CP572" s="16"/>
    </row>
    <row r="573" spans="1:94" ht="15" customHeight="1" x14ac:dyDescent="0.15">
      <c r="A573" s="15"/>
      <c r="B573" s="9"/>
      <c r="C573" s="9"/>
      <c r="D573" s="9"/>
      <c r="E573" s="57" t="s">
        <v>267</v>
      </c>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66"/>
      <c r="CJ573" s="9"/>
      <c r="CK573" s="9"/>
      <c r="CL573" s="9"/>
      <c r="CM573" s="9"/>
      <c r="CN573" s="9"/>
      <c r="CO573" s="9"/>
      <c r="CP573" s="16"/>
    </row>
    <row r="574" spans="1:94" ht="15" customHeight="1" x14ac:dyDescent="0.15">
      <c r="A574" s="15"/>
      <c r="B574" s="9"/>
      <c r="C574" s="9"/>
      <c r="D574" s="9"/>
      <c r="E574" s="57" t="s">
        <v>710</v>
      </c>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66"/>
      <c r="CJ574" s="9"/>
      <c r="CK574" s="9"/>
      <c r="CL574" s="9"/>
      <c r="CM574" s="9"/>
      <c r="CN574" s="9"/>
      <c r="CO574" s="9"/>
      <c r="CP574" s="16"/>
    </row>
    <row r="575" spans="1:94" ht="15" customHeight="1" x14ac:dyDescent="0.15">
      <c r="A575" s="15"/>
      <c r="B575" s="9"/>
      <c r="C575" s="9"/>
      <c r="D575" s="9"/>
      <c r="E575" s="57" t="s">
        <v>693</v>
      </c>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9"/>
      <c r="CH575" s="9"/>
      <c r="CI575" s="66"/>
      <c r="CJ575" s="9"/>
      <c r="CK575" s="9"/>
      <c r="CL575" s="9"/>
      <c r="CM575" s="9"/>
      <c r="CN575" s="9"/>
      <c r="CO575" s="9"/>
      <c r="CP575" s="16"/>
    </row>
    <row r="576" spans="1:94" ht="15" customHeight="1" x14ac:dyDescent="0.15">
      <c r="A576" s="15"/>
      <c r="B576" s="9"/>
      <c r="C576" s="9"/>
      <c r="D576" s="9"/>
      <c r="E576" s="59" t="s">
        <v>1123</v>
      </c>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9"/>
      <c r="CH576" s="9"/>
      <c r="CI576" s="66"/>
      <c r="CJ576" s="9"/>
      <c r="CK576" s="9"/>
      <c r="CL576" s="9"/>
      <c r="CM576" s="9"/>
      <c r="CN576" s="9"/>
      <c r="CO576" s="9"/>
      <c r="CP576" s="16"/>
    </row>
    <row r="577" spans="1:94" ht="15" customHeight="1" x14ac:dyDescent="0.15">
      <c r="A577" s="15"/>
      <c r="B577" s="9"/>
      <c r="C577" s="9"/>
      <c r="D577" s="9"/>
      <c r="E577" s="59" t="s">
        <v>1124</v>
      </c>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66"/>
      <c r="CJ577" s="9"/>
      <c r="CK577" s="9"/>
      <c r="CL577" s="9"/>
      <c r="CM577" s="9"/>
      <c r="CN577" s="9"/>
      <c r="CO577" s="9"/>
      <c r="CP577" s="16"/>
    </row>
    <row r="578" spans="1:94" ht="15" customHeight="1" x14ac:dyDescent="0.15">
      <c r="A578" s="15"/>
      <c r="B578" s="9"/>
      <c r="C578" s="9"/>
      <c r="D578" s="9"/>
      <c r="E578" s="57"/>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9"/>
      <c r="CH578" s="9"/>
      <c r="CI578" s="66"/>
      <c r="CJ578" s="9"/>
      <c r="CK578" s="9"/>
      <c r="CL578" s="9"/>
      <c r="CM578" s="9"/>
      <c r="CN578" s="9"/>
      <c r="CO578" s="9"/>
      <c r="CP578" s="16"/>
    </row>
    <row r="579" spans="1:94" ht="15" customHeight="1" x14ac:dyDescent="0.15">
      <c r="A579" s="15"/>
      <c r="B579" s="9"/>
      <c r="C579" s="9"/>
      <c r="D579" s="9"/>
      <c r="E579" s="59" t="s">
        <v>268</v>
      </c>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9"/>
      <c r="CH579" s="9"/>
      <c r="CI579" s="66"/>
      <c r="CJ579" s="9"/>
      <c r="CK579" s="9"/>
      <c r="CL579" s="9"/>
      <c r="CM579" s="9"/>
      <c r="CN579" s="9"/>
      <c r="CO579" s="9"/>
      <c r="CP579" s="16"/>
    </row>
    <row r="580" spans="1:94" ht="15" customHeight="1" x14ac:dyDescent="0.15">
      <c r="A580" s="15"/>
      <c r="B580" s="9"/>
      <c r="C580" s="9"/>
      <c r="D580" s="9"/>
      <c r="E580" s="57" t="s">
        <v>269</v>
      </c>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66"/>
      <c r="CJ580" s="9"/>
      <c r="CK580" s="9"/>
      <c r="CL580" s="9"/>
      <c r="CM580" s="9"/>
      <c r="CN580" s="9"/>
      <c r="CO580" s="9"/>
      <c r="CP580" s="16"/>
    </row>
    <row r="581" spans="1:94" ht="15" customHeight="1" x14ac:dyDescent="0.15">
      <c r="A581" s="15"/>
      <c r="B581" s="9"/>
      <c r="C581" s="9"/>
      <c r="D581" s="9"/>
      <c r="E581" s="57" t="s">
        <v>270</v>
      </c>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9"/>
      <c r="CH581" s="9"/>
      <c r="CI581" s="66"/>
      <c r="CJ581" s="9"/>
      <c r="CK581" s="9"/>
      <c r="CL581" s="9"/>
      <c r="CM581" s="9"/>
      <c r="CN581" s="9"/>
      <c r="CO581" s="9"/>
      <c r="CP581" s="16"/>
    </row>
    <row r="582" spans="1:94" ht="15" customHeight="1" x14ac:dyDescent="0.15">
      <c r="A582" s="15"/>
      <c r="B582" s="9"/>
      <c r="C582" s="9"/>
      <c r="D582" s="9"/>
      <c r="E582" s="57" t="s">
        <v>271</v>
      </c>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66"/>
      <c r="CJ582" s="9"/>
      <c r="CK582" s="9"/>
      <c r="CL582" s="9"/>
      <c r="CM582" s="9"/>
      <c r="CN582" s="9"/>
      <c r="CO582" s="9"/>
      <c r="CP582" s="16"/>
    </row>
    <row r="583" spans="1:94" ht="15" customHeight="1" x14ac:dyDescent="0.15">
      <c r="A583" s="15"/>
      <c r="B583" s="9"/>
      <c r="C583" s="9"/>
      <c r="D583" s="9"/>
      <c r="E583" s="57" t="s">
        <v>272</v>
      </c>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66"/>
      <c r="CJ583" s="9"/>
      <c r="CK583" s="9"/>
      <c r="CL583" s="9"/>
      <c r="CM583" s="9"/>
      <c r="CN583" s="9"/>
      <c r="CO583" s="9"/>
      <c r="CP583" s="16"/>
    </row>
    <row r="584" spans="1:94" ht="15" customHeight="1" x14ac:dyDescent="0.15">
      <c r="A584" s="15"/>
      <c r="B584" s="9"/>
      <c r="C584" s="9"/>
      <c r="D584" s="9"/>
      <c r="E584" s="59" t="s">
        <v>273</v>
      </c>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66"/>
      <c r="CJ584" s="9"/>
      <c r="CK584" s="9"/>
      <c r="CL584" s="9"/>
      <c r="CM584" s="9"/>
      <c r="CN584" s="9"/>
      <c r="CO584" s="9"/>
      <c r="CP584" s="16"/>
    </row>
    <row r="585" spans="1:94" ht="15" customHeight="1" x14ac:dyDescent="0.15">
      <c r="A585" s="15"/>
      <c r="B585" s="9"/>
      <c r="C585" s="9"/>
      <c r="D585" s="9"/>
      <c r="E585" s="57" t="s">
        <v>274</v>
      </c>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66"/>
      <c r="CJ585" s="9"/>
      <c r="CK585" s="9"/>
      <c r="CL585" s="9"/>
      <c r="CM585" s="9"/>
      <c r="CN585" s="9"/>
      <c r="CO585" s="9"/>
      <c r="CP585" s="16"/>
    </row>
    <row r="586" spans="1:94" ht="15" customHeight="1" x14ac:dyDescent="0.15">
      <c r="A586" s="15"/>
      <c r="B586" s="9"/>
      <c r="C586" s="9"/>
      <c r="D586" s="9"/>
      <c r="E586" s="57" t="s">
        <v>275</v>
      </c>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66"/>
      <c r="CJ586" s="9"/>
      <c r="CK586" s="9"/>
      <c r="CL586" s="9"/>
      <c r="CM586" s="9"/>
      <c r="CN586" s="9"/>
      <c r="CO586" s="9"/>
      <c r="CP586" s="16"/>
    </row>
    <row r="587" spans="1:94" ht="15" customHeight="1" x14ac:dyDescent="0.15">
      <c r="A587" s="15"/>
      <c r="B587" s="9"/>
      <c r="C587" s="9"/>
      <c r="D587" s="9"/>
      <c r="E587" s="57" t="s">
        <v>276</v>
      </c>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9"/>
      <c r="CH587" s="9"/>
      <c r="CI587" s="66"/>
      <c r="CJ587" s="9"/>
      <c r="CK587" s="9"/>
      <c r="CL587" s="9"/>
      <c r="CM587" s="9"/>
      <c r="CN587" s="9"/>
      <c r="CO587" s="9"/>
      <c r="CP587" s="16"/>
    </row>
    <row r="588" spans="1:94" ht="15" customHeight="1" x14ac:dyDescent="0.15">
      <c r="A588" s="15"/>
      <c r="B588" s="9"/>
      <c r="C588" s="9"/>
      <c r="D588" s="9"/>
      <c r="E588" s="59" t="s">
        <v>277</v>
      </c>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66"/>
      <c r="CJ588" s="9"/>
      <c r="CK588" s="9"/>
      <c r="CL588" s="9"/>
      <c r="CM588" s="9"/>
      <c r="CN588" s="9"/>
      <c r="CO588" s="9"/>
      <c r="CP588" s="16"/>
    </row>
    <row r="589" spans="1:94" ht="15" customHeight="1" x14ac:dyDescent="0.15">
      <c r="A589" s="15"/>
      <c r="B589" s="9"/>
      <c r="C589" s="9"/>
      <c r="D589" s="9"/>
      <c r="E589" s="57"/>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9"/>
      <c r="CH589" s="9"/>
      <c r="CI589" s="66"/>
      <c r="CJ589" s="9"/>
      <c r="CK589" s="9"/>
      <c r="CL589" s="9"/>
      <c r="CM589" s="9"/>
      <c r="CN589" s="9"/>
      <c r="CO589" s="9"/>
      <c r="CP589" s="16"/>
    </row>
    <row r="590" spans="1:94" ht="15" customHeight="1" x14ac:dyDescent="0.15">
      <c r="A590" s="15"/>
      <c r="B590" s="9"/>
      <c r="C590" s="9"/>
      <c r="D590" s="9"/>
      <c r="E590" s="57" t="s">
        <v>278</v>
      </c>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9"/>
      <c r="CH590" s="9"/>
      <c r="CI590" s="66"/>
      <c r="CJ590" s="9"/>
      <c r="CK590" s="9"/>
      <c r="CL590" s="9"/>
      <c r="CM590" s="9"/>
      <c r="CN590" s="9"/>
      <c r="CO590" s="9"/>
      <c r="CP590" s="16"/>
    </row>
    <row r="591" spans="1:94" ht="15" customHeight="1" x14ac:dyDescent="0.15">
      <c r="A591" s="15"/>
      <c r="B591" s="9"/>
      <c r="C591" s="9"/>
      <c r="D591" s="9"/>
      <c r="E591" s="57" t="s">
        <v>279</v>
      </c>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9"/>
      <c r="CH591" s="9"/>
      <c r="CI591" s="66"/>
      <c r="CJ591" s="9"/>
      <c r="CK591" s="9"/>
      <c r="CL591" s="9"/>
      <c r="CM591" s="9"/>
      <c r="CN591" s="9"/>
      <c r="CO591" s="9"/>
      <c r="CP591" s="16"/>
    </row>
    <row r="592" spans="1:94" ht="15" customHeight="1" x14ac:dyDescent="0.15">
      <c r="A592" s="15"/>
      <c r="B592" s="9"/>
      <c r="C592" s="9"/>
      <c r="D592" s="9"/>
      <c r="E592" s="57" t="s">
        <v>243</v>
      </c>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9"/>
      <c r="CH592" s="9"/>
      <c r="CI592" s="66"/>
      <c r="CJ592" s="9"/>
      <c r="CK592" s="9"/>
      <c r="CL592" s="9"/>
      <c r="CM592" s="9"/>
      <c r="CN592" s="9"/>
      <c r="CO592" s="9"/>
      <c r="CP592" s="16"/>
    </row>
    <row r="593" spans="1:94" ht="15" customHeight="1" x14ac:dyDescent="0.15">
      <c r="A593" s="15"/>
      <c r="B593" s="9"/>
      <c r="C593" s="9"/>
      <c r="D593" s="9"/>
      <c r="E593" s="57"/>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9"/>
      <c r="CH593" s="9"/>
      <c r="CI593" s="66"/>
      <c r="CJ593" s="9"/>
      <c r="CK593" s="9"/>
      <c r="CL593" s="9"/>
      <c r="CM593" s="9"/>
      <c r="CN593" s="9"/>
      <c r="CO593" s="9"/>
      <c r="CP593" s="16"/>
    </row>
    <row r="594" spans="1:94" ht="15" customHeight="1" x14ac:dyDescent="0.15">
      <c r="A594" s="15"/>
      <c r="B594" s="9"/>
      <c r="C594" s="9"/>
      <c r="D594" s="9"/>
      <c r="E594" s="57"/>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9"/>
      <c r="CH594" s="9"/>
      <c r="CI594" s="66"/>
      <c r="CJ594" s="9"/>
      <c r="CK594" s="9"/>
      <c r="CL594" s="9"/>
      <c r="CM594" s="9"/>
      <c r="CN594" s="9"/>
      <c r="CO594" s="9"/>
      <c r="CP594" s="16"/>
    </row>
    <row r="595" spans="1:94" ht="15" customHeight="1" x14ac:dyDescent="0.15">
      <c r="A595" s="15"/>
      <c r="B595" s="9"/>
      <c r="C595" s="9"/>
      <c r="D595" s="9"/>
      <c r="E595" s="76"/>
      <c r="F595" s="58"/>
      <c r="G595" s="58"/>
      <c r="H595" s="58"/>
      <c r="I595" s="58"/>
      <c r="J595" s="58"/>
      <c r="K595" s="58"/>
      <c r="L595" s="58"/>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2"/>
      <c r="AQ595" s="62"/>
      <c r="AR595" s="62"/>
      <c r="AS595" s="62"/>
      <c r="AT595" s="62"/>
      <c r="AU595" s="62"/>
      <c r="AV595" s="62"/>
      <c r="AW595" s="62"/>
      <c r="AX595" s="62"/>
      <c r="AY595" s="62"/>
      <c r="AZ595" s="62"/>
      <c r="BA595" s="62"/>
      <c r="BB595" s="62"/>
      <c r="BC595" s="62"/>
      <c r="BD595" s="62"/>
      <c r="BE595" s="62"/>
      <c r="BF595" s="62"/>
      <c r="BG595" s="62"/>
      <c r="BH595" s="62"/>
      <c r="BI595" s="62"/>
      <c r="BJ595" s="62"/>
      <c r="BK595" s="62"/>
      <c r="BL595" s="62"/>
      <c r="BM595" s="62"/>
      <c r="BN595" s="62"/>
      <c r="BO595" s="62"/>
      <c r="BP595" s="62"/>
      <c r="BQ595" s="62"/>
      <c r="BR595" s="62"/>
      <c r="BS595" s="62"/>
      <c r="BT595" s="62"/>
      <c r="BU595" s="62"/>
      <c r="BV595" s="62"/>
      <c r="BW595" s="62"/>
      <c r="BX595" s="62"/>
      <c r="BY595" s="62"/>
      <c r="BZ595" s="62"/>
      <c r="CA595" s="62"/>
      <c r="CB595" s="62"/>
      <c r="CC595" s="62"/>
      <c r="CD595" s="62"/>
      <c r="CE595" s="62"/>
      <c r="CF595" s="62"/>
      <c r="CG595" s="62"/>
      <c r="CH595" s="62"/>
      <c r="CI595" s="63"/>
      <c r="CJ595" s="9"/>
      <c r="CK595" s="9"/>
      <c r="CL595" s="9"/>
      <c r="CM595" s="9"/>
      <c r="CN595" s="9"/>
      <c r="CO595" s="9"/>
      <c r="CP595" s="16"/>
    </row>
    <row r="596" spans="1:94" ht="15" customHeight="1" x14ac:dyDescent="0.15">
      <c r="A596" s="15"/>
      <c r="B596" s="9"/>
      <c r="C596" s="9"/>
      <c r="D596" s="9"/>
      <c r="E596" s="2" t="s">
        <v>669</v>
      </c>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c r="CK596" s="9"/>
      <c r="CL596" s="9"/>
      <c r="CM596" s="9"/>
      <c r="CN596" s="9"/>
      <c r="CO596" s="9"/>
      <c r="CP596" s="16"/>
    </row>
    <row r="597" spans="1:94" ht="15" customHeight="1" thickBot="1" x14ac:dyDescent="0.2">
      <c r="A597" s="19"/>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c r="CD597" s="20"/>
      <c r="CE597" s="20"/>
      <c r="CF597" s="20"/>
      <c r="CG597" s="20"/>
      <c r="CH597" s="20"/>
      <c r="CI597" s="20"/>
      <c r="CJ597" s="20"/>
      <c r="CK597" s="20"/>
      <c r="CL597" s="20"/>
      <c r="CM597" s="20"/>
      <c r="CN597" s="20"/>
      <c r="CO597" s="20"/>
      <c r="CP597" s="21"/>
    </row>
    <row r="598" spans="1:94" ht="15" customHeight="1" x14ac:dyDescent="0.15">
      <c r="A598" s="47"/>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8"/>
      <c r="BY598" s="48"/>
      <c r="BZ598" s="48"/>
      <c r="CA598" s="48"/>
      <c r="CB598" s="48"/>
      <c r="CC598" s="48"/>
      <c r="CD598" s="48"/>
      <c r="CE598" s="48"/>
      <c r="CF598" s="48"/>
      <c r="CG598" s="48"/>
      <c r="CH598" s="48"/>
      <c r="CI598" s="48"/>
      <c r="CJ598" s="48"/>
      <c r="CK598" s="48"/>
      <c r="CL598" s="48"/>
      <c r="CM598" s="48"/>
      <c r="CN598" s="48"/>
      <c r="CO598" s="48"/>
      <c r="CP598" s="49"/>
    </row>
    <row r="599" spans="1:94" ht="15" customHeight="1" x14ac:dyDescent="0.15">
      <c r="A599" s="15"/>
      <c r="B599" s="9"/>
      <c r="C599" s="9"/>
      <c r="D599" s="9"/>
      <c r="E599" s="9" t="s">
        <v>670</v>
      </c>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9"/>
      <c r="CH599" s="9"/>
      <c r="CI599" s="9"/>
      <c r="CJ599" s="9"/>
      <c r="CK599" s="9"/>
      <c r="CL599" s="9"/>
      <c r="CM599" s="9"/>
      <c r="CN599" s="9"/>
      <c r="CO599" s="9"/>
      <c r="CP599" s="16"/>
    </row>
    <row r="600" spans="1:94" ht="15" customHeight="1" x14ac:dyDescent="0.15">
      <c r="A600" s="15"/>
      <c r="B600" s="9"/>
      <c r="C600" s="9"/>
      <c r="D600" s="9"/>
      <c r="E600" s="81"/>
      <c r="F600" s="67"/>
      <c r="G600" s="67"/>
      <c r="H600" s="67"/>
      <c r="I600" s="67"/>
      <c r="J600" s="67"/>
      <c r="K600" s="67"/>
      <c r="L600" s="67"/>
      <c r="M600" s="64"/>
      <c r="N600" s="64"/>
      <c r="O600" s="64"/>
      <c r="P600" s="64"/>
      <c r="Q600" s="64"/>
      <c r="R600" s="64"/>
      <c r="S600" s="64"/>
      <c r="T600" s="64"/>
      <c r="U600" s="64"/>
      <c r="V600" s="64"/>
      <c r="W600" s="64"/>
      <c r="X600" s="64"/>
      <c r="Y600" s="64"/>
      <c r="Z600" s="64"/>
      <c r="AA600" s="64"/>
      <c r="AB600" s="64"/>
      <c r="AC600" s="64"/>
      <c r="AD600" s="64"/>
      <c r="AE600" s="64"/>
      <c r="AF600" s="64"/>
      <c r="AG600" s="64"/>
      <c r="AH600" s="64"/>
      <c r="AI600" s="64"/>
      <c r="AJ600" s="64"/>
      <c r="AK600" s="64"/>
      <c r="AL600" s="64"/>
      <c r="AM600" s="64"/>
      <c r="AN600" s="64"/>
      <c r="AO600" s="64"/>
      <c r="AP600" s="64"/>
      <c r="AQ600" s="64"/>
      <c r="AR600" s="64"/>
      <c r="AS600" s="64"/>
      <c r="AT600" s="64"/>
      <c r="AU600" s="64"/>
      <c r="AV600" s="64"/>
      <c r="AW600" s="64"/>
      <c r="AX600" s="64"/>
      <c r="AY600" s="64"/>
      <c r="AZ600" s="64"/>
      <c r="BA600" s="64"/>
      <c r="BB600" s="64"/>
      <c r="BC600" s="64"/>
      <c r="BD600" s="64"/>
      <c r="BE600" s="64"/>
      <c r="BF600" s="64"/>
      <c r="BG600" s="64"/>
      <c r="BH600" s="64"/>
      <c r="BI600" s="64"/>
      <c r="BJ600" s="64"/>
      <c r="BK600" s="64"/>
      <c r="BL600" s="64"/>
      <c r="BM600" s="64"/>
      <c r="BN600" s="64"/>
      <c r="BO600" s="64"/>
      <c r="BP600" s="64"/>
      <c r="BQ600" s="64"/>
      <c r="BR600" s="64"/>
      <c r="BS600" s="64"/>
      <c r="BT600" s="64"/>
      <c r="BU600" s="64"/>
      <c r="BV600" s="64"/>
      <c r="BW600" s="64"/>
      <c r="BX600" s="64"/>
      <c r="BY600" s="64"/>
      <c r="BZ600" s="64"/>
      <c r="CA600" s="64"/>
      <c r="CB600" s="64"/>
      <c r="CC600" s="64"/>
      <c r="CD600" s="64"/>
      <c r="CE600" s="64"/>
      <c r="CF600" s="64"/>
      <c r="CG600" s="64"/>
      <c r="CH600" s="64"/>
      <c r="CI600" s="65"/>
      <c r="CJ600" s="9"/>
      <c r="CK600" s="9"/>
      <c r="CL600" s="9"/>
      <c r="CM600" s="9"/>
      <c r="CN600" s="9"/>
      <c r="CO600" s="9"/>
      <c r="CP600" s="16"/>
    </row>
    <row r="601" spans="1:94" ht="15" customHeight="1" x14ac:dyDescent="0.15">
      <c r="A601" s="15"/>
      <c r="B601" s="9"/>
      <c r="C601" s="9"/>
      <c r="D601" s="9"/>
      <c r="E601" s="57" t="s">
        <v>867</v>
      </c>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9"/>
      <c r="CH601" s="9"/>
      <c r="CI601" s="66"/>
      <c r="CJ601" s="9"/>
      <c r="CK601" s="9"/>
      <c r="CL601" s="9"/>
      <c r="CM601" s="9"/>
      <c r="CN601" s="9"/>
      <c r="CO601" s="9"/>
      <c r="CP601" s="16"/>
    </row>
    <row r="602" spans="1:94" ht="15" customHeight="1" x14ac:dyDescent="0.15">
      <c r="A602" s="15"/>
      <c r="B602" s="9"/>
      <c r="C602" s="9"/>
      <c r="D602" s="9"/>
      <c r="E602" s="57" t="s">
        <v>868</v>
      </c>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66"/>
      <c r="CJ602" s="9"/>
      <c r="CK602" s="9"/>
      <c r="CL602" s="9"/>
      <c r="CM602" s="9"/>
      <c r="CN602" s="9"/>
      <c r="CO602" s="9"/>
      <c r="CP602" s="16"/>
    </row>
    <row r="603" spans="1:94" ht="15" customHeight="1" x14ac:dyDescent="0.15">
      <c r="A603" s="15"/>
      <c r="B603" s="9"/>
      <c r="C603" s="9"/>
      <c r="D603" s="9"/>
      <c r="E603" s="57" t="s">
        <v>693</v>
      </c>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66"/>
      <c r="CJ603" s="9"/>
      <c r="CK603" s="9"/>
      <c r="CL603" s="9"/>
      <c r="CM603" s="9"/>
      <c r="CN603" s="9"/>
      <c r="CO603" s="9"/>
      <c r="CP603" s="16"/>
    </row>
    <row r="604" spans="1:94" ht="15" customHeight="1" x14ac:dyDescent="0.15">
      <c r="A604" s="15"/>
      <c r="B604" s="9"/>
      <c r="C604" s="9"/>
      <c r="D604" s="9"/>
      <c r="E604" s="57" t="s">
        <v>869</v>
      </c>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66"/>
      <c r="CJ604" s="9"/>
      <c r="CK604" s="9"/>
      <c r="CL604" s="9"/>
      <c r="CM604" s="9"/>
      <c r="CN604" s="9"/>
      <c r="CO604" s="9"/>
      <c r="CP604" s="16"/>
    </row>
    <row r="605" spans="1:94" ht="15" customHeight="1" x14ac:dyDescent="0.15">
      <c r="A605" s="15"/>
      <c r="B605" s="9"/>
      <c r="C605" s="9"/>
      <c r="D605" s="9"/>
      <c r="E605" s="57" t="s">
        <v>870</v>
      </c>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66"/>
      <c r="CJ605" s="9"/>
      <c r="CK605" s="9"/>
      <c r="CL605" s="9"/>
      <c r="CM605" s="9"/>
      <c r="CN605" s="9"/>
      <c r="CO605" s="9"/>
      <c r="CP605" s="16"/>
    </row>
    <row r="606" spans="1:94" ht="15" customHeight="1" x14ac:dyDescent="0.15">
      <c r="A606" s="15"/>
      <c r="B606" s="9"/>
      <c r="C606" s="9"/>
      <c r="D606" s="9"/>
      <c r="E606" s="57" t="s">
        <v>871</v>
      </c>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9"/>
      <c r="CH606" s="9"/>
      <c r="CI606" s="66"/>
      <c r="CJ606" s="9"/>
      <c r="CK606" s="9"/>
      <c r="CL606" s="9"/>
      <c r="CM606" s="9"/>
      <c r="CN606" s="9"/>
      <c r="CO606" s="9"/>
      <c r="CP606" s="16"/>
    </row>
    <row r="607" spans="1:94" ht="15" customHeight="1" x14ac:dyDescent="0.15">
      <c r="A607" s="15"/>
      <c r="B607" s="9"/>
      <c r="C607" s="9"/>
      <c r="D607" s="9"/>
      <c r="E607" s="57" t="s">
        <v>693</v>
      </c>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9"/>
      <c r="CH607" s="9"/>
      <c r="CI607" s="66"/>
      <c r="CJ607" s="9"/>
      <c r="CK607" s="9"/>
      <c r="CL607" s="9"/>
      <c r="CM607" s="9"/>
      <c r="CN607" s="9"/>
      <c r="CO607" s="9"/>
      <c r="CP607" s="16"/>
    </row>
    <row r="608" spans="1:94" ht="15" customHeight="1" x14ac:dyDescent="0.15">
      <c r="A608" s="15"/>
      <c r="B608" s="9"/>
      <c r="C608" s="9"/>
      <c r="D608" s="9"/>
      <c r="E608" s="57" t="s">
        <v>872</v>
      </c>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9"/>
      <c r="CH608" s="9"/>
      <c r="CI608" s="66"/>
      <c r="CJ608" s="9"/>
      <c r="CK608" s="9"/>
      <c r="CL608" s="9"/>
      <c r="CM608" s="9"/>
      <c r="CN608" s="9"/>
      <c r="CO608" s="9"/>
      <c r="CP608" s="16"/>
    </row>
    <row r="609" spans="1:94" ht="15" customHeight="1" x14ac:dyDescent="0.15">
      <c r="A609" s="15"/>
      <c r="B609" s="9"/>
      <c r="C609" s="9"/>
      <c r="D609" s="9"/>
      <c r="E609" s="57" t="s">
        <v>873</v>
      </c>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BX609" s="9"/>
      <c r="BY609" s="9"/>
      <c r="BZ609" s="9"/>
      <c r="CA609" s="9"/>
      <c r="CB609" s="9"/>
      <c r="CC609" s="9"/>
      <c r="CD609" s="9"/>
      <c r="CE609" s="9"/>
      <c r="CF609" s="9"/>
      <c r="CG609" s="9"/>
      <c r="CH609" s="9"/>
      <c r="CI609" s="66"/>
      <c r="CJ609" s="9"/>
      <c r="CK609" s="9"/>
      <c r="CL609" s="9"/>
      <c r="CM609" s="9"/>
      <c r="CN609" s="9"/>
      <c r="CO609" s="9"/>
      <c r="CP609" s="16"/>
    </row>
    <row r="610" spans="1:94" ht="15" customHeight="1" x14ac:dyDescent="0.15">
      <c r="A610" s="15"/>
      <c r="B610" s="9"/>
      <c r="C610" s="9"/>
      <c r="D610" s="9"/>
      <c r="E610" s="57" t="s">
        <v>874</v>
      </c>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c r="BY610" s="9"/>
      <c r="BZ610" s="9"/>
      <c r="CA610" s="9"/>
      <c r="CB610" s="9"/>
      <c r="CC610" s="9"/>
      <c r="CD610" s="9"/>
      <c r="CE610" s="9"/>
      <c r="CF610" s="9"/>
      <c r="CG610" s="9"/>
      <c r="CH610" s="9"/>
      <c r="CI610" s="66"/>
      <c r="CJ610" s="9"/>
      <c r="CK610" s="9"/>
      <c r="CL610" s="9"/>
      <c r="CM610" s="9"/>
      <c r="CN610" s="9"/>
      <c r="CO610" s="9"/>
      <c r="CP610" s="16"/>
    </row>
    <row r="611" spans="1:94" ht="15" customHeight="1" x14ac:dyDescent="0.15">
      <c r="A611" s="15"/>
      <c r="B611" s="9"/>
      <c r="C611" s="9"/>
      <c r="D611" s="9"/>
      <c r="E611" s="57" t="s">
        <v>243</v>
      </c>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BX611" s="9"/>
      <c r="BY611" s="9"/>
      <c r="BZ611" s="9"/>
      <c r="CA611" s="9"/>
      <c r="CB611" s="9"/>
      <c r="CC611" s="9"/>
      <c r="CD611" s="9"/>
      <c r="CE611" s="9"/>
      <c r="CF611" s="9"/>
      <c r="CG611" s="9"/>
      <c r="CH611" s="9"/>
      <c r="CI611" s="66"/>
      <c r="CJ611" s="9"/>
      <c r="CK611" s="9"/>
      <c r="CL611" s="9"/>
      <c r="CM611" s="9"/>
      <c r="CN611" s="9"/>
      <c r="CO611" s="9"/>
      <c r="CP611" s="16"/>
    </row>
    <row r="612" spans="1:94" ht="15" customHeight="1" x14ac:dyDescent="0.15">
      <c r="A612" s="15"/>
      <c r="B612" s="9"/>
      <c r="C612" s="9"/>
      <c r="D612" s="9"/>
      <c r="E612" s="57"/>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9"/>
      <c r="CH612" s="9"/>
      <c r="CI612" s="66"/>
      <c r="CJ612" s="9"/>
      <c r="CK612" s="9"/>
      <c r="CL612" s="9"/>
      <c r="CM612" s="9"/>
      <c r="CN612" s="9"/>
      <c r="CO612" s="9"/>
      <c r="CP612" s="16"/>
    </row>
    <row r="613" spans="1:94" ht="15" customHeight="1" x14ac:dyDescent="0.15">
      <c r="A613" s="15"/>
      <c r="B613" s="9"/>
      <c r="C613" s="9"/>
      <c r="D613" s="9"/>
      <c r="E613" s="6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9"/>
      <c r="CH613" s="9"/>
      <c r="CI613" s="66"/>
      <c r="CJ613" s="9"/>
      <c r="CK613" s="9"/>
      <c r="CL613" s="9"/>
      <c r="CM613" s="9"/>
      <c r="CN613" s="9"/>
      <c r="CO613" s="9"/>
      <c r="CP613" s="16"/>
    </row>
    <row r="614" spans="1:94" ht="15" customHeight="1" x14ac:dyDescent="0.15">
      <c r="A614" s="15"/>
      <c r="B614" s="9"/>
      <c r="C614" s="9"/>
      <c r="D614" s="9"/>
      <c r="E614" s="59" t="s">
        <v>280</v>
      </c>
      <c r="F614" s="94"/>
      <c r="G614" s="94"/>
      <c r="H614" s="94"/>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9"/>
      <c r="CH614" s="9"/>
      <c r="CI614" s="66"/>
      <c r="CJ614" s="9"/>
      <c r="CK614" s="9"/>
      <c r="CL614" s="9"/>
      <c r="CM614" s="9"/>
      <c r="CN614" s="9"/>
      <c r="CO614" s="9"/>
      <c r="CP614" s="16"/>
    </row>
    <row r="615" spans="1:94" ht="15" customHeight="1" x14ac:dyDescent="0.15">
      <c r="A615" s="15"/>
      <c r="B615" s="9"/>
      <c r="C615" s="9"/>
      <c r="D615" s="9"/>
      <c r="E615" s="59" t="s">
        <v>281</v>
      </c>
      <c r="F615" s="94"/>
      <c r="G615" s="94"/>
      <c r="H615" s="94"/>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66"/>
      <c r="CJ615" s="9"/>
      <c r="CK615" s="9"/>
      <c r="CL615" s="9"/>
      <c r="CM615" s="9"/>
      <c r="CN615" s="9"/>
      <c r="CO615" s="9"/>
      <c r="CP615" s="16"/>
    </row>
    <row r="616" spans="1:94" ht="15" customHeight="1" x14ac:dyDescent="0.15">
      <c r="A616" s="15"/>
      <c r="B616" s="9"/>
      <c r="C616" s="9"/>
      <c r="D616" s="9"/>
      <c r="E616" s="59" t="s">
        <v>1125</v>
      </c>
      <c r="F616" s="94"/>
      <c r="G616" s="94"/>
      <c r="H616" s="94"/>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9"/>
      <c r="CH616" s="9"/>
      <c r="CI616" s="66"/>
      <c r="CJ616" s="9"/>
      <c r="CK616" s="9"/>
      <c r="CL616" s="9"/>
      <c r="CM616" s="9"/>
      <c r="CN616" s="9"/>
      <c r="CO616" s="9"/>
      <c r="CP616" s="16"/>
    </row>
    <row r="617" spans="1:94" ht="15" customHeight="1" x14ac:dyDescent="0.15">
      <c r="A617" s="15"/>
      <c r="B617" s="9"/>
      <c r="C617" s="9"/>
      <c r="D617" s="9"/>
      <c r="E617" s="59" t="s">
        <v>1126</v>
      </c>
      <c r="F617" s="94"/>
      <c r="G617" s="94"/>
      <c r="H617" s="94"/>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9"/>
      <c r="CH617" s="9"/>
      <c r="CI617" s="66"/>
      <c r="CJ617" s="9"/>
      <c r="CK617" s="9"/>
      <c r="CL617" s="9"/>
      <c r="CM617" s="9"/>
      <c r="CN617" s="9"/>
      <c r="CO617" s="9"/>
      <c r="CP617" s="16"/>
    </row>
    <row r="618" spans="1:94" ht="15" customHeight="1" x14ac:dyDescent="0.15">
      <c r="A618" s="15"/>
      <c r="B618" s="9"/>
      <c r="C618" s="9"/>
      <c r="D618" s="9"/>
      <c r="E618" s="59" t="s">
        <v>1127</v>
      </c>
      <c r="F618" s="94"/>
      <c r="G618" s="94"/>
      <c r="H618" s="94"/>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9"/>
      <c r="CH618" s="9"/>
      <c r="CI618" s="66"/>
      <c r="CJ618" s="9"/>
      <c r="CK618" s="9"/>
      <c r="CL618" s="9"/>
      <c r="CM618" s="9"/>
      <c r="CN618" s="9"/>
      <c r="CO618" s="9"/>
      <c r="CP618" s="16"/>
    </row>
    <row r="619" spans="1:94" ht="15" customHeight="1" x14ac:dyDescent="0.15">
      <c r="A619" s="15"/>
      <c r="B619" s="9"/>
      <c r="C619" s="9"/>
      <c r="D619" s="9"/>
      <c r="E619" s="59" t="s">
        <v>1128</v>
      </c>
      <c r="F619" s="94"/>
      <c r="G619" s="94"/>
      <c r="H619" s="94"/>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66"/>
      <c r="CJ619" s="9"/>
      <c r="CK619" s="9"/>
      <c r="CL619" s="9"/>
      <c r="CM619" s="9"/>
      <c r="CN619" s="9"/>
      <c r="CO619" s="9"/>
      <c r="CP619" s="16"/>
    </row>
    <row r="620" spans="1:94" ht="15" customHeight="1" x14ac:dyDescent="0.15">
      <c r="A620" s="15"/>
      <c r="B620" s="9"/>
      <c r="C620" s="9"/>
      <c r="D620" s="9"/>
      <c r="E620" s="59" t="s">
        <v>1129</v>
      </c>
      <c r="F620" s="94"/>
      <c r="G620" s="94"/>
      <c r="H620" s="94"/>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9"/>
      <c r="CH620" s="9"/>
      <c r="CI620" s="66"/>
      <c r="CJ620" s="9"/>
      <c r="CK620" s="9"/>
      <c r="CL620" s="9"/>
      <c r="CM620" s="9"/>
      <c r="CN620" s="9"/>
      <c r="CO620" s="9"/>
      <c r="CP620" s="16"/>
    </row>
    <row r="621" spans="1:94" ht="15" customHeight="1" x14ac:dyDescent="0.15">
      <c r="A621" s="15"/>
      <c r="B621" s="9"/>
      <c r="C621" s="9"/>
      <c r="D621" s="9"/>
      <c r="E621" s="59" t="s">
        <v>1130</v>
      </c>
      <c r="F621" s="94"/>
      <c r="G621" s="94"/>
      <c r="H621" s="94"/>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9"/>
      <c r="CH621" s="9"/>
      <c r="CI621" s="66"/>
      <c r="CJ621" s="9"/>
      <c r="CK621" s="9"/>
      <c r="CL621" s="9"/>
      <c r="CM621" s="9"/>
      <c r="CN621" s="9"/>
      <c r="CO621" s="9"/>
      <c r="CP621" s="16"/>
    </row>
    <row r="622" spans="1:94" ht="15" customHeight="1" x14ac:dyDescent="0.15">
      <c r="A622" s="15"/>
      <c r="B622" s="9"/>
      <c r="C622" s="9"/>
      <c r="D622" s="9"/>
      <c r="E622" s="59" t="s">
        <v>1131</v>
      </c>
      <c r="F622" s="94"/>
      <c r="G622" s="94"/>
      <c r="H622" s="94"/>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9"/>
      <c r="CH622" s="9"/>
      <c r="CI622" s="66"/>
      <c r="CJ622" s="9"/>
      <c r="CK622" s="9"/>
      <c r="CL622" s="9"/>
      <c r="CM622" s="9"/>
      <c r="CN622" s="9"/>
      <c r="CO622" s="9"/>
      <c r="CP622" s="16"/>
    </row>
    <row r="623" spans="1:94" ht="15" customHeight="1" x14ac:dyDescent="0.15">
      <c r="A623" s="15"/>
      <c r="B623" s="9"/>
      <c r="C623" s="9"/>
      <c r="D623" s="9"/>
      <c r="E623" s="59" t="s">
        <v>1128</v>
      </c>
      <c r="F623" s="94"/>
      <c r="G623" s="94"/>
      <c r="H623" s="94"/>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66"/>
      <c r="CJ623" s="9"/>
      <c r="CK623" s="9"/>
      <c r="CL623" s="9"/>
      <c r="CM623" s="9"/>
      <c r="CN623" s="9"/>
      <c r="CO623" s="9"/>
      <c r="CP623" s="16"/>
    </row>
    <row r="624" spans="1:94" ht="15" customHeight="1" x14ac:dyDescent="0.15">
      <c r="A624" s="15"/>
      <c r="B624" s="9"/>
      <c r="C624" s="9"/>
      <c r="D624" s="9"/>
      <c r="E624" s="59" t="s">
        <v>1132</v>
      </c>
      <c r="F624" s="94"/>
      <c r="G624" s="94"/>
      <c r="H624" s="94"/>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9"/>
      <c r="CH624" s="9"/>
      <c r="CI624" s="66"/>
      <c r="CJ624" s="9"/>
      <c r="CK624" s="9"/>
      <c r="CL624" s="9"/>
      <c r="CM624" s="9"/>
      <c r="CN624" s="9"/>
      <c r="CO624" s="9"/>
      <c r="CP624" s="16"/>
    </row>
    <row r="625" spans="1:94" ht="15" customHeight="1" x14ac:dyDescent="0.15">
      <c r="A625" s="15"/>
      <c r="B625" s="9"/>
      <c r="C625" s="9"/>
      <c r="D625" s="9"/>
      <c r="E625" s="59" t="s">
        <v>1133</v>
      </c>
      <c r="F625" s="94"/>
      <c r="G625" s="94"/>
      <c r="H625" s="94"/>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66"/>
      <c r="CJ625" s="9"/>
      <c r="CK625" s="9"/>
      <c r="CL625" s="9"/>
      <c r="CM625" s="9"/>
      <c r="CN625" s="9"/>
      <c r="CO625" s="9"/>
      <c r="CP625" s="16"/>
    </row>
    <row r="626" spans="1:94" ht="15" customHeight="1" x14ac:dyDescent="0.15">
      <c r="A626" s="15"/>
      <c r="B626" s="9"/>
      <c r="C626" s="9"/>
      <c r="D626" s="9"/>
      <c r="E626" s="59" t="s">
        <v>1134</v>
      </c>
      <c r="F626" s="94"/>
      <c r="G626" s="94"/>
      <c r="H626" s="94"/>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66"/>
      <c r="CJ626" s="9"/>
      <c r="CK626" s="9"/>
      <c r="CL626" s="9"/>
      <c r="CM626" s="9"/>
      <c r="CN626" s="9"/>
      <c r="CO626" s="9"/>
      <c r="CP626" s="16"/>
    </row>
    <row r="627" spans="1:94" ht="15" customHeight="1" x14ac:dyDescent="0.15">
      <c r="A627" s="15"/>
      <c r="B627" s="9"/>
      <c r="C627" s="9"/>
      <c r="D627" s="9"/>
      <c r="E627" s="59" t="s">
        <v>1128</v>
      </c>
      <c r="F627" s="94"/>
      <c r="G627" s="94"/>
      <c r="H627" s="94"/>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9"/>
      <c r="CH627" s="9"/>
      <c r="CI627" s="66"/>
      <c r="CJ627" s="9"/>
      <c r="CK627" s="9"/>
      <c r="CL627" s="9"/>
      <c r="CM627" s="9"/>
      <c r="CN627" s="9"/>
      <c r="CO627" s="9"/>
      <c r="CP627" s="16"/>
    </row>
    <row r="628" spans="1:94" ht="15" customHeight="1" x14ac:dyDescent="0.15">
      <c r="A628" s="15"/>
      <c r="B628" s="9"/>
      <c r="C628" s="9"/>
      <c r="D628" s="9"/>
      <c r="E628" s="59"/>
      <c r="F628" s="94"/>
      <c r="G628" s="94"/>
      <c r="H628" s="94"/>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66"/>
      <c r="CJ628" s="9"/>
      <c r="CK628" s="9"/>
      <c r="CL628" s="9"/>
      <c r="CM628" s="9"/>
      <c r="CN628" s="9"/>
      <c r="CO628" s="9"/>
      <c r="CP628" s="16"/>
    </row>
    <row r="629" spans="1:94" ht="15" customHeight="1" x14ac:dyDescent="0.15">
      <c r="A629" s="15"/>
      <c r="B629" s="9"/>
      <c r="C629" s="9"/>
      <c r="D629" s="9"/>
      <c r="E629" s="59" t="s">
        <v>284</v>
      </c>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9"/>
      <c r="CH629" s="9"/>
      <c r="CI629" s="66"/>
      <c r="CJ629" s="9"/>
      <c r="CK629" s="9"/>
      <c r="CL629" s="9"/>
      <c r="CM629" s="9"/>
      <c r="CN629" s="9"/>
      <c r="CO629" s="9"/>
      <c r="CP629" s="16"/>
    </row>
    <row r="630" spans="1:94" ht="15" customHeight="1" x14ac:dyDescent="0.15">
      <c r="A630" s="15"/>
      <c r="B630" s="9"/>
      <c r="C630" s="9"/>
      <c r="D630" s="9"/>
      <c r="E630" s="59" t="s">
        <v>1135</v>
      </c>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9"/>
      <c r="CH630" s="9"/>
      <c r="CI630" s="66"/>
      <c r="CJ630" s="9"/>
      <c r="CK630" s="9"/>
      <c r="CL630" s="9"/>
      <c r="CM630" s="9"/>
      <c r="CN630" s="9"/>
      <c r="CO630" s="9"/>
      <c r="CP630" s="16"/>
    </row>
    <row r="631" spans="1:94" ht="15" customHeight="1" x14ac:dyDescent="0.15">
      <c r="A631" s="15"/>
      <c r="B631" s="9"/>
      <c r="C631" s="9"/>
      <c r="D631" s="9"/>
      <c r="E631" s="59" t="s">
        <v>1136</v>
      </c>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9"/>
      <c r="CH631" s="9"/>
      <c r="CI631" s="66"/>
      <c r="CJ631" s="9"/>
      <c r="CK631" s="9"/>
      <c r="CL631" s="9"/>
      <c r="CM631" s="9"/>
      <c r="CN631" s="9"/>
      <c r="CO631" s="9"/>
      <c r="CP631" s="16"/>
    </row>
    <row r="632" spans="1:94" ht="15" customHeight="1" x14ac:dyDescent="0.15">
      <c r="A632" s="15"/>
      <c r="B632" s="9"/>
      <c r="C632" s="9"/>
      <c r="D632" s="9"/>
      <c r="E632" s="59" t="s">
        <v>243</v>
      </c>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9"/>
      <c r="CH632" s="9"/>
      <c r="CI632" s="66"/>
      <c r="CJ632" s="9"/>
      <c r="CK632" s="9"/>
      <c r="CL632" s="9"/>
      <c r="CM632" s="9"/>
      <c r="CN632" s="9"/>
      <c r="CO632" s="9"/>
      <c r="CP632" s="16"/>
    </row>
    <row r="633" spans="1:94" ht="15" customHeight="1" x14ac:dyDescent="0.15">
      <c r="A633" s="15"/>
      <c r="B633" s="9"/>
      <c r="C633" s="9"/>
      <c r="D633" s="9"/>
      <c r="E633" s="5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9"/>
      <c r="CH633" s="9"/>
      <c r="CI633" s="66"/>
      <c r="CJ633" s="9"/>
      <c r="CK633" s="9"/>
      <c r="CL633" s="9"/>
      <c r="CM633" s="9"/>
      <c r="CN633" s="9"/>
      <c r="CO633" s="9"/>
      <c r="CP633" s="16"/>
    </row>
    <row r="634" spans="1:94" ht="15" customHeight="1" x14ac:dyDescent="0.15">
      <c r="A634" s="15"/>
      <c r="B634" s="9"/>
      <c r="C634" s="9"/>
      <c r="D634" s="9"/>
      <c r="E634" s="59" t="s">
        <v>866</v>
      </c>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BX634" s="9"/>
      <c r="BY634" s="9"/>
      <c r="BZ634" s="9"/>
      <c r="CA634" s="9"/>
      <c r="CB634" s="9"/>
      <c r="CC634" s="9"/>
      <c r="CD634" s="9"/>
      <c r="CE634" s="9"/>
      <c r="CF634" s="9"/>
      <c r="CG634" s="9"/>
      <c r="CH634" s="9"/>
      <c r="CI634" s="66"/>
      <c r="CJ634" s="9"/>
      <c r="CK634" s="9"/>
      <c r="CL634" s="9"/>
      <c r="CM634" s="9"/>
      <c r="CN634" s="9"/>
      <c r="CO634" s="9"/>
      <c r="CP634" s="16"/>
    </row>
    <row r="635" spans="1:94" ht="15" customHeight="1" x14ac:dyDescent="0.15">
      <c r="A635" s="15"/>
      <c r="B635" s="9"/>
      <c r="C635" s="9"/>
      <c r="D635" s="9"/>
      <c r="E635" s="82"/>
      <c r="F635" s="58"/>
      <c r="G635" s="58"/>
      <c r="H635" s="58"/>
      <c r="I635" s="58"/>
      <c r="J635" s="58"/>
      <c r="K635" s="58"/>
      <c r="L635" s="58"/>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2"/>
      <c r="AQ635" s="62"/>
      <c r="AR635" s="62"/>
      <c r="AS635" s="62"/>
      <c r="AT635" s="62"/>
      <c r="AU635" s="62"/>
      <c r="AV635" s="62"/>
      <c r="AW635" s="62"/>
      <c r="AX635" s="62"/>
      <c r="AY635" s="62"/>
      <c r="AZ635" s="62"/>
      <c r="BA635" s="62"/>
      <c r="BB635" s="62"/>
      <c r="BC635" s="62"/>
      <c r="BD635" s="62"/>
      <c r="BE635" s="62"/>
      <c r="BF635" s="62"/>
      <c r="BG635" s="62"/>
      <c r="BH635" s="62"/>
      <c r="BI635" s="62"/>
      <c r="BJ635" s="62"/>
      <c r="BK635" s="62"/>
      <c r="BL635" s="62"/>
      <c r="BM635" s="62"/>
      <c r="BN635" s="62"/>
      <c r="BO635" s="62"/>
      <c r="BP635" s="62"/>
      <c r="BQ635" s="62"/>
      <c r="BR635" s="62"/>
      <c r="BS635" s="62"/>
      <c r="BT635" s="62"/>
      <c r="BU635" s="62"/>
      <c r="BV635" s="62"/>
      <c r="BW635" s="62"/>
      <c r="BX635" s="62"/>
      <c r="BY635" s="62"/>
      <c r="BZ635" s="62"/>
      <c r="CA635" s="62"/>
      <c r="CB635" s="62"/>
      <c r="CC635" s="62"/>
      <c r="CD635" s="62"/>
      <c r="CE635" s="62"/>
      <c r="CF635" s="62"/>
      <c r="CG635" s="62"/>
      <c r="CH635" s="62"/>
      <c r="CI635" s="63"/>
      <c r="CJ635" s="9"/>
      <c r="CK635" s="9"/>
      <c r="CL635" s="9"/>
      <c r="CM635" s="9"/>
      <c r="CN635" s="9"/>
      <c r="CO635" s="9"/>
      <c r="CP635" s="16"/>
    </row>
    <row r="636" spans="1:94" ht="15" customHeight="1" x14ac:dyDescent="0.15">
      <c r="A636" s="15"/>
      <c r="B636" s="9"/>
      <c r="C636" s="9"/>
      <c r="D636" s="9"/>
      <c r="E636" s="2" t="s">
        <v>669</v>
      </c>
      <c r="CJ636" s="9"/>
      <c r="CK636" s="9"/>
      <c r="CL636" s="9"/>
      <c r="CM636" s="9"/>
      <c r="CN636" s="9"/>
      <c r="CO636" s="9"/>
      <c r="CP636" s="16"/>
    </row>
    <row r="637" spans="1:94" ht="15" customHeight="1" thickBot="1" x14ac:dyDescent="0.2">
      <c r="A637" s="19"/>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20"/>
      <c r="CC637" s="20"/>
      <c r="CD637" s="20"/>
      <c r="CE637" s="20"/>
      <c r="CF637" s="20"/>
      <c r="CG637" s="20"/>
      <c r="CH637" s="20"/>
      <c r="CI637" s="20"/>
      <c r="CJ637" s="20"/>
      <c r="CK637" s="20"/>
      <c r="CL637" s="20"/>
      <c r="CM637" s="20"/>
      <c r="CN637" s="20"/>
      <c r="CO637" s="20"/>
      <c r="CP637" s="21"/>
    </row>
    <row r="638" spans="1:94" ht="15" customHeight="1" x14ac:dyDescent="0.15">
      <c r="A638" s="47"/>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48"/>
      <c r="BJ638" s="48"/>
      <c r="BK638" s="48"/>
      <c r="BL638" s="48"/>
      <c r="BM638" s="48"/>
      <c r="BN638" s="48"/>
      <c r="BO638" s="48"/>
      <c r="BP638" s="48"/>
      <c r="BQ638" s="48"/>
      <c r="BR638" s="48"/>
      <c r="BS638" s="48"/>
      <c r="BT638" s="48"/>
      <c r="BU638" s="48"/>
      <c r="BV638" s="48"/>
      <c r="BW638" s="48"/>
      <c r="BX638" s="48"/>
      <c r="BY638" s="48"/>
      <c r="BZ638" s="48"/>
      <c r="CA638" s="48"/>
      <c r="CB638" s="48"/>
      <c r="CC638" s="48"/>
      <c r="CD638" s="48"/>
      <c r="CE638" s="48"/>
      <c r="CF638" s="48"/>
      <c r="CG638" s="48"/>
      <c r="CH638" s="48"/>
      <c r="CI638" s="48"/>
      <c r="CJ638" s="48"/>
      <c r="CK638" s="48"/>
      <c r="CL638" s="48"/>
      <c r="CM638" s="48"/>
      <c r="CN638" s="48"/>
      <c r="CO638" s="48"/>
      <c r="CP638" s="49"/>
    </row>
    <row r="639" spans="1:94" ht="15" customHeight="1" x14ac:dyDescent="0.15">
      <c r="A639" s="15"/>
      <c r="B639" s="9"/>
      <c r="C639" s="9"/>
      <c r="D639" s="9"/>
      <c r="E639" s="9" t="s">
        <v>670</v>
      </c>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9"/>
      <c r="BX639" s="9"/>
      <c r="BY639" s="9"/>
      <c r="BZ639" s="9"/>
      <c r="CA639" s="9"/>
      <c r="CB639" s="9"/>
      <c r="CC639" s="9"/>
      <c r="CD639" s="9"/>
      <c r="CE639" s="9"/>
      <c r="CF639" s="9"/>
      <c r="CG639" s="9"/>
      <c r="CH639" s="9"/>
      <c r="CI639" s="9"/>
      <c r="CJ639" s="9"/>
      <c r="CK639" s="9"/>
      <c r="CL639" s="9"/>
      <c r="CM639" s="9"/>
      <c r="CN639" s="9"/>
      <c r="CO639" s="9"/>
      <c r="CP639" s="16"/>
    </row>
    <row r="640" spans="1:94" ht="15" customHeight="1" x14ac:dyDescent="0.15">
      <c r="A640" s="15"/>
      <c r="B640" s="9"/>
      <c r="C640" s="9"/>
      <c r="D640" s="9"/>
      <c r="E640" s="68" t="s">
        <v>1293</v>
      </c>
      <c r="F640" s="67"/>
      <c r="G640" s="67"/>
      <c r="H640" s="67"/>
      <c r="I640" s="67"/>
      <c r="J640" s="67"/>
      <c r="K640" s="67"/>
      <c r="L640" s="67"/>
      <c r="M640" s="64"/>
      <c r="N640" s="64"/>
      <c r="O640" s="64"/>
      <c r="P640" s="64"/>
      <c r="Q640" s="64"/>
      <c r="R640" s="64"/>
      <c r="S640" s="64"/>
      <c r="T640" s="64"/>
      <c r="U640" s="64"/>
      <c r="V640" s="64"/>
      <c r="W640" s="64"/>
      <c r="X640" s="64"/>
      <c r="Y640" s="64"/>
      <c r="Z640" s="64"/>
      <c r="AA640" s="64"/>
      <c r="AB640" s="64"/>
      <c r="AC640" s="64"/>
      <c r="AD640" s="64"/>
      <c r="AE640" s="64"/>
      <c r="AF640" s="64"/>
      <c r="AG640" s="64"/>
      <c r="AH640" s="64"/>
      <c r="AI640" s="64"/>
      <c r="AJ640" s="64"/>
      <c r="AK640" s="64"/>
      <c r="AL640" s="64"/>
      <c r="AM640" s="64"/>
      <c r="AN640" s="64"/>
      <c r="AO640" s="64"/>
      <c r="AP640" s="64"/>
      <c r="AQ640" s="64"/>
      <c r="AR640" s="64"/>
      <c r="AS640" s="64"/>
      <c r="AT640" s="64"/>
      <c r="AU640" s="64"/>
      <c r="AV640" s="64"/>
      <c r="AW640" s="64"/>
      <c r="AX640" s="64"/>
      <c r="AY640" s="64"/>
      <c r="AZ640" s="64"/>
      <c r="BA640" s="64"/>
      <c r="BB640" s="64"/>
      <c r="BC640" s="64"/>
      <c r="BD640" s="64"/>
      <c r="BE640" s="64"/>
      <c r="BF640" s="64"/>
      <c r="BG640" s="64"/>
      <c r="BH640" s="64"/>
      <c r="BI640" s="64"/>
      <c r="BJ640" s="64"/>
      <c r="BK640" s="64"/>
      <c r="BL640" s="64"/>
      <c r="BM640" s="64"/>
      <c r="BN640" s="64"/>
      <c r="BO640" s="64"/>
      <c r="BP640" s="64"/>
      <c r="BQ640" s="64"/>
      <c r="BR640" s="64"/>
      <c r="BS640" s="64"/>
      <c r="BT640" s="64"/>
      <c r="BU640" s="64"/>
      <c r="BV640" s="64"/>
      <c r="BW640" s="64"/>
      <c r="BX640" s="64"/>
      <c r="BY640" s="64"/>
      <c r="BZ640" s="64"/>
      <c r="CA640" s="64"/>
      <c r="CB640" s="64"/>
      <c r="CC640" s="64"/>
      <c r="CD640" s="64"/>
      <c r="CE640" s="64"/>
      <c r="CF640" s="64"/>
      <c r="CG640" s="64"/>
      <c r="CH640" s="64"/>
      <c r="CI640" s="65"/>
      <c r="CJ640" s="9"/>
      <c r="CK640" s="9"/>
      <c r="CL640" s="9"/>
      <c r="CM640" s="9"/>
      <c r="CN640" s="9"/>
      <c r="CO640" s="9"/>
      <c r="CP640" s="16"/>
    </row>
    <row r="641" spans="1:94" ht="15" customHeight="1" x14ac:dyDescent="0.15">
      <c r="A641" s="15"/>
      <c r="B641" s="9"/>
      <c r="C641" s="9"/>
      <c r="D641" s="9"/>
      <c r="E641" s="59" t="s">
        <v>1294</v>
      </c>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9"/>
      <c r="BX641" s="9"/>
      <c r="BY641" s="9"/>
      <c r="BZ641" s="9"/>
      <c r="CA641" s="9"/>
      <c r="CB641" s="9"/>
      <c r="CC641" s="9"/>
      <c r="CD641" s="9"/>
      <c r="CE641" s="9"/>
      <c r="CF641" s="9"/>
      <c r="CG641" s="9"/>
      <c r="CH641" s="9"/>
      <c r="CI641" s="66"/>
      <c r="CJ641" s="9"/>
      <c r="CK641" s="9"/>
      <c r="CL641" s="9"/>
      <c r="CM641" s="9"/>
      <c r="CN641" s="9"/>
      <c r="CO641" s="9"/>
      <c r="CP641" s="16"/>
    </row>
    <row r="642" spans="1:94" ht="15" customHeight="1" x14ac:dyDescent="0.15">
      <c r="A642" s="15"/>
      <c r="B642" s="9"/>
      <c r="C642" s="9"/>
      <c r="D642" s="9"/>
      <c r="E642" s="59" t="s">
        <v>1295</v>
      </c>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c r="BW642" s="9"/>
      <c r="BX642" s="9"/>
      <c r="BY642" s="9"/>
      <c r="BZ642" s="9"/>
      <c r="CA642" s="9"/>
      <c r="CB642" s="9"/>
      <c r="CC642" s="9"/>
      <c r="CD642" s="9"/>
      <c r="CE642" s="9"/>
      <c r="CF642" s="9"/>
      <c r="CG642" s="9"/>
      <c r="CH642" s="9"/>
      <c r="CI642" s="66"/>
      <c r="CJ642" s="9"/>
      <c r="CK642" s="9"/>
      <c r="CL642" s="9"/>
      <c r="CM642" s="9"/>
      <c r="CN642" s="9"/>
      <c r="CO642" s="9"/>
      <c r="CP642" s="16"/>
    </row>
    <row r="643" spans="1:94" ht="15" customHeight="1" x14ac:dyDescent="0.15">
      <c r="A643" s="15"/>
      <c r="B643" s="9"/>
      <c r="C643" s="9"/>
      <c r="D643" s="9"/>
      <c r="E643" s="59" t="s">
        <v>1296</v>
      </c>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c r="BW643" s="9"/>
      <c r="BX643" s="9"/>
      <c r="BY643" s="9"/>
      <c r="BZ643" s="9"/>
      <c r="CA643" s="9"/>
      <c r="CB643" s="9"/>
      <c r="CC643" s="9"/>
      <c r="CD643" s="9"/>
      <c r="CE643" s="9"/>
      <c r="CF643" s="9"/>
      <c r="CG643" s="9"/>
      <c r="CH643" s="9"/>
      <c r="CI643" s="66"/>
      <c r="CJ643" s="9"/>
      <c r="CK643" s="9"/>
      <c r="CL643" s="9"/>
      <c r="CM643" s="9"/>
      <c r="CN643" s="9"/>
      <c r="CO643" s="9"/>
      <c r="CP643" s="16"/>
    </row>
    <row r="644" spans="1:94" ht="15" customHeight="1" x14ac:dyDescent="0.15">
      <c r="A644" s="15"/>
      <c r="B644" s="9"/>
      <c r="C644" s="9"/>
      <c r="D644" s="9"/>
      <c r="E644" s="59" t="s">
        <v>1297</v>
      </c>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c r="BW644" s="9"/>
      <c r="BX644" s="9"/>
      <c r="BY644" s="9"/>
      <c r="BZ644" s="9"/>
      <c r="CA644" s="9"/>
      <c r="CB644" s="9"/>
      <c r="CC644" s="9"/>
      <c r="CD644" s="9"/>
      <c r="CE644" s="9"/>
      <c r="CF644" s="9"/>
      <c r="CG644" s="9"/>
      <c r="CH644" s="9"/>
      <c r="CI644" s="66"/>
      <c r="CJ644" s="9"/>
      <c r="CK644" s="9"/>
      <c r="CL644" s="9"/>
      <c r="CM644" s="9"/>
      <c r="CN644" s="9"/>
      <c r="CO644" s="9"/>
      <c r="CP644" s="16"/>
    </row>
    <row r="645" spans="1:94" ht="15" customHeight="1" x14ac:dyDescent="0.15">
      <c r="A645" s="15"/>
      <c r="B645" s="9"/>
      <c r="C645" s="9"/>
      <c r="D645" s="9"/>
      <c r="E645" s="82" t="s">
        <v>243</v>
      </c>
      <c r="F645" s="58"/>
      <c r="G645" s="58"/>
      <c r="H645" s="58"/>
      <c r="I645" s="58"/>
      <c r="J645" s="58"/>
      <c r="K645" s="58"/>
      <c r="L645" s="58"/>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2"/>
      <c r="AQ645" s="62"/>
      <c r="AR645" s="62"/>
      <c r="AS645" s="62"/>
      <c r="AT645" s="62"/>
      <c r="AU645" s="62"/>
      <c r="AV645" s="62"/>
      <c r="AW645" s="62"/>
      <c r="AX645" s="62"/>
      <c r="AY645" s="62"/>
      <c r="AZ645" s="62"/>
      <c r="BA645" s="62"/>
      <c r="BB645" s="62"/>
      <c r="BC645" s="62"/>
      <c r="BD645" s="62"/>
      <c r="BE645" s="62"/>
      <c r="BF645" s="62"/>
      <c r="BG645" s="62"/>
      <c r="BH645" s="62"/>
      <c r="BI645" s="62"/>
      <c r="BJ645" s="62"/>
      <c r="BK645" s="62"/>
      <c r="BL645" s="62"/>
      <c r="BM645" s="62"/>
      <c r="BN645" s="62"/>
      <c r="BO645" s="62"/>
      <c r="BP645" s="62"/>
      <c r="BQ645" s="62"/>
      <c r="BR645" s="62"/>
      <c r="BS645" s="62"/>
      <c r="BT645" s="62"/>
      <c r="BU645" s="62"/>
      <c r="BV645" s="62"/>
      <c r="BW645" s="62"/>
      <c r="BX645" s="62"/>
      <c r="BY645" s="62"/>
      <c r="BZ645" s="62"/>
      <c r="CA645" s="62"/>
      <c r="CB645" s="62"/>
      <c r="CC645" s="62"/>
      <c r="CD645" s="62"/>
      <c r="CE645" s="62"/>
      <c r="CF645" s="62"/>
      <c r="CG645" s="62"/>
      <c r="CH645" s="62"/>
      <c r="CI645" s="63"/>
      <c r="CJ645" s="9"/>
      <c r="CK645" s="9"/>
      <c r="CL645" s="9"/>
      <c r="CM645" s="9"/>
      <c r="CN645" s="9"/>
      <c r="CO645" s="9"/>
      <c r="CP645" s="16"/>
    </row>
    <row r="646" spans="1:94" ht="15" customHeight="1" x14ac:dyDescent="0.15">
      <c r="A646" s="15"/>
      <c r="B646" s="9"/>
      <c r="C646" s="9"/>
      <c r="D646" s="9"/>
      <c r="E646" s="94"/>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c r="BW646" s="9"/>
      <c r="BX646" s="9"/>
      <c r="BY646" s="9"/>
      <c r="BZ646" s="9"/>
      <c r="CA646" s="9"/>
      <c r="CB646" s="9"/>
      <c r="CC646" s="9"/>
      <c r="CD646" s="9"/>
      <c r="CE646" s="9"/>
      <c r="CF646" s="9"/>
      <c r="CG646" s="9"/>
      <c r="CH646" s="9"/>
      <c r="CI646" s="9"/>
      <c r="CJ646" s="9"/>
      <c r="CK646" s="9"/>
      <c r="CL646" s="9"/>
      <c r="CM646" s="9"/>
      <c r="CN646" s="9"/>
      <c r="CO646" s="9"/>
      <c r="CP646" s="16"/>
    </row>
    <row r="647" spans="1:94" ht="15" customHeight="1" x14ac:dyDescent="0.15">
      <c r="A647" s="15"/>
      <c r="B647" s="9"/>
      <c r="C647" s="9"/>
      <c r="D647" s="9"/>
      <c r="E647" s="94"/>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c r="BW647" s="9"/>
      <c r="BX647" s="9"/>
      <c r="BY647" s="9"/>
      <c r="BZ647" s="9"/>
      <c r="CA647" s="9"/>
      <c r="CB647" s="9"/>
      <c r="CC647" s="9"/>
      <c r="CD647" s="9"/>
      <c r="CE647" s="9"/>
      <c r="CF647" s="9"/>
      <c r="CG647" s="9"/>
      <c r="CH647" s="9"/>
      <c r="CI647" s="9"/>
      <c r="CJ647" s="9"/>
      <c r="CK647" s="9"/>
      <c r="CL647" s="9"/>
      <c r="CM647" s="9"/>
      <c r="CN647" s="9"/>
      <c r="CO647" s="9"/>
      <c r="CP647" s="16"/>
    </row>
    <row r="648" spans="1:94" ht="15" customHeight="1" x14ac:dyDescent="0.15">
      <c r="A648" s="15"/>
      <c r="B648" s="9"/>
      <c r="C648" s="9"/>
      <c r="D648" s="9"/>
      <c r="E648" s="9" t="s">
        <v>1140</v>
      </c>
      <c r="F648" s="9"/>
      <c r="G648" s="9"/>
      <c r="H648" s="9"/>
      <c r="I648" s="9"/>
      <c r="J648" s="9"/>
      <c r="K648" s="9"/>
      <c r="L648" s="9"/>
      <c r="M648" s="9"/>
      <c r="N648" s="9"/>
      <c r="O648" s="9"/>
      <c r="P648" s="9"/>
      <c r="Q648" s="9"/>
      <c r="R648" s="9"/>
      <c r="S648" s="9"/>
      <c r="T648" s="9"/>
      <c r="U648" s="9"/>
      <c r="V648" s="9"/>
      <c r="W648" s="9"/>
      <c r="X648" s="9"/>
      <c r="Y648" s="159" t="s">
        <v>1141</v>
      </c>
      <c r="Z648" s="9"/>
      <c r="AA648" s="9"/>
      <c r="AB648" s="9"/>
      <c r="AC648" s="9"/>
      <c r="AD648" s="9"/>
      <c r="AE648" s="9"/>
      <c r="AF648" s="9"/>
      <c r="AG648" s="9"/>
      <c r="AH648" s="9"/>
      <c r="AI648" s="9"/>
      <c r="AJ648" s="9"/>
      <c r="AK648" s="73"/>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9"/>
      <c r="BX648" s="9"/>
      <c r="BY648" s="9"/>
      <c r="BZ648" s="9"/>
      <c r="CA648" s="9"/>
      <c r="CB648" s="9"/>
      <c r="CC648" s="9"/>
      <c r="CD648" s="9"/>
      <c r="CE648" s="9"/>
      <c r="CF648" s="9"/>
      <c r="CG648" s="9"/>
      <c r="CH648" s="9"/>
      <c r="CI648" s="9"/>
      <c r="CJ648" s="9"/>
      <c r="CK648" s="9"/>
      <c r="CL648" s="9"/>
      <c r="CM648" s="9"/>
      <c r="CN648" s="9"/>
      <c r="CO648" s="9"/>
      <c r="CP648" s="16"/>
    </row>
    <row r="649" spans="1:94" ht="15" customHeight="1" x14ac:dyDescent="0.15">
      <c r="A649" s="15"/>
      <c r="B649" s="9"/>
      <c r="C649" s="9"/>
      <c r="D649" s="9"/>
      <c r="E649" s="78"/>
      <c r="F649" s="64"/>
      <c r="G649" s="64"/>
      <c r="H649" s="64"/>
      <c r="I649" s="64"/>
      <c r="J649" s="64"/>
      <c r="K649" s="64"/>
      <c r="L649" s="64"/>
      <c r="M649" s="64"/>
      <c r="N649" s="64"/>
      <c r="O649" s="64"/>
      <c r="P649" s="64"/>
      <c r="Q649" s="64"/>
      <c r="R649" s="64"/>
      <c r="S649" s="64"/>
      <c r="T649" s="64"/>
      <c r="U649" s="64"/>
      <c r="V649" s="64"/>
      <c r="W649" s="64"/>
      <c r="X649" s="64"/>
      <c r="Y649" s="160"/>
      <c r="Z649" s="64"/>
      <c r="AA649" s="64"/>
      <c r="AB649" s="64"/>
      <c r="AC649" s="64"/>
      <c r="AD649" s="64"/>
      <c r="AE649" s="64"/>
      <c r="AF649" s="64"/>
      <c r="AG649" s="64"/>
      <c r="AH649" s="64"/>
      <c r="AI649" s="64"/>
      <c r="AJ649" s="64"/>
      <c r="AK649" s="71"/>
      <c r="AL649" s="64"/>
      <c r="AM649" s="64"/>
      <c r="AN649" s="64"/>
      <c r="AO649" s="64"/>
      <c r="AP649" s="64"/>
      <c r="AQ649" s="64"/>
      <c r="AR649" s="64"/>
      <c r="AS649" s="64"/>
      <c r="AT649" s="64"/>
      <c r="AU649" s="64"/>
      <c r="AV649" s="64"/>
      <c r="AW649" s="64"/>
      <c r="AX649" s="64"/>
      <c r="AY649" s="64"/>
      <c r="AZ649" s="64"/>
      <c r="BA649" s="64"/>
      <c r="BB649" s="64"/>
      <c r="BC649" s="64"/>
      <c r="BD649" s="64"/>
      <c r="BE649" s="64"/>
      <c r="BF649" s="64"/>
      <c r="BG649" s="64"/>
      <c r="BH649" s="64"/>
      <c r="BI649" s="64"/>
      <c r="BJ649" s="64"/>
      <c r="BK649" s="64"/>
      <c r="BL649" s="64"/>
      <c r="BM649" s="64"/>
      <c r="BN649" s="64"/>
      <c r="BO649" s="64"/>
      <c r="BP649" s="64"/>
      <c r="BQ649" s="64"/>
      <c r="BR649" s="64"/>
      <c r="BS649" s="64"/>
      <c r="BT649" s="64"/>
      <c r="BU649" s="64"/>
      <c r="BV649" s="64"/>
      <c r="BW649" s="64"/>
      <c r="BX649" s="64"/>
      <c r="BY649" s="64"/>
      <c r="BZ649" s="64"/>
      <c r="CA649" s="64"/>
      <c r="CB649" s="64"/>
      <c r="CC649" s="64"/>
      <c r="CD649" s="64"/>
      <c r="CE649" s="64"/>
      <c r="CF649" s="64"/>
      <c r="CG649" s="64"/>
      <c r="CH649" s="64"/>
      <c r="CI649" s="65"/>
      <c r="CJ649" s="9"/>
      <c r="CK649" s="9"/>
      <c r="CL649" s="9"/>
      <c r="CM649" s="9"/>
      <c r="CN649" s="9"/>
      <c r="CO649" s="9"/>
      <c r="CP649" s="16"/>
    </row>
    <row r="650" spans="1:94" ht="15" customHeight="1" x14ac:dyDescent="0.15">
      <c r="A650" s="15"/>
      <c r="B650" s="9"/>
      <c r="C650" s="9"/>
      <c r="D650" s="9"/>
      <c r="E650" s="109" t="s">
        <v>1142</v>
      </c>
      <c r="F650" s="9"/>
      <c r="G650" s="9"/>
      <c r="H650" s="9"/>
      <c r="I650" s="9"/>
      <c r="J650" s="9"/>
      <c r="K650" s="9"/>
      <c r="L650" s="9"/>
      <c r="M650" s="9"/>
      <c r="N650" s="9"/>
      <c r="O650" s="9"/>
      <c r="P650" s="9"/>
      <c r="Q650" s="9"/>
      <c r="R650" s="9"/>
      <c r="S650" s="9"/>
      <c r="T650" s="9"/>
      <c r="U650" s="9"/>
      <c r="V650" s="9"/>
      <c r="W650" s="9"/>
      <c r="X650" s="9"/>
      <c r="Y650" s="159"/>
      <c r="Z650" s="9"/>
      <c r="AA650" s="9"/>
      <c r="AB650" s="9"/>
      <c r="AC650" s="9"/>
      <c r="AD650" s="9"/>
      <c r="AE650" s="9"/>
      <c r="AF650" s="9"/>
      <c r="AG650" s="9"/>
      <c r="AH650" s="9"/>
      <c r="AI650" s="9"/>
      <c r="AJ650" s="9"/>
      <c r="AK650" s="73"/>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9"/>
      <c r="BX650" s="9"/>
      <c r="BY650" s="9"/>
      <c r="BZ650" s="9"/>
      <c r="CA650" s="9"/>
      <c r="CB650" s="9"/>
      <c r="CC650" s="9"/>
      <c r="CD650" s="9"/>
      <c r="CE650" s="9"/>
      <c r="CF650" s="9"/>
      <c r="CG650" s="9"/>
      <c r="CH650" s="9"/>
      <c r="CI650" s="66"/>
      <c r="CJ650" s="9"/>
      <c r="CK650" s="9"/>
      <c r="CL650" s="9"/>
      <c r="CM650" s="9"/>
      <c r="CN650" s="9"/>
      <c r="CO650" s="9"/>
      <c r="CP650" s="16"/>
    </row>
    <row r="651" spans="1:94" ht="15" customHeight="1" x14ac:dyDescent="0.15">
      <c r="A651" s="15"/>
      <c r="B651" s="9"/>
      <c r="C651" s="9"/>
      <c r="D651" s="9"/>
      <c r="E651" s="80"/>
      <c r="F651" s="9"/>
      <c r="G651" s="9"/>
      <c r="H651" s="9"/>
      <c r="I651" s="9"/>
      <c r="J651" s="9"/>
      <c r="K651" s="9"/>
      <c r="L651" s="9"/>
      <c r="M651" s="9"/>
      <c r="N651" s="9"/>
      <c r="O651" s="9"/>
      <c r="P651" s="9"/>
      <c r="Q651" s="9"/>
      <c r="R651" s="9"/>
      <c r="S651" s="9"/>
      <c r="T651" s="9"/>
      <c r="U651" s="9"/>
      <c r="V651" s="9"/>
      <c r="W651" s="9"/>
      <c r="X651" s="9"/>
      <c r="Y651" s="159"/>
      <c r="Z651" s="9"/>
      <c r="AA651" s="9"/>
      <c r="AB651" s="9"/>
      <c r="AC651" s="9"/>
      <c r="AD651" s="9"/>
      <c r="AE651" s="9"/>
      <c r="AF651" s="9"/>
      <c r="AG651" s="9"/>
      <c r="AH651" s="9"/>
      <c r="AI651" s="9"/>
      <c r="AJ651" s="9"/>
      <c r="AK651" s="73"/>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c r="BY651" s="9"/>
      <c r="BZ651" s="9"/>
      <c r="CA651" s="9"/>
      <c r="CB651" s="9"/>
      <c r="CC651" s="9"/>
      <c r="CD651" s="9"/>
      <c r="CE651" s="9"/>
      <c r="CF651" s="9"/>
      <c r="CG651" s="9"/>
      <c r="CH651" s="9"/>
      <c r="CI651" s="66"/>
      <c r="CJ651" s="9"/>
      <c r="CK651" s="9"/>
      <c r="CL651" s="9"/>
      <c r="CM651" s="9"/>
      <c r="CN651" s="9"/>
      <c r="CO651" s="9"/>
      <c r="CP651" s="16"/>
    </row>
    <row r="652" spans="1:94" ht="15" customHeight="1" x14ac:dyDescent="0.15">
      <c r="A652" s="15"/>
      <c r="B652" s="9"/>
      <c r="C652" s="9"/>
      <c r="D652" s="9"/>
      <c r="E652" s="80" t="s">
        <v>1145</v>
      </c>
      <c r="F652" s="9"/>
      <c r="G652" s="9"/>
      <c r="H652" s="9"/>
      <c r="I652" s="9"/>
      <c r="J652" s="9"/>
      <c r="K652" s="9"/>
      <c r="L652" s="9"/>
      <c r="M652" s="9"/>
      <c r="N652" s="9"/>
      <c r="O652" s="9"/>
      <c r="P652" s="9"/>
      <c r="Q652" s="9"/>
      <c r="R652" s="9"/>
      <c r="S652" s="9"/>
      <c r="T652" s="9"/>
      <c r="U652" s="9"/>
      <c r="V652" s="9"/>
      <c r="W652" s="9"/>
      <c r="X652" s="9"/>
      <c r="Y652" s="159"/>
      <c r="Z652" s="9"/>
      <c r="AA652" s="9"/>
      <c r="AB652" s="9"/>
      <c r="AC652" s="9"/>
      <c r="AD652" s="9"/>
      <c r="AE652" s="9"/>
      <c r="AF652" s="9"/>
      <c r="AG652" s="9"/>
      <c r="AH652" s="9"/>
      <c r="AI652" s="9"/>
      <c r="AJ652" s="9"/>
      <c r="AK652" s="73"/>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66"/>
      <c r="CJ652" s="9"/>
      <c r="CK652" s="9"/>
      <c r="CL652" s="9"/>
      <c r="CM652" s="9"/>
      <c r="CN652" s="9"/>
      <c r="CO652" s="9"/>
      <c r="CP652" s="16"/>
    </row>
    <row r="653" spans="1:94" ht="15" customHeight="1" x14ac:dyDescent="0.15">
      <c r="A653" s="15"/>
      <c r="B653" s="9"/>
      <c r="C653" s="9"/>
      <c r="D653" s="9"/>
      <c r="E653" s="80" t="s">
        <v>284</v>
      </c>
      <c r="F653" s="9"/>
      <c r="G653" s="9"/>
      <c r="H653" s="9"/>
      <c r="I653" s="9"/>
      <c r="J653" s="9"/>
      <c r="K653" s="9"/>
      <c r="L653" s="9"/>
      <c r="M653" s="9"/>
      <c r="N653" s="9"/>
      <c r="O653" s="9"/>
      <c r="P653" s="9"/>
      <c r="Q653" s="9"/>
      <c r="R653" s="9"/>
      <c r="S653" s="9"/>
      <c r="T653" s="9"/>
      <c r="U653" s="9"/>
      <c r="V653" s="9"/>
      <c r="W653" s="9"/>
      <c r="X653" s="9"/>
      <c r="Y653" s="159"/>
      <c r="Z653" s="9"/>
      <c r="AA653" s="9"/>
      <c r="AB653" s="9"/>
      <c r="AC653" s="9"/>
      <c r="AD653" s="9"/>
      <c r="AE653" s="9"/>
      <c r="AF653" s="9"/>
      <c r="AG653" s="9"/>
      <c r="AH653" s="9"/>
      <c r="AI653" s="9"/>
      <c r="AJ653" s="9"/>
      <c r="AK653" s="73"/>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66"/>
      <c r="CJ653" s="9"/>
      <c r="CK653" s="9"/>
      <c r="CL653" s="9"/>
      <c r="CM653" s="9"/>
      <c r="CN653" s="9"/>
      <c r="CO653" s="9"/>
      <c r="CP653" s="16"/>
    </row>
    <row r="654" spans="1:94" ht="15" customHeight="1" x14ac:dyDescent="0.15">
      <c r="A654" s="15"/>
      <c r="B654" s="9"/>
      <c r="C654" s="9"/>
      <c r="D654" s="9"/>
      <c r="E654" s="109" t="s">
        <v>1143</v>
      </c>
      <c r="F654" s="9"/>
      <c r="G654" s="9"/>
      <c r="H654" s="9"/>
      <c r="I654" s="9"/>
      <c r="J654" s="9"/>
      <c r="K654" s="9"/>
      <c r="L654" s="9"/>
      <c r="M654" s="9"/>
      <c r="N654" s="9"/>
      <c r="O654" s="9"/>
      <c r="P654" s="9"/>
      <c r="Q654" s="9"/>
      <c r="R654" s="9"/>
      <c r="S654" s="9"/>
      <c r="T654" s="9"/>
      <c r="U654" s="9"/>
      <c r="V654" s="9"/>
      <c r="W654" s="9"/>
      <c r="X654" s="9"/>
      <c r="Y654" s="159"/>
      <c r="Z654" s="9"/>
      <c r="AA654" s="9"/>
      <c r="AB654" s="9"/>
      <c r="AC654" s="9"/>
      <c r="AD654" s="9"/>
      <c r="AE654" s="9"/>
      <c r="AF654" s="9"/>
      <c r="AG654" s="9"/>
      <c r="AH654" s="9"/>
      <c r="AI654" s="9"/>
      <c r="AJ654" s="9"/>
      <c r="AK654" s="73"/>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66"/>
      <c r="CJ654" s="9"/>
      <c r="CK654" s="9"/>
      <c r="CL654" s="9"/>
      <c r="CM654" s="9"/>
      <c r="CN654" s="9"/>
      <c r="CO654" s="9"/>
      <c r="CP654" s="16"/>
    </row>
    <row r="655" spans="1:94" ht="15" customHeight="1" x14ac:dyDescent="0.15">
      <c r="A655" s="15"/>
      <c r="B655" s="9"/>
      <c r="C655" s="9"/>
      <c r="D655" s="9"/>
      <c r="E655" s="80" t="s">
        <v>1144</v>
      </c>
      <c r="F655" s="9"/>
      <c r="G655" s="9"/>
      <c r="H655" s="9"/>
      <c r="I655" s="9"/>
      <c r="J655" s="9"/>
      <c r="K655" s="9"/>
      <c r="L655" s="9"/>
      <c r="M655" s="9"/>
      <c r="N655" s="9"/>
      <c r="O655" s="9"/>
      <c r="P655" s="9"/>
      <c r="Q655" s="9"/>
      <c r="R655" s="9"/>
      <c r="S655" s="9"/>
      <c r="T655" s="9"/>
      <c r="U655" s="9"/>
      <c r="V655" s="9"/>
      <c r="W655" s="9"/>
      <c r="X655" s="9"/>
      <c r="Y655" s="159"/>
      <c r="Z655" s="9"/>
      <c r="AA655" s="9"/>
      <c r="AB655" s="9"/>
      <c r="AC655" s="9"/>
      <c r="AD655" s="9"/>
      <c r="AE655" s="9"/>
      <c r="AF655" s="9"/>
      <c r="AG655" s="9"/>
      <c r="AH655" s="9"/>
      <c r="AI655" s="9"/>
      <c r="AJ655" s="9"/>
      <c r="AK655" s="73"/>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66"/>
      <c r="CJ655" s="9"/>
      <c r="CK655" s="9"/>
      <c r="CL655" s="9"/>
      <c r="CM655" s="9"/>
      <c r="CN655" s="9"/>
      <c r="CO655" s="9"/>
      <c r="CP655" s="16"/>
    </row>
    <row r="656" spans="1:94" ht="15" customHeight="1" x14ac:dyDescent="0.15">
      <c r="A656" s="15"/>
      <c r="B656" s="9"/>
      <c r="C656" s="9"/>
      <c r="D656" s="9"/>
      <c r="E656" s="80" t="s">
        <v>243</v>
      </c>
      <c r="F656" s="9"/>
      <c r="G656" s="9"/>
      <c r="H656" s="9"/>
      <c r="I656" s="9"/>
      <c r="J656" s="9"/>
      <c r="K656" s="9"/>
      <c r="L656" s="9"/>
      <c r="M656" s="9"/>
      <c r="N656" s="9"/>
      <c r="O656" s="9"/>
      <c r="P656" s="9"/>
      <c r="Q656" s="9"/>
      <c r="R656" s="9"/>
      <c r="S656" s="9"/>
      <c r="T656" s="9"/>
      <c r="U656" s="9"/>
      <c r="V656" s="9"/>
      <c r="W656" s="9"/>
      <c r="X656" s="9"/>
      <c r="Y656" s="159"/>
      <c r="Z656" s="9"/>
      <c r="AA656" s="9"/>
      <c r="AB656" s="9"/>
      <c r="AC656" s="9"/>
      <c r="AD656" s="9"/>
      <c r="AE656" s="9"/>
      <c r="AF656" s="9"/>
      <c r="AG656" s="9"/>
      <c r="AH656" s="9"/>
      <c r="AI656" s="9"/>
      <c r="AJ656" s="9"/>
      <c r="AK656" s="73"/>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66"/>
      <c r="CJ656" s="9"/>
      <c r="CK656" s="9"/>
      <c r="CL656" s="9"/>
      <c r="CM656" s="9"/>
      <c r="CN656" s="9"/>
      <c r="CO656" s="9"/>
      <c r="CP656" s="16"/>
    </row>
    <row r="657" spans="1:94" ht="15" customHeight="1" x14ac:dyDescent="0.15">
      <c r="A657" s="15"/>
      <c r="B657" s="9"/>
      <c r="C657" s="9"/>
      <c r="D657" s="9"/>
      <c r="E657" s="79"/>
      <c r="F657" s="62"/>
      <c r="G657" s="62"/>
      <c r="H657" s="62"/>
      <c r="I657" s="62"/>
      <c r="J657" s="62"/>
      <c r="K657" s="62"/>
      <c r="L657" s="62"/>
      <c r="M657" s="62"/>
      <c r="N657" s="62"/>
      <c r="O657" s="62"/>
      <c r="P657" s="62"/>
      <c r="Q657" s="62"/>
      <c r="R657" s="62"/>
      <c r="S657" s="62"/>
      <c r="T657" s="62"/>
      <c r="U657" s="62"/>
      <c r="V657" s="62"/>
      <c r="W657" s="62"/>
      <c r="X657" s="62"/>
      <c r="Y657" s="161"/>
      <c r="Z657" s="62"/>
      <c r="AA657" s="62"/>
      <c r="AB657" s="62"/>
      <c r="AC657" s="62"/>
      <c r="AD657" s="62"/>
      <c r="AE657" s="62"/>
      <c r="AF657" s="62"/>
      <c r="AG657" s="62"/>
      <c r="AH657" s="62"/>
      <c r="AI657" s="62"/>
      <c r="AJ657" s="62"/>
      <c r="AK657" s="74"/>
      <c r="AL657" s="62"/>
      <c r="AM657" s="62"/>
      <c r="AN657" s="62"/>
      <c r="AO657" s="62"/>
      <c r="AP657" s="62"/>
      <c r="AQ657" s="62"/>
      <c r="AR657" s="62"/>
      <c r="AS657" s="62"/>
      <c r="AT657" s="62"/>
      <c r="AU657" s="62"/>
      <c r="AV657" s="62"/>
      <c r="AW657" s="62"/>
      <c r="AX657" s="62"/>
      <c r="AY657" s="62"/>
      <c r="AZ657" s="62"/>
      <c r="BA657" s="62"/>
      <c r="BB657" s="62"/>
      <c r="BC657" s="62"/>
      <c r="BD657" s="62"/>
      <c r="BE657" s="62"/>
      <c r="BF657" s="62"/>
      <c r="BG657" s="62"/>
      <c r="BH657" s="62"/>
      <c r="BI657" s="62"/>
      <c r="BJ657" s="62"/>
      <c r="BK657" s="62"/>
      <c r="BL657" s="62"/>
      <c r="BM657" s="62"/>
      <c r="BN657" s="62"/>
      <c r="BO657" s="62"/>
      <c r="BP657" s="62"/>
      <c r="BQ657" s="62"/>
      <c r="BR657" s="62"/>
      <c r="BS657" s="62"/>
      <c r="BT657" s="62"/>
      <c r="BU657" s="62"/>
      <c r="BV657" s="62"/>
      <c r="BW657" s="62"/>
      <c r="BX657" s="62"/>
      <c r="BY657" s="62"/>
      <c r="BZ657" s="62"/>
      <c r="CA657" s="62"/>
      <c r="CB657" s="62"/>
      <c r="CC657" s="62"/>
      <c r="CD657" s="62"/>
      <c r="CE657" s="62"/>
      <c r="CF657" s="62"/>
      <c r="CG657" s="62"/>
      <c r="CH657" s="62"/>
      <c r="CI657" s="63"/>
      <c r="CJ657" s="9"/>
      <c r="CK657" s="9"/>
      <c r="CL657" s="9"/>
      <c r="CM657" s="9"/>
      <c r="CN657" s="9"/>
      <c r="CO657" s="9"/>
      <c r="CP657" s="16"/>
    </row>
    <row r="658" spans="1:94" ht="15" customHeight="1" x14ac:dyDescent="0.15">
      <c r="A658" s="15"/>
      <c r="B658" s="9"/>
      <c r="C658" s="9"/>
      <c r="D658" s="9"/>
      <c r="E658" s="9"/>
      <c r="F658" s="9"/>
      <c r="G658" s="9"/>
      <c r="H658" s="9"/>
      <c r="I658" s="9"/>
      <c r="J658" s="9"/>
      <c r="K658" s="9"/>
      <c r="L658" s="9"/>
      <c r="M658" s="9"/>
      <c r="N658" s="9"/>
      <c r="O658" s="9"/>
      <c r="P658" s="9"/>
      <c r="Q658" s="9"/>
      <c r="R658" s="9"/>
      <c r="S658" s="9"/>
      <c r="T658" s="9"/>
      <c r="U658" s="9"/>
      <c r="V658" s="9"/>
      <c r="W658" s="9"/>
      <c r="X658" s="9"/>
      <c r="Y658" s="159"/>
      <c r="Z658" s="9"/>
      <c r="AA658" s="9"/>
      <c r="AB658" s="9"/>
      <c r="AC658" s="9"/>
      <c r="AD658" s="9"/>
      <c r="AE658" s="9"/>
      <c r="AF658" s="9"/>
      <c r="AG658" s="9"/>
      <c r="AH658" s="9"/>
      <c r="AI658" s="9"/>
      <c r="AJ658" s="9"/>
      <c r="AK658" s="73"/>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c r="CK658" s="9"/>
      <c r="CL658" s="9"/>
      <c r="CM658" s="9"/>
      <c r="CN658" s="9"/>
      <c r="CO658" s="9"/>
      <c r="CP658" s="16"/>
    </row>
    <row r="659" spans="1:94" ht="15" customHeight="1" x14ac:dyDescent="0.15">
      <c r="A659" s="15"/>
      <c r="B659" s="9"/>
      <c r="C659" s="9"/>
      <c r="D659" s="9"/>
      <c r="E659" s="2" t="s">
        <v>381</v>
      </c>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c r="CK659" s="9"/>
      <c r="CL659" s="9"/>
      <c r="CM659" s="9"/>
      <c r="CN659" s="9"/>
      <c r="CO659" s="9"/>
      <c r="CP659" s="16"/>
    </row>
    <row r="660" spans="1:94" ht="15" customHeight="1" x14ac:dyDescent="0.15">
      <c r="A660" s="15"/>
      <c r="B660" s="9"/>
      <c r="C660" s="9"/>
      <c r="D660" s="9"/>
      <c r="E660" s="78" t="s">
        <v>374</v>
      </c>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c r="AH660" s="64"/>
      <c r="AI660" s="64"/>
      <c r="AJ660" s="64"/>
      <c r="AK660" s="64"/>
      <c r="AL660" s="64"/>
      <c r="AM660" s="64"/>
      <c r="AN660" s="64"/>
      <c r="AO660" s="64"/>
      <c r="AP660" s="64"/>
      <c r="AQ660" s="64"/>
      <c r="AR660" s="64"/>
      <c r="AS660" s="64"/>
      <c r="AT660" s="64"/>
      <c r="AU660" s="64"/>
      <c r="AV660" s="64"/>
      <c r="AW660" s="64"/>
      <c r="AX660" s="64"/>
      <c r="AY660" s="64"/>
      <c r="AZ660" s="64"/>
      <c r="BA660" s="64"/>
      <c r="BB660" s="64"/>
      <c r="BC660" s="64"/>
      <c r="BD660" s="64"/>
      <c r="BE660" s="64"/>
      <c r="BF660" s="64"/>
      <c r="BG660" s="64"/>
      <c r="BH660" s="64"/>
      <c r="BI660" s="64"/>
      <c r="BJ660" s="64"/>
      <c r="BK660" s="64"/>
      <c r="BL660" s="64"/>
      <c r="BM660" s="64"/>
      <c r="BN660" s="64"/>
      <c r="BO660" s="64"/>
      <c r="BP660" s="64"/>
      <c r="BQ660" s="64"/>
      <c r="BR660" s="64"/>
      <c r="BS660" s="64"/>
      <c r="BT660" s="64"/>
      <c r="BU660" s="64"/>
      <c r="BV660" s="64"/>
      <c r="BW660" s="64"/>
      <c r="BX660" s="64"/>
      <c r="BY660" s="64"/>
      <c r="BZ660" s="64"/>
      <c r="CA660" s="64"/>
      <c r="CB660" s="64"/>
      <c r="CC660" s="64"/>
      <c r="CD660" s="64"/>
      <c r="CE660" s="64"/>
      <c r="CF660" s="64"/>
      <c r="CG660" s="64"/>
      <c r="CH660" s="64"/>
      <c r="CI660" s="65"/>
      <c r="CJ660" s="9"/>
      <c r="CK660" s="9"/>
      <c r="CL660" s="9"/>
      <c r="CM660" s="9"/>
      <c r="CN660" s="9"/>
      <c r="CO660" s="9"/>
      <c r="CP660" s="16"/>
    </row>
    <row r="661" spans="1:94" ht="15" customHeight="1" x14ac:dyDescent="0.15">
      <c r="A661" s="15"/>
      <c r="B661" s="9"/>
      <c r="C661" s="9"/>
      <c r="D661" s="9"/>
      <c r="E661" s="57"/>
      <c r="F661" s="73" t="s">
        <v>1137</v>
      </c>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66"/>
      <c r="CJ661" s="9"/>
      <c r="CK661" s="9"/>
      <c r="CL661" s="9"/>
      <c r="CM661" s="9"/>
      <c r="CN661" s="9"/>
      <c r="CO661" s="9"/>
      <c r="CP661" s="16"/>
    </row>
    <row r="662" spans="1:94" ht="15" customHeight="1" x14ac:dyDescent="0.15">
      <c r="A662" s="15"/>
      <c r="B662" s="9"/>
      <c r="C662" s="9"/>
      <c r="D662" s="9"/>
      <c r="E662" s="57"/>
      <c r="F662" s="9" t="s">
        <v>375</v>
      </c>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66"/>
      <c r="CJ662" s="9"/>
      <c r="CK662" s="9"/>
      <c r="CL662" s="9"/>
      <c r="CM662" s="9"/>
      <c r="CN662" s="9"/>
      <c r="CO662" s="9"/>
      <c r="CP662" s="16"/>
    </row>
    <row r="663" spans="1:94" ht="15" customHeight="1" x14ac:dyDescent="0.15">
      <c r="A663" s="15"/>
      <c r="B663" s="9"/>
      <c r="C663" s="9"/>
      <c r="D663" s="9"/>
      <c r="E663" s="57"/>
      <c r="F663" s="61" t="s">
        <v>377</v>
      </c>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66"/>
      <c r="CJ663" s="9"/>
      <c r="CK663" s="9"/>
      <c r="CL663" s="9"/>
      <c r="CM663" s="9"/>
      <c r="CN663" s="9"/>
      <c r="CO663" s="9"/>
      <c r="CP663" s="16"/>
    </row>
    <row r="664" spans="1:94" ht="15" customHeight="1" x14ac:dyDescent="0.15">
      <c r="A664" s="15"/>
      <c r="B664" s="9"/>
      <c r="C664" s="9"/>
      <c r="D664" s="9"/>
      <c r="E664" s="57"/>
      <c r="F664" s="61" t="s">
        <v>378</v>
      </c>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66"/>
      <c r="CJ664" s="9"/>
      <c r="CK664" s="9"/>
      <c r="CL664" s="9"/>
      <c r="CM664" s="9"/>
      <c r="CN664" s="9"/>
      <c r="CO664" s="9"/>
      <c r="CP664" s="16"/>
    </row>
    <row r="665" spans="1:94" ht="15" customHeight="1" x14ac:dyDescent="0.15">
      <c r="A665" s="15"/>
      <c r="B665" s="9"/>
      <c r="C665" s="9"/>
      <c r="D665" s="9"/>
      <c r="E665" s="57"/>
      <c r="F665" s="61" t="s">
        <v>379</v>
      </c>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9"/>
      <c r="BX665" s="9"/>
      <c r="BY665" s="9"/>
      <c r="BZ665" s="9"/>
      <c r="CA665" s="9"/>
      <c r="CB665" s="9"/>
      <c r="CC665" s="9"/>
      <c r="CD665" s="9"/>
      <c r="CE665" s="9"/>
      <c r="CF665" s="9"/>
      <c r="CG665" s="9"/>
      <c r="CH665" s="9"/>
      <c r="CI665" s="66"/>
      <c r="CJ665" s="9"/>
      <c r="CK665" s="9"/>
      <c r="CL665" s="9"/>
      <c r="CM665" s="9"/>
      <c r="CN665" s="9"/>
      <c r="CO665" s="9"/>
      <c r="CP665" s="16"/>
    </row>
    <row r="666" spans="1:94" ht="15" customHeight="1" x14ac:dyDescent="0.15">
      <c r="A666" s="15"/>
      <c r="B666" s="9"/>
      <c r="C666" s="9"/>
      <c r="D666" s="9"/>
      <c r="E666" s="57"/>
      <c r="F666" s="61" t="s">
        <v>380</v>
      </c>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9"/>
      <c r="BX666" s="9"/>
      <c r="BY666" s="9"/>
      <c r="BZ666" s="9"/>
      <c r="CA666" s="9"/>
      <c r="CB666" s="9"/>
      <c r="CC666" s="9"/>
      <c r="CD666" s="9"/>
      <c r="CE666" s="9"/>
      <c r="CF666" s="9"/>
      <c r="CG666" s="9"/>
      <c r="CH666" s="9"/>
      <c r="CI666" s="66"/>
      <c r="CJ666" s="9"/>
      <c r="CK666" s="9"/>
      <c r="CL666" s="9"/>
      <c r="CM666" s="9"/>
      <c r="CN666" s="9"/>
      <c r="CO666" s="9"/>
      <c r="CP666" s="16"/>
    </row>
    <row r="667" spans="1:94" ht="15" customHeight="1" x14ac:dyDescent="0.15">
      <c r="A667" s="15"/>
      <c r="B667" s="9"/>
      <c r="C667" s="9"/>
      <c r="D667" s="9"/>
      <c r="E667" s="79" t="s">
        <v>376</v>
      </c>
      <c r="F667" s="58"/>
      <c r="G667" s="62"/>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2"/>
      <c r="AQ667" s="62"/>
      <c r="AR667" s="62"/>
      <c r="AS667" s="62"/>
      <c r="AT667" s="62"/>
      <c r="AU667" s="62"/>
      <c r="AV667" s="62"/>
      <c r="AW667" s="62"/>
      <c r="AX667" s="62"/>
      <c r="AY667" s="62"/>
      <c r="AZ667" s="62"/>
      <c r="BA667" s="62"/>
      <c r="BB667" s="62"/>
      <c r="BC667" s="62"/>
      <c r="BD667" s="62"/>
      <c r="BE667" s="62"/>
      <c r="BF667" s="62"/>
      <c r="BG667" s="62"/>
      <c r="BH667" s="62"/>
      <c r="BI667" s="62"/>
      <c r="BJ667" s="62"/>
      <c r="BK667" s="62"/>
      <c r="BL667" s="62"/>
      <c r="BM667" s="62"/>
      <c r="BN667" s="62"/>
      <c r="BO667" s="62"/>
      <c r="BP667" s="62"/>
      <c r="BQ667" s="62"/>
      <c r="BR667" s="62"/>
      <c r="BS667" s="62"/>
      <c r="BT667" s="62"/>
      <c r="BU667" s="62"/>
      <c r="BV667" s="62"/>
      <c r="BW667" s="62"/>
      <c r="BX667" s="62"/>
      <c r="BY667" s="62"/>
      <c r="BZ667" s="62"/>
      <c r="CA667" s="62"/>
      <c r="CB667" s="62"/>
      <c r="CC667" s="62"/>
      <c r="CD667" s="62"/>
      <c r="CE667" s="62"/>
      <c r="CF667" s="62"/>
      <c r="CG667" s="62"/>
      <c r="CH667" s="62"/>
      <c r="CI667" s="63"/>
      <c r="CJ667" s="9"/>
      <c r="CK667" s="9"/>
      <c r="CL667" s="9"/>
      <c r="CM667" s="9"/>
      <c r="CN667" s="9"/>
      <c r="CO667" s="9"/>
      <c r="CP667" s="16"/>
    </row>
    <row r="668" spans="1:94" ht="15" customHeight="1" x14ac:dyDescent="0.15">
      <c r="A668" s="15"/>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16"/>
    </row>
    <row r="669" spans="1:94" ht="15" customHeight="1" x14ac:dyDescent="0.15">
      <c r="A669" s="15"/>
      <c r="B669" s="9"/>
      <c r="C669" s="9"/>
      <c r="D669" s="9"/>
      <c r="E669" s="2" t="s">
        <v>382</v>
      </c>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c r="CK669" s="9"/>
      <c r="CL669" s="9"/>
      <c r="CM669" s="9"/>
      <c r="CN669" s="9"/>
      <c r="CO669" s="9"/>
      <c r="CP669" s="16"/>
    </row>
    <row r="670" spans="1:94" ht="15" customHeight="1" x14ac:dyDescent="0.15">
      <c r="A670" s="15"/>
      <c r="B670" s="9"/>
      <c r="C670" s="9"/>
      <c r="D670" s="9"/>
      <c r="E670" s="78" t="s">
        <v>383</v>
      </c>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c r="AH670" s="64"/>
      <c r="AI670" s="64"/>
      <c r="AJ670" s="64"/>
      <c r="AK670" s="64"/>
      <c r="AL670" s="64"/>
      <c r="AM670" s="64"/>
      <c r="AN670" s="64"/>
      <c r="AO670" s="64"/>
      <c r="AP670" s="64"/>
      <c r="AQ670" s="64"/>
      <c r="AR670" s="64"/>
      <c r="AS670" s="64"/>
      <c r="AT670" s="64"/>
      <c r="AU670" s="64"/>
      <c r="AV670" s="64"/>
      <c r="AW670" s="64"/>
      <c r="AX670" s="64"/>
      <c r="AY670" s="64"/>
      <c r="AZ670" s="64"/>
      <c r="BA670" s="64"/>
      <c r="BB670" s="64"/>
      <c r="BC670" s="64"/>
      <c r="BD670" s="64"/>
      <c r="BE670" s="64"/>
      <c r="BF670" s="64"/>
      <c r="BG670" s="64"/>
      <c r="BH670" s="64"/>
      <c r="BI670" s="64"/>
      <c r="BJ670" s="64"/>
      <c r="BK670" s="64"/>
      <c r="BL670" s="64"/>
      <c r="BM670" s="64"/>
      <c r="BN670" s="64"/>
      <c r="BO670" s="64"/>
      <c r="BP670" s="64"/>
      <c r="BQ670" s="64"/>
      <c r="BR670" s="64"/>
      <c r="BS670" s="64"/>
      <c r="BT670" s="64"/>
      <c r="BU670" s="64"/>
      <c r="BV670" s="64"/>
      <c r="BW670" s="64"/>
      <c r="BX670" s="64"/>
      <c r="BY670" s="64"/>
      <c r="BZ670" s="64"/>
      <c r="CA670" s="64"/>
      <c r="CB670" s="64"/>
      <c r="CC670" s="64"/>
      <c r="CD670" s="64"/>
      <c r="CE670" s="64"/>
      <c r="CF670" s="64"/>
      <c r="CG670" s="64"/>
      <c r="CH670" s="64"/>
      <c r="CI670" s="65"/>
      <c r="CJ670" s="9"/>
      <c r="CK670" s="9"/>
      <c r="CL670" s="9"/>
      <c r="CM670" s="9"/>
      <c r="CN670" s="9"/>
      <c r="CO670" s="9"/>
      <c r="CP670" s="16"/>
    </row>
    <row r="671" spans="1:94" ht="15" customHeight="1" x14ac:dyDescent="0.15">
      <c r="A671" s="15"/>
      <c r="B671" s="9"/>
      <c r="C671" s="9"/>
      <c r="D671" s="9"/>
      <c r="E671" s="57"/>
      <c r="F671" s="9" t="s">
        <v>384</v>
      </c>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9"/>
      <c r="BX671" s="9"/>
      <c r="BY671" s="9"/>
      <c r="BZ671" s="9"/>
      <c r="CA671" s="9"/>
      <c r="CB671" s="9"/>
      <c r="CC671" s="9"/>
      <c r="CD671" s="9"/>
      <c r="CE671" s="9"/>
      <c r="CF671" s="9"/>
      <c r="CG671" s="9"/>
      <c r="CH671" s="9"/>
      <c r="CI671" s="66"/>
      <c r="CJ671" s="9"/>
      <c r="CK671" s="9"/>
      <c r="CL671" s="9"/>
      <c r="CM671" s="9"/>
      <c r="CN671" s="9"/>
      <c r="CO671" s="9"/>
      <c r="CP671" s="16"/>
    </row>
    <row r="672" spans="1:94" ht="15" customHeight="1" x14ac:dyDescent="0.15">
      <c r="A672" s="15"/>
      <c r="B672" s="9"/>
      <c r="C672" s="9"/>
      <c r="D672" s="9"/>
      <c r="E672" s="77" t="s">
        <v>711</v>
      </c>
      <c r="F672" s="60"/>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9"/>
      <c r="BX672" s="9"/>
      <c r="BY672" s="9"/>
      <c r="BZ672" s="9"/>
      <c r="CA672" s="9"/>
      <c r="CB672" s="9"/>
      <c r="CC672" s="9"/>
      <c r="CD672" s="9"/>
      <c r="CE672" s="9"/>
      <c r="CF672" s="9"/>
      <c r="CG672" s="9"/>
      <c r="CH672" s="9"/>
      <c r="CI672" s="66"/>
      <c r="CJ672" s="9"/>
      <c r="CK672" s="9"/>
      <c r="CL672" s="9"/>
      <c r="CM672" s="9"/>
      <c r="CN672" s="9"/>
      <c r="CO672" s="9"/>
      <c r="CP672" s="16"/>
    </row>
    <row r="673" spans="1:94" ht="15" customHeight="1" x14ac:dyDescent="0.15">
      <c r="A673" s="15"/>
      <c r="B673" s="9"/>
      <c r="C673" s="9"/>
      <c r="D673" s="9"/>
      <c r="E673" s="57"/>
      <c r="F673" s="94" t="s">
        <v>1138</v>
      </c>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9"/>
      <c r="BX673" s="9"/>
      <c r="BY673" s="9"/>
      <c r="BZ673" s="9"/>
      <c r="CA673" s="9"/>
      <c r="CB673" s="9"/>
      <c r="CC673" s="9"/>
      <c r="CD673" s="9"/>
      <c r="CE673" s="9"/>
      <c r="CF673" s="9"/>
      <c r="CG673" s="9"/>
      <c r="CH673" s="9"/>
      <c r="CI673" s="66"/>
      <c r="CJ673" s="9"/>
      <c r="CK673" s="9"/>
      <c r="CL673" s="9"/>
      <c r="CM673" s="9"/>
      <c r="CN673" s="9"/>
      <c r="CO673" s="9"/>
      <c r="CP673" s="16"/>
    </row>
    <row r="674" spans="1:94" ht="15" customHeight="1" x14ac:dyDescent="0.15">
      <c r="A674" s="15"/>
      <c r="B674" s="9"/>
      <c r="C674" s="9"/>
      <c r="D674" s="9"/>
      <c r="E674" s="57" t="s">
        <v>385</v>
      </c>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9"/>
      <c r="BX674" s="9"/>
      <c r="BY674" s="9"/>
      <c r="BZ674" s="9"/>
      <c r="CA674" s="9"/>
      <c r="CB674" s="9"/>
      <c r="CC674" s="9"/>
      <c r="CD674" s="9"/>
      <c r="CE674" s="9"/>
      <c r="CF674" s="9"/>
      <c r="CG674" s="9"/>
      <c r="CH674" s="9"/>
      <c r="CI674" s="66"/>
      <c r="CJ674" s="9"/>
      <c r="CK674" s="9"/>
      <c r="CL674" s="9"/>
      <c r="CM674" s="9"/>
      <c r="CN674" s="9"/>
      <c r="CO674" s="9"/>
      <c r="CP674" s="16"/>
    </row>
    <row r="675" spans="1:94" ht="15" customHeight="1" x14ac:dyDescent="0.15">
      <c r="A675" s="15"/>
      <c r="B675" s="9"/>
      <c r="C675" s="9"/>
      <c r="D675" s="9"/>
      <c r="E675" s="57"/>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9"/>
      <c r="BX675" s="9"/>
      <c r="BY675" s="9"/>
      <c r="BZ675" s="9"/>
      <c r="CA675" s="9"/>
      <c r="CB675" s="9"/>
      <c r="CC675" s="9"/>
      <c r="CD675" s="9"/>
      <c r="CE675" s="9"/>
      <c r="CF675" s="9"/>
      <c r="CG675" s="9"/>
      <c r="CH675" s="9"/>
      <c r="CI675" s="66"/>
      <c r="CJ675" s="9"/>
      <c r="CK675" s="9"/>
      <c r="CL675" s="9"/>
      <c r="CM675" s="9"/>
      <c r="CN675" s="9"/>
      <c r="CO675" s="9"/>
      <c r="CP675" s="16"/>
    </row>
    <row r="676" spans="1:94" ht="15" customHeight="1" x14ac:dyDescent="0.15">
      <c r="A676" s="15"/>
      <c r="B676" s="9"/>
      <c r="C676" s="9"/>
      <c r="D676" s="9"/>
      <c r="E676" s="80" t="s">
        <v>383</v>
      </c>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9"/>
      <c r="BX676" s="9"/>
      <c r="BY676" s="9"/>
      <c r="BZ676" s="9"/>
      <c r="CA676" s="9"/>
      <c r="CB676" s="9"/>
      <c r="CC676" s="9"/>
      <c r="CD676" s="9"/>
      <c r="CE676" s="9"/>
      <c r="CF676" s="9"/>
      <c r="CG676" s="9"/>
      <c r="CH676" s="9"/>
      <c r="CI676" s="66"/>
      <c r="CJ676" s="9"/>
      <c r="CK676" s="9"/>
      <c r="CL676" s="9"/>
      <c r="CM676" s="9"/>
      <c r="CN676" s="9"/>
      <c r="CO676" s="9"/>
      <c r="CP676" s="16"/>
    </row>
    <row r="677" spans="1:94" ht="15" customHeight="1" x14ac:dyDescent="0.15">
      <c r="A677" s="15"/>
      <c r="B677" s="9"/>
      <c r="C677" s="9"/>
      <c r="D677" s="9"/>
      <c r="E677" s="57"/>
      <c r="F677" s="9" t="s">
        <v>384</v>
      </c>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9"/>
      <c r="BX677" s="9"/>
      <c r="BY677" s="9"/>
      <c r="BZ677" s="9"/>
      <c r="CA677" s="9"/>
      <c r="CB677" s="9"/>
      <c r="CC677" s="9"/>
      <c r="CD677" s="9"/>
      <c r="CE677" s="9"/>
      <c r="CF677" s="9"/>
      <c r="CG677" s="9"/>
      <c r="CH677" s="9"/>
      <c r="CI677" s="66"/>
      <c r="CJ677" s="9"/>
      <c r="CK677" s="9"/>
      <c r="CL677" s="9"/>
      <c r="CM677" s="9"/>
      <c r="CN677" s="9"/>
      <c r="CO677" s="9"/>
      <c r="CP677" s="16"/>
    </row>
    <row r="678" spans="1:94" ht="15" customHeight="1" x14ac:dyDescent="0.15">
      <c r="A678" s="15"/>
      <c r="B678" s="9"/>
      <c r="C678" s="9"/>
      <c r="D678" s="9"/>
      <c r="E678" s="77" t="s">
        <v>711</v>
      </c>
      <c r="F678" s="61"/>
      <c r="G678" s="61"/>
      <c r="H678" s="61"/>
      <c r="I678" s="61"/>
      <c r="J678" s="61"/>
      <c r="K678" s="61"/>
      <c r="L678" s="61"/>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9"/>
      <c r="BX678" s="9"/>
      <c r="BY678" s="9"/>
      <c r="BZ678" s="9"/>
      <c r="CA678" s="9"/>
      <c r="CB678" s="9"/>
      <c r="CC678" s="9"/>
      <c r="CD678" s="9"/>
      <c r="CE678" s="9"/>
      <c r="CF678" s="9"/>
      <c r="CG678" s="9"/>
      <c r="CH678" s="9"/>
      <c r="CI678" s="66"/>
      <c r="CJ678" s="9"/>
      <c r="CK678" s="9"/>
      <c r="CL678" s="9"/>
      <c r="CM678" s="9"/>
      <c r="CN678" s="9"/>
      <c r="CO678" s="9"/>
      <c r="CP678" s="16"/>
    </row>
    <row r="679" spans="1:94" ht="15" customHeight="1" x14ac:dyDescent="0.15">
      <c r="A679" s="15"/>
      <c r="B679" s="9"/>
      <c r="C679" s="9"/>
      <c r="D679" s="9"/>
      <c r="E679" s="57"/>
      <c r="F679" s="94" t="s">
        <v>1138</v>
      </c>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9"/>
      <c r="BX679" s="9"/>
      <c r="BY679" s="9"/>
      <c r="BZ679" s="9"/>
      <c r="CA679" s="9"/>
      <c r="CB679" s="9"/>
      <c r="CC679" s="9"/>
      <c r="CD679" s="9"/>
      <c r="CE679" s="9"/>
      <c r="CF679" s="9"/>
      <c r="CG679" s="9"/>
      <c r="CH679" s="9"/>
      <c r="CI679" s="66"/>
      <c r="CJ679" s="9"/>
      <c r="CK679" s="9"/>
      <c r="CL679" s="9"/>
      <c r="CM679" s="9"/>
      <c r="CN679" s="9"/>
      <c r="CO679" s="9"/>
      <c r="CP679" s="16"/>
    </row>
    <row r="680" spans="1:94" ht="15" customHeight="1" x14ac:dyDescent="0.15">
      <c r="A680" s="15"/>
      <c r="B680" s="9"/>
      <c r="C680" s="9"/>
      <c r="D680" s="9"/>
      <c r="E680" s="76" t="s">
        <v>385</v>
      </c>
      <c r="F680" s="74"/>
      <c r="G680" s="62"/>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2"/>
      <c r="AQ680" s="62"/>
      <c r="AR680" s="62"/>
      <c r="AS680" s="62"/>
      <c r="AT680" s="62"/>
      <c r="AU680" s="62"/>
      <c r="AV680" s="62"/>
      <c r="AW680" s="62"/>
      <c r="AX680" s="62"/>
      <c r="AY680" s="62"/>
      <c r="AZ680" s="62"/>
      <c r="BA680" s="62"/>
      <c r="BB680" s="62"/>
      <c r="BC680" s="62"/>
      <c r="BD680" s="62"/>
      <c r="BE680" s="62"/>
      <c r="BF680" s="62"/>
      <c r="BG680" s="62"/>
      <c r="BH680" s="62"/>
      <c r="BI680" s="62"/>
      <c r="BJ680" s="62"/>
      <c r="BK680" s="62"/>
      <c r="BL680" s="62"/>
      <c r="BM680" s="62"/>
      <c r="BN680" s="62"/>
      <c r="BO680" s="62"/>
      <c r="BP680" s="62"/>
      <c r="BQ680" s="62"/>
      <c r="BR680" s="62"/>
      <c r="BS680" s="62"/>
      <c r="BT680" s="62"/>
      <c r="BU680" s="62"/>
      <c r="BV680" s="62"/>
      <c r="BW680" s="62"/>
      <c r="BX680" s="62"/>
      <c r="BY680" s="62"/>
      <c r="BZ680" s="62"/>
      <c r="CA680" s="62"/>
      <c r="CB680" s="62"/>
      <c r="CC680" s="62"/>
      <c r="CD680" s="62"/>
      <c r="CE680" s="62"/>
      <c r="CF680" s="62"/>
      <c r="CG680" s="62"/>
      <c r="CH680" s="62"/>
      <c r="CI680" s="63"/>
      <c r="CJ680" s="9"/>
      <c r="CK680" s="9"/>
      <c r="CL680" s="9"/>
      <c r="CM680" s="9"/>
      <c r="CN680" s="9"/>
      <c r="CO680" s="9"/>
      <c r="CP680" s="16"/>
    </row>
    <row r="681" spans="1:94" ht="15" customHeight="1" thickBot="1" x14ac:dyDescent="0.2">
      <c r="A681" s="19"/>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c r="BR681" s="20"/>
      <c r="BS681" s="20"/>
      <c r="BT681" s="20"/>
      <c r="BU681" s="20"/>
      <c r="BV681" s="20"/>
      <c r="BW681" s="20"/>
      <c r="BX681" s="20"/>
      <c r="BY681" s="20"/>
      <c r="BZ681" s="20"/>
      <c r="CA681" s="20"/>
      <c r="CB681" s="20"/>
      <c r="CC681" s="20"/>
      <c r="CD681" s="20"/>
      <c r="CE681" s="20"/>
      <c r="CF681" s="20"/>
      <c r="CG681" s="20"/>
      <c r="CH681" s="20"/>
      <c r="CI681" s="20"/>
      <c r="CJ681" s="20"/>
      <c r="CK681" s="20"/>
      <c r="CL681" s="20"/>
      <c r="CM681" s="20"/>
      <c r="CN681" s="20"/>
      <c r="CO681" s="20"/>
      <c r="CP681" s="21"/>
    </row>
    <row r="682" spans="1:94" ht="15" customHeight="1" x14ac:dyDescent="0.15">
      <c r="A682" s="47"/>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48"/>
      <c r="BJ682" s="48"/>
      <c r="BK682" s="48"/>
      <c r="BL682" s="48"/>
      <c r="BM682" s="48"/>
      <c r="BN682" s="48"/>
      <c r="BO682" s="48"/>
      <c r="BP682" s="48"/>
      <c r="BQ682" s="48"/>
      <c r="BR682" s="48"/>
      <c r="BS682" s="48"/>
      <c r="BT682" s="48"/>
      <c r="BU682" s="48"/>
      <c r="BV682" s="48"/>
      <c r="BW682" s="48"/>
      <c r="BX682" s="48"/>
      <c r="BY682" s="48"/>
      <c r="BZ682" s="48"/>
      <c r="CA682" s="48"/>
      <c r="CB682" s="48"/>
      <c r="CC682" s="48"/>
      <c r="CD682" s="48"/>
      <c r="CE682" s="48"/>
      <c r="CF682" s="48"/>
      <c r="CG682" s="48"/>
      <c r="CH682" s="48"/>
      <c r="CI682" s="48"/>
      <c r="CJ682" s="48"/>
      <c r="CK682" s="48"/>
      <c r="CL682" s="48"/>
      <c r="CM682" s="48"/>
      <c r="CN682" s="48"/>
      <c r="CO682" s="48"/>
      <c r="CP682" s="49"/>
    </row>
    <row r="683" spans="1:94" ht="15" customHeight="1" x14ac:dyDescent="0.15">
      <c r="A683" s="15"/>
      <c r="B683" s="9"/>
      <c r="C683" s="9"/>
      <c r="D683" s="9"/>
      <c r="E683" s="9" t="s">
        <v>712</v>
      </c>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9"/>
      <c r="BX683" s="9"/>
      <c r="BY683" s="9"/>
      <c r="BZ683" s="9"/>
      <c r="CA683" s="9"/>
      <c r="CB683" s="9"/>
      <c r="CC683" s="9"/>
      <c r="CD683" s="9"/>
      <c r="CE683" s="9"/>
      <c r="CF683" s="9"/>
      <c r="CG683" s="9"/>
      <c r="CH683" s="9"/>
      <c r="CI683" s="9"/>
      <c r="CJ683" s="9"/>
      <c r="CK683" s="9"/>
      <c r="CL683" s="9"/>
      <c r="CM683" s="9"/>
      <c r="CN683" s="9"/>
      <c r="CO683" s="9"/>
      <c r="CP683" s="16"/>
    </row>
    <row r="684" spans="1:94" ht="15" customHeight="1" x14ac:dyDescent="0.15">
      <c r="A684" s="15"/>
      <c r="B684" s="9"/>
      <c r="C684" s="9"/>
      <c r="D684" s="9"/>
      <c r="E684" s="78" t="s">
        <v>713</v>
      </c>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c r="AH684" s="64"/>
      <c r="AI684" s="64"/>
      <c r="AJ684" s="64"/>
      <c r="AK684" s="64"/>
      <c r="AL684" s="64"/>
      <c r="AM684" s="64"/>
      <c r="AN684" s="64"/>
      <c r="AO684" s="64"/>
      <c r="AP684" s="64"/>
      <c r="AQ684" s="64"/>
      <c r="AR684" s="64"/>
      <c r="AS684" s="64"/>
      <c r="AT684" s="64"/>
      <c r="AU684" s="64"/>
      <c r="AV684" s="64"/>
      <c r="AW684" s="64"/>
      <c r="AX684" s="64"/>
      <c r="AY684" s="64"/>
      <c r="AZ684" s="64"/>
      <c r="BA684" s="64"/>
      <c r="BB684" s="64"/>
      <c r="BC684" s="64"/>
      <c r="BD684" s="64"/>
      <c r="BE684" s="64"/>
      <c r="BF684" s="64"/>
      <c r="BG684" s="64"/>
      <c r="BH684" s="64"/>
      <c r="BI684" s="64"/>
      <c r="BJ684" s="64"/>
      <c r="BK684" s="64"/>
      <c r="BL684" s="64"/>
      <c r="BM684" s="64"/>
      <c r="BN684" s="64"/>
      <c r="BO684" s="64"/>
      <c r="BP684" s="64"/>
      <c r="BQ684" s="64"/>
      <c r="BR684" s="64"/>
      <c r="BS684" s="64"/>
      <c r="BT684" s="64"/>
      <c r="BU684" s="64"/>
      <c r="BV684" s="64"/>
      <c r="BW684" s="64"/>
      <c r="BX684" s="64"/>
      <c r="BY684" s="64"/>
      <c r="BZ684" s="64"/>
      <c r="CA684" s="64"/>
      <c r="CB684" s="64"/>
      <c r="CC684" s="64"/>
      <c r="CD684" s="64"/>
      <c r="CE684" s="64"/>
      <c r="CF684" s="64"/>
      <c r="CG684" s="64"/>
      <c r="CH684" s="64"/>
      <c r="CI684" s="65"/>
      <c r="CJ684" s="9"/>
      <c r="CK684" s="9"/>
      <c r="CL684" s="9"/>
      <c r="CM684" s="9"/>
      <c r="CN684" s="9"/>
      <c r="CO684" s="9"/>
      <c r="CP684" s="16"/>
    </row>
    <row r="685" spans="1:94" ht="15" customHeight="1" x14ac:dyDescent="0.15">
      <c r="A685" s="15"/>
      <c r="B685" s="9"/>
      <c r="C685" s="9"/>
      <c r="D685" s="9"/>
      <c r="E685" s="80" t="s">
        <v>714</v>
      </c>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9"/>
      <c r="BX685" s="9"/>
      <c r="BY685" s="9"/>
      <c r="BZ685" s="9"/>
      <c r="CA685" s="9"/>
      <c r="CB685" s="9"/>
      <c r="CC685" s="9"/>
      <c r="CD685" s="9"/>
      <c r="CE685" s="9"/>
      <c r="CF685" s="9"/>
      <c r="CG685" s="9"/>
      <c r="CH685" s="9"/>
      <c r="CI685" s="66"/>
      <c r="CJ685" s="9"/>
      <c r="CK685" s="9"/>
      <c r="CL685" s="9"/>
      <c r="CM685" s="9"/>
      <c r="CN685" s="9"/>
      <c r="CO685" s="9"/>
      <c r="CP685" s="16"/>
    </row>
    <row r="686" spans="1:94" ht="15" customHeight="1" x14ac:dyDescent="0.15">
      <c r="A686" s="15"/>
      <c r="B686" s="9"/>
      <c r="C686" s="9"/>
      <c r="D686" s="9"/>
      <c r="E686" s="80"/>
      <c r="F686" s="9" t="s">
        <v>715</v>
      </c>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9"/>
      <c r="BX686" s="9"/>
      <c r="BY686" s="9"/>
      <c r="BZ686" s="9"/>
      <c r="CA686" s="9"/>
      <c r="CB686" s="9"/>
      <c r="CC686" s="9"/>
      <c r="CD686" s="9"/>
      <c r="CE686" s="9"/>
      <c r="CF686" s="9"/>
      <c r="CG686" s="9"/>
      <c r="CH686" s="9"/>
      <c r="CI686" s="66"/>
      <c r="CJ686" s="9"/>
      <c r="CK686" s="9"/>
      <c r="CL686" s="9"/>
      <c r="CM686" s="9"/>
      <c r="CN686" s="9"/>
      <c r="CO686" s="9"/>
      <c r="CP686" s="16"/>
    </row>
    <row r="687" spans="1:94" ht="15" customHeight="1" x14ac:dyDescent="0.15">
      <c r="A687" s="15"/>
      <c r="B687" s="9"/>
      <c r="C687" s="9"/>
      <c r="D687" s="9"/>
      <c r="E687" s="57"/>
      <c r="F687" s="157" t="s">
        <v>1138</v>
      </c>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9"/>
      <c r="BX687" s="9"/>
      <c r="BY687" s="9"/>
      <c r="BZ687" s="9"/>
      <c r="CA687" s="9"/>
      <c r="CB687" s="9"/>
      <c r="CC687" s="9"/>
      <c r="CD687" s="9"/>
      <c r="CE687" s="9"/>
      <c r="CF687" s="9"/>
      <c r="CG687" s="9"/>
      <c r="CH687" s="9"/>
      <c r="CI687" s="66"/>
      <c r="CJ687" s="9"/>
      <c r="CK687" s="9"/>
      <c r="CL687" s="9"/>
      <c r="CM687" s="9"/>
      <c r="CN687" s="9"/>
      <c r="CO687" s="9"/>
      <c r="CP687" s="16"/>
    </row>
    <row r="688" spans="1:94" ht="15" customHeight="1" x14ac:dyDescent="0.15">
      <c r="A688" s="15"/>
      <c r="B688" s="9"/>
      <c r="C688" s="9"/>
      <c r="D688" s="9"/>
      <c r="E688" s="79" t="s">
        <v>283</v>
      </c>
      <c r="F688" s="62"/>
      <c r="G688" s="62"/>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2"/>
      <c r="AQ688" s="62"/>
      <c r="AR688" s="62"/>
      <c r="AS688" s="62"/>
      <c r="AT688" s="62"/>
      <c r="AU688" s="62"/>
      <c r="AV688" s="62"/>
      <c r="AW688" s="62"/>
      <c r="AX688" s="62"/>
      <c r="AY688" s="62"/>
      <c r="AZ688" s="62"/>
      <c r="BA688" s="62"/>
      <c r="BB688" s="62"/>
      <c r="BC688" s="62"/>
      <c r="BD688" s="62"/>
      <c r="BE688" s="62"/>
      <c r="BF688" s="62"/>
      <c r="BG688" s="62"/>
      <c r="BH688" s="62"/>
      <c r="BI688" s="62"/>
      <c r="BJ688" s="62"/>
      <c r="BK688" s="62"/>
      <c r="BL688" s="62"/>
      <c r="BM688" s="62"/>
      <c r="BN688" s="62"/>
      <c r="BO688" s="62"/>
      <c r="BP688" s="62"/>
      <c r="BQ688" s="62"/>
      <c r="BR688" s="62"/>
      <c r="BS688" s="62"/>
      <c r="BT688" s="62"/>
      <c r="BU688" s="62"/>
      <c r="BV688" s="62"/>
      <c r="BW688" s="62"/>
      <c r="BX688" s="62"/>
      <c r="BY688" s="62"/>
      <c r="BZ688" s="62"/>
      <c r="CA688" s="62"/>
      <c r="CB688" s="62"/>
      <c r="CC688" s="62"/>
      <c r="CD688" s="62"/>
      <c r="CE688" s="62"/>
      <c r="CF688" s="62"/>
      <c r="CG688" s="62"/>
      <c r="CH688" s="62"/>
      <c r="CI688" s="63"/>
      <c r="CJ688" s="9"/>
      <c r="CK688" s="9"/>
      <c r="CL688" s="9"/>
      <c r="CM688" s="9"/>
      <c r="CN688" s="9"/>
      <c r="CO688" s="9"/>
      <c r="CP688" s="16"/>
    </row>
    <row r="689" spans="1:94" ht="15" customHeight="1" x14ac:dyDescent="0.15">
      <c r="A689" s="15"/>
      <c r="B689" s="9"/>
      <c r="C689" s="9"/>
      <c r="D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9"/>
      <c r="BX689" s="9"/>
      <c r="BY689" s="9"/>
      <c r="BZ689" s="9"/>
      <c r="CA689" s="9"/>
      <c r="CB689" s="9"/>
      <c r="CC689" s="9"/>
      <c r="CD689" s="9"/>
      <c r="CE689" s="9"/>
      <c r="CF689" s="9"/>
      <c r="CG689" s="9"/>
      <c r="CH689" s="9"/>
      <c r="CI689" s="9"/>
      <c r="CJ689" s="9"/>
      <c r="CK689" s="9"/>
      <c r="CL689" s="9"/>
      <c r="CM689" s="9"/>
      <c r="CN689" s="9"/>
      <c r="CO689" s="9"/>
      <c r="CP689" s="16"/>
    </row>
    <row r="690" spans="1:94" ht="15" customHeight="1" x14ac:dyDescent="0.15">
      <c r="A690" s="15"/>
      <c r="B690" s="9"/>
      <c r="C690" s="9"/>
      <c r="D690" s="9"/>
      <c r="E690" s="9" t="s">
        <v>716</v>
      </c>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9"/>
      <c r="BX690" s="9"/>
      <c r="BY690" s="9"/>
      <c r="BZ690" s="9"/>
      <c r="CA690" s="9"/>
      <c r="CB690" s="9"/>
      <c r="CC690" s="9"/>
      <c r="CD690" s="9"/>
      <c r="CE690" s="9"/>
      <c r="CF690" s="9"/>
      <c r="CG690" s="9"/>
      <c r="CH690" s="9"/>
      <c r="CI690" s="9"/>
      <c r="CJ690" s="9"/>
      <c r="CK690" s="9"/>
      <c r="CL690" s="9"/>
      <c r="CM690" s="9"/>
      <c r="CN690" s="9"/>
      <c r="CO690" s="9"/>
      <c r="CP690" s="16"/>
    </row>
    <row r="691" spans="1:94" ht="15" customHeight="1" x14ac:dyDescent="0.15">
      <c r="A691" s="15"/>
      <c r="B691" s="9"/>
      <c r="C691" s="9"/>
      <c r="D691" s="9"/>
      <c r="E691" s="134" t="s">
        <v>285</v>
      </c>
      <c r="F691" s="71"/>
      <c r="G691" s="71"/>
      <c r="H691" s="71"/>
      <c r="I691" s="71"/>
      <c r="J691" s="71"/>
      <c r="K691" s="71"/>
      <c r="L691" s="71"/>
      <c r="M691" s="71"/>
      <c r="N691" s="71"/>
      <c r="O691" s="71"/>
      <c r="P691" s="71"/>
      <c r="Q691" s="71"/>
      <c r="R691" s="71"/>
      <c r="S691" s="71"/>
      <c r="T691" s="71"/>
      <c r="U691" s="71"/>
      <c r="V691" s="71"/>
      <c r="W691" s="71"/>
      <c r="X691" s="71"/>
      <c r="Y691" s="71"/>
      <c r="Z691" s="71"/>
      <c r="AA691" s="71"/>
      <c r="AB691" s="71"/>
      <c r="AC691" s="71"/>
      <c r="AD691" s="71"/>
      <c r="AE691" s="71"/>
      <c r="AF691" s="71"/>
      <c r="AG691" s="71"/>
      <c r="AH691" s="71"/>
      <c r="AI691" s="71"/>
      <c r="AJ691" s="71"/>
      <c r="AK691" s="71"/>
      <c r="AL691" s="71"/>
      <c r="AM691" s="71"/>
      <c r="AN691" s="71"/>
      <c r="AO691" s="71"/>
      <c r="AP691" s="71"/>
      <c r="AQ691" s="71"/>
      <c r="AR691" s="71"/>
      <c r="AS691" s="71"/>
      <c r="AT691" s="71"/>
      <c r="AU691" s="71"/>
      <c r="AV691" s="71"/>
      <c r="AW691" s="71"/>
      <c r="AX691" s="71"/>
      <c r="AY691" s="71"/>
      <c r="AZ691" s="71"/>
      <c r="BA691" s="71"/>
      <c r="BB691" s="71"/>
      <c r="BC691" s="71"/>
      <c r="BD691" s="71"/>
      <c r="BE691" s="71"/>
      <c r="BF691" s="71"/>
      <c r="BG691" s="71"/>
      <c r="BH691" s="71"/>
      <c r="BI691" s="71"/>
      <c r="BJ691" s="71"/>
      <c r="BK691" s="71"/>
      <c r="BL691" s="71"/>
      <c r="BM691" s="71"/>
      <c r="BN691" s="71"/>
      <c r="BO691" s="71"/>
      <c r="BP691" s="71"/>
      <c r="BQ691" s="71"/>
      <c r="BR691" s="71"/>
      <c r="BS691" s="71"/>
      <c r="BT691" s="71"/>
      <c r="BU691" s="71"/>
      <c r="BV691" s="71"/>
      <c r="BW691" s="71"/>
      <c r="BX691" s="71"/>
      <c r="BY691" s="71"/>
      <c r="BZ691" s="71"/>
      <c r="CA691" s="71"/>
      <c r="CB691" s="71"/>
      <c r="CC691" s="71"/>
      <c r="CD691" s="71"/>
      <c r="CE691" s="71"/>
      <c r="CF691" s="71"/>
      <c r="CG691" s="71"/>
      <c r="CH691" s="71"/>
      <c r="CI691" s="72"/>
      <c r="CJ691" s="9"/>
      <c r="CK691" s="9"/>
      <c r="CL691" s="9"/>
      <c r="CM691" s="9"/>
      <c r="CN691" s="9"/>
      <c r="CO691" s="9"/>
      <c r="CP691" s="16"/>
    </row>
    <row r="692" spans="1:94" ht="15" customHeight="1" x14ac:dyDescent="0.15">
      <c r="A692" s="15"/>
      <c r="B692" s="9"/>
      <c r="C692" s="9"/>
      <c r="D692" s="9"/>
      <c r="E692" s="80"/>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c r="BW692" s="9"/>
      <c r="BX692" s="9"/>
      <c r="BY692" s="9"/>
      <c r="BZ692" s="9"/>
      <c r="CA692" s="9"/>
      <c r="CB692" s="9"/>
      <c r="CC692" s="9"/>
      <c r="CD692" s="9"/>
      <c r="CE692" s="9"/>
      <c r="CF692" s="9"/>
      <c r="CG692" s="9"/>
      <c r="CH692" s="9"/>
      <c r="CI692" s="66"/>
      <c r="CJ692" s="9"/>
      <c r="CK692" s="9"/>
      <c r="CL692" s="9"/>
      <c r="CM692" s="9"/>
      <c r="CN692" s="9"/>
      <c r="CO692" s="9"/>
      <c r="CP692" s="16"/>
    </row>
    <row r="693" spans="1:94" ht="15" customHeight="1" x14ac:dyDescent="0.15">
      <c r="A693" s="15"/>
      <c r="B693" s="9"/>
      <c r="C693" s="9"/>
      <c r="D693" s="9"/>
      <c r="E693" s="80" t="s">
        <v>724</v>
      </c>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c r="BW693" s="9"/>
      <c r="BX693" s="9"/>
      <c r="BY693" s="9"/>
      <c r="BZ693" s="9"/>
      <c r="CA693" s="9"/>
      <c r="CB693" s="9"/>
      <c r="CC693" s="9"/>
      <c r="CD693" s="9"/>
      <c r="CE693" s="9"/>
      <c r="CF693" s="9"/>
      <c r="CG693" s="9"/>
      <c r="CH693" s="9"/>
      <c r="CI693" s="66"/>
      <c r="CJ693" s="9"/>
      <c r="CK693" s="9"/>
      <c r="CL693" s="9"/>
      <c r="CM693" s="9"/>
      <c r="CN693" s="9"/>
      <c r="CO693" s="9"/>
      <c r="CP693" s="16"/>
    </row>
    <row r="694" spans="1:94" ht="15" customHeight="1" x14ac:dyDescent="0.15">
      <c r="A694" s="15"/>
      <c r="B694" s="9"/>
      <c r="C694" s="9"/>
      <c r="D694" s="9"/>
      <c r="E694" s="80" t="s">
        <v>875</v>
      </c>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c r="BW694" s="9"/>
      <c r="BX694" s="9"/>
      <c r="BY694" s="9"/>
      <c r="BZ694" s="9"/>
      <c r="CA694" s="9"/>
      <c r="CB694" s="9"/>
      <c r="CC694" s="9"/>
      <c r="CD694" s="9"/>
      <c r="CE694" s="9"/>
      <c r="CF694" s="9"/>
      <c r="CG694" s="9"/>
      <c r="CH694" s="9"/>
      <c r="CI694" s="66"/>
      <c r="CJ694" s="9"/>
      <c r="CK694" s="9"/>
      <c r="CL694" s="9"/>
      <c r="CM694" s="9"/>
      <c r="CN694" s="9"/>
      <c r="CO694" s="9"/>
      <c r="CP694" s="16"/>
    </row>
    <row r="695" spans="1:94" ht="15" customHeight="1" x14ac:dyDescent="0.15">
      <c r="A695" s="15"/>
      <c r="B695" s="9"/>
      <c r="C695" s="9"/>
      <c r="D695" s="9"/>
      <c r="E695" s="80" t="s">
        <v>717</v>
      </c>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c r="BW695" s="9"/>
      <c r="BX695" s="9"/>
      <c r="BY695" s="9"/>
      <c r="BZ695" s="9"/>
      <c r="CA695" s="9"/>
      <c r="CB695" s="9"/>
      <c r="CC695" s="9"/>
      <c r="CD695" s="9"/>
      <c r="CE695" s="9"/>
      <c r="CF695" s="9"/>
      <c r="CG695" s="9"/>
      <c r="CH695" s="9"/>
      <c r="CI695" s="66"/>
      <c r="CJ695" s="9"/>
      <c r="CK695" s="9"/>
      <c r="CL695" s="9"/>
      <c r="CM695" s="9"/>
      <c r="CN695" s="9"/>
      <c r="CO695" s="9"/>
      <c r="CP695" s="16"/>
    </row>
    <row r="696" spans="1:94" ht="15" customHeight="1" x14ac:dyDescent="0.15">
      <c r="A696" s="15"/>
      <c r="B696" s="9"/>
      <c r="C696" s="9"/>
      <c r="D696" s="9"/>
      <c r="E696" s="80" t="s">
        <v>282</v>
      </c>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c r="BW696" s="9"/>
      <c r="BX696" s="9"/>
      <c r="BY696" s="9"/>
      <c r="BZ696" s="9"/>
      <c r="CA696" s="9"/>
      <c r="CB696" s="9"/>
      <c r="CC696" s="9"/>
      <c r="CD696" s="9"/>
      <c r="CE696" s="9"/>
      <c r="CF696" s="9"/>
      <c r="CG696" s="9"/>
      <c r="CH696" s="9"/>
      <c r="CI696" s="66"/>
      <c r="CJ696" s="9"/>
      <c r="CK696" s="9"/>
      <c r="CL696" s="9"/>
      <c r="CM696" s="9"/>
      <c r="CN696" s="9"/>
      <c r="CO696" s="9"/>
      <c r="CP696" s="16"/>
    </row>
    <row r="697" spans="1:94" ht="15" customHeight="1" x14ac:dyDescent="0.15">
      <c r="A697" s="15"/>
      <c r="B697" s="9"/>
      <c r="C697" s="9"/>
      <c r="D697" s="9"/>
      <c r="E697" s="80" t="s">
        <v>283</v>
      </c>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c r="BW697" s="9"/>
      <c r="BX697" s="9"/>
      <c r="BY697" s="9"/>
      <c r="BZ697" s="9"/>
      <c r="CA697" s="9"/>
      <c r="CB697" s="9"/>
      <c r="CC697" s="9"/>
      <c r="CD697" s="9"/>
      <c r="CE697" s="9"/>
      <c r="CF697" s="9"/>
      <c r="CG697" s="9"/>
      <c r="CH697" s="9"/>
      <c r="CI697" s="66"/>
      <c r="CJ697" s="9"/>
      <c r="CK697" s="9"/>
      <c r="CL697" s="9"/>
      <c r="CM697" s="9"/>
      <c r="CN697" s="9"/>
      <c r="CO697" s="9"/>
      <c r="CP697" s="16"/>
    </row>
    <row r="698" spans="1:94" ht="15" customHeight="1" x14ac:dyDescent="0.15">
      <c r="A698" s="15"/>
      <c r="B698" s="9"/>
      <c r="C698" s="9"/>
      <c r="D698" s="9"/>
      <c r="E698" s="80"/>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c r="BW698" s="9"/>
      <c r="BX698" s="9"/>
      <c r="BY698" s="9"/>
      <c r="BZ698" s="9"/>
      <c r="CA698" s="9"/>
      <c r="CB698" s="9"/>
      <c r="CC698" s="9"/>
      <c r="CD698" s="9"/>
      <c r="CE698" s="9"/>
      <c r="CF698" s="9"/>
      <c r="CG698" s="9"/>
      <c r="CH698" s="9"/>
      <c r="CI698" s="66"/>
      <c r="CJ698" s="9"/>
      <c r="CK698" s="9"/>
      <c r="CL698" s="9"/>
      <c r="CM698" s="9"/>
      <c r="CN698" s="9"/>
      <c r="CO698" s="9"/>
      <c r="CP698" s="16"/>
    </row>
    <row r="699" spans="1:94" ht="15" customHeight="1" x14ac:dyDescent="0.15">
      <c r="A699" s="15"/>
      <c r="B699" s="9"/>
      <c r="C699" s="9"/>
      <c r="D699" s="9"/>
      <c r="E699" s="80" t="s">
        <v>718</v>
      </c>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c r="BW699" s="9"/>
      <c r="BX699" s="9"/>
      <c r="BY699" s="9"/>
      <c r="BZ699" s="9"/>
      <c r="CA699" s="9"/>
      <c r="CB699" s="9"/>
      <c r="CC699" s="9"/>
      <c r="CD699" s="9"/>
      <c r="CE699" s="9"/>
      <c r="CF699" s="9"/>
      <c r="CG699" s="9"/>
      <c r="CH699" s="9"/>
      <c r="CI699" s="66"/>
      <c r="CJ699" s="9"/>
      <c r="CK699" s="9"/>
      <c r="CL699" s="9"/>
      <c r="CM699" s="9"/>
      <c r="CN699" s="9"/>
      <c r="CO699" s="9"/>
      <c r="CP699" s="16"/>
    </row>
    <row r="700" spans="1:94" ht="15" customHeight="1" x14ac:dyDescent="0.15">
      <c r="A700" s="15"/>
      <c r="B700" s="9"/>
      <c r="C700" s="9"/>
      <c r="D700" s="9"/>
      <c r="E700" s="80" t="s">
        <v>876</v>
      </c>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c r="BW700" s="9"/>
      <c r="BX700" s="9"/>
      <c r="BY700" s="9"/>
      <c r="BZ700" s="9"/>
      <c r="CA700" s="9"/>
      <c r="CB700" s="9"/>
      <c r="CC700" s="9"/>
      <c r="CD700" s="9"/>
      <c r="CE700" s="9"/>
      <c r="CF700" s="9"/>
      <c r="CG700" s="9"/>
      <c r="CH700" s="9"/>
      <c r="CI700" s="66"/>
      <c r="CJ700" s="9"/>
      <c r="CK700" s="9"/>
      <c r="CL700" s="9"/>
      <c r="CM700" s="9"/>
      <c r="CN700" s="9"/>
      <c r="CO700" s="9"/>
      <c r="CP700" s="16"/>
    </row>
    <row r="701" spans="1:94" ht="15" customHeight="1" x14ac:dyDescent="0.15">
      <c r="A701" s="15"/>
      <c r="B701" s="9"/>
      <c r="C701" s="9"/>
      <c r="D701" s="9"/>
      <c r="E701" s="80" t="s">
        <v>719</v>
      </c>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c r="BW701" s="9"/>
      <c r="BX701" s="9"/>
      <c r="BY701" s="9"/>
      <c r="BZ701" s="9"/>
      <c r="CA701" s="9"/>
      <c r="CB701" s="9"/>
      <c r="CC701" s="9"/>
      <c r="CD701" s="9"/>
      <c r="CE701" s="9"/>
      <c r="CF701" s="9"/>
      <c r="CG701" s="9"/>
      <c r="CH701" s="9"/>
      <c r="CI701" s="66"/>
      <c r="CJ701" s="9"/>
      <c r="CK701" s="9"/>
      <c r="CL701" s="9"/>
      <c r="CM701" s="9"/>
      <c r="CN701" s="9"/>
      <c r="CO701" s="9"/>
      <c r="CP701" s="16"/>
    </row>
    <row r="702" spans="1:94" ht="15" customHeight="1" x14ac:dyDescent="0.15">
      <c r="A702" s="15"/>
      <c r="B702" s="9"/>
      <c r="C702" s="9"/>
      <c r="D702" s="9"/>
      <c r="E702" s="80" t="s">
        <v>282</v>
      </c>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c r="BW702" s="9"/>
      <c r="BX702" s="9"/>
      <c r="BY702" s="9"/>
      <c r="BZ702" s="9"/>
      <c r="CA702" s="9"/>
      <c r="CB702" s="9"/>
      <c r="CC702" s="9"/>
      <c r="CD702" s="9"/>
      <c r="CE702" s="9"/>
      <c r="CF702" s="9"/>
      <c r="CG702" s="9"/>
      <c r="CH702" s="9"/>
      <c r="CI702" s="66"/>
      <c r="CJ702" s="9"/>
      <c r="CK702" s="9"/>
      <c r="CL702" s="9"/>
      <c r="CM702" s="9"/>
      <c r="CN702" s="9"/>
      <c r="CO702" s="9"/>
      <c r="CP702" s="16"/>
    </row>
    <row r="703" spans="1:94" ht="15" customHeight="1" x14ac:dyDescent="0.15">
      <c r="A703" s="15"/>
      <c r="B703" s="9"/>
      <c r="C703" s="9"/>
      <c r="D703" s="9"/>
      <c r="E703" s="80" t="s">
        <v>283</v>
      </c>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c r="BW703" s="9"/>
      <c r="BX703" s="9"/>
      <c r="BY703" s="9"/>
      <c r="BZ703" s="9"/>
      <c r="CA703" s="9"/>
      <c r="CB703" s="9"/>
      <c r="CC703" s="9"/>
      <c r="CD703" s="9"/>
      <c r="CE703" s="9"/>
      <c r="CF703" s="9"/>
      <c r="CG703" s="9"/>
      <c r="CH703" s="9"/>
      <c r="CI703" s="66"/>
      <c r="CJ703" s="9"/>
      <c r="CK703" s="9"/>
      <c r="CL703" s="9"/>
      <c r="CM703" s="9"/>
      <c r="CN703" s="9"/>
      <c r="CO703" s="9"/>
      <c r="CP703" s="16"/>
    </row>
    <row r="704" spans="1:94" ht="15" customHeight="1" x14ac:dyDescent="0.15">
      <c r="A704" s="15"/>
      <c r="B704" s="9"/>
      <c r="C704" s="9"/>
      <c r="D704" s="9"/>
      <c r="E704" s="80"/>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9"/>
      <c r="BX704" s="9"/>
      <c r="BY704" s="9"/>
      <c r="BZ704" s="9"/>
      <c r="CA704" s="9"/>
      <c r="CB704" s="9"/>
      <c r="CC704" s="9"/>
      <c r="CD704" s="9"/>
      <c r="CE704" s="9"/>
      <c r="CF704" s="9"/>
      <c r="CG704" s="9"/>
      <c r="CH704" s="9"/>
      <c r="CI704" s="66"/>
      <c r="CJ704" s="9"/>
      <c r="CK704" s="9"/>
      <c r="CL704" s="9"/>
      <c r="CM704" s="9"/>
      <c r="CN704" s="9"/>
      <c r="CO704" s="9"/>
      <c r="CP704" s="16"/>
    </row>
    <row r="705" spans="1:94" ht="15" customHeight="1" x14ac:dyDescent="0.15">
      <c r="A705" s="15"/>
      <c r="B705" s="9"/>
      <c r="C705" s="9"/>
      <c r="D705" s="9"/>
      <c r="E705" s="80" t="s">
        <v>720</v>
      </c>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9"/>
      <c r="BX705" s="9"/>
      <c r="BY705" s="9"/>
      <c r="BZ705" s="9"/>
      <c r="CA705" s="9"/>
      <c r="CB705" s="9"/>
      <c r="CC705" s="9"/>
      <c r="CD705" s="9"/>
      <c r="CE705" s="9"/>
      <c r="CF705" s="9"/>
      <c r="CG705" s="9"/>
      <c r="CH705" s="9"/>
      <c r="CI705" s="66"/>
      <c r="CJ705" s="9"/>
      <c r="CK705" s="9"/>
      <c r="CL705" s="9"/>
      <c r="CM705" s="9"/>
      <c r="CN705" s="9"/>
      <c r="CO705" s="9"/>
      <c r="CP705" s="16"/>
    </row>
    <row r="706" spans="1:94" ht="15" customHeight="1" x14ac:dyDescent="0.15">
      <c r="A706" s="15"/>
      <c r="B706" s="9"/>
      <c r="C706" s="9"/>
      <c r="D706" s="9"/>
      <c r="E706" s="80" t="s">
        <v>877</v>
      </c>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9"/>
      <c r="BX706" s="9"/>
      <c r="BY706" s="9"/>
      <c r="BZ706" s="9"/>
      <c r="CA706" s="9"/>
      <c r="CB706" s="9"/>
      <c r="CC706" s="9"/>
      <c r="CD706" s="9"/>
      <c r="CE706" s="9"/>
      <c r="CF706" s="9"/>
      <c r="CG706" s="9"/>
      <c r="CH706" s="9"/>
      <c r="CI706" s="66"/>
      <c r="CJ706" s="9"/>
      <c r="CK706" s="9"/>
      <c r="CL706" s="9"/>
      <c r="CM706" s="9"/>
      <c r="CN706" s="9"/>
      <c r="CO706" s="9"/>
      <c r="CP706" s="16"/>
    </row>
    <row r="707" spans="1:94" ht="15" customHeight="1" x14ac:dyDescent="0.15">
      <c r="A707" s="15"/>
      <c r="B707" s="9"/>
      <c r="C707" s="9"/>
      <c r="D707" s="9"/>
      <c r="E707" s="80" t="s">
        <v>721</v>
      </c>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9"/>
      <c r="BX707" s="9"/>
      <c r="BY707" s="9"/>
      <c r="BZ707" s="9"/>
      <c r="CA707" s="9"/>
      <c r="CB707" s="9"/>
      <c r="CC707" s="9"/>
      <c r="CD707" s="9"/>
      <c r="CE707" s="9"/>
      <c r="CF707" s="9"/>
      <c r="CG707" s="9"/>
      <c r="CH707" s="9"/>
      <c r="CI707" s="66"/>
      <c r="CJ707" s="9"/>
      <c r="CK707" s="9"/>
      <c r="CL707" s="9"/>
      <c r="CM707" s="9"/>
      <c r="CN707" s="9"/>
      <c r="CO707" s="9"/>
      <c r="CP707" s="16"/>
    </row>
    <row r="708" spans="1:94" ht="15" customHeight="1" x14ac:dyDescent="0.15">
      <c r="A708" s="15"/>
      <c r="B708" s="9"/>
      <c r="C708" s="9"/>
      <c r="D708" s="9"/>
      <c r="E708" s="80" t="s">
        <v>282</v>
      </c>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66"/>
      <c r="CJ708" s="9"/>
      <c r="CK708" s="9"/>
      <c r="CL708" s="9"/>
      <c r="CM708" s="9"/>
      <c r="CN708" s="9"/>
      <c r="CO708" s="9"/>
      <c r="CP708" s="16"/>
    </row>
    <row r="709" spans="1:94" ht="15" customHeight="1" x14ac:dyDescent="0.15">
      <c r="A709" s="15"/>
      <c r="B709" s="9"/>
      <c r="C709" s="9"/>
      <c r="D709" s="9"/>
      <c r="E709" s="80" t="s">
        <v>283</v>
      </c>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66"/>
      <c r="CJ709" s="9"/>
      <c r="CK709" s="9"/>
      <c r="CL709" s="9"/>
      <c r="CM709" s="9"/>
      <c r="CN709" s="9"/>
      <c r="CO709" s="9"/>
      <c r="CP709" s="16"/>
    </row>
    <row r="710" spans="1:94" ht="15" customHeight="1" x14ac:dyDescent="0.15">
      <c r="A710" s="15"/>
      <c r="B710" s="9"/>
      <c r="C710" s="9"/>
      <c r="D710" s="9"/>
      <c r="E710" s="80"/>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66"/>
      <c r="CJ710" s="9"/>
      <c r="CK710" s="9"/>
      <c r="CL710" s="9"/>
      <c r="CM710" s="9"/>
      <c r="CN710" s="9"/>
      <c r="CO710" s="9"/>
      <c r="CP710" s="16"/>
    </row>
    <row r="711" spans="1:94" ht="15" customHeight="1" x14ac:dyDescent="0.15">
      <c r="A711" s="15"/>
      <c r="B711" s="9"/>
      <c r="C711" s="9"/>
      <c r="D711" s="9"/>
      <c r="E711" s="80" t="s">
        <v>722</v>
      </c>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9"/>
      <c r="BX711" s="9"/>
      <c r="BY711" s="9"/>
      <c r="BZ711" s="9"/>
      <c r="CA711" s="9"/>
      <c r="CB711" s="9"/>
      <c r="CC711" s="9"/>
      <c r="CD711" s="9"/>
      <c r="CE711" s="9"/>
      <c r="CF711" s="9"/>
      <c r="CG711" s="9"/>
      <c r="CH711" s="9"/>
      <c r="CI711" s="66"/>
      <c r="CJ711" s="9"/>
      <c r="CK711" s="9"/>
      <c r="CL711" s="9"/>
      <c r="CM711" s="9"/>
      <c r="CN711" s="9"/>
      <c r="CO711" s="9"/>
      <c r="CP711" s="16"/>
    </row>
    <row r="712" spans="1:94" ht="15" customHeight="1" x14ac:dyDescent="0.15">
      <c r="A712" s="15"/>
      <c r="B712" s="9"/>
      <c r="C712" s="9"/>
      <c r="D712" s="9"/>
      <c r="E712" s="80" t="s">
        <v>878</v>
      </c>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66"/>
      <c r="CJ712" s="9"/>
      <c r="CK712" s="9"/>
      <c r="CL712" s="9"/>
      <c r="CM712" s="9"/>
      <c r="CN712" s="9"/>
      <c r="CO712" s="9"/>
      <c r="CP712" s="16"/>
    </row>
    <row r="713" spans="1:94" ht="15" customHeight="1" x14ac:dyDescent="0.15">
      <c r="A713" s="15"/>
      <c r="B713" s="9"/>
      <c r="C713" s="9"/>
      <c r="D713" s="9"/>
      <c r="E713" s="80" t="s">
        <v>723</v>
      </c>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c r="BW713" s="9"/>
      <c r="BX713" s="9"/>
      <c r="BY713" s="9"/>
      <c r="BZ713" s="9"/>
      <c r="CA713" s="9"/>
      <c r="CB713" s="9"/>
      <c r="CC713" s="9"/>
      <c r="CD713" s="9"/>
      <c r="CE713" s="9"/>
      <c r="CF713" s="9"/>
      <c r="CG713" s="9"/>
      <c r="CH713" s="9"/>
      <c r="CI713" s="66"/>
      <c r="CJ713" s="9"/>
      <c r="CK713" s="9"/>
      <c r="CL713" s="9"/>
      <c r="CM713" s="9"/>
      <c r="CN713" s="9"/>
      <c r="CO713" s="9"/>
      <c r="CP713" s="16"/>
    </row>
    <row r="714" spans="1:94" ht="15" customHeight="1" x14ac:dyDescent="0.15">
      <c r="A714" s="15"/>
      <c r="B714" s="9"/>
      <c r="C714" s="9"/>
      <c r="D714" s="9"/>
      <c r="E714" s="80" t="s">
        <v>282</v>
      </c>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c r="BW714" s="9"/>
      <c r="BX714" s="9"/>
      <c r="BY714" s="9"/>
      <c r="BZ714" s="9"/>
      <c r="CA714" s="9"/>
      <c r="CB714" s="9"/>
      <c r="CC714" s="9"/>
      <c r="CD714" s="9"/>
      <c r="CE714" s="9"/>
      <c r="CF714" s="9"/>
      <c r="CG714" s="9"/>
      <c r="CH714" s="9"/>
      <c r="CI714" s="66"/>
      <c r="CJ714" s="9"/>
      <c r="CK714" s="9"/>
      <c r="CL714" s="9"/>
      <c r="CM714" s="9"/>
      <c r="CN714" s="9"/>
      <c r="CO714" s="9"/>
      <c r="CP714" s="16"/>
    </row>
    <row r="715" spans="1:94" ht="15" customHeight="1" x14ac:dyDescent="0.15">
      <c r="A715" s="15"/>
      <c r="B715" s="9"/>
      <c r="C715" s="9"/>
      <c r="D715" s="9"/>
      <c r="E715" s="80" t="s">
        <v>283</v>
      </c>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c r="BW715" s="9"/>
      <c r="BX715" s="9"/>
      <c r="BY715" s="9"/>
      <c r="BZ715" s="9"/>
      <c r="CA715" s="9"/>
      <c r="CB715" s="9"/>
      <c r="CC715" s="9"/>
      <c r="CD715" s="9"/>
      <c r="CE715" s="9"/>
      <c r="CF715" s="9"/>
      <c r="CG715" s="9"/>
      <c r="CH715" s="9"/>
      <c r="CI715" s="66"/>
      <c r="CJ715" s="9"/>
      <c r="CK715" s="9"/>
      <c r="CL715" s="9"/>
      <c r="CM715" s="9"/>
      <c r="CN715" s="9"/>
      <c r="CO715" s="9"/>
      <c r="CP715" s="16"/>
    </row>
    <row r="716" spans="1:94" ht="15" customHeight="1" x14ac:dyDescent="0.15">
      <c r="A716" s="15"/>
      <c r="B716" s="9"/>
      <c r="C716" s="9"/>
      <c r="D716" s="9"/>
      <c r="E716" s="80"/>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c r="BW716" s="9"/>
      <c r="BX716" s="9"/>
      <c r="BY716" s="9"/>
      <c r="BZ716" s="9"/>
      <c r="CA716" s="9"/>
      <c r="CB716" s="9"/>
      <c r="CC716" s="9"/>
      <c r="CD716" s="9"/>
      <c r="CE716" s="9"/>
      <c r="CF716" s="9"/>
      <c r="CG716" s="9"/>
      <c r="CH716" s="9"/>
      <c r="CI716" s="66"/>
      <c r="CJ716" s="9"/>
      <c r="CK716" s="9"/>
      <c r="CL716" s="9"/>
      <c r="CM716" s="9"/>
      <c r="CN716" s="9"/>
      <c r="CO716" s="9"/>
      <c r="CP716" s="16"/>
    </row>
    <row r="717" spans="1:94" ht="15" customHeight="1" x14ac:dyDescent="0.15">
      <c r="A717" s="15"/>
      <c r="B717" s="9"/>
      <c r="C717" s="9"/>
      <c r="D717" s="9"/>
      <c r="E717" s="80" t="s">
        <v>879</v>
      </c>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c r="BW717" s="9"/>
      <c r="BX717" s="9"/>
      <c r="BY717" s="9"/>
      <c r="BZ717" s="9"/>
      <c r="CA717" s="9"/>
      <c r="CB717" s="9"/>
      <c r="CC717" s="9"/>
      <c r="CD717" s="9"/>
      <c r="CE717" s="9"/>
      <c r="CF717" s="9"/>
      <c r="CG717" s="9"/>
      <c r="CH717" s="9"/>
      <c r="CI717" s="66"/>
      <c r="CJ717" s="9"/>
      <c r="CK717" s="9"/>
      <c r="CL717" s="9"/>
      <c r="CM717" s="9"/>
      <c r="CN717" s="9"/>
      <c r="CO717" s="9"/>
      <c r="CP717" s="16"/>
    </row>
    <row r="718" spans="1:94" ht="15" customHeight="1" x14ac:dyDescent="0.15">
      <c r="A718" s="15"/>
      <c r="B718" s="9"/>
      <c r="C718" s="9"/>
      <c r="D718" s="9"/>
      <c r="E718" s="80"/>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c r="BW718" s="9"/>
      <c r="BX718" s="9"/>
      <c r="BY718" s="9"/>
      <c r="BZ718" s="9"/>
      <c r="CA718" s="9"/>
      <c r="CB718" s="9"/>
      <c r="CC718" s="9"/>
      <c r="CD718" s="9"/>
      <c r="CE718" s="9"/>
      <c r="CF718" s="9"/>
      <c r="CG718" s="9"/>
      <c r="CH718" s="9"/>
      <c r="CI718" s="66"/>
      <c r="CJ718" s="9"/>
      <c r="CK718" s="9"/>
      <c r="CL718" s="9"/>
      <c r="CM718" s="9"/>
      <c r="CN718" s="9"/>
      <c r="CO718" s="9"/>
      <c r="CP718" s="16"/>
    </row>
    <row r="719" spans="1:94" ht="15" customHeight="1" x14ac:dyDescent="0.15">
      <c r="A719" s="15"/>
      <c r="B719" s="9"/>
      <c r="C719" s="9"/>
      <c r="D719" s="9"/>
      <c r="E719" s="80" t="s">
        <v>725</v>
      </c>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c r="BW719" s="9"/>
      <c r="BX719" s="9"/>
      <c r="BY719" s="9"/>
      <c r="BZ719" s="9"/>
      <c r="CA719" s="9"/>
      <c r="CB719" s="9"/>
      <c r="CC719" s="9"/>
      <c r="CD719" s="9"/>
      <c r="CE719" s="9"/>
      <c r="CF719" s="9"/>
      <c r="CG719" s="9"/>
      <c r="CH719" s="9"/>
      <c r="CI719" s="66"/>
      <c r="CJ719" s="9"/>
      <c r="CK719" s="9"/>
      <c r="CL719" s="9"/>
      <c r="CM719" s="9"/>
      <c r="CN719" s="9"/>
      <c r="CO719" s="9"/>
      <c r="CP719" s="16"/>
    </row>
    <row r="720" spans="1:94" ht="15" customHeight="1" x14ac:dyDescent="0.15">
      <c r="A720" s="15"/>
      <c r="B720" s="9"/>
      <c r="C720" s="9"/>
      <c r="D720" s="9"/>
      <c r="E720" s="57" t="s">
        <v>726</v>
      </c>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c r="BW720" s="9"/>
      <c r="BX720" s="9"/>
      <c r="BY720" s="9"/>
      <c r="BZ720" s="9"/>
      <c r="CA720" s="9"/>
      <c r="CB720" s="9"/>
      <c r="CC720" s="9"/>
      <c r="CD720" s="9"/>
      <c r="CE720" s="9"/>
      <c r="CF720" s="9"/>
      <c r="CG720" s="9"/>
      <c r="CH720" s="9"/>
      <c r="CI720" s="66"/>
      <c r="CJ720" s="9"/>
      <c r="CK720" s="9"/>
      <c r="CL720" s="9"/>
      <c r="CM720" s="9"/>
      <c r="CN720" s="9"/>
      <c r="CO720" s="9"/>
      <c r="CP720" s="16"/>
    </row>
    <row r="721" spans="1:94" ht="15" customHeight="1" x14ac:dyDescent="0.15">
      <c r="A721" s="15"/>
      <c r="B721" s="9"/>
      <c r="C721" s="9"/>
      <c r="D721" s="9"/>
      <c r="E721" s="80" t="s">
        <v>727</v>
      </c>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c r="BW721" s="9"/>
      <c r="BX721" s="9"/>
      <c r="BY721" s="9"/>
      <c r="BZ721" s="9"/>
      <c r="CA721" s="9"/>
      <c r="CB721" s="9"/>
      <c r="CC721" s="9"/>
      <c r="CD721" s="9"/>
      <c r="CE721" s="9"/>
      <c r="CF721" s="9"/>
      <c r="CG721" s="9"/>
      <c r="CH721" s="9"/>
      <c r="CI721" s="66"/>
      <c r="CJ721" s="9"/>
      <c r="CK721" s="9"/>
      <c r="CL721" s="9"/>
      <c r="CM721" s="9"/>
      <c r="CN721" s="9"/>
      <c r="CO721" s="9"/>
      <c r="CP721" s="16"/>
    </row>
    <row r="722" spans="1:94" ht="15" customHeight="1" x14ac:dyDescent="0.15">
      <c r="A722" s="15"/>
      <c r="B722" s="9"/>
      <c r="C722" s="9"/>
      <c r="D722" s="9"/>
      <c r="E722" s="79" t="s">
        <v>283</v>
      </c>
      <c r="F722" s="62"/>
      <c r="G722" s="62"/>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2"/>
      <c r="AQ722" s="62"/>
      <c r="AR722" s="62"/>
      <c r="AS722" s="62"/>
      <c r="AT722" s="62"/>
      <c r="AU722" s="62"/>
      <c r="AV722" s="62"/>
      <c r="AW722" s="62"/>
      <c r="AX722" s="62"/>
      <c r="AY722" s="62"/>
      <c r="AZ722" s="62"/>
      <c r="BA722" s="62"/>
      <c r="BB722" s="62"/>
      <c r="BC722" s="62"/>
      <c r="BD722" s="62"/>
      <c r="BE722" s="62"/>
      <c r="BF722" s="62"/>
      <c r="BG722" s="62"/>
      <c r="BH722" s="62"/>
      <c r="BI722" s="62"/>
      <c r="BJ722" s="62"/>
      <c r="BK722" s="62"/>
      <c r="BL722" s="62"/>
      <c r="BM722" s="62"/>
      <c r="BN722" s="62"/>
      <c r="BO722" s="62"/>
      <c r="BP722" s="62"/>
      <c r="BQ722" s="62"/>
      <c r="BR722" s="62"/>
      <c r="BS722" s="62"/>
      <c r="BT722" s="62"/>
      <c r="BU722" s="62"/>
      <c r="BV722" s="62"/>
      <c r="BW722" s="62"/>
      <c r="BX722" s="62"/>
      <c r="BY722" s="62"/>
      <c r="BZ722" s="62"/>
      <c r="CA722" s="62"/>
      <c r="CB722" s="62"/>
      <c r="CC722" s="62"/>
      <c r="CD722" s="62"/>
      <c r="CE722" s="62"/>
      <c r="CF722" s="62"/>
      <c r="CG722" s="62"/>
      <c r="CH722" s="62"/>
      <c r="CI722" s="63"/>
      <c r="CJ722" s="9"/>
      <c r="CK722" s="9"/>
      <c r="CL722" s="9"/>
      <c r="CM722" s="9"/>
      <c r="CN722" s="9"/>
      <c r="CO722" s="9"/>
      <c r="CP722" s="16"/>
    </row>
    <row r="723" spans="1:94" ht="15" customHeight="1" x14ac:dyDescent="0.15">
      <c r="A723" s="15"/>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c r="BW723" s="9"/>
      <c r="BX723" s="9"/>
      <c r="BY723" s="9"/>
      <c r="BZ723" s="9"/>
      <c r="CA723" s="9"/>
      <c r="CB723" s="9"/>
      <c r="CC723" s="9"/>
      <c r="CD723" s="9"/>
      <c r="CE723" s="9"/>
      <c r="CF723" s="9"/>
      <c r="CG723" s="9"/>
      <c r="CH723" s="9"/>
      <c r="CI723" s="9"/>
      <c r="CJ723" s="9"/>
      <c r="CK723" s="9"/>
      <c r="CL723" s="9"/>
      <c r="CM723" s="9"/>
      <c r="CN723" s="9"/>
      <c r="CO723" s="9"/>
      <c r="CP723" s="16"/>
    </row>
    <row r="724" spans="1:94" ht="15" customHeight="1" thickBot="1" x14ac:dyDescent="0.2">
      <c r="A724" s="19"/>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c r="BR724" s="20"/>
      <c r="BS724" s="20"/>
      <c r="BT724" s="20"/>
      <c r="BU724" s="20"/>
      <c r="BV724" s="20"/>
      <c r="BW724" s="20"/>
      <c r="BX724" s="20"/>
      <c r="BY724" s="20"/>
      <c r="BZ724" s="20"/>
      <c r="CA724" s="20"/>
      <c r="CB724" s="20"/>
      <c r="CC724" s="20"/>
      <c r="CD724" s="20"/>
      <c r="CE724" s="20"/>
      <c r="CF724" s="20"/>
      <c r="CG724" s="20"/>
      <c r="CH724" s="20"/>
      <c r="CI724" s="20"/>
      <c r="CJ724" s="20"/>
      <c r="CK724" s="20"/>
      <c r="CL724" s="20"/>
      <c r="CM724" s="20"/>
      <c r="CN724" s="20"/>
      <c r="CO724" s="20"/>
      <c r="CP724" s="21"/>
    </row>
    <row r="725" spans="1:94" ht="15" customHeight="1" x14ac:dyDescent="0.15">
      <c r="A725" s="15"/>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c r="BW725" s="9"/>
      <c r="BX725" s="9"/>
      <c r="BY725" s="9"/>
      <c r="BZ725" s="9"/>
      <c r="CA725" s="9"/>
      <c r="CB725" s="9"/>
      <c r="CC725" s="9"/>
      <c r="CD725" s="9"/>
      <c r="CE725" s="9"/>
      <c r="CF725" s="9"/>
      <c r="CG725" s="9"/>
      <c r="CH725" s="9"/>
      <c r="CI725" s="9"/>
      <c r="CJ725" s="9"/>
      <c r="CK725" s="9"/>
      <c r="CL725" s="9"/>
      <c r="CM725" s="9"/>
      <c r="CN725" s="9"/>
      <c r="CO725" s="9"/>
      <c r="CP725" s="16"/>
    </row>
    <row r="726" spans="1:94" ht="15" customHeight="1" x14ac:dyDescent="0.15">
      <c r="A726" s="15"/>
      <c r="B726" s="9"/>
      <c r="C726" s="9"/>
      <c r="D726" s="9"/>
      <c r="E726" s="9" t="s">
        <v>1146</v>
      </c>
      <c r="F726" s="9"/>
      <c r="G726" s="9"/>
      <c r="H726" s="9"/>
      <c r="I726" s="9"/>
      <c r="J726" s="9"/>
      <c r="K726" s="9"/>
      <c r="L726" s="9"/>
      <c r="M726" s="9"/>
      <c r="N726" s="9"/>
      <c r="O726" s="9"/>
      <c r="P726" s="9"/>
      <c r="Q726" s="9"/>
      <c r="R726" s="9"/>
      <c r="S726" s="9"/>
      <c r="T726" s="9"/>
      <c r="U726" s="9"/>
      <c r="V726" s="9"/>
      <c r="W726" s="9"/>
      <c r="X726" s="9"/>
      <c r="Y726" s="159"/>
      <c r="Z726" s="9"/>
      <c r="AA726" s="9"/>
      <c r="AB726" s="9"/>
      <c r="AC726" s="9"/>
      <c r="AD726" s="9"/>
      <c r="AE726" s="9"/>
      <c r="AF726" s="9"/>
      <c r="AG726" s="9"/>
      <c r="AH726" s="9"/>
      <c r="AI726" s="9"/>
      <c r="AJ726" s="9"/>
      <c r="AK726" s="73"/>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9"/>
      <c r="BX726" s="9"/>
      <c r="BY726" s="9"/>
      <c r="BZ726" s="9"/>
      <c r="CA726" s="9"/>
      <c r="CB726" s="9"/>
      <c r="CC726" s="9"/>
      <c r="CD726" s="9"/>
      <c r="CE726" s="9"/>
      <c r="CF726" s="9"/>
      <c r="CG726" s="9"/>
      <c r="CH726" s="9"/>
      <c r="CI726" s="9"/>
      <c r="CJ726" s="9"/>
      <c r="CK726" s="9"/>
      <c r="CL726" s="9"/>
      <c r="CM726" s="9"/>
      <c r="CN726" s="9"/>
      <c r="CO726" s="9"/>
      <c r="CP726" s="16"/>
    </row>
    <row r="727" spans="1:94" ht="15" customHeight="1" x14ac:dyDescent="0.15">
      <c r="A727" s="15"/>
      <c r="B727" s="9"/>
      <c r="C727" s="9"/>
      <c r="D727" s="9"/>
      <c r="E727" s="78" t="s">
        <v>1147</v>
      </c>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c r="AH727" s="64"/>
      <c r="AI727" s="64"/>
      <c r="AJ727" s="64"/>
      <c r="AK727" s="64"/>
      <c r="AL727" s="64"/>
      <c r="AM727" s="64"/>
      <c r="AN727" s="64"/>
      <c r="AO727" s="64"/>
      <c r="AP727" s="64"/>
      <c r="AQ727" s="64"/>
      <c r="AR727" s="64"/>
      <c r="AS727" s="64"/>
      <c r="AT727" s="64"/>
      <c r="AU727" s="64"/>
      <c r="AV727" s="64"/>
      <c r="AW727" s="64"/>
      <c r="AX727" s="64"/>
      <c r="AY727" s="64"/>
      <c r="AZ727" s="64"/>
      <c r="BA727" s="64"/>
      <c r="BB727" s="64"/>
      <c r="BC727" s="64"/>
      <c r="BD727" s="64"/>
      <c r="BE727" s="64"/>
      <c r="BF727" s="64"/>
      <c r="BG727" s="64"/>
      <c r="BH727" s="64"/>
      <c r="BI727" s="64"/>
      <c r="BJ727" s="64"/>
      <c r="BK727" s="64"/>
      <c r="BL727" s="64"/>
      <c r="BM727" s="64"/>
      <c r="BN727" s="64"/>
      <c r="BO727" s="64"/>
      <c r="BP727" s="64"/>
      <c r="BQ727" s="64"/>
      <c r="BR727" s="64"/>
      <c r="BS727" s="64"/>
      <c r="BT727" s="64"/>
      <c r="BU727" s="64"/>
      <c r="BV727" s="64"/>
      <c r="BW727" s="64"/>
      <c r="BX727" s="64"/>
      <c r="BY727" s="64"/>
      <c r="BZ727" s="64"/>
      <c r="CA727" s="64"/>
      <c r="CB727" s="64"/>
      <c r="CC727" s="64"/>
      <c r="CD727" s="64"/>
      <c r="CE727" s="64"/>
      <c r="CF727" s="64"/>
      <c r="CG727" s="64"/>
      <c r="CH727" s="64"/>
      <c r="CI727" s="65"/>
      <c r="CJ727" s="9"/>
      <c r="CK727" s="9"/>
      <c r="CL727" s="9"/>
      <c r="CM727" s="9"/>
      <c r="CN727" s="9"/>
      <c r="CO727" s="9"/>
      <c r="CP727" s="16"/>
    </row>
    <row r="728" spans="1:94" ht="15" customHeight="1" x14ac:dyDescent="0.15">
      <c r="A728" s="15"/>
      <c r="B728" s="9"/>
      <c r="C728" s="9"/>
      <c r="D728" s="9"/>
      <c r="E728" s="80" t="s">
        <v>1148</v>
      </c>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9"/>
      <c r="BX728" s="9"/>
      <c r="BY728" s="9"/>
      <c r="BZ728" s="9"/>
      <c r="CA728" s="9"/>
      <c r="CB728" s="9"/>
      <c r="CC728" s="9"/>
      <c r="CD728" s="9"/>
      <c r="CE728" s="9"/>
      <c r="CF728" s="9"/>
      <c r="CG728" s="9"/>
      <c r="CH728" s="9"/>
      <c r="CI728" s="66"/>
      <c r="CJ728" s="9"/>
      <c r="CK728" s="9"/>
      <c r="CL728" s="9"/>
      <c r="CM728" s="9"/>
      <c r="CN728" s="9"/>
      <c r="CO728" s="9"/>
      <c r="CP728" s="16"/>
    </row>
    <row r="729" spans="1:94" ht="15" customHeight="1" x14ac:dyDescent="0.15">
      <c r="A729" s="15"/>
      <c r="B729" s="9"/>
      <c r="C729" s="9"/>
      <c r="D729" s="9"/>
      <c r="E729" s="80" t="s">
        <v>1149</v>
      </c>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9"/>
      <c r="BX729" s="9"/>
      <c r="BY729" s="9"/>
      <c r="BZ729" s="9"/>
      <c r="CA729" s="9"/>
      <c r="CB729" s="9"/>
      <c r="CC729" s="9"/>
      <c r="CD729" s="9"/>
      <c r="CE729" s="9"/>
      <c r="CF729" s="9"/>
      <c r="CG729" s="9"/>
      <c r="CH729" s="9"/>
      <c r="CI729" s="66"/>
      <c r="CJ729" s="9"/>
      <c r="CK729" s="9"/>
      <c r="CL729" s="9"/>
      <c r="CM729" s="9"/>
      <c r="CN729" s="9"/>
      <c r="CO729" s="9"/>
      <c r="CP729" s="16"/>
    </row>
    <row r="730" spans="1:94" ht="15" customHeight="1" x14ac:dyDescent="0.15">
      <c r="A730" s="15"/>
      <c r="B730" s="9"/>
      <c r="C730" s="9"/>
      <c r="D730" s="9"/>
      <c r="E730" s="80" t="s">
        <v>282</v>
      </c>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9"/>
      <c r="BX730" s="9"/>
      <c r="BY730" s="9"/>
      <c r="BZ730" s="9"/>
      <c r="CA730" s="9"/>
      <c r="CB730" s="9"/>
      <c r="CC730" s="9"/>
      <c r="CD730" s="9"/>
      <c r="CE730" s="9"/>
      <c r="CF730" s="9"/>
      <c r="CG730" s="9"/>
      <c r="CH730" s="9"/>
      <c r="CI730" s="66"/>
      <c r="CJ730" s="9"/>
      <c r="CK730" s="9"/>
      <c r="CL730" s="9"/>
      <c r="CM730" s="9"/>
      <c r="CN730" s="9"/>
      <c r="CO730" s="9"/>
      <c r="CP730" s="16"/>
    </row>
    <row r="731" spans="1:94" ht="15" customHeight="1" x14ac:dyDescent="0.15">
      <c r="A731" s="15"/>
      <c r="B731" s="9"/>
      <c r="C731" s="9"/>
      <c r="D731" s="9"/>
      <c r="E731" s="80" t="s">
        <v>283</v>
      </c>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c r="BW731" s="9"/>
      <c r="BX731" s="9"/>
      <c r="BY731" s="9"/>
      <c r="BZ731" s="9"/>
      <c r="CA731" s="9"/>
      <c r="CB731" s="9"/>
      <c r="CC731" s="9"/>
      <c r="CD731" s="9"/>
      <c r="CE731" s="9"/>
      <c r="CF731" s="9"/>
      <c r="CG731" s="9"/>
      <c r="CH731" s="9"/>
      <c r="CI731" s="66"/>
      <c r="CJ731" s="9"/>
      <c r="CK731" s="9"/>
      <c r="CL731" s="9"/>
      <c r="CM731" s="9"/>
      <c r="CN731" s="9"/>
      <c r="CO731" s="9"/>
      <c r="CP731" s="16"/>
    </row>
    <row r="732" spans="1:94" ht="15" customHeight="1" x14ac:dyDescent="0.15">
      <c r="A732" s="15"/>
      <c r="B732" s="9"/>
      <c r="C732" s="9"/>
      <c r="D732" s="9"/>
      <c r="E732" s="80"/>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c r="BW732" s="9"/>
      <c r="BX732" s="9"/>
      <c r="BY732" s="9"/>
      <c r="BZ732" s="9"/>
      <c r="CA732" s="9"/>
      <c r="CB732" s="9"/>
      <c r="CC732" s="9"/>
      <c r="CD732" s="9"/>
      <c r="CE732" s="9"/>
      <c r="CF732" s="9"/>
      <c r="CG732" s="9"/>
      <c r="CH732" s="9"/>
      <c r="CI732" s="66"/>
      <c r="CJ732" s="9"/>
      <c r="CK732" s="9"/>
      <c r="CL732" s="9"/>
      <c r="CM732" s="9"/>
      <c r="CN732" s="9"/>
      <c r="CO732" s="9"/>
      <c r="CP732" s="16"/>
    </row>
    <row r="733" spans="1:94" ht="15" customHeight="1" x14ac:dyDescent="0.15">
      <c r="A733" s="15"/>
      <c r="B733" s="9"/>
      <c r="C733" s="9"/>
      <c r="D733" s="9"/>
      <c r="E733" s="80" t="s">
        <v>1150</v>
      </c>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c r="BW733" s="9"/>
      <c r="BX733" s="9"/>
      <c r="BY733" s="9"/>
      <c r="BZ733" s="9"/>
      <c r="CA733" s="9"/>
      <c r="CB733" s="9"/>
      <c r="CC733" s="9"/>
      <c r="CD733" s="9"/>
      <c r="CE733" s="9"/>
      <c r="CF733" s="9"/>
      <c r="CG733" s="9"/>
      <c r="CH733" s="9"/>
      <c r="CI733" s="66"/>
      <c r="CJ733" s="9"/>
      <c r="CK733" s="9"/>
      <c r="CL733" s="9"/>
      <c r="CM733" s="9"/>
      <c r="CN733" s="9"/>
      <c r="CO733" s="9"/>
      <c r="CP733" s="16"/>
    </row>
    <row r="734" spans="1:94" ht="15" customHeight="1" x14ac:dyDescent="0.15">
      <c r="A734" s="15"/>
      <c r="B734" s="9"/>
      <c r="C734" s="9"/>
      <c r="D734" s="9"/>
      <c r="E734" s="80" t="s">
        <v>1151</v>
      </c>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9"/>
      <c r="BX734" s="9"/>
      <c r="BY734" s="9"/>
      <c r="BZ734" s="9"/>
      <c r="CA734" s="9"/>
      <c r="CB734" s="9"/>
      <c r="CC734" s="9"/>
      <c r="CD734" s="9"/>
      <c r="CE734" s="9"/>
      <c r="CF734" s="9"/>
      <c r="CG734" s="9"/>
      <c r="CH734" s="9"/>
      <c r="CI734" s="66"/>
      <c r="CJ734" s="9"/>
      <c r="CK734" s="9"/>
      <c r="CL734" s="9"/>
      <c r="CM734" s="9"/>
      <c r="CN734" s="9"/>
      <c r="CO734" s="9"/>
      <c r="CP734" s="16"/>
    </row>
    <row r="735" spans="1:94" ht="15" customHeight="1" x14ac:dyDescent="0.15">
      <c r="A735" s="15"/>
      <c r="B735" s="9"/>
      <c r="C735" s="9"/>
      <c r="D735" s="9"/>
      <c r="E735" s="80" t="s">
        <v>1152</v>
      </c>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c r="BW735" s="9"/>
      <c r="BX735" s="9"/>
      <c r="BY735" s="9"/>
      <c r="BZ735" s="9"/>
      <c r="CA735" s="9"/>
      <c r="CB735" s="9"/>
      <c r="CC735" s="9"/>
      <c r="CD735" s="9"/>
      <c r="CE735" s="9"/>
      <c r="CF735" s="9"/>
      <c r="CG735" s="9"/>
      <c r="CH735" s="9"/>
      <c r="CI735" s="66"/>
      <c r="CJ735" s="9"/>
      <c r="CK735" s="9"/>
      <c r="CL735" s="9"/>
      <c r="CM735" s="9"/>
      <c r="CN735" s="9"/>
      <c r="CO735" s="9"/>
      <c r="CP735" s="16"/>
    </row>
    <row r="736" spans="1:94" ht="15" customHeight="1" x14ac:dyDescent="0.15">
      <c r="A736" s="15"/>
      <c r="B736" s="9"/>
      <c r="C736" s="9"/>
      <c r="D736" s="9"/>
      <c r="E736" s="80" t="s">
        <v>282</v>
      </c>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c r="BW736" s="9"/>
      <c r="BX736" s="9"/>
      <c r="BY736" s="9"/>
      <c r="BZ736" s="9"/>
      <c r="CA736" s="9"/>
      <c r="CB736" s="9"/>
      <c r="CC736" s="9"/>
      <c r="CD736" s="9"/>
      <c r="CE736" s="9"/>
      <c r="CF736" s="9"/>
      <c r="CG736" s="9"/>
      <c r="CH736" s="9"/>
      <c r="CI736" s="66"/>
      <c r="CJ736" s="9"/>
      <c r="CK736" s="9"/>
      <c r="CL736" s="9"/>
      <c r="CM736" s="9"/>
      <c r="CN736" s="9"/>
      <c r="CO736" s="9"/>
      <c r="CP736" s="16"/>
    </row>
    <row r="737" spans="1:94" ht="15" customHeight="1" x14ac:dyDescent="0.15">
      <c r="A737" s="15"/>
      <c r="B737" s="9"/>
      <c r="C737" s="9"/>
      <c r="D737" s="9"/>
      <c r="E737" s="80" t="s">
        <v>283</v>
      </c>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c r="BW737" s="9"/>
      <c r="BX737" s="9"/>
      <c r="BY737" s="9"/>
      <c r="BZ737" s="9"/>
      <c r="CA737" s="9"/>
      <c r="CB737" s="9"/>
      <c r="CC737" s="9"/>
      <c r="CD737" s="9"/>
      <c r="CE737" s="9"/>
      <c r="CF737" s="9"/>
      <c r="CG737" s="9"/>
      <c r="CH737" s="9"/>
      <c r="CI737" s="66"/>
      <c r="CJ737" s="9"/>
      <c r="CK737" s="9"/>
      <c r="CL737" s="9"/>
      <c r="CM737" s="9"/>
      <c r="CN737" s="9"/>
      <c r="CO737" s="9"/>
      <c r="CP737" s="16"/>
    </row>
    <row r="738" spans="1:94" ht="15" customHeight="1" x14ac:dyDescent="0.15">
      <c r="A738" s="15"/>
      <c r="B738" s="9"/>
      <c r="C738" s="9"/>
      <c r="D738" s="9"/>
      <c r="E738" s="80"/>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c r="BW738" s="9"/>
      <c r="BX738" s="9"/>
      <c r="BY738" s="9"/>
      <c r="BZ738" s="9"/>
      <c r="CA738" s="9"/>
      <c r="CB738" s="9"/>
      <c r="CC738" s="9"/>
      <c r="CD738" s="9"/>
      <c r="CE738" s="9"/>
      <c r="CF738" s="9"/>
      <c r="CG738" s="9"/>
      <c r="CH738" s="9"/>
      <c r="CI738" s="66"/>
      <c r="CJ738" s="9"/>
      <c r="CK738" s="9"/>
      <c r="CL738" s="9"/>
      <c r="CM738" s="9"/>
      <c r="CN738" s="9"/>
      <c r="CO738" s="9"/>
      <c r="CP738" s="16"/>
    </row>
    <row r="739" spans="1:94" ht="15" customHeight="1" x14ac:dyDescent="0.15">
      <c r="A739" s="15"/>
      <c r="B739" s="9"/>
      <c r="C739" s="9"/>
      <c r="D739" s="9"/>
      <c r="E739" s="80" t="s">
        <v>1153</v>
      </c>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c r="BW739" s="9"/>
      <c r="BX739" s="9"/>
      <c r="BY739" s="9"/>
      <c r="BZ739" s="9"/>
      <c r="CA739" s="9"/>
      <c r="CB739" s="9"/>
      <c r="CC739" s="9"/>
      <c r="CD739" s="9"/>
      <c r="CE739" s="9"/>
      <c r="CF739" s="9"/>
      <c r="CG739" s="9"/>
      <c r="CH739" s="9"/>
      <c r="CI739" s="66"/>
      <c r="CJ739" s="9"/>
      <c r="CK739" s="9"/>
      <c r="CL739" s="9"/>
      <c r="CM739" s="9"/>
      <c r="CN739" s="9"/>
      <c r="CO739" s="9"/>
      <c r="CP739" s="16"/>
    </row>
    <row r="740" spans="1:94" ht="15" customHeight="1" x14ac:dyDescent="0.15">
      <c r="A740" s="15"/>
      <c r="B740" s="9"/>
      <c r="C740" s="9"/>
      <c r="D740" s="9"/>
      <c r="E740" s="80" t="s">
        <v>1154</v>
      </c>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c r="BW740" s="9"/>
      <c r="BX740" s="9"/>
      <c r="BY740" s="9"/>
      <c r="BZ740" s="9"/>
      <c r="CA740" s="9"/>
      <c r="CB740" s="9"/>
      <c r="CC740" s="9"/>
      <c r="CD740" s="9"/>
      <c r="CE740" s="9"/>
      <c r="CF740" s="9"/>
      <c r="CG740" s="9"/>
      <c r="CH740" s="9"/>
      <c r="CI740" s="66"/>
      <c r="CJ740" s="9"/>
      <c r="CK740" s="9"/>
      <c r="CL740" s="9"/>
      <c r="CM740" s="9"/>
      <c r="CN740" s="9"/>
      <c r="CO740" s="9"/>
      <c r="CP740" s="16"/>
    </row>
    <row r="741" spans="1:94" ht="15" customHeight="1" x14ac:dyDescent="0.15">
      <c r="A741" s="15"/>
      <c r="B741" s="9"/>
      <c r="C741" s="9"/>
      <c r="D741" s="9"/>
      <c r="E741" s="80" t="s">
        <v>1155</v>
      </c>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c r="BW741" s="9"/>
      <c r="BX741" s="9"/>
      <c r="BY741" s="9"/>
      <c r="BZ741" s="9"/>
      <c r="CA741" s="9"/>
      <c r="CB741" s="9"/>
      <c r="CC741" s="9"/>
      <c r="CD741" s="9"/>
      <c r="CE741" s="9"/>
      <c r="CF741" s="9"/>
      <c r="CG741" s="9"/>
      <c r="CH741" s="9"/>
      <c r="CI741" s="66"/>
      <c r="CJ741" s="9"/>
      <c r="CK741" s="9"/>
      <c r="CL741" s="9"/>
      <c r="CM741" s="9"/>
      <c r="CN741" s="9"/>
      <c r="CO741" s="9"/>
      <c r="CP741" s="16"/>
    </row>
    <row r="742" spans="1:94" ht="15" customHeight="1" x14ac:dyDescent="0.15">
      <c r="A742" s="15"/>
      <c r="B742" s="9"/>
      <c r="C742" s="9"/>
      <c r="D742" s="9"/>
      <c r="E742" s="80" t="s">
        <v>282</v>
      </c>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c r="BW742" s="9"/>
      <c r="BX742" s="9"/>
      <c r="BY742" s="9"/>
      <c r="BZ742" s="9"/>
      <c r="CA742" s="9"/>
      <c r="CB742" s="9"/>
      <c r="CC742" s="9"/>
      <c r="CD742" s="9"/>
      <c r="CE742" s="9"/>
      <c r="CF742" s="9"/>
      <c r="CG742" s="9"/>
      <c r="CH742" s="9"/>
      <c r="CI742" s="66"/>
      <c r="CJ742" s="9"/>
      <c r="CK742" s="9"/>
      <c r="CL742" s="9"/>
      <c r="CM742" s="9"/>
      <c r="CN742" s="9"/>
      <c r="CO742" s="9"/>
      <c r="CP742" s="16"/>
    </row>
    <row r="743" spans="1:94" ht="15" customHeight="1" x14ac:dyDescent="0.15">
      <c r="A743" s="15"/>
      <c r="B743" s="9"/>
      <c r="C743" s="9"/>
      <c r="D743" s="9"/>
      <c r="E743" s="80" t="s">
        <v>283</v>
      </c>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c r="BW743" s="9"/>
      <c r="BX743" s="9"/>
      <c r="BY743" s="9"/>
      <c r="BZ743" s="9"/>
      <c r="CA743" s="9"/>
      <c r="CB743" s="9"/>
      <c r="CC743" s="9"/>
      <c r="CD743" s="9"/>
      <c r="CE743" s="9"/>
      <c r="CF743" s="9"/>
      <c r="CG743" s="9"/>
      <c r="CH743" s="9"/>
      <c r="CI743" s="66"/>
      <c r="CJ743" s="9"/>
      <c r="CK743" s="9"/>
      <c r="CL743" s="9"/>
      <c r="CM743" s="9"/>
      <c r="CN743" s="9"/>
      <c r="CO743" s="9"/>
      <c r="CP743" s="16"/>
    </row>
    <row r="744" spans="1:94" ht="15" customHeight="1" x14ac:dyDescent="0.15">
      <c r="A744" s="15"/>
      <c r="B744" s="9"/>
      <c r="C744" s="9"/>
      <c r="D744" s="9"/>
      <c r="E744" s="80"/>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c r="BW744" s="9"/>
      <c r="BX744" s="9"/>
      <c r="BY744" s="9"/>
      <c r="BZ744" s="9"/>
      <c r="CA744" s="9"/>
      <c r="CB744" s="9"/>
      <c r="CC744" s="9"/>
      <c r="CD744" s="9"/>
      <c r="CE744" s="9"/>
      <c r="CF744" s="9"/>
      <c r="CG744" s="9"/>
      <c r="CH744" s="9"/>
      <c r="CI744" s="66"/>
      <c r="CJ744" s="9"/>
      <c r="CK744" s="9"/>
      <c r="CL744" s="9"/>
      <c r="CM744" s="9"/>
      <c r="CN744" s="9"/>
      <c r="CO744" s="9"/>
      <c r="CP744" s="16"/>
    </row>
    <row r="745" spans="1:94" ht="15" customHeight="1" x14ac:dyDescent="0.15">
      <c r="A745" s="15"/>
      <c r="B745" s="9"/>
      <c r="C745" s="9"/>
      <c r="D745" s="9"/>
      <c r="E745" s="80" t="s">
        <v>1156</v>
      </c>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c r="BW745" s="9"/>
      <c r="BX745" s="9"/>
      <c r="BY745" s="9"/>
      <c r="BZ745" s="9"/>
      <c r="CA745" s="9"/>
      <c r="CB745" s="9"/>
      <c r="CC745" s="9"/>
      <c r="CD745" s="9"/>
      <c r="CE745" s="9"/>
      <c r="CF745" s="9"/>
      <c r="CG745" s="9"/>
      <c r="CH745" s="9"/>
      <c r="CI745" s="66"/>
      <c r="CJ745" s="9"/>
      <c r="CK745" s="9"/>
      <c r="CL745" s="9"/>
      <c r="CM745" s="9"/>
      <c r="CN745" s="9"/>
      <c r="CO745" s="9"/>
      <c r="CP745" s="16"/>
    </row>
    <row r="746" spans="1:94" ht="15" customHeight="1" x14ac:dyDescent="0.15">
      <c r="A746" s="15"/>
      <c r="B746" s="9"/>
      <c r="C746" s="9"/>
      <c r="D746" s="9"/>
      <c r="E746" s="80" t="s">
        <v>1157</v>
      </c>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c r="BW746" s="9"/>
      <c r="BX746" s="9"/>
      <c r="BY746" s="9"/>
      <c r="BZ746" s="9"/>
      <c r="CA746" s="9"/>
      <c r="CB746" s="9"/>
      <c r="CC746" s="9"/>
      <c r="CD746" s="9"/>
      <c r="CE746" s="9"/>
      <c r="CF746" s="9"/>
      <c r="CG746" s="9"/>
      <c r="CH746" s="9"/>
      <c r="CI746" s="66"/>
      <c r="CJ746" s="9"/>
      <c r="CK746" s="9"/>
      <c r="CL746" s="9"/>
      <c r="CM746" s="9"/>
      <c r="CN746" s="9"/>
      <c r="CO746" s="9"/>
      <c r="CP746" s="16"/>
    </row>
    <row r="747" spans="1:94" ht="15" customHeight="1" x14ac:dyDescent="0.15">
      <c r="A747" s="15"/>
      <c r="B747" s="9"/>
      <c r="C747" s="9"/>
      <c r="D747" s="9"/>
      <c r="E747" s="80" t="s">
        <v>1158</v>
      </c>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c r="BW747" s="9"/>
      <c r="BX747" s="9"/>
      <c r="BY747" s="9"/>
      <c r="BZ747" s="9"/>
      <c r="CA747" s="9"/>
      <c r="CB747" s="9"/>
      <c r="CC747" s="9"/>
      <c r="CD747" s="9"/>
      <c r="CE747" s="9"/>
      <c r="CF747" s="9"/>
      <c r="CG747" s="9"/>
      <c r="CH747" s="9"/>
      <c r="CI747" s="66"/>
      <c r="CJ747" s="9"/>
      <c r="CK747" s="9"/>
      <c r="CL747" s="9"/>
      <c r="CM747" s="9"/>
      <c r="CN747" s="9"/>
      <c r="CO747" s="9"/>
      <c r="CP747" s="16"/>
    </row>
    <row r="748" spans="1:94" ht="15" customHeight="1" x14ac:dyDescent="0.15">
      <c r="A748" s="15"/>
      <c r="B748" s="9"/>
      <c r="C748" s="9"/>
      <c r="D748" s="9"/>
      <c r="E748" s="80" t="s">
        <v>282</v>
      </c>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c r="BW748" s="9"/>
      <c r="BX748" s="9"/>
      <c r="BY748" s="9"/>
      <c r="BZ748" s="9"/>
      <c r="CA748" s="9"/>
      <c r="CB748" s="9"/>
      <c r="CC748" s="9"/>
      <c r="CD748" s="9"/>
      <c r="CE748" s="9"/>
      <c r="CF748" s="9"/>
      <c r="CG748" s="9"/>
      <c r="CH748" s="9"/>
      <c r="CI748" s="66"/>
      <c r="CJ748" s="9"/>
      <c r="CK748" s="9"/>
      <c r="CL748" s="9"/>
      <c r="CM748" s="9"/>
      <c r="CN748" s="9"/>
      <c r="CO748" s="9"/>
      <c r="CP748" s="16"/>
    </row>
    <row r="749" spans="1:94" ht="15" customHeight="1" x14ac:dyDescent="0.15">
      <c r="A749" s="15"/>
      <c r="B749" s="9"/>
      <c r="C749" s="9"/>
      <c r="D749" s="9"/>
      <c r="E749" s="80" t="s">
        <v>283</v>
      </c>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9"/>
      <c r="BX749" s="9"/>
      <c r="BY749" s="9"/>
      <c r="BZ749" s="9"/>
      <c r="CA749" s="9"/>
      <c r="CB749" s="9"/>
      <c r="CC749" s="9"/>
      <c r="CD749" s="9"/>
      <c r="CE749" s="9"/>
      <c r="CF749" s="9"/>
      <c r="CG749" s="9"/>
      <c r="CH749" s="9"/>
      <c r="CI749" s="66"/>
      <c r="CJ749" s="9"/>
      <c r="CK749" s="9"/>
      <c r="CL749" s="9"/>
      <c r="CM749" s="9"/>
      <c r="CN749" s="9"/>
      <c r="CO749" s="9"/>
      <c r="CP749" s="16"/>
    </row>
    <row r="750" spans="1:94" ht="15" customHeight="1" x14ac:dyDescent="0.15">
      <c r="A750" s="15"/>
      <c r="B750" s="9"/>
      <c r="C750" s="9"/>
      <c r="D750" s="9"/>
      <c r="E750" s="80"/>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c r="BW750" s="9"/>
      <c r="BX750" s="9"/>
      <c r="BY750" s="9"/>
      <c r="BZ750" s="9"/>
      <c r="CA750" s="9"/>
      <c r="CB750" s="9"/>
      <c r="CC750" s="9"/>
      <c r="CD750" s="9"/>
      <c r="CE750" s="9"/>
      <c r="CF750" s="9"/>
      <c r="CG750" s="9"/>
      <c r="CH750" s="9"/>
      <c r="CI750" s="66"/>
      <c r="CJ750" s="9"/>
      <c r="CK750" s="9"/>
      <c r="CL750" s="9"/>
      <c r="CM750" s="9"/>
      <c r="CN750" s="9"/>
      <c r="CO750" s="9"/>
      <c r="CP750" s="16"/>
    </row>
    <row r="751" spans="1:94" ht="15" customHeight="1" x14ac:dyDescent="0.15">
      <c r="A751" s="15"/>
      <c r="B751" s="9"/>
      <c r="C751" s="9"/>
      <c r="D751" s="9"/>
      <c r="E751" s="80" t="s">
        <v>1159</v>
      </c>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9"/>
      <c r="BX751" s="9"/>
      <c r="BY751" s="9"/>
      <c r="BZ751" s="9"/>
      <c r="CA751" s="9"/>
      <c r="CB751" s="9"/>
      <c r="CC751" s="9"/>
      <c r="CD751" s="9"/>
      <c r="CE751" s="9"/>
      <c r="CF751" s="9"/>
      <c r="CG751" s="9"/>
      <c r="CH751" s="9"/>
      <c r="CI751" s="66"/>
      <c r="CJ751" s="9"/>
      <c r="CK751" s="9"/>
      <c r="CL751" s="9"/>
      <c r="CM751" s="9"/>
      <c r="CN751" s="9"/>
      <c r="CO751" s="9"/>
      <c r="CP751" s="16"/>
    </row>
    <row r="752" spans="1:94" ht="15" customHeight="1" x14ac:dyDescent="0.15">
      <c r="A752" s="15"/>
      <c r="B752" s="9"/>
      <c r="C752" s="9"/>
      <c r="D752" s="9"/>
      <c r="E752" s="80"/>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9"/>
      <c r="BX752" s="9"/>
      <c r="BY752" s="9"/>
      <c r="BZ752" s="9"/>
      <c r="CA752" s="9"/>
      <c r="CB752" s="9"/>
      <c r="CC752" s="9"/>
      <c r="CD752" s="9"/>
      <c r="CE752" s="9"/>
      <c r="CF752" s="9"/>
      <c r="CG752" s="9"/>
      <c r="CH752" s="9"/>
      <c r="CI752" s="66"/>
      <c r="CJ752" s="9"/>
      <c r="CK752" s="9"/>
      <c r="CL752" s="9"/>
      <c r="CM752" s="9"/>
      <c r="CN752" s="9"/>
      <c r="CO752" s="9"/>
      <c r="CP752" s="16"/>
    </row>
    <row r="753" spans="1:94" ht="15" customHeight="1" x14ac:dyDescent="0.15">
      <c r="A753" s="15"/>
      <c r="B753" s="9"/>
      <c r="C753" s="9"/>
      <c r="D753" s="9"/>
      <c r="E753" s="80" t="s">
        <v>1160</v>
      </c>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c r="BW753" s="9"/>
      <c r="BX753" s="9"/>
      <c r="BY753" s="9"/>
      <c r="BZ753" s="9"/>
      <c r="CA753" s="9"/>
      <c r="CB753" s="9"/>
      <c r="CC753" s="9"/>
      <c r="CD753" s="9"/>
      <c r="CE753" s="9"/>
      <c r="CF753" s="9"/>
      <c r="CG753" s="9"/>
      <c r="CH753" s="9"/>
      <c r="CI753" s="66"/>
      <c r="CJ753" s="9"/>
      <c r="CK753" s="9"/>
      <c r="CL753" s="9"/>
      <c r="CM753" s="9"/>
      <c r="CN753" s="9"/>
      <c r="CO753" s="9"/>
      <c r="CP753" s="16"/>
    </row>
    <row r="754" spans="1:94" ht="15" customHeight="1" x14ac:dyDescent="0.15">
      <c r="A754" s="15"/>
      <c r="B754" s="9"/>
      <c r="C754" s="9"/>
      <c r="D754" s="9"/>
      <c r="E754" s="57" t="s">
        <v>726</v>
      </c>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9"/>
      <c r="BX754" s="9"/>
      <c r="BY754" s="9"/>
      <c r="BZ754" s="9"/>
      <c r="CA754" s="9"/>
      <c r="CB754" s="9"/>
      <c r="CC754" s="9"/>
      <c r="CD754" s="9"/>
      <c r="CE754" s="9"/>
      <c r="CF754" s="9"/>
      <c r="CG754" s="9"/>
      <c r="CH754" s="9"/>
      <c r="CI754" s="66"/>
      <c r="CJ754" s="9"/>
      <c r="CK754" s="9"/>
      <c r="CL754" s="9"/>
      <c r="CM754" s="9"/>
      <c r="CN754" s="9"/>
      <c r="CO754" s="9"/>
      <c r="CP754" s="16"/>
    </row>
    <row r="755" spans="1:94" ht="15" customHeight="1" x14ac:dyDescent="0.15">
      <c r="A755" s="15"/>
      <c r="B755" s="9"/>
      <c r="C755" s="9"/>
      <c r="D755" s="9"/>
      <c r="E755" s="80" t="s">
        <v>727</v>
      </c>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c r="BW755" s="9"/>
      <c r="BX755" s="9"/>
      <c r="BY755" s="9"/>
      <c r="BZ755" s="9"/>
      <c r="CA755" s="9"/>
      <c r="CB755" s="9"/>
      <c r="CC755" s="9"/>
      <c r="CD755" s="9"/>
      <c r="CE755" s="9"/>
      <c r="CF755" s="9"/>
      <c r="CG755" s="9"/>
      <c r="CH755" s="9"/>
      <c r="CI755" s="66"/>
      <c r="CJ755" s="9"/>
      <c r="CK755" s="9"/>
      <c r="CL755" s="9"/>
      <c r="CM755" s="9"/>
      <c r="CN755" s="9"/>
      <c r="CO755" s="9"/>
      <c r="CP755" s="16"/>
    </row>
    <row r="756" spans="1:94" ht="15" customHeight="1" x14ac:dyDescent="0.15">
      <c r="A756" s="15"/>
      <c r="B756" s="9"/>
      <c r="C756" s="9"/>
      <c r="D756" s="9"/>
      <c r="E756" s="79" t="s">
        <v>283</v>
      </c>
      <c r="F756" s="62"/>
      <c r="G756" s="62"/>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2"/>
      <c r="AQ756" s="62"/>
      <c r="AR756" s="62"/>
      <c r="AS756" s="62"/>
      <c r="AT756" s="62"/>
      <c r="AU756" s="62"/>
      <c r="AV756" s="62"/>
      <c r="AW756" s="62"/>
      <c r="AX756" s="62"/>
      <c r="AY756" s="62"/>
      <c r="AZ756" s="62"/>
      <c r="BA756" s="62"/>
      <c r="BB756" s="62"/>
      <c r="BC756" s="62"/>
      <c r="BD756" s="62"/>
      <c r="BE756" s="62"/>
      <c r="BF756" s="62"/>
      <c r="BG756" s="62"/>
      <c r="BH756" s="62"/>
      <c r="BI756" s="62"/>
      <c r="BJ756" s="62"/>
      <c r="BK756" s="62"/>
      <c r="BL756" s="62"/>
      <c r="BM756" s="62"/>
      <c r="BN756" s="62"/>
      <c r="BO756" s="62"/>
      <c r="BP756" s="62"/>
      <c r="BQ756" s="62"/>
      <c r="BR756" s="62"/>
      <c r="BS756" s="62"/>
      <c r="BT756" s="62"/>
      <c r="BU756" s="62"/>
      <c r="BV756" s="62"/>
      <c r="BW756" s="62"/>
      <c r="BX756" s="62"/>
      <c r="BY756" s="62"/>
      <c r="BZ756" s="62"/>
      <c r="CA756" s="62"/>
      <c r="CB756" s="62"/>
      <c r="CC756" s="62"/>
      <c r="CD756" s="62"/>
      <c r="CE756" s="62"/>
      <c r="CF756" s="62"/>
      <c r="CG756" s="62"/>
      <c r="CH756" s="62"/>
      <c r="CI756" s="63"/>
      <c r="CJ756" s="9"/>
      <c r="CK756" s="9"/>
      <c r="CL756" s="9"/>
      <c r="CM756" s="9"/>
      <c r="CN756" s="9"/>
      <c r="CO756" s="9"/>
      <c r="CP756" s="16"/>
    </row>
    <row r="757" spans="1:94" ht="15" customHeight="1" thickBot="1" x14ac:dyDescent="0.2">
      <c r="A757" s="19"/>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c r="BR757" s="20"/>
      <c r="BS757" s="20"/>
      <c r="BT757" s="20"/>
      <c r="BU757" s="20"/>
      <c r="BV757" s="20"/>
      <c r="BW757" s="20"/>
      <c r="BX757" s="20"/>
      <c r="BY757" s="20"/>
      <c r="BZ757" s="20"/>
      <c r="CA757" s="20"/>
      <c r="CB757" s="20"/>
      <c r="CC757" s="20"/>
      <c r="CD757" s="20"/>
      <c r="CE757" s="20"/>
      <c r="CF757" s="20"/>
      <c r="CG757" s="20"/>
      <c r="CH757" s="20"/>
      <c r="CI757" s="20"/>
      <c r="CJ757" s="20"/>
      <c r="CK757" s="20"/>
      <c r="CL757" s="20"/>
      <c r="CM757" s="20"/>
      <c r="CN757" s="20"/>
      <c r="CO757" s="20"/>
      <c r="CP757" s="21"/>
    </row>
    <row r="758" spans="1:94" ht="15" customHeight="1" x14ac:dyDescent="0.15">
      <c r="A758" s="15"/>
      <c r="B758" s="9"/>
      <c r="C758" s="9"/>
      <c r="D758" s="9"/>
      <c r="E758" s="73"/>
      <c r="F758" s="73"/>
      <c r="G758" s="73"/>
      <c r="H758" s="73"/>
      <c r="I758" s="73"/>
      <c r="J758" s="73"/>
      <c r="K758" s="73"/>
      <c r="L758" s="73"/>
      <c r="M758" s="73"/>
      <c r="N758" s="73"/>
      <c r="O758" s="73"/>
      <c r="P758" s="73"/>
      <c r="Q758" s="73"/>
      <c r="R758" s="73"/>
      <c r="S758" s="73"/>
      <c r="T758" s="73"/>
      <c r="U758" s="73"/>
      <c r="V758" s="73"/>
      <c r="W758" s="73"/>
      <c r="X758" s="73"/>
      <c r="Y758" s="73"/>
      <c r="Z758" s="73"/>
      <c r="AA758" s="73"/>
      <c r="AB758" s="73"/>
      <c r="AC758" s="73"/>
      <c r="AD758" s="73"/>
      <c r="AE758" s="73"/>
      <c r="AF758" s="73"/>
      <c r="AG758" s="73"/>
      <c r="AH758" s="73"/>
      <c r="AI758" s="73"/>
      <c r="AJ758" s="73"/>
      <c r="AK758" s="73"/>
      <c r="AL758" s="73"/>
      <c r="AM758" s="73"/>
      <c r="AN758" s="73"/>
      <c r="AO758" s="73"/>
      <c r="AP758" s="73"/>
      <c r="AQ758" s="73"/>
      <c r="AR758" s="73"/>
      <c r="AS758" s="73"/>
      <c r="AT758" s="73"/>
      <c r="AU758" s="73"/>
      <c r="AV758" s="73"/>
      <c r="AW758" s="73"/>
      <c r="AX758" s="73"/>
      <c r="AY758" s="73"/>
      <c r="AZ758" s="73"/>
      <c r="BA758" s="73"/>
      <c r="BB758" s="73"/>
      <c r="BC758" s="73"/>
      <c r="BD758" s="73"/>
      <c r="BE758" s="73"/>
      <c r="BF758" s="73"/>
      <c r="BG758" s="73"/>
      <c r="BH758" s="73"/>
      <c r="BI758" s="73"/>
      <c r="BJ758" s="73"/>
      <c r="BK758" s="73"/>
      <c r="BL758" s="73"/>
      <c r="BM758" s="73"/>
      <c r="BN758" s="73"/>
      <c r="BO758" s="73"/>
      <c r="BP758" s="73"/>
      <c r="BQ758" s="73"/>
      <c r="BR758" s="73"/>
      <c r="BS758" s="73"/>
      <c r="BT758" s="73"/>
      <c r="BU758" s="73"/>
      <c r="BV758" s="73"/>
      <c r="BW758" s="73"/>
      <c r="BX758" s="73"/>
      <c r="BY758" s="73"/>
      <c r="BZ758" s="73"/>
      <c r="CA758" s="73"/>
      <c r="CB758" s="73"/>
      <c r="CC758" s="73"/>
      <c r="CD758" s="73"/>
      <c r="CE758" s="73"/>
      <c r="CF758" s="73"/>
      <c r="CG758" s="73"/>
      <c r="CH758" s="73"/>
      <c r="CI758" s="73"/>
      <c r="CJ758" s="9"/>
      <c r="CK758" s="9"/>
      <c r="CL758" s="9"/>
      <c r="CM758" s="9"/>
      <c r="CN758" s="9"/>
      <c r="CO758" s="9"/>
      <c r="CP758" s="16"/>
    </row>
    <row r="759" spans="1:94" ht="15" customHeight="1" x14ac:dyDescent="0.15">
      <c r="A759" s="15"/>
      <c r="B759" s="17"/>
      <c r="C759" s="9" t="s">
        <v>969</v>
      </c>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c r="BW759" s="9"/>
      <c r="BX759" s="9"/>
      <c r="BY759" s="9"/>
      <c r="BZ759" s="9"/>
      <c r="CA759" s="9"/>
      <c r="CB759" s="9"/>
      <c r="CC759" s="9"/>
      <c r="CD759" s="9"/>
      <c r="CE759" s="9"/>
      <c r="CF759" s="9"/>
      <c r="CG759" s="9"/>
      <c r="CH759" s="9"/>
      <c r="CI759" s="9"/>
      <c r="CJ759" s="9"/>
      <c r="CK759" s="9"/>
      <c r="CL759" s="9"/>
      <c r="CM759" s="9"/>
      <c r="CN759" s="9"/>
      <c r="CO759" s="9"/>
      <c r="CP759" s="16"/>
    </row>
    <row r="760" spans="1:94" ht="15" customHeight="1" x14ac:dyDescent="0.15">
      <c r="A760" s="15"/>
      <c r="B760" s="9"/>
      <c r="C760" s="9"/>
      <c r="D760" s="9"/>
      <c r="E760" s="9" t="s">
        <v>728</v>
      </c>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c r="BW760" s="9"/>
      <c r="BX760" s="9"/>
      <c r="BY760" s="9"/>
      <c r="BZ760" s="9"/>
      <c r="CA760" s="9"/>
      <c r="CB760" s="9"/>
      <c r="CC760" s="9"/>
      <c r="CD760" s="9"/>
      <c r="CE760" s="9"/>
      <c r="CF760" s="9"/>
      <c r="CG760" s="9"/>
      <c r="CH760" s="9"/>
      <c r="CI760" s="9"/>
      <c r="CJ760" s="9"/>
      <c r="CK760" s="9"/>
      <c r="CL760" s="9"/>
      <c r="CM760" s="9"/>
      <c r="CN760" s="9"/>
      <c r="CO760" s="9"/>
      <c r="CP760" s="16"/>
    </row>
    <row r="761" spans="1:94" ht="15" customHeight="1" x14ac:dyDescent="0.15">
      <c r="A761" s="15"/>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c r="BW761" s="9"/>
      <c r="BX761" s="9"/>
      <c r="BY761" s="9"/>
      <c r="BZ761" s="9"/>
      <c r="CA761" s="9"/>
      <c r="CB761" s="9"/>
      <c r="CC761" s="9"/>
      <c r="CD761" s="9"/>
      <c r="CE761" s="9"/>
      <c r="CF761" s="9"/>
      <c r="CG761" s="9"/>
      <c r="CH761" s="9"/>
      <c r="CI761" s="9"/>
      <c r="CJ761" s="9"/>
      <c r="CK761" s="9"/>
      <c r="CL761" s="9"/>
      <c r="CM761" s="9"/>
      <c r="CN761" s="9"/>
      <c r="CO761" s="9"/>
      <c r="CP761" s="16"/>
    </row>
    <row r="762" spans="1:94" ht="15" customHeight="1" x14ac:dyDescent="0.15">
      <c r="A762" s="15"/>
      <c r="B762" s="9"/>
      <c r="C762" s="9"/>
      <c r="D762" s="9"/>
      <c r="E762" s="9"/>
      <c r="F762" s="9" t="s">
        <v>395</v>
      </c>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c r="BW762" s="9"/>
      <c r="BX762" s="9"/>
      <c r="BY762" s="9"/>
      <c r="BZ762" s="9"/>
      <c r="CA762" s="9"/>
      <c r="CB762" s="9"/>
      <c r="CC762" s="9"/>
      <c r="CD762" s="9"/>
      <c r="CE762" s="9"/>
      <c r="CF762" s="9"/>
      <c r="CG762" s="9"/>
      <c r="CH762" s="9"/>
      <c r="CI762" s="9"/>
      <c r="CJ762" s="9"/>
      <c r="CK762" s="9"/>
      <c r="CL762" s="9"/>
      <c r="CM762" s="9"/>
      <c r="CN762" s="9"/>
      <c r="CO762" s="9"/>
      <c r="CP762" s="16"/>
    </row>
    <row r="763" spans="1:94" ht="15" customHeight="1" x14ac:dyDescent="0.15">
      <c r="A763" s="15"/>
      <c r="B763" s="9"/>
      <c r="C763" s="9"/>
      <c r="D763" s="9"/>
      <c r="E763" s="9"/>
      <c r="F763" s="9"/>
      <c r="G763" s="9" t="s">
        <v>396</v>
      </c>
      <c r="H763" s="9"/>
      <c r="I763" s="9"/>
      <c r="J763" s="9"/>
      <c r="K763" s="9"/>
      <c r="L763" s="9"/>
      <c r="M763" s="9"/>
      <c r="N763" s="9"/>
      <c r="O763" s="9"/>
      <c r="P763" s="9"/>
      <c r="Q763" s="9" t="s">
        <v>729</v>
      </c>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c r="BW763" s="9"/>
      <c r="BX763" s="9"/>
      <c r="BY763" s="9"/>
      <c r="BZ763" s="9"/>
      <c r="CA763" s="9"/>
      <c r="CB763" s="9"/>
      <c r="CC763" s="9"/>
      <c r="CD763" s="9"/>
      <c r="CE763" s="9"/>
      <c r="CF763" s="9"/>
      <c r="CG763" s="9"/>
      <c r="CH763" s="9"/>
      <c r="CI763" s="9"/>
      <c r="CJ763" s="9"/>
      <c r="CK763" s="9"/>
      <c r="CL763" s="9"/>
      <c r="CM763" s="9"/>
      <c r="CN763" s="9"/>
      <c r="CO763" s="9"/>
      <c r="CP763" s="16"/>
    </row>
    <row r="764" spans="1:94" ht="15" customHeight="1" x14ac:dyDescent="0.15">
      <c r="A764" s="15"/>
      <c r="B764" s="9"/>
      <c r="C764" s="9"/>
      <c r="D764" s="9"/>
      <c r="E764" s="9"/>
      <c r="F764" s="9"/>
      <c r="G764" s="9" t="s">
        <v>397</v>
      </c>
      <c r="H764" s="9"/>
      <c r="I764" s="9"/>
      <c r="J764" s="9"/>
      <c r="K764" s="9"/>
      <c r="L764" s="9"/>
      <c r="M764" s="9"/>
      <c r="N764" s="9"/>
      <c r="O764" s="9"/>
      <c r="P764" s="9"/>
      <c r="Q764" s="9" t="s">
        <v>661</v>
      </c>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c r="BW764" s="9"/>
      <c r="BX764" s="9"/>
      <c r="BY764" s="9"/>
      <c r="BZ764" s="9"/>
      <c r="CA764" s="9"/>
      <c r="CB764" s="9"/>
      <c r="CC764" s="9"/>
      <c r="CD764" s="9"/>
      <c r="CE764" s="9"/>
      <c r="CF764" s="9"/>
      <c r="CG764" s="9"/>
      <c r="CH764" s="9"/>
      <c r="CI764" s="9"/>
      <c r="CJ764" s="9"/>
      <c r="CK764" s="9"/>
      <c r="CL764" s="9"/>
      <c r="CM764" s="9"/>
      <c r="CN764" s="9"/>
      <c r="CO764" s="9"/>
      <c r="CP764" s="16"/>
    </row>
    <row r="765" spans="1:94" ht="15" customHeight="1" x14ac:dyDescent="0.15">
      <c r="A765" s="15"/>
      <c r="B765" s="9"/>
      <c r="C765" s="9"/>
      <c r="D765" s="9"/>
      <c r="E765" s="9"/>
      <c r="F765" s="9"/>
      <c r="G765" s="9" t="s">
        <v>398</v>
      </c>
      <c r="H765" s="9"/>
      <c r="I765" s="9"/>
      <c r="J765" s="9"/>
      <c r="K765" s="9"/>
      <c r="L765" s="9"/>
      <c r="M765" s="9"/>
      <c r="N765" s="9"/>
      <c r="O765" s="9"/>
      <c r="P765" s="9"/>
      <c r="Q765" s="9" t="s">
        <v>1217</v>
      </c>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c r="BW765" s="9"/>
      <c r="BX765" s="9"/>
      <c r="BY765" s="9"/>
      <c r="BZ765" s="9"/>
      <c r="CA765" s="9"/>
      <c r="CB765" s="9"/>
      <c r="CC765" s="9"/>
      <c r="CD765" s="9"/>
      <c r="CE765" s="9"/>
      <c r="CF765" s="9"/>
      <c r="CG765" s="9"/>
      <c r="CH765" s="9"/>
      <c r="CI765" s="9"/>
      <c r="CJ765" s="9"/>
      <c r="CK765" s="9"/>
      <c r="CL765" s="9"/>
      <c r="CM765" s="9"/>
      <c r="CN765" s="9"/>
      <c r="CO765" s="9"/>
      <c r="CP765" s="16"/>
    </row>
    <row r="766" spans="1:94" ht="15" customHeight="1" x14ac:dyDescent="0.15">
      <c r="A766" s="15"/>
      <c r="B766" s="9"/>
      <c r="C766" s="9"/>
      <c r="D766" s="9"/>
      <c r="E766" s="9"/>
      <c r="F766" s="9"/>
      <c r="G766" s="9" t="s">
        <v>399</v>
      </c>
      <c r="H766" s="9"/>
      <c r="I766" s="9"/>
      <c r="J766" s="9"/>
      <c r="K766" s="9"/>
      <c r="L766" s="9"/>
      <c r="M766" s="9"/>
      <c r="N766" s="9"/>
      <c r="O766" s="9"/>
      <c r="P766" s="9"/>
      <c r="Q766" s="9" t="s">
        <v>730</v>
      </c>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c r="BW766" s="9"/>
      <c r="BX766" s="9"/>
      <c r="BY766" s="9"/>
      <c r="BZ766" s="9"/>
      <c r="CA766" s="9"/>
      <c r="CB766" s="9"/>
      <c r="CC766" s="9"/>
      <c r="CD766" s="9"/>
      <c r="CE766" s="9"/>
      <c r="CF766" s="9"/>
      <c r="CG766" s="9"/>
      <c r="CH766" s="9"/>
      <c r="CI766" s="9"/>
      <c r="CJ766" s="9"/>
      <c r="CK766" s="9"/>
      <c r="CL766" s="9"/>
      <c r="CM766" s="9"/>
      <c r="CN766" s="9"/>
      <c r="CO766" s="9"/>
      <c r="CP766" s="16"/>
    </row>
    <row r="767" spans="1:94" ht="15" customHeight="1" x14ac:dyDescent="0.15">
      <c r="A767" s="15"/>
      <c r="B767" s="9"/>
      <c r="C767" s="9"/>
      <c r="D767" s="9"/>
      <c r="E767" s="9"/>
      <c r="F767" s="9"/>
      <c r="G767" s="9" t="s">
        <v>400</v>
      </c>
      <c r="H767" s="9"/>
      <c r="I767" s="9"/>
      <c r="J767" s="9"/>
      <c r="K767" s="9"/>
      <c r="L767" s="9"/>
      <c r="M767" s="9"/>
      <c r="N767" s="9"/>
      <c r="O767" s="9"/>
      <c r="P767" s="9"/>
      <c r="Q767" s="9" t="s">
        <v>401</v>
      </c>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c r="BW767" s="9"/>
      <c r="BX767" s="9"/>
      <c r="BY767" s="9"/>
      <c r="BZ767" s="9"/>
      <c r="CA767" s="9"/>
      <c r="CB767" s="9"/>
      <c r="CC767" s="9"/>
      <c r="CD767" s="9"/>
      <c r="CE767" s="9"/>
      <c r="CF767" s="9"/>
      <c r="CG767" s="9"/>
      <c r="CH767" s="9"/>
      <c r="CI767" s="9"/>
      <c r="CJ767" s="9"/>
      <c r="CK767" s="9"/>
      <c r="CL767" s="9"/>
      <c r="CM767" s="9"/>
      <c r="CN767" s="9"/>
      <c r="CO767" s="9"/>
      <c r="CP767" s="16"/>
    </row>
    <row r="768" spans="1:94" ht="15" customHeight="1" x14ac:dyDescent="0.15">
      <c r="A768" s="15"/>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c r="BW768" s="9"/>
      <c r="BX768" s="9"/>
      <c r="BY768" s="9"/>
      <c r="BZ768" s="9"/>
      <c r="CA768" s="9"/>
      <c r="CB768" s="9"/>
      <c r="CC768" s="9"/>
      <c r="CD768" s="9"/>
      <c r="CE768" s="9"/>
      <c r="CF768" s="9"/>
      <c r="CG768" s="9"/>
      <c r="CH768" s="9"/>
      <c r="CI768" s="9"/>
      <c r="CJ768" s="9"/>
      <c r="CK768" s="9"/>
      <c r="CL768" s="9"/>
      <c r="CM768" s="9"/>
      <c r="CN768" s="9"/>
      <c r="CO768" s="9"/>
      <c r="CP768" s="16"/>
    </row>
    <row r="769" spans="1:94" ht="15" customHeight="1" x14ac:dyDescent="0.15">
      <c r="A769" s="15"/>
      <c r="B769" s="9"/>
      <c r="C769" s="9"/>
      <c r="D769" s="9"/>
      <c r="E769" s="9"/>
      <c r="F769" s="9" t="s">
        <v>402</v>
      </c>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c r="BW769" s="9"/>
      <c r="BX769" s="9"/>
      <c r="BY769" s="9"/>
      <c r="BZ769" s="9"/>
      <c r="CA769" s="9"/>
      <c r="CB769" s="9"/>
      <c r="CC769" s="9"/>
      <c r="CD769" s="9"/>
      <c r="CE769" s="9"/>
      <c r="CF769" s="9"/>
      <c r="CG769" s="9"/>
      <c r="CH769" s="9"/>
      <c r="CI769" s="9"/>
      <c r="CJ769" s="9"/>
      <c r="CK769" s="9"/>
      <c r="CL769" s="9"/>
      <c r="CM769" s="9"/>
      <c r="CN769" s="9"/>
      <c r="CO769" s="9"/>
      <c r="CP769" s="16"/>
    </row>
    <row r="770" spans="1:94" ht="15" customHeight="1" x14ac:dyDescent="0.15">
      <c r="A770" s="15"/>
      <c r="B770" s="9"/>
      <c r="C770" s="9"/>
      <c r="D770" s="9"/>
      <c r="E770" s="9"/>
      <c r="F770" s="9"/>
      <c r="G770" s="9" t="s">
        <v>403</v>
      </c>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c r="BW770" s="9"/>
      <c r="BX770" s="9"/>
      <c r="BY770" s="9"/>
      <c r="BZ770" s="9"/>
      <c r="CA770" s="9"/>
      <c r="CB770" s="9"/>
      <c r="CC770" s="9"/>
      <c r="CD770" s="9"/>
      <c r="CE770" s="9"/>
      <c r="CF770" s="9"/>
      <c r="CG770" s="9"/>
      <c r="CH770" s="9"/>
      <c r="CI770" s="9"/>
      <c r="CJ770" s="9"/>
      <c r="CK770" s="9"/>
      <c r="CL770" s="9"/>
      <c r="CM770" s="9"/>
      <c r="CN770" s="9"/>
      <c r="CO770" s="9"/>
      <c r="CP770" s="16"/>
    </row>
    <row r="771" spans="1:94" ht="15" customHeight="1" x14ac:dyDescent="0.15">
      <c r="A771" s="15"/>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c r="BW771" s="9"/>
      <c r="BX771" s="9"/>
      <c r="BY771" s="9"/>
      <c r="BZ771" s="9"/>
      <c r="CA771" s="9"/>
      <c r="CB771" s="9"/>
      <c r="CC771" s="9"/>
      <c r="CD771" s="9"/>
      <c r="CE771" s="9"/>
      <c r="CF771" s="9"/>
      <c r="CG771" s="9"/>
      <c r="CH771" s="9"/>
      <c r="CI771" s="9"/>
      <c r="CJ771" s="9"/>
      <c r="CK771" s="9"/>
      <c r="CL771" s="9"/>
      <c r="CM771" s="9"/>
      <c r="CN771" s="9"/>
      <c r="CO771" s="9"/>
      <c r="CP771" s="16"/>
    </row>
    <row r="772" spans="1:94" ht="15" customHeight="1" x14ac:dyDescent="0.15">
      <c r="A772" s="15"/>
      <c r="B772" s="9"/>
      <c r="C772" s="9"/>
      <c r="D772" s="9"/>
      <c r="E772" s="9"/>
      <c r="F772" s="9" t="s">
        <v>404</v>
      </c>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c r="BW772" s="9"/>
      <c r="BX772" s="9"/>
      <c r="BY772" s="9"/>
      <c r="BZ772" s="9"/>
      <c r="CA772" s="9"/>
      <c r="CB772" s="9"/>
      <c r="CC772" s="9"/>
      <c r="CD772" s="9"/>
      <c r="CE772" s="9"/>
      <c r="CF772" s="9"/>
      <c r="CG772" s="9"/>
      <c r="CH772" s="9"/>
      <c r="CI772" s="9"/>
      <c r="CJ772" s="9"/>
      <c r="CK772" s="9"/>
      <c r="CL772" s="9"/>
      <c r="CM772" s="9"/>
      <c r="CN772" s="9"/>
      <c r="CO772" s="9"/>
      <c r="CP772" s="16"/>
    </row>
    <row r="773" spans="1:94" ht="15" customHeight="1" x14ac:dyDescent="0.15">
      <c r="A773" s="15"/>
      <c r="B773" s="9"/>
      <c r="C773" s="9"/>
      <c r="D773" s="9"/>
      <c r="E773" s="9"/>
      <c r="F773" s="9"/>
      <c r="G773" s="9" t="s">
        <v>405</v>
      </c>
      <c r="H773" s="9"/>
      <c r="I773" s="9"/>
      <c r="J773" s="9"/>
      <c r="K773" s="9"/>
      <c r="L773" s="9"/>
      <c r="M773" s="9"/>
      <c r="N773" s="9"/>
      <c r="O773" s="9"/>
      <c r="P773" s="9"/>
      <c r="Q773" s="9" t="s">
        <v>406</v>
      </c>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c r="BW773" s="9"/>
      <c r="BX773" s="9"/>
      <c r="BY773" s="9"/>
      <c r="BZ773" s="9"/>
      <c r="CA773" s="9"/>
      <c r="CB773" s="9"/>
      <c r="CC773" s="9"/>
      <c r="CD773" s="9"/>
      <c r="CE773" s="9"/>
      <c r="CF773" s="9"/>
      <c r="CG773" s="9"/>
      <c r="CH773" s="9"/>
      <c r="CI773" s="9"/>
      <c r="CJ773" s="9"/>
      <c r="CK773" s="9"/>
      <c r="CL773" s="9"/>
      <c r="CM773" s="9"/>
      <c r="CN773" s="9"/>
      <c r="CO773" s="9"/>
      <c r="CP773" s="16"/>
    </row>
    <row r="774" spans="1:94" ht="15" customHeight="1" x14ac:dyDescent="0.15">
      <c r="A774" s="15"/>
      <c r="B774" s="9"/>
      <c r="C774" s="9"/>
      <c r="D774" s="9"/>
      <c r="E774" s="9"/>
      <c r="F774" s="9"/>
      <c r="G774" s="9" t="s">
        <v>407</v>
      </c>
      <c r="H774" s="9"/>
      <c r="I774" s="9"/>
      <c r="J774" s="9"/>
      <c r="K774" s="9"/>
      <c r="L774" s="9"/>
      <c r="M774" s="9"/>
      <c r="N774" s="9"/>
      <c r="O774" s="9"/>
      <c r="P774" s="9"/>
      <c r="Q774" s="9" t="s">
        <v>1298</v>
      </c>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c r="BW774" s="9"/>
      <c r="BX774" s="9"/>
      <c r="BY774" s="9"/>
      <c r="BZ774" s="9"/>
      <c r="CA774" s="9"/>
      <c r="CB774" s="9"/>
      <c r="CC774" s="9"/>
      <c r="CD774" s="9"/>
      <c r="CE774" s="9"/>
      <c r="CF774" s="9"/>
      <c r="CG774" s="9"/>
      <c r="CH774" s="9"/>
      <c r="CI774" s="9"/>
      <c r="CJ774" s="9"/>
      <c r="CK774" s="9"/>
      <c r="CL774" s="9"/>
      <c r="CM774" s="9"/>
      <c r="CN774" s="9"/>
      <c r="CO774" s="9"/>
      <c r="CP774" s="16"/>
    </row>
    <row r="775" spans="1:94" ht="15" customHeight="1" x14ac:dyDescent="0.15">
      <c r="A775" s="15"/>
      <c r="B775" s="9"/>
      <c r="C775" s="9"/>
      <c r="D775" s="9"/>
      <c r="E775" s="9"/>
      <c r="F775" s="9"/>
      <c r="G775" s="9" t="s">
        <v>408</v>
      </c>
      <c r="H775" s="9"/>
      <c r="I775" s="9"/>
      <c r="J775" s="9"/>
      <c r="K775" s="9"/>
      <c r="L775" s="9"/>
      <c r="M775" s="9"/>
      <c r="N775" s="9"/>
      <c r="O775" s="9"/>
      <c r="P775" s="9"/>
      <c r="Q775" s="9" t="s">
        <v>409</v>
      </c>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c r="BW775" s="9"/>
      <c r="BX775" s="9"/>
      <c r="BY775" s="9"/>
      <c r="BZ775" s="9"/>
      <c r="CA775" s="9"/>
      <c r="CB775" s="9"/>
      <c r="CC775" s="9"/>
      <c r="CD775" s="9"/>
      <c r="CE775" s="9"/>
      <c r="CF775" s="9"/>
      <c r="CG775" s="9"/>
      <c r="CH775" s="9"/>
      <c r="CI775" s="9"/>
      <c r="CJ775" s="9"/>
      <c r="CK775" s="9"/>
      <c r="CL775" s="9"/>
      <c r="CM775" s="9"/>
      <c r="CN775" s="9"/>
      <c r="CO775" s="9"/>
      <c r="CP775" s="16"/>
    </row>
    <row r="776" spans="1:94" ht="15" customHeight="1" x14ac:dyDescent="0.15">
      <c r="A776" s="15"/>
      <c r="B776" s="9"/>
      <c r="C776" s="9"/>
      <c r="D776" s="9"/>
      <c r="E776" s="9"/>
      <c r="F776" s="9"/>
      <c r="G776" s="9" t="s">
        <v>410</v>
      </c>
      <c r="H776" s="9"/>
      <c r="I776" s="9"/>
      <c r="J776" s="9"/>
      <c r="K776" s="9"/>
      <c r="L776" s="9"/>
      <c r="M776" s="9"/>
      <c r="N776" s="9"/>
      <c r="O776" s="9"/>
      <c r="P776" s="9"/>
      <c r="Q776" s="9" t="s">
        <v>155</v>
      </c>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c r="BW776" s="9"/>
      <c r="BX776" s="9"/>
      <c r="BY776" s="9"/>
      <c r="BZ776" s="9"/>
      <c r="CA776" s="9"/>
      <c r="CB776" s="9"/>
      <c r="CC776" s="9"/>
      <c r="CD776" s="9"/>
      <c r="CE776" s="9"/>
      <c r="CF776" s="9"/>
      <c r="CG776" s="9"/>
      <c r="CH776" s="9"/>
      <c r="CI776" s="9"/>
      <c r="CJ776" s="9"/>
      <c r="CK776" s="9"/>
      <c r="CL776" s="9"/>
      <c r="CM776" s="9"/>
      <c r="CN776" s="9"/>
      <c r="CO776" s="9"/>
      <c r="CP776" s="16"/>
    </row>
    <row r="777" spans="1:94" ht="15" customHeight="1" x14ac:dyDescent="0.15">
      <c r="A777" s="15"/>
      <c r="B777" s="9"/>
      <c r="C777" s="9"/>
      <c r="D777" s="9"/>
      <c r="E777" s="9"/>
      <c r="F777" s="9"/>
      <c r="G777" s="9" t="s">
        <v>411</v>
      </c>
      <c r="H777" s="9"/>
      <c r="I777" s="9"/>
      <c r="J777" s="9"/>
      <c r="K777" s="9"/>
      <c r="L777" s="9"/>
      <c r="M777" s="9"/>
      <c r="N777" s="9"/>
      <c r="O777" s="9"/>
      <c r="P777" s="9"/>
      <c r="Q777" s="9" t="s">
        <v>412</v>
      </c>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c r="BW777" s="9"/>
      <c r="BX777" s="9"/>
      <c r="BY777" s="9"/>
      <c r="BZ777" s="9"/>
      <c r="CA777" s="9"/>
      <c r="CB777" s="9"/>
      <c r="CC777" s="9"/>
      <c r="CD777" s="9"/>
      <c r="CE777" s="9"/>
      <c r="CF777" s="9"/>
      <c r="CG777" s="9"/>
      <c r="CH777" s="9"/>
      <c r="CI777" s="9"/>
      <c r="CJ777" s="9"/>
      <c r="CK777" s="9"/>
      <c r="CL777" s="9"/>
      <c r="CM777" s="9"/>
      <c r="CN777" s="9"/>
      <c r="CO777" s="9"/>
      <c r="CP777" s="16"/>
    </row>
    <row r="778" spans="1:94" ht="15" customHeight="1" x14ac:dyDescent="0.15">
      <c r="A778" s="15"/>
      <c r="B778" s="9"/>
      <c r="C778" s="9"/>
      <c r="D778" s="9"/>
      <c r="E778" s="9"/>
      <c r="F778" s="9"/>
      <c r="G778" s="9" t="s">
        <v>413</v>
      </c>
      <c r="H778" s="9"/>
      <c r="I778" s="9"/>
      <c r="J778" s="9"/>
      <c r="K778" s="9"/>
      <c r="L778" s="9"/>
      <c r="M778" s="9"/>
      <c r="N778" s="9"/>
      <c r="O778" s="9"/>
      <c r="P778" s="9"/>
      <c r="Q778" s="9" t="s">
        <v>412</v>
      </c>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c r="BW778" s="9"/>
      <c r="BX778" s="9"/>
      <c r="BY778" s="9"/>
      <c r="BZ778" s="9"/>
      <c r="CA778" s="9"/>
      <c r="CB778" s="9"/>
      <c r="CC778" s="9"/>
      <c r="CD778" s="9"/>
      <c r="CE778" s="9"/>
      <c r="CF778" s="9"/>
      <c r="CG778" s="9"/>
      <c r="CH778" s="9"/>
      <c r="CI778" s="9"/>
      <c r="CJ778" s="9"/>
      <c r="CK778" s="9"/>
      <c r="CL778" s="9"/>
      <c r="CM778" s="9"/>
      <c r="CN778" s="9"/>
      <c r="CO778" s="9"/>
      <c r="CP778" s="16"/>
    </row>
    <row r="779" spans="1:94" ht="15" customHeight="1" x14ac:dyDescent="0.15">
      <c r="A779" s="15"/>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c r="BW779" s="9"/>
      <c r="BX779" s="9"/>
      <c r="BY779" s="9"/>
      <c r="BZ779" s="9"/>
      <c r="CA779" s="9"/>
      <c r="CB779" s="9"/>
      <c r="CC779" s="9"/>
      <c r="CD779" s="9"/>
      <c r="CE779" s="9"/>
      <c r="CF779" s="9"/>
      <c r="CG779" s="9"/>
      <c r="CH779" s="9"/>
      <c r="CI779" s="9"/>
      <c r="CJ779" s="9"/>
      <c r="CK779" s="9"/>
      <c r="CL779" s="9"/>
      <c r="CM779" s="9"/>
      <c r="CN779" s="9"/>
      <c r="CO779" s="9"/>
      <c r="CP779" s="16"/>
    </row>
    <row r="780" spans="1:94" ht="15" customHeight="1" x14ac:dyDescent="0.15">
      <c r="A780" s="15"/>
      <c r="B780" s="9"/>
      <c r="C780" s="9"/>
      <c r="D780" s="9"/>
      <c r="E780" s="9"/>
      <c r="F780" s="9" t="s">
        <v>414</v>
      </c>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c r="BW780" s="9"/>
      <c r="BX780" s="9"/>
      <c r="BY780" s="9"/>
      <c r="BZ780" s="9"/>
      <c r="CA780" s="9"/>
      <c r="CB780" s="9"/>
      <c r="CC780" s="9"/>
      <c r="CD780" s="9"/>
      <c r="CE780" s="9"/>
      <c r="CF780" s="9"/>
      <c r="CG780" s="9"/>
      <c r="CH780" s="9"/>
      <c r="CI780" s="9"/>
      <c r="CJ780" s="9"/>
      <c r="CK780" s="9"/>
      <c r="CL780" s="9"/>
      <c r="CM780" s="9"/>
      <c r="CN780" s="9"/>
      <c r="CO780" s="9"/>
      <c r="CP780" s="16"/>
    </row>
    <row r="781" spans="1:94" ht="15" customHeight="1" x14ac:dyDescent="0.15">
      <c r="A781" s="15"/>
      <c r="B781" s="9"/>
      <c r="C781" s="9"/>
      <c r="D781" s="9"/>
      <c r="E781" s="9"/>
      <c r="F781" s="9"/>
      <c r="G781" s="9" t="s">
        <v>415</v>
      </c>
      <c r="H781" s="9"/>
      <c r="I781" s="9"/>
      <c r="J781" s="9"/>
      <c r="K781" s="9"/>
      <c r="L781" s="9"/>
      <c r="M781" s="9"/>
      <c r="N781" s="9"/>
      <c r="O781" s="9"/>
      <c r="P781" s="9"/>
      <c r="Q781" s="9"/>
      <c r="R781" s="9" t="s">
        <v>1299</v>
      </c>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c r="BW781" s="9"/>
      <c r="BX781" s="9"/>
      <c r="BY781" s="9"/>
      <c r="BZ781" s="9"/>
      <c r="CA781" s="9"/>
      <c r="CB781" s="9"/>
      <c r="CC781" s="9"/>
      <c r="CD781" s="9"/>
      <c r="CE781" s="9"/>
      <c r="CF781" s="9"/>
      <c r="CG781" s="9"/>
      <c r="CH781" s="9"/>
      <c r="CI781" s="9"/>
      <c r="CJ781" s="9"/>
      <c r="CK781" s="9"/>
      <c r="CL781" s="9"/>
      <c r="CM781" s="9"/>
      <c r="CN781" s="9"/>
      <c r="CO781" s="9"/>
      <c r="CP781" s="16"/>
    </row>
    <row r="782" spans="1:94" ht="15" customHeight="1" x14ac:dyDescent="0.15">
      <c r="A782" s="15"/>
      <c r="B782" s="9"/>
      <c r="C782" s="9"/>
      <c r="D782" s="9"/>
      <c r="E782" s="9"/>
      <c r="F782" s="9"/>
      <c r="G782" s="9" t="s">
        <v>416</v>
      </c>
      <c r="H782" s="9"/>
      <c r="I782" s="9"/>
      <c r="J782" s="9"/>
      <c r="K782" s="9"/>
      <c r="L782" s="9"/>
      <c r="M782" s="9"/>
      <c r="N782" s="9"/>
      <c r="O782" s="9"/>
      <c r="P782" s="9"/>
      <c r="Q782" s="9"/>
      <c r="R782" s="9" t="s">
        <v>1300</v>
      </c>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c r="BW782" s="9"/>
      <c r="BX782" s="9"/>
      <c r="BY782" s="9"/>
      <c r="BZ782" s="9"/>
      <c r="CA782" s="9"/>
      <c r="CB782" s="9"/>
      <c r="CC782" s="9"/>
      <c r="CD782" s="9"/>
      <c r="CE782" s="9"/>
      <c r="CF782" s="9"/>
      <c r="CG782" s="9"/>
      <c r="CH782" s="9"/>
      <c r="CI782" s="9"/>
      <c r="CJ782" s="9"/>
      <c r="CK782" s="9"/>
      <c r="CL782" s="9"/>
      <c r="CM782" s="9"/>
      <c r="CN782" s="9"/>
      <c r="CO782" s="9"/>
      <c r="CP782" s="16"/>
    </row>
    <row r="783" spans="1:94" ht="15" customHeight="1" x14ac:dyDescent="0.15">
      <c r="A783" s="15"/>
      <c r="B783" s="9"/>
      <c r="C783" s="9"/>
      <c r="D783" s="9"/>
      <c r="E783" s="9"/>
      <c r="G783" s="9" t="s">
        <v>417</v>
      </c>
      <c r="H783" s="9"/>
      <c r="I783" s="9"/>
      <c r="J783" s="9"/>
      <c r="K783" s="9"/>
      <c r="L783" s="9"/>
      <c r="M783" s="9"/>
      <c r="N783" s="9"/>
      <c r="O783" s="9"/>
      <c r="P783" s="9"/>
      <c r="Q783" s="9"/>
      <c r="R783" s="135" t="s">
        <v>1301</v>
      </c>
      <c r="S783" s="64"/>
      <c r="T783" s="64"/>
      <c r="U783" s="64"/>
      <c r="V783" s="64"/>
      <c r="W783" s="64"/>
      <c r="X783" s="64"/>
      <c r="Y783" s="64"/>
      <c r="Z783" s="64"/>
      <c r="AA783" s="64"/>
      <c r="AB783" s="64"/>
      <c r="AC783" s="64"/>
      <c r="AD783" s="64"/>
      <c r="AE783" s="64"/>
      <c r="AF783" s="64"/>
      <c r="AG783" s="64"/>
      <c r="AH783" s="64"/>
      <c r="AI783" s="64"/>
      <c r="AJ783" s="64"/>
      <c r="AK783" s="64"/>
      <c r="AL783" s="64"/>
      <c r="AM783" s="64"/>
      <c r="AN783" s="64"/>
      <c r="AO783" s="64"/>
      <c r="AP783" s="64"/>
      <c r="AQ783" s="64"/>
      <c r="AR783" s="64"/>
      <c r="AS783" s="64"/>
      <c r="AT783" s="64"/>
      <c r="AU783" s="64"/>
      <c r="AV783" s="64"/>
      <c r="AW783" s="64"/>
      <c r="AX783" s="64"/>
      <c r="AY783" s="64"/>
      <c r="AZ783" s="64"/>
      <c r="BA783" s="64"/>
      <c r="BB783" s="64"/>
      <c r="BC783" s="64"/>
      <c r="BD783" s="64"/>
      <c r="BE783" s="64"/>
      <c r="BF783" s="64"/>
      <c r="BG783" s="64"/>
      <c r="BH783" s="64"/>
      <c r="BI783" s="64"/>
      <c r="BJ783" s="64"/>
      <c r="BK783" s="64"/>
      <c r="BL783" s="64"/>
      <c r="BM783" s="64"/>
      <c r="BN783" s="64"/>
      <c r="BO783" s="64"/>
      <c r="BP783" s="64"/>
      <c r="BQ783" s="64"/>
      <c r="BR783" s="64"/>
      <c r="BS783" s="64"/>
      <c r="BT783" s="65"/>
      <c r="BX783" s="9"/>
      <c r="BY783" s="9"/>
      <c r="BZ783" s="9"/>
      <c r="CA783" s="9"/>
      <c r="CB783" s="9"/>
      <c r="CC783" s="9"/>
      <c r="CD783" s="9"/>
      <c r="CE783" s="9"/>
      <c r="CF783" s="9"/>
      <c r="CG783" s="9"/>
      <c r="CH783" s="9"/>
      <c r="CI783" s="9"/>
      <c r="CJ783" s="9"/>
      <c r="CK783" s="9"/>
      <c r="CL783" s="9"/>
      <c r="CM783" s="9"/>
      <c r="CN783" s="9"/>
      <c r="CO783" s="9"/>
      <c r="CP783" s="16"/>
    </row>
    <row r="784" spans="1:94" ht="15" customHeight="1" x14ac:dyDescent="0.15">
      <c r="A784" s="15"/>
      <c r="B784" s="9"/>
      <c r="C784" s="9"/>
      <c r="D784" s="9"/>
      <c r="E784" s="9"/>
      <c r="F784" s="9"/>
      <c r="G784" s="9"/>
      <c r="H784" s="9"/>
      <c r="I784" s="9"/>
      <c r="J784" s="9"/>
      <c r="K784" s="9"/>
      <c r="L784" s="9"/>
      <c r="M784" s="9"/>
      <c r="N784" s="9"/>
      <c r="O784" s="9"/>
      <c r="P784" s="9"/>
      <c r="Q784" s="9"/>
      <c r="R784" s="136" t="s">
        <v>1302</v>
      </c>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66"/>
      <c r="BX784" s="9"/>
      <c r="BY784" s="9"/>
      <c r="BZ784" s="9"/>
      <c r="CA784" s="9"/>
      <c r="CB784" s="9"/>
      <c r="CC784" s="9"/>
      <c r="CD784" s="9"/>
      <c r="CE784" s="9"/>
      <c r="CF784" s="9"/>
      <c r="CG784" s="9"/>
      <c r="CH784" s="9"/>
      <c r="CI784" s="9"/>
      <c r="CJ784" s="9"/>
      <c r="CK784" s="9"/>
      <c r="CL784" s="9"/>
      <c r="CM784" s="9"/>
      <c r="CN784" s="9"/>
      <c r="CO784" s="9"/>
      <c r="CP784" s="16"/>
    </row>
    <row r="785" spans="1:94" ht="15" customHeight="1" x14ac:dyDescent="0.15">
      <c r="A785" s="15"/>
      <c r="B785" s="9"/>
      <c r="C785" s="9"/>
      <c r="D785" s="9"/>
      <c r="E785" s="9"/>
      <c r="F785" s="9"/>
      <c r="G785" s="9"/>
      <c r="H785" s="9"/>
      <c r="I785" s="9"/>
      <c r="J785" s="9"/>
      <c r="K785" s="9"/>
      <c r="L785" s="9"/>
      <c r="M785" s="9"/>
      <c r="N785" s="9"/>
      <c r="O785" s="9"/>
      <c r="P785" s="9"/>
      <c r="Q785" s="9"/>
      <c r="R785" s="136" t="s">
        <v>1303</v>
      </c>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66"/>
      <c r="BX785" s="9"/>
      <c r="BY785" s="9"/>
      <c r="BZ785" s="9"/>
      <c r="CA785" s="9"/>
      <c r="CB785" s="9"/>
      <c r="CC785" s="9"/>
      <c r="CD785" s="9"/>
      <c r="CE785" s="9"/>
      <c r="CF785" s="9"/>
      <c r="CG785" s="9"/>
      <c r="CH785" s="9"/>
      <c r="CI785" s="9"/>
      <c r="CJ785" s="9"/>
      <c r="CK785" s="9"/>
      <c r="CL785" s="9"/>
      <c r="CM785" s="9"/>
      <c r="CN785" s="9"/>
      <c r="CO785" s="9"/>
      <c r="CP785" s="16"/>
    </row>
    <row r="786" spans="1:94" ht="15" customHeight="1" x14ac:dyDescent="0.15">
      <c r="A786" s="15"/>
      <c r="B786" s="9"/>
      <c r="C786" s="9"/>
      <c r="D786" s="9"/>
      <c r="E786" s="9"/>
      <c r="F786" s="9"/>
      <c r="G786" s="9"/>
      <c r="H786" s="9"/>
      <c r="I786" s="9"/>
      <c r="J786" s="9"/>
      <c r="K786" s="9"/>
      <c r="L786" s="9"/>
      <c r="M786" s="9"/>
      <c r="N786" s="9"/>
      <c r="O786" s="9"/>
      <c r="P786" s="9"/>
      <c r="Q786" s="9"/>
      <c r="R786" s="136" t="s">
        <v>1304</v>
      </c>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66"/>
      <c r="BX786" s="9"/>
      <c r="BY786" s="9"/>
      <c r="BZ786" s="9"/>
      <c r="CA786" s="9"/>
      <c r="CB786" s="9"/>
      <c r="CC786" s="9"/>
      <c r="CD786" s="9"/>
      <c r="CE786" s="9"/>
      <c r="CF786" s="9"/>
      <c r="CG786" s="9"/>
      <c r="CH786" s="9"/>
      <c r="CI786" s="9"/>
      <c r="CJ786" s="9"/>
      <c r="CK786" s="9"/>
      <c r="CL786" s="9"/>
      <c r="CM786" s="9"/>
      <c r="CN786" s="9"/>
      <c r="CO786" s="9"/>
      <c r="CP786" s="16"/>
    </row>
    <row r="787" spans="1:94" ht="15" customHeight="1" x14ac:dyDescent="0.15">
      <c r="A787" s="15"/>
      <c r="B787" s="9"/>
      <c r="C787" s="9"/>
      <c r="D787" s="9"/>
      <c r="E787" s="9"/>
      <c r="F787" s="9"/>
      <c r="G787" s="9"/>
      <c r="H787" s="9"/>
      <c r="I787" s="9"/>
      <c r="J787" s="9"/>
      <c r="K787" s="9"/>
      <c r="L787" s="9"/>
      <c r="M787" s="9"/>
      <c r="N787" s="9"/>
      <c r="O787" s="9"/>
      <c r="P787" s="9"/>
      <c r="Q787" s="9"/>
      <c r="R787" s="136" t="s">
        <v>880</v>
      </c>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66"/>
      <c r="BX787" s="9"/>
      <c r="BY787" s="9"/>
      <c r="BZ787" s="9"/>
      <c r="CA787" s="9"/>
      <c r="CB787" s="9"/>
      <c r="CC787" s="9"/>
      <c r="CD787" s="9"/>
      <c r="CE787" s="9"/>
      <c r="CF787" s="9"/>
      <c r="CG787" s="9"/>
      <c r="CH787" s="9"/>
      <c r="CI787" s="9"/>
      <c r="CJ787" s="9"/>
      <c r="CK787" s="9"/>
      <c r="CL787" s="9"/>
      <c r="CM787" s="9"/>
      <c r="CN787" s="9"/>
      <c r="CO787" s="9"/>
      <c r="CP787" s="16"/>
    </row>
    <row r="788" spans="1:94" ht="15" customHeight="1" x14ac:dyDescent="0.15">
      <c r="A788" s="15"/>
      <c r="B788" s="9"/>
      <c r="C788" s="9"/>
      <c r="D788" s="9"/>
      <c r="E788" s="9"/>
      <c r="F788" s="9"/>
      <c r="G788" s="9"/>
      <c r="H788" s="9"/>
      <c r="I788" s="9"/>
      <c r="J788" s="9"/>
      <c r="K788" s="9"/>
      <c r="L788" s="9"/>
      <c r="M788" s="9"/>
      <c r="N788" s="9"/>
      <c r="O788" s="9"/>
      <c r="P788" s="9"/>
      <c r="Q788" s="9"/>
      <c r="R788" s="136" t="s">
        <v>1305</v>
      </c>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66"/>
      <c r="BX788" s="9"/>
      <c r="BY788" s="9"/>
      <c r="BZ788" s="9"/>
      <c r="CA788" s="9"/>
      <c r="CB788" s="9"/>
      <c r="CC788" s="9"/>
      <c r="CD788" s="9"/>
      <c r="CE788" s="9"/>
      <c r="CF788" s="9"/>
      <c r="CG788" s="9"/>
      <c r="CH788" s="9"/>
      <c r="CI788" s="9"/>
      <c r="CJ788" s="9"/>
      <c r="CK788" s="9"/>
      <c r="CL788" s="9"/>
      <c r="CM788" s="9"/>
      <c r="CN788" s="9"/>
      <c r="CO788" s="9"/>
      <c r="CP788" s="16"/>
    </row>
    <row r="789" spans="1:94" ht="15" customHeight="1" x14ac:dyDescent="0.15">
      <c r="A789" s="15"/>
      <c r="B789" s="9"/>
      <c r="C789" s="9"/>
      <c r="D789" s="9"/>
      <c r="E789" s="9"/>
      <c r="F789" s="9"/>
      <c r="G789" s="9"/>
      <c r="H789" s="9"/>
      <c r="I789" s="9"/>
      <c r="J789" s="9"/>
      <c r="K789" s="9"/>
      <c r="L789" s="9"/>
      <c r="M789" s="9"/>
      <c r="N789" s="9"/>
      <c r="O789" s="9"/>
      <c r="P789" s="9"/>
      <c r="Q789" s="9"/>
      <c r="R789" s="137" t="s">
        <v>881</v>
      </c>
      <c r="S789" s="60"/>
      <c r="T789" s="60"/>
      <c r="U789" s="60"/>
      <c r="V789" s="60"/>
      <c r="W789" s="60"/>
      <c r="X789" s="60"/>
      <c r="Y789" s="60"/>
      <c r="Z789" s="60"/>
      <c r="AA789" s="60"/>
      <c r="AB789" s="60"/>
      <c r="AC789" s="60"/>
      <c r="AD789" s="60"/>
      <c r="AE789" s="60"/>
      <c r="AF789" s="60"/>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66"/>
      <c r="BX789" s="9"/>
      <c r="BY789" s="9"/>
      <c r="BZ789" s="9"/>
      <c r="CA789" s="9"/>
      <c r="CB789" s="9"/>
      <c r="CC789" s="9"/>
      <c r="CD789" s="9"/>
      <c r="CE789" s="9"/>
      <c r="CF789" s="9"/>
      <c r="CG789" s="9"/>
      <c r="CH789" s="9"/>
      <c r="CI789" s="9"/>
      <c r="CJ789" s="9"/>
      <c r="CK789" s="9"/>
      <c r="CL789" s="9"/>
      <c r="CM789" s="9"/>
      <c r="CN789" s="9"/>
      <c r="CO789" s="9"/>
      <c r="CP789" s="16"/>
    </row>
    <row r="790" spans="1:94" ht="15" customHeight="1" x14ac:dyDescent="0.15">
      <c r="A790" s="15"/>
      <c r="B790" s="9"/>
      <c r="C790" s="9"/>
      <c r="D790" s="9"/>
      <c r="E790" s="9"/>
      <c r="F790" s="9"/>
      <c r="G790" s="9"/>
      <c r="H790" s="9"/>
      <c r="I790" s="9"/>
      <c r="J790" s="9"/>
      <c r="K790" s="9"/>
      <c r="L790" s="9"/>
      <c r="M790" s="9"/>
      <c r="N790" s="9"/>
      <c r="O790" s="9"/>
      <c r="P790" s="9"/>
      <c r="Q790" s="9"/>
      <c r="R790" s="137" t="s">
        <v>882</v>
      </c>
      <c r="S790" s="60"/>
      <c r="T790" s="60"/>
      <c r="U790" s="60"/>
      <c r="V790" s="60"/>
      <c r="W790" s="60"/>
      <c r="X790" s="60"/>
      <c r="Y790" s="60"/>
      <c r="Z790" s="60"/>
      <c r="AA790" s="60"/>
      <c r="AB790" s="60"/>
      <c r="AC790" s="60"/>
      <c r="AD790" s="60"/>
      <c r="AE790" s="60"/>
      <c r="AF790" s="60"/>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66"/>
      <c r="BX790" s="9"/>
      <c r="BY790" s="9"/>
      <c r="BZ790" s="9"/>
      <c r="CA790" s="9"/>
      <c r="CB790" s="9"/>
      <c r="CC790" s="9"/>
      <c r="CD790" s="9"/>
      <c r="CE790" s="9"/>
      <c r="CF790" s="9"/>
      <c r="CG790" s="9"/>
      <c r="CH790" s="9"/>
      <c r="CI790" s="9"/>
      <c r="CJ790" s="9"/>
      <c r="CK790" s="9"/>
      <c r="CL790" s="9"/>
      <c r="CM790" s="9"/>
      <c r="CN790" s="9"/>
      <c r="CO790" s="9"/>
      <c r="CP790" s="16"/>
    </row>
    <row r="791" spans="1:94" ht="15" customHeight="1" x14ac:dyDescent="0.15">
      <c r="A791" s="15"/>
      <c r="B791" s="9"/>
      <c r="C791" s="9"/>
      <c r="D791" s="9"/>
      <c r="E791" s="9"/>
      <c r="F791" s="9"/>
      <c r="G791" s="9"/>
      <c r="H791" s="9"/>
      <c r="I791" s="9"/>
      <c r="J791" s="9"/>
      <c r="K791" s="9"/>
      <c r="L791" s="9"/>
      <c r="M791" s="9"/>
      <c r="N791" s="9"/>
      <c r="O791" s="9"/>
      <c r="P791" s="9"/>
      <c r="Q791" s="9"/>
      <c r="R791" s="137" t="s">
        <v>883</v>
      </c>
      <c r="S791" s="60"/>
      <c r="T791" s="60"/>
      <c r="U791" s="60"/>
      <c r="V791" s="60"/>
      <c r="W791" s="60"/>
      <c r="X791" s="60"/>
      <c r="Y791" s="60"/>
      <c r="Z791" s="60"/>
      <c r="AA791" s="60"/>
      <c r="AB791" s="60"/>
      <c r="AC791" s="60"/>
      <c r="AD791" s="60"/>
      <c r="AE791" s="60"/>
      <c r="AF791" s="60"/>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66"/>
      <c r="BX791" s="9"/>
      <c r="BY791" s="9"/>
      <c r="BZ791" s="9"/>
      <c r="CA791" s="9"/>
      <c r="CB791" s="9"/>
      <c r="CC791" s="9"/>
      <c r="CD791" s="9"/>
      <c r="CE791" s="9"/>
      <c r="CF791" s="9"/>
      <c r="CG791" s="9"/>
      <c r="CH791" s="9"/>
      <c r="CI791" s="9"/>
      <c r="CJ791" s="9"/>
      <c r="CK791" s="9"/>
      <c r="CL791" s="9"/>
      <c r="CM791" s="9"/>
      <c r="CN791" s="9"/>
      <c r="CO791" s="9"/>
      <c r="CP791" s="16"/>
    </row>
    <row r="792" spans="1:94" ht="15" customHeight="1" x14ac:dyDescent="0.15">
      <c r="A792" s="15"/>
      <c r="B792" s="9"/>
      <c r="C792" s="9"/>
      <c r="D792" s="9"/>
      <c r="E792" s="9"/>
      <c r="F792" s="9"/>
      <c r="G792" s="9"/>
      <c r="H792" s="9"/>
      <c r="I792" s="9"/>
      <c r="J792" s="9"/>
      <c r="K792" s="9"/>
      <c r="L792" s="9"/>
      <c r="M792" s="9"/>
      <c r="N792" s="9"/>
      <c r="O792" s="9"/>
      <c r="P792" s="9"/>
      <c r="Q792" s="9"/>
      <c r="R792" s="137" t="s">
        <v>884</v>
      </c>
      <c r="S792" s="60"/>
      <c r="T792" s="60"/>
      <c r="U792" s="60"/>
      <c r="V792" s="60"/>
      <c r="W792" s="60"/>
      <c r="X792" s="60"/>
      <c r="Y792" s="60"/>
      <c r="Z792" s="60"/>
      <c r="AA792" s="60"/>
      <c r="AB792" s="60"/>
      <c r="AC792" s="60"/>
      <c r="AD792" s="60"/>
      <c r="AE792" s="60"/>
      <c r="AF792" s="60"/>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66"/>
      <c r="BX792" s="9"/>
      <c r="BY792" s="9"/>
      <c r="BZ792" s="9"/>
      <c r="CA792" s="9"/>
      <c r="CB792" s="9"/>
      <c r="CC792" s="9"/>
      <c r="CD792" s="9"/>
      <c r="CE792" s="9"/>
      <c r="CF792" s="9"/>
      <c r="CG792" s="9"/>
      <c r="CH792" s="9"/>
      <c r="CI792" s="9"/>
      <c r="CJ792" s="9"/>
      <c r="CK792" s="9"/>
      <c r="CL792" s="9"/>
      <c r="CM792" s="9"/>
      <c r="CN792" s="9"/>
      <c r="CO792" s="9"/>
      <c r="CP792" s="16"/>
    </row>
    <row r="793" spans="1:94" ht="15" customHeight="1" x14ac:dyDescent="0.15">
      <c r="A793" s="15"/>
      <c r="B793" s="9"/>
      <c r="C793" s="9"/>
      <c r="D793" s="9"/>
      <c r="E793" s="9"/>
      <c r="F793" s="9"/>
      <c r="G793" s="9"/>
      <c r="H793" s="9"/>
      <c r="I793" s="9"/>
      <c r="J793" s="9"/>
      <c r="K793" s="9"/>
      <c r="L793" s="9"/>
      <c r="M793" s="9"/>
      <c r="N793" s="9"/>
      <c r="O793" s="9"/>
      <c r="P793" s="9"/>
      <c r="Q793" s="9"/>
      <c r="R793" s="137" t="s">
        <v>885</v>
      </c>
      <c r="S793" s="60"/>
      <c r="T793" s="60"/>
      <c r="U793" s="60"/>
      <c r="V793" s="60"/>
      <c r="W793" s="60"/>
      <c r="X793" s="60"/>
      <c r="Y793" s="60"/>
      <c r="Z793" s="60"/>
      <c r="AA793" s="60"/>
      <c r="AB793" s="60"/>
      <c r="AC793" s="60"/>
      <c r="AD793" s="60"/>
      <c r="AE793" s="60"/>
      <c r="AF793" s="60"/>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66"/>
      <c r="BX793" s="9"/>
      <c r="BY793" s="9"/>
      <c r="BZ793" s="9"/>
      <c r="CA793" s="9"/>
      <c r="CB793" s="9"/>
      <c r="CC793" s="9"/>
      <c r="CD793" s="9"/>
      <c r="CE793" s="9"/>
      <c r="CF793" s="9"/>
      <c r="CG793" s="9"/>
      <c r="CH793" s="9"/>
      <c r="CI793" s="9"/>
      <c r="CJ793" s="9"/>
      <c r="CK793" s="9"/>
      <c r="CL793" s="9"/>
      <c r="CM793" s="9"/>
      <c r="CN793" s="9"/>
      <c r="CO793" s="9"/>
      <c r="CP793" s="16"/>
    </row>
    <row r="794" spans="1:94" ht="15" customHeight="1" x14ac:dyDescent="0.15">
      <c r="A794" s="15"/>
      <c r="B794" s="9"/>
      <c r="C794" s="9"/>
      <c r="D794" s="9"/>
      <c r="E794" s="9"/>
      <c r="F794" s="9"/>
      <c r="G794" s="9"/>
      <c r="H794" s="9"/>
      <c r="I794" s="9"/>
      <c r="J794" s="9"/>
      <c r="K794" s="9"/>
      <c r="L794" s="9"/>
      <c r="M794" s="9"/>
      <c r="N794" s="9"/>
      <c r="O794" s="9"/>
      <c r="P794" s="9"/>
      <c r="Q794" s="9"/>
      <c r="R794" s="137" t="s">
        <v>886</v>
      </c>
      <c r="S794" s="60"/>
      <c r="T794" s="60"/>
      <c r="U794" s="60"/>
      <c r="V794" s="60"/>
      <c r="W794" s="60"/>
      <c r="X794" s="60"/>
      <c r="Y794" s="60"/>
      <c r="Z794" s="60"/>
      <c r="AA794" s="60"/>
      <c r="AB794" s="60"/>
      <c r="AC794" s="60"/>
      <c r="AD794" s="60"/>
      <c r="AE794" s="60"/>
      <c r="AF794" s="60"/>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66"/>
      <c r="BX794" s="9"/>
      <c r="BY794" s="9"/>
      <c r="BZ794" s="9"/>
      <c r="CA794" s="9"/>
      <c r="CB794" s="9"/>
      <c r="CC794" s="9"/>
      <c r="CD794" s="9"/>
      <c r="CE794" s="9"/>
      <c r="CF794" s="9"/>
      <c r="CG794" s="9"/>
      <c r="CH794" s="9"/>
      <c r="CI794" s="9"/>
      <c r="CJ794" s="9"/>
      <c r="CK794" s="9"/>
      <c r="CL794" s="9"/>
      <c r="CM794" s="9"/>
      <c r="CN794" s="9"/>
      <c r="CO794" s="9"/>
      <c r="CP794" s="16"/>
    </row>
    <row r="795" spans="1:94" ht="15" customHeight="1" x14ac:dyDescent="0.15">
      <c r="A795" s="15"/>
      <c r="B795" s="9"/>
      <c r="C795" s="9"/>
      <c r="D795" s="9"/>
      <c r="E795" s="9"/>
      <c r="F795" s="9"/>
      <c r="G795" s="9"/>
      <c r="H795" s="9"/>
      <c r="I795" s="9"/>
      <c r="J795" s="9"/>
      <c r="K795" s="9"/>
      <c r="L795" s="9"/>
      <c r="M795" s="9"/>
      <c r="N795" s="9"/>
      <c r="O795" s="9"/>
      <c r="P795" s="9"/>
      <c r="Q795" s="9"/>
      <c r="R795" s="137" t="s">
        <v>887</v>
      </c>
      <c r="S795" s="60"/>
      <c r="T795" s="60"/>
      <c r="U795" s="60"/>
      <c r="V795" s="60"/>
      <c r="W795" s="60"/>
      <c r="X795" s="60"/>
      <c r="Y795" s="60"/>
      <c r="Z795" s="60"/>
      <c r="AA795" s="60"/>
      <c r="AB795" s="60"/>
      <c r="AC795" s="60"/>
      <c r="AD795" s="60"/>
      <c r="AE795" s="60"/>
      <c r="AF795" s="60"/>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66"/>
      <c r="BX795" s="9"/>
      <c r="BY795" s="9"/>
      <c r="BZ795" s="9"/>
      <c r="CA795" s="9"/>
      <c r="CB795" s="9"/>
      <c r="CC795" s="9"/>
      <c r="CD795" s="9"/>
      <c r="CE795" s="9"/>
      <c r="CF795" s="9"/>
      <c r="CG795" s="9"/>
      <c r="CH795" s="9"/>
      <c r="CI795" s="9"/>
      <c r="CJ795" s="9"/>
      <c r="CK795" s="9"/>
      <c r="CL795" s="9"/>
      <c r="CM795" s="9"/>
      <c r="CN795" s="9"/>
      <c r="CO795" s="9"/>
      <c r="CP795" s="16"/>
    </row>
    <row r="796" spans="1:94" ht="15" customHeight="1" x14ac:dyDescent="0.15">
      <c r="A796" s="15"/>
      <c r="B796" s="9"/>
      <c r="C796" s="9"/>
      <c r="D796" s="9"/>
      <c r="E796" s="9"/>
      <c r="F796" s="9"/>
      <c r="G796" s="9"/>
      <c r="H796" s="9"/>
      <c r="I796" s="9"/>
      <c r="J796" s="9"/>
      <c r="K796" s="9"/>
      <c r="L796" s="9"/>
      <c r="M796" s="9"/>
      <c r="N796" s="9"/>
      <c r="O796" s="9"/>
      <c r="P796" s="9"/>
      <c r="Q796" s="9"/>
      <c r="R796" s="137" t="s">
        <v>888</v>
      </c>
      <c r="S796" s="60"/>
      <c r="T796" s="60"/>
      <c r="U796" s="60"/>
      <c r="V796" s="60"/>
      <c r="W796" s="60"/>
      <c r="X796" s="60"/>
      <c r="Y796" s="60"/>
      <c r="Z796" s="60"/>
      <c r="AA796" s="60"/>
      <c r="AB796" s="60"/>
      <c r="AC796" s="60"/>
      <c r="AD796" s="60"/>
      <c r="AE796" s="60"/>
      <c r="AF796" s="60"/>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66"/>
      <c r="BX796" s="9"/>
      <c r="BY796" s="9"/>
      <c r="BZ796" s="9"/>
      <c r="CA796" s="9"/>
      <c r="CB796" s="9"/>
      <c r="CC796" s="9"/>
      <c r="CD796" s="9"/>
      <c r="CE796" s="9"/>
      <c r="CF796" s="9"/>
      <c r="CG796" s="9"/>
      <c r="CH796" s="9"/>
      <c r="CI796" s="9"/>
      <c r="CJ796" s="9"/>
      <c r="CK796" s="9"/>
      <c r="CL796" s="9"/>
      <c r="CM796" s="9"/>
      <c r="CN796" s="9"/>
      <c r="CO796" s="9"/>
      <c r="CP796" s="16"/>
    </row>
    <row r="797" spans="1:94" ht="15" customHeight="1" x14ac:dyDescent="0.15">
      <c r="A797" s="15"/>
      <c r="B797" s="9"/>
      <c r="C797" s="9"/>
      <c r="D797" s="9"/>
      <c r="E797" s="9"/>
      <c r="F797" s="9"/>
      <c r="G797" s="9"/>
      <c r="H797" s="9"/>
      <c r="I797" s="9"/>
      <c r="J797" s="9"/>
      <c r="K797" s="9"/>
      <c r="L797" s="9"/>
      <c r="M797" s="9"/>
      <c r="N797" s="9"/>
      <c r="O797" s="9"/>
      <c r="P797" s="9"/>
      <c r="Q797" s="9"/>
      <c r="R797" s="137" t="s">
        <v>889</v>
      </c>
      <c r="S797" s="60"/>
      <c r="T797" s="60"/>
      <c r="U797" s="60"/>
      <c r="V797" s="60"/>
      <c r="W797" s="60"/>
      <c r="X797" s="60"/>
      <c r="Y797" s="60"/>
      <c r="Z797" s="60"/>
      <c r="AA797" s="60"/>
      <c r="AB797" s="60"/>
      <c r="AC797" s="60"/>
      <c r="AD797" s="60"/>
      <c r="AE797" s="60"/>
      <c r="AF797" s="60"/>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66"/>
      <c r="BX797" s="9"/>
      <c r="BY797" s="9"/>
      <c r="BZ797" s="9"/>
      <c r="CA797" s="9"/>
      <c r="CB797" s="9"/>
      <c r="CC797" s="9"/>
      <c r="CD797" s="9"/>
      <c r="CE797" s="9"/>
      <c r="CF797" s="9"/>
      <c r="CG797" s="9"/>
      <c r="CH797" s="9"/>
      <c r="CI797" s="9"/>
      <c r="CJ797" s="9"/>
      <c r="CK797" s="9"/>
      <c r="CL797" s="9"/>
      <c r="CM797" s="9"/>
      <c r="CN797" s="9"/>
      <c r="CO797" s="9"/>
      <c r="CP797" s="16"/>
    </row>
    <row r="798" spans="1:94" ht="15" customHeight="1" x14ac:dyDescent="0.15">
      <c r="A798" s="15"/>
      <c r="B798" s="9"/>
      <c r="C798" s="9"/>
      <c r="D798" s="9"/>
      <c r="E798" s="9"/>
      <c r="F798" s="9"/>
      <c r="G798" s="9"/>
      <c r="H798" s="9"/>
      <c r="I798" s="9"/>
      <c r="J798" s="9"/>
      <c r="K798" s="9"/>
      <c r="L798" s="9"/>
      <c r="M798" s="9"/>
      <c r="N798" s="9"/>
      <c r="O798" s="9"/>
      <c r="P798" s="9"/>
      <c r="Q798" s="9"/>
      <c r="R798" s="137" t="s">
        <v>890</v>
      </c>
      <c r="S798" s="60"/>
      <c r="T798" s="60"/>
      <c r="U798" s="60"/>
      <c r="V798" s="60"/>
      <c r="W798" s="60"/>
      <c r="X798" s="60"/>
      <c r="Y798" s="60"/>
      <c r="Z798" s="60"/>
      <c r="AA798" s="60"/>
      <c r="AB798" s="60"/>
      <c r="AC798" s="60"/>
      <c r="AD798" s="60"/>
      <c r="AE798" s="60"/>
      <c r="AF798" s="60"/>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66"/>
      <c r="BX798" s="9"/>
      <c r="BY798" s="9"/>
      <c r="BZ798" s="9"/>
      <c r="CA798" s="9"/>
      <c r="CB798" s="9"/>
      <c r="CC798" s="9"/>
      <c r="CD798" s="9"/>
      <c r="CE798" s="9"/>
      <c r="CF798" s="9"/>
      <c r="CG798" s="9"/>
      <c r="CH798" s="9"/>
      <c r="CI798" s="9"/>
      <c r="CJ798" s="9"/>
      <c r="CK798" s="9"/>
      <c r="CL798" s="9"/>
      <c r="CM798" s="9"/>
      <c r="CN798" s="9"/>
      <c r="CO798" s="9"/>
      <c r="CP798" s="16"/>
    </row>
    <row r="799" spans="1:94" ht="15" customHeight="1" x14ac:dyDescent="0.15">
      <c r="A799" s="15"/>
      <c r="B799" s="9"/>
      <c r="C799" s="9"/>
      <c r="D799" s="9"/>
      <c r="E799" s="9"/>
      <c r="F799" s="9"/>
      <c r="G799" s="9"/>
      <c r="H799" s="9"/>
      <c r="I799" s="9"/>
      <c r="J799" s="9"/>
      <c r="K799" s="9"/>
      <c r="L799" s="9"/>
      <c r="M799" s="9"/>
      <c r="N799" s="9"/>
      <c r="O799" s="9"/>
      <c r="P799" s="9"/>
      <c r="Q799" s="9"/>
      <c r="R799" s="138" t="s">
        <v>891</v>
      </c>
      <c r="S799" s="139"/>
      <c r="T799" s="139"/>
      <c r="U799" s="139"/>
      <c r="V799" s="139"/>
      <c r="W799" s="139"/>
      <c r="X799" s="139"/>
      <c r="Y799" s="139"/>
      <c r="Z799" s="139"/>
      <c r="AA799" s="139"/>
      <c r="AB799" s="139"/>
      <c r="AC799" s="139"/>
      <c r="AD799" s="139"/>
      <c r="AE799" s="139"/>
      <c r="AF799" s="139"/>
      <c r="AG799" s="62"/>
      <c r="AH799" s="62"/>
      <c r="AI799" s="62"/>
      <c r="AJ799" s="62"/>
      <c r="AK799" s="62"/>
      <c r="AL799" s="62"/>
      <c r="AM799" s="62"/>
      <c r="AN799" s="62"/>
      <c r="AO799" s="62"/>
      <c r="AP799" s="62"/>
      <c r="AQ799" s="62"/>
      <c r="AR799" s="62"/>
      <c r="AS799" s="62"/>
      <c r="AT799" s="62"/>
      <c r="AU799" s="62"/>
      <c r="AV799" s="62"/>
      <c r="AW799" s="62"/>
      <c r="AX799" s="62"/>
      <c r="AY799" s="62"/>
      <c r="AZ799" s="62"/>
      <c r="BA799" s="62"/>
      <c r="BB799" s="62"/>
      <c r="BC799" s="62"/>
      <c r="BD799" s="62"/>
      <c r="BE799" s="62"/>
      <c r="BF799" s="62"/>
      <c r="BG799" s="62"/>
      <c r="BH799" s="62"/>
      <c r="BI799" s="62"/>
      <c r="BJ799" s="62"/>
      <c r="BK799" s="62"/>
      <c r="BL799" s="62"/>
      <c r="BM799" s="62"/>
      <c r="BN799" s="62"/>
      <c r="BO799" s="62"/>
      <c r="BP799" s="62"/>
      <c r="BQ799" s="62"/>
      <c r="BR799" s="62"/>
      <c r="BS799" s="62"/>
      <c r="BT799" s="63"/>
      <c r="BX799" s="9"/>
      <c r="BY799" s="9"/>
      <c r="BZ799" s="9"/>
      <c r="CA799" s="9"/>
      <c r="CB799" s="9"/>
      <c r="CC799" s="9"/>
      <c r="CD799" s="9"/>
      <c r="CE799" s="9"/>
      <c r="CF799" s="9"/>
      <c r="CG799" s="9"/>
      <c r="CH799" s="9"/>
      <c r="CI799" s="9"/>
      <c r="CJ799" s="9"/>
      <c r="CK799" s="9"/>
      <c r="CL799" s="9"/>
      <c r="CM799" s="9"/>
      <c r="CN799" s="9"/>
      <c r="CO799" s="9"/>
      <c r="CP799" s="16"/>
    </row>
    <row r="800" spans="1:94" ht="15" customHeight="1" x14ac:dyDescent="0.15">
      <c r="A800" s="15"/>
      <c r="B800" s="9"/>
      <c r="C800" s="9"/>
      <c r="D800" s="9"/>
      <c r="E800" s="9"/>
      <c r="F800" s="9"/>
      <c r="G800" s="9"/>
      <c r="H800" s="9"/>
      <c r="I800" s="9"/>
      <c r="J800" s="9"/>
      <c r="K800" s="9"/>
      <c r="L800" s="9"/>
      <c r="M800" s="9"/>
      <c r="N800" s="9"/>
      <c r="O800" s="9"/>
      <c r="P800" s="9"/>
      <c r="Q800" s="9"/>
      <c r="R800" s="140" t="s">
        <v>669</v>
      </c>
      <c r="S800" s="60"/>
      <c r="T800" s="60"/>
      <c r="U800" s="60"/>
      <c r="V800" s="60"/>
      <c r="W800" s="60"/>
      <c r="X800" s="60"/>
      <c r="Y800" s="60"/>
      <c r="Z800" s="60"/>
      <c r="AA800" s="60"/>
      <c r="AB800" s="60"/>
      <c r="AC800" s="60"/>
      <c r="AD800" s="60"/>
      <c r="AE800" s="60"/>
      <c r="AF800" s="60"/>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c r="BW800" s="9"/>
      <c r="BX800" s="9"/>
      <c r="BY800" s="9"/>
      <c r="BZ800" s="9"/>
      <c r="CA800" s="9"/>
      <c r="CB800" s="9"/>
      <c r="CC800" s="9"/>
      <c r="CD800" s="9"/>
      <c r="CE800" s="9"/>
      <c r="CF800" s="9"/>
      <c r="CG800" s="9"/>
      <c r="CH800" s="9"/>
      <c r="CI800" s="9"/>
      <c r="CJ800" s="9"/>
      <c r="CK800" s="9"/>
      <c r="CL800" s="9"/>
      <c r="CM800" s="9"/>
      <c r="CN800" s="9"/>
      <c r="CO800" s="9"/>
      <c r="CP800" s="16"/>
    </row>
    <row r="801" spans="1:94" ht="15" customHeight="1" thickBot="1" x14ac:dyDescent="0.2">
      <c r="A801" s="19"/>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c r="BR801" s="20"/>
      <c r="BS801" s="20"/>
      <c r="BT801" s="20"/>
      <c r="BU801" s="20"/>
      <c r="BV801" s="20"/>
      <c r="BW801" s="20"/>
      <c r="BX801" s="20"/>
      <c r="BY801" s="20"/>
      <c r="BZ801" s="20"/>
      <c r="CA801" s="20"/>
      <c r="CB801" s="20"/>
      <c r="CC801" s="20"/>
      <c r="CD801" s="20"/>
      <c r="CE801" s="20"/>
      <c r="CF801" s="20"/>
      <c r="CG801" s="20"/>
      <c r="CH801" s="20"/>
      <c r="CI801" s="20"/>
      <c r="CJ801" s="20"/>
      <c r="CK801" s="20"/>
      <c r="CL801" s="20"/>
      <c r="CM801" s="20"/>
      <c r="CN801" s="20"/>
      <c r="CO801" s="20"/>
      <c r="CP801" s="21"/>
    </row>
    <row r="802" spans="1:94" ht="15" customHeight="1" x14ac:dyDescent="0.15">
      <c r="A802" s="15"/>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c r="BW802" s="9"/>
      <c r="BX802" s="9"/>
      <c r="BY802" s="9"/>
      <c r="BZ802" s="9"/>
      <c r="CA802" s="9"/>
      <c r="CB802" s="9"/>
      <c r="CC802" s="9"/>
      <c r="CD802" s="9"/>
      <c r="CE802" s="9"/>
      <c r="CF802" s="9"/>
      <c r="CG802" s="9"/>
      <c r="CH802" s="9"/>
      <c r="CI802" s="9"/>
      <c r="CJ802" s="9"/>
      <c r="CK802" s="9"/>
      <c r="CL802" s="9"/>
      <c r="CM802" s="9"/>
      <c r="CN802" s="9"/>
      <c r="CO802" s="9"/>
      <c r="CP802" s="16"/>
    </row>
    <row r="803" spans="1:94" ht="15" customHeight="1" x14ac:dyDescent="0.15">
      <c r="A803" s="15"/>
      <c r="B803" s="9"/>
      <c r="C803" s="9"/>
      <c r="D803" s="9"/>
      <c r="E803" s="9"/>
      <c r="F803" s="9"/>
      <c r="G803" s="9"/>
      <c r="H803" s="9"/>
      <c r="I803" s="9"/>
      <c r="J803" s="9"/>
      <c r="K803" s="9"/>
      <c r="L803" s="9"/>
      <c r="M803" s="9"/>
      <c r="N803" s="9"/>
      <c r="O803" s="9"/>
      <c r="P803" s="9"/>
      <c r="Q803" s="9"/>
      <c r="R803" s="9" t="s">
        <v>670</v>
      </c>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c r="BW803" s="9"/>
      <c r="BX803" s="9"/>
      <c r="BY803" s="9"/>
      <c r="BZ803" s="9"/>
      <c r="CA803" s="9"/>
      <c r="CB803" s="9"/>
      <c r="CC803" s="9"/>
      <c r="CD803" s="9"/>
      <c r="CE803" s="9"/>
      <c r="CF803" s="9"/>
      <c r="CG803" s="9"/>
      <c r="CH803" s="9"/>
      <c r="CI803" s="9"/>
      <c r="CJ803" s="9"/>
      <c r="CK803" s="9"/>
      <c r="CL803" s="9"/>
      <c r="CM803" s="9"/>
      <c r="CN803" s="9"/>
      <c r="CO803" s="9"/>
      <c r="CP803" s="16"/>
    </row>
    <row r="804" spans="1:94" ht="15" customHeight="1" x14ac:dyDescent="0.15">
      <c r="A804" s="15"/>
      <c r="B804" s="9"/>
      <c r="C804" s="9"/>
      <c r="D804" s="9"/>
      <c r="E804" s="9"/>
      <c r="F804" s="9"/>
      <c r="G804" s="9"/>
      <c r="H804" s="9"/>
      <c r="I804" s="9"/>
      <c r="J804" s="9"/>
      <c r="K804" s="9"/>
      <c r="L804" s="9"/>
      <c r="M804" s="9"/>
      <c r="N804" s="9"/>
      <c r="O804" s="9"/>
      <c r="P804" s="9"/>
      <c r="Q804" s="9"/>
      <c r="R804" s="141" t="s">
        <v>1306</v>
      </c>
      <c r="S804" s="142"/>
      <c r="T804" s="142"/>
      <c r="U804" s="142"/>
      <c r="V804" s="142"/>
      <c r="W804" s="142"/>
      <c r="X804" s="142"/>
      <c r="Y804" s="142"/>
      <c r="Z804" s="142"/>
      <c r="AA804" s="142"/>
      <c r="AB804" s="142"/>
      <c r="AC804" s="142"/>
      <c r="AD804" s="142"/>
      <c r="AE804" s="142"/>
      <c r="AF804" s="142"/>
      <c r="AG804" s="64"/>
      <c r="AH804" s="64"/>
      <c r="AI804" s="64"/>
      <c r="AJ804" s="64"/>
      <c r="AK804" s="64"/>
      <c r="AL804" s="64"/>
      <c r="AM804" s="64"/>
      <c r="AN804" s="64"/>
      <c r="AO804" s="64"/>
      <c r="AP804" s="64"/>
      <c r="AQ804" s="64"/>
      <c r="AR804" s="64"/>
      <c r="AS804" s="64"/>
      <c r="AT804" s="64"/>
      <c r="AU804" s="64"/>
      <c r="AV804" s="142"/>
      <c r="AW804" s="142"/>
      <c r="AX804" s="142"/>
      <c r="AY804" s="142"/>
      <c r="AZ804" s="142"/>
      <c r="BA804" s="64"/>
      <c r="BB804" s="64"/>
      <c r="BC804" s="64"/>
      <c r="BD804" s="64"/>
      <c r="BE804" s="64"/>
      <c r="BF804" s="64"/>
      <c r="BG804" s="64"/>
      <c r="BH804" s="64"/>
      <c r="BI804" s="64"/>
      <c r="BJ804" s="64"/>
      <c r="BK804" s="64"/>
      <c r="BL804" s="64"/>
      <c r="BM804" s="64"/>
      <c r="BN804" s="64"/>
      <c r="BO804" s="64"/>
      <c r="BP804" s="64"/>
      <c r="BQ804" s="64"/>
      <c r="BR804" s="64"/>
      <c r="BS804" s="64"/>
      <c r="BT804" s="65"/>
      <c r="BU804" s="9"/>
      <c r="BV804" s="9"/>
      <c r="BW804" s="9"/>
      <c r="BX804" s="9"/>
      <c r="BY804" s="9"/>
      <c r="BZ804" s="9"/>
      <c r="CA804" s="9"/>
      <c r="CB804" s="9"/>
      <c r="CC804" s="9"/>
      <c r="CD804" s="9"/>
      <c r="CE804" s="9"/>
      <c r="CF804" s="9"/>
      <c r="CG804" s="9"/>
      <c r="CH804" s="9"/>
      <c r="CI804" s="9"/>
      <c r="CJ804" s="9"/>
      <c r="CK804" s="9"/>
      <c r="CL804" s="9"/>
      <c r="CM804" s="9"/>
      <c r="CN804" s="9"/>
      <c r="CO804" s="9"/>
      <c r="CP804" s="16"/>
    </row>
    <row r="805" spans="1:94" ht="15" customHeight="1" x14ac:dyDescent="0.15">
      <c r="A805" s="15"/>
      <c r="B805" s="9"/>
      <c r="C805" s="9"/>
      <c r="D805" s="9"/>
      <c r="E805" s="9"/>
      <c r="F805" s="9"/>
      <c r="G805" s="9"/>
      <c r="H805" s="9"/>
      <c r="I805" s="9"/>
      <c r="J805" s="9"/>
      <c r="K805" s="9"/>
      <c r="L805" s="9"/>
      <c r="M805" s="9"/>
      <c r="N805" s="9"/>
      <c r="O805" s="9"/>
      <c r="P805" s="9"/>
      <c r="Q805" s="9"/>
      <c r="R805" s="137" t="s">
        <v>892</v>
      </c>
      <c r="S805" s="60"/>
      <c r="T805" s="60"/>
      <c r="U805" s="60"/>
      <c r="V805" s="60"/>
      <c r="W805" s="60"/>
      <c r="X805" s="60"/>
      <c r="Y805" s="60"/>
      <c r="Z805" s="60"/>
      <c r="AA805" s="60"/>
      <c r="AB805" s="60"/>
      <c r="AC805" s="60"/>
      <c r="AD805" s="60"/>
      <c r="AE805" s="60"/>
      <c r="AF805" s="60"/>
      <c r="AG805" s="9"/>
      <c r="AH805" s="9"/>
      <c r="AI805" s="9"/>
      <c r="AJ805" s="9"/>
      <c r="AK805" s="9"/>
      <c r="AL805" s="9"/>
      <c r="AM805" s="9"/>
      <c r="AN805" s="9"/>
      <c r="AO805" s="9"/>
      <c r="AP805" s="9"/>
      <c r="AQ805" s="9"/>
      <c r="AR805" s="9"/>
      <c r="AS805" s="9"/>
      <c r="AT805" s="9"/>
      <c r="AU805" s="9"/>
      <c r="AV805" s="60"/>
      <c r="AW805" s="60"/>
      <c r="AX805" s="60"/>
      <c r="AY805" s="60"/>
      <c r="AZ805" s="60"/>
      <c r="BA805" s="9"/>
      <c r="BB805" s="9"/>
      <c r="BC805" s="9"/>
      <c r="BD805" s="9"/>
      <c r="BE805" s="9"/>
      <c r="BF805" s="9"/>
      <c r="BG805" s="9"/>
      <c r="BH805" s="9"/>
      <c r="BI805" s="9"/>
      <c r="BJ805" s="9"/>
      <c r="BK805" s="9"/>
      <c r="BL805" s="9"/>
      <c r="BM805" s="9"/>
      <c r="BN805" s="9"/>
      <c r="BO805" s="9"/>
      <c r="BP805" s="9"/>
      <c r="BQ805" s="9"/>
      <c r="BR805" s="9"/>
      <c r="BS805" s="9"/>
      <c r="BT805" s="66"/>
      <c r="BU805" s="9"/>
      <c r="BV805" s="9"/>
      <c r="BW805" s="9"/>
      <c r="BX805" s="9"/>
      <c r="BY805" s="9"/>
      <c r="BZ805" s="9"/>
      <c r="CA805" s="9"/>
      <c r="CB805" s="9"/>
      <c r="CC805" s="9"/>
      <c r="CD805" s="9"/>
      <c r="CE805" s="9"/>
      <c r="CF805" s="9"/>
      <c r="CG805" s="9"/>
      <c r="CH805" s="9"/>
      <c r="CI805" s="9"/>
      <c r="CJ805" s="9"/>
      <c r="CK805" s="9"/>
      <c r="CL805" s="9"/>
      <c r="CM805" s="9"/>
      <c r="CN805" s="9"/>
      <c r="CO805" s="9"/>
      <c r="CP805" s="16"/>
    </row>
    <row r="806" spans="1:94" ht="15" customHeight="1" x14ac:dyDescent="0.15">
      <c r="A806" s="15"/>
      <c r="B806" s="9"/>
      <c r="C806" s="9"/>
      <c r="D806" s="9"/>
      <c r="E806" s="9"/>
      <c r="F806" s="9"/>
      <c r="G806" s="9"/>
      <c r="H806" s="9"/>
      <c r="I806" s="9"/>
      <c r="J806" s="9"/>
      <c r="K806" s="9"/>
      <c r="L806" s="9"/>
      <c r="M806" s="9"/>
      <c r="N806" s="9"/>
      <c r="O806" s="9"/>
      <c r="P806" s="9"/>
      <c r="Q806" s="9"/>
      <c r="R806" s="137" t="s">
        <v>893</v>
      </c>
      <c r="S806" s="60"/>
      <c r="T806" s="60"/>
      <c r="U806" s="60"/>
      <c r="V806" s="60"/>
      <c r="W806" s="60"/>
      <c r="X806" s="60"/>
      <c r="Y806" s="60"/>
      <c r="Z806" s="60"/>
      <c r="AA806" s="60"/>
      <c r="AB806" s="60"/>
      <c r="AC806" s="60"/>
      <c r="AD806" s="60"/>
      <c r="AE806" s="60"/>
      <c r="AF806" s="60"/>
      <c r="AG806" s="9"/>
      <c r="AH806" s="9"/>
      <c r="AI806" s="9"/>
      <c r="AJ806" s="9"/>
      <c r="AK806" s="9"/>
      <c r="AL806" s="9"/>
      <c r="AM806" s="9"/>
      <c r="AN806" s="9"/>
      <c r="AO806" s="9"/>
      <c r="AP806" s="9"/>
      <c r="AQ806" s="9"/>
      <c r="AR806" s="9"/>
      <c r="AS806" s="9"/>
      <c r="AT806" s="9"/>
      <c r="AU806" s="9"/>
      <c r="AV806" s="60"/>
      <c r="AW806" s="60"/>
      <c r="AX806" s="60"/>
      <c r="AY806" s="60"/>
      <c r="AZ806" s="60"/>
      <c r="BA806" s="9"/>
      <c r="BB806" s="9"/>
      <c r="BC806" s="9"/>
      <c r="BD806" s="9"/>
      <c r="BE806" s="9"/>
      <c r="BF806" s="9"/>
      <c r="BG806" s="9"/>
      <c r="BH806" s="9"/>
      <c r="BI806" s="9"/>
      <c r="BJ806" s="9"/>
      <c r="BK806" s="9"/>
      <c r="BL806" s="9"/>
      <c r="BM806" s="9"/>
      <c r="BN806" s="9"/>
      <c r="BO806" s="9"/>
      <c r="BP806" s="9"/>
      <c r="BQ806" s="9"/>
      <c r="BR806" s="9"/>
      <c r="BS806" s="9"/>
      <c r="BT806" s="66"/>
      <c r="BU806" s="9"/>
      <c r="BV806" s="9"/>
      <c r="BW806" s="9"/>
      <c r="BX806" s="9"/>
      <c r="BY806" s="9"/>
      <c r="BZ806" s="9"/>
      <c r="CA806" s="9"/>
      <c r="CB806" s="9"/>
      <c r="CC806" s="9"/>
      <c r="CD806" s="9"/>
      <c r="CE806" s="9"/>
      <c r="CF806" s="9"/>
      <c r="CG806" s="9"/>
      <c r="CH806" s="9"/>
      <c r="CI806" s="9"/>
      <c r="CJ806" s="9"/>
      <c r="CK806" s="9"/>
      <c r="CL806" s="9"/>
      <c r="CM806" s="9"/>
      <c r="CN806" s="9"/>
      <c r="CO806" s="9"/>
      <c r="CP806" s="16"/>
    </row>
    <row r="807" spans="1:94" ht="15" customHeight="1" x14ac:dyDescent="0.15">
      <c r="A807" s="15"/>
      <c r="B807" s="9"/>
      <c r="C807" s="9"/>
      <c r="D807" s="9"/>
      <c r="E807" s="9"/>
      <c r="F807" s="9"/>
      <c r="G807" s="9"/>
      <c r="H807" s="9"/>
      <c r="I807" s="9"/>
      <c r="J807" s="9"/>
      <c r="K807" s="9"/>
      <c r="L807" s="9"/>
      <c r="M807" s="9"/>
      <c r="N807" s="9"/>
      <c r="O807" s="9"/>
      <c r="P807" s="9"/>
      <c r="Q807" s="9"/>
      <c r="R807" s="137" t="s">
        <v>894</v>
      </c>
      <c r="S807" s="60"/>
      <c r="T807" s="60"/>
      <c r="U807" s="60"/>
      <c r="V807" s="60"/>
      <c r="W807" s="60"/>
      <c r="X807" s="60"/>
      <c r="Y807" s="60"/>
      <c r="Z807" s="60"/>
      <c r="AA807" s="60"/>
      <c r="AB807" s="60"/>
      <c r="AC807" s="60"/>
      <c r="AD807" s="60"/>
      <c r="AE807" s="60"/>
      <c r="AF807" s="60"/>
      <c r="AG807" s="9"/>
      <c r="AH807" s="9"/>
      <c r="AI807" s="9"/>
      <c r="AJ807" s="9"/>
      <c r="AK807" s="9"/>
      <c r="AL807" s="9"/>
      <c r="AM807" s="9"/>
      <c r="AN807" s="9"/>
      <c r="AO807" s="9"/>
      <c r="AP807" s="9"/>
      <c r="AQ807" s="9"/>
      <c r="AR807" s="9"/>
      <c r="AS807" s="9"/>
      <c r="AT807" s="9"/>
      <c r="AU807" s="9"/>
      <c r="AV807" s="60"/>
      <c r="AW807" s="60"/>
      <c r="AX807" s="60"/>
      <c r="AY807" s="60"/>
      <c r="AZ807" s="60"/>
      <c r="BA807" s="9"/>
      <c r="BB807" s="9"/>
      <c r="BC807" s="9"/>
      <c r="BD807" s="9"/>
      <c r="BE807" s="9"/>
      <c r="BF807" s="9"/>
      <c r="BG807" s="9"/>
      <c r="BH807" s="9"/>
      <c r="BI807" s="9"/>
      <c r="BJ807" s="9"/>
      <c r="BK807" s="9"/>
      <c r="BL807" s="9"/>
      <c r="BM807" s="9"/>
      <c r="BN807" s="9"/>
      <c r="BO807" s="9"/>
      <c r="BP807" s="9"/>
      <c r="BQ807" s="9"/>
      <c r="BR807" s="9"/>
      <c r="BS807" s="9"/>
      <c r="BT807" s="66"/>
      <c r="BU807" s="9"/>
      <c r="BV807" s="9"/>
      <c r="BW807" s="9"/>
      <c r="BX807" s="9"/>
      <c r="BY807" s="9"/>
      <c r="BZ807" s="9"/>
      <c r="CA807" s="9"/>
      <c r="CB807" s="9"/>
      <c r="CC807" s="9"/>
      <c r="CD807" s="9"/>
      <c r="CE807" s="9"/>
      <c r="CF807" s="9"/>
      <c r="CG807" s="9"/>
      <c r="CH807" s="9"/>
      <c r="CI807" s="9"/>
      <c r="CJ807" s="9"/>
      <c r="CK807" s="9"/>
      <c r="CL807" s="9"/>
      <c r="CM807" s="9"/>
      <c r="CN807" s="9"/>
      <c r="CO807" s="9"/>
      <c r="CP807" s="16"/>
    </row>
    <row r="808" spans="1:94" ht="15" customHeight="1" x14ac:dyDescent="0.15">
      <c r="A808" s="15"/>
      <c r="B808" s="9"/>
      <c r="C808" s="9"/>
      <c r="D808" s="9"/>
      <c r="E808" s="9"/>
      <c r="F808" s="9"/>
      <c r="G808" s="9"/>
      <c r="H808" s="9"/>
      <c r="I808" s="9"/>
      <c r="J808" s="9"/>
      <c r="K808" s="9"/>
      <c r="L808" s="9"/>
      <c r="M808" s="9"/>
      <c r="N808" s="9"/>
      <c r="O808" s="9"/>
      <c r="P808" s="9"/>
      <c r="Q808" s="9"/>
      <c r="R808" s="137" t="s">
        <v>895</v>
      </c>
      <c r="S808" s="60"/>
      <c r="T808" s="60"/>
      <c r="U808" s="60"/>
      <c r="V808" s="60"/>
      <c r="W808" s="60"/>
      <c r="X808" s="60"/>
      <c r="Y808" s="60"/>
      <c r="Z808" s="60"/>
      <c r="AA808" s="60"/>
      <c r="AB808" s="60"/>
      <c r="AC808" s="60"/>
      <c r="AD808" s="60"/>
      <c r="AE808" s="60"/>
      <c r="AF808" s="60"/>
      <c r="AG808" s="9"/>
      <c r="AH808" s="9"/>
      <c r="AI808" s="9"/>
      <c r="AJ808" s="9"/>
      <c r="AK808" s="9"/>
      <c r="AL808" s="9"/>
      <c r="AM808" s="9"/>
      <c r="AN808" s="9"/>
      <c r="AO808" s="9"/>
      <c r="AP808" s="9"/>
      <c r="AQ808" s="9"/>
      <c r="AR808" s="9"/>
      <c r="AS808" s="9"/>
      <c r="AT808" s="9"/>
      <c r="AU808" s="9"/>
      <c r="AV808" s="60"/>
      <c r="AW808" s="60"/>
      <c r="AX808" s="60"/>
      <c r="AY808" s="60"/>
      <c r="AZ808" s="60"/>
      <c r="BA808" s="9"/>
      <c r="BB808" s="9"/>
      <c r="BC808" s="9"/>
      <c r="BD808" s="9"/>
      <c r="BE808" s="9"/>
      <c r="BF808" s="9"/>
      <c r="BG808" s="9"/>
      <c r="BH808" s="9"/>
      <c r="BI808" s="9"/>
      <c r="BJ808" s="9"/>
      <c r="BK808" s="9"/>
      <c r="BL808" s="9"/>
      <c r="BM808" s="9"/>
      <c r="BN808" s="9"/>
      <c r="BO808" s="9"/>
      <c r="BP808" s="9"/>
      <c r="BQ808" s="9"/>
      <c r="BR808" s="9"/>
      <c r="BS808" s="9"/>
      <c r="BT808" s="66"/>
      <c r="BU808" s="9"/>
      <c r="BV808" s="9"/>
      <c r="BW808" s="9"/>
      <c r="BX808" s="9"/>
      <c r="BY808" s="9"/>
      <c r="BZ808" s="9"/>
      <c r="CA808" s="9"/>
      <c r="CB808" s="9"/>
      <c r="CC808" s="9"/>
      <c r="CD808" s="9"/>
      <c r="CE808" s="9"/>
      <c r="CF808" s="9"/>
      <c r="CG808" s="9"/>
      <c r="CH808" s="9"/>
      <c r="CI808" s="9"/>
      <c r="CJ808" s="9"/>
      <c r="CK808" s="9"/>
      <c r="CL808" s="9"/>
      <c r="CM808" s="9"/>
      <c r="CN808" s="9"/>
      <c r="CO808" s="9"/>
      <c r="CP808" s="16"/>
    </row>
    <row r="809" spans="1:94" ht="15" customHeight="1" x14ac:dyDescent="0.15">
      <c r="A809" s="15"/>
      <c r="B809" s="9"/>
      <c r="C809" s="9"/>
      <c r="D809" s="9"/>
      <c r="E809" s="9"/>
      <c r="F809" s="9"/>
      <c r="G809" s="9"/>
      <c r="H809" s="9"/>
      <c r="I809" s="9"/>
      <c r="J809" s="9"/>
      <c r="K809" s="9"/>
      <c r="L809" s="9"/>
      <c r="M809" s="9"/>
      <c r="N809" s="9"/>
      <c r="O809" s="9"/>
      <c r="P809" s="9"/>
      <c r="Q809" s="9"/>
      <c r="R809" s="137" t="s">
        <v>896</v>
      </c>
      <c r="S809" s="60"/>
      <c r="T809" s="60"/>
      <c r="U809" s="60"/>
      <c r="V809" s="60"/>
      <c r="W809" s="60"/>
      <c r="X809" s="60"/>
      <c r="Y809" s="60"/>
      <c r="Z809" s="60"/>
      <c r="AA809" s="60"/>
      <c r="AB809" s="60"/>
      <c r="AC809" s="60"/>
      <c r="AD809" s="60"/>
      <c r="AE809" s="60"/>
      <c r="AF809" s="60"/>
      <c r="AG809" s="9"/>
      <c r="AH809" s="9"/>
      <c r="AI809" s="9"/>
      <c r="AJ809" s="9"/>
      <c r="AK809" s="9"/>
      <c r="AL809" s="9"/>
      <c r="AM809" s="9"/>
      <c r="AN809" s="9"/>
      <c r="AO809" s="9"/>
      <c r="AP809" s="9"/>
      <c r="AQ809" s="9"/>
      <c r="AR809" s="9"/>
      <c r="AS809" s="9"/>
      <c r="AT809" s="9"/>
      <c r="AU809" s="9"/>
      <c r="AV809" s="60"/>
      <c r="AW809" s="60"/>
      <c r="AX809" s="60"/>
      <c r="AY809" s="60"/>
      <c r="AZ809" s="60"/>
      <c r="BA809" s="9"/>
      <c r="BB809" s="9"/>
      <c r="BC809" s="9"/>
      <c r="BD809" s="9"/>
      <c r="BE809" s="9"/>
      <c r="BF809" s="9"/>
      <c r="BG809" s="9"/>
      <c r="BH809" s="9"/>
      <c r="BI809" s="9"/>
      <c r="BJ809" s="9"/>
      <c r="BK809" s="9"/>
      <c r="BL809" s="9"/>
      <c r="BM809" s="9"/>
      <c r="BN809" s="9"/>
      <c r="BO809" s="9"/>
      <c r="BP809" s="9"/>
      <c r="BQ809" s="9"/>
      <c r="BR809" s="9"/>
      <c r="BS809" s="9"/>
      <c r="BT809" s="66"/>
      <c r="BU809" s="9"/>
      <c r="BV809" s="9"/>
      <c r="BW809" s="9"/>
      <c r="BX809" s="9"/>
      <c r="BY809" s="9"/>
      <c r="BZ809" s="9"/>
      <c r="CA809" s="9"/>
      <c r="CB809" s="9"/>
      <c r="CC809" s="9"/>
      <c r="CD809" s="9"/>
      <c r="CE809" s="9"/>
      <c r="CF809" s="9"/>
      <c r="CG809" s="9"/>
      <c r="CH809" s="9"/>
      <c r="CI809" s="9"/>
      <c r="CJ809" s="9"/>
      <c r="CK809" s="9"/>
      <c r="CL809" s="9"/>
      <c r="CM809" s="9"/>
      <c r="CN809" s="9"/>
      <c r="CO809" s="9"/>
      <c r="CP809" s="16"/>
    </row>
    <row r="810" spans="1:94" ht="15" customHeight="1" x14ac:dyDescent="0.15">
      <c r="A810" s="15"/>
      <c r="B810" s="9"/>
      <c r="C810" s="9"/>
      <c r="D810" s="9"/>
      <c r="E810" s="9"/>
      <c r="F810" s="9"/>
      <c r="G810" s="9"/>
      <c r="H810" s="9"/>
      <c r="I810" s="9"/>
      <c r="J810" s="9"/>
      <c r="K810" s="9"/>
      <c r="L810" s="9"/>
      <c r="M810" s="9"/>
      <c r="N810" s="9"/>
      <c r="O810" s="9"/>
      <c r="P810" s="9"/>
      <c r="Q810" s="9"/>
      <c r="R810" s="137" t="s">
        <v>897</v>
      </c>
      <c r="S810" s="60"/>
      <c r="T810" s="60"/>
      <c r="U810" s="60"/>
      <c r="V810" s="60"/>
      <c r="W810" s="60"/>
      <c r="X810" s="60"/>
      <c r="Y810" s="60"/>
      <c r="Z810" s="60"/>
      <c r="AA810" s="60"/>
      <c r="AB810" s="60"/>
      <c r="AC810" s="60"/>
      <c r="AD810" s="60"/>
      <c r="AE810" s="60"/>
      <c r="AF810" s="60"/>
      <c r="AG810" s="9"/>
      <c r="AH810" s="9"/>
      <c r="AI810" s="9"/>
      <c r="AJ810" s="9"/>
      <c r="AK810" s="9"/>
      <c r="AL810" s="9"/>
      <c r="AM810" s="9"/>
      <c r="AN810" s="9"/>
      <c r="AO810" s="9"/>
      <c r="AP810" s="9"/>
      <c r="AQ810" s="9"/>
      <c r="AR810" s="9"/>
      <c r="AS810" s="9"/>
      <c r="AT810" s="9"/>
      <c r="AU810" s="9"/>
      <c r="AV810" s="60"/>
      <c r="AW810" s="60"/>
      <c r="AX810" s="60"/>
      <c r="AY810" s="60"/>
      <c r="AZ810" s="60"/>
      <c r="BA810" s="9"/>
      <c r="BB810" s="9"/>
      <c r="BC810" s="9"/>
      <c r="BD810" s="9"/>
      <c r="BE810" s="9"/>
      <c r="BF810" s="9"/>
      <c r="BG810" s="9"/>
      <c r="BH810" s="9"/>
      <c r="BI810" s="9"/>
      <c r="BJ810" s="9"/>
      <c r="BK810" s="9"/>
      <c r="BL810" s="9"/>
      <c r="BM810" s="9"/>
      <c r="BN810" s="9"/>
      <c r="BO810" s="9"/>
      <c r="BP810" s="9"/>
      <c r="BQ810" s="9"/>
      <c r="BR810" s="9"/>
      <c r="BS810" s="9"/>
      <c r="BT810" s="66"/>
      <c r="BU810" s="9"/>
      <c r="BV810" s="9"/>
      <c r="BW810" s="9"/>
      <c r="BX810" s="9"/>
      <c r="BY810" s="9"/>
      <c r="BZ810" s="9"/>
      <c r="CA810" s="9"/>
      <c r="CB810" s="9"/>
      <c r="CC810" s="9"/>
      <c r="CD810" s="9"/>
      <c r="CE810" s="9"/>
      <c r="CF810" s="9"/>
      <c r="CG810" s="9"/>
      <c r="CH810" s="9"/>
      <c r="CI810" s="9"/>
      <c r="CJ810" s="9"/>
      <c r="CK810" s="9"/>
      <c r="CL810" s="9"/>
      <c r="CM810" s="9"/>
      <c r="CN810" s="9"/>
      <c r="CO810" s="9"/>
      <c r="CP810" s="16"/>
    </row>
    <row r="811" spans="1:94" ht="15" customHeight="1" x14ac:dyDescent="0.15">
      <c r="A811" s="15"/>
      <c r="B811" s="9"/>
      <c r="C811" s="9"/>
      <c r="D811" s="9"/>
      <c r="E811" s="9"/>
      <c r="F811" s="9"/>
      <c r="G811" s="9"/>
      <c r="H811" s="9"/>
      <c r="I811" s="9"/>
      <c r="J811" s="9"/>
      <c r="K811" s="9"/>
      <c r="L811" s="9"/>
      <c r="M811" s="9"/>
      <c r="N811" s="9"/>
      <c r="O811" s="9"/>
      <c r="P811" s="9"/>
      <c r="Q811" s="9"/>
      <c r="R811" s="137" t="s">
        <v>1307</v>
      </c>
      <c r="S811" s="60"/>
      <c r="T811" s="60"/>
      <c r="U811" s="60"/>
      <c r="V811" s="60"/>
      <c r="W811" s="60"/>
      <c r="X811" s="60"/>
      <c r="Y811" s="60"/>
      <c r="Z811" s="60"/>
      <c r="AA811" s="60"/>
      <c r="AB811" s="60"/>
      <c r="AC811" s="60"/>
      <c r="AD811" s="60"/>
      <c r="AE811" s="60"/>
      <c r="AF811" s="60"/>
      <c r="AG811" s="9"/>
      <c r="AH811" s="9"/>
      <c r="AI811" s="9"/>
      <c r="AJ811" s="9"/>
      <c r="AK811" s="9"/>
      <c r="AL811" s="9"/>
      <c r="AM811" s="9"/>
      <c r="AN811" s="9"/>
      <c r="AO811" s="9"/>
      <c r="AP811" s="9"/>
      <c r="AQ811" s="9"/>
      <c r="AR811" s="9"/>
      <c r="AS811" s="9"/>
      <c r="AT811" s="9"/>
      <c r="AU811" s="9"/>
      <c r="AV811" s="60"/>
      <c r="AW811" s="60"/>
      <c r="AX811" s="60"/>
      <c r="AY811" s="60"/>
      <c r="AZ811" s="60"/>
      <c r="BA811" s="9"/>
      <c r="BB811" s="9"/>
      <c r="BC811" s="9"/>
      <c r="BD811" s="9"/>
      <c r="BE811" s="9"/>
      <c r="BF811" s="9"/>
      <c r="BG811" s="9"/>
      <c r="BH811" s="9"/>
      <c r="BI811" s="9"/>
      <c r="BJ811" s="9"/>
      <c r="BK811" s="9"/>
      <c r="BL811" s="9"/>
      <c r="BM811" s="9"/>
      <c r="BN811" s="9"/>
      <c r="BO811" s="9"/>
      <c r="BP811" s="9"/>
      <c r="BQ811" s="9"/>
      <c r="BR811" s="9"/>
      <c r="BS811" s="9"/>
      <c r="BT811" s="66"/>
      <c r="BU811" s="9"/>
      <c r="BV811" s="9"/>
      <c r="BW811" s="9"/>
      <c r="BX811" s="9"/>
      <c r="BY811" s="9"/>
      <c r="BZ811" s="9"/>
      <c r="CA811" s="9"/>
      <c r="CB811" s="9"/>
      <c r="CC811" s="9"/>
      <c r="CD811" s="9"/>
      <c r="CE811" s="9"/>
      <c r="CF811" s="9"/>
      <c r="CG811" s="9"/>
      <c r="CH811" s="9"/>
      <c r="CI811" s="9"/>
      <c r="CJ811" s="9"/>
      <c r="CK811" s="9"/>
      <c r="CL811" s="9"/>
      <c r="CM811" s="9"/>
      <c r="CN811" s="9"/>
      <c r="CO811" s="9"/>
      <c r="CP811" s="16"/>
    </row>
    <row r="812" spans="1:94" ht="15" customHeight="1" x14ac:dyDescent="0.15">
      <c r="A812" s="15"/>
      <c r="B812" s="9"/>
      <c r="C812" s="9"/>
      <c r="D812" s="9"/>
      <c r="E812" s="9"/>
      <c r="F812" s="9"/>
      <c r="G812" s="9"/>
      <c r="H812" s="9"/>
      <c r="I812" s="9"/>
      <c r="J812" s="9"/>
      <c r="K812" s="9"/>
      <c r="L812" s="9"/>
      <c r="M812" s="9"/>
      <c r="N812" s="9"/>
      <c r="O812" s="9"/>
      <c r="P812" s="9"/>
      <c r="Q812" s="9"/>
      <c r="R812" s="137" t="s">
        <v>898</v>
      </c>
      <c r="S812" s="60"/>
      <c r="T812" s="60"/>
      <c r="U812" s="60"/>
      <c r="V812" s="60"/>
      <c r="W812" s="60"/>
      <c r="X812" s="60"/>
      <c r="Y812" s="60"/>
      <c r="Z812" s="60"/>
      <c r="AA812" s="60"/>
      <c r="AB812" s="60"/>
      <c r="AC812" s="60"/>
      <c r="AD812" s="60"/>
      <c r="AE812" s="60"/>
      <c r="AF812" s="60"/>
      <c r="AG812" s="9"/>
      <c r="AH812" s="9"/>
      <c r="AI812" s="9"/>
      <c r="AJ812" s="9"/>
      <c r="AK812" s="9"/>
      <c r="AL812" s="9"/>
      <c r="AM812" s="9"/>
      <c r="AN812" s="9"/>
      <c r="AO812" s="9"/>
      <c r="AP812" s="9"/>
      <c r="AQ812" s="9"/>
      <c r="AR812" s="9"/>
      <c r="AS812" s="9"/>
      <c r="AT812" s="9"/>
      <c r="AU812" s="9"/>
      <c r="AV812" s="60"/>
      <c r="AW812" s="60"/>
      <c r="AX812" s="60"/>
      <c r="AY812" s="60"/>
      <c r="AZ812" s="60"/>
      <c r="BA812" s="9"/>
      <c r="BB812" s="9"/>
      <c r="BC812" s="9"/>
      <c r="BD812" s="9"/>
      <c r="BE812" s="9"/>
      <c r="BF812" s="9"/>
      <c r="BG812" s="9"/>
      <c r="BH812" s="9"/>
      <c r="BI812" s="9"/>
      <c r="BJ812" s="9"/>
      <c r="BK812" s="9"/>
      <c r="BL812" s="9"/>
      <c r="BM812" s="9"/>
      <c r="BN812" s="9"/>
      <c r="BO812" s="9"/>
      <c r="BP812" s="9"/>
      <c r="BQ812" s="9"/>
      <c r="BR812" s="9"/>
      <c r="BS812" s="9"/>
      <c r="BT812" s="66"/>
      <c r="BU812" s="9"/>
      <c r="BV812" s="9"/>
      <c r="BW812" s="9"/>
      <c r="BX812" s="9"/>
      <c r="BY812" s="9"/>
      <c r="BZ812" s="9"/>
      <c r="CA812" s="9"/>
      <c r="CB812" s="9"/>
      <c r="CC812" s="9"/>
      <c r="CD812" s="9"/>
      <c r="CE812" s="9"/>
      <c r="CF812" s="9"/>
      <c r="CG812" s="9"/>
      <c r="CH812" s="9"/>
      <c r="CI812" s="9"/>
      <c r="CJ812" s="9"/>
      <c r="CK812" s="9"/>
      <c r="CL812" s="9"/>
      <c r="CM812" s="9"/>
      <c r="CN812" s="9"/>
      <c r="CO812" s="9"/>
      <c r="CP812" s="16"/>
    </row>
    <row r="813" spans="1:94" ht="15" customHeight="1" x14ac:dyDescent="0.15">
      <c r="A813" s="15"/>
      <c r="B813" s="9"/>
      <c r="C813" s="9"/>
      <c r="D813" s="9"/>
      <c r="E813" s="9"/>
      <c r="F813" s="9"/>
      <c r="G813" s="9"/>
      <c r="H813" s="9"/>
      <c r="I813" s="9"/>
      <c r="J813" s="9"/>
      <c r="K813" s="9"/>
      <c r="L813" s="9"/>
      <c r="M813" s="9"/>
      <c r="N813" s="9"/>
      <c r="O813" s="9"/>
      <c r="P813" s="9"/>
      <c r="Q813" s="9"/>
      <c r="R813" s="137" t="s">
        <v>899</v>
      </c>
      <c r="S813" s="60"/>
      <c r="T813" s="60"/>
      <c r="U813" s="60"/>
      <c r="V813" s="60"/>
      <c r="W813" s="60"/>
      <c r="X813" s="60"/>
      <c r="Y813" s="60"/>
      <c r="Z813" s="60"/>
      <c r="AA813" s="60"/>
      <c r="AB813" s="60"/>
      <c r="AC813" s="60"/>
      <c r="AD813" s="60"/>
      <c r="AE813" s="60"/>
      <c r="AF813" s="60"/>
      <c r="AG813" s="9"/>
      <c r="AH813" s="9"/>
      <c r="AI813" s="9"/>
      <c r="AJ813" s="9"/>
      <c r="AK813" s="9"/>
      <c r="AL813" s="9"/>
      <c r="AM813" s="9"/>
      <c r="AN813" s="9"/>
      <c r="AO813" s="9"/>
      <c r="AP813" s="9"/>
      <c r="AQ813" s="9"/>
      <c r="AR813" s="9"/>
      <c r="AS813" s="9"/>
      <c r="AT813" s="9"/>
      <c r="AU813" s="9"/>
      <c r="AV813" s="60"/>
      <c r="AW813" s="60"/>
      <c r="AX813" s="60"/>
      <c r="AY813" s="60"/>
      <c r="AZ813" s="60"/>
      <c r="BA813" s="9"/>
      <c r="BB813" s="9"/>
      <c r="BC813" s="9"/>
      <c r="BD813" s="9"/>
      <c r="BE813" s="9"/>
      <c r="BF813" s="9"/>
      <c r="BG813" s="9"/>
      <c r="BH813" s="9"/>
      <c r="BI813" s="9"/>
      <c r="BJ813" s="9"/>
      <c r="BK813" s="9"/>
      <c r="BL813" s="9"/>
      <c r="BM813" s="9"/>
      <c r="BN813" s="9"/>
      <c r="BO813" s="9"/>
      <c r="BP813" s="9"/>
      <c r="BQ813" s="9"/>
      <c r="BR813" s="9"/>
      <c r="BS813" s="9"/>
      <c r="BT813" s="66"/>
      <c r="BU813" s="9"/>
      <c r="BV813" s="9"/>
      <c r="BW813" s="9"/>
      <c r="BX813" s="9"/>
      <c r="BY813" s="9"/>
      <c r="BZ813" s="9"/>
      <c r="CA813" s="9"/>
      <c r="CB813" s="9"/>
      <c r="CC813" s="9"/>
      <c r="CD813" s="9"/>
      <c r="CE813" s="9"/>
      <c r="CF813" s="9"/>
      <c r="CG813" s="9"/>
      <c r="CH813" s="9"/>
      <c r="CI813" s="9"/>
      <c r="CJ813" s="9"/>
      <c r="CK813" s="9"/>
      <c r="CL813" s="9"/>
      <c r="CM813" s="9"/>
      <c r="CN813" s="9"/>
      <c r="CO813" s="9"/>
      <c r="CP813" s="16"/>
    </row>
    <row r="814" spans="1:94" ht="15" customHeight="1" x14ac:dyDescent="0.15">
      <c r="A814" s="15"/>
      <c r="B814" s="9"/>
      <c r="C814" s="9"/>
      <c r="D814" s="9"/>
      <c r="E814" s="9"/>
      <c r="F814" s="9"/>
      <c r="G814" s="9"/>
      <c r="H814" s="9"/>
      <c r="I814" s="9"/>
      <c r="J814" s="9"/>
      <c r="K814" s="9"/>
      <c r="L814" s="9"/>
      <c r="M814" s="9"/>
      <c r="N814" s="9"/>
      <c r="O814" s="9"/>
      <c r="P814" s="9"/>
      <c r="Q814" s="9"/>
      <c r="R814" s="137" t="s">
        <v>900</v>
      </c>
      <c r="S814" s="60"/>
      <c r="T814" s="60"/>
      <c r="U814" s="60"/>
      <c r="V814" s="60"/>
      <c r="W814" s="60"/>
      <c r="X814" s="60"/>
      <c r="Y814" s="60"/>
      <c r="Z814" s="60"/>
      <c r="AA814" s="60"/>
      <c r="AB814" s="60"/>
      <c r="AC814" s="60"/>
      <c r="AD814" s="60"/>
      <c r="AE814" s="60"/>
      <c r="AF814" s="60"/>
      <c r="AG814" s="9"/>
      <c r="AH814" s="9"/>
      <c r="AI814" s="9"/>
      <c r="AJ814" s="9"/>
      <c r="AK814" s="9"/>
      <c r="AL814" s="9"/>
      <c r="AM814" s="9"/>
      <c r="AN814" s="9"/>
      <c r="AO814" s="9"/>
      <c r="AP814" s="9"/>
      <c r="AQ814" s="9"/>
      <c r="AR814" s="9"/>
      <c r="AS814" s="9"/>
      <c r="AT814" s="9"/>
      <c r="AU814" s="9"/>
      <c r="AV814" s="60"/>
      <c r="AW814" s="60"/>
      <c r="AX814" s="60"/>
      <c r="AY814" s="60"/>
      <c r="AZ814" s="60"/>
      <c r="BA814" s="9"/>
      <c r="BB814" s="9"/>
      <c r="BC814" s="9"/>
      <c r="BD814" s="9"/>
      <c r="BE814" s="9"/>
      <c r="BF814" s="9"/>
      <c r="BG814" s="9"/>
      <c r="BH814" s="9"/>
      <c r="BI814" s="9"/>
      <c r="BJ814" s="9"/>
      <c r="BK814" s="9"/>
      <c r="BL814" s="9"/>
      <c r="BM814" s="9"/>
      <c r="BN814" s="9"/>
      <c r="BO814" s="9"/>
      <c r="BP814" s="9"/>
      <c r="BQ814" s="9"/>
      <c r="BR814" s="9"/>
      <c r="BS814" s="9"/>
      <c r="BT814" s="66"/>
      <c r="BU814" s="9"/>
      <c r="BV814" s="9"/>
      <c r="BW814" s="9"/>
      <c r="BX814" s="9"/>
      <c r="BY814" s="9"/>
      <c r="BZ814" s="9"/>
      <c r="CA814" s="9"/>
      <c r="CB814" s="9"/>
      <c r="CC814" s="9"/>
      <c r="CD814" s="9"/>
      <c r="CE814" s="9"/>
      <c r="CF814" s="9"/>
      <c r="CG814" s="9"/>
      <c r="CH814" s="9"/>
      <c r="CI814" s="9"/>
      <c r="CJ814" s="9"/>
      <c r="CK814" s="9"/>
      <c r="CL814" s="9"/>
      <c r="CM814" s="9"/>
      <c r="CN814" s="9"/>
      <c r="CO814" s="9"/>
      <c r="CP814" s="16"/>
    </row>
    <row r="815" spans="1:94" ht="15" customHeight="1" x14ac:dyDescent="0.15">
      <c r="A815" s="15"/>
      <c r="B815" s="9"/>
      <c r="C815" s="9"/>
      <c r="D815" s="9"/>
      <c r="E815" s="9"/>
      <c r="F815" s="9"/>
      <c r="G815" s="9"/>
      <c r="H815" s="9"/>
      <c r="I815" s="9"/>
      <c r="J815" s="9"/>
      <c r="K815" s="9"/>
      <c r="L815" s="9"/>
      <c r="M815" s="9"/>
      <c r="N815" s="9"/>
      <c r="O815" s="9"/>
      <c r="P815" s="9"/>
      <c r="Q815" s="9"/>
      <c r="R815" s="137" t="s">
        <v>901</v>
      </c>
      <c r="S815" s="60"/>
      <c r="T815" s="60"/>
      <c r="U815" s="60"/>
      <c r="V815" s="60"/>
      <c r="W815" s="60"/>
      <c r="X815" s="60"/>
      <c r="Y815" s="60"/>
      <c r="Z815" s="60"/>
      <c r="AA815" s="60"/>
      <c r="AB815" s="60"/>
      <c r="AC815" s="60"/>
      <c r="AD815" s="60"/>
      <c r="AE815" s="60"/>
      <c r="AF815" s="60"/>
      <c r="AG815" s="9"/>
      <c r="AH815" s="9"/>
      <c r="AI815" s="9"/>
      <c r="AJ815" s="9"/>
      <c r="AK815" s="9"/>
      <c r="AL815" s="9"/>
      <c r="AM815" s="9"/>
      <c r="AN815" s="9"/>
      <c r="AO815" s="9"/>
      <c r="AP815" s="9"/>
      <c r="AQ815" s="9"/>
      <c r="AR815" s="9"/>
      <c r="AS815" s="9"/>
      <c r="AT815" s="9"/>
      <c r="AU815" s="9"/>
      <c r="AV815" s="60"/>
      <c r="AW815" s="60"/>
      <c r="AX815" s="60"/>
      <c r="AY815" s="60"/>
      <c r="AZ815" s="60"/>
      <c r="BA815" s="9"/>
      <c r="BB815" s="9"/>
      <c r="BC815" s="9"/>
      <c r="BD815" s="9"/>
      <c r="BE815" s="9"/>
      <c r="BF815" s="9"/>
      <c r="BG815" s="9"/>
      <c r="BH815" s="9"/>
      <c r="BI815" s="9"/>
      <c r="BJ815" s="9"/>
      <c r="BK815" s="9"/>
      <c r="BL815" s="9"/>
      <c r="BM815" s="9"/>
      <c r="BN815" s="9"/>
      <c r="BO815" s="9"/>
      <c r="BP815" s="9"/>
      <c r="BQ815" s="9"/>
      <c r="BR815" s="9"/>
      <c r="BS815" s="9"/>
      <c r="BT815" s="66"/>
      <c r="BU815" s="9"/>
      <c r="BV815" s="9"/>
      <c r="BW815" s="9"/>
      <c r="BX815" s="9"/>
      <c r="BY815" s="9"/>
      <c r="BZ815" s="9"/>
      <c r="CA815" s="9"/>
      <c r="CB815" s="9"/>
      <c r="CC815" s="9"/>
      <c r="CD815" s="9"/>
      <c r="CE815" s="9"/>
      <c r="CF815" s="9"/>
      <c r="CG815" s="9"/>
      <c r="CH815" s="9"/>
      <c r="CI815" s="9"/>
      <c r="CJ815" s="9"/>
      <c r="CK815" s="9"/>
      <c r="CL815" s="9"/>
      <c r="CM815" s="9"/>
      <c r="CN815" s="9"/>
      <c r="CO815" s="9"/>
      <c r="CP815" s="16"/>
    </row>
    <row r="816" spans="1:94" ht="15" customHeight="1" x14ac:dyDescent="0.15">
      <c r="A816" s="15"/>
      <c r="B816" s="9"/>
      <c r="C816" s="9"/>
      <c r="D816" s="9"/>
      <c r="E816" s="9"/>
      <c r="F816" s="9"/>
      <c r="G816" s="9"/>
      <c r="H816" s="9"/>
      <c r="I816" s="9"/>
      <c r="J816" s="9"/>
      <c r="K816" s="9"/>
      <c r="L816" s="9"/>
      <c r="M816" s="9"/>
      <c r="N816" s="9"/>
      <c r="O816" s="9"/>
      <c r="P816" s="9"/>
      <c r="Q816" s="9"/>
      <c r="R816" s="137" t="s">
        <v>902</v>
      </c>
      <c r="S816" s="60"/>
      <c r="T816" s="60"/>
      <c r="U816" s="60"/>
      <c r="V816" s="60"/>
      <c r="W816" s="60"/>
      <c r="X816" s="60"/>
      <c r="Y816" s="60"/>
      <c r="Z816" s="60"/>
      <c r="AA816" s="60"/>
      <c r="AB816" s="60"/>
      <c r="AC816" s="60"/>
      <c r="AD816" s="60"/>
      <c r="AE816" s="60"/>
      <c r="AF816" s="60"/>
      <c r="AG816" s="9"/>
      <c r="AH816" s="9"/>
      <c r="AI816" s="9"/>
      <c r="AJ816" s="9"/>
      <c r="AK816" s="9"/>
      <c r="AL816" s="9"/>
      <c r="AM816" s="9"/>
      <c r="AN816" s="9"/>
      <c r="AO816" s="9"/>
      <c r="AP816" s="9"/>
      <c r="AQ816" s="9"/>
      <c r="AR816" s="9"/>
      <c r="AS816" s="9"/>
      <c r="AT816" s="9"/>
      <c r="AU816" s="9"/>
      <c r="AV816" s="60"/>
      <c r="AW816" s="60"/>
      <c r="AX816" s="60"/>
      <c r="AY816" s="60"/>
      <c r="AZ816" s="60"/>
      <c r="BA816" s="9"/>
      <c r="BB816" s="9"/>
      <c r="BC816" s="9"/>
      <c r="BD816" s="9"/>
      <c r="BE816" s="9"/>
      <c r="BF816" s="9"/>
      <c r="BG816" s="9"/>
      <c r="BH816" s="9"/>
      <c r="BI816" s="9"/>
      <c r="BJ816" s="9"/>
      <c r="BK816" s="9"/>
      <c r="BL816" s="9"/>
      <c r="BM816" s="9"/>
      <c r="BN816" s="9"/>
      <c r="BO816" s="9"/>
      <c r="BP816" s="9"/>
      <c r="BQ816" s="9"/>
      <c r="BR816" s="9"/>
      <c r="BS816" s="9"/>
      <c r="BT816" s="66"/>
      <c r="BU816" s="9"/>
      <c r="BV816" s="9"/>
      <c r="BW816" s="9"/>
      <c r="BX816" s="9"/>
      <c r="BY816" s="9"/>
      <c r="BZ816" s="9"/>
      <c r="CA816" s="9"/>
      <c r="CB816" s="9"/>
      <c r="CC816" s="9"/>
      <c r="CD816" s="9"/>
      <c r="CE816" s="9"/>
      <c r="CF816" s="9"/>
      <c r="CG816" s="9"/>
      <c r="CH816" s="9"/>
      <c r="CI816" s="9"/>
      <c r="CJ816" s="9"/>
      <c r="CK816" s="9"/>
      <c r="CL816" s="9"/>
      <c r="CM816" s="9"/>
      <c r="CN816" s="9"/>
      <c r="CO816" s="9"/>
      <c r="CP816" s="16"/>
    </row>
    <row r="817" spans="1:94" ht="15" customHeight="1" x14ac:dyDescent="0.15">
      <c r="A817" s="15"/>
      <c r="B817" s="9"/>
      <c r="C817" s="9"/>
      <c r="D817" s="9"/>
      <c r="E817" s="9"/>
      <c r="F817" s="9"/>
      <c r="G817" s="9"/>
      <c r="H817" s="9"/>
      <c r="I817" s="9"/>
      <c r="J817" s="9"/>
      <c r="K817" s="9"/>
      <c r="L817" s="9"/>
      <c r="M817" s="9"/>
      <c r="N817" s="9"/>
      <c r="O817" s="9"/>
      <c r="P817" s="9"/>
      <c r="Q817" s="9"/>
      <c r="R817" s="137" t="s">
        <v>903</v>
      </c>
      <c r="S817" s="60"/>
      <c r="T817" s="60"/>
      <c r="U817" s="60"/>
      <c r="V817" s="60"/>
      <c r="W817" s="60"/>
      <c r="X817" s="60"/>
      <c r="Y817" s="60"/>
      <c r="Z817" s="60"/>
      <c r="AA817" s="60"/>
      <c r="AB817" s="60"/>
      <c r="AC817" s="60"/>
      <c r="AD817" s="60"/>
      <c r="AE817" s="60"/>
      <c r="AF817" s="60"/>
      <c r="AG817" s="9"/>
      <c r="AH817" s="9"/>
      <c r="AI817" s="9"/>
      <c r="AJ817" s="9"/>
      <c r="AK817" s="9"/>
      <c r="AL817" s="9"/>
      <c r="AM817" s="9"/>
      <c r="AN817" s="9"/>
      <c r="AO817" s="9"/>
      <c r="AP817" s="9"/>
      <c r="AQ817" s="9"/>
      <c r="AR817" s="9"/>
      <c r="AS817" s="9"/>
      <c r="AT817" s="9"/>
      <c r="AU817" s="9"/>
      <c r="AV817" s="60"/>
      <c r="AW817" s="60"/>
      <c r="AX817" s="60"/>
      <c r="AY817" s="60"/>
      <c r="AZ817" s="60"/>
      <c r="BA817" s="9"/>
      <c r="BB817" s="9"/>
      <c r="BC817" s="9"/>
      <c r="BD817" s="9"/>
      <c r="BE817" s="9"/>
      <c r="BF817" s="9"/>
      <c r="BG817" s="9"/>
      <c r="BH817" s="9"/>
      <c r="BI817" s="9"/>
      <c r="BJ817" s="9"/>
      <c r="BK817" s="9"/>
      <c r="BL817" s="9"/>
      <c r="BM817" s="9"/>
      <c r="BN817" s="9"/>
      <c r="BO817" s="9"/>
      <c r="BP817" s="9"/>
      <c r="BQ817" s="9"/>
      <c r="BR817" s="9"/>
      <c r="BS817" s="9"/>
      <c r="BT817" s="66"/>
      <c r="BU817" s="9"/>
      <c r="BV817" s="9"/>
      <c r="BW817" s="9"/>
      <c r="BX817" s="9"/>
      <c r="BY817" s="9"/>
      <c r="BZ817" s="9"/>
      <c r="CA817" s="9"/>
      <c r="CB817" s="9"/>
      <c r="CC817" s="9"/>
      <c r="CD817" s="9"/>
      <c r="CE817" s="9"/>
      <c r="CF817" s="9"/>
      <c r="CG817" s="9"/>
      <c r="CH817" s="9"/>
      <c r="CI817" s="9"/>
      <c r="CJ817" s="9"/>
      <c r="CK817" s="9"/>
      <c r="CL817" s="9"/>
      <c r="CM817" s="9"/>
      <c r="CN817" s="9"/>
      <c r="CO817" s="9"/>
      <c r="CP817" s="16"/>
    </row>
    <row r="818" spans="1:94" ht="15" customHeight="1" x14ac:dyDescent="0.15">
      <c r="A818" s="15"/>
      <c r="B818" s="9"/>
      <c r="C818" s="9"/>
      <c r="D818" s="9"/>
      <c r="E818" s="9"/>
      <c r="F818" s="9"/>
      <c r="G818" s="9"/>
      <c r="H818" s="9"/>
      <c r="I818" s="9"/>
      <c r="J818" s="9"/>
      <c r="K818" s="9"/>
      <c r="L818" s="9"/>
      <c r="M818" s="9"/>
      <c r="N818" s="9"/>
      <c r="O818" s="9"/>
      <c r="P818" s="9"/>
      <c r="Q818" s="9"/>
      <c r="R818" s="137" t="s">
        <v>904</v>
      </c>
      <c r="S818" s="60"/>
      <c r="T818" s="60"/>
      <c r="U818" s="60"/>
      <c r="V818" s="60"/>
      <c r="W818" s="60"/>
      <c r="X818" s="60"/>
      <c r="Y818" s="60"/>
      <c r="Z818" s="60"/>
      <c r="AA818" s="60"/>
      <c r="AB818" s="60"/>
      <c r="AC818" s="60"/>
      <c r="AD818" s="60"/>
      <c r="AE818" s="60"/>
      <c r="AF818" s="60"/>
      <c r="AG818" s="9"/>
      <c r="AH818" s="9"/>
      <c r="AI818" s="9"/>
      <c r="AJ818" s="9"/>
      <c r="AK818" s="9"/>
      <c r="AL818" s="9"/>
      <c r="AM818" s="9"/>
      <c r="AN818" s="9"/>
      <c r="AO818" s="9"/>
      <c r="AP818" s="9"/>
      <c r="AQ818" s="9"/>
      <c r="AR818" s="9"/>
      <c r="AS818" s="9"/>
      <c r="AT818" s="9"/>
      <c r="AU818" s="9"/>
      <c r="AV818" s="60"/>
      <c r="AW818" s="60"/>
      <c r="AX818" s="60"/>
      <c r="AY818" s="60"/>
      <c r="AZ818" s="60"/>
      <c r="BA818" s="9"/>
      <c r="BB818" s="9"/>
      <c r="BC818" s="9"/>
      <c r="BD818" s="9"/>
      <c r="BE818" s="9"/>
      <c r="BF818" s="9"/>
      <c r="BG818" s="9"/>
      <c r="BH818" s="9"/>
      <c r="BI818" s="9"/>
      <c r="BJ818" s="9"/>
      <c r="BK818" s="9"/>
      <c r="BL818" s="9"/>
      <c r="BM818" s="9"/>
      <c r="BN818" s="9"/>
      <c r="BO818" s="9"/>
      <c r="BP818" s="9"/>
      <c r="BQ818" s="9"/>
      <c r="BR818" s="9"/>
      <c r="BS818" s="9"/>
      <c r="BT818" s="66"/>
      <c r="BU818" s="9"/>
      <c r="BV818" s="9"/>
      <c r="BW818" s="9"/>
      <c r="BX818" s="9"/>
      <c r="BY818" s="9"/>
      <c r="BZ818" s="9"/>
      <c r="CA818" s="9"/>
      <c r="CB818" s="9"/>
      <c r="CC818" s="9"/>
      <c r="CD818" s="9"/>
      <c r="CE818" s="9"/>
      <c r="CF818" s="9"/>
      <c r="CG818" s="9"/>
      <c r="CH818" s="9"/>
      <c r="CI818" s="9"/>
      <c r="CJ818" s="9"/>
      <c r="CK818" s="9"/>
      <c r="CL818" s="9"/>
      <c r="CM818" s="9"/>
      <c r="CN818" s="9"/>
      <c r="CO818" s="9"/>
      <c r="CP818" s="16"/>
    </row>
    <row r="819" spans="1:94" ht="15" customHeight="1" x14ac:dyDescent="0.15">
      <c r="A819" s="15"/>
      <c r="B819" s="9"/>
      <c r="C819" s="9"/>
      <c r="D819" s="9"/>
      <c r="E819" s="9"/>
      <c r="F819" s="9"/>
      <c r="G819" s="9"/>
      <c r="H819" s="9"/>
      <c r="I819" s="9"/>
      <c r="J819" s="9"/>
      <c r="K819" s="9"/>
      <c r="L819" s="9"/>
      <c r="M819" s="9"/>
      <c r="N819" s="9"/>
      <c r="O819" s="9"/>
      <c r="P819" s="9"/>
      <c r="Q819" s="9"/>
      <c r="R819" s="137" t="s">
        <v>905</v>
      </c>
      <c r="S819" s="60"/>
      <c r="T819" s="60"/>
      <c r="U819" s="60"/>
      <c r="V819" s="60"/>
      <c r="W819" s="60"/>
      <c r="X819" s="60"/>
      <c r="Y819" s="60"/>
      <c r="Z819" s="60"/>
      <c r="AA819" s="60"/>
      <c r="AB819" s="60"/>
      <c r="AC819" s="60"/>
      <c r="AD819" s="60"/>
      <c r="AE819" s="60"/>
      <c r="AF819" s="60"/>
      <c r="AG819" s="9"/>
      <c r="AH819" s="9"/>
      <c r="AI819" s="9"/>
      <c r="AJ819" s="9"/>
      <c r="AK819" s="9"/>
      <c r="AL819" s="9"/>
      <c r="AM819" s="9"/>
      <c r="AN819" s="9"/>
      <c r="AO819" s="9"/>
      <c r="AP819" s="9"/>
      <c r="AQ819" s="9"/>
      <c r="AR819" s="9"/>
      <c r="AS819" s="9"/>
      <c r="AT819" s="9"/>
      <c r="AU819" s="9"/>
      <c r="AV819" s="60"/>
      <c r="AW819" s="60"/>
      <c r="AX819" s="60"/>
      <c r="AY819" s="60"/>
      <c r="AZ819" s="60"/>
      <c r="BA819" s="9"/>
      <c r="BB819" s="9"/>
      <c r="BC819" s="9"/>
      <c r="BD819" s="9"/>
      <c r="BE819" s="9"/>
      <c r="BF819" s="9"/>
      <c r="BG819" s="9"/>
      <c r="BH819" s="9"/>
      <c r="BI819" s="9"/>
      <c r="BJ819" s="9"/>
      <c r="BK819" s="9"/>
      <c r="BL819" s="9"/>
      <c r="BM819" s="9"/>
      <c r="BN819" s="9"/>
      <c r="BO819" s="9"/>
      <c r="BP819" s="9"/>
      <c r="BQ819" s="9"/>
      <c r="BR819" s="9"/>
      <c r="BS819" s="9"/>
      <c r="BT819" s="66"/>
      <c r="BU819" s="9"/>
      <c r="BV819" s="9"/>
      <c r="BW819" s="9"/>
      <c r="BX819" s="9"/>
      <c r="BY819" s="9"/>
      <c r="BZ819" s="9"/>
      <c r="CA819" s="9"/>
      <c r="CB819" s="9"/>
      <c r="CC819" s="9"/>
      <c r="CD819" s="9"/>
      <c r="CE819" s="9"/>
      <c r="CF819" s="9"/>
      <c r="CG819" s="9"/>
      <c r="CH819" s="9"/>
      <c r="CI819" s="9"/>
      <c r="CJ819" s="9"/>
      <c r="CK819" s="9"/>
      <c r="CL819" s="9"/>
      <c r="CM819" s="9"/>
      <c r="CN819" s="9"/>
      <c r="CO819" s="9"/>
      <c r="CP819" s="16"/>
    </row>
    <row r="820" spans="1:94" ht="15" customHeight="1" x14ac:dyDescent="0.15">
      <c r="A820" s="15"/>
      <c r="B820" s="9"/>
      <c r="C820" s="9"/>
      <c r="D820" s="9"/>
      <c r="E820" s="9"/>
      <c r="F820" s="9"/>
      <c r="G820" s="9"/>
      <c r="H820" s="9"/>
      <c r="I820" s="9"/>
      <c r="J820" s="9"/>
      <c r="K820" s="9"/>
      <c r="L820" s="9"/>
      <c r="M820" s="9"/>
      <c r="N820" s="9"/>
      <c r="O820" s="9"/>
      <c r="P820" s="9"/>
      <c r="Q820" s="9"/>
      <c r="R820" s="137" t="s">
        <v>906</v>
      </c>
      <c r="S820" s="60"/>
      <c r="T820" s="60"/>
      <c r="U820" s="60"/>
      <c r="V820" s="60"/>
      <c r="W820" s="60"/>
      <c r="X820" s="60"/>
      <c r="Y820" s="60"/>
      <c r="Z820" s="60"/>
      <c r="AA820" s="60"/>
      <c r="AB820" s="60"/>
      <c r="AC820" s="60"/>
      <c r="AD820" s="60"/>
      <c r="AE820" s="60"/>
      <c r="AF820" s="60"/>
      <c r="AG820" s="9"/>
      <c r="AH820" s="9"/>
      <c r="AI820" s="9"/>
      <c r="AJ820" s="9"/>
      <c r="AK820" s="9"/>
      <c r="AL820" s="9"/>
      <c r="AM820" s="9"/>
      <c r="AN820" s="9"/>
      <c r="AO820" s="9"/>
      <c r="AP820" s="9"/>
      <c r="AQ820" s="9"/>
      <c r="AR820" s="9"/>
      <c r="AS820" s="9"/>
      <c r="AT820" s="9"/>
      <c r="AU820" s="9"/>
      <c r="AV820" s="60"/>
      <c r="AW820" s="60"/>
      <c r="AX820" s="60"/>
      <c r="AY820" s="60"/>
      <c r="AZ820" s="60"/>
      <c r="BA820" s="9"/>
      <c r="BB820" s="9"/>
      <c r="BC820" s="9"/>
      <c r="BD820" s="9"/>
      <c r="BE820" s="9"/>
      <c r="BF820" s="9"/>
      <c r="BG820" s="9"/>
      <c r="BH820" s="9"/>
      <c r="BI820" s="9"/>
      <c r="BJ820" s="9"/>
      <c r="BK820" s="9"/>
      <c r="BL820" s="9"/>
      <c r="BM820" s="9"/>
      <c r="BN820" s="9"/>
      <c r="BO820" s="9"/>
      <c r="BP820" s="9"/>
      <c r="BQ820" s="9"/>
      <c r="BR820" s="9"/>
      <c r="BS820" s="9"/>
      <c r="BT820" s="66"/>
      <c r="BU820" s="9"/>
      <c r="BV820" s="9"/>
      <c r="BW820" s="9"/>
      <c r="BX820" s="9"/>
      <c r="BY820" s="9"/>
      <c r="BZ820" s="9"/>
      <c r="CA820" s="9"/>
      <c r="CB820" s="9"/>
      <c r="CC820" s="9"/>
      <c r="CD820" s="9"/>
      <c r="CE820" s="9"/>
      <c r="CF820" s="9"/>
      <c r="CG820" s="9"/>
      <c r="CH820" s="9"/>
      <c r="CI820" s="9"/>
      <c r="CJ820" s="9"/>
      <c r="CK820" s="9"/>
      <c r="CL820" s="9"/>
      <c r="CM820" s="9"/>
      <c r="CN820" s="9"/>
      <c r="CO820" s="9"/>
      <c r="CP820" s="16"/>
    </row>
    <row r="821" spans="1:94" ht="15" customHeight="1" x14ac:dyDescent="0.15">
      <c r="A821" s="15"/>
      <c r="B821" s="9"/>
      <c r="C821" s="9"/>
      <c r="D821" s="9"/>
      <c r="E821" s="9"/>
      <c r="F821" s="9"/>
      <c r="G821" s="9"/>
      <c r="H821" s="9"/>
      <c r="I821" s="9"/>
      <c r="J821" s="9"/>
      <c r="K821" s="9"/>
      <c r="L821" s="9"/>
      <c r="M821" s="9"/>
      <c r="N821" s="9"/>
      <c r="O821" s="9"/>
      <c r="P821" s="9"/>
      <c r="Q821" s="9"/>
      <c r="R821" s="143"/>
      <c r="S821" s="144"/>
      <c r="T821" s="144"/>
      <c r="U821" s="144"/>
      <c r="V821" s="144"/>
      <c r="W821" s="144"/>
      <c r="X821" s="144"/>
      <c r="Y821" s="144"/>
      <c r="Z821" s="144"/>
      <c r="AA821" s="144"/>
      <c r="AB821" s="144"/>
      <c r="AC821" s="144"/>
      <c r="AD821" s="144"/>
      <c r="AE821" s="144"/>
      <c r="AF821" s="144"/>
      <c r="AG821" s="144"/>
      <c r="AH821" s="144"/>
      <c r="AI821" s="144"/>
      <c r="AJ821" s="144"/>
      <c r="AK821" s="144"/>
      <c r="AL821" s="144"/>
      <c r="AM821" s="144"/>
      <c r="AN821" s="144"/>
      <c r="AO821" s="144"/>
      <c r="AP821" s="144"/>
      <c r="AQ821" s="144"/>
      <c r="AR821" s="144"/>
      <c r="AS821" s="144"/>
      <c r="AT821" s="144"/>
      <c r="AU821" s="144"/>
      <c r="AV821" s="144"/>
      <c r="AW821" s="144"/>
      <c r="AX821" s="144"/>
      <c r="AY821" s="144"/>
      <c r="AZ821" s="144"/>
      <c r="BA821" s="144"/>
      <c r="BB821" s="144"/>
      <c r="BC821" s="144"/>
      <c r="BD821" s="144"/>
      <c r="BE821" s="144"/>
      <c r="BF821" s="144"/>
      <c r="BG821" s="144"/>
      <c r="BH821" s="144"/>
      <c r="BI821" s="144"/>
      <c r="BJ821" s="144"/>
      <c r="BK821" s="144"/>
      <c r="BL821" s="144"/>
      <c r="BM821" s="144"/>
      <c r="BN821" s="144"/>
      <c r="BO821" s="144"/>
      <c r="BP821" s="144"/>
      <c r="BQ821" s="144"/>
      <c r="BR821" s="144"/>
      <c r="BS821" s="144"/>
      <c r="BT821" s="145"/>
      <c r="BU821" s="9"/>
      <c r="BV821" s="9"/>
      <c r="BW821" s="9"/>
      <c r="BX821" s="9"/>
      <c r="BY821" s="9"/>
      <c r="BZ821" s="9"/>
      <c r="CA821" s="9"/>
      <c r="CB821" s="9"/>
      <c r="CC821" s="9"/>
      <c r="CD821" s="9"/>
      <c r="CE821" s="9"/>
      <c r="CF821" s="9"/>
      <c r="CG821" s="9"/>
      <c r="CH821" s="9"/>
      <c r="CI821" s="9"/>
      <c r="CJ821" s="9"/>
      <c r="CK821" s="9"/>
      <c r="CL821" s="9"/>
      <c r="CM821" s="9"/>
      <c r="CN821" s="9"/>
      <c r="CO821" s="9"/>
      <c r="CP821" s="16"/>
    </row>
    <row r="822" spans="1:94" ht="15" customHeight="1" x14ac:dyDescent="0.15">
      <c r="A822" s="15"/>
      <c r="B822" s="9"/>
      <c r="C822" s="9"/>
      <c r="D822" s="9"/>
      <c r="E822" s="9"/>
      <c r="G822" s="9" t="s">
        <v>418</v>
      </c>
      <c r="H822" s="9"/>
      <c r="I822" s="9"/>
      <c r="J822" s="9"/>
      <c r="K822" s="9"/>
      <c r="L822" s="9"/>
      <c r="M822" s="9"/>
      <c r="N822" s="9"/>
      <c r="O822" s="9"/>
      <c r="P822" s="9"/>
      <c r="Q822" s="9"/>
      <c r="R822" s="9" t="s">
        <v>155</v>
      </c>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c r="BW822" s="9"/>
      <c r="BX822" s="9"/>
      <c r="BY822" s="9"/>
      <c r="BZ822" s="9"/>
      <c r="CA822" s="9"/>
      <c r="CB822" s="9"/>
      <c r="CC822" s="9"/>
      <c r="CD822" s="9"/>
      <c r="CE822" s="9"/>
      <c r="CF822" s="9"/>
      <c r="CG822" s="9"/>
      <c r="CH822" s="9"/>
      <c r="CI822" s="9"/>
      <c r="CJ822" s="9"/>
      <c r="CK822" s="9"/>
      <c r="CL822" s="9"/>
      <c r="CM822" s="9"/>
      <c r="CN822" s="9"/>
      <c r="CO822" s="9"/>
      <c r="CP822" s="16"/>
    </row>
    <row r="823" spans="1:94" ht="15" customHeight="1" x14ac:dyDescent="0.15">
      <c r="A823" s="15"/>
      <c r="B823" s="9"/>
      <c r="C823" s="9"/>
      <c r="D823" s="9"/>
      <c r="E823" s="9"/>
      <c r="F823" s="9"/>
      <c r="G823" s="9" t="s">
        <v>419</v>
      </c>
      <c r="H823" s="9"/>
      <c r="I823" s="9"/>
      <c r="J823" s="9"/>
      <c r="K823" s="9"/>
      <c r="L823" s="9"/>
      <c r="M823" s="9"/>
      <c r="N823" s="9"/>
      <c r="O823" s="9"/>
      <c r="P823" s="9"/>
      <c r="Q823" s="9"/>
      <c r="R823" s="60" t="s">
        <v>1308</v>
      </c>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c r="BW823" s="9"/>
      <c r="BX823" s="9"/>
      <c r="BY823" s="9"/>
      <c r="BZ823" s="9"/>
      <c r="CA823" s="9"/>
      <c r="CB823" s="9"/>
      <c r="CC823" s="9"/>
      <c r="CD823" s="9"/>
      <c r="CE823" s="9"/>
      <c r="CF823" s="9"/>
      <c r="CG823" s="9"/>
      <c r="CH823" s="9"/>
      <c r="CI823" s="9"/>
      <c r="CJ823" s="9"/>
      <c r="CK823" s="9"/>
      <c r="CL823" s="9"/>
      <c r="CM823" s="9"/>
      <c r="CN823" s="9"/>
      <c r="CO823" s="9"/>
      <c r="CP823" s="16"/>
    </row>
    <row r="824" spans="1:94" ht="15" customHeight="1" x14ac:dyDescent="0.15">
      <c r="A824" s="15"/>
      <c r="B824" s="9"/>
      <c r="C824" s="9"/>
      <c r="D824" s="9"/>
      <c r="E824" s="9"/>
      <c r="F824" s="9"/>
      <c r="G824" s="9" t="s">
        <v>420</v>
      </c>
      <c r="H824" s="9"/>
      <c r="I824" s="9"/>
      <c r="J824" s="9"/>
      <c r="K824" s="9"/>
      <c r="L824" s="9"/>
      <c r="M824" s="9"/>
      <c r="N824" s="9"/>
      <c r="O824" s="9"/>
      <c r="P824" s="9"/>
      <c r="Q824" s="9"/>
      <c r="R824" s="60" t="s">
        <v>1309</v>
      </c>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c r="CK824" s="9"/>
      <c r="CL824" s="9"/>
      <c r="CM824" s="9"/>
      <c r="CN824" s="9"/>
      <c r="CO824" s="9"/>
      <c r="CP824" s="16"/>
    </row>
    <row r="825" spans="1:94" ht="15" customHeight="1" x14ac:dyDescent="0.15">
      <c r="A825" s="15"/>
      <c r="B825" s="9"/>
      <c r="C825" s="9"/>
      <c r="D825" s="9"/>
      <c r="E825" s="9"/>
      <c r="F825" s="9"/>
      <c r="G825" s="9" t="s">
        <v>421</v>
      </c>
      <c r="H825" s="9"/>
      <c r="I825" s="9"/>
      <c r="J825" s="9"/>
      <c r="K825" s="9"/>
      <c r="L825" s="9"/>
      <c r="M825" s="9"/>
      <c r="N825" s="9"/>
      <c r="O825" s="9"/>
      <c r="P825" s="9"/>
      <c r="Q825" s="9"/>
      <c r="R825" s="9" t="s">
        <v>1310</v>
      </c>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c r="BW825" s="9"/>
      <c r="BX825" s="9"/>
      <c r="BY825" s="9"/>
      <c r="BZ825" s="9"/>
      <c r="CA825" s="9"/>
      <c r="CB825" s="9"/>
      <c r="CC825" s="9"/>
      <c r="CD825" s="9"/>
      <c r="CE825" s="9"/>
      <c r="CF825" s="9"/>
      <c r="CG825" s="9"/>
      <c r="CH825" s="9"/>
      <c r="CI825" s="9"/>
      <c r="CJ825" s="9"/>
      <c r="CK825" s="9"/>
      <c r="CL825" s="9"/>
      <c r="CM825" s="9"/>
      <c r="CN825" s="9"/>
      <c r="CO825" s="9"/>
      <c r="CP825" s="16"/>
    </row>
    <row r="826" spans="1:94" ht="15" customHeight="1" x14ac:dyDescent="0.15">
      <c r="A826" s="15"/>
      <c r="B826" s="9"/>
      <c r="C826" s="9"/>
      <c r="D826" s="9"/>
      <c r="E826" s="9"/>
      <c r="F826" s="9" t="s">
        <v>422</v>
      </c>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c r="BW826" s="9"/>
      <c r="BX826" s="9"/>
      <c r="BY826" s="9"/>
      <c r="BZ826" s="9"/>
      <c r="CA826" s="9"/>
      <c r="CB826" s="9"/>
      <c r="CC826" s="9"/>
      <c r="CD826" s="9"/>
      <c r="CE826" s="9"/>
      <c r="CF826" s="9"/>
      <c r="CG826" s="9"/>
      <c r="CH826" s="9"/>
      <c r="CI826" s="9"/>
      <c r="CJ826" s="9"/>
      <c r="CK826" s="9"/>
      <c r="CL826" s="9"/>
      <c r="CM826" s="9"/>
      <c r="CN826" s="9"/>
      <c r="CO826" s="9"/>
      <c r="CP826" s="16"/>
    </row>
    <row r="827" spans="1:94" ht="15" customHeight="1" x14ac:dyDescent="0.15">
      <c r="A827" s="15"/>
      <c r="B827" s="9"/>
      <c r="C827" s="9"/>
      <c r="D827" s="9"/>
      <c r="E827" s="9"/>
      <c r="F827" s="9"/>
      <c r="G827" s="9" t="s">
        <v>423</v>
      </c>
      <c r="H827" s="9"/>
      <c r="I827" s="9"/>
      <c r="J827" s="9"/>
      <c r="K827" s="9"/>
      <c r="L827" s="9"/>
      <c r="M827" s="9"/>
      <c r="N827" s="9"/>
      <c r="O827" s="9"/>
      <c r="P827" s="9"/>
      <c r="Q827" s="9"/>
      <c r="R827" s="9" t="s">
        <v>424</v>
      </c>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c r="BW827" s="9"/>
      <c r="BX827" s="9"/>
      <c r="BY827" s="9"/>
      <c r="BZ827" s="9"/>
      <c r="CA827" s="9"/>
      <c r="CB827" s="9"/>
      <c r="CC827" s="9"/>
      <c r="CD827" s="9"/>
      <c r="CE827" s="9"/>
      <c r="CF827" s="9"/>
      <c r="CG827" s="9"/>
      <c r="CH827" s="9"/>
      <c r="CI827" s="9"/>
      <c r="CJ827" s="9"/>
      <c r="CK827" s="9"/>
      <c r="CL827" s="9"/>
      <c r="CM827" s="9"/>
      <c r="CN827" s="9"/>
      <c r="CO827" s="9"/>
      <c r="CP827" s="16"/>
    </row>
    <row r="828" spans="1:94" ht="15" customHeight="1" x14ac:dyDescent="0.15">
      <c r="A828" s="15"/>
      <c r="B828" s="9"/>
      <c r="C828" s="9"/>
      <c r="D828" s="9"/>
      <c r="E828" s="9"/>
      <c r="F828" s="9"/>
      <c r="G828" s="9" t="s">
        <v>425</v>
      </c>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c r="BW828" s="9"/>
      <c r="BX828" s="9"/>
      <c r="BY828" s="9"/>
      <c r="BZ828" s="9"/>
      <c r="CA828" s="9"/>
      <c r="CB828" s="9"/>
      <c r="CC828" s="9"/>
      <c r="CD828" s="9"/>
      <c r="CE828" s="9"/>
      <c r="CF828" s="9"/>
      <c r="CG828" s="9"/>
      <c r="CH828" s="9"/>
      <c r="CI828" s="9"/>
      <c r="CJ828" s="9"/>
      <c r="CK828" s="9"/>
      <c r="CL828" s="9"/>
      <c r="CM828" s="9"/>
      <c r="CN828" s="9"/>
      <c r="CO828" s="9"/>
      <c r="CP828" s="16"/>
    </row>
    <row r="829" spans="1:94" ht="15" customHeight="1" x14ac:dyDescent="0.15">
      <c r="A829" s="15"/>
      <c r="B829" s="9"/>
      <c r="C829" s="9"/>
      <c r="D829" s="9"/>
      <c r="E829" s="9"/>
      <c r="F829" s="9"/>
      <c r="G829" s="9" t="s">
        <v>426</v>
      </c>
      <c r="H829" s="9"/>
      <c r="I829" s="9"/>
      <c r="J829" s="9"/>
      <c r="K829" s="9"/>
      <c r="L829" s="9"/>
      <c r="M829" s="9"/>
      <c r="N829" s="9"/>
      <c r="O829" s="9"/>
      <c r="P829" s="9"/>
      <c r="Q829" s="9"/>
      <c r="R829" s="9" t="s">
        <v>1311</v>
      </c>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c r="BW829" s="9"/>
      <c r="BX829" s="9"/>
      <c r="BY829" s="9"/>
      <c r="BZ829" s="9"/>
      <c r="CA829" s="9"/>
      <c r="CB829" s="9"/>
      <c r="CC829" s="9"/>
      <c r="CD829" s="9"/>
      <c r="CE829" s="9"/>
      <c r="CF829" s="9"/>
      <c r="CG829" s="9"/>
      <c r="CH829" s="9"/>
      <c r="CI829" s="9"/>
      <c r="CJ829" s="9"/>
      <c r="CK829" s="9"/>
      <c r="CL829" s="9"/>
      <c r="CM829" s="9"/>
      <c r="CN829" s="9"/>
      <c r="CO829" s="9"/>
      <c r="CP829" s="16"/>
    </row>
    <row r="830" spans="1:94" ht="15" customHeight="1" x14ac:dyDescent="0.15">
      <c r="A830" s="15"/>
      <c r="B830" s="9"/>
      <c r="C830" s="9"/>
      <c r="D830" s="9"/>
      <c r="E830" s="9"/>
      <c r="F830" s="9"/>
      <c r="G830" s="9" t="s">
        <v>427</v>
      </c>
      <c r="H830" s="9"/>
      <c r="I830" s="9"/>
      <c r="J830" s="9"/>
      <c r="K830" s="9"/>
      <c r="L830" s="9"/>
      <c r="M830" s="9"/>
      <c r="N830" s="9"/>
      <c r="O830" s="9"/>
      <c r="P830" s="9"/>
      <c r="Q830" s="9"/>
      <c r="R830" s="9" t="s">
        <v>155</v>
      </c>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c r="BW830" s="9"/>
      <c r="BX830" s="9"/>
      <c r="BY830" s="9"/>
      <c r="BZ830" s="9"/>
      <c r="CA830" s="9"/>
      <c r="CB830" s="9"/>
      <c r="CC830" s="9"/>
      <c r="CD830" s="9"/>
      <c r="CE830" s="9"/>
      <c r="CF830" s="9"/>
      <c r="CG830" s="9"/>
      <c r="CH830" s="9"/>
      <c r="CI830" s="9"/>
      <c r="CJ830" s="9"/>
      <c r="CK830" s="9"/>
      <c r="CL830" s="9"/>
      <c r="CM830" s="9"/>
      <c r="CN830" s="9"/>
      <c r="CO830" s="9"/>
      <c r="CP830" s="16"/>
    </row>
    <row r="831" spans="1:94" ht="15" customHeight="1" x14ac:dyDescent="0.15">
      <c r="A831" s="15"/>
      <c r="B831" s="9"/>
      <c r="C831" s="9"/>
      <c r="D831" s="9"/>
      <c r="E831" s="9"/>
      <c r="F831" s="9"/>
      <c r="G831" s="9" t="s">
        <v>428</v>
      </c>
      <c r="H831" s="9"/>
      <c r="I831" s="9"/>
      <c r="J831" s="9"/>
      <c r="K831" s="9"/>
      <c r="L831" s="9"/>
      <c r="M831" s="9"/>
      <c r="N831" s="9"/>
      <c r="O831" s="9"/>
      <c r="P831" s="9"/>
      <c r="Q831" s="9"/>
      <c r="R831" s="485" t="s">
        <v>1312</v>
      </c>
      <c r="S831" s="485"/>
      <c r="T831" s="485"/>
      <c r="U831" s="485"/>
      <c r="V831" s="485"/>
      <c r="W831" s="485"/>
      <c r="X831" s="485"/>
      <c r="Y831" s="485"/>
      <c r="Z831" s="485"/>
      <c r="AA831" s="485"/>
      <c r="AB831" s="485"/>
      <c r="AC831" s="485"/>
      <c r="AD831" s="485"/>
      <c r="AE831" s="485"/>
      <c r="AF831" s="485"/>
      <c r="AG831" s="485"/>
      <c r="AH831" s="485"/>
      <c r="AI831" s="485"/>
      <c r="AJ831" s="485"/>
      <c r="AK831" s="485"/>
      <c r="AL831" s="485"/>
      <c r="AM831" s="485"/>
      <c r="AN831" s="485"/>
      <c r="AO831" s="485"/>
      <c r="AP831" s="485"/>
      <c r="AQ831" s="485"/>
      <c r="AR831" s="485"/>
      <c r="AS831" s="485"/>
      <c r="AT831" s="485"/>
      <c r="AU831" s="485"/>
      <c r="AV831" s="485"/>
      <c r="AW831" s="485"/>
      <c r="AX831" s="485"/>
      <c r="AY831" s="485"/>
      <c r="AZ831" s="485"/>
      <c r="BA831" s="485"/>
      <c r="BB831" s="485"/>
      <c r="BC831" s="9"/>
      <c r="BD831" s="9"/>
      <c r="BE831" s="9"/>
      <c r="BF831" s="9"/>
      <c r="BG831" s="9"/>
      <c r="BH831" s="9"/>
      <c r="BI831" s="9"/>
      <c r="BJ831" s="9"/>
      <c r="BK831" s="9"/>
      <c r="BL831" s="9"/>
      <c r="BM831" s="9"/>
      <c r="BN831" s="9"/>
      <c r="BO831" s="9"/>
      <c r="BP831" s="9"/>
      <c r="BQ831" s="9"/>
      <c r="BR831" s="9"/>
      <c r="BS831" s="9"/>
      <c r="BT831" s="9"/>
      <c r="BU831" s="9"/>
      <c r="BV831" s="9"/>
      <c r="BW831" s="9"/>
      <c r="BX831" s="9"/>
      <c r="BY831" s="9"/>
      <c r="BZ831" s="9"/>
      <c r="CA831" s="9"/>
      <c r="CB831" s="9"/>
      <c r="CC831" s="9"/>
      <c r="CD831" s="9"/>
      <c r="CE831" s="9"/>
      <c r="CF831" s="9"/>
      <c r="CG831" s="9"/>
      <c r="CH831" s="9"/>
      <c r="CI831" s="9"/>
      <c r="CJ831" s="9"/>
      <c r="CK831" s="9"/>
      <c r="CL831" s="9"/>
      <c r="CM831" s="9"/>
      <c r="CN831" s="9"/>
      <c r="CO831" s="9"/>
      <c r="CP831" s="16"/>
    </row>
    <row r="832" spans="1:94" ht="15" customHeight="1" x14ac:dyDescent="0.15">
      <c r="A832" s="15"/>
      <c r="B832" s="9"/>
      <c r="C832" s="9"/>
      <c r="D832" s="9"/>
      <c r="E832" s="9"/>
      <c r="F832" s="9"/>
      <c r="G832" s="9"/>
      <c r="H832" s="9"/>
      <c r="I832" s="9"/>
      <c r="J832" s="9"/>
      <c r="K832" s="9"/>
      <c r="L832" s="9"/>
      <c r="M832" s="9"/>
      <c r="N832" s="9"/>
      <c r="O832" s="9"/>
      <c r="P832" s="9"/>
      <c r="Q832" s="9"/>
      <c r="R832" s="485"/>
      <c r="S832" s="485"/>
      <c r="T832" s="485"/>
      <c r="U832" s="485"/>
      <c r="V832" s="485"/>
      <c r="W832" s="485"/>
      <c r="X832" s="485"/>
      <c r="Y832" s="485"/>
      <c r="Z832" s="485"/>
      <c r="AA832" s="485"/>
      <c r="AB832" s="485"/>
      <c r="AC832" s="485"/>
      <c r="AD832" s="485"/>
      <c r="AE832" s="485"/>
      <c r="AF832" s="485"/>
      <c r="AG832" s="485"/>
      <c r="AH832" s="485"/>
      <c r="AI832" s="485"/>
      <c r="AJ832" s="485"/>
      <c r="AK832" s="485"/>
      <c r="AL832" s="485"/>
      <c r="AM832" s="485"/>
      <c r="AN832" s="485"/>
      <c r="AO832" s="485"/>
      <c r="AP832" s="485"/>
      <c r="AQ832" s="485"/>
      <c r="AR832" s="485"/>
      <c r="AS832" s="485"/>
      <c r="AT832" s="485"/>
      <c r="AU832" s="485"/>
      <c r="AV832" s="485"/>
      <c r="AW832" s="485"/>
      <c r="AX832" s="485"/>
      <c r="AY832" s="485"/>
      <c r="AZ832" s="485"/>
      <c r="BA832" s="485"/>
      <c r="BB832" s="485"/>
      <c r="BC832" s="9"/>
      <c r="BD832" s="9"/>
      <c r="BE832" s="9"/>
      <c r="BF832" s="9"/>
      <c r="BG832" s="9"/>
      <c r="BH832" s="9"/>
      <c r="BI832" s="9"/>
      <c r="BJ832" s="9"/>
      <c r="BK832" s="9"/>
      <c r="BL832" s="9"/>
      <c r="BM832" s="9"/>
      <c r="BN832" s="9"/>
      <c r="BO832" s="9"/>
      <c r="BP832" s="9"/>
      <c r="BQ832" s="9"/>
      <c r="BR832" s="9"/>
      <c r="BS832" s="9"/>
      <c r="BT832" s="9"/>
      <c r="BU832" s="9"/>
      <c r="BV832" s="9"/>
      <c r="BW832" s="9"/>
      <c r="BX832" s="9"/>
      <c r="BY832" s="9"/>
      <c r="BZ832" s="9"/>
      <c r="CA832" s="9"/>
      <c r="CB832" s="9"/>
      <c r="CC832" s="9"/>
      <c r="CD832" s="9"/>
      <c r="CE832" s="9"/>
      <c r="CF832" s="9"/>
      <c r="CG832" s="9"/>
      <c r="CH832" s="9"/>
      <c r="CI832" s="9"/>
      <c r="CJ832" s="9"/>
      <c r="CK832" s="9"/>
      <c r="CL832" s="9"/>
      <c r="CM832" s="9"/>
      <c r="CN832" s="9"/>
      <c r="CO832" s="9"/>
      <c r="CP832" s="16"/>
    </row>
    <row r="833" spans="1:94" ht="15" customHeight="1" x14ac:dyDescent="0.15">
      <c r="A833" s="15"/>
      <c r="B833" s="9"/>
      <c r="C833" s="9"/>
      <c r="D833" s="9"/>
      <c r="E833" s="9"/>
      <c r="F833" s="9"/>
      <c r="G833" s="9"/>
      <c r="H833" s="9"/>
      <c r="I833" s="9"/>
      <c r="J833" s="9"/>
      <c r="K833" s="9"/>
      <c r="L833" s="9"/>
      <c r="M833" s="9"/>
      <c r="N833" s="9"/>
      <c r="O833" s="9"/>
      <c r="P833" s="9"/>
      <c r="Q833" s="9"/>
      <c r="R833" s="485"/>
      <c r="S833" s="485"/>
      <c r="T833" s="485"/>
      <c r="U833" s="485"/>
      <c r="V833" s="485"/>
      <c r="W833" s="485"/>
      <c r="X833" s="485"/>
      <c r="Y833" s="485"/>
      <c r="Z833" s="485"/>
      <c r="AA833" s="485"/>
      <c r="AB833" s="485"/>
      <c r="AC833" s="485"/>
      <c r="AD833" s="485"/>
      <c r="AE833" s="485"/>
      <c r="AF833" s="485"/>
      <c r="AG833" s="485"/>
      <c r="AH833" s="485"/>
      <c r="AI833" s="485"/>
      <c r="AJ833" s="485"/>
      <c r="AK833" s="485"/>
      <c r="AL833" s="485"/>
      <c r="AM833" s="485"/>
      <c r="AN833" s="485"/>
      <c r="AO833" s="485"/>
      <c r="AP833" s="485"/>
      <c r="AQ833" s="485"/>
      <c r="AR833" s="485"/>
      <c r="AS833" s="485"/>
      <c r="AT833" s="485"/>
      <c r="AU833" s="485"/>
      <c r="AV833" s="485"/>
      <c r="AW833" s="485"/>
      <c r="AX833" s="485"/>
      <c r="AY833" s="485"/>
      <c r="AZ833" s="485"/>
      <c r="BA833" s="485"/>
      <c r="BB833" s="485"/>
      <c r="BC833" s="9"/>
      <c r="BD833" s="9"/>
      <c r="BE833" s="9"/>
      <c r="BF833" s="9"/>
      <c r="BG833" s="9"/>
      <c r="BH833" s="9"/>
      <c r="BI833" s="9"/>
      <c r="BJ833" s="9"/>
      <c r="BK833" s="9"/>
      <c r="BL833" s="9"/>
      <c r="BM833" s="9"/>
      <c r="BN833" s="9"/>
      <c r="BO833" s="9"/>
      <c r="BP833" s="9"/>
      <c r="BQ833" s="9"/>
      <c r="BR833" s="9"/>
      <c r="BS833" s="9"/>
      <c r="BT833" s="9"/>
      <c r="BU833" s="9"/>
      <c r="BV833" s="9"/>
      <c r="BW833" s="9"/>
      <c r="BX833" s="9"/>
      <c r="BY833" s="9"/>
      <c r="BZ833" s="9"/>
      <c r="CA833" s="9"/>
      <c r="CB833" s="9"/>
      <c r="CC833" s="9"/>
      <c r="CD833" s="9"/>
      <c r="CE833" s="9"/>
      <c r="CF833" s="9"/>
      <c r="CG833" s="9"/>
      <c r="CH833" s="9"/>
      <c r="CI833" s="9"/>
      <c r="CJ833" s="9"/>
      <c r="CK833" s="9"/>
      <c r="CL833" s="9"/>
      <c r="CM833" s="9"/>
      <c r="CN833" s="9"/>
      <c r="CO833" s="9"/>
      <c r="CP833" s="16"/>
    </row>
    <row r="834" spans="1:94" ht="15" customHeight="1" x14ac:dyDescent="0.15">
      <c r="A834" s="15"/>
      <c r="B834" s="9"/>
      <c r="C834" s="9"/>
      <c r="D834" s="9"/>
      <c r="E834" s="9"/>
      <c r="F834" s="9"/>
      <c r="G834" s="9"/>
      <c r="H834" s="9"/>
      <c r="I834" s="9"/>
      <c r="J834" s="9"/>
      <c r="K834" s="9"/>
      <c r="L834" s="9"/>
      <c r="M834" s="9"/>
      <c r="N834" s="9"/>
      <c r="O834" s="9"/>
      <c r="P834" s="9"/>
      <c r="Q834" s="9"/>
      <c r="R834" s="485"/>
      <c r="S834" s="485"/>
      <c r="T834" s="485"/>
      <c r="U834" s="485"/>
      <c r="V834" s="485"/>
      <c r="W834" s="485"/>
      <c r="X834" s="485"/>
      <c r="Y834" s="485"/>
      <c r="Z834" s="485"/>
      <c r="AA834" s="485"/>
      <c r="AB834" s="485"/>
      <c r="AC834" s="485"/>
      <c r="AD834" s="485"/>
      <c r="AE834" s="485"/>
      <c r="AF834" s="485"/>
      <c r="AG834" s="485"/>
      <c r="AH834" s="485"/>
      <c r="AI834" s="485"/>
      <c r="AJ834" s="485"/>
      <c r="AK834" s="485"/>
      <c r="AL834" s="485"/>
      <c r="AM834" s="485"/>
      <c r="AN834" s="485"/>
      <c r="AO834" s="485"/>
      <c r="AP834" s="485"/>
      <c r="AQ834" s="485"/>
      <c r="AR834" s="485"/>
      <c r="AS834" s="485"/>
      <c r="AT834" s="485"/>
      <c r="AU834" s="485"/>
      <c r="AV834" s="485"/>
      <c r="AW834" s="485"/>
      <c r="AX834" s="485"/>
      <c r="AY834" s="485"/>
      <c r="AZ834" s="485"/>
      <c r="BA834" s="485"/>
      <c r="BB834" s="485"/>
      <c r="BC834" s="9"/>
      <c r="BD834" s="9"/>
      <c r="BE834" s="9"/>
      <c r="BF834" s="9"/>
      <c r="BG834" s="9"/>
      <c r="BH834" s="9"/>
      <c r="BI834" s="9"/>
      <c r="BJ834" s="9"/>
      <c r="BK834" s="9"/>
      <c r="BL834" s="9"/>
      <c r="BM834" s="9"/>
      <c r="BN834" s="9"/>
      <c r="BO834" s="9"/>
      <c r="BP834" s="9"/>
      <c r="BQ834" s="9"/>
      <c r="BR834" s="9"/>
      <c r="BS834" s="9"/>
      <c r="BT834" s="9"/>
      <c r="BU834" s="9"/>
      <c r="BV834" s="9"/>
      <c r="BW834" s="9"/>
      <c r="BX834" s="9"/>
      <c r="BY834" s="9"/>
      <c r="BZ834" s="9"/>
      <c r="CA834" s="9"/>
      <c r="CB834" s="9"/>
      <c r="CC834" s="9"/>
      <c r="CD834" s="9"/>
      <c r="CE834" s="9"/>
      <c r="CF834" s="9"/>
      <c r="CG834" s="9"/>
      <c r="CH834" s="9"/>
      <c r="CI834" s="9"/>
      <c r="CJ834" s="9"/>
      <c r="CK834" s="9"/>
      <c r="CL834" s="9"/>
      <c r="CM834" s="9"/>
      <c r="CN834" s="9"/>
      <c r="CO834" s="9"/>
      <c r="CP834" s="16"/>
    </row>
    <row r="835" spans="1:94" ht="15" customHeight="1" x14ac:dyDescent="0.15">
      <c r="A835" s="15"/>
      <c r="B835" s="9"/>
      <c r="C835" s="9"/>
      <c r="D835" s="9"/>
      <c r="E835" s="9"/>
      <c r="F835" s="9"/>
      <c r="G835" s="9" t="s">
        <v>429</v>
      </c>
      <c r="H835" s="9"/>
      <c r="I835" s="9"/>
      <c r="J835" s="9"/>
      <c r="K835" s="9"/>
      <c r="L835" s="9"/>
      <c r="M835" s="9"/>
      <c r="N835" s="9"/>
      <c r="O835" s="9"/>
      <c r="P835" s="9"/>
      <c r="Q835" s="9"/>
      <c r="R835" s="9" t="s">
        <v>155</v>
      </c>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9"/>
      <c r="BX835" s="9"/>
      <c r="BY835" s="9"/>
      <c r="BZ835" s="9"/>
      <c r="CA835" s="9"/>
      <c r="CB835" s="9"/>
      <c r="CC835" s="9"/>
      <c r="CD835" s="9"/>
      <c r="CE835" s="9"/>
      <c r="CF835" s="9"/>
      <c r="CG835" s="9"/>
      <c r="CH835" s="9"/>
      <c r="CI835" s="9"/>
      <c r="CJ835" s="9"/>
      <c r="CK835" s="9"/>
      <c r="CL835" s="9"/>
      <c r="CM835" s="9"/>
      <c r="CN835" s="9"/>
      <c r="CO835" s="9"/>
      <c r="CP835" s="16"/>
    </row>
    <row r="836" spans="1:94" ht="15" customHeight="1" x14ac:dyDescent="0.15">
      <c r="A836" s="15"/>
      <c r="B836" s="9"/>
      <c r="C836" s="9"/>
      <c r="D836" s="9"/>
      <c r="E836" s="9"/>
      <c r="F836" s="9"/>
      <c r="G836" s="9" t="s">
        <v>430</v>
      </c>
      <c r="H836" s="9"/>
      <c r="I836" s="9"/>
      <c r="J836" s="9"/>
      <c r="K836" s="9"/>
      <c r="L836" s="9"/>
      <c r="M836" s="9"/>
      <c r="N836" s="9"/>
      <c r="O836" s="9"/>
      <c r="P836" s="9"/>
      <c r="Q836" s="9"/>
      <c r="R836" s="9" t="s">
        <v>431</v>
      </c>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9"/>
      <c r="BX836" s="9"/>
      <c r="BY836" s="9"/>
      <c r="BZ836" s="9"/>
      <c r="CA836" s="9"/>
      <c r="CB836" s="9"/>
      <c r="CC836" s="9"/>
      <c r="CD836" s="9"/>
      <c r="CE836" s="9"/>
      <c r="CF836" s="9"/>
      <c r="CG836" s="9"/>
      <c r="CH836" s="9"/>
      <c r="CI836" s="9"/>
      <c r="CJ836" s="9"/>
      <c r="CK836" s="9"/>
      <c r="CL836" s="9"/>
      <c r="CM836" s="9"/>
      <c r="CN836" s="9"/>
      <c r="CO836" s="9"/>
      <c r="CP836" s="16"/>
    </row>
    <row r="837" spans="1:94" ht="15" customHeight="1" x14ac:dyDescent="0.15">
      <c r="A837" s="15"/>
      <c r="B837" s="9"/>
      <c r="C837" s="9"/>
      <c r="D837" s="9"/>
      <c r="E837" s="9"/>
      <c r="F837" s="9" t="s">
        <v>432</v>
      </c>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c r="BW837" s="9"/>
      <c r="BX837" s="9"/>
      <c r="BY837" s="9"/>
      <c r="BZ837" s="9"/>
      <c r="CA837" s="9"/>
      <c r="CB837" s="9"/>
      <c r="CC837" s="9"/>
      <c r="CD837" s="9"/>
      <c r="CE837" s="9"/>
      <c r="CF837" s="9"/>
      <c r="CG837" s="9"/>
      <c r="CH837" s="9"/>
      <c r="CI837" s="9"/>
      <c r="CJ837" s="9"/>
      <c r="CK837" s="9"/>
      <c r="CL837" s="9"/>
      <c r="CM837" s="9"/>
      <c r="CN837" s="9"/>
      <c r="CO837" s="9"/>
      <c r="CP837" s="16"/>
    </row>
    <row r="838" spans="1:94" ht="15" customHeight="1" x14ac:dyDescent="0.15">
      <c r="A838" s="15"/>
      <c r="B838" s="9"/>
      <c r="C838" s="9"/>
      <c r="D838" s="9"/>
      <c r="E838" s="9"/>
      <c r="F838" s="9"/>
      <c r="G838" s="9" t="s">
        <v>423</v>
      </c>
      <c r="H838" s="9"/>
      <c r="I838" s="9"/>
      <c r="J838" s="9"/>
      <c r="K838" s="9"/>
      <c r="L838" s="9"/>
      <c r="M838" s="9"/>
      <c r="N838" s="9"/>
      <c r="O838" s="9"/>
      <c r="P838" s="9"/>
      <c r="Q838" s="9"/>
      <c r="R838" s="9" t="s">
        <v>424</v>
      </c>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9"/>
      <c r="BX838" s="9"/>
      <c r="BY838" s="9"/>
      <c r="BZ838" s="9"/>
      <c r="CA838" s="9"/>
      <c r="CB838" s="9"/>
      <c r="CC838" s="9"/>
      <c r="CD838" s="9"/>
      <c r="CE838" s="9"/>
      <c r="CF838" s="9"/>
      <c r="CG838" s="9"/>
      <c r="CH838" s="9"/>
      <c r="CI838" s="9"/>
      <c r="CJ838" s="9"/>
      <c r="CK838" s="9"/>
      <c r="CL838" s="9"/>
      <c r="CM838" s="9"/>
      <c r="CN838" s="9"/>
      <c r="CO838" s="9"/>
      <c r="CP838" s="16"/>
    </row>
    <row r="839" spans="1:94" ht="15" customHeight="1" x14ac:dyDescent="0.15">
      <c r="A839" s="15"/>
      <c r="B839" s="9"/>
      <c r="C839" s="9"/>
      <c r="D839" s="9"/>
      <c r="E839" s="9"/>
      <c r="F839" s="9"/>
      <c r="G839" s="9" t="s">
        <v>425</v>
      </c>
      <c r="H839" s="9"/>
      <c r="I839" s="9"/>
      <c r="J839" s="9"/>
      <c r="K839" s="9"/>
      <c r="L839" s="9"/>
      <c r="M839" s="9"/>
      <c r="N839" s="9"/>
      <c r="O839" s="9"/>
      <c r="P839" s="9"/>
      <c r="Q839" s="9"/>
      <c r="R839" s="9" t="s">
        <v>155</v>
      </c>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c r="BW839" s="9"/>
      <c r="BX839" s="9"/>
      <c r="BY839" s="9"/>
      <c r="BZ839" s="9"/>
      <c r="CA839" s="9"/>
      <c r="CB839" s="9"/>
      <c r="CC839" s="9"/>
      <c r="CD839" s="9"/>
      <c r="CE839" s="9"/>
      <c r="CF839" s="9"/>
      <c r="CG839" s="9"/>
      <c r="CH839" s="9"/>
      <c r="CI839" s="9"/>
      <c r="CJ839" s="9"/>
      <c r="CK839" s="9"/>
      <c r="CL839" s="9"/>
      <c r="CM839" s="9"/>
      <c r="CN839" s="9"/>
      <c r="CO839" s="9"/>
      <c r="CP839" s="16"/>
    </row>
    <row r="840" spans="1:94" ht="15" customHeight="1" x14ac:dyDescent="0.15">
      <c r="A840" s="15"/>
      <c r="B840" s="9"/>
      <c r="C840" s="9"/>
      <c r="D840" s="9"/>
      <c r="E840" s="9"/>
      <c r="F840" s="9"/>
      <c r="G840" s="9" t="s">
        <v>426</v>
      </c>
      <c r="H840" s="9"/>
      <c r="I840" s="9"/>
      <c r="J840" s="9"/>
      <c r="K840" s="9"/>
      <c r="L840" s="9"/>
      <c r="M840" s="9"/>
      <c r="N840" s="9"/>
      <c r="O840" s="9"/>
      <c r="P840" s="9"/>
      <c r="Q840" s="9"/>
      <c r="R840" s="9" t="s">
        <v>1311</v>
      </c>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c r="BW840" s="9"/>
      <c r="BX840" s="9"/>
      <c r="BY840" s="9"/>
      <c r="BZ840" s="9"/>
      <c r="CA840" s="9"/>
      <c r="CB840" s="9"/>
      <c r="CC840" s="9"/>
      <c r="CD840" s="9"/>
      <c r="CE840" s="9"/>
      <c r="CF840" s="9"/>
      <c r="CG840" s="9"/>
      <c r="CH840" s="9"/>
      <c r="CI840" s="9"/>
      <c r="CJ840" s="9"/>
      <c r="CK840" s="9"/>
      <c r="CL840" s="9"/>
      <c r="CM840" s="9"/>
      <c r="CN840" s="9"/>
      <c r="CO840" s="9"/>
      <c r="CP840" s="16"/>
    </row>
    <row r="841" spans="1:94" ht="15" customHeight="1" x14ac:dyDescent="0.15">
      <c r="A841" s="15"/>
      <c r="B841" s="9"/>
      <c r="C841" s="9"/>
      <c r="D841" s="9"/>
      <c r="E841" s="9"/>
      <c r="F841" s="9"/>
      <c r="G841" s="9" t="s">
        <v>427</v>
      </c>
      <c r="H841" s="9"/>
      <c r="I841" s="9"/>
      <c r="J841" s="9"/>
      <c r="K841" s="9"/>
      <c r="L841" s="9"/>
      <c r="M841" s="9"/>
      <c r="N841" s="9"/>
      <c r="O841" s="9"/>
      <c r="P841" s="9"/>
      <c r="Q841" s="9"/>
      <c r="R841" s="9" t="s">
        <v>155</v>
      </c>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c r="BW841" s="9"/>
      <c r="BX841" s="9"/>
      <c r="BY841" s="9"/>
      <c r="BZ841" s="9"/>
      <c r="CA841" s="9"/>
      <c r="CB841" s="9"/>
      <c r="CC841" s="9"/>
      <c r="CD841" s="9"/>
      <c r="CE841" s="9"/>
      <c r="CF841" s="9"/>
      <c r="CG841" s="9"/>
      <c r="CH841" s="9"/>
      <c r="CI841" s="9"/>
      <c r="CJ841" s="9"/>
      <c r="CK841" s="9"/>
      <c r="CL841" s="9"/>
      <c r="CM841" s="9"/>
      <c r="CN841" s="9"/>
      <c r="CO841" s="9"/>
      <c r="CP841" s="16"/>
    </row>
    <row r="842" spans="1:94" ht="15" customHeight="1" x14ac:dyDescent="0.15">
      <c r="A842" s="15"/>
      <c r="B842" s="9"/>
      <c r="C842" s="9"/>
      <c r="D842" s="9"/>
      <c r="E842" s="9"/>
      <c r="F842" s="9"/>
      <c r="G842" s="9" t="s">
        <v>428</v>
      </c>
      <c r="H842" s="9"/>
      <c r="I842" s="9"/>
      <c r="J842" s="9"/>
      <c r="K842" s="9"/>
      <c r="L842" s="9"/>
      <c r="M842" s="9"/>
      <c r="N842" s="9"/>
      <c r="O842" s="9"/>
      <c r="P842" s="9"/>
      <c r="Q842" s="9"/>
      <c r="R842" s="9" t="s">
        <v>433</v>
      </c>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c r="BW842" s="9"/>
      <c r="BX842" s="9"/>
      <c r="BY842" s="9"/>
      <c r="BZ842" s="9"/>
      <c r="CA842" s="9"/>
      <c r="CB842" s="9"/>
      <c r="CC842" s="9"/>
      <c r="CD842" s="9"/>
      <c r="CE842" s="9"/>
      <c r="CF842" s="9"/>
      <c r="CG842" s="9"/>
      <c r="CH842" s="9"/>
      <c r="CI842" s="9"/>
      <c r="CJ842" s="9"/>
      <c r="CK842" s="9"/>
      <c r="CL842" s="9"/>
      <c r="CM842" s="9"/>
      <c r="CN842" s="9"/>
      <c r="CO842" s="9"/>
      <c r="CP842" s="16"/>
    </row>
    <row r="843" spans="1:94" ht="15" customHeight="1" x14ac:dyDescent="0.15">
      <c r="A843" s="15"/>
      <c r="B843" s="9"/>
      <c r="C843" s="9"/>
      <c r="D843" s="9"/>
      <c r="E843" s="9"/>
      <c r="F843" s="9"/>
      <c r="G843" s="9" t="s">
        <v>429</v>
      </c>
      <c r="H843" s="9"/>
      <c r="I843" s="9"/>
      <c r="J843" s="9"/>
      <c r="K843" s="9"/>
      <c r="L843" s="9"/>
      <c r="M843" s="9"/>
      <c r="N843" s="9"/>
      <c r="O843" s="9"/>
      <c r="P843" s="9"/>
      <c r="Q843" s="9"/>
      <c r="R843" s="9" t="s">
        <v>1313</v>
      </c>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c r="BW843" s="9"/>
      <c r="BX843" s="9"/>
      <c r="BY843" s="9"/>
      <c r="BZ843" s="9"/>
      <c r="CA843" s="9"/>
      <c r="CB843" s="9"/>
      <c r="CC843" s="9"/>
      <c r="CD843" s="9"/>
      <c r="CE843" s="9"/>
      <c r="CF843" s="9"/>
      <c r="CG843" s="9"/>
      <c r="CH843" s="9"/>
      <c r="CI843" s="9"/>
      <c r="CJ843" s="9"/>
      <c r="CK843" s="9"/>
      <c r="CL843" s="9"/>
      <c r="CM843" s="9"/>
      <c r="CN843" s="9"/>
      <c r="CO843" s="9"/>
      <c r="CP843" s="16"/>
    </row>
    <row r="844" spans="1:94" ht="15" customHeight="1" x14ac:dyDescent="0.15">
      <c r="A844" s="15"/>
      <c r="B844" s="9"/>
      <c r="C844" s="9"/>
      <c r="D844" s="9"/>
      <c r="E844" s="9"/>
      <c r="F844" s="9"/>
      <c r="G844" s="9" t="s">
        <v>430</v>
      </c>
      <c r="H844" s="9"/>
      <c r="I844" s="9"/>
      <c r="J844" s="9"/>
      <c r="K844" s="9"/>
      <c r="L844" s="9"/>
      <c r="M844" s="9"/>
      <c r="N844" s="9"/>
      <c r="O844" s="9"/>
      <c r="P844" s="9"/>
      <c r="Q844" s="9"/>
      <c r="R844" s="9" t="s">
        <v>431</v>
      </c>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c r="BW844" s="9"/>
      <c r="BX844" s="9"/>
      <c r="BY844" s="9"/>
      <c r="BZ844" s="9"/>
      <c r="CA844" s="9"/>
      <c r="CB844" s="9"/>
      <c r="CC844" s="9"/>
      <c r="CD844" s="9"/>
      <c r="CE844" s="9"/>
      <c r="CF844" s="9"/>
      <c r="CG844" s="9"/>
      <c r="CH844" s="9"/>
      <c r="CI844" s="9"/>
      <c r="CJ844" s="9"/>
      <c r="CK844" s="9"/>
      <c r="CL844" s="9"/>
      <c r="CM844" s="9"/>
      <c r="CN844" s="9"/>
      <c r="CO844" s="9"/>
      <c r="CP844" s="16"/>
    </row>
    <row r="845" spans="1:94" ht="15" customHeight="1" thickBot="1" x14ac:dyDescent="0.2">
      <c r="A845" s="19"/>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c r="BW845" s="20"/>
      <c r="BX845" s="20"/>
      <c r="BY845" s="20"/>
      <c r="BZ845" s="20"/>
      <c r="CA845" s="20"/>
      <c r="CB845" s="20"/>
      <c r="CC845" s="20"/>
      <c r="CD845" s="20"/>
      <c r="CE845" s="20"/>
      <c r="CF845" s="20"/>
      <c r="CG845" s="20"/>
      <c r="CH845" s="20"/>
      <c r="CI845" s="20"/>
      <c r="CJ845" s="20"/>
      <c r="CK845" s="20"/>
      <c r="CL845" s="20"/>
      <c r="CM845" s="20"/>
      <c r="CN845" s="20"/>
      <c r="CO845" s="20"/>
      <c r="CP845" s="21"/>
    </row>
    <row r="846" spans="1:94" ht="15" customHeight="1" x14ac:dyDescent="0.15">
      <c r="A846" s="47"/>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48"/>
      <c r="BJ846" s="48"/>
      <c r="BK846" s="48"/>
      <c r="BL846" s="48"/>
      <c r="BM846" s="48"/>
      <c r="BN846" s="48"/>
      <c r="BO846" s="48"/>
      <c r="BP846" s="48"/>
      <c r="BQ846" s="48"/>
      <c r="BR846" s="48"/>
      <c r="BS846" s="48"/>
      <c r="BT846" s="48"/>
      <c r="BU846" s="48"/>
      <c r="BV846" s="48"/>
      <c r="BW846" s="48"/>
      <c r="BX846" s="48"/>
      <c r="BY846" s="48"/>
      <c r="BZ846" s="48"/>
      <c r="CA846" s="48"/>
      <c r="CB846" s="48"/>
      <c r="CC846" s="48"/>
      <c r="CD846" s="48"/>
      <c r="CE846" s="48"/>
      <c r="CF846" s="48"/>
      <c r="CG846" s="48"/>
      <c r="CH846" s="48"/>
      <c r="CI846" s="48"/>
      <c r="CJ846" s="48"/>
      <c r="CK846" s="48"/>
      <c r="CL846" s="48"/>
      <c r="CM846" s="48"/>
      <c r="CN846" s="48"/>
      <c r="CO846" s="48"/>
      <c r="CP846" s="49"/>
    </row>
    <row r="847" spans="1:94" ht="15" customHeight="1" x14ac:dyDescent="0.15">
      <c r="A847" s="15"/>
      <c r="B847" s="9"/>
      <c r="C847" s="9"/>
      <c r="D847" s="9" t="s">
        <v>731</v>
      </c>
      <c r="E847" s="56"/>
      <c r="F847" s="56"/>
      <c r="G847" s="18"/>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9"/>
      <c r="BX847" s="9"/>
      <c r="BY847" s="9"/>
      <c r="BZ847" s="9"/>
      <c r="CA847" s="9"/>
      <c r="CB847" s="9"/>
      <c r="CC847" s="9"/>
      <c r="CD847" s="9"/>
      <c r="CE847" s="9"/>
      <c r="CF847" s="9"/>
      <c r="CG847" s="9"/>
      <c r="CH847" s="9"/>
      <c r="CI847" s="9"/>
      <c r="CJ847" s="9"/>
      <c r="CK847" s="9"/>
      <c r="CL847" s="9"/>
      <c r="CM847" s="9"/>
      <c r="CN847" s="9"/>
      <c r="CO847" s="9"/>
      <c r="CP847" s="16"/>
    </row>
    <row r="848" spans="1:94" ht="15" customHeight="1" x14ac:dyDescent="0.15">
      <c r="A848" s="15"/>
      <c r="B848" s="9"/>
      <c r="C848" s="9"/>
      <c r="D848" s="9"/>
      <c r="E848" s="83" t="s">
        <v>732</v>
      </c>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9"/>
      <c r="BX848" s="9"/>
      <c r="BY848" s="9"/>
      <c r="BZ848" s="9"/>
      <c r="CA848" s="9"/>
      <c r="CB848" s="9"/>
      <c r="CC848" s="9"/>
      <c r="CD848" s="9"/>
      <c r="CE848" s="9"/>
      <c r="CF848" s="9"/>
      <c r="CG848" s="9"/>
      <c r="CH848" s="9"/>
      <c r="CI848" s="9"/>
      <c r="CJ848" s="9"/>
      <c r="CK848" s="9"/>
      <c r="CL848" s="9"/>
      <c r="CM848" s="9"/>
      <c r="CN848" s="9"/>
      <c r="CO848" s="9"/>
      <c r="CP848" s="16"/>
    </row>
    <row r="849" spans="1:94" ht="15" customHeight="1" x14ac:dyDescent="0.15">
      <c r="A849" s="15"/>
      <c r="B849" s="9"/>
      <c r="C849" s="9"/>
      <c r="D849" s="9"/>
      <c r="E849" s="78" t="s">
        <v>286</v>
      </c>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c r="AH849" s="64"/>
      <c r="AI849" s="64"/>
      <c r="AJ849" s="64"/>
      <c r="AK849" s="64"/>
      <c r="AL849" s="64"/>
      <c r="AM849" s="64"/>
      <c r="AN849" s="64"/>
      <c r="AO849" s="64"/>
      <c r="AP849" s="64"/>
      <c r="AQ849" s="64"/>
      <c r="AR849" s="64"/>
      <c r="AS849" s="64"/>
      <c r="AT849" s="64"/>
      <c r="AU849" s="64"/>
      <c r="AV849" s="64"/>
      <c r="AW849" s="64"/>
      <c r="AX849" s="64"/>
      <c r="AY849" s="64"/>
      <c r="AZ849" s="64"/>
      <c r="BA849" s="64"/>
      <c r="BB849" s="64"/>
      <c r="BC849" s="64"/>
      <c r="BD849" s="64"/>
      <c r="BE849" s="64"/>
      <c r="BF849" s="64"/>
      <c r="BG849" s="64"/>
      <c r="BH849" s="64"/>
      <c r="BI849" s="64"/>
      <c r="BJ849" s="64"/>
      <c r="BK849" s="64"/>
      <c r="BL849" s="64"/>
      <c r="BM849" s="64"/>
      <c r="BN849" s="64"/>
      <c r="BO849" s="64"/>
      <c r="BP849" s="64"/>
      <c r="BQ849" s="64"/>
      <c r="BR849" s="64"/>
      <c r="BS849" s="64"/>
      <c r="BT849" s="64"/>
      <c r="BU849" s="64"/>
      <c r="BV849" s="64"/>
      <c r="BW849" s="64"/>
      <c r="BX849" s="64"/>
      <c r="BY849" s="64"/>
      <c r="BZ849" s="64"/>
      <c r="CA849" s="64"/>
      <c r="CB849" s="64"/>
      <c r="CC849" s="64"/>
      <c r="CD849" s="64"/>
      <c r="CE849" s="64"/>
      <c r="CF849" s="64"/>
      <c r="CG849" s="64"/>
      <c r="CH849" s="64"/>
      <c r="CI849" s="65"/>
      <c r="CJ849" s="9"/>
      <c r="CK849" s="9"/>
      <c r="CL849" s="9"/>
      <c r="CM849" s="9"/>
      <c r="CN849" s="9"/>
      <c r="CO849" s="9"/>
      <c r="CP849" s="16"/>
    </row>
    <row r="850" spans="1:94" ht="15" customHeight="1" x14ac:dyDescent="0.15">
      <c r="A850" s="15"/>
      <c r="B850" s="9"/>
      <c r="C850" s="9"/>
      <c r="D850" s="9"/>
      <c r="E850" s="80" t="s">
        <v>907</v>
      </c>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9"/>
      <c r="BX850" s="9"/>
      <c r="BY850" s="9"/>
      <c r="BZ850" s="9"/>
      <c r="CA850" s="9"/>
      <c r="CB850" s="9"/>
      <c r="CC850" s="9"/>
      <c r="CD850" s="9"/>
      <c r="CE850" s="9"/>
      <c r="CF850" s="9"/>
      <c r="CG850" s="9"/>
      <c r="CH850" s="9"/>
      <c r="CI850" s="66"/>
      <c r="CJ850" s="9"/>
      <c r="CK850" s="9"/>
      <c r="CL850" s="9"/>
      <c r="CM850" s="9"/>
      <c r="CN850" s="9"/>
      <c r="CO850" s="9"/>
      <c r="CP850" s="16"/>
    </row>
    <row r="851" spans="1:94" ht="15" customHeight="1" x14ac:dyDescent="0.15">
      <c r="A851" s="15"/>
      <c r="B851" s="9"/>
      <c r="C851" s="9"/>
      <c r="D851" s="9"/>
      <c r="E851" s="80" t="s">
        <v>908</v>
      </c>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9"/>
      <c r="BX851" s="9"/>
      <c r="BY851" s="9"/>
      <c r="BZ851" s="9"/>
      <c r="CA851" s="9"/>
      <c r="CB851" s="9"/>
      <c r="CC851" s="9"/>
      <c r="CD851" s="9"/>
      <c r="CE851" s="9"/>
      <c r="CF851" s="9"/>
      <c r="CG851" s="9"/>
      <c r="CH851" s="9"/>
      <c r="CI851" s="66"/>
      <c r="CJ851" s="9"/>
      <c r="CK851" s="9"/>
      <c r="CL851" s="9"/>
      <c r="CM851" s="9"/>
      <c r="CN851" s="9"/>
      <c r="CO851" s="9"/>
      <c r="CP851" s="16"/>
    </row>
    <row r="852" spans="1:94" ht="15" customHeight="1" x14ac:dyDescent="0.15">
      <c r="A852" s="15"/>
      <c r="B852" s="9"/>
      <c r="C852" s="9"/>
      <c r="D852" s="9"/>
      <c r="E852" s="80" t="s">
        <v>287</v>
      </c>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9"/>
      <c r="BX852" s="9"/>
      <c r="BY852" s="9"/>
      <c r="BZ852" s="9"/>
      <c r="CA852" s="9"/>
      <c r="CB852" s="9"/>
      <c r="CC852" s="9"/>
      <c r="CD852" s="9"/>
      <c r="CE852" s="9"/>
      <c r="CF852" s="9"/>
      <c r="CG852" s="9"/>
      <c r="CH852" s="9"/>
      <c r="CI852" s="66"/>
      <c r="CJ852" s="9"/>
      <c r="CK852" s="9"/>
      <c r="CL852" s="9"/>
      <c r="CM852" s="9"/>
      <c r="CN852" s="9"/>
      <c r="CO852" s="9"/>
      <c r="CP852" s="16"/>
    </row>
    <row r="853" spans="1:94" ht="15" customHeight="1" x14ac:dyDescent="0.15">
      <c r="A853" s="15"/>
      <c r="B853" s="9"/>
      <c r="C853" s="9"/>
      <c r="D853" s="9"/>
      <c r="E853" s="80" t="s">
        <v>288</v>
      </c>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9"/>
      <c r="BX853" s="9"/>
      <c r="BY853" s="9"/>
      <c r="BZ853" s="9"/>
      <c r="CA853" s="9"/>
      <c r="CB853" s="9"/>
      <c r="CC853" s="9"/>
      <c r="CD853" s="9"/>
      <c r="CE853" s="9"/>
      <c r="CF853" s="9"/>
      <c r="CG853" s="9"/>
      <c r="CH853" s="9"/>
      <c r="CI853" s="66"/>
      <c r="CJ853" s="9"/>
      <c r="CK853" s="9"/>
      <c r="CL853" s="9"/>
      <c r="CM853" s="9"/>
      <c r="CN853" s="9"/>
      <c r="CO853" s="9"/>
      <c r="CP853" s="16"/>
    </row>
    <row r="854" spans="1:94" ht="15" customHeight="1" x14ac:dyDescent="0.15">
      <c r="A854" s="15"/>
      <c r="B854" s="9"/>
      <c r="C854" s="9"/>
      <c r="D854" s="9"/>
      <c r="E854" s="80" t="s">
        <v>289</v>
      </c>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9"/>
      <c r="BX854" s="9"/>
      <c r="BY854" s="9"/>
      <c r="BZ854" s="9"/>
      <c r="CA854" s="9"/>
      <c r="CB854" s="9"/>
      <c r="CC854" s="9"/>
      <c r="CD854" s="9"/>
      <c r="CE854" s="9"/>
      <c r="CF854" s="9"/>
      <c r="CG854" s="9"/>
      <c r="CH854" s="9"/>
      <c r="CI854" s="66"/>
      <c r="CJ854" s="9"/>
      <c r="CK854" s="9"/>
      <c r="CL854" s="9"/>
      <c r="CM854" s="9"/>
      <c r="CN854" s="9"/>
      <c r="CO854" s="9"/>
      <c r="CP854" s="16"/>
    </row>
    <row r="855" spans="1:94" ht="15" customHeight="1" x14ac:dyDescent="0.15">
      <c r="A855" s="15"/>
      <c r="B855" s="9"/>
      <c r="C855" s="9"/>
      <c r="D855" s="9"/>
      <c r="E855" s="80" t="s">
        <v>290</v>
      </c>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9"/>
      <c r="BX855" s="9"/>
      <c r="BY855" s="9"/>
      <c r="BZ855" s="9"/>
      <c r="CA855" s="9"/>
      <c r="CB855" s="9"/>
      <c r="CC855" s="9"/>
      <c r="CD855" s="9"/>
      <c r="CE855" s="9"/>
      <c r="CF855" s="9"/>
      <c r="CG855" s="9"/>
      <c r="CH855" s="9"/>
      <c r="CI855" s="66"/>
      <c r="CJ855" s="9"/>
      <c r="CK855" s="9"/>
      <c r="CL855" s="9"/>
      <c r="CM855" s="9"/>
      <c r="CN855" s="9"/>
      <c r="CO855" s="9"/>
      <c r="CP855" s="16"/>
    </row>
    <row r="856" spans="1:94" ht="15" customHeight="1" x14ac:dyDescent="0.15">
      <c r="A856" s="15"/>
      <c r="B856" s="9"/>
      <c r="C856" s="9"/>
      <c r="D856" s="9"/>
      <c r="E856" s="80"/>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9"/>
      <c r="BX856" s="9"/>
      <c r="BY856" s="9"/>
      <c r="BZ856" s="9"/>
      <c r="CA856" s="9"/>
      <c r="CB856" s="9"/>
      <c r="CC856" s="9"/>
      <c r="CD856" s="9"/>
      <c r="CE856" s="9"/>
      <c r="CF856" s="9"/>
      <c r="CG856" s="9"/>
      <c r="CH856" s="9"/>
      <c r="CI856" s="66"/>
      <c r="CJ856" s="9"/>
      <c r="CK856" s="9"/>
      <c r="CL856" s="9"/>
      <c r="CM856" s="9"/>
      <c r="CN856" s="9"/>
      <c r="CO856" s="9"/>
      <c r="CP856" s="16"/>
    </row>
    <row r="857" spans="1:94" ht="15" customHeight="1" x14ac:dyDescent="0.15">
      <c r="A857" s="15"/>
      <c r="B857" s="9"/>
      <c r="C857" s="9"/>
      <c r="D857" s="9"/>
      <c r="E857" s="80" t="s">
        <v>291</v>
      </c>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9"/>
      <c r="BX857" s="9"/>
      <c r="BY857" s="9"/>
      <c r="BZ857" s="9"/>
      <c r="CA857" s="9"/>
      <c r="CB857" s="9"/>
      <c r="CC857" s="9"/>
      <c r="CD857" s="9"/>
      <c r="CE857" s="9"/>
      <c r="CF857" s="9"/>
      <c r="CG857" s="9"/>
      <c r="CH857" s="9"/>
      <c r="CI857" s="66"/>
      <c r="CJ857" s="9"/>
      <c r="CK857" s="9"/>
      <c r="CL857" s="9"/>
      <c r="CM857" s="9"/>
      <c r="CN857" s="9"/>
      <c r="CO857" s="9"/>
      <c r="CP857" s="16"/>
    </row>
    <row r="858" spans="1:94" ht="15" customHeight="1" x14ac:dyDescent="0.15">
      <c r="A858" s="15"/>
      <c r="B858" s="9"/>
      <c r="C858" s="9"/>
      <c r="D858" s="9"/>
      <c r="E858" s="80" t="s">
        <v>293</v>
      </c>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9"/>
      <c r="BX858" s="9"/>
      <c r="BY858" s="9"/>
      <c r="BZ858" s="9"/>
      <c r="CA858" s="9"/>
      <c r="CB858" s="9"/>
      <c r="CC858" s="9"/>
      <c r="CD858" s="9"/>
      <c r="CE858" s="9"/>
      <c r="CF858" s="9"/>
      <c r="CG858" s="9"/>
      <c r="CH858" s="9"/>
      <c r="CI858" s="66"/>
      <c r="CJ858" s="9"/>
      <c r="CK858" s="9"/>
      <c r="CL858" s="9"/>
      <c r="CM858" s="9"/>
      <c r="CN858" s="9"/>
      <c r="CO858" s="9"/>
      <c r="CP858" s="16"/>
    </row>
    <row r="859" spans="1:94" ht="15" customHeight="1" x14ac:dyDescent="0.15">
      <c r="A859" s="15"/>
      <c r="B859" s="9"/>
      <c r="C859" s="9"/>
      <c r="D859" s="9"/>
      <c r="E859" s="80" t="s">
        <v>294</v>
      </c>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9"/>
      <c r="BX859" s="9"/>
      <c r="BY859" s="9"/>
      <c r="BZ859" s="9"/>
      <c r="CA859" s="9"/>
      <c r="CB859" s="9"/>
      <c r="CC859" s="9"/>
      <c r="CD859" s="9"/>
      <c r="CE859" s="9"/>
      <c r="CF859" s="9"/>
      <c r="CG859" s="9"/>
      <c r="CH859" s="9"/>
      <c r="CI859" s="66"/>
      <c r="CJ859" s="9"/>
      <c r="CK859" s="9"/>
      <c r="CL859" s="9"/>
      <c r="CM859" s="9"/>
      <c r="CN859" s="9"/>
      <c r="CO859" s="9"/>
      <c r="CP859" s="16"/>
    </row>
    <row r="860" spans="1:94" ht="15" customHeight="1" x14ac:dyDescent="0.15">
      <c r="A860" s="15"/>
      <c r="B860" s="9"/>
      <c r="C860" s="9"/>
      <c r="D860" s="9"/>
      <c r="E860" s="80" t="s">
        <v>295</v>
      </c>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c r="BW860" s="9"/>
      <c r="BX860" s="9"/>
      <c r="BY860" s="9"/>
      <c r="BZ860" s="9"/>
      <c r="CA860" s="9"/>
      <c r="CB860" s="9"/>
      <c r="CC860" s="9"/>
      <c r="CD860" s="9"/>
      <c r="CE860" s="9"/>
      <c r="CF860" s="9"/>
      <c r="CG860" s="9"/>
      <c r="CH860" s="9"/>
      <c r="CI860" s="66"/>
      <c r="CJ860" s="9"/>
      <c r="CK860" s="9"/>
      <c r="CL860" s="9"/>
      <c r="CM860" s="9"/>
      <c r="CN860" s="9"/>
      <c r="CO860" s="9"/>
      <c r="CP860" s="16"/>
    </row>
    <row r="861" spans="1:94" ht="15" customHeight="1" x14ac:dyDescent="0.15">
      <c r="A861" s="15"/>
      <c r="B861" s="9"/>
      <c r="C861" s="9"/>
      <c r="D861" s="9"/>
      <c r="E861" s="80" t="s">
        <v>296</v>
      </c>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c r="BW861" s="9"/>
      <c r="BX861" s="9"/>
      <c r="BY861" s="9"/>
      <c r="BZ861" s="9"/>
      <c r="CA861" s="9"/>
      <c r="CB861" s="9"/>
      <c r="CC861" s="9"/>
      <c r="CD861" s="9"/>
      <c r="CE861" s="9"/>
      <c r="CF861" s="9"/>
      <c r="CG861" s="9"/>
      <c r="CH861" s="9"/>
      <c r="CI861" s="66"/>
      <c r="CJ861" s="9"/>
      <c r="CK861" s="9"/>
      <c r="CL861" s="9"/>
      <c r="CM861" s="9"/>
      <c r="CN861" s="9"/>
      <c r="CO861" s="9"/>
      <c r="CP861" s="16"/>
    </row>
    <row r="862" spans="1:94" ht="15" customHeight="1" x14ac:dyDescent="0.15">
      <c r="A862" s="15"/>
      <c r="B862" s="9"/>
      <c r="C862" s="9"/>
      <c r="D862" s="9"/>
      <c r="E862" s="80" t="s">
        <v>297</v>
      </c>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c r="BW862" s="9"/>
      <c r="BX862" s="9"/>
      <c r="BY862" s="9"/>
      <c r="BZ862" s="9"/>
      <c r="CA862" s="9"/>
      <c r="CB862" s="9"/>
      <c r="CC862" s="9"/>
      <c r="CD862" s="9"/>
      <c r="CE862" s="9"/>
      <c r="CF862" s="9"/>
      <c r="CG862" s="9"/>
      <c r="CH862" s="9"/>
      <c r="CI862" s="66"/>
      <c r="CJ862" s="9"/>
      <c r="CK862" s="9"/>
      <c r="CL862" s="9"/>
      <c r="CM862" s="9"/>
      <c r="CN862" s="9"/>
      <c r="CO862" s="9"/>
      <c r="CP862" s="16"/>
    </row>
    <row r="863" spans="1:94" ht="15" customHeight="1" x14ac:dyDescent="0.15">
      <c r="A863" s="15"/>
      <c r="B863" s="9"/>
      <c r="C863" s="9"/>
      <c r="D863" s="9"/>
      <c r="E863" s="80" t="s">
        <v>298</v>
      </c>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c r="BW863" s="9"/>
      <c r="BX863" s="9"/>
      <c r="BY863" s="9"/>
      <c r="BZ863" s="9"/>
      <c r="CA863" s="9"/>
      <c r="CB863" s="9"/>
      <c r="CC863" s="9"/>
      <c r="CD863" s="9"/>
      <c r="CE863" s="9"/>
      <c r="CF863" s="9"/>
      <c r="CG863" s="9"/>
      <c r="CH863" s="9"/>
      <c r="CI863" s="66"/>
      <c r="CJ863" s="9"/>
      <c r="CK863" s="9"/>
      <c r="CL863" s="9"/>
      <c r="CM863" s="9"/>
      <c r="CN863" s="9"/>
      <c r="CO863" s="9"/>
      <c r="CP863" s="16"/>
    </row>
    <row r="864" spans="1:94" ht="15" customHeight="1" x14ac:dyDescent="0.15">
      <c r="A864" s="15"/>
      <c r="B864" s="9"/>
      <c r="C864" s="9"/>
      <c r="D864" s="9"/>
      <c r="E864" s="80" t="s">
        <v>909</v>
      </c>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c r="BW864" s="9"/>
      <c r="BX864" s="9"/>
      <c r="BY864" s="9"/>
      <c r="BZ864" s="9"/>
      <c r="CA864" s="9"/>
      <c r="CB864" s="9"/>
      <c r="CC864" s="9"/>
      <c r="CD864" s="9"/>
      <c r="CE864" s="9"/>
      <c r="CF864" s="9"/>
      <c r="CG864" s="9"/>
      <c r="CH864" s="9"/>
      <c r="CI864" s="66"/>
      <c r="CJ864" s="9"/>
      <c r="CK864" s="9"/>
      <c r="CL864" s="9"/>
      <c r="CM864" s="9"/>
      <c r="CN864" s="9"/>
      <c r="CO864" s="9"/>
      <c r="CP864" s="16"/>
    </row>
    <row r="865" spans="1:94" ht="15" customHeight="1" x14ac:dyDescent="0.15">
      <c r="A865" s="15"/>
      <c r="B865" s="9"/>
      <c r="C865" s="9"/>
      <c r="D865" s="9"/>
      <c r="E865" s="146" t="s">
        <v>299</v>
      </c>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c r="BW865" s="9"/>
      <c r="BX865" s="9"/>
      <c r="BY865" s="9"/>
      <c r="BZ865" s="9"/>
      <c r="CA865" s="9"/>
      <c r="CB865" s="9"/>
      <c r="CC865" s="9"/>
      <c r="CD865" s="9"/>
      <c r="CE865" s="9"/>
      <c r="CF865" s="9"/>
      <c r="CG865" s="9"/>
      <c r="CH865" s="9"/>
      <c r="CI865" s="66"/>
      <c r="CJ865" s="9"/>
      <c r="CK865" s="9"/>
      <c r="CL865" s="9"/>
      <c r="CM865" s="9"/>
      <c r="CN865" s="9"/>
      <c r="CO865" s="9"/>
      <c r="CP865" s="16"/>
    </row>
    <row r="866" spans="1:94" ht="15" customHeight="1" x14ac:dyDescent="0.15">
      <c r="A866" s="15"/>
      <c r="B866" s="9"/>
      <c r="C866" s="9"/>
      <c r="D866" s="9"/>
      <c r="E866" s="146" t="s">
        <v>300</v>
      </c>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c r="BW866" s="9"/>
      <c r="BX866" s="9"/>
      <c r="BY866" s="9"/>
      <c r="BZ866" s="9"/>
      <c r="CA866" s="9"/>
      <c r="CB866" s="9"/>
      <c r="CC866" s="9"/>
      <c r="CD866" s="9"/>
      <c r="CE866" s="9"/>
      <c r="CF866" s="9"/>
      <c r="CG866" s="9"/>
      <c r="CH866" s="9"/>
      <c r="CI866" s="66"/>
      <c r="CJ866" s="9"/>
      <c r="CK866" s="9"/>
      <c r="CL866" s="9"/>
      <c r="CM866" s="9"/>
      <c r="CN866" s="9"/>
      <c r="CO866" s="9"/>
      <c r="CP866" s="16"/>
    </row>
    <row r="867" spans="1:94" ht="15" customHeight="1" x14ac:dyDescent="0.15">
      <c r="A867" s="15"/>
      <c r="B867" s="9"/>
      <c r="C867" s="9"/>
      <c r="D867" s="9"/>
      <c r="E867" s="146" t="s">
        <v>301</v>
      </c>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c r="BW867" s="9"/>
      <c r="BX867" s="9"/>
      <c r="BY867" s="9"/>
      <c r="BZ867" s="9"/>
      <c r="CA867" s="9"/>
      <c r="CB867" s="9"/>
      <c r="CC867" s="9"/>
      <c r="CD867" s="9"/>
      <c r="CE867" s="9"/>
      <c r="CF867" s="9"/>
      <c r="CG867" s="9"/>
      <c r="CH867" s="9"/>
      <c r="CI867" s="66"/>
      <c r="CJ867" s="9"/>
      <c r="CK867" s="9"/>
      <c r="CL867" s="9"/>
      <c r="CM867" s="9"/>
      <c r="CN867" s="9"/>
      <c r="CO867" s="9"/>
      <c r="CP867" s="16"/>
    </row>
    <row r="868" spans="1:94" ht="15" customHeight="1" x14ac:dyDescent="0.15">
      <c r="A868" s="15"/>
      <c r="B868" s="9"/>
      <c r="C868" s="9"/>
      <c r="D868" s="9"/>
      <c r="E868" s="146" t="s">
        <v>292</v>
      </c>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c r="BW868" s="9"/>
      <c r="BX868" s="9"/>
      <c r="BY868" s="9"/>
      <c r="BZ868" s="9"/>
      <c r="CA868" s="9"/>
      <c r="CB868" s="9"/>
      <c r="CC868" s="9"/>
      <c r="CD868" s="9"/>
      <c r="CE868" s="9"/>
      <c r="CF868" s="9"/>
      <c r="CG868" s="9"/>
      <c r="CH868" s="9"/>
      <c r="CI868" s="66"/>
      <c r="CJ868" s="9"/>
      <c r="CK868" s="9"/>
      <c r="CL868" s="9"/>
      <c r="CM868" s="9"/>
      <c r="CN868" s="9"/>
      <c r="CO868" s="9"/>
      <c r="CP868" s="16"/>
    </row>
    <row r="869" spans="1:94" ht="15" customHeight="1" x14ac:dyDescent="0.15">
      <c r="A869" s="15"/>
      <c r="B869" s="9"/>
      <c r="C869" s="9"/>
      <c r="D869" s="9"/>
      <c r="E869" s="146"/>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c r="BW869" s="9"/>
      <c r="BX869" s="9"/>
      <c r="BY869" s="9"/>
      <c r="BZ869" s="9"/>
      <c r="CA869" s="9"/>
      <c r="CB869" s="9"/>
      <c r="CC869" s="9"/>
      <c r="CD869" s="9"/>
      <c r="CE869" s="9"/>
      <c r="CF869" s="9"/>
      <c r="CG869" s="9"/>
      <c r="CH869" s="9"/>
      <c r="CI869" s="66"/>
      <c r="CJ869" s="9"/>
      <c r="CK869" s="9"/>
      <c r="CL869" s="9"/>
      <c r="CM869" s="9"/>
      <c r="CN869" s="9"/>
      <c r="CO869" s="9"/>
      <c r="CP869" s="16"/>
    </row>
    <row r="870" spans="1:94" ht="15" customHeight="1" x14ac:dyDescent="0.15">
      <c r="A870" s="15"/>
      <c r="B870" s="9"/>
      <c r="C870" s="9"/>
      <c r="D870" s="9"/>
      <c r="E870" s="146" t="s">
        <v>299</v>
      </c>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c r="BW870" s="9"/>
      <c r="BX870" s="9"/>
      <c r="BY870" s="9"/>
      <c r="BZ870" s="9"/>
      <c r="CA870" s="9"/>
      <c r="CB870" s="9"/>
      <c r="CC870" s="9"/>
      <c r="CD870" s="9"/>
      <c r="CE870" s="9"/>
      <c r="CF870" s="9"/>
      <c r="CG870" s="9"/>
      <c r="CH870" s="9"/>
      <c r="CI870" s="66"/>
      <c r="CJ870" s="9"/>
      <c r="CK870" s="9"/>
      <c r="CL870" s="9"/>
      <c r="CM870" s="9"/>
      <c r="CN870" s="9"/>
      <c r="CO870" s="9"/>
      <c r="CP870" s="16"/>
    </row>
    <row r="871" spans="1:94" ht="15" customHeight="1" x14ac:dyDescent="0.15">
      <c r="A871" s="15"/>
      <c r="B871" s="9"/>
      <c r="C871" s="9"/>
      <c r="D871" s="9"/>
      <c r="E871" s="146" t="s">
        <v>331</v>
      </c>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c r="BW871" s="9"/>
      <c r="BX871" s="9"/>
      <c r="BY871" s="9"/>
      <c r="BZ871" s="9"/>
      <c r="CA871" s="9"/>
      <c r="CB871" s="9"/>
      <c r="CC871" s="9"/>
      <c r="CD871" s="9"/>
      <c r="CE871" s="9"/>
      <c r="CF871" s="9"/>
      <c r="CG871" s="9"/>
      <c r="CH871" s="9"/>
      <c r="CI871" s="66"/>
      <c r="CJ871" s="9"/>
      <c r="CK871" s="9"/>
      <c r="CL871" s="9"/>
      <c r="CM871" s="9"/>
      <c r="CN871" s="9"/>
      <c r="CO871" s="9"/>
      <c r="CP871" s="16"/>
    </row>
    <row r="872" spans="1:94" ht="15" customHeight="1" x14ac:dyDescent="0.15">
      <c r="A872" s="15"/>
      <c r="B872" s="9"/>
      <c r="C872" s="9"/>
      <c r="D872" s="9"/>
      <c r="E872" s="146" t="s">
        <v>302</v>
      </c>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c r="BW872" s="9"/>
      <c r="BX872" s="9"/>
      <c r="BY872" s="9"/>
      <c r="BZ872" s="9"/>
      <c r="CA872" s="9"/>
      <c r="CB872" s="9"/>
      <c r="CC872" s="9"/>
      <c r="CD872" s="9"/>
      <c r="CE872" s="9"/>
      <c r="CF872" s="9"/>
      <c r="CG872" s="9"/>
      <c r="CH872" s="9"/>
      <c r="CI872" s="66"/>
      <c r="CJ872" s="9"/>
      <c r="CK872" s="9"/>
      <c r="CL872" s="9"/>
      <c r="CM872" s="9"/>
      <c r="CN872" s="9"/>
      <c r="CO872" s="9"/>
      <c r="CP872" s="16"/>
    </row>
    <row r="873" spans="1:94" ht="15" customHeight="1" x14ac:dyDescent="0.15">
      <c r="A873" s="15"/>
      <c r="B873" s="9"/>
      <c r="C873" s="9"/>
      <c r="D873" s="9"/>
      <c r="E873" s="146" t="s">
        <v>303</v>
      </c>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c r="BW873" s="9"/>
      <c r="BX873" s="9"/>
      <c r="BY873" s="9"/>
      <c r="BZ873" s="9"/>
      <c r="CA873" s="9"/>
      <c r="CB873" s="9"/>
      <c r="CC873" s="9"/>
      <c r="CD873" s="9"/>
      <c r="CE873" s="9"/>
      <c r="CF873" s="9"/>
      <c r="CG873" s="9"/>
      <c r="CH873" s="9"/>
      <c r="CI873" s="66"/>
      <c r="CJ873" s="9"/>
      <c r="CK873" s="9"/>
      <c r="CL873" s="9"/>
      <c r="CM873" s="9"/>
      <c r="CN873" s="9"/>
      <c r="CO873" s="9"/>
      <c r="CP873" s="16"/>
    </row>
    <row r="874" spans="1:94" ht="15" customHeight="1" x14ac:dyDescent="0.15">
      <c r="A874" s="15"/>
      <c r="B874" s="9"/>
      <c r="C874" s="9"/>
      <c r="D874" s="9"/>
      <c r="E874" s="146" t="s">
        <v>292</v>
      </c>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9"/>
      <c r="BX874" s="9"/>
      <c r="BY874" s="9"/>
      <c r="BZ874" s="9"/>
      <c r="CA874" s="9"/>
      <c r="CB874" s="9"/>
      <c r="CC874" s="9"/>
      <c r="CD874" s="9"/>
      <c r="CE874" s="9"/>
      <c r="CF874" s="9"/>
      <c r="CG874" s="9"/>
      <c r="CH874" s="9"/>
      <c r="CI874" s="66"/>
      <c r="CJ874" s="9"/>
      <c r="CK874" s="9"/>
      <c r="CL874" s="9"/>
      <c r="CM874" s="9"/>
      <c r="CN874" s="9"/>
      <c r="CO874" s="9"/>
      <c r="CP874" s="16"/>
    </row>
    <row r="875" spans="1:94" ht="15" customHeight="1" x14ac:dyDescent="0.15">
      <c r="A875" s="15"/>
      <c r="B875" s="9"/>
      <c r="C875" s="9"/>
      <c r="D875" s="9"/>
      <c r="E875" s="146" t="s">
        <v>299</v>
      </c>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c r="BW875" s="9"/>
      <c r="BX875" s="9"/>
      <c r="BY875" s="9"/>
      <c r="BZ875" s="9"/>
      <c r="CA875" s="9"/>
      <c r="CB875" s="9"/>
      <c r="CC875" s="9"/>
      <c r="CD875" s="9"/>
      <c r="CE875" s="9"/>
      <c r="CF875" s="9"/>
      <c r="CG875" s="9"/>
      <c r="CH875" s="9"/>
      <c r="CI875" s="66"/>
      <c r="CJ875" s="9"/>
      <c r="CK875" s="9"/>
      <c r="CL875" s="9"/>
      <c r="CM875" s="9"/>
      <c r="CN875" s="9"/>
      <c r="CO875" s="9"/>
      <c r="CP875" s="16"/>
    </row>
    <row r="876" spans="1:94" ht="15" customHeight="1" x14ac:dyDescent="0.15">
      <c r="A876" s="15"/>
      <c r="B876" s="9"/>
      <c r="C876" s="9"/>
      <c r="D876" s="9"/>
      <c r="E876" s="146" t="s">
        <v>304</v>
      </c>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c r="BW876" s="9"/>
      <c r="BX876" s="9"/>
      <c r="BY876" s="9"/>
      <c r="BZ876" s="9"/>
      <c r="CA876" s="9"/>
      <c r="CB876" s="9"/>
      <c r="CC876" s="9"/>
      <c r="CD876" s="9"/>
      <c r="CE876" s="9"/>
      <c r="CF876" s="9"/>
      <c r="CG876" s="9"/>
      <c r="CH876" s="9"/>
      <c r="CI876" s="66"/>
      <c r="CJ876" s="9"/>
      <c r="CK876" s="9"/>
      <c r="CL876" s="9"/>
      <c r="CM876" s="9"/>
      <c r="CN876" s="9"/>
      <c r="CO876" s="9"/>
      <c r="CP876" s="16"/>
    </row>
    <row r="877" spans="1:94" ht="15" customHeight="1" x14ac:dyDescent="0.15">
      <c r="A877" s="15"/>
      <c r="B877" s="9"/>
      <c r="C877" s="9"/>
      <c r="D877" s="9"/>
      <c r="E877" s="146" t="s">
        <v>332</v>
      </c>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9"/>
      <c r="BX877" s="9"/>
      <c r="BY877" s="9"/>
      <c r="BZ877" s="9"/>
      <c r="CA877" s="9"/>
      <c r="CB877" s="9"/>
      <c r="CC877" s="9"/>
      <c r="CD877" s="9"/>
      <c r="CE877" s="9"/>
      <c r="CF877" s="9"/>
      <c r="CG877" s="9"/>
      <c r="CH877" s="9"/>
      <c r="CI877" s="66"/>
      <c r="CJ877" s="9"/>
      <c r="CK877" s="9"/>
      <c r="CL877" s="9"/>
      <c r="CM877" s="9"/>
      <c r="CN877" s="9"/>
      <c r="CO877" s="9"/>
      <c r="CP877" s="16"/>
    </row>
    <row r="878" spans="1:94" ht="15" customHeight="1" x14ac:dyDescent="0.15">
      <c r="A878" s="15"/>
      <c r="B878" s="9"/>
      <c r="C878" s="9"/>
      <c r="D878" s="9"/>
      <c r="E878" s="146" t="s">
        <v>302</v>
      </c>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9"/>
      <c r="BX878" s="9"/>
      <c r="BY878" s="9"/>
      <c r="BZ878" s="9"/>
      <c r="CA878" s="9"/>
      <c r="CB878" s="9"/>
      <c r="CC878" s="9"/>
      <c r="CD878" s="9"/>
      <c r="CE878" s="9"/>
      <c r="CF878" s="9"/>
      <c r="CG878" s="9"/>
      <c r="CH878" s="9"/>
      <c r="CI878" s="66"/>
      <c r="CJ878" s="9"/>
      <c r="CK878" s="9"/>
      <c r="CL878" s="9"/>
      <c r="CM878" s="9"/>
      <c r="CN878" s="9"/>
      <c r="CO878" s="9"/>
      <c r="CP878" s="16"/>
    </row>
    <row r="879" spans="1:94" ht="15" customHeight="1" x14ac:dyDescent="0.15">
      <c r="A879" s="15"/>
      <c r="B879" s="9"/>
      <c r="C879" s="9"/>
      <c r="D879" s="9"/>
      <c r="E879" s="146" t="s">
        <v>303</v>
      </c>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c r="BW879" s="9"/>
      <c r="BX879" s="9"/>
      <c r="BY879" s="9"/>
      <c r="BZ879" s="9"/>
      <c r="CA879" s="9"/>
      <c r="CB879" s="9"/>
      <c r="CC879" s="9"/>
      <c r="CD879" s="9"/>
      <c r="CE879" s="9"/>
      <c r="CF879" s="9"/>
      <c r="CG879" s="9"/>
      <c r="CH879" s="9"/>
      <c r="CI879" s="66"/>
      <c r="CJ879" s="9"/>
      <c r="CK879" s="9"/>
      <c r="CL879" s="9"/>
      <c r="CM879" s="9"/>
      <c r="CN879" s="9"/>
      <c r="CO879" s="9"/>
      <c r="CP879" s="16"/>
    </row>
    <row r="880" spans="1:94" ht="15" customHeight="1" x14ac:dyDescent="0.15">
      <c r="A880" s="15"/>
      <c r="B880" s="9"/>
      <c r="C880" s="9"/>
      <c r="D880" s="9"/>
      <c r="E880" s="146" t="s">
        <v>292</v>
      </c>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66"/>
      <c r="CJ880" s="9"/>
      <c r="CK880" s="9"/>
      <c r="CL880" s="9"/>
      <c r="CM880" s="9"/>
      <c r="CN880" s="9"/>
      <c r="CO880" s="9"/>
      <c r="CP880" s="16"/>
    </row>
    <row r="881" spans="1:94" ht="15" customHeight="1" x14ac:dyDescent="0.15">
      <c r="A881" s="15"/>
      <c r="B881" s="9"/>
      <c r="C881" s="9"/>
      <c r="D881" s="9"/>
      <c r="E881" s="146" t="s">
        <v>299</v>
      </c>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9"/>
      <c r="BX881" s="9"/>
      <c r="BY881" s="9"/>
      <c r="BZ881" s="9"/>
      <c r="CA881" s="9"/>
      <c r="CB881" s="9"/>
      <c r="CC881" s="9"/>
      <c r="CD881" s="9"/>
      <c r="CE881" s="9"/>
      <c r="CF881" s="9"/>
      <c r="CG881" s="9"/>
      <c r="CH881" s="9"/>
      <c r="CI881" s="66"/>
      <c r="CJ881" s="9"/>
      <c r="CK881" s="9"/>
      <c r="CL881" s="9"/>
      <c r="CM881" s="9"/>
      <c r="CN881" s="9"/>
      <c r="CO881" s="9"/>
      <c r="CP881" s="16"/>
    </row>
    <row r="882" spans="1:94" ht="15" customHeight="1" x14ac:dyDescent="0.15">
      <c r="A882" s="15"/>
      <c r="B882" s="9"/>
      <c r="C882" s="9"/>
      <c r="D882" s="9"/>
      <c r="E882" s="146" t="s">
        <v>305</v>
      </c>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9"/>
      <c r="BX882" s="9"/>
      <c r="BY882" s="9"/>
      <c r="BZ882" s="9"/>
      <c r="CA882" s="9"/>
      <c r="CB882" s="9"/>
      <c r="CC882" s="9"/>
      <c r="CD882" s="9"/>
      <c r="CE882" s="9"/>
      <c r="CF882" s="9"/>
      <c r="CG882" s="9"/>
      <c r="CH882" s="9"/>
      <c r="CI882" s="66"/>
      <c r="CJ882" s="9"/>
      <c r="CK882" s="9"/>
      <c r="CL882" s="9"/>
      <c r="CM882" s="9"/>
      <c r="CN882" s="9"/>
      <c r="CO882" s="9"/>
      <c r="CP882" s="16"/>
    </row>
    <row r="883" spans="1:94" ht="15" customHeight="1" x14ac:dyDescent="0.15">
      <c r="A883" s="15"/>
      <c r="B883" s="9"/>
      <c r="C883" s="9"/>
      <c r="D883" s="9"/>
      <c r="E883" s="146" t="s">
        <v>306</v>
      </c>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9"/>
      <c r="BX883" s="9"/>
      <c r="BY883" s="9"/>
      <c r="BZ883" s="9"/>
      <c r="CA883" s="9"/>
      <c r="CB883" s="9"/>
      <c r="CC883" s="9"/>
      <c r="CD883" s="9"/>
      <c r="CE883" s="9"/>
      <c r="CF883" s="9"/>
      <c r="CG883" s="9"/>
      <c r="CH883" s="9"/>
      <c r="CI883" s="66"/>
      <c r="CJ883" s="9"/>
      <c r="CK883" s="9"/>
      <c r="CL883" s="9"/>
      <c r="CM883" s="9"/>
      <c r="CN883" s="9"/>
      <c r="CO883" s="9"/>
      <c r="CP883" s="16"/>
    </row>
    <row r="884" spans="1:94" ht="15" customHeight="1" x14ac:dyDescent="0.15">
      <c r="A884" s="15"/>
      <c r="B884" s="9"/>
      <c r="C884" s="9"/>
      <c r="D884" s="9"/>
      <c r="E884" s="146" t="s">
        <v>307</v>
      </c>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9"/>
      <c r="BX884" s="9"/>
      <c r="BY884" s="9"/>
      <c r="BZ884" s="9"/>
      <c r="CA884" s="9"/>
      <c r="CB884" s="9"/>
      <c r="CC884" s="9"/>
      <c r="CD884" s="9"/>
      <c r="CE884" s="9"/>
      <c r="CF884" s="9"/>
      <c r="CG884" s="9"/>
      <c r="CH884" s="9"/>
      <c r="CI884" s="66"/>
      <c r="CJ884" s="9"/>
      <c r="CK884" s="9"/>
      <c r="CL884" s="9"/>
      <c r="CM884" s="9"/>
      <c r="CN884" s="9"/>
      <c r="CO884" s="9"/>
      <c r="CP884" s="16"/>
    </row>
    <row r="885" spans="1:94" ht="15" customHeight="1" x14ac:dyDescent="0.15">
      <c r="A885" s="15"/>
      <c r="B885" s="9"/>
      <c r="C885" s="9"/>
      <c r="D885" s="9"/>
      <c r="E885" s="146" t="s">
        <v>292</v>
      </c>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9"/>
      <c r="BX885" s="9"/>
      <c r="BY885" s="9"/>
      <c r="BZ885" s="9"/>
      <c r="CA885" s="9"/>
      <c r="CB885" s="9"/>
      <c r="CC885" s="9"/>
      <c r="CD885" s="9"/>
      <c r="CE885" s="9"/>
      <c r="CF885" s="9"/>
      <c r="CG885" s="9"/>
      <c r="CH885" s="9"/>
      <c r="CI885" s="66"/>
      <c r="CJ885" s="9"/>
      <c r="CK885" s="9"/>
      <c r="CL885" s="9"/>
      <c r="CM885" s="9"/>
      <c r="CN885" s="9"/>
      <c r="CO885" s="9"/>
      <c r="CP885" s="16"/>
    </row>
    <row r="886" spans="1:94" ht="15" customHeight="1" x14ac:dyDescent="0.15">
      <c r="A886" s="15"/>
      <c r="B886" s="9"/>
      <c r="C886" s="9"/>
      <c r="D886" s="9"/>
      <c r="E886" s="147"/>
      <c r="F886" s="62"/>
      <c r="G886" s="62"/>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c r="AM886" s="62"/>
      <c r="AN886" s="62"/>
      <c r="AO886" s="62"/>
      <c r="AP886" s="62"/>
      <c r="AQ886" s="62"/>
      <c r="AR886" s="62"/>
      <c r="AS886" s="62"/>
      <c r="AT886" s="62"/>
      <c r="AU886" s="62"/>
      <c r="AV886" s="62"/>
      <c r="AW886" s="62"/>
      <c r="AX886" s="62"/>
      <c r="AY886" s="62"/>
      <c r="AZ886" s="62"/>
      <c r="BA886" s="62"/>
      <c r="BB886" s="62"/>
      <c r="BC886" s="62"/>
      <c r="BD886" s="62"/>
      <c r="BE886" s="62"/>
      <c r="BF886" s="62"/>
      <c r="BG886" s="62"/>
      <c r="BH886" s="62"/>
      <c r="BI886" s="62"/>
      <c r="BJ886" s="62"/>
      <c r="BK886" s="62"/>
      <c r="BL886" s="62"/>
      <c r="BM886" s="62"/>
      <c r="BN886" s="62"/>
      <c r="BO886" s="62"/>
      <c r="BP886" s="62"/>
      <c r="BQ886" s="62"/>
      <c r="BR886" s="62"/>
      <c r="BS886" s="62"/>
      <c r="BT886" s="62"/>
      <c r="BU886" s="62"/>
      <c r="BV886" s="62"/>
      <c r="BW886" s="62"/>
      <c r="BX886" s="62"/>
      <c r="BY886" s="62"/>
      <c r="BZ886" s="62"/>
      <c r="CA886" s="62"/>
      <c r="CB886" s="62"/>
      <c r="CC886" s="62"/>
      <c r="CD886" s="62"/>
      <c r="CE886" s="62"/>
      <c r="CF886" s="62"/>
      <c r="CG886" s="62"/>
      <c r="CH886" s="62"/>
      <c r="CI886" s="63"/>
      <c r="CJ886" s="9"/>
      <c r="CK886" s="9"/>
      <c r="CL886" s="9"/>
      <c r="CM886" s="9"/>
      <c r="CN886" s="9"/>
      <c r="CO886" s="9"/>
      <c r="CP886" s="16"/>
    </row>
    <row r="887" spans="1:94" ht="15" customHeight="1" x14ac:dyDescent="0.15">
      <c r="A887" s="15"/>
      <c r="B887" s="9"/>
      <c r="C887" s="9"/>
      <c r="D887" s="9"/>
      <c r="E887" s="2" t="s">
        <v>669</v>
      </c>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9"/>
      <c r="BX887" s="9"/>
      <c r="BY887" s="9"/>
      <c r="BZ887" s="9"/>
      <c r="CA887" s="9"/>
      <c r="CB887" s="9"/>
      <c r="CC887" s="9"/>
      <c r="CD887" s="9"/>
      <c r="CE887" s="9"/>
      <c r="CF887" s="9"/>
      <c r="CG887" s="9"/>
      <c r="CH887" s="9"/>
      <c r="CI887" s="9"/>
      <c r="CJ887" s="9"/>
      <c r="CK887" s="9"/>
      <c r="CL887" s="9"/>
      <c r="CM887" s="9"/>
      <c r="CN887" s="9"/>
      <c r="CO887" s="9"/>
      <c r="CP887" s="16"/>
    </row>
    <row r="888" spans="1:94" ht="15" customHeight="1" x14ac:dyDescent="0.15">
      <c r="A888" s="15"/>
      <c r="B888" s="9"/>
      <c r="C888" s="9"/>
      <c r="D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9"/>
      <c r="BX888" s="9"/>
      <c r="BY888" s="9"/>
      <c r="BZ888" s="9"/>
      <c r="CA888" s="9"/>
      <c r="CB888" s="9"/>
      <c r="CC888" s="9"/>
      <c r="CD888" s="9"/>
      <c r="CE888" s="9"/>
      <c r="CF888" s="9"/>
      <c r="CG888" s="9"/>
      <c r="CH888" s="9"/>
      <c r="CI888" s="9"/>
      <c r="CJ888" s="9"/>
      <c r="CK888" s="9"/>
      <c r="CL888" s="9"/>
      <c r="CM888" s="9"/>
      <c r="CN888" s="9"/>
      <c r="CO888" s="9"/>
      <c r="CP888" s="16"/>
    </row>
    <row r="889" spans="1:94" ht="15" customHeight="1" thickBot="1" x14ac:dyDescent="0.2">
      <c r="A889" s="19"/>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c r="BW889" s="20"/>
      <c r="BX889" s="20"/>
      <c r="BY889" s="20"/>
      <c r="BZ889" s="20"/>
      <c r="CA889" s="20"/>
      <c r="CB889" s="20"/>
      <c r="CC889" s="20"/>
      <c r="CD889" s="20"/>
      <c r="CE889" s="20"/>
      <c r="CF889" s="20"/>
      <c r="CG889" s="20"/>
      <c r="CH889" s="20"/>
      <c r="CI889" s="20"/>
      <c r="CJ889" s="20"/>
      <c r="CK889" s="20"/>
      <c r="CL889" s="20"/>
      <c r="CM889" s="20"/>
      <c r="CN889" s="20"/>
      <c r="CO889" s="20"/>
      <c r="CP889" s="21"/>
    </row>
    <row r="890" spans="1:94" ht="15" customHeight="1" x14ac:dyDescent="0.15">
      <c r="A890" s="47"/>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48"/>
      <c r="BJ890" s="48"/>
      <c r="BK890" s="48"/>
      <c r="BL890" s="48"/>
      <c r="BM890" s="48"/>
      <c r="BN890" s="48"/>
      <c r="BO890" s="48"/>
      <c r="BP890" s="48"/>
      <c r="BQ890" s="48"/>
      <c r="BR890" s="48"/>
      <c r="BS890" s="48"/>
      <c r="BT890" s="48"/>
      <c r="BU890" s="48"/>
      <c r="BV890" s="48"/>
      <c r="BW890" s="48"/>
      <c r="BX890" s="48"/>
      <c r="BY890" s="48"/>
      <c r="BZ890" s="48"/>
      <c r="CA890" s="48"/>
      <c r="CB890" s="48"/>
      <c r="CC890" s="48"/>
      <c r="CD890" s="48"/>
      <c r="CE890" s="48"/>
      <c r="CF890" s="48"/>
      <c r="CG890" s="48"/>
      <c r="CH890" s="48"/>
      <c r="CI890" s="48"/>
      <c r="CJ890" s="48"/>
      <c r="CK890" s="48"/>
      <c r="CL890" s="48"/>
      <c r="CM890" s="48"/>
      <c r="CN890" s="48"/>
      <c r="CO890" s="48"/>
      <c r="CP890" s="49"/>
    </row>
    <row r="891" spans="1:94" ht="15" customHeight="1" x14ac:dyDescent="0.15">
      <c r="A891" s="15"/>
      <c r="B891" s="9"/>
      <c r="C891" s="9"/>
      <c r="D891" s="9"/>
      <c r="E891" s="9" t="s">
        <v>670</v>
      </c>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9"/>
      <c r="BX891" s="9"/>
      <c r="BY891" s="9"/>
      <c r="BZ891" s="9"/>
      <c r="CA891" s="9"/>
      <c r="CB891" s="9"/>
      <c r="CC891" s="9"/>
      <c r="CD891" s="9"/>
      <c r="CE891" s="9"/>
      <c r="CF891" s="9"/>
      <c r="CG891" s="9"/>
      <c r="CH891" s="9"/>
      <c r="CI891" s="9"/>
      <c r="CJ891" s="9"/>
      <c r="CK891" s="9"/>
      <c r="CL891" s="9"/>
      <c r="CM891" s="9"/>
      <c r="CN891" s="9"/>
      <c r="CO891" s="9"/>
      <c r="CP891" s="16"/>
    </row>
    <row r="892" spans="1:94" ht="15" customHeight="1" x14ac:dyDescent="0.15">
      <c r="A892" s="15"/>
      <c r="B892" s="9"/>
      <c r="C892" s="9"/>
      <c r="D892" s="9"/>
      <c r="E892" s="148" t="s">
        <v>308</v>
      </c>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c r="AH892" s="64"/>
      <c r="AI892" s="64"/>
      <c r="AJ892" s="64"/>
      <c r="AK892" s="64"/>
      <c r="AL892" s="64"/>
      <c r="AM892" s="64"/>
      <c r="AN892" s="64"/>
      <c r="AO892" s="64"/>
      <c r="AP892" s="64"/>
      <c r="AQ892" s="64"/>
      <c r="AR892" s="64"/>
      <c r="AS892" s="64"/>
      <c r="AT892" s="64"/>
      <c r="AU892" s="64"/>
      <c r="AV892" s="64"/>
      <c r="AW892" s="64"/>
      <c r="AX892" s="64"/>
      <c r="AY892" s="64"/>
      <c r="AZ892" s="64"/>
      <c r="BA892" s="64"/>
      <c r="BB892" s="64"/>
      <c r="BC892" s="64"/>
      <c r="BD892" s="64"/>
      <c r="BE892" s="64"/>
      <c r="BF892" s="64"/>
      <c r="BG892" s="64"/>
      <c r="BH892" s="64"/>
      <c r="BI892" s="64"/>
      <c r="BJ892" s="64"/>
      <c r="BK892" s="64"/>
      <c r="BL892" s="64"/>
      <c r="BM892" s="64"/>
      <c r="BN892" s="64"/>
      <c r="BO892" s="64"/>
      <c r="BP892" s="64"/>
      <c r="BQ892" s="64"/>
      <c r="BR892" s="64"/>
      <c r="BS892" s="64"/>
      <c r="BT892" s="64"/>
      <c r="BU892" s="64"/>
      <c r="BV892" s="64"/>
      <c r="BW892" s="64"/>
      <c r="BX892" s="64"/>
      <c r="BY892" s="64"/>
      <c r="BZ892" s="64"/>
      <c r="CA892" s="64"/>
      <c r="CB892" s="64"/>
      <c r="CC892" s="64"/>
      <c r="CD892" s="64"/>
      <c r="CE892" s="64"/>
      <c r="CF892" s="64"/>
      <c r="CG892" s="64"/>
      <c r="CH892" s="64"/>
      <c r="CI892" s="65"/>
      <c r="CJ892" s="9"/>
      <c r="CK892" s="9"/>
      <c r="CL892" s="9"/>
      <c r="CM892" s="9"/>
      <c r="CN892" s="9"/>
      <c r="CO892" s="9"/>
      <c r="CP892" s="16"/>
    </row>
    <row r="893" spans="1:94" ht="15" customHeight="1" x14ac:dyDescent="0.15">
      <c r="A893" s="15"/>
      <c r="B893" s="9"/>
      <c r="C893" s="9"/>
      <c r="D893" s="9"/>
      <c r="E893" s="80" t="s">
        <v>910</v>
      </c>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9"/>
      <c r="BX893" s="9"/>
      <c r="BY893" s="9"/>
      <c r="BZ893" s="9"/>
      <c r="CA893" s="9"/>
      <c r="CB893" s="9"/>
      <c r="CC893" s="9"/>
      <c r="CD893" s="9"/>
      <c r="CE893" s="9"/>
      <c r="CF893" s="9"/>
      <c r="CG893" s="9"/>
      <c r="CH893" s="9"/>
      <c r="CI893" s="66"/>
      <c r="CJ893" s="9"/>
      <c r="CK893" s="9"/>
      <c r="CL893" s="9"/>
      <c r="CM893" s="9"/>
      <c r="CN893" s="9"/>
      <c r="CO893" s="9"/>
      <c r="CP893" s="16"/>
    </row>
    <row r="894" spans="1:94" ht="15" customHeight="1" x14ac:dyDescent="0.15">
      <c r="A894" s="15"/>
      <c r="B894" s="9"/>
      <c r="C894" s="9"/>
      <c r="D894" s="9"/>
      <c r="E894" s="80" t="s">
        <v>911</v>
      </c>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9"/>
      <c r="BX894" s="9"/>
      <c r="BY894" s="9"/>
      <c r="BZ894" s="9"/>
      <c r="CA894" s="9"/>
      <c r="CB894" s="9"/>
      <c r="CC894" s="9"/>
      <c r="CD894" s="9"/>
      <c r="CE894" s="9"/>
      <c r="CF894" s="9"/>
      <c r="CG894" s="9"/>
      <c r="CH894" s="9"/>
      <c r="CI894" s="66"/>
      <c r="CJ894" s="9"/>
      <c r="CK894" s="9"/>
      <c r="CL894" s="9"/>
      <c r="CM894" s="9"/>
      <c r="CN894" s="9"/>
      <c r="CO894" s="9"/>
      <c r="CP894" s="16"/>
    </row>
    <row r="895" spans="1:94" ht="15" customHeight="1" x14ac:dyDescent="0.15">
      <c r="A895" s="15"/>
      <c r="B895" s="9"/>
      <c r="C895" s="9"/>
      <c r="D895" s="9"/>
      <c r="E895" s="109" t="s">
        <v>912</v>
      </c>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c r="BW895" s="9"/>
      <c r="BX895" s="9"/>
      <c r="BY895" s="9"/>
      <c r="BZ895" s="9"/>
      <c r="CA895" s="9"/>
      <c r="CB895" s="9"/>
      <c r="CC895" s="9"/>
      <c r="CD895" s="9"/>
      <c r="CE895" s="9"/>
      <c r="CF895" s="9"/>
      <c r="CG895" s="9"/>
      <c r="CH895" s="9"/>
      <c r="CI895" s="66"/>
      <c r="CJ895" s="9"/>
      <c r="CK895" s="9"/>
      <c r="CL895" s="9"/>
      <c r="CM895" s="9"/>
      <c r="CN895" s="9"/>
      <c r="CO895" s="9"/>
      <c r="CP895" s="16"/>
    </row>
    <row r="896" spans="1:94" ht="15" customHeight="1" x14ac:dyDescent="0.15">
      <c r="A896" s="15"/>
      <c r="B896" s="9"/>
      <c r="C896" s="9"/>
      <c r="D896" s="9"/>
      <c r="E896" s="80" t="s">
        <v>913</v>
      </c>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c r="BW896" s="9"/>
      <c r="BX896" s="9"/>
      <c r="BY896" s="9"/>
      <c r="BZ896" s="9"/>
      <c r="CA896" s="9"/>
      <c r="CB896" s="9"/>
      <c r="CC896" s="9"/>
      <c r="CD896" s="9"/>
      <c r="CE896" s="9"/>
      <c r="CF896" s="9"/>
      <c r="CG896" s="9"/>
      <c r="CH896" s="9"/>
      <c r="CI896" s="66"/>
      <c r="CJ896" s="9"/>
      <c r="CK896" s="9"/>
      <c r="CL896" s="9"/>
      <c r="CM896" s="9"/>
      <c r="CN896" s="9"/>
      <c r="CO896" s="9"/>
      <c r="CP896" s="16"/>
    </row>
    <row r="897" spans="1:94" ht="15" customHeight="1" x14ac:dyDescent="0.15">
      <c r="A897" s="15"/>
      <c r="B897" s="9"/>
      <c r="C897" s="9"/>
      <c r="D897" s="9"/>
      <c r="E897" s="80"/>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c r="BW897" s="9"/>
      <c r="BX897" s="9"/>
      <c r="BY897" s="9"/>
      <c r="BZ897" s="9"/>
      <c r="CA897" s="9"/>
      <c r="CB897" s="9"/>
      <c r="CC897" s="9"/>
      <c r="CD897" s="9"/>
      <c r="CE897" s="9"/>
      <c r="CF897" s="9"/>
      <c r="CG897" s="9"/>
      <c r="CH897" s="9"/>
      <c r="CI897" s="66"/>
      <c r="CJ897" s="9"/>
      <c r="CK897" s="9"/>
      <c r="CL897" s="9"/>
      <c r="CM897" s="9"/>
      <c r="CN897" s="9"/>
      <c r="CO897" s="9"/>
      <c r="CP897" s="16"/>
    </row>
    <row r="898" spans="1:94" ht="15" customHeight="1" x14ac:dyDescent="0.15">
      <c r="A898" s="15"/>
      <c r="B898" s="9"/>
      <c r="C898" s="9"/>
      <c r="D898" s="9"/>
      <c r="E898" s="80" t="s">
        <v>1161</v>
      </c>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c r="BW898" s="9"/>
      <c r="BX898" s="9"/>
      <c r="BY898" s="9"/>
      <c r="BZ898" s="9"/>
      <c r="CA898" s="9"/>
      <c r="CB898" s="9"/>
      <c r="CC898" s="9"/>
      <c r="CD898" s="9"/>
      <c r="CE898" s="9"/>
      <c r="CF898" s="9"/>
      <c r="CG898" s="9"/>
      <c r="CH898" s="9"/>
      <c r="CI898" s="66"/>
      <c r="CJ898" s="9"/>
      <c r="CK898" s="9"/>
      <c r="CL898" s="9"/>
      <c r="CM898" s="9"/>
      <c r="CN898" s="9"/>
      <c r="CO898" s="9"/>
      <c r="CP898" s="16"/>
    </row>
    <row r="899" spans="1:94" ht="15" customHeight="1" x14ac:dyDescent="0.15">
      <c r="A899" s="15"/>
      <c r="B899" s="9"/>
      <c r="C899" s="9"/>
      <c r="D899" s="9"/>
      <c r="E899" s="80"/>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c r="BW899" s="9"/>
      <c r="BX899" s="9"/>
      <c r="BY899" s="9"/>
      <c r="BZ899" s="9"/>
      <c r="CA899" s="9"/>
      <c r="CB899" s="9"/>
      <c r="CC899" s="9"/>
      <c r="CD899" s="9"/>
      <c r="CE899" s="9"/>
      <c r="CF899" s="9"/>
      <c r="CG899" s="9"/>
      <c r="CH899" s="9"/>
      <c r="CI899" s="66"/>
      <c r="CJ899" s="9"/>
      <c r="CK899" s="9"/>
      <c r="CL899" s="9"/>
      <c r="CM899" s="9"/>
      <c r="CN899" s="9"/>
      <c r="CO899" s="9"/>
      <c r="CP899" s="16"/>
    </row>
    <row r="900" spans="1:94" ht="15" customHeight="1" x14ac:dyDescent="0.15">
      <c r="A900" s="15"/>
      <c r="B900" s="9"/>
      <c r="C900" s="9"/>
      <c r="D900" s="9"/>
      <c r="E900" s="146" t="s">
        <v>309</v>
      </c>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c r="BW900" s="9"/>
      <c r="BX900" s="9"/>
      <c r="BY900" s="9"/>
      <c r="BZ900" s="9"/>
      <c r="CA900" s="9"/>
      <c r="CB900" s="9"/>
      <c r="CC900" s="9"/>
      <c r="CD900" s="9"/>
      <c r="CE900" s="9"/>
      <c r="CF900" s="9"/>
      <c r="CG900" s="9"/>
      <c r="CH900" s="9"/>
      <c r="CI900" s="66"/>
      <c r="CJ900" s="9"/>
      <c r="CK900" s="9"/>
      <c r="CL900" s="9"/>
      <c r="CM900" s="9"/>
      <c r="CN900" s="9"/>
      <c r="CO900" s="9"/>
      <c r="CP900" s="16"/>
    </row>
    <row r="901" spans="1:94" ht="15" customHeight="1" x14ac:dyDescent="0.15">
      <c r="A901" s="15"/>
      <c r="B901" s="9"/>
      <c r="C901" s="9"/>
      <c r="D901" s="9"/>
      <c r="E901" s="146" t="s">
        <v>310</v>
      </c>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c r="BW901" s="9"/>
      <c r="BX901" s="9"/>
      <c r="BY901" s="9"/>
      <c r="BZ901" s="9"/>
      <c r="CA901" s="9"/>
      <c r="CB901" s="9"/>
      <c r="CC901" s="9"/>
      <c r="CD901" s="9"/>
      <c r="CE901" s="9"/>
      <c r="CF901" s="9"/>
      <c r="CG901" s="9"/>
      <c r="CH901" s="9"/>
      <c r="CI901" s="66"/>
      <c r="CJ901" s="9"/>
      <c r="CK901" s="9"/>
      <c r="CL901" s="9"/>
      <c r="CM901" s="9"/>
      <c r="CN901" s="9"/>
      <c r="CO901" s="9"/>
      <c r="CP901" s="16"/>
    </row>
    <row r="902" spans="1:94" ht="15" customHeight="1" x14ac:dyDescent="0.15">
      <c r="A902" s="15"/>
      <c r="B902" s="9"/>
      <c r="C902" s="9"/>
      <c r="D902" s="9"/>
      <c r="E902" s="146" t="s">
        <v>311</v>
      </c>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c r="BW902" s="9"/>
      <c r="BX902" s="9"/>
      <c r="BY902" s="9"/>
      <c r="BZ902" s="9"/>
      <c r="CA902" s="9"/>
      <c r="CB902" s="9"/>
      <c r="CC902" s="9"/>
      <c r="CD902" s="9"/>
      <c r="CE902" s="9"/>
      <c r="CF902" s="9"/>
      <c r="CG902" s="9"/>
      <c r="CH902" s="9"/>
      <c r="CI902" s="66"/>
      <c r="CJ902" s="9"/>
      <c r="CK902" s="9"/>
      <c r="CL902" s="9"/>
      <c r="CM902" s="9"/>
      <c r="CN902" s="9"/>
      <c r="CO902" s="9"/>
      <c r="CP902" s="16"/>
    </row>
    <row r="903" spans="1:94" ht="15" customHeight="1" x14ac:dyDescent="0.15">
      <c r="A903" s="15"/>
      <c r="B903" s="9"/>
      <c r="C903" s="9"/>
      <c r="D903" s="9"/>
      <c r="E903" s="146" t="s">
        <v>312</v>
      </c>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c r="BW903" s="9"/>
      <c r="BX903" s="9"/>
      <c r="BY903" s="9"/>
      <c r="BZ903" s="9"/>
      <c r="CA903" s="9"/>
      <c r="CB903" s="9"/>
      <c r="CC903" s="9"/>
      <c r="CD903" s="9"/>
      <c r="CE903" s="9"/>
      <c r="CF903" s="9"/>
      <c r="CG903" s="9"/>
      <c r="CH903" s="9"/>
      <c r="CI903" s="66"/>
      <c r="CJ903" s="9"/>
      <c r="CK903" s="9"/>
      <c r="CL903" s="9"/>
      <c r="CM903" s="9"/>
      <c r="CN903" s="9"/>
      <c r="CO903" s="9"/>
      <c r="CP903" s="16"/>
    </row>
    <row r="904" spans="1:94" ht="15" customHeight="1" x14ac:dyDescent="0.15">
      <c r="A904" s="15"/>
      <c r="B904" s="9"/>
      <c r="C904" s="9"/>
      <c r="D904" s="9"/>
      <c r="E904" s="146" t="s">
        <v>313</v>
      </c>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c r="BW904" s="9"/>
      <c r="BX904" s="9"/>
      <c r="BY904" s="9"/>
      <c r="BZ904" s="9"/>
      <c r="CA904" s="9"/>
      <c r="CB904" s="9"/>
      <c r="CC904" s="9"/>
      <c r="CD904" s="9"/>
      <c r="CE904" s="9"/>
      <c r="CF904" s="9"/>
      <c r="CG904" s="9"/>
      <c r="CH904" s="9"/>
      <c r="CI904" s="66"/>
      <c r="CJ904" s="9"/>
      <c r="CK904" s="9"/>
      <c r="CL904" s="9"/>
      <c r="CM904" s="9"/>
      <c r="CN904" s="9"/>
      <c r="CO904" s="9"/>
      <c r="CP904" s="16"/>
    </row>
    <row r="905" spans="1:94" ht="15" customHeight="1" x14ac:dyDescent="0.15">
      <c r="A905" s="15"/>
      <c r="B905" s="9"/>
      <c r="C905" s="9"/>
      <c r="D905" s="9"/>
      <c r="E905" s="146" t="s">
        <v>314</v>
      </c>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c r="BW905" s="9"/>
      <c r="BX905" s="9"/>
      <c r="BY905" s="9"/>
      <c r="BZ905" s="9"/>
      <c r="CA905" s="9"/>
      <c r="CB905" s="9"/>
      <c r="CC905" s="9"/>
      <c r="CD905" s="9"/>
      <c r="CE905" s="9"/>
      <c r="CF905" s="9"/>
      <c r="CG905" s="9"/>
      <c r="CH905" s="9"/>
      <c r="CI905" s="66"/>
      <c r="CJ905" s="9"/>
      <c r="CK905" s="9"/>
      <c r="CL905" s="9"/>
      <c r="CM905" s="9"/>
      <c r="CN905" s="9"/>
      <c r="CO905" s="9"/>
      <c r="CP905" s="16"/>
    </row>
    <row r="906" spans="1:94" ht="15" customHeight="1" x14ac:dyDescent="0.15">
      <c r="A906" s="15"/>
      <c r="B906" s="9"/>
      <c r="C906" s="9"/>
      <c r="D906" s="9"/>
      <c r="E906" s="80"/>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c r="BW906" s="9"/>
      <c r="BX906" s="9"/>
      <c r="BY906" s="9"/>
      <c r="BZ906" s="9"/>
      <c r="CA906" s="9"/>
      <c r="CB906" s="9"/>
      <c r="CC906" s="9"/>
      <c r="CD906" s="9"/>
      <c r="CE906" s="9"/>
      <c r="CF906" s="9"/>
      <c r="CG906" s="9"/>
      <c r="CH906" s="9"/>
      <c r="CI906" s="66"/>
      <c r="CJ906" s="9"/>
      <c r="CK906" s="9"/>
      <c r="CL906" s="9"/>
      <c r="CM906" s="9"/>
      <c r="CN906" s="9"/>
      <c r="CO906" s="9"/>
      <c r="CP906" s="16"/>
    </row>
    <row r="907" spans="1:94" ht="15" customHeight="1" x14ac:dyDescent="0.15">
      <c r="A907" s="15"/>
      <c r="B907" s="9"/>
      <c r="C907" s="9"/>
      <c r="D907" s="9"/>
      <c r="E907" s="80" t="s">
        <v>317</v>
      </c>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c r="BW907" s="9"/>
      <c r="BX907" s="9"/>
      <c r="BY907" s="9"/>
      <c r="BZ907" s="9"/>
      <c r="CA907" s="9"/>
      <c r="CB907" s="9"/>
      <c r="CC907" s="9"/>
      <c r="CD907" s="9"/>
      <c r="CE907" s="9"/>
      <c r="CF907" s="9"/>
      <c r="CG907" s="9"/>
      <c r="CH907" s="9"/>
      <c r="CI907" s="66"/>
      <c r="CJ907" s="9"/>
      <c r="CK907" s="9"/>
      <c r="CL907" s="9"/>
      <c r="CM907" s="9"/>
      <c r="CN907" s="9"/>
      <c r="CO907" s="9"/>
      <c r="CP907" s="16"/>
    </row>
    <row r="908" spans="1:94" ht="15" customHeight="1" x14ac:dyDescent="0.15">
      <c r="A908" s="15"/>
      <c r="B908" s="9"/>
      <c r="C908" s="9"/>
      <c r="D908" s="9"/>
      <c r="E908" s="80" t="s">
        <v>318</v>
      </c>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c r="BW908" s="9"/>
      <c r="BX908" s="9"/>
      <c r="BY908" s="9"/>
      <c r="BZ908" s="9"/>
      <c r="CA908" s="9"/>
      <c r="CB908" s="9"/>
      <c r="CC908" s="9"/>
      <c r="CD908" s="9"/>
      <c r="CE908" s="9"/>
      <c r="CF908" s="9"/>
      <c r="CG908" s="9"/>
      <c r="CH908" s="9"/>
      <c r="CI908" s="66"/>
      <c r="CJ908" s="9"/>
      <c r="CK908" s="9"/>
      <c r="CL908" s="9"/>
      <c r="CM908" s="9"/>
      <c r="CN908" s="9"/>
      <c r="CO908" s="9"/>
      <c r="CP908" s="16"/>
    </row>
    <row r="909" spans="1:94" ht="15" customHeight="1" x14ac:dyDescent="0.15">
      <c r="A909" s="15"/>
      <c r="B909" s="9"/>
      <c r="C909" s="9"/>
      <c r="D909" s="9"/>
      <c r="E909" s="80" t="s">
        <v>319</v>
      </c>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c r="BW909" s="9"/>
      <c r="BX909" s="9"/>
      <c r="BY909" s="9"/>
      <c r="BZ909" s="9"/>
      <c r="CA909" s="9"/>
      <c r="CB909" s="9"/>
      <c r="CC909" s="9"/>
      <c r="CD909" s="9"/>
      <c r="CE909" s="9"/>
      <c r="CF909" s="9"/>
      <c r="CG909" s="9"/>
      <c r="CH909" s="9"/>
      <c r="CI909" s="66"/>
      <c r="CJ909" s="9"/>
      <c r="CK909" s="9"/>
      <c r="CL909" s="9"/>
      <c r="CM909" s="9"/>
      <c r="CN909" s="9"/>
      <c r="CO909" s="9"/>
      <c r="CP909" s="16"/>
    </row>
    <row r="910" spans="1:94" ht="15" customHeight="1" x14ac:dyDescent="0.15">
      <c r="A910" s="15"/>
      <c r="B910" s="9"/>
      <c r="C910" s="9"/>
      <c r="D910" s="9"/>
      <c r="E910" s="80" t="s">
        <v>320</v>
      </c>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c r="BW910" s="9"/>
      <c r="BX910" s="9"/>
      <c r="BY910" s="9"/>
      <c r="BZ910" s="9"/>
      <c r="CA910" s="9"/>
      <c r="CB910" s="9"/>
      <c r="CC910" s="9"/>
      <c r="CD910" s="9"/>
      <c r="CE910" s="9"/>
      <c r="CF910" s="9"/>
      <c r="CG910" s="9"/>
      <c r="CH910" s="9"/>
      <c r="CI910" s="66"/>
      <c r="CJ910" s="9"/>
      <c r="CK910" s="9"/>
      <c r="CL910" s="9"/>
      <c r="CM910" s="9"/>
      <c r="CN910" s="9"/>
      <c r="CO910" s="9"/>
      <c r="CP910" s="16"/>
    </row>
    <row r="911" spans="1:94" ht="15" customHeight="1" x14ac:dyDescent="0.15">
      <c r="A911" s="15"/>
      <c r="B911" s="9"/>
      <c r="C911" s="9"/>
      <c r="D911" s="9"/>
      <c r="E911" s="80"/>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c r="BW911" s="9"/>
      <c r="BX911" s="9"/>
      <c r="BY911" s="9"/>
      <c r="BZ911" s="9"/>
      <c r="CA911" s="9"/>
      <c r="CB911" s="9"/>
      <c r="CC911" s="9"/>
      <c r="CD911" s="9"/>
      <c r="CE911" s="9"/>
      <c r="CF911" s="9"/>
      <c r="CG911" s="9"/>
      <c r="CH911" s="9"/>
      <c r="CI911" s="66"/>
      <c r="CJ911" s="9"/>
      <c r="CK911" s="9"/>
      <c r="CL911" s="9"/>
      <c r="CM911" s="9"/>
      <c r="CN911" s="9"/>
      <c r="CO911" s="9"/>
      <c r="CP911" s="16"/>
    </row>
    <row r="912" spans="1:94" ht="15" customHeight="1" x14ac:dyDescent="0.15">
      <c r="A912" s="15"/>
      <c r="B912" s="9"/>
      <c r="C912" s="9"/>
      <c r="D912" s="9"/>
      <c r="E912" s="80" t="s">
        <v>321</v>
      </c>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c r="BW912" s="9"/>
      <c r="BX912" s="9"/>
      <c r="BY912" s="9"/>
      <c r="BZ912" s="9"/>
      <c r="CA912" s="9"/>
      <c r="CB912" s="9"/>
      <c r="CC912" s="9"/>
      <c r="CD912" s="9"/>
      <c r="CE912" s="9"/>
      <c r="CF912" s="9"/>
      <c r="CG912" s="9"/>
      <c r="CH912" s="9"/>
      <c r="CI912" s="66"/>
      <c r="CJ912" s="9"/>
      <c r="CK912" s="9"/>
      <c r="CL912" s="9"/>
      <c r="CM912" s="9"/>
      <c r="CN912" s="9"/>
      <c r="CO912" s="9"/>
      <c r="CP912" s="16"/>
    </row>
    <row r="913" spans="1:94" ht="15" customHeight="1" x14ac:dyDescent="0.15">
      <c r="A913" s="15"/>
      <c r="B913" s="9"/>
      <c r="C913" s="9"/>
      <c r="D913" s="9"/>
      <c r="E913" s="80" t="s">
        <v>322</v>
      </c>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c r="BW913" s="9"/>
      <c r="BX913" s="9"/>
      <c r="BY913" s="9"/>
      <c r="BZ913" s="9"/>
      <c r="CA913" s="9"/>
      <c r="CB913" s="9"/>
      <c r="CC913" s="9"/>
      <c r="CD913" s="9"/>
      <c r="CE913" s="9"/>
      <c r="CF913" s="9"/>
      <c r="CG913" s="9"/>
      <c r="CH913" s="9"/>
      <c r="CI913" s="66"/>
      <c r="CJ913" s="9"/>
      <c r="CK913" s="9"/>
      <c r="CL913" s="9"/>
      <c r="CM913" s="9"/>
      <c r="CN913" s="9"/>
      <c r="CO913" s="9"/>
      <c r="CP913" s="16"/>
    </row>
    <row r="914" spans="1:94" ht="15" customHeight="1" x14ac:dyDescent="0.15">
      <c r="A914" s="15"/>
      <c r="B914" s="9"/>
      <c r="C914" s="9"/>
      <c r="D914" s="9"/>
      <c r="E914" s="80"/>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c r="BW914" s="9"/>
      <c r="BX914" s="9"/>
      <c r="BY914" s="9"/>
      <c r="BZ914" s="9"/>
      <c r="CA914" s="9"/>
      <c r="CB914" s="9"/>
      <c r="CC914" s="9"/>
      <c r="CD914" s="9"/>
      <c r="CE914" s="9"/>
      <c r="CF914" s="9"/>
      <c r="CG914" s="9"/>
      <c r="CH914" s="9"/>
      <c r="CI914" s="66"/>
      <c r="CJ914" s="9"/>
      <c r="CK914" s="9"/>
      <c r="CL914" s="9"/>
      <c r="CM914" s="9"/>
      <c r="CN914" s="9"/>
      <c r="CO914" s="9"/>
      <c r="CP914" s="16"/>
    </row>
    <row r="915" spans="1:94" ht="15" customHeight="1" x14ac:dyDescent="0.15">
      <c r="A915" s="15"/>
      <c r="B915" s="9"/>
      <c r="C915" s="9"/>
      <c r="D915" s="9"/>
      <c r="E915" s="146" t="s">
        <v>315</v>
      </c>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c r="BW915" s="9"/>
      <c r="BX915" s="9"/>
      <c r="BY915" s="9"/>
      <c r="BZ915" s="9"/>
      <c r="CA915" s="9"/>
      <c r="CB915" s="9"/>
      <c r="CC915" s="9"/>
      <c r="CD915" s="9"/>
      <c r="CE915" s="9"/>
      <c r="CF915" s="9"/>
      <c r="CG915" s="9"/>
      <c r="CH915" s="9"/>
      <c r="CI915" s="66"/>
      <c r="CJ915" s="9"/>
      <c r="CK915" s="9"/>
      <c r="CL915" s="9"/>
      <c r="CM915" s="9"/>
      <c r="CN915" s="9"/>
      <c r="CO915" s="9"/>
      <c r="CP915" s="16"/>
    </row>
    <row r="916" spans="1:94" ht="15" customHeight="1" x14ac:dyDescent="0.15">
      <c r="A916" s="15"/>
      <c r="B916" s="9"/>
      <c r="C916" s="9"/>
      <c r="D916" s="9"/>
      <c r="E916" s="146" t="s">
        <v>323</v>
      </c>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9"/>
      <c r="BX916" s="9"/>
      <c r="BY916" s="9"/>
      <c r="BZ916" s="9"/>
      <c r="CA916" s="9"/>
      <c r="CB916" s="9"/>
      <c r="CC916" s="9"/>
      <c r="CD916" s="9"/>
      <c r="CE916" s="9"/>
      <c r="CF916" s="9"/>
      <c r="CG916" s="9"/>
      <c r="CH916" s="9"/>
      <c r="CI916" s="66"/>
      <c r="CJ916" s="9"/>
      <c r="CK916" s="9"/>
      <c r="CL916" s="9"/>
      <c r="CM916" s="9"/>
      <c r="CN916" s="9"/>
      <c r="CO916" s="9"/>
      <c r="CP916" s="16"/>
    </row>
    <row r="917" spans="1:94" ht="15" customHeight="1" x14ac:dyDescent="0.15">
      <c r="A917" s="15"/>
      <c r="B917" s="9"/>
      <c r="C917" s="9"/>
      <c r="D917" s="9"/>
      <c r="E917" s="146" t="s">
        <v>316</v>
      </c>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c r="BW917" s="9"/>
      <c r="BX917" s="9"/>
      <c r="BY917" s="9"/>
      <c r="BZ917" s="9"/>
      <c r="CA917" s="9"/>
      <c r="CB917" s="9"/>
      <c r="CC917" s="9"/>
      <c r="CD917" s="9"/>
      <c r="CE917" s="9"/>
      <c r="CF917" s="9"/>
      <c r="CG917" s="9"/>
      <c r="CH917" s="9"/>
      <c r="CI917" s="66"/>
      <c r="CJ917" s="9"/>
      <c r="CK917" s="9"/>
      <c r="CL917" s="9"/>
      <c r="CM917" s="9"/>
      <c r="CN917" s="9"/>
      <c r="CO917" s="9"/>
      <c r="CP917" s="16"/>
    </row>
    <row r="918" spans="1:94" ht="15" customHeight="1" x14ac:dyDescent="0.15">
      <c r="A918" s="15"/>
      <c r="B918" s="9"/>
      <c r="C918" s="9"/>
      <c r="D918" s="9"/>
      <c r="E918" s="80"/>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c r="BW918" s="9"/>
      <c r="BX918" s="9"/>
      <c r="BY918" s="9"/>
      <c r="BZ918" s="9"/>
      <c r="CA918" s="9"/>
      <c r="CB918" s="9"/>
      <c r="CC918" s="9"/>
      <c r="CD918" s="9"/>
      <c r="CE918" s="9"/>
      <c r="CF918" s="9"/>
      <c r="CG918" s="9"/>
      <c r="CH918" s="9"/>
      <c r="CI918" s="66"/>
      <c r="CJ918" s="9"/>
      <c r="CK918" s="9"/>
      <c r="CL918" s="9"/>
      <c r="CM918" s="9"/>
      <c r="CN918" s="9"/>
      <c r="CO918" s="9"/>
      <c r="CP918" s="16"/>
    </row>
    <row r="919" spans="1:94" ht="15" customHeight="1" x14ac:dyDescent="0.15">
      <c r="A919" s="15"/>
      <c r="B919" s="9"/>
      <c r="C919" s="9"/>
      <c r="D919" s="9"/>
      <c r="E919" s="146"/>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9"/>
      <c r="BX919" s="9"/>
      <c r="BY919" s="9"/>
      <c r="BZ919" s="9"/>
      <c r="CA919" s="9"/>
      <c r="CB919" s="9"/>
      <c r="CC919" s="9"/>
      <c r="CD919" s="9"/>
      <c r="CE919" s="9"/>
      <c r="CF919" s="9"/>
      <c r="CG919" s="9"/>
      <c r="CH919" s="9"/>
      <c r="CI919" s="66"/>
      <c r="CJ919" s="9"/>
      <c r="CK919" s="9"/>
      <c r="CL919" s="9"/>
      <c r="CM919" s="9"/>
      <c r="CN919" s="9"/>
      <c r="CO919" s="9"/>
      <c r="CP919" s="16"/>
    </row>
    <row r="920" spans="1:94" ht="15" customHeight="1" x14ac:dyDescent="0.15">
      <c r="A920" s="15"/>
      <c r="B920" s="9"/>
      <c r="C920" s="9"/>
      <c r="D920" s="9"/>
      <c r="E920" s="80" t="s">
        <v>324</v>
      </c>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9"/>
      <c r="BX920" s="9"/>
      <c r="BY920" s="9"/>
      <c r="BZ920" s="9"/>
      <c r="CA920" s="9"/>
      <c r="CB920" s="9"/>
      <c r="CC920" s="9"/>
      <c r="CD920" s="9"/>
      <c r="CE920" s="9"/>
      <c r="CF920" s="9"/>
      <c r="CG920" s="9"/>
      <c r="CH920" s="9"/>
      <c r="CI920" s="66"/>
      <c r="CJ920" s="9"/>
      <c r="CK920" s="9"/>
      <c r="CL920" s="9"/>
      <c r="CM920" s="9"/>
      <c r="CN920" s="9"/>
      <c r="CO920" s="9"/>
      <c r="CP920" s="16"/>
    </row>
    <row r="921" spans="1:94" ht="15" customHeight="1" x14ac:dyDescent="0.15">
      <c r="A921" s="15"/>
      <c r="B921" s="9"/>
      <c r="C921" s="9"/>
      <c r="D921" s="9"/>
      <c r="E921" s="80" t="s">
        <v>325</v>
      </c>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9"/>
      <c r="BX921" s="9"/>
      <c r="BY921" s="9"/>
      <c r="BZ921" s="9"/>
      <c r="CA921" s="9"/>
      <c r="CB921" s="9"/>
      <c r="CC921" s="9"/>
      <c r="CD921" s="9"/>
      <c r="CE921" s="9"/>
      <c r="CF921" s="9"/>
      <c r="CG921" s="9"/>
      <c r="CH921" s="9"/>
      <c r="CI921" s="66"/>
      <c r="CJ921" s="9"/>
      <c r="CK921" s="9"/>
      <c r="CL921" s="9"/>
      <c r="CM921" s="9"/>
      <c r="CN921" s="9"/>
      <c r="CO921" s="9"/>
      <c r="CP921" s="16"/>
    </row>
    <row r="922" spans="1:94" ht="15" customHeight="1" x14ac:dyDescent="0.15">
      <c r="A922" s="15"/>
      <c r="B922" s="9"/>
      <c r="C922" s="9"/>
      <c r="D922" s="9"/>
      <c r="E922" s="80" t="s">
        <v>326</v>
      </c>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9"/>
      <c r="BX922" s="9"/>
      <c r="BY922" s="9"/>
      <c r="BZ922" s="9"/>
      <c r="CA922" s="9"/>
      <c r="CB922" s="9"/>
      <c r="CC922" s="9"/>
      <c r="CD922" s="9"/>
      <c r="CE922" s="9"/>
      <c r="CF922" s="9"/>
      <c r="CG922" s="9"/>
      <c r="CH922" s="9"/>
      <c r="CI922" s="66"/>
      <c r="CJ922" s="9"/>
      <c r="CK922" s="9"/>
      <c r="CL922" s="9"/>
      <c r="CM922" s="9"/>
      <c r="CN922" s="9"/>
      <c r="CO922" s="9"/>
      <c r="CP922" s="16"/>
    </row>
    <row r="923" spans="1:94" ht="15" customHeight="1" x14ac:dyDescent="0.15">
      <c r="A923" s="15"/>
      <c r="B923" s="9"/>
      <c r="C923" s="9"/>
      <c r="D923" s="9"/>
      <c r="E923" s="146"/>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c r="BW923" s="9"/>
      <c r="BX923" s="9"/>
      <c r="BY923" s="9"/>
      <c r="BZ923" s="9"/>
      <c r="CA923" s="9"/>
      <c r="CB923" s="9"/>
      <c r="CC923" s="9"/>
      <c r="CD923" s="9"/>
      <c r="CE923" s="9"/>
      <c r="CF923" s="9"/>
      <c r="CG923" s="9"/>
      <c r="CH923" s="9"/>
      <c r="CI923" s="66"/>
      <c r="CJ923" s="9"/>
      <c r="CK923" s="9"/>
      <c r="CL923" s="9"/>
      <c r="CM923" s="9"/>
      <c r="CN923" s="9"/>
      <c r="CO923" s="9"/>
      <c r="CP923" s="16"/>
    </row>
    <row r="924" spans="1:94" ht="15" customHeight="1" x14ac:dyDescent="0.15">
      <c r="A924" s="15"/>
      <c r="B924" s="9"/>
      <c r="C924" s="9"/>
      <c r="D924" s="9"/>
      <c r="E924" s="80" t="s">
        <v>327</v>
      </c>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c r="BW924" s="9"/>
      <c r="BX924" s="9"/>
      <c r="BY924" s="9"/>
      <c r="BZ924" s="9"/>
      <c r="CA924" s="9"/>
      <c r="CB924" s="9"/>
      <c r="CC924" s="9"/>
      <c r="CD924" s="9"/>
      <c r="CE924" s="9"/>
      <c r="CF924" s="9"/>
      <c r="CG924" s="9"/>
      <c r="CH924" s="9"/>
      <c r="CI924" s="66"/>
      <c r="CJ924" s="9"/>
      <c r="CK924" s="9"/>
      <c r="CL924" s="9"/>
      <c r="CM924" s="9"/>
      <c r="CN924" s="9"/>
      <c r="CO924" s="9"/>
      <c r="CP924" s="16"/>
    </row>
    <row r="925" spans="1:94" ht="15" customHeight="1" x14ac:dyDescent="0.15">
      <c r="A925" s="15"/>
      <c r="B925" s="9"/>
      <c r="C925" s="9"/>
      <c r="D925" s="9"/>
      <c r="E925" s="80" t="s">
        <v>328</v>
      </c>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c r="BW925" s="9"/>
      <c r="BX925" s="9"/>
      <c r="BY925" s="9"/>
      <c r="BZ925" s="9"/>
      <c r="CA925" s="9"/>
      <c r="CB925" s="9"/>
      <c r="CC925" s="9"/>
      <c r="CD925" s="9"/>
      <c r="CE925" s="9"/>
      <c r="CF925" s="9"/>
      <c r="CG925" s="9"/>
      <c r="CH925" s="9"/>
      <c r="CI925" s="66"/>
      <c r="CJ925" s="9"/>
      <c r="CK925" s="9"/>
      <c r="CL925" s="9"/>
      <c r="CM925" s="9"/>
      <c r="CN925" s="9"/>
      <c r="CO925" s="9"/>
      <c r="CP925" s="16"/>
    </row>
    <row r="926" spans="1:94" ht="15" customHeight="1" x14ac:dyDescent="0.15">
      <c r="A926" s="15"/>
      <c r="B926" s="9"/>
      <c r="C926" s="9"/>
      <c r="D926" s="9"/>
      <c r="E926" s="80" t="s">
        <v>329</v>
      </c>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c r="BW926" s="9"/>
      <c r="BX926" s="9"/>
      <c r="BY926" s="9"/>
      <c r="BZ926" s="9"/>
      <c r="CA926" s="9"/>
      <c r="CB926" s="9"/>
      <c r="CC926" s="9"/>
      <c r="CD926" s="9"/>
      <c r="CE926" s="9"/>
      <c r="CF926" s="9"/>
      <c r="CG926" s="9"/>
      <c r="CH926" s="9"/>
      <c r="CI926" s="66"/>
      <c r="CJ926" s="9"/>
      <c r="CK926" s="9"/>
      <c r="CL926" s="9"/>
      <c r="CM926" s="9"/>
      <c r="CN926" s="9"/>
      <c r="CO926" s="9"/>
      <c r="CP926" s="16"/>
    </row>
    <row r="927" spans="1:94" ht="15" customHeight="1" x14ac:dyDescent="0.15">
      <c r="A927" s="15"/>
      <c r="B927" s="9"/>
      <c r="C927" s="9"/>
      <c r="D927" s="9"/>
      <c r="E927" s="80" t="s">
        <v>330</v>
      </c>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9"/>
      <c r="BX927" s="9"/>
      <c r="BY927" s="9"/>
      <c r="BZ927" s="9"/>
      <c r="CA927" s="9"/>
      <c r="CB927" s="9"/>
      <c r="CC927" s="9"/>
      <c r="CD927" s="9"/>
      <c r="CE927" s="9"/>
      <c r="CF927" s="9"/>
      <c r="CG927" s="9"/>
      <c r="CH927" s="9"/>
      <c r="CI927" s="66"/>
      <c r="CJ927" s="9"/>
      <c r="CK927" s="9"/>
      <c r="CL927" s="9"/>
      <c r="CM927" s="9"/>
      <c r="CN927" s="9"/>
      <c r="CO927" s="9"/>
      <c r="CP927" s="16"/>
    </row>
    <row r="928" spans="1:94" ht="15" customHeight="1" x14ac:dyDescent="0.15">
      <c r="A928" s="15"/>
      <c r="B928" s="9"/>
      <c r="C928" s="9"/>
      <c r="D928" s="9"/>
      <c r="E928" s="79"/>
      <c r="F928" s="62"/>
      <c r="G928" s="62"/>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c r="AF928" s="62"/>
      <c r="AG928" s="62"/>
      <c r="AH928" s="62"/>
      <c r="AI928" s="62"/>
      <c r="AJ928" s="62"/>
      <c r="AK928" s="62"/>
      <c r="AL928" s="62"/>
      <c r="AM928" s="62"/>
      <c r="AN928" s="62"/>
      <c r="AO928" s="62"/>
      <c r="AP928" s="62"/>
      <c r="AQ928" s="62"/>
      <c r="AR928" s="62"/>
      <c r="AS928" s="62"/>
      <c r="AT928" s="62"/>
      <c r="AU928" s="62"/>
      <c r="AV928" s="62"/>
      <c r="AW928" s="62"/>
      <c r="AX928" s="62"/>
      <c r="AY928" s="62"/>
      <c r="AZ928" s="62"/>
      <c r="BA928" s="62"/>
      <c r="BB928" s="62"/>
      <c r="BC928" s="62"/>
      <c r="BD928" s="62"/>
      <c r="BE928" s="62"/>
      <c r="BF928" s="62"/>
      <c r="BG928" s="62"/>
      <c r="BH928" s="62"/>
      <c r="BI928" s="62"/>
      <c r="BJ928" s="62"/>
      <c r="BK928" s="62"/>
      <c r="BL928" s="62"/>
      <c r="BM928" s="62"/>
      <c r="BN928" s="62"/>
      <c r="BO928" s="62"/>
      <c r="BP928" s="62"/>
      <c r="BQ928" s="62"/>
      <c r="BR928" s="62"/>
      <c r="BS928" s="62"/>
      <c r="BT928" s="62"/>
      <c r="BU928" s="62"/>
      <c r="BV928" s="62"/>
      <c r="BW928" s="62"/>
      <c r="BX928" s="62"/>
      <c r="BY928" s="62"/>
      <c r="BZ928" s="62"/>
      <c r="CA928" s="62"/>
      <c r="CB928" s="62"/>
      <c r="CC928" s="62"/>
      <c r="CD928" s="62"/>
      <c r="CE928" s="62"/>
      <c r="CF928" s="62"/>
      <c r="CG928" s="62"/>
      <c r="CH928" s="62"/>
      <c r="CI928" s="63"/>
      <c r="CJ928" s="9"/>
      <c r="CK928" s="9"/>
      <c r="CL928" s="9"/>
      <c r="CM928" s="9"/>
      <c r="CN928" s="9"/>
      <c r="CO928" s="9"/>
      <c r="CP928" s="16"/>
    </row>
    <row r="929" spans="1:94" ht="15" customHeight="1" thickBot="1" x14ac:dyDescent="0.2">
      <c r="A929" s="19"/>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c r="BR929" s="20"/>
      <c r="BS929" s="20"/>
      <c r="BT929" s="20"/>
      <c r="BU929" s="20"/>
      <c r="BV929" s="20"/>
      <c r="BW929" s="20"/>
      <c r="BX929" s="20"/>
      <c r="BY929" s="20"/>
      <c r="BZ929" s="20"/>
      <c r="CA929" s="20"/>
      <c r="CB929" s="20"/>
      <c r="CC929" s="20"/>
      <c r="CD929" s="20"/>
      <c r="CE929" s="20"/>
      <c r="CF929" s="20"/>
      <c r="CG929" s="20"/>
      <c r="CH929" s="20"/>
      <c r="CI929" s="20"/>
      <c r="CJ929" s="20"/>
      <c r="CK929" s="20"/>
      <c r="CL929" s="20"/>
      <c r="CM929" s="20"/>
      <c r="CN929" s="20"/>
      <c r="CO929" s="20"/>
      <c r="CP929" s="21"/>
    </row>
    <row r="930" spans="1:94" ht="15" customHeight="1" x14ac:dyDescent="0.15">
      <c r="A930" s="15"/>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c r="BW930" s="9"/>
      <c r="BX930" s="9"/>
      <c r="BY930" s="9"/>
      <c r="BZ930" s="9"/>
      <c r="CA930" s="9"/>
      <c r="CB930" s="9"/>
      <c r="CC930" s="9"/>
      <c r="CD930" s="9"/>
      <c r="CE930" s="9"/>
      <c r="CF930" s="9"/>
      <c r="CG930" s="9"/>
      <c r="CH930" s="9"/>
      <c r="CI930" s="9"/>
      <c r="CJ930" s="9"/>
      <c r="CK930" s="9"/>
      <c r="CL930" s="9"/>
      <c r="CM930" s="9"/>
      <c r="CN930" s="9"/>
      <c r="CO930" s="9"/>
      <c r="CP930" s="16"/>
    </row>
    <row r="931" spans="1:94" ht="15" customHeight="1" x14ac:dyDescent="0.15">
      <c r="A931" s="15"/>
      <c r="B931" s="9"/>
      <c r="C931" s="9"/>
      <c r="D931" s="9"/>
      <c r="E931" s="83" t="s">
        <v>1176</v>
      </c>
      <c r="F931" s="9"/>
      <c r="G931" s="9"/>
      <c r="H931" s="9"/>
      <c r="I931" s="9"/>
      <c r="J931" s="9"/>
      <c r="K931" s="9"/>
      <c r="L931" s="9"/>
      <c r="M931" s="9"/>
      <c r="N931" s="9"/>
      <c r="O931" s="9"/>
      <c r="P931" s="9"/>
      <c r="Q931" s="9"/>
      <c r="R931" s="9"/>
      <c r="S931" s="9"/>
      <c r="T931" s="9"/>
      <c r="U931" s="9"/>
      <c r="V931" s="9"/>
      <c r="W931" s="9"/>
      <c r="X931" s="9"/>
      <c r="Y931" s="159" t="s">
        <v>1175</v>
      </c>
      <c r="Z931" s="9"/>
      <c r="AA931" s="9"/>
      <c r="AB931" s="9"/>
      <c r="AC931" s="9"/>
      <c r="AD931" s="9"/>
      <c r="AE931" s="9"/>
      <c r="AF931" s="9"/>
      <c r="AG931" s="9"/>
      <c r="AH931" s="9"/>
      <c r="AI931" s="9"/>
      <c r="AJ931" s="9"/>
      <c r="AK931" s="73"/>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c r="BW931" s="9"/>
      <c r="BX931" s="9"/>
      <c r="BY931" s="9"/>
      <c r="BZ931" s="9"/>
      <c r="CA931" s="9"/>
      <c r="CB931" s="9"/>
      <c r="CC931" s="9"/>
      <c r="CD931" s="9"/>
      <c r="CE931" s="9"/>
      <c r="CF931" s="9"/>
      <c r="CG931" s="9"/>
      <c r="CH931" s="9"/>
      <c r="CI931" s="9"/>
      <c r="CJ931" s="9"/>
      <c r="CK931" s="9"/>
      <c r="CL931" s="9"/>
      <c r="CM931" s="9"/>
      <c r="CN931" s="9"/>
      <c r="CO931" s="9"/>
      <c r="CP931" s="16"/>
    </row>
    <row r="932" spans="1:94" ht="15" customHeight="1" x14ac:dyDescent="0.15">
      <c r="A932" s="15"/>
      <c r="B932" s="9"/>
      <c r="C932" s="9"/>
      <c r="D932" s="9"/>
      <c r="E932" s="78"/>
      <c r="F932" s="64"/>
      <c r="G932" s="64"/>
      <c r="H932" s="64"/>
      <c r="I932" s="64"/>
      <c r="J932" s="64"/>
      <c r="K932" s="64"/>
      <c r="L932" s="64"/>
      <c r="M932" s="64"/>
      <c r="N932" s="64"/>
      <c r="O932" s="64"/>
      <c r="P932" s="64"/>
      <c r="Q932" s="64"/>
      <c r="R932" s="64"/>
      <c r="S932" s="64"/>
      <c r="T932" s="64"/>
      <c r="U932" s="64"/>
      <c r="V932" s="64"/>
      <c r="W932" s="64"/>
      <c r="X932" s="64"/>
      <c r="Y932" s="160"/>
      <c r="Z932" s="64"/>
      <c r="AA932" s="64"/>
      <c r="AB932" s="64"/>
      <c r="AC932" s="64"/>
      <c r="AD932" s="64"/>
      <c r="AE932" s="64"/>
      <c r="AF932" s="64"/>
      <c r="AG932" s="64"/>
      <c r="AH932" s="64"/>
      <c r="AI932" s="64"/>
      <c r="AJ932" s="64"/>
      <c r="AK932" s="71"/>
      <c r="AL932" s="64"/>
      <c r="AM932" s="64"/>
      <c r="AN932" s="64"/>
      <c r="AO932" s="64"/>
      <c r="AP932" s="64"/>
      <c r="AQ932" s="64"/>
      <c r="AR932" s="64"/>
      <c r="AS932" s="64"/>
      <c r="AT932" s="64"/>
      <c r="AU932" s="64"/>
      <c r="AV932" s="64"/>
      <c r="AW932" s="64"/>
      <c r="AX932" s="64"/>
      <c r="AY932" s="64"/>
      <c r="AZ932" s="64"/>
      <c r="BA932" s="64"/>
      <c r="BB932" s="64"/>
      <c r="BC932" s="64"/>
      <c r="BD932" s="64"/>
      <c r="BE932" s="64"/>
      <c r="BF932" s="64"/>
      <c r="BG932" s="64"/>
      <c r="BH932" s="64"/>
      <c r="BI932" s="64"/>
      <c r="BJ932" s="64"/>
      <c r="BK932" s="64"/>
      <c r="BL932" s="64"/>
      <c r="BM932" s="64"/>
      <c r="BN932" s="64"/>
      <c r="BO932" s="64"/>
      <c r="BP932" s="64"/>
      <c r="BQ932" s="64"/>
      <c r="BR932" s="64"/>
      <c r="BS932" s="64"/>
      <c r="BT932" s="64"/>
      <c r="BU932" s="64"/>
      <c r="BV932" s="64"/>
      <c r="BW932" s="64"/>
      <c r="BX932" s="64"/>
      <c r="BY932" s="64"/>
      <c r="BZ932" s="64"/>
      <c r="CA932" s="64"/>
      <c r="CB932" s="64"/>
      <c r="CC932" s="64"/>
      <c r="CD932" s="64"/>
      <c r="CE932" s="64"/>
      <c r="CF932" s="64"/>
      <c r="CG932" s="64"/>
      <c r="CH932" s="64"/>
      <c r="CI932" s="65"/>
      <c r="CJ932" s="9"/>
      <c r="CK932" s="9"/>
      <c r="CL932" s="9"/>
      <c r="CM932" s="9"/>
      <c r="CN932" s="9"/>
      <c r="CO932" s="9"/>
      <c r="CP932" s="16"/>
    </row>
    <row r="933" spans="1:94" ht="15" customHeight="1" x14ac:dyDescent="0.15">
      <c r="A933" s="15"/>
      <c r="B933" s="9"/>
      <c r="C933" s="9"/>
      <c r="D933" s="9"/>
      <c r="E933" s="80" t="s">
        <v>1177</v>
      </c>
      <c r="F933" s="9"/>
      <c r="G933" s="9"/>
      <c r="H933" s="9"/>
      <c r="I933" s="9"/>
      <c r="J933" s="9"/>
      <c r="K933" s="9"/>
      <c r="L933" s="9"/>
      <c r="M933" s="9"/>
      <c r="N933" s="9"/>
      <c r="O933" s="9"/>
      <c r="P933" s="9"/>
      <c r="Q933" s="9"/>
      <c r="R933" s="9"/>
      <c r="S933" s="9"/>
      <c r="T933" s="9"/>
      <c r="U933" s="9"/>
      <c r="V933" s="9"/>
      <c r="W933" s="9"/>
      <c r="X933" s="9"/>
      <c r="Y933" s="159"/>
      <c r="Z933" s="9"/>
      <c r="AA933" s="9"/>
      <c r="AB933" s="9"/>
      <c r="AC933" s="9"/>
      <c r="AD933" s="9"/>
      <c r="AE933" s="9"/>
      <c r="AF933" s="9"/>
      <c r="AG933" s="9"/>
      <c r="AH933" s="9"/>
      <c r="AI933" s="9"/>
      <c r="AJ933" s="9"/>
      <c r="AK933" s="73"/>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9"/>
      <c r="BX933" s="9"/>
      <c r="BY933" s="9"/>
      <c r="BZ933" s="9"/>
      <c r="CA933" s="9"/>
      <c r="CB933" s="9"/>
      <c r="CC933" s="9"/>
      <c r="CD933" s="9"/>
      <c r="CE933" s="9"/>
      <c r="CF933" s="9"/>
      <c r="CG933" s="9"/>
      <c r="CH933" s="9"/>
      <c r="CI933" s="66"/>
      <c r="CJ933" s="9"/>
      <c r="CK933" s="9"/>
      <c r="CL933" s="9"/>
      <c r="CM933" s="9"/>
      <c r="CN933" s="9"/>
      <c r="CO933" s="9"/>
      <c r="CP933" s="16"/>
    </row>
    <row r="934" spans="1:94" ht="15" customHeight="1" x14ac:dyDescent="0.15">
      <c r="A934" s="15"/>
      <c r="B934" s="9"/>
      <c r="C934" s="9"/>
      <c r="D934" s="9"/>
      <c r="E934" s="80"/>
      <c r="F934" s="9"/>
      <c r="G934" s="9"/>
      <c r="H934" s="9"/>
      <c r="I934" s="9"/>
      <c r="J934" s="9"/>
      <c r="K934" s="9"/>
      <c r="L934" s="9"/>
      <c r="M934" s="9"/>
      <c r="N934" s="9"/>
      <c r="O934" s="9"/>
      <c r="P934" s="9"/>
      <c r="Q934" s="9"/>
      <c r="R934" s="9"/>
      <c r="S934" s="9"/>
      <c r="T934" s="9"/>
      <c r="U934" s="9"/>
      <c r="V934" s="9"/>
      <c r="W934" s="9"/>
      <c r="X934" s="9"/>
      <c r="Y934" s="159"/>
      <c r="Z934" s="9"/>
      <c r="AA934" s="9"/>
      <c r="AB934" s="9"/>
      <c r="AC934" s="9"/>
      <c r="AD934" s="9"/>
      <c r="AE934" s="9"/>
      <c r="AF934" s="9"/>
      <c r="AG934" s="9"/>
      <c r="AH934" s="9"/>
      <c r="AI934" s="9"/>
      <c r="AJ934" s="9"/>
      <c r="AK934" s="73"/>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9"/>
      <c r="BX934" s="9"/>
      <c r="BY934" s="9"/>
      <c r="BZ934" s="9"/>
      <c r="CA934" s="9"/>
      <c r="CB934" s="9"/>
      <c r="CC934" s="9"/>
      <c r="CD934" s="9"/>
      <c r="CE934" s="9"/>
      <c r="CF934" s="9"/>
      <c r="CG934" s="9"/>
      <c r="CH934" s="9"/>
      <c r="CI934" s="66"/>
      <c r="CJ934" s="9"/>
      <c r="CK934" s="9"/>
      <c r="CL934" s="9"/>
      <c r="CM934" s="9"/>
      <c r="CN934" s="9"/>
      <c r="CO934" s="9"/>
      <c r="CP934" s="16"/>
    </row>
    <row r="935" spans="1:94" ht="15" customHeight="1" x14ac:dyDescent="0.15">
      <c r="A935" s="15"/>
      <c r="B935" s="9"/>
      <c r="C935" s="9"/>
      <c r="D935" s="9"/>
      <c r="E935" s="80" t="s">
        <v>1178</v>
      </c>
      <c r="F935" s="9"/>
      <c r="G935" s="9"/>
      <c r="H935" s="9"/>
      <c r="I935" s="9"/>
      <c r="J935" s="9"/>
      <c r="K935" s="9"/>
      <c r="L935" s="9"/>
      <c r="M935" s="9"/>
      <c r="N935" s="9"/>
      <c r="O935" s="9"/>
      <c r="P935" s="9"/>
      <c r="Q935" s="9"/>
      <c r="R935" s="9"/>
      <c r="S935" s="9"/>
      <c r="T935" s="9"/>
      <c r="U935" s="9"/>
      <c r="V935" s="9"/>
      <c r="W935" s="9"/>
      <c r="X935" s="9"/>
      <c r="Y935" s="159"/>
      <c r="Z935" s="9"/>
      <c r="AA935" s="9"/>
      <c r="AB935" s="9"/>
      <c r="AC935" s="9"/>
      <c r="AD935" s="9"/>
      <c r="AE935" s="9"/>
      <c r="AF935" s="9"/>
      <c r="AG935" s="9"/>
      <c r="AH935" s="9"/>
      <c r="AI935" s="9"/>
      <c r="AJ935" s="9"/>
      <c r="AK935" s="73"/>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9"/>
      <c r="BX935" s="9"/>
      <c r="BY935" s="9"/>
      <c r="BZ935" s="9"/>
      <c r="CA935" s="9"/>
      <c r="CB935" s="9"/>
      <c r="CC935" s="9"/>
      <c r="CD935" s="9"/>
      <c r="CE935" s="9"/>
      <c r="CF935" s="9"/>
      <c r="CG935" s="9"/>
      <c r="CH935" s="9"/>
      <c r="CI935" s="66"/>
      <c r="CJ935" s="9"/>
      <c r="CK935" s="9"/>
      <c r="CL935" s="9"/>
      <c r="CM935" s="9"/>
      <c r="CN935" s="9"/>
      <c r="CO935" s="9"/>
      <c r="CP935" s="16"/>
    </row>
    <row r="936" spans="1:94" ht="15" customHeight="1" x14ac:dyDescent="0.15">
      <c r="A936" s="15"/>
      <c r="B936" s="9"/>
      <c r="C936" s="9"/>
      <c r="D936" s="9"/>
      <c r="E936" s="80"/>
      <c r="F936" s="9"/>
      <c r="G936" s="9"/>
      <c r="H936" s="9"/>
      <c r="I936" s="9"/>
      <c r="J936" s="9"/>
      <c r="K936" s="9"/>
      <c r="L936" s="9"/>
      <c r="M936" s="9"/>
      <c r="N936" s="9"/>
      <c r="O936" s="9"/>
      <c r="P936" s="9"/>
      <c r="Q936" s="9"/>
      <c r="R936" s="9"/>
      <c r="S936" s="9"/>
      <c r="T936" s="9"/>
      <c r="U936" s="9"/>
      <c r="V936" s="9"/>
      <c r="W936" s="9"/>
      <c r="X936" s="9"/>
      <c r="Y936" s="159"/>
      <c r="Z936" s="9"/>
      <c r="AA936" s="9"/>
      <c r="AB936" s="9"/>
      <c r="AC936" s="9"/>
      <c r="AD936" s="9"/>
      <c r="AE936" s="9"/>
      <c r="AF936" s="9"/>
      <c r="AG936" s="9"/>
      <c r="AH936" s="9"/>
      <c r="AI936" s="9"/>
      <c r="AJ936" s="9"/>
      <c r="AK936" s="73"/>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9"/>
      <c r="BX936" s="9"/>
      <c r="BY936" s="9"/>
      <c r="BZ936" s="9"/>
      <c r="CA936" s="9"/>
      <c r="CB936" s="9"/>
      <c r="CC936" s="9"/>
      <c r="CD936" s="9"/>
      <c r="CE936" s="9"/>
      <c r="CF936" s="9"/>
      <c r="CG936" s="9"/>
      <c r="CH936" s="9"/>
      <c r="CI936" s="66"/>
      <c r="CJ936" s="9"/>
      <c r="CK936" s="9"/>
      <c r="CL936" s="9"/>
      <c r="CM936" s="9"/>
      <c r="CN936" s="9"/>
      <c r="CO936" s="9"/>
      <c r="CP936" s="16"/>
    </row>
    <row r="937" spans="1:94" ht="15" customHeight="1" x14ac:dyDescent="0.15">
      <c r="A937" s="15"/>
      <c r="B937" s="9"/>
      <c r="C937" s="9"/>
      <c r="D937" s="9"/>
      <c r="E937" s="80" t="s">
        <v>1179</v>
      </c>
      <c r="F937" s="9"/>
      <c r="G937" s="9"/>
      <c r="H937" s="9"/>
      <c r="I937" s="9"/>
      <c r="J937" s="9"/>
      <c r="K937" s="9"/>
      <c r="L937" s="9"/>
      <c r="M937" s="9"/>
      <c r="N937" s="9"/>
      <c r="O937" s="9"/>
      <c r="P937" s="9"/>
      <c r="Q937" s="9"/>
      <c r="R937" s="9"/>
      <c r="S937" s="9"/>
      <c r="T937" s="9"/>
      <c r="U937" s="9"/>
      <c r="V937" s="9"/>
      <c r="W937" s="9"/>
      <c r="X937" s="9"/>
      <c r="Y937" s="159"/>
      <c r="Z937" s="9"/>
      <c r="AA937" s="9"/>
      <c r="AB937" s="9"/>
      <c r="AC937" s="9"/>
      <c r="AD937" s="9"/>
      <c r="AE937" s="9"/>
      <c r="AF937" s="9"/>
      <c r="AG937" s="9"/>
      <c r="AH937" s="9"/>
      <c r="AI937" s="9"/>
      <c r="AJ937" s="9"/>
      <c r="AK937" s="73"/>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9"/>
      <c r="BX937" s="9"/>
      <c r="BY937" s="9"/>
      <c r="BZ937" s="9"/>
      <c r="CA937" s="9"/>
      <c r="CB937" s="9"/>
      <c r="CC937" s="9"/>
      <c r="CD937" s="9"/>
      <c r="CE937" s="9"/>
      <c r="CF937" s="9"/>
      <c r="CG937" s="9"/>
      <c r="CH937" s="9"/>
      <c r="CI937" s="66"/>
      <c r="CJ937" s="9"/>
      <c r="CK937" s="9"/>
      <c r="CL937" s="9"/>
      <c r="CM937" s="9"/>
      <c r="CN937" s="9"/>
      <c r="CO937" s="9"/>
      <c r="CP937" s="16"/>
    </row>
    <row r="938" spans="1:94" ht="15" customHeight="1" x14ac:dyDescent="0.15">
      <c r="A938" s="15"/>
      <c r="B938" s="9"/>
      <c r="C938" s="9"/>
      <c r="D938" s="9"/>
      <c r="E938" s="80"/>
      <c r="F938" s="9"/>
      <c r="G938" s="9"/>
      <c r="H938" s="9"/>
      <c r="I938" s="9"/>
      <c r="J938" s="9"/>
      <c r="K938" s="9"/>
      <c r="L938" s="9"/>
      <c r="M938" s="9"/>
      <c r="N938" s="9"/>
      <c r="O938" s="9"/>
      <c r="P938" s="9"/>
      <c r="Q938" s="9"/>
      <c r="R938" s="9"/>
      <c r="S938" s="9"/>
      <c r="T938" s="9"/>
      <c r="U938" s="9"/>
      <c r="V938" s="9"/>
      <c r="W938" s="9"/>
      <c r="X938" s="9"/>
      <c r="Y938" s="159"/>
      <c r="Z938" s="9"/>
      <c r="AA938" s="9"/>
      <c r="AB938" s="9"/>
      <c r="AC938" s="9"/>
      <c r="AD938" s="9"/>
      <c r="AE938" s="9"/>
      <c r="AF938" s="9"/>
      <c r="AG938" s="9"/>
      <c r="AH938" s="9"/>
      <c r="AI938" s="9"/>
      <c r="AJ938" s="9"/>
      <c r="AK938" s="73"/>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9"/>
      <c r="BX938" s="9"/>
      <c r="BY938" s="9"/>
      <c r="BZ938" s="9"/>
      <c r="CA938" s="9"/>
      <c r="CB938" s="9"/>
      <c r="CC938" s="9"/>
      <c r="CD938" s="9"/>
      <c r="CE938" s="9"/>
      <c r="CF938" s="9"/>
      <c r="CG938" s="9"/>
      <c r="CH938" s="9"/>
      <c r="CI938" s="66"/>
      <c r="CJ938" s="9"/>
      <c r="CK938" s="9"/>
      <c r="CL938" s="9"/>
      <c r="CM938" s="9"/>
      <c r="CN938" s="9"/>
      <c r="CO938" s="9"/>
      <c r="CP938" s="16"/>
    </row>
    <row r="939" spans="1:94" ht="15" customHeight="1" x14ac:dyDescent="0.15">
      <c r="A939" s="15"/>
      <c r="B939" s="9"/>
      <c r="C939" s="9"/>
      <c r="D939" s="9"/>
      <c r="E939" s="80" t="s">
        <v>1180</v>
      </c>
      <c r="F939" s="9"/>
      <c r="G939" s="9"/>
      <c r="H939" s="9"/>
      <c r="I939" s="9"/>
      <c r="J939" s="9"/>
      <c r="K939" s="9"/>
      <c r="L939" s="9"/>
      <c r="M939" s="9"/>
      <c r="N939" s="9"/>
      <c r="O939" s="9"/>
      <c r="P939" s="9"/>
      <c r="Q939" s="9"/>
      <c r="R939" s="9"/>
      <c r="S939" s="9"/>
      <c r="T939" s="9"/>
      <c r="U939" s="9"/>
      <c r="V939" s="9"/>
      <c r="W939" s="9"/>
      <c r="X939" s="9"/>
      <c r="Y939" s="159"/>
      <c r="Z939" s="9"/>
      <c r="AA939" s="9"/>
      <c r="AB939" s="9"/>
      <c r="AC939" s="9"/>
      <c r="AD939" s="9"/>
      <c r="AE939" s="9"/>
      <c r="AF939" s="9"/>
      <c r="AG939" s="9"/>
      <c r="AH939" s="9"/>
      <c r="AI939" s="9"/>
      <c r="AJ939" s="9"/>
      <c r="AK939" s="73"/>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9"/>
      <c r="BX939" s="9"/>
      <c r="BY939" s="9"/>
      <c r="BZ939" s="9"/>
      <c r="CA939" s="9"/>
      <c r="CB939" s="9"/>
      <c r="CC939" s="9"/>
      <c r="CD939" s="9"/>
      <c r="CE939" s="9"/>
      <c r="CF939" s="9"/>
      <c r="CG939" s="9"/>
      <c r="CH939" s="9"/>
      <c r="CI939" s="66"/>
      <c r="CJ939" s="9"/>
      <c r="CK939" s="9"/>
      <c r="CL939" s="9"/>
      <c r="CM939" s="9"/>
      <c r="CN939" s="9"/>
      <c r="CO939" s="9"/>
      <c r="CP939" s="16"/>
    </row>
    <row r="940" spans="1:94" ht="15" customHeight="1" x14ac:dyDescent="0.15">
      <c r="A940" s="15"/>
      <c r="B940" s="9"/>
      <c r="C940" s="9"/>
      <c r="D940" s="9"/>
      <c r="E940" s="79"/>
      <c r="F940" s="62"/>
      <c r="G940" s="62"/>
      <c r="H940" s="62"/>
      <c r="I940" s="62"/>
      <c r="J940" s="62"/>
      <c r="K940" s="62"/>
      <c r="L940" s="62"/>
      <c r="M940" s="62"/>
      <c r="N940" s="62"/>
      <c r="O940" s="62"/>
      <c r="P940" s="62"/>
      <c r="Q940" s="62"/>
      <c r="R940" s="62"/>
      <c r="S940" s="62"/>
      <c r="T940" s="62"/>
      <c r="U940" s="62"/>
      <c r="V940" s="62"/>
      <c r="W940" s="62"/>
      <c r="X940" s="62"/>
      <c r="Y940" s="161"/>
      <c r="Z940" s="62"/>
      <c r="AA940" s="62"/>
      <c r="AB940" s="62"/>
      <c r="AC940" s="62"/>
      <c r="AD940" s="62"/>
      <c r="AE940" s="62"/>
      <c r="AF940" s="62"/>
      <c r="AG940" s="62"/>
      <c r="AH940" s="62"/>
      <c r="AI940" s="62"/>
      <c r="AJ940" s="62"/>
      <c r="AK940" s="74"/>
      <c r="AL940" s="62"/>
      <c r="AM940" s="62"/>
      <c r="AN940" s="62"/>
      <c r="AO940" s="62"/>
      <c r="AP940" s="62"/>
      <c r="AQ940" s="62"/>
      <c r="AR940" s="62"/>
      <c r="AS940" s="62"/>
      <c r="AT940" s="62"/>
      <c r="AU940" s="62"/>
      <c r="AV940" s="62"/>
      <c r="AW940" s="62"/>
      <c r="AX940" s="62"/>
      <c r="AY940" s="62"/>
      <c r="AZ940" s="62"/>
      <c r="BA940" s="62"/>
      <c r="BB940" s="62"/>
      <c r="BC940" s="62"/>
      <c r="BD940" s="62"/>
      <c r="BE940" s="62"/>
      <c r="BF940" s="62"/>
      <c r="BG940" s="62"/>
      <c r="BH940" s="62"/>
      <c r="BI940" s="62"/>
      <c r="BJ940" s="62"/>
      <c r="BK940" s="62"/>
      <c r="BL940" s="62"/>
      <c r="BM940" s="62"/>
      <c r="BN940" s="62"/>
      <c r="BO940" s="62"/>
      <c r="BP940" s="62"/>
      <c r="BQ940" s="62"/>
      <c r="BR940" s="62"/>
      <c r="BS940" s="62"/>
      <c r="BT940" s="62"/>
      <c r="BU940" s="62"/>
      <c r="BV940" s="62"/>
      <c r="BW940" s="62"/>
      <c r="BX940" s="62"/>
      <c r="BY940" s="62"/>
      <c r="BZ940" s="62"/>
      <c r="CA940" s="62"/>
      <c r="CB940" s="62"/>
      <c r="CC940" s="62"/>
      <c r="CD940" s="62"/>
      <c r="CE940" s="62"/>
      <c r="CF940" s="62"/>
      <c r="CG940" s="62"/>
      <c r="CH940" s="62"/>
      <c r="CI940" s="63"/>
      <c r="CJ940" s="9"/>
      <c r="CK940" s="9"/>
      <c r="CL940" s="9"/>
      <c r="CM940" s="9"/>
      <c r="CN940" s="9"/>
      <c r="CO940" s="9"/>
      <c r="CP940" s="16"/>
    </row>
    <row r="941" spans="1:94" ht="15" customHeight="1" x14ac:dyDescent="0.15">
      <c r="A941" s="15"/>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9"/>
      <c r="BX941" s="9"/>
      <c r="BY941" s="9"/>
      <c r="BZ941" s="9"/>
      <c r="CA941" s="9"/>
      <c r="CB941" s="9"/>
      <c r="CC941" s="9"/>
      <c r="CD941" s="9"/>
      <c r="CE941" s="9"/>
      <c r="CF941" s="9"/>
      <c r="CG941" s="9"/>
      <c r="CH941" s="9"/>
      <c r="CI941" s="9"/>
      <c r="CJ941" s="9"/>
      <c r="CK941" s="9"/>
      <c r="CL941" s="9"/>
      <c r="CM941" s="9"/>
      <c r="CN941" s="9"/>
      <c r="CO941" s="9"/>
      <c r="CP941" s="16"/>
    </row>
    <row r="942" spans="1:94" ht="15" customHeight="1" x14ac:dyDescent="0.15">
      <c r="A942" s="15"/>
      <c r="B942" s="9"/>
      <c r="C942" s="9"/>
      <c r="D942" s="9"/>
      <c r="E942" s="9" t="s">
        <v>733</v>
      </c>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9"/>
      <c r="BX942" s="9"/>
      <c r="BY942" s="9"/>
      <c r="BZ942" s="9"/>
      <c r="CA942" s="9"/>
      <c r="CB942" s="9"/>
      <c r="CC942" s="9"/>
      <c r="CD942" s="9"/>
      <c r="CE942" s="9"/>
      <c r="CF942" s="9"/>
      <c r="CG942" s="9"/>
      <c r="CH942" s="9"/>
      <c r="CI942" s="9"/>
      <c r="CJ942" s="9"/>
      <c r="CK942" s="9"/>
      <c r="CL942" s="9"/>
      <c r="CM942" s="9"/>
      <c r="CN942" s="9"/>
      <c r="CO942" s="9"/>
      <c r="CP942" s="16"/>
    </row>
    <row r="943" spans="1:94" ht="15" customHeight="1" x14ac:dyDescent="0.15">
      <c r="A943" s="15"/>
      <c r="B943" s="9"/>
      <c r="C943" s="9"/>
      <c r="D943" s="9"/>
      <c r="E943" s="78" t="s">
        <v>373</v>
      </c>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c r="AH943" s="64"/>
      <c r="AI943" s="64"/>
      <c r="AJ943" s="64"/>
      <c r="AK943" s="64"/>
      <c r="AL943" s="64"/>
      <c r="AM943" s="64"/>
      <c r="AN943" s="64"/>
      <c r="AO943" s="64"/>
      <c r="AP943" s="64"/>
      <c r="AQ943" s="64"/>
      <c r="AR943" s="64"/>
      <c r="AS943" s="64"/>
      <c r="AT943" s="64"/>
      <c r="AU943" s="64"/>
      <c r="AV943" s="64"/>
      <c r="AW943" s="64"/>
      <c r="AX943" s="64"/>
      <c r="AY943" s="64"/>
      <c r="AZ943" s="64"/>
      <c r="BA943" s="64"/>
      <c r="BB943" s="64"/>
      <c r="BC943" s="64"/>
      <c r="BD943" s="64"/>
      <c r="BE943" s="64"/>
      <c r="BF943" s="64"/>
      <c r="BG943" s="64"/>
      <c r="BH943" s="64"/>
      <c r="BI943" s="64"/>
      <c r="BJ943" s="64"/>
      <c r="BK943" s="64"/>
      <c r="BL943" s="64"/>
      <c r="BM943" s="64"/>
      <c r="BN943" s="64"/>
      <c r="BO943" s="64"/>
      <c r="BP943" s="64"/>
      <c r="BQ943" s="64"/>
      <c r="BR943" s="64"/>
      <c r="BS943" s="64"/>
      <c r="BT943" s="64"/>
      <c r="BU943" s="64"/>
      <c r="BV943" s="64"/>
      <c r="BW943" s="64"/>
      <c r="BX943" s="64"/>
      <c r="BY943" s="64"/>
      <c r="BZ943" s="64"/>
      <c r="CA943" s="64"/>
      <c r="CB943" s="64"/>
      <c r="CC943" s="64"/>
      <c r="CD943" s="64"/>
      <c r="CE943" s="64"/>
      <c r="CF943" s="64"/>
      <c r="CG943" s="64"/>
      <c r="CH943" s="64"/>
      <c r="CI943" s="65"/>
      <c r="CJ943" s="9"/>
      <c r="CK943" s="9"/>
      <c r="CL943" s="9"/>
      <c r="CM943" s="9"/>
      <c r="CN943" s="9"/>
      <c r="CO943" s="9"/>
      <c r="CP943" s="16"/>
    </row>
    <row r="944" spans="1:94" ht="15" customHeight="1" x14ac:dyDescent="0.15">
      <c r="A944" s="15"/>
      <c r="B944" s="9"/>
      <c r="C944" s="9"/>
      <c r="D944" s="9"/>
      <c r="E944" s="80"/>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9"/>
      <c r="BX944" s="9"/>
      <c r="BY944" s="9"/>
      <c r="BZ944" s="9"/>
      <c r="CA944" s="9"/>
      <c r="CB944" s="9"/>
      <c r="CC944" s="9"/>
      <c r="CD944" s="9"/>
      <c r="CE944" s="9"/>
      <c r="CF944" s="9"/>
      <c r="CG944" s="9"/>
      <c r="CH944" s="9"/>
      <c r="CI944" s="66"/>
      <c r="CJ944" s="9"/>
      <c r="CK944" s="9"/>
      <c r="CL944" s="9"/>
      <c r="CM944" s="9"/>
      <c r="CN944" s="9"/>
      <c r="CO944" s="9"/>
      <c r="CP944" s="16"/>
    </row>
    <row r="945" spans="1:94" ht="15" customHeight="1" x14ac:dyDescent="0.15">
      <c r="A945" s="15"/>
      <c r="B945" s="9"/>
      <c r="C945" s="9"/>
      <c r="D945" s="9"/>
      <c r="E945" s="80" t="s">
        <v>734</v>
      </c>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9"/>
      <c r="BX945" s="9"/>
      <c r="BY945" s="9"/>
      <c r="BZ945" s="9"/>
      <c r="CA945" s="9"/>
      <c r="CB945" s="9"/>
      <c r="CC945" s="9"/>
      <c r="CD945" s="9"/>
      <c r="CE945" s="9"/>
      <c r="CF945" s="9"/>
      <c r="CG945" s="9"/>
      <c r="CH945" s="9"/>
      <c r="CI945" s="66"/>
      <c r="CJ945" s="9"/>
      <c r="CK945" s="9"/>
      <c r="CL945" s="9"/>
      <c r="CM945" s="9"/>
      <c r="CN945" s="9"/>
      <c r="CO945" s="9"/>
      <c r="CP945" s="16"/>
    </row>
    <row r="946" spans="1:94" ht="15" customHeight="1" x14ac:dyDescent="0.15">
      <c r="A946" s="15"/>
      <c r="B946" s="9"/>
      <c r="C946" s="9"/>
      <c r="D946" s="9"/>
      <c r="E946" s="80" t="s">
        <v>735</v>
      </c>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9"/>
      <c r="BX946" s="9"/>
      <c r="BY946" s="9"/>
      <c r="BZ946" s="9"/>
      <c r="CA946" s="9"/>
      <c r="CB946" s="9"/>
      <c r="CC946" s="9"/>
      <c r="CD946" s="9"/>
      <c r="CE946" s="9"/>
      <c r="CF946" s="9"/>
      <c r="CG946" s="9"/>
      <c r="CH946" s="9"/>
      <c r="CI946" s="66"/>
      <c r="CJ946" s="9"/>
      <c r="CK946" s="9"/>
      <c r="CL946" s="9"/>
      <c r="CM946" s="9"/>
      <c r="CN946" s="9"/>
      <c r="CO946" s="9"/>
      <c r="CP946" s="16"/>
    </row>
    <row r="947" spans="1:94" ht="15" customHeight="1" x14ac:dyDescent="0.15">
      <c r="A947" s="15"/>
      <c r="B947" s="9"/>
      <c r="C947" s="9"/>
      <c r="D947" s="9"/>
      <c r="E947" s="80" t="s">
        <v>736</v>
      </c>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9"/>
      <c r="BY947" s="9"/>
      <c r="BZ947" s="9"/>
      <c r="CA947" s="9"/>
      <c r="CB947" s="9"/>
      <c r="CC947" s="9"/>
      <c r="CD947" s="9"/>
      <c r="CE947" s="9"/>
      <c r="CF947" s="9"/>
      <c r="CG947" s="9"/>
      <c r="CH947" s="9"/>
      <c r="CI947" s="66"/>
      <c r="CJ947" s="9"/>
      <c r="CK947" s="9"/>
      <c r="CL947" s="9"/>
      <c r="CM947" s="9"/>
      <c r="CN947" s="9"/>
      <c r="CO947" s="9"/>
      <c r="CP947" s="16"/>
    </row>
    <row r="948" spans="1:94" ht="15" customHeight="1" x14ac:dyDescent="0.15">
      <c r="A948" s="15"/>
      <c r="B948" s="9"/>
      <c r="C948" s="9"/>
      <c r="D948" s="9"/>
      <c r="E948" s="109" t="s">
        <v>737</v>
      </c>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110" t="s">
        <v>738</v>
      </c>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9"/>
      <c r="BX948" s="9"/>
      <c r="BY948" s="9"/>
      <c r="BZ948" s="9"/>
      <c r="CA948" s="9"/>
      <c r="CB948" s="9"/>
      <c r="CC948" s="9"/>
      <c r="CD948" s="9"/>
      <c r="CE948" s="9"/>
      <c r="CF948" s="9"/>
      <c r="CG948" s="9"/>
      <c r="CH948" s="9"/>
      <c r="CI948" s="66"/>
      <c r="CJ948" s="9"/>
      <c r="CK948" s="9"/>
      <c r="CL948" s="9"/>
      <c r="CM948" s="9"/>
      <c r="CN948" s="9"/>
      <c r="CO948" s="9"/>
      <c r="CP948" s="16"/>
    </row>
    <row r="949" spans="1:94" ht="15" customHeight="1" x14ac:dyDescent="0.15">
      <c r="A949" s="15"/>
      <c r="B949" s="9"/>
      <c r="C949" s="9"/>
      <c r="D949" s="9"/>
      <c r="E949" s="109" t="s">
        <v>739</v>
      </c>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110"/>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9"/>
      <c r="BX949" s="9"/>
      <c r="BY949" s="9"/>
      <c r="BZ949" s="9"/>
      <c r="CA949" s="9"/>
      <c r="CB949" s="9"/>
      <c r="CC949" s="9"/>
      <c r="CD949" s="9"/>
      <c r="CE949" s="9"/>
      <c r="CF949" s="9"/>
      <c r="CG949" s="9"/>
      <c r="CH949" s="9"/>
      <c r="CI949" s="66"/>
      <c r="CJ949" s="9"/>
      <c r="CK949" s="9"/>
      <c r="CL949" s="9"/>
      <c r="CM949" s="9"/>
      <c r="CN949" s="9"/>
      <c r="CO949" s="9"/>
      <c r="CP949" s="16"/>
    </row>
    <row r="950" spans="1:94" ht="15" customHeight="1" x14ac:dyDescent="0.15">
      <c r="A950" s="15"/>
      <c r="B950" s="9"/>
      <c r="C950" s="9"/>
      <c r="D950" s="9"/>
      <c r="E950" s="80"/>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9"/>
      <c r="BX950" s="9"/>
      <c r="BY950" s="9"/>
      <c r="BZ950" s="9"/>
      <c r="CA950" s="9"/>
      <c r="CB950" s="9"/>
      <c r="CC950" s="9"/>
      <c r="CD950" s="9"/>
      <c r="CE950" s="9"/>
      <c r="CF950" s="9"/>
      <c r="CG950" s="9"/>
      <c r="CH950" s="9"/>
      <c r="CI950" s="66"/>
      <c r="CJ950" s="9"/>
      <c r="CK950" s="9"/>
      <c r="CL950" s="9"/>
      <c r="CM950" s="9"/>
      <c r="CN950" s="9"/>
      <c r="CO950" s="9"/>
      <c r="CP950" s="16"/>
    </row>
    <row r="951" spans="1:94" ht="15" customHeight="1" x14ac:dyDescent="0.15">
      <c r="A951" s="15"/>
      <c r="B951" s="9"/>
      <c r="C951" s="9"/>
      <c r="D951" s="9"/>
      <c r="E951" s="80" t="s">
        <v>740</v>
      </c>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9"/>
      <c r="BX951" s="9"/>
      <c r="BY951" s="9"/>
      <c r="BZ951" s="9"/>
      <c r="CA951" s="9"/>
      <c r="CB951" s="9"/>
      <c r="CC951" s="9"/>
      <c r="CD951" s="9"/>
      <c r="CE951" s="9"/>
      <c r="CF951" s="9"/>
      <c r="CG951" s="9"/>
      <c r="CH951" s="9"/>
      <c r="CI951" s="66"/>
      <c r="CJ951" s="9"/>
      <c r="CK951" s="9"/>
      <c r="CL951" s="9"/>
      <c r="CM951" s="9"/>
      <c r="CN951" s="9"/>
      <c r="CO951" s="9"/>
      <c r="CP951" s="16"/>
    </row>
    <row r="952" spans="1:94" ht="15" customHeight="1" x14ac:dyDescent="0.15">
      <c r="A952" s="15"/>
      <c r="B952" s="9"/>
      <c r="C952" s="9"/>
      <c r="D952" s="9"/>
      <c r="E952" s="80" t="s">
        <v>741</v>
      </c>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9"/>
      <c r="BX952" s="9"/>
      <c r="BY952" s="9"/>
      <c r="BZ952" s="9"/>
      <c r="CA952" s="9"/>
      <c r="CB952" s="9"/>
      <c r="CC952" s="9"/>
      <c r="CD952" s="9"/>
      <c r="CE952" s="9"/>
      <c r="CF952" s="9"/>
      <c r="CG952" s="9"/>
      <c r="CH952" s="9"/>
      <c r="CI952" s="66"/>
      <c r="CJ952" s="9"/>
      <c r="CK952" s="9"/>
      <c r="CL952" s="9"/>
      <c r="CM952" s="9"/>
      <c r="CN952" s="9"/>
      <c r="CO952" s="9"/>
      <c r="CP952" s="16"/>
    </row>
    <row r="953" spans="1:94" ht="15" customHeight="1" x14ac:dyDescent="0.15">
      <c r="A953" s="15"/>
      <c r="B953" s="9"/>
      <c r="C953" s="9"/>
      <c r="D953" s="9"/>
      <c r="E953" s="80" t="s">
        <v>742</v>
      </c>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9"/>
      <c r="BY953" s="9"/>
      <c r="BZ953" s="9"/>
      <c r="CA953" s="9"/>
      <c r="CB953" s="9"/>
      <c r="CC953" s="9"/>
      <c r="CD953" s="9"/>
      <c r="CE953" s="9"/>
      <c r="CF953" s="9"/>
      <c r="CG953" s="9"/>
      <c r="CH953" s="9"/>
      <c r="CI953" s="66"/>
      <c r="CJ953" s="9"/>
      <c r="CK953" s="9"/>
      <c r="CL953" s="9"/>
      <c r="CM953" s="9"/>
      <c r="CN953" s="9"/>
      <c r="CO953" s="9"/>
      <c r="CP953" s="16"/>
    </row>
    <row r="954" spans="1:94" ht="15" customHeight="1" x14ac:dyDescent="0.15">
      <c r="A954" s="15"/>
      <c r="B954" s="9"/>
      <c r="C954" s="9"/>
      <c r="D954" s="9"/>
      <c r="E954" s="109" t="s">
        <v>743</v>
      </c>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9"/>
      <c r="BX954" s="9"/>
      <c r="BY954" s="9"/>
      <c r="BZ954" s="9"/>
      <c r="CA954" s="9"/>
      <c r="CB954" s="9"/>
      <c r="CC954" s="9"/>
      <c r="CD954" s="9"/>
      <c r="CE954" s="9"/>
      <c r="CF954" s="9"/>
      <c r="CG954" s="9"/>
      <c r="CH954" s="9"/>
      <c r="CI954" s="66"/>
      <c r="CJ954" s="9"/>
      <c r="CK954" s="9"/>
      <c r="CL954" s="9"/>
      <c r="CM954" s="9"/>
      <c r="CN954" s="9"/>
      <c r="CO954" s="9"/>
      <c r="CP954" s="16"/>
    </row>
    <row r="955" spans="1:94" ht="15" customHeight="1" x14ac:dyDescent="0.15">
      <c r="A955" s="15"/>
      <c r="B955" s="9"/>
      <c r="C955" s="9"/>
      <c r="D955" s="9"/>
      <c r="E955" s="109" t="s">
        <v>744</v>
      </c>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9"/>
      <c r="BX955" s="9"/>
      <c r="BY955" s="9"/>
      <c r="BZ955" s="9"/>
      <c r="CA955" s="9"/>
      <c r="CB955" s="9"/>
      <c r="CC955" s="9"/>
      <c r="CD955" s="9"/>
      <c r="CE955" s="9"/>
      <c r="CF955" s="9"/>
      <c r="CG955" s="9"/>
      <c r="CH955" s="9"/>
      <c r="CI955" s="66"/>
      <c r="CJ955" s="9"/>
      <c r="CK955" s="9"/>
      <c r="CL955" s="9"/>
      <c r="CM955" s="9"/>
      <c r="CN955" s="9"/>
      <c r="CO955" s="9"/>
      <c r="CP955" s="16"/>
    </row>
    <row r="956" spans="1:94" ht="15" customHeight="1" x14ac:dyDescent="0.15">
      <c r="A956" s="15"/>
      <c r="B956" s="9"/>
      <c r="C956" s="9"/>
      <c r="D956" s="9"/>
      <c r="E956" s="80"/>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9"/>
      <c r="BX956" s="9"/>
      <c r="BY956" s="9"/>
      <c r="BZ956" s="9"/>
      <c r="CA956" s="9"/>
      <c r="CB956" s="9"/>
      <c r="CC956" s="9"/>
      <c r="CD956" s="9"/>
      <c r="CE956" s="9"/>
      <c r="CF956" s="9"/>
      <c r="CG956" s="9"/>
      <c r="CH956" s="9"/>
      <c r="CI956" s="66"/>
      <c r="CJ956" s="9"/>
      <c r="CK956" s="9"/>
      <c r="CL956" s="9"/>
      <c r="CM956" s="9"/>
      <c r="CN956" s="9"/>
      <c r="CO956" s="9"/>
      <c r="CP956" s="16"/>
    </row>
    <row r="957" spans="1:94" ht="15" customHeight="1" x14ac:dyDescent="0.15">
      <c r="A957" s="15"/>
      <c r="B957" s="9"/>
      <c r="C957" s="9"/>
      <c r="D957" s="9"/>
      <c r="E957" s="80" t="s">
        <v>745</v>
      </c>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66"/>
      <c r="CJ957" s="9"/>
      <c r="CK957" s="9"/>
      <c r="CL957" s="9"/>
      <c r="CM957" s="9"/>
      <c r="CN957" s="9"/>
      <c r="CO957" s="9"/>
      <c r="CP957" s="16"/>
    </row>
    <row r="958" spans="1:94" ht="15" customHeight="1" x14ac:dyDescent="0.15">
      <c r="A958" s="15"/>
      <c r="B958" s="9"/>
      <c r="C958" s="9"/>
      <c r="D958" s="9"/>
      <c r="E958" s="80" t="s">
        <v>746</v>
      </c>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9"/>
      <c r="BX958" s="9"/>
      <c r="BY958" s="9"/>
      <c r="BZ958" s="9"/>
      <c r="CA958" s="9"/>
      <c r="CB958" s="9"/>
      <c r="CC958" s="9"/>
      <c r="CD958" s="9"/>
      <c r="CE958" s="9"/>
      <c r="CF958" s="9"/>
      <c r="CG958" s="9"/>
      <c r="CH958" s="9"/>
      <c r="CI958" s="66"/>
      <c r="CJ958" s="9"/>
      <c r="CK958" s="9"/>
      <c r="CL958" s="9"/>
      <c r="CM958" s="9"/>
      <c r="CN958" s="9"/>
      <c r="CO958" s="9"/>
      <c r="CP958" s="16"/>
    </row>
    <row r="959" spans="1:94" ht="15" customHeight="1" x14ac:dyDescent="0.15">
      <c r="A959" s="15"/>
      <c r="B959" s="9"/>
      <c r="C959" s="9"/>
      <c r="D959" s="9"/>
      <c r="E959" s="80" t="s">
        <v>747</v>
      </c>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9"/>
      <c r="BX959" s="9"/>
      <c r="BY959" s="9"/>
      <c r="BZ959" s="9"/>
      <c r="CA959" s="9"/>
      <c r="CB959" s="9"/>
      <c r="CC959" s="9"/>
      <c r="CD959" s="9"/>
      <c r="CE959" s="9"/>
      <c r="CF959" s="9"/>
      <c r="CG959" s="9"/>
      <c r="CH959" s="9"/>
      <c r="CI959" s="66"/>
      <c r="CJ959" s="9"/>
      <c r="CK959" s="9"/>
      <c r="CL959" s="9"/>
      <c r="CM959" s="9"/>
      <c r="CN959" s="9"/>
      <c r="CO959" s="9"/>
      <c r="CP959" s="16"/>
    </row>
    <row r="960" spans="1:94" ht="15" customHeight="1" x14ac:dyDescent="0.15">
      <c r="A960" s="15"/>
      <c r="B960" s="9"/>
      <c r="C960" s="9"/>
      <c r="D960" s="9"/>
      <c r="E960" s="109" t="s">
        <v>748</v>
      </c>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9"/>
      <c r="BX960" s="9"/>
      <c r="BY960" s="9"/>
      <c r="BZ960" s="9"/>
      <c r="CA960" s="9"/>
      <c r="CB960" s="9"/>
      <c r="CC960" s="9"/>
      <c r="CD960" s="9"/>
      <c r="CE960" s="9"/>
      <c r="CF960" s="9"/>
      <c r="CG960" s="9"/>
      <c r="CH960" s="9"/>
      <c r="CI960" s="66"/>
      <c r="CJ960" s="9"/>
      <c r="CK960" s="9"/>
      <c r="CL960" s="9"/>
      <c r="CM960" s="9"/>
      <c r="CN960" s="9"/>
      <c r="CO960" s="9"/>
      <c r="CP960" s="16"/>
    </row>
    <row r="961" spans="1:94" ht="15" customHeight="1" x14ac:dyDescent="0.15">
      <c r="A961" s="15"/>
      <c r="B961" s="9"/>
      <c r="C961" s="9"/>
      <c r="D961" s="9"/>
      <c r="E961" s="109" t="s">
        <v>749</v>
      </c>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9"/>
      <c r="BX961" s="9"/>
      <c r="BY961" s="9"/>
      <c r="BZ961" s="9"/>
      <c r="CA961" s="9"/>
      <c r="CB961" s="9"/>
      <c r="CC961" s="9"/>
      <c r="CD961" s="9"/>
      <c r="CE961" s="9"/>
      <c r="CF961" s="9"/>
      <c r="CG961" s="9"/>
      <c r="CH961" s="9"/>
      <c r="CI961" s="66"/>
      <c r="CJ961" s="9"/>
      <c r="CK961" s="9"/>
      <c r="CL961" s="9"/>
      <c r="CM961" s="9"/>
      <c r="CN961" s="9"/>
      <c r="CO961" s="9"/>
      <c r="CP961" s="16"/>
    </row>
    <row r="962" spans="1:94" ht="15" customHeight="1" x14ac:dyDescent="0.15">
      <c r="A962" s="15"/>
      <c r="B962" s="9"/>
      <c r="C962" s="9"/>
      <c r="D962" s="9"/>
      <c r="E962" s="80"/>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9"/>
      <c r="BX962" s="9"/>
      <c r="BY962" s="9"/>
      <c r="BZ962" s="9"/>
      <c r="CA962" s="9"/>
      <c r="CB962" s="9"/>
      <c r="CC962" s="9"/>
      <c r="CD962" s="9"/>
      <c r="CE962" s="9"/>
      <c r="CF962" s="9"/>
      <c r="CG962" s="9"/>
      <c r="CH962" s="9"/>
      <c r="CI962" s="66"/>
      <c r="CJ962" s="9"/>
      <c r="CK962" s="9"/>
      <c r="CL962" s="9"/>
      <c r="CM962" s="9"/>
      <c r="CN962" s="9"/>
      <c r="CO962" s="9"/>
      <c r="CP962" s="16"/>
    </row>
    <row r="963" spans="1:94" ht="15" customHeight="1" x14ac:dyDescent="0.15">
      <c r="A963" s="15"/>
      <c r="B963" s="9"/>
      <c r="C963" s="9"/>
      <c r="D963" s="9"/>
      <c r="E963" s="80" t="s">
        <v>750</v>
      </c>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c r="BW963" s="9"/>
      <c r="BX963" s="9"/>
      <c r="BY963" s="9"/>
      <c r="BZ963" s="9"/>
      <c r="CA963" s="9"/>
      <c r="CB963" s="9"/>
      <c r="CC963" s="9"/>
      <c r="CD963" s="9"/>
      <c r="CE963" s="9"/>
      <c r="CF963" s="9"/>
      <c r="CG963" s="9"/>
      <c r="CH963" s="9"/>
      <c r="CI963" s="66"/>
      <c r="CJ963" s="9"/>
      <c r="CK963" s="9"/>
      <c r="CL963" s="9"/>
      <c r="CM963" s="9"/>
      <c r="CN963" s="9"/>
      <c r="CO963" s="9"/>
      <c r="CP963" s="16"/>
    </row>
    <row r="964" spans="1:94" ht="15" customHeight="1" x14ac:dyDescent="0.15">
      <c r="A964" s="15"/>
      <c r="B964" s="9"/>
      <c r="C964" s="9"/>
      <c r="D964" s="9"/>
      <c r="E964" s="80" t="s">
        <v>751</v>
      </c>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9"/>
      <c r="BY964" s="9"/>
      <c r="BZ964" s="9"/>
      <c r="CA964" s="9"/>
      <c r="CB964" s="9"/>
      <c r="CC964" s="9"/>
      <c r="CD964" s="9"/>
      <c r="CE964" s="9"/>
      <c r="CF964" s="9"/>
      <c r="CG964" s="9"/>
      <c r="CH964" s="9"/>
      <c r="CI964" s="66"/>
      <c r="CJ964" s="9"/>
      <c r="CK964" s="9"/>
      <c r="CL964" s="9"/>
      <c r="CM964" s="9"/>
      <c r="CN964" s="9"/>
      <c r="CO964" s="9"/>
      <c r="CP964" s="16"/>
    </row>
    <row r="965" spans="1:94" ht="15" customHeight="1" x14ac:dyDescent="0.15">
      <c r="A965" s="15"/>
      <c r="B965" s="9"/>
      <c r="C965" s="9"/>
      <c r="D965" s="9"/>
      <c r="E965" s="80" t="s">
        <v>752</v>
      </c>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c r="BW965" s="9"/>
      <c r="BX965" s="9"/>
      <c r="BY965" s="9"/>
      <c r="BZ965" s="9"/>
      <c r="CA965" s="9"/>
      <c r="CB965" s="9"/>
      <c r="CC965" s="9"/>
      <c r="CD965" s="9"/>
      <c r="CE965" s="9"/>
      <c r="CF965" s="9"/>
      <c r="CG965" s="9"/>
      <c r="CH965" s="9"/>
      <c r="CI965" s="66"/>
      <c r="CJ965" s="9"/>
      <c r="CK965" s="9"/>
      <c r="CL965" s="9"/>
      <c r="CM965" s="9"/>
      <c r="CN965" s="9"/>
      <c r="CO965" s="9"/>
      <c r="CP965" s="16"/>
    </row>
    <row r="966" spans="1:94" ht="15" customHeight="1" x14ac:dyDescent="0.15">
      <c r="A966" s="15"/>
      <c r="B966" s="9"/>
      <c r="C966" s="9"/>
      <c r="D966" s="9"/>
      <c r="E966" s="109" t="s">
        <v>753</v>
      </c>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c r="BW966" s="9"/>
      <c r="BX966" s="9"/>
      <c r="BY966" s="9"/>
      <c r="BZ966" s="9"/>
      <c r="CA966" s="9"/>
      <c r="CB966" s="9"/>
      <c r="CC966" s="9"/>
      <c r="CD966" s="9"/>
      <c r="CE966" s="9"/>
      <c r="CF966" s="9"/>
      <c r="CG966" s="9"/>
      <c r="CH966" s="9"/>
      <c r="CI966" s="66"/>
      <c r="CJ966" s="9"/>
      <c r="CK966" s="9"/>
      <c r="CL966" s="9"/>
      <c r="CM966" s="9"/>
      <c r="CN966" s="9"/>
      <c r="CO966" s="9"/>
      <c r="CP966" s="16"/>
    </row>
    <row r="967" spans="1:94" ht="15" customHeight="1" x14ac:dyDescent="0.15">
      <c r="A967" s="15"/>
      <c r="B967" s="9"/>
      <c r="C967" s="9"/>
      <c r="D967" s="9"/>
      <c r="E967" s="109" t="s">
        <v>754</v>
      </c>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9"/>
      <c r="BX967" s="9"/>
      <c r="BY967" s="9"/>
      <c r="BZ967" s="9"/>
      <c r="CA967" s="9"/>
      <c r="CB967" s="9"/>
      <c r="CC967" s="9"/>
      <c r="CD967" s="9"/>
      <c r="CE967" s="9"/>
      <c r="CF967" s="9"/>
      <c r="CG967" s="9"/>
      <c r="CH967" s="9"/>
      <c r="CI967" s="66"/>
      <c r="CJ967" s="9"/>
      <c r="CK967" s="9"/>
      <c r="CL967" s="9"/>
      <c r="CM967" s="9"/>
      <c r="CN967" s="9"/>
      <c r="CO967" s="9"/>
      <c r="CP967" s="16"/>
    </row>
    <row r="968" spans="1:94" ht="15" customHeight="1" x14ac:dyDescent="0.15">
      <c r="A968" s="15"/>
      <c r="B968" s="9"/>
      <c r="C968" s="9"/>
      <c r="D968" s="9"/>
      <c r="E968" s="80"/>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9"/>
      <c r="BX968" s="9"/>
      <c r="BY968" s="9"/>
      <c r="BZ968" s="9"/>
      <c r="CA968" s="9"/>
      <c r="CB968" s="9"/>
      <c r="CC968" s="9"/>
      <c r="CD968" s="9"/>
      <c r="CE968" s="9"/>
      <c r="CF968" s="9"/>
      <c r="CG968" s="9"/>
      <c r="CH968" s="9"/>
      <c r="CI968" s="66"/>
      <c r="CJ968" s="9"/>
      <c r="CK968" s="9"/>
      <c r="CL968" s="9"/>
      <c r="CM968" s="9"/>
      <c r="CN968" s="9"/>
      <c r="CO968" s="9"/>
      <c r="CP968" s="16"/>
    </row>
    <row r="969" spans="1:94" ht="15" customHeight="1" x14ac:dyDescent="0.15">
      <c r="A969" s="15"/>
      <c r="B969" s="9"/>
      <c r="C969" s="9"/>
      <c r="D969" s="9"/>
      <c r="E969" s="80" t="s">
        <v>755</v>
      </c>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9"/>
      <c r="BX969" s="9"/>
      <c r="BY969" s="9"/>
      <c r="BZ969" s="9"/>
      <c r="CA969" s="9"/>
      <c r="CB969" s="9"/>
      <c r="CC969" s="9"/>
      <c r="CD969" s="9"/>
      <c r="CE969" s="9"/>
      <c r="CF969" s="9"/>
      <c r="CG969" s="9"/>
      <c r="CH969" s="9"/>
      <c r="CI969" s="66"/>
      <c r="CJ969" s="9"/>
      <c r="CK969" s="9"/>
      <c r="CL969" s="9"/>
      <c r="CM969" s="9"/>
      <c r="CN969" s="9"/>
      <c r="CO969" s="9"/>
      <c r="CP969" s="16"/>
    </row>
    <row r="970" spans="1:94" ht="15" customHeight="1" x14ac:dyDescent="0.15">
      <c r="A970" s="15"/>
      <c r="B970" s="9"/>
      <c r="C970" s="9"/>
      <c r="D970" s="9"/>
      <c r="E970" s="80" t="s">
        <v>756</v>
      </c>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c r="BW970" s="9"/>
      <c r="BX970" s="9"/>
      <c r="BY970" s="9"/>
      <c r="BZ970" s="9"/>
      <c r="CA970" s="9"/>
      <c r="CB970" s="9"/>
      <c r="CC970" s="9"/>
      <c r="CD970" s="9"/>
      <c r="CE970" s="9"/>
      <c r="CF970" s="9"/>
      <c r="CG970" s="9"/>
      <c r="CH970" s="9"/>
      <c r="CI970" s="66"/>
      <c r="CJ970" s="9"/>
      <c r="CK970" s="9"/>
      <c r="CL970" s="9"/>
      <c r="CM970" s="9"/>
      <c r="CN970" s="9"/>
      <c r="CO970" s="9"/>
      <c r="CP970" s="16"/>
    </row>
    <row r="971" spans="1:94" ht="15" customHeight="1" x14ac:dyDescent="0.15">
      <c r="A971" s="15"/>
      <c r="B971" s="9"/>
      <c r="C971" s="9"/>
      <c r="D971" s="9"/>
      <c r="E971" s="80"/>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9"/>
      <c r="BX971" s="9"/>
      <c r="BY971" s="9"/>
      <c r="BZ971" s="9"/>
      <c r="CA971" s="9"/>
      <c r="CB971" s="9"/>
      <c r="CC971" s="9"/>
      <c r="CD971" s="9"/>
      <c r="CE971" s="9"/>
      <c r="CF971" s="9"/>
      <c r="CG971" s="9"/>
      <c r="CH971" s="9"/>
      <c r="CI971" s="66"/>
      <c r="CJ971" s="9"/>
      <c r="CK971" s="9"/>
      <c r="CL971" s="9"/>
      <c r="CM971" s="9"/>
      <c r="CN971" s="9"/>
      <c r="CO971" s="9"/>
      <c r="CP971" s="16"/>
    </row>
    <row r="972" spans="1:94" ht="15" customHeight="1" x14ac:dyDescent="0.15">
      <c r="A972" s="15"/>
      <c r="B972" s="9"/>
      <c r="C972" s="9"/>
      <c r="D972" s="9"/>
      <c r="E972" s="79" t="s">
        <v>373</v>
      </c>
      <c r="F972" s="62"/>
      <c r="G972" s="62"/>
      <c r="H972" s="62"/>
      <c r="I972" s="62"/>
      <c r="J972" s="62"/>
      <c r="K972" s="62"/>
      <c r="L972" s="62"/>
      <c r="M972" s="62"/>
      <c r="N972" s="62"/>
      <c r="O972" s="62"/>
      <c r="P972" s="62"/>
      <c r="Q972" s="62"/>
      <c r="R972" s="62"/>
      <c r="S972" s="62"/>
      <c r="T972" s="62"/>
      <c r="U972" s="62"/>
      <c r="V972" s="62"/>
      <c r="W972" s="62"/>
      <c r="X972" s="62"/>
      <c r="Y972" s="62"/>
      <c r="Z972" s="62"/>
      <c r="AA972" s="62"/>
      <c r="AB972" s="62"/>
      <c r="AC972" s="62"/>
      <c r="AD972" s="62"/>
      <c r="AE972" s="62"/>
      <c r="AF972" s="62"/>
      <c r="AG972" s="62"/>
      <c r="AH972" s="62"/>
      <c r="AI972" s="62"/>
      <c r="AJ972" s="62"/>
      <c r="AK972" s="62"/>
      <c r="AL972" s="62"/>
      <c r="AM972" s="62"/>
      <c r="AN972" s="62"/>
      <c r="AO972" s="62"/>
      <c r="AP972" s="62"/>
      <c r="AQ972" s="62"/>
      <c r="AR972" s="62"/>
      <c r="AS972" s="62"/>
      <c r="AT972" s="62"/>
      <c r="AU972" s="62"/>
      <c r="AV972" s="62"/>
      <c r="AW972" s="62"/>
      <c r="AX972" s="62"/>
      <c r="AY972" s="62"/>
      <c r="AZ972" s="62"/>
      <c r="BA972" s="62"/>
      <c r="BB972" s="62"/>
      <c r="BC972" s="62"/>
      <c r="BD972" s="62"/>
      <c r="BE972" s="62"/>
      <c r="BF972" s="62"/>
      <c r="BG972" s="62"/>
      <c r="BH972" s="62"/>
      <c r="BI972" s="62"/>
      <c r="BJ972" s="62"/>
      <c r="BK972" s="62"/>
      <c r="BL972" s="62"/>
      <c r="BM972" s="62"/>
      <c r="BN972" s="62"/>
      <c r="BO972" s="62"/>
      <c r="BP972" s="62"/>
      <c r="BQ972" s="62"/>
      <c r="BR972" s="62"/>
      <c r="BS972" s="62"/>
      <c r="BT972" s="62"/>
      <c r="BU972" s="62"/>
      <c r="BV972" s="62"/>
      <c r="BW972" s="62"/>
      <c r="BX972" s="62"/>
      <c r="BY972" s="62"/>
      <c r="BZ972" s="62"/>
      <c r="CA972" s="62"/>
      <c r="CB972" s="62"/>
      <c r="CC972" s="62"/>
      <c r="CD972" s="62"/>
      <c r="CE972" s="62"/>
      <c r="CF972" s="62"/>
      <c r="CG972" s="62"/>
      <c r="CH972" s="62"/>
      <c r="CI972" s="63"/>
      <c r="CJ972" s="9"/>
      <c r="CK972" s="9"/>
      <c r="CL972" s="9"/>
      <c r="CM972" s="9"/>
      <c r="CN972" s="9"/>
      <c r="CO972" s="9"/>
      <c r="CP972" s="16"/>
    </row>
    <row r="973" spans="1:94" ht="15" customHeight="1" thickBot="1" x14ac:dyDescent="0.2">
      <c r="A973" s="19"/>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c r="BR973" s="20"/>
      <c r="BS973" s="20"/>
      <c r="BT973" s="20"/>
      <c r="BU973" s="20"/>
      <c r="BV973" s="20"/>
      <c r="BW973" s="20"/>
      <c r="BX973" s="20"/>
      <c r="BY973" s="20"/>
      <c r="BZ973" s="20"/>
      <c r="CA973" s="20"/>
      <c r="CB973" s="20"/>
      <c r="CC973" s="20"/>
      <c r="CD973" s="20"/>
      <c r="CE973" s="20"/>
      <c r="CF973" s="20"/>
      <c r="CG973" s="20"/>
      <c r="CH973" s="20"/>
      <c r="CI973" s="20"/>
      <c r="CJ973" s="20"/>
      <c r="CK973" s="20"/>
      <c r="CL973" s="20"/>
      <c r="CM973" s="20"/>
      <c r="CN973" s="20"/>
      <c r="CO973" s="20"/>
      <c r="CP973" s="21"/>
    </row>
    <row r="974" spans="1:94" ht="15" customHeight="1" x14ac:dyDescent="0.15">
      <c r="A974" s="1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c r="BZ974" s="11"/>
      <c r="CA974" s="11"/>
      <c r="CB974" s="11"/>
      <c r="CC974" s="11"/>
      <c r="CD974" s="11"/>
      <c r="CE974" s="11"/>
      <c r="CF974" s="11"/>
      <c r="CG974" s="11"/>
      <c r="CH974" s="11"/>
      <c r="CI974" s="11"/>
      <c r="CJ974" s="11"/>
      <c r="CK974" s="11"/>
      <c r="CL974" s="11"/>
      <c r="CM974" s="11"/>
      <c r="CN974" s="11"/>
      <c r="CO974" s="11"/>
      <c r="CP974" s="12"/>
    </row>
    <row r="975" spans="1:94" ht="15" customHeight="1" x14ac:dyDescent="0.15">
      <c r="A975" s="1"/>
      <c r="C975" s="2" t="s">
        <v>970</v>
      </c>
      <c r="CP975" s="3"/>
    </row>
    <row r="976" spans="1:94" ht="15" customHeight="1" x14ac:dyDescent="0.15">
      <c r="A976" s="1"/>
      <c r="CP976" s="3"/>
    </row>
    <row r="977" spans="1:94" ht="15" customHeight="1" x14ac:dyDescent="0.15">
      <c r="A977" s="1"/>
      <c r="M977" s="2" t="s">
        <v>1163</v>
      </c>
      <c r="AD977" s="2" t="s">
        <v>1162</v>
      </c>
      <c r="BG977" s="2" t="s">
        <v>1163</v>
      </c>
      <c r="BX977" s="2" t="s">
        <v>1162</v>
      </c>
      <c r="CP977" s="3"/>
    </row>
    <row r="978" spans="1:94" ht="15" customHeight="1" x14ac:dyDescent="0.15">
      <c r="A978" s="1"/>
      <c r="B978" s="527" t="s">
        <v>333</v>
      </c>
      <c r="C978" s="528"/>
      <c r="D978" s="528"/>
      <c r="E978" s="528"/>
      <c r="F978" s="528"/>
      <c r="G978" s="528"/>
      <c r="H978" s="528"/>
      <c r="I978" s="528"/>
      <c r="J978" s="528"/>
      <c r="K978" s="528"/>
      <c r="L978" s="529"/>
      <c r="M978" s="672"/>
      <c r="N978" s="673"/>
      <c r="O978" s="673"/>
      <c r="P978" s="673"/>
      <c r="Q978" s="673"/>
      <c r="R978" s="673"/>
      <c r="S978" s="673"/>
      <c r="T978" s="673"/>
      <c r="U978" s="673"/>
      <c r="V978" s="673"/>
      <c r="W978" s="673"/>
      <c r="X978" s="673"/>
      <c r="Y978" s="673"/>
      <c r="Z978" s="673"/>
      <c r="AA978" s="673"/>
      <c r="AB978" s="673"/>
      <c r="AC978" s="674"/>
      <c r="AD978" s="672"/>
      <c r="AE978" s="673"/>
      <c r="AF978" s="673"/>
      <c r="AG978" s="673"/>
      <c r="AH978" s="673"/>
      <c r="AI978" s="673"/>
      <c r="AJ978" s="673"/>
      <c r="AK978" s="673"/>
      <c r="AL978" s="673"/>
      <c r="AM978" s="673"/>
      <c r="AN978" s="673"/>
      <c r="AO978" s="673"/>
      <c r="AP978" s="673"/>
      <c r="AQ978" s="673"/>
      <c r="AR978" s="673"/>
      <c r="AS978" s="673"/>
      <c r="AT978" s="674"/>
      <c r="AV978" s="538" t="s">
        <v>362</v>
      </c>
      <c r="AW978" s="539"/>
      <c r="AX978" s="539"/>
      <c r="AY978" s="539"/>
      <c r="AZ978" s="539"/>
      <c r="BA978" s="539"/>
      <c r="BB978" s="539"/>
      <c r="BC978" s="539"/>
      <c r="BD978" s="539"/>
      <c r="BE978" s="539"/>
      <c r="BF978" s="540"/>
      <c r="BG978" s="691" t="s">
        <v>758</v>
      </c>
      <c r="BH978" s="692"/>
      <c r="BI978" s="692"/>
      <c r="BJ978" s="692"/>
      <c r="BK978" s="692"/>
      <c r="BL978" s="692"/>
      <c r="BM978" s="692"/>
      <c r="BN978" s="692"/>
      <c r="BO978" s="692"/>
      <c r="BP978" s="692"/>
      <c r="BQ978" s="692"/>
      <c r="BR978" s="692"/>
      <c r="BS978" s="692"/>
      <c r="BT978" s="692"/>
      <c r="BU978" s="692"/>
      <c r="BV978" s="692"/>
      <c r="BW978" s="693"/>
      <c r="BX978" s="691" t="s">
        <v>758</v>
      </c>
      <c r="BY978" s="692"/>
      <c r="BZ978" s="692"/>
      <c r="CA978" s="692"/>
      <c r="CB978" s="692"/>
      <c r="CC978" s="692"/>
      <c r="CD978" s="692"/>
      <c r="CE978" s="692"/>
      <c r="CF978" s="692"/>
      <c r="CG978" s="692"/>
      <c r="CH978" s="692"/>
      <c r="CI978" s="692"/>
      <c r="CJ978" s="692"/>
      <c r="CK978" s="692"/>
      <c r="CL978" s="692"/>
      <c r="CM978" s="692"/>
      <c r="CN978" s="693"/>
      <c r="CP978" s="3"/>
    </row>
    <row r="979" spans="1:94" ht="15" customHeight="1" x14ac:dyDescent="0.15">
      <c r="A979" s="15"/>
      <c r="B979" s="520" t="s">
        <v>334</v>
      </c>
      <c r="C979" s="521"/>
      <c r="D979" s="521"/>
      <c r="E979" s="521"/>
      <c r="F979" s="521"/>
      <c r="G979" s="521"/>
      <c r="H979" s="521"/>
      <c r="I979" s="521"/>
      <c r="J979" s="521"/>
      <c r="K979" s="521"/>
      <c r="L979" s="522"/>
      <c r="M979" s="675"/>
      <c r="N979" s="676"/>
      <c r="O979" s="676"/>
      <c r="P979" s="676"/>
      <c r="Q979" s="676"/>
      <c r="R979" s="676"/>
      <c r="S979" s="676"/>
      <c r="T979" s="676"/>
      <c r="U979" s="676"/>
      <c r="V979" s="676"/>
      <c r="W979" s="676"/>
      <c r="X979" s="676"/>
      <c r="Y979" s="676"/>
      <c r="Z979" s="676"/>
      <c r="AA979" s="676"/>
      <c r="AB979" s="676"/>
      <c r="AC979" s="677"/>
      <c r="AD979" s="675"/>
      <c r="AE979" s="676"/>
      <c r="AF979" s="676"/>
      <c r="AG979" s="676"/>
      <c r="AH979" s="676"/>
      <c r="AI979" s="676"/>
      <c r="AJ979" s="676"/>
      <c r="AK979" s="676"/>
      <c r="AL979" s="676"/>
      <c r="AM979" s="676"/>
      <c r="AN979" s="676"/>
      <c r="AO979" s="676"/>
      <c r="AP979" s="676"/>
      <c r="AQ979" s="676"/>
      <c r="AR979" s="676"/>
      <c r="AS979" s="676"/>
      <c r="AT979" s="677"/>
      <c r="AV979" s="502" t="s">
        <v>364</v>
      </c>
      <c r="AW979" s="503"/>
      <c r="AX979" s="503"/>
      <c r="AY979" s="503"/>
      <c r="AZ979" s="503"/>
      <c r="BA979" s="503"/>
      <c r="BB979" s="503"/>
      <c r="BC979" s="503"/>
      <c r="BD979" s="503"/>
      <c r="BE979" s="503"/>
      <c r="BF979" s="504"/>
      <c r="BG979" s="694" t="s">
        <v>759</v>
      </c>
      <c r="BH979" s="695"/>
      <c r="BI979" s="695"/>
      <c r="BJ979" s="695"/>
      <c r="BK979" s="695"/>
      <c r="BL979" s="695"/>
      <c r="BM979" s="695"/>
      <c r="BN979" s="695"/>
      <c r="BO979" s="695"/>
      <c r="BP979" s="695"/>
      <c r="BQ979" s="695"/>
      <c r="BR979" s="695"/>
      <c r="BS979" s="695"/>
      <c r="BT979" s="695"/>
      <c r="BU979" s="695"/>
      <c r="BV979" s="695"/>
      <c r="BW979" s="696"/>
      <c r="BX979" s="694" t="s">
        <v>759</v>
      </c>
      <c r="BY979" s="695"/>
      <c r="BZ979" s="695"/>
      <c r="CA979" s="695"/>
      <c r="CB979" s="695"/>
      <c r="CC979" s="695"/>
      <c r="CD979" s="695"/>
      <c r="CE979" s="695"/>
      <c r="CF979" s="695"/>
      <c r="CG979" s="695"/>
      <c r="CH979" s="695"/>
      <c r="CI979" s="695"/>
      <c r="CJ979" s="695"/>
      <c r="CK979" s="695"/>
      <c r="CL979" s="695"/>
      <c r="CM979" s="695"/>
      <c r="CN979" s="696"/>
      <c r="CP979" s="3"/>
    </row>
    <row r="980" spans="1:94" ht="15" customHeight="1" x14ac:dyDescent="0.15">
      <c r="A980" s="15"/>
      <c r="B980" s="537" t="s">
        <v>335</v>
      </c>
      <c r="C980" s="537"/>
      <c r="D980" s="537"/>
      <c r="E980" s="537"/>
      <c r="F980" s="537"/>
      <c r="G980" s="537"/>
      <c r="H980" s="537"/>
      <c r="I980" s="537"/>
      <c r="J980" s="537"/>
      <c r="K980" s="537"/>
      <c r="L980" s="537"/>
      <c r="M980" s="455" t="s">
        <v>757</v>
      </c>
      <c r="N980" s="456"/>
      <c r="O980" s="456"/>
      <c r="P980" s="456"/>
      <c r="Q980" s="456"/>
      <c r="R980" s="456"/>
      <c r="S980" s="456"/>
      <c r="T980" s="456"/>
      <c r="U980" s="456"/>
      <c r="V980" s="456"/>
      <c r="W980" s="456"/>
      <c r="X980" s="456"/>
      <c r="Y980" s="456"/>
      <c r="Z980" s="456"/>
      <c r="AA980" s="456"/>
      <c r="AB980" s="456"/>
      <c r="AC980" s="457"/>
      <c r="AD980" s="455" t="s">
        <v>1168</v>
      </c>
      <c r="AE980" s="456"/>
      <c r="AF980" s="456"/>
      <c r="AG980" s="456"/>
      <c r="AH980" s="456"/>
      <c r="AI980" s="456"/>
      <c r="AJ980" s="456"/>
      <c r="AK980" s="456"/>
      <c r="AL980" s="456"/>
      <c r="AM980" s="456"/>
      <c r="AN980" s="456"/>
      <c r="AO980" s="456"/>
      <c r="AP980" s="456"/>
      <c r="AQ980" s="456"/>
      <c r="AR980" s="456"/>
      <c r="AS980" s="456"/>
      <c r="AT980" s="457"/>
      <c r="AV980" s="502" t="s">
        <v>363</v>
      </c>
      <c r="AW980" s="503"/>
      <c r="AX980" s="503"/>
      <c r="AY980" s="503"/>
      <c r="AZ980" s="503"/>
      <c r="BA980" s="503"/>
      <c r="BB980" s="503"/>
      <c r="BC980" s="503"/>
      <c r="BD980" s="503"/>
      <c r="BE980" s="503"/>
      <c r="BF980" s="504"/>
      <c r="BG980" s="694" t="s">
        <v>760</v>
      </c>
      <c r="BH980" s="695"/>
      <c r="BI980" s="695"/>
      <c r="BJ980" s="695"/>
      <c r="BK980" s="695"/>
      <c r="BL980" s="695"/>
      <c r="BM980" s="695"/>
      <c r="BN980" s="695"/>
      <c r="BO980" s="695"/>
      <c r="BP980" s="695"/>
      <c r="BQ980" s="695"/>
      <c r="BR980" s="695"/>
      <c r="BS980" s="695"/>
      <c r="BT980" s="695"/>
      <c r="BU980" s="695"/>
      <c r="BV980" s="695"/>
      <c r="BW980" s="696"/>
      <c r="BX980" s="694" t="s">
        <v>760</v>
      </c>
      <c r="BY980" s="695"/>
      <c r="BZ980" s="695"/>
      <c r="CA980" s="695"/>
      <c r="CB980" s="695"/>
      <c r="CC980" s="695"/>
      <c r="CD980" s="695"/>
      <c r="CE980" s="695"/>
      <c r="CF980" s="695"/>
      <c r="CG980" s="695"/>
      <c r="CH980" s="695"/>
      <c r="CI980" s="695"/>
      <c r="CJ980" s="695"/>
      <c r="CK980" s="695"/>
      <c r="CL980" s="695"/>
      <c r="CM980" s="695"/>
      <c r="CN980" s="696"/>
      <c r="CP980" s="3"/>
    </row>
    <row r="981" spans="1:94" ht="15" customHeight="1" x14ac:dyDescent="0.15">
      <c r="A981" s="15"/>
      <c r="B981" s="530" t="s">
        <v>336</v>
      </c>
      <c r="C981" s="531"/>
      <c r="D981" s="531"/>
      <c r="E981" s="531"/>
      <c r="F981" s="531"/>
      <c r="G981" s="531"/>
      <c r="H981" s="531"/>
      <c r="I981" s="531"/>
      <c r="J981" s="531"/>
      <c r="K981" s="531"/>
      <c r="L981" s="532"/>
      <c r="M981" s="672"/>
      <c r="N981" s="673"/>
      <c r="O981" s="673"/>
      <c r="P981" s="673"/>
      <c r="Q981" s="673"/>
      <c r="R981" s="673"/>
      <c r="S981" s="673"/>
      <c r="T981" s="673"/>
      <c r="U981" s="673"/>
      <c r="V981" s="673"/>
      <c r="W981" s="673"/>
      <c r="X981" s="673"/>
      <c r="Y981" s="673"/>
      <c r="Z981" s="673"/>
      <c r="AA981" s="673"/>
      <c r="AB981" s="673"/>
      <c r="AC981" s="674"/>
      <c r="AD981" s="672"/>
      <c r="AE981" s="673"/>
      <c r="AF981" s="673"/>
      <c r="AG981" s="673"/>
      <c r="AH981" s="673"/>
      <c r="AI981" s="673"/>
      <c r="AJ981" s="673"/>
      <c r="AK981" s="673"/>
      <c r="AL981" s="673"/>
      <c r="AM981" s="673"/>
      <c r="AN981" s="673"/>
      <c r="AO981" s="673"/>
      <c r="AP981" s="673"/>
      <c r="AQ981" s="673"/>
      <c r="AR981" s="673"/>
      <c r="AS981" s="673"/>
      <c r="AT981" s="674"/>
      <c r="AV981" s="502" t="s">
        <v>365</v>
      </c>
      <c r="AW981" s="503"/>
      <c r="AX981" s="503"/>
      <c r="AY981" s="503"/>
      <c r="AZ981" s="503"/>
      <c r="BA981" s="503"/>
      <c r="BB981" s="503"/>
      <c r="BC981" s="503"/>
      <c r="BD981" s="503"/>
      <c r="BE981" s="503"/>
      <c r="BF981" s="504"/>
      <c r="BG981" s="694"/>
      <c r="BH981" s="695"/>
      <c r="BI981" s="695"/>
      <c r="BJ981" s="695"/>
      <c r="BK981" s="695"/>
      <c r="BL981" s="695"/>
      <c r="BM981" s="695"/>
      <c r="BN981" s="695"/>
      <c r="BO981" s="695"/>
      <c r="BP981" s="695"/>
      <c r="BQ981" s="695"/>
      <c r="BR981" s="695"/>
      <c r="BS981" s="695"/>
      <c r="BT981" s="695"/>
      <c r="BU981" s="695"/>
      <c r="BV981" s="695"/>
      <c r="BW981" s="696"/>
      <c r="BX981" s="694"/>
      <c r="BY981" s="695"/>
      <c r="BZ981" s="695"/>
      <c r="CA981" s="695"/>
      <c r="CB981" s="695"/>
      <c r="CC981" s="695"/>
      <c r="CD981" s="695"/>
      <c r="CE981" s="695"/>
      <c r="CF981" s="695"/>
      <c r="CG981" s="695"/>
      <c r="CH981" s="695"/>
      <c r="CI981" s="695"/>
      <c r="CJ981" s="695"/>
      <c r="CK981" s="695"/>
      <c r="CL981" s="695"/>
      <c r="CM981" s="695"/>
      <c r="CN981" s="696"/>
      <c r="CP981" s="3"/>
    </row>
    <row r="982" spans="1:94" ht="15" customHeight="1" x14ac:dyDescent="0.15">
      <c r="A982" s="15"/>
      <c r="B982" s="523" t="s">
        <v>337</v>
      </c>
      <c r="C982" s="524"/>
      <c r="D982" s="524"/>
      <c r="E982" s="524"/>
      <c r="F982" s="524"/>
      <c r="G982" s="524"/>
      <c r="H982" s="524"/>
      <c r="I982" s="524"/>
      <c r="J982" s="524"/>
      <c r="K982" s="524"/>
      <c r="L982" s="525"/>
      <c r="M982" s="679"/>
      <c r="N982" s="680"/>
      <c r="O982" s="680"/>
      <c r="P982" s="680"/>
      <c r="Q982" s="680"/>
      <c r="R982" s="680"/>
      <c r="S982" s="680"/>
      <c r="T982" s="680"/>
      <c r="U982" s="680"/>
      <c r="V982" s="680"/>
      <c r="W982" s="680"/>
      <c r="X982" s="680"/>
      <c r="Y982" s="680"/>
      <c r="Z982" s="680"/>
      <c r="AA982" s="680"/>
      <c r="AB982" s="680"/>
      <c r="AC982" s="681"/>
      <c r="AD982" s="679"/>
      <c r="AE982" s="680"/>
      <c r="AF982" s="680"/>
      <c r="AG982" s="680"/>
      <c r="AH982" s="680"/>
      <c r="AI982" s="680"/>
      <c r="AJ982" s="680"/>
      <c r="AK982" s="680"/>
      <c r="AL982" s="680"/>
      <c r="AM982" s="680"/>
      <c r="AN982" s="680"/>
      <c r="AO982" s="680"/>
      <c r="AP982" s="680"/>
      <c r="AQ982" s="680"/>
      <c r="AR982" s="680"/>
      <c r="AS982" s="680"/>
      <c r="AT982" s="681"/>
      <c r="AV982" s="624" t="s">
        <v>390</v>
      </c>
      <c r="AW982" s="625"/>
      <c r="AX982" s="625"/>
      <c r="AY982" s="625"/>
      <c r="AZ982" s="625"/>
      <c r="BA982" s="625"/>
      <c r="BB982" s="625"/>
      <c r="BC982" s="625"/>
      <c r="BD982" s="625"/>
      <c r="BE982" s="625"/>
      <c r="BF982" s="626"/>
      <c r="BG982" s="697" t="s">
        <v>761</v>
      </c>
      <c r="BH982" s="698"/>
      <c r="BI982" s="698"/>
      <c r="BJ982" s="698"/>
      <c r="BK982" s="698"/>
      <c r="BL982" s="698"/>
      <c r="BM982" s="698"/>
      <c r="BN982" s="698"/>
      <c r="BO982" s="698"/>
      <c r="BP982" s="698"/>
      <c r="BQ982" s="698"/>
      <c r="BR982" s="698"/>
      <c r="BS982" s="698"/>
      <c r="BT982" s="698"/>
      <c r="BU982" s="698"/>
      <c r="BV982" s="698"/>
      <c r="BW982" s="699"/>
      <c r="BX982" s="697" t="s">
        <v>761</v>
      </c>
      <c r="BY982" s="698"/>
      <c r="BZ982" s="698"/>
      <c r="CA982" s="698"/>
      <c r="CB982" s="698"/>
      <c r="CC982" s="698"/>
      <c r="CD982" s="698"/>
      <c r="CE982" s="698"/>
      <c r="CF982" s="698"/>
      <c r="CG982" s="698"/>
      <c r="CH982" s="698"/>
      <c r="CI982" s="698"/>
      <c r="CJ982" s="698"/>
      <c r="CK982" s="698"/>
      <c r="CL982" s="698"/>
      <c r="CM982" s="698"/>
      <c r="CN982" s="699"/>
      <c r="CP982" s="3"/>
    </row>
    <row r="983" spans="1:94" ht="15" customHeight="1" x14ac:dyDescent="0.15">
      <c r="A983" s="15"/>
      <c r="B983" s="523" t="s">
        <v>338</v>
      </c>
      <c r="C983" s="524"/>
      <c r="D983" s="524"/>
      <c r="E983" s="524"/>
      <c r="F983" s="524"/>
      <c r="G983" s="524"/>
      <c r="H983" s="524"/>
      <c r="I983" s="524"/>
      <c r="J983" s="524"/>
      <c r="K983" s="524"/>
      <c r="L983" s="525"/>
      <c r="M983" s="679"/>
      <c r="N983" s="680"/>
      <c r="O983" s="680"/>
      <c r="P983" s="680"/>
      <c r="Q983" s="680"/>
      <c r="R983" s="680"/>
      <c r="S983" s="680"/>
      <c r="T983" s="680"/>
      <c r="U983" s="680"/>
      <c r="V983" s="680"/>
      <c r="W983" s="680"/>
      <c r="X983" s="680"/>
      <c r="Y983" s="680"/>
      <c r="Z983" s="680"/>
      <c r="AA983" s="680"/>
      <c r="AB983" s="680"/>
      <c r="AC983" s="681"/>
      <c r="AD983" s="679"/>
      <c r="AE983" s="680"/>
      <c r="AF983" s="680"/>
      <c r="AG983" s="680"/>
      <c r="AH983" s="680"/>
      <c r="AI983" s="680"/>
      <c r="AJ983" s="680"/>
      <c r="AK983" s="680"/>
      <c r="AL983" s="680"/>
      <c r="AM983" s="680"/>
      <c r="AN983" s="680"/>
      <c r="AO983" s="680"/>
      <c r="AP983" s="680"/>
      <c r="AQ983" s="680"/>
      <c r="AR983" s="680"/>
      <c r="AS983" s="680"/>
      <c r="AT983" s="681"/>
      <c r="AV983" s="533" t="s">
        <v>917</v>
      </c>
      <c r="AW983" s="534"/>
      <c r="AX983" s="534"/>
      <c r="AY983" s="534"/>
      <c r="AZ983" s="534"/>
      <c r="BA983" s="534"/>
      <c r="BB983" s="534"/>
      <c r="BC983" s="534"/>
      <c r="BD983" s="534"/>
      <c r="BE983" s="534"/>
      <c r="BF983" s="535"/>
      <c r="BG983" s="700" t="s">
        <v>1170</v>
      </c>
      <c r="BH983" s="701"/>
      <c r="BI983" s="701"/>
      <c r="BJ983" s="701"/>
      <c r="BK983" s="701"/>
      <c r="BL983" s="701"/>
      <c r="BM983" s="701"/>
      <c r="BN983" s="701"/>
      <c r="BO983" s="701"/>
      <c r="BP983" s="701"/>
      <c r="BQ983" s="701"/>
      <c r="BR983" s="701"/>
      <c r="BS983" s="701"/>
      <c r="BT983" s="701"/>
      <c r="BU983" s="701"/>
      <c r="BV983" s="701"/>
      <c r="BW983" s="702"/>
      <c r="BX983" s="700" t="s">
        <v>1170</v>
      </c>
      <c r="BY983" s="701"/>
      <c r="BZ983" s="701"/>
      <c r="CA983" s="701"/>
      <c r="CB983" s="701"/>
      <c r="CC983" s="701"/>
      <c r="CD983" s="701"/>
      <c r="CE983" s="701"/>
      <c r="CF983" s="701"/>
      <c r="CG983" s="701"/>
      <c r="CH983" s="701"/>
      <c r="CI983" s="701"/>
      <c r="CJ983" s="701"/>
      <c r="CK983" s="701"/>
      <c r="CL983" s="701"/>
      <c r="CM983" s="701"/>
      <c r="CN983" s="702"/>
      <c r="CP983" s="3"/>
    </row>
    <row r="984" spans="1:94" ht="15" customHeight="1" x14ac:dyDescent="0.15">
      <c r="A984" s="15"/>
      <c r="B984" s="520" t="s">
        <v>339</v>
      </c>
      <c r="C984" s="521"/>
      <c r="D984" s="521"/>
      <c r="E984" s="521"/>
      <c r="F984" s="521"/>
      <c r="G984" s="521"/>
      <c r="H984" s="521"/>
      <c r="I984" s="521"/>
      <c r="J984" s="521"/>
      <c r="K984" s="521"/>
      <c r="L984" s="522"/>
      <c r="M984" s="675"/>
      <c r="N984" s="676"/>
      <c r="O984" s="676"/>
      <c r="P984" s="676"/>
      <c r="Q984" s="676"/>
      <c r="R984" s="676"/>
      <c r="S984" s="676"/>
      <c r="T984" s="676"/>
      <c r="U984" s="676"/>
      <c r="V984" s="676"/>
      <c r="W984" s="676"/>
      <c r="X984" s="676"/>
      <c r="Y984" s="676"/>
      <c r="Z984" s="676"/>
      <c r="AA984" s="676"/>
      <c r="AB984" s="676"/>
      <c r="AC984" s="677"/>
      <c r="AD984" s="675"/>
      <c r="AE984" s="676"/>
      <c r="AF984" s="676"/>
      <c r="AG984" s="676"/>
      <c r="AH984" s="676"/>
      <c r="AI984" s="676"/>
      <c r="AJ984" s="676"/>
      <c r="AK984" s="676"/>
      <c r="AL984" s="676"/>
      <c r="AM984" s="676"/>
      <c r="AN984" s="676"/>
      <c r="AO984" s="676"/>
      <c r="AP984" s="676"/>
      <c r="AQ984" s="676"/>
      <c r="AR984" s="676"/>
      <c r="AS984" s="676"/>
      <c r="AT984" s="677"/>
      <c r="AV984" s="538" t="s">
        <v>918</v>
      </c>
      <c r="AW984" s="539"/>
      <c r="AX984" s="539"/>
      <c r="AY984" s="539"/>
      <c r="AZ984" s="539"/>
      <c r="BA984" s="539"/>
      <c r="BB984" s="539"/>
      <c r="BC984" s="539"/>
      <c r="BD984" s="539"/>
      <c r="BE984" s="539"/>
      <c r="BF984" s="540"/>
      <c r="BG984" s="691" t="s">
        <v>919</v>
      </c>
      <c r="BH984" s="692"/>
      <c r="BI984" s="692"/>
      <c r="BJ984" s="692"/>
      <c r="BK984" s="692"/>
      <c r="BL984" s="692"/>
      <c r="BM984" s="692"/>
      <c r="BN984" s="692"/>
      <c r="BO984" s="692"/>
      <c r="BP984" s="692"/>
      <c r="BQ984" s="692"/>
      <c r="BR984" s="692"/>
      <c r="BS984" s="692"/>
      <c r="BT984" s="692"/>
      <c r="BU984" s="692"/>
      <c r="BV984" s="692"/>
      <c r="BW984" s="693"/>
      <c r="BX984" s="691" t="s">
        <v>1171</v>
      </c>
      <c r="BY984" s="692"/>
      <c r="BZ984" s="692"/>
      <c r="CA984" s="692"/>
      <c r="CB984" s="692"/>
      <c r="CC984" s="692"/>
      <c r="CD984" s="692"/>
      <c r="CE984" s="692"/>
      <c r="CF984" s="692"/>
      <c r="CG984" s="692"/>
      <c r="CH984" s="692"/>
      <c r="CI984" s="692"/>
      <c r="CJ984" s="692"/>
      <c r="CK984" s="692"/>
      <c r="CL984" s="692"/>
      <c r="CM984" s="692"/>
      <c r="CN984" s="693"/>
      <c r="CP984" s="3"/>
    </row>
    <row r="985" spans="1:94" ht="15" customHeight="1" x14ac:dyDescent="0.15">
      <c r="A985" s="15"/>
      <c r="B985" s="530" t="s">
        <v>340</v>
      </c>
      <c r="C985" s="531"/>
      <c r="D985" s="531"/>
      <c r="E985" s="531"/>
      <c r="F985" s="531"/>
      <c r="G985" s="531"/>
      <c r="H985" s="531"/>
      <c r="I985" s="531"/>
      <c r="J985" s="531"/>
      <c r="K985" s="531"/>
      <c r="L985" s="532"/>
      <c r="M985" s="672"/>
      <c r="N985" s="673"/>
      <c r="O985" s="673"/>
      <c r="P985" s="673"/>
      <c r="Q985" s="673"/>
      <c r="R985" s="673"/>
      <c r="S985" s="673"/>
      <c r="T985" s="673"/>
      <c r="U985" s="673"/>
      <c r="V985" s="673"/>
      <c r="W985" s="673"/>
      <c r="X985" s="673"/>
      <c r="Y985" s="673"/>
      <c r="Z985" s="673"/>
      <c r="AA985" s="673"/>
      <c r="AB985" s="673"/>
      <c r="AC985" s="674"/>
      <c r="AD985" s="672"/>
      <c r="AE985" s="673"/>
      <c r="AF985" s="673"/>
      <c r="AG985" s="673"/>
      <c r="AH985" s="673"/>
      <c r="AI985" s="673"/>
      <c r="AJ985" s="673"/>
      <c r="AK985" s="673"/>
      <c r="AL985" s="673"/>
      <c r="AM985" s="673"/>
      <c r="AN985" s="673"/>
      <c r="AO985" s="673"/>
      <c r="AP985" s="673"/>
      <c r="AQ985" s="673"/>
      <c r="AR985" s="673"/>
      <c r="AS985" s="673"/>
      <c r="AT985" s="674"/>
      <c r="AV985" s="624" t="s">
        <v>920</v>
      </c>
      <c r="AW985" s="625"/>
      <c r="AX985" s="625"/>
      <c r="AY985" s="625"/>
      <c r="AZ985" s="625"/>
      <c r="BA985" s="625"/>
      <c r="BB985" s="625"/>
      <c r="BC985" s="625"/>
      <c r="BD985" s="625"/>
      <c r="BE985" s="625"/>
      <c r="BF985" s="626"/>
      <c r="BG985" s="703" t="s">
        <v>1172</v>
      </c>
      <c r="BH985" s="698"/>
      <c r="BI985" s="698"/>
      <c r="BJ985" s="698"/>
      <c r="BK985" s="698"/>
      <c r="BL985" s="698"/>
      <c r="BM985" s="698"/>
      <c r="BN985" s="698"/>
      <c r="BO985" s="698"/>
      <c r="BP985" s="698"/>
      <c r="BQ985" s="698"/>
      <c r="BR985" s="698"/>
      <c r="BS985" s="698"/>
      <c r="BT985" s="698"/>
      <c r="BU985" s="698"/>
      <c r="BV985" s="698"/>
      <c r="BW985" s="699"/>
      <c r="BX985" s="703" t="s">
        <v>1172</v>
      </c>
      <c r="BY985" s="698"/>
      <c r="BZ985" s="698"/>
      <c r="CA985" s="698"/>
      <c r="CB985" s="698"/>
      <c r="CC985" s="698"/>
      <c r="CD985" s="698"/>
      <c r="CE985" s="698"/>
      <c r="CF985" s="698"/>
      <c r="CG985" s="698"/>
      <c r="CH985" s="698"/>
      <c r="CI985" s="698"/>
      <c r="CJ985" s="698"/>
      <c r="CK985" s="698"/>
      <c r="CL985" s="698"/>
      <c r="CM985" s="698"/>
      <c r="CN985" s="699"/>
      <c r="CP985" s="3"/>
    </row>
    <row r="986" spans="1:94" ht="15" customHeight="1" x14ac:dyDescent="0.15">
      <c r="A986" s="15"/>
      <c r="B986" s="523" t="s">
        <v>341</v>
      </c>
      <c r="C986" s="524"/>
      <c r="D986" s="524"/>
      <c r="E986" s="524"/>
      <c r="F986" s="524"/>
      <c r="G986" s="524"/>
      <c r="H986" s="524"/>
      <c r="I986" s="524"/>
      <c r="J986" s="524"/>
      <c r="K986" s="524"/>
      <c r="L986" s="525"/>
      <c r="M986" s="679"/>
      <c r="N986" s="680"/>
      <c r="O986" s="680"/>
      <c r="P986" s="680"/>
      <c r="Q986" s="680"/>
      <c r="R986" s="680"/>
      <c r="S986" s="680"/>
      <c r="T986" s="680"/>
      <c r="U986" s="680"/>
      <c r="V986" s="680"/>
      <c r="W986" s="680"/>
      <c r="X986" s="680"/>
      <c r="Y986" s="680"/>
      <c r="Z986" s="680"/>
      <c r="AA986" s="680"/>
      <c r="AB986" s="680"/>
      <c r="AC986" s="681"/>
      <c r="AD986" s="679"/>
      <c r="AE986" s="680"/>
      <c r="AF986" s="680"/>
      <c r="AG986" s="680"/>
      <c r="AH986" s="680"/>
      <c r="AI986" s="680"/>
      <c r="AJ986" s="680"/>
      <c r="AK986" s="680"/>
      <c r="AL986" s="680"/>
      <c r="AM986" s="680"/>
      <c r="AN986" s="680"/>
      <c r="AO986" s="680"/>
      <c r="AP986" s="680"/>
      <c r="AQ986" s="680"/>
      <c r="AR986" s="680"/>
      <c r="AS986" s="680"/>
      <c r="AT986" s="681"/>
      <c r="AV986" s="533" t="s">
        <v>366</v>
      </c>
      <c r="AW986" s="534"/>
      <c r="AX986" s="534"/>
      <c r="AY986" s="534"/>
      <c r="AZ986" s="534"/>
      <c r="BA986" s="534"/>
      <c r="BB986" s="534"/>
      <c r="BC986" s="534"/>
      <c r="BD986" s="534"/>
      <c r="BE986" s="534"/>
      <c r="BF986" s="535"/>
      <c r="BG986" s="704" t="s">
        <v>1166</v>
      </c>
      <c r="BH986" s="456"/>
      <c r="BI986" s="456"/>
      <c r="BJ986" s="456"/>
      <c r="BK986" s="456"/>
      <c r="BL986" s="456"/>
      <c r="BM986" s="456"/>
      <c r="BN986" s="456"/>
      <c r="BO986" s="456"/>
      <c r="BP986" s="456"/>
      <c r="BQ986" s="456"/>
      <c r="BR986" s="456"/>
      <c r="BS986" s="456"/>
      <c r="BT986" s="456"/>
      <c r="BU986" s="456"/>
      <c r="BV986" s="456"/>
      <c r="BW986" s="457"/>
      <c r="BX986" s="704" t="s">
        <v>1173</v>
      </c>
      <c r="BY986" s="456"/>
      <c r="BZ986" s="456"/>
      <c r="CA986" s="456"/>
      <c r="CB986" s="456"/>
      <c r="CC986" s="456"/>
      <c r="CD986" s="456"/>
      <c r="CE986" s="456"/>
      <c r="CF986" s="456"/>
      <c r="CG986" s="456"/>
      <c r="CH986" s="456"/>
      <c r="CI986" s="456"/>
      <c r="CJ986" s="456"/>
      <c r="CK986" s="456"/>
      <c r="CL986" s="456"/>
      <c r="CM986" s="456"/>
      <c r="CN986" s="457"/>
      <c r="CP986" s="3"/>
    </row>
    <row r="987" spans="1:94" ht="15" customHeight="1" x14ac:dyDescent="0.15">
      <c r="A987" s="15"/>
      <c r="B987" s="523" t="s">
        <v>342</v>
      </c>
      <c r="C987" s="524"/>
      <c r="D987" s="524"/>
      <c r="E987" s="524"/>
      <c r="F987" s="524"/>
      <c r="G987" s="524"/>
      <c r="H987" s="524"/>
      <c r="I987" s="524"/>
      <c r="J987" s="524"/>
      <c r="K987" s="524"/>
      <c r="L987" s="525"/>
      <c r="M987" s="679"/>
      <c r="N987" s="680"/>
      <c r="O987" s="680"/>
      <c r="P987" s="680"/>
      <c r="Q987" s="680"/>
      <c r="R987" s="680"/>
      <c r="S987" s="680"/>
      <c r="T987" s="680"/>
      <c r="U987" s="680"/>
      <c r="V987" s="680"/>
      <c r="W987" s="680"/>
      <c r="X987" s="680"/>
      <c r="Y987" s="680"/>
      <c r="Z987" s="680"/>
      <c r="AA987" s="680"/>
      <c r="AB987" s="680"/>
      <c r="AC987" s="681"/>
      <c r="AD987" s="679"/>
      <c r="AE987" s="680"/>
      <c r="AF987" s="680"/>
      <c r="AG987" s="680"/>
      <c r="AH987" s="680"/>
      <c r="AI987" s="680"/>
      <c r="AJ987" s="680"/>
      <c r="AK987" s="680"/>
      <c r="AL987" s="680"/>
      <c r="AM987" s="680"/>
      <c r="AN987" s="680"/>
      <c r="AO987" s="680"/>
      <c r="AP987" s="680"/>
      <c r="AQ987" s="680"/>
      <c r="AR987" s="680"/>
      <c r="AS987" s="680"/>
      <c r="AT987" s="681"/>
      <c r="AV987" s="533" t="s">
        <v>367</v>
      </c>
      <c r="AW987" s="534"/>
      <c r="AX987" s="534"/>
      <c r="AY987" s="534"/>
      <c r="AZ987" s="534"/>
      <c r="BA987" s="534"/>
      <c r="BB987" s="534"/>
      <c r="BC987" s="534"/>
      <c r="BD987" s="534"/>
      <c r="BE987" s="534"/>
      <c r="BF987" s="535"/>
      <c r="BG987" s="455" t="s">
        <v>1167</v>
      </c>
      <c r="BH987" s="456"/>
      <c r="BI987" s="456"/>
      <c r="BJ987" s="456"/>
      <c r="BK987" s="456"/>
      <c r="BL987" s="456"/>
      <c r="BM987" s="456"/>
      <c r="BN987" s="456"/>
      <c r="BO987" s="456"/>
      <c r="BP987" s="456"/>
      <c r="BQ987" s="456"/>
      <c r="BR987" s="456"/>
      <c r="BS987" s="456"/>
      <c r="BT987" s="456"/>
      <c r="BU987" s="456"/>
      <c r="BV987" s="456"/>
      <c r="BW987" s="457"/>
      <c r="BX987" s="455" t="s">
        <v>1174</v>
      </c>
      <c r="BY987" s="456"/>
      <c r="BZ987" s="456"/>
      <c r="CA987" s="456"/>
      <c r="CB987" s="456"/>
      <c r="CC987" s="456"/>
      <c r="CD987" s="456"/>
      <c r="CE987" s="456"/>
      <c r="CF987" s="456"/>
      <c r="CG987" s="456"/>
      <c r="CH987" s="456"/>
      <c r="CI987" s="456"/>
      <c r="CJ987" s="456"/>
      <c r="CK987" s="456"/>
      <c r="CL987" s="456"/>
      <c r="CM987" s="456"/>
      <c r="CN987" s="457"/>
      <c r="CP987" s="3"/>
    </row>
    <row r="988" spans="1:94" ht="15" customHeight="1" x14ac:dyDescent="0.15">
      <c r="A988" s="15"/>
      <c r="B988" s="520" t="s">
        <v>343</v>
      </c>
      <c r="C988" s="521"/>
      <c r="D988" s="521"/>
      <c r="E988" s="521"/>
      <c r="F988" s="521"/>
      <c r="G988" s="521"/>
      <c r="H988" s="521"/>
      <c r="I988" s="521"/>
      <c r="J988" s="521"/>
      <c r="K988" s="521"/>
      <c r="L988" s="522"/>
      <c r="M988" s="675"/>
      <c r="N988" s="676"/>
      <c r="O988" s="676"/>
      <c r="P988" s="676"/>
      <c r="Q988" s="676"/>
      <c r="R988" s="676"/>
      <c r="S988" s="676"/>
      <c r="T988" s="676"/>
      <c r="U988" s="676"/>
      <c r="V988" s="676"/>
      <c r="W988" s="676"/>
      <c r="X988" s="676"/>
      <c r="Y988" s="676"/>
      <c r="Z988" s="676"/>
      <c r="AA988" s="676"/>
      <c r="AB988" s="676"/>
      <c r="AC988" s="677"/>
      <c r="AD988" s="675"/>
      <c r="AE988" s="676"/>
      <c r="AF988" s="676"/>
      <c r="AG988" s="676"/>
      <c r="AH988" s="676"/>
      <c r="AI988" s="676"/>
      <c r="AJ988" s="676"/>
      <c r="AK988" s="676"/>
      <c r="AL988" s="676"/>
      <c r="AM988" s="676"/>
      <c r="AN988" s="676"/>
      <c r="AO988" s="676"/>
      <c r="AP988" s="676"/>
      <c r="AQ988" s="676"/>
      <c r="AR988" s="676"/>
      <c r="AS988" s="676"/>
      <c r="AT988" s="677"/>
      <c r="CP988" s="3"/>
    </row>
    <row r="989" spans="1:94" ht="15" customHeight="1" x14ac:dyDescent="0.15">
      <c r="A989" s="15"/>
      <c r="B989" s="527" t="s">
        <v>914</v>
      </c>
      <c r="C989" s="528"/>
      <c r="D989" s="528"/>
      <c r="E989" s="528"/>
      <c r="F989" s="528"/>
      <c r="G989" s="528"/>
      <c r="H989" s="528"/>
      <c r="I989" s="528"/>
      <c r="J989" s="528"/>
      <c r="K989" s="528"/>
      <c r="L989" s="529"/>
      <c r="M989" s="672"/>
      <c r="N989" s="673"/>
      <c r="O989" s="673"/>
      <c r="P989" s="673"/>
      <c r="Q989" s="673"/>
      <c r="R989" s="673"/>
      <c r="S989" s="673"/>
      <c r="T989" s="673"/>
      <c r="U989" s="673"/>
      <c r="V989" s="673"/>
      <c r="W989" s="673"/>
      <c r="X989" s="673"/>
      <c r="Y989" s="673"/>
      <c r="Z989" s="673"/>
      <c r="AA989" s="673"/>
      <c r="AB989" s="673"/>
      <c r="AC989" s="674"/>
      <c r="AD989" s="672"/>
      <c r="AE989" s="673"/>
      <c r="AF989" s="673"/>
      <c r="AG989" s="673"/>
      <c r="AH989" s="673"/>
      <c r="AI989" s="673"/>
      <c r="AJ989" s="673"/>
      <c r="AK989" s="673"/>
      <c r="AL989" s="673"/>
      <c r="AM989" s="673"/>
      <c r="AN989" s="673"/>
      <c r="AO989" s="673"/>
      <c r="AP989" s="673"/>
      <c r="AQ989" s="673"/>
      <c r="AR989" s="673"/>
      <c r="AS989" s="673"/>
      <c r="AT989" s="674"/>
      <c r="CP989" s="3"/>
    </row>
    <row r="990" spans="1:94" ht="15" customHeight="1" x14ac:dyDescent="0.15">
      <c r="A990" s="15"/>
      <c r="B990" s="520" t="s">
        <v>915</v>
      </c>
      <c r="C990" s="521"/>
      <c r="D990" s="521"/>
      <c r="E990" s="521"/>
      <c r="F990" s="521"/>
      <c r="G990" s="521"/>
      <c r="H990" s="521"/>
      <c r="I990" s="521"/>
      <c r="J990" s="521"/>
      <c r="K990" s="521"/>
      <c r="L990" s="522"/>
      <c r="M990" s="675"/>
      <c r="N990" s="676"/>
      <c r="O990" s="676"/>
      <c r="P990" s="676"/>
      <c r="Q990" s="676"/>
      <c r="R990" s="676"/>
      <c r="S990" s="676"/>
      <c r="T990" s="676"/>
      <c r="U990" s="676"/>
      <c r="V990" s="676"/>
      <c r="W990" s="676"/>
      <c r="X990" s="676"/>
      <c r="Y990" s="676"/>
      <c r="Z990" s="676"/>
      <c r="AA990" s="676"/>
      <c r="AB990" s="676"/>
      <c r="AC990" s="677"/>
      <c r="AD990" s="675"/>
      <c r="AE990" s="676"/>
      <c r="AF990" s="676"/>
      <c r="AG990" s="676"/>
      <c r="AH990" s="676"/>
      <c r="AI990" s="676"/>
      <c r="AJ990" s="676"/>
      <c r="AK990" s="676"/>
      <c r="AL990" s="676"/>
      <c r="AM990" s="676"/>
      <c r="AN990" s="676"/>
      <c r="AO990" s="676"/>
      <c r="AP990" s="676"/>
      <c r="AQ990" s="676"/>
      <c r="AR990" s="676"/>
      <c r="AS990" s="676"/>
      <c r="AT990" s="677"/>
      <c r="CP990" s="3"/>
    </row>
    <row r="991" spans="1:94" ht="15" customHeight="1" x14ac:dyDescent="0.15">
      <c r="A991" s="1"/>
      <c r="B991" s="537" t="s">
        <v>344</v>
      </c>
      <c r="C991" s="537"/>
      <c r="D991" s="537"/>
      <c r="E991" s="537"/>
      <c r="F991" s="537"/>
      <c r="G991" s="537"/>
      <c r="H991" s="537"/>
      <c r="I991" s="537"/>
      <c r="J991" s="537"/>
      <c r="K991" s="537"/>
      <c r="L991" s="537"/>
      <c r="M991" s="455" t="s">
        <v>1164</v>
      </c>
      <c r="N991" s="456"/>
      <c r="O991" s="456"/>
      <c r="P991" s="456"/>
      <c r="Q991" s="456"/>
      <c r="R991" s="456"/>
      <c r="S991" s="456"/>
      <c r="T991" s="456"/>
      <c r="U991" s="456"/>
      <c r="V991" s="456"/>
      <c r="W991" s="456"/>
      <c r="X991" s="456"/>
      <c r="Y991" s="456"/>
      <c r="Z991" s="456"/>
      <c r="AA991" s="456"/>
      <c r="AB991" s="456"/>
      <c r="AC991" s="457"/>
      <c r="AD991" s="455" t="s">
        <v>1169</v>
      </c>
      <c r="AE991" s="456"/>
      <c r="AF991" s="456"/>
      <c r="AG991" s="456"/>
      <c r="AH991" s="456"/>
      <c r="AI991" s="456"/>
      <c r="AJ991" s="456"/>
      <c r="AK991" s="456"/>
      <c r="AL991" s="456"/>
      <c r="AM991" s="456"/>
      <c r="AN991" s="456"/>
      <c r="AO991" s="456"/>
      <c r="AP991" s="456"/>
      <c r="AQ991" s="456"/>
      <c r="AR991" s="456"/>
      <c r="AS991" s="456"/>
      <c r="AT991" s="457"/>
      <c r="CP991" s="3"/>
    </row>
    <row r="992" spans="1:94" ht="15" customHeight="1" x14ac:dyDescent="0.15">
      <c r="A992" s="15"/>
      <c r="B992" s="536" t="s">
        <v>345</v>
      </c>
      <c r="C992" s="536"/>
      <c r="D992" s="536"/>
      <c r="E992" s="536"/>
      <c r="F992" s="536"/>
      <c r="G992" s="536"/>
      <c r="H992" s="536"/>
      <c r="I992" s="536"/>
      <c r="J992" s="536"/>
      <c r="K992" s="536"/>
      <c r="L992" s="536"/>
      <c r="M992" s="672"/>
      <c r="N992" s="673"/>
      <c r="O992" s="673"/>
      <c r="P992" s="673"/>
      <c r="Q992" s="673"/>
      <c r="R992" s="673"/>
      <c r="S992" s="673"/>
      <c r="T992" s="673"/>
      <c r="U992" s="673"/>
      <c r="V992" s="673"/>
      <c r="W992" s="673"/>
      <c r="X992" s="673"/>
      <c r="Y992" s="673"/>
      <c r="Z992" s="673"/>
      <c r="AA992" s="673"/>
      <c r="AB992" s="673"/>
      <c r="AC992" s="674"/>
      <c r="AD992" s="672"/>
      <c r="AE992" s="673"/>
      <c r="AF992" s="673"/>
      <c r="AG992" s="673"/>
      <c r="AH992" s="673"/>
      <c r="AI992" s="673"/>
      <c r="AJ992" s="673"/>
      <c r="AK992" s="673"/>
      <c r="AL992" s="673"/>
      <c r="AM992" s="673"/>
      <c r="AN992" s="673"/>
      <c r="AO992" s="673"/>
      <c r="AP992" s="673"/>
      <c r="AQ992" s="673"/>
      <c r="AR992" s="673"/>
      <c r="AS992" s="673"/>
      <c r="AT992" s="674"/>
      <c r="CP992" s="3"/>
    </row>
    <row r="993" spans="1:94" ht="15" customHeight="1" x14ac:dyDescent="0.15">
      <c r="A993" s="15"/>
      <c r="B993" s="516" t="s">
        <v>346</v>
      </c>
      <c r="C993" s="516"/>
      <c r="D993" s="516"/>
      <c r="E993" s="516"/>
      <c r="F993" s="516"/>
      <c r="G993" s="516"/>
      <c r="H993" s="516"/>
      <c r="I993" s="516"/>
      <c r="J993" s="516"/>
      <c r="K993" s="516"/>
      <c r="L993" s="516"/>
      <c r="M993" s="679"/>
      <c r="N993" s="680"/>
      <c r="O993" s="680"/>
      <c r="P993" s="680"/>
      <c r="Q993" s="680"/>
      <c r="R993" s="680"/>
      <c r="S993" s="680"/>
      <c r="T993" s="680"/>
      <c r="U993" s="680"/>
      <c r="V993" s="680"/>
      <c r="W993" s="680"/>
      <c r="X993" s="680"/>
      <c r="Y993" s="680"/>
      <c r="Z993" s="680"/>
      <c r="AA993" s="680"/>
      <c r="AB993" s="680"/>
      <c r="AC993" s="681"/>
      <c r="AD993" s="679"/>
      <c r="AE993" s="680"/>
      <c r="AF993" s="680"/>
      <c r="AG993" s="680"/>
      <c r="AH993" s="680"/>
      <c r="AI993" s="680"/>
      <c r="AJ993" s="680"/>
      <c r="AK993" s="680"/>
      <c r="AL993" s="680"/>
      <c r="AM993" s="680"/>
      <c r="AN993" s="680"/>
      <c r="AO993" s="680"/>
      <c r="AP993" s="680"/>
      <c r="AQ993" s="680"/>
      <c r="AR993" s="680"/>
      <c r="AS993" s="680"/>
      <c r="AT993" s="681"/>
      <c r="CP993" s="3"/>
    </row>
    <row r="994" spans="1:94" ht="15" customHeight="1" x14ac:dyDescent="0.15">
      <c r="A994" s="15"/>
      <c r="B994" s="516" t="s">
        <v>347</v>
      </c>
      <c r="C994" s="516"/>
      <c r="D994" s="516"/>
      <c r="E994" s="516"/>
      <c r="F994" s="516"/>
      <c r="G994" s="516"/>
      <c r="H994" s="516"/>
      <c r="I994" s="516"/>
      <c r="J994" s="516"/>
      <c r="K994" s="516"/>
      <c r="L994" s="516"/>
      <c r="M994" s="679"/>
      <c r="N994" s="680"/>
      <c r="O994" s="680"/>
      <c r="P994" s="680"/>
      <c r="Q994" s="680"/>
      <c r="R994" s="680"/>
      <c r="S994" s="680"/>
      <c r="T994" s="680"/>
      <c r="U994" s="680"/>
      <c r="V994" s="680"/>
      <c r="W994" s="680"/>
      <c r="X994" s="680"/>
      <c r="Y994" s="680"/>
      <c r="Z994" s="680"/>
      <c r="AA994" s="680"/>
      <c r="AB994" s="680"/>
      <c r="AC994" s="681"/>
      <c r="AD994" s="679"/>
      <c r="AE994" s="680"/>
      <c r="AF994" s="680"/>
      <c r="AG994" s="680"/>
      <c r="AH994" s="680"/>
      <c r="AI994" s="680"/>
      <c r="AJ994" s="680"/>
      <c r="AK994" s="680"/>
      <c r="AL994" s="680"/>
      <c r="AM994" s="680"/>
      <c r="AN994" s="680"/>
      <c r="AO994" s="680"/>
      <c r="AP994" s="680"/>
      <c r="AQ994" s="680"/>
      <c r="AR994" s="680"/>
      <c r="AS994" s="680"/>
      <c r="AT994" s="681"/>
      <c r="CP994" s="3"/>
    </row>
    <row r="995" spans="1:94" ht="15" customHeight="1" x14ac:dyDescent="0.15">
      <c r="A995" s="15"/>
      <c r="B995" s="516" t="s">
        <v>348</v>
      </c>
      <c r="C995" s="516"/>
      <c r="D995" s="516"/>
      <c r="E995" s="516"/>
      <c r="F995" s="516"/>
      <c r="G995" s="516"/>
      <c r="H995" s="516"/>
      <c r="I995" s="516"/>
      <c r="J995" s="516"/>
      <c r="K995" s="516"/>
      <c r="L995" s="516"/>
      <c r="M995" s="679"/>
      <c r="N995" s="680"/>
      <c r="O995" s="680"/>
      <c r="P995" s="680"/>
      <c r="Q995" s="680"/>
      <c r="R995" s="680"/>
      <c r="S995" s="680"/>
      <c r="T995" s="680"/>
      <c r="U995" s="680"/>
      <c r="V995" s="680"/>
      <c r="W995" s="680"/>
      <c r="X995" s="680"/>
      <c r="Y995" s="680"/>
      <c r="Z995" s="680"/>
      <c r="AA995" s="680"/>
      <c r="AB995" s="680"/>
      <c r="AC995" s="681"/>
      <c r="AD995" s="679"/>
      <c r="AE995" s="680"/>
      <c r="AF995" s="680"/>
      <c r="AG995" s="680"/>
      <c r="AH995" s="680"/>
      <c r="AI995" s="680"/>
      <c r="AJ995" s="680"/>
      <c r="AK995" s="680"/>
      <c r="AL995" s="680"/>
      <c r="AM995" s="680"/>
      <c r="AN995" s="680"/>
      <c r="AO995" s="680"/>
      <c r="AP995" s="680"/>
      <c r="AQ995" s="680"/>
      <c r="AR995" s="680"/>
      <c r="AS995" s="680"/>
      <c r="AT995" s="681"/>
      <c r="CP995" s="3"/>
    </row>
    <row r="996" spans="1:94" ht="15" customHeight="1" x14ac:dyDescent="0.15">
      <c r="A996" s="15"/>
      <c r="B996" s="516" t="s">
        <v>349</v>
      </c>
      <c r="C996" s="516"/>
      <c r="D996" s="516"/>
      <c r="E996" s="516"/>
      <c r="F996" s="516"/>
      <c r="G996" s="516"/>
      <c r="H996" s="516"/>
      <c r="I996" s="516"/>
      <c r="J996" s="516"/>
      <c r="K996" s="516"/>
      <c r="L996" s="516"/>
      <c r="M996" s="679"/>
      <c r="N996" s="680"/>
      <c r="O996" s="680"/>
      <c r="P996" s="680"/>
      <c r="Q996" s="680"/>
      <c r="R996" s="680"/>
      <c r="S996" s="680"/>
      <c r="T996" s="680"/>
      <c r="U996" s="680"/>
      <c r="V996" s="680"/>
      <c r="W996" s="680"/>
      <c r="X996" s="680"/>
      <c r="Y996" s="680"/>
      <c r="Z996" s="680"/>
      <c r="AA996" s="680"/>
      <c r="AB996" s="680"/>
      <c r="AC996" s="681"/>
      <c r="AD996" s="679"/>
      <c r="AE996" s="680"/>
      <c r="AF996" s="680"/>
      <c r="AG996" s="680"/>
      <c r="AH996" s="680"/>
      <c r="AI996" s="680"/>
      <c r="AJ996" s="680"/>
      <c r="AK996" s="680"/>
      <c r="AL996" s="680"/>
      <c r="AM996" s="680"/>
      <c r="AN996" s="680"/>
      <c r="AO996" s="680"/>
      <c r="AP996" s="680"/>
      <c r="AQ996" s="680"/>
      <c r="AR996" s="680"/>
      <c r="AS996" s="680"/>
      <c r="AT996" s="681"/>
      <c r="CP996" s="3"/>
    </row>
    <row r="997" spans="1:94" ht="15" customHeight="1" x14ac:dyDescent="0.15">
      <c r="A997" s="15"/>
      <c r="B997" s="516" t="s">
        <v>350</v>
      </c>
      <c r="C997" s="516"/>
      <c r="D997" s="516"/>
      <c r="E997" s="516"/>
      <c r="F997" s="516"/>
      <c r="G997" s="516"/>
      <c r="H997" s="516"/>
      <c r="I997" s="516"/>
      <c r="J997" s="516"/>
      <c r="K997" s="516"/>
      <c r="L997" s="516"/>
      <c r="M997" s="679"/>
      <c r="N997" s="680"/>
      <c r="O997" s="680"/>
      <c r="P997" s="680"/>
      <c r="Q997" s="680"/>
      <c r="R997" s="680"/>
      <c r="S997" s="680"/>
      <c r="T997" s="680"/>
      <c r="U997" s="680"/>
      <c r="V997" s="680"/>
      <c r="W997" s="680"/>
      <c r="X997" s="680"/>
      <c r="Y997" s="680"/>
      <c r="Z997" s="680"/>
      <c r="AA997" s="680"/>
      <c r="AB997" s="680"/>
      <c r="AC997" s="681"/>
      <c r="AD997" s="679"/>
      <c r="AE997" s="680"/>
      <c r="AF997" s="680"/>
      <c r="AG997" s="680"/>
      <c r="AH997" s="680"/>
      <c r="AI997" s="680"/>
      <c r="AJ997" s="680"/>
      <c r="AK997" s="680"/>
      <c r="AL997" s="680"/>
      <c r="AM997" s="680"/>
      <c r="AN997" s="680"/>
      <c r="AO997" s="680"/>
      <c r="AP997" s="680"/>
      <c r="AQ997" s="680"/>
      <c r="AR997" s="680"/>
      <c r="AS997" s="680"/>
      <c r="AT997" s="681"/>
      <c r="CP997" s="3"/>
    </row>
    <row r="998" spans="1:94" ht="15" customHeight="1" x14ac:dyDescent="0.15">
      <c r="A998" s="15"/>
      <c r="B998" s="516" t="s">
        <v>351</v>
      </c>
      <c r="C998" s="516"/>
      <c r="D998" s="516"/>
      <c r="E998" s="516"/>
      <c r="F998" s="516"/>
      <c r="G998" s="516"/>
      <c r="H998" s="516"/>
      <c r="I998" s="516"/>
      <c r="J998" s="516"/>
      <c r="K998" s="516"/>
      <c r="L998" s="516"/>
      <c r="M998" s="679"/>
      <c r="N998" s="680"/>
      <c r="O998" s="680"/>
      <c r="P998" s="680"/>
      <c r="Q998" s="680"/>
      <c r="R998" s="680"/>
      <c r="S998" s="680"/>
      <c r="T998" s="680"/>
      <c r="U998" s="680"/>
      <c r="V998" s="680"/>
      <c r="W998" s="680"/>
      <c r="X998" s="680"/>
      <c r="Y998" s="680"/>
      <c r="Z998" s="680"/>
      <c r="AA998" s="680"/>
      <c r="AB998" s="680"/>
      <c r="AC998" s="681"/>
      <c r="AD998" s="679"/>
      <c r="AE998" s="680"/>
      <c r="AF998" s="680"/>
      <c r="AG998" s="680"/>
      <c r="AH998" s="680"/>
      <c r="AI998" s="680"/>
      <c r="AJ998" s="680"/>
      <c r="AK998" s="680"/>
      <c r="AL998" s="680"/>
      <c r="AM998" s="680"/>
      <c r="AN998" s="680"/>
      <c r="AO998" s="680"/>
      <c r="AP998" s="680"/>
      <c r="AQ998" s="680"/>
      <c r="AR998" s="680"/>
      <c r="AS998" s="680"/>
      <c r="AT998" s="681"/>
      <c r="CP998" s="3"/>
    </row>
    <row r="999" spans="1:94" ht="15" customHeight="1" x14ac:dyDescent="0.15">
      <c r="A999" s="15"/>
      <c r="B999" s="516" t="s">
        <v>352</v>
      </c>
      <c r="C999" s="516"/>
      <c r="D999" s="516"/>
      <c r="E999" s="516"/>
      <c r="F999" s="516"/>
      <c r="G999" s="516"/>
      <c r="H999" s="516"/>
      <c r="I999" s="516"/>
      <c r="J999" s="516"/>
      <c r="K999" s="516"/>
      <c r="L999" s="516"/>
      <c r="M999" s="679"/>
      <c r="N999" s="680"/>
      <c r="O999" s="680"/>
      <c r="P999" s="680"/>
      <c r="Q999" s="680"/>
      <c r="R999" s="680"/>
      <c r="S999" s="680"/>
      <c r="T999" s="680"/>
      <c r="U999" s="680"/>
      <c r="V999" s="680"/>
      <c r="W999" s="680"/>
      <c r="X999" s="680"/>
      <c r="Y999" s="680"/>
      <c r="Z999" s="680"/>
      <c r="AA999" s="680"/>
      <c r="AB999" s="680"/>
      <c r="AC999" s="681"/>
      <c r="AD999" s="679"/>
      <c r="AE999" s="680"/>
      <c r="AF999" s="680"/>
      <c r="AG999" s="680"/>
      <c r="AH999" s="680"/>
      <c r="AI999" s="680"/>
      <c r="AJ999" s="680"/>
      <c r="AK999" s="680"/>
      <c r="AL999" s="680"/>
      <c r="AM999" s="680"/>
      <c r="AN999" s="680"/>
      <c r="AO999" s="680"/>
      <c r="AP999" s="680"/>
      <c r="AQ999" s="680"/>
      <c r="AR999" s="680"/>
      <c r="AS999" s="680"/>
      <c r="AT999" s="681"/>
      <c r="CP999" s="3"/>
    </row>
    <row r="1000" spans="1:94" ht="15" customHeight="1" x14ac:dyDescent="0.15">
      <c r="A1000" s="15"/>
      <c r="B1000" s="517" t="s">
        <v>353</v>
      </c>
      <c r="C1000" s="517"/>
      <c r="D1000" s="517"/>
      <c r="E1000" s="517"/>
      <c r="F1000" s="517"/>
      <c r="G1000" s="517"/>
      <c r="H1000" s="517"/>
      <c r="I1000" s="517"/>
      <c r="J1000" s="517"/>
      <c r="K1000" s="517"/>
      <c r="L1000" s="517"/>
      <c r="M1000" s="675"/>
      <c r="N1000" s="676"/>
      <c r="O1000" s="676"/>
      <c r="P1000" s="676"/>
      <c r="Q1000" s="676"/>
      <c r="R1000" s="676"/>
      <c r="S1000" s="676"/>
      <c r="T1000" s="676"/>
      <c r="U1000" s="676"/>
      <c r="V1000" s="676"/>
      <c r="W1000" s="676"/>
      <c r="X1000" s="676"/>
      <c r="Y1000" s="676"/>
      <c r="Z1000" s="676"/>
      <c r="AA1000" s="676"/>
      <c r="AB1000" s="676"/>
      <c r="AC1000" s="677"/>
      <c r="AD1000" s="675"/>
      <c r="AE1000" s="676"/>
      <c r="AF1000" s="676"/>
      <c r="AG1000" s="676"/>
      <c r="AH1000" s="676"/>
      <c r="AI1000" s="676"/>
      <c r="AJ1000" s="676"/>
      <c r="AK1000" s="676"/>
      <c r="AL1000" s="676"/>
      <c r="AM1000" s="676"/>
      <c r="AN1000" s="676"/>
      <c r="AO1000" s="676"/>
      <c r="AP1000" s="676"/>
      <c r="AQ1000" s="676"/>
      <c r="AR1000" s="676"/>
      <c r="AS1000" s="676"/>
      <c r="AT1000" s="677"/>
      <c r="CP1000" s="3"/>
    </row>
    <row r="1001" spans="1:94" ht="15" customHeight="1" x14ac:dyDescent="0.15">
      <c r="A1001" s="15"/>
      <c r="B1001" s="575" t="s">
        <v>354</v>
      </c>
      <c r="C1001" s="575"/>
      <c r="D1001" s="575"/>
      <c r="E1001" s="575"/>
      <c r="F1001" s="575"/>
      <c r="G1001" s="575"/>
      <c r="H1001" s="575"/>
      <c r="I1001" s="575"/>
      <c r="J1001" s="575"/>
      <c r="K1001" s="575"/>
      <c r="L1001" s="575"/>
      <c r="M1001" s="672"/>
      <c r="N1001" s="673"/>
      <c r="O1001" s="673"/>
      <c r="P1001" s="673"/>
      <c r="Q1001" s="673"/>
      <c r="R1001" s="673"/>
      <c r="S1001" s="673"/>
      <c r="T1001" s="673"/>
      <c r="U1001" s="673"/>
      <c r="V1001" s="673"/>
      <c r="W1001" s="673"/>
      <c r="X1001" s="673"/>
      <c r="Y1001" s="673"/>
      <c r="Z1001" s="673"/>
      <c r="AA1001" s="673"/>
      <c r="AB1001" s="673"/>
      <c r="AC1001" s="674"/>
      <c r="AD1001" s="672"/>
      <c r="AE1001" s="673"/>
      <c r="AF1001" s="673"/>
      <c r="AG1001" s="673"/>
      <c r="AH1001" s="673"/>
      <c r="AI1001" s="673"/>
      <c r="AJ1001" s="673"/>
      <c r="AK1001" s="673"/>
      <c r="AL1001" s="673"/>
      <c r="AM1001" s="673"/>
      <c r="AN1001" s="673"/>
      <c r="AO1001" s="673"/>
      <c r="AP1001" s="673"/>
      <c r="AQ1001" s="673"/>
      <c r="AR1001" s="673"/>
      <c r="AS1001" s="673"/>
      <c r="AT1001" s="674"/>
      <c r="CP1001" s="3"/>
    </row>
    <row r="1002" spans="1:94" ht="15" customHeight="1" x14ac:dyDescent="0.15">
      <c r="A1002" s="15"/>
      <c r="B1002" s="541" t="s">
        <v>916</v>
      </c>
      <c r="C1002" s="541"/>
      <c r="D1002" s="541"/>
      <c r="E1002" s="541"/>
      <c r="F1002" s="541"/>
      <c r="G1002" s="541"/>
      <c r="H1002" s="541"/>
      <c r="I1002" s="541"/>
      <c r="J1002" s="541"/>
      <c r="K1002" s="541"/>
      <c r="L1002" s="541"/>
      <c r="M1002" s="679"/>
      <c r="N1002" s="680"/>
      <c r="O1002" s="680"/>
      <c r="P1002" s="680"/>
      <c r="Q1002" s="680"/>
      <c r="R1002" s="680"/>
      <c r="S1002" s="680"/>
      <c r="T1002" s="680"/>
      <c r="U1002" s="680"/>
      <c r="V1002" s="680"/>
      <c r="W1002" s="680"/>
      <c r="X1002" s="680"/>
      <c r="Y1002" s="680"/>
      <c r="Z1002" s="680"/>
      <c r="AA1002" s="680"/>
      <c r="AB1002" s="680"/>
      <c r="AC1002" s="681"/>
      <c r="AD1002" s="679"/>
      <c r="AE1002" s="680"/>
      <c r="AF1002" s="680"/>
      <c r="AG1002" s="680"/>
      <c r="AH1002" s="680"/>
      <c r="AI1002" s="680"/>
      <c r="AJ1002" s="680"/>
      <c r="AK1002" s="680"/>
      <c r="AL1002" s="680"/>
      <c r="AM1002" s="680"/>
      <c r="AN1002" s="680"/>
      <c r="AO1002" s="680"/>
      <c r="AP1002" s="680"/>
      <c r="AQ1002" s="680"/>
      <c r="AR1002" s="680"/>
      <c r="AS1002" s="680"/>
      <c r="AT1002" s="681"/>
      <c r="CP1002" s="3"/>
    </row>
    <row r="1003" spans="1:94" ht="15" customHeight="1" x14ac:dyDescent="0.15">
      <c r="A1003" s="15"/>
      <c r="B1003" s="541" t="s">
        <v>355</v>
      </c>
      <c r="C1003" s="541"/>
      <c r="D1003" s="541"/>
      <c r="E1003" s="541"/>
      <c r="F1003" s="541"/>
      <c r="G1003" s="541"/>
      <c r="H1003" s="541"/>
      <c r="I1003" s="541"/>
      <c r="J1003" s="541"/>
      <c r="K1003" s="541"/>
      <c r="L1003" s="541"/>
      <c r="M1003" s="679"/>
      <c r="N1003" s="680"/>
      <c r="O1003" s="680"/>
      <c r="P1003" s="680"/>
      <c r="Q1003" s="680"/>
      <c r="R1003" s="680"/>
      <c r="S1003" s="680"/>
      <c r="T1003" s="680"/>
      <c r="U1003" s="680"/>
      <c r="V1003" s="680"/>
      <c r="W1003" s="680"/>
      <c r="X1003" s="680"/>
      <c r="Y1003" s="680"/>
      <c r="Z1003" s="680"/>
      <c r="AA1003" s="680"/>
      <c r="AB1003" s="680"/>
      <c r="AC1003" s="681"/>
      <c r="AD1003" s="679"/>
      <c r="AE1003" s="680"/>
      <c r="AF1003" s="680"/>
      <c r="AG1003" s="680"/>
      <c r="AH1003" s="680"/>
      <c r="AI1003" s="680"/>
      <c r="AJ1003" s="680"/>
      <c r="AK1003" s="680"/>
      <c r="AL1003" s="680"/>
      <c r="AM1003" s="680"/>
      <c r="AN1003" s="680"/>
      <c r="AO1003" s="680"/>
      <c r="AP1003" s="680"/>
      <c r="AQ1003" s="680"/>
      <c r="AR1003" s="680"/>
      <c r="AS1003" s="680"/>
      <c r="AT1003" s="681"/>
      <c r="CP1003" s="3"/>
    </row>
    <row r="1004" spans="1:94" ht="15" customHeight="1" x14ac:dyDescent="0.15">
      <c r="A1004" s="15"/>
      <c r="B1004" s="623" t="s">
        <v>356</v>
      </c>
      <c r="C1004" s="623"/>
      <c r="D1004" s="623"/>
      <c r="E1004" s="623"/>
      <c r="F1004" s="623"/>
      <c r="G1004" s="623"/>
      <c r="H1004" s="623"/>
      <c r="I1004" s="623"/>
      <c r="J1004" s="623"/>
      <c r="K1004" s="623"/>
      <c r="L1004" s="623"/>
      <c r="M1004" s="675"/>
      <c r="N1004" s="676"/>
      <c r="O1004" s="676"/>
      <c r="P1004" s="676"/>
      <c r="Q1004" s="676"/>
      <c r="R1004" s="676"/>
      <c r="S1004" s="676"/>
      <c r="T1004" s="676"/>
      <c r="U1004" s="676"/>
      <c r="V1004" s="676"/>
      <c r="W1004" s="676"/>
      <c r="X1004" s="676"/>
      <c r="Y1004" s="676"/>
      <c r="Z1004" s="676"/>
      <c r="AA1004" s="676"/>
      <c r="AB1004" s="676"/>
      <c r="AC1004" s="677"/>
      <c r="AD1004" s="675"/>
      <c r="AE1004" s="676"/>
      <c r="AF1004" s="676"/>
      <c r="AG1004" s="676"/>
      <c r="AH1004" s="676"/>
      <c r="AI1004" s="676"/>
      <c r="AJ1004" s="676"/>
      <c r="AK1004" s="676"/>
      <c r="AL1004" s="676"/>
      <c r="AM1004" s="676"/>
      <c r="AN1004" s="676"/>
      <c r="AO1004" s="676"/>
      <c r="AP1004" s="676"/>
      <c r="AQ1004" s="676"/>
      <c r="AR1004" s="676"/>
      <c r="AS1004" s="676"/>
      <c r="AT1004" s="677"/>
      <c r="CP1004" s="3"/>
    </row>
    <row r="1005" spans="1:94" ht="15" customHeight="1" x14ac:dyDescent="0.15">
      <c r="A1005" s="15"/>
      <c r="B1005" s="542" t="s">
        <v>357</v>
      </c>
      <c r="C1005" s="542"/>
      <c r="D1005" s="542"/>
      <c r="E1005" s="542"/>
      <c r="F1005" s="542"/>
      <c r="G1005" s="542"/>
      <c r="H1005" s="542"/>
      <c r="I1005" s="542"/>
      <c r="J1005" s="542"/>
      <c r="K1005" s="542"/>
      <c r="L1005" s="542"/>
      <c r="M1005" s="682" t="s">
        <v>1165</v>
      </c>
      <c r="N1005" s="683"/>
      <c r="O1005" s="683"/>
      <c r="P1005" s="683"/>
      <c r="Q1005" s="683"/>
      <c r="R1005" s="683"/>
      <c r="S1005" s="683"/>
      <c r="T1005" s="683"/>
      <c r="U1005" s="683"/>
      <c r="V1005" s="683"/>
      <c r="W1005" s="683"/>
      <c r="X1005" s="683"/>
      <c r="Y1005" s="683"/>
      <c r="Z1005" s="683"/>
      <c r="AA1005" s="683"/>
      <c r="AB1005" s="683"/>
      <c r="AC1005" s="684"/>
      <c r="AD1005" s="682" t="s">
        <v>1165</v>
      </c>
      <c r="AE1005" s="683"/>
      <c r="AF1005" s="683"/>
      <c r="AG1005" s="683"/>
      <c r="AH1005" s="683"/>
      <c r="AI1005" s="683"/>
      <c r="AJ1005" s="683"/>
      <c r="AK1005" s="683"/>
      <c r="AL1005" s="683"/>
      <c r="AM1005" s="683"/>
      <c r="AN1005" s="683"/>
      <c r="AO1005" s="683"/>
      <c r="AP1005" s="683"/>
      <c r="AQ1005" s="683"/>
      <c r="AR1005" s="683"/>
      <c r="AS1005" s="683"/>
      <c r="AT1005" s="684"/>
      <c r="CP1005" s="3"/>
    </row>
    <row r="1006" spans="1:94" ht="15" customHeight="1" x14ac:dyDescent="0.15">
      <c r="A1006" s="15"/>
      <c r="B1006" s="543" t="s">
        <v>358</v>
      </c>
      <c r="C1006" s="543"/>
      <c r="D1006" s="543"/>
      <c r="E1006" s="543"/>
      <c r="F1006" s="543"/>
      <c r="G1006" s="543"/>
      <c r="H1006" s="543"/>
      <c r="I1006" s="543"/>
      <c r="J1006" s="543"/>
      <c r="K1006" s="543"/>
      <c r="L1006" s="543"/>
      <c r="M1006" s="685">
        <v>25</v>
      </c>
      <c r="N1006" s="686"/>
      <c r="O1006" s="686"/>
      <c r="P1006" s="686"/>
      <c r="Q1006" s="686"/>
      <c r="R1006" s="686"/>
      <c r="S1006" s="686"/>
      <c r="T1006" s="686"/>
      <c r="U1006" s="686"/>
      <c r="V1006" s="686"/>
      <c r="W1006" s="686"/>
      <c r="X1006" s="686"/>
      <c r="Y1006" s="686"/>
      <c r="Z1006" s="686"/>
      <c r="AA1006" s="686"/>
      <c r="AB1006" s="686"/>
      <c r="AC1006" s="687"/>
      <c r="AD1006" s="685">
        <v>25</v>
      </c>
      <c r="AE1006" s="686"/>
      <c r="AF1006" s="686"/>
      <c r="AG1006" s="686"/>
      <c r="AH1006" s="686"/>
      <c r="AI1006" s="686"/>
      <c r="AJ1006" s="686"/>
      <c r="AK1006" s="686"/>
      <c r="AL1006" s="686"/>
      <c r="AM1006" s="686"/>
      <c r="AN1006" s="686"/>
      <c r="AO1006" s="686"/>
      <c r="AP1006" s="686"/>
      <c r="AQ1006" s="686"/>
      <c r="AR1006" s="686"/>
      <c r="AS1006" s="686"/>
      <c r="AT1006" s="687"/>
      <c r="CP1006" s="3"/>
    </row>
    <row r="1007" spans="1:94" ht="15" customHeight="1" x14ac:dyDescent="0.15">
      <c r="A1007" s="15"/>
      <c r="B1007" s="543" t="s">
        <v>359</v>
      </c>
      <c r="C1007" s="543"/>
      <c r="D1007" s="543"/>
      <c r="E1007" s="543"/>
      <c r="F1007" s="543"/>
      <c r="G1007" s="543"/>
      <c r="H1007" s="543"/>
      <c r="I1007" s="543"/>
      <c r="J1007" s="543"/>
      <c r="K1007" s="543"/>
      <c r="L1007" s="543"/>
      <c r="M1007" s="685" t="s">
        <v>368</v>
      </c>
      <c r="N1007" s="686"/>
      <c r="O1007" s="686"/>
      <c r="P1007" s="686"/>
      <c r="Q1007" s="686"/>
      <c r="R1007" s="686"/>
      <c r="S1007" s="686"/>
      <c r="T1007" s="686"/>
      <c r="U1007" s="686"/>
      <c r="V1007" s="686"/>
      <c r="W1007" s="686"/>
      <c r="X1007" s="686"/>
      <c r="Y1007" s="686"/>
      <c r="Z1007" s="686"/>
      <c r="AA1007" s="686"/>
      <c r="AB1007" s="686"/>
      <c r="AC1007" s="687"/>
      <c r="AD1007" s="685" t="s">
        <v>368</v>
      </c>
      <c r="AE1007" s="686"/>
      <c r="AF1007" s="686"/>
      <c r="AG1007" s="686"/>
      <c r="AH1007" s="686"/>
      <c r="AI1007" s="686"/>
      <c r="AJ1007" s="686"/>
      <c r="AK1007" s="686"/>
      <c r="AL1007" s="686"/>
      <c r="AM1007" s="686"/>
      <c r="AN1007" s="686"/>
      <c r="AO1007" s="686"/>
      <c r="AP1007" s="686"/>
      <c r="AQ1007" s="686"/>
      <c r="AR1007" s="686"/>
      <c r="AS1007" s="686"/>
      <c r="AT1007" s="687"/>
      <c r="CP1007" s="3"/>
    </row>
    <row r="1008" spans="1:94" ht="15" customHeight="1" x14ac:dyDescent="0.15">
      <c r="A1008" s="15"/>
      <c r="B1008" s="543" t="s">
        <v>387</v>
      </c>
      <c r="C1008" s="543"/>
      <c r="D1008" s="543"/>
      <c r="E1008" s="543"/>
      <c r="F1008" s="543"/>
      <c r="G1008" s="543"/>
      <c r="H1008" s="543"/>
      <c r="I1008" s="543"/>
      <c r="J1008" s="543"/>
      <c r="K1008" s="543"/>
      <c r="L1008" s="543"/>
      <c r="M1008" s="685"/>
      <c r="N1008" s="686"/>
      <c r="O1008" s="686"/>
      <c r="P1008" s="686"/>
      <c r="Q1008" s="686"/>
      <c r="R1008" s="686"/>
      <c r="S1008" s="686"/>
      <c r="T1008" s="686"/>
      <c r="U1008" s="686"/>
      <c r="V1008" s="686"/>
      <c r="W1008" s="686"/>
      <c r="X1008" s="686"/>
      <c r="Y1008" s="686"/>
      <c r="Z1008" s="686"/>
      <c r="AA1008" s="686"/>
      <c r="AB1008" s="686"/>
      <c r="AC1008" s="687"/>
      <c r="AD1008" s="685"/>
      <c r="AE1008" s="686"/>
      <c r="AF1008" s="686"/>
      <c r="AG1008" s="686"/>
      <c r="AH1008" s="686"/>
      <c r="AI1008" s="686"/>
      <c r="AJ1008" s="686"/>
      <c r="AK1008" s="686"/>
      <c r="AL1008" s="686"/>
      <c r="AM1008" s="686"/>
      <c r="AN1008" s="686"/>
      <c r="AO1008" s="686"/>
      <c r="AP1008" s="686"/>
      <c r="AQ1008" s="686"/>
      <c r="AR1008" s="686"/>
      <c r="AS1008" s="686"/>
      <c r="AT1008" s="687"/>
      <c r="CP1008" s="3"/>
    </row>
    <row r="1009" spans="1:94" ht="15" customHeight="1" x14ac:dyDescent="0.15">
      <c r="A1009" s="15"/>
      <c r="B1009" s="543" t="s">
        <v>388</v>
      </c>
      <c r="C1009" s="543"/>
      <c r="D1009" s="543"/>
      <c r="E1009" s="543"/>
      <c r="F1009" s="543"/>
      <c r="G1009" s="543"/>
      <c r="H1009" s="543"/>
      <c r="I1009" s="543"/>
      <c r="J1009" s="543"/>
      <c r="K1009" s="543"/>
      <c r="L1009" s="543"/>
      <c r="M1009" s="685">
        <v>900</v>
      </c>
      <c r="N1009" s="686"/>
      <c r="O1009" s="686"/>
      <c r="P1009" s="686"/>
      <c r="Q1009" s="686"/>
      <c r="R1009" s="686"/>
      <c r="S1009" s="686"/>
      <c r="T1009" s="686"/>
      <c r="U1009" s="686"/>
      <c r="V1009" s="686"/>
      <c r="W1009" s="686"/>
      <c r="X1009" s="686"/>
      <c r="Y1009" s="686"/>
      <c r="Z1009" s="686"/>
      <c r="AA1009" s="686"/>
      <c r="AB1009" s="686"/>
      <c r="AC1009" s="687"/>
      <c r="AD1009" s="685">
        <v>900</v>
      </c>
      <c r="AE1009" s="686"/>
      <c r="AF1009" s="686"/>
      <c r="AG1009" s="686"/>
      <c r="AH1009" s="686"/>
      <c r="AI1009" s="686"/>
      <c r="AJ1009" s="686"/>
      <c r="AK1009" s="686"/>
      <c r="AL1009" s="686"/>
      <c r="AM1009" s="686"/>
      <c r="AN1009" s="686"/>
      <c r="AO1009" s="686"/>
      <c r="AP1009" s="686"/>
      <c r="AQ1009" s="686"/>
      <c r="AR1009" s="686"/>
      <c r="AS1009" s="686"/>
      <c r="AT1009" s="687"/>
      <c r="CP1009" s="3"/>
    </row>
    <row r="1010" spans="1:94" ht="15" customHeight="1" x14ac:dyDescent="0.15">
      <c r="A1010" s="15"/>
      <c r="B1010" s="526" t="s">
        <v>389</v>
      </c>
      <c r="C1010" s="526"/>
      <c r="D1010" s="526"/>
      <c r="E1010" s="526"/>
      <c r="F1010" s="526"/>
      <c r="G1010" s="526"/>
      <c r="H1010" s="526"/>
      <c r="I1010" s="526"/>
      <c r="J1010" s="526"/>
      <c r="K1010" s="526"/>
      <c r="L1010" s="526"/>
      <c r="M1010" s="688">
        <v>5</v>
      </c>
      <c r="N1010" s="689"/>
      <c r="O1010" s="689"/>
      <c r="P1010" s="689"/>
      <c r="Q1010" s="689"/>
      <c r="R1010" s="689"/>
      <c r="S1010" s="689"/>
      <c r="T1010" s="689"/>
      <c r="U1010" s="689"/>
      <c r="V1010" s="689"/>
      <c r="W1010" s="689"/>
      <c r="X1010" s="689"/>
      <c r="Y1010" s="689"/>
      <c r="Z1010" s="689"/>
      <c r="AA1010" s="689"/>
      <c r="AB1010" s="689"/>
      <c r="AC1010" s="690"/>
      <c r="AD1010" s="688">
        <v>5</v>
      </c>
      <c r="AE1010" s="689"/>
      <c r="AF1010" s="689"/>
      <c r="AG1010" s="689"/>
      <c r="AH1010" s="689"/>
      <c r="AI1010" s="689"/>
      <c r="AJ1010" s="689"/>
      <c r="AK1010" s="689"/>
      <c r="AL1010" s="689"/>
      <c r="AM1010" s="689"/>
      <c r="AN1010" s="689"/>
      <c r="AO1010" s="689"/>
      <c r="AP1010" s="689"/>
      <c r="AQ1010" s="689"/>
      <c r="AR1010" s="689"/>
      <c r="AS1010" s="689"/>
      <c r="AT1010" s="690"/>
      <c r="CP1010" s="3"/>
    </row>
    <row r="1011" spans="1:94" ht="15" customHeight="1" x14ac:dyDescent="0.15">
      <c r="A1011" s="15"/>
      <c r="B1011" s="530" t="s">
        <v>360</v>
      </c>
      <c r="C1011" s="531"/>
      <c r="D1011" s="531"/>
      <c r="E1011" s="531"/>
      <c r="F1011" s="531"/>
      <c r="G1011" s="531"/>
      <c r="H1011" s="531"/>
      <c r="I1011" s="531"/>
      <c r="J1011" s="531"/>
      <c r="K1011" s="531"/>
      <c r="L1011" s="532"/>
      <c r="M1011" s="672"/>
      <c r="N1011" s="673"/>
      <c r="O1011" s="673"/>
      <c r="P1011" s="673"/>
      <c r="Q1011" s="673"/>
      <c r="R1011" s="673"/>
      <c r="S1011" s="673"/>
      <c r="T1011" s="673"/>
      <c r="U1011" s="673"/>
      <c r="V1011" s="673"/>
      <c r="W1011" s="673"/>
      <c r="X1011" s="673"/>
      <c r="Y1011" s="673"/>
      <c r="Z1011" s="673"/>
      <c r="AA1011" s="673"/>
      <c r="AB1011" s="673"/>
      <c r="AC1011" s="674"/>
      <c r="AD1011" s="672"/>
      <c r="AE1011" s="673"/>
      <c r="AF1011" s="673"/>
      <c r="AG1011" s="673"/>
      <c r="AH1011" s="673"/>
      <c r="AI1011" s="673"/>
      <c r="AJ1011" s="673"/>
      <c r="AK1011" s="673"/>
      <c r="AL1011" s="673"/>
      <c r="AM1011" s="673"/>
      <c r="AN1011" s="673"/>
      <c r="AO1011" s="673"/>
      <c r="AP1011" s="673"/>
      <c r="AQ1011" s="673"/>
      <c r="AR1011" s="673"/>
      <c r="AS1011" s="673"/>
      <c r="AT1011" s="674"/>
      <c r="CP1011" s="3"/>
    </row>
    <row r="1012" spans="1:94" ht="15" customHeight="1" x14ac:dyDescent="0.15">
      <c r="A1012" s="15"/>
      <c r="B1012" s="520" t="s">
        <v>361</v>
      </c>
      <c r="C1012" s="521"/>
      <c r="D1012" s="521"/>
      <c r="E1012" s="521"/>
      <c r="F1012" s="521"/>
      <c r="G1012" s="521"/>
      <c r="H1012" s="521"/>
      <c r="I1012" s="521"/>
      <c r="J1012" s="521"/>
      <c r="K1012" s="521"/>
      <c r="L1012" s="522"/>
      <c r="M1012" s="675"/>
      <c r="N1012" s="676"/>
      <c r="O1012" s="676"/>
      <c r="P1012" s="676"/>
      <c r="Q1012" s="676"/>
      <c r="R1012" s="676"/>
      <c r="S1012" s="676"/>
      <c r="T1012" s="676"/>
      <c r="U1012" s="676"/>
      <c r="V1012" s="676"/>
      <c r="W1012" s="676"/>
      <c r="X1012" s="676"/>
      <c r="Y1012" s="676"/>
      <c r="Z1012" s="676"/>
      <c r="AA1012" s="676"/>
      <c r="AB1012" s="676"/>
      <c r="AC1012" s="677"/>
      <c r="AD1012" s="675"/>
      <c r="AE1012" s="676"/>
      <c r="AF1012" s="676"/>
      <c r="AG1012" s="676"/>
      <c r="AH1012" s="676"/>
      <c r="AI1012" s="676"/>
      <c r="AJ1012" s="676"/>
      <c r="AK1012" s="676"/>
      <c r="AL1012" s="676"/>
      <c r="AM1012" s="676"/>
      <c r="AN1012" s="676"/>
      <c r="AO1012" s="676"/>
      <c r="AP1012" s="676"/>
      <c r="AQ1012" s="676"/>
      <c r="AR1012" s="676"/>
      <c r="AS1012" s="676"/>
      <c r="AT1012" s="677"/>
      <c r="CP1012" s="3"/>
    </row>
    <row r="1013" spans="1:94" ht="15" customHeight="1" x14ac:dyDescent="0.15">
      <c r="A1013" s="15"/>
      <c r="CP1013" s="3"/>
    </row>
    <row r="1014" spans="1:94" ht="15" customHeight="1" x14ac:dyDescent="0.15">
      <c r="A1014" s="15"/>
      <c r="CP1014" s="3"/>
    </row>
    <row r="1015" spans="1:94" ht="15" customHeight="1" x14ac:dyDescent="0.15">
      <c r="A1015" s="15"/>
      <c r="CP1015" s="3"/>
    </row>
    <row r="1016" spans="1:94" ht="15" customHeight="1" x14ac:dyDescent="0.15">
      <c r="A1016" s="15"/>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c r="AY1016" s="9"/>
      <c r="AZ1016" s="9"/>
      <c r="BA1016" s="9"/>
      <c r="BB1016" s="9"/>
      <c r="BC1016" s="9"/>
      <c r="BD1016" s="9"/>
      <c r="BE1016" s="9"/>
      <c r="BF1016" s="9"/>
      <c r="BG1016" s="9"/>
      <c r="BH1016" s="9"/>
      <c r="BI1016" s="9"/>
      <c r="BJ1016" s="9"/>
      <c r="BK1016" s="9"/>
      <c r="BL1016" s="9"/>
      <c r="BM1016" s="9"/>
      <c r="BN1016" s="9"/>
      <c r="CP1016" s="16"/>
    </row>
    <row r="1017" spans="1:94" ht="15" customHeight="1" thickBot="1" x14ac:dyDescent="0.2">
      <c r="A1017" s="19"/>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c r="AE1017" s="20"/>
      <c r="AF1017" s="20"/>
      <c r="AG1017" s="20"/>
      <c r="AH1017" s="20"/>
      <c r="AI1017" s="20"/>
      <c r="AJ1017" s="20"/>
      <c r="AK1017" s="20"/>
      <c r="AL1017" s="20"/>
      <c r="AM1017" s="20"/>
      <c r="AN1017" s="20"/>
      <c r="AO1017" s="20"/>
      <c r="AP1017" s="20"/>
      <c r="AQ1017" s="20"/>
      <c r="AR1017" s="20"/>
      <c r="AS1017" s="20"/>
      <c r="AT1017" s="20"/>
      <c r="AU1017" s="20"/>
      <c r="AV1017" s="20"/>
      <c r="AW1017" s="20"/>
      <c r="AX1017" s="20"/>
      <c r="AY1017" s="20"/>
      <c r="AZ1017" s="20"/>
      <c r="BA1017" s="20"/>
      <c r="BB1017" s="20"/>
      <c r="BC1017" s="20"/>
      <c r="BD1017" s="20"/>
      <c r="BE1017" s="20"/>
      <c r="BF1017" s="20"/>
      <c r="BG1017" s="20"/>
      <c r="BH1017" s="20"/>
      <c r="BI1017" s="20"/>
      <c r="BJ1017" s="20"/>
      <c r="BK1017" s="20"/>
      <c r="BL1017" s="20"/>
      <c r="BM1017" s="20"/>
      <c r="BN1017" s="20"/>
      <c r="BO1017" s="20"/>
      <c r="BP1017" s="20"/>
      <c r="BQ1017" s="20"/>
      <c r="BR1017" s="20"/>
      <c r="BS1017" s="20"/>
      <c r="BT1017" s="20"/>
      <c r="BU1017" s="20"/>
      <c r="BV1017" s="20"/>
      <c r="BW1017" s="20"/>
      <c r="BX1017" s="20"/>
      <c r="BY1017" s="20"/>
      <c r="BZ1017" s="20"/>
      <c r="CA1017" s="20"/>
      <c r="CB1017" s="20"/>
      <c r="CC1017" s="20"/>
      <c r="CD1017" s="20"/>
      <c r="CE1017" s="20"/>
      <c r="CF1017" s="20"/>
      <c r="CG1017" s="20"/>
      <c r="CH1017" s="20"/>
      <c r="CI1017" s="20"/>
      <c r="CJ1017" s="20"/>
      <c r="CK1017" s="20"/>
      <c r="CL1017" s="20"/>
      <c r="CM1017" s="20"/>
      <c r="CN1017" s="20"/>
      <c r="CO1017" s="20"/>
      <c r="CP1017" s="21"/>
    </row>
    <row r="1018" spans="1:94" ht="15" customHeight="1" x14ac:dyDescent="0.15">
      <c r="A1018" s="10"/>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c r="BO1018" s="11"/>
      <c r="BP1018" s="11"/>
      <c r="BQ1018" s="11"/>
      <c r="BR1018" s="11"/>
      <c r="BS1018" s="11"/>
      <c r="BT1018" s="11"/>
      <c r="BU1018" s="11"/>
      <c r="BV1018" s="11"/>
      <c r="BW1018" s="11"/>
      <c r="BX1018" s="11"/>
      <c r="BY1018" s="11"/>
      <c r="BZ1018" s="11"/>
      <c r="CA1018" s="11"/>
      <c r="CB1018" s="11"/>
      <c r="CC1018" s="11"/>
      <c r="CD1018" s="11"/>
      <c r="CE1018" s="11"/>
      <c r="CF1018" s="11"/>
      <c r="CG1018" s="11"/>
      <c r="CH1018" s="11"/>
      <c r="CI1018" s="11"/>
      <c r="CJ1018" s="11"/>
      <c r="CK1018" s="11"/>
      <c r="CL1018" s="11"/>
      <c r="CM1018" s="11"/>
      <c r="CN1018" s="11"/>
      <c r="CO1018" s="11"/>
      <c r="CP1018" s="12"/>
    </row>
    <row r="1019" spans="1:94" ht="15" customHeight="1" x14ac:dyDescent="0.15">
      <c r="A1019" s="1"/>
      <c r="C1019" s="9" t="s">
        <v>971</v>
      </c>
      <c r="CP1019" s="3"/>
    </row>
    <row r="1020" spans="1:94" ht="15" customHeight="1" x14ac:dyDescent="0.15">
      <c r="A1020" s="1"/>
      <c r="CP1020" s="3"/>
    </row>
    <row r="1021" spans="1:94" ht="15" customHeight="1" x14ac:dyDescent="0.15">
      <c r="A1021" s="1"/>
      <c r="E1021" s="111" t="s">
        <v>762</v>
      </c>
      <c r="G1021" s="111"/>
      <c r="H1021" s="111"/>
      <c r="I1021" s="111"/>
      <c r="J1021" s="111"/>
      <c r="K1021" s="111"/>
      <c r="L1021" s="111"/>
      <c r="M1021" s="111"/>
      <c r="N1021" s="111"/>
      <c r="O1021" s="111"/>
      <c r="P1021" s="118" t="s">
        <v>765</v>
      </c>
      <c r="AA1021" s="111"/>
      <c r="AB1021" s="111"/>
      <c r="AC1021" s="111"/>
      <c r="AD1021" s="111"/>
      <c r="AE1021" s="111"/>
      <c r="AF1021" s="111"/>
      <c r="AG1021" s="111"/>
      <c r="AH1021" s="111"/>
      <c r="AI1021" s="111"/>
      <c r="AJ1021" s="111"/>
      <c r="AK1021" s="111"/>
      <c r="AL1021" s="111"/>
      <c r="AM1021" s="111"/>
      <c r="AN1021" s="111"/>
      <c r="AO1021" s="111"/>
      <c r="AP1021" s="111"/>
      <c r="AQ1021" s="111"/>
      <c r="AR1021" s="111"/>
      <c r="AS1021" s="111"/>
      <c r="AT1021" s="111"/>
      <c r="AU1021" s="111"/>
      <c r="AV1021" s="111"/>
      <c r="AW1021" s="111"/>
      <c r="AX1021" s="111"/>
      <c r="AY1021" s="111"/>
      <c r="AZ1021" s="111"/>
      <c r="BA1021" s="111"/>
      <c r="BB1021" s="111"/>
      <c r="BC1021" s="111"/>
      <c r="BD1021" s="111"/>
      <c r="CP1021" s="3"/>
    </row>
    <row r="1022" spans="1:94" ht="15" customHeight="1" x14ac:dyDescent="0.15">
      <c r="A1022" s="1"/>
      <c r="F1022" s="112" t="s">
        <v>763</v>
      </c>
      <c r="G1022" s="113"/>
      <c r="H1022" s="113"/>
      <c r="I1022" s="113"/>
      <c r="J1022" s="113"/>
      <c r="K1022" s="114"/>
      <c r="Q1022" s="112" t="s">
        <v>766</v>
      </c>
      <c r="R1022" s="113"/>
      <c r="S1022" s="113"/>
      <c r="T1022" s="113"/>
      <c r="U1022" s="113"/>
      <c r="V1022" s="113"/>
      <c r="W1022" s="113"/>
      <c r="X1022" s="113"/>
      <c r="Y1022" s="113"/>
      <c r="Z1022" s="114"/>
      <c r="AA1022" s="111"/>
      <c r="AB1022" s="111"/>
      <c r="AC1022" s="111"/>
      <c r="AD1022" s="111"/>
      <c r="AE1022" s="111"/>
      <c r="AF1022" s="111"/>
      <c r="AG1022" s="111"/>
      <c r="AH1022" s="111"/>
      <c r="AI1022" s="111"/>
      <c r="AJ1022" s="111"/>
      <c r="AK1022" s="111"/>
      <c r="AL1022" s="111"/>
      <c r="AM1022" s="111"/>
      <c r="AN1022" s="111"/>
      <c r="AO1022" s="111"/>
      <c r="AP1022" s="111"/>
      <c r="AQ1022" s="111"/>
      <c r="AR1022" s="111"/>
      <c r="AS1022" s="111"/>
      <c r="AT1022" s="111"/>
      <c r="AU1022" s="111"/>
      <c r="AV1022" s="111"/>
      <c r="AW1022" s="111"/>
      <c r="AX1022" s="111"/>
      <c r="AY1022" s="111"/>
      <c r="AZ1022" s="111"/>
      <c r="BA1022" s="111"/>
      <c r="BB1022" s="111"/>
      <c r="BC1022" s="111"/>
      <c r="BD1022" s="111"/>
      <c r="CP1022" s="3"/>
    </row>
    <row r="1023" spans="1:94" ht="15" customHeight="1" x14ac:dyDescent="0.15">
      <c r="A1023" s="1"/>
      <c r="F1023" s="115" t="s">
        <v>764</v>
      </c>
      <c r="G1023" s="116"/>
      <c r="H1023" s="116"/>
      <c r="I1023" s="116"/>
      <c r="J1023" s="116"/>
      <c r="K1023" s="117"/>
      <c r="Q1023" s="115" t="s">
        <v>767</v>
      </c>
      <c r="R1023" s="116"/>
      <c r="S1023" s="116"/>
      <c r="T1023" s="116"/>
      <c r="U1023" s="116"/>
      <c r="V1023" s="116"/>
      <c r="W1023" s="116"/>
      <c r="X1023" s="116"/>
      <c r="Y1023" s="116"/>
      <c r="Z1023" s="117"/>
      <c r="AA1023" s="111"/>
      <c r="AB1023" s="111"/>
      <c r="AC1023" s="111"/>
      <c r="AD1023" s="111"/>
      <c r="AE1023" s="111"/>
      <c r="AF1023" s="111"/>
      <c r="AG1023" s="111"/>
      <c r="AH1023" s="111"/>
      <c r="AI1023" s="111"/>
      <c r="AJ1023" s="111"/>
      <c r="AK1023" s="111"/>
      <c r="AL1023" s="111"/>
      <c r="AM1023" s="111"/>
      <c r="AN1023" s="111"/>
      <c r="AO1023" s="111"/>
      <c r="AP1023" s="111"/>
      <c r="AQ1023" s="111"/>
      <c r="AR1023" s="111"/>
      <c r="AS1023" s="111"/>
      <c r="AT1023" s="111"/>
      <c r="AU1023" s="111"/>
      <c r="AV1023" s="111"/>
      <c r="AW1023" s="111"/>
      <c r="AX1023" s="111"/>
      <c r="AY1023" s="111"/>
      <c r="AZ1023" s="111"/>
      <c r="BA1023" s="111"/>
      <c r="BB1023" s="111"/>
      <c r="BC1023" s="111"/>
      <c r="BD1023" s="111"/>
      <c r="CP1023" s="3"/>
    </row>
    <row r="1024" spans="1:94" ht="15" customHeight="1" x14ac:dyDescent="0.15">
      <c r="A1024" s="1"/>
      <c r="CP1024" s="3"/>
    </row>
    <row r="1025" spans="1:94" ht="15" customHeight="1" x14ac:dyDescent="0.15">
      <c r="A1025" s="1"/>
      <c r="CP1025" s="3"/>
    </row>
    <row r="1026" spans="1:94" ht="15" customHeight="1" x14ac:dyDescent="0.15">
      <c r="A1026" s="1"/>
      <c r="E1026" s="118" t="s">
        <v>768</v>
      </c>
      <c r="BG1026" s="61"/>
      <c r="BH1026" s="61"/>
      <c r="BI1026" s="61"/>
      <c r="BJ1026" s="61"/>
      <c r="CP1026" s="3"/>
    </row>
    <row r="1027" spans="1:94" ht="15" customHeight="1" x14ac:dyDescent="0.15">
      <c r="A1027" s="1"/>
      <c r="F1027" s="88" t="s">
        <v>769</v>
      </c>
      <c r="G1027" s="89"/>
      <c r="H1027" s="89"/>
      <c r="I1027" s="89"/>
      <c r="J1027" s="89"/>
      <c r="K1027" s="89"/>
      <c r="L1027" s="89"/>
      <c r="M1027" s="89"/>
      <c r="N1027" s="89"/>
      <c r="O1027" s="90"/>
      <c r="P1027" s="88" t="s">
        <v>770</v>
      </c>
      <c r="Q1027" s="89"/>
      <c r="R1027" s="89"/>
      <c r="S1027" s="89"/>
      <c r="T1027" s="89"/>
      <c r="U1027" s="89"/>
      <c r="V1027" s="89"/>
      <c r="W1027" s="89"/>
      <c r="X1027" s="89"/>
      <c r="Y1027" s="89"/>
      <c r="Z1027" s="89"/>
      <c r="AA1027" s="89"/>
      <c r="AB1027" s="89"/>
      <c r="AC1027" s="89"/>
      <c r="AD1027" s="89"/>
      <c r="AE1027" s="89"/>
      <c r="AF1027" s="89"/>
      <c r="AG1027" s="89"/>
      <c r="AH1027" s="89"/>
      <c r="AI1027" s="89"/>
      <c r="AJ1027" s="89"/>
      <c r="AK1027" s="89"/>
      <c r="AL1027" s="89"/>
      <c r="AM1027" s="89"/>
      <c r="AN1027" s="89"/>
      <c r="AO1027" s="89"/>
      <c r="AP1027" s="90"/>
      <c r="CP1027" s="3"/>
    </row>
    <row r="1028" spans="1:94" ht="15" customHeight="1" x14ac:dyDescent="0.15">
      <c r="A1028" s="1"/>
      <c r="F1028" s="165" t="s">
        <v>771</v>
      </c>
      <c r="G1028" s="166"/>
      <c r="H1028" s="166"/>
      <c r="I1028" s="166"/>
      <c r="J1028" s="166"/>
      <c r="K1028" s="166"/>
      <c r="L1028" s="166"/>
      <c r="M1028" s="166"/>
      <c r="N1028" s="166"/>
      <c r="O1028" s="167"/>
      <c r="P1028" s="165" t="s">
        <v>772</v>
      </c>
      <c r="Q1028" s="166"/>
      <c r="R1028" s="166"/>
      <c r="S1028" s="166"/>
      <c r="T1028" s="166"/>
      <c r="U1028" s="166"/>
      <c r="V1028" s="166"/>
      <c r="W1028" s="166"/>
      <c r="X1028" s="166"/>
      <c r="Y1028" s="166"/>
      <c r="Z1028" s="166"/>
      <c r="AA1028" s="166"/>
      <c r="AB1028" s="166"/>
      <c r="AC1028" s="166"/>
      <c r="AD1028" s="166"/>
      <c r="AE1028" s="166"/>
      <c r="AF1028" s="166"/>
      <c r="AG1028" s="166"/>
      <c r="AH1028" s="166"/>
      <c r="AI1028" s="166"/>
      <c r="AJ1028" s="166"/>
      <c r="AK1028" s="166"/>
      <c r="AL1028" s="166"/>
      <c r="AM1028" s="166"/>
      <c r="AN1028" s="166"/>
      <c r="AO1028" s="166"/>
      <c r="AP1028" s="167"/>
      <c r="BF1028" s="61"/>
      <c r="BG1028" s="61"/>
      <c r="BH1028" s="61"/>
      <c r="BI1028" s="61"/>
      <c r="BJ1028" s="61"/>
      <c r="CP1028" s="3"/>
    </row>
    <row r="1029" spans="1:94" ht="15" customHeight="1" x14ac:dyDescent="0.15">
      <c r="A1029" s="1"/>
      <c r="F1029" s="168"/>
      <c r="G1029" s="169"/>
      <c r="H1029" s="169"/>
      <c r="I1029" s="169"/>
      <c r="J1029" s="169"/>
      <c r="K1029" s="169"/>
      <c r="L1029" s="169"/>
      <c r="M1029" s="169"/>
      <c r="N1029" s="169"/>
      <c r="O1029" s="170"/>
      <c r="P1029" s="171" t="s">
        <v>948</v>
      </c>
      <c r="Q1029" s="169"/>
      <c r="R1029" s="169"/>
      <c r="S1029" s="169"/>
      <c r="T1029" s="169"/>
      <c r="U1029" s="169"/>
      <c r="V1029" s="169"/>
      <c r="W1029" s="169"/>
      <c r="X1029" s="169"/>
      <c r="Y1029" s="169"/>
      <c r="Z1029" s="169"/>
      <c r="AA1029" s="169"/>
      <c r="AB1029" s="169"/>
      <c r="AC1029" s="169"/>
      <c r="AD1029" s="169"/>
      <c r="AE1029" s="169"/>
      <c r="AF1029" s="169"/>
      <c r="AG1029" s="169"/>
      <c r="AH1029" s="169"/>
      <c r="AI1029" s="169"/>
      <c r="AJ1029" s="169"/>
      <c r="AK1029" s="169"/>
      <c r="AL1029" s="169"/>
      <c r="AM1029" s="169"/>
      <c r="AN1029" s="169"/>
      <c r="AO1029" s="169"/>
      <c r="AP1029" s="170"/>
      <c r="BF1029" s="61"/>
      <c r="BK1029" s="61"/>
      <c r="BL1029" s="61"/>
      <c r="BM1029" s="2" t="s">
        <v>949</v>
      </c>
      <c r="CP1029" s="3"/>
    </row>
    <row r="1030" spans="1:94" ht="15" customHeight="1" x14ac:dyDescent="0.15">
      <c r="A1030" s="1"/>
      <c r="F1030" s="168"/>
      <c r="G1030" s="169"/>
      <c r="H1030" s="169"/>
      <c r="I1030" s="169"/>
      <c r="J1030" s="169"/>
      <c r="K1030" s="169"/>
      <c r="L1030" s="169"/>
      <c r="M1030" s="169"/>
      <c r="N1030" s="169"/>
      <c r="O1030" s="170"/>
      <c r="P1030" s="171" t="s">
        <v>950</v>
      </c>
      <c r="Q1030" s="169"/>
      <c r="R1030" s="169"/>
      <c r="S1030" s="169"/>
      <c r="T1030" s="169"/>
      <c r="U1030" s="169"/>
      <c r="V1030" s="169"/>
      <c r="W1030" s="169"/>
      <c r="X1030" s="169"/>
      <c r="Y1030" s="169"/>
      <c r="Z1030" s="169"/>
      <c r="AA1030" s="169"/>
      <c r="AB1030" s="169"/>
      <c r="AC1030" s="169"/>
      <c r="AD1030" s="169"/>
      <c r="AE1030" s="169"/>
      <c r="AF1030" s="169"/>
      <c r="AG1030" s="169"/>
      <c r="AH1030" s="169"/>
      <c r="AI1030" s="169"/>
      <c r="AJ1030" s="169"/>
      <c r="AK1030" s="169"/>
      <c r="AL1030" s="169"/>
      <c r="AM1030" s="169"/>
      <c r="AN1030" s="169"/>
      <c r="AO1030" s="169"/>
      <c r="AP1030" s="170"/>
      <c r="BF1030" s="61"/>
      <c r="BK1030" s="61"/>
      <c r="BL1030" s="61"/>
      <c r="BM1030" s="61"/>
      <c r="BP1030" s="2" t="s">
        <v>951</v>
      </c>
      <c r="BR1030" s="2" t="s">
        <v>952</v>
      </c>
      <c r="CP1030" s="3"/>
    </row>
    <row r="1031" spans="1:94" ht="15" customHeight="1" x14ac:dyDescent="0.15">
      <c r="A1031" s="1"/>
      <c r="F1031" s="168"/>
      <c r="G1031" s="169"/>
      <c r="H1031" s="169"/>
      <c r="I1031" s="169"/>
      <c r="J1031" s="169"/>
      <c r="K1031" s="169"/>
      <c r="L1031" s="169"/>
      <c r="M1031" s="169"/>
      <c r="N1031" s="169"/>
      <c r="O1031" s="170"/>
      <c r="P1031" s="171" t="s">
        <v>953</v>
      </c>
      <c r="Q1031" s="169"/>
      <c r="R1031" s="169"/>
      <c r="S1031" s="169"/>
      <c r="T1031" s="169"/>
      <c r="U1031" s="169"/>
      <c r="V1031" s="169"/>
      <c r="W1031" s="169"/>
      <c r="X1031" s="169"/>
      <c r="Y1031" s="169"/>
      <c r="Z1031" s="169"/>
      <c r="AA1031" s="169"/>
      <c r="AB1031" s="169"/>
      <c r="AC1031" s="169"/>
      <c r="AD1031" s="169"/>
      <c r="AE1031" s="169"/>
      <c r="AF1031" s="169"/>
      <c r="AG1031" s="169"/>
      <c r="AH1031" s="169"/>
      <c r="AI1031" s="169"/>
      <c r="AJ1031" s="169"/>
      <c r="AK1031" s="169"/>
      <c r="AL1031" s="169"/>
      <c r="AM1031" s="169"/>
      <c r="AN1031" s="169"/>
      <c r="AO1031" s="169"/>
      <c r="AP1031" s="170"/>
      <c r="BF1031" s="61"/>
      <c r="BK1031" s="61"/>
      <c r="BL1031" s="61"/>
      <c r="BM1031" s="61"/>
      <c r="BP1031" s="2" t="s">
        <v>954</v>
      </c>
      <c r="BR1031" s="2" t="s">
        <v>955</v>
      </c>
      <c r="CP1031" s="3"/>
    </row>
    <row r="1032" spans="1:94" ht="15" customHeight="1" x14ac:dyDescent="0.15">
      <c r="A1032" s="1"/>
      <c r="F1032" s="172"/>
      <c r="G1032" s="173"/>
      <c r="H1032" s="173"/>
      <c r="I1032" s="173"/>
      <c r="J1032" s="173"/>
      <c r="K1032" s="173"/>
      <c r="L1032" s="173"/>
      <c r="M1032" s="173"/>
      <c r="N1032" s="173"/>
      <c r="O1032" s="174"/>
      <c r="P1032" s="175" t="s">
        <v>959</v>
      </c>
      <c r="Q1032" s="173"/>
      <c r="R1032" s="173"/>
      <c r="S1032" s="173"/>
      <c r="T1032" s="173"/>
      <c r="U1032" s="173"/>
      <c r="V1032" s="173"/>
      <c r="W1032" s="173"/>
      <c r="X1032" s="173"/>
      <c r="Y1032" s="173"/>
      <c r="Z1032" s="173"/>
      <c r="AA1032" s="173"/>
      <c r="AB1032" s="173"/>
      <c r="AC1032" s="173"/>
      <c r="AD1032" s="173"/>
      <c r="AE1032" s="173"/>
      <c r="AF1032" s="173"/>
      <c r="AG1032" s="173"/>
      <c r="AH1032" s="173"/>
      <c r="AI1032" s="173"/>
      <c r="AJ1032" s="173"/>
      <c r="AK1032" s="173"/>
      <c r="AL1032" s="173"/>
      <c r="AM1032" s="173"/>
      <c r="AN1032" s="173"/>
      <c r="AO1032" s="173"/>
      <c r="AP1032" s="174"/>
      <c r="BF1032" s="61"/>
      <c r="BK1032" s="61"/>
      <c r="BL1032" s="61"/>
      <c r="BM1032" s="61"/>
      <c r="BP1032" s="2" t="s">
        <v>960</v>
      </c>
      <c r="BR1032" s="2" t="s">
        <v>961</v>
      </c>
      <c r="CP1032" s="3"/>
    </row>
    <row r="1033" spans="1:94" ht="15" customHeight="1" x14ac:dyDescent="0.15">
      <c r="A1033" s="1"/>
      <c r="F1033" s="165" t="s">
        <v>773</v>
      </c>
      <c r="G1033" s="166"/>
      <c r="H1033" s="166"/>
      <c r="I1033" s="166"/>
      <c r="J1033" s="166"/>
      <c r="K1033" s="166"/>
      <c r="L1033" s="166"/>
      <c r="M1033" s="166"/>
      <c r="N1033" s="166"/>
      <c r="O1033" s="167"/>
      <c r="P1033" s="165" t="s">
        <v>774</v>
      </c>
      <c r="Q1033" s="166"/>
      <c r="R1033" s="166"/>
      <c r="S1033" s="166"/>
      <c r="T1033" s="166"/>
      <c r="U1033" s="166"/>
      <c r="V1033" s="166"/>
      <c r="W1033" s="166"/>
      <c r="X1033" s="166"/>
      <c r="Y1033" s="166"/>
      <c r="Z1033" s="166"/>
      <c r="AA1033" s="166"/>
      <c r="AB1033" s="166"/>
      <c r="AC1033" s="166"/>
      <c r="AD1033" s="166"/>
      <c r="AE1033" s="166"/>
      <c r="AF1033" s="166"/>
      <c r="AG1033" s="166"/>
      <c r="AH1033" s="166"/>
      <c r="AI1033" s="166"/>
      <c r="AJ1033" s="166"/>
      <c r="AK1033" s="166"/>
      <c r="AL1033" s="166"/>
      <c r="AM1033" s="166"/>
      <c r="AN1033" s="166"/>
      <c r="AO1033" s="166"/>
      <c r="AP1033" s="167"/>
      <c r="AQ1033" s="87"/>
      <c r="AR1033" s="87"/>
      <c r="AS1033" s="87"/>
      <c r="BG1033" s="61"/>
      <c r="BH1033" s="61"/>
      <c r="BI1033" s="61"/>
      <c r="BJ1033" s="61"/>
      <c r="CP1033" s="3"/>
    </row>
    <row r="1034" spans="1:94" ht="15" customHeight="1" x14ac:dyDescent="0.15">
      <c r="A1034" s="1"/>
      <c r="F1034" s="172"/>
      <c r="G1034" s="173"/>
      <c r="H1034" s="173"/>
      <c r="I1034" s="173"/>
      <c r="J1034" s="173"/>
      <c r="K1034" s="173"/>
      <c r="L1034" s="173"/>
      <c r="M1034" s="173"/>
      <c r="N1034" s="173"/>
      <c r="O1034" s="174"/>
      <c r="P1034" s="176" t="s">
        <v>791</v>
      </c>
      <c r="Q1034" s="177"/>
      <c r="R1034" s="177"/>
      <c r="S1034" s="177"/>
      <c r="T1034" s="177"/>
      <c r="U1034" s="177"/>
      <c r="V1034" s="177"/>
      <c r="W1034" s="177"/>
      <c r="X1034" s="177"/>
      <c r="Y1034" s="177"/>
      <c r="Z1034" s="177"/>
      <c r="AA1034" s="177"/>
      <c r="AB1034" s="177"/>
      <c r="AC1034" s="178"/>
      <c r="AD1034" s="178"/>
      <c r="AE1034" s="178"/>
      <c r="AF1034" s="178"/>
      <c r="AG1034" s="178"/>
      <c r="AH1034" s="178"/>
      <c r="AI1034" s="178"/>
      <c r="AJ1034" s="177"/>
      <c r="AK1034" s="177"/>
      <c r="AL1034" s="177"/>
      <c r="AM1034" s="177"/>
      <c r="AN1034" s="173"/>
      <c r="AO1034" s="173"/>
      <c r="AP1034" s="174"/>
      <c r="AS1034" s="2" t="s">
        <v>792</v>
      </c>
      <c r="BG1034" s="61"/>
      <c r="BH1034" s="61"/>
      <c r="BI1034" s="61"/>
      <c r="BJ1034" s="61"/>
      <c r="CP1034" s="3"/>
    </row>
    <row r="1035" spans="1:94" ht="15" customHeight="1" x14ac:dyDescent="0.15">
      <c r="A1035" s="1"/>
      <c r="P1035" s="75"/>
      <c r="CP1035" s="3"/>
    </row>
    <row r="1036" spans="1:94" ht="15" customHeight="1" x14ac:dyDescent="0.15">
      <c r="A1036" s="1"/>
      <c r="E1036" s="118" t="s">
        <v>775</v>
      </c>
      <c r="F1036" s="61"/>
      <c r="G1036" s="118"/>
      <c r="H1036" s="118"/>
      <c r="I1036" s="118"/>
      <c r="J1036" s="118"/>
      <c r="K1036" s="118"/>
      <c r="L1036" s="118"/>
      <c r="M1036" s="118"/>
      <c r="N1036" s="118"/>
      <c r="O1036" s="118"/>
      <c r="P1036" s="118"/>
      <c r="Q1036" s="118"/>
      <c r="R1036" s="118"/>
      <c r="S1036" s="118"/>
      <c r="T1036" s="118"/>
      <c r="U1036" s="118"/>
      <c r="V1036" s="118"/>
      <c r="W1036" s="118"/>
      <c r="X1036" s="118"/>
      <c r="Y1036" s="118"/>
      <c r="Z1036" s="118"/>
      <c r="AA1036" s="118"/>
      <c r="AB1036" s="118"/>
      <c r="AC1036" s="118"/>
      <c r="AD1036" s="118"/>
      <c r="AE1036" s="118"/>
      <c r="AF1036" s="118"/>
      <c r="AG1036" s="118"/>
      <c r="AH1036" s="118"/>
      <c r="AI1036" s="118"/>
      <c r="AJ1036" s="118"/>
      <c r="AK1036" s="118"/>
      <c r="AL1036" s="118"/>
      <c r="AM1036" s="118"/>
      <c r="AN1036" s="118"/>
      <c r="AO1036" s="118"/>
      <c r="AP1036" s="118"/>
      <c r="AQ1036" s="118"/>
      <c r="AR1036" s="118"/>
      <c r="AS1036" s="118"/>
      <c r="AT1036" s="118"/>
      <c r="AU1036" s="118"/>
      <c r="AV1036" s="118"/>
      <c r="AW1036" s="118"/>
      <c r="AX1036" s="118"/>
      <c r="AY1036" s="118"/>
      <c r="AZ1036" s="118"/>
      <c r="BA1036" s="118"/>
      <c r="BB1036" s="118"/>
      <c r="BC1036" s="118"/>
      <c r="BD1036" s="111"/>
      <c r="CP1036" s="3"/>
    </row>
    <row r="1037" spans="1:94" ht="15" customHeight="1" x14ac:dyDescent="0.15">
      <c r="A1037" s="1"/>
      <c r="F1037" s="88" t="s">
        <v>776</v>
      </c>
      <c r="G1037" s="89"/>
      <c r="H1037" s="89"/>
      <c r="I1037" s="89"/>
      <c r="J1037" s="89"/>
      <c r="K1037" s="89"/>
      <c r="L1037" s="89"/>
      <c r="M1037" s="89"/>
      <c r="N1037" s="89"/>
      <c r="O1037" s="90"/>
      <c r="P1037" s="88" t="s">
        <v>371</v>
      </c>
      <c r="Q1037" s="89"/>
      <c r="R1037" s="89"/>
      <c r="S1037" s="89"/>
      <c r="T1037" s="89"/>
      <c r="U1037" s="89"/>
      <c r="V1037" s="89"/>
      <c r="W1037" s="89"/>
      <c r="X1037" s="89"/>
      <c r="Y1037" s="89"/>
      <c r="Z1037" s="89"/>
      <c r="AA1037" s="89"/>
      <c r="AB1037" s="89"/>
      <c r="AC1037" s="89"/>
      <c r="AD1037" s="89"/>
      <c r="AE1037" s="89"/>
      <c r="AF1037" s="89"/>
      <c r="AG1037" s="89"/>
      <c r="AH1037" s="89"/>
      <c r="AI1037" s="89"/>
      <c r="AJ1037" s="89"/>
      <c r="AK1037" s="89"/>
      <c r="AL1037" s="89"/>
      <c r="AM1037" s="89"/>
      <c r="AN1037" s="89"/>
      <c r="AO1037" s="89"/>
      <c r="AP1037" s="90"/>
      <c r="CP1037" s="3"/>
    </row>
    <row r="1038" spans="1:94" ht="15" customHeight="1" x14ac:dyDescent="0.15">
      <c r="A1038" s="1"/>
      <c r="F1038" s="91" t="s">
        <v>777</v>
      </c>
      <c r="G1038" s="92"/>
      <c r="H1038" s="92"/>
      <c r="I1038" s="92"/>
      <c r="J1038" s="92"/>
      <c r="K1038" s="92"/>
      <c r="L1038" s="92"/>
      <c r="M1038" s="92"/>
      <c r="N1038" s="92"/>
      <c r="O1038" s="93"/>
      <c r="P1038" s="91" t="s">
        <v>1047</v>
      </c>
      <c r="Q1038" s="92"/>
      <c r="R1038" s="92"/>
      <c r="S1038" s="92"/>
      <c r="T1038" s="92"/>
      <c r="U1038" s="92"/>
      <c r="V1038" s="92"/>
      <c r="W1038" s="92"/>
      <c r="X1038" s="92"/>
      <c r="Y1038" s="92"/>
      <c r="Z1038" s="92"/>
      <c r="AA1038" s="92"/>
      <c r="AB1038" s="92"/>
      <c r="AC1038" s="92"/>
      <c r="AD1038" s="92"/>
      <c r="AE1038" s="92"/>
      <c r="AF1038" s="92"/>
      <c r="AG1038" s="92"/>
      <c r="AH1038" s="92"/>
      <c r="AI1038" s="92"/>
      <c r="AJ1038" s="92"/>
      <c r="AK1038" s="92"/>
      <c r="AL1038" s="92"/>
      <c r="AM1038" s="92"/>
      <c r="AN1038" s="92"/>
      <c r="AO1038" s="92"/>
      <c r="AP1038" s="93"/>
      <c r="CP1038" s="3"/>
    </row>
    <row r="1039" spans="1:94" ht="15" customHeight="1" x14ac:dyDescent="0.15">
      <c r="A1039" s="1"/>
      <c r="P1039" s="75"/>
      <c r="CP1039" s="3"/>
    </row>
    <row r="1040" spans="1:94" ht="15" customHeight="1" x14ac:dyDescent="0.15">
      <c r="A1040" s="1"/>
      <c r="E1040" s="118" t="s">
        <v>778</v>
      </c>
      <c r="F1040" s="61"/>
      <c r="G1040" s="118"/>
      <c r="H1040" s="118"/>
      <c r="I1040" s="118"/>
      <c r="J1040" s="118"/>
      <c r="K1040" s="118"/>
      <c r="L1040" s="118"/>
      <c r="M1040" s="118"/>
      <c r="N1040" s="118"/>
      <c r="O1040" s="118"/>
      <c r="P1040" s="118"/>
      <c r="Q1040" s="118"/>
      <c r="R1040" s="118"/>
      <c r="S1040" s="118"/>
      <c r="T1040" s="118"/>
      <c r="U1040" s="118"/>
      <c r="V1040" s="118"/>
      <c r="W1040" s="118"/>
      <c r="X1040" s="118"/>
      <c r="Y1040" s="118"/>
      <c r="Z1040" s="118"/>
      <c r="AA1040" s="118"/>
      <c r="AB1040" s="118"/>
      <c r="AC1040" s="118"/>
      <c r="AD1040" s="118"/>
      <c r="AE1040" s="118"/>
      <c r="AF1040" s="118"/>
      <c r="AG1040" s="118"/>
      <c r="AH1040" s="118"/>
      <c r="AI1040" s="118"/>
      <c r="AJ1040" s="118"/>
      <c r="AK1040" s="118"/>
      <c r="AL1040" s="118"/>
      <c r="AM1040" s="118"/>
      <c r="AN1040" s="118"/>
      <c r="AO1040" s="118"/>
      <c r="AP1040" s="118"/>
      <c r="AQ1040" s="118"/>
      <c r="AR1040" s="118"/>
      <c r="AS1040" s="118"/>
      <c r="AT1040" s="118"/>
      <c r="AU1040" s="118"/>
      <c r="AV1040" s="118"/>
      <c r="AW1040" s="118"/>
      <c r="AX1040" s="118"/>
      <c r="AY1040" s="118"/>
      <c r="AZ1040" s="118"/>
      <c r="BA1040" s="118"/>
      <c r="BB1040" s="118"/>
      <c r="BC1040" s="118"/>
      <c r="BD1040" s="111"/>
      <c r="CP1040" s="3"/>
    </row>
    <row r="1041" spans="1:94" ht="15" customHeight="1" x14ac:dyDescent="0.15">
      <c r="A1041" s="1"/>
      <c r="F1041" s="88" t="s">
        <v>779</v>
      </c>
      <c r="G1041" s="89"/>
      <c r="H1041" s="89"/>
      <c r="I1041" s="89"/>
      <c r="J1041" s="89"/>
      <c r="K1041" s="89"/>
      <c r="L1041" s="89"/>
      <c r="M1041" s="89"/>
      <c r="N1041" s="89"/>
      <c r="O1041" s="90"/>
      <c r="P1041" s="88" t="s">
        <v>371</v>
      </c>
      <c r="Q1041" s="89"/>
      <c r="R1041" s="89"/>
      <c r="S1041" s="89"/>
      <c r="T1041" s="89"/>
      <c r="U1041" s="89"/>
      <c r="V1041" s="89"/>
      <c r="W1041" s="89"/>
      <c r="X1041" s="89"/>
      <c r="Y1041" s="89"/>
      <c r="Z1041" s="89"/>
      <c r="AA1041" s="89"/>
      <c r="AB1041" s="89"/>
      <c r="AC1041" s="89"/>
      <c r="AD1041" s="89"/>
      <c r="AE1041" s="89"/>
      <c r="AF1041" s="89"/>
      <c r="AG1041" s="89"/>
      <c r="AH1041" s="89"/>
      <c r="AI1041" s="89"/>
      <c r="AJ1041" s="89"/>
      <c r="AK1041" s="89"/>
      <c r="AL1041" s="89"/>
      <c r="AM1041" s="89"/>
      <c r="AN1041" s="89"/>
      <c r="AO1041" s="89"/>
      <c r="AP1041" s="89"/>
      <c r="AQ1041" s="89"/>
      <c r="AR1041" s="89"/>
      <c r="AS1041" s="89"/>
      <c r="AT1041" s="89"/>
      <c r="AU1041" s="89"/>
      <c r="AV1041" s="89"/>
      <c r="AW1041" s="89"/>
      <c r="AX1041" s="89"/>
      <c r="AY1041" s="89"/>
      <c r="AZ1041" s="89"/>
      <c r="BA1041" s="89"/>
      <c r="BB1041" s="89"/>
      <c r="BC1041" s="89"/>
      <c r="BD1041" s="89"/>
      <c r="BE1041" s="89"/>
      <c r="BF1041" s="89"/>
      <c r="BG1041" s="89"/>
      <c r="BH1041" s="89"/>
      <c r="BI1041" s="89"/>
      <c r="BJ1041" s="89"/>
      <c r="BK1041" s="88" t="s">
        <v>140</v>
      </c>
      <c r="BL1041" s="89"/>
      <c r="BM1041" s="89"/>
      <c r="BN1041" s="89"/>
      <c r="BO1041" s="89"/>
      <c r="BP1041" s="89"/>
      <c r="BQ1041" s="89"/>
      <c r="BR1041" s="89"/>
      <c r="BS1041" s="89"/>
      <c r="BT1041" s="89"/>
      <c r="BU1041" s="89"/>
      <c r="BV1041" s="89"/>
      <c r="BW1041" s="90"/>
      <c r="CP1041" s="3"/>
    </row>
    <row r="1042" spans="1:94" ht="30" customHeight="1" x14ac:dyDescent="0.15">
      <c r="A1042" s="1"/>
      <c r="F1042" s="119" t="s">
        <v>801</v>
      </c>
      <c r="G1042" s="120"/>
      <c r="H1042" s="120"/>
      <c r="I1042" s="120"/>
      <c r="J1042" s="120"/>
      <c r="K1042" s="120"/>
      <c r="L1042" s="120"/>
      <c r="M1042" s="120"/>
      <c r="N1042" s="120"/>
      <c r="O1042" s="121"/>
      <c r="P1042" s="627" t="s">
        <v>947</v>
      </c>
      <c r="Q1042" s="628"/>
      <c r="R1042" s="628"/>
      <c r="S1042" s="628"/>
      <c r="T1042" s="628"/>
      <c r="U1042" s="628"/>
      <c r="V1042" s="628"/>
      <c r="W1042" s="628"/>
      <c r="X1042" s="628"/>
      <c r="Y1042" s="628"/>
      <c r="Z1042" s="628"/>
      <c r="AA1042" s="628"/>
      <c r="AB1042" s="628"/>
      <c r="AC1042" s="628"/>
      <c r="AD1042" s="628"/>
      <c r="AE1042" s="628"/>
      <c r="AF1042" s="628"/>
      <c r="AG1042" s="628"/>
      <c r="AH1042" s="628"/>
      <c r="AI1042" s="628"/>
      <c r="AJ1042" s="628"/>
      <c r="AK1042" s="628"/>
      <c r="AL1042" s="628"/>
      <c r="AM1042" s="628"/>
      <c r="AN1042" s="628"/>
      <c r="AO1042" s="628"/>
      <c r="AP1042" s="628"/>
      <c r="AQ1042" s="628"/>
      <c r="AR1042" s="628"/>
      <c r="AS1042" s="628"/>
      <c r="AT1042" s="628"/>
      <c r="AU1042" s="628"/>
      <c r="AV1042" s="628"/>
      <c r="AW1042" s="628"/>
      <c r="AX1042" s="628"/>
      <c r="AY1042" s="628"/>
      <c r="AZ1042" s="628"/>
      <c r="BA1042" s="628"/>
      <c r="BB1042" s="628"/>
      <c r="BC1042" s="628"/>
      <c r="BD1042" s="628"/>
      <c r="BE1042" s="628"/>
      <c r="BF1042" s="628"/>
      <c r="BG1042" s="628"/>
      <c r="BH1042" s="628"/>
      <c r="BI1042" s="628"/>
      <c r="BJ1042" s="629"/>
      <c r="BK1042" s="627" t="s">
        <v>1181</v>
      </c>
      <c r="BL1042" s="705"/>
      <c r="BM1042" s="705"/>
      <c r="BN1042" s="705"/>
      <c r="BO1042" s="705"/>
      <c r="BP1042" s="705"/>
      <c r="BQ1042" s="705"/>
      <c r="BR1042" s="705"/>
      <c r="BS1042" s="705"/>
      <c r="BT1042" s="705"/>
      <c r="BU1042" s="705"/>
      <c r="BV1042" s="705"/>
      <c r="BW1042" s="706"/>
      <c r="CP1042" s="3"/>
    </row>
    <row r="1043" spans="1:94" ht="15" customHeight="1" x14ac:dyDescent="0.15">
      <c r="A1043" s="1"/>
      <c r="AT1043" s="61"/>
      <c r="AU1043" s="61"/>
      <c r="AV1043" s="61"/>
      <c r="AW1043" s="61"/>
      <c r="AX1043" s="61"/>
      <c r="AY1043" s="61"/>
      <c r="AZ1043" s="61"/>
      <c r="BA1043" s="61"/>
      <c r="BB1043" s="61"/>
      <c r="BC1043" s="61"/>
      <c r="BD1043" s="61"/>
      <c r="BE1043" s="61"/>
      <c r="CP1043" s="3"/>
    </row>
    <row r="1044" spans="1:94" ht="15" customHeight="1" x14ac:dyDescent="0.15">
      <c r="A1044" s="1"/>
      <c r="E1044" s="61" t="s">
        <v>780</v>
      </c>
      <c r="F1044" s="61"/>
      <c r="G1044" s="61"/>
      <c r="H1044" s="61"/>
      <c r="I1044" s="61"/>
      <c r="J1044" s="61"/>
      <c r="K1044" s="61"/>
      <c r="L1044" s="61"/>
      <c r="M1044" s="61"/>
      <c r="N1044" s="61"/>
      <c r="O1044" s="61"/>
      <c r="P1044" s="61"/>
      <c r="Q1044" s="61"/>
      <c r="R1044" s="61"/>
      <c r="S1044" s="61"/>
      <c r="T1044" s="61"/>
      <c r="U1044" s="61"/>
      <c r="V1044" s="61"/>
      <c r="W1044" s="61"/>
      <c r="X1044" s="61"/>
      <c r="Y1044" s="61"/>
      <c r="Z1044" s="61"/>
      <c r="AA1044" s="61"/>
      <c r="AB1044" s="61"/>
      <c r="AC1044" s="61"/>
      <c r="AD1044" s="61"/>
      <c r="AE1044" s="61"/>
      <c r="AF1044" s="61"/>
      <c r="AG1044" s="61"/>
      <c r="CP1044" s="3"/>
    </row>
    <row r="1045" spans="1:94" ht="15" customHeight="1" x14ac:dyDescent="0.15">
      <c r="A1045" s="1"/>
      <c r="E1045" s="61"/>
      <c r="F1045" s="84" t="s">
        <v>781</v>
      </c>
      <c r="G1045" s="85"/>
      <c r="H1045" s="85"/>
      <c r="I1045" s="85"/>
      <c r="J1045" s="85"/>
      <c r="K1045" s="85"/>
      <c r="L1045" s="85"/>
      <c r="M1045" s="85"/>
      <c r="N1045" s="85"/>
      <c r="O1045" s="86"/>
      <c r="P1045" s="84" t="s">
        <v>782</v>
      </c>
      <c r="Q1045" s="85"/>
      <c r="R1045" s="85"/>
      <c r="S1045" s="85"/>
      <c r="T1045" s="85"/>
      <c r="U1045" s="85"/>
      <c r="V1045" s="85"/>
      <c r="W1045" s="85"/>
      <c r="X1045" s="85"/>
      <c r="Y1045" s="85"/>
      <c r="Z1045" s="85"/>
      <c r="AA1045" s="85"/>
      <c r="AB1045" s="85"/>
      <c r="AC1045" s="85"/>
      <c r="AD1045" s="85"/>
      <c r="AE1045" s="85"/>
      <c r="AF1045" s="85"/>
      <c r="AG1045" s="86"/>
      <c r="BG1045" s="61"/>
      <c r="BH1045" s="61"/>
      <c r="BI1045" s="61"/>
      <c r="BJ1045" s="61"/>
      <c r="CP1045" s="3"/>
    </row>
    <row r="1046" spans="1:94" ht="15" customHeight="1" x14ac:dyDescent="0.15">
      <c r="A1046" s="1"/>
      <c r="E1046" s="61"/>
      <c r="F1046" s="91" t="s">
        <v>606</v>
      </c>
      <c r="G1046" s="162"/>
      <c r="H1046" s="162"/>
      <c r="I1046" s="162"/>
      <c r="J1046" s="162"/>
      <c r="K1046" s="162"/>
      <c r="L1046" s="162"/>
      <c r="M1046" s="162"/>
      <c r="N1046" s="162"/>
      <c r="O1046" s="163"/>
      <c r="P1046" s="164" t="s">
        <v>783</v>
      </c>
      <c r="Q1046" s="162"/>
      <c r="R1046" s="162"/>
      <c r="S1046" s="162"/>
      <c r="T1046" s="162"/>
      <c r="U1046" s="162"/>
      <c r="V1046" s="162"/>
      <c r="W1046" s="162"/>
      <c r="X1046" s="162"/>
      <c r="Y1046" s="162"/>
      <c r="Z1046" s="162"/>
      <c r="AA1046" s="162"/>
      <c r="AB1046" s="162"/>
      <c r="AC1046" s="162"/>
      <c r="AD1046" s="162"/>
      <c r="AE1046" s="162"/>
      <c r="AF1046" s="162"/>
      <c r="AG1046" s="163"/>
      <c r="BG1046" s="61"/>
      <c r="BH1046" s="61"/>
      <c r="BI1046" s="61"/>
      <c r="BJ1046" s="61"/>
      <c r="CP1046" s="3"/>
    </row>
    <row r="1047" spans="1:94" ht="15" customHeight="1" x14ac:dyDescent="0.15">
      <c r="A1047" s="1"/>
      <c r="E1047" s="61"/>
      <c r="F1047" s="91" t="s">
        <v>624</v>
      </c>
      <c r="G1047" s="162"/>
      <c r="H1047" s="162"/>
      <c r="I1047" s="162"/>
      <c r="J1047" s="162"/>
      <c r="K1047" s="162"/>
      <c r="L1047" s="162"/>
      <c r="M1047" s="162"/>
      <c r="N1047" s="162"/>
      <c r="O1047" s="163"/>
      <c r="P1047" s="164" t="s">
        <v>783</v>
      </c>
      <c r="Q1047" s="162"/>
      <c r="R1047" s="162"/>
      <c r="S1047" s="162"/>
      <c r="T1047" s="162"/>
      <c r="U1047" s="162"/>
      <c r="V1047" s="162"/>
      <c r="W1047" s="162"/>
      <c r="X1047" s="162"/>
      <c r="Y1047" s="162"/>
      <c r="Z1047" s="162"/>
      <c r="AA1047" s="162"/>
      <c r="AB1047" s="162"/>
      <c r="AC1047" s="162"/>
      <c r="AD1047" s="162"/>
      <c r="AE1047" s="162"/>
      <c r="AF1047" s="162"/>
      <c r="AG1047" s="163"/>
      <c r="BG1047" s="61"/>
      <c r="BH1047" s="61"/>
      <c r="BI1047" s="61"/>
      <c r="BJ1047" s="61"/>
      <c r="CP1047" s="3"/>
    </row>
    <row r="1048" spans="1:94" ht="15" customHeight="1" x14ac:dyDescent="0.15">
      <c r="A1048" s="1"/>
      <c r="F1048" s="118"/>
      <c r="G1048" s="118"/>
      <c r="H1048" s="118"/>
      <c r="I1048" s="118"/>
      <c r="J1048" s="118"/>
      <c r="K1048" s="118"/>
      <c r="L1048" s="118"/>
      <c r="M1048" s="118"/>
      <c r="N1048" s="118"/>
      <c r="O1048" s="118"/>
      <c r="P1048" s="118"/>
      <c r="Q1048" s="118"/>
      <c r="R1048" s="118"/>
      <c r="S1048" s="118"/>
      <c r="T1048" s="118"/>
      <c r="U1048" s="118"/>
      <c r="V1048" s="118"/>
      <c r="W1048" s="118"/>
      <c r="X1048" s="118"/>
      <c r="Y1048" s="118"/>
      <c r="Z1048" s="118"/>
      <c r="AA1048" s="118"/>
      <c r="AB1048" s="118"/>
      <c r="AC1048" s="118"/>
      <c r="AD1048" s="118"/>
      <c r="AE1048" s="118"/>
      <c r="AF1048" s="118"/>
      <c r="AG1048" s="118"/>
      <c r="AH1048" s="118"/>
      <c r="AI1048" s="118"/>
      <c r="AJ1048" s="118"/>
      <c r="AK1048" s="118"/>
      <c r="AL1048" s="118"/>
      <c r="AM1048" s="118"/>
      <c r="AN1048" s="118"/>
      <c r="AO1048" s="118"/>
      <c r="AP1048" s="118"/>
      <c r="AQ1048" s="118"/>
      <c r="AR1048" s="118"/>
      <c r="AS1048" s="118"/>
      <c r="AT1048" s="118"/>
      <c r="AU1048" s="118"/>
      <c r="AV1048" s="118"/>
      <c r="AW1048" s="118"/>
      <c r="AX1048" s="118"/>
      <c r="AY1048" s="118"/>
      <c r="AZ1048" s="118"/>
      <c r="BA1048" s="118"/>
      <c r="BB1048" s="118"/>
      <c r="BC1048" s="118"/>
      <c r="BD1048" s="111"/>
      <c r="CP1048" s="3"/>
    </row>
    <row r="1049" spans="1:94" ht="15" customHeight="1" x14ac:dyDescent="0.15">
      <c r="A1049" s="1"/>
      <c r="E1049" s="118" t="s">
        <v>784</v>
      </c>
      <c r="F1049" s="61"/>
      <c r="G1049" s="118"/>
      <c r="H1049" s="118"/>
      <c r="I1049" s="118"/>
      <c r="J1049" s="118"/>
      <c r="K1049" s="118"/>
      <c r="L1049" s="118"/>
      <c r="M1049" s="118"/>
      <c r="N1049" s="118"/>
      <c r="O1049" s="118"/>
      <c r="P1049" s="118"/>
      <c r="Q1049" s="118"/>
      <c r="R1049" s="118"/>
      <c r="S1049" s="118"/>
      <c r="T1049" s="118"/>
      <c r="U1049" s="118"/>
      <c r="V1049" s="118"/>
      <c r="W1049" s="118"/>
      <c r="X1049" s="118"/>
      <c r="Y1049" s="118"/>
      <c r="Z1049" s="118"/>
      <c r="AA1049" s="118"/>
      <c r="AB1049" s="118"/>
      <c r="AC1049" s="118"/>
      <c r="AD1049" s="118"/>
      <c r="AE1049" s="118"/>
      <c r="AF1049" s="118"/>
      <c r="AG1049" s="118"/>
      <c r="AH1049" s="118"/>
      <c r="AI1049" s="118"/>
      <c r="AJ1049" s="118"/>
      <c r="AK1049" s="118"/>
      <c r="AL1049" s="118"/>
      <c r="AM1049" s="118"/>
      <c r="AN1049" s="118"/>
      <c r="AO1049" s="118"/>
      <c r="AP1049" s="118"/>
      <c r="AQ1049" s="118"/>
      <c r="AR1049" s="118"/>
      <c r="AS1049" s="118"/>
      <c r="AT1049" s="118"/>
      <c r="AU1049" s="118"/>
      <c r="AV1049" s="118"/>
      <c r="AW1049" s="118"/>
      <c r="AX1049" s="118"/>
      <c r="AY1049" s="118"/>
      <c r="AZ1049" s="118"/>
      <c r="BA1049" s="118"/>
      <c r="BB1049" s="118"/>
      <c r="BC1049" s="118"/>
      <c r="BD1049" s="111"/>
      <c r="CP1049" s="3"/>
    </row>
    <row r="1050" spans="1:94" ht="15" customHeight="1" x14ac:dyDescent="0.15">
      <c r="A1050" s="1"/>
      <c r="F1050" s="88" t="s">
        <v>55</v>
      </c>
      <c r="G1050" s="89"/>
      <c r="H1050" s="89"/>
      <c r="I1050" s="89"/>
      <c r="J1050" s="89"/>
      <c r="K1050" s="89"/>
      <c r="L1050" s="89"/>
      <c r="M1050" s="89"/>
      <c r="N1050" s="89"/>
      <c r="O1050" s="90"/>
      <c r="P1050" s="88" t="s">
        <v>785</v>
      </c>
      <c r="Q1050" s="89"/>
      <c r="R1050" s="89"/>
      <c r="S1050" s="89"/>
      <c r="T1050" s="89"/>
      <c r="U1050" s="89"/>
      <c r="V1050" s="89"/>
      <c r="W1050" s="89"/>
      <c r="X1050" s="89"/>
      <c r="Y1050" s="90"/>
      <c r="Z1050" s="88" t="s">
        <v>786</v>
      </c>
      <c r="AA1050" s="89"/>
      <c r="AB1050" s="89"/>
      <c r="AC1050" s="89"/>
      <c r="AD1050" s="89"/>
      <c r="AE1050" s="89"/>
      <c r="AF1050" s="89"/>
      <c r="AG1050" s="89"/>
      <c r="AH1050" s="89"/>
      <c r="AI1050" s="90"/>
      <c r="AJ1050" s="88" t="s">
        <v>787</v>
      </c>
      <c r="AK1050" s="89"/>
      <c r="AL1050" s="89"/>
      <c r="AM1050" s="89"/>
      <c r="AN1050" s="89"/>
      <c r="AO1050" s="89"/>
      <c r="AP1050" s="89"/>
      <c r="AQ1050" s="89"/>
      <c r="AR1050" s="90"/>
      <c r="AS1050" s="88" t="s">
        <v>622</v>
      </c>
      <c r="AT1050" s="89"/>
      <c r="AU1050" s="89"/>
      <c r="AV1050" s="89"/>
      <c r="AW1050" s="89"/>
      <c r="AX1050" s="89"/>
      <c r="AY1050" s="89"/>
      <c r="AZ1050" s="89"/>
      <c r="BA1050" s="90"/>
      <c r="BB1050" s="88" t="s">
        <v>370</v>
      </c>
      <c r="BC1050" s="89"/>
      <c r="BD1050" s="89"/>
      <c r="BE1050" s="89"/>
      <c r="BF1050" s="89"/>
      <c r="BG1050" s="89"/>
      <c r="BH1050" s="89"/>
      <c r="BI1050" s="89"/>
      <c r="BJ1050" s="90"/>
      <c r="BK1050" s="88" t="s">
        <v>617</v>
      </c>
      <c r="BL1050" s="89"/>
      <c r="BM1050" s="89"/>
      <c r="BN1050" s="89"/>
      <c r="BO1050" s="89"/>
      <c r="BP1050" s="89"/>
      <c r="BQ1050" s="89"/>
      <c r="BR1050" s="89"/>
      <c r="BS1050" s="89"/>
      <c r="BT1050" s="89"/>
      <c r="BU1050" s="90"/>
      <c r="CP1050" s="3"/>
    </row>
    <row r="1051" spans="1:94" ht="15" customHeight="1" x14ac:dyDescent="0.15">
      <c r="A1051" s="1"/>
      <c r="F1051" s="91" t="s">
        <v>788</v>
      </c>
      <c r="G1051" s="92"/>
      <c r="H1051" s="92"/>
      <c r="I1051" s="92"/>
      <c r="J1051" s="92"/>
      <c r="K1051" s="92"/>
      <c r="L1051" s="92"/>
      <c r="M1051" s="92"/>
      <c r="N1051" s="92"/>
      <c r="O1051" s="93"/>
      <c r="P1051" s="91" t="s">
        <v>1003</v>
      </c>
      <c r="Q1051" s="92"/>
      <c r="R1051" s="92"/>
      <c r="S1051" s="92"/>
      <c r="T1051" s="92"/>
      <c r="U1051" s="92"/>
      <c r="V1051" s="92"/>
      <c r="W1051" s="92"/>
      <c r="X1051" s="92"/>
      <c r="Y1051" s="93"/>
      <c r="Z1051" s="91"/>
      <c r="AA1051" s="92"/>
      <c r="AB1051" s="92"/>
      <c r="AC1051" s="92"/>
      <c r="AD1051" s="92"/>
      <c r="AE1051" s="92"/>
      <c r="AF1051" s="92"/>
      <c r="AG1051" s="92"/>
      <c r="AH1051" s="92"/>
      <c r="AI1051" s="93"/>
      <c r="AJ1051" s="91"/>
      <c r="AK1051" s="92"/>
      <c r="AL1051" s="92"/>
      <c r="AM1051" s="92"/>
      <c r="AN1051" s="92"/>
      <c r="AO1051" s="92"/>
      <c r="AP1051" s="92"/>
      <c r="AQ1051" s="92"/>
      <c r="AR1051" s="93"/>
      <c r="AS1051" s="91"/>
      <c r="AT1051" s="92"/>
      <c r="AU1051" s="92"/>
      <c r="AV1051" s="92"/>
      <c r="AW1051" s="92"/>
      <c r="AX1051" s="92"/>
      <c r="AY1051" s="92"/>
      <c r="AZ1051" s="92"/>
      <c r="BA1051" s="93"/>
      <c r="BB1051" s="91"/>
      <c r="BC1051" s="92"/>
      <c r="BD1051" s="92"/>
      <c r="BE1051" s="92"/>
      <c r="BF1051" s="92"/>
      <c r="BG1051" s="92"/>
      <c r="BH1051" s="92"/>
      <c r="BI1051" s="92"/>
      <c r="BJ1051" s="93"/>
      <c r="BK1051" s="91" t="s">
        <v>596</v>
      </c>
      <c r="BL1051" s="92"/>
      <c r="BM1051" s="92"/>
      <c r="BN1051" s="92"/>
      <c r="BO1051" s="92"/>
      <c r="BP1051" s="92"/>
      <c r="BQ1051" s="92"/>
      <c r="BR1051" s="92"/>
      <c r="BS1051" s="92"/>
      <c r="BT1051" s="92"/>
      <c r="BU1051" s="93"/>
      <c r="CP1051" s="3"/>
    </row>
    <row r="1052" spans="1:94" ht="15" customHeight="1" x14ac:dyDescent="0.15">
      <c r="A1052" s="1"/>
      <c r="F1052" s="91" t="s">
        <v>606</v>
      </c>
      <c r="G1052" s="92"/>
      <c r="H1052" s="92"/>
      <c r="I1052" s="92"/>
      <c r="J1052" s="92"/>
      <c r="K1052" s="92"/>
      <c r="L1052" s="92"/>
      <c r="M1052" s="92"/>
      <c r="N1052" s="92"/>
      <c r="O1052" s="93"/>
      <c r="P1052" s="91" t="s">
        <v>1006</v>
      </c>
      <c r="Q1052" s="92"/>
      <c r="R1052" s="92"/>
      <c r="S1052" s="92"/>
      <c r="T1052" s="92"/>
      <c r="U1052" s="92"/>
      <c r="V1052" s="92"/>
      <c r="W1052" s="92"/>
      <c r="X1052" s="92"/>
      <c r="Y1052" s="93"/>
      <c r="Z1052" s="91" t="s">
        <v>606</v>
      </c>
      <c r="AA1052" s="92"/>
      <c r="AB1052" s="92"/>
      <c r="AC1052" s="92"/>
      <c r="AD1052" s="92"/>
      <c r="AE1052" s="92"/>
      <c r="AF1052" s="92"/>
      <c r="AG1052" s="92"/>
      <c r="AH1052" s="92"/>
      <c r="AI1052" s="93"/>
      <c r="AJ1052" s="91" t="s">
        <v>789</v>
      </c>
      <c r="AK1052" s="92"/>
      <c r="AL1052" s="92"/>
      <c r="AM1052" s="92"/>
      <c r="AN1052" s="92"/>
      <c r="AO1052" s="92"/>
      <c r="AP1052" s="92"/>
      <c r="AQ1052" s="92"/>
      <c r="AR1052" s="93"/>
      <c r="AS1052" s="91" t="s">
        <v>606</v>
      </c>
      <c r="AT1052" s="92"/>
      <c r="AU1052" s="92"/>
      <c r="AV1052" s="92"/>
      <c r="AW1052" s="92"/>
      <c r="AX1052" s="92"/>
      <c r="AY1052" s="92"/>
      <c r="AZ1052" s="92"/>
      <c r="BA1052" s="93"/>
      <c r="BB1052" s="91" t="s">
        <v>790</v>
      </c>
      <c r="BC1052" s="92"/>
      <c r="BD1052" s="92"/>
      <c r="BE1052" s="92"/>
      <c r="BF1052" s="92"/>
      <c r="BG1052" s="92"/>
      <c r="BH1052" s="92"/>
      <c r="BI1052" s="92"/>
      <c r="BJ1052" s="93"/>
      <c r="BK1052" s="91" t="s">
        <v>1082</v>
      </c>
      <c r="BL1052" s="92"/>
      <c r="BM1052" s="92"/>
      <c r="BN1052" s="92"/>
      <c r="BO1052" s="92"/>
      <c r="BP1052" s="92"/>
      <c r="BQ1052" s="92"/>
      <c r="BR1052" s="92"/>
      <c r="BS1052" s="92"/>
      <c r="BT1052" s="92"/>
      <c r="BU1052" s="93"/>
      <c r="CP1052" s="3"/>
    </row>
    <row r="1053" spans="1:94" ht="15" customHeight="1" x14ac:dyDescent="0.15">
      <c r="A1053" s="1"/>
      <c r="F1053" s="91" t="s">
        <v>624</v>
      </c>
      <c r="G1053" s="92"/>
      <c r="H1053" s="92"/>
      <c r="I1053" s="92"/>
      <c r="J1053" s="92"/>
      <c r="K1053" s="92"/>
      <c r="L1053" s="92"/>
      <c r="M1053" s="92"/>
      <c r="N1053" s="92"/>
      <c r="O1053" s="93"/>
      <c r="P1053" s="91" t="s">
        <v>625</v>
      </c>
      <c r="Q1053" s="92"/>
      <c r="R1053" s="92"/>
      <c r="S1053" s="92"/>
      <c r="T1053" s="92"/>
      <c r="U1053" s="92"/>
      <c r="V1053" s="92"/>
      <c r="W1053" s="92"/>
      <c r="X1053" s="92"/>
      <c r="Y1053" s="93"/>
      <c r="Z1053" s="91" t="s">
        <v>624</v>
      </c>
      <c r="AA1053" s="92"/>
      <c r="AB1053" s="92"/>
      <c r="AC1053" s="92"/>
      <c r="AD1053" s="92"/>
      <c r="AE1053" s="92"/>
      <c r="AF1053" s="92"/>
      <c r="AG1053" s="92"/>
      <c r="AH1053" s="92"/>
      <c r="AI1053" s="93"/>
      <c r="AJ1053" s="91" t="s">
        <v>789</v>
      </c>
      <c r="AK1053" s="92"/>
      <c r="AL1053" s="92"/>
      <c r="AM1053" s="92"/>
      <c r="AN1053" s="92"/>
      <c r="AO1053" s="92"/>
      <c r="AP1053" s="92"/>
      <c r="AQ1053" s="92"/>
      <c r="AR1053" s="93"/>
      <c r="AS1053" s="91" t="s">
        <v>606</v>
      </c>
      <c r="AT1053" s="92"/>
      <c r="AU1053" s="92"/>
      <c r="AV1053" s="92"/>
      <c r="AW1053" s="92"/>
      <c r="AX1053" s="92"/>
      <c r="AY1053" s="92"/>
      <c r="AZ1053" s="92"/>
      <c r="BA1053" s="93"/>
      <c r="BB1053" s="91" t="s">
        <v>790</v>
      </c>
      <c r="BC1053" s="92"/>
      <c r="BD1053" s="92"/>
      <c r="BE1053" s="92"/>
      <c r="BF1053" s="92"/>
      <c r="BG1053" s="92"/>
      <c r="BH1053" s="92"/>
      <c r="BI1053" s="92"/>
      <c r="BJ1053" s="93"/>
      <c r="BK1053" s="91" t="s">
        <v>623</v>
      </c>
      <c r="BL1053" s="92"/>
      <c r="BM1053" s="92"/>
      <c r="BN1053" s="92"/>
      <c r="BO1053" s="92"/>
      <c r="BP1053" s="92"/>
      <c r="BQ1053" s="92"/>
      <c r="BR1053" s="92"/>
      <c r="BS1053" s="92"/>
      <c r="BT1053" s="92"/>
      <c r="BU1053" s="93"/>
      <c r="CP1053" s="3"/>
    </row>
    <row r="1054" spans="1:94" ht="15" customHeight="1" x14ac:dyDescent="0.15">
      <c r="A1054" s="1"/>
      <c r="CP1054" s="3"/>
    </row>
    <row r="1055" spans="1:94" ht="15" customHeight="1" x14ac:dyDescent="0.15">
      <c r="A1055" s="1"/>
      <c r="E1055" s="118" t="s">
        <v>956</v>
      </c>
      <c r="F1055" s="61"/>
      <c r="G1055" s="118"/>
      <c r="H1055" s="118"/>
      <c r="I1055" s="118"/>
      <c r="J1055" s="118"/>
      <c r="K1055" s="118"/>
      <c r="L1055" s="118"/>
      <c r="M1055" s="118"/>
      <c r="N1055" s="118"/>
      <c r="O1055" s="118"/>
      <c r="CP1055" s="3"/>
    </row>
    <row r="1056" spans="1:94" ht="15" customHeight="1" x14ac:dyDescent="0.15">
      <c r="A1056" s="1"/>
      <c r="F1056" s="88" t="s">
        <v>957</v>
      </c>
      <c r="G1056" s="89"/>
      <c r="H1056" s="89"/>
      <c r="I1056" s="89"/>
      <c r="J1056" s="89"/>
      <c r="K1056" s="89"/>
      <c r="L1056" s="89"/>
      <c r="M1056" s="89"/>
      <c r="N1056" s="89"/>
      <c r="O1056" s="90"/>
      <c r="CP1056" s="3"/>
    </row>
    <row r="1057" spans="1:94" ht="15" customHeight="1" x14ac:dyDescent="0.15">
      <c r="A1057" s="1"/>
      <c r="F1057" s="462" t="s">
        <v>958</v>
      </c>
      <c r="G1057" s="462"/>
      <c r="H1057" s="462"/>
      <c r="I1057" s="462"/>
      <c r="J1057" s="462"/>
      <c r="K1057" s="462"/>
      <c r="L1057" s="462"/>
      <c r="M1057" s="462"/>
      <c r="N1057" s="462"/>
      <c r="O1057" s="462"/>
      <c r="CP1057" s="3"/>
    </row>
    <row r="1058" spans="1:94" ht="15" customHeight="1" thickBot="1" x14ac:dyDescent="0.2">
      <c r="A1058" s="5"/>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c r="BN1058" s="6"/>
      <c r="BO1058" s="6"/>
      <c r="BP1058" s="6"/>
      <c r="BQ1058" s="6"/>
      <c r="BR1058" s="6"/>
      <c r="BS1058" s="6"/>
      <c r="BT1058" s="6"/>
      <c r="BU1058" s="6"/>
      <c r="BV1058" s="6"/>
      <c r="BW1058" s="6"/>
      <c r="BX1058" s="6"/>
      <c r="BY1058" s="6"/>
      <c r="BZ1058" s="6"/>
      <c r="CA1058" s="6"/>
      <c r="CB1058" s="6"/>
      <c r="CC1058" s="6"/>
      <c r="CD1058" s="6"/>
      <c r="CE1058" s="6"/>
      <c r="CF1058" s="6"/>
      <c r="CG1058" s="6"/>
      <c r="CH1058" s="6"/>
      <c r="CI1058" s="6"/>
      <c r="CJ1058" s="6"/>
      <c r="CK1058" s="6"/>
      <c r="CL1058" s="6"/>
      <c r="CM1058" s="6"/>
      <c r="CN1058" s="6"/>
      <c r="CO1058" s="6"/>
      <c r="CP1058" s="7"/>
    </row>
  </sheetData>
  <mergeCells count="1094">
    <mergeCell ref="AD993:AT993"/>
    <mergeCell ref="BX985:CN985"/>
    <mergeCell ref="BG986:BW986"/>
    <mergeCell ref="BX986:CN986"/>
    <mergeCell ref="BG987:BW987"/>
    <mergeCell ref="BX987:CN987"/>
    <mergeCell ref="BK1042:BW1042"/>
    <mergeCell ref="AD998:AT998"/>
    <mergeCell ref="AD999:AT999"/>
    <mergeCell ref="AD1000:AT1000"/>
    <mergeCell ref="AD1001:AT1001"/>
    <mergeCell ref="AD1002:AT1002"/>
    <mergeCell ref="AD1003:AT1003"/>
    <mergeCell ref="AD1004:AT1004"/>
    <mergeCell ref="AD1005:AT1005"/>
    <mergeCell ref="AD1006:AT1006"/>
    <mergeCell ref="AD1007:AT1007"/>
    <mergeCell ref="AD1008:AT1008"/>
    <mergeCell ref="AD1009:AT1009"/>
    <mergeCell ref="AD1010:AT1010"/>
    <mergeCell ref="AD994:AT994"/>
    <mergeCell ref="AD995:AT995"/>
    <mergeCell ref="AD996:AT996"/>
    <mergeCell ref="AD997:AT997"/>
    <mergeCell ref="M999:AC999"/>
    <mergeCell ref="M1000:AC1000"/>
    <mergeCell ref="M1001:AC1001"/>
    <mergeCell ref="M1002:AC1002"/>
    <mergeCell ref="M1003:AC1003"/>
    <mergeCell ref="M1004:AC1004"/>
    <mergeCell ref="M1005:AC1005"/>
    <mergeCell ref="M1006:AC1006"/>
    <mergeCell ref="M1007:AC1007"/>
    <mergeCell ref="M1008:AC1008"/>
    <mergeCell ref="M1009:AC1009"/>
    <mergeCell ref="M1010:AC1010"/>
    <mergeCell ref="M1011:AC1011"/>
    <mergeCell ref="AD1011:AT1011"/>
    <mergeCell ref="M1012:AC1012"/>
    <mergeCell ref="AD1012:AT1012"/>
    <mergeCell ref="BG978:BW978"/>
    <mergeCell ref="BG979:BW979"/>
    <mergeCell ref="BG980:BW980"/>
    <mergeCell ref="BG981:BW981"/>
    <mergeCell ref="BG982:BW982"/>
    <mergeCell ref="BG983:BW983"/>
    <mergeCell ref="BG984:BW984"/>
    <mergeCell ref="BG985:BW985"/>
    <mergeCell ref="AD981:AT981"/>
    <mergeCell ref="AD982:AT982"/>
    <mergeCell ref="AD983:AT983"/>
    <mergeCell ref="AD984:AT984"/>
    <mergeCell ref="AD985:AT985"/>
    <mergeCell ref="AD986:AT986"/>
    <mergeCell ref="AD987:AT987"/>
    <mergeCell ref="AD988:AT988"/>
    <mergeCell ref="CD321:CH321"/>
    <mergeCell ref="CI321:CN321"/>
    <mergeCell ref="M981:AC981"/>
    <mergeCell ref="M984:AC984"/>
    <mergeCell ref="M982:AC982"/>
    <mergeCell ref="M983:AC983"/>
    <mergeCell ref="M985:AC985"/>
    <mergeCell ref="M986:AC986"/>
    <mergeCell ref="M987:AC987"/>
    <mergeCell ref="M988:AC988"/>
    <mergeCell ref="M989:AC989"/>
    <mergeCell ref="M990:AC990"/>
    <mergeCell ref="M991:AC991"/>
    <mergeCell ref="M992:AC992"/>
    <mergeCell ref="M993:AC993"/>
    <mergeCell ref="E318:Y318"/>
    <mergeCell ref="AP318:AT318"/>
    <mergeCell ref="AU318:BB318"/>
    <mergeCell ref="BC318:CC318"/>
    <mergeCell ref="AV981:BF981"/>
    <mergeCell ref="AV982:BF982"/>
    <mergeCell ref="BX978:CN978"/>
    <mergeCell ref="BX979:CN979"/>
    <mergeCell ref="BX980:CN980"/>
    <mergeCell ref="BX981:CN981"/>
    <mergeCell ref="BX982:CN982"/>
    <mergeCell ref="BX983:CN983"/>
    <mergeCell ref="BX984:CN984"/>
    <mergeCell ref="AD989:AT989"/>
    <mergeCell ref="AD990:AT990"/>
    <mergeCell ref="AD991:AT991"/>
    <mergeCell ref="AD992:AT992"/>
    <mergeCell ref="AH319:AO319"/>
    <mergeCell ref="AP319:AT319"/>
    <mergeCell ref="AU319:BB319"/>
    <mergeCell ref="BC319:CC319"/>
    <mergeCell ref="CD319:CH319"/>
    <mergeCell ref="CI319:CN319"/>
    <mergeCell ref="CD318:CH318"/>
    <mergeCell ref="CI318:CN318"/>
    <mergeCell ref="E320:Y320"/>
    <mergeCell ref="Z320:AG320"/>
    <mergeCell ref="AH320:AO320"/>
    <mergeCell ref="AP320:AT320"/>
    <mergeCell ref="AU320:BB320"/>
    <mergeCell ref="BC320:CC320"/>
    <mergeCell ref="CD320:CH320"/>
    <mergeCell ref="CI320:CN320"/>
    <mergeCell ref="M978:AC978"/>
    <mergeCell ref="AD978:AT978"/>
    <mergeCell ref="E322:Y322"/>
    <mergeCell ref="Z322:AG322"/>
    <mergeCell ref="AH322:AO322"/>
    <mergeCell ref="AP322:AT322"/>
    <mergeCell ref="AU322:BB322"/>
    <mergeCell ref="BC322:CC322"/>
    <mergeCell ref="CD322:CH322"/>
    <mergeCell ref="CI322:CN322"/>
    <mergeCell ref="E321:Y321"/>
    <mergeCell ref="Z321:AG321"/>
    <mergeCell ref="AH321:AO321"/>
    <mergeCell ref="AP321:AT321"/>
    <mergeCell ref="AU321:BB321"/>
    <mergeCell ref="BC321:CC321"/>
    <mergeCell ref="D122:AN122"/>
    <mergeCell ref="D123:AN123"/>
    <mergeCell ref="D126:AN126"/>
    <mergeCell ref="D130:AN130"/>
    <mergeCell ref="AO104:BD104"/>
    <mergeCell ref="AO105:BD105"/>
    <mergeCell ref="AO103:BD103"/>
    <mergeCell ref="E316:Y316"/>
    <mergeCell ref="Z316:AG316"/>
    <mergeCell ref="AH316:AO316"/>
    <mergeCell ref="AP316:AT316"/>
    <mergeCell ref="AU316:BB316"/>
    <mergeCell ref="BC316:CC316"/>
    <mergeCell ref="CD316:CH316"/>
    <mergeCell ref="CI316:CN316"/>
    <mergeCell ref="E317:Y317"/>
    <mergeCell ref="Z317:AG317"/>
    <mergeCell ref="AH317:AO317"/>
    <mergeCell ref="AP317:AT317"/>
    <mergeCell ref="AU317:BB317"/>
    <mergeCell ref="BC317:CC317"/>
    <mergeCell ref="CD317:CH317"/>
    <mergeCell ref="CI317:CN317"/>
    <mergeCell ref="O9:AL9"/>
    <mergeCell ref="AM9:AV9"/>
    <mergeCell ref="AW9:BF9"/>
    <mergeCell ref="O10:AL10"/>
    <mergeCell ref="AM10:AV10"/>
    <mergeCell ref="AW10:BF10"/>
    <mergeCell ref="D104:AN104"/>
    <mergeCell ref="D102:AN102"/>
    <mergeCell ref="D101:AN101"/>
    <mergeCell ref="D100:AN100"/>
    <mergeCell ref="D99:AN99"/>
    <mergeCell ref="D98:AN98"/>
    <mergeCell ref="D96:AN96"/>
    <mergeCell ref="D97:AN97"/>
    <mergeCell ref="D105:AN105"/>
    <mergeCell ref="D117:AN117"/>
    <mergeCell ref="D118:AN118"/>
    <mergeCell ref="D112:AN112"/>
    <mergeCell ref="U36:AZ36"/>
    <mergeCell ref="U31:AZ31"/>
    <mergeCell ref="U32:AZ32"/>
    <mergeCell ref="U33:AZ33"/>
    <mergeCell ref="U34:AZ34"/>
    <mergeCell ref="U35:AZ35"/>
    <mergeCell ref="U37:AZ37"/>
    <mergeCell ref="E37:F37"/>
    <mergeCell ref="G37:T37"/>
    <mergeCell ref="E25:F25"/>
    <mergeCell ref="G25:T25"/>
    <mergeCell ref="AO98:BD98"/>
    <mergeCell ref="AO99:BD99"/>
    <mergeCell ref="AO100:BD100"/>
    <mergeCell ref="F1057:O1057"/>
    <mergeCell ref="AO107:BD107"/>
    <mergeCell ref="AO108:BD108"/>
    <mergeCell ref="AO109:BD109"/>
    <mergeCell ref="AO110:BD110"/>
    <mergeCell ref="AO111:BD111"/>
    <mergeCell ref="E248:F248"/>
    <mergeCell ref="G248:AF248"/>
    <mergeCell ref="AG248:AN248"/>
    <mergeCell ref="AV979:BF979"/>
    <mergeCell ref="AV980:BF980"/>
    <mergeCell ref="AO117:BD118"/>
    <mergeCell ref="AG270:AN271"/>
    <mergeCell ref="AQ270:AR271"/>
    <mergeCell ref="AS270:BR271"/>
    <mergeCell ref="AG302:AN302"/>
    <mergeCell ref="AS229:BR229"/>
    <mergeCell ref="G309:AF309"/>
    <mergeCell ref="AG309:AN309"/>
    <mergeCell ref="AG305:AN305"/>
    <mergeCell ref="G303:AF303"/>
    <mergeCell ref="E302:F302"/>
    <mergeCell ref="D107:AN107"/>
    <mergeCell ref="D108:AN108"/>
    <mergeCell ref="D109:AN109"/>
    <mergeCell ref="D110:AN110"/>
    <mergeCell ref="D111:AN111"/>
    <mergeCell ref="D131:AN131"/>
    <mergeCell ref="AO131:BD131"/>
    <mergeCell ref="D124:AN124"/>
    <mergeCell ref="AO124:BD124"/>
    <mergeCell ref="D125:AN125"/>
    <mergeCell ref="BA32:BR32"/>
    <mergeCell ref="E33:F33"/>
    <mergeCell ref="G33:T33"/>
    <mergeCell ref="BA33:BR33"/>
    <mergeCell ref="E34:F34"/>
    <mergeCell ref="G34:T34"/>
    <mergeCell ref="BA34:BR34"/>
    <mergeCell ref="D132:AN132"/>
    <mergeCell ref="AO119:BD119"/>
    <mergeCell ref="AO122:BD122"/>
    <mergeCell ref="AO126:BD126"/>
    <mergeCell ref="B1004:L1004"/>
    <mergeCell ref="AV983:BF983"/>
    <mergeCell ref="AV984:BF984"/>
    <mergeCell ref="AV985:BF985"/>
    <mergeCell ref="AV986:BF986"/>
    <mergeCell ref="P1042:BJ1042"/>
    <mergeCell ref="D106:AN106"/>
    <mergeCell ref="D95:AN95"/>
    <mergeCell ref="AO125:BD125"/>
    <mergeCell ref="D115:AN115"/>
    <mergeCell ref="AO115:BD116"/>
    <mergeCell ref="D116:AN116"/>
    <mergeCell ref="D114:AN114"/>
    <mergeCell ref="AO114:BD114"/>
    <mergeCell ref="D121:AN121"/>
    <mergeCell ref="AO121:BD121"/>
    <mergeCell ref="D129:AN129"/>
    <mergeCell ref="AO129:BD129"/>
    <mergeCell ref="D128:AN128"/>
    <mergeCell ref="AO128:BD128"/>
    <mergeCell ref="D119:AN119"/>
    <mergeCell ref="U24:AZ24"/>
    <mergeCell ref="U25:AZ25"/>
    <mergeCell ref="U26:AZ26"/>
    <mergeCell ref="U27:AZ27"/>
    <mergeCell ref="U28:AZ28"/>
    <mergeCell ref="U29:AZ29"/>
    <mergeCell ref="U30:AZ30"/>
    <mergeCell ref="AO95:BD95"/>
    <mergeCell ref="AO97:BD97"/>
    <mergeCell ref="AO101:BD101"/>
    <mergeCell ref="AO102:BD102"/>
    <mergeCell ref="AQ225:AR226"/>
    <mergeCell ref="AS225:BR226"/>
    <mergeCell ref="BS225:BZ226"/>
    <mergeCell ref="BA37:BR37"/>
    <mergeCell ref="E38:F38"/>
    <mergeCell ref="G38:T38"/>
    <mergeCell ref="BA38:BR38"/>
    <mergeCell ref="AO123:BD123"/>
    <mergeCell ref="AO112:BD112"/>
    <mergeCell ref="AO130:BD130"/>
    <mergeCell ref="AO132:BD132"/>
    <mergeCell ref="AO106:BD106"/>
    <mergeCell ref="G225:AF226"/>
    <mergeCell ref="AG225:AN226"/>
    <mergeCell ref="BA25:BR25"/>
    <mergeCell ref="E26:F26"/>
    <mergeCell ref="G26:T26"/>
    <mergeCell ref="BA26:BR26"/>
    <mergeCell ref="E27:F27"/>
    <mergeCell ref="G27:T27"/>
    <mergeCell ref="BA27:BR27"/>
    <mergeCell ref="BA28:BR28"/>
    <mergeCell ref="E29:F29"/>
    <mergeCell ref="G29:T29"/>
    <mergeCell ref="BA29:BR29"/>
    <mergeCell ref="AO96:BD96"/>
    <mergeCell ref="E35:F35"/>
    <mergeCell ref="G35:T35"/>
    <mergeCell ref="BA35:BR35"/>
    <mergeCell ref="E36:F36"/>
    <mergeCell ref="G36:T36"/>
    <mergeCell ref="BA36:BR36"/>
    <mergeCell ref="E30:F30"/>
    <mergeCell ref="G30:T30"/>
    <mergeCell ref="BA30:BR30"/>
    <mergeCell ref="E31:F31"/>
    <mergeCell ref="E56:V56"/>
    <mergeCell ref="Q76:AA76"/>
    <mergeCell ref="E58:V58"/>
    <mergeCell ref="E59:V59"/>
    <mergeCell ref="E60:V60"/>
    <mergeCell ref="E52:V52"/>
    <mergeCell ref="E53:V53"/>
    <mergeCell ref="U38:AZ38"/>
    <mergeCell ref="W55:AK55"/>
    <mergeCell ref="W57:AK57"/>
    <mergeCell ref="W58:AK58"/>
    <mergeCell ref="E57:V57"/>
    <mergeCell ref="E55:V55"/>
    <mergeCell ref="G31:T31"/>
    <mergeCell ref="BA31:BR31"/>
    <mergeCell ref="E32:F32"/>
    <mergeCell ref="G32:T32"/>
    <mergeCell ref="BG2:BJ2"/>
    <mergeCell ref="BS182:BZ183"/>
    <mergeCell ref="E225:F226"/>
    <mergeCell ref="G189:AF189"/>
    <mergeCell ref="B1001:L1001"/>
    <mergeCell ref="B1008:L1008"/>
    <mergeCell ref="B1009:L1009"/>
    <mergeCell ref="E75:P75"/>
    <mergeCell ref="E76:P76"/>
    <mergeCell ref="W56:AK56"/>
    <mergeCell ref="W52:AK52"/>
    <mergeCell ref="W53:AK53"/>
    <mergeCell ref="W54:AK54"/>
    <mergeCell ref="E54:V54"/>
    <mergeCell ref="Q75:AA75"/>
    <mergeCell ref="AE2:AK3"/>
    <mergeCell ref="AW15:BD15"/>
    <mergeCell ref="AN15:AV15"/>
    <mergeCell ref="W15:AD15"/>
    <mergeCell ref="AL2:BF2"/>
    <mergeCell ref="U23:AZ23"/>
    <mergeCell ref="E16:M18"/>
    <mergeCell ref="AN17:AV17"/>
    <mergeCell ref="N17:V17"/>
    <mergeCell ref="W17:AD17"/>
    <mergeCell ref="AE17:AM17"/>
    <mergeCell ref="I3:AD3"/>
    <mergeCell ref="AL3:BF3"/>
    <mergeCell ref="N15:V15"/>
    <mergeCell ref="E23:F23"/>
    <mergeCell ref="E28:F28"/>
    <mergeCell ref="G28:T28"/>
    <mergeCell ref="E24:F24"/>
    <mergeCell ref="G23:T23"/>
    <mergeCell ref="G24:T24"/>
    <mergeCell ref="E9:N9"/>
    <mergeCell ref="N16:V16"/>
    <mergeCell ref="W16:AD16"/>
    <mergeCell ref="BA24:BR24"/>
    <mergeCell ref="CI1:CP3"/>
    <mergeCell ref="W59:AK59"/>
    <mergeCell ref="W60:AK60"/>
    <mergeCell ref="AE16:AM16"/>
    <mergeCell ref="AS185:BR185"/>
    <mergeCell ref="BK2:BT2"/>
    <mergeCell ref="BU2:CC2"/>
    <mergeCell ref="BG1:BJ1"/>
    <mergeCell ref="BK1:BT1"/>
    <mergeCell ref="BU1:CC1"/>
    <mergeCell ref="CD1:CH3"/>
    <mergeCell ref="BK3:CC3"/>
    <mergeCell ref="A1:H1"/>
    <mergeCell ref="I1:AD1"/>
    <mergeCell ref="AE1:AK1"/>
    <mergeCell ref="AW16:BD16"/>
    <mergeCell ref="AE15:AM15"/>
    <mergeCell ref="E10:N10"/>
    <mergeCell ref="E15:M15"/>
    <mergeCell ref="AN16:AV16"/>
    <mergeCell ref="BA23:BR23"/>
    <mergeCell ref="AL1:BF1"/>
    <mergeCell ref="BG3:BJ3"/>
    <mergeCell ref="A3:H3"/>
    <mergeCell ref="A2:H2"/>
    <mergeCell ref="I2:AD2"/>
    <mergeCell ref="G182:AF183"/>
    <mergeCell ref="E184:F184"/>
    <mergeCell ref="AG187:AN187"/>
    <mergeCell ref="G187:AF187"/>
    <mergeCell ref="E182:F183"/>
    <mergeCell ref="AG182:AN183"/>
    <mergeCell ref="AG184:AN184"/>
    <mergeCell ref="AG186:AN186"/>
    <mergeCell ref="AQ182:AR183"/>
    <mergeCell ref="AS182:BR183"/>
    <mergeCell ref="CG182:CN182"/>
    <mergeCell ref="CG183:CN183"/>
    <mergeCell ref="CG184:CN184"/>
    <mergeCell ref="AG221:AN221"/>
    <mergeCell ref="E222:F222"/>
    <mergeCell ref="G222:AF222"/>
    <mergeCell ref="AG222:AN222"/>
    <mergeCell ref="AQ184:AR184"/>
    <mergeCell ref="AS184:BR184"/>
    <mergeCell ref="AG189:AN189"/>
    <mergeCell ref="E187:F187"/>
    <mergeCell ref="CG189:CN189"/>
    <mergeCell ref="CG187:CN187"/>
    <mergeCell ref="CG185:CN185"/>
    <mergeCell ref="CG186:CN186"/>
    <mergeCell ref="AG185:AN185"/>
    <mergeCell ref="G185:AF185"/>
    <mergeCell ref="AS215:BR215"/>
    <mergeCell ref="G184:AF184"/>
    <mergeCell ref="E196:F196"/>
    <mergeCell ref="E195:F195"/>
    <mergeCell ref="BS229:BZ229"/>
    <mergeCell ref="AQ230:AR230"/>
    <mergeCell ref="AS230:BR230"/>
    <mergeCell ref="BS230:BZ230"/>
    <mergeCell ref="AQ231:AR231"/>
    <mergeCell ref="AS231:BR231"/>
    <mergeCell ref="AS214:BR214"/>
    <mergeCell ref="BS214:BZ214"/>
    <mergeCell ref="AG239:AN239"/>
    <mergeCell ref="AG264:AN264"/>
    <mergeCell ref="BS241:BZ241"/>
    <mergeCell ref="BS242:BZ242"/>
    <mergeCell ref="G236:AF236"/>
    <mergeCell ref="AG236:AN236"/>
    <mergeCell ref="BS251:BZ251"/>
    <mergeCell ref="AG246:AN246"/>
    <mergeCell ref="G237:AF237"/>
    <mergeCell ref="G254:AF254"/>
    <mergeCell ref="BS236:BZ236"/>
    <mergeCell ref="BS237:BZ237"/>
    <mergeCell ref="AS236:BR236"/>
    <mergeCell ref="AS238:BR238"/>
    <mergeCell ref="BS239:BZ239"/>
    <mergeCell ref="BS235:BZ235"/>
    <mergeCell ref="AS252:BR252"/>
    <mergeCell ref="BS248:BZ248"/>
    <mergeCell ref="AS247:BR247"/>
    <mergeCell ref="AS244:BR244"/>
    <mergeCell ref="BS249:BZ249"/>
    <mergeCell ref="AS250:BR250"/>
    <mergeCell ref="BS250:BZ250"/>
    <mergeCell ref="AQ240:AR240"/>
    <mergeCell ref="BS272:BZ272"/>
    <mergeCell ref="AG308:AN308"/>
    <mergeCell ref="AG281:AN281"/>
    <mergeCell ref="AS246:BR246"/>
    <mergeCell ref="BS247:BZ247"/>
    <mergeCell ref="AQ247:AR247"/>
    <mergeCell ref="BS246:BZ246"/>
    <mergeCell ref="AS248:BR248"/>
    <mergeCell ref="AS249:BR249"/>
    <mergeCell ref="BS277:BZ277"/>
    <mergeCell ref="AG304:AN304"/>
    <mergeCell ref="G304:AF304"/>
    <mergeCell ref="G274:AF274"/>
    <mergeCell ref="AG274:AN274"/>
    <mergeCell ref="AQ257:AR257"/>
    <mergeCell ref="AG243:AN243"/>
    <mergeCell ref="AG254:AN254"/>
    <mergeCell ref="G265:AF265"/>
    <mergeCell ref="G281:AF281"/>
    <mergeCell ref="AQ256:AR256"/>
    <mergeCell ref="AQ260:AR260"/>
    <mergeCell ref="AQ259:AR259"/>
    <mergeCell ref="AQ250:AR250"/>
    <mergeCell ref="AQ251:AR251"/>
    <mergeCell ref="BS279:BZ279"/>
    <mergeCell ref="BS275:BZ275"/>
    <mergeCell ref="BS276:BZ276"/>
    <mergeCell ref="BS278:BZ278"/>
    <mergeCell ref="BS274:BZ274"/>
    <mergeCell ref="BS270:BZ271"/>
    <mergeCell ref="AQ262:AR262"/>
    <mergeCell ref="AQ263:AR263"/>
    <mergeCell ref="AQ258:AR258"/>
    <mergeCell ref="E242:F242"/>
    <mergeCell ref="AG303:AN303"/>
    <mergeCell ref="AQ244:AR244"/>
    <mergeCell ref="BS243:BZ243"/>
    <mergeCell ref="AQ248:AR248"/>
    <mergeCell ref="AQ253:AR253"/>
    <mergeCell ref="G307:AF307"/>
    <mergeCell ref="G308:AF308"/>
    <mergeCell ref="AQ261:AR261"/>
    <mergeCell ref="AS251:BR251"/>
    <mergeCell ref="AS240:BR240"/>
    <mergeCell ref="BS240:BZ240"/>
    <mergeCell ref="AQ242:AR242"/>
    <mergeCell ref="AS241:BR241"/>
    <mergeCell ref="AG265:AN265"/>
    <mergeCell ref="AQ276:AR276"/>
    <mergeCell ref="AQ277:AR277"/>
    <mergeCell ref="AS256:BR256"/>
    <mergeCell ref="BS256:BZ256"/>
    <mergeCell ref="AQ278:AR278"/>
    <mergeCell ref="AQ279:AR279"/>
    <mergeCell ref="G299:AF299"/>
    <mergeCell ref="BS252:BZ252"/>
    <mergeCell ref="AQ254:AR254"/>
    <mergeCell ref="AQ252:AR252"/>
    <mergeCell ref="AQ249:AR249"/>
    <mergeCell ref="BS273:BZ273"/>
    <mergeCell ref="AS272:BR272"/>
    <mergeCell ref="AS243:BR243"/>
    <mergeCell ref="AQ246:AR246"/>
    <mergeCell ref="E255:F255"/>
    <mergeCell ref="G255:AF255"/>
    <mergeCell ref="AG255:AN255"/>
    <mergeCell ref="G242:AF242"/>
    <mergeCell ref="AQ243:AR243"/>
    <mergeCell ref="E185:F185"/>
    <mergeCell ref="E236:F236"/>
    <mergeCell ref="E189:F189"/>
    <mergeCell ref="E186:F186"/>
    <mergeCell ref="E197:F197"/>
    <mergeCell ref="AQ229:AR229"/>
    <mergeCell ref="E201:F201"/>
    <mergeCell ref="E191:F191"/>
    <mergeCell ref="G191:AF191"/>
    <mergeCell ref="AG191:AN191"/>
    <mergeCell ref="E192:F192"/>
    <mergeCell ref="G192:AF192"/>
    <mergeCell ref="AG192:AN192"/>
    <mergeCell ref="AQ215:AR215"/>
    <mergeCell ref="AG195:AN195"/>
    <mergeCell ref="G196:AF196"/>
    <mergeCell ref="E246:F246"/>
    <mergeCell ref="AG242:AN242"/>
    <mergeCell ref="AQ235:AR235"/>
    <mergeCell ref="AS235:BR235"/>
    <mergeCell ref="AQ220:AR220"/>
    <mergeCell ref="AS220:BR220"/>
    <mergeCell ref="AG196:AN196"/>
    <mergeCell ref="AQ209:AR209"/>
    <mergeCell ref="E234:F234"/>
    <mergeCell ref="G234:AF234"/>
    <mergeCell ref="AG234:AN234"/>
    <mergeCell ref="E235:F235"/>
    <mergeCell ref="G235:AF235"/>
    <mergeCell ref="AG235:AN235"/>
    <mergeCell ref="AQ255:AR255"/>
    <mergeCell ref="AG307:AN307"/>
    <mergeCell ref="AS278:BR278"/>
    <mergeCell ref="AS279:BR279"/>
    <mergeCell ref="G291:AF291"/>
    <mergeCell ref="E273:F273"/>
    <mergeCell ref="E274:F274"/>
    <mergeCell ref="AS273:BR273"/>
    <mergeCell ref="AQ274:AR274"/>
    <mergeCell ref="E296:F296"/>
    <mergeCell ref="G273:AF273"/>
    <mergeCell ref="AG273:AN273"/>
    <mergeCell ref="E295:F295"/>
    <mergeCell ref="AS274:BR274"/>
    <mergeCell ref="E275:F275"/>
    <mergeCell ref="G305:AF305"/>
    <mergeCell ref="G306:AF306"/>
    <mergeCell ref="E276:F276"/>
    <mergeCell ref="E298:F298"/>
    <mergeCell ref="G277:AF277"/>
    <mergeCell ref="AG277:AN277"/>
    <mergeCell ref="B1011:L1011"/>
    <mergeCell ref="B1012:L1012"/>
    <mergeCell ref="AV987:BF987"/>
    <mergeCell ref="B992:L992"/>
    <mergeCell ref="B982:L982"/>
    <mergeCell ref="B983:L983"/>
    <mergeCell ref="B994:L994"/>
    <mergeCell ref="B995:L995"/>
    <mergeCell ref="B987:L987"/>
    <mergeCell ref="B988:L988"/>
    <mergeCell ref="B989:L989"/>
    <mergeCell ref="B990:L990"/>
    <mergeCell ref="B991:L991"/>
    <mergeCell ref="AV978:BF978"/>
    <mergeCell ref="B1003:L1003"/>
    <mergeCell ref="B981:L981"/>
    <mergeCell ref="B1005:L1005"/>
    <mergeCell ref="B1006:L1006"/>
    <mergeCell ref="B1007:L1007"/>
    <mergeCell ref="B985:L985"/>
    <mergeCell ref="B980:L980"/>
    <mergeCell ref="B984:L984"/>
    <mergeCell ref="B1002:L1002"/>
    <mergeCell ref="M979:AC979"/>
    <mergeCell ref="M980:AC980"/>
    <mergeCell ref="AD979:AT979"/>
    <mergeCell ref="AD980:AT980"/>
    <mergeCell ref="M994:AC994"/>
    <mergeCell ref="M995:AC995"/>
    <mergeCell ref="M996:AC996"/>
    <mergeCell ref="M997:AC997"/>
    <mergeCell ref="M998:AC998"/>
    <mergeCell ref="B1010:L1010"/>
    <mergeCell ref="E299:F299"/>
    <mergeCell ref="G278:AF278"/>
    <mergeCell ref="AG278:AN278"/>
    <mergeCell ref="E300:F300"/>
    <mergeCell ref="G279:AF279"/>
    <mergeCell ref="AG279:AN279"/>
    <mergeCell ref="AS275:BR275"/>
    <mergeCell ref="AS276:BR276"/>
    <mergeCell ref="AS277:BR277"/>
    <mergeCell ref="E309:F309"/>
    <mergeCell ref="G288:AF288"/>
    <mergeCell ref="AG288:AN288"/>
    <mergeCell ref="E304:F304"/>
    <mergeCell ref="E305:F305"/>
    <mergeCell ref="E306:F306"/>
    <mergeCell ref="E307:F307"/>
    <mergeCell ref="E308:F308"/>
    <mergeCell ref="G294:AF294"/>
    <mergeCell ref="AG294:AN294"/>
    <mergeCell ref="E283:F283"/>
    <mergeCell ref="G295:AF295"/>
    <mergeCell ref="AG295:AN295"/>
    <mergeCell ref="E301:F301"/>
    <mergeCell ref="G302:AF302"/>
    <mergeCell ref="G280:AF280"/>
    <mergeCell ref="AG280:AN280"/>
    <mergeCell ref="B993:L993"/>
    <mergeCell ref="B978:L978"/>
    <mergeCell ref="AG306:AN306"/>
    <mergeCell ref="E319:Y319"/>
    <mergeCell ref="Z319:AG319"/>
    <mergeCell ref="E188:F188"/>
    <mergeCell ref="G188:AF188"/>
    <mergeCell ref="AG188:AN188"/>
    <mergeCell ref="E190:F190"/>
    <mergeCell ref="G190:AF190"/>
    <mergeCell ref="AG190:AN190"/>
    <mergeCell ref="AQ222:AR222"/>
    <mergeCell ref="AQ233:AR233"/>
    <mergeCell ref="G201:AF201"/>
    <mergeCell ref="AG201:AN201"/>
    <mergeCell ref="E202:F202"/>
    <mergeCell ref="B999:L999"/>
    <mergeCell ref="B1000:L1000"/>
    <mergeCell ref="B996:L996"/>
    <mergeCell ref="B997:L997"/>
    <mergeCell ref="B998:L998"/>
    <mergeCell ref="Z318:AG318"/>
    <mergeCell ref="AH318:AO318"/>
    <mergeCell ref="B979:L979"/>
    <mergeCell ref="B986:L986"/>
    <mergeCell ref="AQ265:AR265"/>
    <mergeCell ref="E272:F272"/>
    <mergeCell ref="E238:F238"/>
    <mergeCell ref="G238:AF238"/>
    <mergeCell ref="AG238:AN238"/>
    <mergeCell ref="G246:AF246"/>
    <mergeCell ref="E270:F271"/>
    <mergeCell ref="G270:AF271"/>
    <mergeCell ref="AQ264:AR264"/>
    <mergeCell ref="E247:F247"/>
    <mergeCell ref="G247:AF247"/>
    <mergeCell ref="AG247:AN247"/>
    <mergeCell ref="AG240:AN240"/>
    <mergeCell ref="AG237:AN237"/>
    <mergeCell ref="E237:F237"/>
    <mergeCell ref="E241:F241"/>
    <mergeCell ref="G241:AF241"/>
    <mergeCell ref="AG241:AN241"/>
    <mergeCell ref="E227:F227"/>
    <mergeCell ref="AS242:BR242"/>
    <mergeCell ref="BS244:BZ244"/>
    <mergeCell ref="BS238:BZ238"/>
    <mergeCell ref="AS234:BR234"/>
    <mergeCell ref="AS221:BR221"/>
    <mergeCell ref="BS221:BZ221"/>
    <mergeCell ref="E199:F199"/>
    <mergeCell ref="E200:F200"/>
    <mergeCell ref="G195:AF195"/>
    <mergeCell ref="E193:F193"/>
    <mergeCell ref="AQ236:AR236"/>
    <mergeCell ref="AQ238:AR238"/>
    <mergeCell ref="AQ237:AR237"/>
    <mergeCell ref="AQ241:AR241"/>
    <mergeCell ref="AQ210:AR210"/>
    <mergeCell ref="G239:AF239"/>
    <mergeCell ref="AQ234:AR234"/>
    <mergeCell ref="AG209:AN209"/>
    <mergeCell ref="E210:F210"/>
    <mergeCell ref="G210:AF210"/>
    <mergeCell ref="G231:AF231"/>
    <mergeCell ref="G193:AF193"/>
    <mergeCell ref="AG193:AN193"/>
    <mergeCell ref="E194:F194"/>
    <mergeCell ref="G194:AF194"/>
    <mergeCell ref="E229:F229"/>
    <mergeCell ref="G229:AF229"/>
    <mergeCell ref="AG229:AN229"/>
    <mergeCell ref="E230:F230"/>
    <mergeCell ref="AG231:AN231"/>
    <mergeCell ref="E232:F232"/>
    <mergeCell ref="G232:AF232"/>
    <mergeCell ref="AG232:AN232"/>
    <mergeCell ref="BS245:BZ245"/>
    <mergeCell ref="AS239:BR239"/>
    <mergeCell ref="G230:AF230"/>
    <mergeCell ref="AG230:AN230"/>
    <mergeCell ref="E231:F231"/>
    <mergeCell ref="AG251:AN251"/>
    <mergeCell ref="G253:AF253"/>
    <mergeCell ref="AQ214:AR214"/>
    <mergeCell ref="AS219:BR219"/>
    <mergeCell ref="BS219:BZ219"/>
    <mergeCell ref="E243:F243"/>
    <mergeCell ref="G243:AF243"/>
    <mergeCell ref="BS215:BZ215"/>
    <mergeCell ref="AQ216:AR216"/>
    <mergeCell ref="AS216:BR216"/>
    <mergeCell ref="BS216:BZ216"/>
    <mergeCell ref="AQ217:AR217"/>
    <mergeCell ref="AS217:BR217"/>
    <mergeCell ref="BS217:BZ217"/>
    <mergeCell ref="AS237:BR237"/>
    <mergeCell ref="AS245:BR245"/>
    <mergeCell ref="E239:F239"/>
    <mergeCell ref="E240:F240"/>
    <mergeCell ref="G240:AF240"/>
    <mergeCell ref="AG260:AN260"/>
    <mergeCell ref="E261:F261"/>
    <mergeCell ref="G261:AF261"/>
    <mergeCell ref="AG261:AN261"/>
    <mergeCell ref="E244:F244"/>
    <mergeCell ref="G244:AF244"/>
    <mergeCell ref="AG244:AN244"/>
    <mergeCell ref="E245:F245"/>
    <mergeCell ref="G245:AF245"/>
    <mergeCell ref="AG245:AN245"/>
    <mergeCell ref="E252:F252"/>
    <mergeCell ref="G252:AF252"/>
    <mergeCell ref="AG252:AN252"/>
    <mergeCell ref="E253:F253"/>
    <mergeCell ref="AG253:AN253"/>
    <mergeCell ref="E254:F254"/>
    <mergeCell ref="E249:F249"/>
    <mergeCell ref="G249:AF249"/>
    <mergeCell ref="AG249:AN249"/>
    <mergeCell ref="E250:F250"/>
    <mergeCell ref="G250:AF250"/>
    <mergeCell ref="AG250:AN250"/>
    <mergeCell ref="E251:F251"/>
    <mergeCell ref="G251:AF251"/>
    <mergeCell ref="E264:F264"/>
    <mergeCell ref="G264:AF264"/>
    <mergeCell ref="E265:F265"/>
    <mergeCell ref="BS234:BZ234"/>
    <mergeCell ref="AQ221:AR221"/>
    <mergeCell ref="BS233:BZ233"/>
    <mergeCell ref="AQ239:AR239"/>
    <mergeCell ref="E206:F206"/>
    <mergeCell ref="G206:AF206"/>
    <mergeCell ref="AG206:AN206"/>
    <mergeCell ref="E207:F207"/>
    <mergeCell ref="G207:AF207"/>
    <mergeCell ref="AG207:AN207"/>
    <mergeCell ref="E208:F208"/>
    <mergeCell ref="G208:AF208"/>
    <mergeCell ref="AG208:AN208"/>
    <mergeCell ref="E213:F213"/>
    <mergeCell ref="G213:AF213"/>
    <mergeCell ref="AG213:AN213"/>
    <mergeCell ref="BS263:BZ263"/>
    <mergeCell ref="BS258:BZ258"/>
    <mergeCell ref="BS259:BZ259"/>
    <mergeCell ref="BS260:BZ260"/>
    <mergeCell ref="BS261:BZ261"/>
    <mergeCell ref="E258:F258"/>
    <mergeCell ref="G258:AF258"/>
    <mergeCell ref="AG258:AN258"/>
    <mergeCell ref="E259:F259"/>
    <mergeCell ref="G259:AF259"/>
    <mergeCell ref="AG259:AN259"/>
    <mergeCell ref="E260:F260"/>
    <mergeCell ref="G260:AF260"/>
    <mergeCell ref="E256:F256"/>
    <mergeCell ref="G256:AF256"/>
    <mergeCell ref="AG256:AN256"/>
    <mergeCell ref="E257:F257"/>
    <mergeCell ref="G257:AF257"/>
    <mergeCell ref="AG257:AN257"/>
    <mergeCell ref="AQ228:AR228"/>
    <mergeCell ref="AS228:BR228"/>
    <mergeCell ref="BS228:BZ228"/>
    <mergeCell ref="AQ227:AR227"/>
    <mergeCell ref="AS227:BR227"/>
    <mergeCell ref="BS227:BZ227"/>
    <mergeCell ref="AS222:BR222"/>
    <mergeCell ref="BS222:BZ222"/>
    <mergeCell ref="E219:F219"/>
    <mergeCell ref="E221:F221"/>
    <mergeCell ref="G221:AF221"/>
    <mergeCell ref="BS257:BZ257"/>
    <mergeCell ref="AS233:BR233"/>
    <mergeCell ref="AQ245:AR245"/>
    <mergeCell ref="E233:F233"/>
    <mergeCell ref="G233:AF233"/>
    <mergeCell ref="AG233:AN233"/>
    <mergeCell ref="G227:AF227"/>
    <mergeCell ref="AG227:AN227"/>
    <mergeCell ref="E228:F228"/>
    <mergeCell ref="G228:AF228"/>
    <mergeCell ref="AG228:AN228"/>
    <mergeCell ref="BS231:BZ231"/>
    <mergeCell ref="AQ232:AR232"/>
    <mergeCell ref="AS232:BR232"/>
    <mergeCell ref="BS232:BZ232"/>
    <mergeCell ref="G202:AF202"/>
    <mergeCell ref="AG202:AN202"/>
    <mergeCell ref="BS207:BZ207"/>
    <mergeCell ref="AQ208:AR208"/>
    <mergeCell ref="AS208:BR208"/>
    <mergeCell ref="BS208:BZ208"/>
    <mergeCell ref="AQ205:AR205"/>
    <mergeCell ref="AS205:BR205"/>
    <mergeCell ref="AS209:BR209"/>
    <mergeCell ref="AS212:BR212"/>
    <mergeCell ref="AQ218:AR218"/>
    <mergeCell ref="AS218:BR218"/>
    <mergeCell ref="AS210:BR210"/>
    <mergeCell ref="AQ211:AR211"/>
    <mergeCell ref="AS211:BR211"/>
    <mergeCell ref="AQ212:AR212"/>
    <mergeCell ref="BS220:BZ220"/>
    <mergeCell ref="BS209:BZ209"/>
    <mergeCell ref="BS210:BZ210"/>
    <mergeCell ref="BS211:BZ211"/>
    <mergeCell ref="BS212:BZ212"/>
    <mergeCell ref="BS218:BZ218"/>
    <mergeCell ref="AQ219:AR219"/>
    <mergeCell ref="G205:AF205"/>
    <mergeCell ref="AG205:AN205"/>
    <mergeCell ref="G219:AF219"/>
    <mergeCell ref="AG219:AN219"/>
    <mergeCell ref="BS205:BZ205"/>
    <mergeCell ref="AQ206:AR206"/>
    <mergeCell ref="AS206:BR206"/>
    <mergeCell ref="BS206:BZ206"/>
    <mergeCell ref="AQ207:AR207"/>
    <mergeCell ref="AS203:BR203"/>
    <mergeCell ref="BS203:BZ203"/>
    <mergeCell ref="AQ204:AR204"/>
    <mergeCell ref="AS204:BR204"/>
    <mergeCell ref="BS204:BZ204"/>
    <mergeCell ref="AS207:BR207"/>
    <mergeCell ref="AS213:BR213"/>
    <mergeCell ref="BS213:BZ213"/>
    <mergeCell ref="AG210:AN210"/>
    <mergeCell ref="E211:F211"/>
    <mergeCell ref="G211:AF211"/>
    <mergeCell ref="AG211:AN211"/>
    <mergeCell ref="E217:F217"/>
    <mergeCell ref="G217:AF217"/>
    <mergeCell ref="AG217:AN217"/>
    <mergeCell ref="E218:F218"/>
    <mergeCell ref="G218:AF218"/>
    <mergeCell ref="AG218:AN218"/>
    <mergeCell ref="E209:F209"/>
    <mergeCell ref="G209:AF209"/>
    <mergeCell ref="AQ213:AR213"/>
    <mergeCell ref="BS184:BZ184"/>
    <mergeCell ref="AQ185:AR185"/>
    <mergeCell ref="AG214:AN214"/>
    <mergeCell ref="E215:F215"/>
    <mergeCell ref="G215:AF215"/>
    <mergeCell ref="AG215:AN215"/>
    <mergeCell ref="E216:F216"/>
    <mergeCell ref="G216:AF216"/>
    <mergeCell ref="AG216:AN216"/>
    <mergeCell ref="E212:F212"/>
    <mergeCell ref="AQ200:AR200"/>
    <mergeCell ref="G212:AF212"/>
    <mergeCell ref="AG212:AN212"/>
    <mergeCell ref="BS185:BZ185"/>
    <mergeCell ref="BS186:BZ186"/>
    <mergeCell ref="AQ187:AR187"/>
    <mergeCell ref="AS187:BR187"/>
    <mergeCell ref="BS187:BZ187"/>
    <mergeCell ref="AQ188:AR188"/>
    <mergeCell ref="AS188:BR188"/>
    <mergeCell ref="BS188:BZ188"/>
    <mergeCell ref="AQ189:AR189"/>
    <mergeCell ref="E203:F203"/>
    <mergeCell ref="G203:AF203"/>
    <mergeCell ref="AG203:AN203"/>
    <mergeCell ref="E204:F204"/>
    <mergeCell ref="G204:AF204"/>
    <mergeCell ref="AG204:AN204"/>
    <mergeCell ref="E205:F205"/>
    <mergeCell ref="E214:F214"/>
    <mergeCell ref="G214:AF214"/>
    <mergeCell ref="BS202:BZ202"/>
    <mergeCell ref="AQ190:AR190"/>
    <mergeCell ref="AS190:BR190"/>
    <mergeCell ref="BS190:BZ190"/>
    <mergeCell ref="BS191:BZ191"/>
    <mergeCell ref="AQ192:AR192"/>
    <mergeCell ref="AS192:BR192"/>
    <mergeCell ref="BS192:BZ192"/>
    <mergeCell ref="AQ191:AR191"/>
    <mergeCell ref="AS191:BR191"/>
    <mergeCell ref="AQ186:AR186"/>
    <mergeCell ref="AS186:BR186"/>
    <mergeCell ref="BS193:BZ193"/>
    <mergeCell ref="AQ194:AR194"/>
    <mergeCell ref="AS194:BR194"/>
    <mergeCell ref="BS194:BZ194"/>
    <mergeCell ref="AG194:AN194"/>
    <mergeCell ref="G197:AF197"/>
    <mergeCell ref="AG197:AN197"/>
    <mergeCell ref="G186:AF186"/>
    <mergeCell ref="E303:F303"/>
    <mergeCell ref="G282:AF282"/>
    <mergeCell ref="AG282:AN282"/>
    <mergeCell ref="G283:AF283"/>
    <mergeCell ref="AG283:AN283"/>
    <mergeCell ref="G284:AF284"/>
    <mergeCell ref="AG284:AN284"/>
    <mergeCell ref="G285:AF285"/>
    <mergeCell ref="AG285:AN285"/>
    <mergeCell ref="G286:AF286"/>
    <mergeCell ref="AG286:AN286"/>
    <mergeCell ref="G287:AF287"/>
    <mergeCell ref="AG287:AN287"/>
    <mergeCell ref="AG292:AN292"/>
    <mergeCell ref="G293:AF293"/>
    <mergeCell ref="AG293:AN293"/>
    <mergeCell ref="AQ195:AR195"/>
    <mergeCell ref="AQ196:AR196"/>
    <mergeCell ref="AQ197:AR197"/>
    <mergeCell ref="AQ199:AR199"/>
    <mergeCell ref="AQ198:AR198"/>
    <mergeCell ref="E198:F198"/>
    <mergeCell ref="G198:AF198"/>
    <mergeCell ref="AG198:AN198"/>
    <mergeCell ref="G199:AF199"/>
    <mergeCell ref="AG199:AN199"/>
    <mergeCell ref="G200:AF200"/>
    <mergeCell ref="AG200:AN200"/>
    <mergeCell ref="E220:F220"/>
    <mergeCell ref="G220:AF220"/>
    <mergeCell ref="AG220:AN220"/>
    <mergeCell ref="AQ203:AR203"/>
    <mergeCell ref="AS258:BR258"/>
    <mergeCell ref="D103:AN103"/>
    <mergeCell ref="AQ272:AR272"/>
    <mergeCell ref="G289:AF289"/>
    <mergeCell ref="AG289:AN289"/>
    <mergeCell ref="AQ273:AR273"/>
    <mergeCell ref="G290:AF290"/>
    <mergeCell ref="AG290:AN290"/>
    <mergeCell ref="AG291:AN291"/>
    <mergeCell ref="AQ275:AR275"/>
    <mergeCell ref="G292:AF292"/>
    <mergeCell ref="AS200:BR200"/>
    <mergeCell ref="BS200:BZ200"/>
    <mergeCell ref="AQ201:AR201"/>
    <mergeCell ref="AS201:BR201"/>
    <mergeCell ref="BS201:BZ201"/>
    <mergeCell ref="AQ202:AR202"/>
    <mergeCell ref="AS202:BR202"/>
    <mergeCell ref="AS195:BR195"/>
    <mergeCell ref="BS195:BZ195"/>
    <mergeCell ref="AS196:BR196"/>
    <mergeCell ref="BS196:BZ196"/>
    <mergeCell ref="AS197:BR197"/>
    <mergeCell ref="BS197:BZ197"/>
    <mergeCell ref="BS198:BZ198"/>
    <mergeCell ref="AS199:BR199"/>
    <mergeCell ref="BS199:BZ199"/>
    <mergeCell ref="AS198:BR198"/>
    <mergeCell ref="AQ193:AR193"/>
    <mergeCell ref="AS193:BR193"/>
    <mergeCell ref="AS189:BR189"/>
    <mergeCell ref="BS189:BZ189"/>
    <mergeCell ref="G263:AF263"/>
    <mergeCell ref="AG263:AN263"/>
    <mergeCell ref="G296:AF296"/>
    <mergeCell ref="AG296:AN296"/>
    <mergeCell ref="G297:AF297"/>
    <mergeCell ref="AG297:AN297"/>
    <mergeCell ref="G298:AF298"/>
    <mergeCell ref="AG298:AN298"/>
    <mergeCell ref="AW17:BD17"/>
    <mergeCell ref="N18:AM18"/>
    <mergeCell ref="AN18:AV18"/>
    <mergeCell ref="AW18:BD18"/>
    <mergeCell ref="G275:AF275"/>
    <mergeCell ref="AG275:AN275"/>
    <mergeCell ref="E297:F297"/>
    <mergeCell ref="G276:AF276"/>
    <mergeCell ref="AG276:AN276"/>
    <mergeCell ref="E290:F290"/>
    <mergeCell ref="AS263:BR263"/>
    <mergeCell ref="E291:F291"/>
    <mergeCell ref="AS264:BR264"/>
    <mergeCell ref="E277:F277"/>
    <mergeCell ref="E286:F286"/>
    <mergeCell ref="AS259:BR259"/>
    <mergeCell ref="E287:F287"/>
    <mergeCell ref="AS260:BR260"/>
    <mergeCell ref="E288:F288"/>
    <mergeCell ref="AS261:BR261"/>
    <mergeCell ref="E289:F289"/>
    <mergeCell ref="AS262:BR262"/>
    <mergeCell ref="AS257:BR257"/>
    <mergeCell ref="E285:F285"/>
    <mergeCell ref="AQ298:AR298"/>
    <mergeCell ref="AQ299:AR299"/>
    <mergeCell ref="G301:AF301"/>
    <mergeCell ref="AG301:AN301"/>
    <mergeCell ref="E278:F278"/>
    <mergeCell ref="E279:F279"/>
    <mergeCell ref="E280:F280"/>
    <mergeCell ref="AS253:BR253"/>
    <mergeCell ref="BS253:BZ253"/>
    <mergeCell ref="E281:F281"/>
    <mergeCell ref="AS254:BR254"/>
    <mergeCell ref="BS254:BZ254"/>
    <mergeCell ref="E282:F282"/>
    <mergeCell ref="AS255:BR255"/>
    <mergeCell ref="BS255:BZ255"/>
    <mergeCell ref="AG299:AN299"/>
    <mergeCell ref="G300:AF300"/>
    <mergeCell ref="AG300:AN300"/>
    <mergeCell ref="BS262:BZ262"/>
    <mergeCell ref="BS264:BZ264"/>
    <mergeCell ref="E292:F292"/>
    <mergeCell ref="AS265:BR265"/>
    <mergeCell ref="BS265:BZ265"/>
    <mergeCell ref="E293:F293"/>
    <mergeCell ref="G272:AF272"/>
    <mergeCell ref="AG272:AN272"/>
    <mergeCell ref="E294:F294"/>
    <mergeCell ref="E284:F284"/>
    <mergeCell ref="E262:F262"/>
    <mergeCell ref="G262:AF262"/>
    <mergeCell ref="AG262:AN262"/>
    <mergeCell ref="E263:F263"/>
    <mergeCell ref="AS291:BR291"/>
    <mergeCell ref="BS291:BZ291"/>
    <mergeCell ref="AS292:BR292"/>
    <mergeCell ref="BS292:BZ292"/>
    <mergeCell ref="AS293:BR293"/>
    <mergeCell ref="BS293:BZ293"/>
    <mergeCell ref="AS294:BR294"/>
    <mergeCell ref="BS294:BZ294"/>
    <mergeCell ref="AS295:BR295"/>
    <mergeCell ref="D133:AN133"/>
    <mergeCell ref="AO133:BD133"/>
    <mergeCell ref="E310:F310"/>
    <mergeCell ref="G310:AF310"/>
    <mergeCell ref="AG310:AN310"/>
    <mergeCell ref="AQ280:AR280"/>
    <mergeCell ref="AQ281:AR281"/>
    <mergeCell ref="AQ282:AR282"/>
    <mergeCell ref="AQ283:AR283"/>
    <mergeCell ref="AQ284:AR284"/>
    <mergeCell ref="AQ285:AR285"/>
    <mergeCell ref="AQ286:AR286"/>
    <mergeCell ref="AQ287:AR287"/>
    <mergeCell ref="AQ288:AR288"/>
    <mergeCell ref="AQ289:AR289"/>
    <mergeCell ref="AQ290:AR290"/>
    <mergeCell ref="AQ291:AR291"/>
    <mergeCell ref="AQ292:AR292"/>
    <mergeCell ref="AQ293:AR293"/>
    <mergeCell ref="AQ294:AR294"/>
    <mergeCell ref="AQ295:AR295"/>
    <mergeCell ref="AQ296:AR296"/>
    <mergeCell ref="AQ297:AR297"/>
    <mergeCell ref="BS295:BZ295"/>
    <mergeCell ref="AS296:BR296"/>
    <mergeCell ref="BS296:BZ296"/>
    <mergeCell ref="AS297:BR297"/>
    <mergeCell ref="BS297:BZ297"/>
    <mergeCell ref="AS298:BR298"/>
    <mergeCell ref="BS298:BZ298"/>
    <mergeCell ref="AS299:BR299"/>
    <mergeCell ref="BS299:BZ299"/>
    <mergeCell ref="R831:BB834"/>
    <mergeCell ref="AS280:BR280"/>
    <mergeCell ref="BS280:BZ280"/>
    <mergeCell ref="AS281:BR281"/>
    <mergeCell ref="BS281:BZ281"/>
    <mergeCell ref="AS282:BR282"/>
    <mergeCell ref="BS282:BZ282"/>
    <mergeCell ref="AS283:BR283"/>
    <mergeCell ref="BS283:BZ283"/>
    <mergeCell ref="AS284:BR284"/>
    <mergeCell ref="BS284:BZ284"/>
    <mergeCell ref="AS285:BR285"/>
    <mergeCell ref="BS285:BZ285"/>
    <mergeCell ref="AS286:BR286"/>
    <mergeCell ref="BS286:BZ286"/>
    <mergeCell ref="AS287:BR287"/>
    <mergeCell ref="BS287:BZ287"/>
    <mergeCell ref="AS288:BR288"/>
    <mergeCell ref="BS288:BZ288"/>
    <mergeCell ref="AS289:BR289"/>
    <mergeCell ref="BS289:BZ289"/>
    <mergeCell ref="AS290:BR290"/>
    <mergeCell ref="BS290:BZ290"/>
  </mergeCells>
  <phoneticPr fontId="3"/>
  <dataValidations count="2">
    <dataValidation type="list" allowBlank="1" showInputMessage="1" showErrorMessage="1" sqref="AG248:AN248 AG186:AN190" xr:uid="{3FC9FF60-8A54-44A8-B454-5702547427ED}">
      <formula1>$CG$140:$CG$145</formula1>
    </dataValidation>
    <dataValidation type="list" allowBlank="1" showInputMessage="1" showErrorMessage="1" sqref="AG184:AN185 AG272:AN310 BS227:BZ265 AG249:AN265 AG227:AN247 BS184:BZ222 AG191:AN222 BS272:BZ299" xr:uid="{00000000-0002-0000-0900-000000000000}">
      <formula1>$CG$183:$CG$189</formula1>
    </dataValidation>
  </dataValidations>
  <pageMargins left="0.39370078740157483" right="0.39370078740157483" top="0.78740157480314965" bottom="0.39370078740157483" header="0.59055118110236227" footer="0.19685039370078741"/>
  <pageSetup paperSize="9" scale="80" orientation="landscape" r:id="rId1"/>
  <headerFooter alignWithMargins="0">
    <oddFooter>&amp;C&amp;P　/　&amp;N&amp;R株式会社　京信システムサービス</oddFooter>
  </headerFooter>
  <rowBreaks count="5" manualBreakCount="5">
    <brk id="509" max="16383" man="1"/>
    <brk id="637" max="16383" man="1"/>
    <brk id="724" max="16383" man="1"/>
    <brk id="757" max="16383" man="1"/>
    <brk id="929"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13</vt:i4>
      </vt:variant>
      <vt:variant>
        <vt:lpstr>名前付き一覧</vt:lpstr>
      </vt:variant>
      <vt:variant>
        <vt:i4>12</vt:i4>
      </vt:variant>
    </vt:vector>
  </HeadingPairs>
  <TitlesOfParts>
    <vt:vector size="25" baseType="lpstr">
      <vt:lpstr>タイトル</vt:lpstr>
      <vt:lpstr>改訂履歴</vt:lpstr>
      <vt:lpstr>目次</vt:lpstr>
      <vt:lpstr>構成図</vt:lpstr>
      <vt:lpstr>環境図</vt:lpstr>
      <vt:lpstr>サーバ設計</vt:lpstr>
      <vt:lpstr>ネットワーク設計</vt:lpstr>
      <vt:lpstr>ユーザセキュリティ設計</vt:lpstr>
      <vt:lpstr>バックアップ設計</vt:lpstr>
      <vt:lpstr>ジョブスケジュール設計</vt:lpstr>
      <vt:lpstr>SSO連携</vt:lpstr>
      <vt:lpstr>統合DB連携</vt:lpstr>
      <vt:lpstr>システムパラメータ設計(APDB)</vt:lpstr>
      <vt:lpstr>タイトル!Print_Area</vt:lpstr>
      <vt:lpstr>環境図!Print_Area</vt:lpstr>
      <vt:lpstr>SSO連携!Print_Titles</vt:lpstr>
      <vt:lpstr>サーバ設計!Print_Titles</vt:lpstr>
      <vt:lpstr>'システムパラメータ設計(APDB)'!Print_Titles</vt:lpstr>
      <vt:lpstr>ジョブスケジュール設計!Print_Titles</vt:lpstr>
      <vt:lpstr>ネットワーク設計!Print_Titles</vt:lpstr>
      <vt:lpstr>バックアップ設計!Print_Titles</vt:lpstr>
      <vt:lpstr>ユーザセキュリティ設計!Print_Titles</vt:lpstr>
      <vt:lpstr>環境図!Print_Titles</vt:lpstr>
      <vt:lpstr>構成図!Print_Titles</vt:lpstr>
      <vt:lpstr>統合DB連携!Print_Titles</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[協]白築　太郎</dc:creator>
  <cp:lastModifiedBy>大久保　梓沙</cp:lastModifiedBy>
  <cp:lastPrinted>2024-02-14T08:56:32Z</cp:lastPrinted>
  <dcterms:created xsi:type="dcterms:W3CDTF">2006-03-07T04:00:40Z</dcterms:created>
  <dcterms:modified xsi:type="dcterms:W3CDTF">2024-02-27T06:41:27Z</dcterms:modified>
</cp:coreProperties>
</file>
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10_機能一覧\"/>
    </mc:Choice>
  </mc:AlternateContent>
  <xr:revisionPtr revIDLastSave="0" documentId="13_ncr:1_{D83C12E3-B071-4791-BE0A-2B92856454E9}" xr6:coauthVersionLast="47" xr6:coauthVersionMax="47" xr10:uidLastSave="{00000000-0000-0000-0000-000000000000}"/>
  <bookViews>
    <workbookView xWindow="-120" yWindow="-120" windowWidth="29040" windowHeight="15840" tabRatio="900" xr2:uid="{00000000-000D-0000-FFFF-FFFF00000000}"/>
  </bookViews>
  <sheets>
    <sheet name="タイトル" sheetId="31" r:id="rId1"/>
    <sheet name="改訂履歴" sheetId="34" r:id="rId2"/>
    <sheet name="機能要件一覧" sheetId="8" r:id="rId3"/>
    <sheet name="機能一覧" sheetId="10" r:id="rId4"/>
    <sheet name="勤務承認_old20231121" sheetId="47" state="hidden" r:id="rId5"/>
    <sheet name="(ひな形)" sheetId="14" state="hidden" r:id="rId6"/>
  </sheets>
  <definedNames>
    <definedName name="_xlnm._FilterDatabase" localSheetId="1" hidden="1">改訂履歴!$A$3:$BX$18</definedName>
    <definedName name="_xlnm._FilterDatabase" localSheetId="3" hidden="1">機能一覧!$A$4:$H$71</definedName>
    <definedName name="_xlnm._FilterDatabase" localSheetId="2" hidden="1">機能要件一覧!$A$1:$E$16</definedName>
    <definedName name="AitemDic">#REF!</definedName>
    <definedName name="coltype">#REF!</definedName>
    <definedName name="KIZYUNBI">#REF!</definedName>
    <definedName name="_xlnm.Print_Area" localSheetId="0">タイトル!$A$1:$AC$36</definedName>
    <definedName name="_xlnm.Print_Area" localSheetId="2">テーブル1[#All]</definedName>
    <definedName name="_xlnm.Print_Area" localSheetId="4">勤務承認_old20231121!$A$1:$AU$145</definedName>
    <definedName name="_xlnm.Print_Titles" localSheetId="1">改訂履歴!$1:$4</definedName>
    <definedName name="_xlnm.Print_Titles" localSheetId="3">機能一覧!$3:$4</definedName>
    <definedName name="_xlnm.Print_Titles" localSheetId="2">機能要件一覧!$1:$1</definedName>
    <definedName name="wrn.Print." localSheetId="1" hidden="1">{#N/A,#N/A,TRUE,"10月";#N/A,#N/A,TRUE,"11月";#N/A,#N/A,TRUE,"12月";#N/A,#N/A,TRUE,"1月";#N/A,#N/A,TRUE,"2月";#N/A,#N/A,TRUE,"3月"}</definedName>
    <definedName name="wrn.Print." localSheetId="3" hidden="1">{#N/A,#N/A,TRUE,"10月";#N/A,#N/A,TRUE,"11月";#N/A,#N/A,TRUE,"12月";#N/A,#N/A,TRUE,"1月";#N/A,#N/A,TRUE,"2月";#N/A,#N/A,TRUE,"3月"}</definedName>
    <definedName name="wrn.Print." hidden="1">{#N/A,#N/A,TRUE,"10月";#N/A,#N/A,TRUE,"11月";#N/A,#N/A,TRUE,"12月";#N/A,#N/A,TRUE,"1月";#N/A,#N/A,TRUE,"2月";#N/A,#N/A,TRUE,"3月"}</definedName>
    <definedName name="wrn.見積書." localSheetId="1" hidden="1">{#N/A,#N/A,FALSE,"見積･大阪柔整会"}</definedName>
    <definedName name="wrn.見積書." localSheetId="3" hidden="1">{#N/A,#N/A,FALSE,"見積･大阪柔整会"}</definedName>
    <definedName name="wrn.見積書." hidden="1">{#N/A,#N/A,FALSE,"見積･大阪柔整会"}</definedName>
    <definedName name="wrn.見積明細書." localSheetId="1" hidden="1">{#N/A,#N/A,TRUE,"見積･佐川"}</definedName>
    <definedName name="wrn.見積明細書." localSheetId="3" hidden="1">{#N/A,#N/A,TRUE,"見積･佐川"}</definedName>
    <definedName name="wrn.見積明細書." hidden="1">{#N/A,#N/A,TRUE,"見積･佐川"}</definedName>
    <definedName name="Z_17C55157_EAED_41F7_BD5D_49765AFDC982_.wvu.FilterData" localSheetId="2" hidden="1">機能要件一覧!$B$1:$E$16</definedName>
    <definedName name="Z_17C55157_EAED_41F7_BD5D_49765AFDC982_.wvu.PrintArea" localSheetId="2" hidden="1">機能要件一覧!$B$1:$E$16</definedName>
    <definedName name="Z_17C55157_EAED_41F7_BD5D_49765AFDC982_.wvu.PrintTitles" localSheetId="2" hidden="1">機能要件一覧!#REF!</definedName>
    <definedName name="Z_2A0192F0_C71E_4900_86EA_5922A2E3762A_.wvu.FilterData" localSheetId="2" hidden="1">機能要件一覧!$B$1:$E$16</definedName>
    <definedName name="Z_2A0192F0_C71E_4900_86EA_5922A2E3762A_.wvu.PrintArea" localSheetId="2" hidden="1">機能要件一覧!$B$1:$E$16</definedName>
    <definedName name="Z_2A0192F0_C71E_4900_86EA_5922A2E3762A_.wvu.PrintTitles" localSheetId="2" hidden="1">機能要件一覧!#REF!</definedName>
    <definedName name="Z_51398A97_9580_4775_AB62_F9725F6AF10C_.wvu.FilterData" localSheetId="2" hidden="1">機能要件一覧!$B$1:$E$16</definedName>
    <definedName name="Z_ECE938CB_509C_4B27_BD87_0221C56A91CE_.wvu.FilterData" localSheetId="2" hidden="1">機能要件一覧!$B$1:$E$16</definedName>
    <definedName name="Z_ECE938CB_509C_4B27_BD87_0221C56A91CE_.wvu.PrintArea" localSheetId="2" hidden="1">機能要件一覧!$B$1:$E$16</definedName>
    <definedName name="Z_ECE938CB_509C_4B27_BD87_0221C56A91CE_.wvu.PrintTitles" localSheetId="2" hidden="1">機能要件一覧!#REF!</definedName>
    <definedName name="シート数">#REF!</definedName>
    <definedName name="機器販売原価" localSheetId="1" hidden="1">{#N/A,#N/A,TRUE,"見積･佐川"}</definedName>
    <definedName name="機器販売原価" localSheetId="3" hidden="1">{#N/A,#N/A,TRUE,"見積･佐川"}</definedName>
    <definedName name="機器販売原価" hidden="1">{#N/A,#N/A,TRUE,"見積･佐川"}</definedName>
    <definedName name="機器販売原価見積書" localSheetId="1" hidden="1">{#N/A,#N/A,FALSE,"見積･大阪柔整会"}</definedName>
    <definedName name="機器販売原価見積書" localSheetId="3" hidden="1">{#N/A,#N/A,FALSE,"見積･大阪柔整会"}</definedName>
    <definedName name="機器販売原価見積書" hidden="1">{#N/A,#N/A,FALSE,"見積･大阪柔整会"}</definedName>
  </definedNames>
  <calcPr calcId="191029"/>
  <customWorkbookViews>
    <customWorkbookView name="Okada Taito - 個人用ビュー" guid="{17C55157-EAED-41F7-BD5D-49765AFDC982}" mergeInterval="0" personalView="1" maximized="1" xWindow="-8" yWindow="-8" windowWidth="1936" windowHeight="1056" tabRatio="772" activeSheetId="1"/>
    <customWorkbookView name="Sugioka Mikiya - 個人用ビュー" guid="{ECE938CB-509C-4B27-BD87-0221C56A91CE}" mergeInterval="0" personalView="1" windowWidth="1645" windowHeight="1050" tabRatio="772" activeSheetId="1"/>
    <customWorkbookView name="Matsumura Kei - 個人用ビュー" guid="{2A0192F0-C71E-4900-86EA-5922A2E3762A}" mergeInterval="0" personalView="1" maximized="1" xWindow="-8" yWindow="-8" windowWidth="1936" windowHeight="1066" tabRatio="772" activeSheetId="1"/>
  </customWorkbookViews>
</workbook>
</file>

<file path=xl/calcChain.xml><?xml version="1.0" encoding="utf-8"?>
<calcChain xmlns="http://schemas.openxmlformats.org/spreadsheetml/2006/main">
  <c r="H52" i="10" l="1"/>
  <c r="H51" i="10"/>
  <c r="H50" i="10"/>
  <c r="H49" i="10"/>
  <c r="H53" i="10"/>
  <c r="H57" i="10"/>
  <c r="H11" i="10"/>
  <c r="H19" i="10" l="1"/>
  <c r="H64" i="10"/>
  <c r="H61" i="10"/>
  <c r="H6" i="10"/>
  <c r="H32" i="10"/>
  <c r="H16" i="10" l="1"/>
  <c r="H31" i="10" l="1"/>
  <c r="H65" i="10" l="1"/>
  <c r="H63" i="10"/>
  <c r="H62" i="10"/>
  <c r="H60" i="10"/>
  <c r="H59" i="10"/>
  <c r="H58" i="10"/>
  <c r="H56" i="10"/>
  <c r="H55" i="10"/>
  <c r="H54" i="10"/>
  <c r="H48" i="10"/>
  <c r="H47" i="10"/>
  <c r="H46" i="10"/>
  <c r="H45" i="10"/>
  <c r="H44" i="10"/>
  <c r="H43" i="10"/>
  <c r="H42" i="10"/>
  <c r="H41" i="10"/>
  <c r="H40" i="10"/>
  <c r="H39" i="10"/>
  <c r="H38" i="10"/>
  <c r="H37" i="10"/>
  <c r="H36" i="10"/>
  <c r="H35" i="10"/>
  <c r="H34" i="10"/>
  <c r="H33" i="10"/>
  <c r="H30" i="10"/>
  <c r="H29" i="10"/>
  <c r="H28" i="10"/>
  <c r="H27" i="10"/>
  <c r="H26" i="10"/>
  <c r="H25" i="10"/>
  <c r="H24" i="10"/>
  <c r="H23" i="10"/>
  <c r="H22" i="10"/>
  <c r="H21" i="10"/>
  <c r="H20" i="10"/>
  <c r="H18" i="10"/>
  <c r="H17" i="10"/>
  <c r="H15" i="10"/>
  <c r="H14" i="10"/>
  <c r="H13" i="10"/>
  <c r="H12" i="10"/>
  <c r="I51" i="31" l="1"/>
  <c r="J5" i="34" l="1"/>
  <c r="I49" i="31" s="1"/>
  <c r="H5" i="10"/>
  <c r="H67" i="10"/>
  <c r="J29" i="31" l="1"/>
  <c r="J27" i="31"/>
  <c r="G20" i="31" l="1"/>
  <c r="G17" i="31"/>
  <c r="G14" i="31"/>
  <c r="G11" i="31"/>
  <c r="H69" i="10" l="1"/>
  <c r="H68" i="10"/>
  <c r="H66" i="10"/>
  <c r="H10" i="10"/>
  <c r="H9" i="10"/>
  <c r="H8" i="10"/>
  <c r="H7" i="10"/>
  <c r="A1"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3" authorId="0" shapeId="0" xr:uid="{F65045AE-2290-4EDF-99B0-4054BCFC4638}">
      <text>
        <r>
          <rPr>
            <sz val="9"/>
            <color indexed="81"/>
            <rFont val="ＭＳ Ｐゴシック"/>
            <family val="3"/>
            <charset val="128"/>
          </rPr>
          <t>変更内容を簡潔に記述</t>
        </r>
      </text>
    </comment>
  </commentList>
</comments>
</file>

<file path=xl/sharedStrings.xml><?xml version="1.0" encoding="utf-8"?>
<sst xmlns="http://schemas.openxmlformats.org/spreadsheetml/2006/main" count="1596" uniqueCount="428">
  <si>
    <t>機能番号</t>
    <rPh sb="0" eb="2">
      <t>キノウ</t>
    </rPh>
    <rPh sb="2" eb="4">
      <t>バンゴウ</t>
    </rPh>
    <phoneticPr fontId="2"/>
  </si>
  <si>
    <t>項
番</t>
    <rPh sb="0" eb="1">
      <t>コウ</t>
    </rPh>
    <rPh sb="2" eb="3">
      <t>バン</t>
    </rPh>
    <phoneticPr fontId="2"/>
  </si>
  <si>
    <t>処理名</t>
  </si>
  <si>
    <t>管理番号</t>
    <rPh sb="0" eb="2">
      <t>カンリ</t>
    </rPh>
    <rPh sb="2" eb="4">
      <t>バンゴウ</t>
    </rPh>
    <phoneticPr fontId="9"/>
  </si>
  <si>
    <t>サイドメニュー</t>
    <phoneticPr fontId="9"/>
  </si>
  <si>
    <t>学生勤務管理システム機能一覧</t>
    <rPh sb="0" eb="6">
      <t>ガクセイキンムカンリ</t>
    </rPh>
    <rPh sb="10" eb="12">
      <t>キノウ</t>
    </rPh>
    <rPh sb="12" eb="14">
      <t>イチラン</t>
    </rPh>
    <phoneticPr fontId="9"/>
  </si>
  <si>
    <t>分類</t>
    <rPh sb="0" eb="2">
      <t>ブンルイ</t>
    </rPh>
    <phoneticPr fontId="9"/>
  </si>
  <si>
    <t>業務名</t>
  </si>
  <si>
    <t>機能名</t>
  </si>
  <si>
    <t>メニュー関係</t>
    <rPh sb="4" eb="6">
      <t>カンケイ</t>
    </rPh>
    <phoneticPr fontId="9"/>
  </si>
  <si>
    <t>010</t>
    <phoneticPr fontId="9"/>
  </si>
  <si>
    <t>ログイン</t>
    <phoneticPr fontId="9"/>
  </si>
  <si>
    <t>01G</t>
  </si>
  <si>
    <t>020</t>
    <phoneticPr fontId="9"/>
  </si>
  <si>
    <t>ホーム</t>
    <phoneticPr fontId="9"/>
  </si>
  <si>
    <t>02G</t>
    <phoneticPr fontId="9"/>
  </si>
  <si>
    <t>03G</t>
    <phoneticPr fontId="9"/>
  </si>
  <si>
    <t>推奨環境</t>
    <rPh sb="0" eb="4">
      <t>スイショウカンキョウ</t>
    </rPh>
    <phoneticPr fontId="9"/>
  </si>
  <si>
    <t>80G</t>
    <phoneticPr fontId="9"/>
  </si>
  <si>
    <t>90G</t>
    <phoneticPr fontId="9"/>
  </si>
  <si>
    <t>終了</t>
    <rPh sb="0" eb="2">
      <t>シュウリョウ</t>
    </rPh>
    <phoneticPr fontId="9"/>
  </si>
  <si>
    <t>勤務管理</t>
    <rPh sb="0" eb="2">
      <t>キンム</t>
    </rPh>
    <rPh sb="2" eb="4">
      <t>カンリ</t>
    </rPh>
    <phoneticPr fontId="9"/>
  </si>
  <si>
    <t>勤務データ照会</t>
    <rPh sb="0" eb="2">
      <t>キンム</t>
    </rPh>
    <rPh sb="5" eb="7">
      <t>ショウカイ</t>
    </rPh>
    <phoneticPr fontId="9"/>
  </si>
  <si>
    <t>01G</t>
    <phoneticPr fontId="9"/>
  </si>
  <si>
    <t>02B</t>
    <phoneticPr fontId="9"/>
  </si>
  <si>
    <t>03C</t>
    <phoneticPr fontId="9"/>
  </si>
  <si>
    <t>勤務時間集計データ</t>
    <rPh sb="0" eb="2">
      <t>キンム</t>
    </rPh>
    <rPh sb="2" eb="4">
      <t>ジカン</t>
    </rPh>
    <rPh sb="4" eb="6">
      <t>シュウケイ</t>
    </rPh>
    <phoneticPr fontId="9"/>
  </si>
  <si>
    <t>勤務時間集計データ（仮）</t>
    <rPh sb="0" eb="2">
      <t>キンム</t>
    </rPh>
    <rPh sb="2" eb="4">
      <t>ジカン</t>
    </rPh>
    <rPh sb="4" eb="6">
      <t>シュウケイ</t>
    </rPh>
    <rPh sb="10" eb="11">
      <t>カリ</t>
    </rPh>
    <phoneticPr fontId="9"/>
  </si>
  <si>
    <t>勤務時間アラート情報</t>
    <rPh sb="0" eb="2">
      <t>キンム</t>
    </rPh>
    <rPh sb="2" eb="4">
      <t>ジカン</t>
    </rPh>
    <phoneticPr fontId="9"/>
  </si>
  <si>
    <t>システム共通</t>
    <rPh sb="4" eb="6">
      <t>キョウツウ</t>
    </rPh>
    <phoneticPr fontId="9"/>
  </si>
  <si>
    <t>社員マスタ</t>
    <rPh sb="0" eb="2">
      <t>シャイン</t>
    </rPh>
    <phoneticPr fontId="9"/>
  </si>
  <si>
    <t>社員マスタ一覧</t>
    <rPh sb="0" eb="2">
      <t>シャイン</t>
    </rPh>
    <rPh sb="5" eb="7">
      <t>イチラン</t>
    </rPh>
    <phoneticPr fontId="9"/>
  </si>
  <si>
    <t>社員マスタ編集</t>
    <rPh sb="0" eb="2">
      <t>シャイン</t>
    </rPh>
    <rPh sb="5" eb="7">
      <t>ヘンシュウ</t>
    </rPh>
    <phoneticPr fontId="9"/>
  </si>
  <si>
    <t>雇用情報マスタ</t>
    <rPh sb="0" eb="2">
      <t>コヨウ</t>
    </rPh>
    <rPh sb="2" eb="4">
      <t>ジョウホウ</t>
    </rPh>
    <phoneticPr fontId="9"/>
  </si>
  <si>
    <t>02G</t>
  </si>
  <si>
    <t>雇用情報データ</t>
    <rPh sb="0" eb="2">
      <t>コヨウ</t>
    </rPh>
    <rPh sb="2" eb="4">
      <t>ジョウホウ</t>
    </rPh>
    <phoneticPr fontId="9"/>
  </si>
  <si>
    <t>メール管理マスタ</t>
    <rPh sb="3" eb="5">
      <t>カンリ</t>
    </rPh>
    <phoneticPr fontId="9"/>
  </si>
  <si>
    <t>メール管理マスタ一覧</t>
    <rPh sb="3" eb="5">
      <t>カンリ</t>
    </rPh>
    <rPh sb="8" eb="10">
      <t>イチラン</t>
    </rPh>
    <phoneticPr fontId="9"/>
  </si>
  <si>
    <t>メール管理マスタメンテ</t>
    <rPh sb="3" eb="5">
      <t>カンリ</t>
    </rPh>
    <phoneticPr fontId="9"/>
  </si>
  <si>
    <t>マスタ連携</t>
    <rPh sb="3" eb="5">
      <t>レンケイ</t>
    </rPh>
    <phoneticPr fontId="9"/>
  </si>
  <si>
    <t>01B</t>
    <phoneticPr fontId="9"/>
  </si>
  <si>
    <t>03B</t>
    <phoneticPr fontId="9"/>
  </si>
  <si>
    <t>開講科目マスタ連携</t>
    <rPh sb="0" eb="2">
      <t>カイコウ</t>
    </rPh>
    <rPh sb="2" eb="4">
      <t>カモク</t>
    </rPh>
    <rPh sb="7" eb="9">
      <t>レンケイ</t>
    </rPh>
    <phoneticPr fontId="9"/>
  </si>
  <si>
    <t>科目マスタ連携</t>
    <rPh sb="0" eb="2">
      <t>カモク</t>
    </rPh>
    <rPh sb="5" eb="7">
      <t>レンケイ</t>
    </rPh>
    <phoneticPr fontId="9"/>
  </si>
  <si>
    <t>校地マスタ連携</t>
    <rPh sb="0" eb="2">
      <t>コウチ</t>
    </rPh>
    <rPh sb="5" eb="7">
      <t>レンケイ</t>
    </rPh>
    <phoneticPr fontId="9"/>
  </si>
  <si>
    <t>キャンパスマスタ連携</t>
    <rPh sb="8" eb="10">
      <t>レンケイ</t>
    </rPh>
    <phoneticPr fontId="9"/>
  </si>
  <si>
    <t>所属名称マスタ連携</t>
    <rPh sb="0" eb="2">
      <t>ショゾク</t>
    </rPh>
    <rPh sb="2" eb="4">
      <t>メイショウ</t>
    </rPh>
    <rPh sb="7" eb="9">
      <t>レンケイ</t>
    </rPh>
    <phoneticPr fontId="9"/>
  </si>
  <si>
    <t>学部研究科マスタ連携</t>
    <rPh sb="0" eb="2">
      <t>ガクブ</t>
    </rPh>
    <rPh sb="2" eb="5">
      <t>ケンキュウカ</t>
    </rPh>
    <rPh sb="8" eb="10">
      <t>レンケイ</t>
    </rPh>
    <phoneticPr fontId="9"/>
  </si>
  <si>
    <t>ポップアップ</t>
    <phoneticPr fontId="9"/>
  </si>
  <si>
    <t>800</t>
    <phoneticPr fontId="9"/>
  </si>
  <si>
    <t>ポップアップ選択</t>
    <rPh sb="6" eb="8">
      <t>センタク</t>
    </rPh>
    <phoneticPr fontId="9"/>
  </si>
  <si>
    <t>科目選択</t>
    <rPh sb="0" eb="2">
      <t>カモク</t>
    </rPh>
    <rPh sb="2" eb="4">
      <t>センタク</t>
    </rPh>
    <phoneticPr fontId="9"/>
  </si>
  <si>
    <t>エラー画面</t>
    <rPh sb="3" eb="5">
      <t>ガメン</t>
    </rPh>
    <phoneticPr fontId="9"/>
  </si>
  <si>
    <t>999</t>
    <phoneticPr fontId="9"/>
  </si>
  <si>
    <t>96G</t>
    <phoneticPr fontId="9"/>
  </si>
  <si>
    <t>メンテナンス中画面</t>
    <rPh sb="6" eb="7">
      <t>チュウ</t>
    </rPh>
    <rPh sb="7" eb="9">
      <t>ガメン</t>
    </rPh>
    <phoneticPr fontId="9"/>
  </si>
  <si>
    <t>97G</t>
    <phoneticPr fontId="9"/>
  </si>
  <si>
    <t>権限エラー</t>
    <phoneticPr fontId="9"/>
  </si>
  <si>
    <t>98G</t>
    <phoneticPr fontId="9"/>
  </si>
  <si>
    <t>認証エラー</t>
    <rPh sb="0" eb="2">
      <t>ニンショウ</t>
    </rPh>
    <phoneticPr fontId="9"/>
  </si>
  <si>
    <t>99G</t>
    <phoneticPr fontId="9"/>
  </si>
  <si>
    <t>システムエラー</t>
    <phoneticPr fontId="9"/>
  </si>
  <si>
    <t>学生</t>
    <rPh sb="0" eb="2">
      <t>ガクセイ</t>
    </rPh>
    <phoneticPr fontId="9"/>
  </si>
  <si>
    <t>学生勤務</t>
    <rPh sb="0" eb="2">
      <t>ガクセイ</t>
    </rPh>
    <rPh sb="2" eb="4">
      <t>キンム</t>
    </rPh>
    <phoneticPr fontId="9"/>
  </si>
  <si>
    <t>勤務入力</t>
    <rPh sb="0" eb="2">
      <t>キンム</t>
    </rPh>
    <rPh sb="2" eb="4">
      <t>ニュウリョク</t>
    </rPh>
    <phoneticPr fontId="9"/>
  </si>
  <si>
    <t>勤務情報一覧</t>
    <rPh sb="0" eb="2">
      <t>キンム</t>
    </rPh>
    <rPh sb="2" eb="4">
      <t>ジョウホウ</t>
    </rPh>
    <rPh sb="4" eb="6">
      <t>イチラン</t>
    </rPh>
    <phoneticPr fontId="9"/>
  </si>
  <si>
    <t>雇用情報</t>
    <rPh sb="0" eb="2">
      <t>コヨウ</t>
    </rPh>
    <rPh sb="2" eb="4">
      <t>ジョウホウ</t>
    </rPh>
    <phoneticPr fontId="9"/>
  </si>
  <si>
    <t>雇用情報一覧</t>
    <rPh sb="0" eb="2">
      <t>コヨウ</t>
    </rPh>
    <rPh sb="2" eb="4">
      <t>ジョウホウ</t>
    </rPh>
    <rPh sb="4" eb="6">
      <t>イチラン</t>
    </rPh>
    <phoneticPr fontId="9"/>
  </si>
  <si>
    <t>勤務データ入出力</t>
    <rPh sb="0" eb="2">
      <t>キンム</t>
    </rPh>
    <rPh sb="5" eb="8">
      <t>ニュウシュツリョク</t>
    </rPh>
    <phoneticPr fontId="9"/>
  </si>
  <si>
    <t>勤務データDL</t>
    <rPh sb="0" eb="2">
      <t>キンム</t>
    </rPh>
    <phoneticPr fontId="9"/>
  </si>
  <si>
    <t>勤務データUL</t>
    <rPh sb="0" eb="2">
      <t>キンム</t>
    </rPh>
    <phoneticPr fontId="9"/>
  </si>
  <si>
    <t>勤務承認UL</t>
    <rPh sb="0" eb="2">
      <t>キンム</t>
    </rPh>
    <rPh sb="2" eb="4">
      <t>ショウニン</t>
    </rPh>
    <phoneticPr fontId="9"/>
  </si>
  <si>
    <t>学生勤務管理システムへのログイン</t>
    <rPh sb="0" eb="6">
      <t>ガクセイキンムカンリ</t>
    </rPh>
    <phoneticPr fontId="9"/>
  </si>
  <si>
    <t>２</t>
    <phoneticPr fontId="2"/>
  </si>
  <si>
    <t>３</t>
    <phoneticPr fontId="2"/>
  </si>
  <si>
    <t>ホーム画面</t>
    <rPh sb="3" eb="5">
      <t>ガメン</t>
    </rPh>
    <phoneticPr fontId="2"/>
  </si>
  <si>
    <t>ENGLISH</t>
    <phoneticPr fontId="2"/>
  </si>
  <si>
    <t>同志社　太郎</t>
    <rPh sb="0" eb="3">
      <t>ドウシシャ</t>
    </rPh>
    <rPh sb="4" eb="6">
      <t>タロウ</t>
    </rPh>
    <phoneticPr fontId="2"/>
  </si>
  <si>
    <t>様</t>
    <rPh sb="0" eb="1">
      <t>サマ</t>
    </rPh>
    <phoneticPr fontId="2"/>
  </si>
  <si>
    <t>支給日</t>
    <rPh sb="0" eb="3">
      <t>シキュウビ</t>
    </rPh>
    <phoneticPr fontId="2"/>
  </si>
  <si>
    <t>学生</t>
    <rPh sb="0" eb="2">
      <t>ガクセイ</t>
    </rPh>
    <phoneticPr fontId="2"/>
  </si>
  <si>
    <t>4</t>
    <phoneticPr fontId="2"/>
  </si>
  <si>
    <t>勤務時間の入力
勤務時間の代理入力</t>
    <rPh sb="0" eb="2">
      <t>キンム</t>
    </rPh>
    <rPh sb="2" eb="4">
      <t>ジカン</t>
    </rPh>
    <rPh sb="5" eb="7">
      <t>ニュウリョク</t>
    </rPh>
    <rPh sb="8" eb="10">
      <t>キンム</t>
    </rPh>
    <rPh sb="10" eb="12">
      <t>ジカン</t>
    </rPh>
    <rPh sb="13" eb="15">
      <t>ダイリ</t>
    </rPh>
    <rPh sb="15" eb="17">
      <t>ニュウリョク</t>
    </rPh>
    <phoneticPr fontId="2"/>
  </si>
  <si>
    <t>勤務日</t>
    <rPh sb="0" eb="3">
      <t>キンムビ</t>
    </rPh>
    <phoneticPr fontId="2"/>
  </si>
  <si>
    <t>雇用情報</t>
    <rPh sb="0" eb="4">
      <t>コヨウジョウホウ</t>
    </rPh>
    <phoneticPr fontId="2"/>
  </si>
  <si>
    <t>2023　TA　文化学概論-1　鈴木</t>
    <rPh sb="8" eb="11">
      <t>ブンカガク</t>
    </rPh>
    <rPh sb="11" eb="13">
      <t>ガイロン</t>
    </rPh>
    <rPh sb="16" eb="18">
      <t>スズキ</t>
    </rPh>
    <phoneticPr fontId="2"/>
  </si>
  <si>
    <t>▼</t>
    <phoneticPr fontId="2"/>
  </si>
  <si>
    <t>登録確定</t>
    <rPh sb="0" eb="4">
      <t>トウロクカクテイ</t>
    </rPh>
    <phoneticPr fontId="2"/>
  </si>
  <si>
    <t>検索</t>
    <rPh sb="0" eb="2">
      <t>ケンサク</t>
    </rPh>
    <phoneticPr fontId="2"/>
  </si>
  <si>
    <t>ステータス</t>
    <phoneticPr fontId="2"/>
  </si>
  <si>
    <t>2023　TA　文化学概論-1　鈴木</t>
    <rPh sb="8" eb="10">
      <t>ブンカ</t>
    </rPh>
    <rPh sb="10" eb="11">
      <t>ガク</t>
    </rPh>
    <rPh sb="11" eb="13">
      <t>ガイロン</t>
    </rPh>
    <rPh sb="16" eb="18">
      <t>スズキ</t>
    </rPh>
    <phoneticPr fontId="2"/>
  </si>
  <si>
    <t>2023　TA　経済学-1　田中</t>
    <rPh sb="8" eb="11">
      <t>ケイザイガク</t>
    </rPh>
    <rPh sb="14" eb="16">
      <t>タナカ</t>
    </rPh>
    <phoneticPr fontId="2"/>
  </si>
  <si>
    <t>2023　TA　経済学-2　商橋</t>
    <rPh sb="8" eb="11">
      <t>ケイザイガク</t>
    </rPh>
    <rPh sb="14" eb="16">
      <t>ショウハシ</t>
    </rPh>
    <phoneticPr fontId="2"/>
  </si>
  <si>
    <t>2023　TA　刑法-1　野村</t>
    <rPh sb="8" eb="10">
      <t>ケイホウ</t>
    </rPh>
    <rPh sb="13" eb="15">
      <t>ノムラ</t>
    </rPh>
    <phoneticPr fontId="2"/>
  </si>
  <si>
    <t>2023　TA　民法-1　田坂</t>
    <rPh sb="8" eb="10">
      <t>ミンポウ</t>
    </rPh>
    <rPh sb="13" eb="15">
      <t>タサカ</t>
    </rPh>
    <phoneticPr fontId="2"/>
  </si>
  <si>
    <t>学生ID/氏名</t>
    <rPh sb="0" eb="2">
      <t>ガクセイ</t>
    </rPh>
    <rPh sb="5" eb="7">
      <t>シメイ</t>
    </rPh>
    <phoneticPr fontId="2"/>
  </si>
  <si>
    <t>次回承認者</t>
    <rPh sb="0" eb="2">
      <t>ジカイ</t>
    </rPh>
    <rPh sb="2" eb="5">
      <t>ショウニンシャ</t>
    </rPh>
    <phoneticPr fontId="2"/>
  </si>
  <si>
    <t>機能の概要</t>
    <rPh sb="0" eb="2">
      <t>キノウ</t>
    </rPh>
    <rPh sb="3" eb="5">
      <t>ガイヨウ</t>
    </rPh>
    <phoneticPr fontId="2"/>
  </si>
  <si>
    <t>機能の詳細</t>
    <rPh sb="0" eb="2">
      <t>キノウ</t>
    </rPh>
    <phoneticPr fontId="2"/>
  </si>
  <si>
    <t>5</t>
    <phoneticPr fontId="2"/>
  </si>
  <si>
    <t>雇用一覧の確認</t>
    <rPh sb="0" eb="2">
      <t>コヨウ</t>
    </rPh>
    <rPh sb="2" eb="4">
      <t>イチラン</t>
    </rPh>
    <rPh sb="5" eb="7">
      <t>カクニン</t>
    </rPh>
    <phoneticPr fontId="2"/>
  </si>
  <si>
    <t>職種</t>
    <rPh sb="0" eb="2">
      <t>ショクシュ</t>
    </rPh>
    <phoneticPr fontId="2"/>
  </si>
  <si>
    <t>雇用部課</t>
    <rPh sb="0" eb="4">
      <t>コヨウブカ</t>
    </rPh>
    <phoneticPr fontId="2"/>
  </si>
  <si>
    <t>教員</t>
    <rPh sb="0" eb="2">
      <t>キョウイン</t>
    </rPh>
    <phoneticPr fontId="2"/>
  </si>
  <si>
    <t>TA</t>
    <phoneticPr fontId="2"/>
  </si>
  <si>
    <t>6</t>
    <phoneticPr fontId="2"/>
  </si>
  <si>
    <t>～</t>
    <phoneticPr fontId="2"/>
  </si>
  <si>
    <t>勤務承認日時</t>
    <rPh sb="0" eb="2">
      <t>キンム</t>
    </rPh>
    <rPh sb="2" eb="4">
      <t>ショウニン</t>
    </rPh>
    <rPh sb="4" eb="6">
      <t>ニチジ</t>
    </rPh>
    <phoneticPr fontId="2"/>
  </si>
  <si>
    <t>勤務確定日時</t>
    <rPh sb="0" eb="2">
      <t>キンム</t>
    </rPh>
    <rPh sb="2" eb="4">
      <t>カクテイ</t>
    </rPh>
    <rPh sb="4" eb="6">
      <t>ニチジ</t>
    </rPh>
    <phoneticPr fontId="2"/>
  </si>
  <si>
    <t>勤務データ一覧</t>
    <rPh sb="0" eb="2">
      <t>キンム</t>
    </rPh>
    <rPh sb="5" eb="7">
      <t>イチラン</t>
    </rPh>
    <phoneticPr fontId="2"/>
  </si>
  <si>
    <t>承認</t>
    <rPh sb="0" eb="2">
      <t>ショウニン</t>
    </rPh>
    <phoneticPr fontId="2"/>
  </si>
  <si>
    <t>雇用情報</t>
    <rPh sb="0" eb="2">
      <t>コヨウ</t>
    </rPh>
    <rPh sb="2" eb="4">
      <t>ジョウホウ</t>
    </rPh>
    <phoneticPr fontId="2"/>
  </si>
  <si>
    <t>13111551　/　同志社　太郎</t>
    <rPh sb="11" eb="14">
      <t>ドウシシャ</t>
    </rPh>
    <rPh sb="15" eb="17">
      <t>タロウ</t>
    </rPh>
    <phoneticPr fontId="2"/>
  </si>
  <si>
    <t>1件目から5件目までを表示　全5件</t>
    <rPh sb="1" eb="3">
      <t>ケンメ</t>
    </rPh>
    <rPh sb="6" eb="8">
      <t>ケンメ</t>
    </rPh>
    <rPh sb="11" eb="13">
      <t>ヒョウジ</t>
    </rPh>
    <rPh sb="14" eb="15">
      <t>ゼン</t>
    </rPh>
    <rPh sb="16" eb="17">
      <t>ケン</t>
    </rPh>
    <phoneticPr fontId="2"/>
  </si>
  <si>
    <t>先頭</t>
    <rPh sb="0" eb="2">
      <t>セントウ</t>
    </rPh>
    <phoneticPr fontId="2"/>
  </si>
  <si>
    <t>前</t>
    <rPh sb="0" eb="1">
      <t>マエ</t>
    </rPh>
    <phoneticPr fontId="2"/>
  </si>
  <si>
    <t>次</t>
    <rPh sb="0" eb="1">
      <t>ツギ</t>
    </rPh>
    <phoneticPr fontId="2"/>
  </si>
  <si>
    <t>最後</t>
    <rPh sb="0" eb="2">
      <t>サイゴ</t>
    </rPh>
    <phoneticPr fontId="2"/>
  </si>
  <si>
    <t>7</t>
    <phoneticPr fontId="2"/>
  </si>
  <si>
    <t>(DUB010_機能一覧.xlsxより）</t>
    <phoneticPr fontId="2"/>
  </si>
  <si>
    <t>8</t>
    <phoneticPr fontId="2"/>
  </si>
  <si>
    <t>アップロード</t>
    <phoneticPr fontId="2"/>
  </si>
  <si>
    <t>取込ファイル</t>
    <rPh sb="0" eb="1">
      <t>ト</t>
    </rPh>
    <rPh sb="1" eb="2">
      <t>コ</t>
    </rPh>
    <phoneticPr fontId="2"/>
  </si>
  <si>
    <t>ファイルの選択</t>
    <rPh sb="5" eb="7">
      <t>センタク</t>
    </rPh>
    <phoneticPr fontId="2"/>
  </si>
  <si>
    <t>実行結果</t>
    <rPh sb="0" eb="4">
      <t>ジッコウケッカ</t>
    </rPh>
    <phoneticPr fontId="2"/>
  </si>
  <si>
    <t>10件</t>
    <rPh sb="2" eb="3">
      <t>ケン</t>
    </rPh>
    <phoneticPr fontId="2"/>
  </si>
  <si>
    <t>10</t>
    <phoneticPr fontId="2"/>
  </si>
  <si>
    <t>各ポップアップ画面</t>
    <rPh sb="0" eb="1">
      <t>カク</t>
    </rPh>
    <rPh sb="7" eb="9">
      <t>ガメン</t>
    </rPh>
    <phoneticPr fontId="2"/>
  </si>
  <si>
    <t>選択</t>
    <rPh sb="0" eb="2">
      <t>センタク</t>
    </rPh>
    <phoneticPr fontId="2"/>
  </si>
  <si>
    <t>校地</t>
    <rPh sb="0" eb="2">
      <t>コウチ</t>
    </rPh>
    <phoneticPr fontId="2"/>
  </si>
  <si>
    <t>11</t>
    <phoneticPr fontId="2"/>
  </si>
  <si>
    <t>12</t>
    <phoneticPr fontId="2"/>
  </si>
  <si>
    <t>あり</t>
    <phoneticPr fontId="2"/>
  </si>
  <si>
    <t>16</t>
    <phoneticPr fontId="2"/>
  </si>
  <si>
    <t>メールマスタの編集</t>
    <rPh sb="7" eb="9">
      <t>ヘンシュウ</t>
    </rPh>
    <phoneticPr fontId="2"/>
  </si>
  <si>
    <t>マスタ連携</t>
    <rPh sb="3" eb="5">
      <t>レンケイ</t>
    </rPh>
    <phoneticPr fontId="2"/>
  </si>
  <si>
    <t>統合ＤＢからのマスタ連携</t>
    <rPh sb="0" eb="2">
      <t>トウゴウ</t>
    </rPh>
    <rPh sb="10" eb="12">
      <t>レンケイ</t>
    </rPh>
    <phoneticPr fontId="2"/>
  </si>
  <si>
    <t xml:space="preserve">・学生が雇用登録している内容を一覧で確認することができる
・承認者が雇用登録している学生や雇用内容を一覧で確認することができる
　※雇用年度を切り替えて、照会する年度の変更が可能
</t>
    <rPh sb="1" eb="3">
      <t>ガクセイ</t>
    </rPh>
    <rPh sb="4" eb="6">
      <t>コヨウ</t>
    </rPh>
    <rPh sb="6" eb="8">
      <t>トウロク</t>
    </rPh>
    <rPh sb="12" eb="14">
      <t>ナイヨウ</t>
    </rPh>
    <rPh sb="15" eb="17">
      <t>イチラン</t>
    </rPh>
    <rPh sb="18" eb="20">
      <t>カクニン</t>
    </rPh>
    <rPh sb="30" eb="33">
      <t>ショウニンシャ</t>
    </rPh>
    <rPh sb="34" eb="36">
      <t>コヨウ</t>
    </rPh>
    <rPh sb="36" eb="38">
      <t>トウロク</t>
    </rPh>
    <rPh sb="42" eb="44">
      <t>ガクセイ</t>
    </rPh>
    <rPh sb="45" eb="47">
      <t>コヨウ</t>
    </rPh>
    <rPh sb="47" eb="49">
      <t>ナイヨウ</t>
    </rPh>
    <rPh sb="50" eb="52">
      <t>イチラン</t>
    </rPh>
    <rPh sb="53" eb="55">
      <t>カクニン</t>
    </rPh>
    <rPh sb="66" eb="68">
      <t>コヨウ</t>
    </rPh>
    <rPh sb="68" eb="70">
      <t>ネンド</t>
    </rPh>
    <rPh sb="71" eb="72">
      <t>キ</t>
    </rPh>
    <rPh sb="73" eb="74">
      <t>カ</t>
    </rPh>
    <rPh sb="77" eb="79">
      <t>ショウカイ</t>
    </rPh>
    <rPh sb="81" eb="83">
      <t>ネンド</t>
    </rPh>
    <rPh sb="84" eb="86">
      <t>ヘンコウ</t>
    </rPh>
    <rPh sb="87" eb="89">
      <t>カノウ</t>
    </rPh>
    <phoneticPr fontId="2"/>
  </si>
  <si>
    <t xml:space="preserve">・支給日選択するポップアップ
　※年月を選択することで、支給日を設定できる
・学生選択ポップアップ
　※学生ＩＤがわからない時に、学生情報を検索することができる
・教員選択ポップアップ
　※教員ＩＤがわからない時に、教員情報を検索することができる
・雇用部課選択ポップアップ
　※雇用部課コードがわからない時に、雇用部課情報を検索することができる
・科目選択ポップアップ
　※学生が履修登録している科目を検索することができる
</t>
    <rPh sb="1" eb="3">
      <t>シキュウ</t>
    </rPh>
    <rPh sb="3" eb="4">
      <t>ビ</t>
    </rPh>
    <rPh sb="4" eb="6">
      <t>センタク</t>
    </rPh>
    <rPh sb="17" eb="18">
      <t>ネン</t>
    </rPh>
    <rPh sb="18" eb="19">
      <t>ツキ</t>
    </rPh>
    <rPh sb="20" eb="22">
      <t>センタク</t>
    </rPh>
    <rPh sb="28" eb="30">
      <t>シキュウ</t>
    </rPh>
    <rPh sb="30" eb="31">
      <t>ビ</t>
    </rPh>
    <rPh sb="32" eb="34">
      <t>セッテイ</t>
    </rPh>
    <rPh sb="39" eb="41">
      <t>ガクセイ</t>
    </rPh>
    <rPh sb="41" eb="43">
      <t>センタク</t>
    </rPh>
    <rPh sb="52" eb="54">
      <t>ガクセイ</t>
    </rPh>
    <rPh sb="62" eb="63">
      <t>トキ</t>
    </rPh>
    <rPh sb="65" eb="67">
      <t>ガクセイ</t>
    </rPh>
    <rPh sb="67" eb="69">
      <t>ジョウホウ</t>
    </rPh>
    <rPh sb="70" eb="72">
      <t>ケンサク</t>
    </rPh>
    <rPh sb="82" eb="84">
      <t>キョウイン</t>
    </rPh>
    <rPh sb="84" eb="86">
      <t>センタク</t>
    </rPh>
    <rPh sb="95" eb="97">
      <t>キョウイン</t>
    </rPh>
    <rPh sb="105" eb="106">
      <t>トキ</t>
    </rPh>
    <rPh sb="108" eb="110">
      <t>キョウイン</t>
    </rPh>
    <rPh sb="110" eb="112">
      <t>ジョウホウ</t>
    </rPh>
    <rPh sb="113" eb="115">
      <t>ケンサク</t>
    </rPh>
    <rPh sb="125" eb="127">
      <t>コヨウ</t>
    </rPh>
    <rPh sb="127" eb="129">
      <t>ブカ</t>
    </rPh>
    <rPh sb="129" eb="131">
      <t>センタク</t>
    </rPh>
    <rPh sb="140" eb="142">
      <t>コヨウ</t>
    </rPh>
    <rPh sb="142" eb="144">
      <t>ブカ</t>
    </rPh>
    <rPh sb="153" eb="154">
      <t>トキ</t>
    </rPh>
    <rPh sb="156" eb="158">
      <t>コヨウ</t>
    </rPh>
    <rPh sb="158" eb="160">
      <t>ブカ</t>
    </rPh>
    <rPh sb="160" eb="162">
      <t>ジョウホウ</t>
    </rPh>
    <rPh sb="163" eb="165">
      <t>ケンサク</t>
    </rPh>
    <rPh sb="175" eb="179">
      <t>カモクセンタク</t>
    </rPh>
    <rPh sb="188" eb="190">
      <t>ガクセイ</t>
    </rPh>
    <rPh sb="191" eb="193">
      <t>リシュウ</t>
    </rPh>
    <rPh sb="193" eb="195">
      <t>トウロク</t>
    </rPh>
    <rPh sb="199" eb="201">
      <t>カモク</t>
    </rPh>
    <rPh sb="202" eb="204">
      <t>ケンサク</t>
    </rPh>
    <phoneticPr fontId="2"/>
  </si>
  <si>
    <t>ヘルプ</t>
    <phoneticPr fontId="9"/>
  </si>
  <si>
    <t>&gt;</t>
    <phoneticPr fontId="2"/>
  </si>
  <si>
    <t>共通</t>
    <rPh sb="0" eb="2">
      <t>キョウツウ</t>
    </rPh>
    <phoneticPr fontId="9"/>
  </si>
  <si>
    <t>CC</t>
    <phoneticPr fontId="9"/>
  </si>
  <si>
    <t>管理者</t>
    <rPh sb="0" eb="3">
      <t>カンリシャ</t>
    </rPh>
    <phoneticPr fontId="9"/>
  </si>
  <si>
    <t>CK</t>
    <phoneticPr fontId="9"/>
  </si>
  <si>
    <t>CZ</t>
    <phoneticPr fontId="9"/>
  </si>
  <si>
    <t>04G</t>
    <phoneticPr fontId="9"/>
  </si>
  <si>
    <t>030</t>
    <phoneticPr fontId="9"/>
  </si>
  <si>
    <t>040</t>
    <phoneticPr fontId="9"/>
  </si>
  <si>
    <t>CS</t>
    <phoneticPr fontId="9"/>
  </si>
  <si>
    <t>承認者</t>
    <rPh sb="0" eb="2">
      <t>ショウニン</t>
    </rPh>
    <rPh sb="2" eb="3">
      <t>シャ</t>
    </rPh>
    <phoneticPr fontId="9"/>
  </si>
  <si>
    <t>CC-020-01G</t>
    <phoneticPr fontId="2"/>
  </si>
  <si>
    <t>CC-020-02G
CC-020-03G</t>
    <phoneticPr fontId="2"/>
  </si>
  <si>
    <t>CC-800-01S
CC-800-02S
CC-800-03S
CC-800-04S
CC-800-05S</t>
    <phoneticPr fontId="2"/>
  </si>
  <si>
    <t>雇用情報の登録・編集・一括取込・出力</t>
    <rPh sb="0" eb="2">
      <t>コヨウ</t>
    </rPh>
    <rPh sb="2" eb="4">
      <t>ジョウホウ</t>
    </rPh>
    <rPh sb="5" eb="7">
      <t>トウロク</t>
    </rPh>
    <rPh sb="8" eb="10">
      <t>ヘンシュウ</t>
    </rPh>
    <rPh sb="11" eb="13">
      <t>イッカツ</t>
    </rPh>
    <rPh sb="13" eb="15">
      <t>トリコミ</t>
    </rPh>
    <rPh sb="16" eb="18">
      <t>シュツリョク</t>
    </rPh>
    <phoneticPr fontId="2"/>
  </si>
  <si>
    <t>見出し部タイトル制御テーブル</t>
    <rPh sb="0" eb="2">
      <t>ミダ</t>
    </rPh>
    <rPh sb="3" eb="4">
      <t>ブ</t>
    </rPh>
    <rPh sb="8" eb="10">
      <t>セイギョ</t>
    </rPh>
    <phoneticPr fontId="9"/>
  </si>
  <si>
    <t>タイトル項目</t>
    <rPh sb="4" eb="6">
      <t>コウモク</t>
    </rPh>
    <phoneticPr fontId="9"/>
  </si>
  <si>
    <t>タイトル項目埋め込み内容</t>
    <rPh sb="4" eb="6">
      <t>コウモク</t>
    </rPh>
    <rPh sb="6" eb="7">
      <t>ウ</t>
    </rPh>
    <rPh sb="8" eb="9">
      <t>コ</t>
    </rPh>
    <rPh sb="10" eb="12">
      <t>ナイヨウ</t>
    </rPh>
    <phoneticPr fontId="9"/>
  </si>
  <si>
    <t>　①システム名</t>
    <rPh sb="6" eb="7">
      <t>メイ</t>
    </rPh>
    <phoneticPr fontId="9"/>
  </si>
  <si>
    <t>　学生勤務管理システム</t>
    <rPh sb="1" eb="7">
      <t>ガクセイキンムカンリ</t>
    </rPh>
    <phoneticPr fontId="9"/>
  </si>
  <si>
    <t>　②サブシステム名</t>
    <rPh sb="8" eb="9">
      <t>メイ</t>
    </rPh>
    <phoneticPr fontId="9"/>
  </si>
  <si>
    <t xml:space="preserve"> </t>
    <phoneticPr fontId="9"/>
  </si>
  <si>
    <t>　③分類名</t>
    <rPh sb="2" eb="4">
      <t>ブンルイ</t>
    </rPh>
    <rPh sb="4" eb="5">
      <t>メイ</t>
    </rPh>
    <phoneticPr fontId="9"/>
  </si>
  <si>
    <t>　④作業工程名</t>
    <rPh sb="2" eb="4">
      <t>サギョウ</t>
    </rPh>
    <rPh sb="4" eb="6">
      <t>コウテイ</t>
    </rPh>
    <rPh sb="6" eb="7">
      <t>メイ</t>
    </rPh>
    <phoneticPr fontId="9"/>
  </si>
  <si>
    <t>　要件定義</t>
    <rPh sb="1" eb="5">
      <t>ヨウケンテイギ</t>
    </rPh>
    <phoneticPr fontId="9"/>
  </si>
  <si>
    <t>　⑤ドキュメント代表名</t>
    <rPh sb="8" eb="10">
      <t>ダイヒョウ</t>
    </rPh>
    <rPh sb="10" eb="11">
      <t>メイ</t>
    </rPh>
    <phoneticPr fontId="9"/>
  </si>
  <si>
    <t>　要件定義書</t>
    <rPh sb="1" eb="5">
      <t>ヨウケンテイギ</t>
    </rPh>
    <rPh sb="5" eb="6">
      <t>ショ</t>
    </rPh>
    <phoneticPr fontId="9"/>
  </si>
  <si>
    <t>　⑥ドキュメント詳細名</t>
    <rPh sb="8" eb="10">
      <t>ショウサイ</t>
    </rPh>
    <rPh sb="10" eb="11">
      <t>メイ</t>
    </rPh>
    <phoneticPr fontId="9"/>
  </si>
  <si>
    <t>　※ページ毎に個別入力</t>
    <rPh sb="5" eb="6">
      <t>ゴト</t>
    </rPh>
    <rPh sb="7" eb="9">
      <t>コベツ</t>
    </rPh>
    <rPh sb="9" eb="11">
      <t>ニュウリョク</t>
    </rPh>
    <phoneticPr fontId="9"/>
  </si>
  <si>
    <t>　⑦作成者</t>
    <rPh sb="2" eb="5">
      <t>サクセイシャ</t>
    </rPh>
    <phoneticPr fontId="9"/>
  </si>
  <si>
    <t>木田　優</t>
    <rPh sb="0" eb="2">
      <t>キダ</t>
    </rPh>
    <rPh sb="3" eb="4">
      <t>マサル</t>
    </rPh>
    <phoneticPr fontId="9"/>
  </si>
  <si>
    <t>　⑧作成日</t>
    <rPh sb="2" eb="5">
      <t>サクセイビ</t>
    </rPh>
    <phoneticPr fontId="9"/>
  </si>
  <si>
    <t>　⑦改定者</t>
    <rPh sb="2" eb="4">
      <t>カイテイ</t>
    </rPh>
    <rPh sb="4" eb="5">
      <t>シャ</t>
    </rPh>
    <phoneticPr fontId="9"/>
  </si>
  <si>
    <t>　⑧改定日</t>
    <rPh sb="2" eb="4">
      <t>カイテイ</t>
    </rPh>
    <rPh sb="4" eb="5">
      <t>ビ</t>
    </rPh>
    <phoneticPr fontId="9"/>
  </si>
  <si>
    <t>　⑨管理記号</t>
    <rPh sb="2" eb="4">
      <t>カンリ</t>
    </rPh>
    <rPh sb="4" eb="6">
      <t>キゴウ</t>
    </rPh>
    <phoneticPr fontId="9"/>
  </si>
  <si>
    <t>　⑩Ｖｅｒ</t>
    <phoneticPr fontId="9"/>
  </si>
  <si>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9"/>
  </si>
  <si>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9"/>
  </si>
  <si>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9"/>
  </si>
  <si>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9"/>
  </si>
  <si>
    <t>（注5）　ドキュメントＩＤの付け方</t>
    <rPh sb="1" eb="2">
      <t>チュウ</t>
    </rPh>
    <rPh sb="14" eb="15">
      <t>ツ</t>
    </rPh>
    <rPh sb="16" eb="17">
      <t>カタ</t>
    </rPh>
    <phoneticPr fontId="9"/>
  </si>
  <si>
    <t>管理記号-分類区分（任意に設定）</t>
    <rPh sb="0" eb="2">
      <t>カンリ</t>
    </rPh>
    <rPh sb="2" eb="4">
      <t>キゴウ</t>
    </rPh>
    <rPh sb="5" eb="7">
      <t>ブンルイ</t>
    </rPh>
    <rPh sb="7" eb="9">
      <t>クブン</t>
    </rPh>
    <rPh sb="10" eb="12">
      <t>ニンイ</t>
    </rPh>
    <rPh sb="13" eb="15">
      <t>セッテイ</t>
    </rPh>
    <phoneticPr fontId="9"/>
  </si>
  <si>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9"/>
  </si>
  <si>
    <t>(注6）　システム階層の概要</t>
    <rPh sb="1" eb="2">
      <t>チュウ</t>
    </rPh>
    <rPh sb="9" eb="11">
      <t>カイソウ</t>
    </rPh>
    <rPh sb="12" eb="14">
      <t>ガイヨウ</t>
    </rPh>
    <phoneticPr fontId="9"/>
  </si>
  <si>
    <t>システム名</t>
    <rPh sb="4" eb="5">
      <t>メイ</t>
    </rPh>
    <phoneticPr fontId="9"/>
  </si>
  <si>
    <t>⇒</t>
    <phoneticPr fontId="9"/>
  </si>
  <si>
    <t>人事給与システム</t>
    <rPh sb="0" eb="2">
      <t>ジンジ</t>
    </rPh>
    <rPh sb="2" eb="4">
      <t>キュウヨ</t>
    </rPh>
    <phoneticPr fontId="9"/>
  </si>
  <si>
    <t>サブシステム名</t>
    <rPh sb="6" eb="7">
      <t>メイ</t>
    </rPh>
    <phoneticPr fontId="9"/>
  </si>
  <si>
    <t>人事システム</t>
    <rPh sb="0" eb="2">
      <t>ジンジ</t>
    </rPh>
    <phoneticPr fontId="9"/>
  </si>
  <si>
    <t>給与システム</t>
    <rPh sb="0" eb="2">
      <t>キュウヨ</t>
    </rPh>
    <phoneticPr fontId="9"/>
  </si>
  <si>
    <t>移行システム</t>
    <rPh sb="0" eb="2">
      <t>イコウ</t>
    </rPh>
    <phoneticPr fontId="9"/>
  </si>
  <si>
    <t>機能名</t>
    <rPh sb="0" eb="2">
      <t>キノウ</t>
    </rPh>
    <rPh sb="2" eb="3">
      <t>メイ</t>
    </rPh>
    <phoneticPr fontId="9"/>
  </si>
  <si>
    <t>処理名</t>
    <rPh sb="0" eb="2">
      <t>ショリ</t>
    </rPh>
    <rPh sb="2" eb="3">
      <t>メイ</t>
    </rPh>
    <phoneticPr fontId="9"/>
  </si>
  <si>
    <r>
      <t>D</t>
    </r>
    <r>
      <rPr>
        <sz val="11"/>
        <color theme="1"/>
        <rFont val="ＭＳ Ｐゴシック"/>
        <family val="2"/>
        <charset val="128"/>
        <scheme val="minor"/>
      </rPr>
      <t>UB010</t>
    </r>
    <phoneticPr fontId="9"/>
  </si>
  <si>
    <t>勤務申請の承認・編集・差戻</t>
    <rPh sb="0" eb="2">
      <t>キンム</t>
    </rPh>
    <rPh sb="2" eb="4">
      <t>シンセイ</t>
    </rPh>
    <rPh sb="5" eb="7">
      <t>ショウニン</t>
    </rPh>
    <rPh sb="8" eb="10">
      <t>ヘンシュウ</t>
    </rPh>
    <rPh sb="11" eb="13">
      <t>サシモドシ</t>
    </rPh>
    <phoneticPr fontId="2"/>
  </si>
  <si>
    <t>030</t>
    <phoneticPr fontId="2"/>
  </si>
  <si>
    <t>01G</t>
    <phoneticPr fontId="2"/>
  </si>
  <si>
    <t>承認代理</t>
    <rPh sb="0" eb="2">
      <t>ショウニン</t>
    </rPh>
    <rPh sb="2" eb="4">
      <t>ダイリ</t>
    </rPh>
    <phoneticPr fontId="2"/>
  </si>
  <si>
    <t>9</t>
    <phoneticPr fontId="2"/>
  </si>
  <si>
    <t>CZ-030-01G</t>
    <phoneticPr fontId="2"/>
  </si>
  <si>
    <t>CK-030-01G</t>
  </si>
  <si>
    <t>　機能要件一覧</t>
    <rPh sb="1" eb="3">
      <t>キノウ</t>
    </rPh>
    <rPh sb="3" eb="5">
      <t>ヨウケン</t>
    </rPh>
    <rPh sb="5" eb="7">
      <t>イチラン</t>
    </rPh>
    <phoneticPr fontId="9"/>
  </si>
  <si>
    <t>雇用情報取込</t>
    <rPh sb="0" eb="2">
      <t>コヨウ</t>
    </rPh>
    <rPh sb="2" eb="4">
      <t>ジョウホウ</t>
    </rPh>
    <rPh sb="4" eb="6">
      <t>トリコミ</t>
    </rPh>
    <phoneticPr fontId="9"/>
  </si>
  <si>
    <t>雇用情報編集</t>
    <rPh sb="0" eb="2">
      <t>コヨウ</t>
    </rPh>
    <rPh sb="2" eb="4">
      <t>ジョウホウ</t>
    </rPh>
    <rPh sb="4" eb="6">
      <t>ヘンシュウ</t>
    </rPh>
    <phoneticPr fontId="9"/>
  </si>
  <si>
    <t>CZ-020-01G
CZ-020-02G</t>
    <phoneticPr fontId="2"/>
  </si>
  <si>
    <t>社員マスタの登録・編集</t>
    <rPh sb="0" eb="2">
      <t>シャイン</t>
    </rPh>
    <rPh sb="6" eb="8">
      <t>トウロク</t>
    </rPh>
    <rPh sb="9" eb="11">
      <t>ヘンシュウ</t>
    </rPh>
    <phoneticPr fontId="2"/>
  </si>
  <si>
    <t>ログイン</t>
    <phoneticPr fontId="2"/>
  </si>
  <si>
    <t>ホーム</t>
    <phoneticPr fontId="2"/>
  </si>
  <si>
    <t>お知らせ</t>
    <rPh sb="1" eb="2">
      <t>シ</t>
    </rPh>
    <phoneticPr fontId="2"/>
  </si>
  <si>
    <t>雇用情報</t>
    <rPh sb="0" eb="2">
      <t>コヨウ</t>
    </rPh>
    <rPh sb="2" eb="4">
      <t>ジョウホウ</t>
    </rPh>
    <phoneticPr fontId="2"/>
  </si>
  <si>
    <t>勤務入力</t>
    <rPh sb="0" eb="2">
      <t>キンム</t>
    </rPh>
    <rPh sb="2" eb="4">
      <t>ニュウリョク</t>
    </rPh>
    <phoneticPr fontId="2"/>
  </si>
  <si>
    <t>雇用一覧</t>
    <rPh sb="0" eb="2">
      <t>コヨウ</t>
    </rPh>
    <rPh sb="2" eb="4">
      <t>イチラン</t>
    </rPh>
    <phoneticPr fontId="2"/>
  </si>
  <si>
    <t>勤務承認</t>
    <rPh sb="0" eb="2">
      <t>キンム</t>
    </rPh>
    <rPh sb="2" eb="4">
      <t>ショウニン</t>
    </rPh>
    <phoneticPr fontId="2"/>
  </si>
  <si>
    <t>社員マスタメンテ</t>
    <rPh sb="0" eb="2">
      <t>シャイン</t>
    </rPh>
    <phoneticPr fontId="2"/>
  </si>
  <si>
    <t>メールマスタ</t>
    <phoneticPr fontId="2"/>
  </si>
  <si>
    <t>ポップアップ</t>
    <phoneticPr fontId="2"/>
  </si>
  <si>
    <t>機能名</t>
    <rPh sb="0" eb="3">
      <t>キノウメイ</t>
    </rPh>
    <phoneticPr fontId="2"/>
  </si>
  <si>
    <t>02E</t>
    <phoneticPr fontId="9"/>
  </si>
  <si>
    <t>管理者,承認者</t>
    <rPh sb="0" eb="3">
      <t>カンリシャ</t>
    </rPh>
    <rPh sb="4" eb="7">
      <t>ショウニンシャ</t>
    </rPh>
    <phoneticPr fontId="9"/>
  </si>
  <si>
    <t>勤務データ承認</t>
    <rPh sb="0" eb="2">
      <t>キンム</t>
    </rPh>
    <rPh sb="5" eb="7">
      <t>ショウニン</t>
    </rPh>
    <phoneticPr fontId="9"/>
  </si>
  <si>
    <t>管理者,承認者</t>
    <rPh sb="0" eb="3">
      <t>カンリシャ</t>
    </rPh>
    <phoneticPr fontId="9"/>
  </si>
  <si>
    <t>GA</t>
  </si>
  <si>
    <t>GA</t>
    <phoneticPr fontId="9"/>
  </si>
  <si>
    <t>GA-010-01G
GA-010-02G</t>
    <phoneticPr fontId="2"/>
  </si>
  <si>
    <t>学生,承認者</t>
    <rPh sb="0" eb="2">
      <t>ガクセイ</t>
    </rPh>
    <rPh sb="3" eb="6">
      <t>ショウニンシャ</t>
    </rPh>
    <phoneticPr fontId="9"/>
  </si>
  <si>
    <t>承認者</t>
    <rPh sb="0" eb="3">
      <t>ショウニンシャ</t>
    </rPh>
    <phoneticPr fontId="9"/>
  </si>
  <si>
    <t>承認待ち</t>
    <rPh sb="0" eb="2">
      <t>ショウニン</t>
    </rPh>
    <rPh sb="2" eb="3">
      <t>マ</t>
    </rPh>
    <phoneticPr fontId="2"/>
  </si>
  <si>
    <t>改訂履歴</t>
    <rPh sb="0" eb="2">
      <t>カイテイ</t>
    </rPh>
    <rPh sb="2" eb="4">
      <t>リレキ</t>
    </rPh>
    <phoneticPr fontId="9"/>
  </si>
  <si>
    <t>No.</t>
    <phoneticPr fontId="9"/>
  </si>
  <si>
    <t>Ver.</t>
    <phoneticPr fontId="9"/>
  </si>
  <si>
    <t>新規／改訂日</t>
    <rPh sb="0" eb="2">
      <t>シンキ</t>
    </rPh>
    <rPh sb="3" eb="5">
      <t>カイテイ</t>
    </rPh>
    <rPh sb="5" eb="6">
      <t>ビ</t>
    </rPh>
    <phoneticPr fontId="9"/>
  </si>
  <si>
    <t>区分</t>
    <rPh sb="0" eb="2">
      <t>クブン</t>
    </rPh>
    <phoneticPr fontId="9"/>
  </si>
  <si>
    <t>改訂箇所</t>
    <rPh sb="0" eb="2">
      <t>カイテイ</t>
    </rPh>
    <rPh sb="2" eb="4">
      <t>カショ</t>
    </rPh>
    <phoneticPr fontId="9"/>
  </si>
  <si>
    <t>改訂理由</t>
    <rPh sb="0" eb="2">
      <t>カイテイ</t>
    </rPh>
    <rPh sb="2" eb="4">
      <t>リユウ</t>
    </rPh>
    <phoneticPr fontId="9"/>
  </si>
  <si>
    <t>新規／改訂者</t>
    <rPh sb="0" eb="2">
      <t>シンキ</t>
    </rPh>
    <rPh sb="3" eb="5">
      <t>カイテイ</t>
    </rPh>
    <rPh sb="5" eb="6">
      <t>シャ</t>
    </rPh>
    <phoneticPr fontId="9"/>
  </si>
  <si>
    <t>頁</t>
    <rPh sb="0" eb="1">
      <t>ページ</t>
    </rPh>
    <phoneticPr fontId="9"/>
  </si>
  <si>
    <t>機能名称</t>
    <rPh sb="0" eb="2">
      <t>キノウ</t>
    </rPh>
    <rPh sb="2" eb="4">
      <t>メイショウ</t>
    </rPh>
    <phoneticPr fontId="9"/>
  </si>
  <si>
    <t>新規</t>
    <rPh sb="0" eb="2">
      <t>シンキ</t>
    </rPh>
    <phoneticPr fontId="9"/>
  </si>
  <si>
    <t>新規作成</t>
    <rPh sb="0" eb="2">
      <t>シンキ</t>
    </rPh>
    <rPh sb="2" eb="4">
      <t>サクセイ</t>
    </rPh>
    <phoneticPr fontId="9"/>
  </si>
  <si>
    <t>機能要件一覧</t>
    <rPh sb="0" eb="2">
      <t>キノウ</t>
    </rPh>
    <rPh sb="2" eb="6">
      <t>ヨウケンイチラン</t>
    </rPh>
    <phoneticPr fontId="2"/>
  </si>
  <si>
    <t>変更</t>
    <rPh sb="0" eb="2">
      <t>ヘンコウ</t>
    </rPh>
    <phoneticPr fontId="2"/>
  </si>
  <si>
    <t>LDAP_ALL連携</t>
    <rPh sb="8" eb="10">
      <t>レンケイ</t>
    </rPh>
    <phoneticPr fontId="9"/>
  </si>
  <si>
    <t>学生基本連携</t>
    <rPh sb="0" eb="2">
      <t>ガクセイ</t>
    </rPh>
    <rPh sb="2" eb="4">
      <t>キホン</t>
    </rPh>
    <rPh sb="4" eb="6">
      <t>レンケイ</t>
    </rPh>
    <phoneticPr fontId="9"/>
  </si>
  <si>
    <t>教員基本連携</t>
    <rPh sb="0" eb="2">
      <t>キョウイン</t>
    </rPh>
    <rPh sb="2" eb="4">
      <t>キホン</t>
    </rPh>
    <rPh sb="4" eb="6">
      <t>レンケイ</t>
    </rPh>
    <phoneticPr fontId="9"/>
  </si>
  <si>
    <t>社員基本連携</t>
    <rPh sb="0" eb="2">
      <t>シャイン</t>
    </rPh>
    <rPh sb="2" eb="4">
      <t>キホン</t>
    </rPh>
    <rPh sb="4" eb="6">
      <t>レンケイ</t>
    </rPh>
    <phoneticPr fontId="9"/>
  </si>
  <si>
    <t>授業マスタ連携</t>
    <rPh sb="0" eb="2">
      <t>ジュギョウ</t>
    </rPh>
    <rPh sb="5" eb="7">
      <t>レンケイ</t>
    </rPh>
    <phoneticPr fontId="9"/>
  </si>
  <si>
    <t>授業担当マスタ連携</t>
    <rPh sb="0" eb="2">
      <t>ジュギョウ</t>
    </rPh>
    <rPh sb="2" eb="4">
      <t>タントウ</t>
    </rPh>
    <rPh sb="7" eb="9">
      <t>レンケイ</t>
    </rPh>
    <phoneticPr fontId="9"/>
  </si>
  <si>
    <t>学年歴マスタ連携</t>
    <rPh sb="0" eb="3">
      <t>ガクネンレキ</t>
    </rPh>
    <rPh sb="6" eb="8">
      <t>レンケイ</t>
    </rPh>
    <phoneticPr fontId="9"/>
  </si>
  <si>
    <t>組織マスタ連携</t>
    <rPh sb="0" eb="2">
      <t>ソシキ</t>
    </rPh>
    <rPh sb="5" eb="7">
      <t>レンケイ</t>
    </rPh>
    <phoneticPr fontId="9"/>
  </si>
  <si>
    <t>支給日マスタ連携</t>
    <rPh sb="0" eb="3">
      <t>シキュウビ</t>
    </rPh>
    <rPh sb="6" eb="8">
      <t>レンケイ</t>
    </rPh>
    <phoneticPr fontId="9"/>
  </si>
  <si>
    <t>マスタ連携の内容をRFP2.2.1.（16）に合わせる</t>
    <rPh sb="3" eb="5">
      <t>レンケイ</t>
    </rPh>
    <rPh sb="6" eb="8">
      <t>ナイヨウ</t>
    </rPh>
    <rPh sb="23" eb="24">
      <t>ア</t>
    </rPh>
    <phoneticPr fontId="9"/>
  </si>
  <si>
    <t>機能要件一覧
機能一覧</t>
    <rPh sb="7" eb="9">
      <t>キノウ</t>
    </rPh>
    <rPh sb="9" eb="11">
      <t>イチラン</t>
    </rPh>
    <phoneticPr fontId="2"/>
  </si>
  <si>
    <t>機能要件一覧</t>
    <rPh sb="0" eb="6">
      <t>キノウヨウケンイチラン</t>
    </rPh>
    <phoneticPr fontId="2"/>
  </si>
  <si>
    <t>ホーム画面から一時保存件数の項目を削除
ホーム画面の表示パターンに担当者を追加</t>
    <rPh sb="3" eb="5">
      <t>ガメン</t>
    </rPh>
    <rPh sb="7" eb="9">
      <t>イチジ</t>
    </rPh>
    <rPh sb="9" eb="11">
      <t>ホゾン</t>
    </rPh>
    <rPh sb="11" eb="13">
      <t>ケンスウ</t>
    </rPh>
    <rPh sb="14" eb="16">
      <t>コウモク</t>
    </rPh>
    <rPh sb="17" eb="19">
      <t>サクジョ</t>
    </rPh>
    <rPh sb="23" eb="25">
      <t>ガメン</t>
    </rPh>
    <rPh sb="26" eb="28">
      <t>ヒョウジ</t>
    </rPh>
    <rPh sb="33" eb="36">
      <t>タントウシャ</t>
    </rPh>
    <rPh sb="37" eb="39">
      <t>ツイカ</t>
    </rPh>
    <phoneticPr fontId="2"/>
  </si>
  <si>
    <t>雇用情報DL</t>
    <rPh sb="0" eb="2">
      <t>コヨウ</t>
    </rPh>
    <rPh sb="2" eb="4">
      <t>ジョウホウ</t>
    </rPh>
    <phoneticPr fontId="9"/>
  </si>
  <si>
    <t>変更</t>
    <rPh sb="0" eb="2">
      <t>ヘンコウ</t>
    </rPh>
    <phoneticPr fontId="9"/>
  </si>
  <si>
    <t>雇用情報DLと雇用情報ULを追加</t>
    <rPh sb="0" eb="2">
      <t>コヨウ</t>
    </rPh>
    <rPh sb="2" eb="4">
      <t>ジョウホウ</t>
    </rPh>
    <rPh sb="7" eb="9">
      <t>コヨウ</t>
    </rPh>
    <rPh sb="9" eb="11">
      <t>ジョウホウ</t>
    </rPh>
    <rPh sb="14" eb="16">
      <t>ツイカ</t>
    </rPh>
    <phoneticPr fontId="9"/>
  </si>
  <si>
    <t xml:space="preserve">・雇用情報の登録、確認、編集ができる
・雇用情報の出力できる
・複数身分ＩＤごとの給与単価リストが出力できる
・雇用情報の一覧データを出力できる
・雇用情報のアップロード用データのダウンロードができる
・雇用情報のエクセル取込から一括更新することができる
</t>
    <rPh sb="1" eb="3">
      <t>コヨウ</t>
    </rPh>
    <rPh sb="3" eb="5">
      <t>ジョウホウ</t>
    </rPh>
    <rPh sb="6" eb="8">
      <t>トウロク</t>
    </rPh>
    <rPh sb="9" eb="11">
      <t>カクニン</t>
    </rPh>
    <rPh sb="12" eb="14">
      <t>ヘンシュウ</t>
    </rPh>
    <rPh sb="20" eb="22">
      <t>コヨウ</t>
    </rPh>
    <rPh sb="22" eb="24">
      <t>ジョウホウ</t>
    </rPh>
    <rPh sb="25" eb="27">
      <t>シュツリョク</t>
    </rPh>
    <rPh sb="32" eb="36">
      <t>フクスウミブン</t>
    </rPh>
    <rPh sb="41" eb="43">
      <t>キュウヨ</t>
    </rPh>
    <rPh sb="43" eb="45">
      <t>タンカ</t>
    </rPh>
    <rPh sb="49" eb="51">
      <t>シュツリョク</t>
    </rPh>
    <rPh sb="56" eb="58">
      <t>コヨウ</t>
    </rPh>
    <rPh sb="58" eb="60">
      <t>ジョウホウ</t>
    </rPh>
    <rPh sb="61" eb="63">
      <t>イチラン</t>
    </rPh>
    <rPh sb="67" eb="69">
      <t>シュツリョク</t>
    </rPh>
    <rPh sb="74" eb="76">
      <t>コヨウ</t>
    </rPh>
    <rPh sb="76" eb="78">
      <t>ジョウホウ</t>
    </rPh>
    <rPh sb="85" eb="86">
      <t>ヨウ</t>
    </rPh>
    <rPh sb="102" eb="104">
      <t>コヨウ</t>
    </rPh>
    <rPh sb="104" eb="106">
      <t>ジョウホウ</t>
    </rPh>
    <rPh sb="111" eb="113">
      <t>トリコミ</t>
    </rPh>
    <rPh sb="115" eb="117">
      <t>イッカツ</t>
    </rPh>
    <rPh sb="117" eb="119">
      <t>コウシン</t>
    </rPh>
    <phoneticPr fontId="2"/>
  </si>
  <si>
    <t>ログイン画面からパスワードリセット機能は廃止</t>
    <rPh sb="4" eb="6">
      <t>ガメン</t>
    </rPh>
    <rPh sb="17" eb="19">
      <t>キノウ</t>
    </rPh>
    <rPh sb="20" eb="22">
      <t>ハイシ</t>
    </rPh>
    <phoneticPr fontId="2"/>
  </si>
  <si>
    <t>勤務入力で次の承認者を変更する機能は廃止
差し戻したときにメール送信する対象を学生から指定した利用者に変更</t>
    <rPh sb="0" eb="2">
      <t>キンム</t>
    </rPh>
    <rPh sb="2" eb="4">
      <t>ニュウリョク</t>
    </rPh>
    <rPh sb="5" eb="6">
      <t>ツギ</t>
    </rPh>
    <rPh sb="7" eb="10">
      <t>ショウニンシャ</t>
    </rPh>
    <rPh sb="11" eb="13">
      <t>ヘンコウ</t>
    </rPh>
    <rPh sb="15" eb="17">
      <t>キノウ</t>
    </rPh>
    <rPh sb="18" eb="20">
      <t>ハイシ</t>
    </rPh>
    <rPh sb="21" eb="22">
      <t>サ</t>
    </rPh>
    <rPh sb="23" eb="24">
      <t>モド</t>
    </rPh>
    <rPh sb="32" eb="34">
      <t>ソウシン</t>
    </rPh>
    <rPh sb="36" eb="38">
      <t>タイショウ</t>
    </rPh>
    <rPh sb="39" eb="41">
      <t>ガクセイ</t>
    </rPh>
    <rPh sb="43" eb="45">
      <t>シテイ</t>
    </rPh>
    <rPh sb="47" eb="50">
      <t>リヨウシャ</t>
    </rPh>
    <rPh sb="51" eb="53">
      <t>ヘンコウ</t>
    </rPh>
    <phoneticPr fontId="2"/>
  </si>
  <si>
    <t>代理ログイン後、元の利用者の画面に戻る機能の追加</t>
    <rPh sb="19" eb="21">
      <t>キノウ</t>
    </rPh>
    <rPh sb="22" eb="24">
      <t>ツイカ</t>
    </rPh>
    <phoneticPr fontId="2"/>
  </si>
  <si>
    <t>社員マスタでローカルユーザに限り、パスワードの表示・編集が可能</t>
    <rPh sb="0" eb="2">
      <t>シャイン</t>
    </rPh>
    <rPh sb="14" eb="15">
      <t>カギ</t>
    </rPh>
    <rPh sb="23" eb="25">
      <t>ヒョウジ</t>
    </rPh>
    <rPh sb="26" eb="28">
      <t>ヘンシュウ</t>
    </rPh>
    <rPh sb="29" eb="31">
      <t>カノウ</t>
    </rPh>
    <phoneticPr fontId="2"/>
  </si>
  <si>
    <t>支払給与月マスタの機能の詳細を変更</t>
    <rPh sb="0" eb="5">
      <t>シハライキュウヨツキ</t>
    </rPh>
    <rPh sb="9" eb="11">
      <t>キノウ</t>
    </rPh>
    <rPh sb="12" eb="14">
      <t>ショウサイ</t>
    </rPh>
    <rPh sb="15" eb="17">
      <t>ヘンコウ</t>
    </rPh>
    <phoneticPr fontId="2"/>
  </si>
  <si>
    <t xml:space="preserve">・メールの種別を一覧表示し、選択されたメール種別よりメール本文の編集ができる（英語表記も変更可）
　※メール送信対象機能（一例）
　　・勤務データ承認依頼メール
　　・勤務データ差戻メール
　　・勤務データ登録確定督促メール
　　・勤務データ承認督促メール
・メールの定期送信の設定ができる
・メールの有効/無効を設定できる
</t>
    <rPh sb="5" eb="7">
      <t>シュベツ</t>
    </rPh>
    <rPh sb="8" eb="10">
      <t>イチラン</t>
    </rPh>
    <rPh sb="10" eb="12">
      <t>ヒョウジ</t>
    </rPh>
    <rPh sb="14" eb="16">
      <t>センタク</t>
    </rPh>
    <rPh sb="22" eb="24">
      <t>シュベツ</t>
    </rPh>
    <rPh sb="29" eb="31">
      <t>ホンブン</t>
    </rPh>
    <rPh sb="32" eb="34">
      <t>ヘンシュウ</t>
    </rPh>
    <rPh sb="39" eb="41">
      <t>エイゴ</t>
    </rPh>
    <rPh sb="41" eb="43">
      <t>ヒョウキ</t>
    </rPh>
    <rPh sb="44" eb="46">
      <t>ヘンコウ</t>
    </rPh>
    <rPh sb="46" eb="47">
      <t>カ</t>
    </rPh>
    <rPh sb="54" eb="56">
      <t>ソウシン</t>
    </rPh>
    <rPh sb="56" eb="58">
      <t>タイショウ</t>
    </rPh>
    <rPh sb="58" eb="60">
      <t>キノウ</t>
    </rPh>
    <rPh sb="61" eb="63">
      <t>イチレイ</t>
    </rPh>
    <rPh sb="134" eb="136">
      <t>テイキ</t>
    </rPh>
    <rPh sb="136" eb="138">
      <t>ソウシン</t>
    </rPh>
    <rPh sb="139" eb="141">
      <t>セッテイ</t>
    </rPh>
    <rPh sb="151" eb="153">
      <t>ユウコウ</t>
    </rPh>
    <rPh sb="154" eb="156">
      <t>ムコウ</t>
    </rPh>
    <rPh sb="157" eb="159">
      <t>セッテイ</t>
    </rPh>
    <phoneticPr fontId="2"/>
  </si>
  <si>
    <t>メール管理マスタのメール送信対象（一例）からパスワードを忘れた場合を廃止</t>
    <rPh sb="3" eb="5">
      <t>カンリ</t>
    </rPh>
    <rPh sb="12" eb="14">
      <t>ソウシン</t>
    </rPh>
    <rPh sb="14" eb="16">
      <t>タイショウ</t>
    </rPh>
    <rPh sb="17" eb="19">
      <t>イチレイ</t>
    </rPh>
    <rPh sb="28" eb="29">
      <t>ワス</t>
    </rPh>
    <rPh sb="31" eb="33">
      <t>バアイ</t>
    </rPh>
    <rPh sb="34" eb="36">
      <t>ハイシ</t>
    </rPh>
    <phoneticPr fontId="2"/>
  </si>
  <si>
    <t>同志社　承認者</t>
    <rPh sb="0" eb="3">
      <t>ドウシシャ</t>
    </rPh>
    <rPh sb="4" eb="7">
      <t>ショウニンシャ</t>
    </rPh>
    <phoneticPr fontId="2"/>
  </si>
  <si>
    <t>同志社　管理者</t>
    <rPh sb="0" eb="3">
      <t>ドウシシャ</t>
    </rPh>
    <rPh sb="4" eb="7">
      <t>カンリシャ</t>
    </rPh>
    <phoneticPr fontId="2"/>
  </si>
  <si>
    <t>00</t>
    <phoneticPr fontId="2"/>
  </si>
  <si>
    <t>同志社　次郎</t>
    <rPh sb="0" eb="3">
      <t>ドウシシャ</t>
    </rPh>
    <rPh sb="4" eb="6">
      <t>ジロウ</t>
    </rPh>
    <phoneticPr fontId="2"/>
  </si>
  <si>
    <t>同志社　三郎</t>
    <rPh sb="0" eb="3">
      <t>ドウシシャ</t>
    </rPh>
    <rPh sb="4" eb="6">
      <t>サブロウ</t>
    </rPh>
    <phoneticPr fontId="2"/>
  </si>
  <si>
    <r>
      <t>ホーム</t>
    </r>
    <r>
      <rPr>
        <sz val="9"/>
        <color theme="1"/>
        <rFont val="メイリオ"/>
        <family val="3"/>
        <charset val="128"/>
      </rPr>
      <t xml:space="preserve"> &gt; </t>
    </r>
    <r>
      <rPr>
        <u/>
        <sz val="9"/>
        <color theme="1"/>
        <rFont val="メイリオ"/>
        <family val="3"/>
        <charset val="128"/>
      </rPr>
      <t>勤務データ承認</t>
    </r>
    <rPh sb="6" eb="8">
      <t>キンム</t>
    </rPh>
    <rPh sb="11" eb="13">
      <t>ショウニン</t>
    </rPh>
    <phoneticPr fontId="2"/>
  </si>
  <si>
    <t>承認済</t>
    <rPh sb="0" eb="2">
      <t>ショウニン</t>
    </rPh>
    <rPh sb="2" eb="3">
      <t>ズ</t>
    </rPh>
    <phoneticPr fontId="2"/>
  </si>
  <si>
    <t>全て</t>
    <rPh sb="0" eb="1">
      <t>スベ</t>
    </rPh>
    <phoneticPr fontId="2"/>
  </si>
  <si>
    <t>勤務承認日時(始)</t>
    <rPh sb="0" eb="2">
      <t>キンム</t>
    </rPh>
    <rPh sb="2" eb="4">
      <t>ショウニン</t>
    </rPh>
    <rPh sb="4" eb="6">
      <t>ニチジ</t>
    </rPh>
    <rPh sb="7" eb="8">
      <t>ハジ</t>
    </rPh>
    <phoneticPr fontId="2"/>
  </si>
  <si>
    <t>勤務承認日時(終)</t>
    <rPh sb="0" eb="2">
      <t>キンム</t>
    </rPh>
    <rPh sb="2" eb="4">
      <t>ショウニン</t>
    </rPh>
    <rPh sb="4" eb="6">
      <t>ニチジ</t>
    </rPh>
    <rPh sb="7" eb="8">
      <t>シュウ</t>
    </rPh>
    <phoneticPr fontId="2"/>
  </si>
  <si>
    <t>勤務確定日時(終)</t>
    <rPh sb="0" eb="2">
      <t>キンム</t>
    </rPh>
    <rPh sb="2" eb="4">
      <t>カクテイ</t>
    </rPh>
    <rPh sb="4" eb="6">
      <t>ニチジ</t>
    </rPh>
    <rPh sb="7" eb="8">
      <t>シュウ</t>
    </rPh>
    <phoneticPr fontId="2"/>
  </si>
  <si>
    <t>:</t>
    <phoneticPr fontId="2"/>
  </si>
  <si>
    <t>全て表示</t>
    <rPh sb="0" eb="1">
      <t>スベ</t>
    </rPh>
    <rPh sb="2" eb="4">
      <t>ヒョウジ</t>
    </rPh>
    <phoneticPr fontId="2"/>
  </si>
  <si>
    <t>勤務時間
（控除時間）</t>
    <rPh sb="0" eb="2">
      <t>キンム</t>
    </rPh>
    <rPh sb="2" eb="4">
      <t>ジカン</t>
    </rPh>
    <rPh sb="6" eb="8">
      <t>コウジョ</t>
    </rPh>
    <rPh sb="8" eb="10">
      <t>ジカン</t>
    </rPh>
    <phoneticPr fontId="2"/>
  </si>
  <si>
    <t>承認UL</t>
    <rPh sb="0" eb="2">
      <t>ショウニン</t>
    </rPh>
    <phoneticPr fontId="2"/>
  </si>
  <si>
    <t>勤務DL</t>
    <rPh sb="0" eb="2">
      <t>キンム</t>
    </rPh>
    <phoneticPr fontId="2"/>
  </si>
  <si>
    <t>13:10～14:40 (0:00)</t>
  </si>
  <si>
    <t>13:10～14:40 (0:00)</t>
    <phoneticPr fontId="2"/>
  </si>
  <si>
    <r>
      <t>ホーム</t>
    </r>
    <r>
      <rPr>
        <sz val="9"/>
        <color theme="1"/>
        <rFont val="メイリオ"/>
        <family val="3"/>
        <charset val="128"/>
      </rPr>
      <t xml:space="preserve"> &gt; </t>
    </r>
    <r>
      <rPr>
        <u/>
        <sz val="9"/>
        <color theme="1"/>
        <rFont val="メイリオ"/>
        <family val="3"/>
        <charset val="128"/>
      </rPr>
      <t>勤務データ照会</t>
    </r>
    <rPh sb="6" eb="8">
      <t>キンム</t>
    </rPh>
    <rPh sb="11" eb="13">
      <t>ショウカイ</t>
    </rPh>
    <phoneticPr fontId="2"/>
  </si>
  <si>
    <t>学部事務室</t>
    <rPh sb="0" eb="5">
      <t>ガクブジムシツ</t>
    </rPh>
    <phoneticPr fontId="2"/>
  </si>
  <si>
    <t>事務長</t>
    <rPh sb="0" eb="3">
      <t>ジムチョウ</t>
    </rPh>
    <phoneticPr fontId="2"/>
  </si>
  <si>
    <t>2023年</t>
    <rPh sb="4" eb="5">
      <t>ネン</t>
    </rPh>
    <phoneticPr fontId="2"/>
  </si>
  <si>
    <t>050</t>
    <phoneticPr fontId="9"/>
  </si>
  <si>
    <t>ユーザコードマスタを追加</t>
    <rPh sb="10" eb="12">
      <t>ツイカ</t>
    </rPh>
    <phoneticPr fontId="2"/>
  </si>
  <si>
    <t>13</t>
    <phoneticPr fontId="2"/>
  </si>
  <si>
    <t>14</t>
    <phoneticPr fontId="2"/>
  </si>
  <si>
    <t>　ファイルが選択されていません</t>
    <rPh sb="6" eb="8">
      <t>センタク</t>
    </rPh>
    <phoneticPr fontId="2"/>
  </si>
  <si>
    <t>その他マスタ</t>
    <rPh sb="2" eb="3">
      <t>タ</t>
    </rPh>
    <phoneticPr fontId="2"/>
  </si>
  <si>
    <t>その他マスタの編集</t>
    <rPh sb="2" eb="3">
      <t>タ</t>
    </rPh>
    <rPh sb="7" eb="9">
      <t>ヘンシュウ</t>
    </rPh>
    <phoneticPr fontId="2"/>
  </si>
  <si>
    <t>その他マスタ</t>
    <rPh sb="2" eb="3">
      <t>タ</t>
    </rPh>
    <phoneticPr fontId="9"/>
  </si>
  <si>
    <t>その他マスタメンテ</t>
    <rPh sb="2" eb="3">
      <t>タ</t>
    </rPh>
    <phoneticPr fontId="9"/>
  </si>
  <si>
    <t>戻る</t>
    <rPh sb="0" eb="1">
      <t>モド</t>
    </rPh>
    <phoneticPr fontId="2"/>
  </si>
  <si>
    <t>校地移動</t>
    <rPh sb="0" eb="2">
      <t>コウチ</t>
    </rPh>
    <rPh sb="2" eb="4">
      <t>イドウ</t>
    </rPh>
    <phoneticPr fontId="2"/>
  </si>
  <si>
    <t>校地
移動</t>
    <rPh sb="0" eb="2">
      <t>コウチ</t>
    </rPh>
    <rPh sb="3" eb="5">
      <t>イドウ</t>
    </rPh>
    <phoneticPr fontId="2"/>
  </si>
  <si>
    <t>する</t>
    <phoneticPr fontId="2"/>
  </si>
  <si>
    <t>◀</t>
    <phoneticPr fontId="2"/>
  </si>
  <si>
    <t>▶</t>
    <phoneticPr fontId="2"/>
  </si>
  <si>
    <t>変更</t>
    <rPh sb="0" eb="2">
      <t>ヘンコウ</t>
    </rPh>
    <phoneticPr fontId="2"/>
  </si>
  <si>
    <t>勤務データULの画面機能を追加</t>
    <rPh sb="0" eb="2">
      <t>キンム</t>
    </rPh>
    <rPh sb="8" eb="10">
      <t>ガメン</t>
    </rPh>
    <rPh sb="10" eb="12">
      <t>キノウ</t>
    </rPh>
    <rPh sb="13" eb="15">
      <t>ツイカ</t>
    </rPh>
    <phoneticPr fontId="2"/>
  </si>
  <si>
    <t>勤務データUL</t>
    <rPh sb="0" eb="2">
      <t>キンム</t>
    </rPh>
    <phoneticPr fontId="2"/>
  </si>
  <si>
    <r>
      <t>ホーム</t>
    </r>
    <r>
      <rPr>
        <sz val="9"/>
        <color theme="1"/>
        <rFont val="メイリオ"/>
        <family val="3"/>
        <charset val="128"/>
      </rPr>
      <t xml:space="preserve"> &gt; </t>
    </r>
    <r>
      <rPr>
        <u/>
        <sz val="9"/>
        <color theme="1"/>
        <rFont val="メイリオ"/>
        <family val="3"/>
        <charset val="128"/>
      </rPr>
      <t>勤務データ承認</t>
    </r>
    <r>
      <rPr>
        <sz val="9"/>
        <color theme="1"/>
        <rFont val="メイリオ"/>
        <family val="3"/>
        <charset val="128"/>
      </rPr>
      <t xml:space="preserve"> &gt; </t>
    </r>
    <r>
      <rPr>
        <u/>
        <sz val="9"/>
        <color theme="1"/>
        <rFont val="メイリオ"/>
        <family val="3"/>
        <charset val="128"/>
      </rPr>
      <t>勤務データUL</t>
    </r>
    <rPh sb="6" eb="8">
      <t>キンム</t>
    </rPh>
    <rPh sb="11" eb="13">
      <t>ショウニン</t>
    </rPh>
    <phoneticPr fontId="2"/>
  </si>
  <si>
    <t>不要なバッチ機能を削除</t>
    <rPh sb="0" eb="2">
      <t>フヨウ</t>
    </rPh>
    <rPh sb="6" eb="8">
      <t>キノウ</t>
    </rPh>
    <rPh sb="9" eb="11">
      <t>サクジョ</t>
    </rPh>
    <phoneticPr fontId="2"/>
  </si>
  <si>
    <t>マスタ連携のバッチ処理を統合</t>
    <rPh sb="3" eb="5">
      <t>レンケイ</t>
    </rPh>
    <rPh sb="9" eb="11">
      <t>ショリ</t>
    </rPh>
    <rPh sb="12" eb="14">
      <t>トウゴウ</t>
    </rPh>
    <phoneticPr fontId="2"/>
  </si>
  <si>
    <t>03E</t>
    <phoneticPr fontId="9"/>
  </si>
  <si>
    <t>05E</t>
    <phoneticPr fontId="9"/>
  </si>
  <si>
    <t>統合ＤＢ連携</t>
    <rPh sb="0" eb="2">
      <t>トウゴウ</t>
    </rPh>
    <rPh sb="4" eb="6">
      <t>レンケイ</t>
    </rPh>
    <phoneticPr fontId="9"/>
  </si>
  <si>
    <t>社員選択</t>
    <rPh sb="0" eb="2">
      <t>シャイン</t>
    </rPh>
    <rPh sb="2" eb="4">
      <t>センタク</t>
    </rPh>
    <phoneticPr fontId="9"/>
  </si>
  <si>
    <t>CZ-010-01G
CZ-010-02G
CZ-010-03C
CZ-010-04G
CZ-010-05E</t>
    <phoneticPr fontId="2"/>
  </si>
  <si>
    <t>CK-010-01G
CK-010-02G
CK-010-03E</t>
    <phoneticPr fontId="2"/>
  </si>
  <si>
    <t>CZ-800-01B</t>
    <phoneticPr fontId="2"/>
  </si>
  <si>
    <t>メール自動送信バッチを追加</t>
    <rPh sb="3" eb="5">
      <t>ジドウ</t>
    </rPh>
    <rPh sb="5" eb="7">
      <t>ソウシン</t>
    </rPh>
    <rPh sb="11" eb="13">
      <t>ツイカ</t>
    </rPh>
    <phoneticPr fontId="2"/>
  </si>
  <si>
    <t>メール自動送信</t>
    <rPh sb="3" eb="5">
      <t>ジドウ</t>
    </rPh>
    <rPh sb="5" eb="7">
      <t>ソウシン</t>
    </rPh>
    <phoneticPr fontId="9"/>
  </si>
  <si>
    <t>CZ-040-01G
CZ-040-02G
CZ-040-03B</t>
    <phoneticPr fontId="2"/>
  </si>
  <si>
    <t>学生</t>
    <rPh sb="0" eb="2">
      <t>ガクセイ</t>
    </rPh>
    <phoneticPr fontId="2"/>
  </si>
  <si>
    <t>担当者</t>
    <rPh sb="0" eb="3">
      <t>タントウシャ</t>
    </rPh>
    <phoneticPr fontId="2"/>
  </si>
  <si>
    <t>管理者</t>
    <rPh sb="0" eb="3">
      <t>カンリシャ</t>
    </rPh>
    <phoneticPr fontId="2"/>
  </si>
  <si>
    <t>登録/更新</t>
    <rPh sb="0" eb="2">
      <t>トウロク</t>
    </rPh>
    <rPh sb="3" eb="5">
      <t>コウシン</t>
    </rPh>
    <phoneticPr fontId="2"/>
  </si>
  <si>
    <t>削除</t>
    <rPh sb="0" eb="2">
      <t>サクジョ</t>
    </rPh>
    <phoneticPr fontId="2"/>
  </si>
  <si>
    <t>照会</t>
    <rPh sb="0" eb="2">
      <t>ショウカイ</t>
    </rPh>
    <phoneticPr fontId="2"/>
  </si>
  <si>
    <t>×</t>
    <phoneticPr fontId="2"/>
  </si>
  <si>
    <t>〇：使用可　△：条件あり　×：使用不可</t>
    <rPh sb="2" eb="5">
      <t>シヨウカ</t>
    </rPh>
    <rPh sb="8" eb="10">
      <t>ジョウケン</t>
    </rPh>
    <rPh sb="15" eb="17">
      <t>シヨウ</t>
    </rPh>
    <rPh sb="17" eb="19">
      <t>フカ</t>
    </rPh>
    <phoneticPr fontId="2"/>
  </si>
  <si>
    <t>△</t>
  </si>
  <si>
    <t>〇</t>
    <phoneticPr fontId="2"/>
  </si>
  <si>
    <t>勤務データ仮集計</t>
    <rPh sb="0" eb="2">
      <t>キンム</t>
    </rPh>
    <rPh sb="5" eb="6">
      <t>カリ</t>
    </rPh>
    <rPh sb="6" eb="8">
      <t>シュウケイ</t>
    </rPh>
    <phoneticPr fontId="9"/>
  </si>
  <si>
    <t>変更</t>
    <rPh sb="0" eb="2">
      <t>ヘンコウ</t>
    </rPh>
    <phoneticPr fontId="2"/>
  </si>
  <si>
    <t>機能一覧</t>
    <rPh sb="0" eb="4">
      <t>キノウイチラン</t>
    </rPh>
    <phoneticPr fontId="2"/>
  </si>
  <si>
    <t>担当者を承認可能な権限に変更し、承認者を教員に変更</t>
    <rPh sb="0" eb="3">
      <t>タントウシャ</t>
    </rPh>
    <rPh sb="4" eb="6">
      <t>ショウニン</t>
    </rPh>
    <rPh sb="6" eb="8">
      <t>カノウ</t>
    </rPh>
    <rPh sb="9" eb="11">
      <t>ケンゲン</t>
    </rPh>
    <rPh sb="12" eb="14">
      <t>ヘンコウ</t>
    </rPh>
    <rPh sb="16" eb="19">
      <t>ショウニンシャ</t>
    </rPh>
    <rPh sb="20" eb="22">
      <t>キョウイン</t>
    </rPh>
    <rPh sb="23" eb="25">
      <t>ヘンコウ</t>
    </rPh>
    <phoneticPr fontId="2"/>
  </si>
  <si>
    <t>　　</t>
    <phoneticPr fontId="2"/>
  </si>
  <si>
    <t>〇</t>
    <phoneticPr fontId="2"/>
  </si>
  <si>
    <t>給与支給日マスタ</t>
    <rPh sb="0" eb="5">
      <t>キュウヨシキュウビ</t>
    </rPh>
    <phoneticPr fontId="2"/>
  </si>
  <si>
    <t>給与支給日マスタの編集</t>
    <rPh sb="0" eb="5">
      <t>キュウヨシキュウビ</t>
    </rPh>
    <rPh sb="9" eb="11">
      <t>ヘンシュウ</t>
    </rPh>
    <phoneticPr fontId="2"/>
  </si>
  <si>
    <t xml:space="preserve">・給与支給日の編集ができる
・給与計算処理予定日の変更ができる
</t>
    <rPh sb="1" eb="6">
      <t>キュウヨシキュウビ</t>
    </rPh>
    <rPh sb="7" eb="9">
      <t>ヘンシュウ</t>
    </rPh>
    <rPh sb="15" eb="17">
      <t>キュウヨ</t>
    </rPh>
    <rPh sb="17" eb="19">
      <t>ケイサン</t>
    </rPh>
    <rPh sb="19" eb="21">
      <t>ショリ</t>
    </rPh>
    <rPh sb="21" eb="23">
      <t>ヨテイ</t>
    </rPh>
    <rPh sb="23" eb="24">
      <t>ビ</t>
    </rPh>
    <rPh sb="25" eb="27">
      <t>ヘンコウ</t>
    </rPh>
    <phoneticPr fontId="2"/>
  </si>
  <si>
    <t>給与支給日マスタメンテ</t>
    <rPh sb="0" eb="2">
      <t>キュウヨ</t>
    </rPh>
    <rPh sb="2" eb="4">
      <t>シキュウ</t>
    </rPh>
    <rPh sb="4" eb="5">
      <t>ビ</t>
    </rPh>
    <phoneticPr fontId="9"/>
  </si>
  <si>
    <t>給与支給日マスタ</t>
    <rPh sb="0" eb="5">
      <t>キュウヨシキュウビ</t>
    </rPh>
    <phoneticPr fontId="9"/>
  </si>
  <si>
    <t>支払給与月マスタを給与支給日マスタに名称変更</t>
    <rPh sb="0" eb="5">
      <t>シハライキュウヨツキ</t>
    </rPh>
    <rPh sb="9" eb="11">
      <t>キュウヨ</t>
    </rPh>
    <rPh sb="11" eb="14">
      <t>シキュウビ</t>
    </rPh>
    <rPh sb="18" eb="22">
      <t>メイショウヘンコウ</t>
    </rPh>
    <phoneticPr fontId="2"/>
  </si>
  <si>
    <t>02E</t>
    <phoneticPr fontId="2"/>
  </si>
  <si>
    <t>その他マスタDL</t>
    <rPh sb="2" eb="3">
      <t>タ</t>
    </rPh>
    <phoneticPr fontId="9"/>
  </si>
  <si>
    <t>CZ-050-01G
CZ-050-02E</t>
    <phoneticPr fontId="2"/>
  </si>
  <si>
    <t>その他マスタにダウンロード機能を追加</t>
    <rPh sb="2" eb="3">
      <t>タ</t>
    </rPh>
    <rPh sb="13" eb="15">
      <t>キノウ</t>
    </rPh>
    <rPh sb="16" eb="18">
      <t>ツイカ</t>
    </rPh>
    <phoneticPr fontId="2"/>
  </si>
  <si>
    <t xml:space="preserve">・その他マスタのファイルダウンロードとアップロードによる編集ができる
　※その他マスタ機能
　　・職種マスタ
　　・祝日マスタ
　　・承認ルートマスタ
　　・組織マスタ
</t>
    <rPh sb="3" eb="4">
      <t>タ</t>
    </rPh>
    <rPh sb="28" eb="30">
      <t>ヘンシュウ</t>
    </rPh>
    <rPh sb="39" eb="40">
      <t>タ</t>
    </rPh>
    <rPh sb="43" eb="45">
      <t>キノウ</t>
    </rPh>
    <rPh sb="49" eb="51">
      <t>ショクシュ</t>
    </rPh>
    <rPh sb="58" eb="60">
      <t>シュクジツ</t>
    </rPh>
    <rPh sb="67" eb="69">
      <t>ショウニン</t>
    </rPh>
    <rPh sb="79" eb="81">
      <t>ソシキ</t>
    </rPh>
    <phoneticPr fontId="2"/>
  </si>
  <si>
    <t>管理番号下1桁（G：画面、S：ポップアップ、E：エクセル、C：ＣＳＶ、B：バッチ）</t>
    <rPh sb="0" eb="2">
      <t>カンリ</t>
    </rPh>
    <rPh sb="2" eb="4">
      <t>バンゴウ</t>
    </rPh>
    <rPh sb="4" eb="5">
      <t>シモ</t>
    </rPh>
    <rPh sb="6" eb="7">
      <t>ケタ</t>
    </rPh>
    <rPh sb="10" eb="12">
      <t>ガメン</t>
    </rPh>
    <phoneticPr fontId="9"/>
  </si>
  <si>
    <t>変更</t>
    <rPh sb="0" eb="2">
      <t>ヘンコウ</t>
    </rPh>
    <phoneticPr fontId="2"/>
  </si>
  <si>
    <t>ポップアップの機能名称の末尾を「G」から「S」に変更
雇用部課選択を削除</t>
    <rPh sb="7" eb="11">
      <t>キノウメイショウ</t>
    </rPh>
    <rPh sb="12" eb="14">
      <t>マツビ</t>
    </rPh>
    <rPh sb="24" eb="26">
      <t>ヘンコウ</t>
    </rPh>
    <rPh sb="27" eb="31">
      <t>コヨウブカ</t>
    </rPh>
    <rPh sb="31" eb="33">
      <t>センタク</t>
    </rPh>
    <rPh sb="34" eb="36">
      <t>サクジョ</t>
    </rPh>
    <phoneticPr fontId="2"/>
  </si>
  <si>
    <t>02S</t>
    <phoneticPr fontId="2"/>
  </si>
  <si>
    <t>01S</t>
    <phoneticPr fontId="2"/>
  </si>
  <si>
    <t>機能一覧</t>
    <rPh sb="0" eb="2">
      <t>キノウ</t>
    </rPh>
    <rPh sb="2" eb="4">
      <t>イチラン</t>
    </rPh>
    <phoneticPr fontId="2"/>
  </si>
  <si>
    <t>90G</t>
    <phoneticPr fontId="2"/>
  </si>
  <si>
    <t>承認待ち</t>
    <rPh sb="0" eb="3">
      <t>ショウニンマ</t>
    </rPh>
    <phoneticPr fontId="2"/>
  </si>
  <si>
    <t>給与計算処理</t>
    <rPh sb="0" eb="2">
      <t>キュウヨ</t>
    </rPh>
    <rPh sb="2" eb="4">
      <t>ケイサン</t>
    </rPh>
    <rPh sb="4" eb="6">
      <t>ショリ</t>
    </rPh>
    <phoneticPr fontId="9"/>
  </si>
  <si>
    <t>給与計算処理</t>
    <rPh sb="0" eb="4">
      <t>キュウヨケイサン</t>
    </rPh>
    <rPh sb="4" eb="6">
      <t>ショリ</t>
    </rPh>
    <phoneticPr fontId="9"/>
  </si>
  <si>
    <t xml:space="preserve">・給与計算を行い、計算の対象となった勤務時間を複数身分ＩＤ毎に集計し、人事給与システムに取り込むための勤務時間集計表データを出力することができる
　※給与計算ボタン押下時には確認メッセージを表示して、誤操作を防止する
　※勤務日が過去月でも未計算の勤務データについては勤務時間に加算する
・給与計算後に追加の勤務データが発生した場合を想定して、一度計算した勤務データの給与再計算ができる（当月のみに限り）
・勤務の給与計算前にステータスに関わらず集計した勤務時間集計表データを出力することができる
・職種がＴＡとＳＡで1日6時間、1週12時間を超過した学生が存在する場合、対象学生のアラート情報をアラートリストとしてを出力することができる
　※勤務時間のアラート仕様に準ずる
</t>
    <rPh sb="6" eb="7">
      <t>オコナ</t>
    </rPh>
    <rPh sb="9" eb="11">
      <t>ケイサン</t>
    </rPh>
    <rPh sb="12" eb="14">
      <t>タイショウ</t>
    </rPh>
    <rPh sb="18" eb="20">
      <t>キンム</t>
    </rPh>
    <rPh sb="20" eb="22">
      <t>ジカン</t>
    </rPh>
    <rPh sb="23" eb="27">
      <t>フクスウミブン</t>
    </rPh>
    <rPh sb="29" eb="30">
      <t>ゴト</t>
    </rPh>
    <rPh sb="31" eb="33">
      <t>シュウケイ</t>
    </rPh>
    <rPh sb="35" eb="37">
      <t>ジンジ</t>
    </rPh>
    <rPh sb="37" eb="39">
      <t>キュウヨ</t>
    </rPh>
    <rPh sb="44" eb="45">
      <t>ト</t>
    </rPh>
    <rPh sb="46" eb="47">
      <t>コ</t>
    </rPh>
    <rPh sb="51" eb="53">
      <t>キンム</t>
    </rPh>
    <rPh sb="53" eb="55">
      <t>ジカン</t>
    </rPh>
    <rPh sb="55" eb="57">
      <t>シュウケイ</t>
    </rPh>
    <rPh sb="57" eb="58">
      <t>ヒョウ</t>
    </rPh>
    <rPh sb="62" eb="64">
      <t>シュツリョク</t>
    </rPh>
    <rPh sb="75" eb="79">
      <t>キュウヨケイサン</t>
    </rPh>
    <rPh sb="82" eb="84">
      <t>オウカ</t>
    </rPh>
    <rPh sb="84" eb="85">
      <t>ジ</t>
    </rPh>
    <rPh sb="87" eb="89">
      <t>カクニン</t>
    </rPh>
    <rPh sb="95" eb="97">
      <t>ヒョウジ</t>
    </rPh>
    <rPh sb="100" eb="103">
      <t>ゴソウサ</t>
    </rPh>
    <rPh sb="104" eb="106">
      <t>ボウシ</t>
    </rPh>
    <rPh sb="111" eb="113">
      <t>キンム</t>
    </rPh>
    <rPh sb="113" eb="114">
      <t>ビ</t>
    </rPh>
    <rPh sb="115" eb="117">
      <t>カコ</t>
    </rPh>
    <rPh sb="117" eb="118">
      <t>ツキ</t>
    </rPh>
    <rPh sb="120" eb="121">
      <t>ミ</t>
    </rPh>
    <rPh sb="121" eb="123">
      <t>ケイサン</t>
    </rPh>
    <rPh sb="124" eb="126">
      <t>キンム</t>
    </rPh>
    <rPh sb="134" eb="136">
      <t>キンム</t>
    </rPh>
    <rPh sb="136" eb="138">
      <t>ジカン</t>
    </rPh>
    <rPh sb="139" eb="141">
      <t>カサン</t>
    </rPh>
    <rPh sb="145" eb="149">
      <t>キュウヨケイサン</t>
    </rPh>
    <rPh sb="149" eb="150">
      <t>ゴ</t>
    </rPh>
    <rPh sb="151" eb="153">
      <t>ツイカ</t>
    </rPh>
    <rPh sb="154" eb="156">
      <t>キンム</t>
    </rPh>
    <rPh sb="160" eb="162">
      <t>ハッセイ</t>
    </rPh>
    <rPh sb="164" eb="166">
      <t>バアイ</t>
    </rPh>
    <rPh sb="167" eb="169">
      <t>ソウテイ</t>
    </rPh>
    <rPh sb="172" eb="174">
      <t>イチド</t>
    </rPh>
    <rPh sb="174" eb="176">
      <t>ケイサン</t>
    </rPh>
    <rPh sb="178" eb="180">
      <t>キンム</t>
    </rPh>
    <rPh sb="184" eb="189">
      <t>キュウヨサイケイサン</t>
    </rPh>
    <rPh sb="194" eb="196">
      <t>トウゲツ</t>
    </rPh>
    <rPh sb="199" eb="200">
      <t>カギ</t>
    </rPh>
    <rPh sb="204" eb="206">
      <t>キンム</t>
    </rPh>
    <rPh sb="207" eb="212">
      <t>キュウヨケイサンマエ</t>
    </rPh>
    <rPh sb="219" eb="220">
      <t>カカ</t>
    </rPh>
    <rPh sb="223" eb="225">
      <t>シュウケイ</t>
    </rPh>
    <rPh sb="227" eb="229">
      <t>キンム</t>
    </rPh>
    <rPh sb="229" eb="231">
      <t>ジカン</t>
    </rPh>
    <rPh sb="231" eb="234">
      <t>シュウケイヒョウ</t>
    </rPh>
    <rPh sb="238" eb="240">
      <t>シュツリョク</t>
    </rPh>
    <rPh sb="250" eb="252">
      <t>ショクシュ</t>
    </rPh>
    <rPh sb="260" eb="261">
      <t>ニチ</t>
    </rPh>
    <rPh sb="262" eb="264">
      <t>ジカン</t>
    </rPh>
    <rPh sb="266" eb="267">
      <t>シュウ</t>
    </rPh>
    <rPh sb="269" eb="271">
      <t>ジカン</t>
    </rPh>
    <rPh sb="272" eb="274">
      <t>チョウカ</t>
    </rPh>
    <rPh sb="276" eb="278">
      <t>ガクセイ</t>
    </rPh>
    <rPh sb="279" eb="281">
      <t>ソンザイ</t>
    </rPh>
    <rPh sb="283" eb="285">
      <t>バアイ</t>
    </rPh>
    <rPh sb="286" eb="288">
      <t>タイショウ</t>
    </rPh>
    <rPh sb="288" eb="290">
      <t>ガクセイ</t>
    </rPh>
    <rPh sb="295" eb="297">
      <t>ジョウホウ</t>
    </rPh>
    <rPh sb="309" eb="311">
      <t>シュツリョク</t>
    </rPh>
    <rPh sb="322" eb="326">
      <t>キンムジカン</t>
    </rPh>
    <rPh sb="331" eb="333">
      <t>シヨウ</t>
    </rPh>
    <rPh sb="334" eb="335">
      <t>ジュン</t>
    </rPh>
    <phoneticPr fontId="2"/>
  </si>
  <si>
    <t>勤務時間の計算
勤務時間集計表の出力</t>
    <rPh sb="0" eb="2">
      <t>キンム</t>
    </rPh>
    <rPh sb="2" eb="4">
      <t>ジカン</t>
    </rPh>
    <rPh sb="5" eb="7">
      <t>ケイサン</t>
    </rPh>
    <rPh sb="8" eb="10">
      <t>キンム</t>
    </rPh>
    <rPh sb="10" eb="12">
      <t>ジカン</t>
    </rPh>
    <rPh sb="12" eb="14">
      <t>シュウケイ</t>
    </rPh>
    <rPh sb="14" eb="15">
      <t>ヒョウ</t>
    </rPh>
    <rPh sb="16" eb="18">
      <t>シュツリョク</t>
    </rPh>
    <phoneticPr fontId="2"/>
  </si>
  <si>
    <t>給与計算</t>
    <rPh sb="0" eb="4">
      <t>キュウヨケイサン</t>
    </rPh>
    <phoneticPr fontId="2"/>
  </si>
  <si>
    <t>勤務締めを給与計算にタイトル変更</t>
    <rPh sb="0" eb="3">
      <t>キンムシ</t>
    </rPh>
    <rPh sb="5" eb="9">
      <t>キュウヨケイサン</t>
    </rPh>
    <rPh sb="14" eb="16">
      <t>ヘンコウ</t>
    </rPh>
    <phoneticPr fontId="2"/>
  </si>
  <si>
    <t>勤務データ承認（教員用）</t>
    <rPh sb="0" eb="2">
      <t>キンム</t>
    </rPh>
    <rPh sb="5" eb="7">
      <t>ショウニン</t>
    </rPh>
    <rPh sb="8" eb="10">
      <t>キョウイン</t>
    </rPh>
    <rPh sb="10" eb="11">
      <t>ヨウ</t>
    </rPh>
    <phoneticPr fontId="2"/>
  </si>
  <si>
    <t>勤務データ照会（職員用）</t>
    <rPh sb="0" eb="2">
      <t>キンム</t>
    </rPh>
    <rPh sb="5" eb="7">
      <t>ショウカイ</t>
    </rPh>
    <rPh sb="8" eb="10">
      <t>ショクイン</t>
    </rPh>
    <rPh sb="10" eb="11">
      <t>ヨウ</t>
    </rPh>
    <phoneticPr fontId="2"/>
  </si>
  <si>
    <t>13:10～14:40 (0)</t>
  </si>
  <si>
    <t>13:10～14:40 (0)</t>
    <phoneticPr fontId="2"/>
  </si>
  <si>
    <t>　　雇用情報</t>
    <rPh sb="2" eb="4">
      <t>コヨウ</t>
    </rPh>
    <rPh sb="4" eb="6">
      <t>ジョウホウ</t>
    </rPh>
    <phoneticPr fontId="2"/>
  </si>
  <si>
    <t>勤務データ承認（担当者用）</t>
    <rPh sb="0" eb="2">
      <t>キンム</t>
    </rPh>
    <rPh sb="5" eb="7">
      <t>ショウニン</t>
    </rPh>
    <rPh sb="8" eb="11">
      <t>タントウシャ</t>
    </rPh>
    <rPh sb="11" eb="12">
      <t>ヨウ</t>
    </rPh>
    <phoneticPr fontId="2"/>
  </si>
  <si>
    <t>勤務時間
（控除時間(分)）</t>
    <rPh sb="0" eb="2">
      <t>キンム</t>
    </rPh>
    <rPh sb="2" eb="4">
      <t>ジカン</t>
    </rPh>
    <rPh sb="6" eb="8">
      <t>コウジョ</t>
    </rPh>
    <rPh sb="8" eb="10">
      <t>ジカン</t>
    </rPh>
    <rPh sb="11" eb="12">
      <t>フン</t>
    </rPh>
    <phoneticPr fontId="2"/>
  </si>
  <si>
    <t>神学部・神学科</t>
    <rPh sb="0" eb="3">
      <t>シンガクブ</t>
    </rPh>
    <rPh sb="4" eb="7">
      <t>シンガクカ</t>
    </rPh>
    <phoneticPr fontId="2"/>
  </si>
  <si>
    <t>神学科・神学科</t>
    <rPh sb="0" eb="3">
      <t>シンガクカ</t>
    </rPh>
    <rPh sb="4" eb="7">
      <t>シンガクカ</t>
    </rPh>
    <phoneticPr fontId="2"/>
  </si>
  <si>
    <t>ログイン処理（SSO用）</t>
    <rPh sb="4" eb="6">
      <t>ショリ</t>
    </rPh>
    <rPh sb="10" eb="11">
      <t>ヨウ</t>
    </rPh>
    <phoneticPr fontId="9"/>
  </si>
  <si>
    <t>同志社　担当者</t>
    <rPh sb="0" eb="3">
      <t>ドウシシャ</t>
    </rPh>
    <rPh sb="4" eb="7">
      <t>タントウシャ</t>
    </rPh>
    <phoneticPr fontId="2"/>
  </si>
  <si>
    <t>　承認件数</t>
    <rPh sb="1" eb="3">
      <t>ショウニン</t>
    </rPh>
    <rPh sb="3" eb="5">
      <t>ケンスウ</t>
    </rPh>
    <phoneticPr fontId="2"/>
  </si>
  <si>
    <t>　修正件数</t>
    <rPh sb="1" eb="5">
      <t>シュウセイケンスウ</t>
    </rPh>
    <phoneticPr fontId="2"/>
  </si>
  <si>
    <t>　差戻件数</t>
    <rPh sb="1" eb="3">
      <t>サシモドシ</t>
    </rPh>
    <rPh sb="3" eb="5">
      <t>ケンスウ</t>
    </rPh>
    <phoneticPr fontId="2"/>
  </si>
  <si>
    <t>15件</t>
    <rPh sb="2" eb="3">
      <t>ケン</t>
    </rPh>
    <phoneticPr fontId="2"/>
  </si>
  <si>
    <t>8件</t>
    <rPh sb="1" eb="2">
      <t>ケン</t>
    </rPh>
    <phoneticPr fontId="2"/>
  </si>
  <si>
    <t>エラー内容</t>
    <rPh sb="3" eb="5">
      <t>ナイヨウ</t>
    </rPh>
    <phoneticPr fontId="2"/>
  </si>
  <si>
    <t>6行目は一切の項目の変更は不可です。</t>
    <rPh sb="1" eb="3">
      <t>ギョウメ</t>
    </rPh>
    <rPh sb="4" eb="6">
      <t>イッサイ</t>
    </rPh>
    <rPh sb="7" eb="9">
      <t>コウモク</t>
    </rPh>
    <rPh sb="10" eb="12">
      <t>ヘンコウ</t>
    </rPh>
    <rPh sb="13" eb="15">
      <t>フカ</t>
    </rPh>
    <phoneticPr fontId="2"/>
  </si>
  <si>
    <t>日時</t>
    <rPh sb="0" eb="2">
      <t>ニチジ</t>
    </rPh>
    <phoneticPr fontId="2"/>
  </si>
  <si>
    <t>機能ID</t>
    <rPh sb="0" eb="2">
      <t>キノウ</t>
    </rPh>
    <phoneticPr fontId="2"/>
  </si>
  <si>
    <t>機能名称</t>
    <rPh sb="0" eb="4">
      <t>キノウメイショウ</t>
    </rPh>
    <phoneticPr fontId="2"/>
  </si>
  <si>
    <t>CK-010-02G</t>
    <phoneticPr fontId="2"/>
  </si>
  <si>
    <t>10行目は修正不可項目への修正があります。</t>
    <rPh sb="2" eb="4">
      <t>ギョウメ</t>
    </rPh>
    <rPh sb="5" eb="7">
      <t>シュウセイ</t>
    </rPh>
    <rPh sb="7" eb="9">
      <t>フカ</t>
    </rPh>
    <rPh sb="9" eb="11">
      <t>コウモク</t>
    </rPh>
    <rPh sb="13" eb="15">
      <t>シュウセイ</t>
    </rPh>
    <phoneticPr fontId="2"/>
  </si>
  <si>
    <t>16行目は差戻理由と差戻者以外は変更できません。</t>
    <rPh sb="2" eb="4">
      <t>ギョウメ</t>
    </rPh>
    <rPh sb="5" eb="7">
      <t>サシモドシ</t>
    </rPh>
    <rPh sb="7" eb="9">
      <t>リユウ</t>
    </rPh>
    <rPh sb="10" eb="12">
      <t>サシモドシ</t>
    </rPh>
    <rPh sb="12" eb="13">
      <t>シャ</t>
    </rPh>
    <rPh sb="13" eb="15">
      <t>イガイ</t>
    </rPh>
    <rPh sb="16" eb="18">
      <t>ヘンコウ</t>
    </rPh>
    <phoneticPr fontId="2"/>
  </si>
  <si>
    <t>21行目は勤務番号が入力されていません。</t>
    <rPh sb="2" eb="4">
      <t>ギョウメ</t>
    </rPh>
    <rPh sb="5" eb="9">
      <t>キンムバンゴウ</t>
    </rPh>
    <rPh sb="10" eb="12">
      <t>ニュウリョク</t>
    </rPh>
    <phoneticPr fontId="2"/>
  </si>
  <si>
    <t>ファイルの取込に失敗しました。</t>
    <rPh sb="5" eb="7">
      <t>トリコミ</t>
    </rPh>
    <rPh sb="8" eb="10">
      <t>シッパイ</t>
    </rPh>
    <phoneticPr fontId="2"/>
  </si>
  <si>
    <t>勤務エータ取込用ファイル_20231025.csv</t>
    <rPh sb="0" eb="2">
      <t>キンム</t>
    </rPh>
    <rPh sb="5" eb="8">
      <t>トリコミヨウ</t>
    </rPh>
    <phoneticPr fontId="2"/>
  </si>
  <si>
    <t>エラー内容画面を追加</t>
    <rPh sb="3" eb="5">
      <t>ナイヨウ</t>
    </rPh>
    <rPh sb="5" eb="7">
      <t>ガメン</t>
    </rPh>
    <rPh sb="8" eb="10">
      <t>ツイカ</t>
    </rPh>
    <phoneticPr fontId="2"/>
  </si>
  <si>
    <t>810</t>
    <phoneticPr fontId="9"/>
  </si>
  <si>
    <t>エラー確認</t>
    <rPh sb="3" eb="5">
      <t>カクニン</t>
    </rPh>
    <phoneticPr fontId="2"/>
  </si>
  <si>
    <r>
      <t>ホーム</t>
    </r>
    <r>
      <rPr>
        <sz val="9"/>
        <color theme="1"/>
        <rFont val="メイリオ"/>
        <family val="3"/>
        <charset val="128"/>
      </rPr>
      <t xml:space="preserve"> &gt; </t>
    </r>
    <r>
      <rPr>
        <u/>
        <sz val="9"/>
        <color theme="1"/>
        <rFont val="メイリオ"/>
        <family val="3"/>
        <charset val="128"/>
      </rPr>
      <t>勤務データ承認</t>
    </r>
    <r>
      <rPr>
        <sz val="9"/>
        <color theme="1"/>
        <rFont val="メイリオ"/>
        <family val="3"/>
        <charset val="128"/>
      </rPr>
      <t xml:space="preserve"> &gt; </t>
    </r>
    <r>
      <rPr>
        <u/>
        <sz val="9"/>
        <color theme="1"/>
        <rFont val="メイリオ"/>
        <family val="3"/>
        <charset val="128"/>
      </rPr>
      <t>勤務データUL</t>
    </r>
    <r>
      <rPr>
        <sz val="9"/>
        <color theme="1"/>
        <rFont val="メイリオ"/>
        <family val="3"/>
        <charset val="128"/>
      </rPr>
      <t xml:space="preserve"> &gt; </t>
    </r>
    <r>
      <rPr>
        <u/>
        <sz val="9"/>
        <color theme="1"/>
        <rFont val="メイリオ"/>
        <family val="3"/>
        <charset val="128"/>
      </rPr>
      <t>エラー確認</t>
    </r>
    <rPh sb="6" eb="8">
      <t>キンム</t>
    </rPh>
    <rPh sb="11" eb="13">
      <t>ショウニン</t>
    </rPh>
    <rPh sb="29" eb="31">
      <t>カクニン</t>
    </rPh>
    <phoneticPr fontId="2"/>
  </si>
  <si>
    <t>エラー確認</t>
    <rPh sb="3" eb="5">
      <t>カクニン</t>
    </rPh>
    <phoneticPr fontId="2"/>
  </si>
  <si>
    <t>エラー確認</t>
    <rPh sb="3" eb="5">
      <t>カクニン</t>
    </rPh>
    <phoneticPr fontId="9"/>
  </si>
  <si>
    <t>雇用情報一覧から表示する雇用情報詳細を追加</t>
    <rPh sb="0" eb="6">
      <t>コヨウジョウホウイチラン</t>
    </rPh>
    <rPh sb="8" eb="10">
      <t>ヒョウジ</t>
    </rPh>
    <rPh sb="12" eb="16">
      <t>コヨウジョウホウ</t>
    </rPh>
    <rPh sb="16" eb="18">
      <t>ショウサイ</t>
    </rPh>
    <rPh sb="19" eb="21">
      <t>ツイカ</t>
    </rPh>
    <phoneticPr fontId="2"/>
  </si>
  <si>
    <t>CG-020-01G
CG-020-02G</t>
    <phoneticPr fontId="2"/>
  </si>
  <si>
    <t>02G</t>
    <phoneticPr fontId="2"/>
  </si>
  <si>
    <t>雇用情報詳細</t>
    <rPh sb="0" eb="2">
      <t>コヨウ</t>
    </rPh>
    <rPh sb="2" eb="4">
      <t>ジョウホウ</t>
    </rPh>
    <rPh sb="4" eb="6">
      <t>ショウサイ</t>
    </rPh>
    <phoneticPr fontId="9"/>
  </si>
  <si>
    <t>教員ID/氏名</t>
    <rPh sb="0" eb="2">
      <t>キョウイン</t>
    </rPh>
    <rPh sb="5" eb="7">
      <t>シメイ</t>
    </rPh>
    <phoneticPr fontId="2"/>
  </si>
  <si>
    <t>担当教員</t>
    <rPh sb="0" eb="4">
      <t>タントウキョウイン</t>
    </rPh>
    <phoneticPr fontId="2"/>
  </si>
  <si>
    <t>102156 / 鈴木 太郎</t>
    <rPh sb="9" eb="11">
      <t>スズキ</t>
    </rPh>
    <rPh sb="12" eb="14">
      <t>タロウ</t>
    </rPh>
    <phoneticPr fontId="2"/>
  </si>
  <si>
    <t>102113 / 田中 太郎</t>
    <rPh sb="9" eb="11">
      <t>タナカ</t>
    </rPh>
    <rPh sb="12" eb="14">
      <t>タロウ</t>
    </rPh>
    <phoneticPr fontId="2"/>
  </si>
  <si>
    <t>101684 / 商橋 太郎</t>
    <rPh sb="9" eb="11">
      <t>ショウバシ</t>
    </rPh>
    <rPh sb="12" eb="14">
      <t>タロウ</t>
    </rPh>
    <phoneticPr fontId="2"/>
  </si>
  <si>
    <t>103466 / 野村 太郎</t>
    <rPh sb="9" eb="11">
      <t>ノムラ</t>
    </rPh>
    <rPh sb="12" eb="14">
      <t>タロウ</t>
    </rPh>
    <phoneticPr fontId="2"/>
  </si>
  <si>
    <t>109575 / 田坂 太郎</t>
    <rPh sb="9" eb="11">
      <t>タサカ</t>
    </rPh>
    <rPh sb="12" eb="14">
      <t>タロウ</t>
    </rPh>
    <phoneticPr fontId="2"/>
  </si>
  <si>
    <t>CK-020-01G
CK-020-02G
CK-020-03C
CK-020-04C
CK-020-05E</t>
    <phoneticPr fontId="2"/>
  </si>
  <si>
    <t>兼任・代理承認</t>
    <rPh sb="0" eb="2">
      <t>ケンニン</t>
    </rPh>
    <rPh sb="3" eb="7">
      <t>ダイリショウニン</t>
    </rPh>
    <phoneticPr fontId="2"/>
  </si>
  <si>
    <t>兼任・代理承認</t>
    <rPh sb="0" eb="2">
      <t>ケンニン</t>
    </rPh>
    <rPh sb="3" eb="7">
      <t>ダイリショウニン</t>
    </rPh>
    <phoneticPr fontId="9"/>
  </si>
  <si>
    <t xml:space="preserve">勤務承認 </t>
    <rPh sb="0" eb="2">
      <t>キンム</t>
    </rPh>
    <rPh sb="2" eb="4">
      <t>ショウニン</t>
    </rPh>
    <phoneticPr fontId="2"/>
  </si>
  <si>
    <t>大久保　梓沙</t>
    <rPh sb="0" eb="3">
      <t>オオクボ</t>
    </rPh>
    <rPh sb="4" eb="6">
      <t>アヅサ</t>
    </rPh>
    <phoneticPr fontId="9"/>
  </si>
  <si>
    <t>管理者画面及び承認DLに、給与計算済かどうか判断できる項目を追加</t>
    <rPh sb="0" eb="5">
      <t>カンリシャガメン</t>
    </rPh>
    <rPh sb="5" eb="6">
      <t>オヨ</t>
    </rPh>
    <rPh sb="7" eb="9">
      <t>ショウニン</t>
    </rPh>
    <rPh sb="13" eb="17">
      <t>キュウヨケイサン</t>
    </rPh>
    <rPh sb="17" eb="18">
      <t>スミ</t>
    </rPh>
    <rPh sb="22" eb="24">
      <t>ハンダン</t>
    </rPh>
    <rPh sb="27" eb="29">
      <t>コウモク</t>
    </rPh>
    <rPh sb="30" eb="32">
      <t>ツイカ</t>
    </rPh>
    <phoneticPr fontId="2"/>
  </si>
  <si>
    <t>04C</t>
    <phoneticPr fontId="9"/>
  </si>
  <si>
    <t>兼任・代理承認ログイン</t>
    <rPh sb="0" eb="2">
      <t>ケンニン</t>
    </rPh>
    <rPh sb="3" eb="7">
      <t>ダイリショウニン</t>
    </rPh>
    <phoneticPr fontId="2"/>
  </si>
  <si>
    <t>代理承認を「兼任・代理承認」に変更</t>
    <rPh sb="0" eb="4">
      <t>ダイリショウニン</t>
    </rPh>
    <rPh sb="6" eb="8">
      <t>ケンニン</t>
    </rPh>
    <rPh sb="9" eb="13">
      <t>ダイリショウニン</t>
    </rPh>
    <rPh sb="15" eb="17">
      <t>ヘンコウ</t>
    </rPh>
    <phoneticPr fontId="2"/>
  </si>
  <si>
    <r>
      <rPr>
        <strike/>
        <sz val="10"/>
        <rFont val="BIZ UDゴシック"/>
        <family val="3"/>
        <charset val="128"/>
      </rPr>
      <t xml:space="preserve">CC-010-01G
</t>
    </r>
    <r>
      <rPr>
        <sz val="10"/>
        <rFont val="BIZ UDゴシック"/>
        <family val="3"/>
        <charset val="128"/>
      </rPr>
      <t>CC-010-90G</t>
    </r>
    <phoneticPr fontId="2"/>
  </si>
  <si>
    <r>
      <rPr>
        <strike/>
        <sz val="10"/>
        <rFont val="BIZ UDゴシック"/>
        <family val="3"/>
        <charset val="128"/>
      </rPr>
      <t xml:space="preserve">・システムへのログイン画面
</t>
    </r>
    <r>
      <rPr>
        <sz val="10"/>
        <rFont val="BIZ UDゴシック"/>
        <family val="3"/>
        <charset val="128"/>
      </rPr>
      <t xml:space="preserve">・SSO認証でのログイン処理
</t>
    </r>
    <rPh sb="11" eb="13">
      <t>ガメン</t>
    </rPh>
    <rPh sb="18" eb="20">
      <t>ニンショウ</t>
    </rPh>
    <rPh sb="26" eb="28">
      <t>ショリ</t>
    </rPh>
    <phoneticPr fontId="9"/>
  </si>
  <si>
    <r>
      <t>・勤務データの申請状況を確認することができる
　※学生の場合は「承認待ち」「承認完了」「差戻」件数を確認することができる
　※承認者の場合は「承認待ち」「承認完了」件数を確認することができる
　　</t>
    </r>
    <r>
      <rPr>
        <strike/>
        <sz val="10"/>
        <rFont val="BIZ UDゴシック"/>
        <family val="3"/>
        <charset val="128"/>
      </rPr>
      <t xml:space="preserve">また、督促ボタンを押下すると、ステータスが差戻になっている利用者へ督促メールを送信する
</t>
    </r>
    <r>
      <rPr>
        <sz val="10"/>
        <rFont val="BIZ UDゴシック"/>
        <family val="3"/>
        <charset val="128"/>
      </rPr>
      <t>　※管理者の場合は「承認待ち」「給与計算待ち」件数を確認することができる
　　</t>
    </r>
    <r>
      <rPr>
        <strike/>
        <sz val="10"/>
        <rFont val="BIZ UDゴシック"/>
        <family val="3"/>
        <charset val="128"/>
      </rPr>
      <t xml:space="preserve">また、督促ボタンを押下すると、ステータスが差戻又は未承認になっている利用者または承認者へ督促メールを送信する
</t>
    </r>
    <r>
      <rPr>
        <sz val="10"/>
        <rFont val="BIZ UDゴシック"/>
        <family val="3"/>
        <charset val="128"/>
      </rPr>
      <t xml:space="preserve">・各機能への遷移するメニューを配置する
　※学生/教員/担当者/管理者によって表示するメニューは異なる
</t>
    </r>
    <rPh sb="1" eb="3">
      <t>キンム</t>
    </rPh>
    <rPh sb="7" eb="9">
      <t>シンセイ</t>
    </rPh>
    <rPh sb="9" eb="11">
      <t>ジョウキョウ</t>
    </rPh>
    <rPh sb="12" eb="14">
      <t>カクニン</t>
    </rPh>
    <rPh sb="25" eb="27">
      <t>ガクセイ</t>
    </rPh>
    <rPh sb="28" eb="30">
      <t>バアイ</t>
    </rPh>
    <rPh sb="32" eb="35">
      <t>ショウニンマ</t>
    </rPh>
    <rPh sb="38" eb="40">
      <t>ショウニン</t>
    </rPh>
    <rPh sb="40" eb="42">
      <t>カンリョウ</t>
    </rPh>
    <rPh sb="44" eb="46">
      <t>サシモドシ</t>
    </rPh>
    <rPh sb="47" eb="49">
      <t>ケンスウ</t>
    </rPh>
    <rPh sb="50" eb="52">
      <t>カクニン</t>
    </rPh>
    <rPh sb="63" eb="66">
      <t>ショウニンシャ</t>
    </rPh>
    <rPh sb="67" eb="69">
      <t>バアイ</t>
    </rPh>
    <rPh sb="71" eb="73">
      <t>ショウニン</t>
    </rPh>
    <rPh sb="73" eb="74">
      <t>マ</t>
    </rPh>
    <rPh sb="77" eb="79">
      <t>ショウニン</t>
    </rPh>
    <rPh sb="79" eb="81">
      <t>カンリョウ</t>
    </rPh>
    <rPh sb="82" eb="84">
      <t>ケンスウ</t>
    </rPh>
    <rPh sb="85" eb="87">
      <t>カクニン</t>
    </rPh>
    <rPh sb="101" eb="103">
      <t>トクソク</t>
    </rPh>
    <rPh sb="107" eb="109">
      <t>オウカ</t>
    </rPh>
    <rPh sb="119" eb="121">
      <t>サシモドシ</t>
    </rPh>
    <rPh sb="144" eb="147">
      <t>カンリシャ</t>
    </rPh>
    <rPh sb="148" eb="150">
      <t>バアイ</t>
    </rPh>
    <rPh sb="152" eb="155">
      <t>ショウニンマ</t>
    </rPh>
    <rPh sb="158" eb="162">
      <t>キュウヨケイサン</t>
    </rPh>
    <rPh sb="162" eb="163">
      <t>マ</t>
    </rPh>
    <rPh sb="165" eb="167">
      <t>ケンスウ</t>
    </rPh>
    <rPh sb="168" eb="170">
      <t>カクニン</t>
    </rPh>
    <rPh sb="184" eb="186">
      <t>トクソク</t>
    </rPh>
    <rPh sb="190" eb="192">
      <t>オウカ</t>
    </rPh>
    <rPh sb="202" eb="204">
      <t>サシモドシ</t>
    </rPh>
    <rPh sb="204" eb="205">
      <t>マタ</t>
    </rPh>
    <rPh sb="206" eb="209">
      <t>ミショウニン</t>
    </rPh>
    <rPh sb="215" eb="218">
      <t>リヨウシャ</t>
    </rPh>
    <rPh sb="221" eb="224">
      <t>ショウニンシャ</t>
    </rPh>
    <rPh sb="225" eb="227">
      <t>トクソク</t>
    </rPh>
    <rPh sb="231" eb="233">
      <t>ソウシン</t>
    </rPh>
    <rPh sb="237" eb="240">
      <t>カクキノウ</t>
    </rPh>
    <rPh sb="242" eb="244">
      <t>センイ</t>
    </rPh>
    <rPh sb="251" eb="253">
      <t>ハイチ</t>
    </rPh>
    <rPh sb="258" eb="260">
      <t>ガクセイ</t>
    </rPh>
    <rPh sb="261" eb="263">
      <t>キョウイン</t>
    </rPh>
    <rPh sb="264" eb="267">
      <t>タントウシャ</t>
    </rPh>
    <rPh sb="268" eb="271">
      <t>カンリシャ</t>
    </rPh>
    <rPh sb="275" eb="277">
      <t>ヒョウジ</t>
    </rPh>
    <rPh sb="284" eb="285">
      <t>コト</t>
    </rPh>
    <phoneticPr fontId="2"/>
  </si>
  <si>
    <r>
      <rPr>
        <strike/>
        <sz val="10"/>
        <rFont val="BIZ UDゴシック"/>
        <family val="3"/>
        <charset val="128"/>
      </rPr>
      <t xml:space="preserve">推奨環境ページ
</t>
    </r>
    <r>
      <rPr>
        <sz val="10"/>
        <rFont val="BIZ UDゴシック"/>
        <family val="3"/>
        <charset val="128"/>
      </rPr>
      <t>ヘルプページ</t>
    </r>
    <rPh sb="0" eb="2">
      <t>スイショウ</t>
    </rPh>
    <rPh sb="2" eb="4">
      <t>カンキョウ</t>
    </rPh>
    <phoneticPr fontId="2"/>
  </si>
  <si>
    <r>
      <rPr>
        <strike/>
        <sz val="10"/>
        <rFont val="BIZ UDゴシック"/>
        <family val="3"/>
        <charset val="128"/>
      </rPr>
      <t xml:space="preserve">・推奨環境をいつでも確認できるページ
　※固定のＨＴＭＬファイル
</t>
    </r>
    <r>
      <rPr>
        <sz val="10"/>
        <rFont val="BIZ UDゴシック"/>
        <family val="3"/>
        <charset val="128"/>
      </rPr>
      <t xml:space="preserve">・利用者用操作説明書のダウンロードページ
</t>
    </r>
    <rPh sb="1" eb="3">
      <t>スイショウ</t>
    </rPh>
    <rPh sb="3" eb="5">
      <t>カンキョウ</t>
    </rPh>
    <rPh sb="10" eb="12">
      <t>カクニン</t>
    </rPh>
    <rPh sb="21" eb="23">
      <t>コテイ</t>
    </rPh>
    <rPh sb="34" eb="37">
      <t>リヨウシャ</t>
    </rPh>
    <rPh sb="37" eb="38">
      <t>ヨウ</t>
    </rPh>
    <rPh sb="38" eb="40">
      <t>ソウサ</t>
    </rPh>
    <rPh sb="40" eb="43">
      <t>セツメイショ</t>
    </rPh>
    <phoneticPr fontId="2"/>
  </si>
  <si>
    <t>・雇用情報を選択して、勤務時間、控除時間、勤務内容の登録ができる
　※登録することで教員への承認依頼メールを自動送信する
・登録した勤務内容、承認状況を一覧で確認できる
　※支給日を変更することで過去に遡ることが可能
・承認者が学生の代わりに勤務時間の代理入力ができる
　※代理入力することで教員への承認依頼メールを自動送信する
・※代理入力することで学生への代理入力メールを自動送信する
・学生が登録した勤務内容の編集ができる
　※差戻すると、指定した利用者に差戻メールを自動送信する
・校地移動フラグの管理入力ができる
　　</t>
    <rPh sb="1" eb="3">
      <t>コヨウ</t>
    </rPh>
    <rPh sb="3" eb="5">
      <t>ジョウホウ</t>
    </rPh>
    <rPh sb="6" eb="8">
      <t>センタク</t>
    </rPh>
    <rPh sb="11" eb="13">
      <t>キンム</t>
    </rPh>
    <rPh sb="13" eb="15">
      <t>ジカン</t>
    </rPh>
    <rPh sb="16" eb="18">
      <t>コウジョ</t>
    </rPh>
    <rPh sb="18" eb="20">
      <t>ジカン</t>
    </rPh>
    <rPh sb="21" eb="23">
      <t>キンム</t>
    </rPh>
    <rPh sb="23" eb="25">
      <t>ナイヨウ</t>
    </rPh>
    <rPh sb="26" eb="28">
      <t>トウロク</t>
    </rPh>
    <rPh sb="42" eb="44">
      <t>キョウイン</t>
    </rPh>
    <rPh sb="54" eb="56">
      <t>ジドウ</t>
    </rPh>
    <rPh sb="62" eb="64">
      <t>トウロク</t>
    </rPh>
    <rPh sb="68" eb="70">
      <t>ナイヨウ</t>
    </rPh>
    <rPh sb="71" eb="73">
      <t>ショウニン</t>
    </rPh>
    <rPh sb="73" eb="75">
      <t>ジョウキョウ</t>
    </rPh>
    <rPh sb="110" eb="113">
      <t>ショウニンシャ</t>
    </rPh>
    <rPh sb="114" eb="116">
      <t>ガクセイ</t>
    </rPh>
    <rPh sb="117" eb="118">
      <t>カ</t>
    </rPh>
    <rPh sb="121" eb="123">
      <t>キンム</t>
    </rPh>
    <rPh sb="123" eb="125">
      <t>ジカン</t>
    </rPh>
    <rPh sb="126" eb="128">
      <t>ダイリ</t>
    </rPh>
    <rPh sb="128" eb="130">
      <t>ニュウリョク</t>
    </rPh>
    <rPh sb="137" eb="139">
      <t>ダイリ</t>
    </rPh>
    <rPh sb="139" eb="141">
      <t>ニュウリョク</t>
    </rPh>
    <rPh sb="146" eb="148">
      <t>キョウイン</t>
    </rPh>
    <rPh sb="150" eb="154">
      <t>ショウニンイライ</t>
    </rPh>
    <rPh sb="158" eb="160">
      <t>ジドウ</t>
    </rPh>
    <rPh sb="160" eb="162">
      <t>ソウシン</t>
    </rPh>
    <rPh sb="176" eb="178">
      <t>ガクセイ</t>
    </rPh>
    <rPh sb="180" eb="184">
      <t>ダイリニュウリョク</t>
    </rPh>
    <rPh sb="196" eb="198">
      <t>ガクセイ</t>
    </rPh>
    <rPh sb="199" eb="201">
      <t>トウロク</t>
    </rPh>
    <rPh sb="203" eb="205">
      <t>キンム</t>
    </rPh>
    <rPh sb="205" eb="207">
      <t>ナイヨウ</t>
    </rPh>
    <rPh sb="208" eb="210">
      <t>ヘンシュウ</t>
    </rPh>
    <rPh sb="217" eb="219">
      <t>サシモドシ</t>
    </rPh>
    <rPh sb="231" eb="233">
      <t>サシモドシ</t>
    </rPh>
    <rPh sb="237" eb="239">
      <t>ジドウ</t>
    </rPh>
    <rPh sb="239" eb="241">
      <t>ソウシン</t>
    </rPh>
    <rPh sb="245" eb="247">
      <t>コウチ</t>
    </rPh>
    <rPh sb="247" eb="249">
      <t>イドウ</t>
    </rPh>
    <rPh sb="253" eb="255">
      <t>カンリ</t>
    </rPh>
    <rPh sb="255" eb="257">
      <t>ニュウリョク</t>
    </rPh>
    <phoneticPr fontId="2"/>
  </si>
  <si>
    <r>
      <t>・勤務データの承認依頼が届いているデータを抽出して、承認（一括承認）することができる
　</t>
    </r>
    <r>
      <rPr>
        <strike/>
        <sz val="10"/>
        <rFont val="BIZ UDゴシック"/>
        <family val="3"/>
        <charset val="128"/>
      </rPr>
      <t xml:space="preserve">※承認することで次の承認者への承認依頼メールを自動送信する
</t>
    </r>
    <r>
      <rPr>
        <sz val="10"/>
        <rFont val="BIZ UDゴシック"/>
        <family val="3"/>
        <charset val="128"/>
      </rPr>
      <t xml:space="preserve">・勤務データの編集/差戻ができる
　※編集/差戻することで、学生へ編集/差戻メールを自動送信する
・勤務データを様々な条件から抽出し、ダウンロードすることができる
　※ダウンロードした勤務データをアップロードすることで対象の勤務データを一括承認できる
・勤務データダウンロード機能からダウンロードした勤務データをアップロードすることで勤務データを一括承認することができる
　※未承認の勤務データを承認済に変更できる
</t>
    </r>
    <rPh sb="1" eb="3">
      <t>キンム</t>
    </rPh>
    <rPh sb="7" eb="9">
      <t>ショウニン</t>
    </rPh>
    <rPh sb="9" eb="11">
      <t>イライ</t>
    </rPh>
    <rPh sb="12" eb="13">
      <t>トド</t>
    </rPh>
    <rPh sb="21" eb="23">
      <t>チュウシュツ</t>
    </rPh>
    <rPh sb="26" eb="28">
      <t>ショウニン</t>
    </rPh>
    <rPh sb="29" eb="31">
      <t>イッカツ</t>
    </rPh>
    <rPh sb="31" eb="33">
      <t>ショウニン</t>
    </rPh>
    <rPh sb="45" eb="47">
      <t>ショウニン</t>
    </rPh>
    <rPh sb="52" eb="53">
      <t>ツギ</t>
    </rPh>
    <rPh sb="54" eb="57">
      <t>ショウニンシャ</t>
    </rPh>
    <rPh sb="59" eb="61">
      <t>ショウニン</t>
    </rPh>
    <rPh sb="61" eb="63">
      <t>イライ</t>
    </rPh>
    <rPh sb="67" eb="69">
      <t>ジドウ</t>
    </rPh>
    <rPh sb="69" eb="71">
      <t>ソウシン</t>
    </rPh>
    <rPh sb="75" eb="77">
      <t>キンム</t>
    </rPh>
    <rPh sb="81" eb="83">
      <t>ヘンシュウ</t>
    </rPh>
    <rPh sb="84" eb="86">
      <t>サシモドシ</t>
    </rPh>
    <rPh sb="93" eb="95">
      <t>ヘンシュウ</t>
    </rPh>
    <rPh sb="96" eb="98">
      <t>サシモドシ</t>
    </rPh>
    <rPh sb="104" eb="106">
      <t>ガクセイ</t>
    </rPh>
    <rPh sb="107" eb="109">
      <t>ヘンシュウ</t>
    </rPh>
    <rPh sb="110" eb="112">
      <t>サシモドシ</t>
    </rPh>
    <rPh sb="116" eb="118">
      <t>ジドウ</t>
    </rPh>
    <rPh sb="118" eb="120">
      <t>ソウシン</t>
    </rPh>
    <phoneticPr fontId="2"/>
  </si>
  <si>
    <r>
      <t xml:space="preserve">・兼任・代理承認するために承認者に成り代わり承認処理が実施できる
</t>
    </r>
    <r>
      <rPr>
        <strike/>
        <sz val="10"/>
        <rFont val="BIZ UDゴシック"/>
        <family val="3"/>
        <charset val="128"/>
      </rPr>
      <t xml:space="preserve">・代理ログイン後、元の利用者の画面に戻ることができる
</t>
    </r>
    <rPh sb="1" eb="3">
      <t>ケンニン</t>
    </rPh>
    <rPh sb="4" eb="8">
      <t>ダイリショウニン</t>
    </rPh>
    <rPh sb="13" eb="16">
      <t>ショウニンシャ</t>
    </rPh>
    <rPh sb="17" eb="18">
      <t>ナ</t>
    </rPh>
    <rPh sb="19" eb="20">
      <t>カ</t>
    </rPh>
    <rPh sb="22" eb="24">
      <t>ショウニン</t>
    </rPh>
    <rPh sb="24" eb="26">
      <t>ショリ</t>
    </rPh>
    <rPh sb="27" eb="29">
      <t>ジッシ</t>
    </rPh>
    <phoneticPr fontId="2"/>
  </si>
  <si>
    <r>
      <t xml:space="preserve">・学生勤務管理システムで管理する必要のある社員（学生）の確認、情報の編集、新規登録ができる
　※基本的な情報は統合ＤＢから連携
・兼任・代理承認の有無を管理できる
・管理できる情報を拡張できるように拡張項目を５つ保持し、登録編集ができる
</t>
    </r>
    <r>
      <rPr>
        <strike/>
        <sz val="10"/>
        <rFont val="BIZ UDゴシック"/>
        <family val="3"/>
        <charset val="128"/>
      </rPr>
      <t xml:space="preserve">・ローカルユーザに限り、パスワードの編集が可能ができる
</t>
    </r>
    <rPh sb="1" eb="7">
      <t>ガクセイキンムカンリ</t>
    </rPh>
    <rPh sb="12" eb="14">
      <t>カンリ</t>
    </rPh>
    <rPh sb="16" eb="18">
      <t>ヒツヨウ</t>
    </rPh>
    <rPh sb="21" eb="23">
      <t>シャイン</t>
    </rPh>
    <rPh sb="24" eb="26">
      <t>ガクセイ</t>
    </rPh>
    <rPh sb="28" eb="30">
      <t>カクニン</t>
    </rPh>
    <rPh sb="31" eb="33">
      <t>ジョウホウ</t>
    </rPh>
    <rPh sb="34" eb="36">
      <t>ヘンシュウ</t>
    </rPh>
    <rPh sb="37" eb="39">
      <t>シンキ</t>
    </rPh>
    <rPh sb="39" eb="41">
      <t>トウロク</t>
    </rPh>
    <rPh sb="48" eb="51">
      <t>キホンテキ</t>
    </rPh>
    <rPh sb="52" eb="54">
      <t>ジョウホウ</t>
    </rPh>
    <rPh sb="55" eb="57">
      <t>トウゴウ</t>
    </rPh>
    <rPh sb="61" eb="63">
      <t>レンケイ</t>
    </rPh>
    <rPh sb="65" eb="67">
      <t>ケンニン</t>
    </rPh>
    <rPh sb="68" eb="72">
      <t>ダイリショウニン</t>
    </rPh>
    <rPh sb="73" eb="75">
      <t>ウム</t>
    </rPh>
    <rPh sb="76" eb="78">
      <t>カンリ</t>
    </rPh>
    <rPh sb="83" eb="85">
      <t>カンリ</t>
    </rPh>
    <rPh sb="88" eb="90">
      <t>ジョウホウ</t>
    </rPh>
    <rPh sb="91" eb="93">
      <t>カクチョウ</t>
    </rPh>
    <rPh sb="99" eb="101">
      <t>カクチョウ</t>
    </rPh>
    <rPh sb="101" eb="103">
      <t>コウモク</t>
    </rPh>
    <rPh sb="106" eb="108">
      <t>ホジ</t>
    </rPh>
    <rPh sb="110" eb="112">
      <t>トウロク</t>
    </rPh>
    <rPh sb="112" eb="114">
      <t>ヘンシュウ</t>
    </rPh>
    <rPh sb="128" eb="129">
      <t>カギ</t>
    </rPh>
    <rPh sb="137" eb="139">
      <t>ヘンシュウ</t>
    </rPh>
    <rPh sb="140" eb="142">
      <t>カノウ</t>
    </rPh>
    <phoneticPr fontId="2"/>
  </si>
  <si>
    <r>
      <t xml:space="preserve">以下のマスタ連携を毎日バッチ処理で行う
・LDAP_ALL連携
・学生基本連携
・教員基本連携
・社員基本連携
・科目マスタ連携
・開講科目マスタ連携
・授業マスタ連携
・授業担当マスタ連携
・学年歴マスタ連携
・所属名称マスタ連携
・部署マスタ連携
・業務マスタ連携
・予算マスタ連携
・配分先マスタ連携
</t>
    </r>
    <r>
      <rPr>
        <strike/>
        <sz val="10"/>
        <rFont val="BIZ UDゴシック"/>
        <family val="3"/>
        <charset val="128"/>
      </rPr>
      <t xml:space="preserve">・組織マスタ連携
・校地マスタ連携
・キャンパスマスタ連携
・学部研究科マスタ連携
・支給日マスタ連携
</t>
    </r>
    <rPh sb="0" eb="2">
      <t>イカ</t>
    </rPh>
    <rPh sb="6" eb="8">
      <t>レンケイ</t>
    </rPh>
    <rPh sb="9" eb="11">
      <t>マイニチ</t>
    </rPh>
    <rPh sb="14" eb="16">
      <t>ショリ</t>
    </rPh>
    <rPh sb="17" eb="18">
      <t>オコナ</t>
    </rPh>
    <rPh sb="118" eb="120">
      <t>ブショ</t>
    </rPh>
    <rPh sb="127" eb="129">
      <t>ギョウム</t>
    </rPh>
    <rPh sb="136" eb="138">
      <t>ヨサン</t>
    </rPh>
    <rPh sb="145" eb="148">
      <t>ハイブンサキ</t>
    </rPh>
    <phoneticPr fontId="2"/>
  </si>
  <si>
    <t>95G</t>
    <phoneticPr fontId="9"/>
  </si>
  <si>
    <t>ページ遷移エラー画面</t>
    <rPh sb="3" eb="5">
      <t>センイ</t>
    </rPh>
    <rPh sb="8" eb="10">
      <t>ガメン</t>
    </rPh>
    <phoneticPr fontId="9"/>
  </si>
  <si>
    <t>部署マスタ連携</t>
    <rPh sb="0" eb="2">
      <t>ブショ</t>
    </rPh>
    <rPh sb="5" eb="7">
      <t>レンケイ</t>
    </rPh>
    <phoneticPr fontId="9"/>
  </si>
  <si>
    <t>業務マスタ連携</t>
    <rPh sb="0" eb="2">
      <t>ギョウム</t>
    </rPh>
    <rPh sb="5" eb="7">
      <t>レンケイ</t>
    </rPh>
    <phoneticPr fontId="9"/>
  </si>
  <si>
    <t>配分先マスタ連携</t>
    <rPh sb="0" eb="3">
      <t>ハイブンサキ</t>
    </rPh>
    <rPh sb="6" eb="8">
      <t>レンケイ</t>
    </rPh>
    <phoneticPr fontId="9"/>
  </si>
  <si>
    <t>予算マスタ連携</t>
    <rPh sb="0" eb="2">
      <t>ヨサン</t>
    </rPh>
    <rPh sb="5" eb="7">
      <t>レンケイ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</si>
</sst>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_ "/>
    <numFmt numFmtId="177" formatCode="[$-F800]dddd\,\ mmmm\ dd\,\ yyyy"/>
    <numFmt numFmtId="178" formatCode="m&quot;月&quot;d&quot;日&quot;\(aaa\)"/>
    <numFmt numFmtId="179" formatCode="0.00_ "/>
    <numFmt numFmtId="180" formatCode="yyyy&quot;年&quot;m&quot;月&quot;d&quot;日&quot;;@"/>
    <numFmt numFmtId="181" formatCode="yyyy&quot;年&quot;m&quot;月&quot;d&quot;日&quot;\(aaa\)\ h:mm"/>
    <numFmt numFmtId="182" formatCode="m&quot;月&quot;d&quot;日&quot;;@"/>
    <numFmt numFmtId="183" formatCode="yyyy/m/d;@"/>
  </numFmts>
  <fonts count="45">
    <font>
      <sz val="11"/>
      <color theme="1"/>
      <name val="ＭＳ Ｐゴシック"/>
      <family val="2"/>
      <charset val="128"/>
      <scheme val="minor"/>
    </font>
    <font>
      <sz val="10"/>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name val="ＭＳ Ｐゴシック"/>
      <family val="3"/>
      <charset val="128"/>
    </font>
    <font>
      <sz val="11"/>
      <color indexed="8"/>
      <name val="ＭＳ Ｐゴシック"/>
      <family val="2"/>
      <scheme val="minor"/>
    </font>
    <font>
      <sz val="11"/>
      <name val="lr oSVbN"/>
      <family val="2"/>
    </font>
    <font>
      <sz val="11"/>
      <color theme="1"/>
      <name val="ＭＳ Ｐゴシック"/>
      <family val="2"/>
      <charset val="128"/>
      <scheme val="minor"/>
    </font>
    <font>
      <b/>
      <sz val="10"/>
      <name val="ＭＳ ゴシック"/>
      <family val="3"/>
      <charset val="128"/>
    </font>
    <font>
      <sz val="6"/>
      <name val="ＭＳ Ｐゴシック"/>
      <family val="3"/>
      <charset val="128"/>
    </font>
    <font>
      <sz val="10"/>
      <name val="ＭＳ ゴシック"/>
      <family val="3"/>
      <charset val="128"/>
    </font>
    <font>
      <sz val="10"/>
      <color theme="1"/>
      <name val="ＭＳ ゴシック"/>
      <family val="3"/>
      <charset val="128"/>
    </font>
    <font>
      <sz val="10"/>
      <name val="ＭＳ Ｐゴシック"/>
      <family val="3"/>
      <charset val="128"/>
    </font>
    <font>
      <sz val="10"/>
      <color theme="1" tint="0.34998626667073579"/>
      <name val="ＭＳ ゴシック"/>
      <family val="3"/>
      <charset val="128"/>
    </font>
    <font>
      <sz val="11"/>
      <color theme="1"/>
      <name val="メイリオ"/>
      <family val="3"/>
      <charset val="128"/>
    </font>
    <font>
      <u/>
      <sz val="11"/>
      <color theme="10"/>
      <name val="ＭＳ Ｐゴシック"/>
      <family val="2"/>
      <charset val="128"/>
      <scheme val="minor"/>
    </font>
    <font>
      <sz val="9"/>
      <name val="BIZ UDゴシック"/>
      <family val="3"/>
      <charset val="128"/>
    </font>
    <font>
      <sz val="10"/>
      <name val="BIZ UDゴシック"/>
      <family val="3"/>
      <charset val="128"/>
    </font>
    <font>
      <sz val="9"/>
      <color theme="1"/>
      <name val="BIZ UDゴシック"/>
      <family val="3"/>
      <charset val="128"/>
    </font>
    <font>
      <sz val="11"/>
      <color theme="1"/>
      <name val="BIZ UDゴシック"/>
      <family val="3"/>
      <charset val="128"/>
    </font>
    <font>
      <sz val="11"/>
      <color theme="0"/>
      <name val="メイリオ"/>
      <family val="3"/>
      <charset val="128"/>
    </font>
    <font>
      <u/>
      <sz val="9"/>
      <color theme="1"/>
      <name val="メイリオ"/>
      <family val="3"/>
      <charset val="128"/>
    </font>
    <font>
      <sz val="9"/>
      <color theme="1"/>
      <name val="メイリオ"/>
      <family val="3"/>
      <charset val="128"/>
    </font>
    <font>
      <sz val="10"/>
      <color theme="1"/>
      <name val="メイリオ"/>
      <family val="3"/>
      <charset val="128"/>
    </font>
    <font>
      <b/>
      <sz val="11"/>
      <color theme="1"/>
      <name val="メイリオ"/>
      <family val="3"/>
      <charset val="128"/>
    </font>
    <font>
      <sz val="11"/>
      <name val="メイリオ"/>
      <family val="3"/>
      <charset val="128"/>
    </font>
    <font>
      <sz val="11"/>
      <name val="ＭＳ ゴシック"/>
      <family val="3"/>
      <charset val="128"/>
    </font>
    <font>
      <sz val="24"/>
      <name val="ＭＳ ゴシック"/>
      <family val="3"/>
      <charset val="128"/>
    </font>
    <font>
      <sz val="22"/>
      <name val="ＭＳ ゴシック"/>
      <family val="3"/>
      <charset val="128"/>
    </font>
    <font>
      <sz val="20"/>
      <name val="ＭＳ ゴシック"/>
      <family val="3"/>
      <charset val="128"/>
    </font>
    <font>
      <sz val="14"/>
      <name val="ＭＳ 明朝"/>
      <family val="1"/>
      <charset val="128"/>
    </font>
    <font>
      <sz val="10"/>
      <name val="BIZ UDPゴシック"/>
      <family val="3"/>
      <charset val="128"/>
    </font>
    <font>
      <sz val="11"/>
      <color theme="9" tint="-0.499984740745262"/>
      <name val="メイリオ"/>
      <family val="3"/>
      <charset val="128"/>
    </font>
    <font>
      <sz val="9"/>
      <color indexed="81"/>
      <name val="ＭＳ Ｐゴシック"/>
      <family val="3"/>
      <charset val="128"/>
    </font>
    <font>
      <u/>
      <sz val="11"/>
      <color theme="9" tint="-0.499984740745262"/>
      <name val="メイリオ"/>
      <family val="3"/>
      <charset val="128"/>
    </font>
    <font>
      <u/>
      <sz val="11"/>
      <name val="メイリオ"/>
      <family val="3"/>
      <charset val="128"/>
    </font>
    <font>
      <sz val="14"/>
      <color theme="9" tint="-0.499984740745262"/>
      <name val="メイリオ"/>
      <family val="3"/>
      <charset val="128"/>
    </font>
    <font>
      <sz val="14"/>
      <name val="メイリオ"/>
      <family val="3"/>
      <charset val="128"/>
    </font>
    <font>
      <sz val="9"/>
      <color rgb="FFFF0000"/>
      <name val="BIZ UDゴシック"/>
      <family val="3"/>
      <charset val="128"/>
    </font>
    <font>
      <sz val="10"/>
      <color theme="4" tint="-0.499984740745262"/>
      <name val="ＭＳ ゴシック"/>
      <family val="3"/>
      <charset val="128"/>
    </font>
    <font>
      <sz val="10"/>
      <color theme="9" tint="-0.499984740745262"/>
      <name val="ＭＳ ゴシック"/>
      <family val="3"/>
      <charset val="128"/>
    </font>
    <font>
      <sz val="11"/>
      <color rgb="FFFF0000"/>
      <name val="メイリオ"/>
      <family val="3"/>
      <charset val="128"/>
    </font>
    <font>
      <strike/>
      <sz val="10"/>
      <name val="BIZ UDゴシック"/>
      <family val="3"/>
      <charset val="128"/>
    </font>
    <font>
      <strike/>
      <sz val="10"/>
      <name val="BIZ UDPゴシック"/>
      <family val="3"/>
      <charset val="128"/>
    </font>
    <font>
      <strike/>
      <sz val="10"/>
      <color theme="1"/>
      <name val="ＭＳ ゴシック"/>
      <family val="3"/>
      <charset val="128"/>
    </font>
  </fonts>
  <fills count="19">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44"/>
        <bgColor indexed="64"/>
      </patternFill>
    </fill>
    <fill>
      <patternFill patternType="lightDown">
        <fgColor rgb="FFEFE5F7"/>
        <bgColor theme="0"/>
      </patternFill>
    </fill>
    <fill>
      <patternFill patternType="lightUp">
        <fgColor theme="9" tint="0.39994506668294322"/>
        <bgColor theme="0"/>
      </patternFill>
    </fill>
    <fill>
      <patternFill patternType="lightDown">
        <fgColor theme="0" tint="-0.14996795556505021"/>
        <bgColor theme="0"/>
      </patternFill>
    </fill>
    <fill>
      <patternFill patternType="solid">
        <fgColor theme="1" tint="0.499984740745262"/>
        <bgColor indexed="64"/>
      </patternFill>
    </fill>
    <fill>
      <patternFill patternType="lightDown">
        <fgColor theme="0" tint="-0.14996795556505021"/>
        <bgColor theme="1" tint="0.499984740745262"/>
      </patternFill>
    </fill>
    <fill>
      <patternFill patternType="solid">
        <fgColor theme="0" tint="-0.34998626667073579"/>
        <bgColor indexed="64"/>
      </patternFill>
    </fill>
  </fills>
  <borders count="74">
    <border>
      <left/>
      <right/>
      <top/>
      <bottom/>
      <diagonal/>
    </border>
    <border>
      <left style="thin">
        <color auto="1"/>
      </left>
      <right style="thin">
        <color auto="1"/>
      </right>
      <top style="thin">
        <color auto="1"/>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medium">
        <color indexed="64"/>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hair">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theme="9" tint="-0.499984740745262"/>
      </left>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right/>
      <top style="medium">
        <color theme="9" tint="-0.499984740745262"/>
      </top>
      <bottom style="medium">
        <color theme="9" tint="-0.499984740745262"/>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style="medium">
        <color theme="9" tint="-0.499984740745262"/>
      </right>
      <top/>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style="thin">
        <color theme="9" tint="-0.499984740745262"/>
      </right>
      <top/>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medium">
        <color indexed="64"/>
      </bottom>
      <diagonal/>
    </border>
    <border>
      <left style="thin">
        <color indexed="64"/>
      </left>
      <right/>
      <top style="hair">
        <color indexed="64"/>
      </top>
      <bottom/>
      <diagonal/>
    </border>
    <border>
      <left style="thin">
        <color theme="9" tint="-0.499984740745262"/>
      </left>
      <right/>
      <top/>
      <bottom style="thin">
        <color auto="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s>
  <cellStyleXfs count="13">
    <xf numFmtId="0" fontId="0" fillId="0" borderId="0">
      <alignment vertical="center"/>
    </xf>
    <xf numFmtId="0" fontId="3" fillId="0" borderId="0">
      <alignment vertical="center"/>
    </xf>
    <xf numFmtId="0" fontId="1" fillId="0" borderId="0">
      <alignment vertical="center"/>
    </xf>
    <xf numFmtId="0" fontId="4" fillId="0" borderId="0"/>
    <xf numFmtId="0" fontId="5" fillId="0" borderId="0">
      <alignment vertical="center"/>
    </xf>
    <xf numFmtId="0" fontId="6" fillId="0" borderId="0"/>
    <xf numFmtId="0" fontId="7" fillId="0" borderId="0">
      <alignment vertical="center"/>
    </xf>
    <xf numFmtId="0" fontId="4" fillId="0" borderId="0">
      <alignment vertical="center"/>
    </xf>
    <xf numFmtId="0" fontId="7" fillId="0" borderId="0">
      <alignment vertical="center"/>
    </xf>
    <xf numFmtId="0" fontId="4" fillId="0" borderId="0"/>
    <xf numFmtId="0" fontId="7" fillId="0" borderId="0">
      <alignment vertical="center"/>
    </xf>
    <xf numFmtId="0" fontId="12" fillId="0" borderId="0"/>
    <xf numFmtId="0" fontId="15" fillId="0" borderId="0" applyNumberFormat="0" applyFill="0" applyBorder="0" applyAlignment="0" applyProtection="0">
      <alignment vertical="center"/>
    </xf>
  </cellStyleXfs>
  <cellXfs count="526">
    <xf numFmtId="0" fontId="0" fillId="0" borderId="0" xfId="0">
      <alignment vertical="center"/>
    </xf>
    <xf numFmtId="49" fontId="10" fillId="0" borderId="0" xfId="7" applyNumberFormat="1" applyFont="1" applyAlignment="1">
      <alignment vertical="top" shrinkToFit="1"/>
    </xf>
    <xf numFmtId="0" fontId="10" fillId="0" borderId="0" xfId="7" applyFont="1" applyAlignment="1">
      <alignment vertical="top"/>
    </xf>
    <xf numFmtId="49" fontId="10" fillId="0" borderId="0" xfId="7" applyNumberFormat="1" applyFont="1" applyAlignment="1">
      <alignment vertical="top"/>
    </xf>
    <xf numFmtId="176" fontId="10" fillId="0" borderId="0" xfId="7" applyNumberFormat="1" applyFont="1" applyAlignment="1">
      <alignment vertical="top"/>
    </xf>
    <xf numFmtId="49" fontId="10" fillId="0" borderId="0" xfId="7" applyNumberFormat="1" applyFont="1" applyAlignment="1">
      <alignment horizontal="center" vertical="top"/>
    </xf>
    <xf numFmtId="49" fontId="10" fillId="0" borderId="0" xfId="7" applyNumberFormat="1" applyFont="1" applyAlignment="1">
      <alignment horizontal="left" vertical="top"/>
    </xf>
    <xf numFmtId="49" fontId="13" fillId="0" borderId="0" xfId="7" applyNumberFormat="1" applyFont="1" applyAlignment="1">
      <alignment vertical="top"/>
    </xf>
    <xf numFmtId="0" fontId="14" fillId="0" borderId="0" xfId="0" applyFont="1">
      <alignment vertical="center"/>
    </xf>
    <xf numFmtId="0" fontId="15" fillId="0" borderId="0" xfId="12" applyFill="1">
      <alignment vertical="center"/>
    </xf>
    <xf numFmtId="0" fontId="18" fillId="0" borderId="0" xfId="0" applyFont="1">
      <alignment vertical="center"/>
    </xf>
    <xf numFmtId="0" fontId="19" fillId="0" borderId="0" xfId="0" applyFont="1">
      <alignment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18" fillId="0" borderId="0" xfId="0" applyFont="1" applyAlignment="1">
      <alignment vertical="top"/>
    </xf>
    <xf numFmtId="49" fontId="16" fillId="2" borderId="6" xfId="0" applyNumberFormat="1" applyFont="1" applyFill="1" applyBorder="1" applyAlignment="1">
      <alignment horizontal="center" vertical="center" wrapText="1"/>
    </xf>
    <xf numFmtId="49" fontId="16" fillId="2" borderId="7" xfId="0" applyNumberFormat="1" applyFont="1" applyFill="1" applyBorder="1" applyAlignment="1">
      <alignment horizontal="center" vertical="center" wrapText="1"/>
    </xf>
    <xf numFmtId="49" fontId="17" fillId="2" borderId="7" xfId="0" applyNumberFormat="1" applyFont="1" applyFill="1" applyBorder="1" applyAlignment="1">
      <alignment horizontal="center" vertical="center" wrapText="1"/>
    </xf>
    <xf numFmtId="0" fontId="16" fillId="0" borderId="20" xfId="0" applyFont="1" applyBorder="1" applyAlignment="1">
      <alignment horizontal="center" vertical="center" wrapText="1"/>
    </xf>
    <xf numFmtId="0" fontId="17" fillId="0" borderId="1" xfId="10" applyFont="1" applyBorder="1" applyAlignment="1">
      <alignment horizontal="center" vertical="center" wrapText="1"/>
    </xf>
    <xf numFmtId="0" fontId="17" fillId="0" borderId="1" xfId="10" applyFont="1" applyBorder="1" applyAlignment="1">
      <alignment vertical="center" wrapText="1"/>
    </xf>
    <xf numFmtId="0" fontId="17" fillId="0" borderId="1" xfId="10" applyFont="1" applyBorder="1" applyAlignment="1">
      <alignment vertical="top" wrapText="1"/>
    </xf>
    <xf numFmtId="49" fontId="16" fillId="0" borderId="20" xfId="0" applyNumberFormat="1" applyFont="1" applyBorder="1" applyAlignment="1">
      <alignment horizontal="center" vertical="center" wrapText="1"/>
    </xf>
    <xf numFmtId="0" fontId="14" fillId="5" borderId="0" xfId="0" applyFont="1" applyFill="1">
      <alignment vertical="center"/>
    </xf>
    <xf numFmtId="49" fontId="10" fillId="3" borderId="2" xfId="0" applyNumberFormat="1" applyFont="1" applyFill="1" applyBorder="1" applyAlignment="1">
      <alignment horizontal="center" vertical="top"/>
    </xf>
    <xf numFmtId="49" fontId="10" fillId="3" borderId="12" xfId="0" applyNumberFormat="1" applyFont="1" applyFill="1" applyBorder="1" applyAlignment="1">
      <alignment horizontal="center" vertical="top"/>
    </xf>
    <xf numFmtId="49" fontId="10" fillId="3" borderId="3" xfId="0" applyNumberFormat="1" applyFont="1" applyFill="1" applyBorder="1" applyAlignment="1">
      <alignment horizontal="left" vertical="top"/>
    </xf>
    <xf numFmtId="49" fontId="10" fillId="3" borderId="3" xfId="0" applyNumberFormat="1" applyFont="1" applyFill="1" applyBorder="1" applyAlignment="1">
      <alignment horizontal="center" vertical="top"/>
    </xf>
    <xf numFmtId="49" fontId="10" fillId="3" borderId="3" xfId="0" applyNumberFormat="1" applyFont="1" applyFill="1" applyBorder="1" applyAlignment="1">
      <alignment horizontal="center" vertical="top" shrinkToFit="1"/>
    </xf>
    <xf numFmtId="49" fontId="10" fillId="3" borderId="5" xfId="0" applyNumberFormat="1" applyFont="1" applyFill="1" applyBorder="1" applyAlignment="1">
      <alignment horizontal="center" vertical="top"/>
    </xf>
    <xf numFmtId="49" fontId="10" fillId="3" borderId="13" xfId="0" applyNumberFormat="1" applyFont="1" applyFill="1" applyBorder="1" applyAlignment="1">
      <alignment horizontal="center" vertical="top"/>
    </xf>
    <xf numFmtId="49" fontId="10" fillId="3" borderId="6" xfId="0" applyNumberFormat="1" applyFont="1" applyFill="1" applyBorder="1" applyAlignment="1">
      <alignment horizontal="center" vertical="top"/>
    </xf>
    <xf numFmtId="49" fontId="10" fillId="3" borderId="6" xfId="0" applyNumberFormat="1" applyFont="1" applyFill="1" applyBorder="1" applyAlignment="1">
      <alignment horizontal="center" vertical="top" shrinkToFit="1"/>
    </xf>
    <xf numFmtId="49" fontId="11" fillId="0" borderId="14" xfId="0" applyNumberFormat="1" applyFont="1" applyBorder="1" applyAlignment="1">
      <alignment vertical="top"/>
    </xf>
    <xf numFmtId="49" fontId="11" fillId="0" borderId="8" xfId="0" applyNumberFormat="1" applyFont="1" applyBorder="1" applyAlignment="1">
      <alignment horizontal="center" vertical="top"/>
    </xf>
    <xf numFmtId="49" fontId="11" fillId="0" borderId="8" xfId="0" applyNumberFormat="1" applyFont="1" applyBorder="1" applyAlignment="1">
      <alignment vertical="top" shrinkToFit="1"/>
    </xf>
    <xf numFmtId="0" fontId="11" fillId="0" borderId="8" xfId="0" applyFont="1" applyBorder="1" applyAlignment="1">
      <alignment vertical="top"/>
    </xf>
    <xf numFmtId="49" fontId="11" fillId="0" borderId="15" xfId="0" applyNumberFormat="1" applyFont="1" applyBorder="1" applyAlignment="1">
      <alignment vertical="top"/>
    </xf>
    <xf numFmtId="49" fontId="11" fillId="0" borderId="9" xfId="0" applyNumberFormat="1" applyFont="1" applyBorder="1" applyAlignment="1">
      <alignment horizontal="center" vertical="top"/>
    </xf>
    <xf numFmtId="49" fontId="11" fillId="0" borderId="9" xfId="0" applyNumberFormat="1" applyFont="1" applyBorder="1" applyAlignment="1">
      <alignment vertical="top" shrinkToFit="1"/>
    </xf>
    <xf numFmtId="0" fontId="11" fillId="0" borderId="9" xfId="0" applyFont="1" applyBorder="1" applyAlignment="1">
      <alignment vertical="top"/>
    </xf>
    <xf numFmtId="49" fontId="11" fillId="0" borderId="16" xfId="0" applyNumberFormat="1" applyFont="1" applyBorder="1" applyAlignment="1">
      <alignment vertical="top"/>
    </xf>
    <xf numFmtId="49" fontId="11" fillId="0" borderId="11" xfId="0" applyNumberFormat="1" applyFont="1" applyBorder="1" applyAlignment="1">
      <alignment horizontal="center" vertical="top"/>
    </xf>
    <xf numFmtId="49" fontId="11" fillId="0" borderId="11" xfId="0" applyNumberFormat="1" applyFont="1" applyBorder="1" applyAlignment="1">
      <alignment vertical="top" shrinkToFit="1"/>
    </xf>
    <xf numFmtId="0" fontId="11" fillId="0" borderId="11" xfId="0" applyFont="1" applyBorder="1" applyAlignment="1">
      <alignment vertical="top"/>
    </xf>
    <xf numFmtId="49" fontId="11" fillId="0" borderId="17" xfId="0" applyNumberFormat="1" applyFont="1" applyBorder="1" applyAlignment="1">
      <alignment vertical="top"/>
    </xf>
    <xf numFmtId="49" fontId="11" fillId="0" borderId="18" xfId="0" applyNumberFormat="1" applyFont="1" applyBorder="1" applyAlignment="1">
      <alignment horizontal="center" vertical="top"/>
    </xf>
    <xf numFmtId="49" fontId="11" fillId="0" borderId="18" xfId="0" applyNumberFormat="1" applyFont="1" applyBorder="1" applyAlignment="1">
      <alignment vertical="top" shrinkToFit="1"/>
    </xf>
    <xf numFmtId="49" fontId="11" fillId="0" borderId="10" xfId="0" applyNumberFormat="1" applyFont="1" applyBorder="1" applyAlignment="1">
      <alignment vertical="top" shrinkToFit="1"/>
    </xf>
    <xf numFmtId="0" fontId="26" fillId="9" borderId="24" xfId="9" applyFont="1" applyFill="1" applyBorder="1"/>
    <xf numFmtId="0" fontId="26" fillId="9" borderId="41" xfId="9" applyFont="1" applyFill="1" applyBorder="1"/>
    <xf numFmtId="0" fontId="26" fillId="9" borderId="20" xfId="9" applyFont="1" applyFill="1" applyBorder="1"/>
    <xf numFmtId="0" fontId="26" fillId="0" borderId="0" xfId="9" applyFont="1"/>
    <xf numFmtId="0" fontId="26" fillId="9" borderId="6" xfId="9" applyFont="1" applyFill="1" applyBorder="1"/>
    <xf numFmtId="0" fontId="26" fillId="9" borderId="13" xfId="9" applyFont="1" applyFill="1" applyBorder="1"/>
    <xf numFmtId="0" fontId="26" fillId="9" borderId="0" xfId="9" applyFont="1" applyFill="1"/>
    <xf numFmtId="0" fontId="26" fillId="9" borderId="23" xfId="9" applyFont="1" applyFill="1" applyBorder="1"/>
    <xf numFmtId="0" fontId="26" fillId="9" borderId="42" xfId="9" applyFont="1" applyFill="1" applyBorder="1"/>
    <xf numFmtId="0" fontId="26" fillId="9" borderId="43" xfId="9" applyFont="1" applyFill="1" applyBorder="1"/>
    <xf numFmtId="0" fontId="4" fillId="0" borderId="0" xfId="9"/>
    <xf numFmtId="0" fontId="4" fillId="0" borderId="0" xfId="9" applyAlignment="1">
      <alignment vertical="center"/>
    </xf>
    <xf numFmtId="49" fontId="11" fillId="0" borderId="45" xfId="0" applyNumberFormat="1" applyFont="1" applyBorder="1" applyAlignment="1">
      <alignment vertical="top"/>
    </xf>
    <xf numFmtId="49" fontId="11" fillId="0" borderId="10" xfId="0" applyNumberFormat="1" applyFont="1" applyBorder="1" applyAlignment="1">
      <alignment horizontal="center" vertical="top"/>
    </xf>
    <xf numFmtId="0" fontId="31" fillId="0" borderId="1" xfId="12" applyNumberFormat="1" applyFont="1" applyBorder="1" applyAlignment="1">
      <alignment horizontal="left" vertical="center" wrapText="1" indent="1"/>
    </xf>
    <xf numFmtId="0" fontId="31" fillId="0" borderId="1" xfId="12" applyFont="1" applyBorder="1" applyAlignment="1">
      <alignment horizontal="left" vertical="center" wrapText="1" indent="1"/>
    </xf>
    <xf numFmtId="49" fontId="11" fillId="0" borderId="9" xfId="11" applyNumberFormat="1" applyFont="1" applyBorder="1" applyAlignment="1">
      <alignment horizontal="left" vertical="top" shrinkToFit="1"/>
    </xf>
    <xf numFmtId="0" fontId="18" fillId="0" borderId="0" xfId="0" applyFont="1" applyAlignment="1">
      <alignment vertical="center" wrapText="1"/>
    </xf>
    <xf numFmtId="0" fontId="14" fillId="5" borderId="24" xfId="0" applyFont="1" applyFill="1" applyBorder="1">
      <alignment vertical="center"/>
    </xf>
    <xf numFmtId="0" fontId="14" fillId="5" borderId="41" xfId="0" applyFont="1" applyFill="1" applyBorder="1">
      <alignment vertical="center"/>
    </xf>
    <xf numFmtId="0" fontId="14" fillId="5" borderId="20" xfId="0" applyFont="1" applyFill="1" applyBorder="1">
      <alignment vertical="center"/>
    </xf>
    <xf numFmtId="0" fontId="14" fillId="5" borderId="13" xfId="0" applyFont="1" applyFill="1" applyBorder="1">
      <alignment vertical="center"/>
    </xf>
    <xf numFmtId="0" fontId="14" fillId="5" borderId="6" xfId="0" applyFont="1" applyFill="1" applyBorder="1">
      <alignment vertical="center"/>
    </xf>
    <xf numFmtId="0" fontId="14" fillId="0" borderId="6" xfId="0" applyFont="1" applyBorder="1">
      <alignment vertical="center"/>
    </xf>
    <xf numFmtId="0" fontId="14" fillId="5" borderId="23" xfId="0" applyFont="1" applyFill="1" applyBorder="1">
      <alignment vertical="center"/>
    </xf>
    <xf numFmtId="0" fontId="14" fillId="5" borderId="42" xfId="0" applyFont="1" applyFill="1" applyBorder="1">
      <alignment vertical="center"/>
    </xf>
    <xf numFmtId="0" fontId="14" fillId="5" borderId="43" xfId="0" applyFont="1" applyFill="1" applyBorder="1">
      <alignment vertical="center"/>
    </xf>
    <xf numFmtId="0" fontId="31" fillId="0" borderId="44" xfId="12" applyNumberFormat="1" applyFont="1" applyBorder="1" applyAlignment="1">
      <alignment horizontal="left" vertical="center" wrapText="1" indent="1"/>
    </xf>
    <xf numFmtId="0" fontId="17" fillId="0" borderId="44" xfId="10" applyFont="1" applyBorder="1" applyAlignment="1">
      <alignment vertical="center" wrapText="1"/>
    </xf>
    <xf numFmtId="49" fontId="16" fillId="0" borderId="21" xfId="0" applyNumberFormat="1" applyFont="1" applyBorder="1" applyAlignment="1">
      <alignment horizontal="center" vertical="center" wrapText="1"/>
    </xf>
    <xf numFmtId="0" fontId="21" fillId="5" borderId="0" xfId="0" applyFont="1" applyFill="1">
      <alignment vertical="center"/>
    </xf>
    <xf numFmtId="0" fontId="14" fillId="7" borderId="0" xfId="0" applyFont="1" applyFill="1">
      <alignment vertical="center"/>
    </xf>
    <xf numFmtId="0" fontId="24" fillId="5" borderId="0" xfId="0" applyFont="1" applyFill="1">
      <alignment vertical="center"/>
    </xf>
    <xf numFmtId="49" fontId="26" fillId="0" borderId="0" xfId="9" applyNumberFormat="1" applyFont="1"/>
    <xf numFmtId="14" fontId="26" fillId="0" borderId="0" xfId="9" applyNumberFormat="1" applyFont="1"/>
    <xf numFmtId="0" fontId="26" fillId="0" borderId="0" xfId="9" applyFont="1" applyAlignment="1">
      <alignment vertical="center"/>
    </xf>
    <xf numFmtId="0" fontId="14" fillId="13" borderId="13" xfId="0" applyFont="1" applyFill="1" applyBorder="1">
      <alignment vertical="center"/>
    </xf>
    <xf numFmtId="0" fontId="14" fillId="13" borderId="0" xfId="0" applyFont="1" applyFill="1">
      <alignment vertical="center"/>
    </xf>
    <xf numFmtId="0" fontId="14" fillId="13" borderId="0" xfId="0" applyFont="1" applyFill="1" applyAlignment="1">
      <alignment horizontal="left" vertical="top" indent="1"/>
    </xf>
    <xf numFmtId="0" fontId="14" fillId="13" borderId="6" xfId="0" applyFont="1" applyFill="1" applyBorder="1" applyAlignment="1">
      <alignment horizontal="center" vertical="center"/>
    </xf>
    <xf numFmtId="0" fontId="32" fillId="7" borderId="0" xfId="0" applyFont="1" applyFill="1" applyAlignment="1">
      <alignment horizontal="center" vertical="center"/>
    </xf>
    <xf numFmtId="0" fontId="32" fillId="7" borderId="55" xfId="0" applyFont="1" applyFill="1" applyBorder="1">
      <alignment vertical="center"/>
    </xf>
    <xf numFmtId="0" fontId="32" fillId="7" borderId="37" xfId="0" applyFont="1" applyFill="1" applyBorder="1">
      <alignment vertical="center"/>
    </xf>
    <xf numFmtId="0" fontId="14" fillId="4" borderId="0" xfId="0" applyFont="1" applyFill="1">
      <alignment vertical="center"/>
    </xf>
    <xf numFmtId="0" fontId="25" fillId="4" borderId="0" xfId="0" applyFont="1" applyFill="1" applyAlignment="1">
      <alignment horizontal="center" vertical="center"/>
    </xf>
    <xf numFmtId="0" fontId="25" fillId="4" borderId="57" xfId="0" applyFont="1" applyFill="1" applyBorder="1">
      <alignment vertical="center"/>
    </xf>
    <xf numFmtId="0" fontId="25" fillId="4" borderId="58" xfId="0" applyFont="1" applyFill="1" applyBorder="1">
      <alignment vertical="center"/>
    </xf>
    <xf numFmtId="0" fontId="25" fillId="4" borderId="47" xfId="0" applyFont="1" applyFill="1" applyBorder="1">
      <alignment vertical="center"/>
    </xf>
    <xf numFmtId="0" fontId="25" fillId="4" borderId="0" xfId="0" applyFont="1" applyFill="1">
      <alignment vertical="center"/>
    </xf>
    <xf numFmtId="0" fontId="25" fillId="4" borderId="47" xfId="0" applyFont="1" applyFill="1" applyBorder="1" applyAlignment="1">
      <alignment horizontal="center" vertical="center"/>
    </xf>
    <xf numFmtId="0" fontId="25" fillId="4" borderId="21" xfId="0" applyFont="1" applyFill="1" applyBorder="1" applyAlignment="1">
      <alignment horizontal="center" vertical="center"/>
    </xf>
    <xf numFmtId="0" fontId="20" fillId="4" borderId="60" xfId="0" applyFont="1" applyFill="1" applyBorder="1" applyAlignment="1">
      <alignment horizontal="center" vertical="center"/>
    </xf>
    <xf numFmtId="0" fontId="14" fillId="5" borderId="60" xfId="0" applyFont="1" applyFill="1" applyBorder="1" applyAlignment="1">
      <alignment horizontal="center" vertical="center"/>
    </xf>
    <xf numFmtId="0" fontId="25" fillId="4" borderId="44" xfId="0" applyFont="1" applyFill="1" applyBorder="1" applyAlignment="1">
      <alignment horizontal="center" vertical="center"/>
    </xf>
    <xf numFmtId="0" fontId="25" fillId="4" borderId="22" xfId="0" applyFont="1" applyFill="1" applyBorder="1" applyAlignment="1">
      <alignment horizontal="left" vertical="center" indent="1"/>
    </xf>
    <xf numFmtId="0" fontId="32" fillId="7" borderId="54" xfId="0" applyFont="1" applyFill="1" applyBorder="1">
      <alignment vertical="center"/>
    </xf>
    <xf numFmtId="0" fontId="32" fillId="7" borderId="61" xfId="0" applyFont="1" applyFill="1" applyBorder="1" applyAlignment="1">
      <alignment horizontal="center" vertical="center"/>
    </xf>
    <xf numFmtId="0" fontId="32" fillId="7" borderId="48" xfId="0" applyFont="1" applyFill="1" applyBorder="1">
      <alignment vertical="center"/>
    </xf>
    <xf numFmtId="0" fontId="32" fillId="7" borderId="35" xfId="0" applyFont="1" applyFill="1" applyBorder="1" applyAlignment="1">
      <alignment horizontal="center" vertical="center"/>
    </xf>
    <xf numFmtId="0" fontId="14" fillId="5" borderId="27" xfId="0" applyFont="1" applyFill="1" applyBorder="1">
      <alignment vertical="center"/>
    </xf>
    <xf numFmtId="0" fontId="14" fillId="5" borderId="28" xfId="0" applyFont="1" applyFill="1" applyBorder="1">
      <alignment vertical="center"/>
    </xf>
    <xf numFmtId="0" fontId="14" fillId="5" borderId="29" xfId="0" applyFont="1" applyFill="1" applyBorder="1">
      <alignment vertical="center"/>
    </xf>
    <xf numFmtId="0" fontId="14" fillId="5" borderId="30" xfId="0" applyFont="1" applyFill="1" applyBorder="1">
      <alignment vertical="center"/>
    </xf>
    <xf numFmtId="0" fontId="14" fillId="5" borderId="31" xfId="0" applyFont="1" applyFill="1" applyBorder="1">
      <alignment vertical="center"/>
    </xf>
    <xf numFmtId="0" fontId="14" fillId="5" borderId="32" xfId="0" applyFont="1" applyFill="1" applyBorder="1">
      <alignment vertical="center"/>
    </xf>
    <xf numFmtId="0" fontId="14" fillId="5" borderId="33" xfId="0" applyFont="1" applyFill="1" applyBorder="1">
      <alignment vertical="center"/>
    </xf>
    <xf numFmtId="0" fontId="14" fillId="5" borderId="34" xfId="0" applyFont="1" applyFill="1" applyBorder="1">
      <alignment vertical="center"/>
    </xf>
    <xf numFmtId="0" fontId="20" fillId="7" borderId="55" xfId="0" applyFont="1" applyFill="1" applyBorder="1">
      <alignment vertical="center"/>
    </xf>
    <xf numFmtId="0" fontId="20" fillId="7" borderId="50" xfId="0" applyFont="1" applyFill="1" applyBorder="1">
      <alignment vertical="center"/>
    </xf>
    <xf numFmtId="0" fontId="14" fillId="5" borderId="64" xfId="0" applyFont="1" applyFill="1" applyBorder="1" applyAlignment="1">
      <alignment horizontal="center" vertical="center"/>
    </xf>
    <xf numFmtId="0" fontId="14" fillId="0" borderId="35" xfId="0" applyFont="1" applyBorder="1">
      <alignment vertical="center"/>
    </xf>
    <xf numFmtId="0" fontId="14" fillId="6" borderId="35" xfId="0" applyFont="1" applyFill="1" applyBorder="1">
      <alignment vertical="center"/>
    </xf>
    <xf numFmtId="0" fontId="32" fillId="7" borderId="36" xfId="0" applyFont="1" applyFill="1" applyBorder="1" applyAlignment="1">
      <alignment horizontal="left" vertical="center" indent="1"/>
    </xf>
    <xf numFmtId="0" fontId="32" fillId="7" borderId="37" xfId="0" applyFont="1" applyFill="1" applyBorder="1" applyAlignment="1">
      <alignment horizontal="center" vertical="center"/>
    </xf>
    <xf numFmtId="0" fontId="32" fillId="7" borderId="38" xfId="0" applyFont="1" applyFill="1" applyBorder="1" applyAlignment="1">
      <alignment horizontal="center" vertical="center"/>
    </xf>
    <xf numFmtId="0" fontId="32" fillId="7" borderId="51" xfId="0" applyFont="1" applyFill="1" applyBorder="1">
      <alignment vertical="center"/>
    </xf>
    <xf numFmtId="20" fontId="14" fillId="0" borderId="0" xfId="0" applyNumberFormat="1" applyFont="1" applyAlignment="1">
      <alignment horizontal="center" vertical="center"/>
    </xf>
    <xf numFmtId="0" fontId="20" fillId="7" borderId="53" xfId="0" applyFont="1" applyFill="1" applyBorder="1">
      <alignment vertical="center"/>
    </xf>
    <xf numFmtId="0" fontId="14" fillId="7" borderId="56" xfId="0" applyFont="1" applyFill="1" applyBorder="1">
      <alignment vertical="center"/>
    </xf>
    <xf numFmtId="0" fontId="32" fillId="7" borderId="33" xfId="0" applyFont="1" applyFill="1" applyBorder="1" applyAlignment="1">
      <alignment horizontal="center" vertical="center"/>
    </xf>
    <xf numFmtId="0" fontId="32" fillId="7" borderId="34" xfId="0" applyFont="1" applyFill="1" applyBorder="1" applyAlignment="1">
      <alignment horizontal="center" vertical="center"/>
    </xf>
    <xf numFmtId="0" fontId="14" fillId="0" borderId="44" xfId="0" applyFont="1" applyBorder="1" applyAlignment="1">
      <alignment horizontal="center" vertical="center"/>
    </xf>
    <xf numFmtId="0" fontId="14" fillId="6" borderId="44" xfId="0" applyFont="1" applyFill="1" applyBorder="1" applyAlignment="1">
      <alignment horizontal="center" vertical="center"/>
    </xf>
    <xf numFmtId="0" fontId="14" fillId="13" borderId="6" xfId="0" applyFont="1" applyFill="1" applyBorder="1" applyAlignment="1">
      <alignment horizontal="left" vertical="top" indent="1"/>
    </xf>
    <xf numFmtId="0" fontId="25" fillId="4" borderId="59" xfId="0" applyFont="1" applyFill="1" applyBorder="1">
      <alignment vertical="center"/>
    </xf>
    <xf numFmtId="0" fontId="25" fillId="4" borderId="60" xfId="0" applyFont="1" applyFill="1" applyBorder="1" applyAlignment="1">
      <alignment horizontal="center" vertical="center"/>
    </xf>
    <xf numFmtId="0" fontId="38" fillId="0" borderId="0" xfId="0" applyFont="1" applyAlignment="1">
      <alignment vertical="top"/>
    </xf>
    <xf numFmtId="0" fontId="32" fillId="7" borderId="33" xfId="0" applyFont="1" applyFill="1" applyBorder="1">
      <alignment vertical="center"/>
    </xf>
    <xf numFmtId="0" fontId="14" fillId="0" borderId="44" xfId="0" applyFont="1" applyBorder="1">
      <alignment vertical="center"/>
    </xf>
    <xf numFmtId="0" fontId="20" fillId="7" borderId="61" xfId="0" applyFont="1" applyFill="1" applyBorder="1" applyAlignment="1">
      <alignment horizontal="center" vertical="center"/>
    </xf>
    <xf numFmtId="0" fontId="14" fillId="5" borderId="63" xfId="0" applyFont="1" applyFill="1" applyBorder="1" applyAlignment="1">
      <alignment horizontal="center" vertical="center"/>
    </xf>
    <xf numFmtId="0" fontId="14" fillId="6" borderId="0" xfId="0" applyFont="1" applyFill="1" applyAlignment="1">
      <alignment horizontal="center" vertical="center"/>
    </xf>
    <xf numFmtId="0" fontId="32" fillId="7" borderId="36" xfId="0" applyFont="1" applyFill="1" applyBorder="1" applyAlignment="1">
      <alignment horizontal="center" vertical="center"/>
    </xf>
    <xf numFmtId="0" fontId="14" fillId="6" borderId="37" xfId="0" applyFont="1" applyFill="1" applyBorder="1" applyAlignment="1">
      <alignment horizontal="left" vertical="center"/>
    </xf>
    <xf numFmtId="0" fontId="14" fillId="6" borderId="37" xfId="0" applyFont="1" applyFill="1" applyBorder="1">
      <alignment vertical="center"/>
    </xf>
    <xf numFmtId="178" fontId="14" fillId="6" borderId="37" xfId="0" applyNumberFormat="1" applyFont="1" applyFill="1" applyBorder="1" applyAlignment="1">
      <alignment horizontal="left" vertical="center"/>
    </xf>
    <xf numFmtId="0" fontId="14" fillId="6" borderId="0" xfId="0" applyFont="1" applyFill="1" applyAlignment="1">
      <alignment horizontal="left" vertical="center"/>
    </xf>
    <xf numFmtId="0" fontId="14" fillId="6" borderId="65" xfId="0" applyFont="1" applyFill="1" applyBorder="1">
      <alignment vertical="center"/>
    </xf>
    <xf numFmtId="0" fontId="14" fillId="14" borderId="22" xfId="0" applyFont="1" applyFill="1" applyBorder="1">
      <alignment vertical="center"/>
    </xf>
    <xf numFmtId="0" fontId="14" fillId="14" borderId="21" xfId="0" applyFont="1" applyFill="1" applyBorder="1" applyAlignment="1">
      <alignment horizontal="left" vertical="center"/>
    </xf>
    <xf numFmtId="49" fontId="11" fillId="5" borderId="9" xfId="0" applyNumberFormat="1" applyFont="1" applyFill="1" applyBorder="1" applyAlignment="1">
      <alignment horizontal="center" vertical="top"/>
    </xf>
    <xf numFmtId="49" fontId="11" fillId="5" borderId="9" xfId="0" applyNumberFormat="1" applyFont="1" applyFill="1" applyBorder="1" applyAlignment="1">
      <alignment vertical="top" shrinkToFit="1"/>
    </xf>
    <xf numFmtId="0" fontId="17" fillId="5" borderId="1" xfId="10" applyFont="1" applyFill="1" applyBorder="1" applyAlignment="1">
      <alignment vertical="top" wrapText="1"/>
    </xf>
    <xf numFmtId="0" fontId="17" fillId="5" borderId="44" xfId="10" applyFont="1" applyFill="1" applyBorder="1" applyAlignment="1">
      <alignment vertical="top" wrapText="1"/>
    </xf>
    <xf numFmtId="0" fontId="14" fillId="5" borderId="54" xfId="0" applyFont="1" applyFill="1" applyBorder="1">
      <alignment vertical="center"/>
    </xf>
    <xf numFmtId="0" fontId="14" fillId="5" borderId="56" xfId="0" applyFont="1" applyFill="1" applyBorder="1">
      <alignment vertical="center"/>
    </xf>
    <xf numFmtId="0" fontId="14" fillId="5" borderId="55" xfId="0" applyFont="1" applyFill="1" applyBorder="1">
      <alignment vertical="center"/>
    </xf>
    <xf numFmtId="0" fontId="14" fillId="5" borderId="48" xfId="0" applyFont="1" applyFill="1" applyBorder="1">
      <alignment vertical="center"/>
    </xf>
    <xf numFmtId="0" fontId="14" fillId="5" borderId="49" xfId="0" applyFont="1" applyFill="1" applyBorder="1">
      <alignment vertical="center"/>
    </xf>
    <xf numFmtId="0" fontId="14" fillId="5" borderId="50" xfId="0" applyFont="1" applyFill="1" applyBorder="1">
      <alignment vertical="center"/>
    </xf>
    <xf numFmtId="0" fontId="14" fillId="5" borderId="51" xfId="0" applyFont="1" applyFill="1" applyBorder="1">
      <alignment vertical="center"/>
    </xf>
    <xf numFmtId="0" fontId="14" fillId="5" borderId="52" xfId="0" applyFont="1" applyFill="1" applyBorder="1">
      <alignment vertical="center"/>
    </xf>
    <xf numFmtId="0" fontId="14" fillId="5" borderId="53" xfId="0" applyFont="1" applyFill="1" applyBorder="1">
      <alignment vertical="center"/>
    </xf>
    <xf numFmtId="0" fontId="25" fillId="7" borderId="55" xfId="0" applyFont="1" applyFill="1" applyBorder="1">
      <alignment vertical="center"/>
    </xf>
    <xf numFmtId="49" fontId="10" fillId="0" borderId="0" xfId="0" applyNumberFormat="1" applyFont="1" applyAlignment="1">
      <alignment vertical="top"/>
    </xf>
    <xf numFmtId="49" fontId="10" fillId="0" borderId="0" xfId="8" applyNumberFormat="1" applyFont="1" applyAlignment="1">
      <alignment vertical="top"/>
    </xf>
    <xf numFmtId="0" fontId="10" fillId="3" borderId="12" xfId="0" applyFont="1" applyFill="1" applyBorder="1" applyAlignment="1">
      <alignment horizontal="center" vertical="top"/>
    </xf>
    <xf numFmtId="0" fontId="10" fillId="3" borderId="13" xfId="0" applyFont="1" applyFill="1" applyBorder="1" applyAlignment="1">
      <alignment horizontal="center" vertical="top"/>
    </xf>
    <xf numFmtId="49" fontId="39" fillId="8" borderId="44" xfId="7" applyNumberFormat="1" applyFont="1" applyFill="1" applyBorder="1" applyAlignment="1">
      <alignment horizontal="center" vertical="top"/>
    </xf>
    <xf numFmtId="49" fontId="40" fillId="7" borderId="44" xfId="7" applyNumberFormat="1" applyFont="1" applyFill="1" applyBorder="1" applyAlignment="1">
      <alignment horizontal="center" vertical="top"/>
    </xf>
    <xf numFmtId="49" fontId="10" fillId="4" borderId="44" xfId="7" applyNumberFormat="1" applyFont="1" applyFill="1" applyBorder="1" applyAlignment="1">
      <alignment horizontal="center" vertical="top"/>
    </xf>
    <xf numFmtId="0" fontId="11" fillId="0" borderId="67" xfId="0" applyFont="1" applyBorder="1" applyAlignment="1">
      <alignment vertical="top"/>
    </xf>
    <xf numFmtId="0" fontId="11" fillId="0" borderId="68" xfId="0" applyFont="1" applyBorder="1" applyAlignment="1">
      <alignment vertical="top"/>
    </xf>
    <xf numFmtId="0" fontId="11" fillId="0" borderId="69" xfId="0" applyFont="1" applyBorder="1" applyAlignment="1">
      <alignment vertical="top"/>
    </xf>
    <xf numFmtId="0" fontId="11" fillId="0" borderId="13" xfId="0" applyFont="1" applyBorder="1" applyAlignment="1">
      <alignment vertical="top"/>
    </xf>
    <xf numFmtId="0" fontId="11" fillId="5" borderId="67" xfId="0" applyFont="1" applyFill="1" applyBorder="1" applyAlignment="1">
      <alignment vertical="top"/>
    </xf>
    <xf numFmtId="0" fontId="11" fillId="5" borderId="68" xfId="0" applyFont="1" applyFill="1" applyBorder="1" applyAlignment="1">
      <alignment vertical="top"/>
    </xf>
    <xf numFmtId="49" fontId="10" fillId="8" borderId="44" xfId="7" applyNumberFormat="1" applyFont="1" applyFill="1" applyBorder="1" applyAlignment="1">
      <alignment horizontal="center" vertical="top"/>
    </xf>
    <xf numFmtId="49" fontId="10" fillId="7" borderId="44" xfId="7" applyNumberFormat="1" applyFont="1" applyFill="1" applyBorder="1" applyAlignment="1">
      <alignment horizontal="center" vertical="top"/>
    </xf>
    <xf numFmtId="49" fontId="10" fillId="6" borderId="44" xfId="7" applyNumberFormat="1" applyFont="1" applyFill="1" applyBorder="1" applyAlignment="1">
      <alignment horizontal="center" vertical="top"/>
    </xf>
    <xf numFmtId="49" fontId="10" fillId="8" borderId="44" xfId="0" applyNumberFormat="1" applyFont="1" applyFill="1" applyBorder="1" applyAlignment="1">
      <alignment horizontal="center" vertical="top"/>
    </xf>
    <xf numFmtId="49" fontId="10" fillId="7" borderId="44" xfId="0" applyNumberFormat="1" applyFont="1" applyFill="1" applyBorder="1" applyAlignment="1">
      <alignment horizontal="center" vertical="top"/>
    </xf>
    <xf numFmtId="49" fontId="10" fillId="6" borderId="44" xfId="0" applyNumberFormat="1" applyFont="1" applyFill="1" applyBorder="1" applyAlignment="1">
      <alignment horizontal="center" vertical="top"/>
    </xf>
    <xf numFmtId="49" fontId="10" fillId="6" borderId="44" xfId="8" applyNumberFormat="1" applyFont="1" applyFill="1" applyBorder="1" applyAlignment="1">
      <alignment horizontal="center" vertical="top"/>
    </xf>
    <xf numFmtId="49" fontId="10" fillId="15" borderId="44" xfId="7" applyNumberFormat="1" applyFont="1" applyFill="1" applyBorder="1" applyAlignment="1">
      <alignment horizontal="center" vertical="top"/>
    </xf>
    <xf numFmtId="49" fontId="11" fillId="0" borderId="9" xfId="0" applyNumberFormat="1" applyFont="1" applyBorder="1" applyAlignment="1">
      <alignment horizontal="left" vertical="top" indent="1" shrinkToFit="1"/>
    </xf>
    <xf numFmtId="0" fontId="17" fillId="0" borderId="44" xfId="10" applyFont="1" applyBorder="1" applyAlignment="1">
      <alignment horizontal="center" vertical="center" wrapText="1"/>
    </xf>
    <xf numFmtId="49" fontId="11" fillId="5" borderId="8" xfId="0" applyNumberFormat="1" applyFont="1" applyFill="1" applyBorder="1" applyAlignment="1">
      <alignment vertical="top" shrinkToFit="1"/>
    </xf>
    <xf numFmtId="0" fontId="23" fillId="0" borderId="44" xfId="0" applyFont="1" applyBorder="1" applyAlignment="1">
      <alignment horizontal="center" vertical="center"/>
    </xf>
    <xf numFmtId="0" fontId="23" fillId="6" borderId="44" xfId="0" applyFont="1" applyFill="1" applyBorder="1" applyAlignment="1">
      <alignment horizontal="center" vertical="center"/>
    </xf>
    <xf numFmtId="49" fontId="11" fillId="0" borderId="4" xfId="0" applyNumberFormat="1" applyFont="1" applyBorder="1" applyAlignment="1">
      <alignment horizontal="center" vertical="top"/>
    </xf>
    <xf numFmtId="49" fontId="11" fillId="0" borderId="2" xfId="0" applyNumberFormat="1" applyFont="1" applyBorder="1" applyAlignment="1">
      <alignment vertical="top"/>
    </xf>
    <xf numFmtId="0" fontId="14" fillId="6" borderId="44" xfId="0" applyFont="1" applyFill="1" applyBorder="1">
      <alignment vertical="center"/>
    </xf>
    <xf numFmtId="0" fontId="14" fillId="5" borderId="62" xfId="0" applyFont="1" applyFill="1" applyBorder="1">
      <alignment vertical="center"/>
    </xf>
    <xf numFmtId="0" fontId="14" fillId="5" borderId="63" xfId="0" applyFont="1" applyFill="1" applyBorder="1">
      <alignment vertical="center"/>
    </xf>
    <xf numFmtId="0" fontId="41" fillId="5" borderId="27" xfId="0" applyFont="1" applyFill="1" applyBorder="1">
      <alignment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183" fontId="14" fillId="0" borderId="54" xfId="0" applyNumberFormat="1" applyFont="1" applyBorder="1" applyAlignment="1">
      <alignment horizontal="center" vertical="center"/>
    </xf>
    <xf numFmtId="183" fontId="14" fillId="0" borderId="56" xfId="0" applyNumberFormat="1" applyFont="1" applyBorder="1" applyAlignment="1">
      <alignment horizontal="center" vertical="center"/>
    </xf>
    <xf numFmtId="183" fontId="14" fillId="0" borderId="55" xfId="0" applyNumberFormat="1" applyFont="1" applyBorder="1" applyAlignment="1">
      <alignment horizontal="center" vertical="center"/>
    </xf>
    <xf numFmtId="0" fontId="14" fillId="0" borderId="56" xfId="0" quotePrefix="1" applyFont="1" applyBorder="1" applyAlignment="1">
      <alignment horizontal="center" vertical="center"/>
    </xf>
    <xf numFmtId="49" fontId="11" fillId="0" borderId="72" xfId="0" applyNumberFormat="1" applyFont="1" applyBorder="1" applyAlignment="1">
      <alignment vertical="top"/>
    </xf>
    <xf numFmtId="49" fontId="11" fillId="0" borderId="19" xfId="0" applyNumberFormat="1" applyFont="1" applyBorder="1" applyAlignment="1">
      <alignment horizontal="center" vertical="top"/>
    </xf>
    <xf numFmtId="0" fontId="11" fillId="0" borderId="73" xfId="0" applyFont="1" applyBorder="1" applyAlignment="1">
      <alignment vertical="top"/>
    </xf>
    <xf numFmtId="0" fontId="31" fillId="0" borderId="44" xfId="12" applyNumberFormat="1" applyFont="1" applyFill="1" applyBorder="1" applyAlignment="1">
      <alignment horizontal="left" vertical="center" wrapText="1" indent="1"/>
    </xf>
    <xf numFmtId="0" fontId="17" fillId="0" borderId="44" xfId="10" applyFont="1" applyBorder="1" applyAlignment="1">
      <alignment vertical="top" wrapText="1"/>
    </xf>
    <xf numFmtId="49" fontId="11" fillId="16" borderId="4" xfId="0" applyNumberFormat="1" applyFont="1" applyFill="1" applyBorder="1" applyAlignment="1">
      <alignment horizontal="center" vertical="top"/>
    </xf>
    <xf numFmtId="49" fontId="11" fillId="16" borderId="4" xfId="0" applyNumberFormat="1" applyFont="1" applyFill="1" applyBorder="1" applyAlignment="1">
      <alignment vertical="top" shrinkToFit="1"/>
    </xf>
    <xf numFmtId="0" fontId="11" fillId="16" borderId="12" xfId="0" applyFont="1" applyFill="1" applyBorder="1" applyAlignment="1">
      <alignment vertical="top"/>
    </xf>
    <xf numFmtId="49" fontId="10" fillId="17" borderId="44" xfId="7" applyNumberFormat="1" applyFont="1" applyFill="1" applyBorder="1" applyAlignment="1">
      <alignment horizontal="center" vertical="top"/>
    </xf>
    <xf numFmtId="49" fontId="10" fillId="16" borderId="44" xfId="7" applyNumberFormat="1" applyFont="1" applyFill="1" applyBorder="1" applyAlignment="1">
      <alignment horizontal="center" vertical="top"/>
    </xf>
    <xf numFmtId="49" fontId="11" fillId="16" borderId="9" xfId="0" applyNumberFormat="1" applyFont="1" applyFill="1" applyBorder="1" applyAlignment="1">
      <alignment horizontal="center" vertical="top"/>
    </xf>
    <xf numFmtId="49" fontId="11" fillId="16" borderId="9" xfId="0" applyNumberFormat="1" applyFont="1" applyFill="1" applyBorder="1" applyAlignment="1">
      <alignment vertical="top" shrinkToFit="1"/>
    </xf>
    <xf numFmtId="0" fontId="11" fillId="16" borderId="68" xfId="0" applyFont="1" applyFill="1" applyBorder="1" applyAlignment="1">
      <alignment vertical="top"/>
    </xf>
    <xf numFmtId="0" fontId="31" fillId="5" borderId="1" xfId="12" applyNumberFormat="1" applyFont="1" applyFill="1" applyBorder="1" applyAlignment="1">
      <alignment horizontal="left" vertical="center" wrapText="1" indent="1"/>
    </xf>
    <xf numFmtId="0" fontId="17" fillId="5" borderId="1" xfId="10" applyFont="1" applyFill="1" applyBorder="1" applyAlignment="1">
      <alignment horizontal="center" vertical="center" wrapText="1"/>
    </xf>
    <xf numFmtId="0" fontId="17" fillId="5" borderId="1" xfId="10" applyFont="1" applyFill="1" applyBorder="1" applyAlignment="1">
      <alignment vertical="center" wrapText="1"/>
    </xf>
    <xf numFmtId="0" fontId="43" fillId="0" borderId="1" xfId="12" applyNumberFormat="1" applyFont="1" applyFill="1" applyBorder="1" applyAlignment="1">
      <alignment horizontal="left" vertical="center" wrapText="1" indent="1"/>
    </xf>
    <xf numFmtId="0" fontId="42" fillId="0" borderId="1" xfId="10" applyFont="1" applyBorder="1" applyAlignment="1">
      <alignment horizontal="center" vertical="center" wrapText="1"/>
    </xf>
    <xf numFmtId="0" fontId="42" fillId="0" borderId="1" xfId="10" applyFont="1" applyBorder="1" applyAlignment="1">
      <alignment vertical="center" wrapText="1"/>
    </xf>
    <xf numFmtId="0" fontId="42" fillId="0" borderId="1" xfId="10" applyFont="1" applyBorder="1" applyAlignment="1">
      <alignment vertical="top" wrapText="1"/>
    </xf>
    <xf numFmtId="49" fontId="11" fillId="5" borderId="11" xfId="0" applyNumberFormat="1" applyFont="1" applyFill="1" applyBorder="1" applyAlignment="1">
      <alignment horizontal="center" vertical="top"/>
    </xf>
    <xf numFmtId="49" fontId="11" fillId="5" borderId="11" xfId="0" applyNumberFormat="1" applyFont="1" applyFill="1" applyBorder="1" applyAlignment="1">
      <alignment vertical="top" shrinkToFit="1"/>
    </xf>
    <xf numFmtId="49" fontId="11" fillId="5" borderId="19" xfId="0" applyNumberFormat="1" applyFont="1" applyFill="1" applyBorder="1" applyAlignment="1">
      <alignment horizontal="center" vertical="top"/>
    </xf>
    <xf numFmtId="49" fontId="11" fillId="5" borderId="19" xfId="0" applyNumberFormat="1" applyFont="1" applyFill="1" applyBorder="1" applyAlignment="1">
      <alignment vertical="top" shrinkToFit="1"/>
    </xf>
    <xf numFmtId="49" fontId="44" fillId="18" borderId="9" xfId="0" applyNumberFormat="1" applyFont="1" applyFill="1" applyBorder="1" applyAlignment="1">
      <alignment horizontal="center" vertical="top"/>
    </xf>
    <xf numFmtId="49" fontId="44" fillId="18" borderId="9" xfId="0" applyNumberFormat="1" applyFont="1" applyFill="1" applyBorder="1" applyAlignment="1">
      <alignment vertical="top" shrinkToFit="1"/>
    </xf>
    <xf numFmtId="0" fontId="44" fillId="18" borderId="68" xfId="0" applyFont="1" applyFill="1" applyBorder="1" applyAlignment="1">
      <alignment vertical="top"/>
    </xf>
    <xf numFmtId="0" fontId="44" fillId="18" borderId="67" xfId="0" applyFont="1" applyFill="1" applyBorder="1" applyAlignment="1">
      <alignment vertical="top"/>
    </xf>
    <xf numFmtId="49" fontId="44" fillId="18" borderId="15" xfId="0" applyNumberFormat="1" applyFont="1" applyFill="1" applyBorder="1" applyAlignment="1">
      <alignment vertical="top"/>
    </xf>
    <xf numFmtId="49" fontId="44" fillId="18" borderId="7" xfId="11" applyNumberFormat="1" applyFont="1" applyFill="1" applyBorder="1" applyAlignment="1">
      <alignment vertical="top" shrinkToFit="1"/>
    </xf>
    <xf numFmtId="49" fontId="44" fillId="18" borderId="7" xfId="0" applyNumberFormat="1" applyFont="1" applyFill="1" applyBorder="1" applyAlignment="1">
      <alignment vertical="top" shrinkToFit="1"/>
    </xf>
    <xf numFmtId="0" fontId="44" fillId="18" borderId="11" xfId="0" applyFont="1" applyFill="1" applyBorder="1" applyAlignment="1">
      <alignment vertical="top"/>
    </xf>
    <xf numFmtId="0" fontId="31" fillId="5" borderId="44" xfId="12" applyNumberFormat="1" applyFont="1" applyFill="1" applyBorder="1" applyAlignment="1">
      <alignment horizontal="left" vertical="center" wrapText="1" indent="1"/>
    </xf>
    <xf numFmtId="0" fontId="17" fillId="5" borderId="44" xfId="10" applyFont="1" applyFill="1" applyBorder="1" applyAlignment="1">
      <alignment horizontal="center" vertical="center" wrapText="1"/>
    </xf>
    <xf numFmtId="0" fontId="17" fillId="5" borderId="44" xfId="10" applyFont="1" applyFill="1" applyBorder="1" applyAlignment="1">
      <alignment vertical="center" wrapText="1"/>
    </xf>
    <xf numFmtId="0" fontId="4" fillId="11" borderId="44" xfId="9" applyFill="1" applyBorder="1" applyAlignment="1">
      <alignment vertical="center"/>
    </xf>
    <xf numFmtId="0" fontId="4" fillId="0" borderId="44" xfId="9" applyBorder="1" applyAlignment="1">
      <alignment vertical="center"/>
    </xf>
    <xf numFmtId="14" fontId="4" fillId="0" borderId="44" xfId="9" applyNumberFormat="1" applyBorder="1" applyAlignment="1">
      <alignment horizontal="left" vertical="center"/>
    </xf>
    <xf numFmtId="0" fontId="4" fillId="0" borderId="44" xfId="9" applyBorder="1" applyAlignment="1">
      <alignment horizontal="left" vertical="center"/>
    </xf>
    <xf numFmtId="0" fontId="27" fillId="9" borderId="13" xfId="9" applyFont="1" applyFill="1" applyBorder="1" applyAlignment="1">
      <alignment horizontal="center" vertical="center"/>
    </xf>
    <xf numFmtId="0" fontId="27" fillId="9" borderId="0" xfId="9" applyFont="1" applyFill="1" applyAlignment="1">
      <alignment horizontal="center" vertical="center"/>
    </xf>
    <xf numFmtId="0" fontId="28" fillId="9" borderId="13" xfId="9" applyFont="1" applyFill="1" applyBorder="1" applyAlignment="1">
      <alignment horizontal="center" vertical="center"/>
    </xf>
    <xf numFmtId="0" fontId="28" fillId="9" borderId="0" xfId="9" applyFont="1" applyFill="1" applyAlignment="1">
      <alignment horizontal="center" vertical="center"/>
    </xf>
    <xf numFmtId="0" fontId="29" fillId="9" borderId="13" xfId="9" applyFont="1" applyFill="1" applyBorder="1" applyAlignment="1">
      <alignment horizontal="center" vertical="center"/>
    </xf>
    <xf numFmtId="0" fontId="29" fillId="9" borderId="0" xfId="9" applyFont="1" applyFill="1" applyAlignment="1">
      <alignment horizontal="center" vertical="center"/>
    </xf>
    <xf numFmtId="0" fontId="4" fillId="0" borderId="42" xfId="9" applyBorder="1" applyAlignment="1">
      <alignment vertical="center"/>
    </xf>
    <xf numFmtId="0" fontId="4" fillId="10" borderId="44" xfId="9" applyFill="1" applyBorder="1" applyAlignment="1">
      <alignment horizontal="center" vertical="center"/>
    </xf>
    <xf numFmtId="14" fontId="30" fillId="0" borderId="0" xfId="0" applyNumberFormat="1" applyFont="1" applyAlignment="1">
      <alignment horizontal="center"/>
    </xf>
    <xf numFmtId="0" fontId="30" fillId="0" borderId="0" xfId="0" applyFont="1" applyAlignment="1">
      <alignment horizontal="center"/>
    </xf>
    <xf numFmtId="0" fontId="10" fillId="0" borderId="44" xfId="9" applyFont="1" applyBorder="1" applyAlignment="1">
      <alignment horizontal="center" vertical="center"/>
    </xf>
    <xf numFmtId="179" fontId="10" fillId="0" borderId="44" xfId="9" applyNumberFormat="1" applyFont="1" applyBorder="1" applyAlignment="1">
      <alignment horizontal="center" vertical="center"/>
    </xf>
    <xf numFmtId="31" fontId="10" fillId="0" borderId="22" xfId="9" applyNumberFormat="1" applyFont="1" applyBorder="1" applyAlignment="1">
      <alignment horizontal="center" vertical="center"/>
    </xf>
    <xf numFmtId="31" fontId="10" fillId="0" borderId="47" xfId="9" applyNumberFormat="1" applyFont="1" applyBorder="1" applyAlignment="1">
      <alignment horizontal="center" vertical="center"/>
    </xf>
    <xf numFmtId="31" fontId="10" fillId="0" borderId="21" xfId="9" applyNumberFormat="1" applyFont="1" applyBorder="1" applyAlignment="1">
      <alignment horizontal="center" vertical="center"/>
    </xf>
    <xf numFmtId="0" fontId="10" fillId="0" borderId="22" xfId="9" applyFont="1" applyBorder="1" applyAlignment="1">
      <alignment horizontal="center" vertical="center"/>
    </xf>
    <xf numFmtId="0" fontId="10" fillId="0" borderId="47" xfId="9" applyFont="1" applyBorder="1" applyAlignment="1">
      <alignment horizontal="center" vertical="center"/>
    </xf>
    <xf numFmtId="0" fontId="10" fillId="0" borderId="21" xfId="9" applyFont="1" applyBorder="1" applyAlignment="1">
      <alignment horizontal="center" vertical="center"/>
    </xf>
    <xf numFmtId="0" fontId="10" fillId="0" borderId="44" xfId="9" applyFont="1" applyBorder="1" applyAlignment="1">
      <alignment vertical="center" wrapText="1"/>
    </xf>
    <xf numFmtId="0" fontId="10" fillId="0" borderId="22" xfId="9" applyFont="1" applyBorder="1" applyAlignment="1">
      <alignment vertical="center" wrapText="1"/>
    </xf>
    <xf numFmtId="0" fontId="10" fillId="0" borderId="47" xfId="9" applyFont="1" applyBorder="1" applyAlignment="1">
      <alignment vertical="center" wrapText="1"/>
    </xf>
    <xf numFmtId="0" fontId="10" fillId="0" borderId="21" xfId="9" applyFont="1" applyBorder="1" applyAlignment="1">
      <alignment vertical="center" wrapText="1"/>
    </xf>
    <xf numFmtId="0" fontId="10" fillId="0" borderId="22" xfId="9" applyFont="1" applyBorder="1" applyAlignment="1">
      <alignment horizontal="left" vertical="center"/>
    </xf>
    <xf numFmtId="0" fontId="10" fillId="0" borderId="47" xfId="9" applyFont="1" applyBorder="1" applyAlignment="1">
      <alignment horizontal="left" vertical="center"/>
    </xf>
    <xf numFmtId="0" fontId="10" fillId="0" borderId="21" xfId="9" applyFont="1" applyBorder="1" applyAlignment="1">
      <alignment horizontal="left" vertical="center"/>
    </xf>
    <xf numFmtId="31" fontId="10" fillId="0" borderId="44" xfId="9" applyNumberFormat="1" applyFont="1" applyBorder="1" applyAlignment="1">
      <alignment horizontal="center" vertical="center"/>
    </xf>
    <xf numFmtId="0" fontId="10" fillId="0" borderId="44" xfId="9" applyFont="1" applyBorder="1" applyAlignment="1">
      <alignment vertical="center"/>
    </xf>
    <xf numFmtId="0" fontId="10" fillId="0" borderId="44" xfId="9" quotePrefix="1" applyFont="1" applyBorder="1" applyAlignment="1">
      <alignment horizontal="center" vertical="center"/>
    </xf>
    <xf numFmtId="0" fontId="10" fillId="0" borderId="44" xfId="9" applyFont="1" applyBorder="1" applyAlignment="1">
      <alignment horizontal="left" vertical="center"/>
    </xf>
    <xf numFmtId="0" fontId="10" fillId="12" borderId="44" xfId="9" applyFont="1" applyFill="1" applyBorder="1" applyAlignment="1">
      <alignment horizontal="center" vertical="center"/>
    </xf>
    <xf numFmtId="0" fontId="10" fillId="0" borderId="46" xfId="9" applyFont="1" applyBorder="1" applyAlignment="1">
      <alignment horizontal="center" vertical="center"/>
    </xf>
    <xf numFmtId="179" fontId="10" fillId="0" borderId="22" xfId="9" applyNumberFormat="1" applyFont="1" applyBorder="1" applyAlignment="1">
      <alignment horizontal="center" vertical="center"/>
    </xf>
    <xf numFmtId="179" fontId="10" fillId="0" borderId="47" xfId="9" applyNumberFormat="1" applyFont="1" applyBorder="1" applyAlignment="1">
      <alignment horizontal="center" vertical="center"/>
    </xf>
    <xf numFmtId="179" fontId="10" fillId="0" borderId="21" xfId="9" applyNumberFormat="1" applyFont="1" applyBorder="1" applyAlignment="1">
      <alignment horizontal="center" vertical="center"/>
    </xf>
    <xf numFmtId="180" fontId="10" fillId="0" borderId="22" xfId="9" applyNumberFormat="1" applyFont="1" applyBorder="1" applyAlignment="1">
      <alignment horizontal="center" vertical="center"/>
    </xf>
    <xf numFmtId="180" fontId="10" fillId="0" borderId="47" xfId="9" applyNumberFormat="1" applyFont="1" applyBorder="1" applyAlignment="1">
      <alignment horizontal="center" vertical="center"/>
    </xf>
    <xf numFmtId="180" fontId="10" fillId="0" borderId="21" xfId="9" applyNumberFormat="1" applyFont="1" applyBorder="1" applyAlignment="1">
      <alignment horizontal="center" vertical="center"/>
    </xf>
    <xf numFmtId="0" fontId="10" fillId="0" borderId="23" xfId="9" applyFont="1" applyBorder="1" applyAlignment="1">
      <alignment horizontal="center" vertical="center"/>
    </xf>
    <xf numFmtId="0" fontId="10" fillId="0" borderId="42" xfId="9" applyFont="1" applyBorder="1" applyAlignment="1">
      <alignment horizontal="center" vertical="center"/>
    </xf>
    <xf numFmtId="0" fontId="10" fillId="0" borderId="43" xfId="9" applyFont="1" applyBorder="1" applyAlignment="1">
      <alignment horizontal="center" vertical="center"/>
    </xf>
    <xf numFmtId="49" fontId="10" fillId="12" borderId="24" xfId="9" applyNumberFormat="1" applyFont="1" applyFill="1" applyBorder="1" applyAlignment="1">
      <alignment horizontal="center" vertical="center"/>
    </xf>
    <xf numFmtId="49" fontId="10" fillId="12" borderId="41" xfId="9" applyNumberFormat="1" applyFont="1" applyFill="1" applyBorder="1" applyAlignment="1">
      <alignment horizontal="center" vertical="center"/>
    </xf>
    <xf numFmtId="49" fontId="10" fillId="12" borderId="20" xfId="9" applyNumberFormat="1" applyFont="1" applyFill="1" applyBorder="1" applyAlignment="1">
      <alignment horizontal="center" vertical="center"/>
    </xf>
    <xf numFmtId="49" fontId="10" fillId="12" borderId="23" xfId="9" applyNumberFormat="1" applyFont="1" applyFill="1" applyBorder="1" applyAlignment="1">
      <alignment horizontal="center" vertical="center"/>
    </xf>
    <xf numFmtId="49" fontId="10" fillId="12" borderId="42" xfId="9" applyNumberFormat="1" applyFont="1" applyFill="1" applyBorder="1" applyAlignment="1">
      <alignment horizontal="center" vertical="center"/>
    </xf>
    <xf numFmtId="49" fontId="10" fillId="12" borderId="43" xfId="9" applyNumberFormat="1" applyFont="1" applyFill="1" applyBorder="1" applyAlignment="1">
      <alignment horizontal="center" vertical="center"/>
    </xf>
    <xf numFmtId="0" fontId="10" fillId="12" borderId="24" xfId="9" applyFont="1" applyFill="1" applyBorder="1" applyAlignment="1">
      <alignment horizontal="center" vertical="center"/>
    </xf>
    <xf numFmtId="0" fontId="10" fillId="12" borderId="41" xfId="9" applyFont="1" applyFill="1" applyBorder="1" applyAlignment="1">
      <alignment horizontal="center" vertical="center"/>
    </xf>
    <xf numFmtId="0" fontId="10" fillId="12" borderId="20" xfId="9" applyFont="1" applyFill="1" applyBorder="1" applyAlignment="1">
      <alignment horizontal="center" vertical="center"/>
    </xf>
    <xf numFmtId="0" fontId="10" fillId="12" borderId="23" xfId="9" applyFont="1" applyFill="1" applyBorder="1" applyAlignment="1">
      <alignment horizontal="center" vertical="center"/>
    </xf>
    <xf numFmtId="0" fontId="10" fillId="12" borderId="42" xfId="9" applyFont="1" applyFill="1" applyBorder="1" applyAlignment="1">
      <alignment horizontal="center" vertical="center"/>
    </xf>
    <xf numFmtId="0" fontId="10" fillId="12" borderId="43" xfId="9" applyFont="1" applyFill="1" applyBorder="1" applyAlignment="1">
      <alignment horizontal="center" vertical="center"/>
    </xf>
    <xf numFmtId="49" fontId="10" fillId="0" borderId="42" xfId="7" applyNumberFormat="1" applyFont="1" applyBorder="1" applyAlignment="1">
      <alignment horizontal="right" vertical="top"/>
    </xf>
    <xf numFmtId="49" fontId="11" fillId="0" borderId="18" xfId="0" applyNumberFormat="1" applyFont="1" applyBorder="1" applyAlignment="1">
      <alignment vertical="top" shrinkToFit="1"/>
    </xf>
    <xf numFmtId="49" fontId="11" fillId="0" borderId="9" xfId="0" applyNumberFormat="1" applyFont="1" applyBorder="1" applyAlignment="1">
      <alignment vertical="top" shrinkToFit="1"/>
    </xf>
    <xf numFmtId="49" fontId="11" fillId="5" borderId="10" xfId="0" applyNumberFormat="1" applyFont="1" applyFill="1" applyBorder="1" applyAlignment="1">
      <alignment vertical="top" shrinkToFit="1"/>
    </xf>
    <xf numFmtId="49" fontId="11" fillId="5" borderId="8" xfId="0" applyNumberFormat="1" applyFont="1" applyFill="1" applyBorder="1" applyAlignment="1">
      <alignment vertical="top" shrinkToFit="1"/>
    </xf>
    <xf numFmtId="49" fontId="11" fillId="0" borderId="10" xfId="11" applyNumberFormat="1" applyFont="1" applyBorder="1" applyAlignment="1">
      <alignment vertical="top" shrinkToFit="1"/>
    </xf>
    <xf numFmtId="49" fontId="11" fillId="0" borderId="7" xfId="11" applyNumberFormat="1" applyFont="1" applyBorder="1" applyAlignment="1">
      <alignment vertical="top" shrinkToFit="1"/>
    </xf>
    <xf numFmtId="49" fontId="11" fillId="0" borderId="8" xfId="11" applyNumberFormat="1" applyFont="1" applyBorder="1" applyAlignment="1">
      <alignment vertical="top" shrinkToFit="1"/>
    </xf>
    <xf numFmtId="49" fontId="11" fillId="0" borderId="10" xfId="0" applyNumberFormat="1" applyFont="1" applyBorder="1" applyAlignment="1">
      <alignment vertical="top" shrinkToFit="1"/>
    </xf>
    <xf numFmtId="49" fontId="11" fillId="0" borderId="7" xfId="0" applyNumberFormat="1" applyFont="1" applyBorder="1" applyAlignment="1">
      <alignment vertical="top" shrinkToFit="1"/>
    </xf>
    <xf numFmtId="49" fontId="11" fillId="0" borderId="8" xfId="0" applyNumberFormat="1" applyFont="1" applyBorder="1" applyAlignment="1">
      <alignment vertical="top" shrinkToFit="1"/>
    </xf>
    <xf numFmtId="49" fontId="11" fillId="0" borderId="10" xfId="11" applyNumberFormat="1" applyFont="1" applyBorder="1" applyAlignment="1">
      <alignment horizontal="left" vertical="top" shrinkToFit="1"/>
    </xf>
    <xf numFmtId="49" fontId="11" fillId="0" borderId="7" xfId="11" applyNumberFormat="1" applyFont="1" applyBorder="1" applyAlignment="1">
      <alignment horizontal="left" vertical="top" shrinkToFit="1"/>
    </xf>
    <xf numFmtId="49" fontId="11" fillId="5" borderId="7" xfId="0" applyNumberFormat="1" applyFont="1" applyFill="1" applyBorder="1" applyAlignment="1">
      <alignment vertical="top" shrinkToFit="1"/>
    </xf>
    <xf numFmtId="49" fontId="11" fillId="0" borderId="4" xfId="0" applyNumberFormat="1" applyFont="1" applyBorder="1" applyAlignment="1">
      <alignment vertical="top" shrinkToFit="1"/>
    </xf>
    <xf numFmtId="49" fontId="39" fillId="8" borderId="22" xfId="7" applyNumberFormat="1" applyFont="1" applyFill="1" applyBorder="1" applyAlignment="1">
      <alignment horizontal="center" vertical="top"/>
    </xf>
    <xf numFmtId="49" fontId="39" fillId="8" borderId="47" xfId="7" applyNumberFormat="1" applyFont="1" applyFill="1" applyBorder="1" applyAlignment="1">
      <alignment horizontal="center" vertical="top"/>
    </xf>
    <xf numFmtId="49" fontId="39" fillId="8" borderId="21" xfId="7" applyNumberFormat="1" applyFont="1" applyFill="1" applyBorder="1" applyAlignment="1">
      <alignment horizontal="center" vertical="top"/>
    </xf>
    <xf numFmtId="49" fontId="40" fillId="7" borderId="22" xfId="7" applyNumberFormat="1" applyFont="1" applyFill="1" applyBorder="1" applyAlignment="1">
      <alignment horizontal="center" vertical="top"/>
    </xf>
    <xf numFmtId="49" fontId="40" fillId="7" borderId="47" xfId="7" applyNumberFormat="1" applyFont="1" applyFill="1" applyBorder="1" applyAlignment="1">
      <alignment horizontal="center" vertical="top"/>
    </xf>
    <xf numFmtId="49" fontId="40" fillId="7" borderId="21" xfId="7" applyNumberFormat="1" applyFont="1" applyFill="1" applyBorder="1" applyAlignment="1">
      <alignment horizontal="center" vertical="top"/>
    </xf>
    <xf numFmtId="49" fontId="10" fillId="4" borderId="22" xfId="7" applyNumberFormat="1" applyFont="1" applyFill="1" applyBorder="1" applyAlignment="1">
      <alignment horizontal="center" vertical="top"/>
    </xf>
    <xf numFmtId="49" fontId="10" fillId="4" borderId="47" xfId="7" applyNumberFormat="1" applyFont="1" applyFill="1" applyBorder="1" applyAlignment="1">
      <alignment horizontal="center" vertical="top"/>
    </xf>
    <xf numFmtId="49" fontId="10" fillId="4" borderId="21" xfId="7" applyNumberFormat="1" applyFont="1" applyFill="1" applyBorder="1" applyAlignment="1">
      <alignment horizontal="center" vertical="top"/>
    </xf>
    <xf numFmtId="49" fontId="11" fillId="0" borderId="18" xfId="11" applyNumberFormat="1" applyFont="1" applyBorder="1" applyAlignment="1">
      <alignment horizontal="left" vertical="top" shrinkToFit="1"/>
    </xf>
    <xf numFmtId="49" fontId="11" fillId="0" borderId="9" xfId="11" applyNumberFormat="1" applyFont="1" applyBorder="1" applyAlignment="1">
      <alignment horizontal="left" vertical="top" shrinkToFit="1"/>
    </xf>
    <xf numFmtId="49" fontId="11" fillId="0" borderId="11" xfId="11" applyNumberFormat="1" applyFont="1" applyBorder="1" applyAlignment="1">
      <alignment horizontal="left" vertical="top" shrinkToFit="1"/>
    </xf>
    <xf numFmtId="49" fontId="11" fillId="0" borderId="10" xfId="0" applyNumberFormat="1" applyFont="1" applyBorder="1" applyAlignment="1">
      <alignment horizontal="left" vertical="top" shrinkToFit="1"/>
    </xf>
    <xf numFmtId="49" fontId="11" fillId="0" borderId="19" xfId="0" applyNumberFormat="1" applyFont="1" applyBorder="1" applyAlignment="1">
      <alignment horizontal="left" vertical="top" shrinkToFit="1"/>
    </xf>
    <xf numFmtId="49" fontId="8" fillId="0" borderId="0" xfId="7" applyNumberFormat="1" applyFont="1" applyAlignment="1">
      <alignment vertical="top"/>
    </xf>
    <xf numFmtId="49" fontId="10" fillId="0" borderId="0" xfId="7" applyNumberFormat="1" applyFont="1" applyAlignment="1">
      <alignment horizontal="right" vertical="top"/>
    </xf>
    <xf numFmtId="49" fontId="11" fillId="0" borderId="4" xfId="11" applyNumberFormat="1" applyFont="1" applyBorder="1" applyAlignment="1">
      <alignment horizontal="left" vertical="top" shrinkToFit="1"/>
    </xf>
    <xf numFmtId="49" fontId="11" fillId="0" borderId="19" xfId="11" applyNumberFormat="1" applyFont="1" applyBorder="1" applyAlignment="1">
      <alignment horizontal="left" vertical="top" shrinkToFit="1"/>
    </xf>
    <xf numFmtId="49" fontId="11" fillId="0" borderId="19" xfId="0" applyNumberFormat="1" applyFont="1" applyBorder="1" applyAlignment="1">
      <alignment vertical="top" shrinkToFit="1"/>
    </xf>
    <xf numFmtId="49" fontId="11" fillId="0" borderId="11" xfId="0" applyNumberFormat="1" applyFont="1" applyBorder="1" applyAlignment="1">
      <alignment vertical="top" shrinkToFit="1"/>
    </xf>
    <xf numFmtId="49" fontId="11" fillId="0" borderId="4" xfId="0" applyNumberFormat="1" applyFont="1" applyBorder="1" applyAlignment="1">
      <alignment horizontal="left" vertical="top" shrinkToFit="1"/>
    </xf>
    <xf numFmtId="49" fontId="11" fillId="0" borderId="7" xfId="0" applyNumberFormat="1" applyFont="1" applyBorder="1" applyAlignment="1">
      <alignment horizontal="left" vertical="top" shrinkToFit="1"/>
    </xf>
    <xf numFmtId="177" fontId="14" fillId="0" borderId="54" xfId="0" applyNumberFormat="1" applyFont="1" applyBorder="1" applyAlignment="1">
      <alignment horizontal="center" vertical="center"/>
    </xf>
    <xf numFmtId="177" fontId="14" fillId="0" borderId="56" xfId="0" applyNumberFormat="1" applyFont="1" applyBorder="1" applyAlignment="1">
      <alignment horizontal="center" vertical="center"/>
    </xf>
    <xf numFmtId="177" fontId="14" fillId="0" borderId="55" xfId="0" applyNumberFormat="1" applyFont="1" applyBorder="1" applyAlignment="1">
      <alignment horizontal="center" vertical="center"/>
    </xf>
    <xf numFmtId="182" fontId="14" fillId="0" borderId="54" xfId="0" applyNumberFormat="1" applyFont="1" applyBorder="1" applyAlignment="1">
      <alignment horizontal="center" vertical="center"/>
    </xf>
    <xf numFmtId="182" fontId="14" fillId="0" borderId="56" xfId="0" applyNumberFormat="1" applyFont="1" applyBorder="1" applyAlignment="1">
      <alignment horizontal="center" vertical="center"/>
    </xf>
    <xf numFmtId="182" fontId="14" fillId="0" borderId="55" xfId="0" applyNumberFormat="1" applyFont="1" applyBorder="1" applyAlignment="1">
      <alignment horizontal="center" vertical="center"/>
    </xf>
    <xf numFmtId="0" fontId="34" fillId="6" borderId="39" xfId="0" applyFont="1" applyFill="1" applyBorder="1" applyAlignment="1">
      <alignment horizontal="center" vertical="center"/>
    </xf>
    <xf numFmtId="0" fontId="34" fillId="6" borderId="40" xfId="0" applyFont="1" applyFill="1" applyBorder="1" applyAlignment="1">
      <alignment horizontal="center" vertical="center"/>
    </xf>
    <xf numFmtId="0" fontId="32" fillId="7" borderId="0" xfId="0" applyFont="1" applyFill="1" applyAlignment="1">
      <alignment horizontal="right" vertical="center"/>
    </xf>
    <xf numFmtId="177" fontId="14" fillId="0" borderId="54" xfId="0" applyNumberFormat="1" applyFont="1" applyBorder="1" applyAlignment="1">
      <alignment horizontal="left" vertical="center" indent="1"/>
    </xf>
    <xf numFmtId="177" fontId="14" fillId="0" borderId="56" xfId="0" applyNumberFormat="1" applyFont="1" applyBorder="1" applyAlignment="1">
      <alignment horizontal="left" vertical="center" indent="1"/>
    </xf>
    <xf numFmtId="177" fontId="14" fillId="0" borderId="49" xfId="0" applyNumberFormat="1" applyFont="1" applyBorder="1" applyAlignment="1">
      <alignment horizontal="left" vertical="center" indent="1"/>
    </xf>
    <xf numFmtId="177" fontId="14" fillId="0" borderId="55" xfId="0" applyNumberFormat="1" applyFont="1" applyBorder="1" applyAlignment="1">
      <alignment horizontal="left" vertical="center" indent="1"/>
    </xf>
    <xf numFmtId="0" fontId="14" fillId="0" borderId="54" xfId="0" applyFont="1" applyBorder="1" applyAlignment="1">
      <alignment horizontal="left" vertical="center" indent="1"/>
    </xf>
    <xf numFmtId="0" fontId="14" fillId="0" borderId="56" xfId="0" applyFont="1" applyBorder="1" applyAlignment="1">
      <alignment horizontal="left" vertical="center" indent="1"/>
    </xf>
    <xf numFmtId="0" fontId="14" fillId="0" borderId="52" xfId="0" applyFont="1" applyBorder="1" applyAlignment="1">
      <alignment horizontal="left" vertical="center" indent="1"/>
    </xf>
    <xf numFmtId="0" fontId="14" fillId="0" borderId="55" xfId="0" applyFont="1" applyBorder="1" applyAlignment="1">
      <alignment horizontal="left" vertical="center" indent="1"/>
    </xf>
    <xf numFmtId="183" fontId="14" fillId="0" borderId="54" xfId="0" applyNumberFormat="1" applyFont="1" applyBorder="1" applyAlignment="1">
      <alignment horizontal="center" vertical="center"/>
    </xf>
    <xf numFmtId="183" fontId="14" fillId="0" borderId="56" xfId="0" applyNumberFormat="1" applyFont="1" applyBorder="1" applyAlignment="1">
      <alignment horizontal="center" vertical="center"/>
    </xf>
    <xf numFmtId="183" fontId="14" fillId="0" borderId="55" xfId="0" applyNumberFormat="1"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56" xfId="0" quotePrefix="1" applyFont="1" applyBorder="1" applyAlignment="1">
      <alignment horizontal="center" vertical="center"/>
    </xf>
    <xf numFmtId="0" fontId="25" fillId="6" borderId="0" xfId="0" applyFont="1" applyFill="1" applyAlignment="1">
      <alignment horizontal="center" vertical="center"/>
    </xf>
    <xf numFmtId="183" fontId="14" fillId="0" borderId="48" xfId="0" applyNumberFormat="1" applyFont="1" applyBorder="1" applyAlignment="1">
      <alignment horizontal="center" vertical="center"/>
    </xf>
    <xf numFmtId="183" fontId="14" fillId="0" borderId="49" xfId="0" applyNumberFormat="1" applyFont="1" applyBorder="1" applyAlignment="1">
      <alignment horizontal="center" vertical="center"/>
    </xf>
    <xf numFmtId="0" fontId="32" fillId="7" borderId="35" xfId="0" applyFont="1" applyFill="1" applyBorder="1" applyAlignment="1">
      <alignment horizontal="center" vertical="center"/>
    </xf>
    <xf numFmtId="0" fontId="32" fillId="7" borderId="27" xfId="0" applyFont="1" applyFill="1" applyBorder="1">
      <alignment vertical="center"/>
    </xf>
    <xf numFmtId="0" fontId="32" fillId="7" borderId="28" xfId="0" applyFont="1" applyFill="1" applyBorder="1">
      <alignment vertical="center"/>
    </xf>
    <xf numFmtId="0" fontId="32" fillId="7" borderId="32" xfId="0" applyFont="1" applyFill="1" applyBorder="1">
      <alignment vertical="center"/>
    </xf>
    <xf numFmtId="0" fontId="32" fillId="7" borderId="33" xfId="0" applyFont="1" applyFill="1" applyBorder="1">
      <alignment vertical="center"/>
    </xf>
    <xf numFmtId="0" fontId="32" fillId="7" borderId="27" xfId="0" applyFont="1" applyFill="1" applyBorder="1" applyAlignment="1">
      <alignment horizontal="center" vertical="center"/>
    </xf>
    <xf numFmtId="0" fontId="32" fillId="7" borderId="28" xfId="0" applyFont="1" applyFill="1" applyBorder="1" applyAlignment="1">
      <alignment horizontal="center" vertical="center"/>
    </xf>
    <xf numFmtId="0" fontId="32" fillId="7" borderId="32" xfId="0" applyFont="1" applyFill="1" applyBorder="1" applyAlignment="1">
      <alignment horizontal="center" vertical="center"/>
    </xf>
    <xf numFmtId="0" fontId="32" fillId="7" borderId="33" xfId="0" applyFont="1" applyFill="1" applyBorder="1" applyAlignment="1">
      <alignment horizontal="center" vertical="center"/>
    </xf>
    <xf numFmtId="0" fontId="14" fillId="5" borderId="33" xfId="0" applyFont="1" applyFill="1" applyBorder="1" applyAlignment="1">
      <alignment horizontal="right" vertical="center"/>
    </xf>
    <xf numFmtId="0" fontId="32" fillId="7" borderId="35" xfId="0" applyFont="1" applyFill="1" applyBorder="1" applyAlignment="1">
      <alignment horizontal="center" vertical="top"/>
    </xf>
    <xf numFmtId="0" fontId="32" fillId="7" borderId="29" xfId="0" applyFont="1" applyFill="1" applyBorder="1" applyAlignment="1">
      <alignment horizontal="center" vertical="center"/>
    </xf>
    <xf numFmtId="0" fontId="32" fillId="7" borderId="34" xfId="0" applyFont="1" applyFill="1" applyBorder="1" applyAlignment="1">
      <alignment horizontal="center" vertical="center"/>
    </xf>
    <xf numFmtId="0" fontId="32" fillId="7" borderId="27" xfId="0" applyFont="1" applyFill="1" applyBorder="1" applyAlignment="1">
      <alignment horizontal="center" vertical="center" wrapText="1"/>
    </xf>
    <xf numFmtId="0" fontId="32" fillId="7" borderId="28" xfId="0" applyFont="1" applyFill="1" applyBorder="1" applyAlignment="1">
      <alignment horizontal="center" vertical="center" wrapText="1"/>
    </xf>
    <xf numFmtId="0" fontId="32" fillId="7" borderId="71" xfId="0" applyFont="1" applyFill="1" applyBorder="1" applyAlignment="1">
      <alignment horizontal="center" vertical="center" wrapText="1"/>
    </xf>
    <xf numFmtId="0" fontId="32" fillId="7" borderId="42" xfId="0" applyFont="1" applyFill="1" applyBorder="1" applyAlignment="1">
      <alignment horizontal="center" vertical="center" wrapText="1"/>
    </xf>
    <xf numFmtId="0" fontId="32" fillId="7" borderId="65" xfId="0" applyFont="1" applyFill="1" applyBorder="1" applyAlignment="1">
      <alignment horizontal="center" vertical="center"/>
    </xf>
    <xf numFmtId="0" fontId="32" fillId="7" borderId="66" xfId="0" applyFont="1" applyFill="1" applyBorder="1" applyAlignment="1">
      <alignment horizontal="center" vertical="center"/>
    </xf>
    <xf numFmtId="0" fontId="32" fillId="7" borderId="29" xfId="0" applyFont="1" applyFill="1" applyBorder="1" applyAlignment="1">
      <alignment horizontal="center" vertical="center" wrapText="1"/>
    </xf>
    <xf numFmtId="0" fontId="32" fillId="7" borderId="30" xfId="0" applyFont="1" applyFill="1" applyBorder="1" applyAlignment="1">
      <alignment horizontal="center" vertical="center" wrapText="1"/>
    </xf>
    <xf numFmtId="0" fontId="32" fillId="7" borderId="0" xfId="0" applyFont="1" applyFill="1" applyAlignment="1">
      <alignment horizontal="center" vertical="center" wrapText="1"/>
    </xf>
    <xf numFmtId="0" fontId="32" fillId="7" borderId="31" xfId="0" applyFont="1" applyFill="1" applyBorder="1" applyAlignment="1">
      <alignment horizontal="center" vertical="center" wrapText="1"/>
    </xf>
    <xf numFmtId="181" fontId="23" fillId="5" borderId="36" xfId="0" applyNumberFormat="1" applyFont="1" applyFill="1" applyBorder="1" applyAlignment="1">
      <alignment horizontal="left" vertical="center"/>
    </xf>
    <xf numFmtId="181" fontId="23" fillId="5" borderId="37" xfId="0" applyNumberFormat="1" applyFont="1" applyFill="1" applyBorder="1" applyAlignment="1">
      <alignment horizontal="left" vertical="center"/>
    </xf>
    <xf numFmtId="181" fontId="23" fillId="5" borderId="38" xfId="0" applyNumberFormat="1" applyFont="1" applyFill="1" applyBorder="1" applyAlignment="1">
      <alignment horizontal="left" vertical="center"/>
    </xf>
    <xf numFmtId="0" fontId="14" fillId="0" borderId="36" xfId="0" applyFont="1" applyBorder="1" applyAlignment="1">
      <alignment horizontal="left" vertical="center"/>
    </xf>
    <xf numFmtId="0" fontId="14" fillId="0" borderId="37" xfId="0" applyFont="1" applyBorder="1" applyAlignment="1">
      <alignment horizontal="left" vertical="center"/>
    </xf>
    <xf numFmtId="0" fontId="14" fillId="0" borderId="38" xfId="0" applyFont="1" applyBorder="1" applyAlignment="1">
      <alignment horizontal="left" vertical="center"/>
    </xf>
    <xf numFmtId="178" fontId="14" fillId="5" borderId="35" xfId="0" applyNumberFormat="1" applyFont="1" applyFill="1" applyBorder="1" applyAlignment="1">
      <alignment horizontal="left" vertical="center"/>
    </xf>
    <xf numFmtId="178" fontId="14" fillId="5" borderId="36" xfId="0" applyNumberFormat="1" applyFont="1" applyFill="1" applyBorder="1" applyAlignment="1">
      <alignment horizontal="left" vertical="center"/>
    </xf>
    <xf numFmtId="0" fontId="14" fillId="0" borderId="44" xfId="0" applyFont="1" applyBorder="1" applyAlignment="1">
      <alignment horizontal="left" vertical="center"/>
    </xf>
    <xf numFmtId="0" fontId="23" fillId="0" borderId="36" xfId="0" applyFont="1" applyBorder="1" applyAlignment="1">
      <alignment horizontal="left" vertical="center"/>
    </xf>
    <xf numFmtId="0" fontId="23" fillId="0" borderId="37" xfId="0" applyFont="1" applyBorder="1" applyAlignment="1">
      <alignment horizontal="left" vertical="center"/>
    </xf>
    <xf numFmtId="0" fontId="23" fillId="0" borderId="38" xfId="0" applyFont="1" applyBorder="1" applyAlignment="1">
      <alignment horizontal="left" vertical="center"/>
    </xf>
    <xf numFmtId="178" fontId="23" fillId="5" borderId="36" xfId="0" applyNumberFormat="1" applyFont="1" applyFill="1" applyBorder="1" applyAlignment="1">
      <alignment horizontal="left" vertical="center"/>
    </xf>
    <xf numFmtId="178" fontId="23" fillId="5" borderId="38" xfId="0" applyNumberFormat="1" applyFont="1" applyFill="1" applyBorder="1" applyAlignment="1">
      <alignment horizontal="left" vertical="center"/>
    </xf>
    <xf numFmtId="0" fontId="23" fillId="0" borderId="22" xfId="0" applyFont="1" applyBorder="1" applyAlignment="1">
      <alignment horizontal="left" vertical="center"/>
    </xf>
    <xf numFmtId="0" fontId="23" fillId="0" borderId="47" xfId="0" applyFont="1" applyBorder="1" applyAlignment="1">
      <alignment horizontal="left" vertical="center"/>
    </xf>
    <xf numFmtId="0" fontId="23" fillId="0" borderId="21" xfId="0" applyFont="1" applyBorder="1" applyAlignment="1">
      <alignment horizontal="left" vertical="center"/>
    </xf>
    <xf numFmtId="0" fontId="23" fillId="5" borderId="35" xfId="0" applyFont="1" applyFill="1" applyBorder="1" applyAlignment="1">
      <alignment horizontal="center" vertical="center"/>
    </xf>
    <xf numFmtId="0" fontId="23" fillId="5" borderId="36" xfId="0" applyFont="1" applyFill="1" applyBorder="1" applyAlignment="1">
      <alignment horizontal="right" vertical="center"/>
    </xf>
    <xf numFmtId="0" fontId="23" fillId="5" borderId="37" xfId="0" applyFont="1" applyFill="1" applyBorder="1" applyAlignment="1">
      <alignment horizontal="right" vertical="center"/>
    </xf>
    <xf numFmtId="0" fontId="14" fillId="6" borderId="44" xfId="0" applyFont="1" applyFill="1" applyBorder="1" applyAlignment="1">
      <alignment horizontal="left" vertical="center"/>
    </xf>
    <xf numFmtId="0" fontId="23" fillId="6" borderId="36" xfId="0" applyFont="1" applyFill="1" applyBorder="1" applyAlignment="1">
      <alignment horizontal="left" vertical="center"/>
    </xf>
    <xf numFmtId="0" fontId="23" fillId="6" borderId="37" xfId="0" applyFont="1" applyFill="1" applyBorder="1" applyAlignment="1">
      <alignment horizontal="left" vertical="center"/>
    </xf>
    <xf numFmtId="0" fontId="23" fillId="6" borderId="38" xfId="0" applyFont="1" applyFill="1" applyBorder="1" applyAlignment="1">
      <alignment horizontal="left" vertical="center"/>
    </xf>
    <xf numFmtId="178" fontId="23" fillId="6" borderId="36" xfId="0" applyNumberFormat="1" applyFont="1" applyFill="1" applyBorder="1" applyAlignment="1">
      <alignment horizontal="left" vertical="center"/>
    </xf>
    <xf numFmtId="178" fontId="23" fillId="6" borderId="38" xfId="0" applyNumberFormat="1" applyFont="1" applyFill="1" applyBorder="1" applyAlignment="1">
      <alignment horizontal="left" vertical="center"/>
    </xf>
    <xf numFmtId="0" fontId="23" fillId="6" borderId="22" xfId="0" applyFont="1" applyFill="1" applyBorder="1" applyAlignment="1">
      <alignment horizontal="left" vertical="center"/>
    </xf>
    <xf numFmtId="0" fontId="23" fillId="6" borderId="47" xfId="0" applyFont="1" applyFill="1" applyBorder="1" applyAlignment="1">
      <alignment horizontal="left" vertical="center"/>
    </xf>
    <xf numFmtId="0" fontId="23" fillId="6" borderId="21" xfId="0" applyFont="1" applyFill="1" applyBorder="1" applyAlignment="1">
      <alignment horizontal="left" vertical="center"/>
    </xf>
    <xf numFmtId="0" fontId="23" fillId="6" borderId="35" xfId="0" applyFont="1" applyFill="1" applyBorder="1" applyAlignment="1">
      <alignment horizontal="center" vertical="center"/>
    </xf>
    <xf numFmtId="0" fontId="23" fillId="6" borderId="36" xfId="0" applyFont="1" applyFill="1" applyBorder="1" applyAlignment="1">
      <alignment horizontal="right" vertical="center"/>
    </xf>
    <xf numFmtId="0" fontId="23" fillId="6" borderId="37" xfId="0" applyFont="1" applyFill="1" applyBorder="1" applyAlignment="1">
      <alignment horizontal="right" vertical="center"/>
    </xf>
    <xf numFmtId="181" fontId="23" fillId="6" borderId="36" xfId="0" applyNumberFormat="1" applyFont="1" applyFill="1" applyBorder="1" applyAlignment="1">
      <alignment horizontal="left" vertical="center"/>
    </xf>
    <xf numFmtId="181" fontId="23" fillId="6" borderId="37" xfId="0" applyNumberFormat="1" applyFont="1" applyFill="1" applyBorder="1" applyAlignment="1">
      <alignment horizontal="left" vertical="center"/>
    </xf>
    <xf numFmtId="181" fontId="23" fillId="6" borderId="38" xfId="0" applyNumberFormat="1" applyFont="1" applyFill="1" applyBorder="1" applyAlignment="1">
      <alignment horizontal="left" vertical="center"/>
    </xf>
    <xf numFmtId="0" fontId="14" fillId="6" borderId="36" xfId="0" applyFont="1" applyFill="1" applyBorder="1" applyAlignment="1">
      <alignment horizontal="left" vertical="center"/>
    </xf>
    <xf numFmtId="0" fontId="14" fillId="6" borderId="37" xfId="0" applyFont="1" applyFill="1" applyBorder="1" applyAlignment="1">
      <alignment horizontal="left" vertical="center"/>
    </xf>
    <xf numFmtId="0" fontId="14" fillId="6" borderId="38" xfId="0" applyFont="1" applyFill="1" applyBorder="1" applyAlignment="1">
      <alignment horizontal="left" vertical="center"/>
    </xf>
    <xf numFmtId="178" fontId="14" fillId="6" borderId="35" xfId="0" applyNumberFormat="1" applyFont="1" applyFill="1" applyBorder="1" applyAlignment="1">
      <alignment horizontal="left" vertical="center"/>
    </xf>
    <xf numFmtId="178" fontId="14" fillId="6" borderId="36" xfId="0" applyNumberFormat="1" applyFont="1" applyFill="1" applyBorder="1" applyAlignment="1">
      <alignment horizontal="left" vertical="center"/>
    </xf>
    <xf numFmtId="0" fontId="23" fillId="6" borderId="27" xfId="0" applyFont="1" applyFill="1" applyBorder="1" applyAlignment="1">
      <alignment horizontal="left" vertical="center"/>
    </xf>
    <xf numFmtId="0" fontId="36" fillId="6" borderId="25" xfId="0" applyFont="1" applyFill="1" applyBorder="1" applyAlignment="1">
      <alignment horizontal="center" vertical="center" wrapText="1"/>
    </xf>
    <xf numFmtId="0" fontId="36" fillId="6" borderId="26" xfId="0" applyFont="1" applyFill="1" applyBorder="1" applyAlignment="1">
      <alignment horizontal="center" vertical="center" wrapText="1"/>
    </xf>
    <xf numFmtId="0" fontId="35" fillId="6" borderId="22" xfId="0" applyFont="1" applyFill="1" applyBorder="1" applyAlignment="1">
      <alignment horizontal="center" vertical="center"/>
    </xf>
    <xf numFmtId="0" fontId="35" fillId="6" borderId="21" xfId="0" applyFont="1" applyFill="1" applyBorder="1" applyAlignment="1">
      <alignment horizontal="center" vertical="center"/>
    </xf>
    <xf numFmtId="0" fontId="25" fillId="4" borderId="0" xfId="0" applyFont="1" applyFill="1" applyAlignment="1">
      <alignment horizontal="right" vertical="center"/>
    </xf>
    <xf numFmtId="0" fontId="14" fillId="0" borderId="60" xfId="0" applyFont="1" applyBorder="1" applyAlignment="1">
      <alignment horizontal="left" vertical="center" indent="1"/>
    </xf>
    <xf numFmtId="177" fontId="25" fillId="5" borderId="57" xfId="0" applyNumberFormat="1" applyFont="1" applyFill="1" applyBorder="1" applyAlignment="1">
      <alignment horizontal="center" vertical="center"/>
    </xf>
    <xf numFmtId="177" fontId="25" fillId="5" borderId="59" xfId="0" applyNumberFormat="1" applyFont="1" applyFill="1" applyBorder="1" applyAlignment="1">
      <alignment horizontal="center" vertical="center"/>
    </xf>
    <xf numFmtId="177" fontId="25" fillId="5" borderId="58" xfId="0" applyNumberFormat="1" applyFont="1" applyFill="1" applyBorder="1" applyAlignment="1">
      <alignment horizontal="center" vertical="center"/>
    </xf>
    <xf numFmtId="182" fontId="25" fillId="5" borderId="57" xfId="0" applyNumberFormat="1" applyFont="1" applyFill="1" applyBorder="1" applyAlignment="1">
      <alignment horizontal="center" vertical="center"/>
    </xf>
    <xf numFmtId="182" fontId="25" fillId="5" borderId="59" xfId="0" applyNumberFormat="1" applyFont="1" applyFill="1" applyBorder="1" applyAlignment="1">
      <alignment horizontal="center" vertical="center"/>
    </xf>
    <xf numFmtId="182" fontId="25" fillId="5" borderId="58" xfId="0" applyNumberFormat="1" applyFont="1" applyFill="1" applyBorder="1" applyAlignment="1">
      <alignment horizontal="center" vertical="center"/>
    </xf>
    <xf numFmtId="177" fontId="14" fillId="0" borderId="57" xfId="0" applyNumberFormat="1" applyFont="1" applyBorder="1" applyAlignment="1">
      <alignment horizontal="center" vertical="center"/>
    </xf>
    <xf numFmtId="177" fontId="14" fillId="0" borderId="59" xfId="0" applyNumberFormat="1" applyFont="1" applyBorder="1" applyAlignment="1">
      <alignment horizontal="center" vertical="center"/>
    </xf>
    <xf numFmtId="177" fontId="14" fillId="0" borderId="58" xfId="0" applyNumberFormat="1" applyFont="1" applyBorder="1" applyAlignment="1">
      <alignment horizontal="center" vertical="center"/>
    </xf>
    <xf numFmtId="183" fontId="14" fillId="0" borderId="62" xfId="0" applyNumberFormat="1" applyFont="1" applyBorder="1" applyAlignment="1">
      <alignment horizontal="center" vertical="center"/>
    </xf>
    <xf numFmtId="183" fontId="14" fillId="0" borderId="50" xfId="0" applyNumberFormat="1" applyFont="1" applyBorder="1" applyAlignment="1">
      <alignment horizontal="center" vertical="center"/>
    </xf>
    <xf numFmtId="183" fontId="14" fillId="0" borderId="60" xfId="0" applyNumberFormat="1" applyFont="1" applyBorder="1" applyAlignment="1">
      <alignment horizontal="center" vertical="center"/>
    </xf>
    <xf numFmtId="177" fontId="14" fillId="0" borderId="60" xfId="0" applyNumberFormat="1" applyFont="1" applyBorder="1" applyAlignment="1">
      <alignment horizontal="left" vertical="center" indent="1"/>
    </xf>
    <xf numFmtId="0" fontId="25" fillId="4" borderId="44" xfId="0" applyFont="1" applyFill="1" applyBorder="1" applyAlignment="1">
      <alignment horizontal="center" vertical="center"/>
    </xf>
    <xf numFmtId="0" fontId="25" fillId="4" borderId="44" xfId="0" applyFont="1" applyFill="1" applyBorder="1" applyAlignment="1">
      <alignment horizontal="center" vertical="top"/>
    </xf>
    <xf numFmtId="0" fontId="25" fillId="4" borderId="44" xfId="0" applyFont="1" applyFill="1" applyBorder="1" applyAlignment="1">
      <alignment horizontal="center" vertical="center" wrapText="1"/>
    </xf>
    <xf numFmtId="0" fontId="14" fillId="5" borderId="0" xfId="0" applyFont="1" applyFill="1" applyAlignment="1">
      <alignment horizontal="right" vertical="center"/>
    </xf>
    <xf numFmtId="0" fontId="32" fillId="7" borderId="65" xfId="0" applyFont="1" applyFill="1" applyBorder="1" applyAlignment="1">
      <alignment horizontal="center" vertical="center" wrapText="1"/>
    </xf>
    <xf numFmtId="0" fontId="32" fillId="7" borderId="36" xfId="0" applyFont="1" applyFill="1" applyBorder="1" applyAlignment="1">
      <alignment horizontal="center" vertical="center"/>
    </xf>
    <xf numFmtId="0" fontId="32" fillId="7" borderId="37" xfId="0" applyFont="1" applyFill="1" applyBorder="1" applyAlignment="1">
      <alignment horizontal="center" vertical="center"/>
    </xf>
    <xf numFmtId="0" fontId="32" fillId="7" borderId="38" xfId="0" applyFont="1" applyFill="1" applyBorder="1" applyAlignment="1">
      <alignment horizontal="center" vertical="center"/>
    </xf>
    <xf numFmtId="181" fontId="23" fillId="5" borderId="44" xfId="0" applyNumberFormat="1" applyFont="1" applyFill="1" applyBorder="1" applyAlignment="1">
      <alignment horizontal="left" vertical="center"/>
    </xf>
    <xf numFmtId="0" fontId="23" fillId="0" borderId="44" xfId="0" applyFont="1" applyBorder="1" applyAlignment="1">
      <alignment horizontal="left" vertical="center"/>
    </xf>
    <xf numFmtId="0" fontId="23" fillId="5" borderId="44" xfId="0" applyFont="1" applyFill="1" applyBorder="1" applyAlignment="1">
      <alignment horizontal="center" vertical="center"/>
    </xf>
    <xf numFmtId="0" fontId="23" fillId="5" borderId="44" xfId="0" applyFont="1" applyFill="1" applyBorder="1">
      <alignment vertical="center"/>
    </xf>
    <xf numFmtId="178" fontId="23" fillId="5" borderId="44" xfId="0" applyNumberFormat="1" applyFont="1" applyFill="1" applyBorder="1" applyAlignment="1">
      <alignment horizontal="left" vertical="center"/>
    </xf>
    <xf numFmtId="0" fontId="14" fillId="5" borderId="35" xfId="0" applyFont="1" applyFill="1" applyBorder="1" applyAlignment="1">
      <alignment horizontal="center" vertical="center"/>
    </xf>
    <xf numFmtId="0" fontId="14" fillId="5" borderId="35" xfId="0" applyFont="1" applyFill="1" applyBorder="1" applyAlignment="1">
      <alignment horizontal="left" vertical="center"/>
    </xf>
    <xf numFmtId="181" fontId="14" fillId="5" borderId="36" xfId="0" applyNumberFormat="1" applyFont="1" applyFill="1" applyBorder="1" applyAlignment="1">
      <alignment horizontal="left" vertical="center"/>
    </xf>
    <xf numFmtId="181" fontId="14" fillId="5" borderId="37" xfId="0" applyNumberFormat="1" applyFont="1" applyFill="1" applyBorder="1" applyAlignment="1">
      <alignment horizontal="left" vertical="center"/>
    </xf>
    <xf numFmtId="181" fontId="14" fillId="5" borderId="38" xfId="0" applyNumberFormat="1" applyFont="1" applyFill="1" applyBorder="1" applyAlignment="1">
      <alignment horizontal="left" vertical="center"/>
    </xf>
    <xf numFmtId="20" fontId="14" fillId="5" borderId="36" xfId="0" applyNumberFormat="1" applyFont="1" applyFill="1" applyBorder="1" applyAlignment="1">
      <alignment horizontal="left" vertical="center"/>
    </xf>
    <xf numFmtId="20" fontId="14" fillId="5" borderId="37" xfId="0" applyNumberFormat="1" applyFont="1" applyFill="1" applyBorder="1" applyAlignment="1">
      <alignment horizontal="left" vertical="center"/>
    </xf>
    <xf numFmtId="20" fontId="14" fillId="5" borderId="38" xfId="0" applyNumberFormat="1" applyFont="1" applyFill="1" applyBorder="1" applyAlignment="1">
      <alignment horizontal="left" vertical="center"/>
    </xf>
    <xf numFmtId="0" fontId="23" fillId="6" borderId="44" xfId="0" applyFont="1" applyFill="1" applyBorder="1" applyAlignment="1">
      <alignment horizontal="left" vertical="center"/>
    </xf>
    <xf numFmtId="178" fontId="23" fillId="6" borderId="44" xfId="0" applyNumberFormat="1" applyFont="1" applyFill="1" applyBorder="1" applyAlignment="1">
      <alignment horizontal="left" vertical="center"/>
    </xf>
    <xf numFmtId="0" fontId="23" fillId="6" borderId="44" xfId="0" applyFont="1" applyFill="1" applyBorder="1" applyAlignment="1">
      <alignment horizontal="center" vertical="center"/>
    </xf>
    <xf numFmtId="0" fontId="23" fillId="6" borderId="44" xfId="0" applyFont="1" applyFill="1" applyBorder="1">
      <alignment vertical="center"/>
    </xf>
    <xf numFmtId="181" fontId="23" fillId="6" borderId="44" xfId="0" applyNumberFormat="1" applyFont="1" applyFill="1" applyBorder="1" applyAlignment="1">
      <alignment horizontal="left" vertical="center"/>
    </xf>
    <xf numFmtId="0" fontId="14" fillId="6" borderId="35" xfId="0" applyFont="1" applyFill="1" applyBorder="1" applyAlignment="1">
      <alignment horizontal="left" vertical="center"/>
    </xf>
    <xf numFmtId="181" fontId="14" fillId="6" borderId="36" xfId="0" applyNumberFormat="1" applyFont="1" applyFill="1" applyBorder="1" applyAlignment="1">
      <alignment horizontal="left" vertical="center"/>
    </xf>
    <xf numFmtId="181" fontId="14" fillId="6" borderId="37" xfId="0" applyNumberFormat="1" applyFont="1" applyFill="1" applyBorder="1" applyAlignment="1">
      <alignment horizontal="left" vertical="center"/>
    </xf>
    <xf numFmtId="181" fontId="14" fillId="6" borderId="38" xfId="0" applyNumberFormat="1" applyFont="1" applyFill="1" applyBorder="1" applyAlignment="1">
      <alignment horizontal="left" vertical="center"/>
    </xf>
    <xf numFmtId="0" fontId="14" fillId="6" borderId="35" xfId="0" applyFont="1" applyFill="1" applyBorder="1" applyAlignment="1">
      <alignment horizontal="center" vertical="center"/>
    </xf>
    <xf numFmtId="0" fontId="37" fillId="6" borderId="25" xfId="0" applyFont="1" applyFill="1" applyBorder="1" applyAlignment="1">
      <alignment horizontal="center" vertical="center" wrapText="1"/>
    </xf>
    <xf numFmtId="0" fontId="37" fillId="6" borderId="26" xfId="0" applyFont="1" applyFill="1" applyBorder="1" applyAlignment="1">
      <alignment horizontal="center" vertical="center" wrapText="1"/>
    </xf>
    <xf numFmtId="0" fontId="35" fillId="6" borderId="44" xfId="0" applyFont="1" applyFill="1" applyBorder="1" applyAlignment="1">
      <alignment horizontal="center" vertical="center"/>
    </xf>
    <xf numFmtId="0" fontId="25" fillId="4" borderId="24" xfId="0" applyFont="1" applyFill="1" applyBorder="1" applyAlignment="1">
      <alignment horizontal="center" vertical="center"/>
    </xf>
    <xf numFmtId="0" fontId="25" fillId="4" borderId="20" xfId="0" applyFont="1" applyFill="1" applyBorder="1" applyAlignment="1">
      <alignment horizontal="center" vertical="center"/>
    </xf>
    <xf numFmtId="0" fontId="25" fillId="4" borderId="23" xfId="0" applyFont="1" applyFill="1" applyBorder="1" applyAlignment="1">
      <alignment horizontal="center" vertical="center"/>
    </xf>
    <xf numFmtId="0" fontId="25" fillId="4" borderId="43" xfId="0" applyFont="1" applyFill="1" applyBorder="1" applyAlignment="1">
      <alignment horizontal="center" vertical="center"/>
    </xf>
    <xf numFmtId="0" fontId="25" fillId="4" borderId="24" xfId="0" applyFont="1" applyFill="1" applyBorder="1" applyAlignment="1">
      <alignment horizontal="center" vertical="center" wrapText="1"/>
    </xf>
    <xf numFmtId="0" fontId="25" fillId="4" borderId="41" xfId="0" applyFont="1" applyFill="1" applyBorder="1" applyAlignment="1">
      <alignment horizontal="center" vertical="center" wrapText="1"/>
    </xf>
    <xf numFmtId="0" fontId="25" fillId="4" borderId="20" xfId="0" applyFont="1" applyFill="1" applyBorder="1" applyAlignment="1">
      <alignment horizontal="center" vertical="center" wrapText="1"/>
    </xf>
    <xf numFmtId="0" fontId="25" fillId="4" borderId="23"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25" fillId="4" borderId="43" xfId="0" applyFont="1" applyFill="1" applyBorder="1" applyAlignment="1">
      <alignment horizontal="center" vertical="center" wrapText="1"/>
    </xf>
    <xf numFmtId="0" fontId="25" fillId="4" borderId="41" xfId="0" applyFont="1" applyFill="1" applyBorder="1" applyAlignment="1">
      <alignment horizontal="center" vertical="center"/>
    </xf>
    <xf numFmtId="0" fontId="25" fillId="4" borderId="42" xfId="0" applyFont="1" applyFill="1" applyBorder="1" applyAlignment="1">
      <alignment horizontal="center" vertical="center"/>
    </xf>
    <xf numFmtId="178" fontId="23" fillId="5" borderId="22" xfId="0" applyNumberFormat="1" applyFont="1" applyFill="1" applyBorder="1" applyAlignment="1">
      <alignment horizontal="left" vertical="center"/>
    </xf>
    <xf numFmtId="178" fontId="23" fillId="5" borderId="21" xfId="0" applyNumberFormat="1" applyFont="1" applyFill="1" applyBorder="1" applyAlignment="1">
      <alignment horizontal="left" vertical="center"/>
    </xf>
    <xf numFmtId="0" fontId="23" fillId="5" borderId="22" xfId="0" applyFont="1" applyFill="1" applyBorder="1" applyAlignment="1">
      <alignment horizontal="left" vertical="center"/>
    </xf>
    <xf numFmtId="0" fontId="23" fillId="5" borderId="47" xfId="0" applyFont="1" applyFill="1" applyBorder="1" applyAlignment="1">
      <alignment horizontal="left" vertical="center"/>
    </xf>
    <xf numFmtId="0" fontId="23" fillId="5" borderId="21" xfId="0" applyFont="1" applyFill="1" applyBorder="1" applyAlignment="1">
      <alignment horizontal="left" vertical="center"/>
    </xf>
    <xf numFmtId="20" fontId="23" fillId="5" borderId="22" xfId="0" applyNumberFormat="1" applyFont="1" applyFill="1" applyBorder="1" applyAlignment="1">
      <alignment horizontal="left" vertical="center"/>
    </xf>
    <xf numFmtId="20" fontId="23" fillId="5" borderId="47" xfId="0" applyNumberFormat="1" applyFont="1" applyFill="1" applyBorder="1" applyAlignment="1">
      <alignment horizontal="left" vertical="center"/>
    </xf>
    <xf numFmtId="20" fontId="23" fillId="5" borderId="21" xfId="0" applyNumberFormat="1" applyFont="1" applyFill="1" applyBorder="1" applyAlignment="1">
      <alignment horizontal="left" vertical="center"/>
    </xf>
    <xf numFmtId="181" fontId="23" fillId="6" borderId="22" xfId="0" applyNumberFormat="1" applyFont="1" applyFill="1" applyBorder="1" applyAlignment="1">
      <alignment horizontal="left" vertical="center"/>
    </xf>
    <xf numFmtId="181" fontId="23" fillId="6" borderId="47" xfId="0" applyNumberFormat="1" applyFont="1" applyFill="1" applyBorder="1" applyAlignment="1">
      <alignment horizontal="left" vertical="center"/>
    </xf>
    <xf numFmtId="181" fontId="23" fillId="6" borderId="21" xfId="0" applyNumberFormat="1" applyFont="1" applyFill="1" applyBorder="1" applyAlignment="1">
      <alignment horizontal="left" vertical="center"/>
    </xf>
    <xf numFmtId="178" fontId="23" fillId="6" borderId="22" xfId="0" applyNumberFormat="1" applyFont="1" applyFill="1" applyBorder="1" applyAlignment="1">
      <alignment horizontal="left" vertical="center"/>
    </xf>
    <xf numFmtId="178" fontId="23" fillId="6" borderId="21" xfId="0" applyNumberFormat="1" applyFont="1" applyFill="1" applyBorder="1" applyAlignment="1">
      <alignment horizontal="left" vertical="center"/>
    </xf>
    <xf numFmtId="0" fontId="14" fillId="6" borderId="6" xfId="0" applyFont="1" applyFill="1" applyBorder="1" applyAlignment="1">
      <alignment horizontal="center" vertical="center"/>
    </xf>
    <xf numFmtId="0" fontId="14" fillId="6" borderId="7" xfId="0" applyFont="1" applyFill="1" applyBorder="1" applyAlignment="1">
      <alignment horizontal="center" vertical="center"/>
    </xf>
    <xf numFmtId="0" fontId="14" fillId="6" borderId="13" xfId="0" applyFont="1" applyFill="1" applyBorder="1" applyAlignment="1">
      <alignment horizontal="center" vertical="center"/>
    </xf>
    <xf numFmtId="0" fontId="32" fillId="7" borderId="48" xfId="0" applyFont="1" applyFill="1" applyBorder="1">
      <alignment vertical="center"/>
    </xf>
    <xf numFmtId="0" fontId="32" fillId="7" borderId="49" xfId="0" applyFont="1" applyFill="1" applyBorder="1">
      <alignment vertical="center"/>
    </xf>
    <xf numFmtId="0" fontId="32" fillId="7" borderId="50" xfId="0" applyFont="1" applyFill="1" applyBorder="1">
      <alignment vertical="center"/>
    </xf>
    <xf numFmtId="0" fontId="32" fillId="7" borderId="62" xfId="0" applyFont="1" applyFill="1" applyBorder="1">
      <alignment vertical="center"/>
    </xf>
    <xf numFmtId="0" fontId="32" fillId="7" borderId="0" xfId="0" applyFont="1" applyFill="1">
      <alignment vertical="center"/>
    </xf>
    <xf numFmtId="0" fontId="32" fillId="7" borderId="63" xfId="0" applyFont="1" applyFill="1" applyBorder="1">
      <alignment vertical="center"/>
    </xf>
    <xf numFmtId="0" fontId="32" fillId="7" borderId="51" xfId="0" applyFont="1" applyFill="1" applyBorder="1">
      <alignment vertical="center"/>
    </xf>
    <xf numFmtId="0" fontId="32" fillId="7" borderId="52" xfId="0" applyFont="1" applyFill="1" applyBorder="1">
      <alignment vertical="center"/>
    </xf>
    <xf numFmtId="0" fontId="32" fillId="7" borderId="53" xfId="0" applyFont="1" applyFill="1" applyBorder="1">
      <alignment vertical="center"/>
    </xf>
    <xf numFmtId="181" fontId="14" fillId="0" borderId="36" xfId="0" applyNumberFormat="1" applyFont="1" applyBorder="1" applyAlignment="1">
      <alignment horizontal="center" vertical="center"/>
    </xf>
    <xf numFmtId="181" fontId="14" fillId="0" borderId="37" xfId="0" applyNumberFormat="1" applyFont="1" applyBorder="1" applyAlignment="1">
      <alignment horizontal="center" vertical="center"/>
    </xf>
    <xf numFmtId="181" fontId="14" fillId="0" borderId="38" xfId="0" applyNumberFormat="1" applyFont="1" applyBorder="1" applyAlignment="1">
      <alignment horizontal="center" vertical="center"/>
    </xf>
    <xf numFmtId="0" fontId="14" fillId="5" borderId="36" xfId="0" applyFont="1" applyFill="1" applyBorder="1">
      <alignment vertical="center"/>
    </xf>
    <xf numFmtId="0" fontId="14" fillId="5" borderId="37" xfId="0" applyFont="1" applyFill="1" applyBorder="1">
      <alignment vertical="center"/>
    </xf>
    <xf numFmtId="0" fontId="14" fillId="5" borderId="38" xfId="0" applyFont="1" applyFill="1" applyBorder="1">
      <alignment vertical="center"/>
    </xf>
    <xf numFmtId="177" fontId="14" fillId="0" borderId="54" xfId="0" applyNumberFormat="1" applyFont="1" applyBorder="1">
      <alignment vertical="center"/>
    </xf>
    <xf numFmtId="177" fontId="14" fillId="0" borderId="56" xfId="0" applyNumberFormat="1" applyFont="1" applyBorder="1">
      <alignment vertical="center"/>
    </xf>
    <xf numFmtId="177" fontId="14" fillId="0" borderId="55" xfId="0" applyNumberFormat="1" applyFont="1" applyBorder="1">
      <alignment vertical="center"/>
    </xf>
    <xf numFmtId="0" fontId="11" fillId="16" borderId="67" xfId="0" applyFont="1" applyFill="1" applyBorder="1" applyAlignment="1">
      <alignment vertical="top"/>
    </xf>
    <xf numFmtId="49" fontId="10" fillId="16" borderId="44" xfId="0" applyNumberFormat="1" applyFont="1" applyFill="1" applyBorder="1" applyAlignment="1">
      <alignment horizontal="center" vertical="top"/>
    </xf>
    <xf numFmtId="49" fontId="10" fillId="16" borderId="44" xfId="8" applyNumberFormat="1" applyFont="1" applyFill="1" applyBorder="1" applyAlignment="1">
      <alignment horizontal="center" vertical="top"/>
    </xf>
    <xf numFmtId="49" fontId="11" fillId="16" borderId="8" xfId="0" applyNumberFormat="1" applyFont="1" applyFill="1" applyBorder="1" applyAlignment="1">
      <alignment horizontal="center" vertical="top"/>
    </xf>
    <xf numFmtId="49" fontId="11" fillId="16" borderId="10" xfId="0" applyNumberFormat="1" applyFont="1" applyFill="1" applyBorder="1" applyAlignment="1">
      <alignment vertical="top" shrinkToFit="1"/>
    </xf>
    <xf numFmtId="49" fontId="11" fillId="16" borderId="8" xfId="0" applyNumberFormat="1" applyFont="1" applyFill="1" applyBorder="1" applyAlignment="1">
      <alignment vertical="top" shrinkToFit="1"/>
    </xf>
    <xf numFmtId="49" fontId="11" fillId="16" borderId="9" xfId="0" applyNumberFormat="1" applyFont="1" applyFill="1" applyBorder="1" applyAlignment="1">
      <alignment horizontal="left" vertical="top" indent="1" shrinkToFit="1"/>
    </xf>
    <xf numFmtId="0" fontId="11" fillId="16" borderId="70" xfId="0" applyFont="1" applyFill="1" applyBorder="1" applyAlignment="1">
      <alignment vertical="top"/>
    </xf>
  </cellXfs>
  <cellStyles count="13">
    <cellStyle name="ハイパーリンク" xfId="12" builtinId="8"/>
    <cellStyle name="標準" xfId="0" builtinId="0"/>
    <cellStyle name="標準 11" xfId="10" xr:uid="{D4054C67-0E06-422E-B1BB-4FC56FF5D073}"/>
    <cellStyle name="標準 2" xfId="1" xr:uid="{00000000-0005-0000-0000-000001000000}"/>
    <cellStyle name="標準 2 2" xfId="9" xr:uid="{9706F735-A9AE-40FF-8292-99341F3A8FB3}"/>
    <cellStyle name="標準 2 3" xfId="6" xr:uid="{00000000-0005-0000-0000-000002000000}"/>
    <cellStyle name="標準 3" xfId="2" xr:uid="{00000000-0005-0000-0000-000003000000}"/>
    <cellStyle name="標準 3 2" xfId="5" xr:uid="{00000000-0005-0000-0000-000004000000}"/>
    <cellStyle name="標準 4" xfId="3" xr:uid="{00000000-0005-0000-0000-000005000000}"/>
    <cellStyle name="標準 5" xfId="4" xr:uid="{00000000-0005-0000-0000-000006000000}"/>
    <cellStyle name="標準 6" xfId="7" xr:uid="{71D36D32-1D97-48BA-80BA-9512F57C3F2F}"/>
    <cellStyle name="標準 6 2" xfId="8" xr:uid="{97697D0E-D432-4EA1-92FE-697BA5E507EC}"/>
    <cellStyle name="標準_開発計画書（ＨＴシステム）詳細１２１０２６" xfId="11" xr:uid="{88872C00-1EEB-4F90-9419-FA4F863B00D3}"/>
  </cellStyles>
  <dxfs count="7">
    <dxf>
      <font>
        <b val="0"/>
        <i val="0"/>
        <strike val="0"/>
        <condense val="0"/>
        <extend val="0"/>
        <outline val="0"/>
        <shadow val="0"/>
        <u val="none"/>
        <vertAlign val="baseline"/>
        <sz val="10"/>
        <color auto="1"/>
        <name val="BIZ UDゴシック"/>
        <family val="3"/>
        <charset val="128"/>
        <scheme val="none"/>
      </font>
      <alignment horizontal="general"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BIZ UDゴシック"/>
        <family val="3"/>
        <charset val="128"/>
        <scheme val="none"/>
      </font>
      <alignment horizontal="general" vertical="center"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BIZ UDゴシック"/>
        <family val="3"/>
        <charset val="128"/>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BIZ UDPゴシック"/>
        <family val="3"/>
        <charset val="128"/>
        <scheme val="none"/>
      </font>
      <numFmt numFmtId="0" formatCode="General"/>
      <alignment horizontal="left" vertical="center" textRotation="0" wrapText="1" indent="1"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BIZ UDゴシック"/>
        <family val="3"/>
        <charset val="128"/>
        <scheme val="none"/>
      </font>
      <alignment horizontal="center" vertical="center" textRotation="0" wrapText="1" indent="0" justifyLastLine="0" shrinkToFit="0" readingOrder="0"/>
      <border diagonalUp="0" diagonalDown="0" outline="0">
        <left/>
        <right style="thin">
          <color auto="1"/>
        </right>
        <top style="thin">
          <color auto="1"/>
        </top>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auto="1"/>
        <name val="BIZ UDゴシック"/>
        <family val="3"/>
        <charset val="128"/>
        <scheme val="none"/>
      </font>
      <numFmt numFmtId="30" formatCode="@"/>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24B64"/>
      <color rgb="FF19324B"/>
      <color rgb="FF254B71"/>
      <color rgb="FF2C5884"/>
      <color rgb="FFEFE5F7"/>
      <color rgb="FF223616"/>
      <color rgb="FFCC99FF"/>
      <color rgb="FFFFD1FF"/>
      <color rgb="FF99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2" name="Text Box 13">
          <a:extLst>
            <a:ext uri="{FF2B5EF4-FFF2-40B4-BE49-F238E27FC236}">
              <a16:creationId xmlns:a16="http://schemas.microsoft.com/office/drawing/2014/main" id="{5FBEA431-E4CF-4F48-AFF0-43AF922E07A8}"/>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3" name="Line 14">
          <a:extLst>
            <a:ext uri="{FF2B5EF4-FFF2-40B4-BE49-F238E27FC236}">
              <a16:creationId xmlns:a16="http://schemas.microsoft.com/office/drawing/2014/main" id="{6DD99B5A-7077-4C5A-BA1A-9C1FDE2F9EB7}"/>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4" name="Rectangle 19">
          <a:extLst>
            <a:ext uri="{FF2B5EF4-FFF2-40B4-BE49-F238E27FC236}">
              <a16:creationId xmlns:a16="http://schemas.microsoft.com/office/drawing/2014/main" id="{955A0C0D-C42D-4CEE-948F-36D008A486EC}"/>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6</xdr:col>
      <xdr:colOff>0</xdr:colOff>
      <xdr:row>9</xdr:row>
      <xdr:rowOff>0</xdr:rowOff>
    </xdr:from>
    <xdr:to>
      <xdr:col>24</xdr:col>
      <xdr:colOff>0</xdr:colOff>
      <xdr:row>22</xdr:row>
      <xdr:rowOff>0</xdr:rowOff>
    </xdr:to>
    <xdr:sp macro="" textlink="">
      <xdr:nvSpPr>
        <xdr:cNvPr id="5" name="Rectangle 29">
          <a:extLst>
            <a:ext uri="{FF2B5EF4-FFF2-40B4-BE49-F238E27FC236}">
              <a16:creationId xmlns:a16="http://schemas.microsoft.com/office/drawing/2014/main" id="{B8D78882-70DE-4BD9-A3C4-8C70BBDC34D8}"/>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6" name="AutoShape 34">
          <a:extLst>
            <a:ext uri="{FF2B5EF4-FFF2-40B4-BE49-F238E27FC236}">
              <a16:creationId xmlns:a16="http://schemas.microsoft.com/office/drawing/2014/main" id="{FA769BA0-40C7-4FF3-B2E0-F6386456437D}"/>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editAs="oneCell">
    <xdr:from>
      <xdr:col>10</xdr:col>
      <xdr:colOff>66675</xdr:colOff>
      <xdr:row>31</xdr:row>
      <xdr:rowOff>19050</xdr:rowOff>
    </xdr:from>
    <xdr:to>
      <xdr:col>18</xdr:col>
      <xdr:colOff>26822</xdr:colOff>
      <xdr:row>35</xdr:row>
      <xdr:rowOff>47624</xdr:rowOff>
    </xdr:to>
    <xdr:pic>
      <xdr:nvPicPr>
        <xdr:cNvPr id="8" name="図 7">
          <a:extLst>
            <a:ext uri="{FF2B5EF4-FFF2-40B4-BE49-F238E27FC236}">
              <a16:creationId xmlns:a16="http://schemas.microsoft.com/office/drawing/2014/main" id="{A61A213F-748C-4785-BCAE-DF841B9B3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53340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135756</xdr:colOff>
      <xdr:row>19</xdr:row>
      <xdr:rowOff>45317</xdr:rowOff>
    </xdr:from>
    <xdr:to>
      <xdr:col>3</xdr:col>
      <xdr:colOff>294880</xdr:colOff>
      <xdr:row>19</xdr:row>
      <xdr:rowOff>195732</xdr:rowOff>
    </xdr:to>
    <xdr:sp macro="" textlink="">
      <xdr:nvSpPr>
        <xdr:cNvPr id="2" name="正方形/長方形 1">
          <a:extLst>
            <a:ext uri="{FF2B5EF4-FFF2-40B4-BE49-F238E27FC236}">
              <a16:creationId xmlns:a16="http://schemas.microsoft.com/office/drawing/2014/main" id="{4631A244-5C65-4D6D-9704-F29DB223B9D7}"/>
            </a:ext>
          </a:extLst>
        </xdr:cNvPr>
        <xdr:cNvSpPr/>
      </xdr:nvSpPr>
      <xdr:spPr>
        <a:xfrm>
          <a:off x="1421631" y="4503017"/>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135756</xdr:colOff>
      <xdr:row>20</xdr:row>
      <xdr:rowOff>45317</xdr:rowOff>
    </xdr:from>
    <xdr:to>
      <xdr:col>3</xdr:col>
      <xdr:colOff>294880</xdr:colOff>
      <xdr:row>20</xdr:row>
      <xdr:rowOff>195732</xdr:rowOff>
    </xdr:to>
    <xdr:sp macro="" textlink="">
      <xdr:nvSpPr>
        <xdr:cNvPr id="3" name="正方形/長方形 2">
          <a:extLst>
            <a:ext uri="{FF2B5EF4-FFF2-40B4-BE49-F238E27FC236}">
              <a16:creationId xmlns:a16="http://schemas.microsoft.com/office/drawing/2014/main" id="{19165AA3-1A7B-42A1-865F-35AE4E1DA154}"/>
            </a:ext>
          </a:extLst>
        </xdr:cNvPr>
        <xdr:cNvSpPr/>
      </xdr:nvSpPr>
      <xdr:spPr>
        <a:xfrm>
          <a:off x="1421631" y="4741142"/>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131818</xdr:colOff>
      <xdr:row>18</xdr:row>
      <xdr:rowOff>10033</xdr:rowOff>
    </xdr:from>
    <xdr:to>
      <xdr:col>3</xdr:col>
      <xdr:colOff>290942</xdr:colOff>
      <xdr:row>18</xdr:row>
      <xdr:rowOff>169973</xdr:rowOff>
    </xdr:to>
    <xdr:sp macro="" textlink="">
      <xdr:nvSpPr>
        <xdr:cNvPr id="4" name="正方形/長方形 3">
          <a:extLst>
            <a:ext uri="{FF2B5EF4-FFF2-40B4-BE49-F238E27FC236}">
              <a16:creationId xmlns:a16="http://schemas.microsoft.com/office/drawing/2014/main" id="{26ABF3B5-1EE7-4568-82BA-36ED1030ECEC}"/>
            </a:ext>
          </a:extLst>
        </xdr:cNvPr>
        <xdr:cNvSpPr/>
      </xdr:nvSpPr>
      <xdr:spPr>
        <a:xfrm>
          <a:off x="1417693" y="4229608"/>
          <a:ext cx="159124" cy="159940"/>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147804</xdr:colOff>
      <xdr:row>2</xdr:row>
      <xdr:rowOff>75726</xdr:rowOff>
    </xdr:from>
    <xdr:to>
      <xdr:col>4</xdr:col>
      <xdr:colOff>103605</xdr:colOff>
      <xdr:row>3</xdr:row>
      <xdr:rowOff>183819</xdr:rowOff>
    </xdr:to>
    <xdr:grpSp>
      <xdr:nvGrpSpPr>
        <xdr:cNvPr id="5" name="グループ化 4">
          <a:extLst>
            <a:ext uri="{FF2B5EF4-FFF2-40B4-BE49-F238E27FC236}">
              <a16:creationId xmlns:a16="http://schemas.microsoft.com/office/drawing/2014/main" id="{8D337FEE-4555-47C4-B26F-13DD9F0452D4}"/>
            </a:ext>
          </a:extLst>
        </xdr:cNvPr>
        <xdr:cNvGrpSpPr/>
      </xdr:nvGrpSpPr>
      <xdr:grpSpPr>
        <a:xfrm>
          <a:off x="1454090" y="565583"/>
          <a:ext cx="391229" cy="353022"/>
          <a:chOff x="57807" y="369793"/>
          <a:chExt cx="818567" cy="684487"/>
        </a:xfrm>
      </xdr:grpSpPr>
      <xdr:sp macro="" textlink="">
        <xdr:nvSpPr>
          <xdr:cNvPr id="6" name="二等辺三角形 5">
            <a:extLst>
              <a:ext uri="{FF2B5EF4-FFF2-40B4-BE49-F238E27FC236}">
                <a16:creationId xmlns:a16="http://schemas.microsoft.com/office/drawing/2014/main" id="{3494B509-1AAD-C052-63A4-0A889DC0E835}"/>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二等辺三角形 6">
            <a:extLst>
              <a:ext uri="{FF2B5EF4-FFF2-40B4-BE49-F238E27FC236}">
                <a16:creationId xmlns:a16="http://schemas.microsoft.com/office/drawing/2014/main" id="{EBC33135-1A74-0BE5-1DAD-B0AC7DDA6985}"/>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二等辺三角形 7">
            <a:extLst>
              <a:ext uri="{FF2B5EF4-FFF2-40B4-BE49-F238E27FC236}">
                <a16:creationId xmlns:a16="http://schemas.microsoft.com/office/drawing/2014/main" id="{A03DEB1C-D5D4-9B26-375E-2BE5B15B5F3C}"/>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xdr:col>
      <xdr:colOff>369794</xdr:colOff>
      <xdr:row>1</xdr:row>
      <xdr:rowOff>185092</xdr:rowOff>
    </xdr:from>
    <xdr:ext cx="582706" cy="582319"/>
    <xdr:pic>
      <xdr:nvPicPr>
        <xdr:cNvPr id="9" name="図 8">
          <a:extLst>
            <a:ext uri="{FF2B5EF4-FFF2-40B4-BE49-F238E27FC236}">
              <a16:creationId xmlns:a16="http://schemas.microsoft.com/office/drawing/2014/main" id="{9A2DFEBA-C916-4B20-92CD-D7A1B08D0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419" y="423217"/>
          <a:ext cx="582706" cy="582319"/>
        </a:xfrm>
        <a:prstGeom prst="rect">
          <a:avLst/>
        </a:prstGeom>
      </xdr:spPr>
    </xdr:pic>
    <xdr:clientData/>
  </xdr:oneCellAnchor>
  <xdr:oneCellAnchor>
    <xdr:from>
      <xdr:col>4</xdr:col>
      <xdr:colOff>145676</xdr:colOff>
      <xdr:row>2</xdr:row>
      <xdr:rowOff>56029</xdr:rowOff>
    </xdr:from>
    <xdr:ext cx="1595309" cy="367408"/>
    <xdr:sp macro="" textlink="">
      <xdr:nvSpPr>
        <xdr:cNvPr id="10" name="テキスト ボックス 9">
          <a:extLst>
            <a:ext uri="{FF2B5EF4-FFF2-40B4-BE49-F238E27FC236}">
              <a16:creationId xmlns:a16="http://schemas.microsoft.com/office/drawing/2014/main" id="{AC5B2965-ECD7-42F7-9FB2-C38E6DC9E75D}"/>
            </a:ext>
          </a:extLst>
        </xdr:cNvPr>
        <xdr:cNvSpPr txBox="1"/>
      </xdr:nvSpPr>
      <xdr:spPr>
        <a:xfrm>
          <a:off x="1860176" y="532279"/>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twoCellAnchor>
    <xdr:from>
      <xdr:col>3</xdr:col>
      <xdr:colOff>147804</xdr:colOff>
      <xdr:row>72</xdr:row>
      <xdr:rowOff>75726</xdr:rowOff>
    </xdr:from>
    <xdr:to>
      <xdr:col>4</xdr:col>
      <xdr:colOff>103605</xdr:colOff>
      <xdr:row>73</xdr:row>
      <xdr:rowOff>183819</xdr:rowOff>
    </xdr:to>
    <xdr:grpSp>
      <xdr:nvGrpSpPr>
        <xdr:cNvPr id="11" name="グループ化 10">
          <a:extLst>
            <a:ext uri="{FF2B5EF4-FFF2-40B4-BE49-F238E27FC236}">
              <a16:creationId xmlns:a16="http://schemas.microsoft.com/office/drawing/2014/main" id="{7299DC36-0C20-4A1E-A16E-F7D055B0DC64}"/>
            </a:ext>
          </a:extLst>
        </xdr:cNvPr>
        <xdr:cNvGrpSpPr/>
      </xdr:nvGrpSpPr>
      <xdr:grpSpPr>
        <a:xfrm>
          <a:off x="1454090" y="16785297"/>
          <a:ext cx="391229" cy="353022"/>
          <a:chOff x="57807" y="369793"/>
          <a:chExt cx="818567" cy="684487"/>
        </a:xfrm>
      </xdr:grpSpPr>
      <xdr:sp macro="" textlink="">
        <xdr:nvSpPr>
          <xdr:cNvPr id="12" name="二等辺三角形 11">
            <a:extLst>
              <a:ext uri="{FF2B5EF4-FFF2-40B4-BE49-F238E27FC236}">
                <a16:creationId xmlns:a16="http://schemas.microsoft.com/office/drawing/2014/main" id="{5C84881D-465A-6459-F958-44DFE2ABC855}"/>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二等辺三角形 12">
            <a:extLst>
              <a:ext uri="{FF2B5EF4-FFF2-40B4-BE49-F238E27FC236}">
                <a16:creationId xmlns:a16="http://schemas.microsoft.com/office/drawing/2014/main" id="{6D73416C-8A63-64FF-37DF-07A9466B3165}"/>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二等辺三角形 13">
            <a:extLst>
              <a:ext uri="{FF2B5EF4-FFF2-40B4-BE49-F238E27FC236}">
                <a16:creationId xmlns:a16="http://schemas.microsoft.com/office/drawing/2014/main" id="{8433C77F-F7F9-D8BA-FB7D-098A331A18B7}"/>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xdr:col>
      <xdr:colOff>369794</xdr:colOff>
      <xdr:row>71</xdr:row>
      <xdr:rowOff>185092</xdr:rowOff>
    </xdr:from>
    <xdr:ext cx="582706" cy="582319"/>
    <xdr:pic>
      <xdr:nvPicPr>
        <xdr:cNvPr id="15" name="図 14">
          <a:extLst>
            <a:ext uri="{FF2B5EF4-FFF2-40B4-BE49-F238E27FC236}">
              <a16:creationId xmlns:a16="http://schemas.microsoft.com/office/drawing/2014/main" id="{338E135B-606D-4E0B-AFDF-74B7367BD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419" y="16387117"/>
          <a:ext cx="582706" cy="582319"/>
        </a:xfrm>
        <a:prstGeom prst="rect">
          <a:avLst/>
        </a:prstGeom>
      </xdr:spPr>
    </xdr:pic>
    <xdr:clientData/>
  </xdr:oneCellAnchor>
  <xdr:oneCellAnchor>
    <xdr:from>
      <xdr:col>4</xdr:col>
      <xdr:colOff>224119</xdr:colOff>
      <xdr:row>72</xdr:row>
      <xdr:rowOff>67235</xdr:rowOff>
    </xdr:from>
    <xdr:ext cx="1595309" cy="367408"/>
    <xdr:sp macro="" textlink="">
      <xdr:nvSpPr>
        <xdr:cNvPr id="16" name="テキスト ボックス 15">
          <a:extLst>
            <a:ext uri="{FF2B5EF4-FFF2-40B4-BE49-F238E27FC236}">
              <a16:creationId xmlns:a16="http://schemas.microsoft.com/office/drawing/2014/main" id="{71613E4B-8C31-44D3-9963-CB88833E9CF0}"/>
            </a:ext>
          </a:extLst>
        </xdr:cNvPr>
        <xdr:cNvSpPr txBox="1"/>
      </xdr:nvSpPr>
      <xdr:spPr>
        <a:xfrm>
          <a:off x="1938619" y="16507385"/>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twoCellAnchor>
    <xdr:from>
      <xdr:col>3</xdr:col>
      <xdr:colOff>135756</xdr:colOff>
      <xdr:row>55</xdr:row>
      <xdr:rowOff>45317</xdr:rowOff>
    </xdr:from>
    <xdr:to>
      <xdr:col>3</xdr:col>
      <xdr:colOff>294880</xdr:colOff>
      <xdr:row>55</xdr:row>
      <xdr:rowOff>195732</xdr:rowOff>
    </xdr:to>
    <xdr:sp macro="" textlink="">
      <xdr:nvSpPr>
        <xdr:cNvPr id="17" name="正方形/長方形 16">
          <a:extLst>
            <a:ext uri="{FF2B5EF4-FFF2-40B4-BE49-F238E27FC236}">
              <a16:creationId xmlns:a16="http://schemas.microsoft.com/office/drawing/2014/main" id="{7F70763E-05CB-41E7-A237-3BA1485D5C2E}"/>
            </a:ext>
          </a:extLst>
        </xdr:cNvPr>
        <xdr:cNvSpPr/>
      </xdr:nvSpPr>
      <xdr:spPr>
        <a:xfrm>
          <a:off x="1421631" y="12713567"/>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135756</xdr:colOff>
      <xdr:row>56</xdr:row>
      <xdr:rowOff>45317</xdr:rowOff>
    </xdr:from>
    <xdr:to>
      <xdr:col>3</xdr:col>
      <xdr:colOff>294880</xdr:colOff>
      <xdr:row>56</xdr:row>
      <xdr:rowOff>195732</xdr:rowOff>
    </xdr:to>
    <xdr:sp macro="" textlink="">
      <xdr:nvSpPr>
        <xdr:cNvPr id="18" name="正方形/長方形 17">
          <a:extLst>
            <a:ext uri="{FF2B5EF4-FFF2-40B4-BE49-F238E27FC236}">
              <a16:creationId xmlns:a16="http://schemas.microsoft.com/office/drawing/2014/main" id="{9DD574F8-E49F-403A-AE56-FA4D1D7440A5}"/>
            </a:ext>
          </a:extLst>
        </xdr:cNvPr>
        <xdr:cNvSpPr/>
      </xdr:nvSpPr>
      <xdr:spPr>
        <a:xfrm>
          <a:off x="1421631" y="12951692"/>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131818</xdr:colOff>
      <xdr:row>54</xdr:row>
      <xdr:rowOff>10033</xdr:rowOff>
    </xdr:from>
    <xdr:to>
      <xdr:col>3</xdr:col>
      <xdr:colOff>290942</xdr:colOff>
      <xdr:row>54</xdr:row>
      <xdr:rowOff>169973</xdr:rowOff>
    </xdr:to>
    <xdr:sp macro="" textlink="">
      <xdr:nvSpPr>
        <xdr:cNvPr id="19" name="正方形/長方形 18">
          <a:extLst>
            <a:ext uri="{FF2B5EF4-FFF2-40B4-BE49-F238E27FC236}">
              <a16:creationId xmlns:a16="http://schemas.microsoft.com/office/drawing/2014/main" id="{D4F42C4C-C921-4DDA-B45A-A6484C2ED517}"/>
            </a:ext>
          </a:extLst>
        </xdr:cNvPr>
        <xdr:cNvSpPr/>
      </xdr:nvSpPr>
      <xdr:spPr>
        <a:xfrm>
          <a:off x="1417693" y="12440158"/>
          <a:ext cx="159124" cy="159940"/>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147804</xdr:colOff>
      <xdr:row>37</xdr:row>
      <xdr:rowOff>75726</xdr:rowOff>
    </xdr:from>
    <xdr:to>
      <xdr:col>4</xdr:col>
      <xdr:colOff>103605</xdr:colOff>
      <xdr:row>38</xdr:row>
      <xdr:rowOff>183819</xdr:rowOff>
    </xdr:to>
    <xdr:grpSp>
      <xdr:nvGrpSpPr>
        <xdr:cNvPr id="20" name="グループ化 19">
          <a:extLst>
            <a:ext uri="{FF2B5EF4-FFF2-40B4-BE49-F238E27FC236}">
              <a16:creationId xmlns:a16="http://schemas.microsoft.com/office/drawing/2014/main" id="{7E8397D8-E6F3-4949-ADA2-A5966650AF34}"/>
            </a:ext>
          </a:extLst>
        </xdr:cNvPr>
        <xdr:cNvGrpSpPr/>
      </xdr:nvGrpSpPr>
      <xdr:grpSpPr>
        <a:xfrm>
          <a:off x="1454090" y="8661833"/>
          <a:ext cx="391229" cy="353022"/>
          <a:chOff x="57807" y="369793"/>
          <a:chExt cx="818567" cy="684487"/>
        </a:xfrm>
      </xdr:grpSpPr>
      <xdr:sp macro="" textlink="">
        <xdr:nvSpPr>
          <xdr:cNvPr id="21" name="二等辺三角形 20">
            <a:extLst>
              <a:ext uri="{FF2B5EF4-FFF2-40B4-BE49-F238E27FC236}">
                <a16:creationId xmlns:a16="http://schemas.microsoft.com/office/drawing/2014/main" id="{473DB80C-7C9D-3B57-7731-264786F57F94}"/>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二等辺三角形 21">
            <a:extLst>
              <a:ext uri="{FF2B5EF4-FFF2-40B4-BE49-F238E27FC236}">
                <a16:creationId xmlns:a16="http://schemas.microsoft.com/office/drawing/2014/main" id="{5A2915F1-4772-4216-2F30-E52FA7A3E5F7}"/>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 name="二等辺三角形 22">
            <a:extLst>
              <a:ext uri="{FF2B5EF4-FFF2-40B4-BE49-F238E27FC236}">
                <a16:creationId xmlns:a16="http://schemas.microsoft.com/office/drawing/2014/main" id="{C55C9E12-A60E-DD58-9970-E5CA6901F89D}"/>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xdr:col>
      <xdr:colOff>369794</xdr:colOff>
      <xdr:row>36</xdr:row>
      <xdr:rowOff>185092</xdr:rowOff>
    </xdr:from>
    <xdr:ext cx="582706" cy="582319"/>
    <xdr:pic>
      <xdr:nvPicPr>
        <xdr:cNvPr id="24" name="図 23">
          <a:extLst>
            <a:ext uri="{FF2B5EF4-FFF2-40B4-BE49-F238E27FC236}">
              <a16:creationId xmlns:a16="http://schemas.microsoft.com/office/drawing/2014/main" id="{6D211922-4E4F-4CAF-90B2-4351DE867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419" y="8386117"/>
          <a:ext cx="582706" cy="582319"/>
        </a:xfrm>
        <a:prstGeom prst="rect">
          <a:avLst/>
        </a:prstGeom>
      </xdr:spPr>
    </xdr:pic>
    <xdr:clientData/>
  </xdr:oneCellAnchor>
  <xdr:oneCellAnchor>
    <xdr:from>
      <xdr:col>4</xdr:col>
      <xdr:colOff>145676</xdr:colOff>
      <xdr:row>37</xdr:row>
      <xdr:rowOff>56029</xdr:rowOff>
    </xdr:from>
    <xdr:ext cx="1595309" cy="367408"/>
    <xdr:sp macro="" textlink="">
      <xdr:nvSpPr>
        <xdr:cNvPr id="25" name="テキスト ボックス 24">
          <a:extLst>
            <a:ext uri="{FF2B5EF4-FFF2-40B4-BE49-F238E27FC236}">
              <a16:creationId xmlns:a16="http://schemas.microsoft.com/office/drawing/2014/main" id="{89629093-AF8B-4216-B754-846762DB06A4}"/>
            </a:ext>
          </a:extLst>
        </xdr:cNvPr>
        <xdr:cNvSpPr txBox="1"/>
      </xdr:nvSpPr>
      <xdr:spPr>
        <a:xfrm>
          <a:off x="1860176" y="8495179"/>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twoCellAnchor editAs="oneCell">
    <xdr:from>
      <xdr:col>8</xdr:col>
      <xdr:colOff>107675</xdr:colOff>
      <xdr:row>11</xdr:row>
      <xdr:rowOff>16565</xdr:rowOff>
    </xdr:from>
    <xdr:to>
      <xdr:col>8</xdr:col>
      <xdr:colOff>311272</xdr:colOff>
      <xdr:row>11</xdr:row>
      <xdr:rowOff>221777</xdr:rowOff>
    </xdr:to>
    <xdr:pic>
      <xdr:nvPicPr>
        <xdr:cNvPr id="26" name="図 25">
          <a:extLst>
            <a:ext uri="{FF2B5EF4-FFF2-40B4-BE49-F238E27FC236}">
              <a16:creationId xmlns:a16="http://schemas.microsoft.com/office/drawing/2014/main" id="{2FE441BE-A9FF-4239-A98C-72EC06D3CB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36675" y="2540690"/>
          <a:ext cx="203597" cy="205212"/>
        </a:xfrm>
        <a:prstGeom prst="rect">
          <a:avLst/>
        </a:prstGeom>
      </xdr:spPr>
    </xdr:pic>
    <xdr:clientData/>
  </xdr:twoCellAnchor>
  <xdr:oneCellAnchor>
    <xdr:from>
      <xdr:col>13</xdr:col>
      <xdr:colOff>107675</xdr:colOff>
      <xdr:row>11</xdr:row>
      <xdr:rowOff>16565</xdr:rowOff>
    </xdr:from>
    <xdr:ext cx="203597" cy="205212"/>
    <xdr:pic>
      <xdr:nvPicPr>
        <xdr:cNvPr id="27" name="図 26">
          <a:extLst>
            <a:ext uri="{FF2B5EF4-FFF2-40B4-BE49-F238E27FC236}">
              <a16:creationId xmlns:a16="http://schemas.microsoft.com/office/drawing/2014/main" id="{F42486D4-7695-4E3A-8F54-300B3AF904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79800" y="2540690"/>
          <a:ext cx="203597" cy="205212"/>
        </a:xfrm>
        <a:prstGeom prst="rect">
          <a:avLst/>
        </a:prstGeom>
      </xdr:spPr>
    </xdr:pic>
    <xdr:clientData/>
  </xdr:oneCellAnchor>
  <xdr:twoCellAnchor editAs="oneCell">
    <xdr:from>
      <xdr:col>8</xdr:col>
      <xdr:colOff>107675</xdr:colOff>
      <xdr:row>81</xdr:row>
      <xdr:rowOff>16565</xdr:rowOff>
    </xdr:from>
    <xdr:to>
      <xdr:col>8</xdr:col>
      <xdr:colOff>311272</xdr:colOff>
      <xdr:row>81</xdr:row>
      <xdr:rowOff>221777</xdr:rowOff>
    </xdr:to>
    <xdr:pic>
      <xdr:nvPicPr>
        <xdr:cNvPr id="28" name="図 27">
          <a:extLst>
            <a:ext uri="{FF2B5EF4-FFF2-40B4-BE49-F238E27FC236}">
              <a16:creationId xmlns:a16="http://schemas.microsoft.com/office/drawing/2014/main" id="{7F62EDE4-73E1-4B10-BA5C-69F0A080E1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36675" y="18504590"/>
          <a:ext cx="203597" cy="205212"/>
        </a:xfrm>
        <a:prstGeom prst="rect">
          <a:avLst/>
        </a:prstGeom>
      </xdr:spPr>
    </xdr:pic>
    <xdr:clientData/>
  </xdr:twoCellAnchor>
  <xdr:twoCellAnchor editAs="oneCell">
    <xdr:from>
      <xdr:col>13</xdr:col>
      <xdr:colOff>107675</xdr:colOff>
      <xdr:row>81</xdr:row>
      <xdr:rowOff>16565</xdr:rowOff>
    </xdr:from>
    <xdr:to>
      <xdr:col>13</xdr:col>
      <xdr:colOff>311272</xdr:colOff>
      <xdr:row>81</xdr:row>
      <xdr:rowOff>221777</xdr:rowOff>
    </xdr:to>
    <xdr:pic>
      <xdr:nvPicPr>
        <xdr:cNvPr id="29" name="図 28">
          <a:extLst>
            <a:ext uri="{FF2B5EF4-FFF2-40B4-BE49-F238E27FC236}">
              <a16:creationId xmlns:a16="http://schemas.microsoft.com/office/drawing/2014/main" id="{60B36CFA-BD08-42EA-B13F-E071A0BC23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79800" y="18504590"/>
          <a:ext cx="203597" cy="205212"/>
        </a:xfrm>
        <a:prstGeom prst="rect">
          <a:avLst/>
        </a:prstGeom>
      </xdr:spPr>
    </xdr:pic>
    <xdr:clientData/>
  </xdr:twoCellAnchor>
  <xdr:twoCellAnchor>
    <xdr:from>
      <xdr:col>42</xdr:col>
      <xdr:colOff>135756</xdr:colOff>
      <xdr:row>19</xdr:row>
      <xdr:rowOff>45317</xdr:rowOff>
    </xdr:from>
    <xdr:to>
      <xdr:col>42</xdr:col>
      <xdr:colOff>294880</xdr:colOff>
      <xdr:row>19</xdr:row>
      <xdr:rowOff>195732</xdr:rowOff>
    </xdr:to>
    <xdr:sp macro="" textlink="">
      <xdr:nvSpPr>
        <xdr:cNvPr id="30" name="正方形/長方形 29">
          <a:extLst>
            <a:ext uri="{FF2B5EF4-FFF2-40B4-BE49-F238E27FC236}">
              <a16:creationId xmlns:a16="http://schemas.microsoft.com/office/drawing/2014/main" id="{91A42778-62DE-46D4-816E-0FCE20C0E368}"/>
            </a:ext>
          </a:extLst>
        </xdr:cNvPr>
        <xdr:cNvSpPr/>
      </xdr:nvSpPr>
      <xdr:spPr>
        <a:xfrm>
          <a:off x="18138006" y="4503017"/>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135756</xdr:colOff>
      <xdr:row>20</xdr:row>
      <xdr:rowOff>45317</xdr:rowOff>
    </xdr:from>
    <xdr:to>
      <xdr:col>42</xdr:col>
      <xdr:colOff>294880</xdr:colOff>
      <xdr:row>20</xdr:row>
      <xdr:rowOff>195732</xdr:rowOff>
    </xdr:to>
    <xdr:sp macro="" textlink="">
      <xdr:nvSpPr>
        <xdr:cNvPr id="31" name="正方形/長方形 30">
          <a:extLst>
            <a:ext uri="{FF2B5EF4-FFF2-40B4-BE49-F238E27FC236}">
              <a16:creationId xmlns:a16="http://schemas.microsoft.com/office/drawing/2014/main" id="{B44F2527-608D-402D-81E5-DE32750558FF}"/>
            </a:ext>
          </a:extLst>
        </xdr:cNvPr>
        <xdr:cNvSpPr/>
      </xdr:nvSpPr>
      <xdr:spPr>
        <a:xfrm>
          <a:off x="18138006" y="4741142"/>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131818</xdr:colOff>
      <xdr:row>18</xdr:row>
      <xdr:rowOff>10033</xdr:rowOff>
    </xdr:from>
    <xdr:to>
      <xdr:col>42</xdr:col>
      <xdr:colOff>290942</xdr:colOff>
      <xdr:row>18</xdr:row>
      <xdr:rowOff>169973</xdr:rowOff>
    </xdr:to>
    <xdr:sp macro="" textlink="">
      <xdr:nvSpPr>
        <xdr:cNvPr id="32" name="正方形/長方形 31">
          <a:extLst>
            <a:ext uri="{FF2B5EF4-FFF2-40B4-BE49-F238E27FC236}">
              <a16:creationId xmlns:a16="http://schemas.microsoft.com/office/drawing/2014/main" id="{0407C92C-81A4-49B9-B4D1-F69A21F243B6}"/>
            </a:ext>
          </a:extLst>
        </xdr:cNvPr>
        <xdr:cNvSpPr/>
      </xdr:nvSpPr>
      <xdr:spPr>
        <a:xfrm>
          <a:off x="18134068" y="4229608"/>
          <a:ext cx="159124" cy="159940"/>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371475</xdr:colOff>
      <xdr:row>15</xdr:row>
      <xdr:rowOff>208085</xdr:rowOff>
    </xdr:from>
    <xdr:to>
      <xdr:col>52</xdr:col>
      <xdr:colOff>120212</xdr:colOff>
      <xdr:row>16</xdr:row>
      <xdr:rowOff>214655</xdr:rowOff>
    </xdr:to>
    <xdr:sp macro="" textlink="">
      <xdr:nvSpPr>
        <xdr:cNvPr id="33" name="フローチャート: 端子 32">
          <a:extLst>
            <a:ext uri="{FF2B5EF4-FFF2-40B4-BE49-F238E27FC236}">
              <a16:creationId xmlns:a16="http://schemas.microsoft.com/office/drawing/2014/main" id="{E3BE5489-2226-4B4B-86C3-477E9124A2D1}"/>
            </a:ext>
          </a:extLst>
        </xdr:cNvPr>
        <xdr:cNvSpPr/>
      </xdr:nvSpPr>
      <xdr:spPr>
        <a:xfrm>
          <a:off x="21802725" y="3713285"/>
          <a:ext cx="605987" cy="244695"/>
        </a:xfrm>
        <a:prstGeom prst="flowChartTerminator">
          <a:avLst/>
        </a:prstGeom>
        <a:solidFill>
          <a:schemeClr val="bg1">
            <a:lumMod val="8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381344</xdr:colOff>
      <xdr:row>15</xdr:row>
      <xdr:rowOff>208087</xdr:rowOff>
    </xdr:from>
    <xdr:to>
      <xdr:col>51</xdr:col>
      <xdr:colOff>245022</xdr:colOff>
      <xdr:row>16</xdr:row>
      <xdr:rowOff>214655</xdr:rowOff>
    </xdr:to>
    <xdr:sp macro="" textlink="">
      <xdr:nvSpPr>
        <xdr:cNvPr id="34" name="楕円 33">
          <a:extLst>
            <a:ext uri="{FF2B5EF4-FFF2-40B4-BE49-F238E27FC236}">
              <a16:creationId xmlns:a16="http://schemas.microsoft.com/office/drawing/2014/main" id="{FD796604-B2E7-41D8-9E58-C4FD5F1A1132}"/>
            </a:ext>
          </a:extLst>
        </xdr:cNvPr>
        <xdr:cNvSpPr/>
      </xdr:nvSpPr>
      <xdr:spPr>
        <a:xfrm>
          <a:off x="21812594" y="3713287"/>
          <a:ext cx="292303" cy="244693"/>
        </a:xfrm>
        <a:prstGeom prst="ellipse">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42</xdr:col>
      <xdr:colOff>147804</xdr:colOff>
      <xdr:row>2</xdr:row>
      <xdr:rowOff>75726</xdr:rowOff>
    </xdr:from>
    <xdr:to>
      <xdr:col>43</xdr:col>
      <xdr:colOff>103605</xdr:colOff>
      <xdr:row>3</xdr:row>
      <xdr:rowOff>183819</xdr:rowOff>
    </xdr:to>
    <xdr:grpSp>
      <xdr:nvGrpSpPr>
        <xdr:cNvPr id="35" name="グループ化 34">
          <a:extLst>
            <a:ext uri="{FF2B5EF4-FFF2-40B4-BE49-F238E27FC236}">
              <a16:creationId xmlns:a16="http://schemas.microsoft.com/office/drawing/2014/main" id="{4FB754C0-FCAA-42EA-BD4C-5AEA6380F426}"/>
            </a:ext>
          </a:extLst>
        </xdr:cNvPr>
        <xdr:cNvGrpSpPr/>
      </xdr:nvGrpSpPr>
      <xdr:grpSpPr>
        <a:xfrm>
          <a:off x="18435804" y="565583"/>
          <a:ext cx="391230" cy="353022"/>
          <a:chOff x="57807" y="369793"/>
          <a:chExt cx="818567" cy="684487"/>
        </a:xfrm>
      </xdr:grpSpPr>
      <xdr:sp macro="" textlink="">
        <xdr:nvSpPr>
          <xdr:cNvPr id="36" name="二等辺三角形 35">
            <a:extLst>
              <a:ext uri="{FF2B5EF4-FFF2-40B4-BE49-F238E27FC236}">
                <a16:creationId xmlns:a16="http://schemas.microsoft.com/office/drawing/2014/main" id="{E0A9538A-7868-0D8B-9B7C-3836B48636D1}"/>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二等辺三角形 36">
            <a:extLst>
              <a:ext uri="{FF2B5EF4-FFF2-40B4-BE49-F238E27FC236}">
                <a16:creationId xmlns:a16="http://schemas.microsoft.com/office/drawing/2014/main" id="{E2063DA0-E8B5-D837-3AE7-3BFA4D252369}"/>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二等辺三角形 37">
            <a:extLst>
              <a:ext uri="{FF2B5EF4-FFF2-40B4-BE49-F238E27FC236}">
                <a16:creationId xmlns:a16="http://schemas.microsoft.com/office/drawing/2014/main" id="{66264422-55E9-FEE7-98FD-124F7C2F0B53}"/>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40</xdr:col>
      <xdr:colOff>369794</xdr:colOff>
      <xdr:row>1</xdr:row>
      <xdr:rowOff>185092</xdr:rowOff>
    </xdr:from>
    <xdr:ext cx="582706" cy="582319"/>
    <xdr:pic>
      <xdr:nvPicPr>
        <xdr:cNvPr id="39" name="図 38">
          <a:extLst>
            <a:ext uri="{FF2B5EF4-FFF2-40B4-BE49-F238E27FC236}">
              <a16:creationId xmlns:a16="http://schemas.microsoft.com/office/drawing/2014/main" id="{C5745337-0077-496D-90F4-E9BF6CA7AA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14794" y="423217"/>
          <a:ext cx="582706" cy="582319"/>
        </a:xfrm>
        <a:prstGeom prst="rect">
          <a:avLst/>
        </a:prstGeom>
      </xdr:spPr>
    </xdr:pic>
    <xdr:clientData/>
  </xdr:oneCellAnchor>
  <xdr:oneCellAnchor>
    <xdr:from>
      <xdr:col>43</xdr:col>
      <xdr:colOff>145676</xdr:colOff>
      <xdr:row>2</xdr:row>
      <xdr:rowOff>56029</xdr:rowOff>
    </xdr:from>
    <xdr:ext cx="1595309" cy="367408"/>
    <xdr:sp macro="" textlink="">
      <xdr:nvSpPr>
        <xdr:cNvPr id="40" name="テキスト ボックス 39">
          <a:extLst>
            <a:ext uri="{FF2B5EF4-FFF2-40B4-BE49-F238E27FC236}">
              <a16:creationId xmlns:a16="http://schemas.microsoft.com/office/drawing/2014/main" id="{B3911E50-BCD2-4A18-8E57-6A7A43DE595B}"/>
            </a:ext>
          </a:extLst>
        </xdr:cNvPr>
        <xdr:cNvSpPr txBox="1"/>
      </xdr:nvSpPr>
      <xdr:spPr>
        <a:xfrm>
          <a:off x="18576551" y="532279"/>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oneCellAnchor>
    <xdr:from>
      <xdr:col>47</xdr:col>
      <xdr:colOff>107675</xdr:colOff>
      <xdr:row>10</xdr:row>
      <xdr:rowOff>0</xdr:rowOff>
    </xdr:from>
    <xdr:ext cx="203597" cy="205212"/>
    <xdr:pic>
      <xdr:nvPicPr>
        <xdr:cNvPr id="41" name="図 40">
          <a:extLst>
            <a:ext uri="{FF2B5EF4-FFF2-40B4-BE49-F238E27FC236}">
              <a16:creationId xmlns:a16="http://schemas.microsoft.com/office/drawing/2014/main" id="{6BCFA503-F64B-445D-8979-87A584EDE0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2276475"/>
          <a:ext cx="203597" cy="205212"/>
        </a:xfrm>
        <a:prstGeom prst="rect">
          <a:avLst/>
        </a:prstGeom>
      </xdr:spPr>
    </xdr:pic>
    <xdr:clientData/>
  </xdr:oneCellAnchor>
  <xdr:oneCellAnchor>
    <xdr:from>
      <xdr:col>52</xdr:col>
      <xdr:colOff>107675</xdr:colOff>
      <xdr:row>10</xdr:row>
      <xdr:rowOff>0</xdr:rowOff>
    </xdr:from>
    <xdr:ext cx="203597" cy="205212"/>
    <xdr:pic>
      <xdr:nvPicPr>
        <xdr:cNvPr id="42" name="図 41">
          <a:extLst>
            <a:ext uri="{FF2B5EF4-FFF2-40B4-BE49-F238E27FC236}">
              <a16:creationId xmlns:a16="http://schemas.microsoft.com/office/drawing/2014/main" id="{B14B890D-919A-4E86-AB95-C25F1A5482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396175" y="2276475"/>
          <a:ext cx="203597" cy="205212"/>
        </a:xfrm>
        <a:prstGeom prst="rect">
          <a:avLst/>
        </a:prstGeom>
      </xdr:spPr>
    </xdr:pic>
    <xdr:clientData/>
  </xdr:oneCellAnchor>
  <xdr:oneCellAnchor>
    <xdr:from>
      <xdr:col>47</xdr:col>
      <xdr:colOff>107675</xdr:colOff>
      <xdr:row>11</xdr:row>
      <xdr:rowOff>16565</xdr:rowOff>
    </xdr:from>
    <xdr:ext cx="203597" cy="205212"/>
    <xdr:pic>
      <xdr:nvPicPr>
        <xdr:cNvPr id="43" name="図 42">
          <a:extLst>
            <a:ext uri="{FF2B5EF4-FFF2-40B4-BE49-F238E27FC236}">
              <a16:creationId xmlns:a16="http://schemas.microsoft.com/office/drawing/2014/main" id="{724F84B1-5004-4179-9121-7DC33D9812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2540690"/>
          <a:ext cx="203597" cy="205212"/>
        </a:xfrm>
        <a:prstGeom prst="rect">
          <a:avLst/>
        </a:prstGeom>
      </xdr:spPr>
    </xdr:pic>
    <xdr:clientData/>
  </xdr:oneCellAnchor>
  <xdr:oneCellAnchor>
    <xdr:from>
      <xdr:col>47</xdr:col>
      <xdr:colOff>107675</xdr:colOff>
      <xdr:row>12</xdr:row>
      <xdr:rowOff>16565</xdr:rowOff>
    </xdr:from>
    <xdr:ext cx="203597" cy="205212"/>
    <xdr:pic>
      <xdr:nvPicPr>
        <xdr:cNvPr id="44" name="図 43">
          <a:extLst>
            <a:ext uri="{FF2B5EF4-FFF2-40B4-BE49-F238E27FC236}">
              <a16:creationId xmlns:a16="http://schemas.microsoft.com/office/drawing/2014/main" id="{B4F32810-073A-42AC-B28E-4729F209AA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2788340"/>
          <a:ext cx="203597" cy="205212"/>
        </a:xfrm>
        <a:prstGeom prst="rect">
          <a:avLst/>
        </a:prstGeom>
      </xdr:spPr>
    </xdr:pic>
    <xdr:clientData/>
  </xdr:oneCellAnchor>
  <xdr:oneCellAnchor>
    <xdr:from>
      <xdr:col>47</xdr:col>
      <xdr:colOff>107675</xdr:colOff>
      <xdr:row>13</xdr:row>
      <xdr:rowOff>0</xdr:rowOff>
    </xdr:from>
    <xdr:ext cx="203597" cy="205212"/>
    <xdr:pic>
      <xdr:nvPicPr>
        <xdr:cNvPr id="45" name="図 44">
          <a:extLst>
            <a:ext uri="{FF2B5EF4-FFF2-40B4-BE49-F238E27FC236}">
              <a16:creationId xmlns:a16="http://schemas.microsoft.com/office/drawing/2014/main" id="{BC0EFD42-5308-4A77-BCBE-BB74D86277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3019425"/>
          <a:ext cx="203597" cy="205212"/>
        </a:xfrm>
        <a:prstGeom prst="rect">
          <a:avLst/>
        </a:prstGeom>
      </xdr:spPr>
    </xdr:pic>
    <xdr:clientData/>
  </xdr:oneCellAnchor>
  <xdr:oneCellAnchor>
    <xdr:from>
      <xdr:col>47</xdr:col>
      <xdr:colOff>107675</xdr:colOff>
      <xdr:row>13</xdr:row>
      <xdr:rowOff>16565</xdr:rowOff>
    </xdr:from>
    <xdr:ext cx="203597" cy="205212"/>
    <xdr:pic>
      <xdr:nvPicPr>
        <xdr:cNvPr id="46" name="図 45">
          <a:extLst>
            <a:ext uri="{FF2B5EF4-FFF2-40B4-BE49-F238E27FC236}">
              <a16:creationId xmlns:a16="http://schemas.microsoft.com/office/drawing/2014/main" id="{2FCC653F-DA4B-4375-A005-636FCD86A4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3035990"/>
          <a:ext cx="203597" cy="205212"/>
        </a:xfrm>
        <a:prstGeom prst="rect">
          <a:avLst/>
        </a:prstGeom>
      </xdr:spPr>
    </xdr:pic>
    <xdr:clientData/>
  </xdr:oneCellAnchor>
  <xdr:twoCellAnchor>
    <xdr:from>
      <xdr:col>42</xdr:col>
      <xdr:colOff>135756</xdr:colOff>
      <xdr:row>56</xdr:row>
      <xdr:rowOff>45317</xdr:rowOff>
    </xdr:from>
    <xdr:to>
      <xdr:col>42</xdr:col>
      <xdr:colOff>294880</xdr:colOff>
      <xdr:row>56</xdr:row>
      <xdr:rowOff>195732</xdr:rowOff>
    </xdr:to>
    <xdr:sp macro="" textlink="">
      <xdr:nvSpPr>
        <xdr:cNvPr id="47" name="正方形/長方形 46">
          <a:extLst>
            <a:ext uri="{FF2B5EF4-FFF2-40B4-BE49-F238E27FC236}">
              <a16:creationId xmlns:a16="http://schemas.microsoft.com/office/drawing/2014/main" id="{2230B751-C904-4258-BE98-E7D93D705C90}"/>
            </a:ext>
          </a:extLst>
        </xdr:cNvPr>
        <xdr:cNvSpPr/>
      </xdr:nvSpPr>
      <xdr:spPr>
        <a:xfrm>
          <a:off x="18138006" y="12951692"/>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135756</xdr:colOff>
      <xdr:row>57</xdr:row>
      <xdr:rowOff>45317</xdr:rowOff>
    </xdr:from>
    <xdr:to>
      <xdr:col>42</xdr:col>
      <xdr:colOff>294880</xdr:colOff>
      <xdr:row>57</xdr:row>
      <xdr:rowOff>195732</xdr:rowOff>
    </xdr:to>
    <xdr:sp macro="" textlink="">
      <xdr:nvSpPr>
        <xdr:cNvPr id="48" name="正方形/長方形 47">
          <a:extLst>
            <a:ext uri="{FF2B5EF4-FFF2-40B4-BE49-F238E27FC236}">
              <a16:creationId xmlns:a16="http://schemas.microsoft.com/office/drawing/2014/main" id="{6B2D4400-B8D1-4F63-A540-90FB9907BF03}"/>
            </a:ext>
          </a:extLst>
        </xdr:cNvPr>
        <xdr:cNvSpPr/>
      </xdr:nvSpPr>
      <xdr:spPr>
        <a:xfrm>
          <a:off x="18138006" y="13189817"/>
          <a:ext cx="159124" cy="150415"/>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131818</xdr:colOff>
      <xdr:row>55</xdr:row>
      <xdr:rowOff>10033</xdr:rowOff>
    </xdr:from>
    <xdr:to>
      <xdr:col>42</xdr:col>
      <xdr:colOff>290942</xdr:colOff>
      <xdr:row>55</xdr:row>
      <xdr:rowOff>169973</xdr:rowOff>
    </xdr:to>
    <xdr:sp macro="" textlink="">
      <xdr:nvSpPr>
        <xdr:cNvPr id="49" name="正方形/長方形 48">
          <a:extLst>
            <a:ext uri="{FF2B5EF4-FFF2-40B4-BE49-F238E27FC236}">
              <a16:creationId xmlns:a16="http://schemas.microsoft.com/office/drawing/2014/main" id="{EB43521C-0766-4048-9B12-BAD0A5B8E60B}"/>
            </a:ext>
          </a:extLst>
        </xdr:cNvPr>
        <xdr:cNvSpPr/>
      </xdr:nvSpPr>
      <xdr:spPr>
        <a:xfrm>
          <a:off x="18134068" y="12678283"/>
          <a:ext cx="159124" cy="159940"/>
        </a:xfrm>
        <a:prstGeom prst="rect">
          <a:avLst/>
        </a:prstGeom>
        <a:solidFill>
          <a:schemeClr val="bg1"/>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371475</xdr:colOff>
      <xdr:row>52</xdr:row>
      <xdr:rowOff>208085</xdr:rowOff>
    </xdr:from>
    <xdr:to>
      <xdr:col>52</xdr:col>
      <xdr:colOff>120212</xdr:colOff>
      <xdr:row>53</xdr:row>
      <xdr:rowOff>214655</xdr:rowOff>
    </xdr:to>
    <xdr:sp macro="" textlink="">
      <xdr:nvSpPr>
        <xdr:cNvPr id="50" name="フローチャート: 端子 49">
          <a:extLst>
            <a:ext uri="{FF2B5EF4-FFF2-40B4-BE49-F238E27FC236}">
              <a16:creationId xmlns:a16="http://schemas.microsoft.com/office/drawing/2014/main" id="{B8F8E013-DBE4-4A7D-A75F-0AA18D6C8818}"/>
            </a:ext>
          </a:extLst>
        </xdr:cNvPr>
        <xdr:cNvSpPr/>
      </xdr:nvSpPr>
      <xdr:spPr>
        <a:xfrm>
          <a:off x="21802725" y="12161960"/>
          <a:ext cx="605987" cy="244695"/>
        </a:xfrm>
        <a:prstGeom prst="flowChartTerminator">
          <a:avLst/>
        </a:prstGeom>
        <a:solidFill>
          <a:schemeClr val="accent6">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246877</xdr:colOff>
      <xdr:row>52</xdr:row>
      <xdr:rowOff>208087</xdr:rowOff>
    </xdr:from>
    <xdr:to>
      <xdr:col>52</xdr:col>
      <xdr:colOff>110554</xdr:colOff>
      <xdr:row>53</xdr:row>
      <xdr:rowOff>214655</xdr:rowOff>
    </xdr:to>
    <xdr:sp macro="" textlink="">
      <xdr:nvSpPr>
        <xdr:cNvPr id="51" name="楕円 50">
          <a:extLst>
            <a:ext uri="{FF2B5EF4-FFF2-40B4-BE49-F238E27FC236}">
              <a16:creationId xmlns:a16="http://schemas.microsoft.com/office/drawing/2014/main" id="{28B210F4-F60C-4265-B2E8-32E3123C6BE2}"/>
            </a:ext>
          </a:extLst>
        </xdr:cNvPr>
        <xdr:cNvSpPr/>
      </xdr:nvSpPr>
      <xdr:spPr>
        <a:xfrm>
          <a:off x="22106752" y="12161962"/>
          <a:ext cx="292302" cy="244693"/>
        </a:xfrm>
        <a:prstGeom prst="ellips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42</xdr:col>
      <xdr:colOff>147804</xdr:colOff>
      <xdr:row>38</xdr:row>
      <xdr:rowOff>75726</xdr:rowOff>
    </xdr:from>
    <xdr:to>
      <xdr:col>43</xdr:col>
      <xdr:colOff>103605</xdr:colOff>
      <xdr:row>39</xdr:row>
      <xdr:rowOff>183819</xdr:rowOff>
    </xdr:to>
    <xdr:grpSp>
      <xdr:nvGrpSpPr>
        <xdr:cNvPr id="52" name="グループ化 51">
          <a:extLst>
            <a:ext uri="{FF2B5EF4-FFF2-40B4-BE49-F238E27FC236}">
              <a16:creationId xmlns:a16="http://schemas.microsoft.com/office/drawing/2014/main" id="{C351F151-A50A-4EB3-8F2D-851933EB465F}"/>
            </a:ext>
          </a:extLst>
        </xdr:cNvPr>
        <xdr:cNvGrpSpPr/>
      </xdr:nvGrpSpPr>
      <xdr:grpSpPr>
        <a:xfrm>
          <a:off x="18435804" y="8906762"/>
          <a:ext cx="391230" cy="366628"/>
          <a:chOff x="57807" y="369793"/>
          <a:chExt cx="818567" cy="684487"/>
        </a:xfrm>
      </xdr:grpSpPr>
      <xdr:sp macro="" textlink="">
        <xdr:nvSpPr>
          <xdr:cNvPr id="53" name="二等辺三角形 52">
            <a:extLst>
              <a:ext uri="{FF2B5EF4-FFF2-40B4-BE49-F238E27FC236}">
                <a16:creationId xmlns:a16="http://schemas.microsoft.com/office/drawing/2014/main" id="{66DCD181-8633-A2D6-1C76-2C516F37FCA0}"/>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 name="二等辺三角形 53">
            <a:extLst>
              <a:ext uri="{FF2B5EF4-FFF2-40B4-BE49-F238E27FC236}">
                <a16:creationId xmlns:a16="http://schemas.microsoft.com/office/drawing/2014/main" id="{D439EF87-6D81-7B79-BF7B-0A544E60F2E0}"/>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 name="二等辺三角形 54">
            <a:extLst>
              <a:ext uri="{FF2B5EF4-FFF2-40B4-BE49-F238E27FC236}">
                <a16:creationId xmlns:a16="http://schemas.microsoft.com/office/drawing/2014/main" id="{0B6E9C61-8528-A23D-6905-DDB179DFF994}"/>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40</xdr:col>
      <xdr:colOff>369794</xdr:colOff>
      <xdr:row>37</xdr:row>
      <xdr:rowOff>185092</xdr:rowOff>
    </xdr:from>
    <xdr:ext cx="582706" cy="582319"/>
    <xdr:pic>
      <xdr:nvPicPr>
        <xdr:cNvPr id="56" name="図 55">
          <a:extLst>
            <a:ext uri="{FF2B5EF4-FFF2-40B4-BE49-F238E27FC236}">
              <a16:creationId xmlns:a16="http://schemas.microsoft.com/office/drawing/2014/main" id="{4ABDD42D-7821-4A4B-A3D8-BFFDAC9517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14794" y="8624242"/>
          <a:ext cx="582706" cy="582319"/>
        </a:xfrm>
        <a:prstGeom prst="rect">
          <a:avLst/>
        </a:prstGeom>
      </xdr:spPr>
    </xdr:pic>
    <xdr:clientData/>
  </xdr:oneCellAnchor>
  <xdr:oneCellAnchor>
    <xdr:from>
      <xdr:col>43</xdr:col>
      <xdr:colOff>145676</xdr:colOff>
      <xdr:row>38</xdr:row>
      <xdr:rowOff>56029</xdr:rowOff>
    </xdr:from>
    <xdr:ext cx="1595309" cy="367408"/>
    <xdr:sp macro="" textlink="">
      <xdr:nvSpPr>
        <xdr:cNvPr id="57" name="テキスト ボックス 56">
          <a:extLst>
            <a:ext uri="{FF2B5EF4-FFF2-40B4-BE49-F238E27FC236}">
              <a16:creationId xmlns:a16="http://schemas.microsoft.com/office/drawing/2014/main" id="{43533100-8912-48D0-9AB8-3D013D411A6C}"/>
            </a:ext>
          </a:extLst>
        </xdr:cNvPr>
        <xdr:cNvSpPr txBox="1"/>
      </xdr:nvSpPr>
      <xdr:spPr>
        <a:xfrm>
          <a:off x="18576551" y="8733304"/>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oneCellAnchor>
    <xdr:from>
      <xdr:col>47</xdr:col>
      <xdr:colOff>107675</xdr:colOff>
      <xdr:row>45</xdr:row>
      <xdr:rowOff>16565</xdr:rowOff>
    </xdr:from>
    <xdr:ext cx="203597" cy="205212"/>
    <xdr:pic>
      <xdr:nvPicPr>
        <xdr:cNvPr id="58" name="図 57">
          <a:extLst>
            <a:ext uri="{FF2B5EF4-FFF2-40B4-BE49-F238E27FC236}">
              <a16:creationId xmlns:a16="http://schemas.microsoft.com/office/drawing/2014/main" id="{B0F4DF0A-4F71-4111-979F-003E9C25E1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10255940"/>
          <a:ext cx="203597" cy="205212"/>
        </a:xfrm>
        <a:prstGeom prst="rect">
          <a:avLst/>
        </a:prstGeom>
      </xdr:spPr>
    </xdr:pic>
    <xdr:clientData/>
  </xdr:oneCellAnchor>
  <xdr:oneCellAnchor>
    <xdr:from>
      <xdr:col>52</xdr:col>
      <xdr:colOff>107675</xdr:colOff>
      <xdr:row>45</xdr:row>
      <xdr:rowOff>16565</xdr:rowOff>
    </xdr:from>
    <xdr:ext cx="203597" cy="205212"/>
    <xdr:pic>
      <xdr:nvPicPr>
        <xdr:cNvPr id="59" name="図 58">
          <a:extLst>
            <a:ext uri="{FF2B5EF4-FFF2-40B4-BE49-F238E27FC236}">
              <a16:creationId xmlns:a16="http://schemas.microsoft.com/office/drawing/2014/main" id="{88CD6FED-EFC9-49C1-B011-8BEEF6866E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396175" y="10255940"/>
          <a:ext cx="203597" cy="205212"/>
        </a:xfrm>
        <a:prstGeom prst="rect">
          <a:avLst/>
        </a:prstGeom>
      </xdr:spPr>
    </xdr:pic>
    <xdr:clientData/>
  </xdr:oneCellAnchor>
  <xdr:oneCellAnchor>
    <xdr:from>
      <xdr:col>47</xdr:col>
      <xdr:colOff>107675</xdr:colOff>
      <xdr:row>47</xdr:row>
      <xdr:rowOff>16565</xdr:rowOff>
    </xdr:from>
    <xdr:ext cx="203597" cy="205212"/>
    <xdr:pic>
      <xdr:nvPicPr>
        <xdr:cNvPr id="60" name="図 59">
          <a:extLst>
            <a:ext uri="{FF2B5EF4-FFF2-40B4-BE49-F238E27FC236}">
              <a16:creationId xmlns:a16="http://schemas.microsoft.com/office/drawing/2014/main" id="{E6CDFFD4-4E25-4EE8-856B-E67009EC3D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10751240"/>
          <a:ext cx="203597" cy="205212"/>
        </a:xfrm>
        <a:prstGeom prst="rect">
          <a:avLst/>
        </a:prstGeom>
      </xdr:spPr>
    </xdr:pic>
    <xdr:clientData/>
  </xdr:oneCellAnchor>
  <xdr:oneCellAnchor>
    <xdr:from>
      <xdr:col>47</xdr:col>
      <xdr:colOff>107675</xdr:colOff>
      <xdr:row>49</xdr:row>
      <xdr:rowOff>0</xdr:rowOff>
    </xdr:from>
    <xdr:ext cx="203597" cy="205212"/>
    <xdr:pic>
      <xdr:nvPicPr>
        <xdr:cNvPr id="61" name="図 60">
          <a:extLst>
            <a:ext uri="{FF2B5EF4-FFF2-40B4-BE49-F238E27FC236}">
              <a16:creationId xmlns:a16="http://schemas.microsoft.com/office/drawing/2014/main" id="{C436899B-25CB-474A-9FB6-F90EA8BA08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11229975"/>
          <a:ext cx="203597" cy="205212"/>
        </a:xfrm>
        <a:prstGeom prst="rect">
          <a:avLst/>
        </a:prstGeom>
      </xdr:spPr>
    </xdr:pic>
    <xdr:clientData/>
  </xdr:oneCellAnchor>
  <xdr:oneCellAnchor>
    <xdr:from>
      <xdr:col>47</xdr:col>
      <xdr:colOff>107675</xdr:colOff>
      <xdr:row>49</xdr:row>
      <xdr:rowOff>0</xdr:rowOff>
    </xdr:from>
    <xdr:ext cx="203597" cy="205212"/>
    <xdr:pic>
      <xdr:nvPicPr>
        <xdr:cNvPr id="62" name="図 61">
          <a:extLst>
            <a:ext uri="{FF2B5EF4-FFF2-40B4-BE49-F238E27FC236}">
              <a16:creationId xmlns:a16="http://schemas.microsoft.com/office/drawing/2014/main" id="{8B3192DE-02A5-453E-914D-4BC5EC1947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11229975"/>
          <a:ext cx="203597" cy="205212"/>
        </a:xfrm>
        <a:prstGeom prst="rect">
          <a:avLst/>
        </a:prstGeom>
      </xdr:spPr>
    </xdr:pic>
    <xdr:clientData/>
  </xdr:oneCellAnchor>
  <xdr:oneCellAnchor>
    <xdr:from>
      <xdr:col>47</xdr:col>
      <xdr:colOff>107675</xdr:colOff>
      <xdr:row>49</xdr:row>
      <xdr:rowOff>16565</xdr:rowOff>
    </xdr:from>
    <xdr:ext cx="203597" cy="205212"/>
    <xdr:pic>
      <xdr:nvPicPr>
        <xdr:cNvPr id="63" name="図 62">
          <a:extLst>
            <a:ext uri="{FF2B5EF4-FFF2-40B4-BE49-F238E27FC236}">
              <a16:creationId xmlns:a16="http://schemas.microsoft.com/office/drawing/2014/main" id="{2835BE2A-B1E2-4EEC-9F60-51BB682EAB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53050" y="11246540"/>
          <a:ext cx="203597" cy="205212"/>
        </a:xfrm>
        <a:prstGeom prst="rect">
          <a:avLst/>
        </a:prstGeom>
      </xdr:spPr>
    </xdr:pic>
    <xdr:clientData/>
  </xdr:oneCellAnchor>
  <xdr:twoCellAnchor>
    <xdr:from>
      <xdr:col>3</xdr:col>
      <xdr:colOff>147804</xdr:colOff>
      <xdr:row>107</xdr:row>
      <xdr:rowOff>75726</xdr:rowOff>
    </xdr:from>
    <xdr:to>
      <xdr:col>4</xdr:col>
      <xdr:colOff>103605</xdr:colOff>
      <xdr:row>108</xdr:row>
      <xdr:rowOff>183819</xdr:rowOff>
    </xdr:to>
    <xdr:grpSp>
      <xdr:nvGrpSpPr>
        <xdr:cNvPr id="64" name="グループ化 63">
          <a:extLst>
            <a:ext uri="{FF2B5EF4-FFF2-40B4-BE49-F238E27FC236}">
              <a16:creationId xmlns:a16="http://schemas.microsoft.com/office/drawing/2014/main" id="{DC336E36-B26E-43AE-B3F1-2C6A620FC2A9}"/>
            </a:ext>
          </a:extLst>
        </xdr:cNvPr>
        <xdr:cNvGrpSpPr/>
      </xdr:nvGrpSpPr>
      <xdr:grpSpPr>
        <a:xfrm>
          <a:off x="1454090" y="24881547"/>
          <a:ext cx="391229" cy="353022"/>
          <a:chOff x="57807" y="369793"/>
          <a:chExt cx="818567" cy="684487"/>
        </a:xfrm>
      </xdr:grpSpPr>
      <xdr:sp macro="" textlink="">
        <xdr:nvSpPr>
          <xdr:cNvPr id="65" name="二等辺三角形 64">
            <a:extLst>
              <a:ext uri="{FF2B5EF4-FFF2-40B4-BE49-F238E27FC236}">
                <a16:creationId xmlns:a16="http://schemas.microsoft.com/office/drawing/2014/main" id="{A6B5E33B-9CA0-4371-3EBD-AB682811BC1E}"/>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二等辺三角形 65">
            <a:extLst>
              <a:ext uri="{FF2B5EF4-FFF2-40B4-BE49-F238E27FC236}">
                <a16:creationId xmlns:a16="http://schemas.microsoft.com/office/drawing/2014/main" id="{25AF8C8B-B2EF-FBE2-4266-A054970F0725}"/>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二等辺三角形 66">
            <a:extLst>
              <a:ext uri="{FF2B5EF4-FFF2-40B4-BE49-F238E27FC236}">
                <a16:creationId xmlns:a16="http://schemas.microsoft.com/office/drawing/2014/main" id="{F14D2DD1-0249-1E26-E0CB-7DE198EF137C}"/>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xdr:col>
      <xdr:colOff>369794</xdr:colOff>
      <xdr:row>106</xdr:row>
      <xdr:rowOff>185092</xdr:rowOff>
    </xdr:from>
    <xdr:ext cx="582706" cy="582319"/>
    <xdr:pic>
      <xdr:nvPicPr>
        <xdr:cNvPr id="68" name="図 67">
          <a:extLst>
            <a:ext uri="{FF2B5EF4-FFF2-40B4-BE49-F238E27FC236}">
              <a16:creationId xmlns:a16="http://schemas.microsoft.com/office/drawing/2014/main" id="{E35193F6-3A66-4368-8160-EA0977095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419" y="24340492"/>
          <a:ext cx="582706" cy="582319"/>
        </a:xfrm>
        <a:prstGeom prst="rect">
          <a:avLst/>
        </a:prstGeom>
      </xdr:spPr>
    </xdr:pic>
    <xdr:clientData/>
  </xdr:oneCellAnchor>
  <xdr:oneCellAnchor>
    <xdr:from>
      <xdr:col>4</xdr:col>
      <xdr:colOff>168088</xdr:colOff>
      <xdr:row>107</xdr:row>
      <xdr:rowOff>56029</xdr:rowOff>
    </xdr:from>
    <xdr:ext cx="1595309" cy="367408"/>
    <xdr:sp macro="" textlink="">
      <xdr:nvSpPr>
        <xdr:cNvPr id="69" name="テキスト ボックス 68">
          <a:extLst>
            <a:ext uri="{FF2B5EF4-FFF2-40B4-BE49-F238E27FC236}">
              <a16:creationId xmlns:a16="http://schemas.microsoft.com/office/drawing/2014/main" id="{CCF8DE6B-32C7-442A-9775-93A42522F129}"/>
            </a:ext>
          </a:extLst>
        </xdr:cNvPr>
        <xdr:cNvSpPr txBox="1"/>
      </xdr:nvSpPr>
      <xdr:spPr>
        <a:xfrm>
          <a:off x="1882588" y="24449554"/>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twoCellAnchor>
    <xdr:from>
      <xdr:col>19</xdr:col>
      <xdr:colOff>147804</xdr:colOff>
      <xdr:row>2</xdr:row>
      <xdr:rowOff>75726</xdr:rowOff>
    </xdr:from>
    <xdr:to>
      <xdr:col>20</xdr:col>
      <xdr:colOff>103605</xdr:colOff>
      <xdr:row>3</xdr:row>
      <xdr:rowOff>183819</xdr:rowOff>
    </xdr:to>
    <xdr:grpSp>
      <xdr:nvGrpSpPr>
        <xdr:cNvPr id="70" name="グループ化 69">
          <a:extLst>
            <a:ext uri="{FF2B5EF4-FFF2-40B4-BE49-F238E27FC236}">
              <a16:creationId xmlns:a16="http://schemas.microsoft.com/office/drawing/2014/main" id="{661C7758-07D4-40C2-B505-17D002010BD3}"/>
            </a:ext>
          </a:extLst>
        </xdr:cNvPr>
        <xdr:cNvGrpSpPr/>
      </xdr:nvGrpSpPr>
      <xdr:grpSpPr>
        <a:xfrm>
          <a:off x="8420947" y="565583"/>
          <a:ext cx="391229" cy="353022"/>
          <a:chOff x="57807" y="369793"/>
          <a:chExt cx="818567" cy="684487"/>
        </a:xfrm>
      </xdr:grpSpPr>
      <xdr:sp macro="" textlink="">
        <xdr:nvSpPr>
          <xdr:cNvPr id="71" name="二等辺三角形 70">
            <a:extLst>
              <a:ext uri="{FF2B5EF4-FFF2-40B4-BE49-F238E27FC236}">
                <a16:creationId xmlns:a16="http://schemas.microsoft.com/office/drawing/2014/main" id="{9DE6CC8A-A4F0-3408-8399-98F3B8A7EAED}"/>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二等辺三角形 71">
            <a:extLst>
              <a:ext uri="{FF2B5EF4-FFF2-40B4-BE49-F238E27FC236}">
                <a16:creationId xmlns:a16="http://schemas.microsoft.com/office/drawing/2014/main" id="{DF62D70F-1518-221E-6ACD-E55FAF583BC6}"/>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二等辺三角形 72">
            <a:extLst>
              <a:ext uri="{FF2B5EF4-FFF2-40B4-BE49-F238E27FC236}">
                <a16:creationId xmlns:a16="http://schemas.microsoft.com/office/drawing/2014/main" id="{2A7B5ADC-2E66-BB35-D5FD-97DF562F9FA0}"/>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17</xdr:col>
      <xdr:colOff>369794</xdr:colOff>
      <xdr:row>1</xdr:row>
      <xdr:rowOff>185092</xdr:rowOff>
    </xdr:from>
    <xdr:ext cx="582706" cy="582319"/>
    <xdr:pic>
      <xdr:nvPicPr>
        <xdr:cNvPr id="74" name="図 73">
          <a:extLst>
            <a:ext uri="{FF2B5EF4-FFF2-40B4-BE49-F238E27FC236}">
              <a16:creationId xmlns:a16="http://schemas.microsoft.com/office/drawing/2014/main" id="{02D7A4BC-9782-4B5B-A3B9-69D6415F6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6419" y="423217"/>
          <a:ext cx="582706" cy="582319"/>
        </a:xfrm>
        <a:prstGeom prst="rect">
          <a:avLst/>
        </a:prstGeom>
      </xdr:spPr>
    </xdr:pic>
    <xdr:clientData/>
  </xdr:oneCellAnchor>
  <xdr:oneCellAnchor>
    <xdr:from>
      <xdr:col>20</xdr:col>
      <xdr:colOff>145676</xdr:colOff>
      <xdr:row>2</xdr:row>
      <xdr:rowOff>56029</xdr:rowOff>
    </xdr:from>
    <xdr:ext cx="1595309" cy="367408"/>
    <xdr:sp macro="" textlink="">
      <xdr:nvSpPr>
        <xdr:cNvPr id="75" name="テキスト ボックス 74">
          <a:extLst>
            <a:ext uri="{FF2B5EF4-FFF2-40B4-BE49-F238E27FC236}">
              <a16:creationId xmlns:a16="http://schemas.microsoft.com/office/drawing/2014/main" id="{F07A6533-32DC-4CE4-B129-ADC850419A59}"/>
            </a:ext>
          </a:extLst>
        </xdr:cNvPr>
        <xdr:cNvSpPr txBox="1"/>
      </xdr:nvSpPr>
      <xdr:spPr>
        <a:xfrm>
          <a:off x="8718176" y="532279"/>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oneCellAnchor>
    <xdr:from>
      <xdr:col>24</xdr:col>
      <xdr:colOff>107675</xdr:colOff>
      <xdr:row>11</xdr:row>
      <xdr:rowOff>16565</xdr:rowOff>
    </xdr:from>
    <xdr:ext cx="203597" cy="205212"/>
    <xdr:pic>
      <xdr:nvPicPr>
        <xdr:cNvPr id="76" name="図 75">
          <a:extLst>
            <a:ext uri="{FF2B5EF4-FFF2-40B4-BE49-F238E27FC236}">
              <a16:creationId xmlns:a16="http://schemas.microsoft.com/office/drawing/2014/main" id="{95FB70C4-275B-4325-A959-2048C6A415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94675" y="2540690"/>
          <a:ext cx="203597" cy="205212"/>
        </a:xfrm>
        <a:prstGeom prst="rect">
          <a:avLst/>
        </a:prstGeom>
      </xdr:spPr>
    </xdr:pic>
    <xdr:clientData/>
  </xdr:oneCellAnchor>
  <xdr:oneCellAnchor>
    <xdr:from>
      <xdr:col>29</xdr:col>
      <xdr:colOff>107675</xdr:colOff>
      <xdr:row>11</xdr:row>
      <xdr:rowOff>16565</xdr:rowOff>
    </xdr:from>
    <xdr:ext cx="203597" cy="205212"/>
    <xdr:pic>
      <xdr:nvPicPr>
        <xdr:cNvPr id="77" name="図 76">
          <a:extLst>
            <a:ext uri="{FF2B5EF4-FFF2-40B4-BE49-F238E27FC236}">
              <a16:creationId xmlns:a16="http://schemas.microsoft.com/office/drawing/2014/main" id="{F29F08C0-C45D-468B-9EC7-948BA4A288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37800" y="2540690"/>
          <a:ext cx="203597" cy="205212"/>
        </a:xfrm>
        <a:prstGeom prst="rect">
          <a:avLst/>
        </a:prstGeom>
      </xdr:spPr>
    </xdr:pic>
    <xdr:clientData/>
  </xdr:oneCellAnchor>
  <xdr:oneCellAnchor>
    <xdr:from>
      <xdr:col>13</xdr:col>
      <xdr:colOff>128622</xdr:colOff>
      <xdr:row>80</xdr:row>
      <xdr:rowOff>24846</xdr:rowOff>
    </xdr:from>
    <xdr:ext cx="187187" cy="187187"/>
    <xdr:pic>
      <xdr:nvPicPr>
        <xdr:cNvPr id="78" name="図 77">
          <a:extLst>
            <a:ext uri="{FF2B5EF4-FFF2-40B4-BE49-F238E27FC236}">
              <a16:creationId xmlns:a16="http://schemas.microsoft.com/office/drawing/2014/main" id="{94A9D203-BFEE-4C06-A9CC-581E083D83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00747" y="18265221"/>
          <a:ext cx="187187" cy="187187"/>
        </a:xfrm>
        <a:prstGeom prst="rect">
          <a:avLst/>
        </a:prstGeom>
      </xdr:spPr>
    </xdr:pic>
    <xdr:clientData/>
  </xdr:oneCellAnchor>
  <xdr:oneCellAnchor>
    <xdr:from>
      <xdr:col>8</xdr:col>
      <xdr:colOff>107675</xdr:colOff>
      <xdr:row>46</xdr:row>
      <xdr:rowOff>16565</xdr:rowOff>
    </xdr:from>
    <xdr:ext cx="203597" cy="205212"/>
    <xdr:pic>
      <xdr:nvPicPr>
        <xdr:cNvPr id="79" name="図 78">
          <a:extLst>
            <a:ext uri="{FF2B5EF4-FFF2-40B4-BE49-F238E27FC236}">
              <a16:creationId xmlns:a16="http://schemas.microsoft.com/office/drawing/2014/main" id="{ACA316A1-8F95-4904-A3E4-EAF0BB1176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36675" y="10503590"/>
          <a:ext cx="203597" cy="205212"/>
        </a:xfrm>
        <a:prstGeom prst="rect">
          <a:avLst/>
        </a:prstGeom>
      </xdr:spPr>
    </xdr:pic>
    <xdr:clientData/>
  </xdr:oneCellAnchor>
  <xdr:oneCellAnchor>
    <xdr:from>
      <xdr:col>13</xdr:col>
      <xdr:colOff>107675</xdr:colOff>
      <xdr:row>46</xdr:row>
      <xdr:rowOff>16565</xdr:rowOff>
    </xdr:from>
    <xdr:ext cx="203597" cy="205212"/>
    <xdr:pic>
      <xdr:nvPicPr>
        <xdr:cNvPr id="80" name="図 79">
          <a:extLst>
            <a:ext uri="{FF2B5EF4-FFF2-40B4-BE49-F238E27FC236}">
              <a16:creationId xmlns:a16="http://schemas.microsoft.com/office/drawing/2014/main" id="{18C8EB7B-34B2-4FB3-9D6D-611CF86E5D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79800" y="10503590"/>
          <a:ext cx="203597" cy="205212"/>
        </a:xfrm>
        <a:prstGeom prst="rect">
          <a:avLst/>
        </a:prstGeom>
      </xdr:spPr>
    </xdr:pic>
    <xdr:clientData/>
  </xdr:oneCellAnchor>
  <xdr:oneCellAnchor>
    <xdr:from>
      <xdr:col>13</xdr:col>
      <xdr:colOff>128622</xdr:colOff>
      <xdr:row>45</xdr:row>
      <xdr:rowOff>24846</xdr:rowOff>
    </xdr:from>
    <xdr:ext cx="187187" cy="187187"/>
    <xdr:pic>
      <xdr:nvPicPr>
        <xdr:cNvPr id="81" name="図 80">
          <a:extLst>
            <a:ext uri="{FF2B5EF4-FFF2-40B4-BE49-F238E27FC236}">
              <a16:creationId xmlns:a16="http://schemas.microsoft.com/office/drawing/2014/main" id="{711BA8B7-A373-4859-B7B2-493A320FDF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00747" y="10264221"/>
          <a:ext cx="187187" cy="187187"/>
        </a:xfrm>
        <a:prstGeom prst="rect">
          <a:avLst/>
        </a:prstGeom>
      </xdr:spPr>
    </xdr:pic>
    <xdr:clientData/>
  </xdr:oneCellAnchor>
  <xdr:twoCellAnchor>
    <xdr:from>
      <xdr:col>3</xdr:col>
      <xdr:colOff>147804</xdr:colOff>
      <xdr:row>127</xdr:row>
      <xdr:rowOff>75726</xdr:rowOff>
    </xdr:from>
    <xdr:to>
      <xdr:col>4</xdr:col>
      <xdr:colOff>103605</xdr:colOff>
      <xdr:row>128</xdr:row>
      <xdr:rowOff>183819</xdr:rowOff>
    </xdr:to>
    <xdr:grpSp>
      <xdr:nvGrpSpPr>
        <xdr:cNvPr id="82" name="グループ化 81">
          <a:extLst>
            <a:ext uri="{FF2B5EF4-FFF2-40B4-BE49-F238E27FC236}">
              <a16:creationId xmlns:a16="http://schemas.microsoft.com/office/drawing/2014/main" id="{8E44B90F-7B9B-462A-B1E8-4B6C59EBAB70}"/>
            </a:ext>
          </a:extLst>
        </xdr:cNvPr>
        <xdr:cNvGrpSpPr/>
      </xdr:nvGrpSpPr>
      <xdr:grpSpPr>
        <a:xfrm>
          <a:off x="1454090" y="29290262"/>
          <a:ext cx="391229" cy="353021"/>
          <a:chOff x="57807" y="369793"/>
          <a:chExt cx="818567" cy="684487"/>
        </a:xfrm>
      </xdr:grpSpPr>
      <xdr:sp macro="" textlink="">
        <xdr:nvSpPr>
          <xdr:cNvPr id="83" name="二等辺三角形 82">
            <a:extLst>
              <a:ext uri="{FF2B5EF4-FFF2-40B4-BE49-F238E27FC236}">
                <a16:creationId xmlns:a16="http://schemas.microsoft.com/office/drawing/2014/main" id="{8375F62A-D384-463D-0210-BE770A54F65E}"/>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二等辺三角形 83">
            <a:extLst>
              <a:ext uri="{FF2B5EF4-FFF2-40B4-BE49-F238E27FC236}">
                <a16:creationId xmlns:a16="http://schemas.microsoft.com/office/drawing/2014/main" id="{6A9F0B0A-5EAF-9482-B73C-32A88D411F46}"/>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二等辺三角形 84">
            <a:extLst>
              <a:ext uri="{FF2B5EF4-FFF2-40B4-BE49-F238E27FC236}">
                <a16:creationId xmlns:a16="http://schemas.microsoft.com/office/drawing/2014/main" id="{94761397-CDCB-F507-EAA7-8749339CE1F1}"/>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1</xdr:col>
      <xdr:colOff>369794</xdr:colOff>
      <xdr:row>126</xdr:row>
      <xdr:rowOff>185092</xdr:rowOff>
    </xdr:from>
    <xdr:ext cx="582706" cy="582319"/>
    <xdr:pic>
      <xdr:nvPicPr>
        <xdr:cNvPr id="86" name="図 85">
          <a:extLst>
            <a:ext uri="{FF2B5EF4-FFF2-40B4-BE49-F238E27FC236}">
              <a16:creationId xmlns:a16="http://schemas.microsoft.com/office/drawing/2014/main" id="{75C4BEFA-5626-4DC2-9AD3-9A4604E4D6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419" y="28674367"/>
          <a:ext cx="582706" cy="582319"/>
        </a:xfrm>
        <a:prstGeom prst="rect">
          <a:avLst/>
        </a:prstGeom>
      </xdr:spPr>
    </xdr:pic>
    <xdr:clientData/>
  </xdr:oneCellAnchor>
  <xdr:oneCellAnchor>
    <xdr:from>
      <xdr:col>4</xdr:col>
      <xdr:colOff>168088</xdr:colOff>
      <xdr:row>127</xdr:row>
      <xdr:rowOff>56029</xdr:rowOff>
    </xdr:from>
    <xdr:ext cx="1595309" cy="367408"/>
    <xdr:sp macro="" textlink="">
      <xdr:nvSpPr>
        <xdr:cNvPr id="87" name="テキスト ボックス 86">
          <a:extLst>
            <a:ext uri="{FF2B5EF4-FFF2-40B4-BE49-F238E27FC236}">
              <a16:creationId xmlns:a16="http://schemas.microsoft.com/office/drawing/2014/main" id="{64E92BB9-5A3F-466A-9AB9-10BF827820DE}"/>
            </a:ext>
          </a:extLst>
        </xdr:cNvPr>
        <xdr:cNvSpPr txBox="1"/>
      </xdr:nvSpPr>
      <xdr:spPr>
        <a:xfrm>
          <a:off x="1882588" y="28783429"/>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twoCellAnchor>
    <xdr:from>
      <xdr:col>26</xdr:col>
      <xdr:colOff>147804</xdr:colOff>
      <xdr:row>107</xdr:row>
      <xdr:rowOff>75726</xdr:rowOff>
    </xdr:from>
    <xdr:to>
      <xdr:col>27</xdr:col>
      <xdr:colOff>103605</xdr:colOff>
      <xdr:row>108</xdr:row>
      <xdr:rowOff>183819</xdr:rowOff>
    </xdr:to>
    <xdr:grpSp>
      <xdr:nvGrpSpPr>
        <xdr:cNvPr id="88" name="グループ化 87">
          <a:extLst>
            <a:ext uri="{FF2B5EF4-FFF2-40B4-BE49-F238E27FC236}">
              <a16:creationId xmlns:a16="http://schemas.microsoft.com/office/drawing/2014/main" id="{204BFA28-2BEB-41CF-BE83-73BA51022FD1}"/>
            </a:ext>
          </a:extLst>
        </xdr:cNvPr>
        <xdr:cNvGrpSpPr/>
      </xdr:nvGrpSpPr>
      <xdr:grpSpPr>
        <a:xfrm>
          <a:off x="11468947" y="24881547"/>
          <a:ext cx="391229" cy="353022"/>
          <a:chOff x="57807" y="369793"/>
          <a:chExt cx="818567" cy="684487"/>
        </a:xfrm>
      </xdr:grpSpPr>
      <xdr:sp macro="" textlink="">
        <xdr:nvSpPr>
          <xdr:cNvPr id="89" name="二等辺三角形 88">
            <a:extLst>
              <a:ext uri="{FF2B5EF4-FFF2-40B4-BE49-F238E27FC236}">
                <a16:creationId xmlns:a16="http://schemas.microsoft.com/office/drawing/2014/main" id="{E2B04037-ED01-5239-470D-2F083354A06D}"/>
              </a:ext>
            </a:extLst>
          </xdr:cNvPr>
          <xdr:cNvSpPr/>
        </xdr:nvSpPr>
        <xdr:spPr>
          <a:xfrm flipV="1">
            <a:off x="273425" y="369793"/>
            <a:ext cx="383080" cy="336176"/>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0" name="二等辺三角形 89">
            <a:extLst>
              <a:ext uri="{FF2B5EF4-FFF2-40B4-BE49-F238E27FC236}">
                <a16:creationId xmlns:a16="http://schemas.microsoft.com/office/drawing/2014/main" id="{3A74DCFB-3EC9-B1BB-DC71-2C7ED720E31A}"/>
              </a:ext>
            </a:extLst>
          </xdr:cNvPr>
          <xdr:cNvSpPr/>
        </xdr:nvSpPr>
        <xdr:spPr>
          <a:xfrm flipV="1">
            <a:off x="486491" y="721195"/>
            <a:ext cx="389883"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二等辺三角形 90">
            <a:extLst>
              <a:ext uri="{FF2B5EF4-FFF2-40B4-BE49-F238E27FC236}">
                <a16:creationId xmlns:a16="http://schemas.microsoft.com/office/drawing/2014/main" id="{4FE17954-D5A0-D41A-1500-70893A58FFDD}"/>
              </a:ext>
            </a:extLst>
          </xdr:cNvPr>
          <xdr:cNvSpPr/>
        </xdr:nvSpPr>
        <xdr:spPr>
          <a:xfrm flipV="1">
            <a:off x="57807" y="720577"/>
            <a:ext cx="389884" cy="333085"/>
          </a:xfrm>
          <a:prstGeom prst="triangl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24</xdr:col>
      <xdr:colOff>369794</xdr:colOff>
      <xdr:row>106</xdr:row>
      <xdr:rowOff>185092</xdr:rowOff>
    </xdr:from>
    <xdr:ext cx="582706" cy="582319"/>
    <xdr:pic>
      <xdr:nvPicPr>
        <xdr:cNvPr id="92" name="図 91">
          <a:extLst>
            <a:ext uri="{FF2B5EF4-FFF2-40B4-BE49-F238E27FC236}">
              <a16:creationId xmlns:a16="http://schemas.microsoft.com/office/drawing/2014/main" id="{90DB09DC-6E4A-455E-83A0-961E56E29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56794" y="24340492"/>
          <a:ext cx="582706" cy="582319"/>
        </a:xfrm>
        <a:prstGeom prst="rect">
          <a:avLst/>
        </a:prstGeom>
      </xdr:spPr>
    </xdr:pic>
    <xdr:clientData/>
  </xdr:oneCellAnchor>
  <xdr:oneCellAnchor>
    <xdr:from>
      <xdr:col>27</xdr:col>
      <xdr:colOff>168088</xdr:colOff>
      <xdr:row>107</xdr:row>
      <xdr:rowOff>56029</xdr:rowOff>
    </xdr:from>
    <xdr:ext cx="1595309" cy="367408"/>
    <xdr:sp macro="" textlink="">
      <xdr:nvSpPr>
        <xdr:cNvPr id="93" name="テキスト ボックス 92">
          <a:extLst>
            <a:ext uri="{FF2B5EF4-FFF2-40B4-BE49-F238E27FC236}">
              <a16:creationId xmlns:a16="http://schemas.microsoft.com/office/drawing/2014/main" id="{F519E77D-2D92-4E88-90C3-DAB52506CB64}"/>
            </a:ext>
          </a:extLst>
        </xdr:cNvPr>
        <xdr:cNvSpPr txBox="1"/>
      </xdr:nvSpPr>
      <xdr:spPr>
        <a:xfrm>
          <a:off x="11740963" y="24449554"/>
          <a:ext cx="1595309"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latin typeface="メイリオ" panose="020B0604030504040204" pitchFamily="50" charset="-128"/>
              <a:ea typeface="メイリオ" panose="020B0604030504040204" pitchFamily="50" charset="-128"/>
            </a:rPr>
            <a:t>学生勤務管理システム</a:t>
          </a:r>
        </a:p>
      </xdr:txBody>
    </xdr:sp>
    <xdr:clientData/>
  </xdr:oneCellAnchor>
  <xdr:oneCellAnchor>
    <xdr:from>
      <xdr:col>13</xdr:col>
      <xdr:colOff>128622</xdr:colOff>
      <xdr:row>48</xdr:row>
      <xdr:rowOff>24846</xdr:rowOff>
    </xdr:from>
    <xdr:ext cx="187187" cy="187187"/>
    <xdr:pic>
      <xdr:nvPicPr>
        <xdr:cNvPr id="94" name="図 93">
          <a:extLst>
            <a:ext uri="{FF2B5EF4-FFF2-40B4-BE49-F238E27FC236}">
              <a16:creationId xmlns:a16="http://schemas.microsoft.com/office/drawing/2014/main" id="{3E8D16C8-7622-434A-ADEE-F7421D8BA9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00747" y="11007171"/>
          <a:ext cx="187187" cy="187187"/>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E14584-C074-4523-875C-8F33F89382C9}" name="テーブル1" displayName="テーブル1" ref="A1:E16" totalsRowShown="0" headerRowDxfId="6" tableBorderDxfId="5">
  <autoFilter ref="A1:E16" xr:uid="{D6372092-3944-4DD5-9DD1-23174C32ADFE}"/>
  <tableColumns count="5">
    <tableColumn id="1" xr3:uid="{26D0BAAC-D6DD-4D52-AC0F-F989B1EA6028}" name="項_x000a_番" dataDxfId="4"/>
    <tableColumn id="2" xr3:uid="{41E47488-1412-4276-8BDD-3AD3E532F0D0}" name="機能名" dataDxfId="3" dataCellStyle="ハイパーリンク">
      <calculatedColumnFormula>HYPERLINK("#ホーム!A1","ホーム")</calculatedColumnFormula>
    </tableColumn>
    <tableColumn id="3" xr3:uid="{A2471CB6-FD22-44CA-B2BE-8A789A7D55F6}" name="機能番号" dataDxfId="2" dataCellStyle="標準 11"/>
    <tableColumn id="4" xr3:uid="{70C5384A-3E67-463F-93C5-CF8CC3B619A9}" name="機能の概要" dataDxfId="1" dataCellStyle="標準 11"/>
    <tableColumn id="5" xr3:uid="{1863F7B8-F5A9-463A-A9DC-04B25F23FA99}" name="機能の詳細" dataDxfId="0" dataCellStyle="標準 11"/>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6360-E3B7-4F1D-AAD5-B0B4258C1CBD}">
  <sheetPr codeName="Sheet1"/>
  <dimension ref="B10:AB78"/>
  <sheetViews>
    <sheetView tabSelected="1" workbookViewId="0"/>
  </sheetViews>
  <sheetFormatPr defaultColWidth="9" defaultRowHeight="13.5"/>
  <cols>
    <col min="1" max="32" width="4.5" style="59" customWidth="1"/>
    <col min="33" max="16384" width="9" style="59"/>
  </cols>
  <sheetData>
    <row r="10" spans="7:24" s="52" customFormat="1">
      <c r="G10" s="49"/>
      <c r="H10" s="50"/>
      <c r="I10" s="50"/>
      <c r="J10" s="50"/>
      <c r="K10" s="50"/>
      <c r="L10" s="50"/>
      <c r="M10" s="50"/>
      <c r="N10" s="50"/>
      <c r="O10" s="50"/>
      <c r="P10" s="50"/>
      <c r="Q10" s="50"/>
      <c r="R10" s="50"/>
      <c r="S10" s="50"/>
      <c r="T10" s="50"/>
      <c r="U10" s="50"/>
      <c r="V10" s="50"/>
      <c r="W10" s="50"/>
      <c r="X10" s="51"/>
    </row>
    <row r="11" spans="7:24" s="52" customFormat="1">
      <c r="G11" s="240" t="str">
        <f>I40</f>
        <v>　学生勤務管理システム</v>
      </c>
      <c r="H11" s="241"/>
      <c r="I11" s="241"/>
      <c r="J11" s="241"/>
      <c r="K11" s="241"/>
      <c r="L11" s="241"/>
      <c r="M11" s="241"/>
      <c r="N11" s="241"/>
      <c r="O11" s="241"/>
      <c r="P11" s="241"/>
      <c r="Q11" s="241"/>
      <c r="R11" s="241"/>
      <c r="S11" s="241"/>
      <c r="T11" s="241"/>
      <c r="U11" s="241"/>
      <c r="V11" s="241"/>
      <c r="W11" s="241"/>
      <c r="X11" s="53"/>
    </row>
    <row r="12" spans="7:24" s="52" customFormat="1">
      <c r="G12" s="240"/>
      <c r="H12" s="241"/>
      <c r="I12" s="241"/>
      <c r="J12" s="241"/>
      <c r="K12" s="241"/>
      <c r="L12" s="241"/>
      <c r="M12" s="241"/>
      <c r="N12" s="241"/>
      <c r="O12" s="241"/>
      <c r="P12" s="241"/>
      <c r="Q12" s="241"/>
      <c r="R12" s="241"/>
      <c r="S12" s="241"/>
      <c r="T12" s="241"/>
      <c r="U12" s="241"/>
      <c r="V12" s="241"/>
      <c r="W12" s="241"/>
      <c r="X12" s="53"/>
    </row>
    <row r="13" spans="7:24" s="52" customFormat="1">
      <c r="G13" s="54"/>
      <c r="H13" s="55"/>
      <c r="I13" s="55"/>
      <c r="J13" s="55"/>
      <c r="K13" s="55"/>
      <c r="L13" s="55"/>
      <c r="M13" s="55"/>
      <c r="N13" s="55"/>
      <c r="O13" s="55"/>
      <c r="P13" s="55"/>
      <c r="Q13" s="55"/>
      <c r="R13" s="55"/>
      <c r="S13" s="55"/>
      <c r="T13" s="55"/>
      <c r="U13" s="55"/>
      <c r="V13" s="55"/>
      <c r="W13" s="55"/>
      <c r="X13" s="53"/>
    </row>
    <row r="14" spans="7:24" s="52" customFormat="1">
      <c r="G14" s="240" t="str">
        <f>I44</f>
        <v>　要件定義書</v>
      </c>
      <c r="H14" s="241"/>
      <c r="I14" s="241"/>
      <c r="J14" s="241"/>
      <c r="K14" s="241"/>
      <c r="L14" s="241"/>
      <c r="M14" s="241"/>
      <c r="N14" s="241"/>
      <c r="O14" s="241"/>
      <c r="P14" s="241"/>
      <c r="Q14" s="241"/>
      <c r="R14" s="241"/>
      <c r="S14" s="241"/>
      <c r="T14" s="241"/>
      <c r="U14" s="241"/>
      <c r="V14" s="241"/>
      <c r="W14" s="241"/>
      <c r="X14" s="53"/>
    </row>
    <row r="15" spans="7:24" s="52" customFormat="1">
      <c r="G15" s="240"/>
      <c r="H15" s="241"/>
      <c r="I15" s="241"/>
      <c r="J15" s="241"/>
      <c r="K15" s="241"/>
      <c r="L15" s="241"/>
      <c r="M15" s="241"/>
      <c r="N15" s="241"/>
      <c r="O15" s="241"/>
      <c r="P15" s="241"/>
      <c r="Q15" s="241"/>
      <c r="R15" s="241"/>
      <c r="S15" s="241"/>
      <c r="T15" s="241"/>
      <c r="U15" s="241"/>
      <c r="V15" s="241"/>
      <c r="W15" s="241"/>
      <c r="X15" s="53"/>
    </row>
    <row r="16" spans="7:24" s="52" customFormat="1">
      <c r="G16" s="54"/>
      <c r="H16" s="55"/>
      <c r="I16" s="55"/>
      <c r="J16" s="55"/>
      <c r="K16" s="55"/>
      <c r="L16" s="55"/>
      <c r="M16" s="55"/>
      <c r="N16" s="55"/>
      <c r="O16" s="55"/>
      <c r="P16" s="55"/>
      <c r="Q16" s="55"/>
      <c r="R16" s="55"/>
      <c r="S16" s="55"/>
      <c r="T16" s="55"/>
      <c r="U16" s="55"/>
      <c r="V16" s="55"/>
      <c r="W16" s="55"/>
      <c r="X16" s="53"/>
    </row>
    <row r="17" spans="7:24" s="52" customFormat="1">
      <c r="G17" s="242" t="str">
        <f>I42</f>
        <v>　機能要件一覧</v>
      </c>
      <c r="H17" s="243"/>
      <c r="I17" s="243"/>
      <c r="J17" s="243"/>
      <c r="K17" s="243"/>
      <c r="L17" s="243"/>
      <c r="M17" s="243"/>
      <c r="N17" s="243"/>
      <c r="O17" s="243"/>
      <c r="P17" s="243"/>
      <c r="Q17" s="243"/>
      <c r="R17" s="243"/>
      <c r="S17" s="243"/>
      <c r="T17" s="243"/>
      <c r="U17" s="243"/>
      <c r="V17" s="243"/>
      <c r="W17" s="243"/>
      <c r="X17" s="53"/>
    </row>
    <row r="18" spans="7:24" s="52" customFormat="1">
      <c r="G18" s="242"/>
      <c r="H18" s="243"/>
      <c r="I18" s="243"/>
      <c r="J18" s="243"/>
      <c r="K18" s="243"/>
      <c r="L18" s="243"/>
      <c r="M18" s="243"/>
      <c r="N18" s="243"/>
      <c r="O18" s="243"/>
      <c r="P18" s="243"/>
      <c r="Q18" s="243"/>
      <c r="R18" s="243"/>
      <c r="S18" s="243"/>
      <c r="T18" s="243"/>
      <c r="U18" s="243"/>
      <c r="V18" s="243"/>
      <c r="W18" s="243"/>
      <c r="X18" s="53"/>
    </row>
    <row r="19" spans="7:24" s="52" customFormat="1">
      <c r="G19" s="54"/>
      <c r="H19" s="55"/>
      <c r="I19" s="55"/>
      <c r="J19" s="55"/>
      <c r="K19" s="55"/>
      <c r="L19" s="55"/>
      <c r="M19" s="55"/>
      <c r="N19" s="55"/>
      <c r="O19" s="55"/>
      <c r="P19" s="55"/>
      <c r="Q19" s="55"/>
      <c r="R19" s="55"/>
      <c r="S19" s="55"/>
      <c r="T19" s="55"/>
      <c r="U19" s="55"/>
      <c r="V19" s="55"/>
      <c r="W19" s="55"/>
      <c r="X19" s="53"/>
    </row>
    <row r="20" spans="7:24" s="52" customFormat="1">
      <c r="G20" s="244" t="str">
        <f>I51</f>
        <v>【 Ver 1.03 】</v>
      </c>
      <c r="H20" s="245"/>
      <c r="I20" s="245"/>
      <c r="J20" s="245"/>
      <c r="K20" s="245"/>
      <c r="L20" s="245"/>
      <c r="M20" s="245"/>
      <c r="N20" s="245"/>
      <c r="O20" s="245"/>
      <c r="P20" s="245"/>
      <c r="Q20" s="245"/>
      <c r="R20" s="245"/>
      <c r="S20" s="245"/>
      <c r="T20" s="245"/>
      <c r="U20" s="245"/>
      <c r="V20" s="245"/>
      <c r="W20" s="245"/>
      <c r="X20" s="53"/>
    </row>
    <row r="21" spans="7:24" s="52" customFormat="1">
      <c r="G21" s="244"/>
      <c r="H21" s="245"/>
      <c r="I21" s="245"/>
      <c r="J21" s="245"/>
      <c r="K21" s="245"/>
      <c r="L21" s="245"/>
      <c r="M21" s="245"/>
      <c r="N21" s="245"/>
      <c r="O21" s="245"/>
      <c r="P21" s="245"/>
      <c r="Q21" s="245"/>
      <c r="R21" s="245"/>
      <c r="S21" s="245"/>
      <c r="T21" s="245"/>
      <c r="U21" s="245"/>
      <c r="V21" s="245"/>
      <c r="W21" s="245"/>
      <c r="X21" s="53"/>
    </row>
    <row r="22" spans="7:24" s="52" customFormat="1">
      <c r="G22" s="56"/>
      <c r="H22" s="57"/>
      <c r="I22" s="57"/>
      <c r="J22" s="57"/>
      <c r="K22" s="57"/>
      <c r="L22" s="57"/>
      <c r="M22" s="57"/>
      <c r="N22" s="57"/>
      <c r="O22" s="57"/>
      <c r="P22" s="57"/>
      <c r="Q22" s="57"/>
      <c r="R22" s="57"/>
      <c r="S22" s="57"/>
      <c r="T22" s="57"/>
      <c r="U22" s="57"/>
      <c r="V22" s="57"/>
      <c r="W22" s="57"/>
      <c r="X22" s="58"/>
    </row>
    <row r="27" spans="7:24">
      <c r="J27" s="248" t="str">
        <f>TEXT(I47,"yyyy年")&amp;IF(LEFT(TEXT(I47,"mm"),1)="0"," ","")&amp;TEXT(I47,"m月")&amp;IF(LEFT(TEXT(I47,"dd"),1)="0"," ","")&amp;TEXT(I47,"d日")&amp;"作成"</f>
        <v>2023年 9月14日作成</v>
      </c>
      <c r="K27" s="249"/>
      <c r="L27" s="249"/>
      <c r="M27" s="249"/>
      <c r="N27" s="249"/>
      <c r="O27" s="249"/>
      <c r="P27" s="249"/>
      <c r="Q27" s="249"/>
      <c r="R27" s="249"/>
      <c r="S27" s="249"/>
      <c r="T27" s="249"/>
    </row>
    <row r="28" spans="7:24">
      <c r="J28" s="249"/>
      <c r="K28" s="249"/>
      <c r="L28" s="249"/>
      <c r="M28" s="249"/>
      <c r="N28" s="249"/>
      <c r="O28" s="249"/>
      <c r="P28" s="249"/>
      <c r="Q28" s="249"/>
      <c r="R28" s="249"/>
      <c r="S28" s="249"/>
      <c r="T28" s="249"/>
    </row>
    <row r="29" spans="7:24">
      <c r="J29" s="248" t="str">
        <f>IF(I49="　※ページ毎に個別入力","    年  月  日改訂",TEXT(I49,"yyyy年")&amp;IF(LEFT(TEXT(I49,"mm"),1)="0"," ","")&amp;TEXT(I49,"m月")&amp;IF(LEFT(TEXT(I49,"dd"),1)="0"," ","")&amp;TEXT(I49,"d日")&amp;"改訂")</f>
        <v>2024年 1月31日改訂</v>
      </c>
      <c r="K29" s="249"/>
      <c r="L29" s="249"/>
      <c r="M29" s="249"/>
      <c r="N29" s="249"/>
      <c r="O29" s="249"/>
      <c r="P29" s="249"/>
      <c r="Q29" s="249"/>
      <c r="R29" s="249"/>
      <c r="S29" s="249"/>
      <c r="T29" s="249"/>
    </row>
    <row r="30" spans="7:24">
      <c r="J30" s="249"/>
      <c r="K30" s="249"/>
      <c r="L30" s="249"/>
      <c r="M30" s="249"/>
      <c r="N30" s="249"/>
      <c r="O30" s="249"/>
      <c r="P30" s="249"/>
      <c r="Q30" s="249"/>
      <c r="R30" s="249"/>
      <c r="S30" s="249"/>
      <c r="T30" s="249"/>
    </row>
    <row r="38" spans="2:28" ht="36" customHeight="1">
      <c r="B38" s="246" t="s">
        <v>155</v>
      </c>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c r="AA38" s="246"/>
      <c r="AB38" s="246"/>
    </row>
    <row r="39" spans="2:28" s="60" customFormat="1" ht="23.25" customHeight="1">
      <c r="B39" s="247" t="s">
        <v>156</v>
      </c>
      <c r="C39" s="247"/>
      <c r="D39" s="247"/>
      <c r="E39" s="247"/>
      <c r="F39" s="247"/>
      <c r="G39" s="247"/>
      <c r="H39" s="247"/>
      <c r="I39" s="247" t="s">
        <v>157</v>
      </c>
      <c r="J39" s="247"/>
      <c r="K39" s="247"/>
      <c r="L39" s="247"/>
      <c r="M39" s="247"/>
      <c r="N39" s="247"/>
      <c r="O39" s="247"/>
      <c r="P39" s="247"/>
      <c r="Q39" s="247"/>
      <c r="R39" s="247"/>
      <c r="S39" s="247"/>
      <c r="T39" s="247"/>
      <c r="U39" s="247"/>
      <c r="V39" s="247"/>
      <c r="W39" s="247"/>
      <c r="X39" s="247"/>
      <c r="Y39" s="247"/>
      <c r="Z39" s="247"/>
      <c r="AA39" s="247"/>
      <c r="AB39" s="247"/>
    </row>
    <row r="40" spans="2:28" s="60" customFormat="1" ht="23.25" customHeight="1">
      <c r="B40" s="236" t="s">
        <v>158</v>
      </c>
      <c r="C40" s="236"/>
      <c r="D40" s="236"/>
      <c r="E40" s="236"/>
      <c r="F40" s="236"/>
      <c r="G40" s="236"/>
      <c r="H40" s="236"/>
      <c r="I40" s="237" t="s">
        <v>159</v>
      </c>
      <c r="J40" s="237"/>
      <c r="K40" s="237"/>
      <c r="L40" s="237"/>
      <c r="M40" s="237"/>
      <c r="N40" s="237"/>
      <c r="O40" s="237"/>
      <c r="P40" s="237"/>
      <c r="Q40" s="237"/>
      <c r="R40" s="237"/>
      <c r="S40" s="237"/>
      <c r="T40" s="237"/>
      <c r="U40" s="237"/>
      <c r="V40" s="237"/>
      <c r="W40" s="237"/>
      <c r="X40" s="237"/>
      <c r="Y40" s="237"/>
      <c r="Z40" s="237"/>
      <c r="AA40" s="237"/>
      <c r="AB40" s="237"/>
    </row>
    <row r="41" spans="2:28" s="60" customFormat="1" ht="23.25" customHeight="1">
      <c r="B41" s="236" t="s">
        <v>160</v>
      </c>
      <c r="C41" s="236"/>
      <c r="D41" s="236"/>
      <c r="E41" s="236"/>
      <c r="F41" s="236"/>
      <c r="G41" s="236"/>
      <c r="H41" s="236"/>
      <c r="I41" s="237" t="s">
        <v>161</v>
      </c>
      <c r="J41" s="237"/>
      <c r="K41" s="237"/>
      <c r="L41" s="237"/>
      <c r="M41" s="237"/>
      <c r="N41" s="237"/>
      <c r="O41" s="237"/>
      <c r="P41" s="237"/>
      <c r="Q41" s="237"/>
      <c r="R41" s="237"/>
      <c r="S41" s="237"/>
      <c r="T41" s="237"/>
      <c r="U41" s="237"/>
      <c r="V41" s="237"/>
      <c r="W41" s="237"/>
      <c r="X41" s="237"/>
      <c r="Y41" s="237"/>
      <c r="Z41" s="237"/>
      <c r="AA41" s="237"/>
      <c r="AB41" s="237"/>
    </row>
    <row r="42" spans="2:28" s="60" customFormat="1" ht="23.25" customHeight="1">
      <c r="B42" s="236" t="s">
        <v>162</v>
      </c>
      <c r="C42" s="236"/>
      <c r="D42" s="236"/>
      <c r="E42" s="236"/>
      <c r="F42" s="236"/>
      <c r="G42" s="236"/>
      <c r="H42" s="236"/>
      <c r="I42" s="237" t="s">
        <v>201</v>
      </c>
      <c r="J42" s="237"/>
      <c r="K42" s="237"/>
      <c r="L42" s="237"/>
      <c r="M42" s="237"/>
      <c r="N42" s="237"/>
      <c r="O42" s="237"/>
      <c r="P42" s="237"/>
      <c r="Q42" s="237"/>
      <c r="R42" s="237"/>
      <c r="S42" s="237"/>
      <c r="T42" s="237"/>
      <c r="U42" s="237"/>
      <c r="V42" s="237"/>
      <c r="W42" s="237"/>
      <c r="X42" s="237"/>
      <c r="Y42" s="237"/>
      <c r="Z42" s="237"/>
      <c r="AA42" s="237"/>
      <c r="AB42" s="237"/>
    </row>
    <row r="43" spans="2:28" s="60" customFormat="1" ht="23.25" customHeight="1">
      <c r="B43" s="236" t="s">
        <v>163</v>
      </c>
      <c r="C43" s="236"/>
      <c r="D43" s="236"/>
      <c r="E43" s="236"/>
      <c r="F43" s="236"/>
      <c r="G43" s="236"/>
      <c r="H43" s="236"/>
      <c r="I43" s="237" t="s">
        <v>164</v>
      </c>
      <c r="J43" s="237"/>
      <c r="K43" s="237"/>
      <c r="L43" s="237"/>
      <c r="M43" s="237"/>
      <c r="N43" s="237"/>
      <c r="O43" s="237"/>
      <c r="P43" s="237"/>
      <c r="Q43" s="237"/>
      <c r="R43" s="237"/>
      <c r="S43" s="237"/>
      <c r="T43" s="237"/>
      <c r="U43" s="237"/>
      <c r="V43" s="237"/>
      <c r="W43" s="237"/>
      <c r="X43" s="237"/>
      <c r="Y43" s="237"/>
      <c r="Z43" s="237"/>
      <c r="AA43" s="237"/>
      <c r="AB43" s="237"/>
    </row>
    <row r="44" spans="2:28" s="60" customFormat="1" ht="23.25" customHeight="1">
      <c r="B44" s="236" t="s">
        <v>165</v>
      </c>
      <c r="C44" s="236"/>
      <c r="D44" s="236"/>
      <c r="E44" s="236"/>
      <c r="F44" s="236"/>
      <c r="G44" s="236"/>
      <c r="H44" s="236"/>
      <c r="I44" s="237" t="s">
        <v>166</v>
      </c>
      <c r="J44" s="237"/>
      <c r="K44" s="237"/>
      <c r="L44" s="237"/>
      <c r="M44" s="237"/>
      <c r="N44" s="237"/>
      <c r="O44" s="237"/>
      <c r="P44" s="237"/>
      <c r="Q44" s="237"/>
      <c r="R44" s="237"/>
      <c r="S44" s="237"/>
      <c r="T44" s="237"/>
      <c r="U44" s="237"/>
      <c r="V44" s="237"/>
      <c r="W44" s="237"/>
      <c r="X44" s="237"/>
      <c r="Y44" s="237"/>
      <c r="Z44" s="237"/>
      <c r="AA44" s="237"/>
      <c r="AB44" s="237"/>
    </row>
    <row r="45" spans="2:28" s="60" customFormat="1" ht="23.25" customHeight="1">
      <c r="B45" s="236" t="s">
        <v>167</v>
      </c>
      <c r="C45" s="236"/>
      <c r="D45" s="236"/>
      <c r="E45" s="236"/>
      <c r="F45" s="236"/>
      <c r="G45" s="236"/>
      <c r="H45" s="236"/>
      <c r="I45" s="237" t="s">
        <v>168</v>
      </c>
      <c r="J45" s="237"/>
      <c r="K45" s="237"/>
      <c r="L45" s="237"/>
      <c r="M45" s="237"/>
      <c r="N45" s="237"/>
      <c r="O45" s="237"/>
      <c r="P45" s="237"/>
      <c r="Q45" s="237"/>
      <c r="R45" s="237"/>
      <c r="S45" s="237"/>
      <c r="T45" s="237"/>
      <c r="U45" s="237"/>
      <c r="V45" s="237"/>
      <c r="W45" s="237"/>
      <c r="X45" s="237"/>
      <c r="Y45" s="237"/>
      <c r="Z45" s="237"/>
      <c r="AA45" s="237"/>
      <c r="AB45" s="237"/>
    </row>
    <row r="46" spans="2:28" s="60" customFormat="1" ht="23.25" customHeight="1">
      <c r="B46" s="236" t="s">
        <v>169</v>
      </c>
      <c r="C46" s="236"/>
      <c r="D46" s="236"/>
      <c r="E46" s="236"/>
      <c r="F46" s="236"/>
      <c r="G46" s="236"/>
      <c r="H46" s="236"/>
      <c r="I46" s="237" t="s">
        <v>170</v>
      </c>
      <c r="J46" s="237"/>
      <c r="K46" s="237"/>
      <c r="L46" s="237"/>
      <c r="M46" s="237"/>
      <c r="N46" s="237"/>
      <c r="O46" s="237"/>
      <c r="P46" s="237"/>
      <c r="Q46" s="237"/>
      <c r="R46" s="237"/>
      <c r="S46" s="237"/>
      <c r="T46" s="237"/>
      <c r="U46" s="237"/>
      <c r="V46" s="237"/>
      <c r="W46" s="237"/>
      <c r="X46" s="237"/>
      <c r="Y46" s="237"/>
      <c r="Z46" s="237"/>
      <c r="AA46" s="237"/>
      <c r="AB46" s="237"/>
    </row>
    <row r="47" spans="2:28" s="60" customFormat="1" ht="23.25" customHeight="1">
      <c r="B47" s="236" t="s">
        <v>171</v>
      </c>
      <c r="C47" s="236"/>
      <c r="D47" s="236"/>
      <c r="E47" s="236"/>
      <c r="F47" s="236"/>
      <c r="G47" s="236"/>
      <c r="H47" s="236"/>
      <c r="I47" s="238">
        <v>45183</v>
      </c>
      <c r="J47" s="239"/>
      <c r="K47" s="239"/>
      <c r="L47" s="239"/>
      <c r="M47" s="239"/>
      <c r="N47" s="239"/>
      <c r="O47" s="239"/>
      <c r="P47" s="239"/>
      <c r="Q47" s="239"/>
      <c r="R47" s="239"/>
      <c r="S47" s="237"/>
      <c r="T47" s="237"/>
      <c r="U47" s="237"/>
      <c r="V47" s="237"/>
      <c r="W47" s="237"/>
      <c r="X47" s="237"/>
      <c r="Y47" s="237"/>
      <c r="Z47" s="237"/>
      <c r="AA47" s="237"/>
      <c r="AB47" s="237"/>
    </row>
    <row r="48" spans="2:28" s="60" customFormat="1" ht="24" customHeight="1">
      <c r="B48" s="236" t="s">
        <v>172</v>
      </c>
      <c r="C48" s="236"/>
      <c r="D48" s="236"/>
      <c r="E48" s="236"/>
      <c r="F48" s="236"/>
      <c r="G48" s="236"/>
      <c r="H48" s="236"/>
      <c r="I48" s="237" t="s">
        <v>168</v>
      </c>
      <c r="J48" s="237"/>
      <c r="K48" s="237"/>
      <c r="L48" s="237"/>
      <c r="M48" s="237"/>
      <c r="N48" s="237"/>
      <c r="O48" s="237"/>
      <c r="P48" s="237"/>
      <c r="Q48" s="237"/>
      <c r="R48" s="237"/>
      <c r="S48" s="237"/>
      <c r="T48" s="237"/>
      <c r="U48" s="237"/>
      <c r="V48" s="237"/>
      <c r="W48" s="237"/>
      <c r="X48" s="237"/>
      <c r="Y48" s="237"/>
      <c r="Z48" s="237"/>
      <c r="AA48" s="237"/>
      <c r="AB48" s="237"/>
    </row>
    <row r="49" spans="2:28" s="60" customFormat="1" ht="24" customHeight="1">
      <c r="B49" s="236" t="s">
        <v>173</v>
      </c>
      <c r="C49" s="236"/>
      <c r="D49" s="236"/>
      <c r="E49" s="236"/>
      <c r="F49" s="236"/>
      <c r="G49" s="236"/>
      <c r="H49" s="236"/>
      <c r="I49" s="237" t="str">
        <f>TEXT(MAX(改訂履歴!J5:J1007),"yyyy/mm/dd")</f>
        <v>2024/01/31</v>
      </c>
      <c r="J49" s="237"/>
      <c r="K49" s="237"/>
      <c r="L49" s="237"/>
      <c r="M49" s="237"/>
      <c r="N49" s="237"/>
      <c r="O49" s="237"/>
      <c r="P49" s="237"/>
      <c r="Q49" s="237"/>
      <c r="R49" s="237"/>
      <c r="S49" s="237"/>
      <c r="T49" s="237"/>
      <c r="U49" s="237"/>
      <c r="V49" s="237"/>
      <c r="W49" s="237"/>
      <c r="X49" s="237"/>
      <c r="Y49" s="237"/>
      <c r="Z49" s="237"/>
      <c r="AA49" s="237"/>
      <c r="AB49" s="237"/>
    </row>
    <row r="50" spans="2:28" s="60" customFormat="1" ht="24" customHeight="1">
      <c r="B50" s="236" t="s">
        <v>174</v>
      </c>
      <c r="C50" s="236"/>
      <c r="D50" s="236"/>
      <c r="E50" s="236"/>
      <c r="F50" s="236"/>
      <c r="G50" s="236"/>
      <c r="H50" s="236"/>
      <c r="I50" s="237" t="s">
        <v>193</v>
      </c>
      <c r="J50" s="237"/>
      <c r="K50" s="237"/>
      <c r="L50" s="237"/>
      <c r="M50" s="237"/>
      <c r="N50" s="237"/>
      <c r="O50" s="237"/>
      <c r="P50" s="237"/>
      <c r="Q50" s="237"/>
      <c r="R50" s="237"/>
      <c r="S50" s="237"/>
      <c r="T50" s="237"/>
      <c r="U50" s="237"/>
      <c r="V50" s="237"/>
      <c r="W50" s="237"/>
      <c r="X50" s="237"/>
      <c r="Y50" s="237"/>
      <c r="Z50" s="237"/>
      <c r="AA50" s="237"/>
      <c r="AB50" s="237"/>
    </row>
    <row r="51" spans="2:28" s="60" customFormat="1" ht="24" customHeight="1">
      <c r="B51" s="236" t="s">
        <v>175</v>
      </c>
      <c r="C51" s="236"/>
      <c r="D51" s="236"/>
      <c r="E51" s="236"/>
      <c r="F51" s="236"/>
      <c r="G51" s="236"/>
      <c r="H51" s="236"/>
      <c r="I51" s="237" t="str">
        <f>"【 Ver " &amp; TEXT(MAX(改訂履歴!E5:E1007),"0.00") &amp; " 】"</f>
        <v>【 Ver 1.03 】</v>
      </c>
      <c r="J51" s="237"/>
      <c r="K51" s="237"/>
      <c r="L51" s="237"/>
      <c r="M51" s="237"/>
      <c r="N51" s="237"/>
      <c r="O51" s="237"/>
      <c r="P51" s="237"/>
      <c r="Q51" s="237"/>
      <c r="R51" s="237"/>
      <c r="S51" s="237"/>
      <c r="T51" s="237"/>
      <c r="U51" s="237"/>
      <c r="V51" s="237"/>
      <c r="W51" s="237"/>
      <c r="X51" s="237"/>
      <c r="Y51" s="237"/>
      <c r="Z51" s="237"/>
      <c r="AA51" s="237"/>
      <c r="AB51" s="237"/>
    </row>
    <row r="53" spans="2:28">
      <c r="B53" s="59" t="s">
        <v>176</v>
      </c>
    </row>
    <row r="55" spans="2:28">
      <c r="B55" s="59" t="s">
        <v>177</v>
      </c>
    </row>
    <row r="57" spans="2:28">
      <c r="B57" s="59" t="s">
        <v>178</v>
      </c>
    </row>
    <row r="59" spans="2:28">
      <c r="B59" s="59" t="s">
        <v>179</v>
      </c>
    </row>
    <row r="61" spans="2:28">
      <c r="B61" s="59" t="s">
        <v>180</v>
      </c>
    </row>
    <row r="63" spans="2:28">
      <c r="C63" s="59" t="s">
        <v>181</v>
      </c>
    </row>
    <row r="65" spans="2:12">
      <c r="C65" s="59" t="s">
        <v>182</v>
      </c>
    </row>
    <row r="67" spans="2:12">
      <c r="B67" s="59" t="s">
        <v>183</v>
      </c>
    </row>
    <row r="69" spans="2:12">
      <c r="C69" s="59" t="s">
        <v>184</v>
      </c>
      <c r="J69" s="59" t="s">
        <v>185</v>
      </c>
      <c r="L69" s="59" t="s">
        <v>186</v>
      </c>
    </row>
    <row r="71" spans="2:12">
      <c r="D71" s="59" t="s">
        <v>187</v>
      </c>
      <c r="J71" s="59" t="s">
        <v>185</v>
      </c>
      <c r="L71" s="59" t="s">
        <v>188</v>
      </c>
    </row>
    <row r="72" spans="2:12">
      <c r="L72" s="59" t="s">
        <v>189</v>
      </c>
    </row>
    <row r="73" spans="2:12">
      <c r="L73" s="59" t="s">
        <v>190</v>
      </c>
    </row>
    <row r="75" spans="2:12">
      <c r="E75" s="59" t="s">
        <v>191</v>
      </c>
    </row>
    <row r="78" spans="2:12">
      <c r="F78" s="59" t="s">
        <v>192</v>
      </c>
    </row>
  </sheetData>
  <mergeCells count="33">
    <mergeCell ref="I42:AB42"/>
    <mergeCell ref="G11:W12"/>
    <mergeCell ref="G14:W15"/>
    <mergeCell ref="G17:W18"/>
    <mergeCell ref="G20:W21"/>
    <mergeCell ref="B38:AB38"/>
    <mergeCell ref="B39:H39"/>
    <mergeCell ref="I39:AB39"/>
    <mergeCell ref="J27:T28"/>
    <mergeCell ref="J29:T30"/>
    <mergeCell ref="B40:H40"/>
    <mergeCell ref="I40:AB40"/>
    <mergeCell ref="B41:H41"/>
    <mergeCell ref="I41:AB41"/>
    <mergeCell ref="B42:H42"/>
    <mergeCell ref="B51:H51"/>
    <mergeCell ref="I51:AB51"/>
    <mergeCell ref="B46:H46"/>
    <mergeCell ref="I46:AB46"/>
    <mergeCell ref="B47:H47"/>
    <mergeCell ref="I47:AB47"/>
    <mergeCell ref="B48:H48"/>
    <mergeCell ref="I48:AB48"/>
    <mergeCell ref="B49:H49"/>
    <mergeCell ref="I49:AB49"/>
    <mergeCell ref="B50:H50"/>
    <mergeCell ref="I50:AB50"/>
    <mergeCell ref="B43:H43"/>
    <mergeCell ref="I43:AB43"/>
    <mergeCell ref="B44:H44"/>
    <mergeCell ref="I44:AB44"/>
    <mergeCell ref="B45:H45"/>
    <mergeCell ref="I45:AB45"/>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2AAF-D7BB-4DFE-A6C0-AEB431010E37}">
  <sheetPr codeName="Sheet2"/>
  <dimension ref="A1:BX28"/>
  <sheetViews>
    <sheetView zoomScale="85" zoomScaleNormal="85" workbookViewId="0"/>
  </sheetViews>
  <sheetFormatPr defaultColWidth="1.875" defaultRowHeight="15" customHeight="1"/>
  <cols>
    <col min="1" max="4" width="1.875" style="52" customWidth="1"/>
    <col min="5" max="9" width="1.875" style="82" customWidth="1"/>
    <col min="10" max="26" width="1.875" style="52" customWidth="1"/>
    <col min="27" max="33" width="2.375" style="52" customWidth="1"/>
    <col min="34" max="16384" width="1.875" style="52"/>
  </cols>
  <sheetData>
    <row r="1" spans="1:76" ht="15" customHeight="1">
      <c r="A1" s="52" t="s">
        <v>227</v>
      </c>
    </row>
    <row r="2" spans="1:76" ht="15" customHeight="1">
      <c r="BW2" s="83"/>
    </row>
    <row r="3" spans="1:76" s="84" customFormat="1" ht="15" customHeight="1">
      <c r="A3" s="269" t="s">
        <v>228</v>
      </c>
      <c r="B3" s="269"/>
      <c r="C3" s="269"/>
      <c r="D3" s="269"/>
      <c r="E3" s="280" t="s">
        <v>229</v>
      </c>
      <c r="F3" s="281"/>
      <c r="G3" s="281"/>
      <c r="H3" s="281"/>
      <c r="I3" s="282"/>
      <c r="J3" s="286" t="s">
        <v>230</v>
      </c>
      <c r="K3" s="287"/>
      <c r="L3" s="287"/>
      <c r="M3" s="287"/>
      <c r="N3" s="287"/>
      <c r="O3" s="287"/>
      <c r="P3" s="287"/>
      <c r="Q3" s="288"/>
      <c r="R3" s="269" t="s">
        <v>231</v>
      </c>
      <c r="S3" s="269"/>
      <c r="T3" s="269"/>
      <c r="U3" s="269"/>
      <c r="V3" s="269"/>
      <c r="W3" s="269" t="s">
        <v>232</v>
      </c>
      <c r="X3" s="269"/>
      <c r="Y3" s="269"/>
      <c r="Z3" s="269"/>
      <c r="AA3" s="269"/>
      <c r="AB3" s="269"/>
      <c r="AC3" s="269"/>
      <c r="AD3" s="269"/>
      <c r="AE3" s="269"/>
      <c r="AF3" s="269"/>
      <c r="AG3" s="269"/>
      <c r="AH3" s="269" t="s">
        <v>233</v>
      </c>
      <c r="AI3" s="269"/>
      <c r="AJ3" s="269"/>
      <c r="AK3" s="269"/>
      <c r="AL3" s="269"/>
      <c r="AM3" s="269"/>
      <c r="AN3" s="269"/>
      <c r="AO3" s="269"/>
      <c r="AP3" s="269"/>
      <c r="AQ3" s="269"/>
      <c r="AR3" s="269"/>
      <c r="AS3" s="269"/>
      <c r="AT3" s="269"/>
      <c r="AU3" s="269"/>
      <c r="AV3" s="269"/>
      <c r="AW3" s="269"/>
      <c r="AX3" s="269"/>
      <c r="AY3" s="269"/>
      <c r="AZ3" s="269"/>
      <c r="BA3" s="269"/>
      <c r="BB3" s="269"/>
      <c r="BC3" s="269"/>
      <c r="BD3" s="269"/>
      <c r="BE3" s="269"/>
      <c r="BF3" s="269"/>
      <c r="BG3" s="269"/>
      <c r="BH3" s="269"/>
      <c r="BI3" s="269"/>
      <c r="BJ3" s="269"/>
      <c r="BK3" s="269"/>
      <c r="BL3" s="269"/>
      <c r="BM3" s="269"/>
      <c r="BN3" s="269"/>
      <c r="BO3" s="269"/>
      <c r="BP3" s="269"/>
      <c r="BQ3" s="269"/>
      <c r="BR3" s="269" t="s">
        <v>234</v>
      </c>
      <c r="BS3" s="269"/>
      <c r="BT3" s="269"/>
      <c r="BU3" s="269"/>
      <c r="BV3" s="269"/>
      <c r="BW3" s="269"/>
      <c r="BX3" s="269"/>
    </row>
    <row r="4" spans="1:76" s="84" customFormat="1" ht="15" customHeight="1">
      <c r="A4" s="269"/>
      <c r="B4" s="269"/>
      <c r="C4" s="269"/>
      <c r="D4" s="269"/>
      <c r="E4" s="283"/>
      <c r="F4" s="284"/>
      <c r="G4" s="284"/>
      <c r="H4" s="284"/>
      <c r="I4" s="285"/>
      <c r="J4" s="289"/>
      <c r="K4" s="290"/>
      <c r="L4" s="290"/>
      <c r="M4" s="290"/>
      <c r="N4" s="290"/>
      <c r="O4" s="290"/>
      <c r="P4" s="290"/>
      <c r="Q4" s="291"/>
      <c r="R4" s="269"/>
      <c r="S4" s="269"/>
      <c r="T4" s="269"/>
      <c r="U4" s="269"/>
      <c r="V4" s="269"/>
      <c r="W4" s="269" t="s">
        <v>235</v>
      </c>
      <c r="X4" s="269"/>
      <c r="Y4" s="269"/>
      <c r="Z4" s="269"/>
      <c r="AA4" s="269" t="s">
        <v>236</v>
      </c>
      <c r="AB4" s="269"/>
      <c r="AC4" s="269"/>
      <c r="AD4" s="269"/>
      <c r="AE4" s="269"/>
      <c r="AF4" s="269"/>
      <c r="AG4" s="269"/>
      <c r="AH4" s="269"/>
      <c r="AI4" s="269"/>
      <c r="AJ4" s="269"/>
      <c r="AK4" s="269"/>
      <c r="AL4" s="269"/>
      <c r="AM4" s="269"/>
      <c r="AN4" s="269"/>
      <c r="AO4" s="269"/>
      <c r="AP4" s="269"/>
      <c r="AQ4" s="269"/>
      <c r="AR4" s="269"/>
      <c r="AS4" s="269"/>
      <c r="AT4" s="269"/>
      <c r="AU4" s="269"/>
      <c r="AV4" s="269"/>
      <c r="AW4" s="269"/>
      <c r="AX4" s="269"/>
      <c r="AY4" s="269"/>
      <c r="AZ4" s="269"/>
      <c r="BA4" s="269"/>
      <c r="BB4" s="269"/>
      <c r="BC4" s="269"/>
      <c r="BD4" s="269"/>
      <c r="BE4" s="269"/>
      <c r="BF4" s="269"/>
      <c r="BG4" s="269"/>
      <c r="BH4" s="269"/>
      <c r="BI4" s="269"/>
      <c r="BJ4" s="269"/>
      <c r="BK4" s="269"/>
      <c r="BL4" s="269"/>
      <c r="BM4" s="269"/>
      <c r="BN4" s="269"/>
      <c r="BO4" s="269"/>
      <c r="BP4" s="269"/>
      <c r="BQ4" s="269"/>
      <c r="BR4" s="269"/>
      <c r="BS4" s="269"/>
      <c r="BT4" s="269"/>
      <c r="BU4" s="269"/>
      <c r="BV4" s="269"/>
      <c r="BW4" s="269"/>
      <c r="BX4" s="269"/>
    </row>
    <row r="5" spans="1:76" ht="15" customHeight="1">
      <c r="A5" s="270">
        <v>1</v>
      </c>
      <c r="B5" s="270"/>
      <c r="C5" s="270"/>
      <c r="D5" s="270"/>
      <c r="E5" s="271">
        <v>1</v>
      </c>
      <c r="F5" s="272"/>
      <c r="G5" s="272"/>
      <c r="H5" s="272"/>
      <c r="I5" s="273"/>
      <c r="J5" s="274">
        <f>タイトル!I47</f>
        <v>45183</v>
      </c>
      <c r="K5" s="275"/>
      <c r="L5" s="275"/>
      <c r="M5" s="275"/>
      <c r="N5" s="275"/>
      <c r="O5" s="275"/>
      <c r="P5" s="275"/>
      <c r="Q5" s="276"/>
      <c r="R5" s="277" t="s">
        <v>237</v>
      </c>
      <c r="S5" s="278"/>
      <c r="T5" s="278"/>
      <c r="U5" s="278"/>
      <c r="V5" s="279"/>
      <c r="W5" s="255"/>
      <c r="X5" s="256"/>
      <c r="Y5" s="256"/>
      <c r="Z5" s="257"/>
      <c r="AA5" s="259"/>
      <c r="AB5" s="260"/>
      <c r="AC5" s="260"/>
      <c r="AD5" s="260"/>
      <c r="AE5" s="260"/>
      <c r="AF5" s="260"/>
      <c r="AG5" s="261"/>
      <c r="AH5" s="266" t="s">
        <v>238</v>
      </c>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8" t="s">
        <v>170</v>
      </c>
      <c r="BS5" s="268"/>
      <c r="BT5" s="268"/>
      <c r="BU5" s="268"/>
      <c r="BV5" s="268"/>
      <c r="BW5" s="268"/>
      <c r="BX5" s="268"/>
    </row>
    <row r="6" spans="1:76" ht="15" customHeight="1">
      <c r="A6" s="250">
        <v>2</v>
      </c>
      <c r="B6" s="250"/>
      <c r="C6" s="250"/>
      <c r="D6" s="250"/>
      <c r="E6" s="251">
        <v>1.01</v>
      </c>
      <c r="F6" s="251"/>
      <c r="G6" s="251"/>
      <c r="H6" s="251"/>
      <c r="I6" s="251"/>
      <c r="J6" s="265">
        <v>45190</v>
      </c>
      <c r="K6" s="265"/>
      <c r="L6" s="265"/>
      <c r="M6" s="265"/>
      <c r="N6" s="265"/>
      <c r="O6" s="265"/>
      <c r="P6" s="265"/>
      <c r="Q6" s="265"/>
      <c r="R6" s="250" t="s">
        <v>240</v>
      </c>
      <c r="S6" s="250"/>
      <c r="T6" s="250"/>
      <c r="U6" s="250"/>
      <c r="V6" s="250"/>
      <c r="W6" s="250"/>
      <c r="X6" s="250"/>
      <c r="Y6" s="250"/>
      <c r="Z6" s="250"/>
      <c r="AA6" s="258" t="s">
        <v>239</v>
      </c>
      <c r="AB6" s="258"/>
      <c r="AC6" s="258"/>
      <c r="AD6" s="258"/>
      <c r="AE6" s="258"/>
      <c r="AF6" s="258"/>
      <c r="AG6" s="258"/>
      <c r="AH6" s="258" t="s">
        <v>258</v>
      </c>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8" t="s">
        <v>170</v>
      </c>
      <c r="BS6" s="268"/>
      <c r="BT6" s="268"/>
      <c r="BU6" s="268"/>
      <c r="BV6" s="268"/>
      <c r="BW6" s="268"/>
      <c r="BX6" s="268"/>
    </row>
    <row r="7" spans="1:76" ht="30" customHeight="1">
      <c r="A7" s="250">
        <v>3</v>
      </c>
      <c r="B7" s="250"/>
      <c r="C7" s="250"/>
      <c r="D7" s="250"/>
      <c r="E7" s="251"/>
      <c r="F7" s="251"/>
      <c r="G7" s="251"/>
      <c r="H7" s="251"/>
      <c r="I7" s="251"/>
      <c r="J7" s="265">
        <v>45190</v>
      </c>
      <c r="K7" s="265"/>
      <c r="L7" s="265"/>
      <c r="M7" s="265"/>
      <c r="N7" s="265"/>
      <c r="O7" s="265"/>
      <c r="P7" s="265"/>
      <c r="Q7" s="265"/>
      <c r="R7" s="250" t="s">
        <v>240</v>
      </c>
      <c r="S7" s="250"/>
      <c r="T7" s="250"/>
      <c r="U7" s="250"/>
      <c r="V7" s="250"/>
      <c r="W7" s="250"/>
      <c r="X7" s="250"/>
      <c r="Y7" s="250"/>
      <c r="Z7" s="250"/>
      <c r="AA7" s="258" t="s">
        <v>251</v>
      </c>
      <c r="AB7" s="258"/>
      <c r="AC7" s="258"/>
      <c r="AD7" s="258"/>
      <c r="AE7" s="258"/>
      <c r="AF7" s="258"/>
      <c r="AG7" s="258"/>
      <c r="AH7" s="258" t="s">
        <v>250</v>
      </c>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8" t="s">
        <v>170</v>
      </c>
      <c r="BS7" s="268"/>
      <c r="BT7" s="268"/>
      <c r="BU7" s="268"/>
      <c r="BV7" s="268"/>
      <c r="BW7" s="268"/>
      <c r="BX7" s="268"/>
    </row>
    <row r="8" spans="1:76" ht="30" customHeight="1">
      <c r="A8" s="250">
        <v>4</v>
      </c>
      <c r="B8" s="250"/>
      <c r="C8" s="250"/>
      <c r="D8" s="250"/>
      <c r="E8" s="251"/>
      <c r="F8" s="251"/>
      <c r="G8" s="251"/>
      <c r="H8" s="251"/>
      <c r="I8" s="251"/>
      <c r="J8" s="265">
        <v>45190</v>
      </c>
      <c r="K8" s="265"/>
      <c r="L8" s="265"/>
      <c r="M8" s="265"/>
      <c r="N8" s="265"/>
      <c r="O8" s="265"/>
      <c r="P8" s="265"/>
      <c r="Q8" s="265"/>
      <c r="R8" s="250" t="s">
        <v>240</v>
      </c>
      <c r="S8" s="250"/>
      <c r="T8" s="250"/>
      <c r="U8" s="250"/>
      <c r="V8" s="250"/>
      <c r="W8" s="250"/>
      <c r="X8" s="250"/>
      <c r="Y8" s="250"/>
      <c r="Z8" s="250"/>
      <c r="AA8" s="258" t="s">
        <v>252</v>
      </c>
      <c r="AB8" s="258"/>
      <c r="AC8" s="258"/>
      <c r="AD8" s="258"/>
      <c r="AE8" s="258"/>
      <c r="AF8" s="258"/>
      <c r="AG8" s="258"/>
      <c r="AH8" s="259" t="s">
        <v>253</v>
      </c>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c r="BH8" s="260"/>
      <c r="BI8" s="260"/>
      <c r="BJ8" s="260"/>
      <c r="BK8" s="260"/>
      <c r="BL8" s="260"/>
      <c r="BM8" s="260"/>
      <c r="BN8" s="260"/>
      <c r="BO8" s="260"/>
      <c r="BP8" s="260"/>
      <c r="BQ8" s="261"/>
      <c r="BR8" s="262" t="s">
        <v>170</v>
      </c>
      <c r="BS8" s="263"/>
      <c r="BT8" s="263"/>
      <c r="BU8" s="263"/>
      <c r="BV8" s="263"/>
      <c r="BW8" s="263"/>
      <c r="BX8" s="264"/>
    </row>
    <row r="9" spans="1:76" ht="30" customHeight="1">
      <c r="A9" s="250">
        <v>5</v>
      </c>
      <c r="B9" s="250"/>
      <c r="C9" s="250"/>
      <c r="D9" s="250"/>
      <c r="E9" s="251"/>
      <c r="F9" s="251"/>
      <c r="G9" s="251"/>
      <c r="H9" s="251"/>
      <c r="I9" s="251"/>
      <c r="J9" s="265">
        <v>45190</v>
      </c>
      <c r="K9" s="265"/>
      <c r="L9" s="265"/>
      <c r="M9" s="265"/>
      <c r="N9" s="265"/>
      <c r="O9" s="265"/>
      <c r="P9" s="265"/>
      <c r="Q9" s="265"/>
      <c r="R9" s="250" t="s">
        <v>255</v>
      </c>
      <c r="S9" s="250"/>
      <c r="T9" s="250"/>
      <c r="U9" s="250"/>
      <c r="V9" s="250"/>
      <c r="W9" s="250"/>
      <c r="X9" s="250"/>
      <c r="Y9" s="250"/>
      <c r="Z9" s="250"/>
      <c r="AA9" s="258" t="s">
        <v>251</v>
      </c>
      <c r="AB9" s="258"/>
      <c r="AC9" s="258"/>
      <c r="AD9" s="258"/>
      <c r="AE9" s="258"/>
      <c r="AF9" s="258"/>
      <c r="AG9" s="258"/>
      <c r="AH9" s="258" t="s">
        <v>256</v>
      </c>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8" t="s">
        <v>170</v>
      </c>
      <c r="BS9" s="268"/>
      <c r="BT9" s="268"/>
      <c r="BU9" s="268"/>
      <c r="BV9" s="268"/>
      <c r="BW9" s="268"/>
      <c r="BX9" s="268"/>
    </row>
    <row r="10" spans="1:76" ht="30" customHeight="1">
      <c r="A10" s="250">
        <v>6</v>
      </c>
      <c r="B10" s="250"/>
      <c r="C10" s="250"/>
      <c r="D10" s="250"/>
      <c r="E10" s="251"/>
      <c r="F10" s="251"/>
      <c r="G10" s="251"/>
      <c r="H10" s="251"/>
      <c r="I10" s="251"/>
      <c r="J10" s="265">
        <v>45190</v>
      </c>
      <c r="K10" s="265"/>
      <c r="L10" s="265"/>
      <c r="M10" s="265"/>
      <c r="N10" s="265"/>
      <c r="O10" s="265"/>
      <c r="P10" s="265"/>
      <c r="Q10" s="265"/>
      <c r="R10" s="250" t="s">
        <v>255</v>
      </c>
      <c r="S10" s="250"/>
      <c r="T10" s="250"/>
      <c r="U10" s="250"/>
      <c r="V10" s="250"/>
      <c r="W10" s="250"/>
      <c r="X10" s="250"/>
      <c r="Y10" s="250"/>
      <c r="Z10" s="250"/>
      <c r="AA10" s="258" t="s">
        <v>239</v>
      </c>
      <c r="AB10" s="258"/>
      <c r="AC10" s="258"/>
      <c r="AD10" s="258"/>
      <c r="AE10" s="258"/>
      <c r="AF10" s="258"/>
      <c r="AG10" s="258"/>
      <c r="AH10" s="258" t="s">
        <v>259</v>
      </c>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2" t="s">
        <v>170</v>
      </c>
      <c r="BS10" s="263"/>
      <c r="BT10" s="263"/>
      <c r="BU10" s="263"/>
      <c r="BV10" s="263"/>
      <c r="BW10" s="263"/>
      <c r="BX10" s="264"/>
    </row>
    <row r="11" spans="1:76" ht="15" customHeight="1">
      <c r="A11" s="250">
        <v>7</v>
      </c>
      <c r="B11" s="250"/>
      <c r="C11" s="250"/>
      <c r="D11" s="250"/>
      <c r="E11" s="251"/>
      <c r="F11" s="251"/>
      <c r="G11" s="251"/>
      <c r="H11" s="251"/>
      <c r="I11" s="251"/>
      <c r="J11" s="265">
        <v>45190</v>
      </c>
      <c r="K11" s="265"/>
      <c r="L11" s="265"/>
      <c r="M11" s="265"/>
      <c r="N11" s="265"/>
      <c r="O11" s="265"/>
      <c r="P11" s="265"/>
      <c r="Q11" s="265"/>
      <c r="R11" s="250" t="s">
        <v>255</v>
      </c>
      <c r="S11" s="250"/>
      <c r="T11" s="250"/>
      <c r="U11" s="250"/>
      <c r="V11" s="250"/>
      <c r="W11" s="250"/>
      <c r="X11" s="250"/>
      <c r="Y11" s="250"/>
      <c r="Z11" s="250"/>
      <c r="AA11" s="258" t="s">
        <v>239</v>
      </c>
      <c r="AB11" s="258"/>
      <c r="AC11" s="258"/>
      <c r="AD11" s="258"/>
      <c r="AE11" s="258"/>
      <c r="AF11" s="258"/>
      <c r="AG11" s="258"/>
      <c r="AH11" s="258" t="s">
        <v>260</v>
      </c>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2" t="s">
        <v>170</v>
      </c>
      <c r="BS11" s="263"/>
      <c r="BT11" s="263"/>
      <c r="BU11" s="263"/>
      <c r="BV11" s="263"/>
      <c r="BW11" s="263"/>
      <c r="BX11" s="264"/>
    </row>
    <row r="12" spans="1:76" ht="15" customHeight="1">
      <c r="A12" s="250">
        <v>8</v>
      </c>
      <c r="B12" s="250"/>
      <c r="C12" s="250"/>
      <c r="D12" s="250"/>
      <c r="E12" s="251"/>
      <c r="F12" s="251"/>
      <c r="G12" s="251"/>
      <c r="H12" s="251"/>
      <c r="I12" s="251"/>
      <c r="J12" s="265">
        <v>45190</v>
      </c>
      <c r="K12" s="265"/>
      <c r="L12" s="265"/>
      <c r="M12" s="265"/>
      <c r="N12" s="265"/>
      <c r="O12" s="265"/>
      <c r="P12" s="265"/>
      <c r="Q12" s="265"/>
      <c r="R12" s="250" t="s">
        <v>255</v>
      </c>
      <c r="S12" s="250"/>
      <c r="T12" s="250"/>
      <c r="U12" s="250"/>
      <c r="V12" s="250"/>
      <c r="W12" s="250"/>
      <c r="X12" s="250"/>
      <c r="Y12" s="250"/>
      <c r="Z12" s="250"/>
      <c r="AA12" s="258" t="s">
        <v>239</v>
      </c>
      <c r="AB12" s="258"/>
      <c r="AC12" s="258"/>
      <c r="AD12" s="258"/>
      <c r="AE12" s="258"/>
      <c r="AF12" s="258"/>
      <c r="AG12" s="258"/>
      <c r="AH12" s="258" t="s">
        <v>261</v>
      </c>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2" t="s">
        <v>170</v>
      </c>
      <c r="BS12" s="263"/>
      <c r="BT12" s="263"/>
      <c r="BU12" s="263"/>
      <c r="BV12" s="263"/>
      <c r="BW12" s="263"/>
      <c r="BX12" s="264"/>
    </row>
    <row r="13" spans="1:76" ht="15" customHeight="1">
      <c r="A13" s="250">
        <v>9</v>
      </c>
      <c r="B13" s="250"/>
      <c r="C13" s="250"/>
      <c r="D13" s="250"/>
      <c r="E13" s="251"/>
      <c r="F13" s="251"/>
      <c r="G13" s="251"/>
      <c r="H13" s="251"/>
      <c r="I13" s="251"/>
      <c r="J13" s="265">
        <v>45190</v>
      </c>
      <c r="K13" s="265"/>
      <c r="L13" s="265"/>
      <c r="M13" s="265"/>
      <c r="N13" s="265"/>
      <c r="O13" s="265"/>
      <c r="P13" s="265"/>
      <c r="Q13" s="265"/>
      <c r="R13" s="250" t="s">
        <v>255</v>
      </c>
      <c r="S13" s="250"/>
      <c r="T13" s="250"/>
      <c r="U13" s="250"/>
      <c r="V13" s="250"/>
      <c r="W13" s="250"/>
      <c r="X13" s="250"/>
      <c r="Y13" s="250"/>
      <c r="Z13" s="250"/>
      <c r="AA13" s="258" t="s">
        <v>239</v>
      </c>
      <c r="AB13" s="258"/>
      <c r="AC13" s="258"/>
      <c r="AD13" s="258"/>
      <c r="AE13" s="258"/>
      <c r="AF13" s="258"/>
      <c r="AG13" s="258"/>
      <c r="AH13" s="258" t="s">
        <v>262</v>
      </c>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2" t="s">
        <v>170</v>
      </c>
      <c r="BS13" s="263"/>
      <c r="BT13" s="263"/>
      <c r="BU13" s="263"/>
      <c r="BV13" s="263"/>
      <c r="BW13" s="263"/>
      <c r="BX13" s="264"/>
    </row>
    <row r="14" spans="1:76" ht="15" customHeight="1">
      <c r="A14" s="250">
        <v>10</v>
      </c>
      <c r="B14" s="250"/>
      <c r="C14" s="250"/>
      <c r="D14" s="250"/>
      <c r="E14" s="251"/>
      <c r="F14" s="251"/>
      <c r="G14" s="251"/>
      <c r="H14" s="251"/>
      <c r="I14" s="251"/>
      <c r="J14" s="265">
        <v>45190</v>
      </c>
      <c r="K14" s="265"/>
      <c r="L14" s="265"/>
      <c r="M14" s="265"/>
      <c r="N14" s="265"/>
      <c r="O14" s="265"/>
      <c r="P14" s="265"/>
      <c r="Q14" s="265"/>
      <c r="R14" s="250" t="s">
        <v>255</v>
      </c>
      <c r="S14" s="250"/>
      <c r="T14" s="250"/>
      <c r="U14" s="250"/>
      <c r="V14" s="250"/>
      <c r="W14" s="250"/>
      <c r="X14" s="250"/>
      <c r="Y14" s="250"/>
      <c r="Z14" s="250"/>
      <c r="AA14" s="258" t="s">
        <v>239</v>
      </c>
      <c r="AB14" s="258"/>
      <c r="AC14" s="258"/>
      <c r="AD14" s="258"/>
      <c r="AE14" s="258"/>
      <c r="AF14" s="258"/>
      <c r="AG14" s="258"/>
      <c r="AH14" s="258" t="s">
        <v>264</v>
      </c>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2" t="s">
        <v>170</v>
      </c>
      <c r="BS14" s="263"/>
      <c r="BT14" s="263"/>
      <c r="BU14" s="263"/>
      <c r="BV14" s="263"/>
      <c r="BW14" s="263"/>
      <c r="BX14" s="264"/>
    </row>
    <row r="15" spans="1:76" ht="30" customHeight="1">
      <c r="A15" s="250">
        <v>11</v>
      </c>
      <c r="B15" s="250"/>
      <c r="C15" s="250"/>
      <c r="D15" s="250"/>
      <c r="E15" s="251"/>
      <c r="F15" s="251"/>
      <c r="G15" s="251"/>
      <c r="H15" s="251"/>
      <c r="I15" s="251"/>
      <c r="J15" s="265">
        <v>45190</v>
      </c>
      <c r="K15" s="265"/>
      <c r="L15" s="265"/>
      <c r="M15" s="265"/>
      <c r="N15" s="265"/>
      <c r="O15" s="265"/>
      <c r="P15" s="265"/>
      <c r="Q15" s="265"/>
      <c r="R15" s="250" t="s">
        <v>255</v>
      </c>
      <c r="S15" s="250"/>
      <c r="T15" s="250"/>
      <c r="U15" s="250"/>
      <c r="V15" s="250"/>
      <c r="W15" s="250"/>
      <c r="X15" s="250"/>
      <c r="Y15" s="250"/>
      <c r="Z15" s="250"/>
      <c r="AA15" s="258" t="s">
        <v>251</v>
      </c>
      <c r="AB15" s="258"/>
      <c r="AC15" s="258"/>
      <c r="AD15" s="258"/>
      <c r="AE15" s="258"/>
      <c r="AF15" s="258"/>
      <c r="AG15" s="258"/>
      <c r="AH15" s="258" t="s">
        <v>288</v>
      </c>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2" t="s">
        <v>170</v>
      </c>
      <c r="BS15" s="263"/>
      <c r="BT15" s="263"/>
      <c r="BU15" s="263"/>
      <c r="BV15" s="263"/>
      <c r="BW15" s="263"/>
      <c r="BX15" s="264"/>
    </row>
    <row r="16" spans="1:76" ht="30" customHeight="1">
      <c r="A16" s="250">
        <v>12</v>
      </c>
      <c r="B16" s="250"/>
      <c r="C16" s="250"/>
      <c r="D16" s="250"/>
      <c r="E16" s="251">
        <v>1.02</v>
      </c>
      <c r="F16" s="251"/>
      <c r="G16" s="251"/>
      <c r="H16" s="251"/>
      <c r="I16" s="251"/>
      <c r="J16" s="265">
        <v>45203</v>
      </c>
      <c r="K16" s="265"/>
      <c r="L16" s="265"/>
      <c r="M16" s="265"/>
      <c r="N16" s="265"/>
      <c r="O16" s="265"/>
      <c r="P16" s="265"/>
      <c r="Q16" s="265"/>
      <c r="R16" s="250" t="s">
        <v>302</v>
      </c>
      <c r="S16" s="250"/>
      <c r="T16" s="250"/>
      <c r="U16" s="250"/>
      <c r="V16" s="250"/>
      <c r="W16" s="267"/>
      <c r="X16" s="250"/>
      <c r="Y16" s="250"/>
      <c r="Z16" s="250"/>
      <c r="AA16" s="258" t="s">
        <v>251</v>
      </c>
      <c r="AB16" s="258"/>
      <c r="AC16" s="258"/>
      <c r="AD16" s="258"/>
      <c r="AE16" s="258"/>
      <c r="AF16" s="258"/>
      <c r="AG16" s="258"/>
      <c r="AH16" s="258" t="s">
        <v>303</v>
      </c>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2" t="s">
        <v>170</v>
      </c>
      <c r="BS16" s="263"/>
      <c r="BT16" s="263"/>
      <c r="BU16" s="263"/>
      <c r="BV16" s="263"/>
      <c r="BW16" s="263"/>
      <c r="BX16" s="264"/>
    </row>
    <row r="17" spans="1:76" ht="30" customHeight="1">
      <c r="A17" s="250">
        <v>13</v>
      </c>
      <c r="B17" s="250"/>
      <c r="C17" s="250"/>
      <c r="D17" s="250"/>
      <c r="E17" s="251"/>
      <c r="F17" s="251"/>
      <c r="G17" s="251"/>
      <c r="H17" s="251"/>
      <c r="I17" s="251"/>
      <c r="J17" s="265">
        <v>45203</v>
      </c>
      <c r="K17" s="265"/>
      <c r="L17" s="265"/>
      <c r="M17" s="265"/>
      <c r="N17" s="265"/>
      <c r="O17" s="265"/>
      <c r="P17" s="265"/>
      <c r="Q17" s="265"/>
      <c r="R17" s="250" t="s">
        <v>302</v>
      </c>
      <c r="S17" s="250"/>
      <c r="T17" s="250"/>
      <c r="U17" s="250"/>
      <c r="V17" s="250"/>
      <c r="W17" s="250"/>
      <c r="X17" s="250"/>
      <c r="Y17" s="250"/>
      <c r="Z17" s="250"/>
      <c r="AA17" s="258" t="s">
        <v>251</v>
      </c>
      <c r="AB17" s="258"/>
      <c r="AC17" s="258"/>
      <c r="AD17" s="258"/>
      <c r="AE17" s="258"/>
      <c r="AF17" s="258"/>
      <c r="AG17" s="258"/>
      <c r="AH17" s="258" t="s">
        <v>306</v>
      </c>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2" t="s">
        <v>170</v>
      </c>
      <c r="BS17" s="263"/>
      <c r="BT17" s="263"/>
      <c r="BU17" s="263"/>
      <c r="BV17" s="263"/>
      <c r="BW17" s="263"/>
      <c r="BX17" s="264"/>
    </row>
    <row r="18" spans="1:76" ht="30" customHeight="1">
      <c r="A18" s="250">
        <v>14</v>
      </c>
      <c r="B18" s="250"/>
      <c r="C18" s="250"/>
      <c r="D18" s="250"/>
      <c r="E18" s="251"/>
      <c r="F18" s="251"/>
      <c r="G18" s="251"/>
      <c r="H18" s="251"/>
      <c r="I18" s="251"/>
      <c r="J18" s="265">
        <v>45203</v>
      </c>
      <c r="K18" s="265"/>
      <c r="L18" s="265"/>
      <c r="M18" s="265"/>
      <c r="N18" s="265"/>
      <c r="O18" s="265"/>
      <c r="P18" s="265"/>
      <c r="Q18" s="265"/>
      <c r="R18" s="250" t="s">
        <v>302</v>
      </c>
      <c r="S18" s="250"/>
      <c r="T18" s="250"/>
      <c r="U18" s="250"/>
      <c r="V18" s="250"/>
      <c r="W18" s="250"/>
      <c r="X18" s="250"/>
      <c r="Y18" s="250"/>
      <c r="Z18" s="250"/>
      <c r="AA18" s="258" t="s">
        <v>251</v>
      </c>
      <c r="AB18" s="258"/>
      <c r="AC18" s="258"/>
      <c r="AD18" s="258"/>
      <c r="AE18" s="258"/>
      <c r="AF18" s="258"/>
      <c r="AG18" s="258"/>
      <c r="AH18" s="258" t="s">
        <v>307</v>
      </c>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2" t="s">
        <v>170</v>
      </c>
      <c r="BS18" s="263"/>
      <c r="BT18" s="263"/>
      <c r="BU18" s="263"/>
      <c r="BV18" s="263"/>
      <c r="BW18" s="263"/>
      <c r="BX18" s="264"/>
    </row>
    <row r="19" spans="1:76" ht="30" customHeight="1">
      <c r="A19" s="250">
        <v>15</v>
      </c>
      <c r="B19" s="250"/>
      <c r="C19" s="250"/>
      <c r="D19" s="250"/>
      <c r="E19" s="251"/>
      <c r="F19" s="251"/>
      <c r="G19" s="251"/>
      <c r="H19" s="251"/>
      <c r="I19" s="251"/>
      <c r="J19" s="265">
        <v>45203</v>
      </c>
      <c r="K19" s="265"/>
      <c r="L19" s="265"/>
      <c r="M19" s="265"/>
      <c r="N19" s="265"/>
      <c r="O19" s="265"/>
      <c r="P19" s="265"/>
      <c r="Q19" s="265"/>
      <c r="R19" s="250" t="s">
        <v>302</v>
      </c>
      <c r="S19" s="250"/>
      <c r="T19" s="250"/>
      <c r="U19" s="250"/>
      <c r="V19" s="250"/>
      <c r="W19" s="255"/>
      <c r="X19" s="256"/>
      <c r="Y19" s="256"/>
      <c r="Z19" s="257"/>
      <c r="AA19" s="258" t="s">
        <v>251</v>
      </c>
      <c r="AB19" s="258"/>
      <c r="AC19" s="258"/>
      <c r="AD19" s="258"/>
      <c r="AE19" s="258"/>
      <c r="AF19" s="258"/>
      <c r="AG19" s="258"/>
      <c r="AH19" s="258" t="s">
        <v>315</v>
      </c>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2" t="s">
        <v>170</v>
      </c>
      <c r="BS19" s="263"/>
      <c r="BT19" s="263"/>
      <c r="BU19" s="263"/>
      <c r="BV19" s="263"/>
      <c r="BW19" s="263"/>
      <c r="BX19" s="264"/>
    </row>
    <row r="20" spans="1:76" ht="30" customHeight="1">
      <c r="A20" s="250">
        <v>16</v>
      </c>
      <c r="B20" s="250"/>
      <c r="C20" s="250"/>
      <c r="D20" s="250"/>
      <c r="E20" s="251">
        <v>1.03</v>
      </c>
      <c r="F20" s="251"/>
      <c r="G20" s="251"/>
      <c r="H20" s="251"/>
      <c r="I20" s="251"/>
      <c r="J20" s="252">
        <v>45216</v>
      </c>
      <c r="K20" s="253"/>
      <c r="L20" s="253"/>
      <c r="M20" s="253"/>
      <c r="N20" s="253"/>
      <c r="O20" s="253"/>
      <c r="P20" s="253"/>
      <c r="Q20" s="254"/>
      <c r="R20" s="255" t="s">
        <v>329</v>
      </c>
      <c r="S20" s="256"/>
      <c r="T20" s="256"/>
      <c r="U20" s="256"/>
      <c r="V20" s="257"/>
      <c r="W20" s="255"/>
      <c r="X20" s="256"/>
      <c r="Y20" s="256"/>
      <c r="Z20" s="257"/>
      <c r="AA20" s="259" t="s">
        <v>330</v>
      </c>
      <c r="AB20" s="260"/>
      <c r="AC20" s="260"/>
      <c r="AD20" s="260"/>
      <c r="AE20" s="260"/>
      <c r="AF20" s="260"/>
      <c r="AG20" s="261"/>
      <c r="AH20" s="259" t="s">
        <v>331</v>
      </c>
      <c r="AI20" s="260"/>
      <c r="AJ20" s="260"/>
      <c r="AK20" s="260"/>
      <c r="AL20" s="260"/>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0"/>
      <c r="BK20" s="260"/>
      <c r="BL20" s="260"/>
      <c r="BM20" s="260"/>
      <c r="BN20" s="260"/>
      <c r="BO20" s="260"/>
      <c r="BP20" s="260"/>
      <c r="BQ20" s="261"/>
      <c r="BR20" s="262" t="s">
        <v>170</v>
      </c>
      <c r="BS20" s="263"/>
      <c r="BT20" s="263"/>
      <c r="BU20" s="263"/>
      <c r="BV20" s="263"/>
      <c r="BW20" s="263"/>
      <c r="BX20" s="264"/>
    </row>
    <row r="21" spans="1:76" ht="30" customHeight="1">
      <c r="A21" s="250">
        <v>17</v>
      </c>
      <c r="B21" s="250"/>
      <c r="C21" s="250"/>
      <c r="D21" s="250"/>
      <c r="E21" s="251"/>
      <c r="F21" s="251"/>
      <c r="G21" s="251"/>
      <c r="H21" s="251"/>
      <c r="I21" s="251"/>
      <c r="J21" s="252">
        <v>45216</v>
      </c>
      <c r="K21" s="253"/>
      <c r="L21" s="253"/>
      <c r="M21" s="253"/>
      <c r="N21" s="253"/>
      <c r="O21" s="253"/>
      <c r="P21" s="253"/>
      <c r="Q21" s="254"/>
      <c r="R21" s="255" t="s">
        <v>329</v>
      </c>
      <c r="S21" s="256"/>
      <c r="T21" s="256"/>
      <c r="U21" s="256"/>
      <c r="V21" s="257"/>
      <c r="W21" s="255"/>
      <c r="X21" s="256"/>
      <c r="Y21" s="256"/>
      <c r="Z21" s="257"/>
      <c r="AA21" s="258" t="s">
        <v>251</v>
      </c>
      <c r="AB21" s="258"/>
      <c r="AC21" s="258"/>
      <c r="AD21" s="258"/>
      <c r="AE21" s="258"/>
      <c r="AF21" s="258"/>
      <c r="AG21" s="258"/>
      <c r="AH21" s="259" t="s">
        <v>339</v>
      </c>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60"/>
      <c r="BL21" s="260"/>
      <c r="BM21" s="260"/>
      <c r="BN21" s="260"/>
      <c r="BO21" s="260"/>
      <c r="BP21" s="260"/>
      <c r="BQ21" s="261"/>
      <c r="BR21" s="262" t="s">
        <v>170</v>
      </c>
      <c r="BS21" s="263"/>
      <c r="BT21" s="263"/>
      <c r="BU21" s="263"/>
      <c r="BV21" s="263"/>
      <c r="BW21" s="263"/>
      <c r="BX21" s="264"/>
    </row>
    <row r="22" spans="1:76" ht="30" customHeight="1">
      <c r="A22" s="250">
        <v>18</v>
      </c>
      <c r="B22" s="250"/>
      <c r="C22" s="250"/>
      <c r="D22" s="250"/>
      <c r="E22" s="251"/>
      <c r="F22" s="251"/>
      <c r="G22" s="251"/>
      <c r="H22" s="251"/>
      <c r="I22" s="251"/>
      <c r="J22" s="252">
        <v>45217</v>
      </c>
      <c r="K22" s="253"/>
      <c r="L22" s="253"/>
      <c r="M22" s="253"/>
      <c r="N22" s="253"/>
      <c r="O22" s="253"/>
      <c r="P22" s="253"/>
      <c r="Q22" s="254"/>
      <c r="R22" s="255" t="s">
        <v>240</v>
      </c>
      <c r="S22" s="256"/>
      <c r="T22" s="256"/>
      <c r="U22" s="256"/>
      <c r="V22" s="257"/>
      <c r="W22" s="255"/>
      <c r="X22" s="256"/>
      <c r="Y22" s="256"/>
      <c r="Z22" s="257"/>
      <c r="AA22" s="258" t="s">
        <v>251</v>
      </c>
      <c r="AB22" s="258"/>
      <c r="AC22" s="258"/>
      <c r="AD22" s="258"/>
      <c r="AE22" s="258"/>
      <c r="AF22" s="258"/>
      <c r="AG22" s="258"/>
      <c r="AH22" s="259" t="s">
        <v>343</v>
      </c>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260"/>
      <c r="BN22" s="260"/>
      <c r="BO22" s="260"/>
      <c r="BP22" s="260"/>
      <c r="BQ22" s="261"/>
      <c r="BR22" s="262" t="s">
        <v>170</v>
      </c>
      <c r="BS22" s="263"/>
      <c r="BT22" s="263"/>
      <c r="BU22" s="263"/>
      <c r="BV22" s="263"/>
      <c r="BW22" s="263"/>
      <c r="BX22" s="264"/>
    </row>
    <row r="23" spans="1:76" ht="30" customHeight="1">
      <c r="A23" s="250">
        <v>19</v>
      </c>
      <c r="B23" s="250"/>
      <c r="C23" s="250"/>
      <c r="D23" s="250"/>
      <c r="E23" s="251"/>
      <c r="F23" s="251"/>
      <c r="G23" s="251"/>
      <c r="H23" s="251"/>
      <c r="I23" s="251"/>
      <c r="J23" s="252">
        <v>45222</v>
      </c>
      <c r="K23" s="253"/>
      <c r="L23" s="253"/>
      <c r="M23" s="253"/>
      <c r="N23" s="253"/>
      <c r="O23" s="253"/>
      <c r="P23" s="253"/>
      <c r="Q23" s="254"/>
      <c r="R23" s="255" t="s">
        <v>346</v>
      </c>
      <c r="S23" s="256"/>
      <c r="T23" s="256"/>
      <c r="U23" s="256"/>
      <c r="V23" s="257"/>
      <c r="W23" s="255"/>
      <c r="X23" s="256"/>
      <c r="Y23" s="256"/>
      <c r="Z23" s="257"/>
      <c r="AA23" s="258" t="s">
        <v>350</v>
      </c>
      <c r="AB23" s="258"/>
      <c r="AC23" s="258"/>
      <c r="AD23" s="258"/>
      <c r="AE23" s="258"/>
      <c r="AF23" s="258"/>
      <c r="AG23" s="258"/>
      <c r="AH23" s="259" t="s">
        <v>347</v>
      </c>
      <c r="AI23" s="260"/>
      <c r="AJ23" s="260"/>
      <c r="AK23" s="260"/>
      <c r="AL23" s="260"/>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0"/>
      <c r="BK23" s="260"/>
      <c r="BL23" s="260"/>
      <c r="BM23" s="260"/>
      <c r="BN23" s="260"/>
      <c r="BO23" s="260"/>
      <c r="BP23" s="260"/>
      <c r="BQ23" s="261"/>
      <c r="BR23" s="262" t="s">
        <v>170</v>
      </c>
      <c r="BS23" s="263"/>
      <c r="BT23" s="263"/>
      <c r="BU23" s="263"/>
      <c r="BV23" s="263"/>
      <c r="BW23" s="263"/>
      <c r="BX23" s="264"/>
    </row>
    <row r="24" spans="1:76" ht="30" customHeight="1">
      <c r="A24" s="250">
        <v>20</v>
      </c>
      <c r="B24" s="250"/>
      <c r="C24" s="250"/>
      <c r="D24" s="250"/>
      <c r="E24" s="251"/>
      <c r="F24" s="251"/>
      <c r="G24" s="251"/>
      <c r="H24" s="251"/>
      <c r="I24" s="251"/>
      <c r="J24" s="252">
        <v>45224</v>
      </c>
      <c r="K24" s="253"/>
      <c r="L24" s="253"/>
      <c r="M24" s="253"/>
      <c r="N24" s="253"/>
      <c r="O24" s="253"/>
      <c r="P24" s="253"/>
      <c r="Q24" s="254"/>
      <c r="R24" s="255" t="s">
        <v>240</v>
      </c>
      <c r="S24" s="256"/>
      <c r="T24" s="256"/>
      <c r="U24" s="256"/>
      <c r="V24" s="257"/>
      <c r="W24" s="255"/>
      <c r="X24" s="256"/>
      <c r="Y24" s="256"/>
      <c r="Z24" s="257"/>
      <c r="AA24" s="258" t="s">
        <v>251</v>
      </c>
      <c r="AB24" s="258"/>
      <c r="AC24" s="258"/>
      <c r="AD24" s="258"/>
      <c r="AE24" s="258"/>
      <c r="AF24" s="258"/>
      <c r="AG24" s="258"/>
      <c r="AH24" s="259" t="s">
        <v>358</v>
      </c>
      <c r="AI24" s="260"/>
      <c r="AJ24" s="260"/>
      <c r="AK24" s="260"/>
      <c r="AL24" s="260"/>
      <c r="AM24" s="260"/>
      <c r="AN24" s="260"/>
      <c r="AO24" s="260"/>
      <c r="AP24" s="260"/>
      <c r="AQ24" s="260"/>
      <c r="AR24" s="260"/>
      <c r="AS24" s="260"/>
      <c r="AT24" s="260"/>
      <c r="AU24" s="260"/>
      <c r="AV24" s="260"/>
      <c r="AW24" s="260"/>
      <c r="AX24" s="260"/>
      <c r="AY24" s="260"/>
      <c r="AZ24" s="260"/>
      <c r="BA24" s="260"/>
      <c r="BB24" s="260"/>
      <c r="BC24" s="260"/>
      <c r="BD24" s="260"/>
      <c r="BE24" s="260"/>
      <c r="BF24" s="260"/>
      <c r="BG24" s="260"/>
      <c r="BH24" s="260"/>
      <c r="BI24" s="260"/>
      <c r="BJ24" s="260"/>
      <c r="BK24" s="260"/>
      <c r="BL24" s="260"/>
      <c r="BM24" s="260"/>
      <c r="BN24" s="260"/>
      <c r="BO24" s="260"/>
      <c r="BP24" s="260"/>
      <c r="BQ24" s="261"/>
      <c r="BR24" s="262" t="s">
        <v>170</v>
      </c>
      <c r="BS24" s="263"/>
      <c r="BT24" s="263"/>
      <c r="BU24" s="263"/>
      <c r="BV24" s="263"/>
      <c r="BW24" s="263"/>
      <c r="BX24" s="264"/>
    </row>
    <row r="25" spans="1:76" ht="15" customHeight="1">
      <c r="A25" s="250">
        <v>21</v>
      </c>
      <c r="B25" s="250"/>
      <c r="C25" s="250"/>
      <c r="D25" s="250"/>
      <c r="E25" s="251"/>
      <c r="F25" s="251"/>
      <c r="G25" s="251"/>
      <c r="H25" s="251"/>
      <c r="I25" s="251"/>
      <c r="J25" s="252">
        <v>45231</v>
      </c>
      <c r="K25" s="253"/>
      <c r="L25" s="253"/>
      <c r="M25" s="253"/>
      <c r="N25" s="253"/>
      <c r="O25" s="253"/>
      <c r="P25" s="253"/>
      <c r="Q25" s="254"/>
      <c r="R25" s="255" t="s">
        <v>240</v>
      </c>
      <c r="S25" s="256"/>
      <c r="T25" s="256"/>
      <c r="U25" s="256"/>
      <c r="V25" s="257"/>
      <c r="W25" s="255"/>
      <c r="X25" s="256"/>
      <c r="Y25" s="256"/>
      <c r="Z25" s="257"/>
      <c r="AA25" s="258" t="s">
        <v>350</v>
      </c>
      <c r="AB25" s="258"/>
      <c r="AC25" s="258"/>
      <c r="AD25" s="258"/>
      <c r="AE25" s="258"/>
      <c r="AF25" s="258"/>
      <c r="AG25" s="258"/>
      <c r="AH25" s="259" t="s">
        <v>386</v>
      </c>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0"/>
      <c r="BK25" s="260"/>
      <c r="BL25" s="260"/>
      <c r="BM25" s="260"/>
      <c r="BN25" s="260"/>
      <c r="BO25" s="260"/>
      <c r="BP25" s="260"/>
      <c r="BQ25" s="261"/>
      <c r="BR25" s="262" t="s">
        <v>170</v>
      </c>
      <c r="BS25" s="263"/>
      <c r="BT25" s="263"/>
      <c r="BU25" s="263"/>
      <c r="BV25" s="263"/>
      <c r="BW25" s="263"/>
      <c r="BX25" s="264"/>
    </row>
    <row r="26" spans="1:76" ht="30" customHeight="1">
      <c r="A26" s="250">
        <v>22</v>
      </c>
      <c r="B26" s="250"/>
      <c r="C26" s="250"/>
      <c r="D26" s="250"/>
      <c r="E26" s="251"/>
      <c r="F26" s="251"/>
      <c r="G26" s="251"/>
      <c r="H26" s="251"/>
      <c r="I26" s="251"/>
      <c r="J26" s="252">
        <v>45232</v>
      </c>
      <c r="K26" s="253"/>
      <c r="L26" s="253"/>
      <c r="M26" s="253"/>
      <c r="N26" s="253"/>
      <c r="O26" s="253"/>
      <c r="P26" s="253"/>
      <c r="Q26" s="254"/>
      <c r="R26" s="255" t="s">
        <v>240</v>
      </c>
      <c r="S26" s="256"/>
      <c r="T26" s="256"/>
      <c r="U26" s="256"/>
      <c r="V26" s="257"/>
      <c r="W26" s="255"/>
      <c r="X26" s="256"/>
      <c r="Y26" s="256"/>
      <c r="Z26" s="257"/>
      <c r="AA26" s="258" t="s">
        <v>251</v>
      </c>
      <c r="AB26" s="258"/>
      <c r="AC26" s="258"/>
      <c r="AD26" s="258"/>
      <c r="AE26" s="258"/>
      <c r="AF26" s="258"/>
      <c r="AG26" s="258"/>
      <c r="AH26" s="259" t="s">
        <v>392</v>
      </c>
      <c r="AI26" s="260"/>
      <c r="AJ26" s="260"/>
      <c r="AK26" s="260"/>
      <c r="AL26" s="260"/>
      <c r="AM26" s="260"/>
      <c r="AN26" s="260"/>
      <c r="AO26" s="260"/>
      <c r="AP26" s="260"/>
      <c r="AQ26" s="260"/>
      <c r="AR26" s="260"/>
      <c r="AS26" s="260"/>
      <c r="AT26" s="260"/>
      <c r="AU26" s="260"/>
      <c r="AV26" s="260"/>
      <c r="AW26" s="260"/>
      <c r="AX26" s="260"/>
      <c r="AY26" s="260"/>
      <c r="AZ26" s="260"/>
      <c r="BA26" s="260"/>
      <c r="BB26" s="260"/>
      <c r="BC26" s="260"/>
      <c r="BD26" s="260"/>
      <c r="BE26" s="260"/>
      <c r="BF26" s="260"/>
      <c r="BG26" s="260"/>
      <c r="BH26" s="260"/>
      <c r="BI26" s="260"/>
      <c r="BJ26" s="260"/>
      <c r="BK26" s="260"/>
      <c r="BL26" s="260"/>
      <c r="BM26" s="260"/>
      <c r="BN26" s="260"/>
      <c r="BO26" s="260"/>
      <c r="BP26" s="260"/>
      <c r="BQ26" s="261"/>
      <c r="BR26" s="262" t="s">
        <v>170</v>
      </c>
      <c r="BS26" s="263"/>
      <c r="BT26" s="263"/>
      <c r="BU26" s="263"/>
      <c r="BV26" s="263"/>
      <c r="BW26" s="263"/>
      <c r="BX26" s="264"/>
    </row>
    <row r="27" spans="1:76" ht="30" customHeight="1">
      <c r="A27" s="250">
        <v>23</v>
      </c>
      <c r="B27" s="250"/>
      <c r="C27" s="250"/>
      <c r="D27" s="250"/>
      <c r="E27" s="251"/>
      <c r="F27" s="251"/>
      <c r="G27" s="251"/>
      <c r="H27" s="251"/>
      <c r="I27" s="251"/>
      <c r="J27" s="252">
        <v>45265</v>
      </c>
      <c r="K27" s="253"/>
      <c r="L27" s="253"/>
      <c r="M27" s="253"/>
      <c r="N27" s="253"/>
      <c r="O27" s="253"/>
      <c r="P27" s="253"/>
      <c r="Q27" s="254"/>
      <c r="R27" s="255" t="s">
        <v>240</v>
      </c>
      <c r="S27" s="256"/>
      <c r="T27" s="256"/>
      <c r="U27" s="256"/>
      <c r="V27" s="257"/>
      <c r="W27" s="255"/>
      <c r="X27" s="256"/>
      <c r="Y27" s="256"/>
      <c r="Z27" s="257"/>
      <c r="AA27" s="258" t="s">
        <v>406</v>
      </c>
      <c r="AB27" s="258"/>
      <c r="AC27" s="258"/>
      <c r="AD27" s="258"/>
      <c r="AE27" s="258"/>
      <c r="AF27" s="258"/>
      <c r="AG27" s="258"/>
      <c r="AH27" s="259" t="s">
        <v>408</v>
      </c>
      <c r="AI27" s="260"/>
      <c r="AJ27" s="260"/>
      <c r="AK27" s="260"/>
      <c r="AL27" s="260"/>
      <c r="AM27" s="260"/>
      <c r="AN27" s="260"/>
      <c r="AO27" s="260"/>
      <c r="AP27" s="260"/>
      <c r="AQ27" s="260"/>
      <c r="AR27" s="260"/>
      <c r="AS27" s="260"/>
      <c r="AT27" s="260"/>
      <c r="AU27" s="260"/>
      <c r="AV27" s="260"/>
      <c r="AW27" s="260"/>
      <c r="AX27" s="260"/>
      <c r="AY27" s="260"/>
      <c r="AZ27" s="260"/>
      <c r="BA27" s="260"/>
      <c r="BB27" s="260"/>
      <c r="BC27" s="260"/>
      <c r="BD27" s="260"/>
      <c r="BE27" s="260"/>
      <c r="BF27" s="260"/>
      <c r="BG27" s="260"/>
      <c r="BH27" s="260"/>
      <c r="BI27" s="260"/>
      <c r="BJ27" s="260"/>
      <c r="BK27" s="260"/>
      <c r="BL27" s="260"/>
      <c r="BM27" s="260"/>
      <c r="BN27" s="260"/>
      <c r="BO27" s="260"/>
      <c r="BP27" s="260"/>
      <c r="BQ27" s="261"/>
      <c r="BR27" s="262" t="s">
        <v>407</v>
      </c>
      <c r="BS27" s="263"/>
      <c r="BT27" s="263"/>
      <c r="BU27" s="263"/>
      <c r="BV27" s="263"/>
      <c r="BW27" s="263"/>
      <c r="BX27" s="264"/>
    </row>
    <row r="28" spans="1:76" ht="30" customHeight="1">
      <c r="A28" s="250">
        <v>24</v>
      </c>
      <c r="B28" s="250"/>
      <c r="C28" s="250"/>
      <c r="D28" s="250"/>
      <c r="E28" s="251"/>
      <c r="F28" s="251"/>
      <c r="G28" s="251"/>
      <c r="H28" s="251"/>
      <c r="I28" s="251"/>
      <c r="J28" s="252">
        <v>45322</v>
      </c>
      <c r="K28" s="253"/>
      <c r="L28" s="253"/>
      <c r="M28" s="253"/>
      <c r="N28" s="253"/>
      <c r="O28" s="253"/>
      <c r="P28" s="253"/>
      <c r="Q28" s="254"/>
      <c r="R28" s="255" t="s">
        <v>240</v>
      </c>
      <c r="S28" s="256"/>
      <c r="T28" s="256"/>
      <c r="U28" s="256"/>
      <c r="V28" s="257"/>
      <c r="W28" s="255"/>
      <c r="X28" s="256"/>
      <c r="Y28" s="256"/>
      <c r="Z28" s="257"/>
      <c r="AA28" s="258" t="s">
        <v>410</v>
      </c>
      <c r="AB28" s="258"/>
      <c r="AC28" s="258"/>
      <c r="AD28" s="258"/>
      <c r="AE28" s="258"/>
      <c r="AF28" s="258"/>
      <c r="AG28" s="258"/>
      <c r="AH28" s="259" t="s">
        <v>411</v>
      </c>
      <c r="AI28" s="260"/>
      <c r="AJ28" s="260"/>
      <c r="AK28" s="260"/>
      <c r="AL28" s="260"/>
      <c r="AM28" s="260"/>
      <c r="AN28" s="260"/>
      <c r="AO28" s="260"/>
      <c r="AP28" s="260"/>
      <c r="AQ28" s="260"/>
      <c r="AR28" s="260"/>
      <c r="AS28" s="260"/>
      <c r="AT28" s="260"/>
      <c r="AU28" s="260"/>
      <c r="AV28" s="260"/>
      <c r="AW28" s="260"/>
      <c r="AX28" s="260"/>
      <c r="AY28" s="260"/>
      <c r="AZ28" s="260"/>
      <c r="BA28" s="260"/>
      <c r="BB28" s="260"/>
      <c r="BC28" s="260"/>
      <c r="BD28" s="260"/>
      <c r="BE28" s="260"/>
      <c r="BF28" s="260"/>
      <c r="BG28" s="260"/>
      <c r="BH28" s="260"/>
      <c r="BI28" s="260"/>
      <c r="BJ28" s="260"/>
      <c r="BK28" s="260"/>
      <c r="BL28" s="260"/>
      <c r="BM28" s="260"/>
      <c r="BN28" s="260"/>
      <c r="BO28" s="260"/>
      <c r="BP28" s="260"/>
      <c r="BQ28" s="261"/>
      <c r="BR28" s="262" t="s">
        <v>170</v>
      </c>
      <c r="BS28" s="263"/>
      <c r="BT28" s="263"/>
      <c r="BU28" s="263"/>
      <c r="BV28" s="263"/>
      <c r="BW28" s="263"/>
      <c r="BX28" s="264"/>
    </row>
  </sheetData>
  <mergeCells count="201">
    <mergeCell ref="A24:D24"/>
    <mergeCell ref="E24:I24"/>
    <mergeCell ref="J24:Q24"/>
    <mergeCell ref="R24:V24"/>
    <mergeCell ref="W24:Z24"/>
    <mergeCell ref="AA24:AG24"/>
    <mergeCell ref="AH24:BQ24"/>
    <mergeCell ref="BR24:BX24"/>
    <mergeCell ref="A17:D17"/>
    <mergeCell ref="E17:I17"/>
    <mergeCell ref="J17:Q17"/>
    <mergeCell ref="R17:V17"/>
    <mergeCell ref="W17:Z17"/>
    <mergeCell ref="AA17:AG17"/>
    <mergeCell ref="AH17:BQ17"/>
    <mergeCell ref="BR17:BX17"/>
    <mergeCell ref="AH18:BQ18"/>
    <mergeCell ref="BR18:BX18"/>
    <mergeCell ref="A18:D18"/>
    <mergeCell ref="E18:I18"/>
    <mergeCell ref="J18:Q18"/>
    <mergeCell ref="R18:V18"/>
    <mergeCell ref="W18:Z18"/>
    <mergeCell ref="AA18:AG18"/>
    <mergeCell ref="BR3:BX4"/>
    <mergeCell ref="W4:Z4"/>
    <mergeCell ref="AA4:AG4"/>
    <mergeCell ref="A5:D5"/>
    <mergeCell ref="E5:I5"/>
    <mergeCell ref="J5:Q5"/>
    <mergeCell ref="R5:V5"/>
    <mergeCell ref="W5:Z5"/>
    <mergeCell ref="AA5:AG5"/>
    <mergeCell ref="AH5:BQ5"/>
    <mergeCell ref="A3:D4"/>
    <mergeCell ref="E3:I4"/>
    <mergeCell ref="J3:Q4"/>
    <mergeCell ref="R3:V4"/>
    <mergeCell ref="W3:AG3"/>
    <mergeCell ref="AH3:BQ4"/>
    <mergeCell ref="BR5:BX5"/>
    <mergeCell ref="A6:D6"/>
    <mergeCell ref="E6:I6"/>
    <mergeCell ref="J6:Q6"/>
    <mergeCell ref="R6:V6"/>
    <mergeCell ref="W6:Z6"/>
    <mergeCell ref="AA6:AG6"/>
    <mergeCell ref="AH6:BQ6"/>
    <mergeCell ref="BR6:BX6"/>
    <mergeCell ref="AH7:BQ7"/>
    <mergeCell ref="BR7:BX7"/>
    <mergeCell ref="A8:D8"/>
    <mergeCell ref="E8:I8"/>
    <mergeCell ref="J8:Q8"/>
    <mergeCell ref="R8:V8"/>
    <mergeCell ref="W8:Z8"/>
    <mergeCell ref="AA8:AG8"/>
    <mergeCell ref="AH8:BQ8"/>
    <mergeCell ref="BR8:BX8"/>
    <mergeCell ref="A7:D7"/>
    <mergeCell ref="E7:I7"/>
    <mergeCell ref="J7:Q7"/>
    <mergeCell ref="R7:V7"/>
    <mergeCell ref="W7:Z7"/>
    <mergeCell ref="AA7:AG7"/>
    <mergeCell ref="AH9:BQ9"/>
    <mergeCell ref="BR9:BX9"/>
    <mergeCell ref="A10:D10"/>
    <mergeCell ref="E10:I10"/>
    <mergeCell ref="J10:Q10"/>
    <mergeCell ref="R10:V10"/>
    <mergeCell ref="W10:Z10"/>
    <mergeCell ref="AA10:AG10"/>
    <mergeCell ref="AH10:BQ10"/>
    <mergeCell ref="BR10:BX10"/>
    <mergeCell ref="A9:D9"/>
    <mergeCell ref="E9:I9"/>
    <mergeCell ref="J9:Q9"/>
    <mergeCell ref="R9:V9"/>
    <mergeCell ref="W9:Z9"/>
    <mergeCell ref="AA9:AG9"/>
    <mergeCell ref="AH11:BQ11"/>
    <mergeCell ref="BR11:BX11"/>
    <mergeCell ref="A12:D12"/>
    <mergeCell ref="E12:I12"/>
    <mergeCell ref="J12:Q12"/>
    <mergeCell ref="R12:V12"/>
    <mergeCell ref="W12:Z12"/>
    <mergeCell ref="AA12:AG12"/>
    <mergeCell ref="AH12:BQ12"/>
    <mergeCell ref="BR12:BX12"/>
    <mergeCell ref="A11:D11"/>
    <mergeCell ref="E11:I11"/>
    <mergeCell ref="J11:Q11"/>
    <mergeCell ref="R11:V11"/>
    <mergeCell ref="W11:Z11"/>
    <mergeCell ref="AA11:AG11"/>
    <mergeCell ref="AH13:BQ13"/>
    <mergeCell ref="BR13:BX13"/>
    <mergeCell ref="A14:D14"/>
    <mergeCell ref="E14:I14"/>
    <mergeCell ref="J14:Q14"/>
    <mergeCell ref="R14:V14"/>
    <mergeCell ref="W14:Z14"/>
    <mergeCell ref="AA14:AG14"/>
    <mergeCell ref="AH14:BQ14"/>
    <mergeCell ref="BR14:BX14"/>
    <mergeCell ref="A13:D13"/>
    <mergeCell ref="E13:I13"/>
    <mergeCell ref="J13:Q13"/>
    <mergeCell ref="R13:V13"/>
    <mergeCell ref="W13:Z13"/>
    <mergeCell ref="AA13:AG13"/>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A15:AG15"/>
    <mergeCell ref="A19:D19"/>
    <mergeCell ref="E19:I19"/>
    <mergeCell ref="J19:Q19"/>
    <mergeCell ref="R19:V19"/>
    <mergeCell ref="W19:Z19"/>
    <mergeCell ref="AA19:AG19"/>
    <mergeCell ref="AH19:BQ19"/>
    <mergeCell ref="BR19:BX19"/>
    <mergeCell ref="A21:D21"/>
    <mergeCell ref="E21:I21"/>
    <mergeCell ref="J21:Q21"/>
    <mergeCell ref="R21:V21"/>
    <mergeCell ref="W21:Z21"/>
    <mergeCell ref="AA21:AG21"/>
    <mergeCell ref="AH21:BQ21"/>
    <mergeCell ref="BR21:BX21"/>
    <mergeCell ref="A20:D20"/>
    <mergeCell ref="E20:I20"/>
    <mergeCell ref="J20:Q20"/>
    <mergeCell ref="R20:V20"/>
    <mergeCell ref="W20:Z20"/>
    <mergeCell ref="AA20:AG20"/>
    <mergeCell ref="AH20:BQ20"/>
    <mergeCell ref="BR20:BX20"/>
    <mergeCell ref="A22:D22"/>
    <mergeCell ref="E22:I22"/>
    <mergeCell ref="J22:Q22"/>
    <mergeCell ref="R22:V22"/>
    <mergeCell ref="W22:Z22"/>
    <mergeCell ref="AA22:AG22"/>
    <mergeCell ref="AH22:BQ22"/>
    <mergeCell ref="BR22:BX22"/>
    <mergeCell ref="A25:D25"/>
    <mergeCell ref="E25:I25"/>
    <mergeCell ref="J25:Q25"/>
    <mergeCell ref="R25:V25"/>
    <mergeCell ref="W25:Z25"/>
    <mergeCell ref="AA25:AG25"/>
    <mergeCell ref="AH25:BQ25"/>
    <mergeCell ref="BR25:BX25"/>
    <mergeCell ref="A23:D23"/>
    <mergeCell ref="E23:I23"/>
    <mergeCell ref="J23:Q23"/>
    <mergeCell ref="R23:V23"/>
    <mergeCell ref="W23:Z23"/>
    <mergeCell ref="AA23:AG23"/>
    <mergeCell ref="AH23:BQ23"/>
    <mergeCell ref="BR23:BX23"/>
    <mergeCell ref="A28:D28"/>
    <mergeCell ref="E28:I28"/>
    <mergeCell ref="J28:Q28"/>
    <mergeCell ref="R28:V28"/>
    <mergeCell ref="W28:Z28"/>
    <mergeCell ref="AA28:AG28"/>
    <mergeCell ref="AH28:BQ28"/>
    <mergeCell ref="BR28:BX28"/>
    <mergeCell ref="A26:D26"/>
    <mergeCell ref="E26:I26"/>
    <mergeCell ref="J26:Q26"/>
    <mergeCell ref="R26:V26"/>
    <mergeCell ref="W26:Z26"/>
    <mergeCell ref="AA26:AG26"/>
    <mergeCell ref="AH26:BQ26"/>
    <mergeCell ref="BR26:BX26"/>
    <mergeCell ref="A27:D27"/>
    <mergeCell ref="E27:I27"/>
    <mergeCell ref="J27:Q27"/>
    <mergeCell ref="R27:V27"/>
    <mergeCell ref="W27:Z27"/>
    <mergeCell ref="AA27:AG27"/>
    <mergeCell ref="AH27:BQ27"/>
    <mergeCell ref="BR27:BX27"/>
  </mergeCells>
  <phoneticPr fontId="2"/>
  <pageMargins left="0.19685039370078741" right="0.19685039370078741" top="0.78740157480314965" bottom="0.39370078740157483" header="0.59055118110236227" footer="0.19685039370078741"/>
  <pageSetup paperSize="9"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F20"/>
  <sheetViews>
    <sheetView view="pageBreakPreview" zoomScale="85" zoomScaleNormal="85" zoomScaleSheetLayoutView="85" zoomScalePageLayoutView="85" workbookViewId="0">
      <pane xSplit="1" ySplit="1" topLeftCell="B2" activePane="bottomRight" state="frozen"/>
      <selection activeCell="G32" sqref="G32"/>
      <selection pane="topRight" activeCell="G32" sqref="G32"/>
      <selection pane="bottomLeft" activeCell="G32" sqref="G32"/>
      <selection pane="bottomRight" activeCell="B2" sqref="B2"/>
    </sheetView>
  </sheetViews>
  <sheetFormatPr defaultColWidth="9" defaultRowHeight="12"/>
  <cols>
    <col min="1" max="1" width="3.875" style="12" customWidth="1"/>
    <col min="2" max="2" width="35.625" style="10" customWidth="1"/>
    <col min="3" max="3" width="11.375" style="13" customWidth="1"/>
    <col min="4" max="4" width="34.375" style="10" customWidth="1"/>
    <col min="5" max="5" width="110.625" style="14" customWidth="1"/>
    <col min="6" max="6" width="80.125" style="10" customWidth="1"/>
    <col min="7" max="16384" width="9" style="10"/>
  </cols>
  <sheetData>
    <row r="1" spans="1:6" ht="45" customHeight="1">
      <c r="A1" s="15" t="s">
        <v>1</v>
      </c>
      <c r="B1" s="16" t="s">
        <v>216</v>
      </c>
      <c r="C1" s="16" t="s">
        <v>0</v>
      </c>
      <c r="D1" s="16" t="s">
        <v>97</v>
      </c>
      <c r="E1" s="17" t="s">
        <v>98</v>
      </c>
    </row>
    <row r="2" spans="1:6" s="11" customFormat="1" ht="36">
      <c r="A2" s="18">
        <v>1</v>
      </c>
      <c r="B2" s="64" t="s">
        <v>206</v>
      </c>
      <c r="C2" s="19" t="s">
        <v>412</v>
      </c>
      <c r="D2" s="20" t="s">
        <v>72</v>
      </c>
      <c r="E2" s="21" t="s">
        <v>413</v>
      </c>
    </row>
    <row r="3" spans="1:6" ht="108">
      <c r="A3" s="22" t="s">
        <v>73</v>
      </c>
      <c r="B3" s="64" t="s">
        <v>207</v>
      </c>
      <c r="C3" s="19" t="s">
        <v>151</v>
      </c>
      <c r="D3" s="20" t="s">
        <v>75</v>
      </c>
      <c r="E3" s="151" t="s">
        <v>414</v>
      </c>
    </row>
    <row r="4" spans="1:6" ht="48">
      <c r="A4" s="22" t="s">
        <v>74</v>
      </c>
      <c r="B4" s="63" t="s">
        <v>208</v>
      </c>
      <c r="C4" s="19" t="s">
        <v>152</v>
      </c>
      <c r="D4" s="20" t="s">
        <v>415</v>
      </c>
      <c r="E4" s="151" t="s">
        <v>416</v>
      </c>
    </row>
    <row r="5" spans="1:6" ht="96">
      <c r="A5" s="22" t="s">
        <v>81</v>
      </c>
      <c r="B5" s="63" t="s">
        <v>209</v>
      </c>
      <c r="C5" s="19" t="s">
        <v>312</v>
      </c>
      <c r="D5" s="20" t="s">
        <v>154</v>
      </c>
      <c r="E5" s="151" t="s">
        <v>257</v>
      </c>
    </row>
    <row r="6" spans="1:6" ht="132">
      <c r="A6" s="22" t="s">
        <v>99</v>
      </c>
      <c r="B6" s="63" t="s">
        <v>210</v>
      </c>
      <c r="C6" s="19" t="s">
        <v>223</v>
      </c>
      <c r="D6" s="20" t="s">
        <v>82</v>
      </c>
      <c r="E6" s="151" t="s">
        <v>417</v>
      </c>
      <c r="F6" s="66"/>
    </row>
    <row r="7" spans="1:6" ht="48">
      <c r="A7" s="22" t="s">
        <v>105</v>
      </c>
      <c r="B7" s="63" t="s">
        <v>211</v>
      </c>
      <c r="C7" s="19" t="s">
        <v>393</v>
      </c>
      <c r="D7" s="20" t="s">
        <v>100</v>
      </c>
      <c r="E7" s="21" t="s">
        <v>137</v>
      </c>
    </row>
    <row r="8" spans="1:6" ht="108">
      <c r="A8" s="22" t="s">
        <v>118</v>
      </c>
      <c r="B8" s="63" t="s">
        <v>212</v>
      </c>
      <c r="C8" s="19" t="s">
        <v>313</v>
      </c>
      <c r="D8" s="20" t="s">
        <v>194</v>
      </c>
      <c r="E8" s="21" t="s">
        <v>418</v>
      </c>
    </row>
    <row r="9" spans="1:6" ht="108">
      <c r="A9" s="22" t="s">
        <v>120</v>
      </c>
      <c r="B9" s="214" t="s">
        <v>357</v>
      </c>
      <c r="C9" s="215" t="s">
        <v>403</v>
      </c>
      <c r="D9" s="216" t="s">
        <v>356</v>
      </c>
      <c r="E9" s="151" t="s">
        <v>355</v>
      </c>
    </row>
    <row r="10" spans="1:6" ht="36">
      <c r="A10" s="78" t="s">
        <v>198</v>
      </c>
      <c r="B10" s="233" t="s">
        <v>404</v>
      </c>
      <c r="C10" s="234" t="s">
        <v>200</v>
      </c>
      <c r="D10" s="235" t="s">
        <v>404</v>
      </c>
      <c r="E10" s="152" t="s">
        <v>419</v>
      </c>
    </row>
    <row r="11" spans="1:6" ht="72">
      <c r="A11" s="78" t="s">
        <v>126</v>
      </c>
      <c r="B11" s="76" t="s">
        <v>213</v>
      </c>
      <c r="C11" s="185" t="s">
        <v>204</v>
      </c>
      <c r="D11" s="77" t="s">
        <v>205</v>
      </c>
      <c r="E11" s="152" t="s">
        <v>420</v>
      </c>
    </row>
    <row r="12" spans="1:6" ht="36">
      <c r="A12" s="78" t="s">
        <v>130</v>
      </c>
      <c r="B12" s="204" t="s">
        <v>334</v>
      </c>
      <c r="C12" s="185" t="s">
        <v>199</v>
      </c>
      <c r="D12" s="77" t="s">
        <v>335</v>
      </c>
      <c r="E12" s="205" t="s">
        <v>336</v>
      </c>
    </row>
    <row r="13" spans="1:6" ht="108">
      <c r="A13" s="22" t="s">
        <v>131</v>
      </c>
      <c r="B13" s="217" t="s">
        <v>214</v>
      </c>
      <c r="C13" s="218" t="s">
        <v>317</v>
      </c>
      <c r="D13" s="219" t="s">
        <v>134</v>
      </c>
      <c r="E13" s="220" t="s">
        <v>263</v>
      </c>
    </row>
    <row r="14" spans="1:6" ht="84">
      <c r="A14" s="22" t="s">
        <v>289</v>
      </c>
      <c r="B14" s="217" t="s">
        <v>292</v>
      </c>
      <c r="C14" s="218" t="s">
        <v>342</v>
      </c>
      <c r="D14" s="219" t="s">
        <v>293</v>
      </c>
      <c r="E14" s="220" t="s">
        <v>344</v>
      </c>
    </row>
    <row r="15" spans="1:6" ht="252">
      <c r="A15" s="22" t="s">
        <v>290</v>
      </c>
      <c r="B15" s="63" t="s">
        <v>135</v>
      </c>
      <c r="C15" s="19" t="s">
        <v>314</v>
      </c>
      <c r="D15" s="20" t="s">
        <v>136</v>
      </c>
      <c r="E15" s="151" t="s">
        <v>421</v>
      </c>
    </row>
    <row r="16" spans="1:6" ht="132" hidden="1">
      <c r="A16" s="22" t="s">
        <v>133</v>
      </c>
      <c r="B16" s="63" t="s">
        <v>215</v>
      </c>
      <c r="C16" s="19" t="s">
        <v>153</v>
      </c>
      <c r="D16" s="20" t="s">
        <v>127</v>
      </c>
      <c r="E16" s="21" t="s">
        <v>138</v>
      </c>
    </row>
    <row r="20" spans="5:5">
      <c r="E20" s="135"/>
    </row>
  </sheetData>
  <phoneticPr fontId="2"/>
  <pageMargins left="0.39370078740157483" right="0" top="0.6692913385826772" bottom="0.31496062992125984" header="0.27559055118110237" footer="0.11811023622047245"/>
  <pageSetup paperSize="9" scale="73" fitToHeight="0" orientation="landscape" r:id="rId1"/>
  <headerFooter>
    <oddHeader>&amp;C&amp;14同志社大学学生勤務管理システム機能一覧</oddHeader>
    <oddFooter>&amp;C&amp;P/&amp;N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22F89-6B5E-41BD-A84D-502E57E4850C}">
  <sheetPr codeName="Sheet4">
    <pageSetUpPr fitToPage="1"/>
  </sheetPr>
  <dimension ref="A1:T71"/>
  <sheetViews>
    <sheetView zoomScale="85" zoomScaleNormal="85" zoomScaleSheetLayoutView="85" workbookViewId="0">
      <pane xSplit="8" ySplit="4" topLeftCell="I5" activePane="bottomRight" state="frozen"/>
      <selection pane="topRight"/>
      <selection pane="bottomLeft"/>
      <selection pane="bottomRight" activeCell="A5" sqref="A5"/>
    </sheetView>
  </sheetViews>
  <sheetFormatPr defaultColWidth="9" defaultRowHeight="15" customHeight="1"/>
  <cols>
    <col min="1" max="1" width="13.125" style="3" bestFit="1" customWidth="1"/>
    <col min="2" max="2" width="3.5" style="3" bestFit="1" customWidth="1"/>
    <col min="3" max="3" width="25.125" style="6" customWidth="1"/>
    <col min="4" max="4" width="4.5" style="3" customWidth="1"/>
    <col min="5" max="5" width="44.5" style="3" customWidth="1"/>
    <col min="6" max="6" width="4.5" style="3" bestFit="1" customWidth="1"/>
    <col min="7" max="7" width="53.875" style="1" customWidth="1"/>
    <col min="8" max="8" width="12.375" style="2" customWidth="1"/>
    <col min="9" max="9" width="9" style="3"/>
    <col min="10" max="10" width="0" style="3" hidden="1" customWidth="1"/>
    <col min="11" max="12" width="9" style="3"/>
    <col min="13" max="13" width="0" style="3" hidden="1" customWidth="1"/>
    <col min="14" max="15" width="9" style="3"/>
    <col min="16" max="16" width="0" style="3" hidden="1" customWidth="1"/>
    <col min="17" max="18" width="9" style="3"/>
    <col min="19" max="19" width="0" style="3" hidden="1" customWidth="1"/>
    <col min="20" max="16384" width="9" style="3"/>
  </cols>
  <sheetData>
    <row r="1" spans="1:20" ht="15" customHeight="1">
      <c r="A1" s="321" t="s">
        <v>5</v>
      </c>
      <c r="B1" s="321"/>
      <c r="C1" s="321"/>
      <c r="E1" s="7" t="s">
        <v>119</v>
      </c>
    </row>
    <row r="2" spans="1:20" ht="15" customHeight="1" thickBot="1">
      <c r="E2" s="322" t="s">
        <v>345</v>
      </c>
      <c r="F2" s="322"/>
      <c r="G2" s="322"/>
      <c r="H2" s="322"/>
      <c r="O2" s="292" t="s">
        <v>325</v>
      </c>
      <c r="P2" s="292"/>
      <c r="Q2" s="292"/>
      <c r="R2" s="292"/>
      <c r="S2" s="292"/>
      <c r="T2" s="292"/>
    </row>
    <row r="3" spans="1:20" ht="15" customHeight="1">
      <c r="A3" s="24"/>
      <c r="B3" s="25"/>
      <c r="C3" s="26"/>
      <c r="D3" s="25"/>
      <c r="E3" s="27"/>
      <c r="F3" s="25"/>
      <c r="G3" s="28"/>
      <c r="H3" s="165"/>
      <c r="I3" s="307" t="s">
        <v>318</v>
      </c>
      <c r="J3" s="308"/>
      <c r="K3" s="309"/>
      <c r="L3" s="310" t="s">
        <v>103</v>
      </c>
      <c r="M3" s="311"/>
      <c r="N3" s="312"/>
      <c r="O3" s="313" t="s">
        <v>319</v>
      </c>
      <c r="P3" s="314"/>
      <c r="Q3" s="315"/>
      <c r="R3" s="313" t="s">
        <v>320</v>
      </c>
      <c r="S3" s="314"/>
      <c r="T3" s="315"/>
    </row>
    <row r="4" spans="1:20" ht="15" customHeight="1" thickBot="1">
      <c r="A4" s="29" t="s">
        <v>6</v>
      </c>
      <c r="B4" s="30"/>
      <c r="C4" s="31" t="s">
        <v>7</v>
      </c>
      <c r="D4" s="30"/>
      <c r="E4" s="31" t="s">
        <v>8</v>
      </c>
      <c r="F4" s="30"/>
      <c r="G4" s="32" t="s">
        <v>2</v>
      </c>
      <c r="H4" s="166" t="s">
        <v>3</v>
      </c>
      <c r="I4" s="167" t="s">
        <v>321</v>
      </c>
      <c r="J4" s="167" t="s">
        <v>322</v>
      </c>
      <c r="K4" s="167" t="s">
        <v>323</v>
      </c>
      <c r="L4" s="168" t="s">
        <v>321</v>
      </c>
      <c r="M4" s="168" t="s">
        <v>322</v>
      </c>
      <c r="N4" s="168" t="s">
        <v>323</v>
      </c>
      <c r="O4" s="169" t="s">
        <v>321</v>
      </c>
      <c r="P4" s="169" t="s">
        <v>322</v>
      </c>
      <c r="Q4" s="169" t="s">
        <v>323</v>
      </c>
      <c r="R4" s="169" t="s">
        <v>321</v>
      </c>
      <c r="S4" s="169" t="s">
        <v>322</v>
      </c>
      <c r="T4" s="169" t="s">
        <v>323</v>
      </c>
    </row>
    <row r="5" spans="1:20" ht="15" customHeight="1">
      <c r="A5" s="190" t="s">
        <v>141</v>
      </c>
      <c r="B5" s="189" t="s">
        <v>142</v>
      </c>
      <c r="C5" s="323" t="s">
        <v>9</v>
      </c>
      <c r="D5" s="189" t="s">
        <v>10</v>
      </c>
      <c r="E5" s="306" t="s">
        <v>11</v>
      </c>
      <c r="F5" s="206" t="s">
        <v>12</v>
      </c>
      <c r="G5" s="207" t="s">
        <v>11</v>
      </c>
      <c r="H5" s="208" t="str">
        <f>IF(F5="","",(CONCATENATE(B5,"-",D5,"-",F5)))</f>
        <v>CC-010-01G</v>
      </c>
      <c r="I5" s="209"/>
      <c r="J5" s="209"/>
      <c r="K5" s="210" t="s">
        <v>326</v>
      </c>
      <c r="L5" s="209"/>
      <c r="M5" s="209"/>
      <c r="N5" s="210" t="s">
        <v>326</v>
      </c>
      <c r="O5" s="209"/>
      <c r="P5" s="209"/>
      <c r="Q5" s="210" t="s">
        <v>326</v>
      </c>
      <c r="R5" s="209"/>
      <c r="S5" s="209"/>
      <c r="T5" s="210" t="s">
        <v>326</v>
      </c>
    </row>
    <row r="6" spans="1:20" ht="15" customHeight="1">
      <c r="A6" s="37" t="s">
        <v>141</v>
      </c>
      <c r="B6" s="38" t="s">
        <v>142</v>
      </c>
      <c r="C6" s="304"/>
      <c r="D6" s="38" t="s">
        <v>10</v>
      </c>
      <c r="E6" s="302"/>
      <c r="F6" s="38" t="s">
        <v>351</v>
      </c>
      <c r="G6" s="39" t="s">
        <v>368</v>
      </c>
      <c r="H6" s="40" t="str">
        <f>IF(F6="","",(CONCATENATE(B6,"-",D6,"-",F6)))</f>
        <v>CC-010-90G</v>
      </c>
      <c r="I6" s="183"/>
      <c r="J6" s="183"/>
      <c r="K6" s="176" t="s">
        <v>326</v>
      </c>
      <c r="L6" s="183"/>
      <c r="M6" s="183"/>
      <c r="N6" s="177" t="s">
        <v>326</v>
      </c>
      <c r="O6" s="183"/>
      <c r="P6" s="183"/>
      <c r="Q6" s="178" t="s">
        <v>326</v>
      </c>
      <c r="R6" s="183"/>
      <c r="S6" s="183"/>
      <c r="T6" s="178" t="s">
        <v>326</v>
      </c>
    </row>
    <row r="7" spans="1:20" ht="15" customHeight="1">
      <c r="A7" s="37" t="s">
        <v>141</v>
      </c>
      <c r="B7" s="38" t="s">
        <v>142</v>
      </c>
      <c r="C7" s="304"/>
      <c r="D7" s="38" t="s">
        <v>13</v>
      </c>
      <c r="E7" s="300" t="s">
        <v>14</v>
      </c>
      <c r="F7" s="38" t="s">
        <v>12</v>
      </c>
      <c r="G7" s="39" t="s">
        <v>14</v>
      </c>
      <c r="H7" s="170" t="str">
        <f t="shared" ref="H7:H69" si="0">IF(F7="","",(CONCATENATE(B7,"-",D7,"-",F7)))</f>
        <v>CC-020-01G</v>
      </c>
      <c r="I7" s="183"/>
      <c r="J7" s="183"/>
      <c r="K7" s="176" t="s">
        <v>327</v>
      </c>
      <c r="L7" s="183"/>
      <c r="M7" s="183"/>
      <c r="N7" s="177" t="s">
        <v>327</v>
      </c>
      <c r="O7" s="183"/>
      <c r="P7" s="183"/>
      <c r="Q7" s="178" t="s">
        <v>327</v>
      </c>
      <c r="R7" s="183"/>
      <c r="S7" s="183"/>
      <c r="T7" s="178" t="s">
        <v>327</v>
      </c>
    </row>
    <row r="8" spans="1:20" ht="15" customHeight="1">
      <c r="A8" s="37" t="s">
        <v>141</v>
      </c>
      <c r="B8" s="38" t="s">
        <v>142</v>
      </c>
      <c r="C8" s="304"/>
      <c r="D8" s="38" t="s">
        <v>13</v>
      </c>
      <c r="E8" s="301"/>
      <c r="F8" s="211" t="s">
        <v>15</v>
      </c>
      <c r="G8" s="212" t="s">
        <v>17</v>
      </c>
      <c r="H8" s="213" t="str">
        <f t="shared" si="0"/>
        <v>CC-020-02G</v>
      </c>
      <c r="I8" s="209"/>
      <c r="J8" s="209"/>
      <c r="K8" s="210" t="s">
        <v>327</v>
      </c>
      <c r="L8" s="209"/>
      <c r="M8" s="209"/>
      <c r="N8" s="210" t="s">
        <v>327</v>
      </c>
      <c r="O8" s="209"/>
      <c r="P8" s="209"/>
      <c r="Q8" s="210" t="s">
        <v>327</v>
      </c>
      <c r="R8" s="209"/>
      <c r="S8" s="209"/>
      <c r="T8" s="210" t="s">
        <v>327</v>
      </c>
    </row>
    <row r="9" spans="1:20" ht="15" customHeight="1">
      <c r="A9" s="37" t="s">
        <v>141</v>
      </c>
      <c r="B9" s="38" t="s">
        <v>142</v>
      </c>
      <c r="C9" s="304"/>
      <c r="D9" s="38" t="s">
        <v>13</v>
      </c>
      <c r="E9" s="301"/>
      <c r="F9" s="38" t="s">
        <v>16</v>
      </c>
      <c r="G9" s="39" t="s">
        <v>139</v>
      </c>
      <c r="H9" s="171" t="str">
        <f t="shared" si="0"/>
        <v>CC-020-03G</v>
      </c>
      <c r="I9" s="183"/>
      <c r="J9" s="183"/>
      <c r="K9" s="176" t="s">
        <v>327</v>
      </c>
      <c r="L9" s="183"/>
      <c r="M9" s="183"/>
      <c r="N9" s="177" t="s">
        <v>327</v>
      </c>
      <c r="O9" s="183"/>
      <c r="P9" s="183"/>
      <c r="Q9" s="178" t="s">
        <v>327</v>
      </c>
      <c r="R9" s="183"/>
      <c r="S9" s="183"/>
      <c r="T9" s="178" t="s">
        <v>327</v>
      </c>
    </row>
    <row r="10" spans="1:20" ht="15" customHeight="1">
      <c r="A10" s="37" t="s">
        <v>141</v>
      </c>
      <c r="B10" s="38" t="s">
        <v>142</v>
      </c>
      <c r="C10" s="304"/>
      <c r="D10" s="38" t="s">
        <v>13</v>
      </c>
      <c r="E10" s="301"/>
      <c r="F10" s="38" t="s">
        <v>18</v>
      </c>
      <c r="G10" s="39" t="s">
        <v>4</v>
      </c>
      <c r="H10" s="171" t="str">
        <f t="shared" si="0"/>
        <v>CC-020-80G</v>
      </c>
      <c r="I10" s="183"/>
      <c r="J10" s="183"/>
      <c r="K10" s="176" t="s">
        <v>327</v>
      </c>
      <c r="L10" s="183"/>
      <c r="M10" s="183"/>
      <c r="N10" s="177" t="s">
        <v>327</v>
      </c>
      <c r="O10" s="183"/>
      <c r="P10" s="183"/>
      <c r="Q10" s="178" t="s">
        <v>327</v>
      </c>
      <c r="R10" s="183"/>
      <c r="S10" s="183"/>
      <c r="T10" s="178" t="s">
        <v>327</v>
      </c>
    </row>
    <row r="11" spans="1:20" ht="15" customHeight="1" thickBot="1">
      <c r="A11" s="41" t="s">
        <v>141</v>
      </c>
      <c r="B11" s="42" t="s">
        <v>142</v>
      </c>
      <c r="C11" s="324"/>
      <c r="D11" s="42" t="s">
        <v>13</v>
      </c>
      <c r="E11" s="325"/>
      <c r="F11" s="42" t="s">
        <v>19</v>
      </c>
      <c r="G11" s="43" t="s">
        <v>20</v>
      </c>
      <c r="H11" s="172" t="str">
        <f>IF(F11="","",(CONCATENATE(B11,"-",D11,"-",F11)))</f>
        <v>CC-020-90G</v>
      </c>
      <c r="I11" s="183"/>
      <c r="J11" s="183"/>
      <c r="K11" s="176" t="s">
        <v>327</v>
      </c>
      <c r="L11" s="183"/>
      <c r="M11" s="183"/>
      <c r="N11" s="177" t="s">
        <v>327</v>
      </c>
      <c r="O11" s="183"/>
      <c r="P11" s="183"/>
      <c r="Q11" s="178" t="s">
        <v>327</v>
      </c>
      <c r="R11" s="183"/>
      <c r="S11" s="183"/>
      <c r="T11" s="178" t="s">
        <v>327</v>
      </c>
    </row>
    <row r="12" spans="1:20" s="163" customFormat="1" ht="15" customHeight="1">
      <c r="A12" s="33" t="s">
        <v>218</v>
      </c>
      <c r="B12" s="34" t="s">
        <v>144</v>
      </c>
      <c r="C12" s="304" t="s">
        <v>21</v>
      </c>
      <c r="D12" s="34" t="s">
        <v>10</v>
      </c>
      <c r="E12" s="306" t="s">
        <v>22</v>
      </c>
      <c r="F12" s="34" t="s">
        <v>12</v>
      </c>
      <c r="G12" s="35" t="s">
        <v>219</v>
      </c>
      <c r="H12" s="171" t="str">
        <f t="shared" si="0"/>
        <v>CK-010-01G</v>
      </c>
      <c r="I12" s="179" t="s">
        <v>324</v>
      </c>
      <c r="J12" s="179" t="s">
        <v>324</v>
      </c>
      <c r="K12" s="179" t="s">
        <v>324</v>
      </c>
      <c r="L12" s="180" t="s">
        <v>327</v>
      </c>
      <c r="M12" s="180" t="s">
        <v>324</v>
      </c>
      <c r="N12" s="180" t="s">
        <v>327</v>
      </c>
      <c r="O12" s="181" t="s">
        <v>327</v>
      </c>
      <c r="P12" s="182" t="s">
        <v>324</v>
      </c>
      <c r="Q12" s="181" t="s">
        <v>327</v>
      </c>
      <c r="R12" s="181" t="s">
        <v>324</v>
      </c>
      <c r="S12" s="182" t="s">
        <v>324</v>
      </c>
      <c r="T12" s="181" t="s">
        <v>327</v>
      </c>
    </row>
    <row r="13" spans="1:20" s="164" customFormat="1" ht="15" customHeight="1">
      <c r="A13" s="37" t="s">
        <v>225</v>
      </c>
      <c r="B13" s="38" t="s">
        <v>144</v>
      </c>
      <c r="C13" s="304"/>
      <c r="D13" s="38" t="s">
        <v>10</v>
      </c>
      <c r="E13" s="301"/>
      <c r="F13" s="149" t="s">
        <v>15</v>
      </c>
      <c r="G13" s="150" t="s">
        <v>71</v>
      </c>
      <c r="H13" s="174" t="str">
        <f>IF(F13="","",(CONCATENATE(B13,"-",D13,"-",F13)))</f>
        <v>CK-010-02G</v>
      </c>
      <c r="I13" s="179" t="s">
        <v>324</v>
      </c>
      <c r="J13" s="179" t="s">
        <v>324</v>
      </c>
      <c r="K13" s="179" t="s">
        <v>324</v>
      </c>
      <c r="L13" s="180" t="s">
        <v>327</v>
      </c>
      <c r="M13" s="180" t="s">
        <v>324</v>
      </c>
      <c r="N13" s="180" t="s">
        <v>327</v>
      </c>
      <c r="O13" s="181" t="s">
        <v>327</v>
      </c>
      <c r="P13" s="182" t="s">
        <v>324</v>
      </c>
      <c r="Q13" s="181" t="s">
        <v>327</v>
      </c>
      <c r="R13" s="182" t="s">
        <v>324</v>
      </c>
      <c r="S13" s="182" t="s">
        <v>324</v>
      </c>
      <c r="T13" s="182" t="s">
        <v>324</v>
      </c>
    </row>
    <row r="14" spans="1:20" s="164" customFormat="1" ht="15" customHeight="1">
      <c r="A14" s="37" t="s">
        <v>218</v>
      </c>
      <c r="B14" s="38" t="s">
        <v>144</v>
      </c>
      <c r="C14" s="304"/>
      <c r="D14" s="38" t="s">
        <v>10</v>
      </c>
      <c r="E14" s="302"/>
      <c r="F14" s="149" t="s">
        <v>308</v>
      </c>
      <c r="G14" s="150" t="s">
        <v>69</v>
      </c>
      <c r="H14" s="174" t="str">
        <f t="shared" ref="H14" si="1">IF(F14="","",(CONCATENATE(B14,"-",D14,"-",F14)))</f>
        <v>CK-010-03E</v>
      </c>
      <c r="I14" s="179" t="s">
        <v>324</v>
      </c>
      <c r="J14" s="179" t="s">
        <v>324</v>
      </c>
      <c r="K14" s="179" t="s">
        <v>324</v>
      </c>
      <c r="L14" s="180" t="s">
        <v>327</v>
      </c>
      <c r="M14" s="180" t="s">
        <v>324</v>
      </c>
      <c r="N14" s="180" t="s">
        <v>327</v>
      </c>
      <c r="O14" s="182" t="s">
        <v>327</v>
      </c>
      <c r="P14" s="182" t="s">
        <v>324</v>
      </c>
      <c r="Q14" s="182" t="s">
        <v>327</v>
      </c>
      <c r="R14" s="182" t="s">
        <v>327</v>
      </c>
      <c r="S14" s="182" t="s">
        <v>324</v>
      </c>
      <c r="T14" s="182" t="s">
        <v>327</v>
      </c>
    </row>
    <row r="15" spans="1:20" s="163" customFormat="1" ht="15" customHeight="1">
      <c r="A15" s="37" t="s">
        <v>143</v>
      </c>
      <c r="B15" s="38" t="s">
        <v>144</v>
      </c>
      <c r="C15" s="304"/>
      <c r="D15" s="38" t="s">
        <v>13</v>
      </c>
      <c r="E15" s="294" t="s">
        <v>353</v>
      </c>
      <c r="F15" s="149" t="s">
        <v>23</v>
      </c>
      <c r="G15" s="150" t="s">
        <v>354</v>
      </c>
      <c r="H15" s="174" t="str">
        <f t="shared" si="0"/>
        <v>CK-020-01G</v>
      </c>
      <c r="I15" s="179" t="s">
        <v>324</v>
      </c>
      <c r="J15" s="179" t="s">
        <v>324</v>
      </c>
      <c r="K15" s="179" t="s">
        <v>324</v>
      </c>
      <c r="L15" s="180" t="s">
        <v>324</v>
      </c>
      <c r="M15" s="180" t="s">
        <v>324</v>
      </c>
      <c r="N15" s="180" t="s">
        <v>324</v>
      </c>
      <c r="O15" s="182" t="s">
        <v>324</v>
      </c>
      <c r="P15" s="182" t="s">
        <v>324</v>
      </c>
      <c r="Q15" s="182" t="s">
        <v>324</v>
      </c>
      <c r="R15" s="182" t="s">
        <v>327</v>
      </c>
      <c r="S15" s="182" t="s">
        <v>324</v>
      </c>
      <c r="T15" s="182" t="s">
        <v>327</v>
      </c>
    </row>
    <row r="16" spans="1:20" s="163" customFormat="1" ht="15" customHeight="1">
      <c r="A16" s="37" t="s">
        <v>143</v>
      </c>
      <c r="B16" s="38" t="s">
        <v>144</v>
      </c>
      <c r="C16" s="304"/>
      <c r="D16" s="38" t="s">
        <v>13</v>
      </c>
      <c r="E16" s="294"/>
      <c r="F16" s="38" t="s">
        <v>15</v>
      </c>
      <c r="G16" s="39" t="s">
        <v>328</v>
      </c>
      <c r="H16" s="171" t="str">
        <f t="shared" ref="H16" si="2">IF(F16="","",(CONCATENATE(B16,"-",D16,"-",F16)))</f>
        <v>CK-020-02G</v>
      </c>
      <c r="I16" s="179" t="s">
        <v>324</v>
      </c>
      <c r="J16" s="179" t="s">
        <v>324</v>
      </c>
      <c r="K16" s="179" t="s">
        <v>324</v>
      </c>
      <c r="L16" s="180" t="s">
        <v>324</v>
      </c>
      <c r="M16" s="180" t="s">
        <v>324</v>
      </c>
      <c r="N16" s="180" t="s">
        <v>324</v>
      </c>
      <c r="O16" s="182" t="s">
        <v>327</v>
      </c>
      <c r="P16" s="182" t="s">
        <v>324</v>
      </c>
      <c r="Q16" s="182" t="s">
        <v>327</v>
      </c>
      <c r="R16" s="182" t="s">
        <v>327</v>
      </c>
      <c r="S16" s="182" t="s">
        <v>324</v>
      </c>
      <c r="T16" s="182" t="s">
        <v>327</v>
      </c>
    </row>
    <row r="17" spans="1:20" s="163" customFormat="1" ht="15" customHeight="1">
      <c r="A17" s="37" t="s">
        <v>143</v>
      </c>
      <c r="B17" s="38" t="s">
        <v>144</v>
      </c>
      <c r="C17" s="304"/>
      <c r="D17" s="38" t="s">
        <v>13</v>
      </c>
      <c r="E17" s="294"/>
      <c r="F17" s="38" t="s">
        <v>25</v>
      </c>
      <c r="G17" s="39" t="s">
        <v>26</v>
      </c>
      <c r="H17" s="171" t="str">
        <f>IF(F17="","",(CONCATENATE(B17,"-",D17,"-",F17)))</f>
        <v>CK-020-03C</v>
      </c>
      <c r="I17" s="179" t="s">
        <v>324</v>
      </c>
      <c r="J17" s="179" t="s">
        <v>324</v>
      </c>
      <c r="K17" s="179" t="s">
        <v>324</v>
      </c>
      <c r="L17" s="180" t="s">
        <v>324</v>
      </c>
      <c r="M17" s="180" t="s">
        <v>324</v>
      </c>
      <c r="N17" s="180" t="s">
        <v>324</v>
      </c>
      <c r="O17" s="182" t="s">
        <v>324</v>
      </c>
      <c r="P17" s="182" t="s">
        <v>324</v>
      </c>
      <c r="Q17" s="182" t="s">
        <v>324</v>
      </c>
      <c r="R17" s="182" t="s">
        <v>327</v>
      </c>
      <c r="S17" s="182" t="s">
        <v>327</v>
      </c>
      <c r="T17" s="182" t="s">
        <v>327</v>
      </c>
    </row>
    <row r="18" spans="1:20" s="163" customFormat="1" ht="15" customHeight="1">
      <c r="A18" s="37" t="s">
        <v>143</v>
      </c>
      <c r="B18" s="38" t="s">
        <v>144</v>
      </c>
      <c r="C18" s="304"/>
      <c r="D18" s="38" t="s">
        <v>13</v>
      </c>
      <c r="E18" s="294"/>
      <c r="F18" s="38" t="s">
        <v>409</v>
      </c>
      <c r="G18" s="39" t="s">
        <v>27</v>
      </c>
      <c r="H18" s="171" t="str">
        <f t="shared" si="0"/>
        <v>CK-020-04C</v>
      </c>
      <c r="I18" s="179" t="s">
        <v>324</v>
      </c>
      <c r="J18" s="179" t="s">
        <v>324</v>
      </c>
      <c r="K18" s="179" t="s">
        <v>324</v>
      </c>
      <c r="L18" s="180" t="s">
        <v>324</v>
      </c>
      <c r="M18" s="180" t="s">
        <v>324</v>
      </c>
      <c r="N18" s="180" t="s">
        <v>324</v>
      </c>
      <c r="O18" s="182" t="s">
        <v>327</v>
      </c>
      <c r="P18" s="182" t="s">
        <v>324</v>
      </c>
      <c r="Q18" s="182" t="s">
        <v>327</v>
      </c>
      <c r="R18" s="182" t="s">
        <v>327</v>
      </c>
      <c r="S18" s="182" t="s">
        <v>324</v>
      </c>
      <c r="T18" s="182" t="s">
        <v>327</v>
      </c>
    </row>
    <row r="19" spans="1:20" s="163" customFormat="1" ht="15" customHeight="1">
      <c r="A19" s="61" t="s">
        <v>143</v>
      </c>
      <c r="B19" s="62" t="s">
        <v>144</v>
      </c>
      <c r="C19" s="304"/>
      <c r="D19" s="62" t="s">
        <v>13</v>
      </c>
      <c r="E19" s="300"/>
      <c r="F19" s="62" t="s">
        <v>309</v>
      </c>
      <c r="G19" s="48" t="s">
        <v>28</v>
      </c>
      <c r="H19" s="173" t="str">
        <f t="shared" ref="H19" si="3">IF(F19="","",(CONCATENATE(B19,"-",D19,"-",F19)))</f>
        <v>CK-020-05E</v>
      </c>
      <c r="I19" s="179" t="s">
        <v>324</v>
      </c>
      <c r="J19" s="179" t="s">
        <v>324</v>
      </c>
      <c r="K19" s="179" t="s">
        <v>324</v>
      </c>
      <c r="L19" s="180" t="s">
        <v>324</v>
      </c>
      <c r="M19" s="180" t="s">
        <v>324</v>
      </c>
      <c r="N19" s="180" t="s">
        <v>324</v>
      </c>
      <c r="O19" s="182" t="s">
        <v>332</v>
      </c>
      <c r="P19" s="182" t="s">
        <v>324</v>
      </c>
      <c r="Q19" s="182" t="s">
        <v>327</v>
      </c>
      <c r="R19" s="182" t="s">
        <v>327</v>
      </c>
      <c r="S19" s="182" t="s">
        <v>324</v>
      </c>
      <c r="T19" s="182" t="s">
        <v>327</v>
      </c>
    </row>
    <row r="20" spans="1:20" s="163" customFormat="1" ht="15" customHeight="1">
      <c r="A20" s="37" t="s">
        <v>220</v>
      </c>
      <c r="B20" s="38" t="s">
        <v>144</v>
      </c>
      <c r="C20" s="65" t="s">
        <v>197</v>
      </c>
      <c r="D20" s="38" t="s">
        <v>195</v>
      </c>
      <c r="E20" s="150" t="s">
        <v>404</v>
      </c>
      <c r="F20" s="149" t="s">
        <v>196</v>
      </c>
      <c r="G20" s="150" t="s">
        <v>405</v>
      </c>
      <c r="H20" s="170" t="str">
        <f t="shared" si="0"/>
        <v>CK-030-01G</v>
      </c>
      <c r="I20" s="179" t="s">
        <v>324</v>
      </c>
      <c r="J20" s="179" t="s">
        <v>324</v>
      </c>
      <c r="K20" s="179" t="s">
        <v>324</v>
      </c>
      <c r="L20" s="180" t="s">
        <v>327</v>
      </c>
      <c r="M20" s="180" t="s">
        <v>324</v>
      </c>
      <c r="N20" s="180" t="s">
        <v>327</v>
      </c>
      <c r="O20" s="182" t="s">
        <v>327</v>
      </c>
      <c r="P20" s="182" t="s">
        <v>324</v>
      </c>
      <c r="Q20" s="182" t="s">
        <v>327</v>
      </c>
      <c r="R20" s="182" t="s">
        <v>327</v>
      </c>
      <c r="S20" s="182" t="s">
        <v>324</v>
      </c>
      <c r="T20" s="182" t="s">
        <v>327</v>
      </c>
    </row>
    <row r="21" spans="1:20" s="163" customFormat="1" ht="15" customHeight="1">
      <c r="A21" s="37" t="s">
        <v>143</v>
      </c>
      <c r="B21" s="38" t="s">
        <v>145</v>
      </c>
      <c r="C21" s="297" t="s">
        <v>29</v>
      </c>
      <c r="D21" s="38" t="s">
        <v>10</v>
      </c>
      <c r="E21" s="295" t="s">
        <v>33</v>
      </c>
      <c r="F21" s="149" t="s">
        <v>12</v>
      </c>
      <c r="G21" s="150" t="s">
        <v>67</v>
      </c>
      <c r="H21" s="174" t="str">
        <f>IF(F21="","",(CONCATENATE(B21,"-",D21,"-",F21)))</f>
        <v>CZ-010-01G</v>
      </c>
      <c r="I21" s="179" t="s">
        <v>324</v>
      </c>
      <c r="J21" s="179" t="s">
        <v>324</v>
      </c>
      <c r="K21" s="179" t="s">
        <v>324</v>
      </c>
      <c r="L21" s="180" t="s">
        <v>324</v>
      </c>
      <c r="M21" s="180" t="s">
        <v>324</v>
      </c>
      <c r="N21" s="180" t="s">
        <v>324</v>
      </c>
      <c r="O21" s="182" t="s">
        <v>327</v>
      </c>
      <c r="P21" s="182" t="s">
        <v>327</v>
      </c>
      <c r="Q21" s="182" t="s">
        <v>327</v>
      </c>
      <c r="R21" s="182" t="s">
        <v>327</v>
      </c>
      <c r="S21" s="182" t="s">
        <v>327</v>
      </c>
      <c r="T21" s="182" t="s">
        <v>327</v>
      </c>
    </row>
    <row r="22" spans="1:20" s="163" customFormat="1" ht="15" customHeight="1">
      <c r="A22" s="37" t="s">
        <v>143</v>
      </c>
      <c r="B22" s="38" t="s">
        <v>145</v>
      </c>
      <c r="C22" s="298"/>
      <c r="D22" s="38" t="s">
        <v>10</v>
      </c>
      <c r="E22" s="305"/>
      <c r="F22" s="149" t="s">
        <v>34</v>
      </c>
      <c r="G22" s="150" t="s">
        <v>203</v>
      </c>
      <c r="H22" s="175" t="str">
        <f t="shared" ref="H22:H27" si="4">IF(F22="","",(CONCATENATE(B22,"-",D22,"-",F22)))</f>
        <v>CZ-010-02G</v>
      </c>
      <c r="I22" s="179" t="s">
        <v>324</v>
      </c>
      <c r="J22" s="179" t="s">
        <v>324</v>
      </c>
      <c r="K22" s="179" t="s">
        <v>324</v>
      </c>
      <c r="L22" s="180" t="s">
        <v>324</v>
      </c>
      <c r="M22" s="180" t="s">
        <v>324</v>
      </c>
      <c r="N22" s="180" t="s">
        <v>324</v>
      </c>
      <c r="O22" s="182" t="s">
        <v>327</v>
      </c>
      <c r="P22" s="182" t="s">
        <v>327</v>
      </c>
      <c r="Q22" s="182" t="s">
        <v>327</v>
      </c>
      <c r="R22" s="182" t="s">
        <v>327</v>
      </c>
      <c r="S22" s="182" t="s">
        <v>327</v>
      </c>
      <c r="T22" s="182" t="s">
        <v>327</v>
      </c>
    </row>
    <row r="23" spans="1:20" s="163" customFormat="1" ht="15" customHeight="1">
      <c r="A23" s="37" t="s">
        <v>143</v>
      </c>
      <c r="B23" s="38" t="s">
        <v>145</v>
      </c>
      <c r="C23" s="298"/>
      <c r="D23" s="38" t="s">
        <v>10</v>
      </c>
      <c r="E23" s="305"/>
      <c r="F23" s="149" t="s">
        <v>25</v>
      </c>
      <c r="G23" s="150" t="s">
        <v>35</v>
      </c>
      <c r="H23" s="175" t="str">
        <f t="shared" si="4"/>
        <v>CZ-010-03C</v>
      </c>
      <c r="I23" s="179" t="s">
        <v>324</v>
      </c>
      <c r="J23" s="179" t="s">
        <v>324</v>
      </c>
      <c r="K23" s="179" t="s">
        <v>324</v>
      </c>
      <c r="L23" s="180" t="s">
        <v>324</v>
      </c>
      <c r="M23" s="180" t="s">
        <v>324</v>
      </c>
      <c r="N23" s="180" t="s">
        <v>324</v>
      </c>
      <c r="O23" s="182" t="s">
        <v>327</v>
      </c>
      <c r="P23" s="182" t="s">
        <v>327</v>
      </c>
      <c r="Q23" s="182" t="s">
        <v>327</v>
      </c>
      <c r="R23" s="182" t="s">
        <v>327</v>
      </c>
      <c r="S23" s="182" t="s">
        <v>327</v>
      </c>
      <c r="T23" s="182" t="s">
        <v>327</v>
      </c>
    </row>
    <row r="24" spans="1:20" s="163" customFormat="1" ht="15" customHeight="1">
      <c r="A24" s="37" t="s">
        <v>143</v>
      </c>
      <c r="B24" s="38" t="s">
        <v>145</v>
      </c>
      <c r="C24" s="298"/>
      <c r="D24" s="38" t="s">
        <v>10</v>
      </c>
      <c r="E24" s="305"/>
      <c r="F24" s="149" t="s">
        <v>146</v>
      </c>
      <c r="G24" s="150" t="s">
        <v>202</v>
      </c>
      <c r="H24" s="174" t="str">
        <f t="shared" si="4"/>
        <v>CZ-010-04G</v>
      </c>
      <c r="I24" s="179" t="s">
        <v>324</v>
      </c>
      <c r="J24" s="179" t="s">
        <v>324</v>
      </c>
      <c r="K24" s="179" t="s">
        <v>324</v>
      </c>
      <c r="L24" s="180" t="s">
        <v>324</v>
      </c>
      <c r="M24" s="180" t="s">
        <v>324</v>
      </c>
      <c r="N24" s="180" t="s">
        <v>324</v>
      </c>
      <c r="O24" s="182" t="s">
        <v>327</v>
      </c>
      <c r="P24" s="182" t="s">
        <v>327</v>
      </c>
      <c r="Q24" s="182" t="s">
        <v>327</v>
      </c>
      <c r="R24" s="182" t="s">
        <v>327</v>
      </c>
      <c r="S24" s="182" t="s">
        <v>327</v>
      </c>
      <c r="T24" s="182" t="s">
        <v>327</v>
      </c>
    </row>
    <row r="25" spans="1:20" s="163" customFormat="1" ht="15" customHeight="1">
      <c r="A25" s="37" t="s">
        <v>143</v>
      </c>
      <c r="B25" s="38" t="s">
        <v>145</v>
      </c>
      <c r="C25" s="298"/>
      <c r="D25" s="38" t="s">
        <v>10</v>
      </c>
      <c r="E25" s="305"/>
      <c r="F25" s="149" t="s">
        <v>309</v>
      </c>
      <c r="G25" s="150" t="s">
        <v>254</v>
      </c>
      <c r="H25" s="174" t="str">
        <f t="shared" si="4"/>
        <v>CZ-010-05E</v>
      </c>
      <c r="I25" s="179" t="s">
        <v>324</v>
      </c>
      <c r="J25" s="179" t="s">
        <v>324</v>
      </c>
      <c r="K25" s="179" t="s">
        <v>324</v>
      </c>
      <c r="L25" s="180" t="s">
        <v>324</v>
      </c>
      <c r="M25" s="180" t="s">
        <v>324</v>
      </c>
      <c r="N25" s="180" t="s">
        <v>324</v>
      </c>
      <c r="O25" s="182" t="s">
        <v>327</v>
      </c>
      <c r="P25" s="182" t="s">
        <v>327</v>
      </c>
      <c r="Q25" s="182" t="s">
        <v>327</v>
      </c>
      <c r="R25" s="182" t="s">
        <v>327</v>
      </c>
      <c r="S25" s="182" t="s">
        <v>327</v>
      </c>
      <c r="T25" s="182" t="s">
        <v>327</v>
      </c>
    </row>
    <row r="26" spans="1:20" s="163" customFormat="1" ht="15" customHeight="1">
      <c r="A26" s="37" t="s">
        <v>143</v>
      </c>
      <c r="B26" s="38" t="s">
        <v>145</v>
      </c>
      <c r="C26" s="298"/>
      <c r="D26" s="38" t="s">
        <v>13</v>
      </c>
      <c r="E26" s="295" t="s">
        <v>30</v>
      </c>
      <c r="F26" s="149" t="s">
        <v>12</v>
      </c>
      <c r="G26" s="150" t="s">
        <v>31</v>
      </c>
      <c r="H26" s="174" t="str">
        <f t="shared" si="4"/>
        <v>CZ-020-01G</v>
      </c>
      <c r="I26" s="179" t="s">
        <v>324</v>
      </c>
      <c r="J26" s="179" t="s">
        <v>324</v>
      </c>
      <c r="K26" s="179" t="s">
        <v>324</v>
      </c>
      <c r="L26" s="180" t="s">
        <v>324</v>
      </c>
      <c r="M26" s="180" t="s">
        <v>324</v>
      </c>
      <c r="N26" s="180" t="s">
        <v>324</v>
      </c>
      <c r="O26" s="182" t="s">
        <v>324</v>
      </c>
      <c r="P26" s="182" t="s">
        <v>324</v>
      </c>
      <c r="Q26" s="182" t="s">
        <v>324</v>
      </c>
      <c r="R26" s="182" t="s">
        <v>327</v>
      </c>
      <c r="S26" s="182" t="s">
        <v>327</v>
      </c>
      <c r="T26" s="182" t="s">
        <v>327</v>
      </c>
    </row>
    <row r="27" spans="1:20" s="163" customFormat="1" ht="15" customHeight="1">
      <c r="A27" s="37" t="s">
        <v>143</v>
      </c>
      <c r="B27" s="38" t="s">
        <v>145</v>
      </c>
      <c r="C27" s="298"/>
      <c r="D27" s="38" t="s">
        <v>13</v>
      </c>
      <c r="E27" s="296"/>
      <c r="F27" s="149" t="s">
        <v>15</v>
      </c>
      <c r="G27" s="150" t="s">
        <v>32</v>
      </c>
      <c r="H27" s="175" t="str">
        <f t="shared" si="4"/>
        <v>CZ-020-02G</v>
      </c>
      <c r="I27" s="179" t="s">
        <v>324</v>
      </c>
      <c r="J27" s="179" t="s">
        <v>324</v>
      </c>
      <c r="K27" s="179" t="s">
        <v>324</v>
      </c>
      <c r="L27" s="180" t="s">
        <v>324</v>
      </c>
      <c r="M27" s="180" t="s">
        <v>324</v>
      </c>
      <c r="N27" s="180" t="s">
        <v>324</v>
      </c>
      <c r="O27" s="182" t="s">
        <v>324</v>
      </c>
      <c r="P27" s="182" t="s">
        <v>324</v>
      </c>
      <c r="Q27" s="182" t="s">
        <v>324</v>
      </c>
      <c r="R27" s="182" t="s">
        <v>327</v>
      </c>
      <c r="S27" s="182" t="s">
        <v>327</v>
      </c>
      <c r="T27" s="182" t="s">
        <v>327</v>
      </c>
    </row>
    <row r="28" spans="1:20" s="163" customFormat="1" ht="15" customHeight="1">
      <c r="A28" s="37" t="s">
        <v>143</v>
      </c>
      <c r="B28" s="38" t="s">
        <v>145</v>
      </c>
      <c r="C28" s="298"/>
      <c r="D28" s="34" t="s">
        <v>147</v>
      </c>
      <c r="E28" s="186" t="s">
        <v>338</v>
      </c>
      <c r="F28" s="149" t="s">
        <v>12</v>
      </c>
      <c r="G28" s="150" t="s">
        <v>337</v>
      </c>
      <c r="H28" s="174" t="str">
        <f t="shared" si="0"/>
        <v>CZ-030-01G</v>
      </c>
      <c r="I28" s="179" t="s">
        <v>324</v>
      </c>
      <c r="J28" s="179" t="s">
        <v>324</v>
      </c>
      <c r="K28" s="179" t="s">
        <v>324</v>
      </c>
      <c r="L28" s="180" t="s">
        <v>324</v>
      </c>
      <c r="M28" s="180" t="s">
        <v>324</v>
      </c>
      <c r="N28" s="180" t="s">
        <v>324</v>
      </c>
      <c r="O28" s="182" t="s">
        <v>324</v>
      </c>
      <c r="P28" s="182" t="s">
        <v>324</v>
      </c>
      <c r="Q28" s="182" t="s">
        <v>324</v>
      </c>
      <c r="R28" s="182" t="s">
        <v>327</v>
      </c>
      <c r="S28" s="182" t="s">
        <v>327</v>
      </c>
      <c r="T28" s="182" t="s">
        <v>327</v>
      </c>
    </row>
    <row r="29" spans="1:20" s="163" customFormat="1" ht="15" customHeight="1">
      <c r="A29" s="37" t="s">
        <v>143</v>
      </c>
      <c r="B29" s="38" t="s">
        <v>145</v>
      </c>
      <c r="C29" s="298"/>
      <c r="D29" s="38" t="s">
        <v>148</v>
      </c>
      <c r="E29" s="295" t="s">
        <v>36</v>
      </c>
      <c r="F29" s="211" t="s">
        <v>12</v>
      </c>
      <c r="G29" s="212" t="s">
        <v>37</v>
      </c>
      <c r="H29" s="518" t="str">
        <f t="shared" si="0"/>
        <v>CZ-040-01G</v>
      </c>
      <c r="I29" s="519" t="s">
        <v>324</v>
      </c>
      <c r="J29" s="519" t="s">
        <v>324</v>
      </c>
      <c r="K29" s="519" t="s">
        <v>324</v>
      </c>
      <c r="L29" s="519" t="s">
        <v>324</v>
      </c>
      <c r="M29" s="519" t="s">
        <v>324</v>
      </c>
      <c r="N29" s="519" t="s">
        <v>324</v>
      </c>
      <c r="O29" s="520" t="s">
        <v>324</v>
      </c>
      <c r="P29" s="520" t="s">
        <v>324</v>
      </c>
      <c r="Q29" s="520" t="s">
        <v>324</v>
      </c>
      <c r="R29" s="520" t="s">
        <v>327</v>
      </c>
      <c r="S29" s="520" t="s">
        <v>327</v>
      </c>
      <c r="T29" s="520" t="s">
        <v>327</v>
      </c>
    </row>
    <row r="30" spans="1:20" s="163" customFormat="1" ht="15" customHeight="1">
      <c r="A30" s="37" t="s">
        <v>143</v>
      </c>
      <c r="B30" s="38" t="s">
        <v>145</v>
      </c>
      <c r="C30" s="298"/>
      <c r="D30" s="38" t="s">
        <v>148</v>
      </c>
      <c r="E30" s="305"/>
      <c r="F30" s="211" t="s">
        <v>15</v>
      </c>
      <c r="G30" s="212" t="s">
        <v>38</v>
      </c>
      <c r="H30" s="518" t="str">
        <f t="shared" si="0"/>
        <v>CZ-040-02G</v>
      </c>
      <c r="I30" s="519" t="s">
        <v>324</v>
      </c>
      <c r="J30" s="519" t="s">
        <v>324</v>
      </c>
      <c r="K30" s="519" t="s">
        <v>324</v>
      </c>
      <c r="L30" s="519" t="s">
        <v>324</v>
      </c>
      <c r="M30" s="519" t="s">
        <v>324</v>
      </c>
      <c r="N30" s="519" t="s">
        <v>324</v>
      </c>
      <c r="O30" s="520" t="s">
        <v>324</v>
      </c>
      <c r="P30" s="520" t="s">
        <v>324</v>
      </c>
      <c r="Q30" s="520" t="s">
        <v>324</v>
      </c>
      <c r="R30" s="520" t="s">
        <v>327</v>
      </c>
      <c r="S30" s="520" t="s">
        <v>327</v>
      </c>
      <c r="T30" s="520" t="s">
        <v>327</v>
      </c>
    </row>
    <row r="31" spans="1:20" s="163" customFormat="1" ht="15" customHeight="1">
      <c r="A31" s="37" t="s">
        <v>143</v>
      </c>
      <c r="B31" s="38" t="s">
        <v>145</v>
      </c>
      <c r="C31" s="298"/>
      <c r="D31" s="38" t="s">
        <v>148</v>
      </c>
      <c r="E31" s="296"/>
      <c r="F31" s="149" t="s">
        <v>41</v>
      </c>
      <c r="G31" s="150" t="s">
        <v>316</v>
      </c>
      <c r="H31" s="170" t="str">
        <f t="shared" si="0"/>
        <v>CZ-040-03B</v>
      </c>
      <c r="I31" s="179" t="s">
        <v>324</v>
      </c>
      <c r="J31" s="179" t="s">
        <v>324</v>
      </c>
      <c r="K31" s="179" t="s">
        <v>324</v>
      </c>
      <c r="L31" s="180" t="s">
        <v>324</v>
      </c>
      <c r="M31" s="180" t="s">
        <v>324</v>
      </c>
      <c r="N31" s="180" t="s">
        <v>324</v>
      </c>
      <c r="O31" s="182" t="s">
        <v>324</v>
      </c>
      <c r="P31" s="182" t="s">
        <v>324</v>
      </c>
      <c r="Q31" s="182" t="s">
        <v>324</v>
      </c>
      <c r="R31" s="182" t="s">
        <v>327</v>
      </c>
      <c r="S31" s="182" t="s">
        <v>327</v>
      </c>
      <c r="T31" s="182" t="s">
        <v>327</v>
      </c>
    </row>
    <row r="32" spans="1:20" s="164" customFormat="1" ht="15" customHeight="1">
      <c r="A32" s="37" t="s">
        <v>143</v>
      </c>
      <c r="B32" s="38" t="s">
        <v>145</v>
      </c>
      <c r="C32" s="298"/>
      <c r="D32" s="521" t="s">
        <v>287</v>
      </c>
      <c r="E32" s="522" t="s">
        <v>294</v>
      </c>
      <c r="F32" s="211" t="s">
        <v>12</v>
      </c>
      <c r="G32" s="212" t="s">
        <v>295</v>
      </c>
      <c r="H32" s="518" t="str">
        <f t="shared" ref="H32" si="5">IF(F32="","",(CONCATENATE(B32,"-",D32,"-",F32)))</f>
        <v>CZ-050-01G</v>
      </c>
      <c r="I32" s="519" t="s">
        <v>324</v>
      </c>
      <c r="J32" s="519" t="s">
        <v>324</v>
      </c>
      <c r="K32" s="519" t="s">
        <v>324</v>
      </c>
      <c r="L32" s="519" t="s">
        <v>324</v>
      </c>
      <c r="M32" s="519" t="s">
        <v>324</v>
      </c>
      <c r="N32" s="519" t="s">
        <v>324</v>
      </c>
      <c r="O32" s="520" t="s">
        <v>324</v>
      </c>
      <c r="P32" s="520" t="s">
        <v>324</v>
      </c>
      <c r="Q32" s="520" t="s">
        <v>324</v>
      </c>
      <c r="R32" s="520" t="s">
        <v>327</v>
      </c>
      <c r="S32" s="520" t="s">
        <v>327</v>
      </c>
      <c r="T32" s="520" t="s">
        <v>327</v>
      </c>
    </row>
    <row r="33" spans="1:20" s="164" customFormat="1" ht="15" customHeight="1">
      <c r="A33" s="37" t="s">
        <v>143</v>
      </c>
      <c r="B33" s="38" t="s">
        <v>145</v>
      </c>
      <c r="C33" s="299"/>
      <c r="D33" s="521" t="s">
        <v>287</v>
      </c>
      <c r="E33" s="523"/>
      <c r="F33" s="211" t="s">
        <v>340</v>
      </c>
      <c r="G33" s="212" t="s">
        <v>341</v>
      </c>
      <c r="H33" s="518" t="str">
        <f t="shared" si="0"/>
        <v>CZ-050-02E</v>
      </c>
      <c r="I33" s="519" t="s">
        <v>324</v>
      </c>
      <c r="J33" s="519" t="s">
        <v>324</v>
      </c>
      <c r="K33" s="519" t="s">
        <v>324</v>
      </c>
      <c r="L33" s="519" t="s">
        <v>324</v>
      </c>
      <c r="M33" s="519" t="s">
        <v>324</v>
      </c>
      <c r="N33" s="519" t="s">
        <v>324</v>
      </c>
      <c r="O33" s="520" t="s">
        <v>324</v>
      </c>
      <c r="P33" s="520" t="s">
        <v>324</v>
      </c>
      <c r="Q33" s="520" t="s">
        <v>324</v>
      </c>
      <c r="R33" s="520" t="s">
        <v>327</v>
      </c>
      <c r="S33" s="520" t="s">
        <v>327</v>
      </c>
      <c r="T33" s="520" t="s">
        <v>327</v>
      </c>
    </row>
    <row r="34" spans="1:20" s="163" customFormat="1" ht="15" customHeight="1">
      <c r="A34" s="37" t="s">
        <v>143</v>
      </c>
      <c r="B34" s="38" t="s">
        <v>145</v>
      </c>
      <c r="C34" s="297" t="s">
        <v>39</v>
      </c>
      <c r="D34" s="38" t="s">
        <v>49</v>
      </c>
      <c r="E34" s="300" t="s">
        <v>310</v>
      </c>
      <c r="F34" s="38" t="s">
        <v>40</v>
      </c>
      <c r="G34" s="39" t="s">
        <v>310</v>
      </c>
      <c r="H34" s="170" t="str">
        <f t="shared" si="0"/>
        <v>CZ-800-01B</v>
      </c>
      <c r="I34" s="179" t="s">
        <v>324</v>
      </c>
      <c r="J34" s="179" t="s">
        <v>324</v>
      </c>
      <c r="K34" s="179" t="s">
        <v>324</v>
      </c>
      <c r="L34" s="180" t="s">
        <v>324</v>
      </c>
      <c r="M34" s="180" t="s">
        <v>324</v>
      </c>
      <c r="N34" s="180" t="s">
        <v>324</v>
      </c>
      <c r="O34" s="182" t="s">
        <v>324</v>
      </c>
      <c r="P34" s="182" t="s">
        <v>324</v>
      </c>
      <c r="Q34" s="182" t="s">
        <v>324</v>
      </c>
      <c r="R34" s="182" t="s">
        <v>327</v>
      </c>
      <c r="S34" s="182" t="s">
        <v>327</v>
      </c>
      <c r="T34" s="182" t="s">
        <v>327</v>
      </c>
    </row>
    <row r="35" spans="1:20" s="163" customFormat="1" ht="15" customHeight="1">
      <c r="A35" s="37" t="s">
        <v>143</v>
      </c>
      <c r="B35" s="38" t="s">
        <v>145</v>
      </c>
      <c r="C35" s="298"/>
      <c r="D35" s="38" t="s">
        <v>49</v>
      </c>
      <c r="E35" s="301"/>
      <c r="F35" s="38"/>
      <c r="G35" s="184" t="s">
        <v>241</v>
      </c>
      <c r="H35" s="170" t="str">
        <f t="shared" si="0"/>
        <v/>
      </c>
      <c r="I35" s="179" t="s">
        <v>324</v>
      </c>
      <c r="J35" s="179" t="s">
        <v>324</v>
      </c>
      <c r="K35" s="179" t="s">
        <v>324</v>
      </c>
      <c r="L35" s="180" t="s">
        <v>324</v>
      </c>
      <c r="M35" s="180" t="s">
        <v>324</v>
      </c>
      <c r="N35" s="180" t="s">
        <v>324</v>
      </c>
      <c r="O35" s="182" t="s">
        <v>324</v>
      </c>
      <c r="P35" s="182" t="s">
        <v>324</v>
      </c>
      <c r="Q35" s="182" t="s">
        <v>324</v>
      </c>
      <c r="R35" s="182" t="s">
        <v>327</v>
      </c>
      <c r="S35" s="182" t="s">
        <v>327</v>
      </c>
      <c r="T35" s="182" t="s">
        <v>327</v>
      </c>
    </row>
    <row r="36" spans="1:20" s="163" customFormat="1" ht="15" customHeight="1">
      <c r="A36" s="37" t="s">
        <v>143</v>
      </c>
      <c r="B36" s="38" t="s">
        <v>145</v>
      </c>
      <c r="C36" s="298"/>
      <c r="D36" s="38" t="s">
        <v>49</v>
      </c>
      <c r="E36" s="301"/>
      <c r="F36" s="38"/>
      <c r="G36" s="184" t="s">
        <v>242</v>
      </c>
      <c r="H36" s="170" t="str">
        <f t="shared" si="0"/>
        <v/>
      </c>
      <c r="I36" s="179" t="s">
        <v>324</v>
      </c>
      <c r="J36" s="179" t="s">
        <v>324</v>
      </c>
      <c r="K36" s="179" t="s">
        <v>324</v>
      </c>
      <c r="L36" s="180" t="s">
        <v>324</v>
      </c>
      <c r="M36" s="180" t="s">
        <v>324</v>
      </c>
      <c r="N36" s="180" t="s">
        <v>324</v>
      </c>
      <c r="O36" s="182" t="s">
        <v>324</v>
      </c>
      <c r="P36" s="182" t="s">
        <v>324</v>
      </c>
      <c r="Q36" s="182" t="s">
        <v>324</v>
      </c>
      <c r="R36" s="182" t="s">
        <v>327</v>
      </c>
      <c r="S36" s="182" t="s">
        <v>327</v>
      </c>
      <c r="T36" s="182" t="s">
        <v>327</v>
      </c>
    </row>
    <row r="37" spans="1:20" s="163" customFormat="1" ht="15" customHeight="1">
      <c r="A37" s="37" t="s">
        <v>143</v>
      </c>
      <c r="B37" s="38" t="s">
        <v>145</v>
      </c>
      <c r="C37" s="298"/>
      <c r="D37" s="38" t="s">
        <v>49</v>
      </c>
      <c r="E37" s="301"/>
      <c r="F37" s="38"/>
      <c r="G37" s="184" t="s">
        <v>243</v>
      </c>
      <c r="H37" s="170" t="str">
        <f t="shared" si="0"/>
        <v/>
      </c>
      <c r="I37" s="179" t="s">
        <v>324</v>
      </c>
      <c r="J37" s="179" t="s">
        <v>324</v>
      </c>
      <c r="K37" s="179" t="s">
        <v>324</v>
      </c>
      <c r="L37" s="180" t="s">
        <v>324</v>
      </c>
      <c r="M37" s="180" t="s">
        <v>324</v>
      </c>
      <c r="N37" s="180" t="s">
        <v>324</v>
      </c>
      <c r="O37" s="182" t="s">
        <v>324</v>
      </c>
      <c r="P37" s="182" t="s">
        <v>324</v>
      </c>
      <c r="Q37" s="182" t="s">
        <v>324</v>
      </c>
      <c r="R37" s="182" t="s">
        <v>327</v>
      </c>
      <c r="S37" s="182" t="s">
        <v>327</v>
      </c>
      <c r="T37" s="182" t="s">
        <v>327</v>
      </c>
    </row>
    <row r="38" spans="1:20" s="163" customFormat="1" ht="15" customHeight="1">
      <c r="A38" s="37" t="s">
        <v>143</v>
      </c>
      <c r="B38" s="38" t="s">
        <v>145</v>
      </c>
      <c r="C38" s="298"/>
      <c r="D38" s="38" t="s">
        <v>49</v>
      </c>
      <c r="E38" s="301"/>
      <c r="F38" s="38"/>
      <c r="G38" s="184" t="s">
        <v>244</v>
      </c>
      <c r="H38" s="170" t="str">
        <f t="shared" si="0"/>
        <v/>
      </c>
      <c r="I38" s="179" t="s">
        <v>324</v>
      </c>
      <c r="J38" s="179" t="s">
        <v>324</v>
      </c>
      <c r="K38" s="179" t="s">
        <v>324</v>
      </c>
      <c r="L38" s="180" t="s">
        <v>324</v>
      </c>
      <c r="M38" s="180" t="s">
        <v>324</v>
      </c>
      <c r="N38" s="180" t="s">
        <v>324</v>
      </c>
      <c r="O38" s="182" t="s">
        <v>324</v>
      </c>
      <c r="P38" s="182" t="s">
        <v>324</v>
      </c>
      <c r="Q38" s="182" t="s">
        <v>324</v>
      </c>
      <c r="R38" s="182" t="s">
        <v>327</v>
      </c>
      <c r="S38" s="182" t="s">
        <v>327</v>
      </c>
      <c r="T38" s="182" t="s">
        <v>327</v>
      </c>
    </row>
    <row r="39" spans="1:20" s="163" customFormat="1" ht="15" customHeight="1">
      <c r="A39" s="37" t="s">
        <v>143</v>
      </c>
      <c r="B39" s="38" t="s">
        <v>145</v>
      </c>
      <c r="C39" s="298"/>
      <c r="D39" s="38" t="s">
        <v>49</v>
      </c>
      <c r="E39" s="301"/>
      <c r="F39" s="38"/>
      <c r="G39" s="184" t="s">
        <v>43</v>
      </c>
      <c r="H39" s="170" t="str">
        <f t="shared" si="0"/>
        <v/>
      </c>
      <c r="I39" s="179" t="s">
        <v>324</v>
      </c>
      <c r="J39" s="179" t="s">
        <v>324</v>
      </c>
      <c r="K39" s="179" t="s">
        <v>324</v>
      </c>
      <c r="L39" s="180" t="s">
        <v>324</v>
      </c>
      <c r="M39" s="180" t="s">
        <v>324</v>
      </c>
      <c r="N39" s="180" t="s">
        <v>324</v>
      </c>
      <c r="O39" s="182" t="s">
        <v>324</v>
      </c>
      <c r="P39" s="182" t="s">
        <v>324</v>
      </c>
      <c r="Q39" s="182" t="s">
        <v>324</v>
      </c>
      <c r="R39" s="182" t="s">
        <v>327</v>
      </c>
      <c r="S39" s="182" t="s">
        <v>327</v>
      </c>
      <c r="T39" s="182" t="s">
        <v>327</v>
      </c>
    </row>
    <row r="40" spans="1:20" s="163" customFormat="1" ht="15" customHeight="1">
      <c r="A40" s="37" t="s">
        <v>143</v>
      </c>
      <c r="B40" s="38" t="s">
        <v>145</v>
      </c>
      <c r="C40" s="298"/>
      <c r="D40" s="38" t="s">
        <v>49</v>
      </c>
      <c r="E40" s="301"/>
      <c r="F40" s="38"/>
      <c r="G40" s="184" t="s">
        <v>42</v>
      </c>
      <c r="H40" s="170" t="str">
        <f t="shared" si="0"/>
        <v/>
      </c>
      <c r="I40" s="179" t="s">
        <v>324</v>
      </c>
      <c r="J40" s="179" t="s">
        <v>324</v>
      </c>
      <c r="K40" s="179" t="s">
        <v>324</v>
      </c>
      <c r="L40" s="180" t="s">
        <v>324</v>
      </c>
      <c r="M40" s="180" t="s">
        <v>324</v>
      </c>
      <c r="N40" s="180" t="s">
        <v>324</v>
      </c>
      <c r="O40" s="182" t="s">
        <v>324</v>
      </c>
      <c r="P40" s="182" t="s">
        <v>324</v>
      </c>
      <c r="Q40" s="182" t="s">
        <v>324</v>
      </c>
      <c r="R40" s="182" t="s">
        <v>327</v>
      </c>
      <c r="S40" s="182" t="s">
        <v>327</v>
      </c>
      <c r="T40" s="182" t="s">
        <v>327</v>
      </c>
    </row>
    <row r="41" spans="1:20" s="163" customFormat="1" ht="15" customHeight="1">
      <c r="A41" s="37" t="s">
        <v>143</v>
      </c>
      <c r="B41" s="38" t="s">
        <v>145</v>
      </c>
      <c r="C41" s="298"/>
      <c r="D41" s="38" t="s">
        <v>49</v>
      </c>
      <c r="E41" s="301"/>
      <c r="F41" s="38"/>
      <c r="G41" s="184" t="s">
        <v>245</v>
      </c>
      <c r="H41" s="170" t="str">
        <f t="shared" si="0"/>
        <v/>
      </c>
      <c r="I41" s="179" t="s">
        <v>324</v>
      </c>
      <c r="J41" s="179" t="s">
        <v>324</v>
      </c>
      <c r="K41" s="179" t="s">
        <v>324</v>
      </c>
      <c r="L41" s="180" t="s">
        <v>324</v>
      </c>
      <c r="M41" s="180" t="s">
        <v>324</v>
      </c>
      <c r="N41" s="180" t="s">
        <v>324</v>
      </c>
      <c r="O41" s="182" t="s">
        <v>324</v>
      </c>
      <c r="P41" s="182" t="s">
        <v>324</v>
      </c>
      <c r="Q41" s="182" t="s">
        <v>324</v>
      </c>
      <c r="R41" s="182" t="s">
        <v>327</v>
      </c>
      <c r="S41" s="182" t="s">
        <v>327</v>
      </c>
      <c r="T41" s="182" t="s">
        <v>327</v>
      </c>
    </row>
    <row r="42" spans="1:20" s="163" customFormat="1" ht="15" customHeight="1">
      <c r="A42" s="37" t="s">
        <v>143</v>
      </c>
      <c r="B42" s="38" t="s">
        <v>145</v>
      </c>
      <c r="C42" s="298"/>
      <c r="D42" s="38" t="s">
        <v>49</v>
      </c>
      <c r="E42" s="301"/>
      <c r="F42" s="38"/>
      <c r="G42" s="184" t="s">
        <v>246</v>
      </c>
      <c r="H42" s="170" t="str">
        <f t="shared" si="0"/>
        <v/>
      </c>
      <c r="I42" s="179" t="s">
        <v>324</v>
      </c>
      <c r="J42" s="179" t="s">
        <v>324</v>
      </c>
      <c r="K42" s="179" t="s">
        <v>324</v>
      </c>
      <c r="L42" s="180" t="s">
        <v>324</v>
      </c>
      <c r="M42" s="180" t="s">
        <v>324</v>
      </c>
      <c r="N42" s="180" t="s">
        <v>324</v>
      </c>
      <c r="O42" s="182" t="s">
        <v>324</v>
      </c>
      <c r="P42" s="182" t="s">
        <v>324</v>
      </c>
      <c r="Q42" s="182" t="s">
        <v>324</v>
      </c>
      <c r="R42" s="182" t="s">
        <v>327</v>
      </c>
      <c r="S42" s="182" t="s">
        <v>327</v>
      </c>
      <c r="T42" s="182" t="s">
        <v>327</v>
      </c>
    </row>
    <row r="43" spans="1:20" s="163" customFormat="1" ht="15" customHeight="1">
      <c r="A43" s="37" t="s">
        <v>143</v>
      </c>
      <c r="B43" s="38" t="s">
        <v>145</v>
      </c>
      <c r="C43" s="298"/>
      <c r="D43" s="38" t="s">
        <v>49</v>
      </c>
      <c r="E43" s="301"/>
      <c r="F43" s="38"/>
      <c r="G43" s="184" t="s">
        <v>247</v>
      </c>
      <c r="H43" s="170" t="str">
        <f t="shared" si="0"/>
        <v/>
      </c>
      <c r="I43" s="179" t="s">
        <v>324</v>
      </c>
      <c r="J43" s="179" t="s">
        <v>324</v>
      </c>
      <c r="K43" s="179" t="s">
        <v>324</v>
      </c>
      <c r="L43" s="180" t="s">
        <v>324</v>
      </c>
      <c r="M43" s="180" t="s">
        <v>324</v>
      </c>
      <c r="N43" s="180" t="s">
        <v>324</v>
      </c>
      <c r="O43" s="182" t="s">
        <v>324</v>
      </c>
      <c r="P43" s="182" t="s">
        <v>324</v>
      </c>
      <c r="Q43" s="182" t="s">
        <v>324</v>
      </c>
      <c r="R43" s="182" t="s">
        <v>327</v>
      </c>
      <c r="S43" s="182" t="s">
        <v>327</v>
      </c>
      <c r="T43" s="182" t="s">
        <v>327</v>
      </c>
    </row>
    <row r="44" spans="1:20" s="163" customFormat="1" ht="15" customHeight="1">
      <c r="A44" s="37" t="s">
        <v>143</v>
      </c>
      <c r="B44" s="38" t="s">
        <v>145</v>
      </c>
      <c r="C44" s="298"/>
      <c r="D44" s="38" t="s">
        <v>49</v>
      </c>
      <c r="E44" s="301"/>
      <c r="F44" s="38"/>
      <c r="G44" s="184" t="s">
        <v>46</v>
      </c>
      <c r="H44" s="170" t="str">
        <f t="shared" si="0"/>
        <v/>
      </c>
      <c r="I44" s="179" t="s">
        <v>324</v>
      </c>
      <c r="J44" s="179" t="s">
        <v>324</v>
      </c>
      <c r="K44" s="179" t="s">
        <v>324</v>
      </c>
      <c r="L44" s="180" t="s">
        <v>324</v>
      </c>
      <c r="M44" s="180" t="s">
        <v>324</v>
      </c>
      <c r="N44" s="180" t="s">
        <v>324</v>
      </c>
      <c r="O44" s="182" t="s">
        <v>324</v>
      </c>
      <c r="P44" s="182" t="s">
        <v>324</v>
      </c>
      <c r="Q44" s="182" t="s">
        <v>324</v>
      </c>
      <c r="R44" s="182" t="s">
        <v>327</v>
      </c>
      <c r="S44" s="182" t="s">
        <v>327</v>
      </c>
      <c r="T44" s="182" t="s">
        <v>327</v>
      </c>
    </row>
    <row r="45" spans="1:20" s="163" customFormat="1" ht="15" customHeight="1">
      <c r="A45" s="37" t="s">
        <v>143</v>
      </c>
      <c r="B45" s="38" t="s">
        <v>145</v>
      </c>
      <c r="C45" s="298"/>
      <c r="D45" s="38" t="s">
        <v>49</v>
      </c>
      <c r="E45" s="301"/>
      <c r="F45" s="38"/>
      <c r="G45" s="184" t="s">
        <v>424</v>
      </c>
      <c r="H45" s="170" t="str">
        <f t="shared" si="0"/>
        <v/>
      </c>
      <c r="I45" s="179" t="s">
        <v>324</v>
      </c>
      <c r="J45" s="179" t="s">
        <v>324</v>
      </c>
      <c r="K45" s="179" t="s">
        <v>324</v>
      </c>
      <c r="L45" s="180" t="s">
        <v>324</v>
      </c>
      <c r="M45" s="180" t="s">
        <v>324</v>
      </c>
      <c r="N45" s="180" t="s">
        <v>324</v>
      </c>
      <c r="O45" s="182" t="s">
        <v>324</v>
      </c>
      <c r="P45" s="182" t="s">
        <v>324</v>
      </c>
      <c r="Q45" s="182" t="s">
        <v>324</v>
      </c>
      <c r="R45" s="182" t="s">
        <v>327</v>
      </c>
      <c r="S45" s="182" t="s">
        <v>327</v>
      </c>
      <c r="T45" s="182" t="s">
        <v>327</v>
      </c>
    </row>
    <row r="46" spans="1:20" s="163" customFormat="1" ht="15" customHeight="1">
      <c r="A46" s="37" t="s">
        <v>143</v>
      </c>
      <c r="B46" s="38" t="s">
        <v>145</v>
      </c>
      <c r="C46" s="298"/>
      <c r="D46" s="38" t="s">
        <v>49</v>
      </c>
      <c r="E46" s="301"/>
      <c r="F46" s="38"/>
      <c r="G46" s="184" t="s">
        <v>425</v>
      </c>
      <c r="H46" s="170" t="str">
        <f t="shared" si="0"/>
        <v/>
      </c>
      <c r="I46" s="179" t="s">
        <v>324</v>
      </c>
      <c r="J46" s="179" t="s">
        <v>324</v>
      </c>
      <c r="K46" s="179" t="s">
        <v>324</v>
      </c>
      <c r="L46" s="180" t="s">
        <v>324</v>
      </c>
      <c r="M46" s="180" t="s">
        <v>324</v>
      </c>
      <c r="N46" s="180" t="s">
        <v>324</v>
      </c>
      <c r="O46" s="182" t="s">
        <v>324</v>
      </c>
      <c r="P46" s="182" t="s">
        <v>324</v>
      </c>
      <c r="Q46" s="182" t="s">
        <v>324</v>
      </c>
      <c r="R46" s="182" t="s">
        <v>327</v>
      </c>
      <c r="S46" s="182" t="s">
        <v>327</v>
      </c>
      <c r="T46" s="182" t="s">
        <v>327</v>
      </c>
    </row>
    <row r="47" spans="1:20" s="163" customFormat="1" ht="15" customHeight="1">
      <c r="A47" s="37" t="s">
        <v>143</v>
      </c>
      <c r="B47" s="38" t="s">
        <v>145</v>
      </c>
      <c r="C47" s="298"/>
      <c r="D47" s="38" t="s">
        <v>49</v>
      </c>
      <c r="E47" s="301"/>
      <c r="F47" s="38"/>
      <c r="G47" s="184" t="s">
        <v>427</v>
      </c>
      <c r="H47" s="170" t="str">
        <f t="shared" si="0"/>
        <v/>
      </c>
      <c r="I47" s="179" t="s">
        <v>324</v>
      </c>
      <c r="J47" s="179" t="s">
        <v>324</v>
      </c>
      <c r="K47" s="179" t="s">
        <v>324</v>
      </c>
      <c r="L47" s="180" t="s">
        <v>324</v>
      </c>
      <c r="M47" s="180" t="s">
        <v>324</v>
      </c>
      <c r="N47" s="180" t="s">
        <v>324</v>
      </c>
      <c r="O47" s="182" t="s">
        <v>324</v>
      </c>
      <c r="P47" s="182" t="s">
        <v>324</v>
      </c>
      <c r="Q47" s="182" t="s">
        <v>324</v>
      </c>
      <c r="R47" s="182" t="s">
        <v>327</v>
      </c>
      <c r="S47" s="182" t="s">
        <v>327</v>
      </c>
      <c r="T47" s="182" t="s">
        <v>327</v>
      </c>
    </row>
    <row r="48" spans="1:20" s="163" customFormat="1" ht="15" customHeight="1">
      <c r="A48" s="37" t="s">
        <v>143</v>
      </c>
      <c r="B48" s="38" t="s">
        <v>145</v>
      </c>
      <c r="C48" s="298"/>
      <c r="D48" s="38" t="s">
        <v>49</v>
      </c>
      <c r="E48" s="301"/>
      <c r="F48" s="38"/>
      <c r="G48" s="184" t="s">
        <v>426</v>
      </c>
      <c r="H48" s="170" t="str">
        <f t="shared" si="0"/>
        <v/>
      </c>
      <c r="I48" s="179" t="s">
        <v>324</v>
      </c>
      <c r="J48" s="179" t="s">
        <v>324</v>
      </c>
      <c r="K48" s="179" t="s">
        <v>324</v>
      </c>
      <c r="L48" s="180" t="s">
        <v>324</v>
      </c>
      <c r="M48" s="180" t="s">
        <v>324</v>
      </c>
      <c r="N48" s="180" t="s">
        <v>324</v>
      </c>
      <c r="O48" s="182" t="s">
        <v>324</v>
      </c>
      <c r="P48" s="182" t="s">
        <v>324</v>
      </c>
      <c r="Q48" s="182" t="s">
        <v>324</v>
      </c>
      <c r="R48" s="182" t="s">
        <v>327</v>
      </c>
      <c r="S48" s="182" t="s">
        <v>327</v>
      </c>
      <c r="T48" s="182" t="s">
        <v>327</v>
      </c>
    </row>
    <row r="49" spans="1:20" s="163" customFormat="1" ht="15" customHeight="1">
      <c r="A49" s="37" t="s">
        <v>143</v>
      </c>
      <c r="B49" s="38" t="s">
        <v>145</v>
      </c>
      <c r="C49" s="298"/>
      <c r="D49" s="38" t="s">
        <v>49</v>
      </c>
      <c r="E49" s="301"/>
      <c r="F49" s="211"/>
      <c r="G49" s="524" t="s">
        <v>248</v>
      </c>
      <c r="H49" s="525" t="str">
        <f t="shared" ref="H49:H52" si="6">IF(F49="","",(CONCATENATE(B49,"-",D49,"-",F49)))</f>
        <v/>
      </c>
      <c r="I49" s="519" t="s">
        <v>324</v>
      </c>
      <c r="J49" s="519" t="s">
        <v>324</v>
      </c>
      <c r="K49" s="519" t="s">
        <v>324</v>
      </c>
      <c r="L49" s="519" t="s">
        <v>324</v>
      </c>
      <c r="M49" s="519" t="s">
        <v>324</v>
      </c>
      <c r="N49" s="519" t="s">
        <v>324</v>
      </c>
      <c r="O49" s="520" t="s">
        <v>324</v>
      </c>
      <c r="P49" s="520" t="s">
        <v>324</v>
      </c>
      <c r="Q49" s="520" t="s">
        <v>324</v>
      </c>
      <c r="R49" s="520" t="s">
        <v>327</v>
      </c>
      <c r="S49" s="520" t="s">
        <v>327</v>
      </c>
      <c r="T49" s="520" t="s">
        <v>327</v>
      </c>
    </row>
    <row r="50" spans="1:20" s="163" customFormat="1" ht="15" customHeight="1">
      <c r="A50" s="37" t="s">
        <v>143</v>
      </c>
      <c r="B50" s="38" t="s">
        <v>145</v>
      </c>
      <c r="C50" s="298"/>
      <c r="D50" s="38" t="s">
        <v>49</v>
      </c>
      <c r="E50" s="301"/>
      <c r="F50" s="211"/>
      <c r="G50" s="524" t="s">
        <v>44</v>
      </c>
      <c r="H50" s="525" t="str">
        <f t="shared" si="6"/>
        <v/>
      </c>
      <c r="I50" s="519" t="s">
        <v>324</v>
      </c>
      <c r="J50" s="519" t="s">
        <v>324</v>
      </c>
      <c r="K50" s="519" t="s">
        <v>324</v>
      </c>
      <c r="L50" s="519" t="s">
        <v>324</v>
      </c>
      <c r="M50" s="519" t="s">
        <v>324</v>
      </c>
      <c r="N50" s="519" t="s">
        <v>324</v>
      </c>
      <c r="O50" s="520" t="s">
        <v>324</v>
      </c>
      <c r="P50" s="520" t="s">
        <v>324</v>
      </c>
      <c r="Q50" s="520" t="s">
        <v>324</v>
      </c>
      <c r="R50" s="520" t="s">
        <v>327</v>
      </c>
      <c r="S50" s="520" t="s">
        <v>327</v>
      </c>
      <c r="T50" s="520" t="s">
        <v>327</v>
      </c>
    </row>
    <row r="51" spans="1:20" s="163" customFormat="1" ht="15" customHeight="1">
      <c r="A51" s="37" t="s">
        <v>143</v>
      </c>
      <c r="B51" s="38" t="s">
        <v>145</v>
      </c>
      <c r="C51" s="298"/>
      <c r="D51" s="38" t="s">
        <v>49</v>
      </c>
      <c r="E51" s="301"/>
      <c r="F51" s="211"/>
      <c r="G51" s="524" t="s">
        <v>45</v>
      </c>
      <c r="H51" s="525" t="str">
        <f t="shared" si="6"/>
        <v/>
      </c>
      <c r="I51" s="519" t="s">
        <v>324</v>
      </c>
      <c r="J51" s="519" t="s">
        <v>324</v>
      </c>
      <c r="K51" s="519" t="s">
        <v>324</v>
      </c>
      <c r="L51" s="519" t="s">
        <v>324</v>
      </c>
      <c r="M51" s="519" t="s">
        <v>324</v>
      </c>
      <c r="N51" s="519" t="s">
        <v>324</v>
      </c>
      <c r="O51" s="520" t="s">
        <v>324</v>
      </c>
      <c r="P51" s="520" t="s">
        <v>324</v>
      </c>
      <c r="Q51" s="520" t="s">
        <v>324</v>
      </c>
      <c r="R51" s="520" t="s">
        <v>327</v>
      </c>
      <c r="S51" s="520" t="s">
        <v>327</v>
      </c>
      <c r="T51" s="520" t="s">
        <v>327</v>
      </c>
    </row>
    <row r="52" spans="1:20" s="163" customFormat="1" ht="15" customHeight="1">
      <c r="A52" s="37" t="s">
        <v>143</v>
      </c>
      <c r="B52" s="38" t="s">
        <v>145</v>
      </c>
      <c r="C52" s="298"/>
      <c r="D52" s="38" t="s">
        <v>49</v>
      </c>
      <c r="E52" s="301"/>
      <c r="F52" s="211"/>
      <c r="G52" s="524" t="s">
        <v>47</v>
      </c>
      <c r="H52" s="525" t="str">
        <f t="shared" si="6"/>
        <v/>
      </c>
      <c r="I52" s="519" t="s">
        <v>324</v>
      </c>
      <c r="J52" s="519" t="s">
        <v>324</v>
      </c>
      <c r="K52" s="519" t="s">
        <v>324</v>
      </c>
      <c r="L52" s="519" t="s">
        <v>324</v>
      </c>
      <c r="M52" s="519" t="s">
        <v>324</v>
      </c>
      <c r="N52" s="519" t="s">
        <v>324</v>
      </c>
      <c r="O52" s="520" t="s">
        <v>324</v>
      </c>
      <c r="P52" s="520" t="s">
        <v>324</v>
      </c>
      <c r="Q52" s="520" t="s">
        <v>324</v>
      </c>
      <c r="R52" s="520" t="s">
        <v>327</v>
      </c>
      <c r="S52" s="520" t="s">
        <v>327</v>
      </c>
      <c r="T52" s="520" t="s">
        <v>327</v>
      </c>
    </row>
    <row r="53" spans="1:20" s="163" customFormat="1" ht="15" customHeight="1">
      <c r="A53" s="37" t="s">
        <v>143</v>
      </c>
      <c r="B53" s="38" t="s">
        <v>145</v>
      </c>
      <c r="C53" s="299"/>
      <c r="D53" s="38" t="s">
        <v>49</v>
      </c>
      <c r="E53" s="302"/>
      <c r="F53" s="211"/>
      <c r="G53" s="524" t="s">
        <v>249</v>
      </c>
      <c r="H53" s="525" t="str">
        <f t="shared" si="0"/>
        <v/>
      </c>
      <c r="I53" s="519" t="s">
        <v>324</v>
      </c>
      <c r="J53" s="519" t="s">
        <v>324</v>
      </c>
      <c r="K53" s="519" t="s">
        <v>324</v>
      </c>
      <c r="L53" s="519" t="s">
        <v>324</v>
      </c>
      <c r="M53" s="519" t="s">
        <v>324</v>
      </c>
      <c r="N53" s="519" t="s">
        <v>324</v>
      </c>
      <c r="O53" s="520" t="s">
        <v>324</v>
      </c>
      <c r="P53" s="520" t="s">
        <v>324</v>
      </c>
      <c r="Q53" s="520" t="s">
        <v>324</v>
      </c>
      <c r="R53" s="520" t="s">
        <v>327</v>
      </c>
      <c r="S53" s="520" t="s">
        <v>327</v>
      </c>
      <c r="T53" s="520" t="s">
        <v>327</v>
      </c>
    </row>
    <row r="54" spans="1:20" s="163" customFormat="1" ht="15" customHeight="1">
      <c r="A54" s="37" t="s">
        <v>141</v>
      </c>
      <c r="B54" s="38" t="s">
        <v>142</v>
      </c>
      <c r="C54" s="303" t="s">
        <v>48</v>
      </c>
      <c r="D54" s="38" t="s">
        <v>49</v>
      </c>
      <c r="E54" s="300" t="s">
        <v>50</v>
      </c>
      <c r="F54" s="149" t="s">
        <v>349</v>
      </c>
      <c r="G54" s="150" t="s">
        <v>311</v>
      </c>
      <c r="H54" s="40" t="str">
        <f t="shared" si="0"/>
        <v>CC-800-01S</v>
      </c>
      <c r="I54" s="179"/>
      <c r="J54" s="179"/>
      <c r="K54" s="179"/>
      <c r="L54" s="180"/>
      <c r="M54" s="180"/>
      <c r="N54" s="180"/>
      <c r="O54" s="181"/>
      <c r="P54" s="181"/>
      <c r="Q54" s="181"/>
      <c r="R54" s="181"/>
      <c r="S54" s="181"/>
      <c r="T54" s="181"/>
    </row>
    <row r="55" spans="1:20" s="163" customFormat="1" ht="15" customHeight="1">
      <c r="A55" s="37" t="s">
        <v>141</v>
      </c>
      <c r="B55" s="38" t="s">
        <v>142</v>
      </c>
      <c r="C55" s="304"/>
      <c r="D55" s="38" t="s">
        <v>49</v>
      </c>
      <c r="E55" s="301"/>
      <c r="F55" s="149" t="s">
        <v>348</v>
      </c>
      <c r="G55" s="150" t="s">
        <v>51</v>
      </c>
      <c r="H55" s="40" t="str">
        <f t="shared" si="0"/>
        <v>CC-800-02S</v>
      </c>
      <c r="I55" s="179"/>
      <c r="J55" s="179"/>
      <c r="K55" s="179"/>
      <c r="L55" s="180"/>
      <c r="M55" s="180"/>
      <c r="N55" s="180"/>
      <c r="O55" s="181"/>
      <c r="P55" s="181"/>
      <c r="Q55" s="181"/>
      <c r="R55" s="181"/>
      <c r="S55" s="181"/>
      <c r="T55" s="181"/>
    </row>
    <row r="56" spans="1:20" s="163" customFormat="1" ht="15" customHeight="1">
      <c r="A56" s="37" t="s">
        <v>141</v>
      </c>
      <c r="B56" s="38" t="s">
        <v>142</v>
      </c>
      <c r="C56" s="317" t="s">
        <v>52</v>
      </c>
      <c r="D56" s="38" t="s">
        <v>53</v>
      </c>
      <c r="E56" s="294" t="s">
        <v>52</v>
      </c>
      <c r="F56" s="149" t="s">
        <v>422</v>
      </c>
      <c r="G56" s="150" t="s">
        <v>423</v>
      </c>
      <c r="H56" s="171" t="str">
        <f t="shared" si="0"/>
        <v>CC-999-95G</v>
      </c>
      <c r="I56" s="179"/>
      <c r="J56" s="179"/>
      <c r="K56" s="179"/>
      <c r="L56" s="180"/>
      <c r="M56" s="180"/>
      <c r="N56" s="180"/>
      <c r="O56" s="181"/>
      <c r="P56" s="181"/>
      <c r="Q56" s="181"/>
      <c r="R56" s="181"/>
      <c r="S56" s="181"/>
      <c r="T56" s="181"/>
    </row>
    <row r="57" spans="1:20" s="163" customFormat="1" ht="15" hidden="1" customHeight="1">
      <c r="A57" s="37" t="s">
        <v>141</v>
      </c>
      <c r="B57" s="38" t="s">
        <v>142</v>
      </c>
      <c r="C57" s="317"/>
      <c r="D57" s="38" t="s">
        <v>53</v>
      </c>
      <c r="E57" s="294"/>
      <c r="F57" s="225" t="s">
        <v>54</v>
      </c>
      <c r="G57" s="226" t="s">
        <v>55</v>
      </c>
      <c r="H57" s="227" t="str">
        <f t="shared" ref="H57" si="7">IF(F57="","",(CONCATENATE(B57,"-",D57,"-",F57)))</f>
        <v>CC-999-96G</v>
      </c>
      <c r="I57" s="179"/>
      <c r="J57" s="179"/>
      <c r="K57" s="179"/>
      <c r="L57" s="180"/>
      <c r="M57" s="180"/>
      <c r="N57" s="180"/>
      <c r="O57" s="181"/>
      <c r="P57" s="181"/>
      <c r="Q57" s="181"/>
      <c r="R57" s="181"/>
      <c r="S57" s="181"/>
      <c r="T57" s="181"/>
    </row>
    <row r="58" spans="1:20" s="163" customFormat="1" ht="15" hidden="1" customHeight="1">
      <c r="A58" s="37" t="s">
        <v>141</v>
      </c>
      <c r="B58" s="38" t="s">
        <v>142</v>
      </c>
      <c r="C58" s="317"/>
      <c r="D58" s="38" t="s">
        <v>53</v>
      </c>
      <c r="E58" s="294"/>
      <c r="F58" s="225" t="s">
        <v>56</v>
      </c>
      <c r="G58" s="226" t="s">
        <v>57</v>
      </c>
      <c r="H58" s="228" t="str">
        <f t="shared" si="0"/>
        <v>CC-999-97G</v>
      </c>
      <c r="I58" s="179"/>
      <c r="J58" s="179"/>
      <c r="K58" s="179"/>
      <c r="L58" s="180"/>
      <c r="M58" s="180"/>
      <c r="N58" s="180"/>
      <c r="O58" s="181"/>
      <c r="P58" s="181"/>
      <c r="Q58" s="181"/>
      <c r="R58" s="181"/>
      <c r="S58" s="181"/>
      <c r="T58" s="181"/>
    </row>
    <row r="59" spans="1:20" s="163" customFormat="1" ht="15" customHeight="1">
      <c r="A59" s="37" t="s">
        <v>141</v>
      </c>
      <c r="B59" s="38" t="s">
        <v>142</v>
      </c>
      <c r="C59" s="317"/>
      <c r="D59" s="38" t="s">
        <v>53</v>
      </c>
      <c r="E59" s="294"/>
      <c r="F59" s="149" t="s">
        <v>58</v>
      </c>
      <c r="G59" s="150" t="s">
        <v>59</v>
      </c>
      <c r="H59" s="171" t="str">
        <f t="shared" si="0"/>
        <v>CC-999-98G</v>
      </c>
      <c r="I59" s="179"/>
      <c r="J59" s="179"/>
      <c r="K59" s="179"/>
      <c r="L59" s="180"/>
      <c r="M59" s="180"/>
      <c r="N59" s="180"/>
      <c r="O59" s="181"/>
      <c r="P59" s="181"/>
      <c r="Q59" s="181"/>
      <c r="R59" s="181"/>
      <c r="S59" s="181"/>
      <c r="T59" s="181"/>
    </row>
    <row r="60" spans="1:20" s="163" customFormat="1" ht="15" customHeight="1" thickBot="1">
      <c r="A60" s="37" t="s">
        <v>141</v>
      </c>
      <c r="B60" s="38" t="s">
        <v>142</v>
      </c>
      <c r="C60" s="318"/>
      <c r="D60" s="42" t="s">
        <v>53</v>
      </c>
      <c r="E60" s="326"/>
      <c r="F60" s="221" t="s">
        <v>60</v>
      </c>
      <c r="G60" s="222" t="s">
        <v>61</v>
      </c>
      <c r="H60" s="172" t="str">
        <f t="shared" si="0"/>
        <v>CC-999-99G</v>
      </c>
      <c r="I60" s="179"/>
      <c r="J60" s="179"/>
      <c r="K60" s="179"/>
      <c r="L60" s="180"/>
      <c r="M60" s="180"/>
      <c r="N60" s="180"/>
      <c r="O60" s="181"/>
      <c r="P60" s="181"/>
      <c r="Q60" s="181"/>
      <c r="R60" s="181"/>
      <c r="S60" s="181"/>
      <c r="T60" s="181"/>
    </row>
    <row r="61" spans="1:20" s="163" customFormat="1" ht="15" hidden="1" customHeight="1" thickBot="1">
      <c r="A61" s="229" t="s">
        <v>141</v>
      </c>
      <c r="B61" s="225" t="s">
        <v>142</v>
      </c>
      <c r="C61" s="230" t="s">
        <v>390</v>
      </c>
      <c r="D61" s="225" t="s">
        <v>387</v>
      </c>
      <c r="E61" s="231" t="s">
        <v>390</v>
      </c>
      <c r="F61" s="225" t="s">
        <v>196</v>
      </c>
      <c r="G61" s="226" t="s">
        <v>391</v>
      </c>
      <c r="H61" s="232" t="str">
        <f t="shared" ref="H61" si="8">IF(F61="","",(CONCATENATE(B61,"-",D61,"-",F61)))</f>
        <v>CC-810-01G</v>
      </c>
      <c r="I61" s="179"/>
      <c r="J61" s="179"/>
      <c r="K61" s="179"/>
      <c r="L61" s="180"/>
      <c r="M61" s="180"/>
      <c r="N61" s="180"/>
      <c r="O61" s="181"/>
      <c r="P61" s="181"/>
      <c r="Q61" s="181"/>
      <c r="R61" s="181"/>
      <c r="S61" s="181"/>
      <c r="T61" s="181"/>
    </row>
    <row r="62" spans="1:20" s="163" customFormat="1" ht="15" customHeight="1">
      <c r="A62" s="45" t="s">
        <v>224</v>
      </c>
      <c r="B62" s="46" t="s">
        <v>222</v>
      </c>
      <c r="C62" s="327" t="s">
        <v>63</v>
      </c>
      <c r="D62" s="46" t="s">
        <v>10</v>
      </c>
      <c r="E62" s="293" t="s">
        <v>64</v>
      </c>
      <c r="F62" s="46" t="s">
        <v>12</v>
      </c>
      <c r="G62" s="47" t="s">
        <v>64</v>
      </c>
      <c r="H62" s="171" t="str">
        <f t="shared" si="0"/>
        <v>GA-010-01G</v>
      </c>
      <c r="I62" s="179" t="s">
        <v>327</v>
      </c>
      <c r="J62" s="179" t="s">
        <v>327</v>
      </c>
      <c r="K62" s="179" t="s">
        <v>327</v>
      </c>
      <c r="L62" s="180" t="s">
        <v>327</v>
      </c>
      <c r="M62" s="180" t="s">
        <v>324</v>
      </c>
      <c r="N62" s="180" t="s">
        <v>327</v>
      </c>
      <c r="O62" s="181" t="s">
        <v>333</v>
      </c>
      <c r="P62" s="181" t="s">
        <v>324</v>
      </c>
      <c r="Q62" s="181" t="s">
        <v>327</v>
      </c>
      <c r="R62" s="181" t="s">
        <v>324</v>
      </c>
      <c r="S62" s="181" t="s">
        <v>324</v>
      </c>
      <c r="T62" s="181" t="s">
        <v>327</v>
      </c>
    </row>
    <row r="63" spans="1:20" s="163" customFormat="1" ht="15" customHeight="1">
      <c r="A63" s="37" t="s">
        <v>62</v>
      </c>
      <c r="B63" s="38" t="s">
        <v>221</v>
      </c>
      <c r="C63" s="328"/>
      <c r="D63" s="38" t="s">
        <v>10</v>
      </c>
      <c r="E63" s="294"/>
      <c r="F63" s="38" t="s">
        <v>34</v>
      </c>
      <c r="G63" s="39" t="s">
        <v>65</v>
      </c>
      <c r="H63" s="171" t="str">
        <f t="shared" si="0"/>
        <v>GA-010-02G</v>
      </c>
      <c r="I63" s="183"/>
      <c r="J63" s="183"/>
      <c r="K63" s="179" t="s">
        <v>327</v>
      </c>
      <c r="L63" s="183"/>
      <c r="M63" s="183"/>
      <c r="N63" s="180" t="s">
        <v>327</v>
      </c>
      <c r="O63" s="183"/>
      <c r="P63" s="183"/>
      <c r="Q63" s="182" t="s">
        <v>327</v>
      </c>
      <c r="R63" s="183"/>
      <c r="S63" s="183"/>
      <c r="T63" s="182" t="s">
        <v>324</v>
      </c>
    </row>
    <row r="64" spans="1:20" s="163" customFormat="1" ht="15" customHeight="1">
      <c r="A64" s="37" t="s">
        <v>224</v>
      </c>
      <c r="B64" s="38" t="s">
        <v>221</v>
      </c>
      <c r="C64" s="328"/>
      <c r="D64" s="38" t="s">
        <v>13</v>
      </c>
      <c r="E64" s="300" t="s">
        <v>66</v>
      </c>
      <c r="F64" s="38" t="s">
        <v>12</v>
      </c>
      <c r="G64" s="39" t="s">
        <v>67</v>
      </c>
      <c r="H64" s="40" t="str">
        <f t="shared" ref="H64" si="9">IF(F64="","",(CONCATENATE(B64,"-",D64,"-",F64)))</f>
        <v>GA-020-01G</v>
      </c>
      <c r="I64" s="183"/>
      <c r="J64" s="183"/>
      <c r="K64" s="179" t="s">
        <v>327</v>
      </c>
      <c r="L64" s="183"/>
      <c r="M64" s="183"/>
      <c r="N64" s="180" t="s">
        <v>327</v>
      </c>
      <c r="O64" s="183"/>
      <c r="P64" s="183"/>
      <c r="Q64" s="182" t="s">
        <v>327</v>
      </c>
      <c r="R64" s="183"/>
      <c r="S64" s="183"/>
      <c r="T64" s="182" t="s">
        <v>324</v>
      </c>
    </row>
    <row r="65" spans="1:20" s="163" customFormat="1" ht="15" customHeight="1" thickBot="1">
      <c r="A65" s="201" t="s">
        <v>224</v>
      </c>
      <c r="B65" s="202" t="s">
        <v>221</v>
      </c>
      <c r="C65" s="320"/>
      <c r="D65" s="202" t="s">
        <v>13</v>
      </c>
      <c r="E65" s="325"/>
      <c r="F65" s="223" t="s">
        <v>394</v>
      </c>
      <c r="G65" s="224" t="s">
        <v>395</v>
      </c>
      <c r="H65" s="203" t="str">
        <f t="shared" si="0"/>
        <v>GA-020-02G</v>
      </c>
      <c r="I65" s="183"/>
      <c r="J65" s="183"/>
      <c r="K65" s="179" t="s">
        <v>327</v>
      </c>
      <c r="L65" s="183"/>
      <c r="M65" s="183"/>
      <c r="N65" s="180" t="s">
        <v>327</v>
      </c>
      <c r="O65" s="183"/>
      <c r="P65" s="183"/>
      <c r="Q65" s="182" t="s">
        <v>327</v>
      </c>
      <c r="R65" s="183"/>
      <c r="S65" s="183"/>
      <c r="T65" s="182" t="s">
        <v>324</v>
      </c>
    </row>
    <row r="66" spans="1:20" ht="12" hidden="1" customHeight="1">
      <c r="A66" s="45" t="s">
        <v>150</v>
      </c>
      <c r="B66" s="46" t="s">
        <v>149</v>
      </c>
      <c r="C66" s="316" t="s">
        <v>68</v>
      </c>
      <c r="D66" s="46" t="s">
        <v>10</v>
      </c>
      <c r="E66" s="306" t="s">
        <v>69</v>
      </c>
      <c r="F66" s="46" t="s">
        <v>12</v>
      </c>
      <c r="G66" s="47" t="s">
        <v>69</v>
      </c>
      <c r="H66" s="36" t="str">
        <f t="shared" si="0"/>
        <v>CS-010-01G</v>
      </c>
    </row>
    <row r="67" spans="1:20" ht="12" hidden="1" customHeight="1">
      <c r="A67" s="37" t="s">
        <v>150</v>
      </c>
      <c r="B67" s="38" t="s">
        <v>149</v>
      </c>
      <c r="C67" s="317"/>
      <c r="D67" s="38" t="s">
        <v>10</v>
      </c>
      <c r="E67" s="302"/>
      <c r="F67" s="38" t="s">
        <v>217</v>
      </c>
      <c r="G67" s="39" t="s">
        <v>69</v>
      </c>
      <c r="H67" s="40" t="str">
        <f>IF(F67="","",(CONCATENATE(B67,"-",D67,"-",F67)))</f>
        <v>CS-010-02E</v>
      </c>
    </row>
    <row r="68" spans="1:20" ht="12" hidden="1" customHeight="1">
      <c r="A68" s="37" t="s">
        <v>150</v>
      </c>
      <c r="B68" s="38" t="s">
        <v>149</v>
      </c>
      <c r="C68" s="317"/>
      <c r="D68" s="38" t="s">
        <v>13</v>
      </c>
      <c r="E68" s="319" t="s">
        <v>70</v>
      </c>
      <c r="F68" s="38" t="s">
        <v>12</v>
      </c>
      <c r="G68" s="39" t="s">
        <v>71</v>
      </c>
      <c r="H68" s="40" t="str">
        <f t="shared" ref="H68" si="10">IF(F68="","",(CONCATENATE(B68,"-",D68,"-",F68)))</f>
        <v>CS-020-01G</v>
      </c>
    </row>
    <row r="69" spans="1:20" ht="12.75" hidden="1" customHeight="1" thickBot="1">
      <c r="A69" s="41" t="s">
        <v>150</v>
      </c>
      <c r="B69" s="42" t="s">
        <v>149</v>
      </c>
      <c r="C69" s="318"/>
      <c r="D69" s="42" t="s">
        <v>13</v>
      </c>
      <c r="E69" s="320"/>
      <c r="F69" s="42" t="s">
        <v>24</v>
      </c>
      <c r="G69" s="43" t="s">
        <v>71</v>
      </c>
      <c r="H69" s="44" t="str">
        <f t="shared" si="0"/>
        <v>CS-020-02B</v>
      </c>
    </row>
    <row r="70" spans="1:20" ht="15" customHeight="1">
      <c r="E70" s="1"/>
      <c r="F70" s="5"/>
      <c r="H70" s="4"/>
    </row>
    <row r="71" spans="1:20" ht="15" customHeight="1">
      <c r="E71" s="1"/>
      <c r="F71" s="5"/>
    </row>
  </sheetData>
  <autoFilter ref="A4:H71" xr:uid="{00000000-0009-0000-0000-000002000000}"/>
  <mergeCells count="30">
    <mergeCell ref="C66:C69"/>
    <mergeCell ref="E66:E67"/>
    <mergeCell ref="E68:E69"/>
    <mergeCell ref="A1:C1"/>
    <mergeCell ref="E2:H2"/>
    <mergeCell ref="C5:C11"/>
    <mergeCell ref="E7:E11"/>
    <mergeCell ref="C12:C19"/>
    <mergeCell ref="E12:E14"/>
    <mergeCell ref="E15:E19"/>
    <mergeCell ref="C21:C33"/>
    <mergeCell ref="E21:E25"/>
    <mergeCell ref="C56:C60"/>
    <mergeCell ref="E56:E60"/>
    <mergeCell ref="C62:C65"/>
    <mergeCell ref="E64:E65"/>
    <mergeCell ref="O2:T2"/>
    <mergeCell ref="E62:E63"/>
    <mergeCell ref="E26:E27"/>
    <mergeCell ref="C34:C53"/>
    <mergeCell ref="E34:E53"/>
    <mergeCell ref="C54:C55"/>
    <mergeCell ref="E54:E55"/>
    <mergeCell ref="E29:E31"/>
    <mergeCell ref="E32:E33"/>
    <mergeCell ref="E5:E6"/>
    <mergeCell ref="I3:K3"/>
    <mergeCell ref="L3:N3"/>
    <mergeCell ref="O3:Q3"/>
    <mergeCell ref="R3:T3"/>
  </mergeCells>
  <phoneticPr fontId="2"/>
  <dataValidations count="1">
    <dataValidation imeMode="disabled" allowBlank="1" showInputMessage="1" showErrorMessage="1" sqref="F5:F71 D5:D69 B5:B69" xr:uid="{8441A145-83D7-40B9-9FA8-F772415A39A1}"/>
  </dataValidations>
  <pageMargins left="0.39370078740157483" right="0.19685039370078741" top="0.39370078740157483" bottom="0.39370078740157483" header="0.19685039370078741" footer="0.19685039370078741"/>
  <pageSetup paperSize="9" scale="61" fitToHeight="0" orientation="landscape"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67DB-119E-4283-930F-043C43B93790}">
  <sheetPr codeName="Sheet6">
    <tabColor rgb="FF7030A0"/>
    <pageSetUpPr fitToPage="1"/>
  </sheetPr>
  <dimension ref="A1:BU144"/>
  <sheetViews>
    <sheetView view="pageBreakPreview" topLeftCell="A25" zoomScale="70" zoomScaleNormal="70" zoomScaleSheetLayoutView="70" workbookViewId="0">
      <selection activeCell="AK48" sqref="AK48"/>
    </sheetView>
  </sheetViews>
  <sheetFormatPr defaultColWidth="5.625" defaultRowHeight="18.75"/>
  <cols>
    <col min="1" max="16384" width="5.625" style="8"/>
  </cols>
  <sheetData>
    <row r="1" spans="1:55">
      <c r="A1" s="8" t="s">
        <v>359</v>
      </c>
    </row>
    <row r="2" spans="1:55">
      <c r="B2" s="67"/>
      <c r="C2" s="68"/>
      <c r="D2" s="68"/>
      <c r="E2" s="68"/>
      <c r="F2" s="68"/>
      <c r="G2" s="68"/>
      <c r="H2" s="68"/>
      <c r="I2" s="68"/>
      <c r="J2" s="68"/>
      <c r="K2" s="68"/>
      <c r="L2" s="68"/>
      <c r="M2" s="68"/>
      <c r="N2" s="68"/>
      <c r="O2" s="68"/>
      <c r="P2" s="69"/>
      <c r="R2" s="67"/>
      <c r="S2" s="68"/>
      <c r="T2" s="68"/>
      <c r="U2" s="68"/>
      <c r="V2" s="68"/>
      <c r="W2" s="68"/>
      <c r="X2" s="68"/>
      <c r="Y2" s="68"/>
      <c r="Z2" s="68"/>
      <c r="AA2" s="68"/>
      <c r="AB2" s="68"/>
      <c r="AC2" s="68"/>
      <c r="AD2" s="68"/>
      <c r="AE2" s="68"/>
      <c r="AF2" s="69"/>
      <c r="AO2" s="67"/>
      <c r="AP2" s="68"/>
      <c r="AQ2" s="68"/>
      <c r="AR2" s="68"/>
      <c r="AS2" s="68"/>
      <c r="AT2" s="68"/>
      <c r="AU2" s="68"/>
      <c r="AV2" s="68"/>
      <c r="AW2" s="68"/>
      <c r="AX2" s="68"/>
      <c r="AY2" s="68"/>
      <c r="AZ2" s="68"/>
      <c r="BA2" s="68"/>
      <c r="BB2" s="68"/>
      <c r="BC2" s="69"/>
    </row>
    <row r="3" spans="1:55">
      <c r="B3" s="70"/>
      <c r="C3" s="80"/>
      <c r="D3" s="80"/>
      <c r="E3" s="80"/>
      <c r="F3" s="80"/>
      <c r="G3" s="80"/>
      <c r="H3" s="80"/>
      <c r="I3" s="80"/>
      <c r="J3" s="80"/>
      <c r="K3" s="80"/>
      <c r="L3" s="80"/>
      <c r="M3" s="80"/>
      <c r="N3" s="335" t="s">
        <v>76</v>
      </c>
      <c r="O3" s="336"/>
      <c r="P3" s="71"/>
      <c r="R3" s="70"/>
      <c r="S3" s="80"/>
      <c r="T3" s="80"/>
      <c r="U3" s="80"/>
      <c r="V3" s="80"/>
      <c r="W3" s="80"/>
      <c r="X3" s="80"/>
      <c r="Y3" s="80"/>
      <c r="Z3" s="80"/>
      <c r="AA3" s="80"/>
      <c r="AB3" s="80"/>
      <c r="AC3" s="80"/>
      <c r="AD3" s="335" t="s">
        <v>76</v>
      </c>
      <c r="AE3" s="336"/>
      <c r="AF3" s="71"/>
      <c r="AO3" s="70"/>
      <c r="AP3" s="80"/>
      <c r="AQ3" s="80"/>
      <c r="AR3" s="80"/>
      <c r="AS3" s="80"/>
      <c r="AT3" s="80"/>
      <c r="AU3" s="80"/>
      <c r="AV3" s="80"/>
      <c r="AW3" s="80"/>
      <c r="AX3" s="80"/>
      <c r="AY3" s="80"/>
      <c r="AZ3" s="80"/>
      <c r="BA3" s="335" t="s">
        <v>76</v>
      </c>
      <c r="BB3" s="336"/>
      <c r="BC3" s="71"/>
    </row>
    <row r="4" spans="1:55" ht="20.25" customHeight="1">
      <c r="B4" s="70"/>
      <c r="C4" s="80"/>
      <c r="D4" s="80"/>
      <c r="E4" s="80"/>
      <c r="F4" s="80"/>
      <c r="G4" s="80"/>
      <c r="H4" s="80"/>
      <c r="I4" s="80"/>
      <c r="J4" s="80"/>
      <c r="K4" s="337" t="s">
        <v>265</v>
      </c>
      <c r="L4" s="337"/>
      <c r="M4" s="337"/>
      <c r="N4" s="337"/>
      <c r="O4" s="89" t="s">
        <v>78</v>
      </c>
      <c r="P4" s="71"/>
      <c r="R4" s="70"/>
      <c r="S4" s="80"/>
      <c r="T4" s="80"/>
      <c r="U4" s="80"/>
      <c r="V4" s="80"/>
      <c r="W4" s="80"/>
      <c r="X4" s="80"/>
      <c r="Y4" s="80"/>
      <c r="Z4" s="80"/>
      <c r="AA4" s="337" t="s">
        <v>265</v>
      </c>
      <c r="AB4" s="337"/>
      <c r="AC4" s="337"/>
      <c r="AD4" s="337"/>
      <c r="AE4" s="89" t="s">
        <v>78</v>
      </c>
      <c r="AF4" s="71"/>
      <c r="AO4" s="70"/>
      <c r="AP4" s="80"/>
      <c r="AQ4" s="80"/>
      <c r="AR4" s="80"/>
      <c r="AS4" s="80"/>
      <c r="AT4" s="80"/>
      <c r="AU4" s="80"/>
      <c r="AV4" s="80"/>
      <c r="AW4" s="80"/>
      <c r="AX4" s="337" t="s">
        <v>265</v>
      </c>
      <c r="AY4" s="337"/>
      <c r="AZ4" s="337"/>
      <c r="BA4" s="337"/>
      <c r="BB4" s="89" t="s">
        <v>78</v>
      </c>
      <c r="BC4" s="71"/>
    </row>
    <row r="5" spans="1:55">
      <c r="B5" s="70"/>
      <c r="C5" s="79" t="s">
        <v>270</v>
      </c>
      <c r="D5" s="23"/>
      <c r="E5" s="23"/>
      <c r="F5" s="23"/>
      <c r="G5" s="23"/>
      <c r="H5" s="23"/>
      <c r="I5" s="23"/>
      <c r="J5" s="23"/>
      <c r="K5" s="23"/>
      <c r="L5" s="23"/>
      <c r="M5" s="23"/>
      <c r="N5" s="23"/>
      <c r="O5" s="23"/>
      <c r="P5" s="71"/>
      <c r="R5" s="70"/>
      <c r="S5" s="79" t="s">
        <v>270</v>
      </c>
      <c r="T5" s="23"/>
      <c r="U5" s="23"/>
      <c r="V5" s="23"/>
      <c r="W5" s="23"/>
      <c r="X5" s="23"/>
      <c r="Y5" s="23"/>
      <c r="Z5" s="23"/>
      <c r="AA5" s="23"/>
      <c r="AB5" s="23"/>
      <c r="AC5" s="23"/>
      <c r="AD5" s="23"/>
      <c r="AE5" s="23"/>
      <c r="AF5" s="71"/>
      <c r="AO5" s="70"/>
      <c r="AP5" s="79" t="s">
        <v>270</v>
      </c>
      <c r="AQ5" s="23"/>
      <c r="AR5" s="23"/>
      <c r="AS5" s="23"/>
      <c r="AT5" s="23"/>
      <c r="AU5" s="23"/>
      <c r="AV5" s="23"/>
      <c r="AW5" s="23"/>
      <c r="AX5" s="23"/>
      <c r="AY5" s="23"/>
      <c r="AZ5" s="23"/>
      <c r="BA5" s="23"/>
      <c r="BB5" s="23"/>
      <c r="BC5" s="71"/>
    </row>
    <row r="6" spans="1:55" ht="6" customHeight="1" thickBot="1">
      <c r="B6" s="85"/>
      <c r="C6" s="86"/>
      <c r="D6" s="86"/>
      <c r="E6" s="86"/>
      <c r="F6" s="87"/>
      <c r="G6" s="87"/>
      <c r="H6" s="87"/>
      <c r="I6" s="87"/>
      <c r="J6" s="87"/>
      <c r="K6" s="87"/>
      <c r="L6" s="87"/>
      <c r="M6" s="87"/>
      <c r="N6" s="87"/>
      <c r="O6" s="87"/>
      <c r="P6" s="132"/>
      <c r="R6" s="85"/>
      <c r="S6" s="86"/>
      <c r="T6" s="86"/>
      <c r="U6" s="86"/>
      <c r="V6" s="87"/>
      <c r="W6" s="87"/>
      <c r="X6" s="87"/>
      <c r="Y6" s="87"/>
      <c r="Z6" s="87"/>
      <c r="AA6" s="87"/>
      <c r="AB6" s="87"/>
      <c r="AC6" s="87"/>
      <c r="AD6" s="87"/>
      <c r="AE6" s="87"/>
      <c r="AF6" s="132"/>
      <c r="AO6" s="85"/>
      <c r="AP6" s="86"/>
      <c r="AQ6" s="86"/>
      <c r="AR6" s="86"/>
      <c r="AS6" s="87"/>
      <c r="AT6" s="87"/>
      <c r="AU6" s="87"/>
      <c r="AV6" s="87"/>
      <c r="AW6" s="87"/>
      <c r="AX6" s="87"/>
      <c r="AY6" s="87"/>
      <c r="AZ6" s="87"/>
      <c r="BA6" s="87"/>
      <c r="BB6" s="87"/>
      <c r="BC6" s="132"/>
    </row>
    <row r="7" spans="1:55" ht="19.5" thickBot="1">
      <c r="B7" s="70"/>
      <c r="C7" s="104" t="s">
        <v>79</v>
      </c>
      <c r="D7" s="127"/>
      <c r="E7" s="90"/>
      <c r="F7" s="329" t="s">
        <v>286</v>
      </c>
      <c r="G7" s="330"/>
      <c r="H7" s="331"/>
      <c r="I7" s="105" t="s">
        <v>86</v>
      </c>
      <c r="J7" s="332">
        <v>45192</v>
      </c>
      <c r="K7" s="333"/>
      <c r="L7" s="333"/>
      <c r="M7" s="334"/>
      <c r="N7" s="105" t="s">
        <v>86</v>
      </c>
      <c r="O7" s="23"/>
      <c r="P7" s="71"/>
      <c r="R7" s="70"/>
      <c r="S7" s="104" t="s">
        <v>79</v>
      </c>
      <c r="T7" s="127"/>
      <c r="U7" s="90"/>
      <c r="V7" s="329" t="s">
        <v>286</v>
      </c>
      <c r="W7" s="330"/>
      <c r="X7" s="331"/>
      <c r="Y7" s="105" t="s">
        <v>86</v>
      </c>
      <c r="Z7" s="332">
        <v>45192</v>
      </c>
      <c r="AA7" s="333"/>
      <c r="AB7" s="333"/>
      <c r="AC7" s="334"/>
      <c r="AD7" s="105" t="s">
        <v>86</v>
      </c>
      <c r="AE7" s="23"/>
      <c r="AF7" s="71"/>
      <c r="AO7" s="70"/>
      <c r="AP7" s="104" t="s">
        <v>79</v>
      </c>
      <c r="AQ7" s="127"/>
      <c r="AR7" s="90"/>
      <c r="AS7" s="329" t="s">
        <v>286</v>
      </c>
      <c r="AT7" s="330"/>
      <c r="AU7" s="331"/>
      <c r="AV7" s="105" t="s">
        <v>86</v>
      </c>
      <c r="AW7" s="332">
        <v>45192</v>
      </c>
      <c r="AX7" s="333"/>
      <c r="AY7" s="333"/>
      <c r="AZ7" s="334"/>
      <c r="BA7" s="105" t="s">
        <v>86</v>
      </c>
      <c r="BB7" s="23"/>
      <c r="BC7" s="71"/>
    </row>
    <row r="8" spans="1:55" ht="19.5" thickBot="1">
      <c r="B8" s="70"/>
      <c r="C8" s="124" t="s">
        <v>89</v>
      </c>
      <c r="D8" s="127"/>
      <c r="E8" s="126"/>
      <c r="F8" s="338" t="s">
        <v>352</v>
      </c>
      <c r="G8" s="339"/>
      <c r="H8" s="339"/>
      <c r="I8" s="339"/>
      <c r="J8" s="339"/>
      <c r="K8" s="339"/>
      <c r="L8" s="339"/>
      <c r="M8" s="341"/>
      <c r="N8" s="105" t="s">
        <v>86</v>
      </c>
      <c r="O8" s="23"/>
      <c r="P8" s="71"/>
      <c r="R8" s="70"/>
      <c r="S8" s="124" t="s">
        <v>89</v>
      </c>
      <c r="T8" s="127"/>
      <c r="U8" s="126"/>
      <c r="V8" s="338" t="s">
        <v>352</v>
      </c>
      <c r="W8" s="339"/>
      <c r="X8" s="339"/>
      <c r="Y8" s="339"/>
      <c r="Z8" s="339"/>
      <c r="AA8" s="339"/>
      <c r="AB8" s="339"/>
      <c r="AC8" s="341"/>
      <c r="AD8" s="105" t="s">
        <v>86</v>
      </c>
      <c r="AE8" s="23"/>
      <c r="AF8" s="71"/>
      <c r="AO8" s="70"/>
      <c r="AP8" s="124" t="s">
        <v>89</v>
      </c>
      <c r="AQ8" s="127"/>
      <c r="AR8" s="126"/>
      <c r="AS8" s="338" t="s">
        <v>272</v>
      </c>
      <c r="AT8" s="339"/>
      <c r="AU8" s="339"/>
      <c r="AV8" s="339"/>
      <c r="AW8" s="339"/>
      <c r="AX8" s="339"/>
      <c r="AY8" s="339"/>
      <c r="AZ8" s="341"/>
      <c r="BA8" s="105" t="s">
        <v>86</v>
      </c>
      <c r="BB8" s="23"/>
      <c r="BC8" s="71"/>
    </row>
    <row r="9" spans="1:55" ht="19.5" thickBot="1">
      <c r="B9" s="70"/>
      <c r="C9" s="104" t="s">
        <v>101</v>
      </c>
      <c r="D9" s="127"/>
      <c r="E9" s="90"/>
      <c r="F9" s="338"/>
      <c r="G9" s="339"/>
      <c r="H9" s="339"/>
      <c r="I9" s="340"/>
      <c r="J9" s="339"/>
      <c r="K9" s="339"/>
      <c r="L9" s="339"/>
      <c r="M9" s="341"/>
      <c r="N9" s="105" t="s">
        <v>86</v>
      </c>
      <c r="O9" s="23"/>
      <c r="P9" s="71"/>
      <c r="R9" s="70"/>
      <c r="S9" s="104" t="s">
        <v>101</v>
      </c>
      <c r="T9" s="127"/>
      <c r="U9" s="90"/>
      <c r="V9" s="338"/>
      <c r="W9" s="339"/>
      <c r="X9" s="339"/>
      <c r="Y9" s="340"/>
      <c r="Z9" s="339"/>
      <c r="AA9" s="339"/>
      <c r="AB9" s="339"/>
      <c r="AC9" s="341"/>
      <c r="AD9" s="105" t="s">
        <v>86</v>
      </c>
      <c r="AE9" s="23"/>
      <c r="AF9" s="71"/>
      <c r="AO9" s="70"/>
      <c r="AP9" s="104" t="s">
        <v>84</v>
      </c>
      <c r="AQ9" s="127"/>
      <c r="AR9" s="90"/>
      <c r="AS9" s="338" t="s">
        <v>85</v>
      </c>
      <c r="AT9" s="339"/>
      <c r="AU9" s="339"/>
      <c r="AV9" s="340"/>
      <c r="AW9" s="339"/>
      <c r="AX9" s="339"/>
      <c r="AY9" s="339"/>
      <c r="AZ9" s="341"/>
      <c r="BA9" s="105" t="s">
        <v>86</v>
      </c>
      <c r="BB9" s="23"/>
      <c r="BC9" s="71"/>
    </row>
    <row r="10" spans="1:55" ht="19.5" thickBot="1">
      <c r="B10" s="70"/>
      <c r="C10" s="104" t="s">
        <v>102</v>
      </c>
      <c r="D10" s="127"/>
      <c r="E10" s="90"/>
      <c r="F10" s="338"/>
      <c r="G10" s="339"/>
      <c r="H10" s="339"/>
      <c r="I10" s="340"/>
      <c r="J10" s="339"/>
      <c r="K10" s="339"/>
      <c r="L10" s="339"/>
      <c r="M10" s="341"/>
      <c r="N10" s="105" t="s">
        <v>86</v>
      </c>
      <c r="O10" s="23"/>
      <c r="P10" s="71"/>
      <c r="R10" s="70"/>
      <c r="S10" s="104" t="s">
        <v>102</v>
      </c>
      <c r="T10" s="127"/>
      <c r="U10" s="90"/>
      <c r="V10" s="338"/>
      <c r="W10" s="339"/>
      <c r="X10" s="339"/>
      <c r="Y10" s="340"/>
      <c r="Z10" s="339"/>
      <c r="AA10" s="339"/>
      <c r="AB10" s="339"/>
      <c r="AC10" s="341"/>
      <c r="AD10" s="105" t="s">
        <v>86</v>
      </c>
      <c r="AE10" s="23"/>
      <c r="AF10" s="71"/>
      <c r="AO10" s="70"/>
      <c r="AP10" s="104" t="s">
        <v>95</v>
      </c>
      <c r="AQ10" s="127"/>
      <c r="AR10" s="116"/>
      <c r="AS10" s="338" t="s">
        <v>112</v>
      </c>
      <c r="AT10" s="339"/>
      <c r="AU10" s="339"/>
      <c r="AV10" s="339"/>
      <c r="AW10" s="339"/>
      <c r="AX10" s="339"/>
      <c r="AY10" s="339"/>
      <c r="AZ10" s="341"/>
      <c r="BA10" s="105" t="s">
        <v>86</v>
      </c>
      <c r="BB10" s="23"/>
      <c r="BC10" s="71"/>
    </row>
    <row r="11" spans="1:55" ht="19.5" thickBot="1">
      <c r="B11" s="70"/>
      <c r="C11" s="104" t="s">
        <v>95</v>
      </c>
      <c r="D11" s="127"/>
      <c r="E11" s="116"/>
      <c r="F11" s="338"/>
      <c r="G11" s="339"/>
      <c r="H11" s="339"/>
      <c r="I11" s="339"/>
      <c r="J11" s="339"/>
      <c r="K11" s="339"/>
      <c r="L11" s="339"/>
      <c r="M11" s="341"/>
      <c r="N11" s="105" t="s">
        <v>86</v>
      </c>
      <c r="O11" s="81"/>
      <c r="P11" s="71"/>
      <c r="R11" s="70"/>
      <c r="S11" s="104" t="s">
        <v>95</v>
      </c>
      <c r="T11" s="127"/>
      <c r="U11" s="116"/>
      <c r="V11" s="338"/>
      <c r="W11" s="339"/>
      <c r="X11" s="339"/>
      <c r="Y11" s="339"/>
      <c r="Z11" s="339"/>
      <c r="AA11" s="339"/>
      <c r="AB11" s="339"/>
      <c r="AC11" s="341"/>
      <c r="AD11" s="105" t="s">
        <v>86</v>
      </c>
      <c r="AE11" s="81"/>
      <c r="AF11" s="71"/>
      <c r="AO11" s="70"/>
      <c r="AP11" s="106" t="s">
        <v>297</v>
      </c>
      <c r="AQ11" s="127"/>
      <c r="AR11" s="117"/>
      <c r="AS11" s="342" t="s">
        <v>299</v>
      </c>
      <c r="AT11" s="343"/>
      <c r="AU11" s="343"/>
      <c r="AV11" s="344"/>
      <c r="AW11" s="343"/>
      <c r="AX11" s="343"/>
      <c r="AY11" s="343"/>
      <c r="AZ11" s="345"/>
      <c r="BA11" s="105" t="s">
        <v>86</v>
      </c>
      <c r="BB11" s="81"/>
      <c r="BC11" s="71"/>
    </row>
    <row r="12" spans="1:55" ht="19.5" thickBot="1">
      <c r="B12" s="70"/>
      <c r="C12" s="104" t="s">
        <v>83</v>
      </c>
      <c r="D12" s="127"/>
      <c r="E12" s="116"/>
      <c r="F12" s="353"/>
      <c r="G12" s="354"/>
      <c r="H12" s="354"/>
      <c r="I12" s="138"/>
      <c r="J12" s="139" t="s">
        <v>106</v>
      </c>
      <c r="K12" s="346"/>
      <c r="L12" s="347"/>
      <c r="M12" s="348"/>
      <c r="N12" s="138"/>
      <c r="O12" s="23"/>
      <c r="P12" s="71"/>
      <c r="R12" s="70"/>
      <c r="S12" s="104" t="s">
        <v>83</v>
      </c>
      <c r="T12" s="127"/>
      <c r="U12" s="116"/>
      <c r="V12" s="353"/>
      <c r="W12" s="354"/>
      <c r="X12" s="354"/>
      <c r="Y12" s="138"/>
      <c r="Z12" s="139" t="s">
        <v>106</v>
      </c>
      <c r="AA12" s="346"/>
      <c r="AB12" s="347"/>
      <c r="AC12" s="348"/>
      <c r="AD12" s="138"/>
      <c r="AE12" s="23"/>
      <c r="AF12" s="71"/>
      <c r="AO12" s="70"/>
      <c r="AP12" s="104" t="s">
        <v>273</v>
      </c>
      <c r="AQ12" s="127"/>
      <c r="AR12" s="90"/>
      <c r="AS12" s="346">
        <v>45192</v>
      </c>
      <c r="AT12" s="347"/>
      <c r="AU12" s="348"/>
      <c r="AV12" s="138"/>
      <c r="AW12" s="349">
        <v>0</v>
      </c>
      <c r="AX12" s="350"/>
      <c r="AY12" s="118" t="s">
        <v>276</v>
      </c>
      <c r="AZ12" s="351" t="s">
        <v>267</v>
      </c>
      <c r="BA12" s="350"/>
      <c r="BB12" s="23"/>
      <c r="BC12" s="71"/>
    </row>
    <row r="13" spans="1:55" ht="19.5" thickBot="1">
      <c r="B13" s="70"/>
      <c r="C13" s="104" t="s">
        <v>297</v>
      </c>
      <c r="D13" s="127"/>
      <c r="E13" s="116"/>
      <c r="F13" s="342"/>
      <c r="G13" s="343"/>
      <c r="H13" s="343"/>
      <c r="I13" s="344"/>
      <c r="J13" s="343"/>
      <c r="K13" s="343"/>
      <c r="L13" s="343"/>
      <c r="M13" s="345"/>
      <c r="N13" s="105" t="s">
        <v>86</v>
      </c>
      <c r="O13" s="23"/>
      <c r="P13" s="71"/>
      <c r="R13" s="70"/>
      <c r="S13" s="104" t="s">
        <v>297</v>
      </c>
      <c r="T13" s="127"/>
      <c r="U13" s="116"/>
      <c r="V13" s="342"/>
      <c r="W13" s="343"/>
      <c r="X13" s="343"/>
      <c r="Y13" s="344"/>
      <c r="Z13" s="343"/>
      <c r="AA13" s="343"/>
      <c r="AB13" s="343"/>
      <c r="AC13" s="345"/>
      <c r="AD13" s="105" t="s">
        <v>86</v>
      </c>
      <c r="AE13" s="23"/>
      <c r="AF13" s="71"/>
      <c r="AO13" s="70"/>
      <c r="AP13" s="104" t="s">
        <v>274</v>
      </c>
      <c r="AQ13" s="127"/>
      <c r="AR13" s="90"/>
      <c r="AS13" s="346">
        <v>45192</v>
      </c>
      <c r="AT13" s="347"/>
      <c r="AU13" s="348"/>
      <c r="AV13" s="138"/>
      <c r="AW13" s="349">
        <v>0</v>
      </c>
      <c r="AX13" s="350"/>
      <c r="AY13" s="118" t="s">
        <v>276</v>
      </c>
      <c r="AZ13" s="351" t="s">
        <v>267</v>
      </c>
      <c r="BA13" s="350"/>
      <c r="BB13" s="23"/>
      <c r="BC13" s="71"/>
    </row>
    <row r="14" spans="1:55" ht="19.5" thickBot="1">
      <c r="B14" s="70"/>
      <c r="C14" s="23"/>
      <c r="D14" s="23"/>
      <c r="E14" s="23"/>
      <c r="F14" s="23"/>
      <c r="G14" s="23"/>
      <c r="H14" s="23"/>
      <c r="I14" s="23"/>
      <c r="J14" s="23"/>
      <c r="K14" s="23"/>
      <c r="L14" s="23"/>
      <c r="M14" s="23"/>
      <c r="N14" s="23"/>
      <c r="O14" s="23"/>
      <c r="P14" s="71"/>
      <c r="R14" s="70"/>
      <c r="S14" s="23"/>
      <c r="T14" s="23"/>
      <c r="U14" s="23"/>
      <c r="V14" s="23"/>
      <c r="W14" s="23"/>
      <c r="X14" s="23"/>
      <c r="Y14" s="23"/>
      <c r="Z14" s="23"/>
      <c r="AA14" s="23"/>
      <c r="AB14" s="23"/>
      <c r="AC14" s="23"/>
      <c r="AD14" s="23"/>
      <c r="AE14" s="23"/>
      <c r="AF14" s="71"/>
      <c r="AO14" s="70"/>
      <c r="AP14" s="104" t="s">
        <v>275</v>
      </c>
      <c r="AQ14" s="127"/>
      <c r="AR14" s="116"/>
      <c r="AS14" s="346">
        <v>45192</v>
      </c>
      <c r="AT14" s="347"/>
      <c r="AU14" s="348"/>
      <c r="AV14" s="138"/>
      <c r="AW14" s="349">
        <v>0</v>
      </c>
      <c r="AX14" s="350"/>
      <c r="AY14" s="118" t="s">
        <v>276</v>
      </c>
      <c r="AZ14" s="351" t="s">
        <v>267</v>
      </c>
      <c r="BA14" s="350"/>
      <c r="BB14" s="125"/>
      <c r="BC14" s="71"/>
    </row>
    <row r="15" spans="1:55">
      <c r="B15" s="70"/>
      <c r="C15" s="352" t="s">
        <v>88</v>
      </c>
      <c r="D15" s="352"/>
      <c r="E15" s="23"/>
      <c r="F15" s="23"/>
      <c r="G15" s="23"/>
      <c r="I15" s="23"/>
      <c r="J15" s="23"/>
      <c r="K15" s="23"/>
      <c r="L15" s="23"/>
      <c r="M15" s="23"/>
      <c r="N15" s="23"/>
      <c r="O15" s="23"/>
      <c r="P15" s="71"/>
      <c r="R15" s="70"/>
      <c r="S15" s="352" t="s">
        <v>88</v>
      </c>
      <c r="T15" s="352"/>
      <c r="U15" s="23"/>
      <c r="V15" s="23"/>
      <c r="W15" s="23"/>
      <c r="Y15" s="23"/>
      <c r="Z15" s="23"/>
      <c r="AA15" s="23"/>
      <c r="AB15" s="23"/>
      <c r="AC15" s="23"/>
      <c r="AD15" s="23"/>
      <c r="AE15" s="23"/>
      <c r="AF15" s="71"/>
      <c r="AO15" s="70"/>
      <c r="AP15" s="352" t="s">
        <v>88</v>
      </c>
      <c r="AQ15" s="352"/>
      <c r="AR15" s="23"/>
      <c r="AS15" s="23"/>
      <c r="AT15" s="23"/>
      <c r="AV15" s="23"/>
      <c r="AW15" s="23"/>
      <c r="AX15" s="23"/>
      <c r="AY15" s="23"/>
      <c r="AZ15" s="23"/>
      <c r="BA15" s="23"/>
      <c r="BB15" s="23"/>
      <c r="BC15" s="71"/>
    </row>
    <row r="16" spans="1:55">
      <c r="B16" s="70"/>
      <c r="C16" s="23"/>
      <c r="D16" s="23"/>
      <c r="E16" s="23"/>
      <c r="F16" s="23"/>
      <c r="G16" s="23"/>
      <c r="H16" s="23"/>
      <c r="I16" s="23"/>
      <c r="J16" s="23"/>
      <c r="K16" s="23"/>
      <c r="L16" s="23"/>
      <c r="M16" s="23"/>
      <c r="N16" s="23"/>
      <c r="O16" s="23"/>
      <c r="P16" s="71"/>
      <c r="R16" s="70"/>
      <c r="S16" s="23"/>
      <c r="T16" s="23"/>
      <c r="U16" s="23"/>
      <c r="V16" s="23"/>
      <c r="W16" s="23"/>
      <c r="X16" s="23"/>
      <c r="Y16" s="23"/>
      <c r="Z16" s="23"/>
      <c r="AA16" s="23"/>
      <c r="AB16" s="23"/>
      <c r="AC16" s="23"/>
      <c r="AD16" s="23"/>
      <c r="AE16" s="23"/>
      <c r="AF16" s="71"/>
      <c r="AO16" s="70"/>
      <c r="AP16" s="23"/>
      <c r="AQ16" s="23"/>
      <c r="AR16" s="23"/>
      <c r="AS16" s="23"/>
      <c r="AT16" s="23"/>
      <c r="AU16" s="23"/>
      <c r="AV16" s="23"/>
      <c r="AW16" s="23"/>
      <c r="AX16" s="23"/>
      <c r="AY16" s="23"/>
      <c r="AZ16" s="23"/>
      <c r="BA16" s="23"/>
      <c r="BB16" s="23"/>
      <c r="BC16" s="71"/>
    </row>
    <row r="17" spans="2:55">
      <c r="B17" s="70"/>
      <c r="C17" s="8" t="s">
        <v>109</v>
      </c>
      <c r="D17" s="23"/>
      <c r="E17" s="23"/>
      <c r="F17" s="23"/>
      <c r="G17" s="23"/>
      <c r="I17" s="23"/>
      <c r="J17" s="23"/>
      <c r="K17" s="23"/>
      <c r="L17" s="23"/>
      <c r="M17" s="23"/>
      <c r="N17" s="364"/>
      <c r="O17" s="364"/>
      <c r="P17" s="71"/>
      <c r="R17" s="70"/>
      <c r="S17" s="8" t="s">
        <v>109</v>
      </c>
      <c r="T17" s="23"/>
      <c r="U17" s="23"/>
      <c r="V17" s="23"/>
      <c r="W17" s="23"/>
      <c r="Y17" s="23"/>
      <c r="Z17" s="23"/>
      <c r="AA17" s="23"/>
      <c r="AB17" s="23"/>
      <c r="AC17" s="23"/>
      <c r="AD17" s="364"/>
      <c r="AE17" s="364"/>
      <c r="AF17" s="71"/>
      <c r="AO17" s="70"/>
      <c r="AP17" s="8" t="s">
        <v>109</v>
      </c>
      <c r="AQ17" s="23"/>
      <c r="AR17" s="23"/>
      <c r="AS17" s="23"/>
      <c r="AT17" s="23"/>
      <c r="AV17" s="23"/>
      <c r="AW17" s="23"/>
      <c r="AX17" s="23"/>
      <c r="AY17" s="23"/>
      <c r="AZ17" s="23"/>
      <c r="BA17" s="364" t="s">
        <v>277</v>
      </c>
      <c r="BB17" s="364"/>
      <c r="BC17" s="71"/>
    </row>
    <row r="18" spans="2:55" ht="18.75" customHeight="1">
      <c r="B18" s="70"/>
      <c r="C18" s="355" t="s">
        <v>128</v>
      </c>
      <c r="D18" s="365" t="s">
        <v>110</v>
      </c>
      <c r="E18" s="360" t="s">
        <v>80</v>
      </c>
      <c r="F18" s="361"/>
      <c r="G18" s="366"/>
      <c r="H18" s="360" t="s">
        <v>83</v>
      </c>
      <c r="I18" s="361"/>
      <c r="J18" s="368" t="s">
        <v>365</v>
      </c>
      <c r="K18" s="369"/>
      <c r="L18" s="369"/>
      <c r="M18" s="372" t="s">
        <v>129</v>
      </c>
      <c r="N18" s="355" t="s">
        <v>89</v>
      </c>
      <c r="O18" s="355"/>
      <c r="P18" s="71"/>
      <c r="R18" s="70"/>
      <c r="S18" s="355" t="s">
        <v>128</v>
      </c>
      <c r="T18" s="356" t="s">
        <v>363</v>
      </c>
      <c r="U18" s="357"/>
      <c r="V18" s="357"/>
      <c r="W18" s="357"/>
      <c r="X18" s="360" t="s">
        <v>108</v>
      </c>
      <c r="Y18" s="361"/>
      <c r="Z18" s="361"/>
      <c r="AA18" s="361"/>
      <c r="AB18" s="360" t="s">
        <v>107</v>
      </c>
      <c r="AC18" s="361"/>
      <c r="AD18" s="361"/>
      <c r="AE18" s="366"/>
      <c r="AF18" s="71"/>
      <c r="AO18" s="70"/>
      <c r="AP18" s="355" t="s">
        <v>128</v>
      </c>
      <c r="AQ18" s="365" t="s">
        <v>110</v>
      </c>
      <c r="AR18" s="360" t="s">
        <v>80</v>
      </c>
      <c r="AS18" s="361"/>
      <c r="AT18" s="366"/>
      <c r="AU18" s="360" t="s">
        <v>83</v>
      </c>
      <c r="AV18" s="361"/>
      <c r="AW18" s="366"/>
      <c r="AX18" s="368" t="s">
        <v>278</v>
      </c>
      <c r="AY18" s="369"/>
      <c r="AZ18" s="369"/>
      <c r="BA18" s="374"/>
      <c r="BB18" s="372" t="s">
        <v>129</v>
      </c>
      <c r="BC18" s="71"/>
    </row>
    <row r="19" spans="2:55">
      <c r="B19" s="70"/>
      <c r="C19" s="355"/>
      <c r="D19" s="365"/>
      <c r="E19" s="362"/>
      <c r="F19" s="363"/>
      <c r="G19" s="367"/>
      <c r="H19" s="362"/>
      <c r="I19" s="363"/>
      <c r="J19" s="370"/>
      <c r="K19" s="371"/>
      <c r="L19" s="371"/>
      <c r="M19" s="373"/>
      <c r="N19" s="355"/>
      <c r="O19" s="355"/>
      <c r="P19" s="71"/>
      <c r="R19" s="70"/>
      <c r="S19" s="355"/>
      <c r="T19" s="358"/>
      <c r="U19" s="359"/>
      <c r="V19" s="359"/>
      <c r="W19" s="359"/>
      <c r="X19" s="362"/>
      <c r="Y19" s="363"/>
      <c r="Z19" s="363"/>
      <c r="AA19" s="363"/>
      <c r="AB19" s="362"/>
      <c r="AC19" s="363"/>
      <c r="AD19" s="363"/>
      <c r="AE19" s="367"/>
      <c r="AF19" s="71"/>
      <c r="AO19" s="70"/>
      <c r="AP19" s="355"/>
      <c r="AQ19" s="365"/>
      <c r="AR19" s="362"/>
      <c r="AS19" s="363"/>
      <c r="AT19" s="367"/>
      <c r="AU19" s="362"/>
      <c r="AV19" s="363"/>
      <c r="AW19" s="367"/>
      <c r="AX19" s="375"/>
      <c r="AY19" s="376"/>
      <c r="AZ19" s="376"/>
      <c r="BA19" s="377"/>
      <c r="BB19" s="373"/>
      <c r="BC19" s="71"/>
    </row>
    <row r="20" spans="2:55">
      <c r="B20" s="70"/>
      <c r="C20" s="107" t="s">
        <v>140</v>
      </c>
      <c r="D20" s="119"/>
      <c r="E20" s="387" t="s">
        <v>77</v>
      </c>
      <c r="F20" s="388"/>
      <c r="G20" s="389"/>
      <c r="H20" s="390">
        <v>45118</v>
      </c>
      <c r="I20" s="391"/>
      <c r="J20" s="392" t="s">
        <v>362</v>
      </c>
      <c r="K20" s="393"/>
      <c r="L20" s="394"/>
      <c r="M20" s="187" t="s">
        <v>132</v>
      </c>
      <c r="N20" s="395" t="s">
        <v>352</v>
      </c>
      <c r="O20" s="395"/>
      <c r="P20" s="71"/>
      <c r="R20" s="70"/>
      <c r="S20" s="107" t="s">
        <v>140</v>
      </c>
      <c r="T20" s="396" t="s">
        <v>90</v>
      </c>
      <c r="U20" s="397"/>
      <c r="V20" s="397"/>
      <c r="W20" s="397"/>
      <c r="X20" s="378">
        <v>45147.822916666664</v>
      </c>
      <c r="Y20" s="379"/>
      <c r="Z20" s="379"/>
      <c r="AA20" s="379"/>
      <c r="AB20" s="378"/>
      <c r="AC20" s="379"/>
      <c r="AD20" s="379"/>
      <c r="AE20" s="380"/>
      <c r="AF20" s="71"/>
      <c r="AO20" s="70"/>
      <c r="AP20" s="107" t="s">
        <v>140</v>
      </c>
      <c r="AQ20" s="119"/>
      <c r="AR20" s="381" t="s">
        <v>77</v>
      </c>
      <c r="AS20" s="382"/>
      <c r="AT20" s="383"/>
      <c r="AU20" s="384">
        <v>45118</v>
      </c>
      <c r="AV20" s="384"/>
      <c r="AW20" s="385"/>
      <c r="AX20" s="386" t="s">
        <v>282</v>
      </c>
      <c r="AY20" s="386"/>
      <c r="AZ20" s="386"/>
      <c r="BA20" s="386"/>
      <c r="BB20" s="130" t="s">
        <v>132</v>
      </c>
      <c r="BC20" s="71"/>
    </row>
    <row r="21" spans="2:55">
      <c r="B21" s="70"/>
      <c r="C21" s="107" t="s">
        <v>140</v>
      </c>
      <c r="D21" s="119"/>
      <c r="E21" s="387" t="s">
        <v>268</v>
      </c>
      <c r="F21" s="388"/>
      <c r="G21" s="389"/>
      <c r="H21" s="390">
        <v>45125</v>
      </c>
      <c r="I21" s="391"/>
      <c r="J21" s="392" t="s">
        <v>362</v>
      </c>
      <c r="K21" s="393"/>
      <c r="L21" s="394"/>
      <c r="M21" s="187"/>
      <c r="N21" s="395" t="s">
        <v>352</v>
      </c>
      <c r="O21" s="395"/>
      <c r="P21" s="71"/>
      <c r="R21" s="70"/>
      <c r="S21" s="107" t="s">
        <v>140</v>
      </c>
      <c r="T21" s="396" t="s">
        <v>91</v>
      </c>
      <c r="U21" s="397"/>
      <c r="V21" s="397"/>
      <c r="W21" s="397"/>
      <c r="X21" s="378">
        <v>45147.826388888891</v>
      </c>
      <c r="Y21" s="379"/>
      <c r="Z21" s="379"/>
      <c r="AA21" s="379"/>
      <c r="AB21" s="378"/>
      <c r="AC21" s="379"/>
      <c r="AD21" s="379"/>
      <c r="AE21" s="380"/>
      <c r="AF21" s="71"/>
      <c r="AO21" s="70"/>
      <c r="AP21" s="107" t="s">
        <v>140</v>
      </c>
      <c r="AQ21" s="119"/>
      <c r="AR21" s="381" t="s">
        <v>268</v>
      </c>
      <c r="AS21" s="382"/>
      <c r="AT21" s="383"/>
      <c r="AU21" s="384">
        <v>45125</v>
      </c>
      <c r="AV21" s="384"/>
      <c r="AW21" s="385"/>
      <c r="AX21" s="386" t="s">
        <v>281</v>
      </c>
      <c r="AY21" s="386"/>
      <c r="AZ21" s="386"/>
      <c r="BA21" s="386"/>
      <c r="BB21" s="130"/>
      <c r="BC21" s="71"/>
    </row>
    <row r="22" spans="2:55">
      <c r="B22" s="70"/>
      <c r="C22" s="107" t="s">
        <v>140</v>
      </c>
      <c r="D22" s="120"/>
      <c r="E22" s="399" t="s">
        <v>77</v>
      </c>
      <c r="F22" s="400"/>
      <c r="G22" s="401"/>
      <c r="H22" s="402">
        <v>45163</v>
      </c>
      <c r="I22" s="403"/>
      <c r="J22" s="404" t="s">
        <v>362</v>
      </c>
      <c r="K22" s="405"/>
      <c r="L22" s="406"/>
      <c r="M22" s="188" t="s">
        <v>132</v>
      </c>
      <c r="N22" s="407" t="s">
        <v>271</v>
      </c>
      <c r="O22" s="407"/>
      <c r="P22" s="71"/>
      <c r="R22" s="70"/>
      <c r="S22" s="107" t="s">
        <v>140</v>
      </c>
      <c r="T22" s="408" t="s">
        <v>92</v>
      </c>
      <c r="U22" s="409"/>
      <c r="V22" s="409"/>
      <c r="W22" s="409"/>
      <c r="X22" s="410">
        <v>45170.506944444445</v>
      </c>
      <c r="Y22" s="411"/>
      <c r="Z22" s="411"/>
      <c r="AA22" s="411"/>
      <c r="AB22" s="410">
        <v>45178.816666666666</v>
      </c>
      <c r="AC22" s="411"/>
      <c r="AD22" s="411"/>
      <c r="AE22" s="412"/>
      <c r="AF22" s="71"/>
      <c r="AO22" s="70"/>
      <c r="AP22" s="107" t="s">
        <v>140</v>
      </c>
      <c r="AQ22" s="120"/>
      <c r="AR22" s="413" t="s">
        <v>77</v>
      </c>
      <c r="AS22" s="414"/>
      <c r="AT22" s="415"/>
      <c r="AU22" s="416">
        <v>45163</v>
      </c>
      <c r="AV22" s="416"/>
      <c r="AW22" s="417"/>
      <c r="AX22" s="398" t="s">
        <v>281</v>
      </c>
      <c r="AY22" s="398"/>
      <c r="AZ22" s="398"/>
      <c r="BA22" s="398"/>
      <c r="BB22" s="131" t="s">
        <v>132</v>
      </c>
      <c r="BC22" s="71"/>
    </row>
    <row r="23" spans="2:55">
      <c r="B23" s="70"/>
      <c r="C23" s="107" t="s">
        <v>140</v>
      </c>
      <c r="D23" s="120"/>
      <c r="E23" s="399" t="s">
        <v>268</v>
      </c>
      <c r="F23" s="400"/>
      <c r="G23" s="401"/>
      <c r="H23" s="402">
        <v>45147</v>
      </c>
      <c r="I23" s="403"/>
      <c r="J23" s="404" t="s">
        <v>362</v>
      </c>
      <c r="K23" s="405"/>
      <c r="L23" s="406"/>
      <c r="M23" s="188"/>
      <c r="N23" s="407" t="s">
        <v>271</v>
      </c>
      <c r="O23" s="407"/>
      <c r="P23" s="71"/>
      <c r="R23" s="70"/>
      <c r="S23" s="107" t="s">
        <v>140</v>
      </c>
      <c r="T23" s="408" t="s">
        <v>93</v>
      </c>
      <c r="U23" s="409"/>
      <c r="V23" s="409"/>
      <c r="W23" s="409"/>
      <c r="X23" s="410">
        <v>45170.507638888892</v>
      </c>
      <c r="Y23" s="411"/>
      <c r="Z23" s="411"/>
      <c r="AA23" s="411"/>
      <c r="AB23" s="410">
        <v>45178.816666666666</v>
      </c>
      <c r="AC23" s="411"/>
      <c r="AD23" s="411"/>
      <c r="AE23" s="412"/>
      <c r="AF23" s="71"/>
      <c r="AO23" s="70"/>
      <c r="AP23" s="107" t="s">
        <v>140</v>
      </c>
      <c r="AQ23" s="120"/>
      <c r="AR23" s="413" t="s">
        <v>268</v>
      </c>
      <c r="AS23" s="414"/>
      <c r="AT23" s="415"/>
      <c r="AU23" s="416">
        <v>45147</v>
      </c>
      <c r="AV23" s="416"/>
      <c r="AW23" s="417"/>
      <c r="AX23" s="398" t="s">
        <v>281</v>
      </c>
      <c r="AY23" s="398"/>
      <c r="AZ23" s="398"/>
      <c r="BA23" s="398"/>
      <c r="BB23" s="131"/>
      <c r="BC23" s="71"/>
    </row>
    <row r="24" spans="2:55">
      <c r="B24" s="70"/>
      <c r="C24" s="107" t="s">
        <v>140</v>
      </c>
      <c r="D24" s="146"/>
      <c r="E24" s="418" t="s">
        <v>269</v>
      </c>
      <c r="F24" s="400"/>
      <c r="G24" s="401"/>
      <c r="H24" s="402">
        <v>45154</v>
      </c>
      <c r="I24" s="403"/>
      <c r="J24" s="404" t="s">
        <v>362</v>
      </c>
      <c r="K24" s="405"/>
      <c r="L24" s="406"/>
      <c r="M24" s="188" t="s">
        <v>132</v>
      </c>
      <c r="N24" s="407" t="s">
        <v>271</v>
      </c>
      <c r="O24" s="407"/>
      <c r="P24" s="71"/>
      <c r="R24" s="70"/>
      <c r="S24" s="107" t="s">
        <v>140</v>
      </c>
      <c r="T24" s="408" t="s">
        <v>94</v>
      </c>
      <c r="U24" s="409"/>
      <c r="V24" s="409"/>
      <c r="W24" s="409"/>
      <c r="X24" s="410">
        <v>45170.510416666664</v>
      </c>
      <c r="Y24" s="411"/>
      <c r="Z24" s="411"/>
      <c r="AA24" s="411"/>
      <c r="AB24" s="410">
        <v>45178.816666666666</v>
      </c>
      <c r="AC24" s="411"/>
      <c r="AD24" s="411"/>
      <c r="AE24" s="412"/>
      <c r="AF24" s="71"/>
      <c r="AO24" s="70"/>
      <c r="AP24" s="107" t="s">
        <v>140</v>
      </c>
      <c r="AQ24" s="120"/>
      <c r="AR24" s="413" t="s">
        <v>269</v>
      </c>
      <c r="AS24" s="414"/>
      <c r="AT24" s="415"/>
      <c r="AU24" s="416">
        <v>45154</v>
      </c>
      <c r="AV24" s="416"/>
      <c r="AW24" s="417"/>
      <c r="AX24" s="398" t="s">
        <v>281</v>
      </c>
      <c r="AY24" s="398"/>
      <c r="AZ24" s="398"/>
      <c r="BA24" s="398"/>
      <c r="BB24" s="131" t="s">
        <v>132</v>
      </c>
      <c r="BC24" s="71"/>
    </row>
    <row r="25" spans="2:55">
      <c r="B25" s="70"/>
      <c r="C25" s="141" t="s">
        <v>300</v>
      </c>
      <c r="D25" s="147"/>
      <c r="E25" s="148"/>
      <c r="F25" s="142"/>
      <c r="G25" s="142"/>
      <c r="H25" s="144"/>
      <c r="I25" s="144"/>
      <c r="J25" s="144"/>
      <c r="K25" s="145"/>
      <c r="L25" s="145"/>
      <c r="M25" s="145"/>
      <c r="N25" s="145"/>
      <c r="O25" s="107" t="s">
        <v>301</v>
      </c>
      <c r="P25" s="71"/>
      <c r="R25" s="70"/>
      <c r="S25" s="107" t="s">
        <v>300</v>
      </c>
      <c r="T25" s="142"/>
      <c r="U25" s="142"/>
      <c r="V25" s="142"/>
      <c r="W25" s="142"/>
      <c r="X25" s="144"/>
      <c r="Y25" s="144"/>
      <c r="Z25" s="144"/>
      <c r="AA25" s="145"/>
      <c r="AB25" s="145"/>
      <c r="AC25" s="147"/>
      <c r="AD25" s="148"/>
      <c r="AE25" s="107" t="s">
        <v>301</v>
      </c>
      <c r="AF25" s="71"/>
      <c r="AO25" s="70"/>
      <c r="AP25" s="141"/>
      <c r="AQ25" s="143"/>
      <c r="AR25" s="142"/>
      <c r="AS25" s="142"/>
      <c r="AT25" s="142"/>
      <c r="AU25" s="144"/>
      <c r="AV25" s="144"/>
      <c r="AW25" s="144"/>
      <c r="AX25" s="145"/>
      <c r="AY25" s="145"/>
      <c r="AZ25" s="145"/>
      <c r="BA25" s="145"/>
      <c r="BB25" s="140"/>
      <c r="BC25" s="71"/>
    </row>
    <row r="26" spans="2:55">
      <c r="B26" s="70"/>
      <c r="C26" s="121" t="s">
        <v>113</v>
      </c>
      <c r="D26" s="136"/>
      <c r="E26" s="136"/>
      <c r="F26" s="91"/>
      <c r="G26" s="91"/>
      <c r="H26" s="91"/>
      <c r="I26" s="91"/>
      <c r="J26" s="91"/>
      <c r="K26" s="122" t="s">
        <v>114</v>
      </c>
      <c r="L26" s="122" t="s">
        <v>115</v>
      </c>
      <c r="M26" s="122">
        <v>1</v>
      </c>
      <c r="N26" s="122" t="s">
        <v>116</v>
      </c>
      <c r="O26" s="123" t="s">
        <v>117</v>
      </c>
      <c r="P26" s="71"/>
      <c r="R26" s="70"/>
      <c r="S26" s="121" t="s">
        <v>113</v>
      </c>
      <c r="T26" s="136"/>
      <c r="U26" s="136"/>
      <c r="V26" s="91"/>
      <c r="W26" s="91"/>
      <c r="X26" s="91"/>
      <c r="Y26" s="91"/>
      <c r="Z26" s="91"/>
      <c r="AA26" s="122" t="s">
        <v>114</v>
      </c>
      <c r="AB26" s="122" t="s">
        <v>115</v>
      </c>
      <c r="AC26" s="122">
        <v>1</v>
      </c>
      <c r="AD26" s="122" t="s">
        <v>116</v>
      </c>
      <c r="AE26" s="123" t="s">
        <v>117</v>
      </c>
      <c r="AF26" s="71"/>
      <c r="AO26" s="70"/>
      <c r="AP26" s="121" t="s">
        <v>113</v>
      </c>
      <c r="AQ26" s="91"/>
      <c r="AR26" s="91"/>
      <c r="AS26" s="91"/>
      <c r="AT26" s="91"/>
      <c r="AU26" s="91"/>
      <c r="AV26" s="91"/>
      <c r="AW26" s="91"/>
      <c r="AX26" s="122" t="s">
        <v>114</v>
      </c>
      <c r="AY26" s="122" t="s">
        <v>115</v>
      </c>
      <c r="AZ26" s="122">
        <v>1</v>
      </c>
      <c r="BA26" s="122" t="s">
        <v>116</v>
      </c>
      <c r="BB26" s="123" t="s">
        <v>117</v>
      </c>
      <c r="BC26" s="71"/>
    </row>
    <row r="27" spans="2:55">
      <c r="B27" s="70"/>
      <c r="C27" s="23"/>
      <c r="D27" s="23"/>
      <c r="E27" s="23"/>
      <c r="F27" s="23"/>
      <c r="G27" s="23"/>
      <c r="H27" s="23"/>
      <c r="I27" s="23"/>
      <c r="J27" s="23"/>
      <c r="K27" s="23"/>
      <c r="L27" s="23"/>
      <c r="M27" s="23"/>
      <c r="N27" s="23"/>
      <c r="O27" s="23"/>
      <c r="P27" s="71"/>
      <c r="R27" s="70"/>
      <c r="S27" s="23"/>
      <c r="T27" s="23"/>
      <c r="U27" s="23"/>
      <c r="V27" s="23"/>
      <c r="W27" s="23"/>
      <c r="X27" s="23"/>
      <c r="Y27" s="23"/>
      <c r="Z27" s="23"/>
      <c r="AA27" s="23"/>
      <c r="AB27" s="23"/>
      <c r="AC27" s="23"/>
      <c r="AD27" s="23"/>
      <c r="AE27" s="23"/>
      <c r="AF27" s="71"/>
      <c r="AO27" s="70"/>
      <c r="AP27" s="23"/>
      <c r="AQ27" s="23"/>
      <c r="AR27" s="23"/>
      <c r="AS27" s="23"/>
      <c r="AT27" s="23"/>
      <c r="AU27" s="23"/>
      <c r="AV27" s="23"/>
      <c r="AW27" s="23"/>
      <c r="AX27" s="23"/>
      <c r="AY27" s="23"/>
      <c r="AZ27" s="23"/>
      <c r="BA27" s="23"/>
      <c r="BB27" s="23"/>
      <c r="BC27" s="71"/>
    </row>
    <row r="28" spans="2:55" ht="6" customHeight="1">
      <c r="B28" s="85"/>
      <c r="C28" s="86"/>
      <c r="D28" s="86"/>
      <c r="E28" s="86"/>
      <c r="F28" s="87"/>
      <c r="G28" s="87"/>
      <c r="H28" s="87"/>
      <c r="I28" s="87"/>
      <c r="J28" s="87"/>
      <c r="K28" s="87"/>
      <c r="L28" s="87"/>
      <c r="M28" s="87"/>
      <c r="N28" s="87"/>
      <c r="O28" s="87"/>
      <c r="P28" s="132"/>
      <c r="R28" s="85"/>
      <c r="S28" s="86"/>
      <c r="T28" s="86"/>
      <c r="U28" s="86"/>
      <c r="V28" s="87"/>
      <c r="W28" s="87"/>
      <c r="X28" s="87"/>
      <c r="Y28" s="87"/>
      <c r="Z28" s="87"/>
      <c r="AA28" s="87"/>
      <c r="AB28" s="87"/>
      <c r="AC28" s="87"/>
      <c r="AD28" s="87"/>
      <c r="AE28" s="87"/>
      <c r="AF28" s="71"/>
      <c r="AO28" s="85"/>
      <c r="AP28" s="86"/>
      <c r="AQ28" s="86"/>
      <c r="AR28" s="86"/>
      <c r="AS28" s="87"/>
      <c r="AT28" s="87"/>
      <c r="AU28" s="87"/>
      <c r="AV28" s="87"/>
      <c r="AW28" s="87"/>
      <c r="AX28" s="87"/>
      <c r="AY28" s="87"/>
      <c r="AZ28" s="87"/>
      <c r="BA28" s="87"/>
      <c r="BB28" s="87"/>
      <c r="BC28" s="132"/>
    </row>
    <row r="29" spans="2:55">
      <c r="B29" s="70"/>
      <c r="C29" s="108"/>
      <c r="D29" s="109"/>
      <c r="E29" s="109"/>
      <c r="F29" s="109"/>
      <c r="G29" s="109"/>
      <c r="H29" s="109"/>
      <c r="I29" s="109"/>
      <c r="J29" s="109"/>
      <c r="K29" s="109"/>
      <c r="L29" s="109"/>
      <c r="M29" s="109"/>
      <c r="N29" s="109"/>
      <c r="O29" s="110"/>
      <c r="P29" s="71"/>
      <c r="R29" s="70"/>
      <c r="S29" s="108"/>
      <c r="T29" s="109"/>
      <c r="U29" s="109"/>
      <c r="V29" s="109"/>
      <c r="W29" s="109"/>
      <c r="X29" s="109"/>
      <c r="Y29" s="109"/>
      <c r="Z29" s="109"/>
      <c r="AA29" s="109"/>
      <c r="AB29" s="109"/>
      <c r="AC29" s="109"/>
      <c r="AD29" s="109"/>
      <c r="AE29" s="110"/>
      <c r="AF29" s="71"/>
      <c r="AO29" s="70"/>
      <c r="AP29" s="108"/>
      <c r="AQ29" s="109"/>
      <c r="AR29" s="109"/>
      <c r="AS29" s="109"/>
      <c r="AT29" s="109"/>
      <c r="AU29" s="109"/>
      <c r="AV29" s="109"/>
      <c r="AW29" s="109"/>
      <c r="AX29" s="109"/>
      <c r="AY29" s="109"/>
      <c r="AZ29" s="109"/>
      <c r="BA29" s="109"/>
      <c r="BB29" s="110"/>
      <c r="BC29" s="71"/>
    </row>
    <row r="30" spans="2:55">
      <c r="B30" s="70"/>
      <c r="C30" s="111"/>
      <c r="D30" s="23"/>
      <c r="E30" s="23"/>
      <c r="F30" s="23"/>
      <c r="G30" s="23"/>
      <c r="H30" s="23"/>
      <c r="I30" s="23"/>
      <c r="J30" s="23"/>
      <c r="K30" s="23"/>
      <c r="L30" s="23"/>
      <c r="M30" s="23"/>
      <c r="N30" s="23"/>
      <c r="O30" s="112"/>
      <c r="P30" s="71"/>
      <c r="R30" s="70"/>
      <c r="S30" s="111"/>
      <c r="T30" s="23"/>
      <c r="U30" s="23"/>
      <c r="V30" s="23"/>
      <c r="W30" s="23"/>
      <c r="X30" s="23"/>
      <c r="Y30" s="23"/>
      <c r="Z30" s="23"/>
      <c r="AA30" s="23"/>
      <c r="AB30" s="23"/>
      <c r="AC30" s="23"/>
      <c r="AD30" s="23"/>
      <c r="AE30" s="112"/>
      <c r="AF30" s="71"/>
      <c r="AO30" s="70"/>
      <c r="AP30" s="111"/>
      <c r="AQ30" s="23"/>
      <c r="AR30" s="23"/>
      <c r="AS30" s="23"/>
      <c r="AT30" s="23"/>
      <c r="AU30" s="23"/>
      <c r="AV30" s="23"/>
      <c r="AW30" s="23"/>
      <c r="AX30" s="23"/>
      <c r="AY30" s="23"/>
      <c r="AZ30" s="23"/>
      <c r="BA30" s="23"/>
      <c r="BB30" s="112"/>
      <c r="BC30" s="71"/>
    </row>
    <row r="31" spans="2:55">
      <c r="B31" s="70"/>
      <c r="C31" s="113"/>
      <c r="D31" s="114"/>
      <c r="E31" s="114"/>
      <c r="F31" s="114"/>
      <c r="G31" s="114"/>
      <c r="H31" s="114"/>
      <c r="I31" s="114"/>
      <c r="J31" s="114"/>
      <c r="K31" s="114"/>
      <c r="L31" s="114"/>
      <c r="M31" s="114"/>
      <c r="N31" s="114"/>
      <c r="O31" s="115"/>
      <c r="P31" s="71"/>
      <c r="R31" s="70"/>
      <c r="S31" s="113"/>
      <c r="T31" s="114"/>
      <c r="U31" s="114"/>
      <c r="V31" s="114"/>
      <c r="W31" s="114"/>
      <c r="X31" s="114"/>
      <c r="Y31" s="114"/>
      <c r="Z31" s="114"/>
      <c r="AA31" s="114"/>
      <c r="AB31" s="114"/>
      <c r="AC31" s="114"/>
      <c r="AD31" s="114"/>
      <c r="AE31" s="115"/>
      <c r="AF31" s="71"/>
      <c r="AO31" s="70"/>
      <c r="AP31" s="113"/>
      <c r="AQ31" s="114"/>
      <c r="AR31" s="114"/>
      <c r="AS31" s="114"/>
      <c r="AT31" s="114"/>
      <c r="AU31" s="114"/>
      <c r="AV31" s="114"/>
      <c r="AW31" s="114"/>
      <c r="AX31" s="114"/>
      <c r="AY31" s="114"/>
      <c r="AZ31" s="114"/>
      <c r="BA31" s="114"/>
      <c r="BB31" s="115"/>
      <c r="BC31" s="71"/>
    </row>
    <row r="32" spans="2:55" ht="6" customHeight="1" thickBot="1">
      <c r="B32" s="70"/>
      <c r="C32" s="23"/>
      <c r="D32" s="23"/>
      <c r="E32" s="23"/>
      <c r="F32" s="23"/>
      <c r="G32" s="23"/>
      <c r="H32" s="23"/>
      <c r="I32" s="23"/>
      <c r="J32" s="23"/>
      <c r="K32" s="23"/>
      <c r="L32" s="23"/>
      <c r="M32" s="23"/>
      <c r="N32" s="23"/>
      <c r="O32" s="23"/>
      <c r="P32" s="71"/>
      <c r="R32" s="70"/>
      <c r="S32" s="23"/>
      <c r="T32" s="23"/>
      <c r="U32" s="23"/>
      <c r="V32" s="23"/>
      <c r="W32" s="23"/>
      <c r="X32" s="23"/>
      <c r="Y32" s="23"/>
      <c r="Z32" s="23"/>
      <c r="AA32" s="23"/>
      <c r="AB32" s="23"/>
      <c r="AC32" s="23"/>
      <c r="AD32" s="23"/>
      <c r="AE32" s="23"/>
      <c r="AF32" s="71"/>
      <c r="AO32" s="70"/>
      <c r="AP32" s="23"/>
      <c r="AQ32" s="23"/>
      <c r="AR32" s="23"/>
      <c r="AS32" s="23"/>
      <c r="AT32" s="23"/>
      <c r="AU32" s="23"/>
      <c r="AV32" s="23"/>
      <c r="AW32" s="23"/>
      <c r="AX32" s="23"/>
      <c r="AY32" s="23"/>
      <c r="AZ32" s="23"/>
      <c r="BA32" s="23"/>
      <c r="BB32" s="23"/>
      <c r="BC32" s="71"/>
    </row>
    <row r="33" spans="1:73" ht="18.75" customHeight="1" thickTop="1">
      <c r="B33" s="70"/>
      <c r="C33" s="419" t="s">
        <v>110</v>
      </c>
      <c r="D33" s="419"/>
      <c r="E33" s="419"/>
      <c r="F33" s="419" t="s">
        <v>280</v>
      </c>
      <c r="G33" s="419"/>
      <c r="H33" s="419"/>
      <c r="I33" s="419" t="s">
        <v>279</v>
      </c>
      <c r="J33" s="419"/>
      <c r="K33" s="419"/>
      <c r="L33" s="23"/>
      <c r="M33" s="419" t="s">
        <v>296</v>
      </c>
      <c r="N33" s="419"/>
      <c r="O33" s="419"/>
      <c r="P33" s="71"/>
      <c r="R33" s="70"/>
      <c r="S33" s="419" t="s">
        <v>110</v>
      </c>
      <c r="T33" s="419"/>
      <c r="U33" s="419"/>
      <c r="V33" s="419" t="s">
        <v>280</v>
      </c>
      <c r="W33" s="419"/>
      <c r="X33" s="419"/>
      <c r="Y33" s="419" t="s">
        <v>279</v>
      </c>
      <c r="Z33" s="419"/>
      <c r="AA33" s="419"/>
      <c r="AB33" s="23"/>
      <c r="AC33" s="419" t="s">
        <v>296</v>
      </c>
      <c r="AD33" s="419"/>
      <c r="AE33" s="419"/>
      <c r="AF33" s="71"/>
      <c r="AO33" s="70"/>
      <c r="AP33" s="419" t="s">
        <v>110</v>
      </c>
      <c r="AQ33" s="419"/>
      <c r="AR33" s="419"/>
      <c r="AS33" s="419" t="s">
        <v>279</v>
      </c>
      <c r="AT33" s="419"/>
      <c r="AU33" s="419"/>
      <c r="AV33" s="419" t="s">
        <v>280</v>
      </c>
      <c r="AW33" s="419"/>
      <c r="AX33" s="419"/>
      <c r="AY33" s="23"/>
      <c r="AZ33" s="419" t="s">
        <v>296</v>
      </c>
      <c r="BA33" s="419"/>
      <c r="BB33" s="419"/>
      <c r="BC33" s="71"/>
    </row>
    <row r="34" spans="1:73" ht="19.5" customHeight="1" thickBot="1">
      <c r="B34" s="70"/>
      <c r="C34" s="420"/>
      <c r="D34" s="420"/>
      <c r="E34" s="420"/>
      <c r="F34" s="420"/>
      <c r="G34" s="420"/>
      <c r="H34" s="420"/>
      <c r="I34" s="420"/>
      <c r="J34" s="420"/>
      <c r="K34" s="420"/>
      <c r="L34" s="23"/>
      <c r="M34" s="420"/>
      <c r="N34" s="420"/>
      <c r="O34" s="420"/>
      <c r="P34" s="71"/>
      <c r="R34" s="70"/>
      <c r="S34" s="420"/>
      <c r="T34" s="420"/>
      <c r="U34" s="420"/>
      <c r="V34" s="420"/>
      <c r="W34" s="420"/>
      <c r="X34" s="420"/>
      <c r="Y34" s="420"/>
      <c r="Z34" s="420"/>
      <c r="AA34" s="420"/>
      <c r="AB34" s="23"/>
      <c r="AC34" s="420"/>
      <c r="AD34" s="420"/>
      <c r="AE34" s="420"/>
      <c r="AF34" s="71"/>
      <c r="AO34" s="70"/>
      <c r="AP34" s="420"/>
      <c r="AQ34" s="420"/>
      <c r="AR34" s="420"/>
      <c r="AS34" s="420"/>
      <c r="AT34" s="420"/>
      <c r="AU34" s="420"/>
      <c r="AV34" s="420"/>
      <c r="AW34" s="420"/>
      <c r="AX34" s="420"/>
      <c r="AY34" s="23"/>
      <c r="AZ34" s="420"/>
      <c r="BA34" s="420"/>
      <c r="BB34" s="420"/>
      <c r="BC34" s="71"/>
    </row>
    <row r="35" spans="1:73" ht="19.5" thickTop="1">
      <c r="B35" s="73"/>
      <c r="C35" s="74"/>
      <c r="D35" s="74"/>
      <c r="E35" s="74"/>
      <c r="F35" s="74"/>
      <c r="G35" s="74"/>
      <c r="H35" s="74"/>
      <c r="I35" s="74"/>
      <c r="J35" s="74"/>
      <c r="K35" s="74"/>
      <c r="L35" s="74"/>
      <c r="M35" s="74"/>
      <c r="N35" s="74"/>
      <c r="O35" s="74"/>
      <c r="P35" s="75"/>
      <c r="R35" s="73"/>
      <c r="S35" s="74"/>
      <c r="T35" s="74"/>
      <c r="U35" s="74"/>
      <c r="V35" s="74"/>
      <c r="W35" s="74"/>
      <c r="X35" s="74"/>
      <c r="Y35" s="74"/>
      <c r="Z35" s="74"/>
      <c r="AA35" s="74"/>
      <c r="AB35" s="74"/>
      <c r="AC35" s="74"/>
      <c r="AD35" s="74"/>
      <c r="AE35" s="74"/>
      <c r="AF35" s="75"/>
      <c r="AO35" s="73"/>
      <c r="AP35" s="74"/>
      <c r="AQ35" s="74"/>
      <c r="AR35" s="74"/>
      <c r="AS35" s="74"/>
      <c r="AT35" s="74"/>
      <c r="AU35" s="74"/>
      <c r="AV35" s="74"/>
      <c r="AW35" s="74"/>
      <c r="AX35" s="74"/>
      <c r="AY35" s="74"/>
      <c r="AZ35" s="74"/>
      <c r="BA35" s="74"/>
      <c r="BB35" s="74"/>
      <c r="BC35" s="75"/>
    </row>
    <row r="36" spans="1:73">
      <c r="A36" s="8" t="s">
        <v>364</v>
      </c>
    </row>
    <row r="37" spans="1:73">
      <c r="B37" s="67"/>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9"/>
    </row>
    <row r="38" spans="1:73">
      <c r="B38" s="70"/>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7"/>
      <c r="AC38" s="97"/>
      <c r="AD38" s="97"/>
      <c r="AE38" s="421" t="s">
        <v>76</v>
      </c>
      <c r="AF38" s="422"/>
      <c r="AG38" s="71"/>
      <c r="AO38" s="67"/>
      <c r="AP38" s="68"/>
      <c r="AQ38" s="68"/>
      <c r="AR38" s="68"/>
      <c r="AS38" s="68"/>
      <c r="AT38" s="68"/>
      <c r="AU38" s="68"/>
      <c r="AV38" s="68"/>
      <c r="AW38" s="68"/>
      <c r="AX38" s="68"/>
      <c r="AY38" s="68"/>
      <c r="AZ38" s="68"/>
      <c r="BA38" s="68"/>
      <c r="BB38" s="68"/>
      <c r="BC38" s="68"/>
      <c r="BD38" s="68"/>
      <c r="BE38" s="68"/>
      <c r="BF38" s="68"/>
      <c r="BG38" s="68"/>
      <c r="BH38" s="68"/>
      <c r="BI38" s="68"/>
      <c r="BJ38" s="68"/>
      <c r="BK38" s="68"/>
      <c r="BL38" s="68"/>
      <c r="BM38" s="68"/>
      <c r="BN38" s="68"/>
      <c r="BO38" s="68"/>
      <c r="BP38" s="68"/>
      <c r="BQ38" s="68"/>
      <c r="BR38" s="68"/>
      <c r="BS38" s="68"/>
      <c r="BT38" s="68"/>
      <c r="BU38" s="69"/>
    </row>
    <row r="39" spans="1:73" ht="20.25" customHeight="1">
      <c r="B39" s="70"/>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423" t="s">
        <v>369</v>
      </c>
      <c r="AC39" s="423"/>
      <c r="AD39" s="423"/>
      <c r="AE39" s="423"/>
      <c r="AF39" s="93" t="s">
        <v>78</v>
      </c>
      <c r="AG39" s="71"/>
      <c r="AO39" s="7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335" t="s">
        <v>76</v>
      </c>
      <c r="BT39" s="336"/>
      <c r="BU39" s="71"/>
    </row>
    <row r="40" spans="1:73">
      <c r="B40" s="70"/>
      <c r="C40" s="79" t="s">
        <v>270</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71"/>
      <c r="AO40" s="7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337" t="s">
        <v>265</v>
      </c>
      <c r="BQ40" s="337"/>
      <c r="BR40" s="337"/>
      <c r="BS40" s="337"/>
      <c r="BT40" s="89" t="s">
        <v>78</v>
      </c>
      <c r="BU40" s="71"/>
    </row>
    <row r="41" spans="1:73" ht="6" customHeight="1" thickBot="1">
      <c r="B41" s="85"/>
      <c r="C41" s="86"/>
      <c r="D41" s="86"/>
      <c r="E41" s="86"/>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132"/>
      <c r="AO41" s="70"/>
      <c r="AP41" s="79" t="s">
        <v>270</v>
      </c>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71"/>
    </row>
    <row r="42" spans="1:73" ht="19.5" thickBot="1">
      <c r="B42" s="70"/>
      <c r="C42" s="94" t="s">
        <v>79</v>
      </c>
      <c r="D42" s="133"/>
      <c r="E42" s="133"/>
      <c r="F42" s="425" t="s">
        <v>286</v>
      </c>
      <c r="G42" s="426"/>
      <c r="H42" s="427"/>
      <c r="I42" s="134" t="s">
        <v>86</v>
      </c>
      <c r="J42" s="428">
        <v>45192</v>
      </c>
      <c r="K42" s="429"/>
      <c r="L42" s="429"/>
      <c r="M42" s="430"/>
      <c r="N42" s="134" t="s">
        <v>86</v>
      </c>
      <c r="O42" s="23"/>
      <c r="P42" s="23"/>
      <c r="Q42" s="23"/>
      <c r="R42" s="23"/>
      <c r="S42" s="23"/>
      <c r="T42" s="23"/>
      <c r="U42" s="23"/>
      <c r="V42" s="23"/>
      <c r="W42" s="23"/>
      <c r="X42" s="23"/>
      <c r="Y42" s="23"/>
      <c r="Z42" s="23"/>
      <c r="AA42" s="23"/>
      <c r="AB42" s="23"/>
      <c r="AC42" s="23"/>
      <c r="AD42" s="23"/>
      <c r="AE42" s="23"/>
      <c r="AF42" s="23"/>
      <c r="AG42" s="71"/>
      <c r="AO42" s="85"/>
      <c r="AP42" s="86"/>
      <c r="AQ42" s="86"/>
      <c r="AR42" s="86"/>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132"/>
    </row>
    <row r="43" spans="1:73" ht="19.5" thickBot="1">
      <c r="B43" s="70"/>
      <c r="C43" s="94" t="s">
        <v>89</v>
      </c>
      <c r="D43" s="133"/>
      <c r="E43" s="95"/>
      <c r="F43" s="437" t="s">
        <v>272</v>
      </c>
      <c r="G43" s="437"/>
      <c r="H43" s="437"/>
      <c r="I43" s="437"/>
      <c r="J43" s="437"/>
      <c r="K43" s="437"/>
      <c r="L43" s="437"/>
      <c r="M43" s="437"/>
      <c r="N43" s="134" t="s">
        <v>86</v>
      </c>
      <c r="O43" s="23"/>
      <c r="P43" s="23"/>
      <c r="Q43" s="23"/>
      <c r="R43" s="23"/>
      <c r="S43" s="23"/>
      <c r="T43" s="23"/>
      <c r="U43" s="23"/>
      <c r="V43" s="23"/>
      <c r="W43" s="23"/>
      <c r="X43" s="23"/>
      <c r="Y43" s="23"/>
      <c r="Z43" s="23"/>
      <c r="AA43" s="23"/>
      <c r="AB43" s="23"/>
      <c r="AC43" s="23"/>
      <c r="AD43" s="23"/>
      <c r="AE43" s="23"/>
      <c r="AF43" s="23"/>
      <c r="AG43" s="71"/>
      <c r="AO43" s="70"/>
      <c r="AP43" s="104" t="s">
        <v>79</v>
      </c>
      <c r="AQ43" s="127"/>
      <c r="AR43" s="90"/>
      <c r="AS43" s="329" t="s">
        <v>286</v>
      </c>
      <c r="AT43" s="330"/>
      <c r="AU43" s="331"/>
      <c r="AV43" s="105" t="s">
        <v>86</v>
      </c>
      <c r="AW43" s="332">
        <v>45192</v>
      </c>
      <c r="AX43" s="333"/>
      <c r="AY43" s="333"/>
      <c r="AZ43" s="334"/>
      <c r="BA43" s="105" t="s">
        <v>86</v>
      </c>
      <c r="BB43" s="23"/>
      <c r="BC43" s="23"/>
      <c r="BD43" s="23"/>
      <c r="BE43" s="23"/>
      <c r="BF43" s="23"/>
      <c r="BG43" s="23"/>
      <c r="BH43" s="23"/>
      <c r="BI43" s="23"/>
      <c r="BJ43" s="23"/>
      <c r="BK43" s="23"/>
      <c r="BL43" s="23"/>
      <c r="BM43" s="23"/>
      <c r="BN43" s="23"/>
      <c r="BO43" s="23"/>
      <c r="BP43" s="23"/>
      <c r="BQ43" s="23"/>
      <c r="BR43" s="23"/>
      <c r="BS43" s="23"/>
      <c r="BT43" s="23"/>
      <c r="BU43" s="71"/>
    </row>
    <row r="44" spans="1:73" ht="19.5" thickBot="1">
      <c r="B44" s="70"/>
      <c r="C44" s="94" t="s">
        <v>101</v>
      </c>
      <c r="D44" s="133"/>
      <c r="E44" s="95"/>
      <c r="F44" s="437" t="s">
        <v>104</v>
      </c>
      <c r="G44" s="437"/>
      <c r="H44" s="437"/>
      <c r="I44" s="437"/>
      <c r="J44" s="437"/>
      <c r="K44" s="437"/>
      <c r="L44" s="437"/>
      <c r="M44" s="437"/>
      <c r="N44" s="134" t="s">
        <v>86</v>
      </c>
      <c r="O44" s="23"/>
      <c r="P44" s="23"/>
      <c r="Q44" s="23"/>
      <c r="R44" s="23"/>
      <c r="S44" s="23"/>
      <c r="T44" s="23"/>
      <c r="U44" s="23"/>
      <c r="V44" s="23"/>
      <c r="W44" s="23"/>
      <c r="X44" s="23"/>
      <c r="Y44" s="23"/>
      <c r="Z44" s="23"/>
      <c r="AA44" s="23"/>
      <c r="AB44" s="23"/>
      <c r="AC44" s="23"/>
      <c r="AD44" s="23"/>
      <c r="AE44" s="23"/>
      <c r="AF44" s="23"/>
      <c r="AG44" s="71"/>
      <c r="AO44" s="70"/>
      <c r="AP44" s="124" t="s">
        <v>89</v>
      </c>
      <c r="AQ44" s="127"/>
      <c r="AR44" s="126"/>
      <c r="AS44" s="338" t="s">
        <v>272</v>
      </c>
      <c r="AT44" s="339"/>
      <c r="AU44" s="339"/>
      <c r="AV44" s="339"/>
      <c r="AW44" s="339"/>
      <c r="AX44" s="339"/>
      <c r="AY44" s="339"/>
      <c r="AZ44" s="341"/>
      <c r="BA44" s="105" t="s">
        <v>86</v>
      </c>
      <c r="BB44" s="23"/>
      <c r="BC44" s="23"/>
      <c r="BD44" s="23"/>
      <c r="BE44" s="23"/>
      <c r="BF44" s="23"/>
      <c r="BG44" s="23"/>
      <c r="BH44" s="23"/>
      <c r="BI44" s="23"/>
      <c r="BJ44" s="23"/>
      <c r="BK44" s="23"/>
      <c r="BL44" s="23"/>
      <c r="BM44" s="23"/>
      <c r="BN44" s="23"/>
      <c r="BO44" s="23"/>
      <c r="BP44" s="23"/>
      <c r="BQ44" s="23"/>
      <c r="BR44" s="23"/>
      <c r="BS44" s="23"/>
      <c r="BT44" s="23"/>
      <c r="BU44" s="71"/>
    </row>
    <row r="45" spans="1:73" ht="19.5" thickBot="1">
      <c r="B45" s="70"/>
      <c r="C45" s="94" t="s">
        <v>102</v>
      </c>
      <c r="D45" s="133"/>
      <c r="E45" s="95"/>
      <c r="F45" s="437" t="s">
        <v>367</v>
      </c>
      <c r="G45" s="437"/>
      <c r="H45" s="437"/>
      <c r="I45" s="437"/>
      <c r="J45" s="437"/>
      <c r="K45" s="437"/>
      <c r="L45" s="437"/>
      <c r="M45" s="437"/>
      <c r="N45" s="134" t="s">
        <v>86</v>
      </c>
      <c r="O45" s="23"/>
      <c r="P45" s="23"/>
      <c r="Q45" s="23"/>
      <c r="R45" s="23"/>
      <c r="S45" s="23"/>
      <c r="T45" s="23"/>
      <c r="U45" s="23"/>
      <c r="V45" s="23"/>
      <c r="W45" s="23"/>
      <c r="X45" s="23"/>
      <c r="Y45" s="23"/>
      <c r="Z45" s="23"/>
      <c r="AA45" s="23"/>
      <c r="AB45" s="23"/>
      <c r="AC45" s="23"/>
      <c r="AD45" s="23"/>
      <c r="AE45" s="23"/>
      <c r="AF45" s="23"/>
      <c r="AG45" s="71"/>
      <c r="AO45" s="70"/>
      <c r="AP45" s="104" t="s">
        <v>84</v>
      </c>
      <c r="AQ45" s="127"/>
      <c r="AR45" s="90"/>
      <c r="AS45" s="338" t="s">
        <v>85</v>
      </c>
      <c r="AT45" s="339"/>
      <c r="AU45" s="339"/>
      <c r="AV45" s="340"/>
      <c r="AW45" s="339"/>
      <c r="AX45" s="339"/>
      <c r="AY45" s="339"/>
      <c r="AZ45" s="341"/>
      <c r="BA45" s="105" t="s">
        <v>86</v>
      </c>
      <c r="BB45" s="23"/>
      <c r="BC45" s="23"/>
      <c r="BD45" s="23"/>
      <c r="BE45" s="23"/>
      <c r="BF45" s="23"/>
      <c r="BG45" s="23"/>
      <c r="BH45" s="23"/>
      <c r="BI45" s="23"/>
      <c r="BJ45" s="23"/>
      <c r="BK45" s="23"/>
      <c r="BL45" s="23"/>
      <c r="BM45" s="23"/>
      <c r="BN45" s="23"/>
      <c r="BO45" s="23"/>
      <c r="BP45" s="23"/>
      <c r="BQ45" s="23"/>
      <c r="BR45" s="23"/>
      <c r="BS45" s="23"/>
      <c r="BT45" s="23"/>
      <c r="BU45" s="71"/>
    </row>
    <row r="46" spans="1:73" ht="19.5" thickBot="1">
      <c r="B46" s="70"/>
      <c r="C46" s="94" t="s">
        <v>95</v>
      </c>
      <c r="D46" s="133"/>
      <c r="E46" s="95"/>
      <c r="F46" s="431"/>
      <c r="G46" s="432"/>
      <c r="H46" s="433"/>
      <c r="I46" s="431"/>
      <c r="J46" s="432"/>
      <c r="K46" s="432"/>
      <c r="L46" s="432"/>
      <c r="M46" s="433"/>
      <c r="N46" s="100"/>
      <c r="O46" s="81"/>
      <c r="P46" s="23"/>
      <c r="Q46" s="23"/>
      <c r="R46" s="23"/>
      <c r="S46" s="23"/>
      <c r="T46" s="23"/>
      <c r="U46" s="23"/>
      <c r="V46" s="23"/>
      <c r="W46" s="23"/>
      <c r="X46" s="23"/>
      <c r="Y46" s="23"/>
      <c r="Z46" s="23"/>
      <c r="AA46" s="23"/>
      <c r="AB46" s="23"/>
      <c r="AC46" s="23"/>
      <c r="AD46" s="23"/>
      <c r="AE46" s="23"/>
      <c r="AF46" s="23"/>
      <c r="AG46" s="71"/>
      <c r="AO46" s="70"/>
      <c r="AP46" s="104" t="s">
        <v>83</v>
      </c>
      <c r="AQ46" s="127"/>
      <c r="AR46" s="116"/>
      <c r="AS46" s="353">
        <v>45192</v>
      </c>
      <c r="AT46" s="354"/>
      <c r="AU46" s="354"/>
      <c r="AV46" s="138"/>
      <c r="AW46" s="139" t="s">
        <v>106</v>
      </c>
      <c r="AX46" s="434">
        <v>45192</v>
      </c>
      <c r="AY46" s="354"/>
      <c r="AZ46" s="435"/>
      <c r="BA46" s="138"/>
      <c r="BB46" s="81"/>
      <c r="BO46" s="23"/>
      <c r="BP46" s="23"/>
      <c r="BQ46" s="23"/>
      <c r="BR46" s="23"/>
      <c r="BS46" s="23"/>
      <c r="BT46" s="23"/>
      <c r="BU46" s="71"/>
    </row>
    <row r="47" spans="1:73" ht="19.5" thickBot="1">
      <c r="B47" s="70"/>
      <c r="C47" s="94" t="s">
        <v>83</v>
      </c>
      <c r="D47" s="133"/>
      <c r="E47" s="95"/>
      <c r="F47" s="436">
        <v>45192</v>
      </c>
      <c r="G47" s="436"/>
      <c r="H47" s="436"/>
      <c r="I47" s="100"/>
      <c r="J47" s="101" t="s">
        <v>106</v>
      </c>
      <c r="K47" s="436">
        <v>45192</v>
      </c>
      <c r="L47" s="436"/>
      <c r="M47" s="436"/>
      <c r="N47" s="100"/>
      <c r="O47" s="23"/>
      <c r="P47" s="23"/>
      <c r="Q47" s="23"/>
      <c r="R47" s="23"/>
      <c r="S47" s="23"/>
      <c r="T47" s="23"/>
      <c r="U47" s="23"/>
      <c r="V47" s="23"/>
      <c r="W47" s="23"/>
      <c r="X47" s="23"/>
      <c r="Y47" s="23"/>
      <c r="Z47" s="23"/>
      <c r="AA47" s="23"/>
      <c r="AB47" s="23"/>
      <c r="AC47" s="23"/>
      <c r="AD47" s="23"/>
      <c r="AE47" s="23"/>
      <c r="AF47" s="23"/>
      <c r="AG47" s="71"/>
      <c r="AO47" s="70"/>
      <c r="AP47" s="106" t="s">
        <v>297</v>
      </c>
      <c r="AQ47" s="127"/>
      <c r="AR47" s="117"/>
      <c r="AS47" s="342" t="s">
        <v>299</v>
      </c>
      <c r="AT47" s="343"/>
      <c r="AU47" s="343"/>
      <c r="AV47" s="344"/>
      <c r="AW47" s="343"/>
      <c r="AX47" s="343"/>
      <c r="AY47" s="343"/>
      <c r="AZ47" s="345"/>
      <c r="BA47" s="105" t="s">
        <v>86</v>
      </c>
      <c r="BB47" s="81"/>
      <c r="BC47" s="23"/>
      <c r="BD47" s="23"/>
      <c r="BE47" s="23"/>
      <c r="BF47" s="23"/>
      <c r="BG47" s="23"/>
      <c r="BH47" s="23"/>
      <c r="BI47" s="23"/>
      <c r="BJ47" s="23"/>
      <c r="BK47" s="23"/>
      <c r="BL47" s="23"/>
      <c r="BM47" s="23"/>
      <c r="BN47" s="23"/>
      <c r="BO47" s="23"/>
      <c r="BP47" s="23"/>
      <c r="BQ47" s="23"/>
      <c r="BR47" s="23"/>
      <c r="BS47" s="23"/>
      <c r="BT47" s="23"/>
      <c r="BU47" s="71"/>
    </row>
    <row r="48" spans="1:73" ht="19.5" thickBot="1">
      <c r="B48" s="70"/>
      <c r="C48" s="94" t="s">
        <v>297</v>
      </c>
      <c r="D48" s="133"/>
      <c r="E48" s="95"/>
      <c r="F48" s="424" t="s">
        <v>299</v>
      </c>
      <c r="G48" s="424"/>
      <c r="H48" s="424"/>
      <c r="I48" s="424"/>
      <c r="J48" s="424"/>
      <c r="K48" s="424"/>
      <c r="L48" s="424"/>
      <c r="M48" s="424"/>
      <c r="N48" s="134" t="s">
        <v>86</v>
      </c>
      <c r="O48" s="23"/>
      <c r="P48" s="23"/>
      <c r="Q48" s="23"/>
      <c r="R48" s="23"/>
      <c r="S48" s="23"/>
      <c r="T48" s="23"/>
      <c r="U48" s="23"/>
      <c r="V48" s="23"/>
      <c r="W48" s="23"/>
      <c r="X48" s="23"/>
      <c r="Y48" s="23"/>
      <c r="Z48" s="23"/>
      <c r="AA48" s="23"/>
      <c r="AB48" s="23"/>
      <c r="AC48" s="23"/>
      <c r="AD48" s="23"/>
      <c r="AE48" s="23"/>
      <c r="AF48" s="23"/>
      <c r="AG48" s="71"/>
      <c r="AO48" s="70"/>
      <c r="AP48" s="104" t="s">
        <v>273</v>
      </c>
      <c r="AQ48" s="127"/>
      <c r="AR48" s="90"/>
      <c r="AS48" s="346">
        <v>45192</v>
      </c>
      <c r="AT48" s="347"/>
      <c r="AU48" s="348"/>
      <c r="AV48" s="138"/>
      <c r="AW48" s="349">
        <v>0</v>
      </c>
      <c r="AX48" s="350"/>
      <c r="AY48" s="118" t="s">
        <v>276</v>
      </c>
      <c r="AZ48" s="351" t="s">
        <v>267</v>
      </c>
      <c r="BA48" s="350"/>
      <c r="BB48" s="23"/>
      <c r="BC48" s="23"/>
      <c r="BD48" s="23"/>
      <c r="BE48" s="23"/>
      <c r="BF48" s="23"/>
      <c r="BG48" s="23"/>
      <c r="BH48" s="23"/>
      <c r="BI48" s="23"/>
      <c r="BJ48" s="23"/>
      <c r="BK48" s="23"/>
      <c r="BL48" s="23"/>
      <c r="BM48" s="23"/>
      <c r="BN48" s="23"/>
      <c r="BO48" s="23"/>
      <c r="BP48" s="23"/>
      <c r="BQ48" s="23"/>
      <c r="BR48" s="23"/>
      <c r="BS48" s="23"/>
      <c r="BT48" s="23"/>
      <c r="BU48" s="71"/>
    </row>
    <row r="49" spans="2:73" ht="19.5" thickBot="1">
      <c r="B49" s="70"/>
      <c r="C49" s="94" t="s">
        <v>396</v>
      </c>
      <c r="D49" s="133"/>
      <c r="E49" s="95"/>
      <c r="F49" s="431"/>
      <c r="G49" s="432"/>
      <c r="H49" s="433"/>
      <c r="I49" s="431"/>
      <c r="J49" s="432"/>
      <c r="K49" s="432"/>
      <c r="L49" s="432"/>
      <c r="M49" s="433"/>
      <c r="N49" s="100"/>
      <c r="O49" s="23"/>
      <c r="P49" s="23"/>
      <c r="Q49" s="23"/>
      <c r="R49" s="23"/>
      <c r="S49" s="23"/>
      <c r="T49" s="23"/>
      <c r="U49" s="23"/>
      <c r="V49" s="23"/>
      <c r="W49" s="23"/>
      <c r="X49" s="23"/>
      <c r="Y49" s="23"/>
      <c r="Z49" s="23"/>
      <c r="AA49" s="23"/>
      <c r="AB49" s="23"/>
      <c r="AC49" s="23"/>
      <c r="AD49" s="23"/>
      <c r="AE49" s="23"/>
      <c r="AF49" s="23"/>
      <c r="AG49" s="71"/>
      <c r="AO49" s="70"/>
      <c r="AP49" s="104"/>
      <c r="AQ49" s="127"/>
      <c r="AR49" s="90"/>
      <c r="AS49" s="197"/>
      <c r="AT49" s="198"/>
      <c r="AU49" s="199"/>
      <c r="AV49" s="138"/>
      <c r="AW49" s="195"/>
      <c r="AX49" s="196"/>
      <c r="AY49" s="118"/>
      <c r="AZ49" s="200"/>
      <c r="BA49" s="196"/>
      <c r="BB49" s="23"/>
      <c r="BC49" s="23"/>
      <c r="BD49" s="23"/>
      <c r="BE49" s="23"/>
      <c r="BF49" s="23"/>
      <c r="BG49" s="23"/>
      <c r="BH49" s="23"/>
      <c r="BI49" s="23"/>
      <c r="BJ49" s="23"/>
      <c r="BK49" s="23"/>
      <c r="BL49" s="23"/>
      <c r="BM49" s="23"/>
      <c r="BN49" s="23"/>
      <c r="BO49" s="23"/>
      <c r="BP49" s="23"/>
      <c r="BQ49" s="23"/>
      <c r="BR49" s="23"/>
      <c r="BS49" s="23"/>
      <c r="BT49" s="23"/>
      <c r="BU49" s="71"/>
    </row>
    <row r="50" spans="2:73" ht="19.5" thickBot="1">
      <c r="B50" s="70"/>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71"/>
      <c r="AO50" s="70"/>
      <c r="AP50" s="104" t="s">
        <v>275</v>
      </c>
      <c r="AQ50" s="127"/>
      <c r="AR50" s="116"/>
      <c r="AS50" s="346">
        <v>45192</v>
      </c>
      <c r="AT50" s="347"/>
      <c r="AU50" s="348"/>
      <c r="AV50" s="138"/>
      <c r="AW50" s="349">
        <v>0</v>
      </c>
      <c r="AX50" s="350"/>
      <c r="AY50" s="118" t="s">
        <v>276</v>
      </c>
      <c r="AZ50" s="351" t="s">
        <v>267</v>
      </c>
      <c r="BA50" s="350"/>
      <c r="BB50" s="125"/>
      <c r="BC50" s="23"/>
      <c r="BD50" s="23"/>
      <c r="BE50" s="23"/>
      <c r="BF50" s="23"/>
      <c r="BG50" s="23"/>
      <c r="BH50" s="23"/>
      <c r="BI50" s="23"/>
      <c r="BJ50" s="23"/>
      <c r="BK50" s="23"/>
      <c r="BL50" s="23"/>
      <c r="BM50" s="23"/>
      <c r="BN50" s="23"/>
      <c r="BO50" s="23"/>
      <c r="BP50" s="23"/>
      <c r="BQ50" s="23"/>
      <c r="BR50" s="23"/>
      <c r="BS50" s="23"/>
      <c r="BT50" s="23"/>
      <c r="BU50" s="71"/>
    </row>
    <row r="51" spans="2:73">
      <c r="B51" s="70"/>
      <c r="C51" s="352" t="s">
        <v>88</v>
      </c>
      <c r="D51" s="352"/>
      <c r="E51" s="23"/>
      <c r="F51" s="23"/>
      <c r="G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71"/>
      <c r="AO51" s="70"/>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71"/>
    </row>
    <row r="52" spans="2:73">
      <c r="B52" s="70"/>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71"/>
      <c r="AO52" s="70"/>
      <c r="AP52" s="352" t="s">
        <v>88</v>
      </c>
      <c r="AQ52" s="352"/>
      <c r="AR52" s="23"/>
      <c r="AS52" s="23"/>
      <c r="AT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71"/>
    </row>
    <row r="53" spans="2:73">
      <c r="B53" s="70"/>
      <c r="C53" s="8" t="s">
        <v>109</v>
      </c>
      <c r="D53" s="23"/>
      <c r="E53" s="23"/>
      <c r="F53" s="23"/>
      <c r="G53" s="23"/>
      <c r="I53" s="23"/>
      <c r="J53" s="23"/>
      <c r="K53" s="23"/>
      <c r="L53" s="23"/>
      <c r="M53" s="23"/>
      <c r="N53" s="441"/>
      <c r="O53" s="441"/>
      <c r="P53" s="23"/>
      <c r="Q53" s="23"/>
      <c r="R53" s="23"/>
      <c r="S53" s="23"/>
      <c r="T53" s="23"/>
      <c r="U53" s="23"/>
      <c r="V53" s="23"/>
      <c r="W53" s="23"/>
      <c r="X53" s="23"/>
      <c r="Y53" s="23"/>
      <c r="Z53" s="23"/>
      <c r="AA53" s="23"/>
      <c r="AB53" s="23"/>
      <c r="AC53" s="23"/>
      <c r="AD53" s="23"/>
      <c r="AE53" s="23"/>
      <c r="AF53" s="23"/>
      <c r="AG53" s="71"/>
      <c r="AO53" s="70"/>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71"/>
    </row>
    <row r="54" spans="2:73" ht="18.75" customHeight="1">
      <c r="B54" s="70"/>
      <c r="C54" s="438" t="s">
        <v>128</v>
      </c>
      <c r="D54" s="439" t="s">
        <v>110</v>
      </c>
      <c r="E54" s="438" t="s">
        <v>80</v>
      </c>
      <c r="F54" s="438"/>
      <c r="G54" s="438"/>
      <c r="H54" s="438" t="s">
        <v>83</v>
      </c>
      <c r="I54" s="438"/>
      <c r="J54" s="440" t="s">
        <v>365</v>
      </c>
      <c r="K54" s="440"/>
      <c r="L54" s="440"/>
      <c r="M54" s="440" t="s">
        <v>298</v>
      </c>
      <c r="N54" s="438" t="s">
        <v>89</v>
      </c>
      <c r="O54" s="438"/>
      <c r="P54" s="438" t="s">
        <v>111</v>
      </c>
      <c r="Q54" s="438"/>
      <c r="R54" s="438"/>
      <c r="S54" s="438"/>
      <c r="T54" s="438"/>
      <c r="U54" s="438" t="s">
        <v>397</v>
      </c>
      <c r="V54" s="438"/>
      <c r="W54" s="438"/>
      <c r="X54" s="438"/>
      <c r="Y54" s="438" t="s">
        <v>108</v>
      </c>
      <c r="Z54" s="438"/>
      <c r="AA54" s="438"/>
      <c r="AB54" s="438"/>
      <c r="AC54" s="438" t="s">
        <v>107</v>
      </c>
      <c r="AD54" s="438"/>
      <c r="AE54" s="438"/>
      <c r="AF54" s="438"/>
      <c r="AG54" s="71"/>
      <c r="AO54" s="70"/>
      <c r="AP54" s="8" t="s">
        <v>109</v>
      </c>
      <c r="AQ54" s="23"/>
      <c r="AR54" s="23"/>
      <c r="AS54" s="23"/>
      <c r="AT54" s="23"/>
      <c r="AV54" s="23"/>
      <c r="AW54" s="23"/>
      <c r="AX54" s="23"/>
      <c r="AY54" s="23"/>
      <c r="AZ54" s="23"/>
      <c r="BA54" s="364" t="s">
        <v>277</v>
      </c>
      <c r="BB54" s="364"/>
      <c r="BC54" s="23"/>
      <c r="BD54" s="23"/>
      <c r="BE54" s="23"/>
      <c r="BF54" s="23"/>
      <c r="BG54" s="23"/>
      <c r="BH54" s="23"/>
      <c r="BI54" s="23"/>
      <c r="BJ54" s="23"/>
      <c r="BK54" s="23"/>
      <c r="BL54" s="23"/>
      <c r="BM54" s="23"/>
      <c r="BN54" s="23"/>
      <c r="BO54" s="23"/>
      <c r="BP54" s="23"/>
      <c r="BQ54" s="23"/>
      <c r="BR54" s="23"/>
      <c r="BS54" s="23"/>
      <c r="BT54" s="23"/>
      <c r="BU54" s="71"/>
    </row>
    <row r="55" spans="2:73">
      <c r="B55" s="70"/>
      <c r="C55" s="438"/>
      <c r="D55" s="439"/>
      <c r="E55" s="438"/>
      <c r="F55" s="438"/>
      <c r="G55" s="438"/>
      <c r="H55" s="438"/>
      <c r="I55" s="438"/>
      <c r="J55" s="440"/>
      <c r="K55" s="440"/>
      <c r="L55" s="440"/>
      <c r="M55" s="438"/>
      <c r="N55" s="438"/>
      <c r="O55" s="438"/>
      <c r="P55" s="438"/>
      <c r="Q55" s="438"/>
      <c r="R55" s="438"/>
      <c r="S55" s="438"/>
      <c r="T55" s="438"/>
      <c r="U55" s="438"/>
      <c r="V55" s="438"/>
      <c r="W55" s="438"/>
      <c r="X55" s="438"/>
      <c r="Y55" s="438"/>
      <c r="Z55" s="438"/>
      <c r="AA55" s="438"/>
      <c r="AB55" s="438"/>
      <c r="AC55" s="438"/>
      <c r="AD55" s="438"/>
      <c r="AE55" s="438"/>
      <c r="AF55" s="438"/>
      <c r="AG55" s="71"/>
      <c r="AO55" s="70"/>
      <c r="AP55" s="355" t="s">
        <v>128</v>
      </c>
      <c r="AQ55" s="365" t="s">
        <v>110</v>
      </c>
      <c r="AR55" s="360" t="s">
        <v>80</v>
      </c>
      <c r="AS55" s="361"/>
      <c r="AT55" s="366"/>
      <c r="AU55" s="360" t="s">
        <v>83</v>
      </c>
      <c r="AV55" s="361"/>
      <c r="AW55" s="366"/>
      <c r="AX55" s="368" t="s">
        <v>278</v>
      </c>
      <c r="AY55" s="369"/>
      <c r="AZ55" s="369"/>
      <c r="BA55" s="374"/>
      <c r="BB55" s="442" t="s">
        <v>298</v>
      </c>
      <c r="BC55" s="355" t="s">
        <v>89</v>
      </c>
      <c r="BD55" s="355"/>
      <c r="BE55" s="355" t="s">
        <v>111</v>
      </c>
      <c r="BF55" s="355"/>
      <c r="BG55" s="355"/>
      <c r="BH55" s="355"/>
      <c r="BI55" s="355"/>
      <c r="BJ55" s="355"/>
      <c r="BK55" s="443" t="s">
        <v>108</v>
      </c>
      <c r="BL55" s="444"/>
      <c r="BM55" s="444"/>
      <c r="BN55" s="444"/>
      <c r="BO55" s="445"/>
      <c r="BP55" s="443" t="s">
        <v>107</v>
      </c>
      <c r="BQ55" s="444"/>
      <c r="BR55" s="444"/>
      <c r="BS55" s="444"/>
      <c r="BT55" s="445"/>
      <c r="BU55" s="71"/>
    </row>
    <row r="56" spans="2:73">
      <c r="B56" s="70"/>
      <c r="C56" s="102" t="s">
        <v>140</v>
      </c>
      <c r="D56" s="137"/>
      <c r="E56" s="447" t="s">
        <v>77</v>
      </c>
      <c r="F56" s="447"/>
      <c r="G56" s="447"/>
      <c r="H56" s="450">
        <v>45118</v>
      </c>
      <c r="I56" s="450"/>
      <c r="J56" s="447" t="s">
        <v>362</v>
      </c>
      <c r="K56" s="447"/>
      <c r="L56" s="447"/>
      <c r="M56" s="187" t="s">
        <v>299</v>
      </c>
      <c r="N56" s="448" t="s">
        <v>352</v>
      </c>
      <c r="O56" s="448"/>
      <c r="P56" s="449" t="s">
        <v>90</v>
      </c>
      <c r="Q56" s="449"/>
      <c r="R56" s="449"/>
      <c r="S56" s="449"/>
      <c r="T56" s="449"/>
      <c r="U56" s="446" t="s">
        <v>398</v>
      </c>
      <c r="V56" s="446"/>
      <c r="W56" s="446"/>
      <c r="X56" s="446"/>
      <c r="Y56" s="446">
        <v>45147.822916666664</v>
      </c>
      <c r="Z56" s="446"/>
      <c r="AA56" s="446"/>
      <c r="AB56" s="446"/>
      <c r="AC56" s="446"/>
      <c r="AD56" s="446"/>
      <c r="AE56" s="446"/>
      <c r="AF56" s="446"/>
      <c r="AG56" s="71"/>
      <c r="AO56" s="70"/>
      <c r="AP56" s="355"/>
      <c r="AQ56" s="365"/>
      <c r="AR56" s="362"/>
      <c r="AS56" s="363"/>
      <c r="AT56" s="367"/>
      <c r="AU56" s="362"/>
      <c r="AV56" s="363"/>
      <c r="AW56" s="367"/>
      <c r="AX56" s="375"/>
      <c r="AY56" s="376"/>
      <c r="AZ56" s="376"/>
      <c r="BA56" s="377"/>
      <c r="BB56" s="373"/>
      <c r="BC56" s="355"/>
      <c r="BD56" s="355"/>
      <c r="BE56" s="355"/>
      <c r="BF56" s="355"/>
      <c r="BG56" s="355"/>
      <c r="BH56" s="355"/>
      <c r="BI56" s="355"/>
      <c r="BJ56" s="355"/>
      <c r="BK56" s="443"/>
      <c r="BL56" s="444"/>
      <c r="BM56" s="444"/>
      <c r="BN56" s="444"/>
      <c r="BO56" s="445"/>
      <c r="BP56" s="443"/>
      <c r="BQ56" s="444"/>
      <c r="BR56" s="444"/>
      <c r="BS56" s="444"/>
      <c r="BT56" s="445"/>
      <c r="BU56" s="71"/>
    </row>
    <row r="57" spans="2:73">
      <c r="B57" s="70"/>
      <c r="C57" s="102" t="s">
        <v>140</v>
      </c>
      <c r="D57" s="137"/>
      <c r="E57" s="447" t="s">
        <v>268</v>
      </c>
      <c r="F57" s="447"/>
      <c r="G57" s="447"/>
      <c r="H57" s="450">
        <v>45125</v>
      </c>
      <c r="I57" s="450"/>
      <c r="J57" s="447" t="s">
        <v>362</v>
      </c>
      <c r="K57" s="447"/>
      <c r="L57" s="447"/>
      <c r="M57" s="187"/>
      <c r="N57" s="448" t="s">
        <v>352</v>
      </c>
      <c r="O57" s="448"/>
      <c r="P57" s="449" t="s">
        <v>91</v>
      </c>
      <c r="Q57" s="449"/>
      <c r="R57" s="449"/>
      <c r="S57" s="449"/>
      <c r="T57" s="449"/>
      <c r="U57" s="446" t="s">
        <v>399</v>
      </c>
      <c r="V57" s="446"/>
      <c r="W57" s="446"/>
      <c r="X57" s="446"/>
      <c r="Y57" s="446">
        <v>45147.826388888891</v>
      </c>
      <c r="Z57" s="446"/>
      <c r="AA57" s="446"/>
      <c r="AB57" s="446"/>
      <c r="AC57" s="446"/>
      <c r="AD57" s="446"/>
      <c r="AE57" s="446"/>
      <c r="AF57" s="446"/>
      <c r="AG57" s="71"/>
      <c r="AO57" s="70"/>
      <c r="AP57" s="107" t="s">
        <v>140</v>
      </c>
      <c r="AQ57" s="119"/>
      <c r="AR57" s="381" t="s">
        <v>77</v>
      </c>
      <c r="AS57" s="382"/>
      <c r="AT57" s="383"/>
      <c r="AU57" s="384">
        <v>45118</v>
      </c>
      <c r="AV57" s="384"/>
      <c r="AW57" s="385"/>
      <c r="AX57" s="386" t="s">
        <v>282</v>
      </c>
      <c r="AY57" s="386"/>
      <c r="AZ57" s="386"/>
      <c r="BA57" s="386"/>
      <c r="BB57" s="130" t="s">
        <v>299</v>
      </c>
      <c r="BC57" s="451" t="s">
        <v>87</v>
      </c>
      <c r="BD57" s="451"/>
      <c r="BE57" s="452" t="s">
        <v>90</v>
      </c>
      <c r="BF57" s="452"/>
      <c r="BG57" s="452"/>
      <c r="BH57" s="452"/>
      <c r="BI57" s="452"/>
      <c r="BJ57" s="452"/>
      <c r="BK57" s="453">
        <v>45159.822916666664</v>
      </c>
      <c r="BL57" s="454"/>
      <c r="BM57" s="454"/>
      <c r="BN57" s="454"/>
      <c r="BO57" s="455"/>
      <c r="BP57" s="456"/>
      <c r="BQ57" s="457"/>
      <c r="BR57" s="457"/>
      <c r="BS57" s="457"/>
      <c r="BT57" s="458"/>
      <c r="BU57" s="71"/>
    </row>
    <row r="58" spans="2:73">
      <c r="B58" s="70"/>
      <c r="C58" s="102" t="s">
        <v>140</v>
      </c>
      <c r="D58" s="191"/>
      <c r="E58" s="459" t="s">
        <v>77</v>
      </c>
      <c r="F58" s="459"/>
      <c r="G58" s="459"/>
      <c r="H58" s="460">
        <v>45163</v>
      </c>
      <c r="I58" s="460"/>
      <c r="J58" s="459" t="s">
        <v>362</v>
      </c>
      <c r="K58" s="459"/>
      <c r="L58" s="459"/>
      <c r="M58" s="188" t="s">
        <v>299</v>
      </c>
      <c r="N58" s="461" t="s">
        <v>271</v>
      </c>
      <c r="O58" s="461"/>
      <c r="P58" s="462" t="s">
        <v>92</v>
      </c>
      <c r="Q58" s="462"/>
      <c r="R58" s="462"/>
      <c r="S58" s="462"/>
      <c r="T58" s="462"/>
      <c r="U58" s="463" t="s">
        <v>400</v>
      </c>
      <c r="V58" s="463"/>
      <c r="W58" s="463"/>
      <c r="X58" s="463"/>
      <c r="Y58" s="463">
        <v>45170.506944444445</v>
      </c>
      <c r="Z58" s="463"/>
      <c r="AA58" s="463"/>
      <c r="AB58" s="463"/>
      <c r="AC58" s="463">
        <v>45178.816666666666</v>
      </c>
      <c r="AD58" s="463"/>
      <c r="AE58" s="463"/>
      <c r="AF58" s="463"/>
      <c r="AG58" s="71"/>
      <c r="AO58" s="70"/>
      <c r="AP58" s="107" t="s">
        <v>140</v>
      </c>
      <c r="AQ58" s="119"/>
      <c r="AR58" s="381" t="s">
        <v>268</v>
      </c>
      <c r="AS58" s="382"/>
      <c r="AT58" s="383"/>
      <c r="AU58" s="384">
        <v>45125</v>
      </c>
      <c r="AV58" s="384"/>
      <c r="AW58" s="385"/>
      <c r="AX58" s="386" t="s">
        <v>281</v>
      </c>
      <c r="AY58" s="386"/>
      <c r="AZ58" s="386"/>
      <c r="BA58" s="386"/>
      <c r="BB58" s="130"/>
      <c r="BC58" s="451" t="s">
        <v>87</v>
      </c>
      <c r="BD58" s="451"/>
      <c r="BE58" s="452" t="s">
        <v>91</v>
      </c>
      <c r="BF58" s="452"/>
      <c r="BG58" s="452"/>
      <c r="BH58" s="452"/>
      <c r="BI58" s="452"/>
      <c r="BJ58" s="452"/>
      <c r="BK58" s="453">
        <v>45159.826388888891</v>
      </c>
      <c r="BL58" s="454"/>
      <c r="BM58" s="454"/>
      <c r="BN58" s="454"/>
      <c r="BO58" s="455"/>
      <c r="BP58" s="456"/>
      <c r="BQ58" s="457"/>
      <c r="BR58" s="457"/>
      <c r="BS58" s="457"/>
      <c r="BT58" s="458"/>
      <c r="BU58" s="71"/>
    </row>
    <row r="59" spans="2:73">
      <c r="B59" s="70"/>
      <c r="C59" s="102" t="s">
        <v>140</v>
      </c>
      <c r="D59" s="191"/>
      <c r="E59" s="459" t="s">
        <v>268</v>
      </c>
      <c r="F59" s="459"/>
      <c r="G59" s="459"/>
      <c r="H59" s="460">
        <v>45147</v>
      </c>
      <c r="I59" s="460"/>
      <c r="J59" s="459" t="s">
        <v>362</v>
      </c>
      <c r="K59" s="459"/>
      <c r="L59" s="459"/>
      <c r="M59" s="188"/>
      <c r="N59" s="461" t="s">
        <v>271</v>
      </c>
      <c r="O59" s="461"/>
      <c r="P59" s="462" t="s">
        <v>93</v>
      </c>
      <c r="Q59" s="462"/>
      <c r="R59" s="462"/>
      <c r="S59" s="462"/>
      <c r="T59" s="462"/>
      <c r="U59" s="463" t="s">
        <v>401</v>
      </c>
      <c r="V59" s="463"/>
      <c r="W59" s="463"/>
      <c r="X59" s="463"/>
      <c r="Y59" s="463">
        <v>45170.507638888892</v>
      </c>
      <c r="Z59" s="463"/>
      <c r="AA59" s="463"/>
      <c r="AB59" s="463"/>
      <c r="AC59" s="463">
        <v>45178.816666666666</v>
      </c>
      <c r="AD59" s="463"/>
      <c r="AE59" s="463"/>
      <c r="AF59" s="463"/>
      <c r="AG59" s="71"/>
      <c r="AO59" s="70"/>
      <c r="AP59" s="107" t="s">
        <v>140</v>
      </c>
      <c r="AQ59" s="120"/>
      <c r="AR59" s="413" t="s">
        <v>77</v>
      </c>
      <c r="AS59" s="414"/>
      <c r="AT59" s="415"/>
      <c r="AU59" s="416">
        <v>45163</v>
      </c>
      <c r="AV59" s="416"/>
      <c r="AW59" s="417"/>
      <c r="AX59" s="398" t="s">
        <v>281</v>
      </c>
      <c r="AY59" s="398"/>
      <c r="AZ59" s="398"/>
      <c r="BA59" s="398"/>
      <c r="BB59" s="131" t="s">
        <v>299</v>
      </c>
      <c r="BC59" s="468" t="s">
        <v>271</v>
      </c>
      <c r="BD59" s="468"/>
      <c r="BE59" s="464" t="s">
        <v>92</v>
      </c>
      <c r="BF59" s="464"/>
      <c r="BG59" s="464"/>
      <c r="BH59" s="464"/>
      <c r="BI59" s="464"/>
      <c r="BJ59" s="464"/>
      <c r="BK59" s="465">
        <v>45170.506944444445</v>
      </c>
      <c r="BL59" s="466"/>
      <c r="BM59" s="466"/>
      <c r="BN59" s="466"/>
      <c r="BO59" s="467"/>
      <c r="BP59" s="465">
        <v>45180.816666666666</v>
      </c>
      <c r="BQ59" s="466"/>
      <c r="BR59" s="466"/>
      <c r="BS59" s="466"/>
      <c r="BT59" s="467"/>
      <c r="BU59" s="71"/>
    </row>
    <row r="60" spans="2:73">
      <c r="B60" s="70"/>
      <c r="C60" s="102" t="s">
        <v>140</v>
      </c>
      <c r="D60" s="191"/>
      <c r="E60" s="459" t="s">
        <v>269</v>
      </c>
      <c r="F60" s="459"/>
      <c r="G60" s="459"/>
      <c r="H60" s="460">
        <v>45154</v>
      </c>
      <c r="I60" s="460"/>
      <c r="J60" s="459" t="s">
        <v>362</v>
      </c>
      <c r="K60" s="459"/>
      <c r="L60" s="459"/>
      <c r="M60" s="188" t="s">
        <v>299</v>
      </c>
      <c r="N60" s="461" t="s">
        <v>271</v>
      </c>
      <c r="O60" s="461"/>
      <c r="P60" s="462" t="s">
        <v>94</v>
      </c>
      <c r="Q60" s="462"/>
      <c r="R60" s="462"/>
      <c r="S60" s="462"/>
      <c r="T60" s="462"/>
      <c r="U60" s="463" t="s">
        <v>402</v>
      </c>
      <c r="V60" s="463"/>
      <c r="W60" s="463"/>
      <c r="X60" s="463"/>
      <c r="Y60" s="463">
        <v>45170.510416666664</v>
      </c>
      <c r="Z60" s="463"/>
      <c r="AA60" s="463"/>
      <c r="AB60" s="463"/>
      <c r="AC60" s="463">
        <v>45178.816666666666</v>
      </c>
      <c r="AD60" s="463"/>
      <c r="AE60" s="463"/>
      <c r="AF60" s="463"/>
      <c r="AG60" s="71"/>
      <c r="AO60" s="70"/>
      <c r="AP60" s="107" t="s">
        <v>140</v>
      </c>
      <c r="AQ60" s="120"/>
      <c r="AR60" s="413" t="s">
        <v>268</v>
      </c>
      <c r="AS60" s="414"/>
      <c r="AT60" s="415"/>
      <c r="AU60" s="416">
        <v>45147</v>
      </c>
      <c r="AV60" s="416"/>
      <c r="AW60" s="417"/>
      <c r="AX60" s="398" t="s">
        <v>281</v>
      </c>
      <c r="AY60" s="398"/>
      <c r="AZ60" s="398"/>
      <c r="BA60" s="398"/>
      <c r="BB60" s="131"/>
      <c r="BC60" s="468" t="s">
        <v>271</v>
      </c>
      <c r="BD60" s="468"/>
      <c r="BE60" s="464" t="s">
        <v>93</v>
      </c>
      <c r="BF60" s="464"/>
      <c r="BG60" s="464"/>
      <c r="BH60" s="464"/>
      <c r="BI60" s="464"/>
      <c r="BJ60" s="464"/>
      <c r="BK60" s="465">
        <v>45170.507638888892</v>
      </c>
      <c r="BL60" s="466"/>
      <c r="BM60" s="466"/>
      <c r="BN60" s="466"/>
      <c r="BO60" s="467"/>
      <c r="BP60" s="465">
        <v>45180.816666666666</v>
      </c>
      <c r="BQ60" s="466"/>
      <c r="BR60" s="466"/>
      <c r="BS60" s="466"/>
      <c r="BT60" s="467"/>
      <c r="BU60" s="71"/>
    </row>
    <row r="61" spans="2:73">
      <c r="B61" s="70"/>
      <c r="C61" s="103" t="s">
        <v>113</v>
      </c>
      <c r="D61" s="96"/>
      <c r="E61" s="96"/>
      <c r="F61" s="96"/>
      <c r="G61" s="96"/>
      <c r="H61" s="96"/>
      <c r="I61" s="96"/>
      <c r="J61" s="96"/>
      <c r="K61" s="96"/>
      <c r="L61" s="96"/>
      <c r="M61" s="96"/>
      <c r="N61" s="96"/>
      <c r="O61" s="96"/>
      <c r="P61" s="96"/>
      <c r="Q61" s="96"/>
      <c r="R61" s="96"/>
      <c r="S61" s="96"/>
      <c r="T61" s="96"/>
      <c r="U61" s="96"/>
      <c r="V61" s="96"/>
      <c r="W61" s="96"/>
      <c r="X61" s="96"/>
      <c r="Y61" s="96"/>
      <c r="Z61" s="96"/>
      <c r="AA61" s="96"/>
      <c r="AB61" s="98" t="s">
        <v>114</v>
      </c>
      <c r="AC61" s="98" t="s">
        <v>115</v>
      </c>
      <c r="AD61" s="98">
        <v>1</v>
      </c>
      <c r="AE61" s="98" t="s">
        <v>116</v>
      </c>
      <c r="AF61" s="99" t="s">
        <v>117</v>
      </c>
      <c r="AG61" s="71"/>
      <c r="AO61" s="70"/>
      <c r="AP61" s="107" t="s">
        <v>140</v>
      </c>
      <c r="AQ61" s="120"/>
      <c r="AR61" s="413" t="s">
        <v>269</v>
      </c>
      <c r="AS61" s="414"/>
      <c r="AT61" s="415"/>
      <c r="AU61" s="416">
        <v>45154</v>
      </c>
      <c r="AV61" s="416"/>
      <c r="AW61" s="417"/>
      <c r="AX61" s="398" t="s">
        <v>281</v>
      </c>
      <c r="AY61" s="398"/>
      <c r="AZ61" s="398"/>
      <c r="BA61" s="398"/>
      <c r="BB61" s="131" t="s">
        <v>299</v>
      </c>
      <c r="BC61" s="468" t="s">
        <v>271</v>
      </c>
      <c r="BD61" s="468"/>
      <c r="BE61" s="464" t="s">
        <v>94</v>
      </c>
      <c r="BF61" s="464"/>
      <c r="BG61" s="464"/>
      <c r="BH61" s="464"/>
      <c r="BI61" s="464"/>
      <c r="BJ61" s="464"/>
      <c r="BK61" s="465">
        <v>45170.510416666664</v>
      </c>
      <c r="BL61" s="466"/>
      <c r="BM61" s="466"/>
      <c r="BN61" s="466"/>
      <c r="BO61" s="467"/>
      <c r="BP61" s="465">
        <v>45180.816666666666</v>
      </c>
      <c r="BQ61" s="466"/>
      <c r="BR61" s="466"/>
      <c r="BS61" s="466"/>
      <c r="BT61" s="467"/>
      <c r="BU61" s="71"/>
    </row>
    <row r="62" spans="2:73">
      <c r="B62" s="70"/>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71"/>
      <c r="AO62" s="70"/>
      <c r="AP62" s="121" t="s">
        <v>113</v>
      </c>
      <c r="AQ62" s="91"/>
      <c r="AR62" s="91"/>
      <c r="AS62" s="91"/>
      <c r="AT62" s="91"/>
      <c r="AU62" s="91"/>
      <c r="AV62" s="91"/>
      <c r="AW62" s="91"/>
      <c r="AX62" s="91"/>
      <c r="AY62" s="91"/>
      <c r="AZ62" s="91"/>
      <c r="BA62" s="91"/>
      <c r="BB62" s="91"/>
      <c r="BC62" s="91"/>
      <c r="BD62" s="91"/>
      <c r="BE62" s="91"/>
      <c r="BF62" s="91"/>
      <c r="BG62" s="91"/>
      <c r="BH62" s="91"/>
      <c r="BI62" s="91"/>
      <c r="BJ62" s="91"/>
      <c r="BK62" s="136"/>
      <c r="BL62" s="136"/>
      <c r="BM62" s="136"/>
      <c r="BN62" s="136"/>
      <c r="BO62" s="136"/>
      <c r="BP62" s="128" t="s">
        <v>114</v>
      </c>
      <c r="BQ62" s="128" t="s">
        <v>115</v>
      </c>
      <c r="BR62" s="128">
        <v>1</v>
      </c>
      <c r="BS62" s="128" t="s">
        <v>116</v>
      </c>
      <c r="BT62" s="129" t="s">
        <v>117</v>
      </c>
      <c r="BU62" s="71"/>
    </row>
    <row r="63" spans="2:73" ht="6" customHeight="1">
      <c r="B63" s="85"/>
      <c r="C63" s="86"/>
      <c r="D63" s="86"/>
      <c r="E63" s="86"/>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132"/>
      <c r="AO63" s="70"/>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71"/>
    </row>
    <row r="64" spans="2:73">
      <c r="B64" s="70"/>
      <c r="C64" s="67"/>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9"/>
      <c r="AG64" s="71"/>
      <c r="AO64" s="85"/>
      <c r="AP64" s="86"/>
      <c r="AQ64" s="86"/>
      <c r="AR64" s="86"/>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132"/>
    </row>
    <row r="65" spans="1:73">
      <c r="B65" s="70"/>
      <c r="C65" s="70"/>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71"/>
      <c r="AG65" s="71"/>
      <c r="AO65" s="70"/>
      <c r="AP65" s="108"/>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10"/>
      <c r="BU65" s="71"/>
    </row>
    <row r="66" spans="1:73">
      <c r="B66" s="70"/>
      <c r="C66" s="73"/>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5"/>
      <c r="AG66" s="71"/>
      <c r="AO66" s="70"/>
      <c r="AP66" s="111"/>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112"/>
      <c r="BU66" s="71"/>
    </row>
    <row r="67" spans="1:73" ht="6" customHeight="1" thickBot="1">
      <c r="B67" s="70"/>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71"/>
      <c r="AO67" s="70"/>
      <c r="AP67" s="113"/>
      <c r="AQ67" s="114"/>
      <c r="AR67" s="114"/>
      <c r="AS67" s="114"/>
      <c r="AT67" s="114"/>
      <c r="AU67" s="114"/>
      <c r="AV67" s="114"/>
      <c r="AW67" s="114"/>
      <c r="AX67" s="114"/>
      <c r="AY67" s="114"/>
      <c r="AZ67" s="114"/>
      <c r="BA67" s="114"/>
      <c r="BB67" s="114"/>
      <c r="BC67" s="114"/>
      <c r="BD67" s="114"/>
      <c r="BE67" s="114"/>
      <c r="BF67" s="114"/>
      <c r="BG67" s="114"/>
      <c r="BH67" s="114"/>
      <c r="BI67" s="114"/>
      <c r="BJ67" s="114"/>
      <c r="BK67" s="114"/>
      <c r="BL67" s="114"/>
      <c r="BM67" s="114"/>
      <c r="BN67" s="114"/>
      <c r="BO67" s="114"/>
      <c r="BP67" s="114"/>
      <c r="BQ67" s="114"/>
      <c r="BR67" s="114"/>
      <c r="BS67" s="114"/>
      <c r="BT67" s="115"/>
      <c r="BU67" s="71"/>
    </row>
    <row r="68" spans="1:73" ht="18.75" customHeight="1" thickTop="1" thickBot="1">
      <c r="B68" s="70"/>
      <c r="C68" s="469" t="s">
        <v>110</v>
      </c>
      <c r="D68" s="469"/>
      <c r="E68" s="469"/>
      <c r="F68" s="469" t="s">
        <v>280</v>
      </c>
      <c r="G68" s="469"/>
      <c r="H68" s="469"/>
      <c r="I68" s="469" t="s">
        <v>279</v>
      </c>
      <c r="J68" s="469"/>
      <c r="K68" s="469"/>
      <c r="L68" s="23"/>
      <c r="M68" s="23"/>
      <c r="N68" s="23"/>
      <c r="O68" s="23"/>
      <c r="P68" s="23"/>
      <c r="Q68" s="23"/>
      <c r="R68" s="23"/>
      <c r="S68" s="23"/>
      <c r="T68" s="23"/>
      <c r="U68" s="23"/>
      <c r="V68" s="23"/>
      <c r="W68" s="23"/>
      <c r="X68" s="23"/>
      <c r="Y68" s="23"/>
      <c r="Z68" s="23"/>
      <c r="AA68" s="23"/>
      <c r="AB68" s="23"/>
      <c r="AC68" s="23"/>
      <c r="AD68" s="469" t="s">
        <v>296</v>
      </c>
      <c r="AE68" s="469"/>
      <c r="AF68" s="469"/>
      <c r="AG68" s="71"/>
      <c r="AO68" s="70"/>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71"/>
    </row>
    <row r="69" spans="1:73" ht="20.25" thickTop="1" thickBot="1">
      <c r="B69" s="70"/>
      <c r="C69" s="470"/>
      <c r="D69" s="470"/>
      <c r="E69" s="470"/>
      <c r="F69" s="470"/>
      <c r="G69" s="470"/>
      <c r="H69" s="470"/>
      <c r="I69" s="470"/>
      <c r="J69" s="470"/>
      <c r="K69" s="470"/>
      <c r="L69" s="23"/>
      <c r="M69" s="23"/>
      <c r="N69" s="23"/>
      <c r="O69" s="23"/>
      <c r="P69" s="23"/>
      <c r="Q69" s="23"/>
      <c r="R69" s="23"/>
      <c r="S69" s="23"/>
      <c r="T69" s="23"/>
      <c r="U69" s="23"/>
      <c r="V69" s="23"/>
      <c r="W69" s="23"/>
      <c r="X69" s="23"/>
      <c r="Y69" s="23"/>
      <c r="Z69" s="23"/>
      <c r="AA69" s="23"/>
      <c r="AB69" s="23"/>
      <c r="AC69" s="23"/>
      <c r="AD69" s="470"/>
      <c r="AE69" s="470"/>
      <c r="AF69" s="470"/>
      <c r="AG69" s="71"/>
      <c r="AO69" s="70"/>
      <c r="AP69" s="419" t="s">
        <v>110</v>
      </c>
      <c r="AQ69" s="419"/>
      <c r="AR69" s="419"/>
      <c r="AS69" s="419" t="s">
        <v>279</v>
      </c>
      <c r="AT69" s="419"/>
      <c r="AU69" s="419"/>
      <c r="AV69" s="419" t="s">
        <v>280</v>
      </c>
      <c r="AW69" s="419"/>
      <c r="AX69" s="419"/>
      <c r="AY69" s="23"/>
      <c r="AZ69" s="23"/>
      <c r="BA69" s="23"/>
      <c r="BB69" s="23"/>
      <c r="BC69" s="23"/>
      <c r="BD69" s="23"/>
      <c r="BE69" s="23"/>
      <c r="BF69" s="23"/>
      <c r="BG69" s="23"/>
      <c r="BH69" s="23"/>
      <c r="BI69" s="23"/>
      <c r="BJ69" s="23"/>
      <c r="BK69" s="23"/>
      <c r="BL69" s="23"/>
      <c r="BM69" s="23"/>
      <c r="BN69" s="23"/>
      <c r="BO69" s="23"/>
      <c r="BP69" s="23"/>
      <c r="BQ69" s="23"/>
      <c r="BR69" s="419" t="s">
        <v>296</v>
      </c>
      <c r="BS69" s="419"/>
      <c r="BT69" s="419"/>
      <c r="BU69" s="71"/>
    </row>
    <row r="70" spans="1:73" ht="20.25" thickTop="1" thickBot="1">
      <c r="B70" s="73"/>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5"/>
      <c r="AO70" s="70"/>
      <c r="AP70" s="420"/>
      <c r="AQ70" s="420"/>
      <c r="AR70" s="420"/>
      <c r="AS70" s="420"/>
      <c r="AT70" s="420"/>
      <c r="AU70" s="420"/>
      <c r="AV70" s="420"/>
      <c r="AW70" s="420"/>
      <c r="AX70" s="420"/>
      <c r="AY70" s="23"/>
      <c r="AZ70" s="23"/>
      <c r="BA70" s="23"/>
      <c r="BB70" s="23"/>
      <c r="BC70" s="23"/>
      <c r="BD70" s="23"/>
      <c r="BE70" s="23"/>
      <c r="BF70" s="23"/>
      <c r="BG70" s="23"/>
      <c r="BH70" s="23"/>
      <c r="BI70" s="23"/>
      <c r="BJ70" s="23"/>
      <c r="BK70" s="23"/>
      <c r="BL70" s="23"/>
      <c r="BM70" s="23"/>
      <c r="BN70" s="23"/>
      <c r="BO70" s="23"/>
      <c r="BP70" s="23"/>
      <c r="BQ70" s="23"/>
      <c r="BR70" s="420"/>
      <c r="BS70" s="420"/>
      <c r="BT70" s="420"/>
      <c r="BU70" s="71"/>
    </row>
    <row r="71" spans="1:73" ht="19.5" thickTop="1">
      <c r="A71" s="8" t="s">
        <v>360</v>
      </c>
      <c r="AO71" s="73"/>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5"/>
    </row>
    <row r="72" spans="1:73">
      <c r="B72" s="67"/>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9"/>
    </row>
    <row r="73" spans="1:73">
      <c r="B73" s="70"/>
      <c r="C73" s="92"/>
      <c r="D73" s="92"/>
      <c r="E73" s="92"/>
      <c r="F73" s="92"/>
      <c r="G73" s="92"/>
      <c r="H73" s="92"/>
      <c r="I73" s="92"/>
      <c r="J73" s="92"/>
      <c r="K73" s="92"/>
      <c r="L73" s="97"/>
      <c r="M73" s="97"/>
      <c r="N73" s="97"/>
      <c r="O73" s="97"/>
      <c r="P73" s="97"/>
      <c r="Q73" s="97"/>
      <c r="R73" s="97"/>
      <c r="S73" s="97"/>
      <c r="T73" s="97"/>
      <c r="U73" s="97"/>
      <c r="V73" s="97"/>
      <c r="W73" s="97"/>
      <c r="X73" s="97"/>
      <c r="Y73" s="97"/>
      <c r="Z73" s="97"/>
      <c r="AA73" s="97"/>
      <c r="AB73" s="471" t="s">
        <v>76</v>
      </c>
      <c r="AC73" s="471"/>
      <c r="AD73" s="71"/>
    </row>
    <row r="74" spans="1:73" ht="20.25" customHeight="1">
      <c r="B74" s="70"/>
      <c r="C74" s="92"/>
      <c r="D74" s="92"/>
      <c r="E74" s="92"/>
      <c r="F74" s="92"/>
      <c r="G74" s="92"/>
      <c r="H74" s="92"/>
      <c r="I74" s="92"/>
      <c r="J74" s="92"/>
      <c r="K74" s="92"/>
      <c r="L74" s="97"/>
      <c r="M74" s="97"/>
      <c r="N74" s="97"/>
      <c r="O74" s="97"/>
      <c r="P74" s="97"/>
      <c r="Q74" s="97"/>
      <c r="R74" s="97"/>
      <c r="S74" s="97"/>
      <c r="T74" s="97"/>
      <c r="U74" s="97"/>
      <c r="V74" s="97"/>
      <c r="W74" s="97"/>
      <c r="X74" s="97"/>
      <c r="Y74" s="423" t="s">
        <v>266</v>
      </c>
      <c r="Z74" s="423"/>
      <c r="AA74" s="423"/>
      <c r="AB74" s="423"/>
      <c r="AC74" s="93" t="s">
        <v>78</v>
      </c>
      <c r="AD74" s="71"/>
    </row>
    <row r="75" spans="1:73">
      <c r="B75" s="70"/>
      <c r="C75" s="79" t="s">
        <v>283</v>
      </c>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71"/>
    </row>
    <row r="76" spans="1:73" ht="6" customHeight="1" thickBot="1">
      <c r="B76" s="85"/>
      <c r="C76" s="86"/>
      <c r="D76" s="86"/>
      <c r="E76" s="86"/>
      <c r="F76" s="87"/>
      <c r="G76" s="87"/>
      <c r="H76" s="87"/>
      <c r="I76" s="87"/>
      <c r="J76" s="87"/>
      <c r="K76" s="87"/>
      <c r="L76" s="87"/>
      <c r="M76" s="87"/>
      <c r="N76" s="87"/>
      <c r="O76" s="87"/>
      <c r="P76" s="87"/>
      <c r="Q76" s="87"/>
      <c r="R76" s="87"/>
      <c r="S76" s="87"/>
      <c r="T76" s="87"/>
      <c r="U76" s="87"/>
      <c r="V76" s="87"/>
      <c r="W76" s="87"/>
      <c r="X76" s="87"/>
      <c r="Y76" s="87"/>
      <c r="Z76" s="87"/>
      <c r="AA76" s="87"/>
      <c r="AB76" s="87"/>
      <c r="AC76" s="87"/>
      <c r="AD76" s="132"/>
    </row>
    <row r="77" spans="1:73" ht="19.5" thickBot="1">
      <c r="B77" s="70"/>
      <c r="C77" s="94" t="s">
        <v>79</v>
      </c>
      <c r="D77" s="133"/>
      <c r="E77" s="133"/>
      <c r="F77" s="425" t="s">
        <v>286</v>
      </c>
      <c r="G77" s="426"/>
      <c r="H77" s="427"/>
      <c r="I77" s="134" t="s">
        <v>86</v>
      </c>
      <c r="J77" s="428">
        <v>45192</v>
      </c>
      <c r="K77" s="429"/>
      <c r="L77" s="429"/>
      <c r="M77" s="430"/>
      <c r="N77" s="134" t="s">
        <v>86</v>
      </c>
      <c r="O77" s="23"/>
      <c r="P77" s="23"/>
      <c r="Q77" s="23"/>
      <c r="R77" s="23"/>
      <c r="S77" s="23"/>
      <c r="T77" s="23"/>
      <c r="U77" s="23"/>
      <c r="V77" s="23"/>
      <c r="W77" s="23"/>
      <c r="X77" s="23"/>
      <c r="Y77" s="23"/>
      <c r="Z77" s="23"/>
      <c r="AA77" s="23"/>
      <c r="AB77" s="23"/>
      <c r="AC77" s="23"/>
      <c r="AD77" s="71"/>
    </row>
    <row r="78" spans="1:73" ht="19.5" thickBot="1">
      <c r="B78" s="70"/>
      <c r="C78" s="94" t="s">
        <v>89</v>
      </c>
      <c r="D78" s="133"/>
      <c r="E78" s="95"/>
      <c r="F78" s="437" t="s">
        <v>272</v>
      </c>
      <c r="G78" s="437"/>
      <c r="H78" s="437"/>
      <c r="I78" s="437"/>
      <c r="J78" s="437"/>
      <c r="K78" s="437"/>
      <c r="L78" s="437"/>
      <c r="M78" s="437"/>
      <c r="N78" s="134" t="s">
        <v>86</v>
      </c>
      <c r="O78" s="23"/>
      <c r="P78" s="23"/>
      <c r="Q78" s="23"/>
      <c r="R78" s="23"/>
      <c r="S78" s="23"/>
      <c r="T78" s="23"/>
      <c r="U78" s="23"/>
      <c r="V78" s="23"/>
      <c r="W78" s="23"/>
      <c r="X78" s="23"/>
      <c r="Y78" s="23"/>
      <c r="Z78" s="23"/>
      <c r="AA78" s="23"/>
      <c r="AB78" s="23"/>
      <c r="AC78" s="23"/>
      <c r="AD78" s="71"/>
    </row>
    <row r="79" spans="1:73" ht="19.5" thickBot="1">
      <c r="B79" s="70"/>
      <c r="C79" s="94" t="s">
        <v>101</v>
      </c>
      <c r="D79" s="133"/>
      <c r="E79" s="95"/>
      <c r="F79" s="437" t="s">
        <v>104</v>
      </c>
      <c r="G79" s="437"/>
      <c r="H79" s="437"/>
      <c r="I79" s="437"/>
      <c r="J79" s="437"/>
      <c r="K79" s="437"/>
      <c r="L79" s="437"/>
      <c r="M79" s="437"/>
      <c r="N79" s="134" t="s">
        <v>86</v>
      </c>
      <c r="O79" s="23"/>
      <c r="P79" s="23"/>
      <c r="Q79" s="23"/>
      <c r="R79" s="23"/>
      <c r="S79" s="23"/>
      <c r="T79" s="23"/>
      <c r="U79" s="23"/>
      <c r="V79" s="23"/>
      <c r="W79" s="23"/>
      <c r="X79" s="23"/>
      <c r="Y79" s="23"/>
      <c r="Z79" s="23"/>
      <c r="AA79" s="23"/>
      <c r="AB79" s="23"/>
      <c r="AC79" s="23"/>
      <c r="AD79" s="71"/>
    </row>
    <row r="80" spans="1:73" ht="19.5" thickBot="1">
      <c r="B80" s="70"/>
      <c r="C80" s="94" t="s">
        <v>102</v>
      </c>
      <c r="D80" s="133"/>
      <c r="E80" s="95"/>
      <c r="F80" s="437" t="s">
        <v>367</v>
      </c>
      <c r="G80" s="437"/>
      <c r="H80" s="437"/>
      <c r="I80" s="437"/>
      <c r="J80" s="437"/>
      <c r="K80" s="437"/>
      <c r="L80" s="437"/>
      <c r="M80" s="437"/>
      <c r="N80" s="134" t="s">
        <v>86</v>
      </c>
      <c r="O80" s="23"/>
      <c r="P80" s="23"/>
      <c r="Q80" s="23"/>
      <c r="R80" s="23"/>
      <c r="S80" s="23"/>
      <c r="T80" s="23"/>
      <c r="U80" s="23"/>
      <c r="V80" s="23"/>
      <c r="W80" s="23"/>
      <c r="X80" s="23"/>
      <c r="Y80" s="23"/>
      <c r="Z80" s="23"/>
      <c r="AA80" s="23"/>
      <c r="AB80" s="23"/>
      <c r="AC80" s="23"/>
      <c r="AD80" s="71"/>
    </row>
    <row r="81" spans="2:30" ht="19.5" thickBot="1">
      <c r="B81" s="70"/>
      <c r="C81" s="94" t="s">
        <v>95</v>
      </c>
      <c r="D81" s="133"/>
      <c r="E81" s="95"/>
      <c r="F81" s="431"/>
      <c r="G81" s="432"/>
      <c r="H81" s="433"/>
      <c r="I81" s="431"/>
      <c r="J81" s="432"/>
      <c r="K81" s="432"/>
      <c r="L81" s="432"/>
      <c r="M81" s="433"/>
      <c r="N81" s="100"/>
      <c r="O81" s="81"/>
      <c r="P81" s="23"/>
      <c r="Q81" s="23"/>
      <c r="R81" s="23"/>
      <c r="S81" s="23"/>
      <c r="T81" s="23"/>
      <c r="U81" s="23"/>
      <c r="V81" s="23"/>
      <c r="W81" s="23"/>
      <c r="X81" s="23"/>
      <c r="Y81" s="23"/>
      <c r="Z81" s="23"/>
      <c r="AA81" s="23"/>
      <c r="AB81" s="23"/>
      <c r="AC81" s="23"/>
      <c r="AD81" s="71"/>
    </row>
    <row r="82" spans="2:30" ht="19.5" thickBot="1">
      <c r="B82" s="70"/>
      <c r="C82" s="94" t="s">
        <v>83</v>
      </c>
      <c r="D82" s="133"/>
      <c r="E82" s="95"/>
      <c r="F82" s="436">
        <v>45192</v>
      </c>
      <c r="G82" s="436"/>
      <c r="H82" s="436"/>
      <c r="I82" s="100"/>
      <c r="J82" s="101" t="s">
        <v>106</v>
      </c>
      <c r="K82" s="436">
        <v>45192</v>
      </c>
      <c r="L82" s="436"/>
      <c r="M82" s="436"/>
      <c r="N82" s="100"/>
      <c r="O82" s="23"/>
      <c r="P82" s="23"/>
      <c r="Q82" s="23"/>
      <c r="R82" s="23"/>
      <c r="S82" s="23"/>
      <c r="T82" s="23"/>
      <c r="U82" s="23"/>
      <c r="V82" s="23"/>
      <c r="W82" s="23"/>
      <c r="X82" s="23"/>
      <c r="Y82" s="23"/>
      <c r="Z82" s="23"/>
      <c r="AA82" s="23"/>
      <c r="AB82" s="23"/>
      <c r="AC82" s="23"/>
      <c r="AD82" s="71"/>
    </row>
    <row r="83" spans="2:30" ht="19.5" thickBot="1">
      <c r="B83" s="70"/>
      <c r="C83" s="94" t="s">
        <v>297</v>
      </c>
      <c r="D83" s="133"/>
      <c r="E83" s="95"/>
      <c r="F83" s="424" t="s">
        <v>299</v>
      </c>
      <c r="G83" s="424"/>
      <c r="H83" s="424"/>
      <c r="I83" s="424"/>
      <c r="J83" s="424"/>
      <c r="K83" s="424"/>
      <c r="L83" s="424"/>
      <c r="M83" s="424"/>
      <c r="N83" s="134" t="s">
        <v>86</v>
      </c>
      <c r="O83" s="23"/>
      <c r="P83" s="23"/>
      <c r="Q83" s="23"/>
      <c r="R83" s="23"/>
      <c r="S83" s="23"/>
      <c r="T83" s="23"/>
      <c r="U83" s="23"/>
      <c r="V83" s="23"/>
      <c r="W83" s="23"/>
      <c r="X83" s="23"/>
      <c r="Y83" s="23"/>
      <c r="Z83" s="23"/>
      <c r="AA83" s="23"/>
      <c r="AB83" s="23"/>
      <c r="AC83" s="23"/>
      <c r="AD83" s="71"/>
    </row>
    <row r="84" spans="2:30">
      <c r="B84" s="70"/>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71"/>
    </row>
    <row r="85" spans="2:30">
      <c r="B85" s="70"/>
      <c r="C85" s="352" t="s">
        <v>88</v>
      </c>
      <c r="D85" s="352"/>
      <c r="E85" s="23"/>
      <c r="F85" s="23"/>
      <c r="G85" s="23"/>
      <c r="I85" s="23"/>
      <c r="J85" s="23"/>
      <c r="K85" s="23"/>
      <c r="L85" s="23"/>
      <c r="M85" s="23"/>
      <c r="N85" s="23"/>
      <c r="O85" s="23"/>
      <c r="P85" s="23"/>
      <c r="Q85" s="23"/>
      <c r="R85" s="23"/>
      <c r="S85" s="23"/>
      <c r="T85" s="23"/>
      <c r="U85" s="23"/>
      <c r="V85" s="23"/>
      <c r="W85" s="23"/>
      <c r="X85" s="23"/>
      <c r="Y85" s="23"/>
      <c r="Z85" s="23"/>
      <c r="AA85" s="23"/>
      <c r="AB85" s="23"/>
      <c r="AC85" s="23"/>
      <c r="AD85" s="71"/>
    </row>
    <row r="86" spans="2:30">
      <c r="B86" s="70"/>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71"/>
    </row>
    <row r="87" spans="2:30">
      <c r="B87" s="70"/>
      <c r="C87" s="8" t="s">
        <v>109</v>
      </c>
      <c r="D87" s="23"/>
      <c r="E87" s="23"/>
      <c r="F87" s="23"/>
      <c r="G87" s="23"/>
      <c r="I87" s="23"/>
      <c r="J87" s="23"/>
      <c r="K87" s="23"/>
      <c r="L87" s="23"/>
      <c r="M87" s="23"/>
      <c r="N87" s="441"/>
      <c r="O87" s="441"/>
      <c r="P87" s="23"/>
      <c r="Q87" s="23"/>
      <c r="R87" s="23"/>
      <c r="S87" s="23"/>
      <c r="T87" s="23"/>
      <c r="U87" s="23"/>
      <c r="V87" s="23"/>
      <c r="W87" s="23"/>
      <c r="X87" s="23"/>
      <c r="Y87" s="23"/>
      <c r="Z87" s="23"/>
      <c r="AA87" s="23"/>
      <c r="AB87" s="23"/>
      <c r="AC87" s="23"/>
      <c r="AD87" s="71"/>
    </row>
    <row r="88" spans="2:30" ht="18.75" customHeight="1">
      <c r="B88" s="70"/>
      <c r="C88" s="438" t="s">
        <v>128</v>
      </c>
      <c r="D88" s="438" t="s">
        <v>102</v>
      </c>
      <c r="E88" s="438"/>
      <c r="F88" s="438"/>
      <c r="G88" s="438" t="s">
        <v>80</v>
      </c>
      <c r="H88" s="438"/>
      <c r="I88" s="438"/>
      <c r="J88" s="472" t="s">
        <v>83</v>
      </c>
      <c r="K88" s="473"/>
      <c r="L88" s="476" t="s">
        <v>365</v>
      </c>
      <c r="M88" s="477"/>
      <c r="N88" s="478"/>
      <c r="O88" s="440" t="s">
        <v>298</v>
      </c>
      <c r="P88" s="438" t="s">
        <v>89</v>
      </c>
      <c r="Q88" s="438"/>
      <c r="R88" s="472" t="s">
        <v>111</v>
      </c>
      <c r="S88" s="482"/>
      <c r="T88" s="482"/>
      <c r="U88" s="482"/>
      <c r="V88" s="473"/>
      <c r="W88" s="472" t="s">
        <v>107</v>
      </c>
      <c r="X88" s="482"/>
      <c r="Y88" s="482"/>
      <c r="Z88" s="473"/>
      <c r="AA88" s="438" t="s">
        <v>96</v>
      </c>
      <c r="AB88" s="438"/>
      <c r="AC88" s="438"/>
      <c r="AD88" s="71"/>
    </row>
    <row r="89" spans="2:30">
      <c r="B89" s="70"/>
      <c r="C89" s="438"/>
      <c r="D89" s="438"/>
      <c r="E89" s="438"/>
      <c r="F89" s="438"/>
      <c r="G89" s="438"/>
      <c r="H89" s="438"/>
      <c r="I89" s="438"/>
      <c r="J89" s="474"/>
      <c r="K89" s="475"/>
      <c r="L89" s="479"/>
      <c r="M89" s="480"/>
      <c r="N89" s="481"/>
      <c r="O89" s="438"/>
      <c r="P89" s="438"/>
      <c r="Q89" s="438"/>
      <c r="R89" s="474"/>
      <c r="S89" s="483"/>
      <c r="T89" s="483"/>
      <c r="U89" s="483"/>
      <c r="V89" s="475"/>
      <c r="W89" s="474"/>
      <c r="X89" s="483"/>
      <c r="Y89" s="483"/>
      <c r="Z89" s="475"/>
      <c r="AA89" s="438"/>
      <c r="AB89" s="438"/>
      <c r="AC89" s="438"/>
      <c r="AD89" s="71"/>
    </row>
    <row r="90" spans="2:30">
      <c r="B90" s="70"/>
      <c r="C90" s="102" t="s">
        <v>140</v>
      </c>
      <c r="D90" s="447" t="s">
        <v>366</v>
      </c>
      <c r="E90" s="447"/>
      <c r="F90" s="447"/>
      <c r="G90" s="447" t="s">
        <v>77</v>
      </c>
      <c r="H90" s="447"/>
      <c r="I90" s="447"/>
      <c r="J90" s="484">
        <v>45118</v>
      </c>
      <c r="K90" s="485"/>
      <c r="L90" s="392" t="s">
        <v>361</v>
      </c>
      <c r="M90" s="393"/>
      <c r="N90" s="394"/>
      <c r="O90" s="187" t="s">
        <v>299</v>
      </c>
      <c r="P90" s="448" t="s">
        <v>226</v>
      </c>
      <c r="Q90" s="448"/>
      <c r="R90" s="486" t="s">
        <v>90</v>
      </c>
      <c r="S90" s="487"/>
      <c r="T90" s="487"/>
      <c r="U90" s="487"/>
      <c r="V90" s="488"/>
      <c r="W90" s="489"/>
      <c r="X90" s="490"/>
      <c r="Y90" s="490"/>
      <c r="Z90" s="491"/>
      <c r="AA90" s="447" t="s">
        <v>284</v>
      </c>
      <c r="AB90" s="447"/>
      <c r="AC90" s="447"/>
      <c r="AD90" s="71"/>
    </row>
    <row r="91" spans="2:30">
      <c r="B91" s="70"/>
      <c r="C91" s="102" t="s">
        <v>140</v>
      </c>
      <c r="D91" s="447" t="s">
        <v>366</v>
      </c>
      <c r="E91" s="447"/>
      <c r="F91" s="447"/>
      <c r="G91" s="447" t="s">
        <v>268</v>
      </c>
      <c r="H91" s="447"/>
      <c r="I91" s="447"/>
      <c r="J91" s="484">
        <v>45125</v>
      </c>
      <c r="K91" s="485"/>
      <c r="L91" s="392" t="s">
        <v>361</v>
      </c>
      <c r="M91" s="393"/>
      <c r="N91" s="394"/>
      <c r="O91" s="187"/>
      <c r="P91" s="448" t="s">
        <v>226</v>
      </c>
      <c r="Q91" s="448"/>
      <c r="R91" s="486" t="s">
        <v>91</v>
      </c>
      <c r="S91" s="487"/>
      <c r="T91" s="487"/>
      <c r="U91" s="487"/>
      <c r="V91" s="488"/>
      <c r="W91" s="489"/>
      <c r="X91" s="490"/>
      <c r="Y91" s="490"/>
      <c r="Z91" s="491"/>
      <c r="AA91" s="447" t="s">
        <v>285</v>
      </c>
      <c r="AB91" s="447"/>
      <c r="AC91" s="447"/>
      <c r="AD91" s="71"/>
    </row>
    <row r="92" spans="2:30">
      <c r="B92" s="70"/>
      <c r="C92" s="102" t="s">
        <v>140</v>
      </c>
      <c r="D92" s="459" t="s">
        <v>366</v>
      </c>
      <c r="E92" s="459"/>
      <c r="F92" s="459"/>
      <c r="G92" s="459" t="s">
        <v>77</v>
      </c>
      <c r="H92" s="459"/>
      <c r="I92" s="459"/>
      <c r="J92" s="495">
        <v>45163</v>
      </c>
      <c r="K92" s="496"/>
      <c r="L92" s="404" t="s">
        <v>361</v>
      </c>
      <c r="M92" s="405"/>
      <c r="N92" s="406"/>
      <c r="O92" s="188" t="s">
        <v>299</v>
      </c>
      <c r="P92" s="461" t="s">
        <v>271</v>
      </c>
      <c r="Q92" s="461"/>
      <c r="R92" s="404" t="s">
        <v>92</v>
      </c>
      <c r="S92" s="405"/>
      <c r="T92" s="405"/>
      <c r="U92" s="405"/>
      <c r="V92" s="406"/>
      <c r="W92" s="492">
        <v>45178.816666666666</v>
      </c>
      <c r="X92" s="493"/>
      <c r="Y92" s="493"/>
      <c r="Z92" s="494"/>
      <c r="AA92" s="459"/>
      <c r="AB92" s="459"/>
      <c r="AC92" s="459"/>
      <c r="AD92" s="71"/>
    </row>
    <row r="93" spans="2:30">
      <c r="B93" s="70"/>
      <c r="C93" s="102" t="s">
        <v>140</v>
      </c>
      <c r="D93" s="459" t="s">
        <v>366</v>
      </c>
      <c r="E93" s="459"/>
      <c r="F93" s="459"/>
      <c r="G93" s="459" t="s">
        <v>268</v>
      </c>
      <c r="H93" s="459"/>
      <c r="I93" s="459"/>
      <c r="J93" s="495">
        <v>45147</v>
      </c>
      <c r="K93" s="496"/>
      <c r="L93" s="404" t="s">
        <v>361</v>
      </c>
      <c r="M93" s="405"/>
      <c r="N93" s="406"/>
      <c r="O93" s="188"/>
      <c r="P93" s="461" t="s">
        <v>271</v>
      </c>
      <c r="Q93" s="461"/>
      <c r="R93" s="404" t="s">
        <v>93</v>
      </c>
      <c r="S93" s="405"/>
      <c r="T93" s="405"/>
      <c r="U93" s="405"/>
      <c r="V93" s="406"/>
      <c r="W93" s="492">
        <v>45178.816666666666</v>
      </c>
      <c r="X93" s="493"/>
      <c r="Y93" s="493"/>
      <c r="Z93" s="494"/>
      <c r="AA93" s="459"/>
      <c r="AB93" s="459"/>
      <c r="AC93" s="459"/>
      <c r="AD93" s="71"/>
    </row>
    <row r="94" spans="2:30">
      <c r="B94" s="70"/>
      <c r="C94" s="102" t="s">
        <v>140</v>
      </c>
      <c r="D94" s="459" t="s">
        <v>366</v>
      </c>
      <c r="E94" s="459"/>
      <c r="F94" s="459"/>
      <c r="G94" s="459" t="s">
        <v>269</v>
      </c>
      <c r="H94" s="459"/>
      <c r="I94" s="459"/>
      <c r="J94" s="495">
        <v>45154</v>
      </c>
      <c r="K94" s="496"/>
      <c r="L94" s="404" t="s">
        <v>361</v>
      </c>
      <c r="M94" s="405"/>
      <c r="N94" s="406"/>
      <c r="O94" s="188" t="s">
        <v>299</v>
      </c>
      <c r="P94" s="461" t="s">
        <v>271</v>
      </c>
      <c r="Q94" s="461"/>
      <c r="R94" s="404" t="s">
        <v>94</v>
      </c>
      <c r="S94" s="405"/>
      <c r="T94" s="405"/>
      <c r="U94" s="405"/>
      <c r="V94" s="406"/>
      <c r="W94" s="492">
        <v>45178.816666666666</v>
      </c>
      <c r="X94" s="493"/>
      <c r="Y94" s="493"/>
      <c r="Z94" s="494"/>
      <c r="AA94" s="459"/>
      <c r="AB94" s="459"/>
      <c r="AC94" s="459"/>
      <c r="AD94" s="71"/>
    </row>
    <row r="95" spans="2:30">
      <c r="B95" s="70"/>
      <c r="C95" s="103" t="s">
        <v>113</v>
      </c>
      <c r="D95" s="96"/>
      <c r="E95" s="96"/>
      <c r="F95" s="96"/>
      <c r="G95" s="96"/>
      <c r="H95" s="96"/>
      <c r="I95" s="96"/>
      <c r="J95" s="96"/>
      <c r="K95" s="96"/>
      <c r="L95" s="96"/>
      <c r="M95" s="96"/>
      <c r="N95" s="96"/>
      <c r="O95" s="96"/>
      <c r="P95" s="96"/>
      <c r="Q95" s="96"/>
      <c r="R95" s="96"/>
      <c r="S95" s="96"/>
      <c r="T95" s="96"/>
      <c r="U95" s="96"/>
      <c r="V95" s="96"/>
      <c r="W95" s="96"/>
      <c r="X95" s="96"/>
      <c r="Y95" s="98" t="s">
        <v>114</v>
      </c>
      <c r="Z95" s="98" t="s">
        <v>115</v>
      </c>
      <c r="AA95" s="98">
        <v>1</v>
      </c>
      <c r="AB95" s="98" t="s">
        <v>116</v>
      </c>
      <c r="AC95" s="99" t="s">
        <v>117</v>
      </c>
      <c r="AD95" s="72"/>
    </row>
    <row r="96" spans="2:30">
      <c r="B96" s="70"/>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71"/>
    </row>
    <row r="97" spans="1:46" ht="6" customHeight="1">
      <c r="B97" s="85"/>
      <c r="C97" s="86"/>
      <c r="D97" s="86"/>
      <c r="E97" s="86"/>
      <c r="F97" s="87"/>
      <c r="G97" s="87"/>
      <c r="H97" s="87"/>
      <c r="I97" s="87"/>
      <c r="J97" s="87"/>
      <c r="K97" s="87"/>
      <c r="L97" s="87"/>
      <c r="M97" s="87"/>
      <c r="N97" s="87"/>
      <c r="O97" s="87"/>
      <c r="P97" s="87"/>
      <c r="Q97" s="87"/>
      <c r="R97" s="87"/>
      <c r="S97" s="87"/>
      <c r="T97" s="87"/>
      <c r="U97" s="87"/>
      <c r="V97" s="87"/>
      <c r="W97" s="87"/>
      <c r="X97" s="87"/>
      <c r="Y97" s="87"/>
      <c r="Z97" s="87"/>
      <c r="AA97" s="87"/>
      <c r="AB97" s="87"/>
      <c r="AC97" s="87"/>
      <c r="AD97" s="132"/>
    </row>
    <row r="98" spans="1:46">
      <c r="B98" s="70"/>
      <c r="C98" s="67"/>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9"/>
      <c r="AD98" s="71"/>
    </row>
    <row r="99" spans="1:46">
      <c r="B99" s="70"/>
      <c r="C99" s="70"/>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71"/>
      <c r="AD99" s="71"/>
    </row>
    <row r="100" spans="1:46">
      <c r="B100" s="70"/>
      <c r="C100" s="73"/>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5"/>
      <c r="AD100" s="71"/>
    </row>
    <row r="101" spans="1:46" ht="6" customHeight="1" thickBot="1">
      <c r="B101" s="70"/>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71"/>
    </row>
    <row r="102" spans="1:46" ht="18.75" customHeight="1" thickTop="1">
      <c r="B102" s="70"/>
      <c r="C102" s="469" t="s">
        <v>280</v>
      </c>
      <c r="D102" s="469"/>
      <c r="E102" s="469"/>
      <c r="F102" s="23"/>
      <c r="G102" s="23"/>
      <c r="H102" s="23"/>
      <c r="I102" s="23"/>
      <c r="J102" s="23"/>
      <c r="K102" s="23"/>
      <c r="L102" s="23"/>
      <c r="M102" s="23"/>
      <c r="N102" s="23"/>
      <c r="O102" s="23"/>
      <c r="P102" s="23"/>
      <c r="Q102" s="23"/>
      <c r="R102" s="23"/>
      <c r="S102" s="23"/>
      <c r="T102" s="23"/>
      <c r="U102" s="23"/>
      <c r="V102" s="23"/>
      <c r="W102" s="23"/>
      <c r="X102" s="23"/>
      <c r="Y102" s="23"/>
      <c r="Z102" s="23"/>
      <c r="AA102" s="469" t="s">
        <v>296</v>
      </c>
      <c r="AB102" s="469"/>
      <c r="AC102" s="469"/>
      <c r="AD102" s="71"/>
    </row>
    <row r="103" spans="1:46" ht="19.5" customHeight="1" thickBot="1">
      <c r="B103" s="70"/>
      <c r="C103" s="470"/>
      <c r="D103" s="470"/>
      <c r="E103" s="470"/>
      <c r="F103" s="23"/>
      <c r="G103" s="23"/>
      <c r="H103" s="23"/>
      <c r="I103" s="23"/>
      <c r="J103" s="23"/>
      <c r="K103" s="23"/>
      <c r="L103" s="23"/>
      <c r="M103" s="23"/>
      <c r="N103" s="23"/>
      <c r="O103" s="23"/>
      <c r="P103" s="23"/>
      <c r="Q103" s="23"/>
      <c r="R103" s="23"/>
      <c r="S103" s="23"/>
      <c r="T103" s="23"/>
      <c r="U103" s="23"/>
      <c r="V103" s="23"/>
      <c r="W103" s="23"/>
      <c r="X103" s="23"/>
      <c r="Y103" s="23"/>
      <c r="Z103" s="23"/>
      <c r="AA103" s="470"/>
      <c r="AB103" s="470"/>
      <c r="AC103" s="470"/>
      <c r="AD103" s="71"/>
    </row>
    <row r="104" spans="1:46" ht="19.5" thickTop="1">
      <c r="B104" s="73"/>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5"/>
    </row>
    <row r="106" spans="1:46">
      <c r="A106" s="8" t="s">
        <v>304</v>
      </c>
    </row>
    <row r="107" spans="1:46">
      <c r="B107" s="67"/>
      <c r="C107" s="68"/>
      <c r="D107" s="68"/>
      <c r="E107" s="68"/>
      <c r="F107" s="68"/>
      <c r="G107" s="68"/>
      <c r="H107" s="68"/>
      <c r="I107" s="68"/>
      <c r="J107" s="68"/>
      <c r="K107" s="68"/>
      <c r="L107" s="68"/>
      <c r="M107" s="68"/>
      <c r="N107" s="68"/>
      <c r="O107" s="68"/>
      <c r="P107" s="68"/>
      <c r="Q107" s="68"/>
      <c r="R107" s="68"/>
      <c r="S107" s="68"/>
      <c r="T107" s="68"/>
      <c r="U107" s="68"/>
      <c r="V107" s="68"/>
      <c r="W107" s="69"/>
      <c r="Y107" s="67"/>
      <c r="Z107" s="68"/>
      <c r="AA107" s="68"/>
      <c r="AB107" s="68"/>
      <c r="AC107" s="68"/>
      <c r="AD107" s="68"/>
      <c r="AE107" s="68"/>
      <c r="AF107" s="68"/>
      <c r="AG107" s="68"/>
      <c r="AH107" s="68"/>
      <c r="AI107" s="68"/>
      <c r="AJ107" s="68"/>
      <c r="AK107" s="68"/>
      <c r="AL107" s="68"/>
      <c r="AM107" s="68"/>
      <c r="AN107" s="68"/>
      <c r="AO107" s="68"/>
      <c r="AP107" s="68"/>
      <c r="AQ107" s="68"/>
      <c r="AR107" s="68"/>
      <c r="AS107" s="68"/>
      <c r="AT107" s="69"/>
    </row>
    <row r="108" spans="1:46">
      <c r="B108" s="70"/>
      <c r="C108" s="80"/>
      <c r="D108" s="80"/>
      <c r="E108" s="80"/>
      <c r="F108" s="80"/>
      <c r="G108" s="80"/>
      <c r="H108" s="80"/>
      <c r="I108" s="80"/>
      <c r="J108" s="80"/>
      <c r="K108" s="80"/>
      <c r="L108" s="80"/>
      <c r="M108" s="80"/>
      <c r="N108" s="80"/>
      <c r="O108" s="80"/>
      <c r="P108" s="80"/>
      <c r="Q108" s="80"/>
      <c r="R108" s="80"/>
      <c r="S108" s="80"/>
      <c r="T108" s="80"/>
      <c r="U108" s="335" t="s">
        <v>76</v>
      </c>
      <c r="V108" s="336"/>
      <c r="W108" s="71"/>
      <c r="Y108" s="70"/>
      <c r="Z108" s="80"/>
      <c r="AA108" s="80"/>
      <c r="AB108" s="80"/>
      <c r="AC108" s="80"/>
      <c r="AD108" s="80"/>
      <c r="AE108" s="80"/>
      <c r="AF108" s="80"/>
      <c r="AG108" s="80"/>
      <c r="AH108" s="80"/>
      <c r="AI108" s="80"/>
      <c r="AJ108" s="80"/>
      <c r="AK108" s="80"/>
      <c r="AL108" s="80"/>
      <c r="AM108" s="80"/>
      <c r="AN108" s="80"/>
      <c r="AO108" s="80"/>
      <c r="AP108" s="80"/>
      <c r="AQ108" s="80"/>
      <c r="AR108" s="335" t="s">
        <v>76</v>
      </c>
      <c r="AS108" s="336"/>
      <c r="AT108" s="71"/>
    </row>
    <row r="109" spans="1:46">
      <c r="B109" s="70"/>
      <c r="C109" s="80"/>
      <c r="D109" s="80"/>
      <c r="E109" s="80"/>
      <c r="F109" s="80"/>
      <c r="G109" s="80"/>
      <c r="H109" s="80"/>
      <c r="I109" s="80"/>
      <c r="J109" s="80"/>
      <c r="K109" s="80"/>
      <c r="L109" s="80"/>
      <c r="M109" s="80"/>
      <c r="N109" s="80"/>
      <c r="O109" s="80"/>
      <c r="P109" s="80"/>
      <c r="Q109" s="80"/>
      <c r="R109" s="337" t="s">
        <v>265</v>
      </c>
      <c r="S109" s="337"/>
      <c r="T109" s="337"/>
      <c r="U109" s="337"/>
      <c r="V109" s="89" t="s">
        <v>78</v>
      </c>
      <c r="W109" s="71"/>
      <c r="Y109" s="70"/>
      <c r="Z109" s="80"/>
      <c r="AA109" s="80"/>
      <c r="AB109" s="80"/>
      <c r="AC109" s="80"/>
      <c r="AD109" s="80"/>
      <c r="AE109" s="80"/>
      <c r="AF109" s="80"/>
      <c r="AG109" s="80"/>
      <c r="AH109" s="80"/>
      <c r="AI109" s="80"/>
      <c r="AJ109" s="80"/>
      <c r="AK109" s="80"/>
      <c r="AL109" s="80"/>
      <c r="AM109" s="80"/>
      <c r="AN109" s="80"/>
      <c r="AO109" s="337" t="s">
        <v>265</v>
      </c>
      <c r="AP109" s="337"/>
      <c r="AQ109" s="337"/>
      <c r="AR109" s="337"/>
      <c r="AS109" s="89" t="s">
        <v>78</v>
      </c>
      <c r="AT109" s="71"/>
    </row>
    <row r="110" spans="1:46">
      <c r="B110" s="70"/>
      <c r="C110" s="79" t="s">
        <v>305</v>
      </c>
      <c r="D110" s="23"/>
      <c r="E110" s="23"/>
      <c r="F110" s="23"/>
      <c r="G110" s="23"/>
      <c r="H110" s="23"/>
      <c r="I110" s="23"/>
      <c r="J110" s="23"/>
      <c r="K110" s="23"/>
      <c r="L110" s="23"/>
      <c r="M110" s="23"/>
      <c r="N110" s="23"/>
      <c r="O110" s="23"/>
      <c r="P110" s="23"/>
      <c r="Q110" s="23"/>
      <c r="R110" s="23"/>
      <c r="S110" s="23"/>
      <c r="T110" s="23"/>
      <c r="U110" s="23"/>
      <c r="V110" s="23"/>
      <c r="W110" s="71"/>
      <c r="Y110" s="70"/>
      <c r="Z110" s="79" t="s">
        <v>305</v>
      </c>
      <c r="AA110" s="23"/>
      <c r="AB110" s="23"/>
      <c r="AC110" s="23"/>
      <c r="AD110" s="23"/>
      <c r="AE110" s="23"/>
      <c r="AF110" s="23"/>
      <c r="AG110" s="23"/>
      <c r="AH110" s="23"/>
      <c r="AI110" s="23"/>
      <c r="AJ110" s="23"/>
      <c r="AK110" s="23"/>
      <c r="AL110" s="23"/>
      <c r="AM110" s="23"/>
      <c r="AN110" s="23"/>
      <c r="AO110" s="23"/>
      <c r="AP110" s="23"/>
      <c r="AQ110" s="23"/>
      <c r="AR110" s="23"/>
      <c r="AS110" s="23"/>
      <c r="AT110" s="71"/>
    </row>
    <row r="111" spans="1:46" ht="6" customHeight="1" thickBot="1">
      <c r="B111" s="85"/>
      <c r="C111" s="86"/>
      <c r="D111" s="86"/>
      <c r="E111" s="86"/>
      <c r="F111" s="87"/>
      <c r="G111" s="87"/>
      <c r="H111" s="87"/>
      <c r="I111" s="87"/>
      <c r="J111" s="87"/>
      <c r="K111" s="87"/>
      <c r="L111" s="87"/>
      <c r="M111" s="87"/>
      <c r="N111" s="87"/>
      <c r="O111" s="87"/>
      <c r="P111" s="87"/>
      <c r="Q111" s="87"/>
      <c r="R111" s="87"/>
      <c r="S111" s="87"/>
      <c r="T111" s="87"/>
      <c r="U111" s="87"/>
      <c r="V111" s="87"/>
      <c r="W111" s="88"/>
      <c r="Y111" s="85"/>
      <c r="Z111" s="86"/>
      <c r="AA111" s="86"/>
      <c r="AB111" s="86"/>
      <c r="AC111" s="87"/>
      <c r="AD111" s="87"/>
      <c r="AE111" s="87"/>
      <c r="AF111" s="87"/>
      <c r="AG111" s="87"/>
      <c r="AH111" s="87"/>
      <c r="AI111" s="87"/>
      <c r="AJ111" s="87"/>
      <c r="AK111" s="87"/>
      <c r="AL111" s="87"/>
      <c r="AM111" s="87"/>
      <c r="AN111" s="87"/>
      <c r="AO111" s="87"/>
      <c r="AP111" s="87"/>
      <c r="AQ111" s="87"/>
      <c r="AR111" s="87"/>
      <c r="AS111" s="87"/>
      <c r="AT111" s="88"/>
    </row>
    <row r="112" spans="1:46" ht="19.5" thickBot="1">
      <c r="B112" s="70"/>
      <c r="C112" s="104" t="s">
        <v>122</v>
      </c>
      <c r="D112" s="127"/>
      <c r="E112" s="162"/>
      <c r="F112" s="497" t="s">
        <v>123</v>
      </c>
      <c r="G112" s="498"/>
      <c r="H112" s="499"/>
      <c r="I112" s="153" t="s">
        <v>291</v>
      </c>
      <c r="J112" s="154"/>
      <c r="K112" s="154"/>
      <c r="L112" s="154"/>
      <c r="M112" s="154"/>
      <c r="N112" s="154"/>
      <c r="O112" s="154"/>
      <c r="P112" s="154"/>
      <c r="Q112" s="154"/>
      <c r="R112" s="154"/>
      <c r="S112" s="154"/>
      <c r="T112" s="154"/>
      <c r="U112" s="154"/>
      <c r="V112" s="155"/>
      <c r="W112" s="71"/>
      <c r="Y112" s="70"/>
      <c r="Z112" s="104" t="s">
        <v>122</v>
      </c>
      <c r="AA112" s="127"/>
      <c r="AB112" s="162"/>
      <c r="AC112" s="497" t="s">
        <v>123</v>
      </c>
      <c r="AD112" s="498"/>
      <c r="AE112" s="499"/>
      <c r="AF112" s="153" t="s">
        <v>385</v>
      </c>
      <c r="AG112" s="154"/>
      <c r="AH112" s="154"/>
      <c r="AI112" s="154"/>
      <c r="AJ112" s="154"/>
      <c r="AK112" s="154"/>
      <c r="AL112" s="154"/>
      <c r="AM112" s="154"/>
      <c r="AN112" s="154"/>
      <c r="AO112" s="154"/>
      <c r="AP112" s="154"/>
      <c r="AQ112" s="154"/>
      <c r="AR112" s="154"/>
      <c r="AS112" s="155"/>
      <c r="AT112" s="71"/>
    </row>
    <row r="113" spans="2:46" ht="19.5" thickBot="1">
      <c r="B113" s="70"/>
      <c r="C113" s="23"/>
      <c r="D113" s="23"/>
      <c r="F113" s="23"/>
      <c r="G113" s="23"/>
      <c r="H113" s="23"/>
      <c r="I113" s="23"/>
      <c r="J113" s="23"/>
      <c r="K113" s="23"/>
      <c r="L113" s="23"/>
      <c r="M113" s="23"/>
      <c r="N113" s="23"/>
      <c r="O113" s="23"/>
      <c r="P113" s="23"/>
      <c r="Q113" s="23"/>
      <c r="R113" s="23"/>
      <c r="S113" s="23"/>
      <c r="T113" s="23"/>
      <c r="U113" s="23"/>
      <c r="V113" s="23"/>
      <c r="W113" s="71"/>
      <c r="Y113" s="70"/>
      <c r="Z113" s="23"/>
      <c r="AA113" s="23"/>
      <c r="AC113" s="23"/>
      <c r="AD113" s="23"/>
      <c r="AE113" s="23"/>
      <c r="AF113" s="23"/>
      <c r="AG113" s="23"/>
      <c r="AH113" s="23"/>
      <c r="AI113" s="23"/>
      <c r="AJ113" s="23"/>
      <c r="AK113" s="23"/>
      <c r="AL113" s="23"/>
      <c r="AM113" s="23"/>
      <c r="AN113" s="23"/>
      <c r="AO113" s="23"/>
      <c r="AP113" s="23"/>
      <c r="AQ113" s="23"/>
      <c r="AR113" s="23"/>
      <c r="AS113" s="23"/>
      <c r="AT113" s="71"/>
    </row>
    <row r="114" spans="2:46">
      <c r="B114" s="70"/>
      <c r="C114" s="500" t="s">
        <v>124</v>
      </c>
      <c r="D114" s="501"/>
      <c r="E114" s="502"/>
      <c r="F114" s="156" t="s">
        <v>370</v>
      </c>
      <c r="G114" s="157"/>
      <c r="H114" s="157" t="s">
        <v>373</v>
      </c>
      <c r="I114" s="157"/>
      <c r="J114" s="157"/>
      <c r="K114" s="157"/>
      <c r="L114" s="157"/>
      <c r="M114" s="157"/>
      <c r="N114" s="157"/>
      <c r="O114" s="157"/>
      <c r="P114" s="157"/>
      <c r="Q114" s="157"/>
      <c r="R114" s="157"/>
      <c r="S114" s="157"/>
      <c r="T114" s="157"/>
      <c r="U114" s="157"/>
      <c r="V114" s="158"/>
      <c r="W114" s="71"/>
      <c r="Y114" s="70"/>
      <c r="Z114" s="500" t="s">
        <v>124</v>
      </c>
      <c r="AA114" s="501"/>
      <c r="AB114" s="502"/>
      <c r="AC114" s="156"/>
      <c r="AD114" s="157"/>
      <c r="AE114" s="157"/>
      <c r="AF114" s="157"/>
      <c r="AG114" s="157"/>
      <c r="AH114" s="157"/>
      <c r="AI114" s="157"/>
      <c r="AJ114" s="157"/>
      <c r="AK114" s="157"/>
      <c r="AL114" s="157"/>
      <c r="AM114" s="157"/>
      <c r="AN114" s="157"/>
      <c r="AO114" s="157"/>
      <c r="AP114" s="157"/>
      <c r="AQ114" s="157"/>
      <c r="AR114" s="157"/>
      <c r="AS114" s="158"/>
      <c r="AT114" s="71"/>
    </row>
    <row r="115" spans="2:46">
      <c r="B115" s="70"/>
      <c r="C115" s="503"/>
      <c r="D115" s="504"/>
      <c r="E115" s="505"/>
      <c r="F115" s="192" t="s">
        <v>371</v>
      </c>
      <c r="G115" s="23"/>
      <c r="H115" s="23" t="s">
        <v>374</v>
      </c>
      <c r="I115" s="23"/>
      <c r="J115" s="23"/>
      <c r="K115" s="23"/>
      <c r="L115" s="23"/>
      <c r="M115" s="23"/>
      <c r="N115" s="23"/>
      <c r="O115" s="23"/>
      <c r="P115" s="23"/>
      <c r="Q115" s="23"/>
      <c r="R115" s="23"/>
      <c r="S115" s="23"/>
      <c r="T115" s="23"/>
      <c r="U115" s="23"/>
      <c r="V115" s="193"/>
      <c r="W115" s="71"/>
      <c r="Y115" s="70"/>
      <c r="Z115" s="503"/>
      <c r="AA115" s="504"/>
      <c r="AB115" s="505"/>
      <c r="AC115" s="192"/>
      <c r="AD115" s="23"/>
      <c r="AE115" s="23"/>
      <c r="AF115" s="23"/>
      <c r="AG115" s="23"/>
      <c r="AH115" s="23"/>
      <c r="AI115" s="23"/>
      <c r="AJ115" s="23"/>
      <c r="AK115" s="23"/>
      <c r="AL115" s="23"/>
      <c r="AM115" s="23"/>
      <c r="AN115" s="23"/>
      <c r="AO115" s="23"/>
      <c r="AP115" s="23"/>
      <c r="AQ115" s="23"/>
      <c r="AR115" s="23"/>
      <c r="AS115" s="193"/>
      <c r="AT115" s="71"/>
    </row>
    <row r="116" spans="2:46" ht="19.5" thickBot="1">
      <c r="B116" s="70"/>
      <c r="C116" s="506"/>
      <c r="D116" s="507"/>
      <c r="E116" s="508"/>
      <c r="F116" s="159" t="s">
        <v>372</v>
      </c>
      <c r="G116" s="160"/>
      <c r="H116" s="160" t="s">
        <v>125</v>
      </c>
      <c r="I116" s="160"/>
      <c r="J116" s="160"/>
      <c r="K116" s="160"/>
      <c r="L116" s="160"/>
      <c r="M116" s="160"/>
      <c r="N116" s="160"/>
      <c r="O116" s="160"/>
      <c r="P116" s="160"/>
      <c r="Q116" s="160"/>
      <c r="R116" s="160"/>
      <c r="S116" s="160"/>
      <c r="T116" s="160"/>
      <c r="U116" s="160"/>
      <c r="V116" s="161"/>
      <c r="W116" s="71"/>
      <c r="Y116" s="70"/>
      <c r="Z116" s="506"/>
      <c r="AA116" s="507"/>
      <c r="AB116" s="508"/>
      <c r="AC116" s="159"/>
      <c r="AD116" s="160"/>
      <c r="AE116" s="160"/>
      <c r="AF116" s="160"/>
      <c r="AG116" s="160"/>
      <c r="AH116" s="160"/>
      <c r="AI116" s="160"/>
      <c r="AJ116" s="160"/>
      <c r="AK116" s="160"/>
      <c r="AL116" s="160"/>
      <c r="AM116" s="160"/>
      <c r="AN116" s="160"/>
      <c r="AO116" s="160"/>
      <c r="AP116" s="160"/>
      <c r="AQ116" s="160"/>
      <c r="AR116" s="160"/>
      <c r="AS116" s="161"/>
      <c r="AT116" s="71"/>
    </row>
    <row r="117" spans="2:46">
      <c r="B117" s="70"/>
      <c r="C117" s="23"/>
      <c r="D117" s="23"/>
      <c r="E117" s="23"/>
      <c r="F117" s="23"/>
      <c r="G117" s="23"/>
      <c r="H117" s="23"/>
      <c r="I117" s="23"/>
      <c r="J117" s="23"/>
      <c r="K117" s="23"/>
      <c r="L117" s="23"/>
      <c r="M117" s="23"/>
      <c r="N117" s="23"/>
      <c r="O117" s="23"/>
      <c r="P117" s="23"/>
      <c r="Q117" s="23"/>
      <c r="R117" s="23"/>
      <c r="S117" s="23"/>
      <c r="T117" s="23"/>
      <c r="U117" s="23"/>
      <c r="V117" s="23"/>
      <c r="W117" s="71"/>
      <c r="Y117" s="70"/>
      <c r="Z117" s="23"/>
      <c r="AA117" s="23"/>
      <c r="AB117" s="23"/>
      <c r="AC117" s="23"/>
      <c r="AD117" s="23"/>
      <c r="AE117" s="23"/>
      <c r="AF117" s="23"/>
      <c r="AG117" s="23"/>
      <c r="AH117" s="23"/>
      <c r="AI117" s="23"/>
      <c r="AJ117" s="23"/>
      <c r="AK117" s="23"/>
      <c r="AL117" s="23"/>
      <c r="AM117" s="23"/>
      <c r="AN117" s="23"/>
      <c r="AO117" s="23"/>
      <c r="AP117" s="23"/>
      <c r="AQ117" s="23"/>
      <c r="AR117" s="23"/>
      <c r="AS117" s="23"/>
      <c r="AT117" s="71"/>
    </row>
    <row r="118" spans="2:46" ht="6" customHeight="1">
      <c r="B118" s="85"/>
      <c r="C118" s="86"/>
      <c r="D118" s="86"/>
      <c r="E118" s="86"/>
      <c r="F118" s="87"/>
      <c r="G118" s="87"/>
      <c r="H118" s="87"/>
      <c r="I118" s="87"/>
      <c r="J118" s="87"/>
      <c r="K118" s="87"/>
      <c r="L118" s="87"/>
      <c r="M118" s="87"/>
      <c r="N118" s="87"/>
      <c r="O118" s="87"/>
      <c r="P118" s="87"/>
      <c r="Q118" s="87"/>
      <c r="R118" s="87"/>
      <c r="S118" s="87"/>
      <c r="T118" s="87"/>
      <c r="U118" s="87"/>
      <c r="V118" s="87"/>
      <c r="W118" s="88"/>
      <c r="Y118" s="85"/>
      <c r="Z118" s="86"/>
      <c r="AA118" s="86"/>
      <c r="AB118" s="86"/>
      <c r="AC118" s="87"/>
      <c r="AD118" s="87"/>
      <c r="AE118" s="87"/>
      <c r="AF118" s="87"/>
      <c r="AG118" s="87"/>
      <c r="AH118" s="87"/>
      <c r="AI118" s="87"/>
      <c r="AJ118" s="87"/>
      <c r="AK118" s="87"/>
      <c r="AL118" s="87"/>
      <c r="AM118" s="87"/>
      <c r="AN118" s="87"/>
      <c r="AO118" s="87"/>
      <c r="AP118" s="87"/>
      <c r="AQ118" s="87"/>
      <c r="AR118" s="87"/>
      <c r="AS118" s="87"/>
      <c r="AT118" s="88"/>
    </row>
    <row r="119" spans="2:46">
      <c r="B119" s="70"/>
      <c r="C119" s="108"/>
      <c r="D119" s="109"/>
      <c r="E119" s="109"/>
      <c r="F119" s="109"/>
      <c r="G119" s="109"/>
      <c r="H119" s="109"/>
      <c r="I119" s="109"/>
      <c r="J119" s="109"/>
      <c r="K119" s="109"/>
      <c r="L119" s="109"/>
      <c r="M119" s="109"/>
      <c r="N119" s="109"/>
      <c r="O119" s="109"/>
      <c r="P119" s="109"/>
      <c r="Q119" s="109"/>
      <c r="R119" s="109"/>
      <c r="S119" s="109"/>
      <c r="T119" s="109"/>
      <c r="U119" s="109"/>
      <c r="V119" s="110"/>
      <c r="W119" s="71"/>
      <c r="Y119" s="70"/>
      <c r="Z119" s="194" t="s">
        <v>384</v>
      </c>
      <c r="AA119" s="109"/>
      <c r="AB119" s="109"/>
      <c r="AC119" s="109"/>
      <c r="AD119" s="109"/>
      <c r="AE119" s="109"/>
      <c r="AF119" s="109"/>
      <c r="AG119" s="109"/>
      <c r="AH119" s="109"/>
      <c r="AI119" s="109"/>
      <c r="AJ119" s="109"/>
      <c r="AK119" s="109"/>
      <c r="AL119" s="109"/>
      <c r="AM119" s="109"/>
      <c r="AN119" s="109"/>
      <c r="AO119" s="109"/>
      <c r="AP119" s="109"/>
      <c r="AQ119" s="109"/>
      <c r="AR119" s="109"/>
      <c r="AS119" s="110"/>
      <c r="AT119" s="71"/>
    </row>
    <row r="120" spans="2:46">
      <c r="B120" s="70"/>
      <c r="C120" s="111"/>
      <c r="D120" s="23"/>
      <c r="E120" s="23"/>
      <c r="F120" s="23"/>
      <c r="G120" s="23"/>
      <c r="H120" s="23"/>
      <c r="I120" s="23"/>
      <c r="J120" s="23"/>
      <c r="K120" s="23"/>
      <c r="L120" s="23"/>
      <c r="M120" s="23"/>
      <c r="N120" s="23"/>
      <c r="O120" s="23"/>
      <c r="P120" s="23"/>
      <c r="Q120" s="23"/>
      <c r="R120" s="23"/>
      <c r="S120" s="23"/>
      <c r="T120" s="23"/>
      <c r="U120" s="23"/>
      <c r="V120" s="112"/>
      <c r="W120" s="71"/>
      <c r="Y120" s="70"/>
      <c r="Z120" s="111"/>
      <c r="AA120" s="23"/>
      <c r="AB120" s="23"/>
      <c r="AC120" s="23"/>
      <c r="AD120" s="23"/>
      <c r="AE120" s="23"/>
      <c r="AF120" s="23"/>
      <c r="AG120" s="23"/>
      <c r="AH120" s="23"/>
      <c r="AI120" s="23"/>
      <c r="AJ120" s="23"/>
      <c r="AK120" s="23"/>
      <c r="AL120" s="23"/>
      <c r="AM120" s="23"/>
      <c r="AN120" s="23"/>
      <c r="AO120" s="23"/>
      <c r="AP120" s="23"/>
      <c r="AQ120" s="23"/>
      <c r="AR120" s="23"/>
      <c r="AS120" s="112"/>
      <c r="AT120" s="71"/>
    </row>
    <row r="121" spans="2:46">
      <c r="B121" s="70"/>
      <c r="C121" s="113"/>
      <c r="D121" s="114"/>
      <c r="E121" s="114"/>
      <c r="F121" s="114"/>
      <c r="G121" s="114"/>
      <c r="H121" s="114"/>
      <c r="I121" s="114"/>
      <c r="J121" s="114"/>
      <c r="K121" s="114"/>
      <c r="L121" s="114"/>
      <c r="M121" s="114"/>
      <c r="N121" s="114"/>
      <c r="O121" s="114"/>
      <c r="P121" s="114"/>
      <c r="Q121" s="114"/>
      <c r="R121" s="114"/>
      <c r="S121" s="114"/>
      <c r="T121" s="114"/>
      <c r="U121" s="114"/>
      <c r="V121" s="115"/>
      <c r="W121" s="71"/>
      <c r="Y121" s="70"/>
      <c r="Z121" s="113"/>
      <c r="AA121" s="114"/>
      <c r="AB121" s="114"/>
      <c r="AC121" s="114"/>
      <c r="AD121" s="114"/>
      <c r="AE121" s="114"/>
      <c r="AF121" s="114"/>
      <c r="AG121" s="114"/>
      <c r="AH121" s="114"/>
      <c r="AI121" s="114"/>
      <c r="AJ121" s="114"/>
      <c r="AK121" s="114"/>
      <c r="AL121" s="114"/>
      <c r="AM121" s="114"/>
      <c r="AN121" s="114"/>
      <c r="AO121" s="114"/>
      <c r="AP121" s="114"/>
      <c r="AQ121" s="114"/>
      <c r="AR121" s="114"/>
      <c r="AS121" s="115"/>
      <c r="AT121" s="71"/>
    </row>
    <row r="122" spans="2:46" ht="6" customHeight="1" thickBot="1">
      <c r="B122" s="70"/>
      <c r="C122" s="23"/>
      <c r="D122" s="23"/>
      <c r="E122" s="23"/>
      <c r="F122" s="23"/>
      <c r="G122" s="23"/>
      <c r="H122" s="23"/>
      <c r="I122" s="23"/>
      <c r="J122" s="23"/>
      <c r="K122" s="23"/>
      <c r="L122" s="23"/>
      <c r="M122" s="23"/>
      <c r="N122" s="23"/>
      <c r="O122" s="23"/>
      <c r="P122" s="23"/>
      <c r="Q122" s="23"/>
      <c r="R122" s="23"/>
      <c r="S122" s="23"/>
      <c r="T122" s="23"/>
      <c r="U122" s="23"/>
      <c r="V122" s="23"/>
      <c r="W122" s="71"/>
      <c r="Y122" s="70"/>
      <c r="Z122" s="23"/>
      <c r="AA122" s="23"/>
      <c r="AB122" s="23"/>
      <c r="AC122" s="23"/>
      <c r="AD122" s="23"/>
      <c r="AE122" s="23"/>
      <c r="AF122" s="23"/>
      <c r="AG122" s="23"/>
      <c r="AH122" s="23"/>
      <c r="AI122" s="23"/>
      <c r="AJ122" s="23"/>
      <c r="AK122" s="23"/>
      <c r="AL122" s="23"/>
      <c r="AM122" s="23"/>
      <c r="AN122" s="23"/>
      <c r="AO122" s="23"/>
      <c r="AP122" s="23"/>
      <c r="AQ122" s="23"/>
      <c r="AR122" s="23"/>
      <c r="AS122" s="23"/>
      <c r="AT122" s="71"/>
    </row>
    <row r="123" spans="2:46" ht="19.5" customHeight="1" thickTop="1">
      <c r="B123" s="70"/>
      <c r="C123" s="419" t="s">
        <v>121</v>
      </c>
      <c r="D123" s="419"/>
      <c r="E123" s="419"/>
      <c r="F123" s="23"/>
      <c r="G123" s="23"/>
      <c r="H123" s="23"/>
      <c r="I123" s="23"/>
      <c r="J123" s="23"/>
      <c r="K123" s="23"/>
      <c r="L123" s="23"/>
      <c r="M123" s="23"/>
      <c r="N123" s="23"/>
      <c r="O123" s="23"/>
      <c r="P123" s="23"/>
      <c r="Q123" s="23"/>
      <c r="R123" s="23"/>
      <c r="S123" s="23"/>
      <c r="T123" s="419" t="s">
        <v>296</v>
      </c>
      <c r="U123" s="419"/>
      <c r="V123" s="419"/>
      <c r="W123" s="71"/>
      <c r="Y123" s="70"/>
      <c r="Z123" s="419" t="s">
        <v>121</v>
      </c>
      <c r="AA123" s="419"/>
      <c r="AB123" s="419"/>
      <c r="AC123" s="419" t="s">
        <v>388</v>
      </c>
      <c r="AD123" s="419"/>
      <c r="AE123" s="419"/>
      <c r="AF123" s="23"/>
      <c r="AG123" s="23"/>
      <c r="AH123" s="23"/>
      <c r="AI123" s="23"/>
      <c r="AJ123" s="23"/>
      <c r="AK123" s="23"/>
      <c r="AL123" s="23"/>
      <c r="AM123" s="23"/>
      <c r="AN123" s="23"/>
      <c r="AO123" s="23"/>
      <c r="AP123" s="23"/>
      <c r="AQ123" s="419" t="s">
        <v>296</v>
      </c>
      <c r="AR123" s="419"/>
      <c r="AS123" s="419"/>
      <c r="AT123" s="71"/>
    </row>
    <row r="124" spans="2:46" ht="19.5" customHeight="1" thickBot="1">
      <c r="B124" s="70"/>
      <c r="C124" s="420"/>
      <c r="D124" s="420"/>
      <c r="E124" s="420"/>
      <c r="F124" s="23"/>
      <c r="G124" s="23"/>
      <c r="H124" s="23"/>
      <c r="I124" s="23"/>
      <c r="J124" s="23"/>
      <c r="K124" s="23"/>
      <c r="L124" s="23"/>
      <c r="M124" s="23"/>
      <c r="N124" s="23"/>
      <c r="O124" s="23"/>
      <c r="P124" s="23"/>
      <c r="Q124" s="23"/>
      <c r="R124" s="23"/>
      <c r="S124" s="23"/>
      <c r="T124" s="420"/>
      <c r="U124" s="420"/>
      <c r="V124" s="420"/>
      <c r="W124" s="71"/>
      <c r="Y124" s="70"/>
      <c r="Z124" s="420"/>
      <c r="AA124" s="420"/>
      <c r="AB124" s="420"/>
      <c r="AC124" s="420"/>
      <c r="AD124" s="420"/>
      <c r="AE124" s="420"/>
      <c r="AF124" s="23"/>
      <c r="AG124" s="23"/>
      <c r="AH124" s="23"/>
      <c r="AI124" s="23"/>
      <c r="AJ124" s="23"/>
      <c r="AK124" s="23"/>
      <c r="AL124" s="23"/>
      <c r="AM124" s="23"/>
      <c r="AN124" s="23"/>
      <c r="AO124" s="23"/>
      <c r="AP124" s="23"/>
      <c r="AQ124" s="420"/>
      <c r="AR124" s="420"/>
      <c r="AS124" s="420"/>
      <c r="AT124" s="71"/>
    </row>
    <row r="125" spans="2:46" ht="19.5" thickTop="1">
      <c r="B125" s="73"/>
      <c r="C125" s="74"/>
      <c r="D125" s="74"/>
      <c r="E125" s="74"/>
      <c r="F125" s="74"/>
      <c r="G125" s="74"/>
      <c r="H125" s="74"/>
      <c r="I125" s="74"/>
      <c r="J125" s="74"/>
      <c r="K125" s="74"/>
      <c r="L125" s="74"/>
      <c r="M125" s="74"/>
      <c r="N125" s="74"/>
      <c r="O125" s="74"/>
      <c r="P125" s="74"/>
      <c r="Q125" s="74"/>
      <c r="R125" s="74"/>
      <c r="S125" s="74"/>
      <c r="T125" s="74"/>
      <c r="U125" s="74"/>
      <c r="V125" s="74"/>
      <c r="W125" s="75"/>
      <c r="Y125" s="73"/>
      <c r="Z125" s="74"/>
      <c r="AA125" s="74"/>
      <c r="AB125" s="74"/>
      <c r="AC125" s="74"/>
      <c r="AD125" s="74"/>
      <c r="AE125" s="74"/>
      <c r="AF125" s="74"/>
      <c r="AG125" s="74"/>
      <c r="AH125" s="74"/>
      <c r="AI125" s="74"/>
      <c r="AJ125" s="74"/>
      <c r="AK125" s="74"/>
      <c r="AL125" s="74"/>
      <c r="AM125" s="74"/>
      <c r="AN125" s="74"/>
      <c r="AO125" s="74"/>
      <c r="AP125" s="74"/>
      <c r="AQ125" s="74"/>
      <c r="AR125" s="74"/>
      <c r="AS125" s="74"/>
      <c r="AT125" s="75"/>
    </row>
    <row r="127" spans="2:46">
      <c r="B127" s="67"/>
      <c r="C127" s="68"/>
      <c r="D127" s="68"/>
      <c r="E127" s="68"/>
      <c r="F127" s="68"/>
      <c r="G127" s="68"/>
      <c r="H127" s="68"/>
      <c r="I127" s="68"/>
      <c r="J127" s="68"/>
      <c r="K127" s="68"/>
      <c r="L127" s="68"/>
      <c r="M127" s="68"/>
      <c r="N127" s="68"/>
      <c r="O127" s="68"/>
      <c r="P127" s="68"/>
      <c r="Q127" s="68"/>
      <c r="R127" s="68"/>
      <c r="S127" s="68"/>
      <c r="T127" s="68"/>
      <c r="U127" s="68"/>
      <c r="V127" s="68"/>
      <c r="W127" s="69"/>
    </row>
    <row r="128" spans="2:46">
      <c r="B128" s="70"/>
      <c r="C128" s="80"/>
      <c r="D128" s="80"/>
      <c r="E128" s="80"/>
      <c r="F128" s="80"/>
      <c r="G128" s="80"/>
      <c r="H128" s="80"/>
      <c r="I128" s="80"/>
      <c r="J128" s="80"/>
      <c r="K128" s="80"/>
      <c r="L128" s="80"/>
      <c r="M128" s="80"/>
      <c r="N128" s="80"/>
      <c r="O128" s="80"/>
      <c r="P128" s="80"/>
      <c r="Q128" s="80"/>
      <c r="R128" s="80"/>
      <c r="S128" s="80"/>
      <c r="T128" s="80"/>
      <c r="U128" s="335" t="s">
        <v>76</v>
      </c>
      <c r="V128" s="336"/>
      <c r="W128" s="71"/>
    </row>
    <row r="129" spans="2:23">
      <c r="B129" s="70"/>
      <c r="C129" s="80"/>
      <c r="D129" s="80"/>
      <c r="E129" s="80"/>
      <c r="F129" s="80"/>
      <c r="G129" s="80"/>
      <c r="H129" s="80"/>
      <c r="I129" s="80"/>
      <c r="J129" s="80"/>
      <c r="K129" s="80"/>
      <c r="L129" s="80"/>
      <c r="M129" s="80"/>
      <c r="N129" s="80"/>
      <c r="O129" s="80"/>
      <c r="P129" s="80"/>
      <c r="Q129" s="80"/>
      <c r="R129" s="337" t="s">
        <v>265</v>
      </c>
      <c r="S129" s="337"/>
      <c r="T129" s="337"/>
      <c r="U129" s="337"/>
      <c r="V129" s="89" t="s">
        <v>78</v>
      </c>
      <c r="W129" s="71"/>
    </row>
    <row r="130" spans="2:23">
      <c r="B130" s="70"/>
      <c r="C130" s="79" t="s">
        <v>389</v>
      </c>
      <c r="D130" s="23"/>
      <c r="E130" s="23"/>
      <c r="F130" s="23"/>
      <c r="G130" s="23"/>
      <c r="H130" s="23"/>
      <c r="I130" s="23"/>
      <c r="J130" s="23"/>
      <c r="K130" s="23"/>
      <c r="L130" s="23"/>
      <c r="M130" s="23"/>
      <c r="N130" s="23"/>
      <c r="O130" s="23"/>
      <c r="P130" s="23"/>
      <c r="Q130" s="23"/>
      <c r="R130" s="23"/>
      <c r="S130" s="23"/>
      <c r="T130" s="23"/>
      <c r="U130" s="23"/>
      <c r="V130" s="23"/>
      <c r="W130" s="71"/>
    </row>
    <row r="131" spans="2:23" ht="6" customHeight="1" thickBot="1">
      <c r="B131" s="85"/>
      <c r="C131" s="86"/>
      <c r="D131" s="86"/>
      <c r="E131" s="86"/>
      <c r="F131" s="87"/>
      <c r="G131" s="87"/>
      <c r="H131" s="87"/>
      <c r="I131" s="87"/>
      <c r="J131" s="87"/>
      <c r="K131" s="87"/>
      <c r="L131" s="87"/>
      <c r="M131" s="87"/>
      <c r="N131" s="87"/>
      <c r="O131" s="87"/>
      <c r="P131" s="87"/>
      <c r="Q131" s="87"/>
      <c r="R131" s="87"/>
      <c r="S131" s="87"/>
      <c r="T131" s="87"/>
      <c r="U131" s="87"/>
      <c r="V131" s="87"/>
      <c r="W131" s="88"/>
    </row>
    <row r="132" spans="2:23" ht="19.5" thickBot="1">
      <c r="B132" s="70"/>
      <c r="C132" s="104" t="s">
        <v>378</v>
      </c>
      <c r="D132" s="127"/>
      <c r="E132" s="90"/>
      <c r="F132" s="515" t="s">
        <v>380</v>
      </c>
      <c r="G132" s="516"/>
      <c r="H132" s="516"/>
      <c r="I132" s="516"/>
      <c r="J132" s="516"/>
      <c r="K132" s="517"/>
      <c r="L132" s="23"/>
      <c r="M132" s="23"/>
      <c r="N132" s="23"/>
      <c r="O132" s="23"/>
      <c r="P132" s="23"/>
      <c r="Q132" s="23"/>
      <c r="R132" s="23"/>
      <c r="S132" s="23"/>
      <c r="T132" s="23"/>
      <c r="U132" s="23"/>
      <c r="V132" s="23"/>
      <c r="W132" s="71"/>
    </row>
    <row r="133" spans="2:23" ht="19.5" thickBot="1">
      <c r="B133" s="70"/>
      <c r="C133" s="104" t="s">
        <v>379</v>
      </c>
      <c r="D133" s="127"/>
      <c r="E133" s="90"/>
      <c r="F133" s="515" t="s">
        <v>304</v>
      </c>
      <c r="G133" s="516"/>
      <c r="H133" s="516"/>
      <c r="I133" s="516"/>
      <c r="J133" s="516"/>
      <c r="K133" s="517"/>
      <c r="L133" s="23"/>
      <c r="M133" s="23"/>
      <c r="N133" s="23"/>
      <c r="O133" s="23"/>
      <c r="P133" s="23"/>
      <c r="Q133" s="23"/>
      <c r="R133" s="23"/>
      <c r="S133" s="23"/>
      <c r="T133" s="23"/>
      <c r="U133" s="23"/>
      <c r="V133" s="23"/>
      <c r="W133" s="71"/>
    </row>
    <row r="134" spans="2:23">
      <c r="B134" s="70"/>
      <c r="C134" s="23"/>
      <c r="D134" s="23"/>
      <c r="E134" s="23"/>
      <c r="F134" s="23"/>
      <c r="G134" s="23"/>
      <c r="H134" s="23"/>
      <c r="I134" s="23"/>
      <c r="J134" s="23"/>
      <c r="K134" s="23"/>
      <c r="L134" s="23"/>
      <c r="M134" s="23"/>
      <c r="N134" s="23"/>
      <c r="O134" s="23"/>
      <c r="P134" s="23"/>
      <c r="Q134" s="23"/>
      <c r="R134" s="23"/>
      <c r="S134" s="23"/>
      <c r="T134" s="23"/>
      <c r="U134" s="23"/>
      <c r="V134" s="23"/>
      <c r="W134" s="71"/>
    </row>
    <row r="135" spans="2:23">
      <c r="B135" s="70"/>
      <c r="C135" s="355" t="s">
        <v>377</v>
      </c>
      <c r="D135" s="355"/>
      <c r="E135" s="355"/>
      <c r="F135" s="355"/>
      <c r="G135" s="355"/>
      <c r="H135" s="355" t="s">
        <v>375</v>
      </c>
      <c r="I135" s="355"/>
      <c r="J135" s="355"/>
      <c r="K135" s="355"/>
      <c r="L135" s="355"/>
      <c r="M135" s="355"/>
      <c r="N135" s="355"/>
      <c r="O135" s="355"/>
      <c r="P135" s="355"/>
      <c r="Q135" s="355"/>
      <c r="R135" s="355"/>
      <c r="S135" s="355"/>
      <c r="T135" s="355"/>
      <c r="U135" s="355"/>
      <c r="V135" s="355"/>
      <c r="W135" s="71"/>
    </row>
    <row r="136" spans="2:23">
      <c r="B136" s="70"/>
      <c r="C136" s="509">
        <v>45224.680555555555</v>
      </c>
      <c r="D136" s="510"/>
      <c r="E136" s="510"/>
      <c r="F136" s="510"/>
      <c r="G136" s="511"/>
      <c r="H136" s="512" t="s">
        <v>376</v>
      </c>
      <c r="I136" s="513"/>
      <c r="J136" s="513"/>
      <c r="K136" s="513"/>
      <c r="L136" s="513"/>
      <c r="M136" s="513"/>
      <c r="N136" s="513"/>
      <c r="O136" s="513"/>
      <c r="P136" s="513"/>
      <c r="Q136" s="513"/>
      <c r="R136" s="513"/>
      <c r="S136" s="513"/>
      <c r="T136" s="513"/>
      <c r="U136" s="513"/>
      <c r="V136" s="514"/>
      <c r="W136" s="71"/>
    </row>
    <row r="137" spans="2:23">
      <c r="B137" s="70"/>
      <c r="C137" s="509">
        <v>45224.680555555555</v>
      </c>
      <c r="D137" s="510"/>
      <c r="E137" s="510"/>
      <c r="F137" s="510"/>
      <c r="G137" s="511"/>
      <c r="H137" s="512" t="s">
        <v>381</v>
      </c>
      <c r="I137" s="513"/>
      <c r="J137" s="513"/>
      <c r="K137" s="513"/>
      <c r="L137" s="513"/>
      <c r="M137" s="513"/>
      <c r="N137" s="513"/>
      <c r="O137" s="513"/>
      <c r="P137" s="513"/>
      <c r="Q137" s="513"/>
      <c r="R137" s="513"/>
      <c r="S137" s="513"/>
      <c r="T137" s="513"/>
      <c r="U137" s="513"/>
      <c r="V137" s="514"/>
      <c r="W137" s="71"/>
    </row>
    <row r="138" spans="2:23">
      <c r="B138" s="70"/>
      <c r="C138" s="509">
        <v>45224.680555555555</v>
      </c>
      <c r="D138" s="510"/>
      <c r="E138" s="510"/>
      <c r="F138" s="510"/>
      <c r="G138" s="511"/>
      <c r="H138" s="512" t="s">
        <v>382</v>
      </c>
      <c r="I138" s="513"/>
      <c r="J138" s="513"/>
      <c r="K138" s="513"/>
      <c r="L138" s="513"/>
      <c r="M138" s="513"/>
      <c r="N138" s="513"/>
      <c r="O138" s="513"/>
      <c r="P138" s="513"/>
      <c r="Q138" s="513"/>
      <c r="R138" s="513"/>
      <c r="S138" s="513"/>
      <c r="T138" s="513"/>
      <c r="U138" s="513"/>
      <c r="V138" s="514"/>
      <c r="W138" s="71"/>
    </row>
    <row r="139" spans="2:23">
      <c r="B139" s="70"/>
      <c r="C139" s="509">
        <v>45224.680555555555</v>
      </c>
      <c r="D139" s="510"/>
      <c r="E139" s="510"/>
      <c r="F139" s="510"/>
      <c r="G139" s="511"/>
      <c r="H139" s="512" t="s">
        <v>383</v>
      </c>
      <c r="I139" s="513"/>
      <c r="J139" s="513"/>
      <c r="K139" s="513"/>
      <c r="L139" s="513"/>
      <c r="M139" s="513"/>
      <c r="N139" s="513"/>
      <c r="O139" s="513"/>
      <c r="P139" s="513"/>
      <c r="Q139" s="513"/>
      <c r="R139" s="513"/>
      <c r="S139" s="513"/>
      <c r="T139" s="513"/>
      <c r="U139" s="513"/>
      <c r="V139" s="514"/>
      <c r="W139" s="71"/>
    </row>
    <row r="140" spans="2:23">
      <c r="B140" s="70"/>
      <c r="C140" s="23"/>
      <c r="D140" s="23"/>
      <c r="E140" s="23"/>
      <c r="F140" s="23"/>
      <c r="G140" s="23"/>
      <c r="H140" s="23"/>
      <c r="I140" s="23"/>
      <c r="J140" s="23"/>
      <c r="K140" s="23"/>
      <c r="L140" s="23"/>
      <c r="M140" s="23"/>
      <c r="N140" s="23"/>
      <c r="O140" s="23"/>
      <c r="P140" s="23"/>
      <c r="Q140" s="23"/>
      <c r="R140" s="23"/>
      <c r="S140" s="23"/>
      <c r="T140" s="23"/>
      <c r="U140" s="23"/>
      <c r="V140" s="23"/>
      <c r="W140" s="71"/>
    </row>
    <row r="141" spans="2:23" ht="6" customHeight="1" thickBot="1">
      <c r="B141" s="85"/>
      <c r="C141" s="86"/>
      <c r="D141" s="86"/>
      <c r="E141" s="86"/>
      <c r="F141" s="87"/>
      <c r="G141" s="87"/>
      <c r="H141" s="87"/>
      <c r="I141" s="87"/>
      <c r="J141" s="87"/>
      <c r="K141" s="87"/>
      <c r="L141" s="87"/>
      <c r="M141" s="87"/>
      <c r="N141" s="87"/>
      <c r="O141" s="87"/>
      <c r="P141" s="87"/>
      <c r="Q141" s="87"/>
      <c r="R141" s="87"/>
      <c r="S141" s="87"/>
      <c r="T141" s="87"/>
      <c r="U141" s="87"/>
      <c r="V141" s="87"/>
      <c r="W141" s="88"/>
    </row>
    <row r="142" spans="2:23" ht="19.5" customHeight="1" thickTop="1">
      <c r="B142" s="70"/>
      <c r="C142" s="23"/>
      <c r="D142" s="23"/>
      <c r="E142" s="23"/>
      <c r="F142" s="23"/>
      <c r="G142" s="23"/>
      <c r="H142" s="23"/>
      <c r="I142" s="23"/>
      <c r="J142" s="23"/>
      <c r="K142" s="23"/>
      <c r="L142" s="23"/>
      <c r="M142" s="23"/>
      <c r="N142" s="23"/>
      <c r="O142" s="23"/>
      <c r="P142" s="23"/>
      <c r="Q142" s="23"/>
      <c r="R142" s="23"/>
      <c r="S142" s="23"/>
      <c r="T142" s="419" t="s">
        <v>296</v>
      </c>
      <c r="U142" s="419"/>
      <c r="V142" s="419"/>
      <c r="W142" s="71"/>
    </row>
    <row r="143" spans="2:23" ht="19.5" customHeight="1" thickBot="1">
      <c r="B143" s="70"/>
      <c r="C143" s="23"/>
      <c r="D143" s="23"/>
      <c r="E143" s="23"/>
      <c r="F143" s="23"/>
      <c r="G143" s="23"/>
      <c r="H143" s="23"/>
      <c r="I143" s="23"/>
      <c r="J143" s="23"/>
      <c r="K143" s="23"/>
      <c r="L143" s="23"/>
      <c r="M143" s="23"/>
      <c r="N143" s="23"/>
      <c r="O143" s="23"/>
      <c r="P143" s="23"/>
      <c r="Q143" s="23"/>
      <c r="R143" s="23"/>
      <c r="S143" s="23"/>
      <c r="T143" s="420"/>
      <c r="U143" s="420"/>
      <c r="V143" s="420"/>
      <c r="W143" s="71"/>
    </row>
    <row r="144" spans="2:23" ht="19.5" thickTop="1">
      <c r="B144" s="73"/>
      <c r="C144" s="74"/>
      <c r="D144" s="74"/>
      <c r="E144" s="74"/>
      <c r="F144" s="74"/>
      <c r="G144" s="74"/>
      <c r="H144" s="74"/>
      <c r="I144" s="74"/>
      <c r="J144" s="74"/>
      <c r="K144" s="74"/>
      <c r="L144" s="74"/>
      <c r="M144" s="74"/>
      <c r="N144" s="74"/>
      <c r="O144" s="74"/>
      <c r="P144" s="74"/>
      <c r="Q144" s="74"/>
      <c r="R144" s="74"/>
      <c r="S144" s="74"/>
      <c r="T144" s="74"/>
      <c r="U144" s="74"/>
      <c r="V144" s="74"/>
      <c r="W144" s="75"/>
    </row>
  </sheetData>
  <mergeCells count="355">
    <mergeCell ref="T142:V143"/>
    <mergeCell ref="C137:G137"/>
    <mergeCell ref="H137:V137"/>
    <mergeCell ref="C138:G138"/>
    <mergeCell ref="H138:V138"/>
    <mergeCell ref="C139:G139"/>
    <mergeCell ref="H139:V139"/>
    <mergeCell ref="R129:U129"/>
    <mergeCell ref="F132:K132"/>
    <mergeCell ref="F133:K133"/>
    <mergeCell ref="C135:G135"/>
    <mergeCell ref="H135:V135"/>
    <mergeCell ref="C136:G136"/>
    <mergeCell ref="H136:V136"/>
    <mergeCell ref="C123:E124"/>
    <mergeCell ref="T123:V124"/>
    <mergeCell ref="Z123:AB124"/>
    <mergeCell ref="AC123:AE124"/>
    <mergeCell ref="AQ123:AS124"/>
    <mergeCell ref="U128:V128"/>
    <mergeCell ref="R109:U109"/>
    <mergeCell ref="AO109:AR109"/>
    <mergeCell ref="F112:H112"/>
    <mergeCell ref="AC112:AE112"/>
    <mergeCell ref="C114:E116"/>
    <mergeCell ref="Z114:AB116"/>
    <mergeCell ref="W94:Z94"/>
    <mergeCell ref="AA94:AC94"/>
    <mergeCell ref="C102:E103"/>
    <mergeCell ref="AA102:AC103"/>
    <mergeCell ref="U108:V108"/>
    <mergeCell ref="AR108:AS108"/>
    <mergeCell ref="D94:F94"/>
    <mergeCell ref="G94:I94"/>
    <mergeCell ref="J94:K94"/>
    <mergeCell ref="L94:N94"/>
    <mergeCell ref="P94:Q94"/>
    <mergeCell ref="R94:V94"/>
    <mergeCell ref="D93:F93"/>
    <mergeCell ref="G93:I93"/>
    <mergeCell ref="J93:K93"/>
    <mergeCell ref="L93:N93"/>
    <mergeCell ref="P93:Q93"/>
    <mergeCell ref="R93:V93"/>
    <mergeCell ref="W93:Z93"/>
    <mergeCell ref="AA93:AC93"/>
    <mergeCell ref="D92:F92"/>
    <mergeCell ref="G92:I92"/>
    <mergeCell ref="J92:K92"/>
    <mergeCell ref="L92:N92"/>
    <mergeCell ref="P92:Q92"/>
    <mergeCell ref="R92:V92"/>
    <mergeCell ref="D91:F91"/>
    <mergeCell ref="G91:I91"/>
    <mergeCell ref="J91:K91"/>
    <mergeCell ref="L91:N91"/>
    <mergeCell ref="P91:Q91"/>
    <mergeCell ref="R91:V91"/>
    <mergeCell ref="W91:Z91"/>
    <mergeCell ref="AA91:AC91"/>
    <mergeCell ref="W92:Z92"/>
    <mergeCell ref="AA92:AC92"/>
    <mergeCell ref="P88:Q89"/>
    <mergeCell ref="R88:V89"/>
    <mergeCell ref="W88:Z89"/>
    <mergeCell ref="AA88:AC89"/>
    <mergeCell ref="D90:F90"/>
    <mergeCell ref="G90:I90"/>
    <mergeCell ref="J90:K90"/>
    <mergeCell ref="L90:N90"/>
    <mergeCell ref="P90:Q90"/>
    <mergeCell ref="R90:V90"/>
    <mergeCell ref="W90:Z90"/>
    <mergeCell ref="AA90:AC90"/>
    <mergeCell ref="F83:M83"/>
    <mergeCell ref="C85:D85"/>
    <mergeCell ref="N87:O87"/>
    <mergeCell ref="C88:C89"/>
    <mergeCell ref="D88:F89"/>
    <mergeCell ref="G88:I89"/>
    <mergeCell ref="J88:K89"/>
    <mergeCell ref="L88:N89"/>
    <mergeCell ref="O88:O89"/>
    <mergeCell ref="F78:M78"/>
    <mergeCell ref="F79:M79"/>
    <mergeCell ref="F80:M80"/>
    <mergeCell ref="F81:H81"/>
    <mergeCell ref="I81:M81"/>
    <mergeCell ref="F82:H82"/>
    <mergeCell ref="K82:M82"/>
    <mergeCell ref="AV69:AX70"/>
    <mergeCell ref="BR69:BT70"/>
    <mergeCell ref="AB73:AC73"/>
    <mergeCell ref="Y74:AB74"/>
    <mergeCell ref="F77:H77"/>
    <mergeCell ref="J77:M77"/>
    <mergeCell ref="C68:E69"/>
    <mergeCell ref="F68:H69"/>
    <mergeCell ref="I68:K69"/>
    <mergeCell ref="AD68:AF69"/>
    <mergeCell ref="AP69:AR70"/>
    <mergeCell ref="AS69:AU70"/>
    <mergeCell ref="BK60:BO60"/>
    <mergeCell ref="BP60:BT60"/>
    <mergeCell ref="AR61:AT61"/>
    <mergeCell ref="AU61:AW61"/>
    <mergeCell ref="AX61:BA61"/>
    <mergeCell ref="BC61:BD61"/>
    <mergeCell ref="BE61:BJ61"/>
    <mergeCell ref="BK61:BO61"/>
    <mergeCell ref="BP61:BT61"/>
    <mergeCell ref="AC60:AF60"/>
    <mergeCell ref="AR60:AT60"/>
    <mergeCell ref="AU60:AW60"/>
    <mergeCell ref="AX60:BA60"/>
    <mergeCell ref="BC60:BD60"/>
    <mergeCell ref="BE60:BJ60"/>
    <mergeCell ref="BE59:BJ59"/>
    <mergeCell ref="BK59:BO59"/>
    <mergeCell ref="BP59:BT59"/>
    <mergeCell ref="E60:G60"/>
    <mergeCell ref="H60:I60"/>
    <mergeCell ref="J60:L60"/>
    <mergeCell ref="N60:O60"/>
    <mergeCell ref="P60:T60"/>
    <mergeCell ref="U60:X60"/>
    <mergeCell ref="Y60:AB60"/>
    <mergeCell ref="Y59:AB59"/>
    <mergeCell ref="AC59:AF59"/>
    <mergeCell ref="AR59:AT59"/>
    <mergeCell ref="AU59:AW59"/>
    <mergeCell ref="AX59:BA59"/>
    <mergeCell ref="BC59:BD59"/>
    <mergeCell ref="E59:G59"/>
    <mergeCell ref="H59:I59"/>
    <mergeCell ref="J59:L59"/>
    <mergeCell ref="N59:O59"/>
    <mergeCell ref="P59:T59"/>
    <mergeCell ref="U59:X59"/>
    <mergeCell ref="AU58:AW58"/>
    <mergeCell ref="AX58:BA58"/>
    <mergeCell ref="BC58:BD58"/>
    <mergeCell ref="BE58:BJ58"/>
    <mergeCell ref="BK58:BO58"/>
    <mergeCell ref="BP58:BT58"/>
    <mergeCell ref="BP57:BT57"/>
    <mergeCell ref="E58:G58"/>
    <mergeCell ref="H58:I58"/>
    <mergeCell ref="J58:L58"/>
    <mergeCell ref="N58:O58"/>
    <mergeCell ref="P58:T58"/>
    <mergeCell ref="U58:X58"/>
    <mergeCell ref="Y58:AB58"/>
    <mergeCell ref="AC58:AF58"/>
    <mergeCell ref="AR58:AT58"/>
    <mergeCell ref="AR57:AT57"/>
    <mergeCell ref="AU57:AW57"/>
    <mergeCell ref="AX57:BA57"/>
    <mergeCell ref="BC57:BD57"/>
    <mergeCell ref="BE57:BJ57"/>
    <mergeCell ref="BK57:BO57"/>
    <mergeCell ref="E57:G57"/>
    <mergeCell ref="H57:I57"/>
    <mergeCell ref="J57:L57"/>
    <mergeCell ref="N57:O57"/>
    <mergeCell ref="P57:T57"/>
    <mergeCell ref="U57:X57"/>
    <mergeCell ref="Y57:AB57"/>
    <mergeCell ref="AC57:AF57"/>
    <mergeCell ref="E56:G56"/>
    <mergeCell ref="H56:I56"/>
    <mergeCell ref="J56:L56"/>
    <mergeCell ref="N56:O56"/>
    <mergeCell ref="P56:T56"/>
    <mergeCell ref="U56:X56"/>
    <mergeCell ref="BB55:BB56"/>
    <mergeCell ref="BC55:BD56"/>
    <mergeCell ref="BE55:BJ56"/>
    <mergeCell ref="BK55:BO56"/>
    <mergeCell ref="BP55:BT56"/>
    <mergeCell ref="N54:O55"/>
    <mergeCell ref="P54:T55"/>
    <mergeCell ref="U54:X55"/>
    <mergeCell ref="Y54:AB55"/>
    <mergeCell ref="AC54:AF55"/>
    <mergeCell ref="BA54:BB54"/>
    <mergeCell ref="AP55:AP56"/>
    <mergeCell ref="AQ55:AQ56"/>
    <mergeCell ref="AR55:AT56"/>
    <mergeCell ref="AU55:AW56"/>
    <mergeCell ref="Y56:AB56"/>
    <mergeCell ref="AC56:AF56"/>
    <mergeCell ref="C54:C55"/>
    <mergeCell ref="D54:D55"/>
    <mergeCell ref="E54:G55"/>
    <mergeCell ref="H54:I55"/>
    <mergeCell ref="J54:L55"/>
    <mergeCell ref="M54:M55"/>
    <mergeCell ref="AS50:AU50"/>
    <mergeCell ref="AW50:AX50"/>
    <mergeCell ref="AZ50:BA50"/>
    <mergeCell ref="C51:D51"/>
    <mergeCell ref="AP52:AQ52"/>
    <mergeCell ref="N53:O53"/>
    <mergeCell ref="AX55:BA56"/>
    <mergeCell ref="S33:U34"/>
    <mergeCell ref="V33:X34"/>
    <mergeCell ref="F48:M48"/>
    <mergeCell ref="AS48:AU48"/>
    <mergeCell ref="AW48:AX48"/>
    <mergeCell ref="AZ48:BA48"/>
    <mergeCell ref="F42:H42"/>
    <mergeCell ref="J42:M42"/>
    <mergeCell ref="F49:H49"/>
    <mergeCell ref="I49:M49"/>
    <mergeCell ref="F46:H46"/>
    <mergeCell ref="I46:M46"/>
    <mergeCell ref="AS46:AU46"/>
    <mergeCell ref="AX46:AZ46"/>
    <mergeCell ref="F47:H47"/>
    <mergeCell ref="K47:M47"/>
    <mergeCell ref="AS47:AZ47"/>
    <mergeCell ref="F43:M43"/>
    <mergeCell ref="AS43:AU43"/>
    <mergeCell ref="AW43:AZ43"/>
    <mergeCell ref="F44:M44"/>
    <mergeCell ref="AS44:AZ44"/>
    <mergeCell ref="F45:M45"/>
    <mergeCell ref="AS45:AZ45"/>
    <mergeCell ref="BS39:BT39"/>
    <mergeCell ref="BP40:BS40"/>
    <mergeCell ref="E24:G24"/>
    <mergeCell ref="H24:I24"/>
    <mergeCell ref="J24:L24"/>
    <mergeCell ref="N24:O24"/>
    <mergeCell ref="T24:W24"/>
    <mergeCell ref="X24:AA24"/>
    <mergeCell ref="AB24:AE24"/>
    <mergeCell ref="AR24:AT24"/>
    <mergeCell ref="AU24:AW24"/>
    <mergeCell ref="Y33:AA34"/>
    <mergeCell ref="AC33:AE34"/>
    <mergeCell ref="AP33:AR34"/>
    <mergeCell ref="AS33:AU34"/>
    <mergeCell ref="AV33:AX34"/>
    <mergeCell ref="AZ33:BB34"/>
    <mergeCell ref="AE38:AF38"/>
    <mergeCell ref="AB39:AE39"/>
    <mergeCell ref="AX24:BA24"/>
    <mergeCell ref="C33:E34"/>
    <mergeCell ref="F33:H34"/>
    <mergeCell ref="I33:K34"/>
    <mergeCell ref="M33:O34"/>
    <mergeCell ref="AX22:BA22"/>
    <mergeCell ref="E23:G23"/>
    <mergeCell ref="H23:I23"/>
    <mergeCell ref="J23:L23"/>
    <mergeCell ref="N23:O23"/>
    <mergeCell ref="T23:W23"/>
    <mergeCell ref="X23:AA23"/>
    <mergeCell ref="AB23:AE23"/>
    <mergeCell ref="AR23:AT23"/>
    <mergeCell ref="AU23:AW23"/>
    <mergeCell ref="AX23:BA23"/>
    <mergeCell ref="E22:G22"/>
    <mergeCell ref="H22:I22"/>
    <mergeCell ref="J22:L22"/>
    <mergeCell ref="N22:O22"/>
    <mergeCell ref="T22:W22"/>
    <mergeCell ref="X22:AA22"/>
    <mergeCell ref="AB22:AE22"/>
    <mergeCell ref="AR22:AT22"/>
    <mergeCell ref="AU22:AW22"/>
    <mergeCell ref="AB20:AE20"/>
    <mergeCell ref="AR20:AT20"/>
    <mergeCell ref="AU20:AW20"/>
    <mergeCell ref="AX20:BA20"/>
    <mergeCell ref="E21:G21"/>
    <mergeCell ref="H21:I21"/>
    <mergeCell ref="J21:L21"/>
    <mergeCell ref="N21:O21"/>
    <mergeCell ref="T21:W21"/>
    <mergeCell ref="X21:AA21"/>
    <mergeCell ref="AB21:AE21"/>
    <mergeCell ref="AR21:AT21"/>
    <mergeCell ref="AU21:AW21"/>
    <mergeCell ref="AX21:BA21"/>
    <mergeCell ref="E20:G20"/>
    <mergeCell ref="H20:I20"/>
    <mergeCell ref="J20:L20"/>
    <mergeCell ref="N20:O20"/>
    <mergeCell ref="T20:W20"/>
    <mergeCell ref="X20:AA20"/>
    <mergeCell ref="S18:S19"/>
    <mergeCell ref="T18:W19"/>
    <mergeCell ref="X18:AA19"/>
    <mergeCell ref="N17:O17"/>
    <mergeCell ref="AD17:AE17"/>
    <mergeCell ref="BA17:BB17"/>
    <mergeCell ref="C18:C19"/>
    <mergeCell ref="D18:D19"/>
    <mergeCell ref="E18:G19"/>
    <mergeCell ref="H18:I19"/>
    <mergeCell ref="J18:L19"/>
    <mergeCell ref="M18:M19"/>
    <mergeCell ref="N18:O19"/>
    <mergeCell ref="AR18:AT19"/>
    <mergeCell ref="AU18:AW19"/>
    <mergeCell ref="AX18:BA19"/>
    <mergeCell ref="BB18:BB19"/>
    <mergeCell ref="AB18:AE19"/>
    <mergeCell ref="AP18:AP19"/>
    <mergeCell ref="AQ18:AQ19"/>
    <mergeCell ref="AS14:AU14"/>
    <mergeCell ref="AW14:AX14"/>
    <mergeCell ref="AZ14:BA14"/>
    <mergeCell ref="C15:D15"/>
    <mergeCell ref="S15:T15"/>
    <mergeCell ref="AP15:AQ15"/>
    <mergeCell ref="AZ12:BA12"/>
    <mergeCell ref="F13:M13"/>
    <mergeCell ref="V13:AC13"/>
    <mergeCell ref="AS13:AU13"/>
    <mergeCell ref="AW13:AX13"/>
    <mergeCell ref="AZ13:BA13"/>
    <mergeCell ref="F12:H12"/>
    <mergeCell ref="K12:M12"/>
    <mergeCell ref="V12:X12"/>
    <mergeCell ref="AA12:AC12"/>
    <mergeCell ref="AS12:AU12"/>
    <mergeCell ref="AW12:AX12"/>
    <mergeCell ref="F10:M10"/>
    <mergeCell ref="V10:AC10"/>
    <mergeCell ref="AS10:AZ10"/>
    <mergeCell ref="F11:M11"/>
    <mergeCell ref="V11:AC11"/>
    <mergeCell ref="AS11:AZ11"/>
    <mergeCell ref="F8:M8"/>
    <mergeCell ref="V8:AC8"/>
    <mergeCell ref="AS8:AZ8"/>
    <mergeCell ref="F9:M9"/>
    <mergeCell ref="V9:AC9"/>
    <mergeCell ref="AS9:AZ9"/>
    <mergeCell ref="F7:H7"/>
    <mergeCell ref="J7:M7"/>
    <mergeCell ref="V7:X7"/>
    <mergeCell ref="Z7:AC7"/>
    <mergeCell ref="AS7:AU7"/>
    <mergeCell ref="AW7:AZ7"/>
    <mergeCell ref="N3:O3"/>
    <mergeCell ref="AD3:AE3"/>
    <mergeCell ref="BA3:BB3"/>
    <mergeCell ref="K4:N4"/>
    <mergeCell ref="AA4:AD4"/>
    <mergeCell ref="AX4:BA4"/>
  </mergeCells>
  <phoneticPr fontId="2"/>
  <pageMargins left="0.39370078740157483" right="0.39370078740157483" top="0.39370078740157483" bottom="0.39370078740157483" header="0.39370078740157483" footer="0.39370078740157483"/>
  <pageSetup paperSize="9" scale="36" fitToHeight="0" orientation="portrait" r:id="rId1"/>
  <headerFooter>
    <oddFooter>&amp;C-&amp;P--</oddFooter>
  </headerFooter>
  <rowBreaks count="1" manualBreakCount="1">
    <brk id="70" max="4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B406-7646-4028-9F19-782174EAD84D}">
  <sheetPr codeName="Sheet20">
    <tabColor rgb="FF7030A0"/>
  </sheetPr>
  <dimension ref="A1"/>
  <sheetViews>
    <sheetView zoomScale="85" zoomScaleNormal="85" workbookViewId="0"/>
  </sheetViews>
  <sheetFormatPr defaultColWidth="5.625" defaultRowHeight="18.75"/>
  <cols>
    <col min="1" max="16384" width="5.625" style="8"/>
  </cols>
  <sheetData>
    <row r="1" spans="1:1">
      <c r="A1" s="9" t="str">
        <f>HYPERLINK("#一覧!A2","一覧へ戻る")</f>
        <v>一覧へ戻る</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タイトル</vt:lpstr>
      <vt:lpstr>改訂履歴</vt:lpstr>
      <vt:lpstr>機能要件一覧</vt:lpstr>
      <vt:lpstr>機能一覧</vt:lpstr>
      <vt:lpstr>勤務承認_old20231121</vt:lpstr>
      <vt:lpstr>(ひな形)</vt:lpstr>
      <vt:lpstr>タイトル!Print_Area</vt:lpstr>
      <vt:lpstr>機能要件一覧!Print_Area</vt:lpstr>
      <vt:lpstr>勤務承認_old20231121!Print_Area</vt:lpstr>
      <vt:lpstr>改訂履歴!Print_Titles</vt:lpstr>
      <vt:lpstr>機能一覧!Print_Titles</vt:lpstr>
      <vt:lpstr>機能要件一覧!Print_Titles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[協]木田 優</cp:lastModifiedBy>
  <cp:lastPrinted>2024-03-11T08:37:04Z</cp:lastPrinted>
  <dcterms:created xsi:type="dcterms:W3CDTF">2016-02-25T12:02:32Z</dcterms:created>
  <dcterms:modified xsi:type="dcterms:W3CDTF">2024-03-13T06:24:46Z</dcterms:modified>
</cp:coreProperties>
</file>
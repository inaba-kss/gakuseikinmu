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B000_要件定義\050_非機能要件\"/>
    </mc:Choice>
  </mc:AlternateContent>
  <xr:revisionPtr revIDLastSave="0" documentId="13_ncr:1_{6355DE4B-6205-4286-BE6A-AE82CEC98223}" xr6:coauthVersionLast="47" xr6:coauthVersionMax="47" xr10:uidLastSave="{00000000-0000-0000-0000-000000000000}"/>
  <bookViews>
    <workbookView xWindow="28680" yWindow="-120" windowWidth="29040" windowHeight="16440" tabRatio="753" activeTab="1" xr2:uid="{00000000-000D-0000-FFFF-FFFF00000000}"/>
  </bookViews>
  <sheets>
    <sheet name="タイトル" sheetId="20" r:id="rId1"/>
    <sheet name="改訂履歴" sheetId="9" r:id="rId2"/>
    <sheet name="目次" sheetId="5" r:id="rId3"/>
    <sheet name="1.信頼性" sheetId="21" r:id="rId4"/>
    <sheet name="2.性能" sheetId="22" r:id="rId5"/>
    <sheet name="3.運用" sheetId="23" r:id="rId6"/>
    <sheet name="4.システム構成" sheetId="1" r:id="rId7"/>
  </sheets>
  <definedNames>
    <definedName name="_Toc94971774" localSheetId="3">'1.信頼性'!#REF!</definedName>
    <definedName name="_Toc94971774" localSheetId="4">'2.性能'!#REF!</definedName>
    <definedName name="_Toc94971774" localSheetId="5">'3.運用'!#REF!</definedName>
    <definedName name="_Toc94971774" localSheetId="6">'4.システム構成'!$D$36</definedName>
    <definedName name="_Toc94971775" localSheetId="3">'1.信頼性'!#REF!</definedName>
    <definedName name="_Toc94971775" localSheetId="4">'2.性能'!#REF!</definedName>
    <definedName name="_Toc94971775" localSheetId="5">'3.運用'!#REF!</definedName>
    <definedName name="_Toc94971775" localSheetId="6">'4.システム構成'!#REF!</definedName>
    <definedName name="_xlnm.Print_Area" localSheetId="3">'1.信頼性'!$A$1:$CP$91</definedName>
    <definedName name="_xlnm.Print_Area" localSheetId="4">'2.性能'!$A$1:$CP$47</definedName>
    <definedName name="_xlnm.Print_Area" localSheetId="5">'3.運用'!$A$1:$CP$47</definedName>
    <definedName name="_xlnm.Print_Area" localSheetId="6">'4.システム構成'!$A$1:$CP$135</definedName>
    <definedName name="_xlnm.Print_Area" localSheetId="0">タイトル!$A$1:$AC$36</definedName>
    <definedName name="_xlnm.Print_Titles" localSheetId="3">'1.信頼性'!$1:$3</definedName>
    <definedName name="_xlnm.Print_Titles" localSheetId="4">'2.性能'!$1:$3</definedName>
    <definedName name="_xlnm.Print_Titles" localSheetId="5">'3.運用'!$1:$3</definedName>
    <definedName name="_xlnm.Print_Titles" localSheetId="6">'4.システム構成'!$1:$3</definedName>
  </definedNames>
  <calcPr calcId="191029"/>
</workbook>
</file>

<file path=xl/calcChain.xml><?xml version="1.0" encoding="utf-8"?>
<calcChain xmlns="http://schemas.openxmlformats.org/spreadsheetml/2006/main">
  <c r="BR5" i="9" l="1"/>
  <c r="AL2" i="23"/>
  <c r="CI1" i="23"/>
  <c r="BK1" i="23"/>
  <c r="AL1" i="23"/>
  <c r="I1" i="23"/>
  <c r="AL2" i="22"/>
  <c r="CI1" i="22"/>
  <c r="BK1" i="22"/>
  <c r="AL1" i="22"/>
  <c r="I1" i="22"/>
  <c r="AL2" i="21"/>
  <c r="CI1" i="21"/>
  <c r="BK1" i="21"/>
  <c r="AL1" i="21"/>
  <c r="I1" i="21"/>
  <c r="G14" i="20" l="1"/>
  <c r="BK1" i="1"/>
  <c r="J5" i="9"/>
  <c r="CI1" i="1"/>
  <c r="AL2" i="1"/>
  <c r="AL1" i="1"/>
  <c r="I1" i="1"/>
  <c r="J29" i="20"/>
  <c r="J27" i="20"/>
  <c r="G20" i="20"/>
  <c r="G17" i="20"/>
  <c r="G11" i="20"/>
  <c r="BU1" i="1" l="1"/>
  <c r="BU1" i="22"/>
  <c r="BU1" i="21"/>
  <c r="BU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300-000001000000}">
      <text>
        <r>
          <rPr>
            <sz val="9"/>
            <color indexed="81"/>
            <rFont val="ＭＳ Ｐゴシック"/>
            <family val="3"/>
            <charset val="128"/>
          </rPr>
          <t>人事システム
給与システム
システム基盤 等を書く</t>
        </r>
      </text>
    </comment>
    <comment ref="B5" authorId="0" shapeId="0" xr:uid="{00000000-0006-0000-0300-000002000000}">
      <text>
        <r>
          <rPr>
            <sz val="9"/>
            <color indexed="81"/>
            <rFont val="ＭＳ Ｐゴシック"/>
            <family val="3"/>
            <charset val="128"/>
          </rPr>
          <t>項番は
MSゴシック 11pt</t>
        </r>
      </text>
    </comment>
    <comment ref="C6" authorId="0" shapeId="0" xr:uid="{00000000-0006-0000-0300-000005000000}">
      <text>
        <r>
          <rPr>
            <sz val="9"/>
            <color indexed="81"/>
            <rFont val="ＭＳ Ｐゴシック"/>
            <family val="3"/>
            <charset val="128"/>
          </rPr>
          <t>項番は
MSゴシック 11pt</t>
        </r>
      </text>
    </comment>
    <comment ref="C31" authorId="0" shapeId="0" xr:uid="{00000000-0006-0000-0300-000006000000}">
      <text>
        <r>
          <rPr>
            <sz val="9"/>
            <color indexed="81"/>
            <rFont val="ＭＳ Ｐゴシック"/>
            <family val="3"/>
            <charset val="128"/>
          </rPr>
          <t>項番は
MSゴシック 11pt</t>
        </r>
      </text>
    </comment>
    <comment ref="C49" authorId="0" shapeId="0" xr:uid="{00000000-0006-0000-0300-000007000000}">
      <text>
        <r>
          <rPr>
            <sz val="9"/>
            <color indexed="81"/>
            <rFont val="ＭＳ Ｐゴシック"/>
            <family val="3"/>
            <charset val="128"/>
          </rPr>
          <t>項番は
MSゴシック 11pt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400-000001000000}">
      <text>
        <r>
          <rPr>
            <sz val="9"/>
            <color indexed="81"/>
            <rFont val="ＭＳ Ｐゴシック"/>
            <family val="3"/>
            <charset val="128"/>
          </rPr>
          <t>人事システム
給与システム
システム基盤 等を書く</t>
        </r>
      </text>
    </comment>
    <comment ref="B5" authorId="0" shapeId="0" xr:uid="{00000000-0006-0000-0400-000002000000}">
      <text>
        <r>
          <rPr>
            <sz val="9"/>
            <color indexed="81"/>
            <rFont val="ＭＳ Ｐゴシック"/>
            <family val="3"/>
            <charset val="128"/>
          </rPr>
          <t>項番は
MSゴシック 11pt</t>
        </r>
      </text>
    </comment>
    <comment ref="C7" authorId="0" shapeId="0" xr:uid="{00000000-0006-0000-0400-000003000000}">
      <text>
        <r>
          <rPr>
            <sz val="9"/>
            <color indexed="81"/>
            <rFont val="ＭＳ Ｐゴシック"/>
            <family val="3"/>
            <charset val="128"/>
          </rPr>
          <t>項番は
MSゴシック 11pt</t>
        </r>
      </text>
    </comment>
    <comment ref="C14" authorId="0" shapeId="0" xr:uid="{00000000-0006-0000-0400-000005000000}">
      <text>
        <r>
          <rPr>
            <sz val="9"/>
            <color indexed="81"/>
            <rFont val="ＭＳ Ｐゴシック"/>
            <family val="3"/>
            <charset val="128"/>
          </rPr>
          <t>項番は
MSゴシック 11pt</t>
        </r>
      </text>
    </comment>
    <comment ref="C22" authorId="0" shapeId="0" xr:uid="{00000000-0006-0000-0400-000006000000}">
      <text>
        <r>
          <rPr>
            <sz val="9"/>
            <color indexed="81"/>
            <rFont val="ＭＳ Ｐゴシック"/>
            <family val="3"/>
            <charset val="128"/>
          </rPr>
          <t>項番は
MSゴシック 11pt</t>
        </r>
      </text>
    </comment>
    <comment ref="C30" authorId="0" shapeId="0" xr:uid="{00000000-0006-0000-0400-000009000000}">
      <text>
        <r>
          <rPr>
            <sz val="9"/>
            <color indexed="81"/>
            <rFont val="ＭＳ Ｐゴシック"/>
            <family val="3"/>
            <charset val="128"/>
          </rPr>
          <t>項番は
MSゴシック 11pt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500-000001000000}">
      <text>
        <r>
          <rPr>
            <sz val="9"/>
            <color indexed="81"/>
            <rFont val="ＭＳ Ｐゴシック"/>
            <family val="3"/>
            <charset val="128"/>
          </rPr>
          <t>人事システム
給与システム
システム基盤 等を書く</t>
        </r>
      </text>
    </comment>
    <comment ref="B5" authorId="0" shapeId="0" xr:uid="{00000000-0006-0000-0500-000002000000}">
      <text>
        <r>
          <rPr>
            <sz val="9"/>
            <color indexed="81"/>
            <rFont val="ＭＳ Ｐゴシック"/>
            <family val="3"/>
            <charset val="128"/>
          </rPr>
          <t>項番は
MSゴシック 11pt</t>
        </r>
      </text>
    </comment>
    <comment ref="C7" authorId="0" shapeId="0" xr:uid="{00000000-0006-0000-0500-000003000000}">
      <text>
        <r>
          <rPr>
            <sz val="9"/>
            <color indexed="81"/>
            <rFont val="ＭＳ Ｐゴシック"/>
            <family val="3"/>
            <charset val="128"/>
          </rPr>
          <t>項番は
MSゴシック 11pt</t>
        </r>
      </text>
    </comment>
    <comment ref="C12" authorId="0" shapeId="0" xr:uid="{00000000-0006-0000-0500-000004000000}">
      <text>
        <r>
          <rPr>
            <sz val="9"/>
            <color indexed="81"/>
            <rFont val="ＭＳ Ｐゴシック"/>
            <family val="3"/>
            <charset val="128"/>
          </rPr>
          <t>項番は
MSゴシック 11pt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600-000001000000}">
      <text>
        <r>
          <rPr>
            <sz val="9"/>
            <color indexed="81"/>
            <rFont val="ＭＳ Ｐゴシック"/>
            <family val="3"/>
            <charset val="128"/>
          </rPr>
          <t>人事システム
給与システム
システム基盤 等を書く</t>
        </r>
      </text>
    </comment>
    <comment ref="B5" authorId="0" shapeId="0" xr:uid="{00000000-0006-0000-0600-000002000000}">
      <text>
        <r>
          <rPr>
            <sz val="9"/>
            <color indexed="81"/>
            <rFont val="ＭＳ Ｐゴシック"/>
            <family val="3"/>
            <charset val="128"/>
          </rPr>
          <t>項番は
MSゴシック 11pt</t>
        </r>
      </text>
    </comment>
    <comment ref="C7" authorId="0" shapeId="0" xr:uid="{00000000-0006-0000-0600-000003000000}">
      <text>
        <r>
          <rPr>
            <sz val="9"/>
            <color indexed="81"/>
            <rFont val="ＭＳ Ｐゴシック"/>
            <family val="3"/>
            <charset val="128"/>
          </rPr>
          <t>項番は
MSゴシック 11pt</t>
        </r>
      </text>
    </comment>
    <comment ref="D9" authorId="0" shapeId="0" xr:uid="{00000000-0006-0000-0600-000004000000}">
      <text>
        <r>
          <rPr>
            <sz val="9"/>
            <color indexed="81"/>
            <rFont val="ＭＳ Ｐゴシック"/>
            <family val="3"/>
            <charset val="128"/>
          </rPr>
          <t>本文は
MS明朝 10pt</t>
        </r>
      </text>
    </comment>
    <comment ref="C49" authorId="0" shapeId="0" xr:uid="{00000000-0006-0000-0600-000005000000}">
      <text>
        <r>
          <rPr>
            <sz val="9"/>
            <color indexed="81"/>
            <rFont val="ＭＳ Ｐゴシック"/>
            <family val="3"/>
            <charset val="128"/>
          </rPr>
          <t>項番は
MSゴシック 11pt</t>
        </r>
      </text>
    </comment>
    <comment ref="D51" authorId="0" shapeId="0" xr:uid="{00000000-0006-0000-0600-000006000000}">
      <text>
        <r>
          <rPr>
            <sz val="9"/>
            <color indexed="81"/>
            <rFont val="ＭＳ Ｐゴシック"/>
            <family val="3"/>
            <charset val="128"/>
          </rPr>
          <t>本文は
MS明朝 10pt</t>
        </r>
      </text>
    </comment>
  </commentList>
</comments>
</file>

<file path=xl/sharedStrings.xml><?xml version="1.0" encoding="utf-8"?>
<sst xmlns="http://schemas.openxmlformats.org/spreadsheetml/2006/main" count="403" uniqueCount="267">
  <si>
    <t>新規作成</t>
    <rPh sb="0" eb="2">
      <t>シンキ</t>
    </rPh>
    <rPh sb="2" eb="4">
      <t>サクセイ</t>
    </rPh>
    <phoneticPr fontId="3"/>
  </si>
  <si>
    <t>画面</t>
    <rPh sb="0" eb="2">
      <t>ガメン</t>
    </rPh>
    <phoneticPr fontId="3"/>
  </si>
  <si>
    <t>作　成</t>
    <rPh sb="0" eb="1">
      <t>サク</t>
    </rPh>
    <rPh sb="2" eb="3">
      <t>シゲル</t>
    </rPh>
    <phoneticPr fontId="3"/>
  </si>
  <si>
    <t>改　訂</t>
    <rPh sb="0" eb="1">
      <t>アラタ</t>
    </rPh>
    <rPh sb="2" eb="3">
      <t>テイ</t>
    </rPh>
    <phoneticPr fontId="3"/>
  </si>
  <si>
    <t>工　　　　程</t>
    <rPh sb="0" eb="1">
      <t>コウ</t>
    </rPh>
    <rPh sb="5" eb="6">
      <t>ホド</t>
    </rPh>
    <phoneticPr fontId="3"/>
  </si>
  <si>
    <t>ドキュメント</t>
    <phoneticPr fontId="3"/>
  </si>
  <si>
    <t>見出し部タイトル制御テーブル</t>
    <rPh sb="0" eb="2">
      <t>ミダ</t>
    </rPh>
    <rPh sb="3" eb="4">
      <t>ブ</t>
    </rPh>
    <rPh sb="8" eb="10">
      <t>セイギョ</t>
    </rPh>
    <phoneticPr fontId="3"/>
  </si>
  <si>
    <t>タイトル項目</t>
    <rPh sb="4" eb="6">
      <t>コウモク</t>
    </rPh>
    <phoneticPr fontId="3"/>
  </si>
  <si>
    <t>タイトル項目埋め込み内容</t>
    <rPh sb="4" eb="6">
      <t>コウモク</t>
    </rPh>
    <rPh sb="6" eb="7">
      <t>ウ</t>
    </rPh>
    <rPh sb="8" eb="9">
      <t>コ</t>
    </rPh>
    <rPh sb="10" eb="12">
      <t>ナイヨウ</t>
    </rPh>
    <phoneticPr fontId="3"/>
  </si>
  <si>
    <t>　①システム名</t>
    <rPh sb="6" eb="7">
      <t>メイ</t>
    </rPh>
    <phoneticPr fontId="3"/>
  </si>
  <si>
    <t>　②サブシステム名</t>
    <rPh sb="8" eb="9">
      <t>メイ</t>
    </rPh>
    <phoneticPr fontId="3"/>
  </si>
  <si>
    <t>　③分類名</t>
    <rPh sb="2" eb="4">
      <t>ブンルイ</t>
    </rPh>
    <rPh sb="4" eb="5">
      <t>メイ</t>
    </rPh>
    <phoneticPr fontId="3"/>
  </si>
  <si>
    <t>　④作業工程名</t>
    <rPh sb="2" eb="4">
      <t>サギョウ</t>
    </rPh>
    <rPh sb="4" eb="6">
      <t>コウテイ</t>
    </rPh>
    <rPh sb="6" eb="7">
      <t>メイ</t>
    </rPh>
    <phoneticPr fontId="3"/>
  </si>
  <si>
    <t>　⑤ドキュメント代表名</t>
    <rPh sb="8" eb="10">
      <t>ダイヒョウ</t>
    </rPh>
    <rPh sb="10" eb="11">
      <t>メイ</t>
    </rPh>
    <phoneticPr fontId="3"/>
  </si>
  <si>
    <t>　⑥ドキュメント詳細名</t>
    <rPh sb="8" eb="10">
      <t>ショウサイ</t>
    </rPh>
    <rPh sb="10" eb="11">
      <t>メイ</t>
    </rPh>
    <phoneticPr fontId="3"/>
  </si>
  <si>
    <t>　※ページ毎に個別入力</t>
    <rPh sb="5" eb="6">
      <t>ゴト</t>
    </rPh>
    <rPh sb="7" eb="9">
      <t>コベツ</t>
    </rPh>
    <rPh sb="9" eb="11">
      <t>ニュウリョク</t>
    </rPh>
    <phoneticPr fontId="3"/>
  </si>
  <si>
    <t>　⑦作成者</t>
    <rPh sb="2" eb="5">
      <t>サクセイシャ</t>
    </rPh>
    <phoneticPr fontId="3"/>
  </si>
  <si>
    <t>　⑧作成日</t>
    <rPh sb="2" eb="5">
      <t>サクセイビ</t>
    </rPh>
    <phoneticPr fontId="3"/>
  </si>
  <si>
    <t>　⑦改定者</t>
    <rPh sb="2" eb="4">
      <t>カイテイ</t>
    </rPh>
    <rPh sb="4" eb="5">
      <t>シャ</t>
    </rPh>
    <phoneticPr fontId="3"/>
  </si>
  <si>
    <t>　⑧改定日</t>
    <rPh sb="2" eb="4">
      <t>カイテイ</t>
    </rPh>
    <rPh sb="4" eb="5">
      <t>ビ</t>
    </rPh>
    <phoneticPr fontId="3"/>
  </si>
  <si>
    <t>　⑨管理記号</t>
    <rPh sb="2" eb="4">
      <t>カンリ</t>
    </rPh>
    <rPh sb="4" eb="6">
      <t>キゴウ</t>
    </rPh>
    <phoneticPr fontId="3"/>
  </si>
  <si>
    <t>　⑩Ｖｅｒ</t>
    <phoneticPr fontId="3"/>
  </si>
  <si>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3"/>
  </si>
  <si>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3"/>
  </si>
  <si>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3"/>
  </si>
  <si>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3"/>
  </si>
  <si>
    <t>（注5）　ドキュメントＩＤの付け方</t>
    <rPh sb="1" eb="2">
      <t>チュウ</t>
    </rPh>
    <rPh sb="14" eb="15">
      <t>ツ</t>
    </rPh>
    <rPh sb="16" eb="17">
      <t>カタ</t>
    </rPh>
    <phoneticPr fontId="3"/>
  </si>
  <si>
    <t>管理記号-分類区分（任意に設定）</t>
    <rPh sb="0" eb="2">
      <t>カンリ</t>
    </rPh>
    <rPh sb="2" eb="4">
      <t>キゴウ</t>
    </rPh>
    <rPh sb="5" eb="7">
      <t>ブンルイ</t>
    </rPh>
    <rPh sb="7" eb="9">
      <t>クブン</t>
    </rPh>
    <rPh sb="10" eb="12">
      <t>ニンイ</t>
    </rPh>
    <rPh sb="13" eb="15">
      <t>セッテイ</t>
    </rPh>
    <phoneticPr fontId="3"/>
  </si>
  <si>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3"/>
  </si>
  <si>
    <t>(注6）　システム階層の概要</t>
    <rPh sb="1" eb="2">
      <t>チュウ</t>
    </rPh>
    <rPh sb="9" eb="11">
      <t>カイソウ</t>
    </rPh>
    <rPh sb="12" eb="14">
      <t>ガイヨウ</t>
    </rPh>
    <phoneticPr fontId="3"/>
  </si>
  <si>
    <t>機能名</t>
    <rPh sb="0" eb="2">
      <t>キノウ</t>
    </rPh>
    <rPh sb="2" eb="3">
      <t>メイ</t>
    </rPh>
    <phoneticPr fontId="3"/>
  </si>
  <si>
    <t>処理名</t>
    <rPh sb="0" eb="2">
      <t>ショリ</t>
    </rPh>
    <rPh sb="2" eb="3">
      <t>メイ</t>
    </rPh>
    <phoneticPr fontId="3"/>
  </si>
  <si>
    <t>　</t>
    <phoneticPr fontId="3"/>
  </si>
  <si>
    <t>　</t>
    <phoneticPr fontId="3"/>
  </si>
  <si>
    <t>⇒</t>
    <phoneticPr fontId="3"/>
  </si>
  <si>
    <t>Apache Tomcat</t>
    <phoneticPr fontId="3"/>
  </si>
  <si>
    <t>－</t>
    <phoneticPr fontId="3"/>
  </si>
  <si>
    <t>改訂履歴</t>
    <rPh sb="0" eb="2">
      <t>カイテイ</t>
    </rPh>
    <rPh sb="2" eb="4">
      <t>リレキ</t>
    </rPh>
    <phoneticPr fontId="3"/>
  </si>
  <si>
    <t>管理記号</t>
    <rPh sb="0" eb="2">
      <t>カンリ</t>
    </rPh>
    <rPh sb="2" eb="4">
      <t>キゴウ</t>
    </rPh>
    <phoneticPr fontId="3"/>
  </si>
  <si>
    <t>新規</t>
    <rPh sb="0" eb="2">
      <t>シンキ</t>
    </rPh>
    <phoneticPr fontId="3"/>
  </si>
  <si>
    <t>既設</t>
    <rPh sb="0" eb="2">
      <t>キセツ</t>
    </rPh>
    <phoneticPr fontId="3"/>
  </si>
  <si>
    <t>本システムを構築するに当たって、ハードウェア構成は次の通りとする。</t>
    <rPh sb="0" eb="1">
      <t>ホン</t>
    </rPh>
    <rPh sb="6" eb="8">
      <t>コウチク</t>
    </rPh>
    <rPh sb="11" eb="12">
      <t>ア</t>
    </rPh>
    <rPh sb="22" eb="24">
      <t>コウセイ</t>
    </rPh>
    <rPh sb="25" eb="26">
      <t>ツギ</t>
    </rPh>
    <rPh sb="27" eb="28">
      <t>トオ</t>
    </rPh>
    <phoneticPr fontId="3"/>
  </si>
  <si>
    <t>本システムを構築するに当たって、ソフトウェア構成は次の通りとする。</t>
    <rPh sb="0" eb="1">
      <t>ホン</t>
    </rPh>
    <rPh sb="6" eb="8">
      <t>コウチク</t>
    </rPh>
    <rPh sb="11" eb="12">
      <t>ア</t>
    </rPh>
    <rPh sb="22" eb="24">
      <t>コウセイ</t>
    </rPh>
    <rPh sb="25" eb="26">
      <t>ツギ</t>
    </rPh>
    <rPh sb="27" eb="28">
      <t>トオ</t>
    </rPh>
    <phoneticPr fontId="3"/>
  </si>
  <si>
    <t>目次</t>
    <rPh sb="0" eb="1">
      <t>メ</t>
    </rPh>
    <rPh sb="1" eb="2">
      <t>ツギ</t>
    </rPh>
    <phoneticPr fontId="3"/>
  </si>
  <si>
    <t>･･･</t>
    <phoneticPr fontId="3"/>
  </si>
  <si>
    <t>･･･</t>
    <phoneticPr fontId="3"/>
  </si>
  <si>
    <t>名称</t>
    <rPh sb="0" eb="2">
      <t>メイショウ</t>
    </rPh>
    <phoneticPr fontId="3"/>
  </si>
  <si>
    <t>OS</t>
    <phoneticPr fontId="3"/>
  </si>
  <si>
    <t>ミドルウェア</t>
    <phoneticPr fontId="3"/>
  </si>
  <si>
    <t>用途</t>
    <rPh sb="0" eb="2">
      <t>ヨウト</t>
    </rPh>
    <phoneticPr fontId="3"/>
  </si>
  <si>
    <t>分類</t>
    <rPh sb="0" eb="2">
      <t>ブンルイ</t>
    </rPh>
    <phoneticPr fontId="3"/>
  </si>
  <si>
    <t>データベース</t>
    <phoneticPr fontId="3"/>
  </si>
  <si>
    <t>Apache</t>
    <phoneticPr fontId="3"/>
  </si>
  <si>
    <t>Microsoft</t>
    <phoneticPr fontId="3"/>
  </si>
  <si>
    <t>弊社</t>
    <rPh sb="0" eb="2">
      <t>ヘイシャ</t>
    </rPh>
    <phoneticPr fontId="3"/>
  </si>
  <si>
    <t>変更日</t>
    <rPh sb="0" eb="3">
      <t>ヘンコウビ</t>
    </rPh>
    <phoneticPr fontId="3"/>
  </si>
  <si>
    <t>区分</t>
    <rPh sb="0" eb="2">
      <t>クブン</t>
    </rPh>
    <phoneticPr fontId="3"/>
  </si>
  <si>
    <t>変更箇所</t>
    <rPh sb="0" eb="2">
      <t>ヘンコウ</t>
    </rPh>
    <rPh sb="2" eb="4">
      <t>カショ</t>
    </rPh>
    <phoneticPr fontId="3"/>
  </si>
  <si>
    <t>変更内容</t>
    <rPh sb="0" eb="2">
      <t>ヘンコウ</t>
    </rPh>
    <rPh sb="2" eb="4">
      <t>ナイヨウ</t>
    </rPh>
    <phoneticPr fontId="3"/>
  </si>
  <si>
    <t>変更者</t>
    <rPh sb="0" eb="2">
      <t>ヘンコウ</t>
    </rPh>
    <rPh sb="2" eb="3">
      <t>シャ</t>
    </rPh>
    <phoneticPr fontId="3"/>
  </si>
  <si>
    <t>頁</t>
    <rPh sb="0" eb="1">
      <t>ページ</t>
    </rPh>
    <phoneticPr fontId="3"/>
  </si>
  <si>
    <t>項番</t>
    <rPh sb="0" eb="1">
      <t>コウ</t>
    </rPh>
    <rPh sb="1" eb="2">
      <t>バン</t>
    </rPh>
    <phoneticPr fontId="3"/>
  </si>
  <si>
    <t>No</t>
    <phoneticPr fontId="3"/>
  </si>
  <si>
    <t>システム名</t>
    <rPh sb="4" eb="5">
      <t>メイ</t>
    </rPh>
    <phoneticPr fontId="3"/>
  </si>
  <si>
    <t>サブシステム名</t>
    <rPh sb="6" eb="7">
      <t>メイ</t>
    </rPh>
    <phoneticPr fontId="3"/>
  </si>
  <si>
    <t>Ver</t>
    <phoneticPr fontId="3"/>
  </si>
  <si>
    <t>ミドルウェア</t>
    <phoneticPr fontId="3"/>
  </si>
  <si>
    <t>ブラウザ</t>
    <phoneticPr fontId="3"/>
  </si>
  <si>
    <t>業務アプリケーション</t>
    <rPh sb="0" eb="2">
      <t>ギョウム</t>
    </rPh>
    <phoneticPr fontId="3"/>
  </si>
  <si>
    <t>開発物件</t>
    <rPh sb="0" eb="2">
      <t>カイハツ</t>
    </rPh>
    <rPh sb="2" eb="4">
      <t>ブッケン</t>
    </rPh>
    <phoneticPr fontId="3"/>
  </si>
  <si>
    <t>②－１　各サーバから稼動確認メッセージ返信</t>
    <rPh sb="4" eb="5">
      <t>カク</t>
    </rPh>
    <rPh sb="10" eb="12">
      <t>カドウ</t>
    </rPh>
    <rPh sb="12" eb="14">
      <t>カクニン</t>
    </rPh>
    <rPh sb="19" eb="21">
      <t>ヘンシン</t>
    </rPh>
    <phoneticPr fontId="3"/>
  </si>
  <si>
    <t>②－２　障害が発生し稼動確認メッセージが返信できない</t>
    <rPh sb="4" eb="6">
      <t>ショウガイ</t>
    </rPh>
    <rPh sb="7" eb="9">
      <t>ハッセイ</t>
    </rPh>
    <rPh sb="10" eb="12">
      <t>カドウ</t>
    </rPh>
    <rPh sb="12" eb="14">
      <t>カクニン</t>
    </rPh>
    <rPh sb="20" eb="22">
      <t>ヘンシン</t>
    </rPh>
    <phoneticPr fontId="3"/>
  </si>
  <si>
    <t>本番環境</t>
    <rPh sb="0" eb="2">
      <t>ホンバン</t>
    </rPh>
    <rPh sb="2" eb="4">
      <t>カンキョウ</t>
    </rPh>
    <phoneticPr fontId="3"/>
  </si>
  <si>
    <t>テスト環境</t>
    <rPh sb="3" eb="5">
      <t>カンキョウ</t>
    </rPh>
    <phoneticPr fontId="3"/>
  </si>
  <si>
    <t>Mozilla</t>
    <phoneticPr fontId="3"/>
  </si>
  <si>
    <t>参考)</t>
    <rPh sb="0" eb="2">
      <t>サンコウ</t>
    </rPh>
    <phoneticPr fontId="3"/>
  </si>
  <si>
    <t>※1</t>
    <phoneticPr fontId="3"/>
  </si>
  <si>
    <t>※テスト環境のサーバーは保守でも利用する。</t>
    <rPh sb="4" eb="6">
      <t>カンキョウ</t>
    </rPh>
    <rPh sb="12" eb="14">
      <t>ホシュ</t>
    </rPh>
    <rPh sb="16" eb="18">
      <t>リヨウ</t>
    </rPh>
    <phoneticPr fontId="3"/>
  </si>
  <si>
    <t>①　監視サーバより稼動確認メッセージ送信</t>
    <rPh sb="2" eb="4">
      <t>カンシ</t>
    </rPh>
    <rPh sb="9" eb="11">
      <t>カドウ</t>
    </rPh>
    <rPh sb="11" eb="13">
      <t>カクニン</t>
    </rPh>
    <rPh sb="18" eb="20">
      <t>ソウシン</t>
    </rPh>
    <phoneticPr fontId="3"/>
  </si>
  <si>
    <t>教務システム</t>
    <rPh sb="0" eb="2">
      <t>キョウム</t>
    </rPh>
    <phoneticPr fontId="3"/>
  </si>
  <si>
    <t>システム設計精査業務</t>
    <rPh sb="4" eb="6">
      <t>セッケイ</t>
    </rPh>
    <rPh sb="6" eb="8">
      <t>セイサ</t>
    </rPh>
    <rPh sb="8" eb="10">
      <t>ギョウム</t>
    </rPh>
    <phoneticPr fontId="3"/>
  </si>
  <si>
    <t>延長サポート終了日</t>
    <rPh sb="0" eb="2">
      <t>エンチョウ</t>
    </rPh>
    <rPh sb="6" eb="9">
      <t>シュウリョウビ</t>
    </rPh>
    <phoneticPr fontId="3"/>
  </si>
  <si>
    <t>メーカー</t>
    <phoneticPr fontId="3"/>
  </si>
  <si>
    <t>スケジュール</t>
    <phoneticPr fontId="3"/>
  </si>
  <si>
    <t>毎日</t>
    <rPh sb="0" eb="2">
      <t>マイニチ</t>
    </rPh>
    <phoneticPr fontId="3"/>
  </si>
  <si>
    <t>オンライン</t>
    <phoneticPr fontId="3"/>
  </si>
  <si>
    <t>業務で必要な夜間処理を行う。</t>
    <rPh sb="0" eb="2">
      <t>ギョウム</t>
    </rPh>
    <rPh sb="3" eb="5">
      <t>ヒツヨウ</t>
    </rPh>
    <rPh sb="6" eb="10">
      <t>ヤカンショリ</t>
    </rPh>
    <rPh sb="11" eb="12">
      <t>オコナ</t>
    </rPh>
    <phoneticPr fontId="3"/>
  </si>
  <si>
    <t>信頼性・性能・運用設計</t>
    <rPh sb="0" eb="3">
      <t>シンライセイ</t>
    </rPh>
    <rPh sb="4" eb="6">
      <t>セイノウ</t>
    </rPh>
    <rPh sb="7" eb="9">
      <t>ウンヨウ</t>
    </rPh>
    <rPh sb="9" eb="11">
      <t>シンライセッケイ</t>
    </rPh>
    <phoneticPr fontId="3"/>
  </si>
  <si>
    <t>１．　信頼性</t>
    <rPh sb="3" eb="6">
      <t>シンライセイ</t>
    </rPh>
    <phoneticPr fontId="3"/>
  </si>
  <si>
    <t>２．　性能</t>
    <rPh sb="3" eb="5">
      <t>セイノウ</t>
    </rPh>
    <phoneticPr fontId="3"/>
  </si>
  <si>
    <t>３．　システム運用</t>
    <rPh sb="7" eb="9">
      <t>ウンヨウ</t>
    </rPh>
    <phoneticPr fontId="3"/>
  </si>
  <si>
    <t>４．　システム構成</t>
    <rPh sb="7" eb="9">
      <t>コウセイ</t>
    </rPh>
    <phoneticPr fontId="3"/>
  </si>
  <si>
    <t>３．１　サービス時間</t>
    <rPh sb="8" eb="10">
      <t>ジカン</t>
    </rPh>
    <phoneticPr fontId="3"/>
  </si>
  <si>
    <t>３．２　夜間処理</t>
    <rPh sb="4" eb="8">
      <t>ヤカンショリ</t>
    </rPh>
    <phoneticPr fontId="3"/>
  </si>
  <si>
    <t>４．１　ハードウェア構成</t>
    <rPh sb="10" eb="12">
      <t>コウセイ</t>
    </rPh>
    <phoneticPr fontId="3"/>
  </si>
  <si>
    <t>４．２　ソフトウェア構成</t>
    <rPh sb="10" eb="12">
      <t>コウセイ</t>
    </rPh>
    <phoneticPr fontId="3"/>
  </si>
  <si>
    <t>１.　信頼性</t>
    <rPh sb="3" eb="6">
      <t>シンライセイ</t>
    </rPh>
    <phoneticPr fontId="3"/>
  </si>
  <si>
    <t>２.　性能</t>
    <rPh sb="3" eb="5">
      <t>セイノウ</t>
    </rPh>
    <phoneticPr fontId="3"/>
  </si>
  <si>
    <t>３.　システム運用</t>
    <rPh sb="7" eb="9">
      <t>ウンヨウ</t>
    </rPh>
    <phoneticPr fontId="3"/>
  </si>
  <si>
    <t>４.　システム構成</t>
    <rPh sb="7" eb="9">
      <t>コウセイ</t>
    </rPh>
    <phoneticPr fontId="3"/>
  </si>
  <si>
    <t>２．１　APサーバーの性能目標</t>
    <rPh sb="11" eb="13">
      <t>セイノウ</t>
    </rPh>
    <rPh sb="13" eb="15">
      <t>モクヒョウ</t>
    </rPh>
    <phoneticPr fontId="3"/>
  </si>
  <si>
    <t>バッチ処理時間</t>
    <rPh sb="3" eb="5">
      <t>ショリ</t>
    </rPh>
    <rPh sb="5" eb="7">
      <t>ジカン</t>
    </rPh>
    <phoneticPr fontId="3"/>
  </si>
  <si>
    <t>Webレスポンスタイム</t>
    <phoneticPr fontId="3"/>
  </si>
  <si>
    <t>CPU</t>
    <phoneticPr fontId="3"/>
  </si>
  <si>
    <t>メモリ</t>
    <phoneticPr fontId="3"/>
  </si>
  <si>
    <t>ディスク</t>
    <phoneticPr fontId="3"/>
  </si>
  <si>
    <t>２．３　APサーバーの必要性能</t>
    <rPh sb="11" eb="13">
      <t>ヒツヨウ</t>
    </rPh>
    <rPh sb="13" eb="14">
      <t>セイ</t>
    </rPh>
    <rPh sb="14" eb="15">
      <t>ノウ</t>
    </rPh>
    <phoneticPr fontId="3"/>
  </si>
  <si>
    <t>16ギガバイト</t>
    <phoneticPr fontId="3"/>
  </si>
  <si>
    <t>２．４　DBサーバーの性能目標</t>
    <rPh sb="11" eb="13">
      <t>セイノウ</t>
    </rPh>
    <rPh sb="13" eb="15">
      <t>モクヒョウ</t>
    </rPh>
    <phoneticPr fontId="3"/>
  </si>
  <si>
    <t>DBMS</t>
    <phoneticPr fontId="3"/>
  </si>
  <si>
    <t>RFP より、以下の時間を夜間バッチの目標値として運用設計を行う。</t>
    <rPh sb="7" eb="9">
      <t>イカ</t>
    </rPh>
    <rPh sb="10" eb="12">
      <t>ジカン</t>
    </rPh>
    <rPh sb="13" eb="15">
      <t>ヤカン</t>
    </rPh>
    <rPh sb="19" eb="21">
      <t>モクヒョウ</t>
    </rPh>
    <rPh sb="21" eb="22">
      <t>チ</t>
    </rPh>
    <rPh sb="25" eb="27">
      <t>ウンヨウ</t>
    </rPh>
    <rPh sb="27" eb="29">
      <t>セッケイ</t>
    </rPh>
    <rPh sb="30" eb="31">
      <t>オコナ</t>
    </rPh>
    <phoneticPr fontId="3"/>
  </si>
  <si>
    <t>RFP より、以下の数値を目標値として性能設計を行う。</t>
    <rPh sb="7" eb="9">
      <t>イカ</t>
    </rPh>
    <rPh sb="10" eb="12">
      <t>スウチ</t>
    </rPh>
    <rPh sb="13" eb="15">
      <t>モクヒョウ</t>
    </rPh>
    <rPh sb="15" eb="16">
      <t>チ</t>
    </rPh>
    <rPh sb="19" eb="21">
      <t>セイノウ</t>
    </rPh>
    <rPh sb="21" eb="23">
      <t>セッケイ</t>
    </rPh>
    <rPh sb="24" eb="25">
      <t>オコナ</t>
    </rPh>
    <phoneticPr fontId="3"/>
  </si>
  <si>
    <t>Apache HTTPD</t>
    <phoneticPr fontId="3"/>
  </si>
  <si>
    <t>弊社フレームワーク</t>
    <rPh sb="0" eb="2">
      <t>ヘイシャ</t>
    </rPh>
    <phoneticPr fontId="3"/>
  </si>
  <si>
    <t>150ギガバイト</t>
    <phoneticPr fontId="3"/>
  </si>
  <si>
    <t>DUC060</t>
    <phoneticPr fontId="3"/>
  </si>
  <si>
    <t>Apple</t>
    <phoneticPr fontId="3"/>
  </si>
  <si>
    <t>開講システム</t>
    <rPh sb="0" eb="2">
      <t>カイコウ</t>
    </rPh>
    <phoneticPr fontId="3"/>
  </si>
  <si>
    <t>登録システム</t>
    <rPh sb="0" eb="2">
      <t>トウロク</t>
    </rPh>
    <phoneticPr fontId="3"/>
  </si>
  <si>
    <t>学籍システム</t>
    <rPh sb="0" eb="2">
      <t>ガクセキ</t>
    </rPh>
    <phoneticPr fontId="3"/>
  </si>
  <si>
    <t>学生勤務管理システム</t>
    <rPh sb="0" eb="6">
      <t>ガクセイキンムカンリ</t>
    </rPh>
    <phoneticPr fontId="3"/>
  </si>
  <si>
    <t>木田　優</t>
    <rPh sb="0" eb="2">
      <t>キダ</t>
    </rPh>
    <rPh sb="3" eb="4">
      <t>マサル</t>
    </rPh>
    <phoneticPr fontId="3"/>
  </si>
  <si>
    <t>【 Ver 1.0 】</t>
    <phoneticPr fontId="3"/>
  </si>
  <si>
    <t>通常5秒以内、最大15秒以内</t>
    <phoneticPr fontId="3"/>
  </si>
  <si>
    <t>全バッチを数時間（夜間）で終了すること</t>
    <rPh sb="0" eb="1">
      <t>ゼン</t>
    </rPh>
    <rPh sb="5" eb="6">
      <t>スウ</t>
    </rPh>
    <rPh sb="6" eb="8">
      <t>ジカン</t>
    </rPh>
    <rPh sb="9" eb="11">
      <t>ヤカン</t>
    </rPh>
    <rPh sb="13" eb="15">
      <t>シュウリョウ</t>
    </rPh>
    <phoneticPr fontId="3"/>
  </si>
  <si>
    <t>２．５　DBサーバーの必要性能</t>
    <rPh sb="11" eb="13">
      <t>ヒツヨウ</t>
    </rPh>
    <rPh sb="13" eb="14">
      <t>セイ</t>
    </rPh>
    <rPh sb="14" eb="15">
      <t>ノウ</t>
    </rPh>
    <phoneticPr fontId="3"/>
  </si>
  <si>
    <t>8コア</t>
    <phoneticPr fontId="3"/>
  </si>
  <si>
    <t>システム SAS 150ギガバイト</t>
    <phoneticPr fontId="3"/>
  </si>
  <si>
    <t>32ギガバイト</t>
    <phoneticPr fontId="3"/>
  </si>
  <si>
    <t>検証環境も同一サーバー内に構築する。</t>
    <rPh sb="0" eb="2">
      <t>ケンショウ</t>
    </rPh>
    <rPh sb="2" eb="4">
      <t>カンキョウ</t>
    </rPh>
    <rPh sb="5" eb="7">
      <t>ドウイツ</t>
    </rPh>
    <rPh sb="11" eb="12">
      <t>ナイ</t>
    </rPh>
    <rPh sb="13" eb="15">
      <t>コウチク</t>
    </rPh>
    <phoneticPr fontId="3"/>
  </si>
  <si>
    <t>APサーバー</t>
    <phoneticPr fontId="3"/>
  </si>
  <si>
    <t>学生勤務データベース</t>
    <rPh sb="0" eb="2">
      <t>ガクセイ</t>
    </rPh>
    <rPh sb="2" eb="4">
      <t>キンム</t>
    </rPh>
    <phoneticPr fontId="3"/>
  </si>
  <si>
    <t>OS および ブラウザ 以外は、弊社で用意したソフトウェアを導入する。</t>
    <rPh sb="12" eb="14">
      <t>イガイ</t>
    </rPh>
    <phoneticPr fontId="3"/>
  </si>
  <si>
    <t>Windows</t>
    <phoneticPr fontId="3"/>
  </si>
  <si>
    <t>デスクトップOS</t>
    <phoneticPr fontId="3"/>
  </si>
  <si>
    <t>Safari</t>
    <phoneticPr fontId="3"/>
  </si>
  <si>
    <t>116以上</t>
    <rPh sb="3" eb="5">
      <t>イジョウ</t>
    </rPh>
    <phoneticPr fontId="3"/>
  </si>
  <si>
    <t>16.6以上</t>
    <rPh sb="4" eb="6">
      <t>イジョウ</t>
    </rPh>
    <phoneticPr fontId="3"/>
  </si>
  <si>
    <t>117以上</t>
    <rPh sb="3" eb="5">
      <t>イジョウ</t>
    </rPh>
    <phoneticPr fontId="3"/>
  </si>
  <si>
    <t>クライアントの選定はRFPより。</t>
    <rPh sb="7" eb="9">
      <t>センテイ</t>
    </rPh>
    <phoneticPr fontId="3"/>
  </si>
  <si>
    <t>※2</t>
    <phoneticPr fontId="3"/>
  </si>
  <si>
    <t>OSバージョンで「～以上」となっているものについて、本番稼働後にリリースされたバージョンの検証を行う場合は、別途検証が必要になります。</t>
    <rPh sb="10" eb="12">
      <t>イジョウ</t>
    </rPh>
    <rPh sb="26" eb="28">
      <t>ホンバン</t>
    </rPh>
    <rPh sb="28" eb="30">
      <t>カドウ</t>
    </rPh>
    <rPh sb="30" eb="31">
      <t>ゴ</t>
    </rPh>
    <rPh sb="45" eb="47">
      <t>ケンショウ</t>
    </rPh>
    <rPh sb="48" eb="49">
      <t>オコナ</t>
    </rPh>
    <rPh sb="50" eb="52">
      <t>バアイ</t>
    </rPh>
    <rPh sb="54" eb="56">
      <t>ベット</t>
    </rPh>
    <rPh sb="56" eb="58">
      <t>ケンショウ</t>
    </rPh>
    <rPh sb="59" eb="61">
      <t>ヒツヨウ</t>
    </rPh>
    <phoneticPr fontId="3"/>
  </si>
  <si>
    <r>
      <t>バージョン</t>
    </r>
    <r>
      <rPr>
        <vertAlign val="superscript"/>
        <sz val="10"/>
        <rFont val="ＭＳ 明朝"/>
        <family val="1"/>
        <charset val="128"/>
      </rPr>
      <t>※2</t>
    </r>
    <phoneticPr fontId="3"/>
  </si>
  <si>
    <t>モバイルOSバージョンは本番稼働時点でサポート終了になっていない最も古いバージョンを記載しています。</t>
    <rPh sb="12" eb="14">
      <t>ホンバン</t>
    </rPh>
    <rPh sb="14" eb="16">
      <t>カドウ</t>
    </rPh>
    <rPh sb="16" eb="18">
      <t>ジテン</t>
    </rPh>
    <rPh sb="23" eb="25">
      <t>シュウリョウ</t>
    </rPh>
    <rPh sb="32" eb="33">
      <t>モット</t>
    </rPh>
    <rPh sb="34" eb="35">
      <t>フル</t>
    </rPh>
    <rPh sb="42" eb="44">
      <t>キサイ</t>
    </rPh>
    <phoneticPr fontId="3"/>
  </si>
  <si>
    <t>最新バージョン</t>
    <rPh sb="0" eb="2">
      <t>サイシン</t>
    </rPh>
    <phoneticPr fontId="3"/>
  </si>
  <si>
    <t>リリース日</t>
    <rPh sb="4" eb="5">
      <t>ビ</t>
    </rPh>
    <phoneticPr fontId="3"/>
  </si>
  <si>
    <t>備考</t>
    <rPh sb="0" eb="2">
      <t>ビコウ</t>
    </rPh>
    <phoneticPr fontId="3"/>
  </si>
  <si>
    <t>Google Chrome</t>
    <phoneticPr fontId="3"/>
  </si>
  <si>
    <t>Mozilla Firefox</t>
    <phoneticPr fontId="3"/>
  </si>
  <si>
    <t>Microsoft Edge</t>
    <phoneticPr fontId="3"/>
  </si>
  <si>
    <t>Internet Explorer</t>
    <phoneticPr fontId="3"/>
  </si>
  <si>
    <t>Apple Safari</t>
    <phoneticPr fontId="3"/>
  </si>
  <si>
    <t>11.789.19041.0</t>
    <phoneticPr fontId="3"/>
  </si>
  <si>
    <t>サポート終了</t>
    <rPh sb="4" eb="6">
      <t>シュウリョウ</t>
    </rPh>
    <phoneticPr fontId="3"/>
  </si>
  <si>
    <t>参考)　2023/9/12時点</t>
    <rPh sb="0" eb="2">
      <t>サンコウ</t>
    </rPh>
    <rPh sb="13" eb="15">
      <t>ジテン</t>
    </rPh>
    <phoneticPr fontId="3"/>
  </si>
  <si>
    <t>ブラウザバージョンで「～以上」となっているものについて、セキュリティの観点上、常に最新バージョンでの動作を推奨します。記載しているバージョンは2023/9/12時点の最新バージョンです。</t>
    <rPh sb="12" eb="14">
      <t>イジョウ</t>
    </rPh>
    <rPh sb="35" eb="37">
      <t>カンテン</t>
    </rPh>
    <rPh sb="37" eb="38">
      <t>ジョウ</t>
    </rPh>
    <rPh sb="39" eb="40">
      <t>ツネ</t>
    </rPh>
    <rPh sb="41" eb="43">
      <t>サイシン</t>
    </rPh>
    <rPh sb="50" eb="52">
      <t>ドウサ</t>
    </rPh>
    <rPh sb="53" eb="55">
      <t>スイショウ</t>
    </rPh>
    <rPh sb="59" eb="61">
      <t>キサイ</t>
    </rPh>
    <rPh sb="80" eb="82">
      <t>ジテン</t>
    </rPh>
    <rPh sb="83" eb="85">
      <t>サイシン</t>
    </rPh>
    <phoneticPr fontId="3"/>
  </si>
  <si>
    <t>EXCEL</t>
    <phoneticPr fontId="3"/>
  </si>
  <si>
    <t>Office2016以上</t>
    <rPh sb="10" eb="12">
      <t>イジョウ</t>
    </rPh>
    <phoneticPr fontId="3"/>
  </si>
  <si>
    <t>Office</t>
    <phoneticPr fontId="3"/>
  </si>
  <si>
    <t>Microsoft製品</t>
    <rPh sb="9" eb="11">
      <t>セイヒン</t>
    </rPh>
    <phoneticPr fontId="3"/>
  </si>
  <si>
    <t>メインサポート終了日</t>
    <rPh sb="7" eb="10">
      <t>シュウリョウビ</t>
    </rPh>
    <phoneticPr fontId="3"/>
  </si>
  <si>
    <t>Windows 7</t>
    <phoneticPr fontId="3"/>
  </si>
  <si>
    <t>Windows 8.1</t>
    <phoneticPr fontId="3"/>
  </si>
  <si>
    <t>未定</t>
    <rPh sb="0" eb="2">
      <t>ミテイ</t>
    </rPh>
    <phoneticPr fontId="3"/>
  </si>
  <si>
    <t>ー</t>
    <phoneticPr fontId="3"/>
  </si>
  <si>
    <t>Office 2010</t>
    <phoneticPr fontId="3"/>
  </si>
  <si>
    <t>Office 2013</t>
    <phoneticPr fontId="3"/>
  </si>
  <si>
    <t>Office 2016</t>
    <phoneticPr fontId="3"/>
  </si>
  <si>
    <t>Office 2019</t>
    <phoneticPr fontId="3"/>
  </si>
  <si>
    <t>Office 2021</t>
    <phoneticPr fontId="3"/>
  </si>
  <si>
    <t>Windows 11[21H2]</t>
    <phoneticPr fontId="3"/>
  </si>
  <si>
    <t>Windows Server 2022</t>
    <phoneticPr fontId="3"/>
  </si>
  <si>
    <t>Apple製品</t>
    <rPh sb="5" eb="7">
      <t>セイヒン</t>
    </rPh>
    <phoneticPr fontId="3"/>
  </si>
  <si>
    <t>提供日</t>
    <rPh sb="0" eb="2">
      <t>テイキョウ</t>
    </rPh>
    <rPh sb="2" eb="3">
      <t>ビ</t>
    </rPh>
    <phoneticPr fontId="3"/>
  </si>
  <si>
    <t>MacOS 10.12 Sierra</t>
    <phoneticPr fontId="3"/>
  </si>
  <si>
    <t>macOS 10.13 High Sierra</t>
    <phoneticPr fontId="3"/>
  </si>
  <si>
    <t>macOS 10.14 Mojave</t>
    <phoneticPr fontId="3"/>
  </si>
  <si>
    <t>macOS 10.15 Catalina</t>
    <phoneticPr fontId="3"/>
  </si>
  <si>
    <t>サポートの終了</t>
    <rPh sb="5" eb="7">
      <t>シュウリョウ</t>
    </rPh>
    <phoneticPr fontId="3"/>
  </si>
  <si>
    <t>macOS 12 Monterey</t>
    <phoneticPr fontId="3"/>
  </si>
  <si>
    <t>サポート中</t>
    <rPh sb="4" eb="5">
      <t>チュウ</t>
    </rPh>
    <phoneticPr fontId="3"/>
  </si>
  <si>
    <t>macOS 11 Big Sur</t>
    <phoneticPr fontId="3"/>
  </si>
  <si>
    <t>macOS 13 Ventura</t>
    <phoneticPr fontId="3"/>
  </si>
  <si>
    <t>macOS 14 Sonoma</t>
    <phoneticPr fontId="3"/>
  </si>
  <si>
    <t>学生勤務フロント
APサーバー</t>
    <rPh sb="0" eb="4">
      <t>ガクセイキンム</t>
    </rPh>
    <phoneticPr fontId="3"/>
  </si>
  <si>
    <t>DBサーバー</t>
    <phoneticPr fontId="3"/>
  </si>
  <si>
    <t>日立Java</t>
    <rPh sb="0" eb="2">
      <t>ヒタチ</t>
    </rPh>
    <phoneticPr fontId="3"/>
  </si>
  <si>
    <t>Mac</t>
    <phoneticPr fontId="3"/>
  </si>
  <si>
    <t>iOS</t>
    <phoneticPr fontId="3"/>
  </si>
  <si>
    <t>Android</t>
    <phoneticPr fontId="3"/>
  </si>
  <si>
    <t>モバイルOS</t>
    <phoneticPr fontId="3"/>
  </si>
  <si>
    <t>Webサーバー</t>
    <phoneticPr fontId="3"/>
  </si>
  <si>
    <t>11(Big Sur)以上</t>
    <rPh sb="11" eb="13">
      <t>イジョウ</t>
    </rPh>
    <phoneticPr fontId="3"/>
  </si>
  <si>
    <t>12以上</t>
    <rPh sb="2" eb="4">
      <t>イジョウ</t>
    </rPh>
    <phoneticPr fontId="3"/>
  </si>
  <si>
    <t>Google</t>
    <phoneticPr fontId="3"/>
  </si>
  <si>
    <t>Windows Server 2022 Standard Edition</t>
    <phoneticPr fontId="3"/>
  </si>
  <si>
    <t>10 または10LTSC</t>
    <phoneticPr fontId="3"/>
  </si>
  <si>
    <t>9.0</t>
    <phoneticPr fontId="3"/>
  </si>
  <si>
    <t>日立</t>
    <rPh sb="0" eb="2">
      <t>ヒタチ</t>
    </rPh>
    <phoneticPr fontId="3"/>
  </si>
  <si>
    <t>画面・バッチ</t>
    <rPh sb="0" eb="2">
      <t>ガメン</t>
    </rPh>
    <phoneticPr fontId="3"/>
  </si>
  <si>
    <t>2022</t>
    <phoneticPr fontId="3"/>
  </si>
  <si>
    <t>フリーのオープンソース</t>
    <phoneticPr fontId="3"/>
  </si>
  <si>
    <t>Windows 10[21H2]</t>
    <phoneticPr fontId="3"/>
  </si>
  <si>
    <t>Windows 10[22H2]</t>
    <phoneticPr fontId="3"/>
  </si>
  <si>
    <t xml:space="preserve"> 常に最新の OS として維持されます。それらのバージョンアップは誰でも無償で受けることができます。</t>
    <phoneticPr fontId="3"/>
  </si>
  <si>
    <t>※Windows 10,11 は、特徴として、年1回の大型アップデートを行うことによって、</t>
    <phoneticPr fontId="3"/>
  </si>
  <si>
    <t>ハードウェア</t>
    <phoneticPr fontId="3"/>
  </si>
  <si>
    <r>
      <t>クライアント
パソコン</t>
    </r>
    <r>
      <rPr>
        <vertAlign val="superscript"/>
        <sz val="10"/>
        <rFont val="ＭＳ 明朝"/>
        <family val="1"/>
        <charset val="128"/>
      </rPr>
      <t>※1</t>
    </r>
    <phoneticPr fontId="3"/>
  </si>
  <si>
    <r>
      <t>クライアント
スマートフォン</t>
    </r>
    <r>
      <rPr>
        <vertAlign val="superscript"/>
        <sz val="10"/>
        <rFont val="ＭＳ 明朝"/>
        <family val="1"/>
        <charset val="128"/>
      </rPr>
      <t>※1</t>
    </r>
    <phoneticPr fontId="3"/>
  </si>
  <si>
    <t>16以上</t>
    <rPh sb="2" eb="4">
      <t>イジョウ</t>
    </rPh>
    <phoneticPr fontId="3"/>
  </si>
  <si>
    <t>AWS環境の障害検知（CLOUD watch）</t>
    <rPh sb="3" eb="5">
      <t>カンキョウ</t>
    </rPh>
    <rPh sb="6" eb="8">
      <t>ショウガイ</t>
    </rPh>
    <rPh sb="8" eb="10">
      <t>ケンチ</t>
    </rPh>
    <phoneticPr fontId="3"/>
  </si>
  <si>
    <t>AWSのバックアップ機能で行う</t>
    <rPh sb="10" eb="12">
      <t>キノウ</t>
    </rPh>
    <rPh sb="13" eb="14">
      <t>オコナ</t>
    </rPh>
    <phoneticPr fontId="3"/>
  </si>
  <si>
    <t>同志社作業</t>
    <rPh sb="0" eb="3">
      <t>ドウシシャ</t>
    </rPh>
    <rPh sb="3" eb="5">
      <t>サギョウ</t>
    </rPh>
    <phoneticPr fontId="3"/>
  </si>
  <si>
    <t>バックアップの世代に関しては同志社にきめてもらう。</t>
    <rPh sb="7" eb="9">
      <t>セダイ</t>
    </rPh>
    <rPh sb="10" eb="11">
      <t>カン</t>
    </rPh>
    <rPh sb="14" eb="17">
      <t>ドウシシャ</t>
    </rPh>
    <phoneticPr fontId="3"/>
  </si>
  <si>
    <t>システム的には直前のバックアップさえあれば問題ないので、</t>
    <rPh sb="4" eb="5">
      <t>テキ</t>
    </rPh>
    <rPh sb="7" eb="9">
      <t>チョクゼン</t>
    </rPh>
    <rPh sb="21" eb="23">
      <t>モンダイ</t>
    </rPh>
    <phoneticPr fontId="3"/>
  </si>
  <si>
    <t>どれだけ残すか。</t>
    <rPh sb="4" eb="5">
      <t>ノコ</t>
    </rPh>
    <phoneticPr fontId="3"/>
  </si>
  <si>
    <t>AWSのバックアップの範囲の確認とリストの状態、時間ってどんなもん？（同志社に確認）</t>
    <rPh sb="11" eb="13">
      <t>ハンイ</t>
    </rPh>
    <rPh sb="14" eb="16">
      <t>カクニン</t>
    </rPh>
    <rPh sb="21" eb="23">
      <t>ジョウタイ</t>
    </rPh>
    <rPh sb="24" eb="26">
      <t>ジカン</t>
    </rPh>
    <rPh sb="35" eb="38">
      <t>ドウシシャ</t>
    </rPh>
    <rPh sb="39" eb="41">
      <t>カクニン</t>
    </rPh>
    <phoneticPr fontId="3"/>
  </si>
  <si>
    <t>DBのDUMPは行う。（１世代で提案。要相談）</t>
    <rPh sb="8" eb="9">
      <t>オコナ</t>
    </rPh>
    <rPh sb="13" eb="15">
      <t>セダイ</t>
    </rPh>
    <rPh sb="16" eb="18">
      <t>テイアン</t>
    </rPh>
    <rPh sb="19" eb="22">
      <t>ヨウソウダン</t>
    </rPh>
    <phoneticPr fontId="3"/>
  </si>
  <si>
    <t>教研ねっとワーク→誰が使える</t>
    <rPh sb="0" eb="2">
      <t>キョウケン</t>
    </rPh>
    <rPh sb="9" eb="10">
      <t>ダレ</t>
    </rPh>
    <rPh sb="11" eb="12">
      <t>ツカ</t>
    </rPh>
    <phoneticPr fontId="3"/>
  </si>
  <si>
    <t>津田さんに確認</t>
    <rPh sb="0" eb="2">
      <t>ツダ</t>
    </rPh>
    <rPh sb="5" eb="7">
      <t>カクニン</t>
    </rPh>
    <phoneticPr fontId="3"/>
  </si>
  <si>
    <t>PostgreSQL 16</t>
    <phoneticPr fontId="3"/>
  </si>
  <si>
    <t>16</t>
    <phoneticPr fontId="3"/>
  </si>
  <si>
    <t>1.8.0_371</t>
    <phoneticPr fontId="3"/>
  </si>
  <si>
    <t>監視サーバ(Amazon CloudWatch)より、定期的な稼動確認を行うことにより、障害検知を行う。</t>
    <rPh sb="0" eb="2">
      <t>カンシ</t>
    </rPh>
    <rPh sb="27" eb="30">
      <t>テイキテキ</t>
    </rPh>
    <rPh sb="31" eb="33">
      <t>カドウ</t>
    </rPh>
    <rPh sb="33" eb="35">
      <t>カクニン</t>
    </rPh>
    <rPh sb="36" eb="37">
      <t>オコナ</t>
    </rPh>
    <rPh sb="44" eb="46">
      <t>ショウガイ</t>
    </rPh>
    <rPh sb="46" eb="48">
      <t>ケンチ</t>
    </rPh>
    <rPh sb="49" eb="50">
      <t>オコナ</t>
    </rPh>
    <phoneticPr fontId="3"/>
  </si>
  <si>
    <t>内部領域</t>
    <rPh sb="0" eb="4">
      <t>ナイブリョウイキ</t>
    </rPh>
    <phoneticPr fontId="3"/>
  </si>
  <si>
    <t>バックアップからリストアした後は問い合わせオプティマイザが有用な統計情報を使用できるようにANALYZEを実行する。</t>
    <rPh sb="14" eb="15">
      <t>アト</t>
    </rPh>
    <phoneticPr fontId="3"/>
  </si>
  <si>
    <t>・各サーバのバックアップはAWSのバックアップ機能で行う。</t>
    <rPh sb="1" eb="2">
      <t>カク</t>
    </rPh>
    <rPh sb="23" eb="25">
      <t>キノウ</t>
    </rPh>
    <rPh sb="26" eb="27">
      <t>オコナ</t>
    </rPh>
    <phoneticPr fontId="3"/>
  </si>
  <si>
    <t>pg_dumpの全テーブルのバック</t>
    <rPh sb="8" eb="9">
      <t>ゼン</t>
    </rPh>
    <phoneticPr fontId="3"/>
  </si>
  <si>
    <t>アップ作成</t>
    <phoneticPr fontId="3"/>
  </si>
  <si>
    <t>4コア</t>
    <phoneticPr fontId="3"/>
  </si>
  <si>
    <t>学生勤務（学内）</t>
    <rPh sb="0" eb="2">
      <t>ガクセイ</t>
    </rPh>
    <rPh sb="2" eb="4">
      <t>キンム</t>
    </rPh>
    <rPh sb="5" eb="7">
      <t>ガクナイ</t>
    </rPh>
    <phoneticPr fontId="3"/>
  </si>
  <si>
    <t>学生勤務（学外）</t>
    <rPh sb="0" eb="2">
      <t>ガクセイ</t>
    </rPh>
    <rPh sb="2" eb="4">
      <t>キンム</t>
    </rPh>
    <rPh sb="5" eb="7">
      <t>ガクガイ</t>
    </rPh>
    <phoneticPr fontId="3"/>
  </si>
  <si>
    <t>AM 6:00 ～ AM 8:00</t>
    <phoneticPr fontId="3"/>
  </si>
  <si>
    <t>各サーバーは、貴学にご用意いただいた機器上に構築を行う。サーバーはAWS上にゲストとして構築する。</t>
    <rPh sb="0" eb="1">
      <t>カク</t>
    </rPh>
    <rPh sb="7" eb="9">
      <t>キガク</t>
    </rPh>
    <rPh sb="11" eb="13">
      <t>ヨウイ</t>
    </rPh>
    <rPh sb="18" eb="20">
      <t>キキ</t>
    </rPh>
    <rPh sb="20" eb="21">
      <t>ジョウ</t>
    </rPh>
    <rPh sb="22" eb="24">
      <t>コウチク</t>
    </rPh>
    <rPh sb="25" eb="26">
      <t>オコナ</t>
    </rPh>
    <rPh sb="36" eb="37">
      <t>ジョウ</t>
    </rPh>
    <rPh sb="44" eb="46">
      <t>コウチク</t>
    </rPh>
    <phoneticPr fontId="3"/>
  </si>
  <si>
    <t>学生勤務（学内）
APサーバー</t>
    <rPh sb="0" eb="2">
      <t>ガクセイ</t>
    </rPh>
    <rPh sb="2" eb="4">
      <t>キンム</t>
    </rPh>
    <rPh sb="5" eb="7">
      <t>ガクナイ</t>
    </rPh>
    <phoneticPr fontId="3"/>
  </si>
  <si>
    <t>１．１　障害検知方式</t>
    <rPh sb="4" eb="8">
      <t>ショウガイケンチ</t>
    </rPh>
    <rPh sb="8" eb="10">
      <t>ホウシキ</t>
    </rPh>
    <phoneticPr fontId="3"/>
  </si>
  <si>
    <t>１．２　ウイルス対策方式</t>
    <rPh sb="8" eb="10">
      <t>タイサク</t>
    </rPh>
    <rPh sb="10" eb="12">
      <t>ホウシキ</t>
    </rPh>
    <phoneticPr fontId="3"/>
  </si>
  <si>
    <t>２．２　APサーバーの必要性能</t>
    <rPh sb="11" eb="13">
      <t>ヒツヨウ</t>
    </rPh>
    <rPh sb="13" eb="14">
      <t>セイ</t>
    </rPh>
    <rPh sb="14" eb="15">
      <t>ノウ</t>
    </rPh>
    <phoneticPr fontId="3"/>
  </si>
  <si>
    <t>APサーバー（学外用）</t>
    <rPh sb="7" eb="9">
      <t>ガクガイ</t>
    </rPh>
    <rPh sb="9" eb="10">
      <t>ヨウ</t>
    </rPh>
    <phoneticPr fontId="3"/>
  </si>
  <si>
    <t>APサーバー（学内用）</t>
    <rPh sb="7" eb="10">
      <t>ガクナイヨウ</t>
    </rPh>
    <phoneticPr fontId="3"/>
  </si>
  <si>
    <t>２．３　DBサーバーの性能目標</t>
    <rPh sb="11" eb="13">
      <t>セイノウ</t>
    </rPh>
    <rPh sb="13" eb="15">
      <t>モクヒョウ</t>
    </rPh>
    <phoneticPr fontId="3"/>
  </si>
  <si>
    <t>２．４　DBサーバーの必要性能</t>
    <rPh sb="11" eb="13">
      <t>ヒツヨウ</t>
    </rPh>
    <rPh sb="13" eb="14">
      <t>セイ</t>
    </rPh>
    <rPh sb="14" eb="15">
      <t>ノウ</t>
    </rPh>
    <phoneticPr fontId="3"/>
  </si>
  <si>
    <t>統合DBへの最終連携時間が5時19分終了予定（教務システムとの連携）なので、収集のバッファを考慮し、6時からバッチを実行し、統合DBとの連携を行うこととする。</t>
    <rPh sb="0" eb="2">
      <t>トウゴウ</t>
    </rPh>
    <rPh sb="6" eb="8">
      <t>サイシュウ</t>
    </rPh>
    <rPh sb="8" eb="10">
      <t>レンケイ</t>
    </rPh>
    <rPh sb="10" eb="12">
      <t>ジカン</t>
    </rPh>
    <rPh sb="14" eb="15">
      <t>ジ</t>
    </rPh>
    <rPh sb="17" eb="18">
      <t>フン</t>
    </rPh>
    <rPh sb="18" eb="22">
      <t>シュウリョウヨテイ</t>
    </rPh>
    <rPh sb="23" eb="25">
      <t>キョウム</t>
    </rPh>
    <rPh sb="31" eb="33">
      <t>レンケイ</t>
    </rPh>
    <rPh sb="38" eb="40">
      <t>シュウシュウ</t>
    </rPh>
    <rPh sb="46" eb="48">
      <t>コウリョ</t>
    </rPh>
    <rPh sb="51" eb="52">
      <t>ジ</t>
    </rPh>
    <rPh sb="58" eb="60">
      <t>ジッコウ</t>
    </rPh>
    <rPh sb="62" eb="64">
      <t>トウゴウ</t>
    </rPh>
    <rPh sb="68" eb="70">
      <t>レンケイ</t>
    </rPh>
    <rPh sb="71" eb="72">
      <t>オコナ</t>
    </rPh>
    <phoneticPr fontId="3"/>
  </si>
  <si>
    <t>夜間処理については、タスクスケジューラにより処理を起動する。</t>
    <rPh sb="0" eb="2">
      <t>ヤカン</t>
    </rPh>
    <rPh sb="2" eb="4">
      <t>ショリ</t>
    </rPh>
    <rPh sb="22" eb="24">
      <t>ショリ</t>
    </rPh>
    <rPh sb="25" eb="27">
      <t>キドウ</t>
    </rPh>
    <phoneticPr fontId="3"/>
  </si>
  <si>
    <t>夜間処理</t>
    <rPh sb="0" eb="4">
      <t>ヤカンショリ</t>
    </rPh>
    <phoneticPr fontId="3"/>
  </si>
  <si>
    <t>サービス時間</t>
    <rPh sb="4" eb="6">
      <t>ジカン</t>
    </rPh>
    <phoneticPr fontId="3"/>
  </si>
  <si>
    <t>バッチ処理</t>
    <rPh sb="3" eb="5">
      <t>ショリ</t>
    </rPh>
    <phoneticPr fontId="3"/>
  </si>
  <si>
    <t>インターネット</t>
    <phoneticPr fontId="3"/>
  </si>
  <si>
    <t>教研ネットワーク</t>
    <rPh sb="0" eb="2">
      <t>キョウケン</t>
    </rPh>
    <phoneticPr fontId="3"/>
  </si>
  <si>
    <t>１．３　バックアップ方式</t>
    <rPh sb="10" eb="12">
      <t>ホウシキ</t>
    </rPh>
    <phoneticPr fontId="3"/>
  </si>
  <si>
    <t>また、「１．３　バックアップ」で記載したデータベースのバックアップも夜間処理として行う。</t>
    <rPh sb="16" eb="18">
      <t>キサイ</t>
    </rPh>
    <rPh sb="34" eb="38">
      <t>ヤカンショリ</t>
    </rPh>
    <rPh sb="41" eb="42">
      <t>オコナ</t>
    </rPh>
    <phoneticPr fontId="3"/>
  </si>
  <si>
    <t>システム停止</t>
    <phoneticPr fontId="3"/>
  </si>
  <si>
    <t>5:19 統合DB収集終了</t>
    <rPh sb="5" eb="7">
      <t>トウゴウ</t>
    </rPh>
    <rPh sb="9" eb="11">
      <t>シュウシュウ</t>
    </rPh>
    <rPh sb="11" eb="13">
      <t>シュウリョウ</t>
    </rPh>
    <phoneticPr fontId="3"/>
  </si>
  <si>
    <t>AM 8:00 ～ AM 6:00</t>
    <phoneticPr fontId="3"/>
  </si>
  <si>
    <t>2:00　AWSBK</t>
    <phoneticPr fontId="3"/>
  </si>
  <si>
    <t>検証用追記</t>
    <rPh sb="0" eb="2">
      <t>ケンショウ</t>
    </rPh>
    <rPh sb="2" eb="3">
      <t>ヨウ</t>
    </rPh>
    <rPh sb="3" eb="5">
      <t>ツイキ</t>
    </rPh>
    <phoneticPr fontId="3"/>
  </si>
  <si>
    <t>変更</t>
    <rPh sb="0" eb="2">
      <t>ヘンコウ</t>
    </rPh>
    <phoneticPr fontId="3"/>
  </si>
  <si>
    <t>木田　優</t>
    <phoneticPr fontId="3"/>
  </si>
  <si>
    <t>Webサーバ、APサーバ、DBサーバのサーバに対してウィルス対策ソフトは貴学にて用意いただいたWindows Defenderを導入する。</t>
    <rPh sb="23" eb="24">
      <t>タイ</t>
    </rPh>
    <rPh sb="30" eb="32">
      <t>タイサク</t>
    </rPh>
    <rPh sb="36" eb="38">
      <t>キガク</t>
    </rPh>
    <rPh sb="40" eb="42">
      <t>ヨウイ</t>
    </rPh>
    <rPh sb="64" eb="66">
      <t>ドウニュウ</t>
    </rPh>
    <phoneticPr fontId="3"/>
  </si>
  <si>
    <t>全学サーバ基盤で30世代のバックアップ（スナップショット）を行う。</t>
    <rPh sb="0" eb="2">
      <t>ゼンガク</t>
    </rPh>
    <rPh sb="5" eb="7">
      <t>キバン</t>
    </rPh>
    <rPh sb="10" eb="12">
      <t>セダイ</t>
    </rPh>
    <rPh sb="30" eb="31">
      <t>オコナ</t>
    </rPh>
    <phoneticPr fontId="3"/>
  </si>
  <si>
    <t>・ウィルス対策方式で記載するソフト名をWindows Defenderに変更
・PostgreSQLのバックアップDUMPを7世代管理に変更</t>
    <rPh sb="5" eb="7">
      <t>タイサク</t>
    </rPh>
    <rPh sb="7" eb="9">
      <t>ホウシキ</t>
    </rPh>
    <rPh sb="10" eb="12">
      <t>キサイ</t>
    </rPh>
    <rPh sb="17" eb="18">
      <t>メイ</t>
    </rPh>
    <rPh sb="36" eb="38">
      <t>ヘンコウ</t>
    </rPh>
    <rPh sb="63" eb="67">
      <t>セダイカンリ</t>
    </rPh>
    <rPh sb="68" eb="70">
      <t>ヘンコウ</t>
    </rPh>
    <phoneticPr fontId="3"/>
  </si>
  <si>
    <t>・PostgreSQL のバックアップ（7世代管理）を行う。</t>
    <rPh sb="21" eb="25">
      <t>セダイカンリ</t>
    </rPh>
    <rPh sb="27" eb="28">
      <t>オコナ</t>
    </rPh>
    <phoneticPr fontId="3"/>
  </si>
  <si>
    <t>（7世代管理）</t>
    <rPh sb="2" eb="4">
      <t>セダイ</t>
    </rPh>
    <rPh sb="4" eb="6">
      <t>カンリ</t>
    </rPh>
    <phoneticPr fontId="3"/>
  </si>
  <si>
    <t>バックアップ</t>
    <phoneticPr fontId="3"/>
  </si>
  <si>
    <r>
      <t>2.4</t>
    </r>
    <r>
      <rPr>
        <vertAlign val="superscript"/>
        <sz val="10"/>
        <rFont val="ＭＳ 明朝"/>
        <family val="1"/>
        <charset val="128"/>
      </rPr>
      <t>※3</t>
    </r>
    <phoneticPr fontId="3"/>
  </si>
  <si>
    <t>※3</t>
    <phoneticPr fontId="3"/>
  </si>
  <si>
    <t>Apache HTTPDのバージョンはサーバ導入時の最新バージョンを使用することとします。</t>
    <rPh sb="22" eb="25">
      <t>ドウニュウジ</t>
    </rPh>
    <rPh sb="26" eb="28">
      <t>サイシン</t>
    </rPh>
    <rPh sb="34" eb="36">
      <t>シヨウ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</si>
</sst>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quot;年&quot;m&quot;月&quot;d&quot;日&quot;;@"/>
    <numFmt numFmtId="177" formatCode="&quot;P. &quot;0"/>
    <numFmt numFmtId="178" formatCode="[$-F800]dddd\,\ mmmm\ dd\,\ yyyy"/>
    <numFmt numFmtId="179" formatCode="0.0"/>
    <numFmt numFmtId="180" formatCode="yyyy&quot;年&quot;m&quot;月&quot;d&quot;日&quot;&quot;作&quot;&quot;成&quot;"/>
    <numFmt numFmtId="181" formatCode="#,##0_ "/>
  </numFmts>
  <fonts count="20" x14ac:knownFonts="1">
    <font>
      <sz val="11"/>
      <name val="ＭＳ Ｐ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12"/>
      <name val="ＭＳ ゴシック"/>
      <family val="3"/>
      <charset val="128"/>
    </font>
    <font>
      <sz val="16"/>
      <name val="ＭＳ ゴシック"/>
      <family val="3"/>
      <charset val="128"/>
    </font>
    <font>
      <sz val="14"/>
      <name val="ＭＳ ゴシック"/>
      <family val="3"/>
      <charset val="128"/>
    </font>
    <font>
      <b/>
      <sz val="11"/>
      <name val="ＭＳ ゴシック"/>
      <family val="3"/>
      <charset val="128"/>
    </font>
    <font>
      <sz val="20"/>
      <name val="ＭＳ ゴシック"/>
      <family val="3"/>
      <charset val="128"/>
    </font>
    <font>
      <sz val="18"/>
      <name val="ＭＳ ゴシック"/>
      <family val="3"/>
      <charset val="128"/>
    </font>
    <font>
      <sz val="14"/>
      <name val="ＭＳ 明朝"/>
      <family val="1"/>
      <charset val="128"/>
    </font>
    <font>
      <vertAlign val="superscript"/>
      <sz val="10"/>
      <name val="ＭＳ 明朝"/>
      <family val="1"/>
      <charset val="128"/>
    </font>
    <font>
      <sz val="10"/>
      <name val="ＭＳ Ｐゴシック"/>
      <family val="3"/>
      <charset val="128"/>
    </font>
    <font>
      <sz val="10"/>
      <color theme="0"/>
      <name val="ＭＳ 明朝"/>
      <family val="1"/>
      <charset val="128"/>
    </font>
    <font>
      <sz val="10"/>
      <color rgb="FFFF0000"/>
      <name val="ＭＳ 明朝"/>
      <family val="1"/>
      <charset val="128"/>
    </font>
    <font>
      <sz val="9"/>
      <name val="ＭＳ 明朝"/>
      <family val="1"/>
      <charset val="128"/>
    </font>
  </fonts>
  <fills count="15">
    <fill>
      <patternFill patternType="none"/>
    </fill>
    <fill>
      <patternFill patternType="gray125"/>
    </fill>
    <fill>
      <patternFill patternType="lightDown">
        <fgColor indexed="22"/>
      </patternFill>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theme="8" tint="0.59999389629810485"/>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59999389629810485"/>
        <bgColor indexed="64"/>
      </patternFill>
    </fill>
  </fills>
  <borders count="10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double">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hair">
        <color indexed="64"/>
      </right>
      <top style="thin">
        <color indexed="64"/>
      </top>
      <bottom style="double">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double">
        <color indexed="64"/>
      </top>
      <bottom style="hair">
        <color indexed="64"/>
      </bottom>
      <diagonal/>
    </border>
    <border>
      <left style="hair">
        <color indexed="64"/>
      </left>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right style="thin">
        <color indexed="64"/>
      </right>
      <top style="thin">
        <color indexed="64"/>
      </top>
      <bottom style="double">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thin">
        <color indexed="64"/>
      </left>
      <right style="thin">
        <color indexed="64"/>
      </right>
      <top style="thin">
        <color indexed="64"/>
      </top>
      <bottom style="double">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diagonalDown="1">
      <left style="thin">
        <color indexed="64"/>
      </left>
      <right/>
      <top style="thin">
        <color indexed="64"/>
      </top>
      <bottom style="double">
        <color indexed="64"/>
      </bottom>
      <diagonal style="thin">
        <color indexed="64"/>
      </diagonal>
    </border>
    <border diagonalDown="1">
      <left/>
      <right/>
      <top style="thin">
        <color indexed="64"/>
      </top>
      <bottom style="double">
        <color indexed="64"/>
      </bottom>
      <diagonal style="thin">
        <color indexed="64"/>
      </diagonal>
    </border>
    <border diagonalDown="1">
      <left/>
      <right style="thin">
        <color indexed="64"/>
      </right>
      <top style="thin">
        <color indexed="64"/>
      </top>
      <bottom style="double">
        <color indexed="64"/>
      </bottom>
      <diagonal style="thin">
        <color indexed="64"/>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auto="1"/>
      </left>
      <right/>
      <top style="double">
        <color indexed="64"/>
      </top>
      <bottom style="hair">
        <color auto="1"/>
      </bottom>
      <diagonal/>
    </border>
    <border>
      <left/>
      <right/>
      <top style="double">
        <color indexed="64"/>
      </top>
      <bottom style="hair">
        <color auto="1"/>
      </bottom>
      <diagonal/>
    </border>
    <border>
      <left/>
      <right style="thin">
        <color auto="1"/>
      </right>
      <top style="double">
        <color indexed="64"/>
      </top>
      <bottom style="hair">
        <color auto="1"/>
      </bottom>
      <diagonal/>
    </border>
    <border>
      <left style="thin">
        <color indexed="64"/>
      </left>
      <right style="thin">
        <color indexed="64"/>
      </right>
      <top style="double">
        <color indexed="64"/>
      </top>
      <bottom style="hair">
        <color indexed="64"/>
      </bottom>
      <diagonal/>
    </border>
    <border>
      <left style="hair">
        <color indexed="64"/>
      </left>
      <right/>
      <top/>
      <bottom/>
      <diagonal/>
    </border>
    <border>
      <left style="thin">
        <color indexed="64"/>
      </left>
      <right style="hair">
        <color indexed="64"/>
      </right>
      <top style="thin">
        <color indexed="64"/>
      </top>
      <bottom style="double">
        <color indexed="64"/>
      </bottom>
      <diagonal/>
    </border>
    <border>
      <left style="hair">
        <color indexed="64"/>
      </left>
      <right/>
      <top/>
      <bottom style="thin">
        <color indexed="64"/>
      </bottom>
      <diagonal/>
    </border>
    <border>
      <left style="thin">
        <color indexed="64"/>
      </left>
      <right style="hair">
        <color indexed="64"/>
      </right>
      <top style="double">
        <color indexed="64"/>
      </top>
      <bottom style="hair">
        <color indexed="64"/>
      </bottom>
      <diagonal/>
    </border>
    <border>
      <left style="hair">
        <color indexed="64"/>
      </left>
      <right/>
      <top style="double">
        <color indexed="64"/>
      </top>
      <bottom/>
      <diagonal/>
    </border>
    <border>
      <left/>
      <right/>
      <top style="double">
        <color indexed="64"/>
      </top>
      <bottom/>
      <diagonal/>
    </border>
    <border>
      <left/>
      <right style="hair">
        <color indexed="64"/>
      </right>
      <top style="double">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3">
    <xf numFmtId="0" fontId="0" fillId="0" borderId="0"/>
    <xf numFmtId="0" fontId="2" fillId="0" borderId="0"/>
    <xf numFmtId="0" fontId="16" fillId="0" borderId="0"/>
  </cellStyleXfs>
  <cellXfs count="338">
    <xf numFmtId="0" fontId="0" fillId="0" borderId="0" xfId="0"/>
    <xf numFmtId="0" fontId="2" fillId="0" borderId="0" xfId="0" applyFont="1"/>
    <xf numFmtId="0" fontId="2" fillId="0" borderId="0" xfId="0" applyFont="1" applyAlignment="1">
      <alignment vertical="center"/>
    </xf>
    <xf numFmtId="0" fontId="5" fillId="0" borderId="1" xfId="0" applyFont="1" applyBorder="1"/>
    <xf numFmtId="0" fontId="5" fillId="0" borderId="0" xfId="0" applyFont="1"/>
    <xf numFmtId="0" fontId="5" fillId="0" borderId="2" xfId="0" applyFont="1" applyBorder="1"/>
    <xf numFmtId="0" fontId="6" fillId="0" borderId="0" xfId="0" quotePrefix="1" applyFont="1"/>
    <xf numFmtId="0" fontId="5" fillId="0" borderId="3" xfId="0" applyFont="1" applyBorder="1"/>
    <xf numFmtId="0" fontId="5" fillId="0" borderId="4" xfId="0" applyFont="1" applyBorder="1"/>
    <xf numFmtId="0" fontId="5" fillId="0" borderId="5" xfId="0" applyFont="1" applyBorder="1"/>
    <xf numFmtId="0" fontId="6" fillId="0" borderId="0" xfId="0" applyFont="1"/>
    <xf numFmtId="0" fontId="5" fillId="2" borderId="6" xfId="0" applyFont="1" applyFill="1" applyBorder="1"/>
    <xf numFmtId="0" fontId="5" fillId="2" borderId="7" xfId="0" applyFont="1" applyFill="1" applyBorder="1"/>
    <xf numFmtId="0" fontId="5" fillId="2" borderId="8" xfId="0" applyFont="1" applyFill="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8" fillId="0" borderId="10" xfId="0" applyFont="1" applyBorder="1"/>
    <xf numFmtId="0" fontId="9" fillId="0" borderId="10" xfId="0" applyFont="1" applyBorder="1" applyAlignment="1">
      <alignment horizontal="distributed" vertical="center"/>
    </xf>
    <xf numFmtId="0" fontId="9" fillId="0" borderId="10" xfId="0" applyFont="1" applyBorder="1" applyAlignment="1">
      <alignment horizontal="left" vertical="center"/>
    </xf>
    <xf numFmtId="0" fontId="8" fillId="0" borderId="0" xfId="0" applyFont="1"/>
    <xf numFmtId="0" fontId="8" fillId="0" borderId="4" xfId="0" applyFont="1" applyBorder="1"/>
    <xf numFmtId="0" fontId="9" fillId="0" borderId="4" xfId="0" applyFont="1" applyBorder="1" applyAlignment="1">
      <alignment horizontal="distributed" vertical="center"/>
    </xf>
    <xf numFmtId="0" fontId="9" fillId="0" borderId="4" xfId="0" applyFont="1" applyBorder="1" applyAlignment="1">
      <alignment horizontal="left" vertical="center"/>
    </xf>
    <xf numFmtId="0" fontId="7" fillId="0" borderId="0" xfId="0" applyFont="1"/>
    <xf numFmtId="0" fontId="8" fillId="0" borderId="0" xfId="0" applyFont="1" applyAlignment="1">
      <alignment horizontal="right"/>
    </xf>
    <xf numFmtId="0" fontId="10" fillId="0" borderId="0" xfId="0" applyFont="1"/>
    <xf numFmtId="0" fontId="5" fillId="0" borderId="0" xfId="0" quotePrefix="1" applyFont="1"/>
    <xf numFmtId="0" fontId="5" fillId="0" borderId="0" xfId="0" applyFont="1" applyAlignment="1">
      <alignment vertical="top"/>
    </xf>
    <xf numFmtId="0" fontId="5" fillId="0" borderId="0" xfId="0" applyFont="1" applyAlignment="1">
      <alignment horizontal="center" vertical="top"/>
    </xf>
    <xf numFmtId="0" fontId="6" fillId="3" borderId="12" xfId="0" applyFont="1" applyFill="1" applyBorder="1"/>
    <xf numFmtId="0" fontId="6" fillId="3" borderId="13" xfId="0" applyFont="1" applyFill="1" applyBorder="1"/>
    <xf numFmtId="0" fontId="6" fillId="3" borderId="14" xfId="0" applyFont="1" applyFill="1" applyBorder="1"/>
    <xf numFmtId="0" fontId="6" fillId="3" borderId="15" xfId="0" applyFont="1" applyFill="1" applyBorder="1"/>
    <xf numFmtId="0" fontId="6" fillId="3" borderId="0" xfId="0" applyFont="1" applyFill="1"/>
    <xf numFmtId="0" fontId="6" fillId="3" borderId="16" xfId="0" applyFont="1" applyFill="1" applyBorder="1"/>
    <xf numFmtId="0" fontId="6" fillId="3" borderId="17" xfId="0" applyFont="1" applyFill="1" applyBorder="1"/>
    <xf numFmtId="0" fontId="6" fillId="3" borderId="18" xfId="0" applyFont="1" applyFill="1" applyBorder="1"/>
    <xf numFmtId="0" fontId="6" fillId="3" borderId="19" xfId="0" applyFont="1" applyFill="1" applyBorder="1"/>
    <xf numFmtId="0" fontId="1" fillId="0" borderId="0" xfId="0" applyFont="1"/>
    <xf numFmtId="0" fontId="1" fillId="0" borderId="0" xfId="0" applyFont="1" applyAlignment="1">
      <alignment vertical="center"/>
    </xf>
    <xf numFmtId="181" fontId="16" fillId="0" borderId="0" xfId="2" applyNumberFormat="1"/>
    <xf numFmtId="0" fontId="5" fillId="0" borderId="0" xfId="0" applyFont="1" applyAlignment="1">
      <alignment vertical="center"/>
    </xf>
    <xf numFmtId="0" fontId="5" fillId="11" borderId="31" xfId="0" applyFont="1" applyFill="1" applyBorder="1" applyAlignment="1">
      <alignment vertical="top"/>
    </xf>
    <xf numFmtId="0" fontId="5" fillId="11" borderId="32" xfId="0" applyFont="1" applyFill="1" applyBorder="1" applyAlignment="1">
      <alignment vertical="top"/>
    </xf>
    <xf numFmtId="0" fontId="5" fillId="0" borderId="0" xfId="0" applyFont="1" applyAlignment="1">
      <alignment horizontal="left"/>
    </xf>
    <xf numFmtId="14" fontId="5" fillId="0" borderId="0" xfId="0" applyNumberFormat="1" applyFont="1" applyAlignment="1">
      <alignment horizontal="left"/>
    </xf>
    <xf numFmtId="14" fontId="5" fillId="0" borderId="0" xfId="0" applyNumberFormat="1" applyFont="1"/>
    <xf numFmtId="0" fontId="18" fillId="0" borderId="0" xfId="0" applyFont="1"/>
    <xf numFmtId="0" fontId="19" fillId="0" borderId="0" xfId="0" applyFont="1"/>
    <xf numFmtId="0" fontId="5" fillId="0" borderId="63" xfId="0" applyFont="1" applyBorder="1"/>
    <xf numFmtId="0" fontId="5" fillId="0" borderId="64" xfId="0" applyFont="1" applyBorder="1"/>
    <xf numFmtId="0" fontId="5" fillId="0" borderId="65" xfId="0" applyFont="1" applyBorder="1"/>
    <xf numFmtId="0" fontId="5" fillId="0" borderId="66" xfId="0" applyFont="1" applyBorder="1"/>
    <xf numFmtId="0" fontId="5" fillId="0" borderId="67" xfId="0" applyFont="1" applyBorder="1"/>
    <xf numFmtId="0" fontId="5" fillId="0" borderId="68" xfId="0" applyFont="1" applyBorder="1"/>
    <xf numFmtId="0" fontId="5" fillId="0" borderId="69" xfId="0" applyFont="1" applyBorder="1"/>
    <xf numFmtId="0" fontId="5" fillId="0" borderId="70" xfId="0" applyFont="1" applyBorder="1"/>
    <xf numFmtId="0" fontId="1" fillId="4" borderId="20" xfId="0" applyFont="1" applyFill="1" applyBorder="1" applyAlignment="1">
      <alignment vertical="center"/>
    </xf>
    <xf numFmtId="0" fontId="0" fillId="0" borderId="20" xfId="0" applyBorder="1" applyAlignment="1">
      <alignment vertical="center"/>
    </xf>
    <xf numFmtId="0" fontId="1" fillId="0" borderId="20" xfId="0" applyFont="1" applyBorder="1" applyAlignment="1">
      <alignment vertical="center"/>
    </xf>
    <xf numFmtId="14" fontId="1" fillId="0" borderId="20" xfId="0" applyNumberFormat="1" applyFont="1" applyBorder="1" applyAlignment="1">
      <alignment horizontal="left" vertical="center"/>
    </xf>
    <xf numFmtId="0" fontId="1" fillId="0" borderId="20" xfId="0" applyFont="1" applyBorder="1" applyAlignment="1">
      <alignment horizontal="left" vertical="center"/>
    </xf>
    <xf numFmtId="0" fontId="12" fillId="3" borderId="15" xfId="0" applyFont="1" applyFill="1" applyBorder="1" applyAlignment="1">
      <alignment horizontal="center" vertical="center"/>
    </xf>
    <xf numFmtId="0" fontId="12" fillId="3" borderId="0" xfId="0" applyFont="1" applyFill="1" applyAlignment="1">
      <alignment horizontal="center" vertical="center"/>
    </xf>
    <xf numFmtId="0" fontId="12" fillId="3" borderId="16" xfId="0" applyFont="1" applyFill="1" applyBorder="1" applyAlignment="1">
      <alignment horizontal="center" vertical="center"/>
    </xf>
    <xf numFmtId="0" fontId="1" fillId="5" borderId="20" xfId="0" applyFont="1" applyFill="1" applyBorder="1" applyAlignment="1">
      <alignment horizontal="center" vertical="center"/>
    </xf>
    <xf numFmtId="0" fontId="1" fillId="0" borderId="18" xfId="0" applyFont="1" applyBorder="1" applyAlignment="1">
      <alignment vertical="center"/>
    </xf>
    <xf numFmtId="180" fontId="14" fillId="0" borderId="0" xfId="0" applyNumberFormat="1" applyFont="1" applyAlignment="1">
      <alignment horizontal="center"/>
    </xf>
    <xf numFmtId="0" fontId="13" fillId="3" borderId="15" xfId="0" applyFont="1" applyFill="1" applyBorder="1" applyAlignment="1">
      <alignment horizontal="center" vertical="center"/>
    </xf>
    <xf numFmtId="0" fontId="13" fillId="3" borderId="0" xfId="0" applyFont="1" applyFill="1" applyAlignment="1">
      <alignment horizontal="center" vertical="center"/>
    </xf>
    <xf numFmtId="0" fontId="13" fillId="3" borderId="16" xfId="0" applyFont="1" applyFill="1" applyBorder="1" applyAlignment="1">
      <alignment horizontal="center" vertical="center"/>
    </xf>
    <xf numFmtId="14" fontId="14" fillId="0" borderId="0" xfId="0" applyNumberFormat="1" applyFont="1" applyAlignment="1">
      <alignment horizontal="center"/>
    </xf>
    <xf numFmtId="0" fontId="14" fillId="0" borderId="0" xfId="0" applyFont="1" applyAlignment="1">
      <alignment horizont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178" fontId="5" fillId="0" borderId="6" xfId="0" applyNumberFormat="1" applyFont="1" applyBorder="1" applyAlignment="1">
      <alignment horizontal="center" vertical="center"/>
    </xf>
    <xf numFmtId="178" fontId="5" fillId="0" borderId="7" xfId="0" applyNumberFormat="1" applyFont="1" applyBorder="1" applyAlignment="1">
      <alignment horizontal="center" vertical="center"/>
    </xf>
    <xf numFmtId="178" fontId="5" fillId="0" borderId="8" xfId="0" applyNumberFormat="1" applyFont="1" applyBorder="1" applyAlignment="1">
      <alignment horizontal="center" vertical="center"/>
    </xf>
    <xf numFmtId="0" fontId="5" fillId="0" borderId="20" xfId="0" applyFont="1" applyBorder="1" applyAlignment="1">
      <alignment horizontal="center" vertical="center"/>
    </xf>
    <xf numFmtId="179" fontId="5" fillId="0" borderId="6" xfId="0" applyNumberFormat="1" applyFont="1" applyBorder="1" applyAlignment="1">
      <alignment horizontal="center" vertical="center"/>
    </xf>
    <xf numFmtId="179" fontId="5" fillId="0" borderId="7" xfId="0" applyNumberFormat="1" applyFont="1" applyBorder="1" applyAlignment="1">
      <alignment horizontal="center" vertical="center"/>
    </xf>
    <xf numFmtId="179" fontId="5" fillId="0" borderId="8" xfId="0" applyNumberFormat="1" applyFont="1" applyBorder="1" applyAlignment="1">
      <alignment horizontal="center" vertical="center"/>
    </xf>
    <xf numFmtId="0" fontId="7" fillId="6" borderId="12" xfId="0" applyFont="1" applyFill="1" applyBorder="1" applyAlignment="1">
      <alignment horizontal="center" vertical="center"/>
    </xf>
    <xf numFmtId="0" fontId="7" fillId="6" borderId="13" xfId="0" applyFont="1" applyFill="1" applyBorder="1" applyAlignment="1">
      <alignment horizontal="center" vertical="center"/>
    </xf>
    <xf numFmtId="0" fontId="7" fillId="6" borderId="14"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18" xfId="0" applyFont="1" applyFill="1" applyBorder="1" applyAlignment="1">
      <alignment horizontal="center" vertical="center"/>
    </xf>
    <xf numFmtId="0" fontId="7" fillId="6" borderId="19" xfId="0" applyFont="1" applyFill="1" applyBorder="1" applyAlignment="1">
      <alignment horizontal="center" vertical="center"/>
    </xf>
    <xf numFmtId="31" fontId="5" fillId="0" borderId="6" xfId="0" applyNumberFormat="1" applyFont="1" applyBorder="1" applyAlignment="1">
      <alignment horizontal="center" vertical="center"/>
    </xf>
    <xf numFmtId="31" fontId="5" fillId="0" borderId="7" xfId="0" applyNumberFormat="1" applyFont="1" applyBorder="1" applyAlignment="1">
      <alignment horizontal="center" vertical="center"/>
    </xf>
    <xf numFmtId="31" fontId="5" fillId="0" borderId="8" xfId="0" applyNumberFormat="1" applyFont="1" applyBorder="1" applyAlignment="1">
      <alignment horizontal="center" vertical="center"/>
    </xf>
    <xf numFmtId="0" fontId="5" fillId="0" borderId="21" xfId="0" applyFont="1" applyBorder="1" applyAlignment="1">
      <alignment horizontal="center" vertical="center"/>
    </xf>
    <xf numFmtId="0" fontId="7" fillId="6" borderId="20" xfId="0" applyFont="1" applyFill="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vertical="center"/>
    </xf>
    <xf numFmtId="0" fontId="5" fillId="0" borderId="6" xfId="0" applyFont="1"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5" fillId="0" borderId="20" xfId="0" quotePrefix="1" applyFont="1" applyBorder="1" applyAlignment="1">
      <alignment vertical="center"/>
    </xf>
    <xf numFmtId="177" fontId="8" fillId="0" borderId="0" xfId="0" applyNumberFormat="1" applyFont="1" applyAlignment="1">
      <alignment horizontal="left"/>
    </xf>
    <xf numFmtId="0" fontId="9" fillId="0" borderId="10" xfId="0" applyFont="1" applyBorder="1" applyAlignment="1">
      <alignment horizontal="distributed" vertical="center"/>
    </xf>
    <xf numFmtId="0" fontId="9" fillId="0" borderId="4" xfId="0" applyFont="1" applyBorder="1" applyAlignment="1">
      <alignment horizontal="distributed" vertical="center"/>
    </xf>
    <xf numFmtId="0" fontId="6" fillId="6" borderId="45" xfId="1" applyFont="1" applyFill="1" applyBorder="1" applyAlignment="1">
      <alignment vertical="center"/>
    </xf>
    <xf numFmtId="0" fontId="6" fillId="6" borderId="46" xfId="1" applyFont="1" applyFill="1" applyBorder="1" applyAlignment="1">
      <alignment vertical="center"/>
    </xf>
    <xf numFmtId="0" fontId="6" fillId="0" borderId="47" xfId="1" applyFont="1" applyBorder="1" applyAlignment="1">
      <alignment vertical="center"/>
    </xf>
    <xf numFmtId="0" fontId="6" fillId="0" borderId="48" xfId="1" applyFont="1" applyBorder="1" applyAlignment="1">
      <alignment vertical="center"/>
    </xf>
    <xf numFmtId="0" fontId="6" fillId="0" borderId="49" xfId="1" applyFont="1" applyBorder="1" applyAlignment="1">
      <alignment vertical="center"/>
    </xf>
    <xf numFmtId="0" fontId="6" fillId="6" borderId="46" xfId="1" applyFont="1" applyFill="1" applyBorder="1" applyAlignment="1">
      <alignment horizontal="center" vertical="center"/>
    </xf>
    <xf numFmtId="0" fontId="6" fillId="0" borderId="47" xfId="1" applyFont="1" applyBorder="1" applyAlignment="1">
      <alignment horizontal="left" vertical="center"/>
    </xf>
    <xf numFmtId="0" fontId="6" fillId="0" borderId="48" xfId="1" applyFont="1" applyBorder="1" applyAlignment="1">
      <alignment horizontal="left" vertical="center"/>
    </xf>
    <xf numFmtId="0" fontId="6" fillId="0" borderId="49" xfId="1" applyFont="1" applyBorder="1" applyAlignment="1">
      <alignment horizontal="left" vertical="center"/>
    </xf>
    <xf numFmtId="0" fontId="6" fillId="6" borderId="52" xfId="1" applyFont="1" applyFill="1" applyBorder="1" applyAlignment="1">
      <alignment vertical="center"/>
    </xf>
    <xf numFmtId="0" fontId="6" fillId="6" borderId="20" xfId="1" applyFont="1" applyFill="1" applyBorder="1" applyAlignment="1">
      <alignment vertical="center"/>
    </xf>
    <xf numFmtId="0" fontId="11" fillId="0" borderId="6" xfId="1" applyFont="1" applyBorder="1" applyAlignment="1">
      <alignment vertical="center" wrapText="1"/>
    </xf>
    <xf numFmtId="0" fontId="11" fillId="0" borderId="7" xfId="1" applyFont="1" applyBorder="1" applyAlignment="1">
      <alignment vertical="center" wrapText="1"/>
    </xf>
    <xf numFmtId="0" fontId="11" fillId="0" borderId="8" xfId="1" applyFont="1" applyBorder="1" applyAlignment="1">
      <alignment vertical="center" wrapText="1"/>
    </xf>
    <xf numFmtId="0" fontId="6" fillId="6" borderId="20" xfId="1" applyFont="1" applyFill="1" applyBorder="1" applyAlignment="1">
      <alignment horizontal="center" vertical="center"/>
    </xf>
    <xf numFmtId="0" fontId="6" fillId="6" borderId="39" xfId="1" applyFont="1" applyFill="1" applyBorder="1" applyAlignment="1">
      <alignment horizontal="center" vertical="center"/>
    </xf>
    <xf numFmtId="0" fontId="6" fillId="0" borderId="12" xfId="1" applyFont="1" applyBorder="1" applyAlignment="1">
      <alignment horizontal="left" vertical="center"/>
    </xf>
    <xf numFmtId="0" fontId="6" fillId="0" borderId="13" xfId="1" applyFont="1" applyBorder="1" applyAlignment="1">
      <alignment horizontal="left" vertical="center"/>
    </xf>
    <xf numFmtId="0" fontId="6" fillId="0" borderId="14" xfId="1" applyFont="1" applyBorder="1" applyAlignment="1">
      <alignment horizontal="left" vertical="center"/>
    </xf>
    <xf numFmtId="0" fontId="6" fillId="6" borderId="38" xfId="1" applyFont="1" applyFill="1" applyBorder="1" applyAlignment="1">
      <alignment vertical="center"/>
    </xf>
    <xf numFmtId="0" fontId="6" fillId="6" borderId="39" xfId="1" applyFont="1" applyFill="1" applyBorder="1" applyAlignment="1">
      <alignment vertical="center"/>
    </xf>
    <xf numFmtId="0" fontId="11" fillId="0" borderId="40" xfId="1" applyFont="1" applyBorder="1" applyAlignment="1">
      <alignment vertical="center" wrapText="1"/>
    </xf>
    <xf numFmtId="0" fontId="11" fillId="0" borderId="41" xfId="1" applyFont="1" applyBorder="1" applyAlignment="1">
      <alignment vertical="center" wrapText="1"/>
    </xf>
    <xf numFmtId="0" fontId="11" fillId="0" borderId="42" xfId="1" applyFont="1" applyBorder="1" applyAlignment="1">
      <alignment vertical="center" wrapText="1"/>
    </xf>
    <xf numFmtId="0" fontId="6" fillId="0" borderId="43" xfId="1" applyFont="1" applyBorder="1" applyAlignment="1">
      <alignment horizontal="left" vertical="center"/>
    </xf>
    <xf numFmtId="0" fontId="6" fillId="0" borderId="4" xfId="1" applyFont="1" applyBorder="1" applyAlignment="1">
      <alignment horizontal="left" vertical="center"/>
    </xf>
    <xf numFmtId="0" fontId="6" fillId="0" borderId="44" xfId="1" applyFont="1" applyBorder="1" applyAlignment="1">
      <alignment horizontal="left" vertical="center"/>
    </xf>
    <xf numFmtId="0" fontId="6" fillId="0" borderId="50" xfId="1" applyFont="1" applyBorder="1" applyAlignment="1">
      <alignment horizontal="center" vertical="center"/>
    </xf>
    <xf numFmtId="0" fontId="6" fillId="0" borderId="10" xfId="1" applyFont="1" applyBorder="1" applyAlignment="1">
      <alignment horizontal="center" vertical="center"/>
    </xf>
    <xf numFmtId="0" fontId="6" fillId="0" borderId="51" xfId="1" applyFont="1" applyBorder="1" applyAlignment="1">
      <alignment horizontal="center" vertical="center"/>
    </xf>
    <xf numFmtId="178" fontId="6" fillId="0" borderId="39" xfId="1" applyNumberFormat="1" applyFont="1" applyBorder="1" applyAlignment="1">
      <alignment horizontal="center" vertical="center"/>
    </xf>
    <xf numFmtId="176" fontId="6" fillId="0" borderId="46" xfId="1" applyNumberFormat="1" applyFont="1" applyBorder="1" applyAlignment="1">
      <alignment horizontal="center" vertical="center"/>
    </xf>
    <xf numFmtId="0" fontId="6" fillId="6" borderId="50" xfId="1" applyFont="1" applyFill="1" applyBorder="1" applyAlignment="1">
      <alignment horizontal="center" vertical="center"/>
    </xf>
    <xf numFmtId="0" fontId="6" fillId="6" borderId="10" xfId="1" applyFont="1" applyFill="1" applyBorder="1" applyAlignment="1">
      <alignment horizontal="center" vertical="center"/>
    </xf>
    <xf numFmtId="0" fontId="6" fillId="6" borderId="51" xfId="1" applyFont="1" applyFill="1" applyBorder="1" applyAlignment="1">
      <alignment horizontal="center" vertical="center"/>
    </xf>
    <xf numFmtId="0" fontId="6" fillId="6" borderId="15" xfId="1" applyFont="1" applyFill="1" applyBorder="1" applyAlignment="1">
      <alignment horizontal="center" vertical="center"/>
    </xf>
    <xf numFmtId="0" fontId="6" fillId="6" borderId="0" xfId="1" applyFont="1" applyFill="1" applyAlignment="1">
      <alignment horizontal="center" vertical="center"/>
    </xf>
    <xf numFmtId="0" fontId="6" fillId="6" borderId="16" xfId="1" applyFont="1" applyFill="1" applyBorder="1" applyAlignment="1">
      <alignment horizontal="center" vertical="center"/>
    </xf>
    <xf numFmtId="0" fontId="6" fillId="6" borderId="43" xfId="1" applyFont="1" applyFill="1" applyBorder="1" applyAlignment="1">
      <alignment horizontal="center" vertical="center"/>
    </xf>
    <xf numFmtId="0" fontId="6" fillId="6" borderId="4" xfId="1" applyFont="1" applyFill="1" applyBorder="1" applyAlignment="1">
      <alignment horizontal="center" vertical="center"/>
    </xf>
    <xf numFmtId="0" fontId="6" fillId="6" borderId="44" xfId="1" applyFont="1" applyFill="1" applyBorder="1" applyAlignment="1">
      <alignment horizontal="center" vertical="center"/>
    </xf>
    <xf numFmtId="0" fontId="6" fillId="0" borderId="11" xfId="1" applyFont="1" applyBorder="1" applyAlignment="1">
      <alignment horizontal="center" vertical="center"/>
    </xf>
    <xf numFmtId="0" fontId="6" fillId="0" borderId="15" xfId="1" applyFont="1" applyBorder="1" applyAlignment="1">
      <alignment horizontal="center" vertical="center"/>
    </xf>
    <xf numFmtId="0" fontId="6" fillId="0" borderId="0" xfId="1" applyFont="1" applyAlignment="1">
      <alignment horizontal="center" vertical="center"/>
    </xf>
    <xf numFmtId="0" fontId="6" fillId="0" borderId="2" xfId="1" applyFont="1" applyBorder="1" applyAlignment="1">
      <alignment horizontal="center" vertical="center"/>
    </xf>
    <xf numFmtId="0" fontId="6" fillId="0" borderId="43" xfId="1" applyFont="1" applyBorder="1" applyAlignment="1">
      <alignment horizontal="center" vertical="center"/>
    </xf>
    <xf numFmtId="0" fontId="6"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6" fillId="0" borderId="7" xfId="1" applyFont="1" applyBorder="1" applyAlignment="1">
      <alignment horizontal="center" vertical="center"/>
    </xf>
    <xf numFmtId="0" fontId="6" fillId="0" borderId="8" xfId="1" applyFont="1" applyBorder="1" applyAlignment="1">
      <alignment horizontal="center" vertical="center"/>
    </xf>
    <xf numFmtId="178" fontId="6" fillId="0" borderId="6" xfId="1" applyNumberFormat="1" applyFont="1" applyBorder="1" applyAlignment="1">
      <alignment horizontal="center" vertical="center"/>
    </xf>
    <xf numFmtId="178" fontId="6" fillId="0" borderId="7" xfId="1" applyNumberFormat="1" applyFont="1" applyBorder="1" applyAlignment="1">
      <alignment horizontal="center" vertical="center"/>
    </xf>
    <xf numFmtId="178" fontId="6" fillId="0" borderId="8" xfId="1" applyNumberFormat="1" applyFont="1" applyBorder="1" applyAlignment="1">
      <alignment horizontal="center" vertical="center"/>
    </xf>
    <xf numFmtId="0" fontId="6" fillId="0" borderId="40" xfId="1" applyFont="1" applyBorder="1" applyAlignment="1">
      <alignment horizontal="center" vertical="center"/>
    </xf>
    <xf numFmtId="0" fontId="6" fillId="0" borderId="41" xfId="1" applyFont="1" applyBorder="1" applyAlignment="1">
      <alignment horizontal="center" vertical="center"/>
    </xf>
    <xf numFmtId="0" fontId="6" fillId="0" borderId="42" xfId="1" applyFont="1" applyBorder="1" applyAlignment="1">
      <alignment horizontal="center" vertical="center"/>
    </xf>
    <xf numFmtId="0" fontId="5" fillId="0" borderId="20" xfId="0" applyFont="1" applyBorder="1"/>
    <xf numFmtId="0" fontId="5" fillId="11" borderId="20" xfId="0" applyFont="1" applyFill="1" applyBorder="1" applyAlignment="1">
      <alignment horizontal="center"/>
    </xf>
    <xf numFmtId="0" fontId="5" fillId="0" borderId="12" xfId="0" applyFont="1" applyBorder="1"/>
    <xf numFmtId="0" fontId="5" fillId="0" borderId="13" xfId="0" applyFont="1" applyBorder="1"/>
    <xf numFmtId="0" fontId="5" fillId="0" borderId="14" xfId="0" applyFont="1" applyBorder="1"/>
    <xf numFmtId="0" fontId="5" fillId="7" borderId="62" xfId="0" applyFont="1" applyFill="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vertical="center"/>
    </xf>
    <xf numFmtId="0" fontId="5" fillId="7" borderId="71" xfId="0" applyFont="1" applyFill="1" applyBorder="1" applyAlignment="1">
      <alignment horizontal="center" vertical="center"/>
    </xf>
    <xf numFmtId="0" fontId="5" fillId="7" borderId="72" xfId="0" applyFont="1" applyFill="1" applyBorder="1" applyAlignment="1">
      <alignment horizontal="center" vertical="center"/>
    </xf>
    <xf numFmtId="0" fontId="5" fillId="7" borderId="73" xfId="0" applyFont="1" applyFill="1" applyBorder="1" applyAlignment="1">
      <alignment horizontal="center" vertical="center"/>
    </xf>
    <xf numFmtId="0" fontId="17" fillId="9" borderId="31" xfId="0" applyFont="1" applyFill="1" applyBorder="1" applyAlignment="1">
      <alignment horizontal="center" vertical="center"/>
    </xf>
    <xf numFmtId="0" fontId="17" fillId="9" borderId="32" xfId="0" applyFont="1" applyFill="1" applyBorder="1" applyAlignment="1">
      <alignment horizontal="center" vertical="center"/>
    </xf>
    <xf numFmtId="0" fontId="17" fillId="9" borderId="56" xfId="0" applyFont="1" applyFill="1" applyBorder="1" applyAlignment="1">
      <alignment horizontal="center" vertical="center"/>
    </xf>
    <xf numFmtId="0" fontId="5" fillId="7" borderId="6" xfId="0" applyFont="1" applyFill="1" applyBorder="1" applyAlignment="1">
      <alignment vertical="center"/>
    </xf>
    <xf numFmtId="0" fontId="5" fillId="7" borderId="7" xfId="0" applyFont="1" applyFill="1" applyBorder="1" applyAlignment="1">
      <alignment vertical="center"/>
    </xf>
    <xf numFmtId="0" fontId="5" fillId="7" borderId="8" xfId="0" applyFont="1" applyFill="1" applyBorder="1" applyAlignment="1">
      <alignment vertical="center"/>
    </xf>
    <xf numFmtId="0" fontId="5" fillId="14" borderId="20" xfId="0" applyFont="1" applyFill="1" applyBorder="1" applyAlignment="1">
      <alignment horizontal="center" vertical="center"/>
    </xf>
    <xf numFmtId="0" fontId="5" fillId="8" borderId="103"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13" borderId="103" xfId="0" applyFont="1" applyFill="1" applyBorder="1" applyAlignment="1">
      <alignment horizontal="center" vertical="center"/>
    </xf>
    <xf numFmtId="0" fontId="5" fillId="13" borderId="104" xfId="0" applyFont="1" applyFill="1" applyBorder="1" applyAlignment="1">
      <alignment horizontal="center" vertical="center"/>
    </xf>
    <xf numFmtId="0" fontId="5" fillId="13" borderId="105"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xf numFmtId="0" fontId="5" fillId="13" borderId="8"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8" xfId="0" applyFont="1" applyFill="1" applyBorder="1" applyAlignment="1">
      <alignment horizontal="center" vertical="center"/>
    </xf>
    <xf numFmtId="0" fontId="5" fillId="11" borderId="20" xfId="0" applyFont="1" applyFill="1" applyBorder="1" applyAlignment="1">
      <alignment horizontal="center" vertical="center"/>
    </xf>
    <xf numFmtId="0" fontId="5" fillId="0" borderId="94" xfId="0" applyFont="1" applyBorder="1" applyAlignment="1">
      <alignment vertical="top" wrapText="1"/>
    </xf>
    <xf numFmtId="0" fontId="5" fillId="0" borderId="95" xfId="0" applyFont="1" applyBorder="1" applyAlignment="1">
      <alignment vertical="top" wrapText="1"/>
    </xf>
    <xf numFmtId="0" fontId="5" fillId="0" borderId="96" xfId="0" applyFont="1" applyBorder="1" applyAlignment="1">
      <alignment vertical="top" wrapText="1"/>
    </xf>
    <xf numFmtId="0" fontId="5" fillId="0" borderId="77" xfId="0" applyFont="1" applyBorder="1" applyAlignment="1">
      <alignment vertical="top" wrapText="1"/>
    </xf>
    <xf numFmtId="0" fontId="5" fillId="0" borderId="78" xfId="0" applyFont="1" applyBorder="1" applyAlignment="1">
      <alignment vertical="top" wrapText="1"/>
    </xf>
    <xf numFmtId="0" fontId="5" fillId="0" borderId="99" xfId="0" applyFont="1" applyBorder="1" applyAlignment="1">
      <alignment vertical="top" wrapText="1"/>
    </xf>
    <xf numFmtId="0" fontId="5" fillId="0" borderId="80" xfId="0" applyFont="1" applyBorder="1" applyAlignment="1">
      <alignment vertical="top" wrapText="1"/>
    </xf>
    <xf numFmtId="0" fontId="5" fillId="0" borderId="81" xfId="0" applyFont="1" applyBorder="1" applyAlignment="1">
      <alignment vertical="top" wrapText="1"/>
    </xf>
    <xf numFmtId="0" fontId="5" fillId="0" borderId="101" xfId="0" applyFont="1" applyBorder="1" applyAlignment="1">
      <alignment vertical="top" wrapText="1"/>
    </xf>
    <xf numFmtId="0" fontId="5" fillId="0" borderId="100" xfId="0" applyFont="1" applyBorder="1" applyAlignment="1">
      <alignment vertical="top"/>
    </xf>
    <xf numFmtId="0" fontId="5" fillId="0" borderId="78" xfId="0" applyFont="1" applyBorder="1" applyAlignment="1">
      <alignment vertical="top"/>
    </xf>
    <xf numFmtId="0" fontId="5" fillId="0" borderId="99" xfId="0" applyFont="1" applyBorder="1" applyAlignment="1">
      <alignment vertical="top"/>
    </xf>
    <xf numFmtId="0" fontId="5" fillId="0" borderId="102" xfId="0" applyFont="1" applyBorder="1" applyAlignment="1">
      <alignment vertical="top"/>
    </xf>
    <xf numFmtId="0" fontId="5" fillId="0" borderId="81" xfId="0" applyFont="1" applyBorder="1" applyAlignment="1">
      <alignment vertical="top"/>
    </xf>
    <xf numFmtId="0" fontId="5" fillId="0" borderId="101" xfId="0" applyFont="1" applyBorder="1" applyAlignment="1">
      <alignment vertical="top"/>
    </xf>
    <xf numFmtId="0" fontId="5" fillId="0" borderId="97" xfId="0" applyFont="1" applyBorder="1" applyAlignment="1">
      <alignment vertical="top"/>
    </xf>
    <xf numFmtId="0" fontId="5" fillId="0" borderId="95" xfId="0" applyFont="1" applyBorder="1" applyAlignment="1">
      <alignment vertical="top"/>
    </xf>
    <xf numFmtId="0" fontId="5" fillId="0" borderId="96" xfId="0" applyFont="1" applyBorder="1" applyAlignment="1">
      <alignment vertical="top"/>
    </xf>
    <xf numFmtId="0" fontId="5" fillId="0" borderId="22" xfId="0" applyFont="1" applyBorder="1" applyAlignment="1">
      <alignment vertical="center"/>
    </xf>
    <xf numFmtId="0" fontId="5" fillId="0" borderId="26" xfId="0" applyFont="1" applyBorder="1" applyAlignment="1">
      <alignment vertical="center"/>
    </xf>
    <xf numFmtId="0" fontId="5" fillId="0" borderId="100" xfId="0" applyFont="1" applyBorder="1" applyAlignment="1">
      <alignment vertical="center"/>
    </xf>
    <xf numFmtId="0" fontId="5" fillId="0" borderId="78" xfId="0" applyFont="1" applyBorder="1" applyAlignment="1">
      <alignment vertical="center"/>
    </xf>
    <xf numFmtId="0" fontId="5" fillId="0" borderId="102" xfId="0" applyFont="1" applyBorder="1" applyAlignment="1">
      <alignment vertical="center"/>
    </xf>
    <xf numFmtId="0" fontId="5" fillId="0" borderId="81" xfId="0" applyFont="1" applyBorder="1" applyAlignment="1">
      <alignment vertical="center"/>
    </xf>
    <xf numFmtId="0" fontId="5" fillId="0" borderId="23" xfId="0" applyFont="1" applyBorder="1" applyAlignment="1">
      <alignment vertical="center"/>
    </xf>
    <xf numFmtId="0" fontId="5" fillId="0" borderId="27" xfId="0" applyFont="1" applyBorder="1" applyAlignment="1">
      <alignment vertical="center"/>
    </xf>
    <xf numFmtId="0" fontId="5" fillId="0" borderId="35" xfId="0" applyFont="1" applyBorder="1" applyAlignment="1">
      <alignment vertical="top"/>
    </xf>
    <xf numFmtId="0" fontId="5" fillId="0" borderId="22" xfId="0" applyFont="1" applyBorder="1" applyAlignment="1">
      <alignment vertical="top"/>
    </xf>
    <xf numFmtId="0" fontId="5" fillId="0" borderId="26" xfId="0" applyFont="1" applyBorder="1" applyAlignment="1">
      <alignment vertical="top"/>
    </xf>
    <xf numFmtId="0" fontId="5" fillId="11" borderId="24" xfId="0" applyFont="1" applyFill="1" applyBorder="1" applyAlignment="1">
      <alignment horizontal="center" vertical="top"/>
    </xf>
    <xf numFmtId="0" fontId="5" fillId="0" borderId="91" xfId="0" applyFont="1" applyBorder="1" applyAlignment="1">
      <alignment vertical="top"/>
    </xf>
    <xf numFmtId="0" fontId="5" fillId="0" borderId="92" xfId="0" applyFont="1" applyBorder="1" applyAlignment="1">
      <alignment vertical="top"/>
    </xf>
    <xf numFmtId="0" fontId="5" fillId="0" borderId="93" xfId="0" applyFont="1" applyBorder="1" applyAlignment="1">
      <alignment vertical="top"/>
    </xf>
    <xf numFmtId="0" fontId="5" fillId="0" borderId="87" xfId="0" applyFont="1" applyBorder="1" applyAlignment="1">
      <alignment vertical="top"/>
    </xf>
    <xf numFmtId="0" fontId="5" fillId="0" borderId="0" xfId="0" applyFont="1" applyAlignment="1">
      <alignment vertical="top"/>
    </xf>
    <xf numFmtId="0" fontId="5" fillId="0" borderId="60" xfId="0" applyFont="1" applyBorder="1" applyAlignment="1">
      <alignment vertical="top"/>
    </xf>
    <xf numFmtId="0" fontId="5" fillId="0" borderId="75" xfId="0" applyFont="1" applyBorder="1" applyAlignment="1">
      <alignment vertical="center"/>
    </xf>
    <xf numFmtId="0" fontId="5" fillId="0" borderId="76" xfId="0" applyFont="1" applyBorder="1" applyAlignment="1">
      <alignment vertical="center"/>
    </xf>
    <xf numFmtId="49" fontId="5" fillId="0" borderId="75" xfId="0" applyNumberFormat="1" applyFont="1" applyBorder="1" applyAlignment="1">
      <alignment vertical="center"/>
    </xf>
    <xf numFmtId="49" fontId="5" fillId="0" borderId="22" xfId="0" applyNumberFormat="1" applyFont="1" applyBorder="1" applyAlignment="1">
      <alignment vertical="center"/>
    </xf>
    <xf numFmtId="0" fontId="5" fillId="11" borderId="25" xfId="0" applyFont="1" applyFill="1" applyBorder="1" applyAlignment="1">
      <alignment horizontal="center" vertical="top"/>
    </xf>
    <xf numFmtId="0" fontId="5" fillId="11" borderId="88" xfId="0" applyFont="1" applyFill="1" applyBorder="1" applyAlignment="1">
      <alignment horizontal="center" vertical="top"/>
    </xf>
    <xf numFmtId="0" fontId="5" fillId="0" borderId="34" xfId="0" applyFont="1" applyBorder="1" applyAlignment="1">
      <alignment vertical="top" wrapText="1"/>
    </xf>
    <xf numFmtId="0" fontId="5" fillId="0" borderId="28" xfId="0" applyFont="1" applyBorder="1" applyAlignment="1">
      <alignment vertical="top"/>
    </xf>
    <xf numFmtId="0" fontId="5" fillId="0" borderId="30" xfId="0" applyFont="1" applyBorder="1" applyAlignment="1">
      <alignment vertical="top"/>
    </xf>
    <xf numFmtId="0" fontId="5" fillId="0" borderId="34" xfId="0" applyFont="1" applyBorder="1" applyAlignment="1">
      <alignment vertical="top"/>
    </xf>
    <xf numFmtId="0" fontId="5" fillId="0" borderId="35" xfId="0" applyFont="1" applyBorder="1" applyAlignment="1">
      <alignment vertical="center"/>
    </xf>
    <xf numFmtId="0" fontId="5" fillId="0" borderId="29" xfId="0" applyFont="1" applyBorder="1" applyAlignment="1">
      <alignment vertical="center"/>
    </xf>
    <xf numFmtId="0" fontId="5" fillId="0" borderId="90" xfId="0" applyFont="1" applyBorder="1" applyAlignment="1">
      <alignment vertical="top" wrapText="1"/>
    </xf>
    <xf numFmtId="0" fontId="5" fillId="0" borderId="29" xfId="0" applyFont="1" applyBorder="1" applyAlignment="1">
      <alignment vertical="top"/>
    </xf>
    <xf numFmtId="0" fontId="5" fillId="0" borderId="74" xfId="0" applyFont="1" applyBorder="1" applyAlignment="1">
      <alignment vertical="top"/>
    </xf>
    <xf numFmtId="0" fontId="5" fillId="0" borderId="75" xfId="0" applyFont="1" applyBorder="1" applyAlignment="1">
      <alignment vertical="top"/>
    </xf>
    <xf numFmtId="0" fontId="5" fillId="0" borderId="57" xfId="0" applyFont="1" applyBorder="1" applyAlignment="1">
      <alignment vertical="top"/>
    </xf>
    <xf numFmtId="0" fontId="5" fillId="0" borderId="58" xfId="0" applyFont="1" applyBorder="1" applyAlignment="1">
      <alignment vertical="top"/>
    </xf>
    <xf numFmtId="0" fontId="5" fillId="0" borderId="12" xfId="0" applyFont="1" applyBorder="1" applyAlignment="1">
      <alignment vertical="top" wrapText="1"/>
    </xf>
    <xf numFmtId="0" fontId="5" fillId="0" borderId="13" xfId="0" applyFont="1" applyBorder="1" applyAlignment="1">
      <alignment vertical="top" wrapText="1"/>
    </xf>
    <xf numFmtId="0" fontId="5" fillId="0" borderId="59" xfId="0" applyFont="1" applyBorder="1" applyAlignment="1">
      <alignment vertical="top" wrapText="1"/>
    </xf>
    <xf numFmtId="0" fontId="5" fillId="0" borderId="15" xfId="0" applyFont="1" applyBorder="1" applyAlignment="1">
      <alignment vertical="top" wrapText="1"/>
    </xf>
    <xf numFmtId="0" fontId="5" fillId="0" borderId="0" xfId="0" applyFont="1" applyAlignment="1">
      <alignment vertical="top" wrapText="1"/>
    </xf>
    <xf numFmtId="0" fontId="5" fillId="0" borderId="60" xfId="0" applyFont="1" applyBorder="1" applyAlignment="1">
      <alignment vertical="top" wrapText="1"/>
    </xf>
    <xf numFmtId="0" fontId="5" fillId="0" borderId="17" xfId="0" applyFont="1" applyBorder="1" applyAlignment="1">
      <alignment vertical="top" wrapText="1"/>
    </xf>
    <xf numFmtId="0" fontId="5" fillId="0" borderId="18" xfId="0" applyFont="1" applyBorder="1" applyAlignment="1">
      <alignment vertical="top" wrapText="1"/>
    </xf>
    <xf numFmtId="0" fontId="5" fillId="0" borderId="61" xfId="0" applyFont="1" applyBorder="1" applyAlignment="1">
      <alignment vertical="top" wrapText="1"/>
    </xf>
    <xf numFmtId="0" fontId="5" fillId="11" borderId="62" xfId="0" applyFont="1" applyFill="1" applyBorder="1" applyAlignment="1">
      <alignment horizontal="center" vertical="top"/>
    </xf>
    <xf numFmtId="0" fontId="5" fillId="0" borderId="55" xfId="0" applyFont="1" applyBorder="1" applyAlignment="1">
      <alignment horizontal="left"/>
    </xf>
    <xf numFmtId="0" fontId="5" fillId="0" borderId="53" xfId="0" applyFont="1" applyBorder="1" applyAlignment="1">
      <alignment horizontal="left"/>
    </xf>
    <xf numFmtId="14" fontId="5" fillId="12" borderId="53" xfId="0" applyNumberFormat="1" applyFont="1" applyFill="1" applyBorder="1" applyAlignment="1">
      <alignment horizontal="center" vertical="top"/>
    </xf>
    <xf numFmtId="0" fontId="5" fillId="12" borderId="53" xfId="0" applyFont="1" applyFill="1" applyBorder="1" applyAlignment="1">
      <alignment horizontal="center" vertical="top"/>
    </xf>
    <xf numFmtId="49" fontId="5" fillId="0" borderId="26" xfId="0" applyNumberFormat="1" applyFont="1" applyBorder="1" applyAlignment="1">
      <alignment vertical="center"/>
    </xf>
    <xf numFmtId="14" fontId="5" fillId="12" borderId="86" xfId="0" applyNumberFormat="1" applyFont="1" applyFill="1" applyBorder="1" applyAlignment="1">
      <alignment horizontal="center" vertical="top"/>
    </xf>
    <xf numFmtId="0" fontId="5" fillId="12" borderId="86" xfId="0" applyFont="1" applyFill="1" applyBorder="1" applyAlignment="1">
      <alignment horizontal="center" vertical="top"/>
    </xf>
    <xf numFmtId="0" fontId="5" fillId="11" borderId="31" xfId="0" applyFont="1" applyFill="1" applyBorder="1" applyAlignment="1">
      <alignment horizontal="center" vertical="top"/>
    </xf>
    <xf numFmtId="0" fontId="5" fillId="11" borderId="32" xfId="0" applyFont="1" applyFill="1" applyBorder="1" applyAlignment="1">
      <alignment horizontal="center" vertical="top"/>
    </xf>
    <xf numFmtId="0" fontId="5" fillId="11" borderId="56" xfId="0" applyFont="1" applyFill="1" applyBorder="1" applyAlignment="1">
      <alignment horizontal="center" vertical="top"/>
    </xf>
    <xf numFmtId="0" fontId="5" fillId="0" borderId="89" xfId="0" applyFont="1" applyBorder="1" applyAlignment="1">
      <alignment vertical="center"/>
    </xf>
    <xf numFmtId="0" fontId="5" fillId="0" borderId="18" xfId="0" applyFont="1" applyBorder="1" applyAlignment="1">
      <alignment vertical="center"/>
    </xf>
    <xf numFmtId="14" fontId="5" fillId="0" borderId="55" xfId="0" applyNumberFormat="1" applyFont="1" applyBorder="1" applyAlignment="1">
      <alignment horizontal="center"/>
    </xf>
    <xf numFmtId="0" fontId="5" fillId="0" borderId="55" xfId="0" applyFont="1" applyBorder="1" applyAlignment="1">
      <alignment horizontal="center"/>
    </xf>
    <xf numFmtId="0" fontId="5" fillId="12" borderId="53" xfId="0" applyFont="1" applyFill="1" applyBorder="1" applyAlignment="1">
      <alignment horizontal="left"/>
    </xf>
    <xf numFmtId="0" fontId="5" fillId="0" borderId="54" xfId="0" applyFont="1" applyBorder="1" applyAlignment="1">
      <alignment horizontal="left"/>
    </xf>
    <xf numFmtId="14" fontId="5" fillId="0" borderId="53" xfId="0" applyNumberFormat="1" applyFont="1" applyBorder="1" applyAlignment="1">
      <alignment horizontal="center"/>
    </xf>
    <xf numFmtId="0" fontId="5" fillId="0" borderId="53" xfId="0" applyFont="1" applyBorder="1" applyAlignment="1">
      <alignment horizontal="center"/>
    </xf>
    <xf numFmtId="14" fontId="5" fillId="12" borderId="53" xfId="0" applyNumberFormat="1" applyFont="1" applyFill="1" applyBorder="1" applyAlignment="1">
      <alignment horizontal="center"/>
    </xf>
    <xf numFmtId="0" fontId="5" fillId="12" borderId="53" xfId="0" applyFont="1" applyFill="1" applyBorder="1" applyAlignment="1">
      <alignment horizontal="center"/>
    </xf>
    <xf numFmtId="14" fontId="5" fillId="0" borderId="54" xfId="0" applyNumberFormat="1" applyFont="1" applyBorder="1" applyAlignment="1">
      <alignment horizontal="center"/>
    </xf>
    <xf numFmtId="0" fontId="5" fillId="0" borderId="54" xfId="0" applyFont="1" applyBorder="1" applyAlignment="1">
      <alignment horizontal="center"/>
    </xf>
    <xf numFmtId="0" fontId="5" fillId="12" borderId="53" xfId="0" applyFont="1" applyFill="1" applyBorder="1" applyAlignment="1">
      <alignment vertical="top"/>
    </xf>
    <xf numFmtId="14" fontId="5" fillId="12" borderId="83" xfId="0" applyNumberFormat="1" applyFont="1" applyFill="1" applyBorder="1" applyAlignment="1">
      <alignment horizontal="center" vertical="top"/>
    </xf>
    <xf numFmtId="14" fontId="5" fillId="12" borderId="84" xfId="0" applyNumberFormat="1" applyFont="1" applyFill="1" applyBorder="1" applyAlignment="1">
      <alignment horizontal="center" vertical="top"/>
    </xf>
    <xf numFmtId="14" fontId="5" fillId="12" borderId="85" xfId="0" applyNumberFormat="1" applyFont="1" applyFill="1" applyBorder="1" applyAlignment="1">
      <alignment horizontal="center" vertical="top"/>
    </xf>
    <xf numFmtId="14" fontId="5" fillId="12" borderId="77" xfId="0" applyNumberFormat="1" applyFont="1" applyFill="1" applyBorder="1" applyAlignment="1">
      <alignment horizontal="center" vertical="top"/>
    </xf>
    <xf numFmtId="14" fontId="5" fillId="12" borderId="78" xfId="0" applyNumberFormat="1" applyFont="1" applyFill="1" applyBorder="1" applyAlignment="1">
      <alignment horizontal="center" vertical="top"/>
    </xf>
    <xf numFmtId="14" fontId="5" fillId="12" borderId="79" xfId="0" applyNumberFormat="1" applyFont="1" applyFill="1" applyBorder="1" applyAlignment="1">
      <alignment horizontal="center" vertical="top"/>
    </xf>
    <xf numFmtId="14" fontId="5" fillId="0" borderId="53" xfId="0" applyNumberFormat="1" applyFont="1" applyBorder="1" applyAlignment="1">
      <alignment horizontal="center" vertical="top"/>
    </xf>
    <xf numFmtId="0" fontId="5" fillId="0" borderId="53" xfId="0" applyFont="1" applyBorder="1" applyAlignment="1">
      <alignment horizontal="center" vertical="top"/>
    </xf>
    <xf numFmtId="14" fontId="5" fillId="0" borderId="54" xfId="0" applyNumberFormat="1" applyFont="1" applyBorder="1" applyAlignment="1">
      <alignment horizontal="center" vertical="top"/>
    </xf>
    <xf numFmtId="0" fontId="5" fillId="0" borderId="54" xfId="0" applyFont="1" applyBorder="1" applyAlignment="1">
      <alignment horizontal="center" vertical="top"/>
    </xf>
    <xf numFmtId="0" fontId="5" fillId="12" borderId="83" xfId="0" applyFont="1" applyFill="1" applyBorder="1" applyAlignment="1">
      <alignment vertical="top"/>
    </xf>
    <xf numFmtId="0" fontId="5" fillId="12" borderId="84" xfId="0" applyFont="1" applyFill="1" applyBorder="1" applyAlignment="1">
      <alignment vertical="top"/>
    </xf>
    <xf numFmtId="0" fontId="5" fillId="12" borderId="85" xfId="0" applyFont="1" applyFill="1" applyBorder="1" applyAlignment="1">
      <alignment vertical="top"/>
    </xf>
    <xf numFmtId="0" fontId="5" fillId="12" borderId="77" xfId="0" applyFont="1" applyFill="1" applyBorder="1" applyAlignment="1">
      <alignment vertical="top"/>
    </xf>
    <xf numFmtId="0" fontId="5" fillId="12" borderId="78" xfId="0" applyFont="1" applyFill="1" applyBorder="1" applyAlignment="1">
      <alignment vertical="top"/>
    </xf>
    <xf numFmtId="0" fontId="5" fillId="12" borderId="79" xfId="0" applyFont="1" applyFill="1" applyBorder="1" applyAlignment="1">
      <alignment vertical="top"/>
    </xf>
    <xf numFmtId="0" fontId="5" fillId="0" borderId="53" xfId="0" applyFont="1" applyBorder="1" applyAlignment="1">
      <alignment vertical="top"/>
    </xf>
    <xf numFmtId="0" fontId="5" fillId="0" borderId="54" xfId="0" applyFont="1" applyBorder="1" applyAlignment="1">
      <alignment vertical="top"/>
    </xf>
    <xf numFmtId="0" fontId="5" fillId="0" borderId="77" xfId="0" applyFont="1" applyBorder="1" applyAlignment="1">
      <alignment vertical="top"/>
    </xf>
    <xf numFmtId="0" fontId="5" fillId="0" borderId="79" xfId="0" applyFont="1" applyBorder="1" applyAlignment="1">
      <alignment vertical="top"/>
    </xf>
    <xf numFmtId="0" fontId="5" fillId="0" borderId="80" xfId="0" applyFont="1" applyBorder="1" applyAlignment="1">
      <alignment vertical="top"/>
    </xf>
    <xf numFmtId="0" fontId="5" fillId="0" borderId="82" xfId="0" applyFont="1" applyBorder="1" applyAlignment="1">
      <alignment vertical="top"/>
    </xf>
    <xf numFmtId="14" fontId="5" fillId="10" borderId="77" xfId="0" applyNumberFormat="1" applyFont="1" applyFill="1" applyBorder="1" applyAlignment="1">
      <alignment horizontal="center" vertical="top"/>
    </xf>
    <xf numFmtId="14" fontId="5" fillId="10" borderId="78" xfId="0" applyNumberFormat="1" applyFont="1" applyFill="1" applyBorder="1" applyAlignment="1">
      <alignment horizontal="center" vertical="top"/>
    </xf>
    <xf numFmtId="14" fontId="5" fillId="10" borderId="79" xfId="0" applyNumberFormat="1" applyFont="1" applyFill="1" applyBorder="1" applyAlignment="1">
      <alignment horizontal="center" vertical="top"/>
    </xf>
    <xf numFmtId="14" fontId="5" fillId="10" borderId="80" xfId="0" applyNumberFormat="1" applyFont="1" applyFill="1" applyBorder="1" applyAlignment="1">
      <alignment horizontal="center" vertical="top"/>
    </xf>
    <xf numFmtId="14" fontId="5" fillId="10" borderId="81" xfId="0" applyNumberFormat="1" applyFont="1" applyFill="1" applyBorder="1" applyAlignment="1">
      <alignment horizontal="center" vertical="top"/>
    </xf>
    <xf numFmtId="14" fontId="5" fillId="10" borderId="82" xfId="0" applyNumberFormat="1" applyFont="1" applyFill="1" applyBorder="1" applyAlignment="1">
      <alignment horizontal="center" vertical="top"/>
    </xf>
    <xf numFmtId="0" fontId="5" fillId="0" borderId="83" xfId="0" applyFont="1" applyBorder="1"/>
    <xf numFmtId="0" fontId="5" fillId="0" borderId="84" xfId="0" applyFont="1" applyBorder="1"/>
    <xf numFmtId="0" fontId="5" fillId="0" borderId="85" xfId="0" applyFont="1" applyBorder="1"/>
    <xf numFmtId="0" fontId="5" fillId="0" borderId="77" xfId="0" applyFont="1" applyBorder="1"/>
    <xf numFmtId="0" fontId="5" fillId="0" borderId="78" xfId="0" applyFont="1" applyBorder="1"/>
    <xf numFmtId="0" fontId="5" fillId="0" borderId="79" xfId="0" applyFont="1" applyBorder="1"/>
    <xf numFmtId="0" fontId="5" fillId="12" borderId="77" xfId="0" applyFont="1" applyFill="1" applyBorder="1"/>
    <xf numFmtId="0" fontId="5" fillId="12" borderId="78" xfId="0" applyFont="1" applyFill="1" applyBorder="1"/>
    <xf numFmtId="0" fontId="5" fillId="12" borderId="79" xfId="0" applyFont="1" applyFill="1" applyBorder="1"/>
    <xf numFmtId="0" fontId="5" fillId="0" borderId="80" xfId="0" applyFont="1" applyBorder="1"/>
    <xf numFmtId="0" fontId="5" fillId="0" borderId="81" xfId="0" applyFont="1" applyBorder="1"/>
    <xf numFmtId="0" fontId="5" fillId="0" borderId="82" xfId="0" applyFont="1" applyBorder="1"/>
    <xf numFmtId="0" fontId="5" fillId="12" borderId="86" xfId="0" applyFont="1" applyFill="1" applyBorder="1" applyAlignment="1">
      <alignment vertical="top"/>
    </xf>
    <xf numFmtId="0" fontId="5" fillId="0" borderId="36" xfId="0" applyFont="1" applyBorder="1" applyAlignment="1">
      <alignment vertical="center"/>
    </xf>
    <xf numFmtId="0" fontId="5" fillId="0" borderId="98" xfId="0" applyFont="1" applyBorder="1" applyAlignment="1">
      <alignment vertical="center"/>
    </xf>
    <xf numFmtId="0" fontId="5" fillId="0" borderId="87" xfId="0" applyFont="1" applyBorder="1" applyAlignment="1">
      <alignment vertical="center"/>
    </xf>
    <xf numFmtId="0" fontId="5" fillId="0" borderId="0" xfId="0" applyFont="1" applyAlignment="1">
      <alignment vertical="center"/>
    </xf>
    <xf numFmtId="0" fontId="5" fillId="11" borderId="37" xfId="0" applyFont="1" applyFill="1" applyBorder="1" applyAlignment="1">
      <alignment horizontal="center" vertical="center"/>
    </xf>
    <xf numFmtId="0" fontId="5" fillId="11" borderId="32" xfId="0" applyFont="1" applyFill="1" applyBorder="1" applyAlignment="1">
      <alignment horizontal="center" vertical="center"/>
    </xf>
    <xf numFmtId="0" fontId="5" fillId="11" borderId="33" xfId="0" applyFont="1" applyFill="1" applyBorder="1" applyAlignment="1">
      <alignment horizontal="center" vertical="center"/>
    </xf>
    <xf numFmtId="0" fontId="5" fillId="0" borderId="97" xfId="0" applyFont="1" applyBorder="1" applyAlignment="1">
      <alignment vertical="center"/>
    </xf>
    <xf numFmtId="0" fontId="5" fillId="0" borderId="95" xfId="0" applyFont="1" applyBorder="1" applyAlignment="1">
      <alignment vertical="center"/>
    </xf>
    <xf numFmtId="0" fontId="5" fillId="0" borderId="6" xfId="0" applyFont="1" applyBorder="1" applyAlignment="1">
      <alignment vertical="center" wrapText="1"/>
    </xf>
    <xf numFmtId="0" fontId="5" fillId="8" borderId="0" xfId="0" applyFont="1" applyFill="1"/>
    <xf numFmtId="0" fontId="5" fillId="0" borderId="0" xfId="0" applyFont="1" applyBorder="1"/>
    <xf numFmtId="0" fontId="5" fillId="8" borderId="22" xfId="0" applyFont="1" applyFill="1" applyBorder="1" applyAlignment="1">
      <alignment vertical="center"/>
    </xf>
  </cellXfs>
  <cellStyles count="3">
    <cellStyle name="標準" xfId="0" builtinId="0"/>
    <cellStyle name="標準 2" xfId="2" xr:uid="{00000000-0005-0000-0000-000001000000}"/>
    <cellStyle name="標準_概念_要件定義書（原紙本文EAI-HUB用）_プライオリティ規約（修正版20020430_MQプライオリティ追加)" xfId="1" xr:uid="{00000000-0005-0000-0000-000002000000}"/>
  </cellStyles>
  <dxfs count="2">
    <dxf>
      <fill>
        <patternFill>
          <bgColor rgb="FFFF0000"/>
        </patternFill>
      </fill>
    </dxf>
    <dxf>
      <fill>
        <patternFill>
          <bgColor rgb="FFFF0000"/>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24577" name="Text Box 1">
          <a:extLst>
            <a:ext uri="{FF2B5EF4-FFF2-40B4-BE49-F238E27FC236}">
              <a16:creationId xmlns:a16="http://schemas.microsoft.com/office/drawing/2014/main" id="{00000000-0008-0000-0000-000001600000}"/>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24578" name="Line 2">
          <a:extLst>
            <a:ext uri="{FF2B5EF4-FFF2-40B4-BE49-F238E27FC236}">
              <a16:creationId xmlns:a16="http://schemas.microsoft.com/office/drawing/2014/main" id="{00000000-0008-0000-0000-00000260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24580" name="Rectangle 4">
          <a:extLst>
            <a:ext uri="{FF2B5EF4-FFF2-40B4-BE49-F238E27FC236}">
              <a16:creationId xmlns:a16="http://schemas.microsoft.com/office/drawing/2014/main" id="{00000000-0008-0000-0000-00000460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6</xdr:col>
      <xdr:colOff>0</xdr:colOff>
      <xdr:row>9</xdr:row>
      <xdr:rowOff>0</xdr:rowOff>
    </xdr:from>
    <xdr:to>
      <xdr:col>24</xdr:col>
      <xdr:colOff>0</xdr:colOff>
      <xdr:row>22</xdr:row>
      <xdr:rowOff>0</xdr:rowOff>
    </xdr:to>
    <xdr:sp macro="" textlink="">
      <xdr:nvSpPr>
        <xdr:cNvPr id="24584" name="Rectangle 8">
          <a:extLst>
            <a:ext uri="{FF2B5EF4-FFF2-40B4-BE49-F238E27FC236}">
              <a16:creationId xmlns:a16="http://schemas.microsoft.com/office/drawing/2014/main" id="{00000000-0008-0000-0000-00000860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24585" name="AutoShape 9">
          <a:extLst>
            <a:ext uri="{FF2B5EF4-FFF2-40B4-BE49-F238E27FC236}">
              <a16:creationId xmlns:a16="http://schemas.microsoft.com/office/drawing/2014/main" id="{00000000-0008-0000-0000-000009600000}"/>
            </a:ext>
          </a:extLst>
        </xdr:cNvPr>
        <xdr:cNvSpPr>
          <a:spLocks/>
        </xdr:cNvSpPr>
      </xdr:nvSpPr>
      <xdr:spPr bwMode="auto">
        <a:xfrm>
          <a:off x="3524250" y="13963650"/>
          <a:ext cx="171450" cy="476250"/>
        </a:xfrm>
        <a:prstGeom prst="leftBrace">
          <a:avLst>
            <a:gd name="adj1" fmla="val 23148"/>
            <a:gd name="adj2" fmla="val 50000"/>
          </a:avLst>
        </a:prstGeom>
        <a:noFill/>
        <a:ln w="9525">
          <a:solidFill>
            <a:srgbClr val="000000"/>
          </a:solidFill>
          <a:round/>
          <a:headEnd/>
          <a:tailEnd/>
        </a:ln>
      </xdr:spPr>
    </xdr:sp>
    <xdr:clientData/>
  </xdr:twoCellAnchor>
  <xdr:twoCellAnchor editAs="oneCell">
    <xdr:from>
      <xdr:col>10</xdr:col>
      <xdr:colOff>88900</xdr:colOff>
      <xdr:row>30</xdr:row>
      <xdr:rowOff>177800</xdr:rowOff>
    </xdr:from>
    <xdr:to>
      <xdr:col>18</xdr:col>
      <xdr:colOff>49047</xdr:colOff>
      <xdr:row>34</xdr:row>
      <xdr:rowOff>142874</xdr:rowOff>
    </xdr:to>
    <xdr:pic>
      <xdr:nvPicPr>
        <xdr:cNvPr id="2" name="図 1">
          <a:extLst>
            <a:ext uri="{FF2B5EF4-FFF2-40B4-BE49-F238E27FC236}">
              <a16:creationId xmlns:a16="http://schemas.microsoft.com/office/drawing/2014/main" id="{C3C01CF2-25B9-43C1-9817-FF99209CA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7900" y="551180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32</xdr:col>
      <xdr:colOff>100853</xdr:colOff>
      <xdr:row>70</xdr:row>
      <xdr:rowOff>188258</xdr:rowOff>
    </xdr:from>
    <xdr:to>
      <xdr:col>41</xdr:col>
      <xdr:colOff>44824</xdr:colOff>
      <xdr:row>73</xdr:row>
      <xdr:rowOff>76199</xdr:rowOff>
    </xdr:to>
    <xdr:sp macro="" textlink="">
      <xdr:nvSpPr>
        <xdr:cNvPr id="9" name="円柱 8">
          <a:extLst>
            <a:ext uri="{FF2B5EF4-FFF2-40B4-BE49-F238E27FC236}">
              <a16:creationId xmlns:a16="http://schemas.microsoft.com/office/drawing/2014/main" id="{056A3C77-276E-4373-AFA6-C82EC6D11F53}"/>
            </a:ext>
          </a:extLst>
        </xdr:cNvPr>
        <xdr:cNvSpPr/>
      </xdr:nvSpPr>
      <xdr:spPr bwMode="auto">
        <a:xfrm>
          <a:off x="4672853" y="1352325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r>
            <a:rPr kumimoji="1" lang="en-US" altLang="ja-JP" sz="900">
              <a:solidFill>
                <a:schemeClr val="bg1"/>
              </a:solidFill>
              <a:latin typeface="ＭＳ 明朝" pitchFamily="17" charset="-128"/>
              <a:ea typeface="ＭＳ 明朝" pitchFamily="17" charset="-128"/>
            </a:rPr>
            <a:t>(#7)</a:t>
          </a:r>
          <a:endParaRPr kumimoji="1" lang="ja-JP" altLang="en-US" sz="900">
            <a:solidFill>
              <a:schemeClr val="bg1"/>
            </a:solidFill>
            <a:latin typeface="ＭＳ 明朝" pitchFamily="17" charset="-128"/>
            <a:ea typeface="ＭＳ 明朝" pitchFamily="17" charset="-128"/>
          </a:endParaRPr>
        </a:p>
      </xdr:txBody>
    </xdr:sp>
    <xdr:clientData/>
  </xdr:twoCellAnchor>
  <xdr:twoCellAnchor>
    <xdr:from>
      <xdr:col>32</xdr:col>
      <xdr:colOff>100853</xdr:colOff>
      <xdr:row>69</xdr:row>
      <xdr:rowOff>16808</xdr:rowOff>
    </xdr:from>
    <xdr:to>
      <xdr:col>41</xdr:col>
      <xdr:colOff>44824</xdr:colOff>
      <xdr:row>71</xdr:row>
      <xdr:rowOff>95249</xdr:rowOff>
    </xdr:to>
    <xdr:sp macro="" textlink="">
      <xdr:nvSpPr>
        <xdr:cNvPr id="7" name="円柱 6">
          <a:extLst>
            <a:ext uri="{FF2B5EF4-FFF2-40B4-BE49-F238E27FC236}">
              <a16:creationId xmlns:a16="http://schemas.microsoft.com/office/drawing/2014/main" id="{ABAF695E-69B4-4C78-9173-0232B9FFBF78}"/>
            </a:ext>
          </a:extLst>
        </xdr:cNvPr>
        <xdr:cNvSpPr/>
      </xdr:nvSpPr>
      <xdr:spPr bwMode="auto">
        <a:xfrm>
          <a:off x="4672853" y="1316130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r>
            <a:rPr kumimoji="1" lang="en-US" altLang="ja-JP" sz="900">
              <a:solidFill>
                <a:schemeClr val="bg1"/>
              </a:solidFill>
              <a:latin typeface="ＭＳ 明朝" pitchFamily="17" charset="-128"/>
              <a:ea typeface="ＭＳ 明朝" pitchFamily="17" charset="-128"/>
            </a:rPr>
            <a:t>(#6)</a:t>
          </a:r>
          <a:endParaRPr kumimoji="1" lang="ja-JP" altLang="en-US" sz="900">
            <a:solidFill>
              <a:schemeClr val="bg1"/>
            </a:solidFill>
            <a:latin typeface="ＭＳ 明朝" pitchFamily="17" charset="-128"/>
            <a:ea typeface="ＭＳ 明朝" pitchFamily="17" charset="-128"/>
          </a:endParaRPr>
        </a:p>
      </xdr:txBody>
    </xdr:sp>
    <xdr:clientData/>
  </xdr:twoCellAnchor>
  <xdr:twoCellAnchor>
    <xdr:from>
      <xdr:col>32</xdr:col>
      <xdr:colOff>100853</xdr:colOff>
      <xdr:row>67</xdr:row>
      <xdr:rowOff>35858</xdr:rowOff>
    </xdr:from>
    <xdr:to>
      <xdr:col>41</xdr:col>
      <xdr:colOff>44824</xdr:colOff>
      <xdr:row>69</xdr:row>
      <xdr:rowOff>114299</xdr:rowOff>
    </xdr:to>
    <xdr:sp macro="" textlink="">
      <xdr:nvSpPr>
        <xdr:cNvPr id="11" name="円柱 10">
          <a:extLst>
            <a:ext uri="{FF2B5EF4-FFF2-40B4-BE49-F238E27FC236}">
              <a16:creationId xmlns:a16="http://schemas.microsoft.com/office/drawing/2014/main" id="{8A0707DB-0F8F-4BA1-B674-72D7243DA871}"/>
            </a:ext>
          </a:extLst>
        </xdr:cNvPr>
        <xdr:cNvSpPr/>
      </xdr:nvSpPr>
      <xdr:spPr bwMode="auto">
        <a:xfrm>
          <a:off x="4672853" y="1279935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r>
            <a:rPr kumimoji="1" lang="en-US" altLang="ja-JP" sz="900">
              <a:solidFill>
                <a:schemeClr val="bg1"/>
              </a:solidFill>
              <a:latin typeface="ＭＳ 明朝" pitchFamily="17" charset="-128"/>
              <a:ea typeface="ＭＳ 明朝" pitchFamily="17" charset="-128"/>
            </a:rPr>
            <a:t>(#5)</a:t>
          </a:r>
          <a:endParaRPr kumimoji="1" lang="ja-JP" altLang="en-US" sz="900">
            <a:solidFill>
              <a:schemeClr val="bg1"/>
            </a:solidFill>
            <a:latin typeface="ＭＳ 明朝" pitchFamily="17" charset="-128"/>
            <a:ea typeface="ＭＳ 明朝" pitchFamily="17" charset="-128"/>
          </a:endParaRPr>
        </a:p>
      </xdr:txBody>
    </xdr:sp>
    <xdr:clientData/>
  </xdr:twoCellAnchor>
  <xdr:twoCellAnchor>
    <xdr:from>
      <xdr:col>32</xdr:col>
      <xdr:colOff>100853</xdr:colOff>
      <xdr:row>65</xdr:row>
      <xdr:rowOff>54908</xdr:rowOff>
    </xdr:from>
    <xdr:to>
      <xdr:col>41</xdr:col>
      <xdr:colOff>44824</xdr:colOff>
      <xdr:row>67</xdr:row>
      <xdr:rowOff>133349</xdr:rowOff>
    </xdr:to>
    <xdr:sp macro="" textlink="">
      <xdr:nvSpPr>
        <xdr:cNvPr id="10" name="円柱 9">
          <a:extLst>
            <a:ext uri="{FF2B5EF4-FFF2-40B4-BE49-F238E27FC236}">
              <a16:creationId xmlns:a16="http://schemas.microsoft.com/office/drawing/2014/main" id="{1EBC8581-233A-4A9D-918A-E7374E374BE7}"/>
            </a:ext>
          </a:extLst>
        </xdr:cNvPr>
        <xdr:cNvSpPr/>
      </xdr:nvSpPr>
      <xdr:spPr bwMode="auto">
        <a:xfrm>
          <a:off x="4672853" y="1243740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r>
            <a:rPr kumimoji="1" lang="en-US" altLang="ja-JP" sz="900">
              <a:solidFill>
                <a:schemeClr val="bg1"/>
              </a:solidFill>
              <a:latin typeface="ＭＳ 明朝" pitchFamily="17" charset="-128"/>
              <a:ea typeface="ＭＳ 明朝" pitchFamily="17" charset="-128"/>
            </a:rPr>
            <a:t>(#4)</a:t>
          </a:r>
          <a:endParaRPr kumimoji="1" lang="ja-JP" altLang="en-US" sz="900">
            <a:solidFill>
              <a:schemeClr val="bg1"/>
            </a:solidFill>
            <a:latin typeface="ＭＳ 明朝" pitchFamily="17" charset="-128"/>
            <a:ea typeface="ＭＳ 明朝" pitchFamily="17" charset="-128"/>
          </a:endParaRPr>
        </a:p>
      </xdr:txBody>
    </xdr:sp>
    <xdr:clientData/>
  </xdr:twoCellAnchor>
  <xdr:twoCellAnchor>
    <xdr:from>
      <xdr:col>32</xdr:col>
      <xdr:colOff>100853</xdr:colOff>
      <xdr:row>63</xdr:row>
      <xdr:rowOff>73958</xdr:rowOff>
    </xdr:from>
    <xdr:to>
      <xdr:col>41</xdr:col>
      <xdr:colOff>44824</xdr:colOff>
      <xdr:row>65</xdr:row>
      <xdr:rowOff>152399</xdr:rowOff>
    </xdr:to>
    <xdr:sp macro="" textlink="">
      <xdr:nvSpPr>
        <xdr:cNvPr id="8" name="円柱 7">
          <a:extLst>
            <a:ext uri="{FF2B5EF4-FFF2-40B4-BE49-F238E27FC236}">
              <a16:creationId xmlns:a16="http://schemas.microsoft.com/office/drawing/2014/main" id="{44E72330-723C-4D5F-AB6F-EFFCD6AB194A}"/>
            </a:ext>
          </a:extLst>
        </xdr:cNvPr>
        <xdr:cNvSpPr/>
      </xdr:nvSpPr>
      <xdr:spPr bwMode="auto">
        <a:xfrm>
          <a:off x="4672853" y="1207545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r>
            <a:rPr kumimoji="1" lang="en-US" altLang="ja-JP" sz="900">
              <a:solidFill>
                <a:schemeClr val="bg1"/>
              </a:solidFill>
              <a:latin typeface="ＭＳ 明朝" pitchFamily="17" charset="-128"/>
              <a:ea typeface="ＭＳ 明朝" pitchFamily="17" charset="-128"/>
            </a:rPr>
            <a:t>(#3)</a:t>
          </a:r>
          <a:endParaRPr kumimoji="1" lang="ja-JP" altLang="en-US" sz="900">
            <a:solidFill>
              <a:schemeClr val="bg1"/>
            </a:solidFill>
            <a:latin typeface="ＭＳ 明朝" pitchFamily="17" charset="-128"/>
            <a:ea typeface="ＭＳ 明朝" pitchFamily="17" charset="-128"/>
          </a:endParaRPr>
        </a:p>
      </xdr:txBody>
    </xdr:sp>
    <xdr:clientData/>
  </xdr:twoCellAnchor>
  <xdr:twoCellAnchor>
    <xdr:from>
      <xdr:col>32</xdr:col>
      <xdr:colOff>100853</xdr:colOff>
      <xdr:row>61</xdr:row>
      <xdr:rowOff>93008</xdr:rowOff>
    </xdr:from>
    <xdr:to>
      <xdr:col>41</xdr:col>
      <xdr:colOff>44824</xdr:colOff>
      <xdr:row>63</xdr:row>
      <xdr:rowOff>171449</xdr:rowOff>
    </xdr:to>
    <xdr:sp macro="" textlink="">
      <xdr:nvSpPr>
        <xdr:cNvPr id="6" name="円柱 5">
          <a:extLst>
            <a:ext uri="{FF2B5EF4-FFF2-40B4-BE49-F238E27FC236}">
              <a16:creationId xmlns:a16="http://schemas.microsoft.com/office/drawing/2014/main" id="{4DBE014A-FFD9-445F-8572-1A6164A308E0}"/>
            </a:ext>
          </a:extLst>
        </xdr:cNvPr>
        <xdr:cNvSpPr/>
      </xdr:nvSpPr>
      <xdr:spPr bwMode="auto">
        <a:xfrm>
          <a:off x="4672853" y="1171350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r>
            <a:rPr kumimoji="1" lang="en-US" altLang="ja-JP" sz="900">
              <a:solidFill>
                <a:schemeClr val="bg1"/>
              </a:solidFill>
              <a:latin typeface="ＭＳ 明朝" pitchFamily="17" charset="-128"/>
              <a:ea typeface="ＭＳ 明朝" pitchFamily="17" charset="-128"/>
            </a:rPr>
            <a:t>(#2)</a:t>
          </a:r>
          <a:endParaRPr kumimoji="1" lang="ja-JP" altLang="en-US" sz="900">
            <a:solidFill>
              <a:schemeClr val="bg1"/>
            </a:solidFill>
            <a:latin typeface="ＭＳ 明朝" pitchFamily="17" charset="-128"/>
            <a:ea typeface="ＭＳ 明朝" pitchFamily="17" charset="-128"/>
          </a:endParaRPr>
        </a:p>
      </xdr:txBody>
    </xdr:sp>
    <xdr:clientData/>
  </xdr:twoCellAnchor>
  <xdr:twoCellAnchor>
    <xdr:from>
      <xdr:col>32</xdr:col>
      <xdr:colOff>100853</xdr:colOff>
      <xdr:row>59</xdr:row>
      <xdr:rowOff>112058</xdr:rowOff>
    </xdr:from>
    <xdr:to>
      <xdr:col>41</xdr:col>
      <xdr:colOff>44824</xdr:colOff>
      <xdr:row>61</xdr:row>
      <xdr:rowOff>190499</xdr:rowOff>
    </xdr:to>
    <xdr:sp macro="" textlink="">
      <xdr:nvSpPr>
        <xdr:cNvPr id="249" name="円柱 248">
          <a:extLst>
            <a:ext uri="{FF2B5EF4-FFF2-40B4-BE49-F238E27FC236}">
              <a16:creationId xmlns:a16="http://schemas.microsoft.com/office/drawing/2014/main" id="{00000000-0008-0000-0300-0000F9000000}"/>
            </a:ext>
          </a:extLst>
        </xdr:cNvPr>
        <xdr:cNvSpPr/>
      </xdr:nvSpPr>
      <xdr:spPr bwMode="auto">
        <a:xfrm>
          <a:off x="4672853" y="1135155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r>
            <a:rPr kumimoji="1" lang="en-US" altLang="ja-JP" sz="900">
              <a:solidFill>
                <a:schemeClr val="bg1"/>
              </a:solidFill>
              <a:latin typeface="ＭＳ 明朝" pitchFamily="17" charset="-128"/>
              <a:ea typeface="ＭＳ 明朝" pitchFamily="17" charset="-128"/>
            </a:rPr>
            <a:t>(#1)</a:t>
          </a:r>
          <a:endParaRPr kumimoji="1" lang="ja-JP" altLang="en-US" sz="900">
            <a:solidFill>
              <a:schemeClr val="bg1"/>
            </a:solidFill>
            <a:latin typeface="ＭＳ 明朝" pitchFamily="17" charset="-128"/>
            <a:ea typeface="ＭＳ 明朝" pitchFamily="17" charset="-128"/>
          </a:endParaRPr>
        </a:p>
      </xdr:txBody>
    </xdr:sp>
    <xdr:clientData/>
  </xdr:twoCellAnchor>
  <xdr:twoCellAnchor>
    <xdr:from>
      <xdr:col>16</xdr:col>
      <xdr:colOff>0</xdr:colOff>
      <xdr:row>56</xdr:row>
      <xdr:rowOff>0</xdr:rowOff>
    </xdr:from>
    <xdr:to>
      <xdr:col>31</xdr:col>
      <xdr:colOff>0</xdr:colOff>
      <xdr:row>56</xdr:row>
      <xdr:rowOff>0</xdr:rowOff>
    </xdr:to>
    <xdr:cxnSp macro="">
      <xdr:nvCxnSpPr>
        <xdr:cNvPr id="250" name="直線矢印コネクタ 249">
          <a:extLst>
            <a:ext uri="{FF2B5EF4-FFF2-40B4-BE49-F238E27FC236}">
              <a16:creationId xmlns:a16="http://schemas.microsoft.com/office/drawing/2014/main" id="{00000000-0008-0000-0300-0000FA000000}"/>
            </a:ext>
          </a:extLst>
        </xdr:cNvPr>
        <xdr:cNvCxnSpPr>
          <a:cxnSpLocks/>
          <a:stCxn id="31" idx="1"/>
          <a:endCxn id="5" idx="3"/>
        </xdr:cNvCxnSpPr>
      </xdr:nvCxnSpPr>
      <xdr:spPr bwMode="auto">
        <a:xfrm flipH="1">
          <a:off x="2330824" y="35433000"/>
          <a:ext cx="2185147" cy="0"/>
        </a:xfrm>
        <a:prstGeom prst="straightConnector1">
          <a:avLst/>
        </a:prstGeom>
        <a:solidFill>
          <a:srgbClr val="FFFFFF"/>
        </a:solidFill>
        <a:ln w="57150" cap="flat" cmpd="sng" algn="ctr">
          <a:solidFill>
            <a:schemeClr val="tx1">
              <a:lumMod val="65000"/>
              <a:lumOff val="35000"/>
            </a:schemeClr>
          </a:solidFill>
          <a:prstDash val="solid"/>
          <a:round/>
          <a:headEnd type="triangle" w="med" len="med"/>
          <a:tailEnd type="none" w="med" len="med"/>
        </a:ln>
        <a:effectLst/>
      </xdr:spPr>
    </xdr:cxnSp>
    <xdr:clientData/>
  </xdr:twoCellAnchor>
  <xdr:twoCellAnchor>
    <xdr:from>
      <xdr:col>5</xdr:col>
      <xdr:colOff>0</xdr:colOff>
      <xdr:row>15</xdr:row>
      <xdr:rowOff>0</xdr:rowOff>
    </xdr:from>
    <xdr:to>
      <xdr:col>55</xdr:col>
      <xdr:colOff>0</xdr:colOff>
      <xdr:row>15</xdr:row>
      <xdr:rowOff>0</xdr:rowOff>
    </xdr:to>
    <xdr:sp macro="" textlink="">
      <xdr:nvSpPr>
        <xdr:cNvPr id="300" name="Line 2">
          <a:extLst>
            <a:ext uri="{FF2B5EF4-FFF2-40B4-BE49-F238E27FC236}">
              <a16:creationId xmlns:a16="http://schemas.microsoft.com/office/drawing/2014/main" id="{00000000-0008-0000-0300-00002C010000}"/>
            </a:ext>
          </a:extLst>
        </xdr:cNvPr>
        <xdr:cNvSpPr>
          <a:spLocks noChangeShapeType="1"/>
        </xdr:cNvSpPr>
      </xdr:nvSpPr>
      <xdr:spPr bwMode="auto">
        <a:xfrm>
          <a:off x="714375" y="36195000"/>
          <a:ext cx="7143750" cy="0"/>
        </a:xfrm>
        <a:prstGeom prst="line">
          <a:avLst/>
        </a:prstGeom>
        <a:noFill/>
        <a:ln w="28575">
          <a:solidFill>
            <a:srgbClr val="000000"/>
          </a:solidFill>
          <a:round/>
          <a:headEnd type="oval" w="med" len="med"/>
          <a:tailEnd type="oval" w="med" len="med"/>
        </a:ln>
      </xdr:spPr>
    </xdr:sp>
    <xdr:clientData/>
  </xdr:twoCellAnchor>
  <xdr:twoCellAnchor>
    <xdr:from>
      <xdr:col>27</xdr:col>
      <xdr:colOff>0</xdr:colOff>
      <xdr:row>15</xdr:row>
      <xdr:rowOff>0</xdr:rowOff>
    </xdr:from>
    <xdr:to>
      <xdr:col>27</xdr:col>
      <xdr:colOff>0</xdr:colOff>
      <xdr:row>19</xdr:row>
      <xdr:rowOff>0</xdr:rowOff>
    </xdr:to>
    <xdr:sp macro="" textlink="">
      <xdr:nvSpPr>
        <xdr:cNvPr id="301" name="Line 3">
          <a:extLst>
            <a:ext uri="{FF2B5EF4-FFF2-40B4-BE49-F238E27FC236}">
              <a16:creationId xmlns:a16="http://schemas.microsoft.com/office/drawing/2014/main" id="{00000000-0008-0000-0300-00002D010000}"/>
            </a:ext>
          </a:extLst>
        </xdr:cNvPr>
        <xdr:cNvSpPr>
          <a:spLocks noChangeShapeType="1"/>
        </xdr:cNvSpPr>
      </xdr:nvSpPr>
      <xdr:spPr bwMode="auto">
        <a:xfrm>
          <a:off x="3857625" y="36195000"/>
          <a:ext cx="0" cy="762000"/>
        </a:xfrm>
        <a:prstGeom prst="line">
          <a:avLst/>
        </a:prstGeom>
        <a:noFill/>
        <a:ln w="28575">
          <a:solidFill>
            <a:srgbClr val="000000"/>
          </a:solidFill>
          <a:round/>
          <a:headEnd/>
          <a:tailEnd/>
        </a:ln>
      </xdr:spPr>
    </xdr:sp>
    <xdr:clientData/>
  </xdr:twoCellAnchor>
  <xdr:twoCellAnchor>
    <xdr:from>
      <xdr:col>13</xdr:col>
      <xdr:colOff>0</xdr:colOff>
      <xdr:row>19</xdr:row>
      <xdr:rowOff>0</xdr:rowOff>
    </xdr:from>
    <xdr:to>
      <xdr:col>42</xdr:col>
      <xdr:colOff>0</xdr:colOff>
      <xdr:row>23</xdr:row>
      <xdr:rowOff>0</xdr:rowOff>
    </xdr:to>
    <xdr:sp macro="" textlink="">
      <xdr:nvSpPr>
        <xdr:cNvPr id="302" name="Rectangle 4">
          <a:extLst>
            <a:ext uri="{FF2B5EF4-FFF2-40B4-BE49-F238E27FC236}">
              <a16:creationId xmlns:a16="http://schemas.microsoft.com/office/drawing/2014/main" id="{00000000-0008-0000-0300-00002E010000}"/>
            </a:ext>
          </a:extLst>
        </xdr:cNvPr>
        <xdr:cNvSpPr>
          <a:spLocks noChangeArrowheads="1"/>
        </xdr:cNvSpPr>
      </xdr:nvSpPr>
      <xdr:spPr bwMode="auto">
        <a:xfrm>
          <a:off x="1857375" y="36957000"/>
          <a:ext cx="4143375" cy="7620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pitchFamily="17" charset="-128"/>
              <a:ea typeface="ＭＳ 明朝" pitchFamily="17" charset="-128"/>
            </a:rPr>
            <a:t>Amazon CloudWatch</a:t>
          </a:r>
        </a:p>
      </xdr:txBody>
    </xdr:sp>
    <xdr:clientData/>
  </xdr:twoCellAnchor>
  <xdr:twoCellAnchor>
    <xdr:from>
      <xdr:col>10</xdr:col>
      <xdr:colOff>0</xdr:colOff>
      <xdr:row>12</xdr:row>
      <xdr:rowOff>0</xdr:rowOff>
    </xdr:from>
    <xdr:to>
      <xdr:col>10</xdr:col>
      <xdr:colOff>0</xdr:colOff>
      <xdr:row>15</xdr:row>
      <xdr:rowOff>0</xdr:rowOff>
    </xdr:to>
    <xdr:sp macro="" textlink="">
      <xdr:nvSpPr>
        <xdr:cNvPr id="303" name="Line 5">
          <a:extLst>
            <a:ext uri="{FF2B5EF4-FFF2-40B4-BE49-F238E27FC236}">
              <a16:creationId xmlns:a16="http://schemas.microsoft.com/office/drawing/2014/main" id="{00000000-0008-0000-0300-00002F010000}"/>
            </a:ext>
          </a:extLst>
        </xdr:cNvPr>
        <xdr:cNvSpPr>
          <a:spLocks noChangeShapeType="1"/>
        </xdr:cNvSpPr>
      </xdr:nvSpPr>
      <xdr:spPr bwMode="auto">
        <a:xfrm flipV="1">
          <a:off x="1428750" y="35623500"/>
          <a:ext cx="0" cy="57150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14</xdr:col>
      <xdr:colOff>63500</xdr:colOff>
      <xdr:row>12</xdr:row>
      <xdr:rowOff>88900</xdr:rowOff>
    </xdr:to>
    <xdr:grpSp>
      <xdr:nvGrpSpPr>
        <xdr:cNvPr id="332" name="グループ化 331">
          <a:extLst>
            <a:ext uri="{FF2B5EF4-FFF2-40B4-BE49-F238E27FC236}">
              <a16:creationId xmlns:a16="http://schemas.microsoft.com/office/drawing/2014/main" id="{00000000-0008-0000-0300-00004C010000}"/>
            </a:ext>
          </a:extLst>
        </xdr:cNvPr>
        <xdr:cNvGrpSpPr/>
      </xdr:nvGrpSpPr>
      <xdr:grpSpPr>
        <a:xfrm>
          <a:off x="857250" y="1714500"/>
          <a:ext cx="1206500" cy="660400"/>
          <a:chOff x="838200" y="18288000"/>
          <a:chExt cx="1181100" cy="660400"/>
        </a:xfrm>
      </xdr:grpSpPr>
      <xdr:sp macro="" textlink="">
        <xdr:nvSpPr>
          <xdr:cNvPr id="279" name="Text Box 59">
            <a:extLst>
              <a:ext uri="{FF2B5EF4-FFF2-40B4-BE49-F238E27FC236}">
                <a16:creationId xmlns:a16="http://schemas.microsoft.com/office/drawing/2014/main" id="{00000000-0008-0000-0300-000017010000}"/>
              </a:ext>
            </a:extLst>
          </xdr:cNvPr>
          <xdr:cNvSpPr txBox="1">
            <a:spLocks noChangeArrowheads="1"/>
          </xdr:cNvSpPr>
        </xdr:nvSpPr>
        <xdr:spPr bwMode="auto">
          <a:xfrm>
            <a:off x="901700" y="18376900"/>
            <a:ext cx="1117600"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endParaRPr lang="en-US" altLang="ja-JP" sz="1000" b="0" i="0" u="none" strike="noStrike" baseline="0">
              <a:solidFill>
                <a:srgbClr val="000000"/>
              </a:solidFill>
              <a:latin typeface="ＭＳ 明朝" pitchFamily="17" charset="-128"/>
              <a:ea typeface="ＭＳ 明朝" pitchFamily="17" charset="-128"/>
            </a:endParaRPr>
          </a:p>
        </xdr:txBody>
      </xdr:sp>
      <xdr:sp macro="" textlink="">
        <xdr:nvSpPr>
          <xdr:cNvPr id="304" name="Text Box 6">
            <a:extLst>
              <a:ext uri="{FF2B5EF4-FFF2-40B4-BE49-F238E27FC236}">
                <a16:creationId xmlns:a16="http://schemas.microsoft.com/office/drawing/2014/main" id="{00000000-0008-0000-0300-000030010000}"/>
              </a:ext>
            </a:extLst>
          </xdr:cNvPr>
          <xdr:cNvSpPr txBox="1">
            <a:spLocks noChangeArrowheads="1"/>
          </xdr:cNvSpPr>
        </xdr:nvSpPr>
        <xdr:spPr bwMode="auto">
          <a:xfrm>
            <a:off x="838200" y="18288000"/>
            <a:ext cx="1117600"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pitchFamily="17" charset="-128"/>
                <a:ea typeface="ＭＳ 明朝" pitchFamily="17" charset="-128"/>
              </a:rPr>
              <a:t>AP</a:t>
            </a:r>
            <a:r>
              <a:rPr lang="ja-JP" altLang="en-US" sz="1000" b="0" i="0" u="none" strike="noStrike" baseline="0">
                <a:solidFill>
                  <a:srgbClr val="000000"/>
                </a:solidFill>
                <a:latin typeface="ＭＳ 明朝" pitchFamily="17" charset="-128"/>
                <a:ea typeface="ＭＳ 明朝" pitchFamily="17" charset="-128"/>
              </a:rPr>
              <a:t>サーバー</a:t>
            </a:r>
            <a:endParaRPr lang="en-US" altLang="ja-JP" sz="1000" b="0" i="0" u="none" strike="noStrike" baseline="0">
              <a:solidFill>
                <a:srgbClr val="000000"/>
              </a:solidFill>
              <a:latin typeface="ＭＳ 明朝" pitchFamily="17" charset="-128"/>
              <a:ea typeface="ＭＳ 明朝" pitchFamily="17" charset="-128"/>
            </a:endParaRPr>
          </a:p>
          <a:p>
            <a:pPr algn="ctr" rtl="0">
              <a:defRPr sz="1000"/>
            </a:pPr>
            <a:r>
              <a:rPr lang="ja-JP" altLang="en-US" sz="1000" b="0" i="0" u="none" strike="noStrike" baseline="0">
                <a:solidFill>
                  <a:srgbClr val="000000"/>
                </a:solidFill>
                <a:latin typeface="ＭＳ 明朝" pitchFamily="17" charset="-128"/>
                <a:ea typeface="ＭＳ 明朝" pitchFamily="17" charset="-128"/>
              </a:rPr>
              <a:t>（学外用）</a:t>
            </a:r>
          </a:p>
        </xdr:txBody>
      </xdr:sp>
    </xdr:grpSp>
    <xdr:clientData/>
  </xdr:twoCellAnchor>
  <xdr:twoCellAnchor>
    <xdr:from>
      <xdr:col>11</xdr:col>
      <xdr:colOff>0</xdr:colOff>
      <xdr:row>13</xdr:row>
      <xdr:rowOff>0</xdr:rowOff>
    </xdr:from>
    <xdr:to>
      <xdr:col>15</xdr:col>
      <xdr:colOff>0</xdr:colOff>
      <xdr:row>18</xdr:row>
      <xdr:rowOff>0</xdr:rowOff>
    </xdr:to>
    <xdr:sp macro="" textlink="">
      <xdr:nvSpPr>
        <xdr:cNvPr id="305" name="Line 9">
          <a:extLst>
            <a:ext uri="{FF2B5EF4-FFF2-40B4-BE49-F238E27FC236}">
              <a16:creationId xmlns:a16="http://schemas.microsoft.com/office/drawing/2014/main" id="{00000000-0008-0000-0300-000031010000}"/>
            </a:ext>
          </a:extLst>
        </xdr:cNvPr>
        <xdr:cNvSpPr>
          <a:spLocks noChangeShapeType="1"/>
        </xdr:cNvSpPr>
      </xdr:nvSpPr>
      <xdr:spPr bwMode="auto">
        <a:xfrm flipH="1" flipV="1">
          <a:off x="1571625" y="35814000"/>
          <a:ext cx="571500" cy="952500"/>
        </a:xfrm>
        <a:prstGeom prst="line">
          <a:avLst/>
        </a:prstGeom>
        <a:noFill/>
        <a:ln w="28575">
          <a:solidFill>
            <a:srgbClr val="000000"/>
          </a:solidFill>
          <a:prstDash val="sysDot"/>
          <a:round/>
          <a:headEnd/>
          <a:tailEnd type="triangle" w="med" len="med"/>
        </a:ln>
      </xdr:spPr>
    </xdr:sp>
    <xdr:clientData/>
  </xdr:twoCellAnchor>
  <xdr:twoCellAnchor>
    <xdr:from>
      <xdr:col>12</xdr:col>
      <xdr:colOff>0</xdr:colOff>
      <xdr:row>13</xdr:row>
      <xdr:rowOff>0</xdr:rowOff>
    </xdr:from>
    <xdr:to>
      <xdr:col>16</xdr:col>
      <xdr:colOff>0</xdr:colOff>
      <xdr:row>18</xdr:row>
      <xdr:rowOff>0</xdr:rowOff>
    </xdr:to>
    <xdr:sp macro="" textlink="">
      <xdr:nvSpPr>
        <xdr:cNvPr id="306" name="Line 10">
          <a:extLst>
            <a:ext uri="{FF2B5EF4-FFF2-40B4-BE49-F238E27FC236}">
              <a16:creationId xmlns:a16="http://schemas.microsoft.com/office/drawing/2014/main" id="{00000000-0008-0000-0300-000032010000}"/>
            </a:ext>
          </a:extLst>
        </xdr:cNvPr>
        <xdr:cNvSpPr>
          <a:spLocks noChangeShapeType="1"/>
        </xdr:cNvSpPr>
      </xdr:nvSpPr>
      <xdr:spPr bwMode="auto">
        <a:xfrm>
          <a:off x="1714500" y="35814000"/>
          <a:ext cx="571500" cy="952500"/>
        </a:xfrm>
        <a:prstGeom prst="line">
          <a:avLst/>
        </a:prstGeom>
        <a:noFill/>
        <a:ln w="28575">
          <a:solidFill>
            <a:srgbClr val="000000"/>
          </a:solidFill>
          <a:prstDash val="sysDot"/>
          <a:round/>
          <a:headEnd/>
          <a:tailEnd type="triangle" w="med" len="med"/>
        </a:ln>
      </xdr:spPr>
    </xdr:sp>
    <xdr:clientData/>
  </xdr:twoCellAnchor>
  <xdr:twoCellAnchor>
    <xdr:from>
      <xdr:col>16</xdr:col>
      <xdr:colOff>0</xdr:colOff>
      <xdr:row>9</xdr:row>
      <xdr:rowOff>0</xdr:rowOff>
    </xdr:from>
    <xdr:to>
      <xdr:col>24</xdr:col>
      <xdr:colOff>63890</xdr:colOff>
      <xdr:row>12</xdr:row>
      <xdr:rowOff>92884</xdr:rowOff>
    </xdr:to>
    <xdr:grpSp>
      <xdr:nvGrpSpPr>
        <xdr:cNvPr id="419" name="グループ化 418">
          <a:extLst>
            <a:ext uri="{FF2B5EF4-FFF2-40B4-BE49-F238E27FC236}">
              <a16:creationId xmlns:a16="http://schemas.microsoft.com/office/drawing/2014/main" id="{00000000-0008-0000-0300-0000A3010000}"/>
            </a:ext>
          </a:extLst>
        </xdr:cNvPr>
        <xdr:cNvGrpSpPr/>
      </xdr:nvGrpSpPr>
      <xdr:grpSpPr>
        <a:xfrm>
          <a:off x="2286000" y="1714500"/>
          <a:ext cx="1206890" cy="664384"/>
          <a:chOff x="2330824" y="18288000"/>
          <a:chExt cx="1228911" cy="660400"/>
        </a:xfrm>
      </xdr:grpSpPr>
      <xdr:sp macro="" textlink="">
        <xdr:nvSpPr>
          <xdr:cNvPr id="280" name="Text Box 59">
            <a:extLst>
              <a:ext uri="{FF2B5EF4-FFF2-40B4-BE49-F238E27FC236}">
                <a16:creationId xmlns:a16="http://schemas.microsoft.com/office/drawing/2014/main" id="{00000000-0008-0000-0300-000018010000}"/>
              </a:ext>
            </a:extLst>
          </xdr:cNvPr>
          <xdr:cNvSpPr txBox="1">
            <a:spLocks noChangeArrowheads="1"/>
          </xdr:cNvSpPr>
        </xdr:nvSpPr>
        <xdr:spPr bwMode="auto">
          <a:xfrm>
            <a:off x="2397284" y="18380884"/>
            <a:ext cx="1162841"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endParaRPr lang="en-US" altLang="ja-JP" sz="1000" b="0" i="0" u="none" strike="noStrike" baseline="0">
              <a:solidFill>
                <a:srgbClr val="000000"/>
              </a:solidFill>
              <a:latin typeface="ＭＳ 明朝" pitchFamily="17" charset="-128"/>
              <a:ea typeface="ＭＳ 明朝" pitchFamily="17" charset="-128"/>
            </a:endParaRPr>
          </a:p>
        </xdr:txBody>
      </xdr:sp>
      <xdr:sp macro="" textlink="">
        <xdr:nvSpPr>
          <xdr:cNvPr id="308" name="Text Box 12">
            <a:extLst>
              <a:ext uri="{FF2B5EF4-FFF2-40B4-BE49-F238E27FC236}">
                <a16:creationId xmlns:a16="http://schemas.microsoft.com/office/drawing/2014/main" id="{00000000-0008-0000-0300-000034010000}"/>
              </a:ext>
            </a:extLst>
          </xdr:cNvPr>
          <xdr:cNvSpPr txBox="1">
            <a:spLocks noChangeArrowheads="1"/>
          </xdr:cNvSpPr>
        </xdr:nvSpPr>
        <xdr:spPr bwMode="auto">
          <a:xfrm>
            <a:off x="2330824" y="18288000"/>
            <a:ext cx="1162841"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pitchFamily="17" charset="-128"/>
                <a:ea typeface="ＭＳ 明朝" pitchFamily="17" charset="-128"/>
              </a:rPr>
              <a:t>AP</a:t>
            </a:r>
            <a:r>
              <a:rPr lang="ja-JP" altLang="en-US" sz="1000" b="0" i="0" u="none" strike="noStrike" baseline="0">
                <a:solidFill>
                  <a:srgbClr val="000000"/>
                </a:solidFill>
                <a:latin typeface="ＭＳ 明朝" pitchFamily="17" charset="-128"/>
                <a:ea typeface="ＭＳ 明朝" pitchFamily="17" charset="-128"/>
              </a:rPr>
              <a:t>サーバー</a:t>
            </a:r>
            <a:endParaRPr lang="en-US" altLang="ja-JP" sz="1000" b="0" i="0" u="none" strike="noStrike" baseline="0">
              <a:solidFill>
                <a:srgbClr val="000000"/>
              </a:solidFill>
              <a:latin typeface="ＭＳ 明朝" pitchFamily="17" charset="-128"/>
              <a:ea typeface="ＭＳ 明朝" pitchFamily="17" charset="-128"/>
            </a:endParaRPr>
          </a:p>
          <a:p>
            <a:pPr algn="ctr" rtl="0">
              <a:defRPr sz="1000"/>
            </a:pPr>
            <a:r>
              <a:rPr lang="ja-JP" altLang="en-US" sz="1000" b="0" i="0" u="none" strike="noStrike" baseline="0">
                <a:solidFill>
                  <a:srgbClr val="000000"/>
                </a:solidFill>
                <a:latin typeface="ＭＳ 明朝" pitchFamily="17" charset="-128"/>
                <a:ea typeface="ＭＳ 明朝" pitchFamily="17" charset="-128"/>
              </a:rPr>
              <a:t>（学内用）</a:t>
            </a:r>
          </a:p>
        </xdr:txBody>
      </xdr:sp>
    </xdr:grpSp>
    <xdr:clientData/>
  </xdr:twoCellAnchor>
  <xdr:twoCellAnchor>
    <xdr:from>
      <xdr:col>21</xdr:col>
      <xdr:colOff>0</xdr:colOff>
      <xdr:row>13</xdr:row>
      <xdr:rowOff>0</xdr:rowOff>
    </xdr:from>
    <xdr:to>
      <xdr:col>24</xdr:col>
      <xdr:colOff>0</xdr:colOff>
      <xdr:row>18</xdr:row>
      <xdr:rowOff>0</xdr:rowOff>
    </xdr:to>
    <xdr:sp macro="" textlink="">
      <xdr:nvSpPr>
        <xdr:cNvPr id="310" name="Line 14">
          <a:extLst>
            <a:ext uri="{FF2B5EF4-FFF2-40B4-BE49-F238E27FC236}">
              <a16:creationId xmlns:a16="http://schemas.microsoft.com/office/drawing/2014/main" id="{00000000-0008-0000-0300-000036010000}"/>
            </a:ext>
          </a:extLst>
        </xdr:cNvPr>
        <xdr:cNvSpPr>
          <a:spLocks noChangeShapeType="1"/>
        </xdr:cNvSpPr>
      </xdr:nvSpPr>
      <xdr:spPr bwMode="auto">
        <a:xfrm flipH="1" flipV="1">
          <a:off x="3000375" y="35814000"/>
          <a:ext cx="428625" cy="952500"/>
        </a:xfrm>
        <a:prstGeom prst="line">
          <a:avLst/>
        </a:prstGeom>
        <a:noFill/>
        <a:ln w="28575">
          <a:solidFill>
            <a:srgbClr val="000000"/>
          </a:solidFill>
          <a:prstDash val="sysDot"/>
          <a:round/>
          <a:headEnd/>
          <a:tailEnd type="triangle" w="med" len="med"/>
        </a:ln>
      </xdr:spPr>
    </xdr:sp>
    <xdr:clientData/>
  </xdr:twoCellAnchor>
  <xdr:twoCellAnchor>
    <xdr:from>
      <xdr:col>22</xdr:col>
      <xdr:colOff>0</xdr:colOff>
      <xdr:row>13</xdr:row>
      <xdr:rowOff>0</xdr:rowOff>
    </xdr:from>
    <xdr:to>
      <xdr:col>25</xdr:col>
      <xdr:colOff>0</xdr:colOff>
      <xdr:row>18</xdr:row>
      <xdr:rowOff>0</xdr:rowOff>
    </xdr:to>
    <xdr:sp macro="" textlink="">
      <xdr:nvSpPr>
        <xdr:cNvPr id="311" name="Line 15">
          <a:extLst>
            <a:ext uri="{FF2B5EF4-FFF2-40B4-BE49-F238E27FC236}">
              <a16:creationId xmlns:a16="http://schemas.microsoft.com/office/drawing/2014/main" id="{00000000-0008-0000-0300-000037010000}"/>
            </a:ext>
          </a:extLst>
        </xdr:cNvPr>
        <xdr:cNvSpPr>
          <a:spLocks noChangeShapeType="1"/>
        </xdr:cNvSpPr>
      </xdr:nvSpPr>
      <xdr:spPr bwMode="auto">
        <a:xfrm>
          <a:off x="3143250" y="35814000"/>
          <a:ext cx="428625" cy="952500"/>
        </a:xfrm>
        <a:prstGeom prst="line">
          <a:avLst/>
        </a:prstGeom>
        <a:noFill/>
        <a:ln w="28575">
          <a:solidFill>
            <a:srgbClr val="000000"/>
          </a:solidFill>
          <a:prstDash val="sysDot"/>
          <a:round/>
          <a:headEnd/>
          <a:tailEnd type="triangle" w="med" len="med"/>
        </a:ln>
      </xdr:spPr>
    </xdr:sp>
    <xdr:clientData/>
  </xdr:twoCellAnchor>
  <xdr:twoCellAnchor editAs="oneCell">
    <xdr:from>
      <xdr:col>13</xdr:col>
      <xdr:colOff>0</xdr:colOff>
      <xdr:row>17</xdr:row>
      <xdr:rowOff>0</xdr:rowOff>
    </xdr:from>
    <xdr:to>
      <xdr:col>14</xdr:col>
      <xdr:colOff>123825</xdr:colOff>
      <xdr:row>18</xdr:row>
      <xdr:rowOff>0</xdr:rowOff>
    </xdr:to>
    <xdr:sp macro="" textlink="">
      <xdr:nvSpPr>
        <xdr:cNvPr id="312" name="Text Box 16">
          <a:extLst>
            <a:ext uri="{FF2B5EF4-FFF2-40B4-BE49-F238E27FC236}">
              <a16:creationId xmlns:a16="http://schemas.microsoft.com/office/drawing/2014/main" id="{00000000-0008-0000-0300-000038010000}"/>
            </a:ext>
          </a:extLst>
        </xdr:cNvPr>
        <xdr:cNvSpPr txBox="1">
          <a:spLocks noChangeArrowheads="1"/>
        </xdr:cNvSpPr>
      </xdr:nvSpPr>
      <xdr:spPr bwMode="auto">
        <a:xfrm>
          <a:off x="1857375" y="36576000"/>
          <a:ext cx="266700"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itchFamily="17" charset="-128"/>
              <a:ea typeface="ＭＳ 明朝" pitchFamily="17" charset="-128"/>
            </a:rPr>
            <a:t>①</a:t>
          </a:r>
        </a:p>
      </xdr:txBody>
    </xdr:sp>
    <xdr:clientData/>
  </xdr:twoCellAnchor>
  <xdr:twoCellAnchor editAs="oneCell">
    <xdr:from>
      <xdr:col>13</xdr:col>
      <xdr:colOff>22414</xdr:colOff>
      <xdr:row>13</xdr:row>
      <xdr:rowOff>0</xdr:rowOff>
    </xdr:from>
    <xdr:to>
      <xdr:col>16</xdr:col>
      <xdr:colOff>89647</xdr:colOff>
      <xdr:row>14</xdr:row>
      <xdr:rowOff>44824</xdr:rowOff>
    </xdr:to>
    <xdr:sp macro="" textlink="">
      <xdr:nvSpPr>
        <xdr:cNvPr id="313" name="Text Box 17">
          <a:extLst>
            <a:ext uri="{FF2B5EF4-FFF2-40B4-BE49-F238E27FC236}">
              <a16:creationId xmlns:a16="http://schemas.microsoft.com/office/drawing/2014/main" id="{00000000-0008-0000-0300-000039010000}"/>
            </a:ext>
          </a:extLst>
        </xdr:cNvPr>
        <xdr:cNvSpPr txBox="1">
          <a:spLocks noChangeArrowheads="1"/>
        </xdr:cNvSpPr>
      </xdr:nvSpPr>
      <xdr:spPr bwMode="auto">
        <a:xfrm>
          <a:off x="1916208" y="19050000"/>
          <a:ext cx="504263" cy="235324"/>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itchFamily="17" charset="-128"/>
              <a:ea typeface="ＭＳ 明朝" pitchFamily="17" charset="-128"/>
            </a:rPr>
            <a:t>②－１</a:t>
          </a:r>
          <a:endParaRPr lang="en-US" altLang="ja-JP" sz="1000" b="0" i="0" u="none" strike="noStrike" baseline="0">
            <a:solidFill>
              <a:srgbClr val="000000"/>
            </a:solidFill>
            <a:latin typeface="ＭＳ 明朝" pitchFamily="17" charset="-128"/>
            <a:ea typeface="ＭＳ 明朝" pitchFamily="17" charset="-128"/>
          </a:endParaRPr>
        </a:p>
      </xdr:txBody>
    </xdr:sp>
    <xdr:clientData/>
  </xdr:twoCellAnchor>
  <xdr:twoCellAnchor editAs="oneCell">
    <xdr:from>
      <xdr:col>22</xdr:col>
      <xdr:colOff>0</xdr:colOff>
      <xdr:row>17</xdr:row>
      <xdr:rowOff>0</xdr:rowOff>
    </xdr:from>
    <xdr:to>
      <xdr:col>23</xdr:col>
      <xdr:colOff>123825</xdr:colOff>
      <xdr:row>18</xdr:row>
      <xdr:rowOff>0</xdr:rowOff>
    </xdr:to>
    <xdr:sp macro="" textlink="">
      <xdr:nvSpPr>
        <xdr:cNvPr id="314" name="Text Box 18">
          <a:extLst>
            <a:ext uri="{FF2B5EF4-FFF2-40B4-BE49-F238E27FC236}">
              <a16:creationId xmlns:a16="http://schemas.microsoft.com/office/drawing/2014/main" id="{00000000-0008-0000-0300-00003A010000}"/>
            </a:ext>
          </a:extLst>
        </xdr:cNvPr>
        <xdr:cNvSpPr txBox="1">
          <a:spLocks noChangeArrowheads="1"/>
        </xdr:cNvSpPr>
      </xdr:nvSpPr>
      <xdr:spPr bwMode="auto">
        <a:xfrm>
          <a:off x="3143250" y="36576000"/>
          <a:ext cx="266700"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itchFamily="17" charset="-128"/>
              <a:ea typeface="ＭＳ 明朝" pitchFamily="17" charset="-128"/>
            </a:rPr>
            <a:t>①</a:t>
          </a:r>
        </a:p>
      </xdr:txBody>
    </xdr:sp>
    <xdr:clientData/>
  </xdr:twoCellAnchor>
  <xdr:twoCellAnchor editAs="oneCell">
    <xdr:from>
      <xdr:col>23</xdr:col>
      <xdr:colOff>11207</xdr:colOff>
      <xdr:row>13</xdr:row>
      <xdr:rowOff>0</xdr:rowOff>
    </xdr:from>
    <xdr:to>
      <xdr:col>26</xdr:col>
      <xdr:colOff>22412</xdr:colOff>
      <xdr:row>13</xdr:row>
      <xdr:rowOff>156882</xdr:rowOff>
    </xdr:to>
    <xdr:sp macro="" textlink="">
      <xdr:nvSpPr>
        <xdr:cNvPr id="316" name="Text Box 20">
          <a:extLst>
            <a:ext uri="{FF2B5EF4-FFF2-40B4-BE49-F238E27FC236}">
              <a16:creationId xmlns:a16="http://schemas.microsoft.com/office/drawing/2014/main" id="{00000000-0008-0000-0300-00003C010000}"/>
            </a:ext>
          </a:extLst>
        </xdr:cNvPr>
        <xdr:cNvSpPr txBox="1">
          <a:spLocks noChangeArrowheads="1"/>
        </xdr:cNvSpPr>
      </xdr:nvSpPr>
      <xdr:spPr bwMode="auto">
        <a:xfrm>
          <a:off x="3361766" y="19050000"/>
          <a:ext cx="448234" cy="156882"/>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itchFamily="17" charset="-128"/>
              <a:ea typeface="ＭＳ 明朝" pitchFamily="17" charset="-128"/>
            </a:rPr>
            <a:t>②ー２</a:t>
          </a:r>
          <a:endParaRPr lang="en-US" altLang="ja-JP" sz="10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19</xdr:col>
      <xdr:colOff>6164</xdr:colOff>
      <xdr:row>11</xdr:row>
      <xdr:rowOff>187699</xdr:rowOff>
    </xdr:from>
    <xdr:to>
      <xdr:col>20</xdr:col>
      <xdr:colOff>110939</xdr:colOff>
      <xdr:row>13</xdr:row>
      <xdr:rowOff>44824</xdr:rowOff>
    </xdr:to>
    <xdr:grpSp>
      <xdr:nvGrpSpPr>
        <xdr:cNvPr id="318" name="Group 53">
          <a:extLst>
            <a:ext uri="{FF2B5EF4-FFF2-40B4-BE49-F238E27FC236}">
              <a16:creationId xmlns:a16="http://schemas.microsoft.com/office/drawing/2014/main" id="{00000000-0008-0000-0300-00003E010000}"/>
            </a:ext>
          </a:extLst>
        </xdr:cNvPr>
        <xdr:cNvGrpSpPr>
          <a:grpSpLocks/>
        </xdr:cNvGrpSpPr>
      </xdr:nvGrpSpPr>
      <xdr:grpSpPr bwMode="auto">
        <a:xfrm>
          <a:off x="2720789" y="2283199"/>
          <a:ext cx="247650" cy="238125"/>
          <a:chOff x="1153" y="320"/>
          <a:chExt cx="48" cy="31"/>
        </a:xfrm>
      </xdr:grpSpPr>
      <xdr:sp macro="" textlink="">
        <xdr:nvSpPr>
          <xdr:cNvPr id="319" name="Line 54">
            <a:extLst>
              <a:ext uri="{FF2B5EF4-FFF2-40B4-BE49-F238E27FC236}">
                <a16:creationId xmlns:a16="http://schemas.microsoft.com/office/drawing/2014/main" id="{00000000-0008-0000-0300-00003F010000}"/>
              </a:ext>
            </a:extLst>
          </xdr:cNvPr>
          <xdr:cNvSpPr>
            <a:spLocks noChangeShapeType="1"/>
          </xdr:cNvSpPr>
        </xdr:nvSpPr>
        <xdr:spPr bwMode="auto">
          <a:xfrm>
            <a:off x="1153" y="321"/>
            <a:ext cx="48" cy="30"/>
          </a:xfrm>
          <a:prstGeom prst="line">
            <a:avLst/>
          </a:prstGeom>
          <a:noFill/>
          <a:ln w="28575">
            <a:solidFill>
              <a:srgbClr val="FF0000"/>
            </a:solidFill>
            <a:round/>
            <a:headEnd/>
            <a:tailEnd/>
          </a:ln>
        </xdr:spPr>
      </xdr:sp>
      <xdr:sp macro="" textlink="">
        <xdr:nvSpPr>
          <xdr:cNvPr id="320" name="Line 55">
            <a:extLst>
              <a:ext uri="{FF2B5EF4-FFF2-40B4-BE49-F238E27FC236}">
                <a16:creationId xmlns:a16="http://schemas.microsoft.com/office/drawing/2014/main" id="{00000000-0008-0000-0300-000040010000}"/>
              </a:ext>
            </a:extLst>
          </xdr:cNvPr>
          <xdr:cNvSpPr>
            <a:spLocks noChangeShapeType="1"/>
          </xdr:cNvSpPr>
        </xdr:nvSpPr>
        <xdr:spPr bwMode="auto">
          <a:xfrm flipV="1">
            <a:off x="1155" y="320"/>
            <a:ext cx="44" cy="29"/>
          </a:xfrm>
          <a:prstGeom prst="line">
            <a:avLst/>
          </a:prstGeom>
          <a:noFill/>
          <a:ln w="28575">
            <a:solidFill>
              <a:srgbClr val="FF0000"/>
            </a:solidFill>
            <a:round/>
            <a:headEnd/>
            <a:tailEnd/>
          </a:ln>
        </xdr:spPr>
      </xdr:sp>
    </xdr:grpSp>
    <xdr:clientData/>
  </xdr:twoCellAnchor>
  <xdr:twoCellAnchor>
    <xdr:from>
      <xdr:col>30</xdr:col>
      <xdr:colOff>78440</xdr:colOff>
      <xdr:row>9</xdr:row>
      <xdr:rowOff>0</xdr:rowOff>
    </xdr:from>
    <xdr:to>
      <xdr:col>38</xdr:col>
      <xdr:colOff>141940</xdr:colOff>
      <xdr:row>12</xdr:row>
      <xdr:rowOff>88900</xdr:rowOff>
    </xdr:to>
    <xdr:grpSp>
      <xdr:nvGrpSpPr>
        <xdr:cNvPr id="328" name="グループ化 327">
          <a:extLst>
            <a:ext uri="{FF2B5EF4-FFF2-40B4-BE49-F238E27FC236}">
              <a16:creationId xmlns:a16="http://schemas.microsoft.com/office/drawing/2014/main" id="{00000000-0008-0000-0300-000048010000}"/>
            </a:ext>
          </a:extLst>
        </xdr:cNvPr>
        <xdr:cNvGrpSpPr/>
      </xdr:nvGrpSpPr>
      <xdr:grpSpPr>
        <a:xfrm>
          <a:off x="4364690" y="1714500"/>
          <a:ext cx="1206500" cy="660400"/>
          <a:chOff x="5029200" y="18288000"/>
          <a:chExt cx="1181100" cy="660400"/>
        </a:xfrm>
      </xdr:grpSpPr>
      <xdr:sp macro="" textlink="">
        <xdr:nvSpPr>
          <xdr:cNvPr id="229" name="Text Box 59">
            <a:extLst>
              <a:ext uri="{FF2B5EF4-FFF2-40B4-BE49-F238E27FC236}">
                <a16:creationId xmlns:a16="http://schemas.microsoft.com/office/drawing/2014/main" id="{00000000-0008-0000-0300-0000E5000000}"/>
              </a:ext>
            </a:extLst>
          </xdr:cNvPr>
          <xdr:cNvSpPr txBox="1">
            <a:spLocks noChangeArrowheads="1"/>
          </xdr:cNvSpPr>
        </xdr:nvSpPr>
        <xdr:spPr bwMode="auto">
          <a:xfrm>
            <a:off x="5092700" y="18376900"/>
            <a:ext cx="1117600"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endParaRPr lang="en-US" altLang="ja-JP" sz="1000" b="0" i="0" u="none" strike="noStrike" baseline="0">
              <a:solidFill>
                <a:srgbClr val="000000"/>
              </a:solidFill>
              <a:latin typeface="ＭＳ 明朝" pitchFamily="17" charset="-128"/>
              <a:ea typeface="ＭＳ 明朝" pitchFamily="17" charset="-128"/>
            </a:endParaRPr>
          </a:p>
        </xdr:txBody>
      </xdr:sp>
      <xdr:sp macro="" textlink="">
        <xdr:nvSpPr>
          <xdr:cNvPr id="322" name="Text Box 59">
            <a:extLst>
              <a:ext uri="{FF2B5EF4-FFF2-40B4-BE49-F238E27FC236}">
                <a16:creationId xmlns:a16="http://schemas.microsoft.com/office/drawing/2014/main" id="{00000000-0008-0000-0300-000042010000}"/>
              </a:ext>
            </a:extLst>
          </xdr:cNvPr>
          <xdr:cNvSpPr txBox="1">
            <a:spLocks noChangeArrowheads="1"/>
          </xdr:cNvSpPr>
        </xdr:nvSpPr>
        <xdr:spPr bwMode="auto">
          <a:xfrm>
            <a:off x="5029200" y="18288000"/>
            <a:ext cx="1117600"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pitchFamily="17" charset="-128"/>
                <a:ea typeface="ＭＳ 明朝" pitchFamily="17" charset="-128"/>
              </a:rPr>
              <a:t>DB</a:t>
            </a:r>
            <a:r>
              <a:rPr lang="ja-JP" altLang="en-US" sz="1000" b="0" i="0" u="none" strike="noStrike" baseline="0">
                <a:solidFill>
                  <a:srgbClr val="000000"/>
                </a:solidFill>
                <a:latin typeface="ＭＳ 明朝" pitchFamily="17" charset="-128"/>
                <a:ea typeface="ＭＳ 明朝" pitchFamily="17" charset="-128"/>
              </a:rPr>
              <a:t>サーバー</a:t>
            </a:r>
            <a:endParaRPr lang="en-US" altLang="ja-JP" sz="1000" b="0" i="0" u="none" strike="noStrike" baseline="0">
              <a:solidFill>
                <a:srgbClr val="000000"/>
              </a:solidFill>
              <a:latin typeface="ＭＳ 明朝" pitchFamily="17" charset="-128"/>
              <a:ea typeface="ＭＳ 明朝" pitchFamily="17" charset="-128"/>
            </a:endParaRPr>
          </a:p>
        </xdr:txBody>
      </xdr:sp>
    </xdr:grpSp>
    <xdr:clientData/>
  </xdr:twoCellAnchor>
  <xdr:twoCellAnchor>
    <xdr:from>
      <xdr:col>19</xdr:col>
      <xdr:colOff>144516</xdr:colOff>
      <xdr:row>12</xdr:row>
      <xdr:rowOff>105102</xdr:rowOff>
    </xdr:from>
    <xdr:to>
      <xdr:col>20</xdr:col>
      <xdr:colOff>1157</xdr:colOff>
      <xdr:row>14</xdr:row>
      <xdr:rowOff>190497</xdr:rowOff>
    </xdr:to>
    <xdr:sp macro="" textlink="">
      <xdr:nvSpPr>
        <xdr:cNvPr id="325" name="Line 62">
          <a:extLst>
            <a:ext uri="{FF2B5EF4-FFF2-40B4-BE49-F238E27FC236}">
              <a16:creationId xmlns:a16="http://schemas.microsoft.com/office/drawing/2014/main" id="{00000000-0008-0000-0300-000045010000}"/>
            </a:ext>
          </a:extLst>
        </xdr:cNvPr>
        <xdr:cNvSpPr>
          <a:spLocks noChangeShapeType="1"/>
        </xdr:cNvSpPr>
      </xdr:nvSpPr>
      <xdr:spPr bwMode="auto">
        <a:xfrm flipH="1" flipV="1">
          <a:off x="2890344" y="18964602"/>
          <a:ext cx="1158" cy="466395"/>
        </a:xfrm>
        <a:prstGeom prst="line">
          <a:avLst/>
        </a:prstGeom>
        <a:noFill/>
        <a:ln w="28575">
          <a:solidFill>
            <a:srgbClr val="000000"/>
          </a:solidFill>
          <a:round/>
          <a:headEnd/>
          <a:tailEnd/>
        </a:ln>
      </xdr:spPr>
    </xdr:sp>
    <xdr:clientData/>
  </xdr:twoCellAnchor>
  <xdr:twoCellAnchor>
    <xdr:from>
      <xdr:col>34</xdr:col>
      <xdr:colOff>78440</xdr:colOff>
      <xdr:row>12</xdr:row>
      <xdr:rowOff>0</xdr:rowOff>
    </xdr:from>
    <xdr:to>
      <xdr:col>34</xdr:col>
      <xdr:colOff>78440</xdr:colOff>
      <xdr:row>15</xdr:row>
      <xdr:rowOff>0</xdr:rowOff>
    </xdr:to>
    <xdr:sp macro="" textlink="">
      <xdr:nvSpPr>
        <xdr:cNvPr id="327" name="Line 64">
          <a:extLst>
            <a:ext uri="{FF2B5EF4-FFF2-40B4-BE49-F238E27FC236}">
              <a16:creationId xmlns:a16="http://schemas.microsoft.com/office/drawing/2014/main" id="{00000000-0008-0000-0300-000047010000}"/>
            </a:ext>
          </a:extLst>
        </xdr:cNvPr>
        <xdr:cNvSpPr>
          <a:spLocks noChangeShapeType="1"/>
        </xdr:cNvSpPr>
      </xdr:nvSpPr>
      <xdr:spPr bwMode="auto">
        <a:xfrm flipV="1">
          <a:off x="5031440" y="18859500"/>
          <a:ext cx="0" cy="571500"/>
        </a:xfrm>
        <a:prstGeom prst="line">
          <a:avLst/>
        </a:prstGeom>
        <a:noFill/>
        <a:ln w="28575">
          <a:solidFill>
            <a:srgbClr val="000000"/>
          </a:solidFill>
          <a:round/>
          <a:headEnd/>
          <a:tailEnd/>
        </a:ln>
      </xdr:spPr>
    </xdr:sp>
    <xdr:clientData/>
  </xdr:twoCellAnchor>
  <xdr:twoCellAnchor>
    <xdr:from>
      <xdr:col>32</xdr:col>
      <xdr:colOff>112057</xdr:colOff>
      <xdr:row>12</xdr:row>
      <xdr:rowOff>156882</xdr:rowOff>
    </xdr:from>
    <xdr:to>
      <xdr:col>32</xdr:col>
      <xdr:colOff>123265</xdr:colOff>
      <xdr:row>18</xdr:row>
      <xdr:rowOff>0</xdr:rowOff>
    </xdr:to>
    <xdr:sp macro="" textlink="">
      <xdr:nvSpPr>
        <xdr:cNvPr id="330" name="Line 67">
          <a:extLst>
            <a:ext uri="{FF2B5EF4-FFF2-40B4-BE49-F238E27FC236}">
              <a16:creationId xmlns:a16="http://schemas.microsoft.com/office/drawing/2014/main" id="{00000000-0008-0000-0300-00004A010000}"/>
            </a:ext>
          </a:extLst>
        </xdr:cNvPr>
        <xdr:cNvSpPr>
          <a:spLocks noChangeShapeType="1"/>
        </xdr:cNvSpPr>
      </xdr:nvSpPr>
      <xdr:spPr bwMode="auto">
        <a:xfrm flipV="1">
          <a:off x="4773704" y="19016382"/>
          <a:ext cx="11208" cy="986118"/>
        </a:xfrm>
        <a:prstGeom prst="line">
          <a:avLst/>
        </a:prstGeom>
        <a:noFill/>
        <a:ln w="28575">
          <a:solidFill>
            <a:srgbClr val="000000"/>
          </a:solidFill>
          <a:prstDash val="sysDot"/>
          <a:round/>
          <a:headEnd/>
          <a:tailEnd type="triangle" w="med" len="med"/>
        </a:ln>
      </xdr:spPr>
    </xdr:sp>
    <xdr:clientData/>
  </xdr:twoCellAnchor>
  <xdr:twoCellAnchor>
    <xdr:from>
      <xdr:col>36</xdr:col>
      <xdr:colOff>11207</xdr:colOff>
      <xdr:row>12</xdr:row>
      <xdr:rowOff>179294</xdr:rowOff>
    </xdr:from>
    <xdr:to>
      <xdr:col>36</xdr:col>
      <xdr:colOff>22413</xdr:colOff>
      <xdr:row>17</xdr:row>
      <xdr:rowOff>168088</xdr:rowOff>
    </xdr:to>
    <xdr:sp macro="" textlink="">
      <xdr:nvSpPr>
        <xdr:cNvPr id="331" name="Line 68">
          <a:extLst>
            <a:ext uri="{FF2B5EF4-FFF2-40B4-BE49-F238E27FC236}">
              <a16:creationId xmlns:a16="http://schemas.microsoft.com/office/drawing/2014/main" id="{00000000-0008-0000-0300-00004B010000}"/>
            </a:ext>
          </a:extLst>
        </xdr:cNvPr>
        <xdr:cNvSpPr>
          <a:spLocks noChangeShapeType="1"/>
        </xdr:cNvSpPr>
      </xdr:nvSpPr>
      <xdr:spPr bwMode="auto">
        <a:xfrm flipH="1">
          <a:off x="5255560" y="19038794"/>
          <a:ext cx="11206" cy="941294"/>
        </a:xfrm>
        <a:prstGeom prst="line">
          <a:avLst/>
        </a:prstGeom>
        <a:noFill/>
        <a:ln w="28575">
          <a:solidFill>
            <a:srgbClr val="000000"/>
          </a:solidFill>
          <a:prstDash val="sysDot"/>
          <a:round/>
          <a:headEnd/>
          <a:tailEnd type="triangle" w="med" len="med"/>
        </a:ln>
      </xdr:spPr>
    </xdr:sp>
    <xdr:clientData/>
  </xdr:twoCellAnchor>
  <xdr:twoCellAnchor editAs="oneCell">
    <xdr:from>
      <xdr:col>31</xdr:col>
      <xdr:colOff>33615</xdr:colOff>
      <xdr:row>17</xdr:row>
      <xdr:rowOff>0</xdr:rowOff>
    </xdr:from>
    <xdr:to>
      <xdr:col>33</xdr:col>
      <xdr:colOff>11763</xdr:colOff>
      <xdr:row>18</xdr:row>
      <xdr:rowOff>0</xdr:rowOff>
    </xdr:to>
    <xdr:sp macro="" textlink="">
      <xdr:nvSpPr>
        <xdr:cNvPr id="336" name="Text Box 73">
          <a:extLst>
            <a:ext uri="{FF2B5EF4-FFF2-40B4-BE49-F238E27FC236}">
              <a16:creationId xmlns:a16="http://schemas.microsoft.com/office/drawing/2014/main" id="{00000000-0008-0000-0300-000050010000}"/>
            </a:ext>
          </a:extLst>
        </xdr:cNvPr>
        <xdr:cNvSpPr txBox="1">
          <a:spLocks noChangeArrowheads="1"/>
        </xdr:cNvSpPr>
      </xdr:nvSpPr>
      <xdr:spPr bwMode="auto">
        <a:xfrm>
          <a:off x="4549586" y="19812000"/>
          <a:ext cx="269501"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itchFamily="17" charset="-128"/>
              <a:ea typeface="ＭＳ 明朝" pitchFamily="17" charset="-128"/>
            </a:rPr>
            <a:t>①</a:t>
          </a:r>
        </a:p>
      </xdr:txBody>
    </xdr:sp>
    <xdr:clientData/>
  </xdr:twoCellAnchor>
  <xdr:twoCellAnchor editAs="oneCell">
    <xdr:from>
      <xdr:col>37</xdr:col>
      <xdr:colOff>22412</xdr:colOff>
      <xdr:row>13</xdr:row>
      <xdr:rowOff>44824</xdr:rowOff>
    </xdr:from>
    <xdr:to>
      <xdr:col>40</xdr:col>
      <xdr:colOff>89647</xdr:colOff>
      <xdr:row>14</xdr:row>
      <xdr:rowOff>0</xdr:rowOff>
    </xdr:to>
    <xdr:sp macro="" textlink="">
      <xdr:nvSpPr>
        <xdr:cNvPr id="339" name="Text Box 76">
          <a:extLst>
            <a:ext uri="{FF2B5EF4-FFF2-40B4-BE49-F238E27FC236}">
              <a16:creationId xmlns:a16="http://schemas.microsoft.com/office/drawing/2014/main" id="{00000000-0008-0000-0300-000053010000}"/>
            </a:ext>
          </a:extLst>
        </xdr:cNvPr>
        <xdr:cNvSpPr txBox="1">
          <a:spLocks noChangeArrowheads="1"/>
        </xdr:cNvSpPr>
      </xdr:nvSpPr>
      <xdr:spPr bwMode="auto">
        <a:xfrm>
          <a:off x="5412441" y="19094824"/>
          <a:ext cx="504265" cy="1456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itchFamily="17" charset="-128"/>
              <a:ea typeface="ＭＳ 明朝" pitchFamily="17" charset="-128"/>
            </a:rPr>
            <a:t>②－１</a:t>
          </a:r>
          <a:endParaRPr lang="en-US" altLang="ja-JP" sz="1000" b="0" i="0" u="none" strike="noStrike" baseline="0">
            <a:solidFill>
              <a:srgbClr val="000000"/>
            </a:solidFill>
            <a:latin typeface="ＭＳ 明朝" pitchFamily="17" charset="-128"/>
            <a:ea typeface="ＭＳ 明朝" pitchFamily="17" charset="-128"/>
          </a:endParaRPr>
        </a:p>
      </xdr:txBody>
    </xdr:sp>
    <xdr:clientData/>
  </xdr:twoCellAnchor>
  <xdr:twoCellAnchor>
    <xdr:from>
      <xdr:col>4</xdr:col>
      <xdr:colOff>0</xdr:colOff>
      <xdr:row>55</xdr:row>
      <xdr:rowOff>0</xdr:rowOff>
    </xdr:from>
    <xdr:to>
      <xdr:col>16</xdr:col>
      <xdr:colOff>0</xdr:colOff>
      <xdr:row>57</xdr:row>
      <xdr:rowOff>0</xdr:rowOff>
    </xdr:to>
    <xdr:sp macro="" textlink="">
      <xdr:nvSpPr>
        <xdr:cNvPr id="5" name="テキスト ボックス 4">
          <a:extLst>
            <a:ext uri="{FF2B5EF4-FFF2-40B4-BE49-F238E27FC236}">
              <a16:creationId xmlns:a16="http://schemas.microsoft.com/office/drawing/2014/main" id="{00000000-0008-0000-0300-000005000000}"/>
            </a:ext>
          </a:extLst>
        </xdr:cNvPr>
        <xdr:cNvSpPr txBox="1"/>
      </xdr:nvSpPr>
      <xdr:spPr>
        <a:xfrm>
          <a:off x="582706" y="35242500"/>
          <a:ext cx="1748118" cy="381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latin typeface="ＭＳ 明朝" pitchFamily="17" charset="-128"/>
              <a:ea typeface="ＭＳ 明朝" pitchFamily="17" charset="-128"/>
            </a:rPr>
            <a:t>学生勤務管理システム</a:t>
          </a:r>
          <a:endParaRPr kumimoji="1" lang="en-US" altLang="ja-JP" sz="1000">
            <a:latin typeface="ＭＳ 明朝" pitchFamily="17" charset="-128"/>
            <a:ea typeface="ＭＳ 明朝" pitchFamily="17" charset="-128"/>
          </a:endParaRPr>
        </a:p>
      </xdr:txBody>
    </xdr:sp>
    <xdr:clientData/>
  </xdr:twoCellAnchor>
  <xdr:twoCellAnchor>
    <xdr:from>
      <xdr:col>31</xdr:col>
      <xdr:colOff>0</xdr:colOff>
      <xdr:row>55</xdr:row>
      <xdr:rowOff>0</xdr:rowOff>
    </xdr:from>
    <xdr:to>
      <xdr:col>43</xdr:col>
      <xdr:colOff>1</xdr:colOff>
      <xdr:row>57</xdr:row>
      <xdr:rowOff>0</xdr:rowOff>
    </xdr:to>
    <xdr:sp macro="" textlink="">
      <xdr:nvSpPr>
        <xdr:cNvPr id="31" name="テキスト ボックス 30">
          <a:extLst>
            <a:ext uri="{FF2B5EF4-FFF2-40B4-BE49-F238E27FC236}">
              <a16:creationId xmlns:a16="http://schemas.microsoft.com/office/drawing/2014/main" id="{00000000-0008-0000-0300-00001F000000}"/>
            </a:ext>
          </a:extLst>
        </xdr:cNvPr>
        <xdr:cNvSpPr txBox="1"/>
      </xdr:nvSpPr>
      <xdr:spPr>
        <a:xfrm>
          <a:off x="4515971" y="35242500"/>
          <a:ext cx="1748118" cy="381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000">
              <a:latin typeface="ＭＳ 明朝" pitchFamily="17" charset="-128"/>
              <a:ea typeface="ＭＳ 明朝" pitchFamily="17" charset="-128"/>
            </a:rPr>
            <a:t>DB</a:t>
          </a:r>
          <a:r>
            <a:rPr kumimoji="1" lang="ja-JP" altLang="en-US" sz="1000">
              <a:latin typeface="ＭＳ 明朝" pitchFamily="17" charset="-128"/>
              <a:ea typeface="ＭＳ 明朝" pitchFamily="17" charset="-128"/>
            </a:rPr>
            <a:t>サーバー</a:t>
          </a:r>
          <a:endParaRPr kumimoji="1" lang="en-US" altLang="ja-JP" sz="1000">
            <a:latin typeface="ＭＳ 明朝" pitchFamily="17" charset="-128"/>
            <a:ea typeface="ＭＳ 明朝" pitchFamily="17" charset="-128"/>
          </a:endParaRPr>
        </a:p>
      </xdr:txBody>
    </xdr:sp>
    <xdr:clientData/>
  </xdr:twoCellAnchor>
  <xdr:twoCellAnchor>
    <xdr:from>
      <xdr:col>37</xdr:col>
      <xdr:colOff>1</xdr:colOff>
      <xdr:row>57</xdr:row>
      <xdr:rowOff>0</xdr:rowOff>
    </xdr:from>
    <xdr:to>
      <xdr:col>37</xdr:col>
      <xdr:colOff>1</xdr:colOff>
      <xdr:row>59</xdr:row>
      <xdr:rowOff>112058</xdr:rowOff>
    </xdr:to>
    <xdr:cxnSp macro="">
      <xdr:nvCxnSpPr>
        <xdr:cNvPr id="230" name="直線矢印コネクタ 229">
          <a:extLst>
            <a:ext uri="{FF2B5EF4-FFF2-40B4-BE49-F238E27FC236}">
              <a16:creationId xmlns:a16="http://schemas.microsoft.com/office/drawing/2014/main" id="{00000000-0008-0000-0300-0000E6000000}"/>
            </a:ext>
          </a:extLst>
        </xdr:cNvPr>
        <xdr:cNvCxnSpPr>
          <a:cxnSpLocks/>
          <a:stCxn id="249" idx="1"/>
          <a:endCxn id="31" idx="2"/>
        </xdr:cNvCxnSpPr>
      </xdr:nvCxnSpPr>
      <xdr:spPr bwMode="auto">
        <a:xfrm flipV="1">
          <a:off x="5390030" y="35814000"/>
          <a:ext cx="0" cy="493058"/>
        </a:xfrm>
        <a:prstGeom prst="straightConnector1">
          <a:avLst/>
        </a:prstGeom>
        <a:solidFill>
          <a:srgbClr val="FFFFFF"/>
        </a:solidFill>
        <a:ln w="57150" cap="flat" cmpd="sng" algn="ctr">
          <a:solidFill>
            <a:schemeClr val="tx1">
              <a:lumMod val="65000"/>
              <a:lumOff val="35000"/>
            </a:schemeClr>
          </a:solidFill>
          <a:prstDash val="solid"/>
          <a:round/>
          <a:headEnd type="triangle" w="med" len="med"/>
          <a:tailEnd type="none" w="med" len="med"/>
        </a:ln>
        <a:effectLst/>
      </xdr:spPr>
    </xdr:cxnSp>
    <xdr:clientData/>
  </xdr:twoCellAnchor>
  <xdr:twoCellAnchor>
    <xdr:from>
      <xdr:col>4</xdr:col>
      <xdr:colOff>0</xdr:colOff>
      <xdr:row>78</xdr:row>
      <xdr:rowOff>0</xdr:rowOff>
    </xdr:from>
    <xdr:to>
      <xdr:col>16</xdr:col>
      <xdr:colOff>0</xdr:colOff>
      <xdr:row>80</xdr:row>
      <xdr:rowOff>0</xdr:rowOff>
    </xdr:to>
    <xdr:sp macro="" textlink="">
      <xdr:nvSpPr>
        <xdr:cNvPr id="293" name="テキスト ボックス 292">
          <a:extLst>
            <a:ext uri="{FF2B5EF4-FFF2-40B4-BE49-F238E27FC236}">
              <a16:creationId xmlns:a16="http://schemas.microsoft.com/office/drawing/2014/main" id="{00000000-0008-0000-0300-000025010000}"/>
            </a:ext>
          </a:extLst>
        </xdr:cNvPr>
        <xdr:cNvSpPr txBox="1"/>
      </xdr:nvSpPr>
      <xdr:spPr>
        <a:xfrm>
          <a:off x="582706" y="40767000"/>
          <a:ext cx="1748118" cy="381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000">
              <a:latin typeface="ＭＳ 明朝" pitchFamily="17" charset="-128"/>
              <a:ea typeface="ＭＳ 明朝" pitchFamily="17" charset="-128"/>
            </a:rPr>
            <a:t>DB</a:t>
          </a:r>
          <a:r>
            <a:rPr kumimoji="1" lang="ja-JP" altLang="en-US" sz="1000">
              <a:latin typeface="ＭＳ 明朝" pitchFamily="17" charset="-128"/>
              <a:ea typeface="ＭＳ 明朝" pitchFamily="17" charset="-128"/>
            </a:rPr>
            <a:t>サーバー</a:t>
          </a:r>
          <a:endParaRPr kumimoji="1" lang="en-US" altLang="ja-JP" sz="1000">
            <a:latin typeface="ＭＳ 明朝" pitchFamily="17" charset="-128"/>
            <a:ea typeface="ＭＳ 明朝" pitchFamily="17" charset="-128"/>
          </a:endParaRPr>
        </a:p>
      </xdr:txBody>
    </xdr:sp>
    <xdr:clientData/>
  </xdr:twoCellAnchor>
  <xdr:twoCellAnchor>
    <xdr:from>
      <xdr:col>24</xdr:col>
      <xdr:colOff>0</xdr:colOff>
      <xdr:row>77</xdr:row>
      <xdr:rowOff>145676</xdr:rowOff>
    </xdr:from>
    <xdr:to>
      <xdr:col>32</xdr:col>
      <xdr:colOff>89647</xdr:colOff>
      <xdr:row>80</xdr:row>
      <xdr:rowOff>33617</xdr:rowOff>
    </xdr:to>
    <xdr:sp macro="" textlink="">
      <xdr:nvSpPr>
        <xdr:cNvPr id="294" name="円柱 293">
          <a:extLst>
            <a:ext uri="{FF2B5EF4-FFF2-40B4-BE49-F238E27FC236}">
              <a16:creationId xmlns:a16="http://schemas.microsoft.com/office/drawing/2014/main" id="{00000000-0008-0000-0300-000026010000}"/>
            </a:ext>
          </a:extLst>
        </xdr:cNvPr>
        <xdr:cNvSpPr/>
      </xdr:nvSpPr>
      <xdr:spPr bwMode="auto">
        <a:xfrm>
          <a:off x="3496235" y="40722176"/>
          <a:ext cx="1255059"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p>
      </xdr:txBody>
    </xdr:sp>
    <xdr:clientData/>
  </xdr:twoCellAnchor>
  <xdr:twoCellAnchor>
    <xdr:from>
      <xdr:col>16</xdr:col>
      <xdr:colOff>0</xdr:colOff>
      <xdr:row>78</xdr:row>
      <xdr:rowOff>184897</xdr:rowOff>
    </xdr:from>
    <xdr:to>
      <xdr:col>24</xdr:col>
      <xdr:colOff>0</xdr:colOff>
      <xdr:row>79</xdr:row>
      <xdr:rowOff>0</xdr:rowOff>
    </xdr:to>
    <xdr:cxnSp macro="">
      <xdr:nvCxnSpPr>
        <xdr:cNvPr id="296" name="直線矢印コネクタ 295">
          <a:extLst>
            <a:ext uri="{FF2B5EF4-FFF2-40B4-BE49-F238E27FC236}">
              <a16:creationId xmlns:a16="http://schemas.microsoft.com/office/drawing/2014/main" id="{00000000-0008-0000-0300-000028010000}"/>
            </a:ext>
          </a:extLst>
        </xdr:cNvPr>
        <xdr:cNvCxnSpPr>
          <a:cxnSpLocks/>
          <a:stCxn id="293" idx="3"/>
          <a:endCxn id="294" idx="2"/>
        </xdr:cNvCxnSpPr>
      </xdr:nvCxnSpPr>
      <xdr:spPr bwMode="auto">
        <a:xfrm flipV="1">
          <a:off x="2330824" y="40951897"/>
          <a:ext cx="1165411" cy="5603"/>
        </a:xfrm>
        <a:prstGeom prst="straightConnector1">
          <a:avLst/>
        </a:prstGeom>
        <a:solidFill>
          <a:srgbClr val="FFFFFF"/>
        </a:solidFill>
        <a:ln w="57150" cap="flat" cmpd="sng" algn="ctr">
          <a:solidFill>
            <a:schemeClr val="tx1">
              <a:lumMod val="65000"/>
              <a:lumOff val="35000"/>
            </a:schemeClr>
          </a:solidFill>
          <a:prstDash val="solid"/>
          <a:round/>
          <a:headEnd type="triangle" w="med" len="med"/>
          <a:tailEnd type="none" w="med" len="med"/>
        </a:ln>
        <a:effectLst/>
      </xdr:spPr>
    </xdr:cxnSp>
    <xdr:clientData/>
  </xdr:twoCellAnchor>
  <xdr:twoCellAnchor>
    <xdr:from>
      <xdr:col>11</xdr:col>
      <xdr:colOff>100853</xdr:colOff>
      <xdr:row>79</xdr:row>
      <xdr:rowOff>112058</xdr:rowOff>
    </xdr:from>
    <xdr:to>
      <xdr:col>15</xdr:col>
      <xdr:colOff>100853</xdr:colOff>
      <xdr:row>80</xdr:row>
      <xdr:rowOff>112058</xdr:rowOff>
    </xdr:to>
    <xdr:sp macro="" textlink="">
      <xdr:nvSpPr>
        <xdr:cNvPr id="329" name="正方形/長方形 328">
          <a:extLst>
            <a:ext uri="{FF2B5EF4-FFF2-40B4-BE49-F238E27FC236}">
              <a16:creationId xmlns:a16="http://schemas.microsoft.com/office/drawing/2014/main" id="{00000000-0008-0000-0300-000049010000}"/>
            </a:ext>
          </a:extLst>
        </xdr:cNvPr>
        <xdr:cNvSpPr/>
      </xdr:nvSpPr>
      <xdr:spPr bwMode="auto">
        <a:xfrm>
          <a:off x="1703294" y="41260058"/>
          <a:ext cx="582706" cy="190500"/>
        </a:xfrm>
        <a:prstGeom prst="rect">
          <a:avLst/>
        </a:prstGeom>
        <a:solidFill>
          <a:srgbClr val="FFC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indent="0" algn="ctr"/>
          <a:r>
            <a:rPr kumimoji="1" lang="en-US" altLang="ja-JP" sz="900">
              <a:latin typeface="ＭＳ 明朝" pitchFamily="17" charset="-128"/>
              <a:ea typeface="ＭＳ 明朝" pitchFamily="17" charset="-128"/>
              <a:cs typeface="+mn-cs"/>
            </a:rPr>
            <a:t>ANALYZE</a:t>
          </a:r>
          <a:endParaRPr kumimoji="1" lang="ja-JP" altLang="en-US" sz="900">
            <a:latin typeface="ＭＳ 明朝" pitchFamily="17" charset="-128"/>
            <a:ea typeface="ＭＳ 明朝" pitchFamily="17" charset="-128"/>
            <a:cs typeface="+mn-cs"/>
          </a:endParaRPr>
        </a:p>
      </xdr:txBody>
    </xdr:sp>
    <xdr:clientData/>
  </xdr:twoCellAnchor>
  <xdr:twoCellAnchor>
    <xdr:from>
      <xdr:col>33</xdr:col>
      <xdr:colOff>47625</xdr:colOff>
      <xdr:row>179</xdr:row>
      <xdr:rowOff>112058</xdr:rowOff>
    </xdr:from>
    <xdr:to>
      <xdr:col>41</xdr:col>
      <xdr:colOff>134471</xdr:colOff>
      <xdr:row>181</xdr:row>
      <xdr:rowOff>190499</xdr:rowOff>
    </xdr:to>
    <xdr:sp macro="" textlink="">
      <xdr:nvSpPr>
        <xdr:cNvPr id="3" name="円柱 2">
          <a:extLst>
            <a:ext uri="{FF2B5EF4-FFF2-40B4-BE49-F238E27FC236}">
              <a16:creationId xmlns:a16="http://schemas.microsoft.com/office/drawing/2014/main" id="{13A24231-673F-4B0F-971B-A4E8E93F0D65}"/>
            </a:ext>
          </a:extLst>
        </xdr:cNvPr>
        <xdr:cNvSpPr/>
      </xdr:nvSpPr>
      <xdr:spPr bwMode="auto">
        <a:xfrm>
          <a:off x="4762500" y="36307058"/>
          <a:ext cx="1229846" cy="459441"/>
        </a:xfrm>
        <a:prstGeom prst="can">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solidFill>
                <a:schemeClr val="bg1"/>
              </a:solidFill>
              <a:latin typeface="ＭＳ 明朝" pitchFamily="17" charset="-128"/>
              <a:ea typeface="ＭＳ 明朝" pitchFamily="17" charset="-128"/>
            </a:rPr>
            <a:t>バックアップ</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49</xdr:col>
      <xdr:colOff>85725</xdr:colOff>
      <xdr:row>12</xdr:row>
      <xdr:rowOff>9525</xdr:rowOff>
    </xdr:from>
    <xdr:to>
      <xdr:col>67</xdr:col>
      <xdr:colOff>66675</xdr:colOff>
      <xdr:row>20</xdr:row>
      <xdr:rowOff>47625</xdr:rowOff>
    </xdr:to>
    <xdr:sp macro="" textlink="">
      <xdr:nvSpPr>
        <xdr:cNvPr id="2" name="吹き出し: 角を丸めた四角形 1">
          <a:extLst>
            <a:ext uri="{FF2B5EF4-FFF2-40B4-BE49-F238E27FC236}">
              <a16:creationId xmlns:a16="http://schemas.microsoft.com/office/drawing/2014/main" id="{1783A447-AEA8-F751-5673-7D526E30321B}"/>
            </a:ext>
          </a:extLst>
        </xdr:cNvPr>
        <xdr:cNvSpPr/>
      </xdr:nvSpPr>
      <xdr:spPr bwMode="auto">
        <a:xfrm>
          <a:off x="7077075" y="2295525"/>
          <a:ext cx="2552700" cy="1562100"/>
        </a:xfrm>
        <a:prstGeom prst="wedgeRoundRectCallout">
          <a:avLst>
            <a:gd name="adj1" fmla="val -95272"/>
            <a:gd name="adj2" fmla="val 29167"/>
            <a:gd name="adj3" fmla="val 16667"/>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solidFill>
                <a:schemeClr val="bg1"/>
              </a:solidFill>
            </a:rPr>
            <a:t>11/16</a:t>
          </a:r>
          <a:r>
            <a:rPr kumimoji="1" lang="ja-JP" altLang="en-US" sz="1100">
              <a:solidFill>
                <a:schemeClr val="bg1"/>
              </a:solidFill>
            </a:rPr>
            <a:t>　打合せにて</a:t>
          </a:r>
          <a:endParaRPr kumimoji="1" lang="en-US" altLang="ja-JP" sz="1100">
            <a:solidFill>
              <a:schemeClr val="bg1"/>
            </a:solidFill>
          </a:endParaRPr>
        </a:p>
        <a:p>
          <a:pPr algn="l"/>
          <a:r>
            <a:rPr kumimoji="1" lang="ja-JP" altLang="en-US" sz="1100">
              <a:solidFill>
                <a:schemeClr val="bg1"/>
              </a:solidFill>
            </a:rPr>
            <a:t>・</a:t>
          </a:r>
          <a:r>
            <a:rPr kumimoji="1" lang="en-US" altLang="ja-JP" sz="1100">
              <a:solidFill>
                <a:schemeClr val="bg1"/>
              </a:solidFill>
            </a:rPr>
            <a:t>AP</a:t>
          </a:r>
          <a:r>
            <a:rPr kumimoji="1" lang="ja-JP" altLang="en-US" sz="1100">
              <a:solidFill>
                <a:schemeClr val="bg1"/>
              </a:solidFill>
            </a:rPr>
            <a:t>サーバの見直しが必要</a:t>
          </a:r>
          <a:endParaRPr kumimoji="1" lang="en-US" altLang="ja-JP" sz="1100">
            <a:solidFill>
              <a:schemeClr val="bg1"/>
            </a:solidFill>
          </a:endParaRPr>
        </a:p>
        <a:p>
          <a:pPr algn="l"/>
          <a:r>
            <a:rPr kumimoji="1" lang="ja-JP" altLang="en-US" sz="1100">
              <a:solidFill>
                <a:schemeClr val="bg1"/>
              </a:solidFill>
            </a:rPr>
            <a:t>・テストサーバの記載を追加する</a:t>
          </a:r>
          <a:endParaRPr kumimoji="1" lang="en-US" altLang="ja-JP" sz="1100">
            <a:solidFill>
              <a:schemeClr val="bg1"/>
            </a:solidFill>
          </a:endParaRPr>
        </a:p>
        <a:p>
          <a:pPr algn="l"/>
          <a:r>
            <a:rPr kumimoji="1" lang="ja-JP" altLang="en-US" sz="1100">
              <a:solidFill>
                <a:schemeClr val="bg1"/>
              </a:solidFill>
            </a:rPr>
            <a:t>・</a:t>
          </a:r>
          <a:r>
            <a:rPr kumimoji="1" lang="en-US" altLang="ja-JP" sz="1100">
              <a:solidFill>
                <a:schemeClr val="bg1"/>
              </a:solidFill>
            </a:rPr>
            <a:t>AmazonT3</a:t>
          </a:r>
          <a:r>
            <a:rPr kumimoji="1" lang="ja-JP" altLang="en-US" sz="1100">
              <a:solidFill>
                <a:schemeClr val="bg1"/>
              </a:solidFill>
            </a:rPr>
            <a:t>には</a:t>
          </a:r>
          <a:r>
            <a:rPr kumimoji="1" lang="en-US" altLang="ja-JP" sz="1100">
              <a:solidFill>
                <a:schemeClr val="bg1"/>
              </a:solidFill>
            </a:rPr>
            <a:t>4</a:t>
          </a:r>
          <a:r>
            <a:rPr kumimoji="1" lang="ja-JP" altLang="en-US" sz="1100">
              <a:solidFill>
                <a:schemeClr val="bg1"/>
              </a:solidFill>
            </a:rPr>
            <a:t>コア</a:t>
          </a:r>
          <a:r>
            <a:rPr kumimoji="1" lang="en-US" altLang="ja-JP" sz="1100">
              <a:solidFill>
                <a:schemeClr val="bg1"/>
              </a:solidFill>
            </a:rPr>
            <a:t>×16GB</a:t>
          </a:r>
          <a:r>
            <a:rPr kumimoji="1" lang="ja-JP" altLang="en-US" sz="1100">
              <a:solidFill>
                <a:schemeClr val="bg1"/>
              </a:solidFill>
            </a:rPr>
            <a:t>か</a:t>
          </a:r>
          <a:endParaRPr kumimoji="1" lang="en-US" altLang="ja-JP" sz="1100">
            <a:solidFill>
              <a:schemeClr val="bg1"/>
            </a:solidFill>
          </a:endParaRPr>
        </a:p>
        <a:p>
          <a:pPr algn="l"/>
          <a:r>
            <a:rPr kumimoji="1" lang="ja-JP" altLang="en-US" sz="1100">
              <a:solidFill>
                <a:schemeClr val="bg1"/>
              </a:solidFill>
            </a:rPr>
            <a:t>　</a:t>
          </a:r>
          <a:r>
            <a:rPr kumimoji="1" lang="en-US" altLang="ja-JP" sz="1100">
              <a:solidFill>
                <a:schemeClr val="bg1"/>
              </a:solidFill>
            </a:rPr>
            <a:t>8</a:t>
          </a:r>
          <a:r>
            <a:rPr kumimoji="1" lang="ja-JP" altLang="en-US" sz="1100">
              <a:solidFill>
                <a:schemeClr val="bg1"/>
              </a:solidFill>
            </a:rPr>
            <a:t>コア</a:t>
          </a:r>
          <a:r>
            <a:rPr kumimoji="1" lang="en-US" altLang="ja-JP" sz="1100">
              <a:solidFill>
                <a:schemeClr val="bg1"/>
              </a:solidFill>
            </a:rPr>
            <a:t>×32GB</a:t>
          </a:r>
          <a:r>
            <a:rPr kumimoji="1" lang="ja-JP" altLang="en-US" sz="1100">
              <a:solidFill>
                <a:schemeClr val="bg1"/>
              </a:solidFill>
            </a:rPr>
            <a:t>の組み合わせしかない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78</xdr:col>
      <xdr:colOff>123262</xdr:colOff>
      <xdr:row>26</xdr:row>
      <xdr:rowOff>145675</xdr:rowOff>
    </xdr:from>
    <xdr:to>
      <xdr:col>80</xdr:col>
      <xdr:colOff>112056</xdr:colOff>
      <xdr:row>27</xdr:row>
      <xdr:rowOff>179293</xdr:rowOff>
    </xdr:to>
    <xdr:sp macro="" textlink="">
      <xdr:nvSpPr>
        <xdr:cNvPr id="3" name="二等辺三角形 2">
          <a:extLst>
            <a:ext uri="{FF2B5EF4-FFF2-40B4-BE49-F238E27FC236}">
              <a16:creationId xmlns:a16="http://schemas.microsoft.com/office/drawing/2014/main" id="{09FAE010-E295-80C9-748E-D2A04EE41C5F}"/>
            </a:ext>
          </a:extLst>
        </xdr:cNvPr>
        <xdr:cNvSpPr/>
      </xdr:nvSpPr>
      <xdr:spPr bwMode="auto">
        <a:xfrm flipV="1">
          <a:off x="11486027" y="5670175"/>
          <a:ext cx="280147" cy="224118"/>
        </a:xfrm>
        <a:prstGeom prst="triangle">
          <a:avLst>
            <a:gd name="adj" fmla="val 48853"/>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0</xdr:colOff>
      <xdr:row>26</xdr:row>
      <xdr:rowOff>112059</xdr:rowOff>
    </xdr:from>
    <xdr:to>
      <xdr:col>71</xdr:col>
      <xdr:colOff>134471</xdr:colOff>
      <xdr:row>27</xdr:row>
      <xdr:rowOff>145677</xdr:rowOff>
    </xdr:to>
    <xdr:sp macro="" textlink="">
      <xdr:nvSpPr>
        <xdr:cNvPr id="4" name="二等辺三角形 3">
          <a:extLst>
            <a:ext uri="{FF2B5EF4-FFF2-40B4-BE49-F238E27FC236}">
              <a16:creationId xmlns:a16="http://schemas.microsoft.com/office/drawing/2014/main" id="{81B05135-9B82-492E-9B53-96B2FDAB3972}"/>
            </a:ext>
          </a:extLst>
        </xdr:cNvPr>
        <xdr:cNvSpPr/>
      </xdr:nvSpPr>
      <xdr:spPr bwMode="auto">
        <a:xfrm flipV="1">
          <a:off x="10197353" y="5446059"/>
          <a:ext cx="280147" cy="224118"/>
        </a:xfrm>
        <a:prstGeom prst="triangle">
          <a:avLst>
            <a:gd name="adj" fmla="val 48853"/>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80125</xdr:colOff>
      <xdr:row>21</xdr:row>
      <xdr:rowOff>189379</xdr:rowOff>
    </xdr:from>
    <xdr:to>
      <xdr:col>47</xdr:col>
      <xdr:colOff>24095</xdr:colOff>
      <xdr:row>41</xdr:row>
      <xdr:rowOff>54908</xdr:rowOff>
    </xdr:to>
    <xdr:sp macro="" textlink="">
      <xdr:nvSpPr>
        <xdr:cNvPr id="21" name="Rectangle 74">
          <a:extLst>
            <a:ext uri="{FF2B5EF4-FFF2-40B4-BE49-F238E27FC236}">
              <a16:creationId xmlns:a16="http://schemas.microsoft.com/office/drawing/2014/main" id="{EE48E835-ECA0-4D1A-B15E-5FEBE582C524}"/>
            </a:ext>
          </a:extLst>
        </xdr:cNvPr>
        <xdr:cNvSpPr>
          <a:spLocks noChangeArrowheads="1"/>
        </xdr:cNvSpPr>
      </xdr:nvSpPr>
      <xdr:spPr bwMode="auto">
        <a:xfrm>
          <a:off x="1508875" y="4189879"/>
          <a:ext cx="5230345" cy="3675529"/>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l" rtl="0">
            <a:defRPr sz="1000"/>
          </a:pPr>
          <a:r>
            <a:rPr lang="en-US" altLang="ja-JP" sz="900" b="0" i="0" u="none" strike="noStrike" baseline="0">
              <a:solidFill>
                <a:srgbClr val="000000"/>
              </a:solidFill>
              <a:latin typeface="ＭＳ 明朝" pitchFamily="17" charset="-128"/>
              <a:ea typeface="ＭＳ 明朝" pitchFamily="17" charset="-128"/>
            </a:rPr>
            <a:t>AWS</a:t>
          </a:r>
          <a:endParaRPr lang="ja-JP" altLang="en-US"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44</xdr:col>
      <xdr:colOff>126759</xdr:colOff>
      <xdr:row>12</xdr:row>
      <xdr:rowOff>1</xdr:rowOff>
    </xdr:from>
    <xdr:to>
      <xdr:col>57</xdr:col>
      <xdr:colOff>126759</xdr:colOff>
      <xdr:row>20</xdr:row>
      <xdr:rowOff>180975</xdr:rowOff>
    </xdr:to>
    <xdr:sp macro="" textlink="">
      <xdr:nvSpPr>
        <xdr:cNvPr id="2122" name="Rectangle 74">
          <a:extLst>
            <a:ext uri="{FF2B5EF4-FFF2-40B4-BE49-F238E27FC236}">
              <a16:creationId xmlns:a16="http://schemas.microsoft.com/office/drawing/2014/main" id="{00000000-0008-0000-0600-00004A080000}"/>
            </a:ext>
          </a:extLst>
        </xdr:cNvPr>
        <xdr:cNvSpPr>
          <a:spLocks noChangeArrowheads="1"/>
        </xdr:cNvSpPr>
      </xdr:nvSpPr>
      <xdr:spPr bwMode="auto">
        <a:xfrm>
          <a:off x="6574451" y="2286001"/>
          <a:ext cx="1905000" cy="1704974"/>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pitchFamily="17" charset="-128"/>
              <a:ea typeface="ＭＳ 明朝" pitchFamily="17" charset="-128"/>
            </a:rPr>
            <a:t>同志社大学</a:t>
          </a:r>
        </a:p>
      </xdr:txBody>
    </xdr:sp>
    <xdr:clientData/>
  </xdr:twoCellAnchor>
  <xdr:twoCellAnchor>
    <xdr:from>
      <xdr:col>1</xdr:col>
      <xdr:colOff>0</xdr:colOff>
      <xdr:row>12</xdr:row>
      <xdr:rowOff>0</xdr:rowOff>
    </xdr:from>
    <xdr:to>
      <xdr:col>14</xdr:col>
      <xdr:colOff>0</xdr:colOff>
      <xdr:row>21</xdr:row>
      <xdr:rowOff>0</xdr:rowOff>
    </xdr:to>
    <xdr:sp macro="" textlink="">
      <xdr:nvSpPr>
        <xdr:cNvPr id="351" name="Rectangle 74">
          <a:extLst>
            <a:ext uri="{FF2B5EF4-FFF2-40B4-BE49-F238E27FC236}">
              <a16:creationId xmlns:a16="http://schemas.microsoft.com/office/drawing/2014/main" id="{00000000-0008-0000-0600-00005F010000}"/>
            </a:ext>
          </a:extLst>
        </xdr:cNvPr>
        <xdr:cNvSpPr>
          <a:spLocks noChangeArrowheads="1"/>
        </xdr:cNvSpPr>
      </xdr:nvSpPr>
      <xdr:spPr bwMode="auto">
        <a:xfrm>
          <a:off x="139700" y="2095500"/>
          <a:ext cx="1816100" cy="1714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pitchFamily="17" charset="-128"/>
              <a:ea typeface="ＭＳ 明朝" pitchFamily="17" charset="-128"/>
            </a:rPr>
            <a:t>自宅等</a:t>
          </a:r>
        </a:p>
      </xdr:txBody>
    </xdr:sp>
    <xdr:clientData/>
  </xdr:twoCellAnchor>
  <xdr:twoCellAnchor>
    <xdr:from>
      <xdr:col>13</xdr:col>
      <xdr:colOff>0</xdr:colOff>
      <xdr:row>16</xdr:row>
      <xdr:rowOff>87923</xdr:rowOff>
    </xdr:from>
    <xdr:to>
      <xdr:col>18</xdr:col>
      <xdr:colOff>90854</xdr:colOff>
      <xdr:row>16</xdr:row>
      <xdr:rowOff>95250</xdr:rowOff>
    </xdr:to>
    <xdr:cxnSp macro="">
      <xdr:nvCxnSpPr>
        <xdr:cNvPr id="2146" name="AutoShape 98">
          <a:extLst>
            <a:ext uri="{FF2B5EF4-FFF2-40B4-BE49-F238E27FC236}">
              <a16:creationId xmlns:a16="http://schemas.microsoft.com/office/drawing/2014/main" id="{00000000-0008-0000-0600-000062080000}"/>
            </a:ext>
          </a:extLst>
        </xdr:cNvPr>
        <xdr:cNvCxnSpPr>
          <a:cxnSpLocks noChangeShapeType="1"/>
          <a:stCxn id="345" idx="3"/>
          <a:endCxn id="51" idx="1"/>
        </xdr:cNvCxnSpPr>
      </xdr:nvCxnSpPr>
      <xdr:spPr bwMode="auto">
        <a:xfrm flipV="1">
          <a:off x="1905000" y="3135923"/>
          <a:ext cx="823546" cy="7327"/>
        </a:xfrm>
        <a:prstGeom prst="straightConnector1">
          <a:avLst/>
        </a:prstGeom>
        <a:noFill/>
        <a:ln w="19050">
          <a:solidFill>
            <a:srgbClr val="000000"/>
          </a:solidFill>
          <a:round/>
          <a:headEnd/>
          <a:tailEnd/>
        </a:ln>
      </xdr:spPr>
    </xdr:cxnSp>
    <xdr:clientData/>
  </xdr:twoCellAnchor>
  <xdr:twoCellAnchor>
    <xdr:from>
      <xdr:col>45</xdr:col>
      <xdr:colOff>126758</xdr:colOff>
      <xdr:row>13</xdr:row>
      <xdr:rowOff>0</xdr:rowOff>
    </xdr:from>
    <xdr:to>
      <xdr:col>56</xdr:col>
      <xdr:colOff>126758</xdr:colOff>
      <xdr:row>20</xdr:row>
      <xdr:rowOff>0</xdr:rowOff>
    </xdr:to>
    <xdr:sp macro="" textlink="">
      <xdr:nvSpPr>
        <xdr:cNvPr id="273" name="Rectangle 113">
          <a:extLst>
            <a:ext uri="{FF2B5EF4-FFF2-40B4-BE49-F238E27FC236}">
              <a16:creationId xmlns:a16="http://schemas.microsoft.com/office/drawing/2014/main" id="{00000000-0008-0000-0600-000011010000}"/>
            </a:ext>
          </a:extLst>
        </xdr:cNvPr>
        <xdr:cNvSpPr>
          <a:spLocks noChangeArrowheads="1"/>
        </xdr:cNvSpPr>
      </xdr:nvSpPr>
      <xdr:spPr bwMode="auto">
        <a:xfrm>
          <a:off x="6720989" y="2476500"/>
          <a:ext cx="1611923" cy="1333500"/>
        </a:xfrm>
        <a:prstGeom prst="rect">
          <a:avLst/>
        </a:prstGeom>
        <a:solidFill>
          <a:srgbClr val="FFFFFF"/>
        </a:solidFill>
        <a:ln w="9525">
          <a:solidFill>
            <a:srgbClr val="000000"/>
          </a:solidFill>
          <a:prstDash val="dash"/>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pitchFamily="17" charset="-128"/>
              <a:ea typeface="ＭＳ 明朝" pitchFamily="17" charset="-128"/>
            </a:rPr>
            <a:t>各学部</a:t>
          </a:r>
          <a:r>
            <a:rPr lang="en-US" altLang="ja-JP" sz="900" b="0" i="0" u="none" strike="noStrike" baseline="0">
              <a:solidFill>
                <a:srgbClr val="000000"/>
              </a:solidFill>
              <a:latin typeface="ＭＳ 明朝" pitchFamily="17" charset="-128"/>
              <a:ea typeface="ＭＳ 明朝" pitchFamily="17" charset="-128"/>
            </a:rPr>
            <a:t>/</a:t>
          </a:r>
          <a:r>
            <a:rPr lang="ja-JP" altLang="en-US" sz="900" b="0" i="0" u="none" strike="noStrike" baseline="0">
              <a:solidFill>
                <a:srgbClr val="000000"/>
              </a:solidFill>
              <a:latin typeface="ＭＳ 明朝" pitchFamily="17" charset="-128"/>
              <a:ea typeface="ＭＳ 明朝" pitchFamily="17" charset="-128"/>
            </a:rPr>
            <a:t>給与厚生課</a:t>
          </a:r>
          <a:r>
            <a:rPr lang="en-US" altLang="ja-JP" sz="900" b="0" i="0" u="none" strike="noStrike" baseline="0">
              <a:solidFill>
                <a:srgbClr val="000000"/>
              </a:solidFill>
              <a:latin typeface="ＭＳ 明朝" pitchFamily="17" charset="-128"/>
              <a:ea typeface="ＭＳ 明朝" pitchFamily="17" charset="-128"/>
            </a:rPr>
            <a:t>/</a:t>
          </a:r>
        </a:p>
        <a:p>
          <a:pPr algn="ctr" rtl="0">
            <a:defRPr sz="1000"/>
          </a:pPr>
          <a:r>
            <a:rPr lang="ja-JP" altLang="en-US" sz="900" b="0" i="0" u="none" strike="noStrike" baseline="0">
              <a:solidFill>
                <a:srgbClr val="000000"/>
              </a:solidFill>
              <a:latin typeface="ＭＳ 明朝" pitchFamily="17" charset="-128"/>
              <a:ea typeface="ＭＳ 明朝" pitchFamily="17" charset="-128"/>
            </a:rPr>
            <a:t>ローカルユーザ</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2</xdr:col>
      <xdr:colOff>0</xdr:colOff>
      <xdr:row>13</xdr:row>
      <xdr:rowOff>0</xdr:rowOff>
    </xdr:from>
    <xdr:to>
      <xdr:col>13</xdr:col>
      <xdr:colOff>0</xdr:colOff>
      <xdr:row>20</xdr:row>
      <xdr:rowOff>0</xdr:rowOff>
    </xdr:to>
    <xdr:sp macro="" textlink="">
      <xdr:nvSpPr>
        <xdr:cNvPr id="345" name="Rectangle 113">
          <a:extLst>
            <a:ext uri="{FF2B5EF4-FFF2-40B4-BE49-F238E27FC236}">
              <a16:creationId xmlns:a16="http://schemas.microsoft.com/office/drawing/2014/main" id="{00000000-0008-0000-0600-000059010000}"/>
            </a:ext>
          </a:extLst>
        </xdr:cNvPr>
        <xdr:cNvSpPr>
          <a:spLocks noChangeArrowheads="1"/>
        </xdr:cNvSpPr>
      </xdr:nvSpPr>
      <xdr:spPr bwMode="auto">
        <a:xfrm>
          <a:off x="279400" y="2286000"/>
          <a:ext cx="1536700" cy="1333500"/>
        </a:xfrm>
        <a:prstGeom prst="rect">
          <a:avLst/>
        </a:prstGeom>
        <a:solidFill>
          <a:srgbClr val="FFFFFF"/>
        </a:solidFill>
        <a:ln w="9525">
          <a:solidFill>
            <a:srgbClr val="000000"/>
          </a:solidFill>
          <a:prstDash val="dash"/>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pitchFamily="17" charset="-128"/>
              <a:ea typeface="ＭＳ 明朝" pitchFamily="17" charset="-128"/>
            </a:rPr>
            <a:t>学生</a:t>
          </a:r>
          <a:r>
            <a:rPr lang="en-US" altLang="ja-JP" sz="900" b="0" i="0" u="none" strike="noStrike" baseline="0">
              <a:solidFill>
                <a:srgbClr val="000000"/>
              </a:solidFill>
              <a:latin typeface="ＭＳ 明朝" pitchFamily="17" charset="-128"/>
              <a:ea typeface="ＭＳ 明朝" pitchFamily="17" charset="-128"/>
            </a:rPr>
            <a:t>/</a:t>
          </a:r>
          <a:r>
            <a:rPr lang="ja-JP" altLang="en-US" sz="900" b="0" i="0" u="none" strike="noStrike" baseline="0">
              <a:solidFill>
                <a:srgbClr val="000000"/>
              </a:solidFill>
              <a:latin typeface="ＭＳ 明朝" pitchFamily="17" charset="-128"/>
              <a:ea typeface="ＭＳ 明朝" pitchFamily="17" charset="-128"/>
            </a:rPr>
            <a:t>教員</a:t>
          </a:r>
        </a:p>
      </xdr:txBody>
    </xdr:sp>
    <xdr:clientData/>
  </xdr:twoCellAnchor>
  <xdr:twoCellAnchor>
    <xdr:from>
      <xdr:col>2</xdr:col>
      <xdr:colOff>134471</xdr:colOff>
      <xdr:row>17</xdr:row>
      <xdr:rowOff>179294</xdr:rowOff>
    </xdr:from>
    <xdr:to>
      <xdr:col>12</xdr:col>
      <xdr:colOff>22411</xdr:colOff>
      <xdr:row>19</xdr:row>
      <xdr:rowOff>156882</xdr:rowOff>
    </xdr:to>
    <xdr:sp macro="" textlink="">
      <xdr:nvSpPr>
        <xdr:cNvPr id="350" name="Text Box 40">
          <a:extLst>
            <a:ext uri="{FF2B5EF4-FFF2-40B4-BE49-F238E27FC236}">
              <a16:creationId xmlns:a16="http://schemas.microsoft.com/office/drawing/2014/main" id="{00000000-0008-0000-0600-00005E010000}"/>
            </a:ext>
          </a:extLst>
        </xdr:cNvPr>
        <xdr:cNvSpPr txBox="1">
          <a:spLocks noChangeArrowheads="1"/>
        </xdr:cNvSpPr>
      </xdr:nvSpPr>
      <xdr:spPr bwMode="auto">
        <a:xfrm>
          <a:off x="425824" y="3417794"/>
          <a:ext cx="1344705" cy="358588"/>
        </a:xfrm>
        <a:prstGeom prst="rect">
          <a:avLst/>
        </a:prstGeom>
        <a:noFill/>
        <a:ln w="9525">
          <a:solidFill>
            <a:sysClr val="windowText" lastClr="000000"/>
          </a:solid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pitchFamily="17" charset="-128"/>
              <a:ea typeface="ＭＳ 明朝" pitchFamily="17" charset="-128"/>
            </a:rPr>
            <a:t>個人</a:t>
          </a:r>
          <a:r>
            <a:rPr lang="en-US" altLang="ja-JP" sz="900" b="0" i="0" u="none" strike="noStrike" baseline="0">
              <a:solidFill>
                <a:srgbClr val="000000"/>
              </a:solidFill>
              <a:latin typeface="ＭＳ 明朝" pitchFamily="17" charset="-128"/>
              <a:ea typeface="ＭＳ 明朝" pitchFamily="17" charset="-128"/>
            </a:rPr>
            <a:t>PC/</a:t>
          </a:r>
          <a:r>
            <a:rPr lang="ja-JP" altLang="en-US" sz="900" b="0" i="0" u="none" strike="noStrike" baseline="0">
              <a:solidFill>
                <a:srgbClr val="000000"/>
              </a:solidFill>
              <a:latin typeface="ＭＳ 明朝" pitchFamily="17" charset="-128"/>
              <a:ea typeface="ＭＳ 明朝" pitchFamily="17" charset="-128"/>
            </a:rPr>
            <a:t>スマートフォン</a:t>
          </a:r>
          <a:r>
            <a:rPr lang="en-US" altLang="ja-JP" sz="900" b="0" i="0" u="none" strike="noStrike" baseline="0">
              <a:solidFill>
                <a:srgbClr val="000000"/>
              </a:solidFill>
              <a:latin typeface="ＭＳ 明朝" pitchFamily="17" charset="-128"/>
              <a:ea typeface="ＭＳ 明朝" pitchFamily="17" charset="-128"/>
            </a:rPr>
            <a:t>/</a:t>
          </a:r>
          <a:r>
            <a:rPr lang="ja-JP" altLang="en-US" sz="900" b="0" i="0" u="none" strike="noStrike" baseline="0">
              <a:solidFill>
                <a:srgbClr val="000000"/>
              </a:solidFill>
              <a:latin typeface="ＭＳ 明朝" pitchFamily="17" charset="-128"/>
              <a:ea typeface="ＭＳ 明朝" pitchFamily="17" charset="-128"/>
            </a:rPr>
            <a:t>タブレット</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20</xdr:col>
      <xdr:colOff>100848</xdr:colOff>
      <xdr:row>18</xdr:row>
      <xdr:rowOff>11723</xdr:rowOff>
    </xdr:from>
    <xdr:to>
      <xdr:col>20</xdr:col>
      <xdr:colOff>109904</xdr:colOff>
      <xdr:row>24</xdr:row>
      <xdr:rowOff>22413</xdr:rowOff>
    </xdr:to>
    <xdr:cxnSp macro="">
      <xdr:nvCxnSpPr>
        <xdr:cNvPr id="376" name="AutoShape 50">
          <a:extLst>
            <a:ext uri="{FF2B5EF4-FFF2-40B4-BE49-F238E27FC236}">
              <a16:creationId xmlns:a16="http://schemas.microsoft.com/office/drawing/2014/main" id="{00000000-0008-0000-0600-000078010000}"/>
            </a:ext>
          </a:extLst>
        </xdr:cNvPr>
        <xdr:cNvCxnSpPr>
          <a:cxnSpLocks noChangeShapeType="1"/>
          <a:stCxn id="22" idx="0"/>
          <a:endCxn id="51" idx="2"/>
        </xdr:cNvCxnSpPr>
      </xdr:nvCxnSpPr>
      <xdr:spPr bwMode="auto">
        <a:xfrm flipV="1">
          <a:off x="3031617" y="3440723"/>
          <a:ext cx="9056" cy="1153690"/>
        </a:xfrm>
        <a:prstGeom prst="straightConnector1">
          <a:avLst/>
        </a:prstGeom>
        <a:noFill/>
        <a:ln w="9525">
          <a:solidFill>
            <a:srgbClr val="000000"/>
          </a:solidFill>
          <a:round/>
          <a:headEnd/>
          <a:tailEnd/>
        </a:ln>
      </xdr:spPr>
    </xdr:cxnSp>
    <xdr:clientData/>
  </xdr:twoCellAnchor>
  <xdr:twoCellAnchor>
    <xdr:from>
      <xdr:col>3</xdr:col>
      <xdr:colOff>0</xdr:colOff>
      <xdr:row>45</xdr:row>
      <xdr:rowOff>0</xdr:rowOff>
    </xdr:from>
    <xdr:to>
      <xdr:col>7</xdr:col>
      <xdr:colOff>0</xdr:colOff>
      <xdr:row>46</xdr:row>
      <xdr:rowOff>0</xdr:rowOff>
    </xdr:to>
    <xdr:sp macro="" textlink="">
      <xdr:nvSpPr>
        <xdr:cNvPr id="429" name="Rectangle 535">
          <a:extLst>
            <a:ext uri="{FF2B5EF4-FFF2-40B4-BE49-F238E27FC236}">
              <a16:creationId xmlns:a16="http://schemas.microsoft.com/office/drawing/2014/main" id="{00000000-0008-0000-0600-0000AD010000}"/>
            </a:ext>
          </a:extLst>
        </xdr:cNvPr>
        <xdr:cNvSpPr>
          <a:spLocks noChangeArrowheads="1"/>
        </xdr:cNvSpPr>
      </xdr:nvSpPr>
      <xdr:spPr bwMode="auto">
        <a:xfrm>
          <a:off x="419100" y="8572500"/>
          <a:ext cx="558800" cy="190500"/>
        </a:xfrm>
        <a:prstGeom prst="rect">
          <a:avLst/>
        </a:prstGeom>
        <a:solidFill>
          <a:schemeClr val="accent5">
            <a:lumMod val="40000"/>
            <a:lumOff val="60000"/>
          </a:schemeClr>
        </a:solidFill>
        <a:ln w="9525">
          <a:solidFill>
            <a:srgbClr val="000000"/>
          </a:solidFill>
          <a:prstDash val="sysDash"/>
          <a:miter lim="800000"/>
          <a:headEnd/>
          <a:tailEnd/>
        </a:ln>
      </xdr:spPr>
      <xdr:txBody>
        <a:bodyPr vertOverflow="clip" wrap="square" lIns="27432" tIns="18288" rIns="27432" bIns="0" anchor="t" upright="1"/>
        <a:lstStyle/>
        <a:p>
          <a:pPr marL="0" indent="0" algn="ctr" rtl="0">
            <a:defRPr sz="1000"/>
          </a:pPr>
          <a:endParaRPr lang="ja-JP" altLang="en-US" sz="900" b="0" i="0" u="none" strike="noStrike" baseline="0">
            <a:solidFill>
              <a:srgbClr val="000000"/>
            </a:solidFill>
            <a:latin typeface="ＭＳ 明朝" pitchFamily="17" charset="-128"/>
            <a:ea typeface="ＭＳ 明朝" pitchFamily="17" charset="-128"/>
            <a:cs typeface="+mn-cs"/>
          </a:endParaRPr>
        </a:p>
      </xdr:txBody>
    </xdr:sp>
    <xdr:clientData/>
  </xdr:twoCellAnchor>
  <xdr:twoCellAnchor>
    <xdr:from>
      <xdr:col>14</xdr:col>
      <xdr:colOff>0</xdr:colOff>
      <xdr:row>45</xdr:row>
      <xdr:rowOff>0</xdr:rowOff>
    </xdr:from>
    <xdr:to>
      <xdr:col>18</xdr:col>
      <xdr:colOff>0</xdr:colOff>
      <xdr:row>46</xdr:row>
      <xdr:rowOff>0</xdr:rowOff>
    </xdr:to>
    <xdr:sp macro="" textlink="">
      <xdr:nvSpPr>
        <xdr:cNvPr id="430" name="Rectangle 535">
          <a:extLst>
            <a:ext uri="{FF2B5EF4-FFF2-40B4-BE49-F238E27FC236}">
              <a16:creationId xmlns:a16="http://schemas.microsoft.com/office/drawing/2014/main" id="{00000000-0008-0000-0600-0000AE010000}"/>
            </a:ext>
          </a:extLst>
        </xdr:cNvPr>
        <xdr:cNvSpPr>
          <a:spLocks noChangeArrowheads="1"/>
        </xdr:cNvSpPr>
      </xdr:nvSpPr>
      <xdr:spPr bwMode="auto">
        <a:xfrm>
          <a:off x="1955800" y="8572500"/>
          <a:ext cx="558800" cy="190500"/>
        </a:xfrm>
        <a:prstGeom prst="rect">
          <a:avLst/>
        </a:prstGeom>
        <a:solidFill>
          <a:srgbClr val="FFFF00"/>
        </a:solidFill>
        <a:ln w="9525">
          <a:solidFill>
            <a:srgbClr val="000000"/>
          </a:solidFill>
          <a:prstDash val="sysDash"/>
          <a:miter lim="800000"/>
          <a:headEnd/>
          <a:tailEnd/>
        </a:ln>
      </xdr:spPr>
      <xdr:txBody>
        <a:bodyPr vertOverflow="clip" wrap="square" lIns="27432" tIns="18288" rIns="27432" bIns="0" anchor="t" upright="1"/>
        <a:lstStyle/>
        <a:p>
          <a:pPr marL="0" indent="0" algn="ctr" rtl="0">
            <a:defRPr sz="1000"/>
          </a:pPr>
          <a:endParaRPr lang="ja-JP" altLang="en-US" sz="900" b="0" i="0" u="none" strike="noStrike" baseline="0">
            <a:solidFill>
              <a:srgbClr val="000000"/>
            </a:solidFill>
            <a:latin typeface="ＭＳ 明朝" pitchFamily="17" charset="-128"/>
            <a:ea typeface="ＭＳ 明朝" pitchFamily="17" charset="-128"/>
            <a:cs typeface="+mn-cs"/>
          </a:endParaRPr>
        </a:p>
      </xdr:txBody>
    </xdr:sp>
    <xdr:clientData/>
  </xdr:twoCellAnchor>
  <xdr:twoCellAnchor>
    <xdr:from>
      <xdr:col>14</xdr:col>
      <xdr:colOff>100847</xdr:colOff>
      <xdr:row>24</xdr:row>
      <xdr:rowOff>22413</xdr:rowOff>
    </xdr:from>
    <xdr:to>
      <xdr:col>26</xdr:col>
      <xdr:colOff>100848</xdr:colOff>
      <xdr:row>37</xdr:row>
      <xdr:rowOff>123825</xdr:rowOff>
    </xdr:to>
    <xdr:sp macro="" textlink="">
      <xdr:nvSpPr>
        <xdr:cNvPr id="22" name="Rectangle 113">
          <a:extLst>
            <a:ext uri="{FF2B5EF4-FFF2-40B4-BE49-F238E27FC236}">
              <a16:creationId xmlns:a16="http://schemas.microsoft.com/office/drawing/2014/main" id="{10160971-F910-4358-B3C4-4A5DE9CEEBA4}"/>
            </a:ext>
          </a:extLst>
        </xdr:cNvPr>
        <xdr:cNvSpPr>
          <a:spLocks noChangeArrowheads="1"/>
        </xdr:cNvSpPr>
      </xdr:nvSpPr>
      <xdr:spPr bwMode="auto">
        <a:xfrm>
          <a:off x="2140318" y="4594413"/>
          <a:ext cx="1748118" cy="2577912"/>
        </a:xfrm>
        <a:prstGeom prst="rect">
          <a:avLst/>
        </a:prstGeom>
        <a:solidFill>
          <a:srgbClr val="FFFFFF"/>
        </a:solidFill>
        <a:ln w="9525">
          <a:solidFill>
            <a:srgbClr val="000000"/>
          </a:solidFill>
          <a:prstDash val="dash"/>
          <a:miter lim="800000"/>
          <a:headEnd/>
          <a:tailEnd/>
        </a:ln>
      </xdr:spPr>
      <xdr:txBody>
        <a:bodyPr vertOverflow="clip" wrap="square" lIns="27432" tIns="18288" rIns="27432" bIns="18288" anchor="t" upright="1"/>
        <a:lstStyle/>
        <a:p>
          <a:pPr marL="0" indent="0" algn="ctr" rtl="0">
            <a:defRPr sz="1000"/>
          </a:pPr>
          <a:r>
            <a:rPr lang="en-US" altLang="ja-JP" sz="900" b="0" i="0" u="none" strike="noStrike" baseline="0">
              <a:solidFill>
                <a:srgbClr val="000000"/>
              </a:solidFill>
              <a:latin typeface="ＭＳ 明朝" pitchFamily="17" charset="-128"/>
              <a:ea typeface="ＭＳ 明朝" pitchFamily="17" charset="-128"/>
              <a:cs typeface="+mn-cs"/>
            </a:rPr>
            <a:t>ALB</a:t>
          </a:r>
          <a:r>
            <a:rPr lang="ja-JP" altLang="en-US" sz="900" b="0" i="0" u="none" strike="noStrike" baseline="0">
              <a:solidFill>
                <a:srgbClr val="000000"/>
              </a:solidFill>
              <a:latin typeface="ＭＳ 明朝" pitchFamily="17" charset="-128"/>
              <a:ea typeface="ＭＳ 明朝" pitchFamily="17" charset="-128"/>
              <a:cs typeface="+mn-cs"/>
            </a:rPr>
            <a:t>（学外）</a:t>
          </a:r>
        </a:p>
      </xdr:txBody>
    </xdr:sp>
    <xdr:clientData/>
  </xdr:twoCellAnchor>
  <xdr:twoCellAnchor>
    <xdr:from>
      <xdr:col>16</xdr:col>
      <xdr:colOff>100847</xdr:colOff>
      <xdr:row>28</xdr:row>
      <xdr:rowOff>150157</xdr:rowOff>
    </xdr:from>
    <xdr:to>
      <xdr:col>24</xdr:col>
      <xdr:colOff>100848</xdr:colOff>
      <xdr:row>32</xdr:row>
      <xdr:rowOff>116539</xdr:rowOff>
    </xdr:to>
    <xdr:sp macro="" textlink="">
      <xdr:nvSpPr>
        <xdr:cNvPr id="24" name="Rectangle 535">
          <a:extLst>
            <a:ext uri="{FF2B5EF4-FFF2-40B4-BE49-F238E27FC236}">
              <a16:creationId xmlns:a16="http://schemas.microsoft.com/office/drawing/2014/main" id="{51D95DAB-9FBD-49FC-B4FE-73E2CDE6B401}"/>
            </a:ext>
          </a:extLst>
        </xdr:cNvPr>
        <xdr:cNvSpPr>
          <a:spLocks noChangeArrowheads="1"/>
        </xdr:cNvSpPr>
      </xdr:nvSpPr>
      <xdr:spPr bwMode="auto">
        <a:xfrm>
          <a:off x="2431671" y="5484157"/>
          <a:ext cx="1165412" cy="728382"/>
        </a:xfrm>
        <a:prstGeom prst="rect">
          <a:avLst/>
        </a:prstGeom>
        <a:solidFill>
          <a:schemeClr val="accent5">
            <a:lumMod val="40000"/>
            <a:lumOff val="60000"/>
          </a:schemeClr>
        </a:solidFill>
        <a:ln w="9525">
          <a:solidFill>
            <a:srgbClr val="000000"/>
          </a:solidFill>
          <a:prstDash val="sysDash"/>
          <a:miter lim="800000"/>
          <a:headEnd/>
          <a:tailEnd/>
        </a:ln>
      </xdr:spPr>
      <xdr:txBody>
        <a:bodyPr vertOverflow="clip" wrap="square" lIns="27432" tIns="18288" rIns="27432" bIns="0" anchor="t" upright="1"/>
        <a:lstStyle/>
        <a:p>
          <a:pPr marL="0" indent="0" algn="ctr" rtl="0">
            <a:defRPr sz="1000"/>
          </a:pPr>
          <a:r>
            <a:rPr lang="ja-JP" altLang="en-US" sz="900" b="0" i="0" u="none" strike="noStrike" baseline="0">
              <a:solidFill>
                <a:srgbClr val="000000"/>
              </a:solidFill>
              <a:latin typeface="ＭＳ 明朝" pitchFamily="17" charset="-128"/>
              <a:ea typeface="ＭＳ 明朝" pitchFamily="17" charset="-128"/>
              <a:cs typeface="+mn-cs"/>
            </a:rPr>
            <a:t>本番環境</a:t>
          </a:r>
        </a:p>
      </xdr:txBody>
    </xdr:sp>
    <xdr:clientData/>
  </xdr:twoCellAnchor>
  <xdr:twoCellAnchor>
    <xdr:from>
      <xdr:col>17</xdr:col>
      <xdr:colOff>100856</xdr:colOff>
      <xdr:row>29</xdr:row>
      <xdr:rowOff>150157</xdr:rowOff>
    </xdr:from>
    <xdr:to>
      <xdr:col>23</xdr:col>
      <xdr:colOff>100856</xdr:colOff>
      <xdr:row>31</xdr:row>
      <xdr:rowOff>150157</xdr:rowOff>
    </xdr:to>
    <xdr:sp macro="" textlink="">
      <xdr:nvSpPr>
        <xdr:cNvPr id="238" name="Text Box 317">
          <a:extLst>
            <a:ext uri="{FF2B5EF4-FFF2-40B4-BE49-F238E27FC236}">
              <a16:creationId xmlns:a16="http://schemas.microsoft.com/office/drawing/2014/main" id="{00000000-0008-0000-0600-0000EE000000}"/>
            </a:ext>
          </a:extLst>
        </xdr:cNvPr>
        <xdr:cNvSpPr txBox="1">
          <a:spLocks noChangeArrowheads="1"/>
        </xdr:cNvSpPr>
      </xdr:nvSpPr>
      <xdr:spPr bwMode="auto">
        <a:xfrm>
          <a:off x="2577356" y="5674657"/>
          <a:ext cx="874059" cy="381000"/>
        </a:xfrm>
        <a:prstGeom prst="rect">
          <a:avLst/>
        </a:prstGeom>
        <a:pattFill prst="ltDnDiag">
          <a:fgClr>
            <a:srgbClr val="C0C0C0"/>
          </a:fgClr>
          <a:bgClr>
            <a:srgbClr val="FFFFFF"/>
          </a:bgClr>
        </a:pattFill>
        <a:ln w="9525">
          <a:solidFill>
            <a:sysClr val="windowText" lastClr="000000"/>
          </a:solidFill>
          <a:miter lim="800000"/>
          <a:headEnd/>
          <a:tailEnd/>
        </a:ln>
      </xdr:spPr>
      <xdr:txBody>
        <a:bodyPr vertOverflow="clip" wrap="square" lIns="27432" tIns="18288" rIns="27432" bIns="0" anchor="ctr" upright="1"/>
        <a:lstStyle/>
        <a:p>
          <a:pPr marL="0" indent="0" algn="ctr" rtl="0">
            <a:defRPr sz="1000"/>
          </a:pPr>
          <a:r>
            <a:rPr lang="ja-JP" altLang="en-US" sz="900" b="0" i="0" u="none" strike="noStrike" baseline="0">
              <a:solidFill>
                <a:srgbClr val="000000"/>
              </a:solidFill>
              <a:latin typeface="ＭＳ 明朝" pitchFamily="17" charset="-128"/>
              <a:ea typeface="ＭＳ 明朝" pitchFamily="17" charset="-128"/>
              <a:cs typeface="+mn-cs"/>
            </a:rPr>
            <a:t>学外用</a:t>
          </a:r>
          <a:endParaRPr lang="en-US" altLang="ja-JP" sz="900" b="0" i="0" u="none" strike="noStrike" baseline="0">
            <a:solidFill>
              <a:srgbClr val="000000"/>
            </a:solidFill>
            <a:latin typeface="ＭＳ 明朝" pitchFamily="17" charset="-128"/>
            <a:ea typeface="ＭＳ 明朝" pitchFamily="17" charset="-128"/>
            <a:cs typeface="+mn-cs"/>
          </a:endParaRPr>
        </a:p>
        <a:p>
          <a:pPr marL="0" indent="0" algn="ctr" rtl="0">
            <a:defRPr sz="1000"/>
          </a:pPr>
          <a:r>
            <a:rPr lang="en-US" altLang="ja-JP" sz="900" b="0" i="0" u="none" strike="noStrike" baseline="0">
              <a:solidFill>
                <a:srgbClr val="000000"/>
              </a:solidFill>
              <a:latin typeface="ＭＳ 明朝" pitchFamily="17" charset="-128"/>
              <a:ea typeface="ＭＳ 明朝" pitchFamily="17" charset="-128"/>
              <a:cs typeface="+mn-cs"/>
            </a:rPr>
            <a:t>AP</a:t>
          </a:r>
          <a:r>
            <a:rPr lang="ja-JP" altLang="en-US" sz="900" b="0" i="0" u="none" strike="noStrike" baseline="0">
              <a:solidFill>
                <a:srgbClr val="000000"/>
              </a:solidFill>
              <a:latin typeface="ＭＳ 明朝" pitchFamily="17" charset="-128"/>
              <a:ea typeface="ＭＳ 明朝" pitchFamily="17" charset="-128"/>
              <a:cs typeface="+mn-cs"/>
            </a:rPr>
            <a:t>サーバー</a:t>
          </a:r>
        </a:p>
      </xdr:txBody>
    </xdr:sp>
    <xdr:clientData/>
  </xdr:twoCellAnchor>
  <xdr:twoCellAnchor>
    <xdr:from>
      <xdr:col>29</xdr:col>
      <xdr:colOff>112061</xdr:colOff>
      <xdr:row>24</xdr:row>
      <xdr:rowOff>22412</xdr:rowOff>
    </xdr:from>
    <xdr:to>
      <xdr:col>44</xdr:col>
      <xdr:colOff>22415</xdr:colOff>
      <xdr:row>37</xdr:row>
      <xdr:rowOff>133350</xdr:rowOff>
    </xdr:to>
    <xdr:sp macro="" textlink="">
      <xdr:nvSpPr>
        <xdr:cNvPr id="25" name="Rectangle 113">
          <a:extLst>
            <a:ext uri="{FF2B5EF4-FFF2-40B4-BE49-F238E27FC236}">
              <a16:creationId xmlns:a16="http://schemas.microsoft.com/office/drawing/2014/main" id="{92E882B4-F604-456E-B8B1-1EC086217330}"/>
            </a:ext>
          </a:extLst>
        </xdr:cNvPr>
        <xdr:cNvSpPr>
          <a:spLocks noChangeArrowheads="1"/>
        </xdr:cNvSpPr>
      </xdr:nvSpPr>
      <xdr:spPr bwMode="auto">
        <a:xfrm>
          <a:off x="4336679" y="4594412"/>
          <a:ext cx="2095501" cy="2587438"/>
        </a:xfrm>
        <a:prstGeom prst="rect">
          <a:avLst/>
        </a:prstGeom>
        <a:solidFill>
          <a:srgbClr val="FFFFFF"/>
        </a:solidFill>
        <a:ln w="9525">
          <a:solidFill>
            <a:srgbClr val="000000"/>
          </a:solidFill>
          <a:prstDash val="dash"/>
          <a:miter lim="800000"/>
          <a:headEnd/>
          <a:tailEnd/>
        </a:ln>
      </xdr:spPr>
      <xdr:txBody>
        <a:bodyPr vertOverflow="clip" wrap="square" lIns="27432" tIns="18288" rIns="27432" bIns="0" anchor="t" upright="1"/>
        <a:lstStyle/>
        <a:p>
          <a:pPr algn="ctr" rtl="0">
            <a:defRPr sz="1000"/>
          </a:pPr>
          <a:r>
            <a:rPr lang="en-US" altLang="ja-JP" sz="900" b="0" i="0" u="none" strike="noStrike" baseline="0">
              <a:solidFill>
                <a:srgbClr val="000000"/>
              </a:solidFill>
              <a:latin typeface="ＭＳ 明朝" pitchFamily="17" charset="-128"/>
              <a:ea typeface="ＭＳ 明朝" pitchFamily="17" charset="-128"/>
            </a:rPr>
            <a:t>ALB</a:t>
          </a:r>
          <a:r>
            <a:rPr lang="ja-JP" altLang="en-US" sz="900" b="0" i="0" u="none" strike="noStrike" baseline="0">
              <a:solidFill>
                <a:srgbClr val="000000"/>
              </a:solidFill>
              <a:latin typeface="ＭＳ 明朝" pitchFamily="17" charset="-128"/>
              <a:ea typeface="ＭＳ 明朝" pitchFamily="17" charset="-128"/>
            </a:rPr>
            <a:t>（学内）</a:t>
          </a:r>
        </a:p>
      </xdr:txBody>
    </xdr:sp>
    <xdr:clientData/>
  </xdr:twoCellAnchor>
  <xdr:twoCellAnchor>
    <xdr:from>
      <xdr:col>33</xdr:col>
      <xdr:colOff>56032</xdr:colOff>
      <xdr:row>27</xdr:row>
      <xdr:rowOff>71716</xdr:rowOff>
    </xdr:from>
    <xdr:to>
      <xdr:col>41</xdr:col>
      <xdr:colOff>56033</xdr:colOff>
      <xdr:row>36</xdr:row>
      <xdr:rowOff>161925</xdr:rowOff>
    </xdr:to>
    <xdr:sp macro="" textlink="">
      <xdr:nvSpPr>
        <xdr:cNvPr id="26" name="Rectangle 535">
          <a:extLst>
            <a:ext uri="{FF2B5EF4-FFF2-40B4-BE49-F238E27FC236}">
              <a16:creationId xmlns:a16="http://schemas.microsoft.com/office/drawing/2014/main" id="{C7CC7D7C-C923-47CF-88CC-9DBB8D8E3266}"/>
            </a:ext>
          </a:extLst>
        </xdr:cNvPr>
        <xdr:cNvSpPr>
          <a:spLocks noChangeArrowheads="1"/>
        </xdr:cNvSpPr>
      </xdr:nvSpPr>
      <xdr:spPr bwMode="auto">
        <a:xfrm>
          <a:off x="4863356" y="5215216"/>
          <a:ext cx="1165412" cy="1804709"/>
        </a:xfrm>
        <a:prstGeom prst="rect">
          <a:avLst/>
        </a:prstGeom>
        <a:solidFill>
          <a:schemeClr val="accent5">
            <a:lumMod val="40000"/>
            <a:lumOff val="60000"/>
          </a:schemeClr>
        </a:solidFill>
        <a:ln w="9525">
          <a:solidFill>
            <a:srgbClr val="000000"/>
          </a:solidFill>
          <a:prstDash val="sysDash"/>
          <a:miter lim="800000"/>
          <a:headEnd/>
          <a:tailEnd/>
        </a:ln>
      </xdr:spPr>
      <xdr:txBody>
        <a:bodyPr vertOverflow="clip" wrap="square" lIns="27432" tIns="18288" rIns="27432" bIns="0" anchor="t" upright="1"/>
        <a:lstStyle/>
        <a:p>
          <a:pPr marL="0" indent="0" algn="ctr" rtl="0">
            <a:defRPr sz="1000"/>
          </a:pPr>
          <a:r>
            <a:rPr lang="ja-JP" altLang="en-US" sz="900" b="0" i="0" u="none" strike="noStrike" baseline="0">
              <a:solidFill>
                <a:srgbClr val="000000"/>
              </a:solidFill>
              <a:latin typeface="ＭＳ 明朝" pitchFamily="17" charset="-128"/>
              <a:ea typeface="ＭＳ 明朝" pitchFamily="17" charset="-128"/>
              <a:cs typeface="+mn-cs"/>
            </a:rPr>
            <a:t>本番環境</a:t>
          </a:r>
        </a:p>
      </xdr:txBody>
    </xdr:sp>
    <xdr:clientData/>
  </xdr:twoCellAnchor>
  <xdr:twoCellAnchor>
    <xdr:from>
      <xdr:col>34</xdr:col>
      <xdr:colOff>89650</xdr:colOff>
      <xdr:row>29</xdr:row>
      <xdr:rowOff>15688</xdr:rowOff>
    </xdr:from>
    <xdr:to>
      <xdr:col>40</xdr:col>
      <xdr:colOff>89650</xdr:colOff>
      <xdr:row>31</xdr:row>
      <xdr:rowOff>15688</xdr:rowOff>
    </xdr:to>
    <xdr:sp macro="" textlink="">
      <xdr:nvSpPr>
        <xdr:cNvPr id="27" name="Text Box 317">
          <a:extLst>
            <a:ext uri="{FF2B5EF4-FFF2-40B4-BE49-F238E27FC236}">
              <a16:creationId xmlns:a16="http://schemas.microsoft.com/office/drawing/2014/main" id="{1DCA5116-6670-42D7-A34B-A0608964F750}"/>
            </a:ext>
          </a:extLst>
        </xdr:cNvPr>
        <xdr:cNvSpPr txBox="1">
          <a:spLocks noChangeArrowheads="1"/>
        </xdr:cNvSpPr>
      </xdr:nvSpPr>
      <xdr:spPr bwMode="auto">
        <a:xfrm>
          <a:off x="5042650" y="5540188"/>
          <a:ext cx="874059" cy="381000"/>
        </a:xfrm>
        <a:prstGeom prst="rect">
          <a:avLst/>
        </a:prstGeom>
        <a:pattFill prst="ltDnDiag">
          <a:fgClr>
            <a:srgbClr val="C0C0C0"/>
          </a:fgClr>
          <a:bgClr>
            <a:srgbClr val="FFFFFF"/>
          </a:bgClr>
        </a:pattFill>
        <a:ln w="9525">
          <a:solidFill>
            <a:sysClr val="windowText" lastClr="000000"/>
          </a:solidFill>
          <a:miter lim="800000"/>
          <a:headEnd/>
          <a:tailEnd/>
        </a:ln>
      </xdr:spPr>
      <xdr:txBody>
        <a:bodyPr vertOverflow="clip" wrap="square" lIns="27432" tIns="18288" rIns="27432" bIns="0" anchor="ctr" upright="1"/>
        <a:lstStyle/>
        <a:p>
          <a:pPr marL="0" indent="0" algn="ctr" rtl="0">
            <a:defRPr sz="1000"/>
          </a:pPr>
          <a:r>
            <a:rPr lang="ja-JP" altLang="en-US" sz="900" b="0" i="0" u="none" strike="noStrike" baseline="0">
              <a:solidFill>
                <a:srgbClr val="000000"/>
              </a:solidFill>
              <a:latin typeface="ＭＳ 明朝" pitchFamily="17" charset="-128"/>
              <a:ea typeface="ＭＳ 明朝" pitchFamily="17" charset="-128"/>
              <a:cs typeface="+mn-cs"/>
            </a:rPr>
            <a:t>学内用</a:t>
          </a:r>
          <a:endParaRPr lang="en-US" altLang="ja-JP" sz="900" b="0" i="0" u="none" strike="noStrike" baseline="0">
            <a:solidFill>
              <a:srgbClr val="000000"/>
            </a:solidFill>
            <a:latin typeface="ＭＳ 明朝" pitchFamily="17" charset="-128"/>
            <a:ea typeface="ＭＳ 明朝" pitchFamily="17" charset="-128"/>
            <a:cs typeface="+mn-cs"/>
          </a:endParaRPr>
        </a:p>
        <a:p>
          <a:pPr marL="0" indent="0" algn="ctr" rtl="0">
            <a:defRPr sz="1000"/>
          </a:pPr>
          <a:r>
            <a:rPr lang="en-US" altLang="ja-JP" sz="900" b="0" i="0" u="none" strike="noStrike" baseline="0">
              <a:solidFill>
                <a:srgbClr val="000000"/>
              </a:solidFill>
              <a:latin typeface="ＭＳ 明朝" pitchFamily="17" charset="-128"/>
              <a:ea typeface="ＭＳ 明朝" pitchFamily="17" charset="-128"/>
              <a:cs typeface="+mn-cs"/>
            </a:rPr>
            <a:t>AP</a:t>
          </a:r>
          <a:r>
            <a:rPr lang="ja-JP" altLang="en-US" sz="900" b="0" i="0" u="none" strike="noStrike" baseline="0">
              <a:solidFill>
                <a:srgbClr val="000000"/>
              </a:solidFill>
              <a:latin typeface="ＭＳ 明朝" pitchFamily="17" charset="-128"/>
              <a:ea typeface="ＭＳ 明朝" pitchFamily="17" charset="-128"/>
              <a:cs typeface="+mn-cs"/>
            </a:rPr>
            <a:t>サーバー</a:t>
          </a:r>
        </a:p>
      </xdr:txBody>
    </xdr:sp>
    <xdr:clientData/>
  </xdr:twoCellAnchor>
  <xdr:twoCellAnchor>
    <xdr:from>
      <xdr:col>34</xdr:col>
      <xdr:colOff>81806</xdr:colOff>
      <xdr:row>31</xdr:row>
      <xdr:rowOff>107016</xdr:rowOff>
    </xdr:from>
    <xdr:to>
      <xdr:col>40</xdr:col>
      <xdr:colOff>81806</xdr:colOff>
      <xdr:row>33</xdr:row>
      <xdr:rowOff>107016</xdr:rowOff>
    </xdr:to>
    <xdr:sp macro="" textlink="">
      <xdr:nvSpPr>
        <xdr:cNvPr id="28" name="Text Box 317">
          <a:extLst>
            <a:ext uri="{FF2B5EF4-FFF2-40B4-BE49-F238E27FC236}">
              <a16:creationId xmlns:a16="http://schemas.microsoft.com/office/drawing/2014/main" id="{2CB9C7E3-8FF6-4B8B-B02F-25A8C16A7EF5}"/>
            </a:ext>
          </a:extLst>
        </xdr:cNvPr>
        <xdr:cNvSpPr txBox="1">
          <a:spLocks noChangeArrowheads="1"/>
        </xdr:cNvSpPr>
      </xdr:nvSpPr>
      <xdr:spPr bwMode="auto">
        <a:xfrm>
          <a:off x="5034806" y="6012516"/>
          <a:ext cx="874059" cy="381000"/>
        </a:xfrm>
        <a:prstGeom prst="rect">
          <a:avLst/>
        </a:prstGeom>
        <a:pattFill prst="ltDnDiag">
          <a:fgClr>
            <a:srgbClr val="C0C0C0"/>
          </a:fgClr>
          <a:bgClr>
            <a:srgbClr val="FFFFFF"/>
          </a:bgClr>
        </a:pattFill>
        <a:ln w="9525">
          <a:solidFill>
            <a:sysClr val="windowText" lastClr="000000"/>
          </a:solidFill>
          <a:miter lim="800000"/>
          <a:headEnd/>
          <a:tailEnd/>
        </a:ln>
      </xdr:spPr>
      <xdr:txBody>
        <a:bodyPr vertOverflow="clip" wrap="square" lIns="27432" tIns="18288" rIns="27432" bIns="0" anchor="ctr" upright="1"/>
        <a:lstStyle/>
        <a:p>
          <a:pPr marL="0" indent="0" algn="ctr" rtl="0">
            <a:defRPr sz="1000"/>
          </a:pPr>
          <a:r>
            <a:rPr lang="en-US" altLang="ja-JP" sz="900" b="0" i="0" u="none" strike="noStrike" baseline="0">
              <a:solidFill>
                <a:srgbClr val="000000"/>
              </a:solidFill>
              <a:latin typeface="ＭＳ 明朝" pitchFamily="17" charset="-128"/>
              <a:ea typeface="ＭＳ 明朝" pitchFamily="17" charset="-128"/>
              <a:cs typeface="+mn-cs"/>
            </a:rPr>
            <a:t>DB</a:t>
          </a:r>
          <a:r>
            <a:rPr lang="ja-JP" altLang="en-US" sz="900" b="0" i="0" u="none" strike="noStrike" baseline="0">
              <a:solidFill>
                <a:srgbClr val="000000"/>
              </a:solidFill>
              <a:latin typeface="ＭＳ 明朝" pitchFamily="17" charset="-128"/>
              <a:ea typeface="ＭＳ 明朝" pitchFamily="17" charset="-128"/>
              <a:cs typeface="+mn-cs"/>
            </a:rPr>
            <a:t>サーバー</a:t>
          </a:r>
        </a:p>
      </xdr:txBody>
    </xdr:sp>
    <xdr:clientData/>
  </xdr:twoCellAnchor>
  <xdr:twoCellAnchor editAs="oneCell">
    <xdr:from>
      <xdr:col>15</xdr:col>
      <xdr:colOff>123268</xdr:colOff>
      <xdr:row>26</xdr:row>
      <xdr:rowOff>35299</xdr:rowOff>
    </xdr:from>
    <xdr:to>
      <xdr:col>19</xdr:col>
      <xdr:colOff>82366</xdr:colOff>
      <xdr:row>29</xdr:row>
      <xdr:rowOff>35299</xdr:rowOff>
    </xdr:to>
    <xdr:pic>
      <xdr:nvPicPr>
        <xdr:cNvPr id="29" name="Picture 531" descr="C:\Documents and Settings\toba0221\Local Settings\Temporary Internet Files\Content.IE5\1F00BYV4\MC900431622[1].png">
          <a:extLst>
            <a:ext uri="{FF2B5EF4-FFF2-40B4-BE49-F238E27FC236}">
              <a16:creationId xmlns:a16="http://schemas.microsoft.com/office/drawing/2014/main" id="{0715B251-E893-4165-8875-6C1FF045CEF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308415" y="4988299"/>
          <a:ext cx="541804" cy="571500"/>
        </a:xfrm>
        <a:prstGeom prst="rect">
          <a:avLst/>
        </a:prstGeom>
        <a:noFill/>
      </xdr:spPr>
    </xdr:pic>
    <xdr:clientData/>
  </xdr:twoCellAnchor>
  <xdr:twoCellAnchor editAs="oneCell">
    <xdr:from>
      <xdr:col>32</xdr:col>
      <xdr:colOff>56034</xdr:colOff>
      <xdr:row>25</xdr:row>
      <xdr:rowOff>11765</xdr:rowOff>
    </xdr:from>
    <xdr:to>
      <xdr:col>36</xdr:col>
      <xdr:colOff>15132</xdr:colOff>
      <xdr:row>28</xdr:row>
      <xdr:rowOff>11765</xdr:rowOff>
    </xdr:to>
    <xdr:pic>
      <xdr:nvPicPr>
        <xdr:cNvPr id="30" name="Picture 531" descr="C:\Documents and Settings\toba0221\Local Settings\Temporary Internet Files\Content.IE5\1F00BYV4\MC900431622[1].png">
          <a:extLst>
            <a:ext uri="{FF2B5EF4-FFF2-40B4-BE49-F238E27FC236}">
              <a16:creationId xmlns:a16="http://schemas.microsoft.com/office/drawing/2014/main" id="{CF2A8E5C-5584-43A5-A64D-1070C665A05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17681" y="4774265"/>
          <a:ext cx="541804" cy="571500"/>
        </a:xfrm>
        <a:prstGeom prst="rect">
          <a:avLst/>
        </a:prstGeom>
        <a:noFill/>
      </xdr:spPr>
    </xdr:pic>
    <xdr:clientData/>
  </xdr:twoCellAnchor>
  <xdr:twoCellAnchor>
    <xdr:from>
      <xdr:col>26</xdr:col>
      <xdr:colOff>104778</xdr:colOff>
      <xdr:row>25</xdr:row>
      <xdr:rowOff>95250</xdr:rowOff>
    </xdr:from>
    <xdr:to>
      <xdr:col>29</xdr:col>
      <xdr:colOff>104778</xdr:colOff>
      <xdr:row>25</xdr:row>
      <xdr:rowOff>95250</xdr:rowOff>
    </xdr:to>
    <xdr:cxnSp macro="">
      <xdr:nvCxnSpPr>
        <xdr:cNvPr id="32" name="AutoShape 98">
          <a:extLst>
            <a:ext uri="{FF2B5EF4-FFF2-40B4-BE49-F238E27FC236}">
              <a16:creationId xmlns:a16="http://schemas.microsoft.com/office/drawing/2014/main" id="{BE2A8E4F-3086-4A9D-9C69-48024773C321}"/>
            </a:ext>
          </a:extLst>
        </xdr:cNvPr>
        <xdr:cNvCxnSpPr>
          <a:cxnSpLocks noChangeShapeType="1"/>
        </xdr:cNvCxnSpPr>
      </xdr:nvCxnSpPr>
      <xdr:spPr bwMode="auto">
        <a:xfrm>
          <a:off x="3892366" y="4857750"/>
          <a:ext cx="437030" cy="0"/>
        </a:xfrm>
        <a:prstGeom prst="straightConnector1">
          <a:avLst/>
        </a:prstGeom>
        <a:noFill/>
        <a:ln w="19050">
          <a:solidFill>
            <a:srgbClr val="000000"/>
          </a:solidFill>
          <a:round/>
          <a:headEnd/>
          <a:tailEnd/>
        </a:ln>
      </xdr:spPr>
    </xdr:cxnSp>
    <xdr:clientData/>
  </xdr:twoCellAnchor>
  <xdr:twoCellAnchor editAs="oneCell">
    <xdr:from>
      <xdr:col>95</xdr:col>
      <xdr:colOff>22412</xdr:colOff>
      <xdr:row>16</xdr:row>
      <xdr:rowOff>67235</xdr:rowOff>
    </xdr:from>
    <xdr:to>
      <xdr:col>120</xdr:col>
      <xdr:colOff>110520</xdr:colOff>
      <xdr:row>40</xdr:row>
      <xdr:rowOff>96452</xdr:rowOff>
    </xdr:to>
    <xdr:pic>
      <xdr:nvPicPr>
        <xdr:cNvPr id="38" name="図 37">
          <a:extLst>
            <a:ext uri="{FF2B5EF4-FFF2-40B4-BE49-F238E27FC236}">
              <a16:creationId xmlns:a16="http://schemas.microsoft.com/office/drawing/2014/main" id="{9CE8904D-4295-8436-4595-5B8C1CC96BF0}"/>
            </a:ext>
          </a:extLst>
        </xdr:cNvPr>
        <xdr:cNvPicPr>
          <a:picLocks noChangeAspect="1"/>
        </xdr:cNvPicPr>
      </xdr:nvPicPr>
      <xdr:blipFill>
        <a:blip xmlns:r="http://schemas.openxmlformats.org/officeDocument/2006/relationships" r:embed="rId2"/>
        <a:stretch>
          <a:fillRect/>
        </a:stretch>
      </xdr:blipFill>
      <xdr:spPr>
        <a:xfrm>
          <a:off x="13861677" y="3115235"/>
          <a:ext cx="5029902" cy="4601217"/>
        </a:xfrm>
        <a:prstGeom prst="rect">
          <a:avLst/>
        </a:prstGeom>
      </xdr:spPr>
    </xdr:pic>
    <xdr:clientData/>
  </xdr:twoCellAnchor>
  <xdr:twoCellAnchor>
    <xdr:from>
      <xdr:col>46</xdr:col>
      <xdr:colOff>103485</xdr:colOff>
      <xdr:row>17</xdr:row>
      <xdr:rowOff>156882</xdr:rowOff>
    </xdr:from>
    <xdr:to>
      <xdr:col>55</xdr:col>
      <xdr:colOff>137964</xdr:colOff>
      <xdr:row>19</xdr:row>
      <xdr:rowOff>134470</xdr:rowOff>
    </xdr:to>
    <xdr:sp macro="" textlink="">
      <xdr:nvSpPr>
        <xdr:cNvPr id="4" name="Text Box 40">
          <a:extLst>
            <a:ext uri="{FF2B5EF4-FFF2-40B4-BE49-F238E27FC236}">
              <a16:creationId xmlns:a16="http://schemas.microsoft.com/office/drawing/2014/main" id="{177B7129-DA26-453D-8984-924192468979}"/>
            </a:ext>
          </a:extLst>
        </xdr:cNvPr>
        <xdr:cNvSpPr txBox="1">
          <a:spLocks noChangeArrowheads="1"/>
        </xdr:cNvSpPr>
      </xdr:nvSpPr>
      <xdr:spPr bwMode="auto">
        <a:xfrm>
          <a:off x="6844254" y="3395382"/>
          <a:ext cx="1353325" cy="358588"/>
        </a:xfrm>
        <a:prstGeom prst="rect">
          <a:avLst/>
        </a:prstGeom>
        <a:noFill/>
        <a:ln w="9525">
          <a:solidFill>
            <a:sysClr val="windowText" lastClr="000000"/>
          </a:solid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pitchFamily="17" charset="-128"/>
              <a:ea typeface="ＭＳ 明朝" pitchFamily="17" charset="-128"/>
            </a:rPr>
            <a:t>業務</a:t>
          </a:r>
          <a:r>
            <a:rPr lang="en-US" altLang="ja-JP" sz="900" b="0" i="0" u="none" strike="noStrike" baseline="0">
              <a:solidFill>
                <a:srgbClr val="000000"/>
              </a:solidFill>
              <a:latin typeface="ＭＳ 明朝" pitchFamily="17" charset="-128"/>
              <a:ea typeface="ＭＳ 明朝" pitchFamily="17" charset="-128"/>
            </a:rPr>
            <a:t>PC/</a:t>
          </a:r>
          <a:r>
            <a:rPr lang="ja-JP" altLang="en-US" sz="900" b="0" i="0" u="none" strike="noStrike" baseline="0">
              <a:solidFill>
                <a:srgbClr val="000000"/>
              </a:solidFill>
              <a:latin typeface="ＭＳ 明朝" pitchFamily="17" charset="-128"/>
              <a:ea typeface="ＭＳ 明朝" pitchFamily="17" charset="-128"/>
            </a:rPr>
            <a:t>スマートフォン</a:t>
          </a:r>
          <a:r>
            <a:rPr lang="en-US" altLang="ja-JP" sz="900" b="0" i="0" u="none" strike="noStrike" baseline="0">
              <a:solidFill>
                <a:srgbClr val="000000"/>
              </a:solidFill>
              <a:latin typeface="ＭＳ 明朝" pitchFamily="17" charset="-128"/>
              <a:ea typeface="ＭＳ 明朝" pitchFamily="17" charset="-128"/>
            </a:rPr>
            <a:t>/</a:t>
          </a:r>
          <a:r>
            <a:rPr lang="ja-JP" altLang="en-US" sz="900" b="0" i="0" u="none" strike="noStrike" baseline="0">
              <a:solidFill>
                <a:srgbClr val="000000"/>
              </a:solidFill>
              <a:latin typeface="ＭＳ 明朝" pitchFamily="17" charset="-128"/>
              <a:ea typeface="ＭＳ 明朝" pitchFamily="17" charset="-128"/>
            </a:rPr>
            <a:t>タブレット</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editAs="oneCell">
    <xdr:from>
      <xdr:col>3</xdr:col>
      <xdr:colOff>61072</xdr:colOff>
      <xdr:row>14</xdr:row>
      <xdr:rowOff>135592</xdr:rowOff>
    </xdr:from>
    <xdr:to>
      <xdr:col>6</xdr:col>
      <xdr:colOff>99942</xdr:colOff>
      <xdr:row>17</xdr:row>
      <xdr:rowOff>40342</xdr:rowOff>
    </xdr:to>
    <xdr:pic>
      <xdr:nvPicPr>
        <xdr:cNvPr id="20" name="図 19">
          <a:extLst>
            <a:ext uri="{FF2B5EF4-FFF2-40B4-BE49-F238E27FC236}">
              <a16:creationId xmlns:a16="http://schemas.microsoft.com/office/drawing/2014/main" id="{19C249F3-B861-4F11-C242-5830901390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9697" y="2802592"/>
          <a:ext cx="467495" cy="476250"/>
        </a:xfrm>
        <a:prstGeom prst="rect">
          <a:avLst/>
        </a:prstGeom>
      </xdr:spPr>
    </xdr:pic>
    <xdr:clientData/>
  </xdr:twoCellAnchor>
  <xdr:twoCellAnchor editAs="oneCell">
    <xdr:from>
      <xdr:col>7</xdr:col>
      <xdr:colOff>34019</xdr:colOff>
      <xdr:row>14</xdr:row>
      <xdr:rowOff>77162</xdr:rowOff>
    </xdr:from>
    <xdr:to>
      <xdr:col>11</xdr:col>
      <xdr:colOff>58112</xdr:colOff>
      <xdr:row>17</xdr:row>
      <xdr:rowOff>115262</xdr:rowOff>
    </xdr:to>
    <xdr:pic>
      <xdr:nvPicPr>
        <xdr:cNvPr id="33" name="図 32">
          <a:extLst>
            <a:ext uri="{FF2B5EF4-FFF2-40B4-BE49-F238E27FC236}">
              <a16:creationId xmlns:a16="http://schemas.microsoft.com/office/drawing/2014/main" id="{DB131056-F2E1-6CD3-2532-1385D37ACAB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4144" y="2744162"/>
          <a:ext cx="595593" cy="609600"/>
        </a:xfrm>
        <a:prstGeom prst="rect">
          <a:avLst/>
        </a:prstGeom>
      </xdr:spPr>
    </xdr:pic>
    <xdr:clientData/>
  </xdr:twoCellAnchor>
  <xdr:twoCellAnchor>
    <xdr:from>
      <xdr:col>39</xdr:col>
      <xdr:colOff>8795</xdr:colOff>
      <xdr:row>16</xdr:row>
      <xdr:rowOff>95250</xdr:rowOff>
    </xdr:from>
    <xdr:to>
      <xdr:col>45</xdr:col>
      <xdr:colOff>126758</xdr:colOff>
      <xdr:row>16</xdr:row>
      <xdr:rowOff>95250</xdr:rowOff>
    </xdr:to>
    <xdr:cxnSp macro="">
      <xdr:nvCxnSpPr>
        <xdr:cNvPr id="39" name="AutoShape 98">
          <a:extLst>
            <a:ext uri="{FF2B5EF4-FFF2-40B4-BE49-F238E27FC236}">
              <a16:creationId xmlns:a16="http://schemas.microsoft.com/office/drawing/2014/main" id="{42E03B05-1897-47BC-93CA-878EDD5418FD}"/>
            </a:ext>
          </a:extLst>
        </xdr:cNvPr>
        <xdr:cNvCxnSpPr>
          <a:cxnSpLocks noChangeShapeType="1"/>
          <a:stCxn id="56" idx="3"/>
          <a:endCxn id="273" idx="1"/>
        </xdr:cNvCxnSpPr>
      </xdr:nvCxnSpPr>
      <xdr:spPr bwMode="auto">
        <a:xfrm>
          <a:off x="5723795" y="3143250"/>
          <a:ext cx="997194" cy="0"/>
        </a:xfrm>
        <a:prstGeom prst="straightConnector1">
          <a:avLst/>
        </a:prstGeom>
        <a:noFill/>
        <a:ln w="19050">
          <a:solidFill>
            <a:srgbClr val="000000"/>
          </a:solidFill>
          <a:round/>
          <a:headEnd/>
          <a:tailEnd/>
        </a:ln>
      </xdr:spPr>
    </xdr:cxnSp>
    <xdr:clientData/>
  </xdr:twoCellAnchor>
  <xdr:twoCellAnchor editAs="oneCell">
    <xdr:from>
      <xdr:col>47</xdr:col>
      <xdr:colOff>46895</xdr:colOff>
      <xdr:row>14</xdr:row>
      <xdr:rowOff>104775</xdr:rowOff>
    </xdr:from>
    <xdr:to>
      <xdr:col>51</xdr:col>
      <xdr:colOff>70988</xdr:colOff>
      <xdr:row>17</xdr:row>
      <xdr:rowOff>142875</xdr:rowOff>
    </xdr:to>
    <xdr:pic>
      <xdr:nvPicPr>
        <xdr:cNvPr id="43" name="図 42">
          <a:extLst>
            <a:ext uri="{FF2B5EF4-FFF2-40B4-BE49-F238E27FC236}">
              <a16:creationId xmlns:a16="http://schemas.microsoft.com/office/drawing/2014/main" id="{D8F10EAF-A486-44E5-85F0-8457E8A6A49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934203" y="2771775"/>
          <a:ext cx="610247" cy="609600"/>
        </a:xfrm>
        <a:prstGeom prst="rect">
          <a:avLst/>
        </a:prstGeom>
      </xdr:spPr>
    </xdr:pic>
    <xdr:clientData/>
  </xdr:twoCellAnchor>
  <xdr:twoCellAnchor editAs="oneCell">
    <xdr:from>
      <xdr:col>52</xdr:col>
      <xdr:colOff>18320</xdr:colOff>
      <xdr:row>14</xdr:row>
      <xdr:rowOff>180975</xdr:rowOff>
    </xdr:from>
    <xdr:to>
      <xdr:col>55</xdr:col>
      <xdr:colOff>57190</xdr:colOff>
      <xdr:row>17</xdr:row>
      <xdr:rowOff>85725</xdr:rowOff>
    </xdr:to>
    <xdr:pic>
      <xdr:nvPicPr>
        <xdr:cNvPr id="44" name="図 43">
          <a:extLst>
            <a:ext uri="{FF2B5EF4-FFF2-40B4-BE49-F238E27FC236}">
              <a16:creationId xmlns:a16="http://schemas.microsoft.com/office/drawing/2014/main" id="{34DE20CC-2DDF-4B04-9351-7E8AF2E931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38320" y="2847975"/>
          <a:ext cx="478485" cy="476250"/>
        </a:xfrm>
        <a:prstGeom prst="rect">
          <a:avLst/>
        </a:prstGeom>
      </xdr:spPr>
    </xdr:pic>
    <xdr:clientData/>
  </xdr:twoCellAnchor>
  <xdr:twoCellAnchor editAs="oneCell">
    <xdr:from>
      <xdr:col>18</xdr:col>
      <xdr:colOff>90854</xdr:colOff>
      <xdr:row>14</xdr:row>
      <xdr:rowOff>164123</xdr:rowOff>
    </xdr:from>
    <xdr:to>
      <xdr:col>22</xdr:col>
      <xdr:colOff>128954</xdr:colOff>
      <xdr:row>18</xdr:row>
      <xdr:rowOff>11723</xdr:rowOff>
    </xdr:to>
    <xdr:pic>
      <xdr:nvPicPr>
        <xdr:cNvPr id="51" name="図 50">
          <a:extLst>
            <a:ext uri="{FF2B5EF4-FFF2-40B4-BE49-F238E27FC236}">
              <a16:creationId xmlns:a16="http://schemas.microsoft.com/office/drawing/2014/main" id="{0AC0120F-114B-9245-9042-335FC8331095}"/>
            </a:ext>
          </a:extLst>
        </xdr:cNvPr>
        <xdr:cNvPicPr>
          <a:picLocks noChangeAspect="1"/>
        </xdr:cNvPicPr>
      </xdr:nvPicPr>
      <xdr:blipFill>
        <a:blip xmlns:r="http://schemas.openxmlformats.org/officeDocument/2006/relationships" r:embed="rId5">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728546" y="2831123"/>
          <a:ext cx="624254" cy="609600"/>
        </a:xfrm>
        <a:prstGeom prst="rect">
          <a:avLst/>
        </a:prstGeom>
      </xdr:spPr>
    </xdr:pic>
    <xdr:clientData/>
  </xdr:twoCellAnchor>
  <xdr:twoCellAnchor editAs="oneCell">
    <xdr:from>
      <xdr:col>34</xdr:col>
      <xdr:colOff>117233</xdr:colOff>
      <xdr:row>14</xdr:row>
      <xdr:rowOff>171450</xdr:rowOff>
    </xdr:from>
    <xdr:to>
      <xdr:col>39</xdr:col>
      <xdr:colOff>8795</xdr:colOff>
      <xdr:row>18</xdr:row>
      <xdr:rowOff>19050</xdr:rowOff>
    </xdr:to>
    <xdr:pic>
      <xdr:nvPicPr>
        <xdr:cNvPr id="56" name="図 55">
          <a:extLst>
            <a:ext uri="{FF2B5EF4-FFF2-40B4-BE49-F238E27FC236}">
              <a16:creationId xmlns:a16="http://schemas.microsoft.com/office/drawing/2014/main" id="{B34529B7-7ED6-4C16-998C-8161DDABB652}"/>
            </a:ext>
          </a:extLst>
        </xdr:cNvPr>
        <xdr:cNvPicPr>
          <a:picLocks noChangeAspect="1"/>
        </xdr:cNvPicPr>
      </xdr:nvPicPr>
      <xdr:blipFill>
        <a:blip xmlns:r="http://schemas.openxmlformats.org/officeDocument/2006/relationships" r:embed="rId5">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099541" y="2838450"/>
          <a:ext cx="624254" cy="609600"/>
        </a:xfrm>
        <a:prstGeom prst="rect">
          <a:avLst/>
        </a:prstGeom>
        <a:solidFill>
          <a:schemeClr val="accent1"/>
        </a:solidFill>
      </xdr:spPr>
    </xdr:pic>
    <xdr:clientData/>
  </xdr:twoCellAnchor>
  <xdr:twoCellAnchor>
    <xdr:from>
      <xdr:col>36</xdr:col>
      <xdr:colOff>136283</xdr:colOff>
      <xdr:row>18</xdr:row>
      <xdr:rowOff>19050</xdr:rowOff>
    </xdr:from>
    <xdr:to>
      <xdr:col>36</xdr:col>
      <xdr:colOff>140507</xdr:colOff>
      <xdr:row>24</xdr:row>
      <xdr:rowOff>22412</xdr:rowOff>
    </xdr:to>
    <xdr:cxnSp macro="">
      <xdr:nvCxnSpPr>
        <xdr:cNvPr id="58" name="AutoShape 50">
          <a:extLst>
            <a:ext uri="{FF2B5EF4-FFF2-40B4-BE49-F238E27FC236}">
              <a16:creationId xmlns:a16="http://schemas.microsoft.com/office/drawing/2014/main" id="{29E680EF-6BD9-41A0-8465-045775D7EBFA}"/>
            </a:ext>
          </a:extLst>
        </xdr:cNvPr>
        <xdr:cNvCxnSpPr>
          <a:cxnSpLocks noChangeShapeType="1"/>
          <a:stCxn id="25" idx="0"/>
          <a:endCxn id="56" idx="2"/>
        </xdr:cNvCxnSpPr>
      </xdr:nvCxnSpPr>
      <xdr:spPr bwMode="auto">
        <a:xfrm flipH="1" flipV="1">
          <a:off x="5411668" y="3448050"/>
          <a:ext cx="4224" cy="1146362"/>
        </a:xfrm>
        <a:prstGeom prst="straightConnector1">
          <a:avLst/>
        </a:prstGeom>
        <a:noFill/>
        <a:ln w="9525">
          <a:solidFill>
            <a:srgbClr val="000000"/>
          </a:solidFill>
          <a:round/>
          <a:headEnd/>
          <a:tailEnd/>
        </a:ln>
      </xdr:spPr>
    </xdr:cxnSp>
    <xdr:clientData/>
  </xdr:twoCellAnchor>
  <xdr:twoCellAnchor>
    <xdr:from>
      <xdr:col>34</xdr:col>
      <xdr:colOff>85728</xdr:colOff>
      <xdr:row>34</xdr:row>
      <xdr:rowOff>21291</xdr:rowOff>
    </xdr:from>
    <xdr:to>
      <xdr:col>40</xdr:col>
      <xdr:colOff>85728</xdr:colOff>
      <xdr:row>36</xdr:row>
      <xdr:rowOff>21291</xdr:rowOff>
    </xdr:to>
    <xdr:sp macro="" textlink="">
      <xdr:nvSpPr>
        <xdr:cNvPr id="225" name="Text Box 317">
          <a:extLst>
            <a:ext uri="{FF2B5EF4-FFF2-40B4-BE49-F238E27FC236}">
              <a16:creationId xmlns:a16="http://schemas.microsoft.com/office/drawing/2014/main" id="{36D3268E-E361-4AA5-B505-EB0DEFF7EB23}"/>
            </a:ext>
          </a:extLst>
        </xdr:cNvPr>
        <xdr:cNvSpPr txBox="1">
          <a:spLocks noChangeArrowheads="1"/>
        </xdr:cNvSpPr>
      </xdr:nvSpPr>
      <xdr:spPr bwMode="auto">
        <a:xfrm>
          <a:off x="5038728" y="6498291"/>
          <a:ext cx="874059" cy="381000"/>
        </a:xfrm>
        <a:prstGeom prst="rect">
          <a:avLst/>
        </a:prstGeom>
        <a:solidFill>
          <a:srgbClr val="FFFF00"/>
        </a:solidFill>
        <a:ln w="9525">
          <a:solidFill>
            <a:sysClr val="windowText" lastClr="000000"/>
          </a:solidFill>
          <a:miter lim="800000"/>
          <a:headEnd/>
          <a:tailEnd/>
        </a:ln>
      </xdr:spPr>
      <xdr:txBody>
        <a:bodyPr vertOverflow="clip" wrap="square" lIns="27432" tIns="18288" rIns="27432" bIns="0" anchor="ctr" upright="1"/>
        <a:lstStyle/>
        <a:p>
          <a:pPr marL="0" indent="0" algn="ctr" rtl="0">
            <a:defRPr sz="1000"/>
          </a:pPr>
          <a:r>
            <a:rPr lang="ja-JP" altLang="en-US" sz="900" b="0" i="0" u="none" strike="noStrike" baseline="0">
              <a:solidFill>
                <a:srgbClr val="000000"/>
              </a:solidFill>
              <a:latin typeface="ＭＳ 明朝" pitchFamily="17" charset="-128"/>
              <a:ea typeface="ＭＳ 明朝" pitchFamily="17" charset="-128"/>
              <a:cs typeface="+mn-cs"/>
            </a:rPr>
            <a:t>テスト環境</a:t>
          </a:r>
          <a:r>
            <a:rPr lang="en-US" altLang="ja-JP" sz="900" b="0" i="0" u="none" strike="noStrike" baseline="0">
              <a:solidFill>
                <a:srgbClr val="000000"/>
              </a:solidFill>
              <a:latin typeface="ＭＳ 明朝" pitchFamily="17" charset="-128"/>
              <a:ea typeface="ＭＳ 明朝" pitchFamily="17" charset="-128"/>
              <a:cs typeface="+mn-cs"/>
            </a:rPr>
            <a:t>AP</a:t>
          </a:r>
          <a:endParaRPr lang="ja-JP" altLang="en-US" sz="900" b="0" i="0" u="none" strike="noStrike" baseline="0">
            <a:solidFill>
              <a:srgbClr val="000000"/>
            </a:solidFill>
            <a:latin typeface="ＭＳ 明朝" pitchFamily="17" charset="-128"/>
            <a:ea typeface="ＭＳ 明朝" pitchFamily="17" charset="-128"/>
            <a:cs typeface="+mn-cs"/>
          </a:endParaRPr>
        </a:p>
      </xdr:txBody>
    </xdr:sp>
    <xdr:clientData/>
  </xdr:twoCellAnchor>
  <xdr:twoCellAnchor>
    <xdr:from>
      <xdr:col>51</xdr:col>
      <xdr:colOff>142874</xdr:colOff>
      <xdr:row>27</xdr:row>
      <xdr:rowOff>0</xdr:rowOff>
    </xdr:from>
    <xdr:to>
      <xdr:col>78</xdr:col>
      <xdr:colOff>66674</xdr:colOff>
      <xdr:row>33</xdr:row>
      <xdr:rowOff>0</xdr:rowOff>
    </xdr:to>
    <xdr:sp macro="" textlink="">
      <xdr:nvSpPr>
        <xdr:cNvPr id="2" name="吹き出し: 角を丸めた四角形 1">
          <a:extLst>
            <a:ext uri="{FF2B5EF4-FFF2-40B4-BE49-F238E27FC236}">
              <a16:creationId xmlns:a16="http://schemas.microsoft.com/office/drawing/2014/main" id="{D8924D5C-F4AD-4D12-AFBF-3E675A1D288E}"/>
            </a:ext>
          </a:extLst>
        </xdr:cNvPr>
        <xdr:cNvSpPr/>
      </xdr:nvSpPr>
      <xdr:spPr bwMode="auto">
        <a:xfrm>
          <a:off x="7429499" y="5143500"/>
          <a:ext cx="3781425" cy="1143000"/>
        </a:xfrm>
        <a:prstGeom prst="wedgeRoundRectCallout">
          <a:avLst>
            <a:gd name="adj1" fmla="val -95272"/>
            <a:gd name="adj2" fmla="val 29167"/>
            <a:gd name="adj3" fmla="val 16667"/>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solidFill>
                <a:schemeClr val="bg1"/>
              </a:solidFill>
            </a:rPr>
            <a:t>11/16</a:t>
          </a:r>
          <a:r>
            <a:rPr kumimoji="1" lang="ja-JP" altLang="en-US" sz="1100">
              <a:solidFill>
                <a:schemeClr val="bg1"/>
              </a:solidFill>
            </a:rPr>
            <a:t>　打合せにて</a:t>
          </a:r>
          <a:endParaRPr kumimoji="1" lang="en-US" altLang="ja-JP" sz="1100">
            <a:solidFill>
              <a:schemeClr val="bg1"/>
            </a:solidFill>
          </a:endParaRPr>
        </a:p>
        <a:p>
          <a:pPr algn="l"/>
          <a:r>
            <a:rPr kumimoji="1" lang="ja-JP" altLang="en-US" sz="1100">
              <a:solidFill>
                <a:schemeClr val="bg1"/>
              </a:solidFill>
            </a:rPr>
            <a:t>・そもそもイメージが違うので柳沢様の図をもって書き直し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0:AB78"/>
  <sheetViews>
    <sheetView topLeftCell="A4" zoomScale="75" zoomScaleNormal="75" workbookViewId="0">
      <selection activeCell="AE15" sqref="AE15"/>
    </sheetView>
  </sheetViews>
  <sheetFormatPr defaultRowHeight="13.5" x14ac:dyDescent="0.15"/>
  <cols>
    <col min="1" max="32" width="4.5" style="42" customWidth="1"/>
    <col min="33" max="16384" width="9" style="42"/>
  </cols>
  <sheetData>
    <row r="10" spans="7:24" s="10" customFormat="1" x14ac:dyDescent="0.15">
      <c r="G10" s="33"/>
      <c r="H10" s="34"/>
      <c r="I10" s="34"/>
      <c r="J10" s="34"/>
      <c r="K10" s="34"/>
      <c r="L10" s="34"/>
      <c r="M10" s="34"/>
      <c r="N10" s="34"/>
      <c r="O10" s="34"/>
      <c r="P10" s="34"/>
      <c r="Q10" s="34"/>
      <c r="R10" s="34"/>
      <c r="S10" s="34"/>
      <c r="T10" s="34"/>
      <c r="U10" s="34"/>
      <c r="V10" s="34"/>
      <c r="W10" s="34"/>
      <c r="X10" s="35"/>
    </row>
    <row r="11" spans="7:24" s="10" customFormat="1" x14ac:dyDescent="0.15">
      <c r="G11" s="66" t="str">
        <f>I40</f>
        <v>学生勤務管理システム</v>
      </c>
      <c r="H11" s="67"/>
      <c r="I11" s="67"/>
      <c r="J11" s="67"/>
      <c r="K11" s="67"/>
      <c r="L11" s="67"/>
      <c r="M11" s="67"/>
      <c r="N11" s="67"/>
      <c r="O11" s="67"/>
      <c r="P11" s="67"/>
      <c r="Q11" s="67"/>
      <c r="R11" s="67"/>
      <c r="S11" s="67"/>
      <c r="T11" s="67"/>
      <c r="U11" s="67"/>
      <c r="V11" s="67"/>
      <c r="W11" s="67"/>
      <c r="X11" s="68"/>
    </row>
    <row r="12" spans="7:24" s="10" customFormat="1" x14ac:dyDescent="0.15">
      <c r="G12" s="66"/>
      <c r="H12" s="67"/>
      <c r="I12" s="67"/>
      <c r="J12" s="67"/>
      <c r="K12" s="67"/>
      <c r="L12" s="67"/>
      <c r="M12" s="67"/>
      <c r="N12" s="67"/>
      <c r="O12" s="67"/>
      <c r="P12" s="67"/>
      <c r="Q12" s="67"/>
      <c r="R12" s="67"/>
      <c r="S12" s="67"/>
      <c r="T12" s="67"/>
      <c r="U12" s="67"/>
      <c r="V12" s="67"/>
      <c r="W12" s="67"/>
      <c r="X12" s="68"/>
    </row>
    <row r="13" spans="7:24" s="10" customFormat="1" x14ac:dyDescent="0.15">
      <c r="G13" s="36"/>
      <c r="H13" s="37"/>
      <c r="I13" s="37"/>
      <c r="J13" s="37"/>
      <c r="K13" s="37"/>
      <c r="L13" s="37"/>
      <c r="M13" s="37"/>
      <c r="N13" s="37"/>
      <c r="O13" s="37"/>
      <c r="P13" s="37"/>
      <c r="Q13" s="37"/>
      <c r="R13" s="37"/>
      <c r="S13" s="37"/>
      <c r="T13" s="37"/>
      <c r="U13" s="37"/>
      <c r="V13" s="37"/>
      <c r="W13" s="37"/>
      <c r="X13" s="38"/>
    </row>
    <row r="14" spans="7:24" s="10" customFormat="1" x14ac:dyDescent="0.15">
      <c r="G14" s="72" t="str">
        <f>I44</f>
        <v>信頼性・性能・運用設計</v>
      </c>
      <c r="H14" s="73"/>
      <c r="I14" s="73"/>
      <c r="J14" s="73"/>
      <c r="K14" s="73"/>
      <c r="L14" s="73"/>
      <c r="M14" s="73"/>
      <c r="N14" s="73"/>
      <c r="O14" s="73"/>
      <c r="P14" s="73"/>
      <c r="Q14" s="73"/>
      <c r="R14" s="73"/>
      <c r="S14" s="73"/>
      <c r="T14" s="73"/>
      <c r="U14" s="73"/>
      <c r="V14" s="73"/>
      <c r="W14" s="73"/>
      <c r="X14" s="74"/>
    </row>
    <row r="15" spans="7:24" s="10" customFormat="1" x14ac:dyDescent="0.15">
      <c r="G15" s="72"/>
      <c r="H15" s="73"/>
      <c r="I15" s="73"/>
      <c r="J15" s="73"/>
      <c r="K15" s="73"/>
      <c r="L15" s="73"/>
      <c r="M15" s="73"/>
      <c r="N15" s="73"/>
      <c r="O15" s="73"/>
      <c r="P15" s="73"/>
      <c r="Q15" s="73"/>
      <c r="R15" s="73"/>
      <c r="S15" s="73"/>
      <c r="T15" s="73"/>
      <c r="U15" s="73"/>
      <c r="V15" s="73"/>
      <c r="W15" s="73"/>
      <c r="X15" s="74"/>
    </row>
    <row r="16" spans="7:24" s="10" customFormat="1" x14ac:dyDescent="0.15">
      <c r="G16" s="36"/>
      <c r="H16" s="37"/>
      <c r="I16" s="37"/>
      <c r="J16" s="37"/>
      <c r="K16" s="37"/>
      <c r="L16" s="37"/>
      <c r="M16" s="37"/>
      <c r="N16" s="37"/>
      <c r="O16" s="37"/>
      <c r="P16" s="37"/>
      <c r="Q16" s="37"/>
      <c r="R16" s="37"/>
      <c r="S16" s="37"/>
      <c r="T16" s="37"/>
      <c r="U16" s="37"/>
      <c r="V16" s="37"/>
      <c r="W16" s="37"/>
      <c r="X16" s="38"/>
    </row>
    <row r="17" spans="7:24" s="10" customFormat="1" x14ac:dyDescent="0.15">
      <c r="G17" s="66" t="str">
        <f>I42</f>
        <v>　</v>
      </c>
      <c r="H17" s="67"/>
      <c r="I17" s="67"/>
      <c r="J17" s="67"/>
      <c r="K17" s="67"/>
      <c r="L17" s="67"/>
      <c r="M17" s="67"/>
      <c r="N17" s="67"/>
      <c r="O17" s="67"/>
      <c r="P17" s="67"/>
      <c r="Q17" s="67"/>
      <c r="R17" s="67"/>
      <c r="S17" s="67"/>
      <c r="T17" s="67"/>
      <c r="U17" s="67"/>
      <c r="V17" s="67"/>
      <c r="W17" s="67"/>
      <c r="X17" s="68"/>
    </row>
    <row r="18" spans="7:24" s="10" customFormat="1" x14ac:dyDescent="0.15">
      <c r="G18" s="66"/>
      <c r="H18" s="67"/>
      <c r="I18" s="67"/>
      <c r="J18" s="67"/>
      <c r="K18" s="67"/>
      <c r="L18" s="67"/>
      <c r="M18" s="67"/>
      <c r="N18" s="67"/>
      <c r="O18" s="67"/>
      <c r="P18" s="67"/>
      <c r="Q18" s="67"/>
      <c r="R18" s="67"/>
      <c r="S18" s="67"/>
      <c r="T18" s="67"/>
      <c r="U18" s="67"/>
      <c r="V18" s="67"/>
      <c r="W18" s="67"/>
      <c r="X18" s="68"/>
    </row>
    <row r="19" spans="7:24" s="10" customFormat="1" x14ac:dyDescent="0.15">
      <c r="G19" s="36"/>
      <c r="H19" s="37"/>
      <c r="I19" s="37"/>
      <c r="J19" s="37"/>
      <c r="K19" s="37"/>
      <c r="L19" s="37"/>
      <c r="M19" s="37"/>
      <c r="N19" s="37"/>
      <c r="O19" s="37"/>
      <c r="P19" s="37"/>
      <c r="Q19" s="37"/>
      <c r="R19" s="37"/>
      <c r="S19" s="37"/>
      <c r="T19" s="37"/>
      <c r="U19" s="37"/>
      <c r="V19" s="37"/>
      <c r="W19" s="37"/>
      <c r="X19" s="38"/>
    </row>
    <row r="20" spans="7:24" s="10" customFormat="1" x14ac:dyDescent="0.15">
      <c r="G20" s="66" t="str">
        <f>I51</f>
        <v>【 Ver 1.0 】</v>
      </c>
      <c r="H20" s="67"/>
      <c r="I20" s="67"/>
      <c r="J20" s="67"/>
      <c r="K20" s="67"/>
      <c r="L20" s="67"/>
      <c r="M20" s="67"/>
      <c r="N20" s="67"/>
      <c r="O20" s="67"/>
      <c r="P20" s="67"/>
      <c r="Q20" s="67"/>
      <c r="R20" s="67"/>
      <c r="S20" s="67"/>
      <c r="T20" s="67"/>
      <c r="U20" s="67"/>
      <c r="V20" s="67"/>
      <c r="W20" s="67"/>
      <c r="X20" s="68"/>
    </row>
    <row r="21" spans="7:24" s="10" customFormat="1" x14ac:dyDescent="0.15">
      <c r="G21" s="66"/>
      <c r="H21" s="67"/>
      <c r="I21" s="67"/>
      <c r="J21" s="67"/>
      <c r="K21" s="67"/>
      <c r="L21" s="67"/>
      <c r="M21" s="67"/>
      <c r="N21" s="67"/>
      <c r="O21" s="67"/>
      <c r="P21" s="67"/>
      <c r="Q21" s="67"/>
      <c r="R21" s="67"/>
      <c r="S21" s="67"/>
      <c r="T21" s="67"/>
      <c r="U21" s="67"/>
      <c r="V21" s="67"/>
      <c r="W21" s="67"/>
      <c r="X21" s="68"/>
    </row>
    <row r="22" spans="7:24" s="10" customFormat="1" x14ac:dyDescent="0.15">
      <c r="G22" s="39"/>
      <c r="H22" s="40"/>
      <c r="I22" s="40"/>
      <c r="J22" s="40"/>
      <c r="K22" s="40"/>
      <c r="L22" s="40"/>
      <c r="M22" s="40"/>
      <c r="N22" s="40"/>
      <c r="O22" s="40"/>
      <c r="P22" s="40"/>
      <c r="Q22" s="40"/>
      <c r="R22" s="40"/>
      <c r="S22" s="40"/>
      <c r="T22" s="40"/>
      <c r="U22" s="40"/>
      <c r="V22" s="40"/>
      <c r="W22" s="40"/>
      <c r="X22" s="41"/>
    </row>
    <row r="27" spans="7:24" x14ac:dyDescent="0.15">
      <c r="J27" s="75" t="str">
        <f>TEXT(I47,"yyyy年")&amp;IF(LEFT(TEXT(I47,"mm"),1)="0"," ","")&amp;TEXT(I47,"m月")&amp;IF(LEFT(TEXT(I47,"dd"),1)="0"," ","")&amp;TEXT(I47,"d日")&amp;"作成"</f>
        <v>2023年11月13日作成</v>
      </c>
      <c r="K27" s="76"/>
      <c r="L27" s="76"/>
      <c r="M27" s="76"/>
      <c r="N27" s="76"/>
      <c r="O27" s="76"/>
      <c r="P27" s="76"/>
      <c r="Q27" s="76"/>
      <c r="R27" s="76"/>
      <c r="S27" s="76"/>
      <c r="T27" s="76"/>
    </row>
    <row r="28" spans="7:24" x14ac:dyDescent="0.15">
      <c r="J28" s="76"/>
      <c r="K28" s="76"/>
      <c r="L28" s="76"/>
      <c r="M28" s="76"/>
      <c r="N28" s="76"/>
      <c r="O28" s="76"/>
      <c r="P28" s="76"/>
      <c r="Q28" s="76"/>
      <c r="R28" s="76"/>
      <c r="S28" s="76"/>
      <c r="T28" s="76"/>
    </row>
    <row r="29" spans="7:24" x14ac:dyDescent="0.15">
      <c r="J29" s="75" t="str">
        <f>IF(I49="　※ページ毎に個別入力","    年  月  日改訂",TEXT(I49,"yyyy年")&amp;IF(LEFT(TEXT(I49,"mm"),1)="0"," ","")&amp;TEXT(I49,"m月")&amp;IF(LEFT(TEXT(I49,"dd"),1)="0"," ","")&amp;TEXT(I49,"d日")&amp;"改訂")</f>
        <v xml:space="preserve">    年  月  日改訂</v>
      </c>
      <c r="K29" s="76"/>
      <c r="L29" s="76"/>
      <c r="M29" s="76"/>
      <c r="N29" s="76"/>
      <c r="O29" s="76"/>
      <c r="P29" s="76"/>
      <c r="Q29" s="76"/>
      <c r="R29" s="76"/>
      <c r="S29" s="76"/>
      <c r="T29" s="76"/>
    </row>
    <row r="30" spans="7:24" x14ac:dyDescent="0.15">
      <c r="J30" s="76"/>
      <c r="K30" s="76"/>
      <c r="L30" s="76"/>
      <c r="M30" s="76"/>
      <c r="N30" s="76"/>
      <c r="O30" s="76"/>
      <c r="P30" s="76"/>
      <c r="Q30" s="76"/>
      <c r="R30" s="76"/>
      <c r="S30" s="76"/>
      <c r="T30" s="76"/>
    </row>
    <row r="31" spans="7:24" ht="17.25" x14ac:dyDescent="0.2">
      <c r="K31" s="71"/>
      <c r="L31" s="71"/>
      <c r="M31" s="71"/>
      <c r="N31" s="71"/>
      <c r="O31" s="71"/>
      <c r="P31" s="71"/>
      <c r="Q31" s="71"/>
      <c r="R31" s="71"/>
      <c r="S31" s="71"/>
      <c r="T31" s="71"/>
    </row>
    <row r="38" spans="2:28" ht="36" customHeight="1" x14ac:dyDescent="0.15">
      <c r="B38" s="70" t="s">
        <v>6</v>
      </c>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row>
    <row r="39" spans="2:28" s="43" customFormat="1" ht="23.25" customHeight="1" x14ac:dyDescent="0.15">
      <c r="B39" s="69" t="s">
        <v>7</v>
      </c>
      <c r="C39" s="69"/>
      <c r="D39" s="69"/>
      <c r="E39" s="69"/>
      <c r="F39" s="69"/>
      <c r="G39" s="69"/>
      <c r="H39" s="69"/>
      <c r="I39" s="69" t="s">
        <v>8</v>
      </c>
      <c r="J39" s="69"/>
      <c r="K39" s="69"/>
      <c r="L39" s="69"/>
      <c r="M39" s="69"/>
      <c r="N39" s="69"/>
      <c r="O39" s="69"/>
      <c r="P39" s="69"/>
      <c r="Q39" s="69"/>
      <c r="R39" s="69"/>
      <c r="S39" s="69"/>
      <c r="T39" s="69"/>
      <c r="U39" s="69"/>
      <c r="V39" s="69"/>
      <c r="W39" s="69"/>
      <c r="X39" s="69"/>
      <c r="Y39" s="69"/>
      <c r="Z39" s="69"/>
      <c r="AA39" s="69"/>
      <c r="AB39" s="69"/>
    </row>
    <row r="40" spans="2:28" s="43" customFormat="1" ht="23.25" customHeight="1" x14ac:dyDescent="0.15">
      <c r="B40" s="61" t="s">
        <v>9</v>
      </c>
      <c r="C40" s="61"/>
      <c r="D40" s="61"/>
      <c r="E40" s="61"/>
      <c r="F40" s="61"/>
      <c r="G40" s="61"/>
      <c r="H40" s="61"/>
      <c r="I40" s="62" t="s">
        <v>120</v>
      </c>
      <c r="J40" s="63"/>
      <c r="K40" s="63"/>
      <c r="L40" s="63"/>
      <c r="M40" s="63"/>
      <c r="N40" s="63"/>
      <c r="O40" s="63"/>
      <c r="P40" s="63"/>
      <c r="Q40" s="63"/>
      <c r="R40" s="63"/>
      <c r="S40" s="63"/>
      <c r="T40" s="63"/>
      <c r="U40" s="63"/>
      <c r="V40" s="63"/>
      <c r="W40" s="63"/>
      <c r="X40" s="63"/>
      <c r="Y40" s="63"/>
      <c r="Z40" s="63"/>
      <c r="AA40" s="63"/>
      <c r="AB40" s="63"/>
    </row>
    <row r="41" spans="2:28" s="43" customFormat="1" ht="23.25" customHeight="1" x14ac:dyDescent="0.15">
      <c r="B41" s="61" t="s">
        <v>10</v>
      </c>
      <c r="C41" s="61"/>
      <c r="D41" s="61"/>
      <c r="E41" s="61"/>
      <c r="F41" s="61"/>
      <c r="G41" s="61"/>
      <c r="H41" s="61"/>
      <c r="I41" s="63" t="s">
        <v>32</v>
      </c>
      <c r="J41" s="63"/>
      <c r="K41" s="63"/>
      <c r="L41" s="63"/>
      <c r="M41" s="63"/>
      <c r="N41" s="63"/>
      <c r="O41" s="63"/>
      <c r="P41" s="63"/>
      <c r="Q41" s="63"/>
      <c r="R41" s="63"/>
      <c r="S41" s="63"/>
      <c r="T41" s="63"/>
      <c r="U41" s="63"/>
      <c r="V41" s="63"/>
      <c r="W41" s="63"/>
      <c r="X41" s="63"/>
      <c r="Y41" s="63"/>
      <c r="Z41" s="63"/>
      <c r="AA41" s="63"/>
      <c r="AB41" s="63"/>
    </row>
    <row r="42" spans="2:28" s="43" customFormat="1" ht="23.25" customHeight="1" x14ac:dyDescent="0.15">
      <c r="B42" s="61" t="s">
        <v>11</v>
      </c>
      <c r="C42" s="61"/>
      <c r="D42" s="61"/>
      <c r="E42" s="61"/>
      <c r="F42" s="61"/>
      <c r="G42" s="61"/>
      <c r="H42" s="61"/>
      <c r="I42" s="63" t="s">
        <v>33</v>
      </c>
      <c r="J42" s="63"/>
      <c r="K42" s="63"/>
      <c r="L42" s="63"/>
      <c r="M42" s="63"/>
      <c r="N42" s="63"/>
      <c r="O42" s="63"/>
      <c r="P42" s="63"/>
      <c r="Q42" s="63"/>
      <c r="R42" s="63"/>
      <c r="S42" s="63"/>
      <c r="T42" s="63"/>
      <c r="U42" s="63"/>
      <c r="V42" s="63"/>
      <c r="W42" s="63"/>
      <c r="X42" s="63"/>
      <c r="Y42" s="63"/>
      <c r="Z42" s="63"/>
      <c r="AA42" s="63"/>
      <c r="AB42" s="63"/>
    </row>
    <row r="43" spans="2:28" s="43" customFormat="1" ht="23.25" customHeight="1" x14ac:dyDescent="0.15">
      <c r="B43" s="61" t="s">
        <v>12</v>
      </c>
      <c r="C43" s="61"/>
      <c r="D43" s="61"/>
      <c r="E43" s="61"/>
      <c r="F43" s="61"/>
      <c r="G43" s="61"/>
      <c r="H43" s="61"/>
      <c r="I43" s="62" t="s">
        <v>80</v>
      </c>
      <c r="J43" s="63"/>
      <c r="K43" s="63"/>
      <c r="L43" s="63"/>
      <c r="M43" s="63"/>
      <c r="N43" s="63"/>
      <c r="O43" s="63"/>
      <c r="P43" s="63"/>
      <c r="Q43" s="63"/>
      <c r="R43" s="63"/>
      <c r="S43" s="63"/>
      <c r="T43" s="63"/>
      <c r="U43" s="63"/>
      <c r="V43" s="63"/>
      <c r="W43" s="63"/>
      <c r="X43" s="63"/>
      <c r="Y43" s="63"/>
      <c r="Z43" s="63"/>
      <c r="AA43" s="63"/>
      <c r="AB43" s="63"/>
    </row>
    <row r="44" spans="2:28" s="43" customFormat="1" ht="23.25" customHeight="1" x14ac:dyDescent="0.15">
      <c r="B44" s="61" t="s">
        <v>13</v>
      </c>
      <c r="C44" s="61"/>
      <c r="D44" s="61"/>
      <c r="E44" s="61"/>
      <c r="F44" s="61"/>
      <c r="G44" s="61"/>
      <c r="H44" s="61"/>
      <c r="I44" s="62" t="s">
        <v>87</v>
      </c>
      <c r="J44" s="63"/>
      <c r="K44" s="63"/>
      <c r="L44" s="63"/>
      <c r="M44" s="63"/>
      <c r="N44" s="63"/>
      <c r="O44" s="63"/>
      <c r="P44" s="63"/>
      <c r="Q44" s="63"/>
      <c r="R44" s="63"/>
      <c r="S44" s="63"/>
      <c r="T44" s="63"/>
      <c r="U44" s="63"/>
      <c r="V44" s="63"/>
      <c r="W44" s="63"/>
      <c r="X44" s="63"/>
      <c r="Y44" s="63"/>
      <c r="Z44" s="63"/>
      <c r="AA44" s="63"/>
      <c r="AB44" s="63"/>
    </row>
    <row r="45" spans="2:28" s="43" customFormat="1" ht="23.25" customHeight="1" x14ac:dyDescent="0.15">
      <c r="B45" s="61" t="s">
        <v>14</v>
      </c>
      <c r="C45" s="61"/>
      <c r="D45" s="61"/>
      <c r="E45" s="61"/>
      <c r="F45" s="61"/>
      <c r="G45" s="61"/>
      <c r="H45" s="61"/>
      <c r="I45" s="63" t="s">
        <v>15</v>
      </c>
      <c r="J45" s="63"/>
      <c r="K45" s="63"/>
      <c r="L45" s="63"/>
      <c r="M45" s="63"/>
      <c r="N45" s="63"/>
      <c r="O45" s="63"/>
      <c r="P45" s="63"/>
      <c r="Q45" s="63"/>
      <c r="R45" s="63"/>
      <c r="S45" s="63"/>
      <c r="T45" s="63"/>
      <c r="U45" s="63"/>
      <c r="V45" s="63"/>
      <c r="W45" s="63"/>
      <c r="X45" s="63"/>
      <c r="Y45" s="63"/>
      <c r="Z45" s="63"/>
      <c r="AA45" s="63"/>
      <c r="AB45" s="63"/>
    </row>
    <row r="46" spans="2:28" s="43" customFormat="1" ht="23.25" customHeight="1" x14ac:dyDescent="0.15">
      <c r="B46" s="61" t="s">
        <v>16</v>
      </c>
      <c r="C46" s="61"/>
      <c r="D46" s="61"/>
      <c r="E46" s="61"/>
      <c r="F46" s="61"/>
      <c r="G46" s="61"/>
      <c r="H46" s="61"/>
      <c r="I46" s="63" t="s">
        <v>121</v>
      </c>
      <c r="J46" s="63"/>
      <c r="K46" s="63"/>
      <c r="L46" s="63"/>
      <c r="M46" s="63"/>
      <c r="N46" s="63"/>
      <c r="O46" s="63"/>
      <c r="P46" s="63"/>
      <c r="Q46" s="63"/>
      <c r="R46" s="63"/>
      <c r="S46" s="63"/>
      <c r="T46" s="63"/>
      <c r="U46" s="63"/>
      <c r="V46" s="63"/>
      <c r="W46" s="63"/>
      <c r="X46" s="63"/>
      <c r="Y46" s="63"/>
      <c r="Z46" s="63"/>
      <c r="AA46" s="63"/>
      <c r="AB46" s="63"/>
    </row>
    <row r="47" spans="2:28" s="43" customFormat="1" ht="23.25" customHeight="1" x14ac:dyDescent="0.15">
      <c r="B47" s="61" t="s">
        <v>17</v>
      </c>
      <c r="C47" s="61"/>
      <c r="D47" s="61"/>
      <c r="E47" s="61"/>
      <c r="F47" s="61"/>
      <c r="G47" s="61"/>
      <c r="H47" s="61"/>
      <c r="I47" s="64">
        <v>45243</v>
      </c>
      <c r="J47" s="65"/>
      <c r="K47" s="65"/>
      <c r="L47" s="65"/>
      <c r="M47" s="65"/>
      <c r="N47" s="65"/>
      <c r="O47" s="65"/>
      <c r="P47" s="65"/>
      <c r="Q47" s="65"/>
      <c r="R47" s="65"/>
      <c r="S47" s="63"/>
      <c r="T47" s="63"/>
      <c r="U47" s="63"/>
      <c r="V47" s="63"/>
      <c r="W47" s="63"/>
      <c r="X47" s="63"/>
      <c r="Y47" s="63"/>
      <c r="Z47" s="63"/>
      <c r="AA47" s="63"/>
      <c r="AB47" s="63"/>
    </row>
    <row r="48" spans="2:28" s="43" customFormat="1" ht="24" customHeight="1" x14ac:dyDescent="0.15">
      <c r="B48" s="61" t="s">
        <v>18</v>
      </c>
      <c r="C48" s="61"/>
      <c r="D48" s="61"/>
      <c r="E48" s="61"/>
      <c r="F48" s="61"/>
      <c r="G48" s="61"/>
      <c r="H48" s="61"/>
      <c r="I48" s="63" t="s">
        <v>15</v>
      </c>
      <c r="J48" s="63"/>
      <c r="K48" s="63"/>
      <c r="L48" s="63"/>
      <c r="M48" s="63"/>
      <c r="N48" s="63"/>
      <c r="O48" s="63"/>
      <c r="P48" s="63"/>
      <c r="Q48" s="63"/>
      <c r="R48" s="63"/>
      <c r="S48" s="63"/>
      <c r="T48" s="63"/>
      <c r="U48" s="63"/>
      <c r="V48" s="63"/>
      <c r="W48" s="63"/>
      <c r="X48" s="63"/>
      <c r="Y48" s="63"/>
      <c r="Z48" s="63"/>
      <c r="AA48" s="63"/>
      <c r="AB48" s="63"/>
    </row>
    <row r="49" spans="2:28" s="43" customFormat="1" ht="24" customHeight="1" x14ac:dyDescent="0.15">
      <c r="B49" s="61" t="s">
        <v>19</v>
      </c>
      <c r="C49" s="61"/>
      <c r="D49" s="61"/>
      <c r="E49" s="61"/>
      <c r="F49" s="61"/>
      <c r="G49" s="61"/>
      <c r="H49" s="61"/>
      <c r="I49" s="63" t="s">
        <v>15</v>
      </c>
      <c r="J49" s="63"/>
      <c r="K49" s="63"/>
      <c r="L49" s="63"/>
      <c r="M49" s="63"/>
      <c r="N49" s="63"/>
      <c r="O49" s="63"/>
      <c r="P49" s="63"/>
      <c r="Q49" s="63"/>
      <c r="R49" s="63"/>
      <c r="S49" s="63"/>
      <c r="T49" s="63"/>
      <c r="U49" s="63"/>
      <c r="V49" s="63"/>
      <c r="W49" s="63"/>
      <c r="X49" s="63"/>
      <c r="Y49" s="63"/>
      <c r="Z49" s="63"/>
      <c r="AA49" s="63"/>
      <c r="AB49" s="63"/>
    </row>
    <row r="50" spans="2:28" s="43" customFormat="1" ht="24" customHeight="1" x14ac:dyDescent="0.15">
      <c r="B50" s="61" t="s">
        <v>20</v>
      </c>
      <c r="C50" s="61"/>
      <c r="D50" s="61"/>
      <c r="E50" s="61"/>
      <c r="F50" s="61"/>
      <c r="G50" s="61"/>
      <c r="H50" s="61"/>
      <c r="I50" s="62" t="s">
        <v>115</v>
      </c>
      <c r="J50" s="63"/>
      <c r="K50" s="63"/>
      <c r="L50" s="63"/>
      <c r="M50" s="63"/>
      <c r="N50" s="63"/>
      <c r="O50" s="63"/>
      <c r="P50" s="63"/>
      <c r="Q50" s="63"/>
      <c r="R50" s="63"/>
      <c r="S50" s="63"/>
      <c r="T50" s="63"/>
      <c r="U50" s="63"/>
      <c r="V50" s="63"/>
      <c r="W50" s="63"/>
      <c r="X50" s="63"/>
      <c r="Y50" s="63"/>
      <c r="Z50" s="63"/>
      <c r="AA50" s="63"/>
      <c r="AB50" s="63"/>
    </row>
    <row r="51" spans="2:28" s="43" customFormat="1" ht="24" customHeight="1" x14ac:dyDescent="0.15">
      <c r="B51" s="61" t="s">
        <v>21</v>
      </c>
      <c r="C51" s="61"/>
      <c r="D51" s="61"/>
      <c r="E51" s="61"/>
      <c r="F51" s="61"/>
      <c r="G51" s="61"/>
      <c r="H51" s="61"/>
      <c r="I51" s="62" t="s">
        <v>122</v>
      </c>
      <c r="J51" s="63"/>
      <c r="K51" s="63"/>
      <c r="L51" s="63"/>
      <c r="M51" s="63"/>
      <c r="N51" s="63"/>
      <c r="O51" s="63"/>
      <c r="P51" s="63"/>
      <c r="Q51" s="63"/>
      <c r="R51" s="63"/>
      <c r="S51" s="63"/>
      <c r="T51" s="63"/>
      <c r="U51" s="63"/>
      <c r="V51" s="63"/>
      <c r="W51" s="63"/>
      <c r="X51" s="63"/>
      <c r="Y51" s="63"/>
      <c r="Z51" s="63"/>
      <c r="AA51" s="63"/>
      <c r="AB51" s="63"/>
    </row>
    <row r="53" spans="2:28" x14ac:dyDescent="0.15">
      <c r="B53" s="42" t="s">
        <v>22</v>
      </c>
    </row>
    <row r="55" spans="2:28" x14ac:dyDescent="0.15">
      <c r="B55" s="42" t="s">
        <v>23</v>
      </c>
    </row>
    <row r="57" spans="2:28" x14ac:dyDescent="0.15">
      <c r="B57" s="42" t="s">
        <v>24</v>
      </c>
    </row>
    <row r="59" spans="2:28" x14ac:dyDescent="0.15">
      <c r="B59" s="42" t="s">
        <v>25</v>
      </c>
    </row>
    <row r="61" spans="2:28" x14ac:dyDescent="0.15">
      <c r="B61" s="42" t="s">
        <v>26</v>
      </c>
    </row>
    <row r="63" spans="2:28" x14ac:dyDescent="0.15">
      <c r="C63" s="42" t="s">
        <v>27</v>
      </c>
    </row>
    <row r="65" spans="2:12" x14ac:dyDescent="0.15">
      <c r="C65" s="42" t="s">
        <v>28</v>
      </c>
    </row>
    <row r="67" spans="2:12" x14ac:dyDescent="0.15">
      <c r="B67" s="42" t="s">
        <v>29</v>
      </c>
    </row>
    <row r="69" spans="2:12" x14ac:dyDescent="0.15">
      <c r="C69" s="42" t="s">
        <v>63</v>
      </c>
      <c r="J69" s="42" t="s">
        <v>34</v>
      </c>
      <c r="L69" t="s">
        <v>79</v>
      </c>
    </row>
    <row r="71" spans="2:12" x14ac:dyDescent="0.15">
      <c r="D71" s="42" t="s">
        <v>64</v>
      </c>
      <c r="J71" s="42" t="s">
        <v>34</v>
      </c>
      <c r="L71" t="s">
        <v>119</v>
      </c>
    </row>
    <row r="72" spans="2:12" x14ac:dyDescent="0.15">
      <c r="L72" t="s">
        <v>117</v>
      </c>
    </row>
    <row r="73" spans="2:12" x14ac:dyDescent="0.15">
      <c r="L73" t="s">
        <v>118</v>
      </c>
    </row>
    <row r="75" spans="2:12" x14ac:dyDescent="0.15">
      <c r="E75" s="42" t="s">
        <v>30</v>
      </c>
    </row>
    <row r="78" spans="2:12" x14ac:dyDescent="0.15">
      <c r="F78" s="42" t="s">
        <v>31</v>
      </c>
    </row>
  </sheetData>
  <mergeCells count="34">
    <mergeCell ref="K31:T31"/>
    <mergeCell ref="G14:X15"/>
    <mergeCell ref="G17:X18"/>
    <mergeCell ref="J27:T28"/>
    <mergeCell ref="J29:T30"/>
    <mergeCell ref="G11:X12"/>
    <mergeCell ref="G20:X21"/>
    <mergeCell ref="B51:H51"/>
    <mergeCell ref="I51:AB51"/>
    <mergeCell ref="B49:H49"/>
    <mergeCell ref="I49:AB49"/>
    <mergeCell ref="B50:H50"/>
    <mergeCell ref="I50:AB50"/>
    <mergeCell ref="B39:H39"/>
    <mergeCell ref="I39:AB39"/>
    <mergeCell ref="B38:AB38"/>
    <mergeCell ref="B48:H48"/>
    <mergeCell ref="I48:AB48"/>
    <mergeCell ref="B44:H44"/>
    <mergeCell ref="B45:H45"/>
    <mergeCell ref="B46:H46"/>
    <mergeCell ref="B47:H47"/>
    <mergeCell ref="B40:H40"/>
    <mergeCell ref="B41:H41"/>
    <mergeCell ref="B42:H42"/>
    <mergeCell ref="I44:AB44"/>
    <mergeCell ref="I45:AB45"/>
    <mergeCell ref="I46:AB46"/>
    <mergeCell ref="I47:AB47"/>
    <mergeCell ref="B43:H43"/>
    <mergeCell ref="I40:AB40"/>
    <mergeCell ref="I41:AB41"/>
    <mergeCell ref="I42:AB42"/>
    <mergeCell ref="I43:AB43"/>
  </mergeCells>
  <phoneticPr fontId="3"/>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X39"/>
  <sheetViews>
    <sheetView tabSelected="1" zoomScale="85" zoomScaleNormal="85" workbookViewId="0"/>
  </sheetViews>
  <sheetFormatPr defaultColWidth="1.875" defaultRowHeight="15" customHeight="1" x14ac:dyDescent="0.15"/>
  <cols>
    <col min="1" max="16384" width="1.875" style="1"/>
  </cols>
  <sheetData>
    <row r="1" spans="1:76" ht="15" customHeight="1" x14ac:dyDescent="0.15">
      <c r="A1" s="1" t="s">
        <v>37</v>
      </c>
    </row>
    <row r="3" spans="1:76" s="2" customFormat="1" ht="15" customHeight="1" x14ac:dyDescent="0.15">
      <c r="A3" s="97" t="s">
        <v>62</v>
      </c>
      <c r="B3" s="97"/>
      <c r="C3" s="97"/>
      <c r="D3" s="97"/>
      <c r="E3" s="87" t="s">
        <v>65</v>
      </c>
      <c r="F3" s="88"/>
      <c r="G3" s="88"/>
      <c r="H3" s="88"/>
      <c r="I3" s="89"/>
      <c r="J3" s="87" t="s">
        <v>55</v>
      </c>
      <c r="K3" s="88"/>
      <c r="L3" s="88"/>
      <c r="M3" s="88"/>
      <c r="N3" s="88"/>
      <c r="O3" s="88"/>
      <c r="P3" s="88"/>
      <c r="Q3" s="89"/>
      <c r="R3" s="97" t="s">
        <v>56</v>
      </c>
      <c r="S3" s="97"/>
      <c r="T3" s="97"/>
      <c r="U3" s="97"/>
      <c r="V3" s="97"/>
      <c r="W3" s="97" t="s">
        <v>57</v>
      </c>
      <c r="X3" s="97"/>
      <c r="Y3" s="97"/>
      <c r="Z3" s="97"/>
      <c r="AA3" s="97"/>
      <c r="AB3" s="97"/>
      <c r="AC3" s="97"/>
      <c r="AD3" s="97"/>
      <c r="AE3" s="97"/>
      <c r="AF3" s="97"/>
      <c r="AG3" s="97"/>
      <c r="AH3" s="97" t="s">
        <v>58</v>
      </c>
      <c r="AI3" s="97"/>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c r="BP3" s="97"/>
      <c r="BQ3" s="97"/>
      <c r="BR3" s="97" t="s">
        <v>59</v>
      </c>
      <c r="BS3" s="97"/>
      <c r="BT3" s="97"/>
      <c r="BU3" s="97"/>
      <c r="BV3" s="97"/>
      <c r="BW3" s="97"/>
      <c r="BX3" s="97"/>
    </row>
    <row r="4" spans="1:76" s="2" customFormat="1" ht="15" customHeight="1" x14ac:dyDescent="0.15">
      <c r="A4" s="97"/>
      <c r="B4" s="97"/>
      <c r="C4" s="97"/>
      <c r="D4" s="97"/>
      <c r="E4" s="90"/>
      <c r="F4" s="91"/>
      <c r="G4" s="91"/>
      <c r="H4" s="91"/>
      <c r="I4" s="92"/>
      <c r="J4" s="90"/>
      <c r="K4" s="91"/>
      <c r="L4" s="91"/>
      <c r="M4" s="91"/>
      <c r="N4" s="91"/>
      <c r="O4" s="91"/>
      <c r="P4" s="91"/>
      <c r="Q4" s="92"/>
      <c r="R4" s="97"/>
      <c r="S4" s="97"/>
      <c r="T4" s="97"/>
      <c r="U4" s="97"/>
      <c r="V4" s="97"/>
      <c r="W4" s="97" t="s">
        <v>60</v>
      </c>
      <c r="X4" s="97"/>
      <c r="Y4" s="97"/>
      <c r="Z4" s="97"/>
      <c r="AA4" s="97" t="s">
        <v>61</v>
      </c>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row>
    <row r="5" spans="1:76" ht="15" customHeight="1" x14ac:dyDescent="0.15">
      <c r="A5" s="96">
        <v>1</v>
      </c>
      <c r="B5" s="96"/>
      <c r="C5" s="96"/>
      <c r="D5" s="96"/>
      <c r="E5" s="84">
        <v>1</v>
      </c>
      <c r="F5" s="85"/>
      <c r="G5" s="85"/>
      <c r="H5" s="85"/>
      <c r="I5" s="86"/>
      <c r="J5" s="93">
        <f>タイトル!I47</f>
        <v>45243</v>
      </c>
      <c r="K5" s="94"/>
      <c r="L5" s="94"/>
      <c r="M5" s="94"/>
      <c r="N5" s="94"/>
      <c r="O5" s="94"/>
      <c r="P5" s="94"/>
      <c r="Q5" s="95"/>
      <c r="R5" s="98" t="s">
        <v>39</v>
      </c>
      <c r="S5" s="99"/>
      <c r="T5" s="99"/>
      <c r="U5" s="99"/>
      <c r="V5" s="100"/>
      <c r="W5" s="77"/>
      <c r="X5" s="78"/>
      <c r="Y5" s="78"/>
      <c r="Z5" s="79"/>
      <c r="AA5" s="77"/>
      <c r="AB5" s="78"/>
      <c r="AC5" s="78"/>
      <c r="AD5" s="78"/>
      <c r="AE5" s="78"/>
      <c r="AF5" s="78"/>
      <c r="AG5" s="79"/>
      <c r="AH5" s="101" t="s">
        <v>0</v>
      </c>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t="str">
        <f>タイトル!I46</f>
        <v>木田　優</v>
      </c>
      <c r="BS5" s="101"/>
      <c r="BT5" s="101"/>
      <c r="BU5" s="101"/>
      <c r="BV5" s="101"/>
      <c r="BW5" s="101"/>
      <c r="BX5" s="101"/>
    </row>
    <row r="6" spans="1:76" ht="30" customHeight="1" x14ac:dyDescent="0.15">
      <c r="A6" s="83">
        <v>2</v>
      </c>
      <c r="B6" s="83"/>
      <c r="C6" s="83"/>
      <c r="D6" s="83"/>
      <c r="E6" s="84">
        <v>1.1000000000000001</v>
      </c>
      <c r="F6" s="85"/>
      <c r="G6" s="85"/>
      <c r="H6" s="85"/>
      <c r="I6" s="86"/>
      <c r="J6" s="80">
        <v>45247</v>
      </c>
      <c r="K6" s="81"/>
      <c r="L6" s="81"/>
      <c r="M6" s="81"/>
      <c r="N6" s="81"/>
      <c r="O6" s="81"/>
      <c r="P6" s="81"/>
      <c r="Q6" s="82"/>
      <c r="R6" s="77" t="s">
        <v>256</v>
      </c>
      <c r="S6" s="78"/>
      <c r="T6" s="78"/>
      <c r="U6" s="78"/>
      <c r="V6" s="79"/>
      <c r="W6" s="77"/>
      <c r="X6" s="78"/>
      <c r="Y6" s="78"/>
      <c r="Z6" s="79"/>
      <c r="AA6" s="77"/>
      <c r="AB6" s="78"/>
      <c r="AC6" s="78"/>
      <c r="AD6" s="78"/>
      <c r="AE6" s="78"/>
      <c r="AF6" s="78"/>
      <c r="AG6" s="79"/>
      <c r="AH6" s="334" t="s">
        <v>260</v>
      </c>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4"/>
      <c r="BR6" s="102" t="s">
        <v>257</v>
      </c>
      <c r="BS6" s="172"/>
      <c r="BT6" s="172"/>
      <c r="BU6" s="172"/>
      <c r="BV6" s="172"/>
      <c r="BW6" s="172"/>
      <c r="BX6" s="173"/>
    </row>
    <row r="7" spans="1:76" ht="15" customHeight="1" x14ac:dyDescent="0.15">
      <c r="A7" s="83"/>
      <c r="B7" s="83"/>
      <c r="C7" s="83"/>
      <c r="D7" s="83"/>
      <c r="E7" s="84"/>
      <c r="F7" s="85"/>
      <c r="G7" s="85"/>
      <c r="H7" s="85"/>
      <c r="I7" s="86"/>
      <c r="J7" s="80"/>
      <c r="K7" s="81"/>
      <c r="L7" s="81"/>
      <c r="M7" s="81"/>
      <c r="N7" s="81"/>
      <c r="O7" s="81"/>
      <c r="P7" s="81"/>
      <c r="Q7" s="82"/>
      <c r="R7" s="77"/>
      <c r="S7" s="78"/>
      <c r="T7" s="78"/>
      <c r="U7" s="78"/>
      <c r="V7" s="79"/>
      <c r="W7" s="77"/>
      <c r="X7" s="78"/>
      <c r="Y7" s="78"/>
      <c r="Z7" s="79"/>
      <c r="AA7" s="77"/>
      <c r="AB7" s="78"/>
      <c r="AC7" s="78"/>
      <c r="AD7" s="78"/>
      <c r="AE7" s="78"/>
      <c r="AF7" s="78"/>
      <c r="AG7" s="79"/>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row>
    <row r="8" spans="1:76" ht="15" customHeight="1" x14ac:dyDescent="0.15">
      <c r="A8" s="83"/>
      <c r="B8" s="83"/>
      <c r="C8" s="83"/>
      <c r="D8" s="83"/>
      <c r="E8" s="84"/>
      <c r="F8" s="85"/>
      <c r="G8" s="85"/>
      <c r="H8" s="85"/>
      <c r="I8" s="86"/>
      <c r="J8" s="80"/>
      <c r="K8" s="81"/>
      <c r="L8" s="81"/>
      <c r="M8" s="81"/>
      <c r="N8" s="81"/>
      <c r="O8" s="81"/>
      <c r="P8" s="81"/>
      <c r="Q8" s="82"/>
      <c r="R8" s="77"/>
      <c r="S8" s="78"/>
      <c r="T8" s="78"/>
      <c r="U8" s="78"/>
      <c r="V8" s="79"/>
      <c r="W8" s="77"/>
      <c r="X8" s="78"/>
      <c r="Y8" s="78"/>
      <c r="Z8" s="79"/>
      <c r="AA8" s="77"/>
      <c r="AB8" s="78"/>
      <c r="AC8" s="78"/>
      <c r="AD8" s="78"/>
      <c r="AE8" s="78"/>
      <c r="AF8" s="78"/>
      <c r="AG8" s="79"/>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row>
    <row r="9" spans="1:76" ht="15" customHeight="1" x14ac:dyDescent="0.15">
      <c r="A9" s="83"/>
      <c r="B9" s="83"/>
      <c r="C9" s="83"/>
      <c r="D9" s="83"/>
      <c r="E9" s="84"/>
      <c r="F9" s="85"/>
      <c r="G9" s="85"/>
      <c r="H9" s="85"/>
      <c r="I9" s="86"/>
      <c r="J9" s="80"/>
      <c r="K9" s="81"/>
      <c r="L9" s="81"/>
      <c r="M9" s="81"/>
      <c r="N9" s="81"/>
      <c r="O9" s="81"/>
      <c r="P9" s="81"/>
      <c r="Q9" s="82"/>
      <c r="R9" s="77"/>
      <c r="S9" s="78"/>
      <c r="T9" s="78"/>
      <c r="U9" s="78"/>
      <c r="V9" s="79"/>
      <c r="W9" s="77"/>
      <c r="X9" s="78"/>
      <c r="Y9" s="78"/>
      <c r="Z9" s="79"/>
      <c r="AA9" s="77"/>
      <c r="AB9" s="78"/>
      <c r="AC9" s="78"/>
      <c r="AD9" s="78"/>
      <c r="AE9" s="78"/>
      <c r="AF9" s="78"/>
      <c r="AG9" s="79"/>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row>
    <row r="10" spans="1:76" ht="15" customHeight="1" x14ac:dyDescent="0.15">
      <c r="A10" s="83"/>
      <c r="B10" s="83"/>
      <c r="C10" s="83"/>
      <c r="D10" s="83"/>
      <c r="E10" s="84"/>
      <c r="F10" s="85"/>
      <c r="G10" s="85"/>
      <c r="H10" s="85"/>
      <c r="I10" s="86"/>
      <c r="J10" s="80"/>
      <c r="K10" s="81"/>
      <c r="L10" s="81"/>
      <c r="M10" s="81"/>
      <c r="N10" s="81"/>
      <c r="O10" s="81"/>
      <c r="P10" s="81"/>
      <c r="Q10" s="82"/>
      <c r="R10" s="77"/>
      <c r="S10" s="78"/>
      <c r="T10" s="78"/>
      <c r="U10" s="78"/>
      <c r="V10" s="79"/>
      <c r="W10" s="77"/>
      <c r="X10" s="78"/>
      <c r="Y10" s="78"/>
      <c r="Z10" s="79"/>
      <c r="AA10" s="77"/>
      <c r="AB10" s="78"/>
      <c r="AC10" s="78"/>
      <c r="AD10" s="78"/>
      <c r="AE10" s="78"/>
      <c r="AF10" s="78"/>
      <c r="AG10" s="79"/>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row>
    <row r="11" spans="1:76" ht="15" customHeight="1" x14ac:dyDescent="0.15">
      <c r="A11" s="83"/>
      <c r="B11" s="83"/>
      <c r="C11" s="83"/>
      <c r="D11" s="83"/>
      <c r="E11" s="84"/>
      <c r="F11" s="85"/>
      <c r="G11" s="85"/>
      <c r="H11" s="85"/>
      <c r="I11" s="86"/>
      <c r="J11" s="80"/>
      <c r="K11" s="81"/>
      <c r="L11" s="81"/>
      <c r="M11" s="81"/>
      <c r="N11" s="81"/>
      <c r="O11" s="81"/>
      <c r="P11" s="81"/>
      <c r="Q11" s="82"/>
      <c r="R11" s="77"/>
      <c r="S11" s="78"/>
      <c r="T11" s="78"/>
      <c r="U11" s="78"/>
      <c r="V11" s="79"/>
      <c r="W11" s="77"/>
      <c r="X11" s="78"/>
      <c r="Y11" s="78"/>
      <c r="Z11" s="79"/>
      <c r="AA11" s="77"/>
      <c r="AB11" s="78"/>
      <c r="AC11" s="78"/>
      <c r="AD11" s="78"/>
      <c r="AE11" s="78"/>
      <c r="AF11" s="78"/>
      <c r="AG11" s="79"/>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row>
    <row r="12" spans="1:76" ht="15" customHeight="1" x14ac:dyDescent="0.15">
      <c r="A12" s="83"/>
      <c r="B12" s="83"/>
      <c r="C12" s="83"/>
      <c r="D12" s="83"/>
      <c r="E12" s="84"/>
      <c r="F12" s="85"/>
      <c r="G12" s="85"/>
      <c r="H12" s="85"/>
      <c r="I12" s="86"/>
      <c r="J12" s="80"/>
      <c r="K12" s="81"/>
      <c r="L12" s="81"/>
      <c r="M12" s="81"/>
      <c r="N12" s="81"/>
      <c r="O12" s="81"/>
      <c r="P12" s="81"/>
      <c r="Q12" s="82"/>
      <c r="R12" s="77"/>
      <c r="S12" s="78"/>
      <c r="T12" s="78"/>
      <c r="U12" s="78"/>
      <c r="V12" s="79"/>
      <c r="W12" s="77"/>
      <c r="X12" s="78"/>
      <c r="Y12" s="78"/>
      <c r="Z12" s="79"/>
      <c r="AA12" s="77"/>
      <c r="AB12" s="78"/>
      <c r="AC12" s="78"/>
      <c r="AD12" s="78"/>
      <c r="AE12" s="78"/>
      <c r="AF12" s="78"/>
      <c r="AG12" s="79"/>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row>
    <row r="13" spans="1:76" ht="15" customHeight="1" x14ac:dyDescent="0.15">
      <c r="A13" s="83"/>
      <c r="B13" s="83"/>
      <c r="C13" s="83"/>
      <c r="D13" s="83"/>
      <c r="E13" s="84"/>
      <c r="F13" s="85"/>
      <c r="G13" s="85"/>
      <c r="H13" s="85"/>
      <c r="I13" s="86"/>
      <c r="J13" s="80"/>
      <c r="K13" s="81"/>
      <c r="L13" s="81"/>
      <c r="M13" s="81"/>
      <c r="N13" s="81"/>
      <c r="O13" s="81"/>
      <c r="P13" s="81"/>
      <c r="Q13" s="82"/>
      <c r="R13" s="77"/>
      <c r="S13" s="78"/>
      <c r="T13" s="78"/>
      <c r="U13" s="78"/>
      <c r="V13" s="79"/>
      <c r="W13" s="77"/>
      <c r="X13" s="78"/>
      <c r="Y13" s="78"/>
      <c r="Z13" s="79"/>
      <c r="AA13" s="77"/>
      <c r="AB13" s="78"/>
      <c r="AC13" s="78"/>
      <c r="AD13" s="78"/>
      <c r="AE13" s="78"/>
      <c r="AF13" s="78"/>
      <c r="AG13" s="79"/>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row>
    <row r="14" spans="1:76" ht="15" customHeight="1" x14ac:dyDescent="0.15">
      <c r="A14" s="83"/>
      <c r="B14" s="83"/>
      <c r="C14" s="83"/>
      <c r="D14" s="83"/>
      <c r="E14" s="84"/>
      <c r="F14" s="85"/>
      <c r="G14" s="85"/>
      <c r="H14" s="85"/>
      <c r="I14" s="86"/>
      <c r="J14" s="80"/>
      <c r="K14" s="81"/>
      <c r="L14" s="81"/>
      <c r="M14" s="81"/>
      <c r="N14" s="81"/>
      <c r="O14" s="81"/>
      <c r="P14" s="81"/>
      <c r="Q14" s="82"/>
      <c r="R14" s="77"/>
      <c r="S14" s="78"/>
      <c r="T14" s="78"/>
      <c r="U14" s="78"/>
      <c r="V14" s="79"/>
      <c r="W14" s="77"/>
      <c r="X14" s="78"/>
      <c r="Y14" s="78"/>
      <c r="Z14" s="79"/>
      <c r="AA14" s="77"/>
      <c r="AB14" s="78"/>
      <c r="AC14" s="78"/>
      <c r="AD14" s="78"/>
      <c r="AE14" s="78"/>
      <c r="AF14" s="78"/>
      <c r="AG14" s="79"/>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row>
    <row r="15" spans="1:76" ht="15" customHeight="1" x14ac:dyDescent="0.15">
      <c r="A15" s="83"/>
      <c r="B15" s="83"/>
      <c r="C15" s="83"/>
      <c r="D15" s="83"/>
      <c r="E15" s="84"/>
      <c r="F15" s="85"/>
      <c r="G15" s="85"/>
      <c r="H15" s="85"/>
      <c r="I15" s="86"/>
      <c r="J15" s="80"/>
      <c r="K15" s="81"/>
      <c r="L15" s="81"/>
      <c r="M15" s="81"/>
      <c r="N15" s="81"/>
      <c r="O15" s="81"/>
      <c r="P15" s="81"/>
      <c r="Q15" s="82"/>
      <c r="R15" s="77"/>
      <c r="S15" s="78"/>
      <c r="T15" s="78"/>
      <c r="U15" s="78"/>
      <c r="V15" s="79"/>
      <c r="W15" s="77"/>
      <c r="X15" s="78"/>
      <c r="Y15" s="78"/>
      <c r="Z15" s="79"/>
      <c r="AA15" s="77"/>
      <c r="AB15" s="78"/>
      <c r="AC15" s="78"/>
      <c r="AD15" s="78"/>
      <c r="AE15" s="78"/>
      <c r="AF15" s="78"/>
      <c r="AG15" s="79"/>
      <c r="AH15" s="105"/>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row>
    <row r="16" spans="1:76" ht="15" customHeight="1" x14ac:dyDescent="0.15">
      <c r="A16" s="83"/>
      <c r="B16" s="83"/>
      <c r="C16" s="83"/>
      <c r="D16" s="83"/>
      <c r="E16" s="84"/>
      <c r="F16" s="85"/>
      <c r="G16" s="85"/>
      <c r="H16" s="85"/>
      <c r="I16" s="86"/>
      <c r="J16" s="80"/>
      <c r="K16" s="81"/>
      <c r="L16" s="81"/>
      <c r="M16" s="81"/>
      <c r="N16" s="81"/>
      <c r="O16" s="81"/>
      <c r="P16" s="81"/>
      <c r="Q16" s="82"/>
      <c r="R16" s="77"/>
      <c r="S16" s="78"/>
      <c r="T16" s="78"/>
      <c r="U16" s="78"/>
      <c r="V16" s="79"/>
      <c r="W16" s="77"/>
      <c r="X16" s="78"/>
      <c r="Y16" s="78"/>
      <c r="Z16" s="79"/>
      <c r="AA16" s="77"/>
      <c r="AB16" s="78"/>
      <c r="AC16" s="78"/>
      <c r="AD16" s="78"/>
      <c r="AE16" s="78"/>
      <c r="AF16" s="78"/>
      <c r="AG16" s="79"/>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row>
    <row r="17" spans="1:76" ht="15" customHeight="1" x14ac:dyDescent="0.15">
      <c r="A17" s="83"/>
      <c r="B17" s="83"/>
      <c r="C17" s="83"/>
      <c r="D17" s="83"/>
      <c r="E17" s="84"/>
      <c r="F17" s="85"/>
      <c r="G17" s="85"/>
      <c r="H17" s="85"/>
      <c r="I17" s="86"/>
      <c r="J17" s="80"/>
      <c r="K17" s="81"/>
      <c r="L17" s="81"/>
      <c r="M17" s="81"/>
      <c r="N17" s="81"/>
      <c r="O17" s="81"/>
      <c r="P17" s="81"/>
      <c r="Q17" s="82"/>
      <c r="R17" s="77"/>
      <c r="S17" s="78"/>
      <c r="T17" s="78"/>
      <c r="U17" s="78"/>
      <c r="V17" s="79"/>
      <c r="W17" s="77"/>
      <c r="X17" s="78"/>
      <c r="Y17" s="78"/>
      <c r="Z17" s="79"/>
      <c r="AA17" s="77"/>
      <c r="AB17" s="78"/>
      <c r="AC17" s="78"/>
      <c r="AD17" s="78"/>
      <c r="AE17" s="78"/>
      <c r="AF17" s="78"/>
      <c r="AG17" s="79"/>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row>
    <row r="18" spans="1:76" ht="15" customHeight="1" x14ac:dyDescent="0.15">
      <c r="A18" s="83"/>
      <c r="B18" s="83"/>
      <c r="C18" s="83"/>
      <c r="D18" s="83"/>
      <c r="E18" s="84"/>
      <c r="F18" s="85"/>
      <c r="G18" s="85"/>
      <c r="H18" s="85"/>
      <c r="I18" s="86"/>
      <c r="J18" s="80"/>
      <c r="K18" s="81"/>
      <c r="L18" s="81"/>
      <c r="M18" s="81"/>
      <c r="N18" s="81"/>
      <c r="O18" s="81"/>
      <c r="P18" s="81"/>
      <c r="Q18" s="82"/>
      <c r="R18" s="77"/>
      <c r="S18" s="78"/>
      <c r="T18" s="78"/>
      <c r="U18" s="78"/>
      <c r="V18" s="79"/>
      <c r="W18" s="77"/>
      <c r="X18" s="78"/>
      <c r="Y18" s="78"/>
      <c r="Z18" s="79"/>
      <c r="AA18" s="77"/>
      <c r="AB18" s="78"/>
      <c r="AC18" s="78"/>
      <c r="AD18" s="78"/>
      <c r="AE18" s="78"/>
      <c r="AF18" s="78"/>
      <c r="AG18" s="79"/>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row>
    <row r="19" spans="1:76" ht="15" customHeight="1" x14ac:dyDescent="0.15">
      <c r="A19" s="83"/>
      <c r="B19" s="83"/>
      <c r="C19" s="83"/>
      <c r="D19" s="83"/>
      <c r="E19" s="84"/>
      <c r="F19" s="85"/>
      <c r="G19" s="85"/>
      <c r="H19" s="85"/>
      <c r="I19" s="86"/>
      <c r="J19" s="80"/>
      <c r="K19" s="81"/>
      <c r="L19" s="81"/>
      <c r="M19" s="81"/>
      <c r="N19" s="81"/>
      <c r="O19" s="81"/>
      <c r="P19" s="81"/>
      <c r="Q19" s="82"/>
      <c r="R19" s="77"/>
      <c r="S19" s="78"/>
      <c r="T19" s="78"/>
      <c r="U19" s="78"/>
      <c r="V19" s="79"/>
      <c r="W19" s="77"/>
      <c r="X19" s="78"/>
      <c r="Y19" s="78"/>
      <c r="Z19" s="79"/>
      <c r="AA19" s="77"/>
      <c r="AB19" s="78"/>
      <c r="AC19" s="78"/>
      <c r="AD19" s="78"/>
      <c r="AE19" s="78"/>
      <c r="AF19" s="78"/>
      <c r="AG19" s="79"/>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row>
    <row r="20" spans="1:76" ht="15" customHeight="1" x14ac:dyDescent="0.15">
      <c r="A20" s="83"/>
      <c r="B20" s="83"/>
      <c r="C20" s="83"/>
      <c r="D20" s="83"/>
      <c r="E20" s="84"/>
      <c r="F20" s="85"/>
      <c r="G20" s="85"/>
      <c r="H20" s="85"/>
      <c r="I20" s="86"/>
      <c r="J20" s="80"/>
      <c r="K20" s="81"/>
      <c r="L20" s="81"/>
      <c r="M20" s="81"/>
      <c r="N20" s="81"/>
      <c r="O20" s="81"/>
      <c r="P20" s="81"/>
      <c r="Q20" s="82"/>
      <c r="R20" s="77"/>
      <c r="S20" s="78"/>
      <c r="T20" s="78"/>
      <c r="U20" s="78"/>
      <c r="V20" s="79"/>
      <c r="W20" s="77"/>
      <c r="X20" s="78"/>
      <c r="Y20" s="78"/>
      <c r="Z20" s="79"/>
      <c r="AA20" s="77"/>
      <c r="AB20" s="78"/>
      <c r="AC20" s="78"/>
      <c r="AD20" s="78"/>
      <c r="AE20" s="78"/>
      <c r="AF20" s="78"/>
      <c r="AG20" s="79"/>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row>
    <row r="21" spans="1:76" ht="15" customHeight="1" x14ac:dyDescent="0.15">
      <c r="A21" s="83"/>
      <c r="B21" s="83"/>
      <c r="C21" s="83"/>
      <c r="D21" s="83"/>
      <c r="E21" s="84"/>
      <c r="F21" s="85"/>
      <c r="G21" s="85"/>
      <c r="H21" s="85"/>
      <c r="I21" s="86"/>
      <c r="J21" s="80"/>
      <c r="K21" s="81"/>
      <c r="L21" s="81"/>
      <c r="M21" s="81"/>
      <c r="N21" s="81"/>
      <c r="O21" s="81"/>
      <c r="P21" s="81"/>
      <c r="Q21" s="82"/>
      <c r="R21" s="77"/>
      <c r="S21" s="78"/>
      <c r="T21" s="78"/>
      <c r="U21" s="78"/>
      <c r="V21" s="79"/>
      <c r="W21" s="77"/>
      <c r="X21" s="78"/>
      <c r="Y21" s="78"/>
      <c r="Z21" s="79"/>
      <c r="AA21" s="77"/>
      <c r="AB21" s="78"/>
      <c r="AC21" s="78"/>
      <c r="AD21" s="78"/>
      <c r="AE21" s="78"/>
      <c r="AF21" s="78"/>
      <c r="AG21" s="79"/>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row>
    <row r="22" spans="1:76" ht="15" customHeight="1" x14ac:dyDescent="0.15">
      <c r="A22" s="83"/>
      <c r="B22" s="83"/>
      <c r="C22" s="83"/>
      <c r="D22" s="83"/>
      <c r="E22" s="84"/>
      <c r="F22" s="85"/>
      <c r="G22" s="85"/>
      <c r="H22" s="85"/>
      <c r="I22" s="86"/>
      <c r="J22" s="80"/>
      <c r="K22" s="81"/>
      <c r="L22" s="81"/>
      <c r="M22" s="81"/>
      <c r="N22" s="81"/>
      <c r="O22" s="81"/>
      <c r="P22" s="81"/>
      <c r="Q22" s="82"/>
      <c r="R22" s="77"/>
      <c r="S22" s="78"/>
      <c r="T22" s="78"/>
      <c r="U22" s="78"/>
      <c r="V22" s="79"/>
      <c r="W22" s="77"/>
      <c r="X22" s="78"/>
      <c r="Y22" s="78"/>
      <c r="Z22" s="79"/>
      <c r="AA22" s="77"/>
      <c r="AB22" s="78"/>
      <c r="AC22" s="78"/>
      <c r="AD22" s="78"/>
      <c r="AE22" s="78"/>
      <c r="AF22" s="78"/>
      <c r="AG22" s="79"/>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row>
    <row r="23" spans="1:76" ht="15" customHeight="1" x14ac:dyDescent="0.15">
      <c r="A23" s="83"/>
      <c r="B23" s="83"/>
      <c r="C23" s="83"/>
      <c r="D23" s="83"/>
      <c r="E23" s="84"/>
      <c r="F23" s="85"/>
      <c r="G23" s="85"/>
      <c r="H23" s="85"/>
      <c r="I23" s="86"/>
      <c r="J23" s="80"/>
      <c r="K23" s="81"/>
      <c r="L23" s="81"/>
      <c r="M23" s="81"/>
      <c r="N23" s="81"/>
      <c r="O23" s="81"/>
      <c r="P23" s="81"/>
      <c r="Q23" s="82"/>
      <c r="R23" s="77"/>
      <c r="S23" s="78"/>
      <c r="T23" s="78"/>
      <c r="U23" s="78"/>
      <c r="V23" s="79"/>
      <c r="W23" s="77"/>
      <c r="X23" s="78"/>
      <c r="Y23" s="78"/>
      <c r="Z23" s="79"/>
      <c r="AA23" s="77"/>
      <c r="AB23" s="78"/>
      <c r="AC23" s="78"/>
      <c r="AD23" s="78"/>
      <c r="AE23" s="78"/>
      <c r="AF23" s="78"/>
      <c r="AG23" s="79"/>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row>
    <row r="24" spans="1:76" ht="15" customHeight="1" x14ac:dyDescent="0.15">
      <c r="A24" s="83"/>
      <c r="B24" s="83"/>
      <c r="C24" s="83"/>
      <c r="D24" s="83"/>
      <c r="E24" s="84"/>
      <c r="F24" s="85"/>
      <c r="G24" s="85"/>
      <c r="H24" s="85"/>
      <c r="I24" s="86"/>
      <c r="J24" s="80"/>
      <c r="K24" s="81"/>
      <c r="L24" s="81"/>
      <c r="M24" s="81"/>
      <c r="N24" s="81"/>
      <c r="O24" s="81"/>
      <c r="P24" s="81"/>
      <c r="Q24" s="82"/>
      <c r="R24" s="77"/>
      <c r="S24" s="78"/>
      <c r="T24" s="78"/>
      <c r="U24" s="78"/>
      <c r="V24" s="79"/>
      <c r="W24" s="77"/>
      <c r="X24" s="78"/>
      <c r="Y24" s="78"/>
      <c r="Z24" s="79"/>
      <c r="AA24" s="77"/>
      <c r="AB24" s="78"/>
      <c r="AC24" s="78"/>
      <c r="AD24" s="78"/>
      <c r="AE24" s="78"/>
      <c r="AF24" s="78"/>
      <c r="AG24" s="79"/>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row>
    <row r="25" spans="1:76" ht="15" customHeight="1" x14ac:dyDescent="0.15">
      <c r="A25" s="83"/>
      <c r="B25" s="83"/>
      <c r="C25" s="83"/>
      <c r="D25" s="83"/>
      <c r="E25" s="84"/>
      <c r="F25" s="85"/>
      <c r="G25" s="85"/>
      <c r="H25" s="85"/>
      <c r="I25" s="86"/>
      <c r="J25" s="80"/>
      <c r="K25" s="81"/>
      <c r="L25" s="81"/>
      <c r="M25" s="81"/>
      <c r="N25" s="81"/>
      <c r="O25" s="81"/>
      <c r="P25" s="81"/>
      <c r="Q25" s="82"/>
      <c r="R25" s="77"/>
      <c r="S25" s="78"/>
      <c r="T25" s="78"/>
      <c r="U25" s="78"/>
      <c r="V25" s="79"/>
      <c r="W25" s="77"/>
      <c r="X25" s="78"/>
      <c r="Y25" s="78"/>
      <c r="Z25" s="79"/>
      <c r="AA25" s="77"/>
      <c r="AB25" s="78"/>
      <c r="AC25" s="78"/>
      <c r="AD25" s="78"/>
      <c r="AE25" s="78"/>
      <c r="AF25" s="78"/>
      <c r="AG25" s="79"/>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row>
    <row r="26" spans="1:76" ht="15" customHeight="1" x14ac:dyDescent="0.15">
      <c r="A26" s="83"/>
      <c r="B26" s="83"/>
      <c r="C26" s="83"/>
      <c r="D26" s="83"/>
      <c r="E26" s="84"/>
      <c r="F26" s="85"/>
      <c r="G26" s="85"/>
      <c r="H26" s="85"/>
      <c r="I26" s="86"/>
      <c r="J26" s="80"/>
      <c r="K26" s="81"/>
      <c r="L26" s="81"/>
      <c r="M26" s="81"/>
      <c r="N26" s="81"/>
      <c r="O26" s="81"/>
      <c r="P26" s="81"/>
      <c r="Q26" s="82"/>
      <c r="R26" s="77"/>
      <c r="S26" s="78"/>
      <c r="T26" s="78"/>
      <c r="U26" s="78"/>
      <c r="V26" s="79"/>
      <c r="W26" s="77"/>
      <c r="X26" s="78"/>
      <c r="Y26" s="78"/>
      <c r="Z26" s="79"/>
      <c r="AA26" s="77"/>
      <c r="AB26" s="78"/>
      <c r="AC26" s="78"/>
      <c r="AD26" s="78"/>
      <c r="AE26" s="78"/>
      <c r="AF26" s="78"/>
      <c r="AG26" s="79"/>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row>
    <row r="27" spans="1:76" ht="15" customHeight="1" x14ac:dyDescent="0.15">
      <c r="A27" s="83"/>
      <c r="B27" s="83"/>
      <c r="C27" s="83"/>
      <c r="D27" s="83"/>
      <c r="E27" s="84"/>
      <c r="F27" s="85"/>
      <c r="G27" s="85"/>
      <c r="H27" s="85"/>
      <c r="I27" s="86"/>
      <c r="J27" s="80"/>
      <c r="K27" s="81"/>
      <c r="L27" s="81"/>
      <c r="M27" s="81"/>
      <c r="N27" s="81"/>
      <c r="O27" s="81"/>
      <c r="P27" s="81"/>
      <c r="Q27" s="82"/>
      <c r="R27" s="77"/>
      <c r="S27" s="78"/>
      <c r="T27" s="78"/>
      <c r="U27" s="78"/>
      <c r="V27" s="79"/>
      <c r="W27" s="77"/>
      <c r="X27" s="78"/>
      <c r="Y27" s="78"/>
      <c r="Z27" s="79"/>
      <c r="AA27" s="77"/>
      <c r="AB27" s="78"/>
      <c r="AC27" s="78"/>
      <c r="AD27" s="78"/>
      <c r="AE27" s="78"/>
      <c r="AF27" s="78"/>
      <c r="AG27" s="79"/>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row>
    <row r="28" spans="1:76" ht="15" customHeight="1" x14ac:dyDescent="0.15">
      <c r="A28" s="83"/>
      <c r="B28" s="83"/>
      <c r="C28" s="83"/>
      <c r="D28" s="83"/>
      <c r="E28" s="84"/>
      <c r="F28" s="85"/>
      <c r="G28" s="85"/>
      <c r="H28" s="85"/>
      <c r="I28" s="86"/>
      <c r="J28" s="80"/>
      <c r="K28" s="81"/>
      <c r="L28" s="81"/>
      <c r="M28" s="81"/>
      <c r="N28" s="81"/>
      <c r="O28" s="81"/>
      <c r="P28" s="81"/>
      <c r="Q28" s="82"/>
      <c r="R28" s="77"/>
      <c r="S28" s="78"/>
      <c r="T28" s="78"/>
      <c r="U28" s="78"/>
      <c r="V28" s="79"/>
      <c r="W28" s="77"/>
      <c r="X28" s="78"/>
      <c r="Y28" s="78"/>
      <c r="Z28" s="79"/>
      <c r="AA28" s="77"/>
      <c r="AB28" s="78"/>
      <c r="AC28" s="78"/>
      <c r="AD28" s="78"/>
      <c r="AE28" s="78"/>
      <c r="AF28" s="78"/>
      <c r="AG28" s="79"/>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row>
    <row r="29" spans="1:76" ht="15" customHeight="1" x14ac:dyDescent="0.15">
      <c r="A29" s="83"/>
      <c r="B29" s="83"/>
      <c r="C29" s="83"/>
      <c r="D29" s="83"/>
      <c r="E29" s="84"/>
      <c r="F29" s="85"/>
      <c r="G29" s="85"/>
      <c r="H29" s="85"/>
      <c r="I29" s="86"/>
      <c r="J29" s="80"/>
      <c r="K29" s="81"/>
      <c r="L29" s="81"/>
      <c r="M29" s="81"/>
      <c r="N29" s="81"/>
      <c r="O29" s="81"/>
      <c r="P29" s="81"/>
      <c r="Q29" s="82"/>
      <c r="R29" s="77"/>
      <c r="S29" s="78"/>
      <c r="T29" s="78"/>
      <c r="U29" s="78"/>
      <c r="V29" s="79"/>
      <c r="W29" s="77"/>
      <c r="X29" s="78"/>
      <c r="Y29" s="78"/>
      <c r="Z29" s="79"/>
      <c r="AA29" s="77"/>
      <c r="AB29" s="78"/>
      <c r="AC29" s="78"/>
      <c r="AD29" s="78"/>
      <c r="AE29" s="78"/>
      <c r="AF29" s="78"/>
      <c r="AG29" s="79"/>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row>
    <row r="30" spans="1:76" ht="15" customHeight="1" x14ac:dyDescent="0.15">
      <c r="A30" s="83"/>
      <c r="B30" s="83"/>
      <c r="C30" s="83"/>
      <c r="D30" s="83"/>
      <c r="E30" s="84"/>
      <c r="F30" s="85"/>
      <c r="G30" s="85"/>
      <c r="H30" s="85"/>
      <c r="I30" s="86"/>
      <c r="J30" s="80"/>
      <c r="K30" s="81"/>
      <c r="L30" s="81"/>
      <c r="M30" s="81"/>
      <c r="N30" s="81"/>
      <c r="O30" s="81"/>
      <c r="P30" s="81"/>
      <c r="Q30" s="82"/>
      <c r="R30" s="77"/>
      <c r="S30" s="78"/>
      <c r="T30" s="78"/>
      <c r="U30" s="78"/>
      <c r="V30" s="79"/>
      <c r="W30" s="77"/>
      <c r="X30" s="78"/>
      <c r="Y30" s="78"/>
      <c r="Z30" s="79"/>
      <c r="AA30" s="77"/>
      <c r="AB30" s="78"/>
      <c r="AC30" s="78"/>
      <c r="AD30" s="78"/>
      <c r="AE30" s="78"/>
      <c r="AF30" s="78"/>
      <c r="AG30" s="79"/>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row>
    <row r="31" spans="1:76" ht="15" customHeight="1" x14ac:dyDescent="0.15">
      <c r="A31" s="83"/>
      <c r="B31" s="83"/>
      <c r="C31" s="83"/>
      <c r="D31" s="83"/>
      <c r="E31" s="84"/>
      <c r="F31" s="85"/>
      <c r="G31" s="85"/>
      <c r="H31" s="85"/>
      <c r="I31" s="86"/>
      <c r="J31" s="80"/>
      <c r="K31" s="81"/>
      <c r="L31" s="81"/>
      <c r="M31" s="81"/>
      <c r="N31" s="81"/>
      <c r="O31" s="81"/>
      <c r="P31" s="81"/>
      <c r="Q31" s="82"/>
      <c r="R31" s="77"/>
      <c r="S31" s="78"/>
      <c r="T31" s="78"/>
      <c r="U31" s="78"/>
      <c r="V31" s="79"/>
      <c r="W31" s="77"/>
      <c r="X31" s="78"/>
      <c r="Y31" s="78"/>
      <c r="Z31" s="79"/>
      <c r="AA31" s="77"/>
      <c r="AB31" s="78"/>
      <c r="AC31" s="78"/>
      <c r="AD31" s="78"/>
      <c r="AE31" s="78"/>
      <c r="AF31" s="78"/>
      <c r="AG31" s="79"/>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row>
    <row r="32" spans="1:76" ht="15" customHeight="1" x14ac:dyDescent="0.15">
      <c r="A32" s="83"/>
      <c r="B32" s="83"/>
      <c r="C32" s="83"/>
      <c r="D32" s="83"/>
      <c r="E32" s="84"/>
      <c r="F32" s="85"/>
      <c r="G32" s="85"/>
      <c r="H32" s="85"/>
      <c r="I32" s="86"/>
      <c r="J32" s="80"/>
      <c r="K32" s="81"/>
      <c r="L32" s="81"/>
      <c r="M32" s="81"/>
      <c r="N32" s="81"/>
      <c r="O32" s="81"/>
      <c r="P32" s="81"/>
      <c r="Q32" s="82"/>
      <c r="R32" s="77"/>
      <c r="S32" s="78"/>
      <c r="T32" s="78"/>
      <c r="U32" s="78"/>
      <c r="V32" s="79"/>
      <c r="W32" s="77"/>
      <c r="X32" s="78"/>
      <c r="Y32" s="78"/>
      <c r="Z32" s="79"/>
      <c r="AA32" s="77"/>
      <c r="AB32" s="78"/>
      <c r="AC32" s="78"/>
      <c r="AD32" s="78"/>
      <c r="AE32" s="78"/>
      <c r="AF32" s="78"/>
      <c r="AG32" s="79"/>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row>
    <row r="33" spans="1:76" ht="15" customHeight="1" x14ac:dyDescent="0.15">
      <c r="A33" s="83"/>
      <c r="B33" s="83"/>
      <c r="C33" s="83"/>
      <c r="D33" s="83"/>
      <c r="E33" s="84"/>
      <c r="F33" s="85"/>
      <c r="G33" s="85"/>
      <c r="H33" s="85"/>
      <c r="I33" s="86"/>
      <c r="J33" s="80"/>
      <c r="K33" s="81"/>
      <c r="L33" s="81"/>
      <c r="M33" s="81"/>
      <c r="N33" s="81"/>
      <c r="O33" s="81"/>
      <c r="P33" s="81"/>
      <c r="Q33" s="82"/>
      <c r="R33" s="77"/>
      <c r="S33" s="78"/>
      <c r="T33" s="78"/>
      <c r="U33" s="78"/>
      <c r="V33" s="79"/>
      <c r="W33" s="77"/>
      <c r="X33" s="78"/>
      <c r="Y33" s="78"/>
      <c r="Z33" s="79"/>
      <c r="AA33" s="77"/>
      <c r="AB33" s="78"/>
      <c r="AC33" s="78"/>
      <c r="AD33" s="78"/>
      <c r="AE33" s="78"/>
      <c r="AF33" s="78"/>
      <c r="AG33" s="79"/>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row>
    <row r="34" spans="1:76" ht="15" customHeight="1" x14ac:dyDescent="0.15">
      <c r="A34" s="83"/>
      <c r="B34" s="83"/>
      <c r="C34" s="83"/>
      <c r="D34" s="83"/>
      <c r="E34" s="84"/>
      <c r="F34" s="85"/>
      <c r="G34" s="85"/>
      <c r="H34" s="85"/>
      <c r="I34" s="86"/>
      <c r="J34" s="80"/>
      <c r="K34" s="81"/>
      <c r="L34" s="81"/>
      <c r="M34" s="81"/>
      <c r="N34" s="81"/>
      <c r="O34" s="81"/>
      <c r="P34" s="81"/>
      <c r="Q34" s="82"/>
      <c r="R34" s="77"/>
      <c r="S34" s="78"/>
      <c r="T34" s="78"/>
      <c r="U34" s="78"/>
      <c r="V34" s="79"/>
      <c r="W34" s="77"/>
      <c r="X34" s="78"/>
      <c r="Y34" s="78"/>
      <c r="Z34" s="79"/>
      <c r="AA34" s="77"/>
      <c r="AB34" s="78"/>
      <c r="AC34" s="78"/>
      <c r="AD34" s="78"/>
      <c r="AE34" s="78"/>
      <c r="AF34" s="78"/>
      <c r="AG34" s="79"/>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row>
    <row r="35" spans="1:76" ht="15" customHeight="1" x14ac:dyDescent="0.15">
      <c r="A35" s="83"/>
      <c r="B35" s="83"/>
      <c r="C35" s="83"/>
      <c r="D35" s="83"/>
      <c r="E35" s="84"/>
      <c r="F35" s="85"/>
      <c r="G35" s="85"/>
      <c r="H35" s="85"/>
      <c r="I35" s="86"/>
      <c r="J35" s="80"/>
      <c r="K35" s="81"/>
      <c r="L35" s="81"/>
      <c r="M35" s="81"/>
      <c r="N35" s="81"/>
      <c r="O35" s="81"/>
      <c r="P35" s="81"/>
      <c r="Q35" s="82"/>
      <c r="R35" s="77"/>
      <c r="S35" s="78"/>
      <c r="T35" s="78"/>
      <c r="U35" s="78"/>
      <c r="V35" s="79"/>
      <c r="W35" s="77"/>
      <c r="X35" s="78"/>
      <c r="Y35" s="78"/>
      <c r="Z35" s="79"/>
      <c r="AA35" s="77"/>
      <c r="AB35" s="78"/>
      <c r="AC35" s="78"/>
      <c r="AD35" s="78"/>
      <c r="AE35" s="78"/>
      <c r="AF35" s="78"/>
      <c r="AG35" s="79"/>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row>
    <row r="36" spans="1:76" ht="15" customHeight="1" x14ac:dyDescent="0.15">
      <c r="A36" s="83"/>
      <c r="B36" s="83"/>
      <c r="C36" s="83"/>
      <c r="D36" s="83"/>
      <c r="E36" s="84"/>
      <c r="F36" s="85"/>
      <c r="G36" s="85"/>
      <c r="H36" s="85"/>
      <c r="I36" s="86"/>
      <c r="J36" s="80"/>
      <c r="K36" s="81"/>
      <c r="L36" s="81"/>
      <c r="M36" s="81"/>
      <c r="N36" s="81"/>
      <c r="O36" s="81"/>
      <c r="P36" s="81"/>
      <c r="Q36" s="82"/>
      <c r="R36" s="77"/>
      <c r="S36" s="78"/>
      <c r="T36" s="78"/>
      <c r="U36" s="78"/>
      <c r="V36" s="79"/>
      <c r="W36" s="77"/>
      <c r="X36" s="78"/>
      <c r="Y36" s="78"/>
      <c r="Z36" s="79"/>
      <c r="AA36" s="77"/>
      <c r="AB36" s="78"/>
      <c r="AC36" s="78"/>
      <c r="AD36" s="78"/>
      <c r="AE36" s="78"/>
      <c r="AF36" s="78"/>
      <c r="AG36" s="79"/>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row>
    <row r="37" spans="1:76" ht="15" customHeight="1" x14ac:dyDescent="0.15">
      <c r="A37" s="83"/>
      <c r="B37" s="83"/>
      <c r="C37" s="83"/>
      <c r="D37" s="83"/>
      <c r="E37" s="84"/>
      <c r="F37" s="85"/>
      <c r="G37" s="85"/>
      <c r="H37" s="85"/>
      <c r="I37" s="86"/>
      <c r="J37" s="80"/>
      <c r="K37" s="81"/>
      <c r="L37" s="81"/>
      <c r="M37" s="81"/>
      <c r="N37" s="81"/>
      <c r="O37" s="81"/>
      <c r="P37" s="81"/>
      <c r="Q37" s="82"/>
      <c r="R37" s="77"/>
      <c r="S37" s="78"/>
      <c r="T37" s="78"/>
      <c r="U37" s="78"/>
      <c r="V37" s="79"/>
      <c r="W37" s="77"/>
      <c r="X37" s="78"/>
      <c r="Y37" s="78"/>
      <c r="Z37" s="79"/>
      <c r="AA37" s="77"/>
      <c r="AB37" s="78"/>
      <c r="AC37" s="78"/>
      <c r="AD37" s="78"/>
      <c r="AE37" s="78"/>
      <c r="AF37" s="78"/>
      <c r="AG37" s="79"/>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row>
    <row r="38" spans="1:76" ht="15" customHeight="1" x14ac:dyDescent="0.15">
      <c r="A38" s="83"/>
      <c r="B38" s="83"/>
      <c r="C38" s="83"/>
      <c r="D38" s="83"/>
      <c r="E38" s="84"/>
      <c r="F38" s="85"/>
      <c r="G38" s="85"/>
      <c r="H38" s="85"/>
      <c r="I38" s="86"/>
      <c r="J38" s="80"/>
      <c r="K38" s="81"/>
      <c r="L38" s="81"/>
      <c r="M38" s="81"/>
      <c r="N38" s="81"/>
      <c r="O38" s="81"/>
      <c r="P38" s="81"/>
      <c r="Q38" s="82"/>
      <c r="R38" s="77"/>
      <c r="S38" s="78"/>
      <c r="T38" s="78"/>
      <c r="U38" s="78"/>
      <c r="V38" s="79"/>
      <c r="W38" s="77"/>
      <c r="X38" s="78"/>
      <c r="Y38" s="78"/>
      <c r="Z38" s="79"/>
      <c r="AA38" s="77"/>
      <c r="AB38" s="78"/>
      <c r="AC38" s="78"/>
      <c r="AD38" s="78"/>
      <c r="AE38" s="78"/>
      <c r="AF38" s="78"/>
      <c r="AG38" s="79"/>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row>
    <row r="39" spans="1:76" ht="15" customHeight="1" x14ac:dyDescent="0.15">
      <c r="A39" s="83"/>
      <c r="B39" s="83"/>
      <c r="C39" s="83"/>
      <c r="D39" s="83"/>
      <c r="E39" s="84"/>
      <c r="F39" s="85"/>
      <c r="G39" s="85"/>
      <c r="H39" s="85"/>
      <c r="I39" s="86"/>
      <c r="J39" s="80"/>
      <c r="K39" s="81"/>
      <c r="L39" s="81"/>
      <c r="M39" s="81"/>
      <c r="N39" s="81"/>
      <c r="O39" s="81"/>
      <c r="P39" s="81"/>
      <c r="Q39" s="82"/>
      <c r="R39" s="77"/>
      <c r="S39" s="78"/>
      <c r="T39" s="78"/>
      <c r="U39" s="78"/>
      <c r="V39" s="79"/>
      <c r="W39" s="77"/>
      <c r="X39" s="78"/>
      <c r="Y39" s="78"/>
      <c r="Z39" s="79"/>
      <c r="AA39" s="77"/>
      <c r="AB39" s="78"/>
      <c r="AC39" s="78"/>
      <c r="AD39" s="78"/>
      <c r="AE39" s="78"/>
      <c r="AF39" s="78"/>
      <c r="AG39" s="79"/>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row>
  </sheetData>
  <mergeCells count="289">
    <mergeCell ref="E18:I18"/>
    <mergeCell ref="J18:Q18"/>
    <mergeCell ref="J9:Q9"/>
    <mergeCell ref="J10:Q10"/>
    <mergeCell ref="J11:Q11"/>
    <mergeCell ref="E19:I19"/>
    <mergeCell ref="J19:Q19"/>
    <mergeCell ref="A17:D17"/>
    <mergeCell ref="E17:I17"/>
    <mergeCell ref="J17:Q17"/>
    <mergeCell ref="A14:D14"/>
    <mergeCell ref="E14:I14"/>
    <mergeCell ref="J14:Q14"/>
    <mergeCell ref="A20:D20"/>
    <mergeCell ref="E20:I20"/>
    <mergeCell ref="J20:Q20"/>
    <mergeCell ref="R20:V20"/>
    <mergeCell ref="W20:Z20"/>
    <mergeCell ref="AA20:AG20"/>
    <mergeCell ref="AH20:BQ20"/>
    <mergeCell ref="BR20:BX20"/>
    <mergeCell ref="A19:D19"/>
    <mergeCell ref="BR33:BX33"/>
    <mergeCell ref="BR27:BX27"/>
    <mergeCell ref="BR26:BX26"/>
    <mergeCell ref="AA23:AG23"/>
    <mergeCell ref="AH23:BQ23"/>
    <mergeCell ref="AH15:BQ15"/>
    <mergeCell ref="BR15:BX15"/>
    <mergeCell ref="AH39:BQ39"/>
    <mergeCell ref="BR39:BX39"/>
    <mergeCell ref="AH36:BQ36"/>
    <mergeCell ref="BR36:BX36"/>
    <mergeCell ref="AH37:BQ37"/>
    <mergeCell ref="BR37:BX37"/>
    <mergeCell ref="AH38:BQ38"/>
    <mergeCell ref="BR38:BX38"/>
    <mergeCell ref="AH31:BQ31"/>
    <mergeCell ref="BR31:BX31"/>
    <mergeCell ref="AH32:BQ32"/>
    <mergeCell ref="BR32:BX32"/>
    <mergeCell ref="AH29:BQ29"/>
    <mergeCell ref="BR29:BX29"/>
    <mergeCell ref="AH30:BQ30"/>
    <mergeCell ref="BR30:BX30"/>
    <mergeCell ref="AA32:AG32"/>
    <mergeCell ref="A39:D39"/>
    <mergeCell ref="R39:V39"/>
    <mergeCell ref="W39:Z39"/>
    <mergeCell ref="AA39:AG39"/>
    <mergeCell ref="A38:D38"/>
    <mergeCell ref="R38:V38"/>
    <mergeCell ref="W38:Z38"/>
    <mergeCell ref="AA38:AG38"/>
    <mergeCell ref="E38:I38"/>
    <mergeCell ref="J38:Q38"/>
    <mergeCell ref="E39:I39"/>
    <mergeCell ref="J39:Q39"/>
    <mergeCell ref="A37:D37"/>
    <mergeCell ref="R37:V37"/>
    <mergeCell ref="E37:I37"/>
    <mergeCell ref="J37:Q37"/>
    <mergeCell ref="E36:I36"/>
    <mergeCell ref="J36:Q36"/>
    <mergeCell ref="BR35:BX35"/>
    <mergeCell ref="A35:D35"/>
    <mergeCell ref="W37:Z37"/>
    <mergeCell ref="AA37:AG37"/>
    <mergeCell ref="W36:Z36"/>
    <mergeCell ref="AA36:AG36"/>
    <mergeCell ref="E35:I35"/>
    <mergeCell ref="J35:Q35"/>
    <mergeCell ref="AA34:AG34"/>
    <mergeCell ref="AH34:BQ34"/>
    <mergeCell ref="BR34:BX34"/>
    <mergeCell ref="R35:V35"/>
    <mergeCell ref="W35:Z35"/>
    <mergeCell ref="AA35:AG35"/>
    <mergeCell ref="AH35:BQ35"/>
    <mergeCell ref="A36:D36"/>
    <mergeCell ref="R36:V36"/>
    <mergeCell ref="A34:D34"/>
    <mergeCell ref="E34:I34"/>
    <mergeCell ref="J34:Q34"/>
    <mergeCell ref="R34:V34"/>
    <mergeCell ref="W34:Z34"/>
    <mergeCell ref="AA33:AG33"/>
    <mergeCell ref="AH33:BQ33"/>
    <mergeCell ref="AA29:AG29"/>
    <mergeCell ref="R31:V31"/>
    <mergeCell ref="W31:Z31"/>
    <mergeCell ref="AA31:AG31"/>
    <mergeCell ref="AA30:AG30"/>
    <mergeCell ref="R29:V29"/>
    <mergeCell ref="W29:Z29"/>
    <mergeCell ref="R32:V32"/>
    <mergeCell ref="R33:V33"/>
    <mergeCell ref="W33:Z33"/>
    <mergeCell ref="BR25:BX25"/>
    <mergeCell ref="R26:V26"/>
    <mergeCell ref="W26:Z26"/>
    <mergeCell ref="AA26:AG26"/>
    <mergeCell ref="AH26:BQ26"/>
    <mergeCell ref="R28:V28"/>
    <mergeCell ref="W28:Z28"/>
    <mergeCell ref="AA28:AG28"/>
    <mergeCell ref="AH28:BQ28"/>
    <mergeCell ref="R27:V27"/>
    <mergeCell ref="W27:Z27"/>
    <mergeCell ref="AA27:AG27"/>
    <mergeCell ref="AH27:BQ27"/>
    <mergeCell ref="BR28:BX28"/>
    <mergeCell ref="R25:V25"/>
    <mergeCell ref="W25:Z25"/>
    <mergeCell ref="BR24:BX24"/>
    <mergeCell ref="BR23:BX23"/>
    <mergeCell ref="BR21:BX21"/>
    <mergeCell ref="AH22:BQ22"/>
    <mergeCell ref="BR22:BX22"/>
    <mergeCell ref="R23:V23"/>
    <mergeCell ref="W23:Z23"/>
    <mergeCell ref="AH19:BQ19"/>
    <mergeCell ref="BR19:BX19"/>
    <mergeCell ref="R24:V24"/>
    <mergeCell ref="W24:Z24"/>
    <mergeCell ref="AA6:AG6"/>
    <mergeCell ref="AH6:BQ6"/>
    <mergeCell ref="AH16:BQ16"/>
    <mergeCell ref="AH24:BQ24"/>
    <mergeCell ref="AH25:BQ25"/>
    <mergeCell ref="R10:V10"/>
    <mergeCell ref="BR7:BX7"/>
    <mergeCell ref="BR16:BX16"/>
    <mergeCell ref="AA18:AG18"/>
    <mergeCell ref="R16:V16"/>
    <mergeCell ref="R17:V17"/>
    <mergeCell ref="R18:V18"/>
    <mergeCell ref="BR17:BX17"/>
    <mergeCell ref="AH18:BQ18"/>
    <mergeCell ref="BR18:BX18"/>
    <mergeCell ref="AH17:BQ17"/>
    <mergeCell ref="W17:Z17"/>
    <mergeCell ref="W18:Z18"/>
    <mergeCell ref="W19:Z19"/>
    <mergeCell ref="R21:V21"/>
    <mergeCell ref="AH21:BQ21"/>
    <mergeCell ref="AA19:AG19"/>
    <mergeCell ref="W22:Z22"/>
    <mergeCell ref="R11:V11"/>
    <mergeCell ref="BR3:BX4"/>
    <mergeCell ref="AH3:BQ4"/>
    <mergeCell ref="AH5:BQ5"/>
    <mergeCell ref="BR5:BX5"/>
    <mergeCell ref="AH10:BQ10"/>
    <mergeCell ref="BR10:BX10"/>
    <mergeCell ref="AH14:BQ14"/>
    <mergeCell ref="AH11:BQ11"/>
    <mergeCell ref="BR11:BX11"/>
    <mergeCell ref="BR9:BX9"/>
    <mergeCell ref="BR14:BX14"/>
    <mergeCell ref="AH13:BQ13"/>
    <mergeCell ref="BR13:BX13"/>
    <mergeCell ref="AH12:BQ12"/>
    <mergeCell ref="BR12:BX12"/>
    <mergeCell ref="AH9:BQ9"/>
    <mergeCell ref="BR6:BX6"/>
    <mergeCell ref="AH8:BQ8"/>
    <mergeCell ref="BR8:BX8"/>
    <mergeCell ref="AH7:BQ7"/>
    <mergeCell ref="E32:I32"/>
    <mergeCell ref="E25:I25"/>
    <mergeCell ref="J32:Q32"/>
    <mergeCell ref="E31:I31"/>
    <mergeCell ref="J24:Q24"/>
    <mergeCell ref="A29:D29"/>
    <mergeCell ref="A27:D27"/>
    <mergeCell ref="A24:D24"/>
    <mergeCell ref="E24:I24"/>
    <mergeCell ref="A31:D31"/>
    <mergeCell ref="A25:D25"/>
    <mergeCell ref="J31:Q31"/>
    <mergeCell ref="A23:D23"/>
    <mergeCell ref="A22:D22"/>
    <mergeCell ref="AA21:AG21"/>
    <mergeCell ref="A21:D21"/>
    <mergeCell ref="AA22:AG22"/>
    <mergeCell ref="AA24:AG24"/>
    <mergeCell ref="AA25:AG25"/>
    <mergeCell ref="R30:V30"/>
    <mergeCell ref="W30:Z30"/>
    <mergeCell ref="J25:Q25"/>
    <mergeCell ref="E26:I26"/>
    <mergeCell ref="J26:Q26"/>
    <mergeCell ref="J27:Q27"/>
    <mergeCell ref="J29:Q29"/>
    <mergeCell ref="J28:Q28"/>
    <mergeCell ref="J21:Q21"/>
    <mergeCell ref="E22:I22"/>
    <mergeCell ref="J22:Q22"/>
    <mergeCell ref="E21:I21"/>
    <mergeCell ref="J30:Q30"/>
    <mergeCell ref="W21:Z21"/>
    <mergeCell ref="E23:I23"/>
    <mergeCell ref="J23:Q23"/>
    <mergeCell ref="R22:V22"/>
    <mergeCell ref="J33:Q33"/>
    <mergeCell ref="AA4:AG4"/>
    <mergeCell ref="W3:AG3"/>
    <mergeCell ref="R9:V9"/>
    <mergeCell ref="R12:V12"/>
    <mergeCell ref="R19:V19"/>
    <mergeCell ref="AA5:AG5"/>
    <mergeCell ref="AA9:AG9"/>
    <mergeCell ref="AA15:AG15"/>
    <mergeCell ref="AA16:AG16"/>
    <mergeCell ref="AA10:AG10"/>
    <mergeCell ref="AA11:AG11"/>
    <mergeCell ref="AA13:AG13"/>
    <mergeCell ref="AA14:AG14"/>
    <mergeCell ref="W13:Z13"/>
    <mergeCell ref="AA12:AG12"/>
    <mergeCell ref="W5:Z5"/>
    <mergeCell ref="W9:Z9"/>
    <mergeCell ref="W10:Z10"/>
    <mergeCell ref="W11:Z11"/>
    <mergeCell ref="AA17:AG17"/>
    <mergeCell ref="W14:Z14"/>
    <mergeCell ref="W12:Z12"/>
    <mergeCell ref="W32:Z32"/>
    <mergeCell ref="J3:Q4"/>
    <mergeCell ref="J5:Q5"/>
    <mergeCell ref="A5:D5"/>
    <mergeCell ref="A3:D4"/>
    <mergeCell ref="A6:D6"/>
    <mergeCell ref="E6:I6"/>
    <mergeCell ref="J6:Q6"/>
    <mergeCell ref="R3:V4"/>
    <mergeCell ref="W4:Z4"/>
    <mergeCell ref="R5:V5"/>
    <mergeCell ref="E3:I4"/>
    <mergeCell ref="E5:I5"/>
    <mergeCell ref="R6:V6"/>
    <mergeCell ref="W6:Z6"/>
    <mergeCell ref="A33:D33"/>
    <mergeCell ref="A30:D30"/>
    <mergeCell ref="E29:I29"/>
    <mergeCell ref="E30:I30"/>
    <mergeCell ref="A28:D28"/>
    <mergeCell ref="E27:I27"/>
    <mergeCell ref="E28:I28"/>
    <mergeCell ref="A26:D26"/>
    <mergeCell ref="E7:I7"/>
    <mergeCell ref="A18:D18"/>
    <mergeCell ref="E10:I10"/>
    <mergeCell ref="E12:I12"/>
    <mergeCell ref="A11:D11"/>
    <mergeCell ref="A12:D12"/>
    <mergeCell ref="E11:I11"/>
    <mergeCell ref="A9:D9"/>
    <mergeCell ref="A10:D10"/>
    <mergeCell ref="E9:I9"/>
    <mergeCell ref="A15:D15"/>
    <mergeCell ref="E15:I15"/>
    <mergeCell ref="A16:D16"/>
    <mergeCell ref="E16:I16"/>
    <mergeCell ref="E33:I33"/>
    <mergeCell ref="A32:D32"/>
    <mergeCell ref="AA7:AG7"/>
    <mergeCell ref="W15:Z15"/>
    <mergeCell ref="W16:Z16"/>
    <mergeCell ref="AA8:AG8"/>
    <mergeCell ref="J15:Q15"/>
    <mergeCell ref="R15:V15"/>
    <mergeCell ref="J16:Q16"/>
    <mergeCell ref="A8:D8"/>
    <mergeCell ref="E8:I8"/>
    <mergeCell ref="J8:Q8"/>
    <mergeCell ref="R8:V8"/>
    <mergeCell ref="W8:Z8"/>
    <mergeCell ref="R14:V14"/>
    <mergeCell ref="A13:D13"/>
    <mergeCell ref="E13:I13"/>
    <mergeCell ref="J13:Q13"/>
    <mergeCell ref="R13:V13"/>
    <mergeCell ref="J7:Q7"/>
    <mergeCell ref="R7:V7"/>
    <mergeCell ref="W7:Z7"/>
    <mergeCell ref="J12:Q12"/>
    <mergeCell ref="A7:D7"/>
  </mergeCells>
  <phoneticPr fontId="3"/>
  <pageMargins left="0.39370078740157483" right="0.39370078740157483" top="0.78740157480314965" bottom="0.39370078740157483" header="0.59055118110236227" footer="0.19685039370078741"/>
  <pageSetup paperSize="9" scale="95" orientation="landscape" r:id="rId1"/>
  <headerFooter alignWithMargins="0">
    <oddFooter>&amp;R&amp;9株式会社　京信システムサービス</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R28"/>
  <sheetViews>
    <sheetView workbookViewId="0">
      <selection activeCell="O6" sqref="O6"/>
    </sheetView>
  </sheetViews>
  <sheetFormatPr defaultColWidth="1.875" defaultRowHeight="15" customHeight="1" x14ac:dyDescent="0.15"/>
  <cols>
    <col min="1" max="16384" width="1.875" style="23"/>
  </cols>
  <sheetData>
    <row r="1" spans="1:70" ht="15" customHeight="1" x14ac:dyDescent="0.15">
      <c r="A1" s="20"/>
      <c r="B1" s="20"/>
      <c r="C1" s="107" t="s">
        <v>43</v>
      </c>
      <c r="D1" s="107"/>
      <c r="E1" s="107"/>
      <c r="F1" s="107"/>
      <c r="G1" s="107"/>
      <c r="H1" s="107"/>
      <c r="I1" s="107"/>
      <c r="J1" s="107"/>
      <c r="K1" s="21"/>
      <c r="L1" s="22"/>
      <c r="M1" s="22"/>
      <c r="N1" s="22"/>
      <c r="O1" s="22"/>
      <c r="P1" s="22"/>
      <c r="Q1" s="22"/>
      <c r="R1" s="22"/>
      <c r="S1" s="22"/>
      <c r="T1" s="22"/>
      <c r="U1" s="22"/>
      <c r="V1" s="22"/>
      <c r="W1" s="22"/>
      <c r="X1" s="20"/>
      <c r="Y1" s="22"/>
      <c r="Z1" s="20"/>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row>
    <row r="2" spans="1:70" ht="15" customHeight="1" thickBot="1" x14ac:dyDescent="0.2">
      <c r="A2" s="24"/>
      <c r="B2" s="24"/>
      <c r="C2" s="108"/>
      <c r="D2" s="108"/>
      <c r="E2" s="108"/>
      <c r="F2" s="108"/>
      <c r="G2" s="108"/>
      <c r="H2" s="108"/>
      <c r="I2" s="108"/>
      <c r="J2" s="108"/>
      <c r="K2" s="25"/>
      <c r="L2" s="26"/>
      <c r="M2" s="26"/>
      <c r="N2" s="26"/>
      <c r="O2" s="26"/>
      <c r="P2" s="26"/>
      <c r="Q2" s="26"/>
      <c r="R2" s="26"/>
      <c r="S2" s="26"/>
      <c r="T2" s="26"/>
      <c r="U2" s="26"/>
      <c r="V2" s="26"/>
      <c r="W2" s="26"/>
      <c r="X2" s="24"/>
      <c r="Y2" s="26"/>
      <c r="Z2" s="24"/>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row>
    <row r="5" spans="1:70" ht="15" customHeight="1" x14ac:dyDescent="0.15">
      <c r="C5" s="23" t="s">
        <v>88</v>
      </c>
      <c r="D5" s="27"/>
      <c r="AC5" s="28"/>
      <c r="AE5" s="106"/>
      <c r="AF5" s="106"/>
      <c r="AG5" s="106"/>
      <c r="AH5" s="106"/>
      <c r="AL5" s="27"/>
      <c r="BK5" s="28"/>
      <c r="BM5" s="106"/>
      <c r="BN5" s="106"/>
      <c r="BO5" s="106"/>
      <c r="BP5" s="106"/>
    </row>
    <row r="6" spans="1:70" ht="15" customHeight="1" x14ac:dyDescent="0.15">
      <c r="D6" s="27" t="s">
        <v>235</v>
      </c>
      <c r="AC6" s="28" t="s">
        <v>45</v>
      </c>
      <c r="AE6" s="106">
        <v>1</v>
      </c>
      <c r="AF6" s="106"/>
      <c r="AG6" s="106"/>
      <c r="AH6" s="106"/>
      <c r="AL6" s="27"/>
      <c r="BK6" s="28"/>
      <c r="BM6" s="106"/>
      <c r="BN6" s="106"/>
      <c r="BO6" s="106"/>
      <c r="BP6" s="106"/>
    </row>
    <row r="7" spans="1:70" ht="15" customHeight="1" x14ac:dyDescent="0.2">
      <c r="D7" s="27" t="s">
        <v>236</v>
      </c>
      <c r="AC7" s="28"/>
      <c r="AE7" s="106"/>
      <c r="AF7" s="106"/>
      <c r="AG7" s="106"/>
      <c r="AH7" s="106"/>
      <c r="AK7" s="29"/>
      <c r="AL7" s="27"/>
      <c r="BK7" s="28"/>
      <c r="BM7" s="106"/>
      <c r="BN7" s="106"/>
      <c r="BO7" s="106"/>
      <c r="BP7" s="106"/>
    </row>
    <row r="8" spans="1:70" ht="15" customHeight="1" x14ac:dyDescent="0.2">
      <c r="D8" s="27" t="s">
        <v>249</v>
      </c>
      <c r="AC8" s="28"/>
      <c r="AE8" s="106"/>
      <c r="AF8" s="106"/>
      <c r="AG8" s="106"/>
      <c r="AH8" s="106"/>
      <c r="AK8" s="29"/>
      <c r="AL8" s="27"/>
      <c r="BK8" s="28"/>
      <c r="BM8" s="106"/>
      <c r="BN8" s="106"/>
      <c r="BO8" s="106"/>
      <c r="BP8" s="106"/>
    </row>
    <row r="9" spans="1:70" ht="15" customHeight="1" x14ac:dyDescent="0.15">
      <c r="D9" s="27"/>
      <c r="AC9" s="28"/>
      <c r="AE9" s="106"/>
      <c r="AF9" s="106"/>
      <c r="AG9" s="106"/>
      <c r="AH9" s="106"/>
      <c r="AL9" s="27"/>
      <c r="BK9" s="28"/>
      <c r="BM9" s="106"/>
      <c r="BN9" s="106"/>
      <c r="BO9" s="106"/>
      <c r="BP9" s="106"/>
    </row>
    <row r="10" spans="1:70" ht="15" customHeight="1" x14ac:dyDescent="0.15">
      <c r="C10" s="23" t="s">
        <v>89</v>
      </c>
      <c r="D10" s="27"/>
      <c r="AC10" s="28"/>
      <c r="AE10" s="106"/>
      <c r="AF10" s="106"/>
      <c r="AG10" s="106"/>
      <c r="AH10" s="106"/>
      <c r="AL10" s="27"/>
      <c r="BK10" s="28"/>
      <c r="BM10" s="106"/>
      <c r="BN10" s="106"/>
      <c r="BO10" s="106"/>
      <c r="BP10" s="106"/>
    </row>
    <row r="11" spans="1:70" ht="15" customHeight="1" x14ac:dyDescent="0.15">
      <c r="D11" s="27" t="s">
        <v>100</v>
      </c>
      <c r="AC11" s="28" t="s">
        <v>45</v>
      </c>
      <c r="AE11" s="106">
        <v>3</v>
      </c>
      <c r="AF11" s="106"/>
      <c r="AG11" s="106"/>
      <c r="AH11" s="106"/>
      <c r="AL11" s="27"/>
      <c r="BK11" s="28"/>
      <c r="BM11" s="106"/>
      <c r="BN11" s="106"/>
      <c r="BO11" s="106"/>
      <c r="BP11" s="106"/>
    </row>
    <row r="12" spans="1:70" ht="15" customHeight="1" x14ac:dyDescent="0.15">
      <c r="D12" s="27" t="s">
        <v>106</v>
      </c>
      <c r="AC12" s="28"/>
      <c r="AE12" s="106"/>
      <c r="AF12" s="106"/>
      <c r="AG12" s="106"/>
      <c r="AH12" s="106"/>
      <c r="BK12" s="28"/>
      <c r="BM12" s="106"/>
      <c r="BN12" s="106"/>
      <c r="BO12" s="106"/>
      <c r="BP12" s="106"/>
    </row>
    <row r="13" spans="1:70" ht="15" customHeight="1" x14ac:dyDescent="0.2">
      <c r="D13" s="27" t="s">
        <v>108</v>
      </c>
      <c r="AC13" s="28"/>
      <c r="AE13" s="106"/>
      <c r="AF13" s="106"/>
      <c r="AG13" s="106"/>
      <c r="AH13" s="106"/>
      <c r="AK13" s="29"/>
      <c r="AL13" s="27"/>
      <c r="BK13" s="28"/>
      <c r="BM13" s="106"/>
      <c r="BN13" s="106"/>
      <c r="BO13" s="106"/>
      <c r="BP13" s="106"/>
    </row>
    <row r="14" spans="1:70" ht="15" customHeight="1" x14ac:dyDescent="0.2">
      <c r="D14" s="27" t="s">
        <v>125</v>
      </c>
      <c r="AC14" s="28"/>
      <c r="AE14" s="106"/>
      <c r="AF14" s="106"/>
      <c r="AG14" s="106"/>
      <c r="AH14" s="106"/>
      <c r="AK14" s="29"/>
      <c r="AL14" s="27"/>
      <c r="BK14" s="28"/>
      <c r="BM14" s="106"/>
      <c r="BN14" s="106"/>
      <c r="BO14" s="106"/>
      <c r="BP14" s="106"/>
    </row>
    <row r="15" spans="1:70" ht="15" customHeight="1" x14ac:dyDescent="0.2">
      <c r="D15" s="27"/>
      <c r="AC15" s="28"/>
      <c r="AE15" s="106"/>
      <c r="AF15" s="106"/>
      <c r="AG15" s="106"/>
      <c r="AH15" s="106"/>
      <c r="AK15" s="29"/>
      <c r="AL15" s="27"/>
      <c r="BK15" s="28"/>
      <c r="BM15" s="106"/>
      <c r="BN15" s="106"/>
      <c r="BO15" s="106"/>
      <c r="BP15" s="106"/>
    </row>
    <row r="16" spans="1:70" ht="15" customHeight="1" x14ac:dyDescent="0.2">
      <c r="C16" s="23" t="s">
        <v>90</v>
      </c>
      <c r="D16" s="27"/>
      <c r="AC16" s="28" t="s">
        <v>45</v>
      </c>
      <c r="AE16" s="106">
        <v>4</v>
      </c>
      <c r="AF16" s="106"/>
      <c r="AG16" s="106"/>
      <c r="AH16" s="106"/>
      <c r="AK16" s="29"/>
      <c r="AL16" s="27"/>
      <c r="BK16" s="28"/>
      <c r="BM16" s="106"/>
      <c r="BN16" s="106"/>
      <c r="BO16" s="106"/>
      <c r="BP16" s="106"/>
    </row>
    <row r="17" spans="3:68" ht="15" customHeight="1" x14ac:dyDescent="0.2">
      <c r="C17" s="27"/>
      <c r="D17" s="27" t="s">
        <v>92</v>
      </c>
      <c r="AC17" s="28"/>
      <c r="AE17" s="106"/>
      <c r="AF17" s="106"/>
      <c r="AG17" s="106"/>
      <c r="AH17" s="106"/>
      <c r="AK17" s="29"/>
      <c r="AL17" s="27"/>
      <c r="BK17" s="28"/>
      <c r="BM17" s="106"/>
      <c r="BN17" s="106"/>
      <c r="BO17" s="106"/>
      <c r="BP17" s="106"/>
    </row>
    <row r="18" spans="3:68" ht="15" customHeight="1" x14ac:dyDescent="0.2">
      <c r="D18" s="27" t="s">
        <v>93</v>
      </c>
      <c r="AC18" s="28"/>
      <c r="AE18" s="106"/>
      <c r="AF18" s="106"/>
      <c r="AG18" s="106"/>
      <c r="AH18" s="106"/>
      <c r="AK18" s="29"/>
      <c r="AL18" s="27"/>
      <c r="BK18" s="28"/>
      <c r="BM18" s="106"/>
      <c r="BN18" s="106"/>
      <c r="BO18" s="106"/>
      <c r="BP18" s="106"/>
    </row>
    <row r="19" spans="3:68" ht="15" customHeight="1" x14ac:dyDescent="0.2">
      <c r="D19" s="27"/>
      <c r="AC19" s="28"/>
      <c r="AE19" s="106"/>
      <c r="AF19" s="106"/>
      <c r="AG19" s="106"/>
      <c r="AH19" s="106"/>
      <c r="AK19" s="29"/>
      <c r="AL19" s="27"/>
      <c r="BK19" s="28"/>
      <c r="BM19" s="106"/>
      <c r="BN19" s="106"/>
      <c r="BO19" s="106"/>
      <c r="BP19" s="106"/>
    </row>
    <row r="20" spans="3:68" ht="15" customHeight="1" x14ac:dyDescent="0.2">
      <c r="C20" s="23" t="s">
        <v>91</v>
      </c>
      <c r="D20" s="27"/>
      <c r="AC20" s="28" t="s">
        <v>44</v>
      </c>
      <c r="AE20" s="106">
        <v>5</v>
      </c>
      <c r="AF20" s="106"/>
      <c r="AG20" s="106"/>
      <c r="AH20" s="106"/>
      <c r="AK20" s="29"/>
      <c r="AL20" s="27"/>
      <c r="BK20" s="28"/>
      <c r="BM20" s="106"/>
      <c r="BN20" s="106"/>
      <c r="BO20" s="106"/>
      <c r="BP20" s="106"/>
    </row>
    <row r="21" spans="3:68" ht="15" customHeight="1" x14ac:dyDescent="0.2">
      <c r="D21" s="27" t="s">
        <v>94</v>
      </c>
      <c r="AC21" s="28"/>
      <c r="AE21" s="106"/>
      <c r="AF21" s="106"/>
      <c r="AG21" s="106"/>
      <c r="AH21" s="106"/>
      <c r="AK21" s="29"/>
      <c r="AL21" s="27"/>
      <c r="BK21" s="28"/>
      <c r="BM21" s="106"/>
      <c r="BN21" s="106"/>
      <c r="BO21" s="106"/>
      <c r="BP21" s="106"/>
    </row>
    <row r="22" spans="3:68" ht="15" customHeight="1" x14ac:dyDescent="0.2">
      <c r="D22" s="27" t="s">
        <v>95</v>
      </c>
      <c r="AC22" s="28"/>
      <c r="AE22" s="106"/>
      <c r="AF22" s="106"/>
      <c r="AG22" s="106"/>
      <c r="AH22" s="106"/>
      <c r="AK22" s="29"/>
      <c r="AL22" s="27"/>
      <c r="BK22" s="28"/>
      <c r="BM22" s="106"/>
      <c r="BN22" s="106"/>
      <c r="BO22" s="106"/>
      <c r="BP22" s="106"/>
    </row>
    <row r="23" spans="3:68" ht="15" customHeight="1" x14ac:dyDescent="0.2">
      <c r="D23" s="27"/>
      <c r="AC23" s="28"/>
      <c r="AE23" s="106"/>
      <c r="AF23" s="106"/>
      <c r="AG23" s="106"/>
      <c r="AH23" s="106"/>
      <c r="AK23" s="29"/>
      <c r="AL23" s="27"/>
      <c r="BK23" s="28"/>
      <c r="BM23" s="106"/>
      <c r="BN23" s="106"/>
      <c r="BO23" s="106"/>
      <c r="BP23" s="106"/>
    </row>
    <row r="24" spans="3:68" ht="15" customHeight="1" x14ac:dyDescent="0.2">
      <c r="AK24" s="29"/>
      <c r="AL24" s="27"/>
      <c r="BK24" s="28"/>
      <c r="BM24" s="106"/>
      <c r="BN24" s="106"/>
      <c r="BO24" s="106"/>
      <c r="BP24" s="106"/>
    </row>
    <row r="25" spans="3:68" ht="15" customHeight="1" x14ac:dyDescent="0.2">
      <c r="AK25" s="29"/>
      <c r="AL25" s="27"/>
      <c r="BK25" s="28"/>
      <c r="BM25" s="106"/>
      <c r="BN25" s="106"/>
      <c r="BO25" s="106"/>
      <c r="BP25" s="106"/>
    </row>
    <row r="26" spans="3:68" ht="15" customHeight="1" x14ac:dyDescent="0.2">
      <c r="AK26" s="29"/>
      <c r="AL26" s="27"/>
      <c r="BK26" s="28"/>
      <c r="BM26" s="106"/>
      <c r="BN26" s="106"/>
      <c r="BO26" s="106"/>
      <c r="BP26" s="106"/>
    </row>
    <row r="27" spans="3:68" ht="15" customHeight="1" x14ac:dyDescent="0.15">
      <c r="BK27" s="28"/>
      <c r="BM27" s="106"/>
      <c r="BN27" s="106"/>
      <c r="BO27" s="106"/>
      <c r="BP27" s="106"/>
    </row>
    <row r="28" spans="3:68" ht="15" customHeight="1" x14ac:dyDescent="0.15">
      <c r="BK28" s="28"/>
      <c r="BM28" s="106"/>
      <c r="BN28" s="106"/>
      <c r="BO28" s="106"/>
      <c r="BP28" s="106"/>
    </row>
  </sheetData>
  <mergeCells count="44">
    <mergeCell ref="AE23:AH23"/>
    <mergeCell ref="BM15:BP15"/>
    <mergeCell ref="BM28:BP28"/>
    <mergeCell ref="BM26:BP26"/>
    <mergeCell ref="BM27:BP27"/>
    <mergeCell ref="BM25:BP25"/>
    <mergeCell ref="BM23:BP23"/>
    <mergeCell ref="BM24:BP24"/>
    <mergeCell ref="AE13:AH13"/>
    <mergeCell ref="AE21:AH21"/>
    <mergeCell ref="AE22:AH22"/>
    <mergeCell ref="BM22:BP22"/>
    <mergeCell ref="BM16:BP16"/>
    <mergeCell ref="BM17:BP17"/>
    <mergeCell ref="BM19:BP19"/>
    <mergeCell ref="BM20:BP20"/>
    <mergeCell ref="AE19:AH19"/>
    <mergeCell ref="AE14:AH14"/>
    <mergeCell ref="BM14:BP14"/>
    <mergeCell ref="BM18:BP18"/>
    <mergeCell ref="BM21:BP21"/>
    <mergeCell ref="BM5:BP5"/>
    <mergeCell ref="BM7:BP7"/>
    <mergeCell ref="BM6:BP6"/>
    <mergeCell ref="C1:J2"/>
    <mergeCell ref="AE20:AH20"/>
    <mergeCell ref="AE5:AH5"/>
    <mergeCell ref="AE6:AH6"/>
    <mergeCell ref="AE15:AH15"/>
    <mergeCell ref="AE9:AH9"/>
    <mergeCell ref="AE12:AH12"/>
    <mergeCell ref="AE17:AH17"/>
    <mergeCell ref="AE7:AH7"/>
    <mergeCell ref="AE16:AH16"/>
    <mergeCell ref="AE18:AH18"/>
    <mergeCell ref="AE8:AH8"/>
    <mergeCell ref="BM13:BP13"/>
    <mergeCell ref="BM8:BP8"/>
    <mergeCell ref="AE10:AH10"/>
    <mergeCell ref="AE11:AH11"/>
    <mergeCell ref="BM12:BP12"/>
    <mergeCell ref="BM9:BP9"/>
    <mergeCell ref="BM10:BP10"/>
    <mergeCell ref="BM11:BP11"/>
  </mergeCells>
  <phoneticPr fontId="3"/>
  <pageMargins left="0.78740157480314965" right="0.78740157480314965" top="0.78740157480314965" bottom="0.39370078740157483" header="0.59055118110236227" footer="0.19685039370078741"/>
  <pageSetup paperSize="9" orientation="landscape" r:id="rId1"/>
  <headerFooter alignWithMargins="0">
    <oddFooter>&amp;R&amp;9株式会社　京信システムサービス</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R91"/>
  <sheetViews>
    <sheetView view="pageBreakPreview" topLeftCell="A49" zoomScaleNormal="85" zoomScaleSheetLayoutView="100" workbookViewId="0">
      <selection activeCell="BQ57" sqref="BQ57"/>
    </sheetView>
  </sheetViews>
  <sheetFormatPr defaultColWidth="1.875" defaultRowHeight="15" customHeight="1" x14ac:dyDescent="0.15"/>
  <cols>
    <col min="1" max="95" width="1.875" style="4"/>
    <col min="96" max="96" width="7" style="4" bestFit="1" customWidth="1"/>
    <col min="97" max="97" width="3.625" style="4" bestFit="1" customWidth="1"/>
    <col min="98" max="98" width="5.25" style="4" customWidth="1"/>
    <col min="99" max="100" width="5.25" style="4" bestFit="1" customWidth="1"/>
    <col min="101" max="16384" width="1.875" style="4"/>
  </cols>
  <sheetData>
    <row r="1" spans="1:96" customFormat="1" ht="15" customHeight="1" x14ac:dyDescent="0.15">
      <c r="A1" s="109" t="s">
        <v>63</v>
      </c>
      <c r="B1" s="110"/>
      <c r="C1" s="110"/>
      <c r="D1" s="110"/>
      <c r="E1" s="110"/>
      <c r="F1" s="110"/>
      <c r="G1" s="110"/>
      <c r="H1" s="110"/>
      <c r="I1" s="111" t="str">
        <f>タイトル!I40</f>
        <v>学生勤務管理システム</v>
      </c>
      <c r="J1" s="112"/>
      <c r="K1" s="112"/>
      <c r="L1" s="112"/>
      <c r="M1" s="112"/>
      <c r="N1" s="112"/>
      <c r="O1" s="112"/>
      <c r="P1" s="112"/>
      <c r="Q1" s="112"/>
      <c r="R1" s="112"/>
      <c r="S1" s="112"/>
      <c r="T1" s="112"/>
      <c r="U1" s="112"/>
      <c r="V1" s="112"/>
      <c r="W1" s="112"/>
      <c r="X1" s="112"/>
      <c r="Y1" s="112"/>
      <c r="Z1" s="112"/>
      <c r="AA1" s="112"/>
      <c r="AB1" s="112"/>
      <c r="AC1" s="112"/>
      <c r="AD1" s="113"/>
      <c r="AE1" s="114" t="s">
        <v>4</v>
      </c>
      <c r="AF1" s="114"/>
      <c r="AG1" s="114"/>
      <c r="AH1" s="114"/>
      <c r="AI1" s="114"/>
      <c r="AJ1" s="114"/>
      <c r="AK1" s="114"/>
      <c r="AL1" s="115" t="str">
        <f>タイトル!I43</f>
        <v>システム設計精査業務</v>
      </c>
      <c r="AM1" s="116"/>
      <c r="AN1" s="116"/>
      <c r="AO1" s="116"/>
      <c r="AP1" s="116"/>
      <c r="AQ1" s="116"/>
      <c r="AR1" s="116"/>
      <c r="AS1" s="116"/>
      <c r="AT1" s="116"/>
      <c r="AU1" s="116"/>
      <c r="AV1" s="116"/>
      <c r="AW1" s="116"/>
      <c r="AX1" s="116"/>
      <c r="AY1" s="116"/>
      <c r="AZ1" s="116"/>
      <c r="BA1" s="116"/>
      <c r="BB1" s="116"/>
      <c r="BC1" s="116"/>
      <c r="BD1" s="116"/>
      <c r="BE1" s="116"/>
      <c r="BF1" s="117"/>
      <c r="BG1" s="114" t="s">
        <v>2</v>
      </c>
      <c r="BH1" s="114"/>
      <c r="BI1" s="114"/>
      <c r="BJ1" s="114"/>
      <c r="BK1" s="136" t="str">
        <f>タイトル!I46</f>
        <v>木田　優</v>
      </c>
      <c r="BL1" s="137"/>
      <c r="BM1" s="137"/>
      <c r="BN1" s="137"/>
      <c r="BO1" s="137"/>
      <c r="BP1" s="137"/>
      <c r="BQ1" s="137"/>
      <c r="BR1" s="137"/>
      <c r="BS1" s="137"/>
      <c r="BT1" s="138"/>
      <c r="BU1" s="140">
        <f>改訂履歴!J5</f>
        <v>45243</v>
      </c>
      <c r="BV1" s="140"/>
      <c r="BW1" s="140"/>
      <c r="BX1" s="140"/>
      <c r="BY1" s="140"/>
      <c r="BZ1" s="140"/>
      <c r="CA1" s="140"/>
      <c r="CB1" s="140"/>
      <c r="CC1" s="140"/>
      <c r="CD1" s="141" t="s">
        <v>38</v>
      </c>
      <c r="CE1" s="142"/>
      <c r="CF1" s="142"/>
      <c r="CG1" s="142"/>
      <c r="CH1" s="143"/>
      <c r="CI1" s="136" t="str">
        <f>タイトル!I50</f>
        <v>DUC060</v>
      </c>
      <c r="CJ1" s="137"/>
      <c r="CK1" s="137"/>
      <c r="CL1" s="137"/>
      <c r="CM1" s="137"/>
      <c r="CN1" s="137"/>
      <c r="CO1" s="137"/>
      <c r="CP1" s="150"/>
    </row>
    <row r="2" spans="1:96" customFormat="1" ht="15" customHeight="1" x14ac:dyDescent="0.15">
      <c r="A2" s="118" t="s">
        <v>64</v>
      </c>
      <c r="B2" s="119"/>
      <c r="C2" s="119"/>
      <c r="D2" s="119"/>
      <c r="E2" s="119"/>
      <c r="F2" s="119"/>
      <c r="G2" s="119"/>
      <c r="H2" s="119"/>
      <c r="I2" s="120"/>
      <c r="J2" s="121"/>
      <c r="K2" s="121"/>
      <c r="L2" s="121"/>
      <c r="M2" s="121"/>
      <c r="N2" s="121"/>
      <c r="O2" s="121"/>
      <c r="P2" s="121"/>
      <c r="Q2" s="121"/>
      <c r="R2" s="121"/>
      <c r="S2" s="121"/>
      <c r="T2" s="121"/>
      <c r="U2" s="121"/>
      <c r="V2" s="121"/>
      <c r="W2" s="121"/>
      <c r="X2" s="121"/>
      <c r="Y2" s="121"/>
      <c r="Z2" s="121"/>
      <c r="AA2" s="121"/>
      <c r="AB2" s="121"/>
      <c r="AC2" s="121"/>
      <c r="AD2" s="122"/>
      <c r="AE2" s="123" t="s">
        <v>5</v>
      </c>
      <c r="AF2" s="123"/>
      <c r="AG2" s="123"/>
      <c r="AH2" s="123"/>
      <c r="AI2" s="123"/>
      <c r="AJ2" s="123"/>
      <c r="AK2" s="123"/>
      <c r="AL2" s="125" t="str">
        <f>タイトル!I44</f>
        <v>信頼性・性能・運用設計</v>
      </c>
      <c r="AM2" s="126"/>
      <c r="AN2" s="126"/>
      <c r="AO2" s="126"/>
      <c r="AP2" s="126"/>
      <c r="AQ2" s="126"/>
      <c r="AR2" s="126"/>
      <c r="AS2" s="126"/>
      <c r="AT2" s="126"/>
      <c r="AU2" s="126"/>
      <c r="AV2" s="126"/>
      <c r="AW2" s="126"/>
      <c r="AX2" s="126"/>
      <c r="AY2" s="126"/>
      <c r="AZ2" s="126"/>
      <c r="BA2" s="126"/>
      <c r="BB2" s="126"/>
      <c r="BC2" s="126"/>
      <c r="BD2" s="126"/>
      <c r="BE2" s="126"/>
      <c r="BF2" s="127"/>
      <c r="BG2" s="123" t="s">
        <v>3</v>
      </c>
      <c r="BH2" s="123"/>
      <c r="BI2" s="123"/>
      <c r="BJ2" s="123"/>
      <c r="BK2" s="157" t="s">
        <v>257</v>
      </c>
      <c r="BL2" s="158"/>
      <c r="BM2" s="158"/>
      <c r="BN2" s="158"/>
      <c r="BO2" s="158"/>
      <c r="BP2" s="158"/>
      <c r="BQ2" s="158"/>
      <c r="BR2" s="158"/>
      <c r="BS2" s="158"/>
      <c r="BT2" s="159"/>
      <c r="BU2" s="160">
        <v>45247</v>
      </c>
      <c r="BV2" s="161"/>
      <c r="BW2" s="161"/>
      <c r="BX2" s="161"/>
      <c r="BY2" s="161"/>
      <c r="BZ2" s="161"/>
      <c r="CA2" s="161"/>
      <c r="CB2" s="161"/>
      <c r="CC2" s="162"/>
      <c r="CD2" s="144"/>
      <c r="CE2" s="145"/>
      <c r="CF2" s="145"/>
      <c r="CG2" s="145"/>
      <c r="CH2" s="146"/>
      <c r="CI2" s="151"/>
      <c r="CJ2" s="152"/>
      <c r="CK2" s="152"/>
      <c r="CL2" s="152"/>
      <c r="CM2" s="152"/>
      <c r="CN2" s="152"/>
      <c r="CO2" s="152"/>
      <c r="CP2" s="153"/>
    </row>
    <row r="3" spans="1:96" customFormat="1" ht="15" customHeight="1" thickBot="1" x14ac:dyDescent="0.2">
      <c r="A3" s="128"/>
      <c r="B3" s="129"/>
      <c r="C3" s="129"/>
      <c r="D3" s="129"/>
      <c r="E3" s="129"/>
      <c r="F3" s="129"/>
      <c r="G3" s="129"/>
      <c r="H3" s="129"/>
      <c r="I3" s="130"/>
      <c r="J3" s="131"/>
      <c r="K3" s="131"/>
      <c r="L3" s="131"/>
      <c r="M3" s="131"/>
      <c r="N3" s="131"/>
      <c r="O3" s="131"/>
      <c r="P3" s="131"/>
      <c r="Q3" s="131"/>
      <c r="R3" s="131"/>
      <c r="S3" s="131"/>
      <c r="T3" s="131"/>
      <c r="U3" s="131"/>
      <c r="V3" s="131"/>
      <c r="W3" s="131"/>
      <c r="X3" s="131"/>
      <c r="Y3" s="131"/>
      <c r="Z3" s="131"/>
      <c r="AA3" s="131"/>
      <c r="AB3" s="131"/>
      <c r="AC3" s="131"/>
      <c r="AD3" s="132"/>
      <c r="AE3" s="124"/>
      <c r="AF3" s="124"/>
      <c r="AG3" s="124"/>
      <c r="AH3" s="124"/>
      <c r="AI3" s="124"/>
      <c r="AJ3" s="124"/>
      <c r="AK3" s="124"/>
      <c r="AL3" s="133"/>
      <c r="AM3" s="134"/>
      <c r="AN3" s="134"/>
      <c r="AO3" s="134"/>
      <c r="AP3" s="134"/>
      <c r="AQ3" s="134"/>
      <c r="AR3" s="134"/>
      <c r="AS3" s="134"/>
      <c r="AT3" s="134"/>
      <c r="AU3" s="134"/>
      <c r="AV3" s="134"/>
      <c r="AW3" s="134"/>
      <c r="AX3" s="134"/>
      <c r="AY3" s="134"/>
      <c r="AZ3" s="134"/>
      <c r="BA3" s="134"/>
      <c r="BB3" s="134"/>
      <c r="BC3" s="134"/>
      <c r="BD3" s="134"/>
      <c r="BE3" s="134"/>
      <c r="BF3" s="135"/>
      <c r="BG3" s="124"/>
      <c r="BH3" s="124"/>
      <c r="BI3" s="124"/>
      <c r="BJ3" s="124"/>
      <c r="BK3" s="163"/>
      <c r="BL3" s="164"/>
      <c r="BM3" s="164"/>
      <c r="BN3" s="164"/>
      <c r="BO3" s="164"/>
      <c r="BP3" s="164"/>
      <c r="BQ3" s="164"/>
      <c r="BR3" s="164"/>
      <c r="BS3" s="164"/>
      <c r="BT3" s="165"/>
      <c r="BU3" s="139"/>
      <c r="BV3" s="139"/>
      <c r="BW3" s="139"/>
      <c r="BX3" s="139"/>
      <c r="BY3" s="139"/>
      <c r="BZ3" s="139"/>
      <c r="CA3" s="139"/>
      <c r="CB3" s="139"/>
      <c r="CC3" s="139"/>
      <c r="CD3" s="147"/>
      <c r="CE3" s="148"/>
      <c r="CF3" s="148"/>
      <c r="CG3" s="148"/>
      <c r="CH3" s="149"/>
      <c r="CI3" s="154"/>
      <c r="CJ3" s="155"/>
      <c r="CK3" s="155"/>
      <c r="CL3" s="155"/>
      <c r="CM3" s="155"/>
      <c r="CN3" s="155"/>
      <c r="CO3" s="155"/>
      <c r="CP3" s="156"/>
    </row>
    <row r="4" spans="1:96" ht="15" customHeight="1" x14ac:dyDescent="0.15">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9"/>
    </row>
    <row r="5" spans="1:96" ht="15" customHeight="1" x14ac:dyDescent="0.15">
      <c r="A5" s="3"/>
      <c r="B5" s="6" t="s">
        <v>96</v>
      </c>
      <c r="C5" s="6"/>
      <c r="CP5" s="5"/>
    </row>
    <row r="6" spans="1:96" ht="15" customHeight="1" x14ac:dyDescent="0.15">
      <c r="A6" s="3"/>
      <c r="B6" s="10"/>
      <c r="C6" s="6" t="s">
        <v>235</v>
      </c>
      <c r="CP6" s="5"/>
    </row>
    <row r="7" spans="1:96" ht="15" customHeight="1" x14ac:dyDescent="0.15">
      <c r="A7" s="3"/>
      <c r="CP7" s="5"/>
    </row>
    <row r="8" spans="1:96" ht="15" customHeight="1" x14ac:dyDescent="0.15">
      <c r="A8" s="3"/>
      <c r="E8" s="4" t="s">
        <v>223</v>
      </c>
      <c r="CP8" s="5"/>
      <c r="CR8" s="4" t="s">
        <v>210</v>
      </c>
    </row>
    <row r="9" spans="1:96" ht="15" customHeight="1" x14ac:dyDescent="0.15">
      <c r="A9" s="3"/>
      <c r="CP9" s="5"/>
    </row>
    <row r="10" spans="1:96" ht="15" customHeight="1" x14ac:dyDescent="0.15">
      <c r="A10" s="3"/>
      <c r="CP10" s="5"/>
    </row>
    <row r="11" spans="1:96" ht="15" customHeight="1" x14ac:dyDescent="0.15">
      <c r="A11" s="3"/>
      <c r="CP11" s="5"/>
    </row>
    <row r="12" spans="1:96" ht="15" customHeight="1" x14ac:dyDescent="0.15">
      <c r="A12" s="3"/>
      <c r="CP12" s="5"/>
    </row>
    <row r="13" spans="1:96" ht="15" customHeight="1" x14ac:dyDescent="0.15">
      <c r="A13" s="3"/>
      <c r="CP13" s="5"/>
    </row>
    <row r="14" spans="1:96" ht="15" customHeight="1" x14ac:dyDescent="0.15">
      <c r="A14" s="3"/>
      <c r="CP14" s="5"/>
    </row>
    <row r="15" spans="1:96" ht="15" customHeight="1" x14ac:dyDescent="0.15">
      <c r="A15" s="3"/>
      <c r="CP15" s="5"/>
    </row>
    <row r="16" spans="1:96" ht="15" customHeight="1" x14ac:dyDescent="0.15">
      <c r="A16" s="3"/>
      <c r="CP16" s="5"/>
    </row>
    <row r="17" spans="1:94" ht="15" customHeight="1" x14ac:dyDescent="0.15">
      <c r="A17" s="3"/>
      <c r="CP17" s="5"/>
    </row>
    <row r="18" spans="1:94" ht="15" customHeight="1" x14ac:dyDescent="0.15">
      <c r="A18" s="3"/>
      <c r="CP18" s="5"/>
    </row>
    <row r="19" spans="1:94" ht="15" customHeight="1" x14ac:dyDescent="0.15">
      <c r="A19" s="3"/>
      <c r="CP19" s="5"/>
    </row>
    <row r="20" spans="1:94" ht="15" customHeight="1" x14ac:dyDescent="0.15">
      <c r="A20" s="3"/>
      <c r="CP20" s="5"/>
    </row>
    <row r="21" spans="1:94" ht="15" customHeight="1" x14ac:dyDescent="0.15">
      <c r="A21" s="3"/>
      <c r="CP21" s="5"/>
    </row>
    <row r="22" spans="1:94" ht="15" customHeight="1" x14ac:dyDescent="0.15">
      <c r="A22" s="3"/>
      <c r="CP22" s="5"/>
    </row>
    <row r="23" spans="1:94" ht="15" customHeight="1" x14ac:dyDescent="0.15">
      <c r="A23" s="3"/>
      <c r="CP23" s="5"/>
    </row>
    <row r="24" spans="1:94" ht="15" customHeight="1" x14ac:dyDescent="0.15">
      <c r="A24" s="3"/>
      <c r="CP24" s="5"/>
    </row>
    <row r="25" spans="1:94" ht="15" customHeight="1" x14ac:dyDescent="0.15">
      <c r="A25" s="3"/>
      <c r="E25" s="4" t="s">
        <v>78</v>
      </c>
      <c r="CP25" s="5"/>
    </row>
    <row r="26" spans="1:94" ht="15" customHeight="1" x14ac:dyDescent="0.15">
      <c r="A26" s="3"/>
      <c r="E26" s="4" t="s">
        <v>70</v>
      </c>
      <c r="CP26" s="5"/>
    </row>
    <row r="27" spans="1:94" ht="15" customHeight="1" x14ac:dyDescent="0.15">
      <c r="A27" s="3"/>
      <c r="E27" s="4" t="s">
        <v>71</v>
      </c>
      <c r="CP27" s="5"/>
    </row>
    <row r="28" spans="1:94" ht="15" customHeight="1" x14ac:dyDescent="0.15">
      <c r="A28" s="3"/>
      <c r="CP28" s="5"/>
    </row>
    <row r="29" spans="1:94" ht="15" customHeight="1" x14ac:dyDescent="0.15">
      <c r="A29" s="3"/>
      <c r="CP29" s="5"/>
    </row>
    <row r="30" spans="1:94" ht="15" customHeight="1" x14ac:dyDescent="0.15">
      <c r="A30" s="3"/>
      <c r="CP30" s="5"/>
    </row>
    <row r="31" spans="1:94" ht="15" customHeight="1" x14ac:dyDescent="0.15">
      <c r="A31" s="3"/>
      <c r="C31" s="6" t="s">
        <v>236</v>
      </c>
      <c r="CP31" s="5"/>
    </row>
    <row r="32" spans="1:94" ht="15" customHeight="1" x14ac:dyDescent="0.15">
      <c r="A32" s="3"/>
      <c r="CP32" s="5"/>
    </row>
    <row r="33" spans="1:94" ht="15" customHeight="1" x14ac:dyDescent="0.15">
      <c r="A33" s="3"/>
      <c r="E33" s="335" t="s">
        <v>258</v>
      </c>
      <c r="F33" s="335"/>
      <c r="G33" s="335"/>
      <c r="H33" s="335"/>
      <c r="I33" s="335"/>
      <c r="J33" s="335"/>
      <c r="K33" s="335"/>
      <c r="L33" s="335"/>
      <c r="M33" s="335"/>
      <c r="N33" s="335"/>
      <c r="O33" s="335"/>
      <c r="P33" s="335"/>
      <c r="Q33" s="335"/>
      <c r="R33" s="335"/>
      <c r="S33" s="335"/>
      <c r="T33" s="335"/>
      <c r="U33" s="335"/>
      <c r="V33" s="335"/>
      <c r="W33" s="335"/>
      <c r="X33" s="335"/>
      <c r="Y33" s="335"/>
      <c r="Z33" s="335"/>
      <c r="AA33" s="335"/>
      <c r="AB33" s="335"/>
      <c r="AC33" s="335"/>
      <c r="AD33" s="335"/>
      <c r="AE33" s="335"/>
      <c r="AF33" s="335"/>
      <c r="AG33" s="335"/>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c r="BD33" s="335"/>
      <c r="BE33" s="335"/>
      <c r="BF33" s="335"/>
      <c r="BG33" s="335"/>
      <c r="BH33" s="335"/>
      <c r="CP33" s="5"/>
    </row>
    <row r="34" spans="1:94" ht="15" customHeight="1" x14ac:dyDescent="0.15">
      <c r="A34" s="3"/>
      <c r="CP34" s="5"/>
    </row>
    <row r="35" spans="1:94" ht="15" customHeight="1" x14ac:dyDescent="0.15">
      <c r="A35" s="3"/>
      <c r="CP35" s="5"/>
    </row>
    <row r="36" spans="1:94" ht="15" customHeight="1" x14ac:dyDescent="0.15">
      <c r="A36" s="3"/>
      <c r="CP36" s="5"/>
    </row>
    <row r="37" spans="1:94" ht="15" customHeight="1" x14ac:dyDescent="0.15">
      <c r="A37" s="3"/>
      <c r="CP37" s="5"/>
    </row>
    <row r="38" spans="1:94" ht="15" customHeight="1" x14ac:dyDescent="0.15">
      <c r="A38" s="3"/>
      <c r="CP38" s="5"/>
    </row>
    <row r="39" spans="1:94" ht="15" customHeight="1" x14ac:dyDescent="0.15">
      <c r="A39" s="3"/>
      <c r="CP39" s="5"/>
    </row>
    <row r="40" spans="1:94" ht="15" customHeight="1" x14ac:dyDescent="0.15">
      <c r="A40" s="3"/>
      <c r="CP40" s="5"/>
    </row>
    <row r="41" spans="1:94" ht="15" customHeight="1" x14ac:dyDescent="0.15">
      <c r="A41" s="3"/>
      <c r="CP41" s="5"/>
    </row>
    <row r="42" spans="1:94" ht="15" customHeight="1" x14ac:dyDescent="0.15">
      <c r="A42" s="3"/>
      <c r="CP42" s="5"/>
    </row>
    <row r="43" spans="1:94" ht="15" customHeight="1" x14ac:dyDescent="0.15">
      <c r="A43" s="3"/>
      <c r="CP43" s="5"/>
    </row>
    <row r="44" spans="1:94" ht="15" customHeight="1" x14ac:dyDescent="0.15">
      <c r="A44" s="3"/>
      <c r="CP44" s="5"/>
    </row>
    <row r="45" spans="1:94" ht="15" customHeight="1" x14ac:dyDescent="0.15">
      <c r="A45" s="3"/>
      <c r="CP45" s="5"/>
    </row>
    <row r="46" spans="1:94" ht="15" customHeight="1" x14ac:dyDescent="0.15">
      <c r="A46" s="3"/>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row r="48" spans="1:94" ht="15" customHeight="1" x14ac:dyDescent="0.15">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9"/>
    </row>
    <row r="49" spans="1:96" ht="15" customHeight="1" x14ac:dyDescent="0.15">
      <c r="A49" s="3"/>
      <c r="C49" s="6" t="s">
        <v>249</v>
      </c>
      <c r="CP49" s="5"/>
    </row>
    <row r="50" spans="1:96" ht="15" customHeight="1" x14ac:dyDescent="0.15">
      <c r="A50" s="3"/>
      <c r="CP50" s="5"/>
    </row>
    <row r="51" spans="1:96" ht="15" customHeight="1" x14ac:dyDescent="0.15">
      <c r="A51" s="3"/>
      <c r="D51" s="30"/>
      <c r="E51" s="4" t="s">
        <v>226</v>
      </c>
      <c r="CP51" s="5"/>
    </row>
    <row r="52" spans="1:96" ht="15" customHeight="1" x14ac:dyDescent="0.15">
      <c r="A52" s="3"/>
      <c r="F52" s="4" t="s">
        <v>259</v>
      </c>
      <c r="CP52" s="5"/>
    </row>
    <row r="53" spans="1:96" ht="15" customHeight="1" x14ac:dyDescent="0.15">
      <c r="A53" s="3"/>
      <c r="CP53" s="5"/>
      <c r="CR53" s="4" t="s">
        <v>211</v>
      </c>
    </row>
    <row r="54" spans="1:96" ht="15" customHeight="1" x14ac:dyDescent="0.15">
      <c r="A54" s="3"/>
      <c r="E54" s="335" t="s">
        <v>261</v>
      </c>
      <c r="F54" s="335"/>
      <c r="G54" s="335"/>
      <c r="H54" s="335"/>
      <c r="I54" s="335"/>
      <c r="J54" s="335"/>
      <c r="K54" s="335"/>
      <c r="L54" s="335"/>
      <c r="M54" s="335"/>
      <c r="N54" s="335"/>
      <c r="O54" s="335"/>
      <c r="P54" s="335"/>
      <c r="Q54" s="335"/>
      <c r="R54" s="335"/>
      <c r="S54" s="335"/>
      <c r="T54" s="335"/>
      <c r="U54" s="335"/>
      <c r="V54" s="335"/>
      <c r="W54" s="335"/>
      <c r="X54" s="335"/>
      <c r="Y54" s="335"/>
      <c r="Z54" s="335"/>
      <c r="AA54" s="335"/>
      <c r="AB54" s="335"/>
      <c r="AC54" s="335"/>
      <c r="CP54" s="5"/>
      <c r="CR54" s="4" t="s">
        <v>212</v>
      </c>
    </row>
    <row r="55" spans="1:96" ht="15" customHeight="1" x14ac:dyDescent="0.15">
      <c r="A55" s="3"/>
      <c r="CP55" s="5"/>
      <c r="CR55" s="4" t="s">
        <v>213</v>
      </c>
    </row>
    <row r="56" spans="1:96" ht="15" customHeight="1" x14ac:dyDescent="0.15">
      <c r="A56" s="3"/>
      <c r="CP56" s="5"/>
      <c r="CR56" s="4" t="s">
        <v>214</v>
      </c>
    </row>
    <row r="57" spans="1:96" ht="15" customHeight="1" x14ac:dyDescent="0.15">
      <c r="A57" s="3"/>
      <c r="R57" s="4" t="s">
        <v>227</v>
      </c>
      <c r="CP57" s="5"/>
      <c r="CR57" s="4" t="s">
        <v>215</v>
      </c>
    </row>
    <row r="58" spans="1:96" ht="15" customHeight="1" x14ac:dyDescent="0.15">
      <c r="A58" s="3"/>
      <c r="R58" s="4" t="s">
        <v>228</v>
      </c>
      <c r="CP58" s="5"/>
      <c r="CR58" s="4" t="s">
        <v>217</v>
      </c>
    </row>
    <row r="59" spans="1:96" ht="15" customHeight="1" x14ac:dyDescent="0.15">
      <c r="A59" s="3"/>
      <c r="AG59" s="53" t="s">
        <v>224</v>
      </c>
      <c r="AH59" s="54"/>
      <c r="AI59" s="54"/>
      <c r="AJ59" s="54"/>
      <c r="AK59" s="54"/>
      <c r="AL59" s="54"/>
      <c r="AM59" s="54"/>
      <c r="AN59" s="54"/>
      <c r="AO59" s="54"/>
      <c r="AP59" s="55"/>
      <c r="AR59" s="4" t="s">
        <v>262</v>
      </c>
      <c r="CP59" s="5"/>
    </row>
    <row r="60" spans="1:96" ht="15" customHeight="1" x14ac:dyDescent="0.15">
      <c r="A60" s="3"/>
      <c r="AG60" s="56"/>
      <c r="AH60" s="336"/>
      <c r="AI60" s="336"/>
      <c r="AJ60" s="336"/>
      <c r="AK60" s="336"/>
      <c r="AL60" s="336"/>
      <c r="AM60" s="336"/>
      <c r="AN60" s="336"/>
      <c r="AO60" s="336"/>
      <c r="AP60" s="57"/>
      <c r="CP60" s="5"/>
      <c r="CR60" s="51" t="s">
        <v>216</v>
      </c>
    </row>
    <row r="61" spans="1:96" ht="15" customHeight="1" x14ac:dyDescent="0.15">
      <c r="A61" s="3"/>
      <c r="G61" s="180" t="s">
        <v>263</v>
      </c>
      <c r="H61" s="181"/>
      <c r="I61" s="181"/>
      <c r="J61" s="181"/>
      <c r="K61" s="181"/>
      <c r="L61" s="181"/>
      <c r="M61" s="181"/>
      <c r="N61" s="181"/>
      <c r="O61" s="182"/>
      <c r="P61" s="77" t="s">
        <v>84</v>
      </c>
      <c r="Q61" s="78"/>
      <c r="R61" s="78"/>
      <c r="S61" s="77" t="s">
        <v>232</v>
      </c>
      <c r="T61" s="78"/>
      <c r="U61" s="78"/>
      <c r="V61" s="78"/>
      <c r="W61" s="78"/>
      <c r="X61" s="78"/>
      <c r="Y61" s="78"/>
      <c r="Z61" s="78"/>
      <c r="AA61" s="78"/>
      <c r="AB61" s="78"/>
      <c r="AC61" s="78"/>
      <c r="AD61" s="79"/>
      <c r="AG61" s="56"/>
      <c r="AH61" s="336"/>
      <c r="AI61" s="336"/>
      <c r="AJ61" s="336"/>
      <c r="AK61" s="336"/>
      <c r="AL61" s="336"/>
      <c r="AM61" s="336"/>
      <c r="AN61" s="336"/>
      <c r="AO61" s="336"/>
      <c r="AP61" s="57"/>
      <c r="CP61" s="5"/>
    </row>
    <row r="62" spans="1:96" ht="15" customHeight="1" x14ac:dyDescent="0.15">
      <c r="A62" s="3"/>
      <c r="AG62" s="56"/>
      <c r="AH62" s="336"/>
      <c r="AI62" s="336"/>
      <c r="AJ62" s="336"/>
      <c r="AK62" s="336"/>
      <c r="AL62" s="336"/>
      <c r="AM62" s="336"/>
      <c r="AN62" s="336"/>
      <c r="AO62" s="336"/>
      <c r="AP62" s="57"/>
      <c r="CP62" s="5"/>
    </row>
    <row r="63" spans="1:96" ht="15" customHeight="1" x14ac:dyDescent="0.15">
      <c r="A63" s="3"/>
      <c r="AG63" s="56"/>
      <c r="AH63" s="336"/>
      <c r="AI63" s="336"/>
      <c r="AJ63" s="336"/>
      <c r="AK63" s="336"/>
      <c r="AL63" s="336"/>
      <c r="AM63" s="336"/>
      <c r="AN63" s="336"/>
      <c r="AO63" s="336"/>
      <c r="AP63" s="57"/>
      <c r="CP63" s="5"/>
    </row>
    <row r="64" spans="1:96" ht="15" customHeight="1" x14ac:dyDescent="0.15">
      <c r="A64" s="3"/>
      <c r="D64" s="30"/>
      <c r="AG64" s="56"/>
      <c r="AH64" s="336"/>
      <c r="AI64" s="336"/>
      <c r="AJ64" s="336"/>
      <c r="AK64" s="336"/>
      <c r="AL64" s="336"/>
      <c r="AM64" s="336"/>
      <c r="AN64" s="336"/>
      <c r="AO64" s="336"/>
      <c r="AP64" s="57"/>
      <c r="CP64" s="5"/>
    </row>
    <row r="65" spans="1:94" ht="15" customHeight="1" x14ac:dyDescent="0.15">
      <c r="A65" s="3"/>
      <c r="D65" s="30"/>
      <c r="AG65" s="56"/>
      <c r="AH65" s="336"/>
      <c r="AI65" s="336"/>
      <c r="AJ65" s="336"/>
      <c r="AK65" s="336"/>
      <c r="AL65" s="336"/>
      <c r="AM65" s="336"/>
      <c r="AN65" s="336"/>
      <c r="AO65" s="336"/>
      <c r="AP65" s="57"/>
      <c r="CP65" s="5"/>
    </row>
    <row r="66" spans="1:94" ht="15" customHeight="1" x14ac:dyDescent="0.15">
      <c r="A66" s="3"/>
      <c r="D66" s="30"/>
      <c r="AG66" s="56"/>
      <c r="AH66" s="336"/>
      <c r="AI66" s="336"/>
      <c r="AJ66" s="336"/>
      <c r="AK66" s="336"/>
      <c r="AL66" s="336"/>
      <c r="AM66" s="336"/>
      <c r="AN66" s="336"/>
      <c r="AO66" s="336"/>
      <c r="AP66" s="57"/>
      <c r="CP66" s="5"/>
    </row>
    <row r="67" spans="1:94" ht="15" customHeight="1" x14ac:dyDescent="0.15">
      <c r="A67" s="3"/>
      <c r="D67" s="30"/>
      <c r="AG67" s="56"/>
      <c r="AH67" s="336"/>
      <c r="AI67" s="336"/>
      <c r="AJ67" s="336"/>
      <c r="AK67" s="336"/>
      <c r="AL67" s="336"/>
      <c r="AM67" s="336"/>
      <c r="AN67" s="336"/>
      <c r="AO67" s="336"/>
      <c r="AP67" s="57"/>
      <c r="CP67" s="5"/>
    </row>
    <row r="68" spans="1:94" ht="15" customHeight="1" x14ac:dyDescent="0.15">
      <c r="A68" s="3"/>
      <c r="D68" s="30"/>
      <c r="AG68" s="56"/>
      <c r="AH68" s="336"/>
      <c r="AI68" s="336"/>
      <c r="AJ68" s="336"/>
      <c r="AK68" s="336"/>
      <c r="AL68" s="336"/>
      <c r="AM68" s="336"/>
      <c r="AN68" s="336"/>
      <c r="AO68" s="336"/>
      <c r="AP68" s="57"/>
      <c r="CP68" s="5"/>
    </row>
    <row r="69" spans="1:94" ht="15" customHeight="1" x14ac:dyDescent="0.15">
      <c r="A69" s="3"/>
      <c r="D69" s="30"/>
      <c r="AG69" s="56"/>
      <c r="AH69" s="336"/>
      <c r="AI69" s="336"/>
      <c r="AJ69" s="336"/>
      <c r="AK69" s="336"/>
      <c r="AL69" s="336"/>
      <c r="AM69" s="336"/>
      <c r="AN69" s="336"/>
      <c r="AO69" s="336"/>
      <c r="AP69" s="57"/>
      <c r="CP69" s="5"/>
    </row>
    <row r="70" spans="1:94" ht="15" customHeight="1" x14ac:dyDescent="0.15">
      <c r="A70" s="3"/>
      <c r="D70" s="30"/>
      <c r="AG70" s="56"/>
      <c r="AH70" s="336"/>
      <c r="AI70" s="336"/>
      <c r="AJ70" s="336"/>
      <c r="AK70" s="336"/>
      <c r="AL70" s="336"/>
      <c r="AM70" s="336"/>
      <c r="AN70" s="336"/>
      <c r="AO70" s="336"/>
      <c r="AP70" s="57"/>
      <c r="CP70" s="5"/>
    </row>
    <row r="71" spans="1:94" ht="15" customHeight="1" x14ac:dyDescent="0.15">
      <c r="A71" s="3"/>
      <c r="D71" s="30"/>
      <c r="AG71" s="56"/>
      <c r="AH71" s="336"/>
      <c r="AI71" s="336"/>
      <c r="AJ71" s="336"/>
      <c r="AK71" s="336"/>
      <c r="AL71" s="336"/>
      <c r="AM71" s="336"/>
      <c r="AN71" s="336"/>
      <c r="AO71" s="336"/>
      <c r="AP71" s="57"/>
      <c r="CP71" s="5"/>
    </row>
    <row r="72" spans="1:94" ht="15" customHeight="1" x14ac:dyDescent="0.15">
      <c r="A72" s="3"/>
      <c r="D72" s="30"/>
      <c r="AG72" s="56"/>
      <c r="AH72" s="336"/>
      <c r="AI72" s="336"/>
      <c r="AJ72" s="336"/>
      <c r="AK72" s="336"/>
      <c r="AL72" s="336"/>
      <c r="AM72" s="336"/>
      <c r="AN72" s="336"/>
      <c r="AO72" s="336"/>
      <c r="AP72" s="57"/>
      <c r="CP72" s="5"/>
    </row>
    <row r="73" spans="1:94" ht="15" customHeight="1" x14ac:dyDescent="0.15">
      <c r="A73" s="3"/>
      <c r="D73" s="30"/>
      <c r="AG73" s="56"/>
      <c r="AH73" s="336"/>
      <c r="AI73" s="336"/>
      <c r="AJ73" s="336"/>
      <c r="AK73" s="336"/>
      <c r="AL73" s="336"/>
      <c r="AM73" s="336"/>
      <c r="AN73" s="336"/>
      <c r="AO73" s="336"/>
      <c r="AP73" s="57"/>
      <c r="CP73" s="5"/>
    </row>
    <row r="74" spans="1:94" ht="15" customHeight="1" x14ac:dyDescent="0.15">
      <c r="A74" s="3"/>
      <c r="D74" s="30"/>
      <c r="AG74" s="58"/>
      <c r="AH74" s="59"/>
      <c r="AI74" s="59"/>
      <c r="AJ74" s="59"/>
      <c r="AK74" s="59"/>
      <c r="AL74" s="59"/>
      <c r="AM74" s="59"/>
      <c r="AN74" s="59"/>
      <c r="AO74" s="59"/>
      <c r="AP74" s="60"/>
      <c r="CP74" s="5"/>
    </row>
    <row r="75" spans="1:94" ht="15" customHeight="1" x14ac:dyDescent="0.15">
      <c r="A75" s="3"/>
      <c r="D75" s="30"/>
      <c r="CP75" s="5"/>
    </row>
    <row r="76" spans="1:94" ht="15" customHeight="1" x14ac:dyDescent="0.15">
      <c r="A76" s="3"/>
      <c r="CP76" s="5"/>
    </row>
    <row r="77" spans="1:94" ht="15" customHeight="1" x14ac:dyDescent="0.15">
      <c r="A77" s="3"/>
      <c r="E77" s="4" t="s">
        <v>225</v>
      </c>
      <c r="CP77" s="5"/>
    </row>
    <row r="78" spans="1:94" ht="15" customHeight="1" x14ac:dyDescent="0.15">
      <c r="A78" s="3"/>
      <c r="CP78" s="5"/>
    </row>
    <row r="79" spans="1:94" ht="15" customHeight="1" x14ac:dyDescent="0.15">
      <c r="A79" s="3"/>
      <c r="CP79" s="5"/>
    </row>
    <row r="80" spans="1:94" ht="15" customHeight="1" x14ac:dyDescent="0.15">
      <c r="A80" s="3"/>
      <c r="CP80" s="5"/>
    </row>
    <row r="81" spans="1:94" ht="15" customHeight="1" x14ac:dyDescent="0.15">
      <c r="A81" s="3"/>
      <c r="CP81" s="5"/>
    </row>
    <row r="82" spans="1:94" ht="15" customHeight="1" x14ac:dyDescent="0.15">
      <c r="A82" s="3"/>
      <c r="CP82" s="5"/>
    </row>
    <row r="83" spans="1:94" ht="15" customHeight="1" x14ac:dyDescent="0.15">
      <c r="A83" s="3"/>
      <c r="CP83" s="5"/>
    </row>
    <row r="84" spans="1:94" ht="15" customHeight="1" x14ac:dyDescent="0.15">
      <c r="A84" s="3"/>
      <c r="CP84" s="5"/>
    </row>
    <row r="85" spans="1:94" ht="15" customHeight="1" x14ac:dyDescent="0.15">
      <c r="A85" s="3"/>
      <c r="CP85" s="5"/>
    </row>
    <row r="86" spans="1:94" ht="15" customHeight="1" x14ac:dyDescent="0.15">
      <c r="A86" s="3"/>
      <c r="CP86" s="5"/>
    </row>
    <row r="87" spans="1:94" ht="15" customHeight="1" x14ac:dyDescent="0.15">
      <c r="A87" s="3"/>
      <c r="CP87" s="5"/>
    </row>
    <row r="88" spans="1:94" ht="15" customHeight="1" x14ac:dyDescent="0.15">
      <c r="A88" s="3"/>
      <c r="CP88" s="5"/>
    </row>
    <row r="89" spans="1:94" ht="15" customHeight="1" x14ac:dyDescent="0.15">
      <c r="A89" s="3"/>
      <c r="CP89" s="5"/>
    </row>
    <row r="90" spans="1:94" ht="15" customHeight="1" x14ac:dyDescent="0.15">
      <c r="A90" s="3"/>
      <c r="CP90" s="5"/>
    </row>
    <row r="91" spans="1:94" ht="15" customHeight="1" thickBot="1" x14ac:dyDescent="0.2">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9"/>
    </row>
  </sheetData>
  <mergeCells count="25">
    <mergeCell ref="G61:O61"/>
    <mergeCell ref="P61:R61"/>
    <mergeCell ref="S61:AD61"/>
    <mergeCell ref="BK1:BT1"/>
    <mergeCell ref="BU3:CC3"/>
    <mergeCell ref="BU1:CC1"/>
    <mergeCell ref="CD1:CH3"/>
    <mergeCell ref="CI1:CP3"/>
    <mergeCell ref="BK2:BT2"/>
    <mergeCell ref="BU2:CC2"/>
    <mergeCell ref="BK3:BT3"/>
    <mergeCell ref="A2:H2"/>
    <mergeCell ref="I2:AD2"/>
    <mergeCell ref="AE2:AK3"/>
    <mergeCell ref="AL2:BF2"/>
    <mergeCell ref="BG2:BJ2"/>
    <mergeCell ref="A3:H3"/>
    <mergeCell ref="I3:AD3"/>
    <mergeCell ref="AL3:BF3"/>
    <mergeCell ref="BG3:BJ3"/>
    <mergeCell ref="A1:H1"/>
    <mergeCell ref="I1:AD1"/>
    <mergeCell ref="AE1:AK1"/>
    <mergeCell ref="AL1:BF1"/>
    <mergeCell ref="BG1:BJ1"/>
  </mergeCells>
  <phoneticPr fontId="3"/>
  <pageMargins left="0.39370078740157483" right="0.39370078740157483" top="0.78740157480314965" bottom="0.39370078740157483" header="0.59055118110236227" footer="0.19685039370078741"/>
  <pageSetup paperSize="9" scale="80" orientation="landscape" useFirstPageNumber="1" r:id="rId1"/>
  <headerFooter alignWithMargins="0">
    <oddFooter>&amp;C&amp;P　/　&amp;N-3&amp;R株式会社　京信システムサービス</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R47"/>
  <sheetViews>
    <sheetView view="pageBreakPreview" zoomScaleNormal="100" zoomScaleSheetLayoutView="100" workbookViewId="0">
      <selection activeCell="AR27" sqref="AR27"/>
    </sheetView>
  </sheetViews>
  <sheetFormatPr defaultColWidth="1.875" defaultRowHeight="12" x14ac:dyDescent="0.15"/>
  <cols>
    <col min="1" max="5" width="1.875" style="4"/>
    <col min="6" max="6" width="1.75" style="4" customWidth="1"/>
    <col min="7" max="95" width="1.875" style="4"/>
    <col min="96" max="96" width="8.125" style="4" customWidth="1"/>
    <col min="97" max="97" width="8.625" style="4" bestFit="1" customWidth="1"/>
    <col min="98" max="98" width="5.25" style="4" customWidth="1"/>
    <col min="99" max="100" width="5.25" style="4" bestFit="1" customWidth="1"/>
    <col min="101" max="16384" width="1.875" style="4"/>
  </cols>
  <sheetData>
    <row r="1" spans="1:94" customFormat="1" ht="15" customHeight="1" x14ac:dyDescent="0.15">
      <c r="A1" s="109" t="s">
        <v>63</v>
      </c>
      <c r="B1" s="110"/>
      <c r="C1" s="110"/>
      <c r="D1" s="110"/>
      <c r="E1" s="110"/>
      <c r="F1" s="110"/>
      <c r="G1" s="110"/>
      <c r="H1" s="110"/>
      <c r="I1" s="111" t="str">
        <f>タイトル!I40</f>
        <v>学生勤務管理システム</v>
      </c>
      <c r="J1" s="112"/>
      <c r="K1" s="112"/>
      <c r="L1" s="112"/>
      <c r="M1" s="112"/>
      <c r="N1" s="112"/>
      <c r="O1" s="112"/>
      <c r="P1" s="112"/>
      <c r="Q1" s="112"/>
      <c r="R1" s="112"/>
      <c r="S1" s="112"/>
      <c r="T1" s="112"/>
      <c r="U1" s="112"/>
      <c r="V1" s="112"/>
      <c r="W1" s="112"/>
      <c r="X1" s="112"/>
      <c r="Y1" s="112"/>
      <c r="Z1" s="112"/>
      <c r="AA1" s="112"/>
      <c r="AB1" s="112"/>
      <c r="AC1" s="112"/>
      <c r="AD1" s="113"/>
      <c r="AE1" s="114" t="s">
        <v>4</v>
      </c>
      <c r="AF1" s="114"/>
      <c r="AG1" s="114"/>
      <c r="AH1" s="114"/>
      <c r="AI1" s="114"/>
      <c r="AJ1" s="114"/>
      <c r="AK1" s="114"/>
      <c r="AL1" s="115" t="str">
        <f>タイトル!I43</f>
        <v>システム設計精査業務</v>
      </c>
      <c r="AM1" s="116"/>
      <c r="AN1" s="116"/>
      <c r="AO1" s="116"/>
      <c r="AP1" s="116"/>
      <c r="AQ1" s="116"/>
      <c r="AR1" s="116"/>
      <c r="AS1" s="116"/>
      <c r="AT1" s="116"/>
      <c r="AU1" s="116"/>
      <c r="AV1" s="116"/>
      <c r="AW1" s="116"/>
      <c r="AX1" s="116"/>
      <c r="AY1" s="116"/>
      <c r="AZ1" s="116"/>
      <c r="BA1" s="116"/>
      <c r="BB1" s="116"/>
      <c r="BC1" s="116"/>
      <c r="BD1" s="116"/>
      <c r="BE1" s="116"/>
      <c r="BF1" s="117"/>
      <c r="BG1" s="114" t="s">
        <v>2</v>
      </c>
      <c r="BH1" s="114"/>
      <c r="BI1" s="114"/>
      <c r="BJ1" s="114"/>
      <c r="BK1" s="136" t="str">
        <f>タイトル!I46</f>
        <v>木田　優</v>
      </c>
      <c r="BL1" s="137"/>
      <c r="BM1" s="137"/>
      <c r="BN1" s="137"/>
      <c r="BO1" s="137"/>
      <c r="BP1" s="137"/>
      <c r="BQ1" s="137"/>
      <c r="BR1" s="137"/>
      <c r="BS1" s="137"/>
      <c r="BT1" s="138"/>
      <c r="BU1" s="140">
        <f>改訂履歴!J5</f>
        <v>45243</v>
      </c>
      <c r="BV1" s="140"/>
      <c r="BW1" s="140"/>
      <c r="BX1" s="140"/>
      <c r="BY1" s="140"/>
      <c r="BZ1" s="140"/>
      <c r="CA1" s="140"/>
      <c r="CB1" s="140"/>
      <c r="CC1" s="140"/>
      <c r="CD1" s="141" t="s">
        <v>38</v>
      </c>
      <c r="CE1" s="142"/>
      <c r="CF1" s="142"/>
      <c r="CG1" s="142"/>
      <c r="CH1" s="143"/>
      <c r="CI1" s="136" t="str">
        <f>タイトル!I50</f>
        <v>DUC060</v>
      </c>
      <c r="CJ1" s="137"/>
      <c r="CK1" s="137"/>
      <c r="CL1" s="137"/>
      <c r="CM1" s="137"/>
      <c r="CN1" s="137"/>
      <c r="CO1" s="137"/>
      <c r="CP1" s="150"/>
    </row>
    <row r="2" spans="1:94" customFormat="1" ht="15" customHeight="1" x14ac:dyDescent="0.15">
      <c r="A2" s="118" t="s">
        <v>64</v>
      </c>
      <c r="B2" s="119"/>
      <c r="C2" s="119"/>
      <c r="D2" s="119"/>
      <c r="E2" s="119"/>
      <c r="F2" s="119"/>
      <c r="G2" s="119"/>
      <c r="H2" s="119"/>
      <c r="I2" s="120"/>
      <c r="J2" s="121"/>
      <c r="K2" s="121"/>
      <c r="L2" s="121"/>
      <c r="M2" s="121"/>
      <c r="N2" s="121"/>
      <c r="O2" s="121"/>
      <c r="P2" s="121"/>
      <c r="Q2" s="121"/>
      <c r="R2" s="121"/>
      <c r="S2" s="121"/>
      <c r="T2" s="121"/>
      <c r="U2" s="121"/>
      <c r="V2" s="121"/>
      <c r="W2" s="121"/>
      <c r="X2" s="121"/>
      <c r="Y2" s="121"/>
      <c r="Z2" s="121"/>
      <c r="AA2" s="121"/>
      <c r="AB2" s="121"/>
      <c r="AC2" s="121"/>
      <c r="AD2" s="122"/>
      <c r="AE2" s="123" t="s">
        <v>5</v>
      </c>
      <c r="AF2" s="123"/>
      <c r="AG2" s="123"/>
      <c r="AH2" s="123"/>
      <c r="AI2" s="123"/>
      <c r="AJ2" s="123"/>
      <c r="AK2" s="123"/>
      <c r="AL2" s="125" t="str">
        <f>タイトル!I44</f>
        <v>信頼性・性能・運用設計</v>
      </c>
      <c r="AM2" s="126"/>
      <c r="AN2" s="126"/>
      <c r="AO2" s="126"/>
      <c r="AP2" s="126"/>
      <c r="AQ2" s="126"/>
      <c r="AR2" s="126"/>
      <c r="AS2" s="126"/>
      <c r="AT2" s="126"/>
      <c r="AU2" s="126"/>
      <c r="AV2" s="126"/>
      <c r="AW2" s="126"/>
      <c r="AX2" s="126"/>
      <c r="AY2" s="126"/>
      <c r="AZ2" s="126"/>
      <c r="BA2" s="126"/>
      <c r="BB2" s="126"/>
      <c r="BC2" s="126"/>
      <c r="BD2" s="126"/>
      <c r="BE2" s="126"/>
      <c r="BF2" s="127"/>
      <c r="BG2" s="123" t="s">
        <v>3</v>
      </c>
      <c r="BH2" s="123"/>
      <c r="BI2" s="123"/>
      <c r="BJ2" s="123"/>
      <c r="BK2" s="157"/>
      <c r="BL2" s="158"/>
      <c r="BM2" s="158"/>
      <c r="BN2" s="158"/>
      <c r="BO2" s="158"/>
      <c r="BP2" s="158"/>
      <c r="BQ2" s="158"/>
      <c r="BR2" s="158"/>
      <c r="BS2" s="158"/>
      <c r="BT2" s="159"/>
      <c r="BU2" s="160"/>
      <c r="BV2" s="161"/>
      <c r="BW2" s="161"/>
      <c r="BX2" s="161"/>
      <c r="BY2" s="161"/>
      <c r="BZ2" s="161"/>
      <c r="CA2" s="161"/>
      <c r="CB2" s="161"/>
      <c r="CC2" s="162"/>
      <c r="CD2" s="144"/>
      <c r="CE2" s="145"/>
      <c r="CF2" s="145"/>
      <c r="CG2" s="145"/>
      <c r="CH2" s="146"/>
      <c r="CI2" s="151"/>
      <c r="CJ2" s="152"/>
      <c r="CK2" s="152"/>
      <c r="CL2" s="152"/>
      <c r="CM2" s="152"/>
      <c r="CN2" s="152"/>
      <c r="CO2" s="152"/>
      <c r="CP2" s="153"/>
    </row>
    <row r="3" spans="1:94" customFormat="1" ht="15" customHeight="1" thickBot="1" x14ac:dyDescent="0.2">
      <c r="A3" s="128"/>
      <c r="B3" s="129"/>
      <c r="C3" s="129"/>
      <c r="D3" s="129"/>
      <c r="E3" s="129"/>
      <c r="F3" s="129"/>
      <c r="G3" s="129"/>
      <c r="H3" s="129"/>
      <c r="I3" s="130"/>
      <c r="J3" s="131"/>
      <c r="K3" s="131"/>
      <c r="L3" s="131"/>
      <c r="M3" s="131"/>
      <c r="N3" s="131"/>
      <c r="O3" s="131"/>
      <c r="P3" s="131"/>
      <c r="Q3" s="131"/>
      <c r="R3" s="131"/>
      <c r="S3" s="131"/>
      <c r="T3" s="131"/>
      <c r="U3" s="131"/>
      <c r="V3" s="131"/>
      <c r="W3" s="131"/>
      <c r="X3" s="131"/>
      <c r="Y3" s="131"/>
      <c r="Z3" s="131"/>
      <c r="AA3" s="131"/>
      <c r="AB3" s="131"/>
      <c r="AC3" s="131"/>
      <c r="AD3" s="132"/>
      <c r="AE3" s="124"/>
      <c r="AF3" s="124"/>
      <c r="AG3" s="124"/>
      <c r="AH3" s="124"/>
      <c r="AI3" s="124"/>
      <c r="AJ3" s="124"/>
      <c r="AK3" s="124"/>
      <c r="AL3" s="133"/>
      <c r="AM3" s="134"/>
      <c r="AN3" s="134"/>
      <c r="AO3" s="134"/>
      <c r="AP3" s="134"/>
      <c r="AQ3" s="134"/>
      <c r="AR3" s="134"/>
      <c r="AS3" s="134"/>
      <c r="AT3" s="134"/>
      <c r="AU3" s="134"/>
      <c r="AV3" s="134"/>
      <c r="AW3" s="134"/>
      <c r="AX3" s="134"/>
      <c r="AY3" s="134"/>
      <c r="AZ3" s="134"/>
      <c r="BA3" s="134"/>
      <c r="BB3" s="134"/>
      <c r="BC3" s="134"/>
      <c r="BD3" s="134"/>
      <c r="BE3" s="134"/>
      <c r="BF3" s="135"/>
      <c r="BG3" s="124"/>
      <c r="BH3" s="124"/>
      <c r="BI3" s="124"/>
      <c r="BJ3" s="124"/>
      <c r="BK3" s="163"/>
      <c r="BL3" s="164"/>
      <c r="BM3" s="164"/>
      <c r="BN3" s="164"/>
      <c r="BO3" s="164"/>
      <c r="BP3" s="164"/>
      <c r="BQ3" s="164"/>
      <c r="BR3" s="164"/>
      <c r="BS3" s="164"/>
      <c r="BT3" s="165"/>
      <c r="BU3" s="139"/>
      <c r="BV3" s="139"/>
      <c r="BW3" s="139"/>
      <c r="BX3" s="139"/>
      <c r="BY3" s="139"/>
      <c r="BZ3" s="139"/>
      <c r="CA3" s="139"/>
      <c r="CB3" s="139"/>
      <c r="CC3" s="139"/>
      <c r="CD3" s="147"/>
      <c r="CE3" s="148"/>
      <c r="CF3" s="148"/>
      <c r="CG3" s="148"/>
      <c r="CH3" s="149"/>
      <c r="CI3" s="154"/>
      <c r="CJ3" s="155"/>
      <c r="CK3" s="155"/>
      <c r="CL3" s="155"/>
      <c r="CM3" s="155"/>
      <c r="CN3" s="155"/>
      <c r="CO3" s="155"/>
      <c r="CP3" s="156"/>
    </row>
    <row r="4" spans="1:94" ht="15" customHeight="1" x14ac:dyDescent="0.15">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9"/>
    </row>
    <row r="5" spans="1:94" ht="15" customHeight="1" x14ac:dyDescent="0.15">
      <c r="A5" s="3"/>
      <c r="B5" s="6" t="s">
        <v>97</v>
      </c>
      <c r="C5" s="6"/>
      <c r="CP5" s="5"/>
    </row>
    <row r="6" spans="1:94" ht="15" customHeight="1" x14ac:dyDescent="0.15">
      <c r="A6" s="3"/>
      <c r="CP6" s="5"/>
    </row>
    <row r="7" spans="1:94" ht="15" customHeight="1" x14ac:dyDescent="0.15">
      <c r="A7" s="3"/>
      <c r="C7" s="6" t="s">
        <v>100</v>
      </c>
      <c r="BV7" s="44"/>
      <c r="BW7" s="44"/>
      <c r="BX7" s="44"/>
      <c r="CP7" s="5"/>
    </row>
    <row r="8" spans="1:94" ht="15" customHeight="1" x14ac:dyDescent="0.15">
      <c r="A8" s="3"/>
      <c r="BV8" s="44"/>
      <c r="BW8" s="44"/>
      <c r="BX8" s="44"/>
      <c r="CP8" s="5"/>
    </row>
    <row r="9" spans="1:94" ht="15" customHeight="1" x14ac:dyDescent="0.15">
      <c r="A9" s="3"/>
      <c r="E9" s="4" t="s">
        <v>111</v>
      </c>
      <c r="CP9" s="5"/>
    </row>
    <row r="10" spans="1:94" ht="15" customHeight="1" x14ac:dyDescent="0.15">
      <c r="A10" s="3"/>
      <c r="CP10" s="5"/>
    </row>
    <row r="11" spans="1:94" ht="15" customHeight="1" x14ac:dyDescent="0.15">
      <c r="A11" s="3"/>
      <c r="E11" s="4" t="s">
        <v>102</v>
      </c>
      <c r="P11" s="4" t="s">
        <v>123</v>
      </c>
      <c r="CP11" s="5"/>
    </row>
    <row r="12" spans="1:94" ht="15" customHeight="1" x14ac:dyDescent="0.15">
      <c r="A12" s="3"/>
      <c r="CP12" s="5"/>
    </row>
    <row r="13" spans="1:94" ht="15" customHeight="1" x14ac:dyDescent="0.15">
      <c r="A13" s="3"/>
      <c r="CP13" s="5"/>
    </row>
    <row r="14" spans="1:94" ht="15" customHeight="1" x14ac:dyDescent="0.15">
      <c r="A14" s="3"/>
      <c r="C14" s="6" t="s">
        <v>237</v>
      </c>
      <c r="CP14" s="5"/>
    </row>
    <row r="15" spans="1:94" ht="15" customHeight="1" x14ac:dyDescent="0.15">
      <c r="A15" s="3"/>
      <c r="CP15" s="5"/>
    </row>
    <row r="16" spans="1:94" ht="15" customHeight="1" x14ac:dyDescent="0.15">
      <c r="A16" s="3"/>
      <c r="E16" s="167" t="s">
        <v>238</v>
      </c>
      <c r="F16" s="167"/>
      <c r="G16" s="167"/>
      <c r="H16" s="167"/>
      <c r="I16" s="167"/>
      <c r="J16" s="167"/>
      <c r="K16" s="167"/>
      <c r="L16" s="167"/>
      <c r="M16" s="167"/>
      <c r="N16" s="167"/>
      <c r="O16" s="167"/>
      <c r="P16" s="167"/>
      <c r="Q16" s="167"/>
      <c r="R16" s="167"/>
      <c r="S16" s="167"/>
      <c r="T16" s="167"/>
      <c r="U16" s="167"/>
      <c r="V16" s="167"/>
      <c r="W16" s="167"/>
      <c r="X16" s="167" t="s">
        <v>239</v>
      </c>
      <c r="Y16" s="167"/>
      <c r="Z16" s="167"/>
      <c r="AA16" s="167"/>
      <c r="AB16" s="167"/>
      <c r="AC16" s="167"/>
      <c r="AD16" s="167"/>
      <c r="AE16" s="167"/>
      <c r="AF16" s="167"/>
      <c r="AG16" s="167"/>
      <c r="AH16" s="167"/>
      <c r="AI16" s="167"/>
      <c r="AJ16" s="167"/>
      <c r="AK16" s="167"/>
      <c r="AL16" s="167"/>
      <c r="AM16" s="167"/>
      <c r="AN16" s="167"/>
      <c r="AO16" s="167"/>
      <c r="AP16" s="167"/>
      <c r="CP16" s="5"/>
    </row>
    <row r="17" spans="1:96" ht="15" customHeight="1" x14ac:dyDescent="0.15">
      <c r="A17" s="3"/>
      <c r="E17" s="166" t="s">
        <v>103</v>
      </c>
      <c r="F17" s="166"/>
      <c r="G17" s="166"/>
      <c r="H17" s="166"/>
      <c r="I17" s="166"/>
      <c r="J17" s="166"/>
      <c r="K17" s="166"/>
      <c r="L17" s="166" t="s">
        <v>229</v>
      </c>
      <c r="M17" s="166"/>
      <c r="N17" s="166"/>
      <c r="O17" s="166"/>
      <c r="P17" s="166"/>
      <c r="Q17" s="166"/>
      <c r="R17" s="166"/>
      <c r="S17" s="166"/>
      <c r="T17" s="166"/>
      <c r="U17" s="166"/>
      <c r="V17" s="166"/>
      <c r="W17" s="166"/>
      <c r="X17" s="166" t="s">
        <v>103</v>
      </c>
      <c r="Y17" s="166"/>
      <c r="Z17" s="166"/>
      <c r="AA17" s="166"/>
      <c r="AB17" s="166"/>
      <c r="AC17" s="166"/>
      <c r="AD17" s="166"/>
      <c r="AE17" s="166" t="s">
        <v>229</v>
      </c>
      <c r="AF17" s="166"/>
      <c r="AG17" s="166"/>
      <c r="AH17" s="166"/>
      <c r="AI17" s="166"/>
      <c r="AJ17" s="166"/>
      <c r="AK17" s="166"/>
      <c r="AL17" s="166"/>
      <c r="AM17" s="166"/>
      <c r="AN17" s="166"/>
      <c r="AO17" s="166"/>
      <c r="AP17" s="166"/>
      <c r="CP17" s="5"/>
    </row>
    <row r="18" spans="1:96" ht="15" customHeight="1" x14ac:dyDescent="0.15">
      <c r="A18" s="3"/>
      <c r="E18" s="166" t="s">
        <v>104</v>
      </c>
      <c r="F18" s="166"/>
      <c r="G18" s="166"/>
      <c r="H18" s="166"/>
      <c r="I18" s="166"/>
      <c r="J18" s="166"/>
      <c r="K18" s="166"/>
      <c r="L18" s="166" t="s">
        <v>107</v>
      </c>
      <c r="M18" s="166"/>
      <c r="N18" s="166"/>
      <c r="O18" s="166"/>
      <c r="P18" s="166"/>
      <c r="Q18" s="166"/>
      <c r="R18" s="166"/>
      <c r="S18" s="166"/>
      <c r="T18" s="166"/>
      <c r="U18" s="166"/>
      <c r="V18" s="166"/>
      <c r="W18" s="166"/>
      <c r="X18" s="166" t="s">
        <v>104</v>
      </c>
      <c r="Y18" s="166"/>
      <c r="Z18" s="166"/>
      <c r="AA18" s="166"/>
      <c r="AB18" s="166"/>
      <c r="AC18" s="166"/>
      <c r="AD18" s="166"/>
      <c r="AE18" s="166" t="s">
        <v>128</v>
      </c>
      <c r="AF18" s="166"/>
      <c r="AG18" s="166"/>
      <c r="AH18" s="166"/>
      <c r="AI18" s="166"/>
      <c r="AJ18" s="166"/>
      <c r="AK18" s="166"/>
      <c r="AL18" s="166"/>
      <c r="AM18" s="166"/>
      <c r="AN18" s="166"/>
      <c r="AO18" s="166"/>
      <c r="AP18" s="166"/>
      <c r="CP18" s="5"/>
    </row>
    <row r="19" spans="1:96" ht="15" customHeight="1" x14ac:dyDescent="0.15">
      <c r="A19" s="3"/>
      <c r="E19" s="166" t="s">
        <v>105</v>
      </c>
      <c r="F19" s="166"/>
      <c r="G19" s="166"/>
      <c r="H19" s="166"/>
      <c r="I19" s="166"/>
      <c r="J19" s="166"/>
      <c r="K19" s="166"/>
      <c r="L19" s="166" t="s">
        <v>114</v>
      </c>
      <c r="M19" s="166"/>
      <c r="N19" s="166"/>
      <c r="O19" s="166"/>
      <c r="P19" s="166"/>
      <c r="Q19" s="166"/>
      <c r="R19" s="166"/>
      <c r="S19" s="166"/>
      <c r="T19" s="166"/>
      <c r="U19" s="166"/>
      <c r="V19" s="166"/>
      <c r="W19" s="166"/>
      <c r="X19" s="166" t="s">
        <v>105</v>
      </c>
      <c r="Y19" s="166"/>
      <c r="Z19" s="166"/>
      <c r="AA19" s="166"/>
      <c r="AB19" s="166"/>
      <c r="AC19" s="166"/>
      <c r="AD19" s="166"/>
      <c r="AE19" s="166" t="s">
        <v>114</v>
      </c>
      <c r="AF19" s="166"/>
      <c r="AG19" s="166"/>
      <c r="AH19" s="166"/>
      <c r="AI19" s="166"/>
      <c r="AJ19" s="166"/>
      <c r="AK19" s="166"/>
      <c r="AL19" s="166"/>
      <c r="AM19" s="166"/>
      <c r="AN19" s="166"/>
      <c r="AO19" s="166"/>
      <c r="AP19" s="166"/>
      <c r="CP19" s="5"/>
    </row>
    <row r="20" spans="1:96" ht="15" customHeight="1" x14ac:dyDescent="0.15">
      <c r="A20" s="3"/>
      <c r="CP20" s="5"/>
    </row>
    <row r="21" spans="1:96" ht="15" customHeight="1" x14ac:dyDescent="0.15">
      <c r="A21" s="3"/>
      <c r="CP21" s="5"/>
    </row>
    <row r="22" spans="1:96" ht="15" customHeight="1" x14ac:dyDescent="0.15">
      <c r="A22" s="3"/>
      <c r="C22" s="6" t="s">
        <v>240</v>
      </c>
      <c r="BV22" s="44"/>
      <c r="BW22" s="44"/>
      <c r="BX22" s="44"/>
      <c r="CP22" s="5"/>
    </row>
    <row r="23" spans="1:96" ht="15" customHeight="1" x14ac:dyDescent="0.15">
      <c r="A23" s="3"/>
      <c r="BV23" s="44"/>
      <c r="BW23" s="44"/>
      <c r="BX23" s="44"/>
      <c r="CP23" s="5"/>
    </row>
    <row r="24" spans="1:96" ht="15" customHeight="1" x14ac:dyDescent="0.15">
      <c r="A24" s="3"/>
      <c r="E24" s="4" t="s">
        <v>111</v>
      </c>
      <c r="CP24" s="5"/>
    </row>
    <row r="25" spans="1:96" ht="15" customHeight="1" x14ac:dyDescent="0.15">
      <c r="A25" s="3"/>
      <c r="CP25" s="5"/>
      <c r="CR25" s="4" t="s">
        <v>255</v>
      </c>
    </row>
    <row r="26" spans="1:96" ht="15" customHeight="1" x14ac:dyDescent="0.15">
      <c r="A26" s="3"/>
      <c r="E26" s="4" t="s">
        <v>102</v>
      </c>
      <c r="P26" s="4" t="s">
        <v>123</v>
      </c>
      <c r="CP26" s="5"/>
    </row>
    <row r="27" spans="1:96" ht="15" customHeight="1" x14ac:dyDescent="0.15">
      <c r="A27" s="3"/>
      <c r="E27" s="4" t="s">
        <v>101</v>
      </c>
      <c r="P27" s="4" t="s">
        <v>124</v>
      </c>
      <c r="CP27" s="5"/>
    </row>
    <row r="28" spans="1:96" ht="15" customHeight="1" x14ac:dyDescent="0.15">
      <c r="A28" s="3"/>
      <c r="CP28" s="5"/>
    </row>
    <row r="29" spans="1:96" ht="15" customHeight="1" x14ac:dyDescent="0.15">
      <c r="A29" s="3"/>
      <c r="CP29" s="5"/>
    </row>
    <row r="30" spans="1:96" ht="15" customHeight="1" x14ac:dyDescent="0.15">
      <c r="A30" s="3"/>
      <c r="C30" s="6" t="s">
        <v>241</v>
      </c>
      <c r="D30" s="6"/>
      <c r="CP30" s="5"/>
    </row>
    <row r="31" spans="1:96" ht="15" customHeight="1" x14ac:dyDescent="0.15">
      <c r="A31" s="3"/>
      <c r="CP31" s="5"/>
    </row>
    <row r="32" spans="1:96" ht="15" customHeight="1" x14ac:dyDescent="0.15">
      <c r="A32" s="3"/>
      <c r="F32" s="167" t="s">
        <v>185</v>
      </c>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c r="AG32" s="167"/>
      <c r="AH32" s="167"/>
      <c r="AI32" s="167"/>
      <c r="AJ32" s="167"/>
      <c r="CP32" s="5"/>
    </row>
    <row r="33" spans="1:94" ht="15" customHeight="1" x14ac:dyDescent="0.15">
      <c r="A33" s="3"/>
      <c r="F33" s="166" t="s">
        <v>103</v>
      </c>
      <c r="G33" s="166"/>
      <c r="H33" s="166"/>
      <c r="I33" s="166"/>
      <c r="J33" s="166"/>
      <c r="K33" s="166"/>
      <c r="L33" s="166"/>
      <c r="M33" s="166" t="s">
        <v>126</v>
      </c>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CP33" s="5"/>
    </row>
    <row r="34" spans="1:94" ht="15" customHeight="1" x14ac:dyDescent="0.15">
      <c r="A34" s="3"/>
      <c r="F34" s="166" t="s">
        <v>104</v>
      </c>
      <c r="G34" s="166"/>
      <c r="H34" s="166"/>
      <c r="I34" s="166"/>
      <c r="J34" s="166"/>
      <c r="K34" s="166"/>
      <c r="L34" s="166"/>
      <c r="M34" s="166" t="s">
        <v>128</v>
      </c>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CP34" s="5"/>
    </row>
    <row r="35" spans="1:94" ht="15" customHeight="1" x14ac:dyDescent="0.15">
      <c r="A35" s="3"/>
      <c r="F35" s="168" t="s">
        <v>105</v>
      </c>
      <c r="G35" s="169"/>
      <c r="H35" s="169"/>
      <c r="I35" s="169"/>
      <c r="J35" s="169"/>
      <c r="K35" s="169"/>
      <c r="L35" s="170"/>
      <c r="M35" s="166" t="s">
        <v>127</v>
      </c>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CP35" s="5"/>
    </row>
    <row r="36" spans="1:94" ht="15" customHeight="1" x14ac:dyDescent="0.15">
      <c r="A36" s="3"/>
      <c r="F36" s="166" t="s">
        <v>109</v>
      </c>
      <c r="G36" s="166"/>
      <c r="H36" s="166"/>
      <c r="I36" s="166"/>
      <c r="J36" s="166"/>
      <c r="K36" s="166"/>
      <c r="L36" s="166"/>
      <c r="M36" s="166" t="s">
        <v>220</v>
      </c>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CP36" s="5"/>
    </row>
    <row r="37" spans="1:94" ht="15" customHeight="1" x14ac:dyDescent="0.15">
      <c r="A37" s="3"/>
      <c r="CP37" s="5"/>
    </row>
    <row r="38" spans="1:94" ht="15" customHeight="1" x14ac:dyDescent="0.15">
      <c r="A38" s="3"/>
      <c r="E38" s="4" t="s">
        <v>129</v>
      </c>
      <c r="CP38" s="5"/>
    </row>
    <row r="39" spans="1:94" ht="15" customHeight="1" x14ac:dyDescent="0.15">
      <c r="A39" s="3"/>
      <c r="CP39" s="5"/>
    </row>
    <row r="40" spans="1:94" ht="15" customHeight="1" x14ac:dyDescent="0.15">
      <c r="A40" s="3"/>
      <c r="CP40" s="5"/>
    </row>
    <row r="41" spans="1:94" ht="15" customHeight="1" x14ac:dyDescent="0.15">
      <c r="A41" s="3"/>
      <c r="CP41" s="5"/>
    </row>
    <row r="42" spans="1:94" ht="15" customHeight="1" x14ac:dyDescent="0.15">
      <c r="A42" s="3"/>
      <c r="CP42" s="5"/>
    </row>
    <row r="43" spans="1:94" ht="15" customHeight="1" x14ac:dyDescent="0.15">
      <c r="A43" s="3"/>
      <c r="CP43" s="5"/>
    </row>
    <row r="44" spans="1:94" ht="15" customHeight="1" x14ac:dyDescent="0.15">
      <c r="A44" s="3"/>
      <c r="CP44" s="5"/>
    </row>
    <row r="45" spans="1:94" ht="15" customHeight="1" x14ac:dyDescent="0.15">
      <c r="A45" s="3"/>
      <c r="CP45" s="5"/>
    </row>
    <row r="46" spans="1:94" ht="15" customHeight="1" x14ac:dyDescent="0.15">
      <c r="A46" s="3"/>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sheetData>
  <dataConsolidate/>
  <mergeCells count="45">
    <mergeCell ref="CI1:CP3"/>
    <mergeCell ref="BK2:BT2"/>
    <mergeCell ref="BU2:CC2"/>
    <mergeCell ref="BK1:BT1"/>
    <mergeCell ref="BU3:CC3"/>
    <mergeCell ref="BU1:CC1"/>
    <mergeCell ref="CD1:CH3"/>
    <mergeCell ref="E16:W16"/>
    <mergeCell ref="E17:K17"/>
    <mergeCell ref="L17:W17"/>
    <mergeCell ref="E18:K18"/>
    <mergeCell ref="A2:H2"/>
    <mergeCell ref="I2:AD2"/>
    <mergeCell ref="A3:H3"/>
    <mergeCell ref="I3:AD3"/>
    <mergeCell ref="L18:W18"/>
    <mergeCell ref="X16:AP16"/>
    <mergeCell ref="X17:AD17"/>
    <mergeCell ref="AE17:AP17"/>
    <mergeCell ref="X18:AD18"/>
    <mergeCell ref="AE18:AP18"/>
    <mergeCell ref="A1:H1"/>
    <mergeCell ref="I1:AD1"/>
    <mergeCell ref="AE1:AK1"/>
    <mergeCell ref="BK3:BT3"/>
    <mergeCell ref="AL1:BF1"/>
    <mergeCell ref="BG1:BJ1"/>
    <mergeCell ref="AE2:AK3"/>
    <mergeCell ref="AL2:BF2"/>
    <mergeCell ref="BG2:BJ2"/>
    <mergeCell ref="AL3:BF3"/>
    <mergeCell ref="BG3:BJ3"/>
    <mergeCell ref="F36:L36"/>
    <mergeCell ref="M36:AJ36"/>
    <mergeCell ref="E19:K19"/>
    <mergeCell ref="L19:W19"/>
    <mergeCell ref="X19:AD19"/>
    <mergeCell ref="AE19:AP19"/>
    <mergeCell ref="F32:AJ32"/>
    <mergeCell ref="F35:L35"/>
    <mergeCell ref="F33:L33"/>
    <mergeCell ref="M33:AJ33"/>
    <mergeCell ref="F34:L34"/>
    <mergeCell ref="M34:AJ34"/>
    <mergeCell ref="M35:AJ35"/>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&amp;N-3&amp;R株式会社　京信システムサービス</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R47"/>
  <sheetViews>
    <sheetView view="pageBreakPreview" zoomScale="85" zoomScaleNormal="85" zoomScaleSheetLayoutView="85" workbookViewId="0">
      <selection activeCell="I3" sqref="I3:AD3"/>
    </sheetView>
  </sheetViews>
  <sheetFormatPr defaultColWidth="1.875" defaultRowHeight="15" customHeight="1" x14ac:dyDescent="0.15"/>
  <cols>
    <col min="1" max="16" width="1.875" style="4"/>
    <col min="17" max="17" width="1.875" style="4" customWidth="1"/>
    <col min="18" max="95" width="1.875" style="4"/>
    <col min="96" max="96" width="10.75" style="4" bestFit="1" customWidth="1"/>
    <col min="97" max="97" width="3.625" style="4" bestFit="1" customWidth="1"/>
    <col min="98" max="98" width="5.25" style="4" customWidth="1"/>
    <col min="99" max="100" width="5.25" style="4" bestFit="1" customWidth="1"/>
    <col min="101" max="16384" width="1.875" style="4"/>
  </cols>
  <sheetData>
    <row r="1" spans="1:96" customFormat="1" ht="15" customHeight="1" x14ac:dyDescent="0.15">
      <c r="A1" s="109" t="s">
        <v>63</v>
      </c>
      <c r="B1" s="110"/>
      <c r="C1" s="110"/>
      <c r="D1" s="110"/>
      <c r="E1" s="110"/>
      <c r="F1" s="110"/>
      <c r="G1" s="110"/>
      <c r="H1" s="110"/>
      <c r="I1" s="111" t="str">
        <f>タイトル!I40</f>
        <v>学生勤務管理システム</v>
      </c>
      <c r="J1" s="112"/>
      <c r="K1" s="112"/>
      <c r="L1" s="112"/>
      <c r="M1" s="112"/>
      <c r="N1" s="112"/>
      <c r="O1" s="112"/>
      <c r="P1" s="112"/>
      <c r="Q1" s="112"/>
      <c r="R1" s="112"/>
      <c r="S1" s="112"/>
      <c r="T1" s="112"/>
      <c r="U1" s="112"/>
      <c r="V1" s="112"/>
      <c r="W1" s="112"/>
      <c r="X1" s="112"/>
      <c r="Y1" s="112"/>
      <c r="Z1" s="112"/>
      <c r="AA1" s="112"/>
      <c r="AB1" s="112"/>
      <c r="AC1" s="112"/>
      <c r="AD1" s="113"/>
      <c r="AE1" s="114" t="s">
        <v>4</v>
      </c>
      <c r="AF1" s="114"/>
      <c r="AG1" s="114"/>
      <c r="AH1" s="114"/>
      <c r="AI1" s="114"/>
      <c r="AJ1" s="114"/>
      <c r="AK1" s="114"/>
      <c r="AL1" s="115" t="str">
        <f>タイトル!I43</f>
        <v>システム設計精査業務</v>
      </c>
      <c r="AM1" s="116"/>
      <c r="AN1" s="116"/>
      <c r="AO1" s="116"/>
      <c r="AP1" s="116"/>
      <c r="AQ1" s="116"/>
      <c r="AR1" s="116"/>
      <c r="AS1" s="116"/>
      <c r="AT1" s="116"/>
      <c r="AU1" s="116"/>
      <c r="AV1" s="116"/>
      <c r="AW1" s="116"/>
      <c r="AX1" s="116"/>
      <c r="AY1" s="116"/>
      <c r="AZ1" s="116"/>
      <c r="BA1" s="116"/>
      <c r="BB1" s="116"/>
      <c r="BC1" s="116"/>
      <c r="BD1" s="116"/>
      <c r="BE1" s="116"/>
      <c r="BF1" s="117"/>
      <c r="BG1" s="114" t="s">
        <v>2</v>
      </c>
      <c r="BH1" s="114"/>
      <c r="BI1" s="114"/>
      <c r="BJ1" s="114"/>
      <c r="BK1" s="136" t="str">
        <f>タイトル!I46</f>
        <v>木田　優</v>
      </c>
      <c r="BL1" s="137"/>
      <c r="BM1" s="137"/>
      <c r="BN1" s="137"/>
      <c r="BO1" s="137"/>
      <c r="BP1" s="137"/>
      <c r="BQ1" s="137"/>
      <c r="BR1" s="137"/>
      <c r="BS1" s="137"/>
      <c r="BT1" s="138"/>
      <c r="BU1" s="140">
        <f>改訂履歴!J5</f>
        <v>45243</v>
      </c>
      <c r="BV1" s="140"/>
      <c r="BW1" s="140"/>
      <c r="BX1" s="140"/>
      <c r="BY1" s="140"/>
      <c r="BZ1" s="140"/>
      <c r="CA1" s="140"/>
      <c r="CB1" s="140"/>
      <c r="CC1" s="140"/>
      <c r="CD1" s="141" t="s">
        <v>38</v>
      </c>
      <c r="CE1" s="142"/>
      <c r="CF1" s="142"/>
      <c r="CG1" s="142"/>
      <c r="CH1" s="143"/>
      <c r="CI1" s="136" t="str">
        <f>タイトル!I50</f>
        <v>DUC060</v>
      </c>
      <c r="CJ1" s="137"/>
      <c r="CK1" s="137"/>
      <c r="CL1" s="137"/>
      <c r="CM1" s="137"/>
      <c r="CN1" s="137"/>
      <c r="CO1" s="137"/>
      <c r="CP1" s="150"/>
    </row>
    <row r="2" spans="1:96" customFormat="1" ht="15" customHeight="1" x14ac:dyDescent="0.15">
      <c r="A2" s="118" t="s">
        <v>64</v>
      </c>
      <c r="B2" s="119"/>
      <c r="C2" s="119"/>
      <c r="D2" s="119"/>
      <c r="E2" s="119"/>
      <c r="F2" s="119"/>
      <c r="G2" s="119"/>
      <c r="H2" s="119"/>
      <c r="I2" s="120"/>
      <c r="J2" s="121"/>
      <c r="K2" s="121"/>
      <c r="L2" s="121"/>
      <c r="M2" s="121"/>
      <c r="N2" s="121"/>
      <c r="O2" s="121"/>
      <c r="P2" s="121"/>
      <c r="Q2" s="121"/>
      <c r="R2" s="121"/>
      <c r="S2" s="121"/>
      <c r="T2" s="121"/>
      <c r="U2" s="121"/>
      <c r="V2" s="121"/>
      <c r="W2" s="121"/>
      <c r="X2" s="121"/>
      <c r="Y2" s="121"/>
      <c r="Z2" s="121"/>
      <c r="AA2" s="121"/>
      <c r="AB2" s="121"/>
      <c r="AC2" s="121"/>
      <c r="AD2" s="122"/>
      <c r="AE2" s="123" t="s">
        <v>5</v>
      </c>
      <c r="AF2" s="123"/>
      <c r="AG2" s="123"/>
      <c r="AH2" s="123"/>
      <c r="AI2" s="123"/>
      <c r="AJ2" s="123"/>
      <c r="AK2" s="123"/>
      <c r="AL2" s="125" t="str">
        <f>タイトル!I44</f>
        <v>信頼性・性能・運用設計</v>
      </c>
      <c r="AM2" s="126"/>
      <c r="AN2" s="126"/>
      <c r="AO2" s="126"/>
      <c r="AP2" s="126"/>
      <c r="AQ2" s="126"/>
      <c r="AR2" s="126"/>
      <c r="AS2" s="126"/>
      <c r="AT2" s="126"/>
      <c r="AU2" s="126"/>
      <c r="AV2" s="126"/>
      <c r="AW2" s="126"/>
      <c r="AX2" s="126"/>
      <c r="AY2" s="126"/>
      <c r="AZ2" s="126"/>
      <c r="BA2" s="126"/>
      <c r="BB2" s="126"/>
      <c r="BC2" s="126"/>
      <c r="BD2" s="126"/>
      <c r="BE2" s="126"/>
      <c r="BF2" s="127"/>
      <c r="BG2" s="123" t="s">
        <v>3</v>
      </c>
      <c r="BH2" s="123"/>
      <c r="BI2" s="123"/>
      <c r="BJ2" s="123"/>
      <c r="BK2" s="157"/>
      <c r="BL2" s="158"/>
      <c r="BM2" s="158"/>
      <c r="BN2" s="158"/>
      <c r="BO2" s="158"/>
      <c r="BP2" s="158"/>
      <c r="BQ2" s="158"/>
      <c r="BR2" s="158"/>
      <c r="BS2" s="158"/>
      <c r="BT2" s="159"/>
      <c r="BU2" s="160"/>
      <c r="BV2" s="161"/>
      <c r="BW2" s="161"/>
      <c r="BX2" s="161"/>
      <c r="BY2" s="161"/>
      <c r="BZ2" s="161"/>
      <c r="CA2" s="161"/>
      <c r="CB2" s="161"/>
      <c r="CC2" s="162"/>
      <c r="CD2" s="144"/>
      <c r="CE2" s="145"/>
      <c r="CF2" s="145"/>
      <c r="CG2" s="145"/>
      <c r="CH2" s="146"/>
      <c r="CI2" s="151"/>
      <c r="CJ2" s="152"/>
      <c r="CK2" s="152"/>
      <c r="CL2" s="152"/>
      <c r="CM2" s="152"/>
      <c r="CN2" s="152"/>
      <c r="CO2" s="152"/>
      <c r="CP2" s="153"/>
    </row>
    <row r="3" spans="1:96" customFormat="1" ht="15" customHeight="1" thickBot="1" x14ac:dyDescent="0.2">
      <c r="A3" s="128"/>
      <c r="B3" s="129"/>
      <c r="C3" s="129"/>
      <c r="D3" s="129"/>
      <c r="E3" s="129"/>
      <c r="F3" s="129"/>
      <c r="G3" s="129"/>
      <c r="H3" s="129"/>
      <c r="I3" s="130"/>
      <c r="J3" s="131"/>
      <c r="K3" s="131"/>
      <c r="L3" s="131"/>
      <c r="M3" s="131"/>
      <c r="N3" s="131"/>
      <c r="O3" s="131"/>
      <c r="P3" s="131"/>
      <c r="Q3" s="131"/>
      <c r="R3" s="131"/>
      <c r="S3" s="131"/>
      <c r="T3" s="131"/>
      <c r="U3" s="131"/>
      <c r="V3" s="131"/>
      <c r="W3" s="131"/>
      <c r="X3" s="131"/>
      <c r="Y3" s="131"/>
      <c r="Z3" s="131"/>
      <c r="AA3" s="131"/>
      <c r="AB3" s="131"/>
      <c r="AC3" s="131"/>
      <c r="AD3" s="132"/>
      <c r="AE3" s="124"/>
      <c r="AF3" s="124"/>
      <c r="AG3" s="124"/>
      <c r="AH3" s="124"/>
      <c r="AI3" s="124"/>
      <c r="AJ3" s="124"/>
      <c r="AK3" s="124"/>
      <c r="AL3" s="133"/>
      <c r="AM3" s="134"/>
      <c r="AN3" s="134"/>
      <c r="AO3" s="134"/>
      <c r="AP3" s="134"/>
      <c r="AQ3" s="134"/>
      <c r="AR3" s="134"/>
      <c r="AS3" s="134"/>
      <c r="AT3" s="134"/>
      <c r="AU3" s="134"/>
      <c r="AV3" s="134"/>
      <c r="AW3" s="134"/>
      <c r="AX3" s="134"/>
      <c r="AY3" s="134"/>
      <c r="AZ3" s="134"/>
      <c r="BA3" s="134"/>
      <c r="BB3" s="134"/>
      <c r="BC3" s="134"/>
      <c r="BD3" s="134"/>
      <c r="BE3" s="134"/>
      <c r="BF3" s="135"/>
      <c r="BG3" s="124"/>
      <c r="BH3" s="124"/>
      <c r="BI3" s="124"/>
      <c r="BJ3" s="124"/>
      <c r="BK3" s="163"/>
      <c r="BL3" s="164"/>
      <c r="BM3" s="164"/>
      <c r="BN3" s="164"/>
      <c r="BO3" s="164"/>
      <c r="BP3" s="164"/>
      <c r="BQ3" s="164"/>
      <c r="BR3" s="164"/>
      <c r="BS3" s="164"/>
      <c r="BT3" s="165"/>
      <c r="BU3" s="139"/>
      <c r="BV3" s="139"/>
      <c r="BW3" s="139"/>
      <c r="BX3" s="139"/>
      <c r="BY3" s="139"/>
      <c r="BZ3" s="139"/>
      <c r="CA3" s="139"/>
      <c r="CB3" s="139"/>
      <c r="CC3" s="139"/>
      <c r="CD3" s="147"/>
      <c r="CE3" s="148"/>
      <c r="CF3" s="148"/>
      <c r="CG3" s="148"/>
      <c r="CH3" s="149"/>
      <c r="CI3" s="154"/>
      <c r="CJ3" s="155"/>
      <c r="CK3" s="155"/>
      <c r="CL3" s="155"/>
      <c r="CM3" s="155"/>
      <c r="CN3" s="155"/>
      <c r="CO3" s="155"/>
      <c r="CP3" s="156"/>
    </row>
    <row r="4" spans="1:96" ht="15" customHeight="1" x14ac:dyDescent="0.15">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9"/>
    </row>
    <row r="5" spans="1:96" ht="15" customHeight="1" x14ac:dyDescent="0.15">
      <c r="A5" s="3"/>
      <c r="B5" s="6" t="s">
        <v>98</v>
      </c>
      <c r="C5" s="6"/>
      <c r="CP5" s="5"/>
    </row>
    <row r="6" spans="1:96" ht="15" customHeight="1" x14ac:dyDescent="0.15">
      <c r="A6" s="3"/>
      <c r="CP6" s="5"/>
    </row>
    <row r="7" spans="1:96" ht="15" customHeight="1" x14ac:dyDescent="0.15">
      <c r="A7" s="3"/>
      <c r="C7" s="6" t="s">
        <v>92</v>
      </c>
      <c r="CP7" s="5"/>
      <c r="CR7" s="50"/>
    </row>
    <row r="8" spans="1:96" ht="15" customHeight="1" x14ac:dyDescent="0.15">
      <c r="A8" s="3"/>
      <c r="CP8" s="5"/>
    </row>
    <row r="9" spans="1:96" ht="15" customHeight="1" x14ac:dyDescent="0.15">
      <c r="A9" s="3"/>
      <c r="E9" s="180" t="s">
        <v>245</v>
      </c>
      <c r="F9" s="181"/>
      <c r="G9" s="181"/>
      <c r="H9" s="181"/>
      <c r="I9" s="181"/>
      <c r="J9" s="181"/>
      <c r="K9" s="181"/>
      <c r="L9" s="181"/>
      <c r="M9" s="182"/>
      <c r="N9" s="77" t="s">
        <v>84</v>
      </c>
      <c r="O9" s="78"/>
      <c r="P9" s="78"/>
      <c r="Q9" s="77" t="s">
        <v>253</v>
      </c>
      <c r="R9" s="78"/>
      <c r="S9" s="78"/>
      <c r="T9" s="78"/>
      <c r="U9" s="78"/>
      <c r="V9" s="78"/>
      <c r="W9" s="78"/>
      <c r="X9" s="78"/>
      <c r="Y9" s="78"/>
      <c r="Z9" s="78"/>
      <c r="AA9" s="78"/>
      <c r="AB9" s="79"/>
      <c r="CP9" s="5"/>
    </row>
    <row r="10" spans="1:96" ht="15" customHeight="1" x14ac:dyDescent="0.15">
      <c r="A10" s="3"/>
      <c r="CP10" s="5"/>
    </row>
    <row r="11" spans="1:96" ht="15" customHeight="1" x14ac:dyDescent="0.15">
      <c r="A11" s="3"/>
      <c r="CP11" s="5"/>
    </row>
    <row r="12" spans="1:96" ht="15" customHeight="1" x14ac:dyDescent="0.15">
      <c r="A12" s="3"/>
      <c r="C12" s="6" t="s">
        <v>93</v>
      </c>
      <c r="CP12" s="5"/>
    </row>
    <row r="13" spans="1:96" ht="15" customHeight="1" x14ac:dyDescent="0.15">
      <c r="A13" s="3"/>
      <c r="CP13" s="5"/>
    </row>
    <row r="14" spans="1:96" ht="15" customHeight="1" x14ac:dyDescent="0.15">
      <c r="A14" s="3"/>
      <c r="E14" s="4" t="s">
        <v>110</v>
      </c>
      <c r="CP14" s="5"/>
    </row>
    <row r="15" spans="1:96" ht="15" customHeight="1" x14ac:dyDescent="0.15">
      <c r="A15" s="3"/>
      <c r="CP15" s="5"/>
    </row>
    <row r="16" spans="1:96" ht="15" customHeight="1" x14ac:dyDescent="0.15">
      <c r="A16" s="3"/>
      <c r="E16" s="4" t="s">
        <v>101</v>
      </c>
      <c r="P16" s="4" t="s">
        <v>124</v>
      </c>
      <c r="CP16" s="5"/>
    </row>
    <row r="17" spans="1:94" ht="15" customHeight="1" x14ac:dyDescent="0.15">
      <c r="A17" s="3"/>
      <c r="CP17" s="5"/>
    </row>
    <row r="18" spans="1:94" ht="15" customHeight="1" x14ac:dyDescent="0.15">
      <c r="A18" s="3"/>
      <c r="E18" s="4" t="s">
        <v>86</v>
      </c>
      <c r="AD18" s="45"/>
      <c r="AE18" s="45"/>
      <c r="AF18" s="45"/>
      <c r="AG18" s="45"/>
      <c r="CP18" s="5"/>
    </row>
    <row r="19" spans="1:94" ht="15" customHeight="1" x14ac:dyDescent="0.15">
      <c r="A19" s="3"/>
      <c r="E19" s="4" t="s">
        <v>243</v>
      </c>
      <c r="CP19" s="5"/>
    </row>
    <row r="20" spans="1:94" ht="15" customHeight="1" x14ac:dyDescent="0.15">
      <c r="A20" s="3"/>
      <c r="E20" s="4" t="s">
        <v>242</v>
      </c>
      <c r="CP20" s="5"/>
    </row>
    <row r="21" spans="1:94" ht="15" customHeight="1" x14ac:dyDescent="0.15">
      <c r="A21" s="3"/>
      <c r="E21" s="4" t="s">
        <v>250</v>
      </c>
      <c r="CP21" s="5"/>
    </row>
    <row r="22" spans="1:94" ht="15" customHeight="1" x14ac:dyDescent="0.15">
      <c r="A22" s="3"/>
      <c r="E22" s="10"/>
      <c r="CP22" s="5"/>
    </row>
    <row r="23" spans="1:94" ht="15" customHeight="1" x14ac:dyDescent="0.15">
      <c r="A23" s="3"/>
      <c r="E23" s="180" t="s">
        <v>83</v>
      </c>
      <c r="F23" s="181"/>
      <c r="G23" s="181"/>
      <c r="H23" s="181"/>
      <c r="I23" s="181"/>
      <c r="J23" s="181"/>
      <c r="K23" s="181"/>
      <c r="L23" s="181"/>
      <c r="M23" s="182"/>
      <c r="N23" s="77" t="s">
        <v>84</v>
      </c>
      <c r="O23" s="78"/>
      <c r="P23" s="78"/>
      <c r="Q23" s="77" t="s">
        <v>232</v>
      </c>
      <c r="R23" s="78"/>
      <c r="S23" s="78"/>
      <c r="T23" s="78"/>
      <c r="U23" s="78"/>
      <c r="V23" s="78"/>
      <c r="W23" s="78"/>
      <c r="X23" s="78"/>
      <c r="Y23" s="78"/>
      <c r="Z23" s="78"/>
      <c r="AA23" s="78"/>
      <c r="AB23" s="79"/>
      <c r="CP23" s="5"/>
    </row>
    <row r="24" spans="1:94" ht="15" customHeight="1" x14ac:dyDescent="0.15">
      <c r="A24" s="3"/>
      <c r="CP24" s="5"/>
    </row>
    <row r="25" spans="1:94" ht="15" customHeight="1" x14ac:dyDescent="0.15">
      <c r="A25" s="3"/>
      <c r="CP25" s="5"/>
    </row>
    <row r="26" spans="1:94" ht="15" customHeight="1" x14ac:dyDescent="0.15">
      <c r="A26" s="3"/>
      <c r="BR26" s="4" t="s">
        <v>254</v>
      </c>
      <c r="BZ26" s="4" t="s">
        <v>252</v>
      </c>
      <c r="CP26" s="5"/>
    </row>
    <row r="27" spans="1:94" ht="15" customHeight="1" x14ac:dyDescent="0.15">
      <c r="A27" s="3"/>
      <c r="CP27" s="5"/>
    </row>
    <row r="28" spans="1:94" ht="15" customHeight="1" x14ac:dyDescent="0.15">
      <c r="A28" s="3"/>
      <c r="CP28" s="5"/>
    </row>
    <row r="29" spans="1:94" ht="15" customHeight="1" thickBot="1" x14ac:dyDescent="0.2">
      <c r="A29" s="3"/>
      <c r="E29" s="174"/>
      <c r="F29" s="175"/>
      <c r="G29" s="175"/>
      <c r="H29" s="175"/>
      <c r="I29" s="175"/>
      <c r="J29" s="175"/>
      <c r="K29" s="175"/>
      <c r="L29" s="175"/>
      <c r="M29" s="175"/>
      <c r="N29" s="175"/>
      <c r="O29" s="175"/>
      <c r="P29" s="176"/>
      <c r="Q29" s="171">
        <v>8</v>
      </c>
      <c r="R29" s="171"/>
      <c r="S29" s="171"/>
      <c r="T29" s="171">
        <v>9</v>
      </c>
      <c r="U29" s="171"/>
      <c r="V29" s="171"/>
      <c r="W29" s="171">
        <v>10</v>
      </c>
      <c r="X29" s="171"/>
      <c r="Y29" s="171"/>
      <c r="Z29" s="171">
        <v>11</v>
      </c>
      <c r="AA29" s="171"/>
      <c r="AB29" s="171"/>
      <c r="AC29" s="171">
        <v>12</v>
      </c>
      <c r="AD29" s="171"/>
      <c r="AE29" s="171"/>
      <c r="AF29" s="171">
        <v>13</v>
      </c>
      <c r="AG29" s="171"/>
      <c r="AH29" s="171"/>
      <c r="AI29" s="171">
        <v>14</v>
      </c>
      <c r="AJ29" s="171"/>
      <c r="AK29" s="171"/>
      <c r="AL29" s="171">
        <v>15</v>
      </c>
      <c r="AM29" s="171"/>
      <c r="AN29" s="171"/>
      <c r="AO29" s="171">
        <v>16</v>
      </c>
      <c r="AP29" s="171"/>
      <c r="AQ29" s="171"/>
      <c r="AR29" s="171">
        <v>17</v>
      </c>
      <c r="AS29" s="171"/>
      <c r="AT29" s="171"/>
      <c r="AU29" s="171">
        <v>18</v>
      </c>
      <c r="AV29" s="171"/>
      <c r="AW29" s="171"/>
      <c r="AX29" s="171">
        <v>19</v>
      </c>
      <c r="AY29" s="171"/>
      <c r="AZ29" s="171"/>
      <c r="BA29" s="171">
        <v>20</v>
      </c>
      <c r="BB29" s="171"/>
      <c r="BC29" s="171"/>
      <c r="BD29" s="171">
        <v>21</v>
      </c>
      <c r="BE29" s="171"/>
      <c r="BF29" s="171"/>
      <c r="BG29" s="171">
        <v>22</v>
      </c>
      <c r="BH29" s="171"/>
      <c r="BI29" s="171"/>
      <c r="BJ29" s="171">
        <v>23</v>
      </c>
      <c r="BK29" s="171"/>
      <c r="BL29" s="171"/>
      <c r="BM29" s="171">
        <v>0</v>
      </c>
      <c r="BN29" s="171"/>
      <c r="BO29" s="171"/>
      <c r="BP29" s="171">
        <v>1</v>
      </c>
      <c r="BQ29" s="171"/>
      <c r="BR29" s="171"/>
      <c r="BS29" s="171">
        <v>2</v>
      </c>
      <c r="BT29" s="171"/>
      <c r="BU29" s="171"/>
      <c r="BV29" s="171">
        <v>3</v>
      </c>
      <c r="BW29" s="171"/>
      <c r="BX29" s="171"/>
      <c r="BY29" s="171">
        <v>4</v>
      </c>
      <c r="BZ29" s="171"/>
      <c r="CA29" s="171"/>
      <c r="CB29" s="171">
        <v>5</v>
      </c>
      <c r="CC29" s="171"/>
      <c r="CD29" s="171"/>
      <c r="CE29" s="177">
        <v>6</v>
      </c>
      <c r="CF29" s="178"/>
      <c r="CG29" s="179"/>
      <c r="CH29" s="177">
        <v>7</v>
      </c>
      <c r="CI29" s="178"/>
      <c r="CJ29" s="179"/>
      <c r="CP29" s="5"/>
    </row>
    <row r="30" spans="1:94" ht="15" customHeight="1" thickTop="1" x14ac:dyDescent="0.15">
      <c r="A30" s="3"/>
      <c r="E30" s="102" t="s">
        <v>230</v>
      </c>
      <c r="F30" s="172"/>
      <c r="G30" s="172"/>
      <c r="H30" s="172"/>
      <c r="I30" s="172"/>
      <c r="J30" s="172"/>
      <c r="K30" s="172"/>
      <c r="L30" s="172"/>
      <c r="M30" s="172"/>
      <c r="N30" s="172"/>
      <c r="O30" s="172"/>
      <c r="P30" s="173"/>
      <c r="Q30" s="184" t="s">
        <v>85</v>
      </c>
      <c r="R30" s="185"/>
      <c r="S30" s="185"/>
      <c r="T30" s="185"/>
      <c r="U30" s="185"/>
      <c r="V30" s="185"/>
      <c r="W30" s="185"/>
      <c r="X30" s="185"/>
      <c r="Y30" s="185"/>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c r="AX30" s="185"/>
      <c r="AY30" s="185"/>
      <c r="AZ30" s="185"/>
      <c r="BA30" s="185"/>
      <c r="BB30" s="185"/>
      <c r="BC30" s="185"/>
      <c r="BD30" s="185"/>
      <c r="BE30" s="185"/>
      <c r="BF30" s="185"/>
      <c r="BG30" s="185"/>
      <c r="BH30" s="185"/>
      <c r="BI30" s="185"/>
      <c r="BJ30" s="185"/>
      <c r="BK30" s="185"/>
      <c r="BL30" s="185"/>
      <c r="BM30" s="185"/>
      <c r="BN30" s="185"/>
      <c r="BO30" s="185"/>
      <c r="BP30" s="185"/>
      <c r="BQ30" s="185"/>
      <c r="BR30" s="185"/>
      <c r="BS30" s="185"/>
      <c r="BT30" s="185"/>
      <c r="BU30" s="185"/>
      <c r="BV30" s="185"/>
      <c r="BW30" s="185"/>
      <c r="BX30" s="185"/>
      <c r="BY30" s="185"/>
      <c r="BZ30" s="185"/>
      <c r="CA30" s="185"/>
      <c r="CB30" s="185"/>
      <c r="CC30" s="185"/>
      <c r="CD30" s="186"/>
      <c r="CE30" s="187" t="s">
        <v>251</v>
      </c>
      <c r="CF30" s="188"/>
      <c r="CG30" s="188"/>
      <c r="CH30" s="188"/>
      <c r="CI30" s="188"/>
      <c r="CJ30" s="189"/>
      <c r="CP30" s="5"/>
    </row>
    <row r="31" spans="1:94" ht="15" customHeight="1" x14ac:dyDescent="0.15">
      <c r="A31" s="3"/>
      <c r="E31" s="102" t="s">
        <v>231</v>
      </c>
      <c r="F31" s="172"/>
      <c r="G31" s="172"/>
      <c r="H31" s="172"/>
      <c r="I31" s="172"/>
      <c r="J31" s="172"/>
      <c r="K31" s="172"/>
      <c r="L31" s="172"/>
      <c r="M31" s="172"/>
      <c r="N31" s="172"/>
      <c r="O31" s="172"/>
      <c r="P31" s="173"/>
      <c r="Q31" s="193" t="s">
        <v>85</v>
      </c>
      <c r="R31" s="194"/>
      <c r="S31" s="194"/>
      <c r="T31" s="194"/>
      <c r="U31" s="194"/>
      <c r="V31" s="194"/>
      <c r="W31" s="194"/>
      <c r="X31" s="194"/>
      <c r="Y31" s="194"/>
      <c r="Z31" s="194"/>
      <c r="AA31" s="194"/>
      <c r="AB31" s="194"/>
      <c r="AC31" s="194"/>
      <c r="AD31" s="194"/>
      <c r="AE31" s="194"/>
      <c r="AF31" s="194"/>
      <c r="AG31" s="194"/>
      <c r="AH31" s="194"/>
      <c r="AI31" s="194"/>
      <c r="AJ31" s="194"/>
      <c r="AK31" s="194"/>
      <c r="AL31" s="194"/>
      <c r="AM31" s="194"/>
      <c r="AN31" s="194"/>
      <c r="AO31" s="194"/>
      <c r="AP31" s="194"/>
      <c r="AQ31" s="194"/>
      <c r="AR31" s="194"/>
      <c r="AS31" s="194"/>
      <c r="AT31" s="194"/>
      <c r="AU31" s="194"/>
      <c r="AV31" s="194"/>
      <c r="AW31" s="194"/>
      <c r="AX31" s="194"/>
      <c r="AY31" s="194"/>
      <c r="AZ31" s="194"/>
      <c r="BA31" s="194"/>
      <c r="BB31" s="194"/>
      <c r="BC31" s="194"/>
      <c r="BD31" s="194"/>
      <c r="BE31" s="194"/>
      <c r="BF31" s="194"/>
      <c r="BG31" s="194"/>
      <c r="BH31" s="194"/>
      <c r="BI31" s="194"/>
      <c r="BJ31" s="194"/>
      <c r="BK31" s="194"/>
      <c r="BL31" s="194"/>
      <c r="BM31" s="194"/>
      <c r="BN31" s="194"/>
      <c r="BO31" s="194"/>
      <c r="BP31" s="194"/>
      <c r="BQ31" s="194"/>
      <c r="BR31" s="194"/>
      <c r="BS31" s="194"/>
      <c r="BT31" s="194"/>
      <c r="BU31" s="194"/>
      <c r="BV31" s="194"/>
      <c r="BW31" s="194"/>
      <c r="BX31" s="194"/>
      <c r="BY31" s="194"/>
      <c r="BZ31" s="194"/>
      <c r="CA31" s="194"/>
      <c r="CB31" s="194"/>
      <c r="CC31" s="194"/>
      <c r="CD31" s="195"/>
      <c r="CE31" s="190" t="s">
        <v>251</v>
      </c>
      <c r="CF31" s="191"/>
      <c r="CG31" s="191"/>
      <c r="CH31" s="191"/>
      <c r="CI31" s="191"/>
      <c r="CJ31" s="192"/>
      <c r="CP31" s="5"/>
    </row>
    <row r="32" spans="1:94" ht="15" customHeight="1" x14ac:dyDescent="0.15">
      <c r="A32" s="3"/>
      <c r="E32" s="102" t="s">
        <v>131</v>
      </c>
      <c r="F32" s="172"/>
      <c r="G32" s="172"/>
      <c r="H32" s="172"/>
      <c r="I32" s="172"/>
      <c r="J32" s="172"/>
      <c r="K32" s="172"/>
      <c r="L32" s="172"/>
      <c r="M32" s="172"/>
      <c r="N32" s="172"/>
      <c r="O32" s="172"/>
      <c r="P32" s="173"/>
      <c r="Q32" s="193" t="s">
        <v>85</v>
      </c>
      <c r="R32" s="194"/>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4"/>
      <c r="BD32" s="194"/>
      <c r="BE32" s="194"/>
      <c r="BF32" s="194"/>
      <c r="BG32" s="194"/>
      <c r="BH32" s="194"/>
      <c r="BI32" s="194"/>
      <c r="BJ32" s="194"/>
      <c r="BK32" s="194"/>
      <c r="BL32" s="194"/>
      <c r="BM32" s="194"/>
      <c r="BN32" s="194"/>
      <c r="BO32" s="194"/>
      <c r="BP32" s="194"/>
      <c r="BQ32" s="194"/>
      <c r="BR32" s="194"/>
      <c r="BS32" s="194"/>
      <c r="BT32" s="194"/>
      <c r="BU32" s="194"/>
      <c r="BV32" s="194"/>
      <c r="BW32" s="194"/>
      <c r="BX32" s="194"/>
      <c r="BY32" s="194"/>
      <c r="BZ32" s="194"/>
      <c r="CA32" s="194"/>
      <c r="CB32" s="194"/>
      <c r="CC32" s="194"/>
      <c r="CD32" s="195"/>
      <c r="CE32" s="190" t="s">
        <v>251</v>
      </c>
      <c r="CF32" s="191"/>
      <c r="CG32" s="191"/>
      <c r="CH32" s="191"/>
      <c r="CI32" s="191"/>
      <c r="CJ32" s="192"/>
      <c r="CP32" s="5"/>
    </row>
    <row r="33" spans="1:94" ht="15" customHeight="1" x14ac:dyDescent="0.15">
      <c r="A33" s="3"/>
      <c r="E33" s="102" t="s">
        <v>244</v>
      </c>
      <c r="F33" s="172"/>
      <c r="G33" s="172"/>
      <c r="H33" s="172"/>
      <c r="I33" s="172"/>
      <c r="J33" s="172"/>
      <c r="K33" s="172"/>
      <c r="L33" s="172"/>
      <c r="M33" s="172"/>
      <c r="N33" s="172"/>
      <c r="O33" s="172"/>
      <c r="P33" s="173"/>
      <c r="Q33" s="196"/>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6"/>
      <c r="BP33" s="196"/>
      <c r="BQ33" s="196"/>
      <c r="BR33" s="196"/>
      <c r="BS33" s="196"/>
      <c r="BT33" s="196"/>
      <c r="BU33" s="196"/>
      <c r="BV33" s="196"/>
      <c r="BW33" s="196"/>
      <c r="BX33" s="196"/>
      <c r="BY33" s="196"/>
      <c r="BZ33" s="196"/>
      <c r="CA33" s="196"/>
      <c r="CB33" s="196"/>
      <c r="CC33" s="196"/>
      <c r="CD33" s="196"/>
      <c r="CE33" s="183" t="s">
        <v>246</v>
      </c>
      <c r="CF33" s="183"/>
      <c r="CG33" s="183"/>
      <c r="CH33" s="183"/>
      <c r="CI33" s="183"/>
      <c r="CJ33" s="183"/>
      <c r="CP33" s="5"/>
    </row>
    <row r="34" spans="1:94" ht="15" customHeight="1" x14ac:dyDescent="0.15">
      <c r="A34" s="3"/>
      <c r="CP34" s="5"/>
    </row>
    <row r="35" spans="1:94" ht="15" customHeight="1" x14ac:dyDescent="0.15">
      <c r="A35" s="3"/>
      <c r="CP35" s="5"/>
    </row>
    <row r="36" spans="1:94" ht="15" customHeight="1" x14ac:dyDescent="0.15">
      <c r="A36" s="3"/>
      <c r="CP36" s="5"/>
    </row>
    <row r="37" spans="1:94" ht="15" customHeight="1" x14ac:dyDescent="0.15">
      <c r="A37" s="3"/>
      <c r="CP37" s="5"/>
    </row>
    <row r="38" spans="1:94" ht="15" customHeight="1" x14ac:dyDescent="0.15">
      <c r="A38" s="3"/>
      <c r="CP38" s="5"/>
    </row>
    <row r="39" spans="1:94" ht="15" customHeight="1" x14ac:dyDescent="0.15">
      <c r="A39" s="3"/>
      <c r="CP39" s="5"/>
    </row>
    <row r="40" spans="1:94" ht="15" customHeight="1" x14ac:dyDescent="0.15">
      <c r="A40" s="3"/>
      <c r="CP40" s="5"/>
    </row>
    <row r="41" spans="1:94" ht="15" customHeight="1" x14ac:dyDescent="0.15">
      <c r="A41" s="3"/>
      <c r="CP41" s="5"/>
    </row>
    <row r="42" spans="1:94" ht="15" customHeight="1" x14ac:dyDescent="0.15">
      <c r="A42" s="3"/>
      <c r="CP42" s="5"/>
    </row>
    <row r="43" spans="1:94" ht="15" customHeight="1" x14ac:dyDescent="0.15">
      <c r="A43" s="3"/>
      <c r="CP43" s="5"/>
    </row>
    <row r="44" spans="1:94" ht="15" customHeight="1" x14ac:dyDescent="0.15">
      <c r="A44" s="3"/>
      <c r="CP44" s="5"/>
    </row>
    <row r="45" spans="1:94" ht="15" customHeight="1" x14ac:dyDescent="0.15">
      <c r="A45" s="3"/>
      <c r="CP45" s="5"/>
    </row>
    <row r="46" spans="1:94" ht="15" customHeight="1" x14ac:dyDescent="0.15">
      <c r="A46" s="3"/>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sheetData>
  <mergeCells count="65">
    <mergeCell ref="CE33:CJ33"/>
    <mergeCell ref="Q30:CD30"/>
    <mergeCell ref="CE30:CJ30"/>
    <mergeCell ref="CE31:CJ31"/>
    <mergeCell ref="Q31:CD31"/>
    <mergeCell ref="CE32:CJ32"/>
    <mergeCell ref="Q32:CD32"/>
    <mergeCell ref="Q33:CD33"/>
    <mergeCell ref="BK1:BT1"/>
    <mergeCell ref="A2:H2"/>
    <mergeCell ref="I2:AD2"/>
    <mergeCell ref="AE2:AK3"/>
    <mergeCell ref="AL2:BF2"/>
    <mergeCell ref="A3:H3"/>
    <mergeCell ref="I3:AD3"/>
    <mergeCell ref="AL3:BF3"/>
    <mergeCell ref="BG3:BJ3"/>
    <mergeCell ref="BK3:BT3"/>
    <mergeCell ref="A1:H1"/>
    <mergeCell ref="I1:AD1"/>
    <mergeCell ref="AE1:AK1"/>
    <mergeCell ref="AL1:BF1"/>
    <mergeCell ref="BG1:BJ1"/>
    <mergeCell ref="BG2:BJ2"/>
    <mergeCell ref="BK2:BT2"/>
    <mergeCell ref="BU2:CC2"/>
    <mergeCell ref="BU3:CC3"/>
    <mergeCell ref="E23:M23"/>
    <mergeCell ref="N23:P23"/>
    <mergeCell ref="E9:M9"/>
    <mergeCell ref="CB29:CD29"/>
    <mergeCell ref="Q23:AB23"/>
    <mergeCell ref="AC29:AE29"/>
    <mergeCell ref="AF29:AH29"/>
    <mergeCell ref="E31:P31"/>
    <mergeCell ref="AI29:AK29"/>
    <mergeCell ref="BJ29:BL29"/>
    <mergeCell ref="AL29:AN29"/>
    <mergeCell ref="AO29:AQ29"/>
    <mergeCell ref="AU29:AW29"/>
    <mergeCell ref="AX29:AZ29"/>
    <mergeCell ref="BA29:BC29"/>
    <mergeCell ref="BD29:BF29"/>
    <mergeCell ref="E33:P33"/>
    <mergeCell ref="E30:P30"/>
    <mergeCell ref="BG29:BI29"/>
    <mergeCell ref="Z29:AB29"/>
    <mergeCell ref="CI1:CP3"/>
    <mergeCell ref="W29:Y29"/>
    <mergeCell ref="CE29:CG29"/>
    <mergeCell ref="CH29:CJ29"/>
    <mergeCell ref="Q29:S29"/>
    <mergeCell ref="T29:V29"/>
    <mergeCell ref="BY29:CA29"/>
    <mergeCell ref="AR29:AT29"/>
    <mergeCell ref="BS29:BU29"/>
    <mergeCell ref="BV29:BX29"/>
    <mergeCell ref="BU1:CC1"/>
    <mergeCell ref="CD1:CH3"/>
    <mergeCell ref="BM29:BO29"/>
    <mergeCell ref="BP29:BR29"/>
    <mergeCell ref="E32:P32"/>
    <mergeCell ref="E29:P29"/>
    <mergeCell ref="N9:P9"/>
    <mergeCell ref="Q9:AB9"/>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&amp;N-3&amp;R株式会社　京信システムサービス</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R135"/>
  <sheetViews>
    <sheetView view="pageBreakPreview" zoomScaleNormal="75" zoomScaleSheetLayoutView="100" workbookViewId="0">
      <selection sqref="A1:H1"/>
    </sheetView>
  </sheetViews>
  <sheetFormatPr defaultColWidth="1.875" defaultRowHeight="15" customHeight="1" x14ac:dyDescent="0.15"/>
  <cols>
    <col min="1" max="95" width="1.875" style="4"/>
    <col min="96" max="96" width="7" style="4" bestFit="1" customWidth="1"/>
    <col min="97" max="97" width="3.625" style="4" bestFit="1" customWidth="1"/>
    <col min="98" max="98" width="5.25" style="4" customWidth="1"/>
    <col min="99" max="100" width="5.25" style="4" bestFit="1" customWidth="1"/>
    <col min="101" max="16384" width="1.875" style="4"/>
  </cols>
  <sheetData>
    <row r="1" spans="1:96" customFormat="1" ht="15" customHeight="1" x14ac:dyDescent="0.15">
      <c r="A1" s="109" t="s">
        <v>63</v>
      </c>
      <c r="B1" s="110"/>
      <c r="C1" s="110"/>
      <c r="D1" s="110"/>
      <c r="E1" s="110"/>
      <c r="F1" s="110"/>
      <c r="G1" s="110"/>
      <c r="H1" s="110"/>
      <c r="I1" s="111" t="str">
        <f>タイトル!I40</f>
        <v>学生勤務管理システム</v>
      </c>
      <c r="J1" s="112"/>
      <c r="K1" s="112"/>
      <c r="L1" s="112"/>
      <c r="M1" s="112"/>
      <c r="N1" s="112"/>
      <c r="O1" s="112"/>
      <c r="P1" s="112"/>
      <c r="Q1" s="112"/>
      <c r="R1" s="112"/>
      <c r="S1" s="112"/>
      <c r="T1" s="112"/>
      <c r="U1" s="112"/>
      <c r="V1" s="112"/>
      <c r="W1" s="112"/>
      <c r="X1" s="112"/>
      <c r="Y1" s="112"/>
      <c r="Z1" s="112"/>
      <c r="AA1" s="112"/>
      <c r="AB1" s="112"/>
      <c r="AC1" s="112"/>
      <c r="AD1" s="113"/>
      <c r="AE1" s="114" t="s">
        <v>4</v>
      </c>
      <c r="AF1" s="114"/>
      <c r="AG1" s="114"/>
      <c r="AH1" s="114"/>
      <c r="AI1" s="114"/>
      <c r="AJ1" s="114"/>
      <c r="AK1" s="114"/>
      <c r="AL1" s="115" t="str">
        <f>タイトル!I43</f>
        <v>システム設計精査業務</v>
      </c>
      <c r="AM1" s="116"/>
      <c r="AN1" s="116"/>
      <c r="AO1" s="116"/>
      <c r="AP1" s="116"/>
      <c r="AQ1" s="116"/>
      <c r="AR1" s="116"/>
      <c r="AS1" s="116"/>
      <c r="AT1" s="116"/>
      <c r="AU1" s="116"/>
      <c r="AV1" s="116"/>
      <c r="AW1" s="116"/>
      <c r="AX1" s="116"/>
      <c r="AY1" s="116"/>
      <c r="AZ1" s="116"/>
      <c r="BA1" s="116"/>
      <c r="BB1" s="116"/>
      <c r="BC1" s="116"/>
      <c r="BD1" s="116"/>
      <c r="BE1" s="116"/>
      <c r="BF1" s="117"/>
      <c r="BG1" s="114" t="s">
        <v>2</v>
      </c>
      <c r="BH1" s="114"/>
      <c r="BI1" s="114"/>
      <c r="BJ1" s="114"/>
      <c r="BK1" s="136" t="str">
        <f>タイトル!I46</f>
        <v>木田　優</v>
      </c>
      <c r="BL1" s="137"/>
      <c r="BM1" s="137"/>
      <c r="BN1" s="137"/>
      <c r="BO1" s="137"/>
      <c r="BP1" s="137"/>
      <c r="BQ1" s="137"/>
      <c r="BR1" s="137"/>
      <c r="BS1" s="137"/>
      <c r="BT1" s="138"/>
      <c r="BU1" s="140">
        <f>改訂履歴!J5</f>
        <v>45243</v>
      </c>
      <c r="BV1" s="140"/>
      <c r="BW1" s="140"/>
      <c r="BX1" s="140"/>
      <c r="BY1" s="140"/>
      <c r="BZ1" s="140"/>
      <c r="CA1" s="140"/>
      <c r="CB1" s="140"/>
      <c r="CC1" s="140"/>
      <c r="CD1" s="141" t="s">
        <v>38</v>
      </c>
      <c r="CE1" s="142"/>
      <c r="CF1" s="142"/>
      <c r="CG1" s="142"/>
      <c r="CH1" s="143"/>
      <c r="CI1" s="136" t="str">
        <f>タイトル!I50</f>
        <v>DUC060</v>
      </c>
      <c r="CJ1" s="137"/>
      <c r="CK1" s="137"/>
      <c r="CL1" s="137"/>
      <c r="CM1" s="137"/>
      <c r="CN1" s="137"/>
      <c r="CO1" s="137"/>
      <c r="CP1" s="150"/>
    </row>
    <row r="2" spans="1:96" customFormat="1" ht="15" customHeight="1" x14ac:dyDescent="0.15">
      <c r="A2" s="118" t="s">
        <v>64</v>
      </c>
      <c r="B2" s="119"/>
      <c r="C2" s="119"/>
      <c r="D2" s="119"/>
      <c r="E2" s="119"/>
      <c r="F2" s="119"/>
      <c r="G2" s="119"/>
      <c r="H2" s="119"/>
      <c r="I2" s="120"/>
      <c r="J2" s="121"/>
      <c r="K2" s="121"/>
      <c r="L2" s="121"/>
      <c r="M2" s="121"/>
      <c r="N2" s="121"/>
      <c r="O2" s="121"/>
      <c r="P2" s="121"/>
      <c r="Q2" s="121"/>
      <c r="R2" s="121"/>
      <c r="S2" s="121"/>
      <c r="T2" s="121"/>
      <c r="U2" s="121"/>
      <c r="V2" s="121"/>
      <c r="W2" s="121"/>
      <c r="X2" s="121"/>
      <c r="Y2" s="121"/>
      <c r="Z2" s="121"/>
      <c r="AA2" s="121"/>
      <c r="AB2" s="121"/>
      <c r="AC2" s="121"/>
      <c r="AD2" s="122"/>
      <c r="AE2" s="123" t="s">
        <v>5</v>
      </c>
      <c r="AF2" s="123"/>
      <c r="AG2" s="123"/>
      <c r="AH2" s="123"/>
      <c r="AI2" s="123"/>
      <c r="AJ2" s="123"/>
      <c r="AK2" s="123"/>
      <c r="AL2" s="125" t="str">
        <f>タイトル!I44</f>
        <v>信頼性・性能・運用設計</v>
      </c>
      <c r="AM2" s="126"/>
      <c r="AN2" s="126"/>
      <c r="AO2" s="126"/>
      <c r="AP2" s="126"/>
      <c r="AQ2" s="126"/>
      <c r="AR2" s="126"/>
      <c r="AS2" s="126"/>
      <c r="AT2" s="126"/>
      <c r="AU2" s="126"/>
      <c r="AV2" s="126"/>
      <c r="AW2" s="126"/>
      <c r="AX2" s="126"/>
      <c r="AY2" s="126"/>
      <c r="AZ2" s="126"/>
      <c r="BA2" s="126"/>
      <c r="BB2" s="126"/>
      <c r="BC2" s="126"/>
      <c r="BD2" s="126"/>
      <c r="BE2" s="126"/>
      <c r="BF2" s="127"/>
      <c r="BG2" s="123" t="s">
        <v>3</v>
      </c>
      <c r="BH2" s="123"/>
      <c r="BI2" s="123"/>
      <c r="BJ2" s="123"/>
      <c r="BK2" s="157"/>
      <c r="BL2" s="158"/>
      <c r="BM2" s="158"/>
      <c r="BN2" s="158"/>
      <c r="BO2" s="158"/>
      <c r="BP2" s="158"/>
      <c r="BQ2" s="158"/>
      <c r="BR2" s="158"/>
      <c r="BS2" s="158"/>
      <c r="BT2" s="159"/>
      <c r="BU2" s="160"/>
      <c r="BV2" s="161"/>
      <c r="BW2" s="161"/>
      <c r="BX2" s="161"/>
      <c r="BY2" s="161"/>
      <c r="BZ2" s="161"/>
      <c r="CA2" s="161"/>
      <c r="CB2" s="161"/>
      <c r="CC2" s="162"/>
      <c r="CD2" s="144"/>
      <c r="CE2" s="145"/>
      <c r="CF2" s="145"/>
      <c r="CG2" s="145"/>
      <c r="CH2" s="146"/>
      <c r="CI2" s="151"/>
      <c r="CJ2" s="152"/>
      <c r="CK2" s="152"/>
      <c r="CL2" s="152"/>
      <c r="CM2" s="152"/>
      <c r="CN2" s="152"/>
      <c r="CO2" s="152"/>
      <c r="CP2" s="153"/>
    </row>
    <row r="3" spans="1:96" customFormat="1" ht="15" customHeight="1" thickBot="1" x14ac:dyDescent="0.2">
      <c r="A3" s="128"/>
      <c r="B3" s="129"/>
      <c r="C3" s="129"/>
      <c r="D3" s="129"/>
      <c r="E3" s="129"/>
      <c r="F3" s="129"/>
      <c r="G3" s="129"/>
      <c r="H3" s="129"/>
      <c r="I3" s="130"/>
      <c r="J3" s="131"/>
      <c r="K3" s="131"/>
      <c r="L3" s="131"/>
      <c r="M3" s="131"/>
      <c r="N3" s="131"/>
      <c r="O3" s="131"/>
      <c r="P3" s="131"/>
      <c r="Q3" s="131"/>
      <c r="R3" s="131"/>
      <c r="S3" s="131"/>
      <c r="T3" s="131"/>
      <c r="U3" s="131"/>
      <c r="V3" s="131"/>
      <c r="W3" s="131"/>
      <c r="X3" s="131"/>
      <c r="Y3" s="131"/>
      <c r="Z3" s="131"/>
      <c r="AA3" s="131"/>
      <c r="AB3" s="131"/>
      <c r="AC3" s="131"/>
      <c r="AD3" s="132"/>
      <c r="AE3" s="124"/>
      <c r="AF3" s="124"/>
      <c r="AG3" s="124"/>
      <c r="AH3" s="124"/>
      <c r="AI3" s="124"/>
      <c r="AJ3" s="124"/>
      <c r="AK3" s="124"/>
      <c r="AL3" s="133"/>
      <c r="AM3" s="134"/>
      <c r="AN3" s="134"/>
      <c r="AO3" s="134"/>
      <c r="AP3" s="134"/>
      <c r="AQ3" s="134"/>
      <c r="AR3" s="134"/>
      <c r="AS3" s="134"/>
      <c r="AT3" s="134"/>
      <c r="AU3" s="134"/>
      <c r="AV3" s="134"/>
      <c r="AW3" s="134"/>
      <c r="AX3" s="134"/>
      <c r="AY3" s="134"/>
      <c r="AZ3" s="134"/>
      <c r="BA3" s="134"/>
      <c r="BB3" s="134"/>
      <c r="BC3" s="134"/>
      <c r="BD3" s="134"/>
      <c r="BE3" s="134"/>
      <c r="BF3" s="135"/>
      <c r="BG3" s="124"/>
      <c r="BH3" s="124"/>
      <c r="BI3" s="124"/>
      <c r="BJ3" s="124"/>
      <c r="BK3" s="163"/>
      <c r="BL3" s="164"/>
      <c r="BM3" s="164"/>
      <c r="BN3" s="164"/>
      <c r="BO3" s="164"/>
      <c r="BP3" s="164"/>
      <c r="BQ3" s="164"/>
      <c r="BR3" s="164"/>
      <c r="BS3" s="164"/>
      <c r="BT3" s="165"/>
      <c r="BU3" s="139"/>
      <c r="BV3" s="139"/>
      <c r="BW3" s="139"/>
      <c r="BX3" s="139"/>
      <c r="BY3" s="139"/>
      <c r="BZ3" s="139"/>
      <c r="CA3" s="139"/>
      <c r="CB3" s="139"/>
      <c r="CC3" s="139"/>
      <c r="CD3" s="147"/>
      <c r="CE3" s="148"/>
      <c r="CF3" s="148"/>
      <c r="CG3" s="148"/>
      <c r="CH3" s="149"/>
      <c r="CI3" s="154"/>
      <c r="CJ3" s="155"/>
      <c r="CK3" s="155"/>
      <c r="CL3" s="155"/>
      <c r="CM3" s="155"/>
      <c r="CN3" s="155"/>
      <c r="CO3" s="155"/>
      <c r="CP3" s="156"/>
    </row>
    <row r="4" spans="1:96" ht="15" customHeight="1" x14ac:dyDescent="0.15">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9"/>
    </row>
    <row r="5" spans="1:96" ht="15" customHeight="1" x14ac:dyDescent="0.15">
      <c r="A5" s="3"/>
      <c r="B5" s="6" t="s">
        <v>99</v>
      </c>
      <c r="CP5" s="5"/>
    </row>
    <row r="6" spans="1:96" ht="15" customHeight="1" x14ac:dyDescent="0.15">
      <c r="A6" s="3"/>
      <c r="AH6"/>
      <c r="CP6" s="5"/>
    </row>
    <row r="7" spans="1:96" ht="15" customHeight="1" x14ac:dyDescent="0.15">
      <c r="A7" s="3"/>
      <c r="C7" s="6" t="s">
        <v>94</v>
      </c>
      <c r="AT7"/>
      <c r="CP7" s="5"/>
    </row>
    <row r="8" spans="1:96" ht="15" customHeight="1" x14ac:dyDescent="0.15">
      <c r="A8" s="3"/>
      <c r="CP8" s="5"/>
    </row>
    <row r="9" spans="1:96" ht="15" customHeight="1" x14ac:dyDescent="0.15">
      <c r="A9" s="3"/>
      <c r="D9" s="4" t="s">
        <v>41</v>
      </c>
      <c r="CP9" s="5"/>
    </row>
    <row r="10" spans="1:96" ht="15" customHeight="1" x14ac:dyDescent="0.15">
      <c r="A10" s="3"/>
      <c r="D10" s="4" t="s">
        <v>233</v>
      </c>
      <c r="CP10" s="5"/>
    </row>
    <row r="11" spans="1:96" ht="15" customHeight="1" x14ac:dyDescent="0.15">
      <c r="A11" s="3"/>
      <c r="CP11" s="5"/>
    </row>
    <row r="12" spans="1:96" ht="15" customHeight="1" x14ac:dyDescent="0.15">
      <c r="A12" s="3"/>
      <c r="CP12" s="5"/>
    </row>
    <row r="13" spans="1:96" ht="15" customHeight="1" x14ac:dyDescent="0.15">
      <c r="A13" s="3"/>
      <c r="CP13" s="5"/>
      <c r="CR13" s="4" t="s">
        <v>218</v>
      </c>
    </row>
    <row r="14" spans="1:96" ht="15" customHeight="1" x14ac:dyDescent="0.15">
      <c r="A14" s="3"/>
      <c r="S14" s="52" t="s">
        <v>247</v>
      </c>
      <c r="AI14" s="52" t="s">
        <v>248</v>
      </c>
      <c r="CP14" s="5"/>
    </row>
    <row r="15" spans="1:96" ht="15" customHeight="1" x14ac:dyDescent="0.15">
      <c r="A15" s="3"/>
      <c r="CP15" s="5"/>
    </row>
    <row r="16" spans="1:96" ht="15" customHeight="1" x14ac:dyDescent="0.15">
      <c r="A16" s="3"/>
      <c r="CP16" s="5"/>
      <c r="CR16" s="4" t="s">
        <v>219</v>
      </c>
    </row>
    <row r="17" spans="1:94" ht="15" customHeight="1" x14ac:dyDescent="0.15">
      <c r="A17" s="3"/>
      <c r="CP17" s="5"/>
    </row>
    <row r="18" spans="1:94" ht="15" customHeight="1" x14ac:dyDescent="0.15">
      <c r="A18" s="3"/>
      <c r="CP18" s="5"/>
    </row>
    <row r="19" spans="1:94" ht="15" customHeight="1" x14ac:dyDescent="0.15">
      <c r="A19" s="3"/>
      <c r="CP19" s="5"/>
    </row>
    <row r="20" spans="1:94" ht="15" customHeight="1" x14ac:dyDescent="0.15">
      <c r="A20" s="3"/>
      <c r="CP20" s="5"/>
    </row>
    <row r="21" spans="1:94" ht="15" customHeight="1" x14ac:dyDescent="0.15">
      <c r="A21" s="3"/>
      <c r="CP21" s="5"/>
    </row>
    <row r="22" spans="1:94" ht="15" customHeight="1" x14ac:dyDescent="0.15">
      <c r="A22" s="3"/>
      <c r="CP22" s="5"/>
    </row>
    <row r="23" spans="1:94" ht="15" customHeight="1" x14ac:dyDescent="0.15">
      <c r="A23" s="3"/>
      <c r="CP23" s="5"/>
    </row>
    <row r="24" spans="1:94" ht="15" customHeight="1" x14ac:dyDescent="0.15">
      <c r="A24" s="3"/>
      <c r="CP24" s="5"/>
    </row>
    <row r="25" spans="1:94" ht="15" customHeight="1" x14ac:dyDescent="0.15">
      <c r="A25" s="3"/>
      <c r="CP25" s="5"/>
    </row>
    <row r="26" spans="1:94" ht="15" customHeight="1" x14ac:dyDescent="0.15">
      <c r="A26" s="3"/>
      <c r="CP26" s="5"/>
    </row>
    <row r="27" spans="1:94" ht="15" customHeight="1" x14ac:dyDescent="0.15">
      <c r="A27" s="3"/>
      <c r="CP27" s="5"/>
    </row>
    <row r="28" spans="1:94" ht="15" customHeight="1" x14ac:dyDescent="0.15">
      <c r="A28" s="3"/>
      <c r="CI28"/>
      <c r="CP28" s="5"/>
    </row>
    <row r="29" spans="1:94" ht="15" customHeight="1" x14ac:dyDescent="0.15">
      <c r="A29" s="3"/>
      <c r="H29"/>
      <c r="CP29" s="5"/>
    </row>
    <row r="30" spans="1:94" ht="15" customHeight="1" x14ac:dyDescent="0.15">
      <c r="A30" s="3"/>
      <c r="CP30" s="5"/>
    </row>
    <row r="31" spans="1:94" ht="15" customHeight="1" x14ac:dyDescent="0.15">
      <c r="A31" s="3"/>
      <c r="CP31" s="5"/>
    </row>
    <row r="32" spans="1:94" ht="15" customHeight="1" x14ac:dyDescent="0.15">
      <c r="A32" s="3"/>
      <c r="CP32" s="5"/>
    </row>
    <row r="33" spans="1:94" ht="15" customHeight="1" x14ac:dyDescent="0.15">
      <c r="A33" s="3"/>
      <c r="M33"/>
      <c r="CP33" s="5"/>
    </row>
    <row r="34" spans="1:94" ht="15" customHeight="1" x14ac:dyDescent="0.15">
      <c r="A34" s="3"/>
      <c r="CP34" s="5"/>
    </row>
    <row r="35" spans="1:94" ht="15" customHeight="1" x14ac:dyDescent="0.15">
      <c r="A35" s="3"/>
      <c r="CP35" s="5"/>
    </row>
    <row r="36" spans="1:94" ht="15" customHeight="1" x14ac:dyDescent="0.15">
      <c r="A36" s="3"/>
      <c r="D36" s="10"/>
      <c r="CP36" s="5"/>
    </row>
    <row r="37" spans="1:94" ht="15" customHeight="1" x14ac:dyDescent="0.15">
      <c r="A37" s="3"/>
      <c r="CP37" s="5"/>
    </row>
    <row r="38" spans="1:94" ht="15" customHeight="1" x14ac:dyDescent="0.15">
      <c r="A38" s="3"/>
      <c r="CP38" s="5"/>
    </row>
    <row r="39" spans="1:94" ht="15" customHeight="1" x14ac:dyDescent="0.15">
      <c r="A39" s="3"/>
      <c r="CP39" s="5"/>
    </row>
    <row r="40" spans="1:94" ht="15" customHeight="1" x14ac:dyDescent="0.15">
      <c r="A40" s="3"/>
      <c r="CP40" s="5"/>
    </row>
    <row r="41" spans="1:94" ht="15" customHeight="1" x14ac:dyDescent="0.15">
      <c r="A41" s="3"/>
      <c r="CP41" s="5"/>
    </row>
    <row r="42" spans="1:94" ht="15" customHeight="1" x14ac:dyDescent="0.15">
      <c r="A42" s="3"/>
      <c r="CP42" s="5"/>
    </row>
    <row r="43" spans="1:94" ht="15" customHeight="1" x14ac:dyDescent="0.15">
      <c r="A43" s="3"/>
      <c r="CP43" s="5"/>
    </row>
    <row r="44" spans="1:94" ht="15" customHeight="1" x14ac:dyDescent="0.15">
      <c r="A44" s="3"/>
      <c r="D44" s="11"/>
      <c r="E44" s="12"/>
      <c r="F44" s="12"/>
      <c r="G44" s="13"/>
      <c r="I44" s="4" t="s">
        <v>39</v>
      </c>
      <c r="O44" s="14"/>
      <c r="P44" s="15"/>
      <c r="Q44" s="15"/>
      <c r="R44" s="16"/>
      <c r="T44" s="4" t="s">
        <v>40</v>
      </c>
      <c r="CP44" s="5"/>
    </row>
    <row r="45" spans="1:94" ht="15" customHeight="1" x14ac:dyDescent="0.15">
      <c r="A45" s="3"/>
      <c r="CP45" s="5"/>
    </row>
    <row r="46" spans="1:94" ht="15" customHeight="1" x14ac:dyDescent="0.15">
      <c r="A46" s="3"/>
      <c r="I46" s="4" t="s">
        <v>72</v>
      </c>
      <c r="T46" s="4" t="s">
        <v>73</v>
      </c>
      <c r="AB46" s="4" t="s">
        <v>77</v>
      </c>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row r="48" spans="1:94" ht="15" customHeight="1" x14ac:dyDescent="0.15">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9"/>
    </row>
    <row r="49" spans="1:94" ht="15" customHeight="1" x14ac:dyDescent="0.15">
      <c r="A49" s="3"/>
      <c r="C49" s="6" t="s">
        <v>95</v>
      </c>
      <c r="CP49" s="5"/>
    </row>
    <row r="50" spans="1:94" ht="15" customHeight="1" x14ac:dyDescent="0.15">
      <c r="A50" s="3"/>
      <c r="CP50" s="5"/>
    </row>
    <row r="51" spans="1:94" ht="15" customHeight="1" x14ac:dyDescent="0.15">
      <c r="A51" s="3"/>
      <c r="D51" s="4" t="s">
        <v>42</v>
      </c>
      <c r="CP51" s="5"/>
    </row>
    <row r="52" spans="1:94" ht="15" customHeight="1" x14ac:dyDescent="0.15">
      <c r="A52" s="3"/>
      <c r="D52" s="4" t="s">
        <v>132</v>
      </c>
      <c r="CP52" s="5"/>
    </row>
    <row r="53" spans="1:94" ht="15" customHeight="1" x14ac:dyDescent="0.15">
      <c r="A53" s="3"/>
      <c r="N53" s="31"/>
      <c r="O53" s="31"/>
      <c r="P53" s="31"/>
      <c r="Q53" s="31"/>
      <c r="R53" s="31"/>
      <c r="S53" s="31"/>
      <c r="T53" s="31"/>
      <c r="U53" s="31"/>
      <c r="V53" s="31"/>
      <c r="W53" s="31"/>
      <c r="X53" s="31"/>
      <c r="Y53" s="31"/>
      <c r="Z53" s="31"/>
      <c r="AA53" s="31"/>
      <c r="AB53" s="31"/>
      <c r="AC53" s="31"/>
      <c r="AD53" s="31"/>
      <c r="AE53" s="31"/>
      <c r="AL53" s="32"/>
      <c r="AM53" s="32"/>
      <c r="AN53" s="32"/>
      <c r="AO53" s="32"/>
      <c r="AP53" s="32"/>
      <c r="AQ53" s="32"/>
      <c r="AR53" s="32"/>
      <c r="AS53" s="32"/>
      <c r="AT53" s="32"/>
      <c r="AU53" s="32"/>
      <c r="AV53" s="32"/>
      <c r="AW53" s="32"/>
      <c r="AY53" s="31"/>
      <c r="AZ53" s="31"/>
      <c r="BA53" s="31"/>
      <c r="BB53" s="31"/>
      <c r="BC53" s="31"/>
      <c r="BD53" s="31"/>
      <c r="BE53" s="31"/>
      <c r="BF53" s="31"/>
      <c r="CP53" s="5"/>
    </row>
    <row r="54" spans="1:94" ht="15" customHeight="1" thickBot="1" x14ac:dyDescent="0.2">
      <c r="A54" s="3"/>
      <c r="E54" s="238" t="s">
        <v>206</v>
      </c>
      <c r="F54" s="226"/>
      <c r="G54" s="226"/>
      <c r="H54" s="226"/>
      <c r="I54" s="226"/>
      <c r="J54" s="226"/>
      <c r="K54" s="226"/>
      <c r="L54" s="226"/>
      <c r="M54" s="226"/>
      <c r="N54" s="226"/>
      <c r="O54" s="226" t="s">
        <v>50</v>
      </c>
      <c r="P54" s="226"/>
      <c r="Q54" s="226"/>
      <c r="R54" s="226"/>
      <c r="S54" s="226"/>
      <c r="T54" s="226"/>
      <c r="U54" s="226"/>
      <c r="V54" s="226" t="s">
        <v>46</v>
      </c>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t="s">
        <v>142</v>
      </c>
      <c r="AU54" s="226"/>
      <c r="AV54" s="226"/>
      <c r="AW54" s="226"/>
      <c r="AX54" s="226"/>
      <c r="AY54" s="226"/>
      <c r="AZ54" s="226"/>
      <c r="BA54" s="226"/>
      <c r="BB54" s="226"/>
      <c r="BC54" s="226"/>
      <c r="BD54" s="329" t="s">
        <v>82</v>
      </c>
      <c r="BE54" s="330"/>
      <c r="BF54" s="330"/>
      <c r="BG54" s="330"/>
      <c r="BH54" s="330"/>
      <c r="BI54" s="330"/>
      <c r="BJ54" s="330"/>
      <c r="BK54" s="330"/>
      <c r="BL54" s="330"/>
      <c r="BM54" s="330"/>
      <c r="BN54" s="331"/>
      <c r="BO54" s="226" t="s">
        <v>49</v>
      </c>
      <c r="BP54" s="226"/>
      <c r="BQ54" s="226"/>
      <c r="BR54" s="226"/>
      <c r="BS54" s="226"/>
      <c r="BT54" s="226"/>
      <c r="BU54" s="226"/>
      <c r="BV54" s="226"/>
      <c r="BW54" s="237"/>
      <c r="CP54" s="5"/>
    </row>
    <row r="55" spans="1:94" ht="15" customHeight="1" thickTop="1" x14ac:dyDescent="0.15">
      <c r="A55" s="3"/>
      <c r="E55" s="245" t="s">
        <v>207</v>
      </c>
      <c r="F55" s="246"/>
      <c r="G55" s="246"/>
      <c r="H55" s="246"/>
      <c r="I55" s="246"/>
      <c r="J55" s="246"/>
      <c r="K55" s="246"/>
      <c r="L55" s="246"/>
      <c r="M55" s="246"/>
      <c r="N55" s="246"/>
      <c r="O55" s="227" t="s">
        <v>47</v>
      </c>
      <c r="P55" s="228"/>
      <c r="Q55" s="228"/>
      <c r="R55" s="228"/>
      <c r="S55" s="228"/>
      <c r="T55" s="228"/>
      <c r="U55" s="229"/>
      <c r="V55" s="244" t="s">
        <v>133</v>
      </c>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t="s">
        <v>196</v>
      </c>
      <c r="AU55" s="244"/>
      <c r="AV55" s="244"/>
      <c r="AW55" s="244"/>
      <c r="AX55" s="244"/>
      <c r="AY55" s="244"/>
      <c r="AZ55" s="244"/>
      <c r="BA55" s="244"/>
      <c r="BB55" s="244"/>
      <c r="BC55" s="244"/>
      <c r="BD55" s="327" t="s">
        <v>53</v>
      </c>
      <c r="BE55" s="328"/>
      <c r="BF55" s="328"/>
      <c r="BG55" s="328"/>
      <c r="BH55" s="328"/>
      <c r="BI55" s="328"/>
      <c r="BJ55" s="328"/>
      <c r="BK55" s="328"/>
      <c r="BL55" s="328"/>
      <c r="BM55" s="328"/>
      <c r="BN55" s="328"/>
      <c r="BO55" s="244" t="s">
        <v>134</v>
      </c>
      <c r="BP55" s="244"/>
      <c r="BQ55" s="244"/>
      <c r="BR55" s="244"/>
      <c r="BS55" s="244"/>
      <c r="BT55" s="244"/>
      <c r="BU55" s="244"/>
      <c r="BV55" s="244"/>
      <c r="BW55" s="325"/>
      <c r="CP55" s="5"/>
    </row>
    <row r="56" spans="1:94" ht="15" customHeight="1" x14ac:dyDescent="0.15">
      <c r="A56" s="3"/>
      <c r="E56" s="247"/>
      <c r="F56" s="248"/>
      <c r="G56" s="248"/>
      <c r="H56" s="248"/>
      <c r="I56" s="248"/>
      <c r="J56" s="248"/>
      <c r="K56" s="248"/>
      <c r="L56" s="248"/>
      <c r="M56" s="248"/>
      <c r="N56" s="248"/>
      <c r="O56" s="230"/>
      <c r="P56" s="231"/>
      <c r="Q56" s="231"/>
      <c r="R56" s="231"/>
      <c r="S56" s="231"/>
      <c r="T56" s="231"/>
      <c r="U56" s="232"/>
      <c r="V56" s="215" t="s">
        <v>187</v>
      </c>
      <c r="W56" s="215"/>
      <c r="X56" s="215"/>
      <c r="Y56" s="215"/>
      <c r="Z56" s="215"/>
      <c r="AA56" s="215"/>
      <c r="AB56" s="215"/>
      <c r="AC56" s="215"/>
      <c r="AD56" s="215"/>
      <c r="AE56" s="215"/>
      <c r="AF56" s="215"/>
      <c r="AG56" s="215"/>
      <c r="AH56" s="215"/>
      <c r="AI56" s="215"/>
      <c r="AJ56" s="215"/>
      <c r="AK56" s="215"/>
      <c r="AL56" s="215"/>
      <c r="AM56" s="215"/>
      <c r="AN56" s="215"/>
      <c r="AO56" s="215"/>
      <c r="AP56" s="215"/>
      <c r="AQ56" s="215"/>
      <c r="AR56" s="215"/>
      <c r="AS56" s="215"/>
      <c r="AT56" s="215" t="s">
        <v>192</v>
      </c>
      <c r="AU56" s="215"/>
      <c r="AV56" s="215"/>
      <c r="AW56" s="215"/>
      <c r="AX56" s="215"/>
      <c r="AY56" s="215"/>
      <c r="AZ56" s="215"/>
      <c r="BA56" s="215"/>
      <c r="BB56" s="215"/>
      <c r="BC56" s="215"/>
      <c r="BD56" s="327" t="s">
        <v>116</v>
      </c>
      <c r="BE56" s="328"/>
      <c r="BF56" s="328"/>
      <c r="BG56" s="328"/>
      <c r="BH56" s="328"/>
      <c r="BI56" s="328"/>
      <c r="BJ56" s="328"/>
      <c r="BK56" s="328"/>
      <c r="BL56" s="328"/>
      <c r="BM56" s="328"/>
      <c r="BN56" s="328"/>
      <c r="BO56" s="215" t="s">
        <v>134</v>
      </c>
      <c r="BP56" s="215"/>
      <c r="BQ56" s="215"/>
      <c r="BR56" s="215"/>
      <c r="BS56" s="215"/>
      <c r="BT56" s="215"/>
      <c r="BU56" s="215"/>
      <c r="BV56" s="215"/>
      <c r="BW56" s="221"/>
      <c r="CP56" s="5"/>
    </row>
    <row r="57" spans="1:94" ht="15" customHeight="1" x14ac:dyDescent="0.15">
      <c r="A57" s="3"/>
      <c r="E57" s="240"/>
      <c r="F57" s="224"/>
      <c r="G57" s="224"/>
      <c r="H57" s="224"/>
      <c r="I57" s="224"/>
      <c r="J57" s="224"/>
      <c r="K57" s="224"/>
      <c r="L57" s="224"/>
      <c r="M57" s="224"/>
      <c r="N57" s="224"/>
      <c r="O57" s="224" t="s">
        <v>66</v>
      </c>
      <c r="P57" s="224"/>
      <c r="Q57" s="224"/>
      <c r="R57" s="224"/>
      <c r="S57" s="224"/>
      <c r="T57" s="224"/>
      <c r="U57" s="224"/>
      <c r="V57" s="233" t="s">
        <v>149</v>
      </c>
      <c r="W57" s="233"/>
      <c r="X57" s="233"/>
      <c r="Y57" s="233"/>
      <c r="Z57" s="233"/>
      <c r="AA57" s="233"/>
      <c r="AB57" s="233"/>
      <c r="AC57" s="233"/>
      <c r="AD57" s="233"/>
      <c r="AE57" s="233"/>
      <c r="AF57" s="233"/>
      <c r="AG57" s="233"/>
      <c r="AH57" s="233"/>
      <c r="AI57" s="233"/>
      <c r="AJ57" s="233"/>
      <c r="AK57" s="233"/>
      <c r="AL57" s="233"/>
      <c r="AM57" s="233"/>
      <c r="AN57" s="233"/>
      <c r="AO57" s="233"/>
      <c r="AP57" s="233"/>
      <c r="AQ57" s="233"/>
      <c r="AR57" s="233"/>
      <c r="AS57" s="233"/>
      <c r="AT57" s="215" t="s">
        <v>136</v>
      </c>
      <c r="AU57" s="215"/>
      <c r="AV57" s="215"/>
      <c r="AW57" s="215"/>
      <c r="AX57" s="215"/>
      <c r="AY57" s="215"/>
      <c r="AZ57" s="215"/>
      <c r="BA57" s="215"/>
      <c r="BB57" s="215"/>
      <c r="BC57" s="215"/>
      <c r="BD57" s="327" t="s">
        <v>53</v>
      </c>
      <c r="BE57" s="328"/>
      <c r="BF57" s="328"/>
      <c r="BG57" s="328"/>
      <c r="BH57" s="328"/>
      <c r="BI57" s="328"/>
      <c r="BJ57" s="328"/>
      <c r="BK57" s="328"/>
      <c r="BL57" s="328"/>
      <c r="BM57" s="328"/>
      <c r="BN57" s="328"/>
      <c r="BO57" s="215" t="s">
        <v>67</v>
      </c>
      <c r="BP57" s="215"/>
      <c r="BQ57" s="215"/>
      <c r="BR57" s="215"/>
      <c r="BS57" s="215"/>
      <c r="BT57" s="215"/>
      <c r="BU57" s="215"/>
      <c r="BV57" s="215"/>
      <c r="BW57" s="221"/>
      <c r="CP57" s="5"/>
    </row>
    <row r="58" spans="1:94" ht="15" customHeight="1" x14ac:dyDescent="0.15">
      <c r="A58" s="3"/>
      <c r="E58" s="249"/>
      <c r="F58" s="250"/>
      <c r="G58" s="250"/>
      <c r="H58" s="250"/>
      <c r="I58" s="250"/>
      <c r="J58" s="250"/>
      <c r="K58" s="250"/>
      <c r="L58" s="250"/>
      <c r="M58" s="250"/>
      <c r="N58" s="250"/>
      <c r="O58" s="250"/>
      <c r="P58" s="250"/>
      <c r="Q58" s="250"/>
      <c r="R58" s="250"/>
      <c r="S58" s="250"/>
      <c r="T58" s="250"/>
      <c r="U58" s="250"/>
      <c r="V58" s="215" t="s">
        <v>147</v>
      </c>
      <c r="W58" s="215"/>
      <c r="X58" s="215"/>
      <c r="Y58" s="215"/>
      <c r="Z58" s="215"/>
      <c r="AA58" s="215"/>
      <c r="AB58" s="215"/>
      <c r="AC58" s="215"/>
      <c r="AD58" s="215"/>
      <c r="AE58" s="215"/>
      <c r="AF58" s="215"/>
      <c r="AG58" s="215"/>
      <c r="AH58" s="215"/>
      <c r="AI58" s="215"/>
      <c r="AJ58" s="215"/>
      <c r="AK58" s="215"/>
      <c r="AL58" s="215"/>
      <c r="AM58" s="215"/>
      <c r="AN58" s="215"/>
      <c r="AO58" s="215"/>
      <c r="AP58" s="215"/>
      <c r="AQ58" s="215"/>
      <c r="AR58" s="215"/>
      <c r="AS58" s="215"/>
      <c r="AT58" s="215" t="s">
        <v>136</v>
      </c>
      <c r="AU58" s="215"/>
      <c r="AV58" s="215"/>
      <c r="AW58" s="215"/>
      <c r="AX58" s="215"/>
      <c r="AY58" s="215"/>
      <c r="AZ58" s="215"/>
      <c r="BA58" s="215"/>
      <c r="BB58" s="215"/>
      <c r="BC58" s="215"/>
      <c r="BD58" s="327" t="s">
        <v>194</v>
      </c>
      <c r="BE58" s="328"/>
      <c r="BF58" s="328"/>
      <c r="BG58" s="328"/>
      <c r="BH58" s="328"/>
      <c r="BI58" s="328"/>
      <c r="BJ58" s="328"/>
      <c r="BK58" s="328"/>
      <c r="BL58" s="328"/>
      <c r="BM58" s="328"/>
      <c r="BN58" s="328"/>
      <c r="BO58" s="215" t="s">
        <v>67</v>
      </c>
      <c r="BP58" s="215"/>
      <c r="BQ58" s="215"/>
      <c r="BR58" s="215"/>
      <c r="BS58" s="215"/>
      <c r="BT58" s="215"/>
      <c r="BU58" s="215"/>
      <c r="BV58" s="215"/>
      <c r="BW58" s="221"/>
      <c r="CP58" s="5"/>
    </row>
    <row r="59" spans="1:94" ht="15" customHeight="1" x14ac:dyDescent="0.15">
      <c r="A59" s="3"/>
      <c r="E59" s="249"/>
      <c r="F59" s="250"/>
      <c r="G59" s="250"/>
      <c r="H59" s="250"/>
      <c r="I59" s="250"/>
      <c r="J59" s="250"/>
      <c r="K59" s="250"/>
      <c r="L59" s="250"/>
      <c r="M59" s="250"/>
      <c r="N59" s="250"/>
      <c r="O59" s="250"/>
      <c r="P59" s="250"/>
      <c r="Q59" s="250"/>
      <c r="R59" s="250"/>
      <c r="S59" s="250"/>
      <c r="T59" s="250"/>
      <c r="U59" s="250"/>
      <c r="V59" s="215" t="s">
        <v>148</v>
      </c>
      <c r="W59" s="215"/>
      <c r="X59" s="215"/>
      <c r="Y59" s="215"/>
      <c r="Z59" s="215"/>
      <c r="AA59" s="215"/>
      <c r="AB59" s="215"/>
      <c r="AC59" s="215"/>
      <c r="AD59" s="215"/>
      <c r="AE59" s="215"/>
      <c r="AF59" s="215"/>
      <c r="AG59" s="215"/>
      <c r="AH59" s="215"/>
      <c r="AI59" s="215"/>
      <c r="AJ59" s="215"/>
      <c r="AK59" s="215"/>
      <c r="AL59" s="215"/>
      <c r="AM59" s="215"/>
      <c r="AN59" s="215"/>
      <c r="AO59" s="215"/>
      <c r="AP59" s="215"/>
      <c r="AQ59" s="215"/>
      <c r="AR59" s="215"/>
      <c r="AS59" s="215"/>
      <c r="AT59" s="215" t="s">
        <v>138</v>
      </c>
      <c r="AU59" s="215"/>
      <c r="AV59" s="215"/>
      <c r="AW59" s="215"/>
      <c r="AX59" s="215"/>
      <c r="AY59" s="215"/>
      <c r="AZ59" s="215"/>
      <c r="BA59" s="215"/>
      <c r="BB59" s="215"/>
      <c r="BC59" s="215"/>
      <c r="BD59" s="327" t="s">
        <v>74</v>
      </c>
      <c r="BE59" s="328"/>
      <c r="BF59" s="328"/>
      <c r="BG59" s="328"/>
      <c r="BH59" s="328"/>
      <c r="BI59" s="328"/>
      <c r="BJ59" s="328"/>
      <c r="BK59" s="328"/>
      <c r="BL59" s="328"/>
      <c r="BM59" s="328"/>
      <c r="BN59" s="328"/>
      <c r="BO59" s="215" t="s">
        <v>67</v>
      </c>
      <c r="BP59" s="215"/>
      <c r="BQ59" s="215"/>
      <c r="BR59" s="215"/>
      <c r="BS59" s="215"/>
      <c r="BT59" s="215"/>
      <c r="BU59" s="215"/>
      <c r="BV59" s="215"/>
      <c r="BW59" s="221"/>
      <c r="CP59" s="5"/>
    </row>
    <row r="60" spans="1:94" ht="15" customHeight="1" x14ac:dyDescent="0.15">
      <c r="A60" s="3"/>
      <c r="E60" s="249"/>
      <c r="F60" s="250"/>
      <c r="G60" s="250"/>
      <c r="H60" s="250"/>
      <c r="I60" s="250"/>
      <c r="J60" s="250"/>
      <c r="K60" s="250"/>
      <c r="L60" s="250"/>
      <c r="M60" s="250"/>
      <c r="N60" s="250"/>
      <c r="O60" s="250"/>
      <c r="P60" s="250"/>
      <c r="Q60" s="250"/>
      <c r="R60" s="250"/>
      <c r="S60" s="250"/>
      <c r="T60" s="250"/>
      <c r="U60" s="250"/>
      <c r="V60" s="215" t="s">
        <v>135</v>
      </c>
      <c r="W60" s="215"/>
      <c r="X60" s="215"/>
      <c r="Y60" s="215"/>
      <c r="Z60" s="215"/>
      <c r="AA60" s="215"/>
      <c r="AB60" s="215"/>
      <c r="AC60" s="215"/>
      <c r="AD60" s="215"/>
      <c r="AE60" s="215"/>
      <c r="AF60" s="215"/>
      <c r="AG60" s="215"/>
      <c r="AH60" s="215"/>
      <c r="AI60" s="215"/>
      <c r="AJ60" s="215"/>
      <c r="AK60" s="215"/>
      <c r="AL60" s="215"/>
      <c r="AM60" s="215"/>
      <c r="AN60" s="215"/>
      <c r="AO60" s="215"/>
      <c r="AP60" s="215"/>
      <c r="AQ60" s="215"/>
      <c r="AR60" s="215"/>
      <c r="AS60" s="215"/>
      <c r="AT60" s="215" t="s">
        <v>137</v>
      </c>
      <c r="AU60" s="215"/>
      <c r="AV60" s="215"/>
      <c r="AW60" s="215"/>
      <c r="AX60" s="215"/>
      <c r="AY60" s="215"/>
      <c r="AZ60" s="215"/>
      <c r="BA60" s="215"/>
      <c r="BB60" s="215"/>
      <c r="BC60" s="215"/>
      <c r="BD60" s="327" t="s">
        <v>116</v>
      </c>
      <c r="BE60" s="328"/>
      <c r="BF60" s="328"/>
      <c r="BG60" s="328"/>
      <c r="BH60" s="328"/>
      <c r="BI60" s="328"/>
      <c r="BJ60" s="328"/>
      <c r="BK60" s="328"/>
      <c r="BL60" s="328"/>
      <c r="BM60" s="328"/>
      <c r="BN60" s="328"/>
      <c r="BO60" s="215" t="s">
        <v>67</v>
      </c>
      <c r="BP60" s="215"/>
      <c r="BQ60" s="215"/>
      <c r="BR60" s="215"/>
      <c r="BS60" s="215"/>
      <c r="BT60" s="215"/>
      <c r="BU60" s="215"/>
      <c r="BV60" s="215"/>
      <c r="BW60" s="221"/>
      <c r="CP60" s="5"/>
    </row>
    <row r="61" spans="1:94" ht="15" customHeight="1" x14ac:dyDescent="0.15">
      <c r="A61" s="3"/>
      <c r="E61" s="241"/>
      <c r="F61" s="225"/>
      <c r="G61" s="225"/>
      <c r="H61" s="225"/>
      <c r="I61" s="225"/>
      <c r="J61" s="225"/>
      <c r="K61" s="225"/>
      <c r="L61" s="225"/>
      <c r="M61" s="225"/>
      <c r="N61" s="225"/>
      <c r="O61" s="225"/>
      <c r="P61" s="225"/>
      <c r="Q61" s="225"/>
      <c r="R61" s="225"/>
      <c r="S61" s="225"/>
      <c r="T61" s="225"/>
      <c r="U61" s="225"/>
      <c r="V61" s="216" t="s">
        <v>156</v>
      </c>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t="s">
        <v>157</v>
      </c>
      <c r="AU61" s="216"/>
      <c r="AV61" s="216"/>
      <c r="AW61" s="216"/>
      <c r="AX61" s="216"/>
      <c r="AY61" s="216"/>
      <c r="AZ61" s="216"/>
      <c r="BA61" s="216"/>
      <c r="BB61" s="216"/>
      <c r="BC61" s="216"/>
      <c r="BD61" s="271" t="s">
        <v>53</v>
      </c>
      <c r="BE61" s="272"/>
      <c r="BF61" s="272"/>
      <c r="BG61" s="272"/>
      <c r="BH61" s="272"/>
      <c r="BI61" s="272"/>
      <c r="BJ61" s="272"/>
      <c r="BK61" s="272"/>
      <c r="BL61" s="272"/>
      <c r="BM61" s="272"/>
      <c r="BN61" s="272"/>
      <c r="BO61" s="216" t="s">
        <v>158</v>
      </c>
      <c r="BP61" s="216"/>
      <c r="BQ61" s="216"/>
      <c r="BR61" s="216"/>
      <c r="BS61" s="216"/>
      <c r="BT61" s="216"/>
      <c r="BU61" s="216"/>
      <c r="BV61" s="216"/>
      <c r="BW61" s="222"/>
      <c r="CP61" s="5"/>
    </row>
    <row r="62" spans="1:94" ht="15" customHeight="1" x14ac:dyDescent="0.15">
      <c r="A62" s="3"/>
      <c r="E62" s="197" t="s">
        <v>208</v>
      </c>
      <c r="F62" s="198"/>
      <c r="G62" s="198"/>
      <c r="H62" s="198"/>
      <c r="I62" s="198"/>
      <c r="J62" s="198"/>
      <c r="K62" s="198"/>
      <c r="L62" s="198"/>
      <c r="M62" s="198"/>
      <c r="N62" s="199"/>
      <c r="O62" s="212" t="s">
        <v>47</v>
      </c>
      <c r="P62" s="213"/>
      <c r="Q62" s="213"/>
      <c r="R62" s="213"/>
      <c r="S62" s="213"/>
      <c r="T62" s="213"/>
      <c r="U62" s="214"/>
      <c r="V62" s="243" t="s">
        <v>188</v>
      </c>
      <c r="W62" s="243"/>
      <c r="X62" s="243"/>
      <c r="Y62" s="243"/>
      <c r="Z62" s="243"/>
      <c r="AA62" s="243"/>
      <c r="AB62" s="243"/>
      <c r="AC62" s="243"/>
      <c r="AD62" s="243"/>
      <c r="AE62" s="243"/>
      <c r="AF62" s="243"/>
      <c r="AG62" s="243"/>
      <c r="AH62" s="243"/>
      <c r="AI62" s="243"/>
      <c r="AJ62" s="243"/>
      <c r="AK62" s="243"/>
      <c r="AL62" s="243"/>
      <c r="AM62" s="243"/>
      <c r="AN62" s="243"/>
      <c r="AO62" s="243"/>
      <c r="AP62" s="243"/>
      <c r="AQ62" s="243"/>
      <c r="AR62" s="243"/>
      <c r="AS62" s="243"/>
      <c r="AT62" s="243" t="s">
        <v>209</v>
      </c>
      <c r="AU62" s="243"/>
      <c r="AV62" s="243"/>
      <c r="AW62" s="243"/>
      <c r="AX62" s="243"/>
      <c r="AY62" s="243"/>
      <c r="AZ62" s="243"/>
      <c r="BA62" s="243"/>
      <c r="BB62" s="243"/>
      <c r="BC62" s="243"/>
      <c r="BD62" s="332" t="s">
        <v>116</v>
      </c>
      <c r="BE62" s="333"/>
      <c r="BF62" s="333"/>
      <c r="BG62" s="333"/>
      <c r="BH62" s="333"/>
      <c r="BI62" s="333"/>
      <c r="BJ62" s="333"/>
      <c r="BK62" s="333"/>
      <c r="BL62" s="333"/>
      <c r="BM62" s="333"/>
      <c r="BN62" s="333"/>
      <c r="BO62" s="243" t="s">
        <v>190</v>
      </c>
      <c r="BP62" s="243"/>
      <c r="BQ62" s="243"/>
      <c r="BR62" s="243"/>
      <c r="BS62" s="243"/>
      <c r="BT62" s="243"/>
      <c r="BU62" s="243"/>
      <c r="BV62" s="243"/>
      <c r="BW62" s="326"/>
      <c r="CP62" s="5"/>
    </row>
    <row r="63" spans="1:94" ht="15" customHeight="1" x14ac:dyDescent="0.15">
      <c r="A63" s="3"/>
      <c r="E63" s="200"/>
      <c r="F63" s="201"/>
      <c r="G63" s="201"/>
      <c r="H63" s="201"/>
      <c r="I63" s="201"/>
      <c r="J63" s="201"/>
      <c r="K63" s="201"/>
      <c r="L63" s="201"/>
      <c r="M63" s="201"/>
      <c r="N63" s="202"/>
      <c r="O63" s="206"/>
      <c r="P63" s="207"/>
      <c r="Q63" s="207"/>
      <c r="R63" s="207"/>
      <c r="S63" s="207"/>
      <c r="T63" s="207"/>
      <c r="U63" s="208"/>
      <c r="V63" s="215" t="s">
        <v>189</v>
      </c>
      <c r="W63" s="215"/>
      <c r="X63" s="215"/>
      <c r="Y63" s="215"/>
      <c r="Z63" s="215"/>
      <c r="AA63" s="215"/>
      <c r="AB63" s="215"/>
      <c r="AC63" s="215"/>
      <c r="AD63" s="215"/>
      <c r="AE63" s="215"/>
      <c r="AF63" s="215"/>
      <c r="AG63" s="215"/>
      <c r="AH63" s="215"/>
      <c r="AI63" s="215"/>
      <c r="AJ63" s="215"/>
      <c r="AK63" s="215"/>
      <c r="AL63" s="215"/>
      <c r="AM63" s="215"/>
      <c r="AN63" s="215"/>
      <c r="AO63" s="215"/>
      <c r="AP63" s="215"/>
      <c r="AQ63" s="215"/>
      <c r="AR63" s="215"/>
      <c r="AS63" s="215"/>
      <c r="AT63" s="215" t="s">
        <v>193</v>
      </c>
      <c r="AU63" s="215"/>
      <c r="AV63" s="215"/>
      <c r="AW63" s="215"/>
      <c r="AX63" s="215"/>
      <c r="AY63" s="215"/>
      <c r="AZ63" s="215"/>
      <c r="BA63" s="215"/>
      <c r="BB63" s="215"/>
      <c r="BC63" s="215"/>
      <c r="BD63" s="217" t="s">
        <v>194</v>
      </c>
      <c r="BE63" s="218"/>
      <c r="BF63" s="218"/>
      <c r="BG63" s="218"/>
      <c r="BH63" s="218"/>
      <c r="BI63" s="218"/>
      <c r="BJ63" s="218"/>
      <c r="BK63" s="218"/>
      <c r="BL63" s="218"/>
      <c r="BM63" s="218"/>
      <c r="BN63" s="218"/>
      <c r="BO63" s="215" t="s">
        <v>190</v>
      </c>
      <c r="BP63" s="215"/>
      <c r="BQ63" s="215"/>
      <c r="BR63" s="215"/>
      <c r="BS63" s="215"/>
      <c r="BT63" s="215"/>
      <c r="BU63" s="215"/>
      <c r="BV63" s="215"/>
      <c r="BW63" s="221"/>
      <c r="CP63" s="5"/>
    </row>
    <row r="64" spans="1:94" ht="15" customHeight="1" x14ac:dyDescent="0.15">
      <c r="A64" s="3"/>
      <c r="E64" s="200"/>
      <c r="F64" s="201"/>
      <c r="G64" s="201"/>
      <c r="H64" s="201"/>
      <c r="I64" s="201"/>
      <c r="J64" s="201"/>
      <c r="K64" s="201"/>
      <c r="L64" s="201"/>
      <c r="M64" s="201"/>
      <c r="N64" s="202"/>
      <c r="O64" s="206" t="s">
        <v>48</v>
      </c>
      <c r="P64" s="207"/>
      <c r="Q64" s="207"/>
      <c r="R64" s="207"/>
      <c r="S64" s="207"/>
      <c r="T64" s="207"/>
      <c r="U64" s="208"/>
      <c r="V64" s="215" t="s">
        <v>135</v>
      </c>
      <c r="W64" s="215"/>
      <c r="X64" s="215"/>
      <c r="Y64" s="215"/>
      <c r="Z64" s="215"/>
      <c r="AA64" s="215"/>
      <c r="AB64" s="215"/>
      <c r="AC64" s="215"/>
      <c r="AD64" s="215"/>
      <c r="AE64" s="215"/>
      <c r="AF64" s="215"/>
      <c r="AG64" s="215"/>
      <c r="AH64" s="215"/>
      <c r="AI64" s="215"/>
      <c r="AJ64" s="215"/>
      <c r="AK64" s="215"/>
      <c r="AL64" s="215"/>
      <c r="AM64" s="215"/>
      <c r="AN64" s="215"/>
      <c r="AO64" s="215"/>
      <c r="AP64" s="215"/>
      <c r="AQ64" s="215"/>
      <c r="AR64" s="215"/>
      <c r="AS64" s="215"/>
      <c r="AT64" s="215" t="s">
        <v>36</v>
      </c>
      <c r="AU64" s="215"/>
      <c r="AV64" s="215"/>
      <c r="AW64" s="215"/>
      <c r="AX64" s="215"/>
      <c r="AY64" s="215"/>
      <c r="AZ64" s="215"/>
      <c r="BA64" s="215"/>
      <c r="BB64" s="215"/>
      <c r="BC64" s="215"/>
      <c r="BD64" s="217" t="s">
        <v>116</v>
      </c>
      <c r="BE64" s="218"/>
      <c r="BF64" s="218"/>
      <c r="BG64" s="218"/>
      <c r="BH64" s="218"/>
      <c r="BI64" s="218"/>
      <c r="BJ64" s="218"/>
      <c r="BK64" s="218"/>
      <c r="BL64" s="218"/>
      <c r="BM64" s="218"/>
      <c r="BN64" s="218"/>
      <c r="BO64" s="215" t="s">
        <v>67</v>
      </c>
      <c r="BP64" s="215"/>
      <c r="BQ64" s="215"/>
      <c r="BR64" s="215"/>
      <c r="BS64" s="215"/>
      <c r="BT64" s="215"/>
      <c r="BU64" s="215"/>
      <c r="BV64" s="215"/>
      <c r="BW64" s="221"/>
      <c r="CP64" s="5"/>
    </row>
    <row r="65" spans="1:94" ht="15" customHeight="1" x14ac:dyDescent="0.15">
      <c r="A65" s="3"/>
      <c r="E65" s="203"/>
      <c r="F65" s="204"/>
      <c r="G65" s="204"/>
      <c r="H65" s="204"/>
      <c r="I65" s="204"/>
      <c r="J65" s="204"/>
      <c r="K65" s="204"/>
      <c r="L65" s="204"/>
      <c r="M65" s="204"/>
      <c r="N65" s="205"/>
      <c r="O65" s="209"/>
      <c r="P65" s="210"/>
      <c r="Q65" s="210"/>
      <c r="R65" s="210"/>
      <c r="S65" s="210"/>
      <c r="T65" s="210"/>
      <c r="U65" s="211"/>
      <c r="V65" s="216" t="s">
        <v>147</v>
      </c>
      <c r="W65" s="216"/>
      <c r="X65" s="216"/>
      <c r="Y65" s="216"/>
      <c r="Z65" s="216"/>
      <c r="AA65" s="216"/>
      <c r="AB65" s="216"/>
      <c r="AC65" s="216"/>
      <c r="AD65" s="216"/>
      <c r="AE65" s="216"/>
      <c r="AF65" s="216"/>
      <c r="AG65" s="216"/>
      <c r="AH65" s="216"/>
      <c r="AI65" s="216"/>
      <c r="AJ65" s="216"/>
      <c r="AK65" s="216"/>
      <c r="AL65" s="216"/>
      <c r="AM65" s="216"/>
      <c r="AN65" s="216"/>
      <c r="AO65" s="216"/>
      <c r="AP65" s="216"/>
      <c r="AQ65" s="216"/>
      <c r="AR65" s="216"/>
      <c r="AS65" s="216"/>
      <c r="AT65" s="216" t="s">
        <v>36</v>
      </c>
      <c r="AU65" s="216"/>
      <c r="AV65" s="216"/>
      <c r="AW65" s="216"/>
      <c r="AX65" s="216"/>
      <c r="AY65" s="216"/>
      <c r="AZ65" s="216"/>
      <c r="BA65" s="216"/>
      <c r="BB65" s="216"/>
      <c r="BC65" s="216"/>
      <c r="BD65" s="219" t="s">
        <v>194</v>
      </c>
      <c r="BE65" s="220"/>
      <c r="BF65" s="220"/>
      <c r="BG65" s="220"/>
      <c r="BH65" s="220"/>
      <c r="BI65" s="220"/>
      <c r="BJ65" s="220"/>
      <c r="BK65" s="220"/>
      <c r="BL65" s="220"/>
      <c r="BM65" s="220"/>
      <c r="BN65" s="220"/>
      <c r="BO65" s="216" t="s">
        <v>67</v>
      </c>
      <c r="BP65" s="216"/>
      <c r="BQ65" s="216"/>
      <c r="BR65" s="216"/>
      <c r="BS65" s="216"/>
      <c r="BT65" s="216"/>
      <c r="BU65" s="216"/>
      <c r="BV65" s="216"/>
      <c r="BW65" s="222"/>
      <c r="CP65" s="5"/>
    </row>
    <row r="66" spans="1:94" ht="15" customHeight="1" x14ac:dyDescent="0.15">
      <c r="A66" s="3"/>
      <c r="E66" s="239" t="s">
        <v>234</v>
      </c>
      <c r="F66" s="223"/>
      <c r="G66" s="223"/>
      <c r="H66" s="223"/>
      <c r="I66" s="223"/>
      <c r="J66" s="223"/>
      <c r="K66" s="223"/>
      <c r="L66" s="223"/>
      <c r="M66" s="223"/>
      <c r="N66" s="223"/>
      <c r="O66" s="223" t="s">
        <v>47</v>
      </c>
      <c r="P66" s="223"/>
      <c r="Q66" s="223"/>
      <c r="R66" s="223"/>
      <c r="S66" s="223"/>
      <c r="T66" s="223"/>
      <c r="U66" s="223"/>
      <c r="V66" s="243" t="s">
        <v>195</v>
      </c>
      <c r="W66" s="243"/>
      <c r="X66" s="243"/>
      <c r="Y66" s="243"/>
      <c r="Z66" s="243"/>
      <c r="AA66" s="243"/>
      <c r="AB66" s="243"/>
      <c r="AC66" s="243"/>
      <c r="AD66" s="243"/>
      <c r="AE66" s="243"/>
      <c r="AF66" s="243"/>
      <c r="AG66" s="243"/>
      <c r="AH66" s="243"/>
      <c r="AI66" s="243"/>
      <c r="AJ66" s="243"/>
      <c r="AK66" s="243"/>
      <c r="AL66" s="243"/>
      <c r="AM66" s="243"/>
      <c r="AN66" s="243"/>
      <c r="AO66" s="243"/>
      <c r="AP66" s="243"/>
      <c r="AQ66" s="243"/>
      <c r="AR66" s="243"/>
      <c r="AS66" s="243"/>
      <c r="AT66" s="235">
        <v>2022</v>
      </c>
      <c r="AU66" s="235"/>
      <c r="AV66" s="235"/>
      <c r="AW66" s="235"/>
      <c r="AX66" s="235"/>
      <c r="AY66" s="235"/>
      <c r="AZ66" s="235"/>
      <c r="BA66" s="235"/>
      <c r="BB66" s="235"/>
      <c r="BC66" s="235"/>
      <c r="BD66" s="327" t="s">
        <v>53</v>
      </c>
      <c r="BE66" s="328"/>
      <c r="BF66" s="328"/>
      <c r="BG66" s="328"/>
      <c r="BH66" s="328"/>
      <c r="BI66" s="328"/>
      <c r="BJ66" s="328"/>
      <c r="BK66" s="328"/>
      <c r="BL66" s="328"/>
      <c r="BM66" s="328"/>
      <c r="BN66" s="328"/>
      <c r="BO66" s="233" t="s">
        <v>47</v>
      </c>
      <c r="BP66" s="233"/>
      <c r="BQ66" s="233"/>
      <c r="BR66" s="233"/>
      <c r="BS66" s="233"/>
      <c r="BT66" s="233"/>
      <c r="BU66" s="233"/>
      <c r="BV66" s="233"/>
      <c r="BW66" s="234"/>
      <c r="CP66" s="5"/>
    </row>
    <row r="67" spans="1:94" ht="15" customHeight="1" x14ac:dyDescent="0.15">
      <c r="A67" s="3"/>
      <c r="E67" s="240"/>
      <c r="F67" s="224"/>
      <c r="G67" s="224"/>
      <c r="H67" s="224"/>
      <c r="I67" s="224"/>
      <c r="J67" s="224"/>
      <c r="K67" s="224"/>
      <c r="L67" s="224"/>
      <c r="M67" s="224"/>
      <c r="N67" s="224"/>
      <c r="O67" s="224" t="s">
        <v>48</v>
      </c>
      <c r="P67" s="224"/>
      <c r="Q67" s="224"/>
      <c r="R67" s="224"/>
      <c r="S67" s="224"/>
      <c r="T67" s="224"/>
      <c r="U67" s="224"/>
      <c r="V67" s="215" t="s">
        <v>112</v>
      </c>
      <c r="W67" s="215"/>
      <c r="X67" s="215"/>
      <c r="Y67" s="215"/>
      <c r="Z67" s="215"/>
      <c r="AA67" s="215"/>
      <c r="AB67" s="215"/>
      <c r="AC67" s="215"/>
      <c r="AD67" s="215"/>
      <c r="AE67" s="215"/>
      <c r="AF67" s="215"/>
      <c r="AG67" s="215"/>
      <c r="AH67" s="215"/>
      <c r="AI67" s="215"/>
      <c r="AJ67" s="215"/>
      <c r="AK67" s="215"/>
      <c r="AL67" s="215"/>
      <c r="AM67" s="215"/>
      <c r="AN67" s="215"/>
      <c r="AO67" s="215"/>
      <c r="AP67" s="215"/>
      <c r="AQ67" s="215"/>
      <c r="AR67" s="215"/>
      <c r="AS67" s="215"/>
      <c r="AT67" s="337" t="s">
        <v>264</v>
      </c>
      <c r="AU67" s="337"/>
      <c r="AV67" s="337"/>
      <c r="AW67" s="337"/>
      <c r="AX67" s="337"/>
      <c r="AY67" s="337"/>
      <c r="AZ67" s="337"/>
      <c r="BA67" s="337"/>
      <c r="BB67" s="337"/>
      <c r="BC67" s="337"/>
      <c r="BD67" s="327" t="s">
        <v>52</v>
      </c>
      <c r="BE67" s="328"/>
      <c r="BF67" s="328"/>
      <c r="BG67" s="328"/>
      <c r="BH67" s="328"/>
      <c r="BI67" s="328"/>
      <c r="BJ67" s="328"/>
      <c r="BK67" s="328"/>
      <c r="BL67" s="328"/>
      <c r="BM67" s="328"/>
      <c r="BN67" s="328"/>
      <c r="BO67" s="215" t="s">
        <v>191</v>
      </c>
      <c r="BP67" s="215"/>
      <c r="BQ67" s="215"/>
      <c r="BR67" s="215"/>
      <c r="BS67" s="215"/>
      <c r="BT67" s="215"/>
      <c r="BU67" s="215"/>
      <c r="BV67" s="215"/>
      <c r="BW67" s="221"/>
      <c r="CP67" s="5"/>
    </row>
    <row r="68" spans="1:94" ht="15" customHeight="1" x14ac:dyDescent="0.15">
      <c r="A68" s="3"/>
      <c r="E68" s="240"/>
      <c r="F68" s="224"/>
      <c r="G68" s="224"/>
      <c r="H68" s="224"/>
      <c r="I68" s="224"/>
      <c r="J68" s="224"/>
      <c r="K68" s="224"/>
      <c r="L68" s="224"/>
      <c r="M68" s="224"/>
      <c r="N68" s="224"/>
      <c r="O68" s="224"/>
      <c r="P68" s="224"/>
      <c r="Q68" s="224"/>
      <c r="R68" s="224"/>
      <c r="S68" s="224"/>
      <c r="T68" s="224"/>
      <c r="U68" s="224"/>
      <c r="V68" s="215" t="s">
        <v>35</v>
      </c>
      <c r="W68" s="215"/>
      <c r="X68" s="215"/>
      <c r="Y68" s="215"/>
      <c r="Z68" s="215"/>
      <c r="AA68" s="215"/>
      <c r="AB68" s="215"/>
      <c r="AC68" s="215"/>
      <c r="AD68" s="215"/>
      <c r="AE68" s="215"/>
      <c r="AF68" s="215"/>
      <c r="AG68" s="215"/>
      <c r="AH68" s="215"/>
      <c r="AI68" s="215"/>
      <c r="AJ68" s="215"/>
      <c r="AK68" s="215"/>
      <c r="AL68" s="215"/>
      <c r="AM68" s="215"/>
      <c r="AN68" s="215"/>
      <c r="AO68" s="215"/>
      <c r="AP68" s="215"/>
      <c r="AQ68" s="215"/>
      <c r="AR68" s="215"/>
      <c r="AS68" s="215"/>
      <c r="AT68" s="236" t="s">
        <v>197</v>
      </c>
      <c r="AU68" s="236"/>
      <c r="AV68" s="236"/>
      <c r="AW68" s="236"/>
      <c r="AX68" s="236"/>
      <c r="AY68" s="236"/>
      <c r="AZ68" s="236"/>
      <c r="BA68" s="236"/>
      <c r="BB68" s="236"/>
      <c r="BC68" s="236"/>
      <c r="BD68" s="327" t="s">
        <v>52</v>
      </c>
      <c r="BE68" s="328"/>
      <c r="BF68" s="328"/>
      <c r="BG68" s="328"/>
      <c r="BH68" s="328"/>
      <c r="BI68" s="328"/>
      <c r="BJ68" s="328"/>
      <c r="BK68" s="328"/>
      <c r="BL68" s="328"/>
      <c r="BM68" s="328"/>
      <c r="BN68" s="328"/>
      <c r="BO68" s="215" t="s">
        <v>130</v>
      </c>
      <c r="BP68" s="215"/>
      <c r="BQ68" s="215"/>
      <c r="BR68" s="215"/>
      <c r="BS68" s="215"/>
      <c r="BT68" s="215"/>
      <c r="BU68" s="215"/>
      <c r="BV68" s="215"/>
      <c r="BW68" s="221"/>
      <c r="CP68" s="5"/>
    </row>
    <row r="69" spans="1:94" ht="15" customHeight="1" x14ac:dyDescent="0.15">
      <c r="A69" s="3"/>
      <c r="E69" s="240"/>
      <c r="F69" s="224"/>
      <c r="G69" s="224"/>
      <c r="H69" s="224"/>
      <c r="I69" s="224"/>
      <c r="J69" s="224"/>
      <c r="K69" s="224"/>
      <c r="L69" s="224"/>
      <c r="M69" s="224"/>
      <c r="N69" s="224"/>
      <c r="O69" s="224"/>
      <c r="P69" s="224"/>
      <c r="Q69" s="224"/>
      <c r="R69" s="224"/>
      <c r="S69" s="224"/>
      <c r="T69" s="224"/>
      <c r="U69" s="224"/>
      <c r="V69" s="215" t="s">
        <v>186</v>
      </c>
      <c r="W69" s="215"/>
      <c r="X69" s="215"/>
      <c r="Y69" s="215"/>
      <c r="Z69" s="215"/>
      <c r="AA69" s="215"/>
      <c r="AB69" s="215"/>
      <c r="AC69" s="215"/>
      <c r="AD69" s="215"/>
      <c r="AE69" s="215"/>
      <c r="AF69" s="215"/>
      <c r="AG69" s="215"/>
      <c r="AH69" s="215"/>
      <c r="AI69" s="215"/>
      <c r="AJ69" s="215"/>
      <c r="AK69" s="215"/>
      <c r="AL69" s="215"/>
      <c r="AM69" s="215"/>
      <c r="AN69" s="215"/>
      <c r="AO69" s="215"/>
      <c r="AP69" s="215"/>
      <c r="AQ69" s="215"/>
      <c r="AR69" s="215"/>
      <c r="AS69" s="215"/>
      <c r="AT69" s="215" t="s">
        <v>222</v>
      </c>
      <c r="AU69" s="215"/>
      <c r="AV69" s="215"/>
      <c r="AW69" s="215"/>
      <c r="AX69" s="215"/>
      <c r="AY69" s="215"/>
      <c r="AZ69" s="215"/>
      <c r="BA69" s="215"/>
      <c r="BB69" s="215"/>
      <c r="BC69" s="215"/>
      <c r="BD69" s="327" t="s">
        <v>198</v>
      </c>
      <c r="BE69" s="328"/>
      <c r="BF69" s="328"/>
      <c r="BG69" s="328"/>
      <c r="BH69" s="328"/>
      <c r="BI69" s="328"/>
      <c r="BJ69" s="328"/>
      <c r="BK69" s="328"/>
      <c r="BL69" s="328"/>
      <c r="BM69" s="328"/>
      <c r="BN69" s="328"/>
      <c r="BO69" s="215" t="s">
        <v>130</v>
      </c>
      <c r="BP69" s="215"/>
      <c r="BQ69" s="215"/>
      <c r="BR69" s="215"/>
      <c r="BS69" s="215"/>
      <c r="BT69" s="215"/>
      <c r="BU69" s="215"/>
      <c r="BV69" s="215"/>
      <c r="BW69" s="221"/>
      <c r="CP69" s="5"/>
    </row>
    <row r="70" spans="1:94" ht="15" customHeight="1" x14ac:dyDescent="0.15">
      <c r="A70" s="3"/>
      <c r="E70" s="240"/>
      <c r="F70" s="224"/>
      <c r="G70" s="224"/>
      <c r="H70" s="224"/>
      <c r="I70" s="224"/>
      <c r="J70" s="224"/>
      <c r="K70" s="224"/>
      <c r="L70" s="224"/>
      <c r="M70" s="224"/>
      <c r="N70" s="224"/>
      <c r="O70" s="224"/>
      <c r="P70" s="224"/>
      <c r="Q70" s="224"/>
      <c r="R70" s="224"/>
      <c r="S70" s="224"/>
      <c r="T70" s="224"/>
      <c r="U70" s="224"/>
      <c r="V70" s="215" t="s">
        <v>113</v>
      </c>
      <c r="W70" s="215"/>
      <c r="X70" s="215"/>
      <c r="Y70" s="215"/>
      <c r="Z70" s="215"/>
      <c r="AA70" s="215"/>
      <c r="AB70" s="215"/>
      <c r="AC70" s="215"/>
      <c r="AD70" s="215"/>
      <c r="AE70" s="215"/>
      <c r="AF70" s="215"/>
      <c r="AG70" s="215"/>
      <c r="AH70" s="215"/>
      <c r="AI70" s="215"/>
      <c r="AJ70" s="215"/>
      <c r="AK70" s="215"/>
      <c r="AL70" s="215"/>
      <c r="AM70" s="215"/>
      <c r="AN70" s="215"/>
      <c r="AO70" s="215"/>
      <c r="AP70" s="215"/>
      <c r="AQ70" s="215"/>
      <c r="AR70" s="215"/>
      <c r="AS70" s="215"/>
      <c r="AT70" s="215" t="s">
        <v>36</v>
      </c>
      <c r="AU70" s="215"/>
      <c r="AV70" s="215"/>
      <c r="AW70" s="215"/>
      <c r="AX70" s="215"/>
      <c r="AY70" s="215"/>
      <c r="AZ70" s="215"/>
      <c r="BA70" s="215"/>
      <c r="BB70" s="215"/>
      <c r="BC70" s="215"/>
      <c r="BD70" s="327" t="s">
        <v>54</v>
      </c>
      <c r="BE70" s="328"/>
      <c r="BF70" s="328"/>
      <c r="BG70" s="328"/>
      <c r="BH70" s="328"/>
      <c r="BI70" s="328"/>
      <c r="BJ70" s="328"/>
      <c r="BK70" s="328"/>
      <c r="BL70" s="328"/>
      <c r="BM70" s="328"/>
      <c r="BN70" s="328"/>
      <c r="BO70" s="215" t="s">
        <v>199</v>
      </c>
      <c r="BP70" s="215"/>
      <c r="BQ70" s="215"/>
      <c r="BR70" s="215"/>
      <c r="BS70" s="215"/>
      <c r="BT70" s="215"/>
      <c r="BU70" s="215"/>
      <c r="BV70" s="215"/>
      <c r="BW70" s="221"/>
      <c r="CP70" s="5"/>
    </row>
    <row r="71" spans="1:94" ht="15" customHeight="1" x14ac:dyDescent="0.15">
      <c r="A71" s="3"/>
      <c r="E71" s="241"/>
      <c r="F71" s="225"/>
      <c r="G71" s="225"/>
      <c r="H71" s="225"/>
      <c r="I71" s="225"/>
      <c r="J71" s="225"/>
      <c r="K71" s="225"/>
      <c r="L71" s="225"/>
      <c r="M71" s="225"/>
      <c r="N71" s="225"/>
      <c r="O71" s="225" t="s">
        <v>69</v>
      </c>
      <c r="P71" s="225"/>
      <c r="Q71" s="225"/>
      <c r="R71" s="225"/>
      <c r="S71" s="225"/>
      <c r="T71" s="225"/>
      <c r="U71" s="225"/>
      <c r="V71" s="216" t="s">
        <v>68</v>
      </c>
      <c r="W71" s="216"/>
      <c r="X71" s="216"/>
      <c r="Y71" s="216"/>
      <c r="Z71" s="216"/>
      <c r="AA71" s="216"/>
      <c r="AB71" s="216"/>
      <c r="AC71" s="216"/>
      <c r="AD71" s="216"/>
      <c r="AE71" s="216"/>
      <c r="AF71" s="216"/>
      <c r="AG71" s="216"/>
      <c r="AH71" s="216"/>
      <c r="AI71" s="216"/>
      <c r="AJ71" s="216"/>
      <c r="AK71" s="216"/>
      <c r="AL71" s="216"/>
      <c r="AM71" s="216"/>
      <c r="AN71" s="216"/>
      <c r="AO71" s="216"/>
      <c r="AP71" s="216"/>
      <c r="AQ71" s="216"/>
      <c r="AR71" s="216"/>
      <c r="AS71" s="216"/>
      <c r="AT71" s="216" t="s">
        <v>36</v>
      </c>
      <c r="AU71" s="216"/>
      <c r="AV71" s="216"/>
      <c r="AW71" s="216"/>
      <c r="AX71" s="216"/>
      <c r="AY71" s="216"/>
      <c r="AZ71" s="216"/>
      <c r="BA71" s="216"/>
      <c r="BB71" s="216"/>
      <c r="BC71" s="216"/>
      <c r="BD71" s="271" t="s">
        <v>54</v>
      </c>
      <c r="BE71" s="272"/>
      <c r="BF71" s="272"/>
      <c r="BG71" s="272"/>
      <c r="BH71" s="272"/>
      <c r="BI71" s="272"/>
      <c r="BJ71" s="272"/>
      <c r="BK71" s="272"/>
      <c r="BL71" s="272"/>
      <c r="BM71" s="272"/>
      <c r="BN71" s="272"/>
      <c r="BO71" s="216" t="s">
        <v>199</v>
      </c>
      <c r="BP71" s="216"/>
      <c r="BQ71" s="216"/>
      <c r="BR71" s="216"/>
      <c r="BS71" s="216"/>
      <c r="BT71" s="216"/>
      <c r="BU71" s="216"/>
      <c r="BV71" s="216"/>
      <c r="BW71" s="222"/>
      <c r="CP71" s="5"/>
    </row>
    <row r="72" spans="1:94" ht="15" customHeight="1" x14ac:dyDescent="0.15">
      <c r="A72" s="3"/>
      <c r="E72" s="251" t="s">
        <v>184</v>
      </c>
      <c r="F72" s="252"/>
      <c r="G72" s="252"/>
      <c r="H72" s="252"/>
      <c r="I72" s="252"/>
      <c r="J72" s="252"/>
      <c r="K72" s="252"/>
      <c r="L72" s="252"/>
      <c r="M72" s="252"/>
      <c r="N72" s="253"/>
      <c r="O72" s="223" t="s">
        <v>47</v>
      </c>
      <c r="P72" s="223"/>
      <c r="Q72" s="223"/>
      <c r="R72" s="223"/>
      <c r="S72" s="223"/>
      <c r="T72" s="223"/>
      <c r="U72" s="223"/>
      <c r="V72" s="243" t="s">
        <v>195</v>
      </c>
      <c r="W72" s="243"/>
      <c r="X72" s="243"/>
      <c r="Y72" s="243"/>
      <c r="Z72" s="243"/>
      <c r="AA72" s="243"/>
      <c r="AB72" s="243"/>
      <c r="AC72" s="243"/>
      <c r="AD72" s="243"/>
      <c r="AE72" s="243"/>
      <c r="AF72" s="243"/>
      <c r="AG72" s="243"/>
      <c r="AH72" s="243"/>
      <c r="AI72" s="243"/>
      <c r="AJ72" s="243"/>
      <c r="AK72" s="243"/>
      <c r="AL72" s="243"/>
      <c r="AM72" s="243"/>
      <c r="AN72" s="243"/>
      <c r="AO72" s="243"/>
      <c r="AP72" s="243"/>
      <c r="AQ72" s="243"/>
      <c r="AR72" s="243"/>
      <c r="AS72" s="243"/>
      <c r="AT72" s="235">
        <v>2022</v>
      </c>
      <c r="AU72" s="235"/>
      <c r="AV72" s="235"/>
      <c r="AW72" s="235"/>
      <c r="AX72" s="235"/>
      <c r="AY72" s="235"/>
      <c r="AZ72" s="235"/>
      <c r="BA72" s="235"/>
      <c r="BB72" s="235"/>
      <c r="BC72" s="235"/>
      <c r="BD72" s="327" t="s">
        <v>53</v>
      </c>
      <c r="BE72" s="328"/>
      <c r="BF72" s="328"/>
      <c r="BG72" s="328"/>
      <c r="BH72" s="328"/>
      <c r="BI72" s="328"/>
      <c r="BJ72" s="328"/>
      <c r="BK72" s="328"/>
      <c r="BL72" s="328"/>
      <c r="BM72" s="328"/>
      <c r="BN72" s="328"/>
      <c r="BO72" s="233" t="s">
        <v>47</v>
      </c>
      <c r="BP72" s="233"/>
      <c r="BQ72" s="233"/>
      <c r="BR72" s="233"/>
      <c r="BS72" s="233"/>
      <c r="BT72" s="233"/>
      <c r="BU72" s="233"/>
      <c r="BV72" s="233"/>
      <c r="BW72" s="234"/>
      <c r="CP72" s="5"/>
    </row>
    <row r="73" spans="1:94" ht="15" customHeight="1" x14ac:dyDescent="0.15">
      <c r="A73" s="3"/>
      <c r="E73" s="254"/>
      <c r="F73" s="255"/>
      <c r="G73" s="255"/>
      <c r="H73" s="255"/>
      <c r="I73" s="255"/>
      <c r="J73" s="255"/>
      <c r="K73" s="255"/>
      <c r="L73" s="255"/>
      <c r="M73" s="255"/>
      <c r="N73" s="256"/>
      <c r="O73" s="224" t="s">
        <v>48</v>
      </c>
      <c r="P73" s="224"/>
      <c r="Q73" s="224"/>
      <c r="R73" s="224"/>
      <c r="S73" s="224"/>
      <c r="T73" s="224"/>
      <c r="U73" s="224"/>
      <c r="V73" s="215" t="s">
        <v>112</v>
      </c>
      <c r="W73" s="215"/>
      <c r="X73" s="215"/>
      <c r="Y73" s="215"/>
      <c r="Z73" s="215"/>
      <c r="AA73" s="215"/>
      <c r="AB73" s="215"/>
      <c r="AC73" s="215"/>
      <c r="AD73" s="215"/>
      <c r="AE73" s="215"/>
      <c r="AF73" s="215"/>
      <c r="AG73" s="215"/>
      <c r="AH73" s="215"/>
      <c r="AI73" s="215"/>
      <c r="AJ73" s="215"/>
      <c r="AK73" s="215"/>
      <c r="AL73" s="215"/>
      <c r="AM73" s="215"/>
      <c r="AN73" s="215"/>
      <c r="AO73" s="215"/>
      <c r="AP73" s="215"/>
      <c r="AQ73" s="215"/>
      <c r="AR73" s="215"/>
      <c r="AS73" s="215"/>
      <c r="AT73" s="337" t="s">
        <v>264</v>
      </c>
      <c r="AU73" s="337"/>
      <c r="AV73" s="337"/>
      <c r="AW73" s="337"/>
      <c r="AX73" s="337"/>
      <c r="AY73" s="337"/>
      <c r="AZ73" s="337"/>
      <c r="BA73" s="337"/>
      <c r="BB73" s="337"/>
      <c r="BC73" s="337"/>
      <c r="BD73" s="327" t="s">
        <v>52</v>
      </c>
      <c r="BE73" s="328"/>
      <c r="BF73" s="328"/>
      <c r="BG73" s="328"/>
      <c r="BH73" s="328"/>
      <c r="BI73" s="328"/>
      <c r="BJ73" s="328"/>
      <c r="BK73" s="328"/>
      <c r="BL73" s="328"/>
      <c r="BM73" s="328"/>
      <c r="BN73" s="328"/>
      <c r="BO73" s="215" t="s">
        <v>191</v>
      </c>
      <c r="BP73" s="215"/>
      <c r="BQ73" s="215"/>
      <c r="BR73" s="215"/>
      <c r="BS73" s="215"/>
      <c r="BT73" s="215"/>
      <c r="BU73" s="215"/>
      <c r="BV73" s="215"/>
      <c r="BW73" s="221"/>
      <c r="CP73" s="5"/>
    </row>
    <row r="74" spans="1:94" ht="15" customHeight="1" x14ac:dyDescent="0.15">
      <c r="A74" s="3"/>
      <c r="E74" s="254"/>
      <c r="F74" s="255"/>
      <c r="G74" s="255"/>
      <c r="H74" s="255"/>
      <c r="I74" s="255"/>
      <c r="J74" s="255"/>
      <c r="K74" s="255"/>
      <c r="L74" s="255"/>
      <c r="M74" s="255"/>
      <c r="N74" s="256"/>
      <c r="O74" s="224"/>
      <c r="P74" s="224"/>
      <c r="Q74" s="224"/>
      <c r="R74" s="224"/>
      <c r="S74" s="224"/>
      <c r="T74" s="224"/>
      <c r="U74" s="224"/>
      <c r="V74" s="215" t="s">
        <v>35</v>
      </c>
      <c r="W74" s="215"/>
      <c r="X74" s="215"/>
      <c r="Y74" s="215"/>
      <c r="Z74" s="215"/>
      <c r="AA74" s="215"/>
      <c r="AB74" s="215"/>
      <c r="AC74" s="215"/>
      <c r="AD74" s="215"/>
      <c r="AE74" s="215"/>
      <c r="AF74" s="215"/>
      <c r="AG74" s="215"/>
      <c r="AH74" s="215"/>
      <c r="AI74" s="215"/>
      <c r="AJ74" s="215"/>
      <c r="AK74" s="215"/>
      <c r="AL74" s="215"/>
      <c r="AM74" s="215"/>
      <c r="AN74" s="215"/>
      <c r="AO74" s="215"/>
      <c r="AP74" s="215"/>
      <c r="AQ74" s="215"/>
      <c r="AR74" s="215"/>
      <c r="AS74" s="215"/>
      <c r="AT74" s="236" t="s">
        <v>197</v>
      </c>
      <c r="AU74" s="236"/>
      <c r="AV74" s="236"/>
      <c r="AW74" s="236"/>
      <c r="AX74" s="236"/>
      <c r="AY74" s="236"/>
      <c r="AZ74" s="236"/>
      <c r="BA74" s="236"/>
      <c r="BB74" s="236"/>
      <c r="BC74" s="236"/>
      <c r="BD74" s="327" t="s">
        <v>52</v>
      </c>
      <c r="BE74" s="328"/>
      <c r="BF74" s="328"/>
      <c r="BG74" s="328"/>
      <c r="BH74" s="328"/>
      <c r="BI74" s="328"/>
      <c r="BJ74" s="328"/>
      <c r="BK74" s="328"/>
      <c r="BL74" s="328"/>
      <c r="BM74" s="328"/>
      <c r="BN74" s="328"/>
      <c r="BO74" s="215" t="s">
        <v>130</v>
      </c>
      <c r="BP74" s="215"/>
      <c r="BQ74" s="215"/>
      <c r="BR74" s="215"/>
      <c r="BS74" s="215"/>
      <c r="BT74" s="215"/>
      <c r="BU74" s="215"/>
      <c r="BV74" s="215"/>
      <c r="BW74" s="221"/>
      <c r="CP74" s="5"/>
    </row>
    <row r="75" spans="1:94" ht="15" customHeight="1" x14ac:dyDescent="0.15">
      <c r="A75" s="3"/>
      <c r="E75" s="254"/>
      <c r="F75" s="255"/>
      <c r="G75" s="255"/>
      <c r="H75" s="255"/>
      <c r="I75" s="255"/>
      <c r="J75" s="255"/>
      <c r="K75" s="255"/>
      <c r="L75" s="255"/>
      <c r="M75" s="255"/>
      <c r="N75" s="256"/>
      <c r="O75" s="224"/>
      <c r="P75" s="224"/>
      <c r="Q75" s="224"/>
      <c r="R75" s="224"/>
      <c r="S75" s="224"/>
      <c r="T75" s="224"/>
      <c r="U75" s="224"/>
      <c r="V75" s="215" t="s">
        <v>186</v>
      </c>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t="s">
        <v>222</v>
      </c>
      <c r="AU75" s="215"/>
      <c r="AV75" s="215"/>
      <c r="AW75" s="215"/>
      <c r="AX75" s="215"/>
      <c r="AY75" s="215"/>
      <c r="AZ75" s="215"/>
      <c r="BA75" s="215"/>
      <c r="BB75" s="215"/>
      <c r="BC75" s="215"/>
      <c r="BD75" s="327" t="s">
        <v>198</v>
      </c>
      <c r="BE75" s="328"/>
      <c r="BF75" s="328"/>
      <c r="BG75" s="328"/>
      <c r="BH75" s="328"/>
      <c r="BI75" s="328"/>
      <c r="BJ75" s="328"/>
      <c r="BK75" s="328"/>
      <c r="BL75" s="328"/>
      <c r="BM75" s="328"/>
      <c r="BN75" s="328"/>
      <c r="BO75" s="215" t="s">
        <v>130</v>
      </c>
      <c r="BP75" s="215"/>
      <c r="BQ75" s="215"/>
      <c r="BR75" s="215"/>
      <c r="BS75" s="215"/>
      <c r="BT75" s="215"/>
      <c r="BU75" s="215"/>
      <c r="BV75" s="215"/>
      <c r="BW75" s="221"/>
      <c r="CP75" s="5"/>
    </row>
    <row r="76" spans="1:94" ht="15" customHeight="1" x14ac:dyDescent="0.15">
      <c r="A76" s="3"/>
      <c r="E76" s="254"/>
      <c r="F76" s="255"/>
      <c r="G76" s="255"/>
      <c r="H76" s="255"/>
      <c r="I76" s="255"/>
      <c r="J76" s="255"/>
      <c r="K76" s="255"/>
      <c r="L76" s="255"/>
      <c r="M76" s="255"/>
      <c r="N76" s="256"/>
      <c r="O76" s="224"/>
      <c r="P76" s="224"/>
      <c r="Q76" s="224"/>
      <c r="R76" s="224"/>
      <c r="S76" s="224"/>
      <c r="T76" s="224"/>
      <c r="U76" s="224"/>
      <c r="V76" s="215" t="s">
        <v>113</v>
      </c>
      <c r="W76" s="215"/>
      <c r="X76" s="215"/>
      <c r="Y76" s="215"/>
      <c r="Z76" s="215"/>
      <c r="AA76" s="215"/>
      <c r="AB76" s="215"/>
      <c r="AC76" s="215"/>
      <c r="AD76" s="215"/>
      <c r="AE76" s="215"/>
      <c r="AF76" s="215"/>
      <c r="AG76" s="215"/>
      <c r="AH76" s="215"/>
      <c r="AI76" s="215"/>
      <c r="AJ76" s="215"/>
      <c r="AK76" s="215"/>
      <c r="AL76" s="215"/>
      <c r="AM76" s="215"/>
      <c r="AN76" s="215"/>
      <c r="AO76" s="215"/>
      <c r="AP76" s="215"/>
      <c r="AQ76" s="215"/>
      <c r="AR76" s="215"/>
      <c r="AS76" s="215"/>
      <c r="AT76" s="215" t="s">
        <v>36</v>
      </c>
      <c r="AU76" s="215"/>
      <c r="AV76" s="215"/>
      <c r="AW76" s="215"/>
      <c r="AX76" s="215"/>
      <c r="AY76" s="215"/>
      <c r="AZ76" s="215"/>
      <c r="BA76" s="215"/>
      <c r="BB76" s="215"/>
      <c r="BC76" s="215"/>
      <c r="BD76" s="327" t="s">
        <v>54</v>
      </c>
      <c r="BE76" s="328"/>
      <c r="BF76" s="328"/>
      <c r="BG76" s="328"/>
      <c r="BH76" s="328"/>
      <c r="BI76" s="328"/>
      <c r="BJ76" s="328"/>
      <c r="BK76" s="328"/>
      <c r="BL76" s="328"/>
      <c r="BM76" s="328"/>
      <c r="BN76" s="328"/>
      <c r="BO76" s="215" t="s">
        <v>1</v>
      </c>
      <c r="BP76" s="215"/>
      <c r="BQ76" s="215"/>
      <c r="BR76" s="215"/>
      <c r="BS76" s="215"/>
      <c r="BT76" s="215"/>
      <c r="BU76" s="215"/>
      <c r="BV76" s="215"/>
      <c r="BW76" s="221"/>
      <c r="CP76" s="5"/>
    </row>
    <row r="77" spans="1:94" ht="15" customHeight="1" x14ac:dyDescent="0.15">
      <c r="A77" s="3"/>
      <c r="E77" s="257"/>
      <c r="F77" s="258"/>
      <c r="G77" s="258"/>
      <c r="H77" s="258"/>
      <c r="I77" s="258"/>
      <c r="J77" s="258"/>
      <c r="K77" s="258"/>
      <c r="L77" s="258"/>
      <c r="M77" s="258"/>
      <c r="N77" s="259"/>
      <c r="O77" s="225" t="s">
        <v>69</v>
      </c>
      <c r="P77" s="225"/>
      <c r="Q77" s="225"/>
      <c r="R77" s="225"/>
      <c r="S77" s="225"/>
      <c r="T77" s="225"/>
      <c r="U77" s="225"/>
      <c r="V77" s="216" t="s">
        <v>68</v>
      </c>
      <c r="W77" s="216"/>
      <c r="X77" s="216"/>
      <c r="Y77" s="216"/>
      <c r="Z77" s="216"/>
      <c r="AA77" s="216"/>
      <c r="AB77" s="216"/>
      <c r="AC77" s="216"/>
      <c r="AD77" s="216"/>
      <c r="AE77" s="216"/>
      <c r="AF77" s="216"/>
      <c r="AG77" s="216"/>
      <c r="AH77" s="216"/>
      <c r="AI77" s="216"/>
      <c r="AJ77" s="216"/>
      <c r="AK77" s="216"/>
      <c r="AL77" s="216"/>
      <c r="AM77" s="216"/>
      <c r="AN77" s="216"/>
      <c r="AO77" s="216"/>
      <c r="AP77" s="216"/>
      <c r="AQ77" s="216"/>
      <c r="AR77" s="216"/>
      <c r="AS77" s="216"/>
      <c r="AT77" s="216" t="s">
        <v>36</v>
      </c>
      <c r="AU77" s="216"/>
      <c r="AV77" s="216"/>
      <c r="AW77" s="216"/>
      <c r="AX77" s="216"/>
      <c r="AY77" s="216"/>
      <c r="AZ77" s="216"/>
      <c r="BA77" s="216"/>
      <c r="BB77" s="216"/>
      <c r="BC77" s="216"/>
      <c r="BD77" s="271" t="s">
        <v>54</v>
      </c>
      <c r="BE77" s="272"/>
      <c r="BF77" s="272"/>
      <c r="BG77" s="272"/>
      <c r="BH77" s="272"/>
      <c r="BI77" s="272"/>
      <c r="BJ77" s="272"/>
      <c r="BK77" s="272"/>
      <c r="BL77" s="272"/>
      <c r="BM77" s="272"/>
      <c r="BN77" s="272"/>
      <c r="BO77" s="216" t="s">
        <v>1</v>
      </c>
      <c r="BP77" s="216"/>
      <c r="BQ77" s="216"/>
      <c r="BR77" s="216"/>
      <c r="BS77" s="216"/>
      <c r="BT77" s="216"/>
      <c r="BU77" s="216"/>
      <c r="BV77" s="216"/>
      <c r="BW77" s="222"/>
      <c r="CP77" s="5"/>
    </row>
    <row r="78" spans="1:94" ht="15" customHeight="1" x14ac:dyDescent="0.15">
      <c r="A78" s="3"/>
      <c r="E78" s="242" t="s">
        <v>185</v>
      </c>
      <c r="F78" s="223"/>
      <c r="G78" s="223"/>
      <c r="H78" s="223"/>
      <c r="I78" s="223"/>
      <c r="J78" s="223"/>
      <c r="K78" s="223"/>
      <c r="L78" s="223"/>
      <c r="M78" s="223"/>
      <c r="N78" s="223"/>
      <c r="O78" s="223" t="s">
        <v>47</v>
      </c>
      <c r="P78" s="223"/>
      <c r="Q78" s="223"/>
      <c r="R78" s="223"/>
      <c r="S78" s="223"/>
      <c r="T78" s="223"/>
      <c r="U78" s="223"/>
      <c r="V78" s="243" t="s">
        <v>195</v>
      </c>
      <c r="W78" s="243"/>
      <c r="X78" s="243"/>
      <c r="Y78" s="243"/>
      <c r="Z78" s="243"/>
      <c r="AA78" s="243"/>
      <c r="AB78" s="243"/>
      <c r="AC78" s="243"/>
      <c r="AD78" s="243"/>
      <c r="AE78" s="243"/>
      <c r="AF78" s="243"/>
      <c r="AG78" s="243"/>
      <c r="AH78" s="243"/>
      <c r="AI78" s="243"/>
      <c r="AJ78" s="243"/>
      <c r="AK78" s="243"/>
      <c r="AL78" s="243"/>
      <c r="AM78" s="243"/>
      <c r="AN78" s="243"/>
      <c r="AO78" s="243"/>
      <c r="AP78" s="243"/>
      <c r="AQ78" s="243"/>
      <c r="AR78" s="243"/>
      <c r="AS78" s="243"/>
      <c r="AT78" s="235" t="s">
        <v>200</v>
      </c>
      <c r="AU78" s="235"/>
      <c r="AV78" s="235"/>
      <c r="AW78" s="235"/>
      <c r="AX78" s="235"/>
      <c r="AY78" s="235"/>
      <c r="AZ78" s="235"/>
      <c r="BA78" s="235"/>
      <c r="BB78" s="235"/>
      <c r="BC78" s="235"/>
      <c r="BD78" s="327" t="s">
        <v>53</v>
      </c>
      <c r="BE78" s="328"/>
      <c r="BF78" s="328"/>
      <c r="BG78" s="328"/>
      <c r="BH78" s="328"/>
      <c r="BI78" s="328"/>
      <c r="BJ78" s="328"/>
      <c r="BK78" s="328"/>
      <c r="BL78" s="328"/>
      <c r="BM78" s="328"/>
      <c r="BN78" s="328"/>
      <c r="BO78" s="233" t="s">
        <v>47</v>
      </c>
      <c r="BP78" s="233"/>
      <c r="BQ78" s="233"/>
      <c r="BR78" s="233"/>
      <c r="BS78" s="233"/>
      <c r="BT78" s="233"/>
      <c r="BU78" s="233"/>
      <c r="BV78" s="233"/>
      <c r="BW78" s="234"/>
      <c r="CP78" s="5"/>
    </row>
    <row r="79" spans="1:94" ht="15" customHeight="1" x14ac:dyDescent="0.15">
      <c r="A79" s="3"/>
      <c r="E79" s="241"/>
      <c r="F79" s="225"/>
      <c r="G79" s="225"/>
      <c r="H79" s="225"/>
      <c r="I79" s="225"/>
      <c r="J79" s="225"/>
      <c r="K79" s="225"/>
      <c r="L79" s="225"/>
      <c r="M79" s="225"/>
      <c r="N79" s="225"/>
      <c r="O79" s="225" t="s">
        <v>48</v>
      </c>
      <c r="P79" s="225"/>
      <c r="Q79" s="225"/>
      <c r="R79" s="225"/>
      <c r="S79" s="225"/>
      <c r="T79" s="225"/>
      <c r="U79" s="225"/>
      <c r="V79" s="216" t="s">
        <v>220</v>
      </c>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65" t="s">
        <v>221</v>
      </c>
      <c r="AU79" s="265"/>
      <c r="AV79" s="265"/>
      <c r="AW79" s="265"/>
      <c r="AX79" s="265"/>
      <c r="AY79" s="265"/>
      <c r="AZ79" s="265"/>
      <c r="BA79" s="265"/>
      <c r="BB79" s="265"/>
      <c r="BC79" s="265"/>
      <c r="BD79" s="271" t="s">
        <v>201</v>
      </c>
      <c r="BE79" s="272"/>
      <c r="BF79" s="272"/>
      <c r="BG79" s="272"/>
      <c r="BH79" s="272"/>
      <c r="BI79" s="272"/>
      <c r="BJ79" s="272"/>
      <c r="BK79" s="272"/>
      <c r="BL79" s="272"/>
      <c r="BM79" s="272"/>
      <c r="BN79" s="272"/>
      <c r="BO79" s="216" t="s">
        <v>51</v>
      </c>
      <c r="BP79" s="216"/>
      <c r="BQ79" s="216"/>
      <c r="BR79" s="216"/>
      <c r="BS79" s="216"/>
      <c r="BT79" s="216"/>
      <c r="BU79" s="216"/>
      <c r="BV79" s="216"/>
      <c r="BW79" s="222"/>
      <c r="CP79" s="5"/>
    </row>
    <row r="80" spans="1:94" ht="15" customHeight="1" x14ac:dyDescent="0.15">
      <c r="A80" s="3"/>
      <c r="CP80" s="5"/>
    </row>
    <row r="81" spans="1:94" ht="15" customHeight="1" x14ac:dyDescent="0.15">
      <c r="A81" s="3"/>
      <c r="CP81" s="5"/>
    </row>
    <row r="82" spans="1:94" ht="15" customHeight="1" x14ac:dyDescent="0.15">
      <c r="A82" s="3"/>
      <c r="E82" s="4" t="s">
        <v>76</v>
      </c>
      <c r="G82" s="4" t="s">
        <v>139</v>
      </c>
      <c r="CP82" s="5"/>
    </row>
    <row r="83" spans="1:94" ht="15" customHeight="1" x14ac:dyDescent="0.15">
      <c r="A83" s="3"/>
      <c r="E83" s="4" t="s">
        <v>140</v>
      </c>
      <c r="G83" s="4" t="s">
        <v>141</v>
      </c>
      <c r="CP83" s="5"/>
    </row>
    <row r="84" spans="1:94" ht="15" customHeight="1" x14ac:dyDescent="0.15">
      <c r="A84" s="3"/>
      <c r="G84" s="4" t="s">
        <v>143</v>
      </c>
      <c r="CP84" s="5"/>
    </row>
    <row r="85" spans="1:94" ht="15" customHeight="1" x14ac:dyDescent="0.15">
      <c r="A85" s="3"/>
      <c r="G85" s="4" t="s">
        <v>155</v>
      </c>
      <c r="CP85" s="5"/>
    </row>
    <row r="86" spans="1:94" ht="15" customHeight="1" x14ac:dyDescent="0.15">
      <c r="A86" s="3"/>
      <c r="E86" s="335" t="s">
        <v>265</v>
      </c>
      <c r="F86" s="335"/>
      <c r="G86" s="335" t="s">
        <v>266</v>
      </c>
      <c r="H86" s="335"/>
      <c r="I86" s="335"/>
      <c r="J86" s="335"/>
      <c r="K86" s="335"/>
      <c r="L86" s="335"/>
      <c r="M86" s="335"/>
      <c r="N86" s="335"/>
      <c r="O86" s="335"/>
      <c r="P86" s="335"/>
      <c r="Q86" s="335"/>
      <c r="R86" s="335"/>
      <c r="S86" s="335"/>
      <c r="T86" s="335"/>
      <c r="U86" s="335"/>
      <c r="V86" s="335"/>
      <c r="W86" s="335"/>
      <c r="X86" s="335"/>
      <c r="Y86" s="335"/>
      <c r="Z86" s="335"/>
      <c r="AA86" s="335"/>
      <c r="AB86" s="335"/>
      <c r="AC86" s="335"/>
      <c r="AD86" s="335"/>
      <c r="AE86" s="335"/>
      <c r="AF86" s="335"/>
      <c r="AG86" s="335"/>
      <c r="AH86" s="335"/>
      <c r="AI86" s="335"/>
      <c r="AJ86" s="335"/>
      <c r="AK86" s="335"/>
      <c r="AL86" s="335"/>
      <c r="AM86" s="335"/>
      <c r="AN86" s="335"/>
      <c r="AO86" s="335"/>
      <c r="AP86" s="335"/>
      <c r="AQ86" s="335"/>
      <c r="AR86" s="335"/>
      <c r="CP86" s="5"/>
    </row>
    <row r="87" spans="1:94" ht="15" customHeight="1" x14ac:dyDescent="0.15">
      <c r="A87" s="3"/>
      <c r="CP87" s="5"/>
    </row>
    <row r="88" spans="1:94" ht="15" customHeight="1" x14ac:dyDescent="0.15">
      <c r="A88" s="3"/>
      <c r="CP88" s="5"/>
    </row>
    <row r="89" spans="1:94" ht="15" customHeight="1" x14ac:dyDescent="0.15">
      <c r="A89" s="3"/>
      <c r="CP89" s="5"/>
    </row>
    <row r="90" spans="1:94" ht="15" customHeight="1" x14ac:dyDescent="0.15">
      <c r="A90" s="3"/>
      <c r="CP90" s="5"/>
    </row>
    <row r="91" spans="1:94" ht="15" customHeight="1" thickBot="1" x14ac:dyDescent="0.2">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9"/>
    </row>
    <row r="92" spans="1:94" ht="15" customHeight="1" x14ac:dyDescent="0.15">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9"/>
    </row>
    <row r="93" spans="1:94" ht="15" customHeight="1" x14ac:dyDescent="0.15">
      <c r="A93" s="3"/>
      <c r="E93" s="4" t="s">
        <v>75</v>
      </c>
      <c r="AW93" s="4" t="s">
        <v>154</v>
      </c>
      <c r="CP93" s="5"/>
    </row>
    <row r="94" spans="1:94" ht="15" customHeight="1" thickBot="1" x14ac:dyDescent="0.2">
      <c r="A94" s="3"/>
      <c r="E94" s="268" t="s">
        <v>159</v>
      </c>
      <c r="F94" s="269"/>
      <c r="G94" s="269"/>
      <c r="H94" s="269"/>
      <c r="I94" s="269"/>
      <c r="J94" s="269"/>
      <c r="K94" s="269"/>
      <c r="L94" s="269"/>
      <c r="M94" s="269"/>
      <c r="N94" s="269"/>
      <c r="O94" s="270"/>
      <c r="P94" s="268" t="s">
        <v>160</v>
      </c>
      <c r="Q94" s="269"/>
      <c r="R94" s="269"/>
      <c r="S94" s="269"/>
      <c r="T94" s="269"/>
      <c r="U94" s="269"/>
      <c r="V94" s="269"/>
      <c r="W94" s="269"/>
      <c r="X94" s="269"/>
      <c r="Y94" s="269"/>
      <c r="Z94" s="269"/>
      <c r="AA94" s="270"/>
      <c r="AB94" s="268" t="s">
        <v>81</v>
      </c>
      <c r="AC94" s="269"/>
      <c r="AD94" s="269"/>
      <c r="AE94" s="269"/>
      <c r="AF94" s="269"/>
      <c r="AG94" s="269"/>
      <c r="AH94" s="269"/>
      <c r="AI94" s="269"/>
      <c r="AJ94" s="269"/>
      <c r="AK94" s="269"/>
      <c r="AL94" s="269"/>
      <c r="AM94" s="270"/>
      <c r="AT94" s="32"/>
      <c r="AU94" s="32"/>
      <c r="AW94" s="260" t="s">
        <v>67</v>
      </c>
      <c r="AX94" s="260"/>
      <c r="AY94" s="260"/>
      <c r="AZ94" s="260"/>
      <c r="BA94" s="260"/>
      <c r="BB94" s="260"/>
      <c r="BC94" s="260"/>
      <c r="BD94" s="260"/>
      <c r="BE94" s="260"/>
      <c r="BF94" s="260"/>
      <c r="BG94" s="260" t="s">
        <v>144</v>
      </c>
      <c r="BH94" s="260"/>
      <c r="BI94" s="260"/>
      <c r="BJ94" s="260"/>
      <c r="BK94" s="260"/>
      <c r="BL94" s="260"/>
      <c r="BM94" s="260"/>
      <c r="BN94" s="260"/>
      <c r="BO94" s="260" t="s">
        <v>145</v>
      </c>
      <c r="BP94" s="260"/>
      <c r="BQ94" s="260"/>
      <c r="BR94" s="260"/>
      <c r="BS94" s="260"/>
      <c r="BT94" s="260"/>
      <c r="BU94" s="260"/>
      <c r="BV94" s="260"/>
      <c r="BW94" s="260" t="s">
        <v>146</v>
      </c>
      <c r="BX94" s="260"/>
      <c r="BY94" s="260"/>
      <c r="BZ94" s="260"/>
      <c r="CA94" s="260"/>
      <c r="CB94" s="260"/>
      <c r="CC94" s="260"/>
      <c r="CD94" s="260"/>
      <c r="CP94" s="5"/>
    </row>
    <row r="95" spans="1:94" ht="15" customHeight="1" thickTop="1" x14ac:dyDescent="0.15">
      <c r="A95" s="3"/>
      <c r="E95" s="324" t="s">
        <v>161</v>
      </c>
      <c r="F95" s="324"/>
      <c r="G95" s="324"/>
      <c r="H95" s="324"/>
      <c r="I95" s="324"/>
      <c r="J95" s="324"/>
      <c r="K95" s="324"/>
      <c r="L95" s="324"/>
      <c r="M95" s="324"/>
      <c r="N95" s="324"/>
      <c r="O95" s="324"/>
      <c r="P95" s="266">
        <v>42017</v>
      </c>
      <c r="Q95" s="267"/>
      <c r="R95" s="267"/>
      <c r="S95" s="267"/>
      <c r="T95" s="267"/>
      <c r="U95" s="267"/>
      <c r="V95" s="267"/>
      <c r="W95" s="267"/>
      <c r="X95" s="267"/>
      <c r="Y95" s="267"/>
      <c r="Z95" s="267"/>
      <c r="AA95" s="267"/>
      <c r="AB95" s="266">
        <v>43844</v>
      </c>
      <c r="AC95" s="267"/>
      <c r="AD95" s="267"/>
      <c r="AE95" s="267"/>
      <c r="AF95" s="267"/>
      <c r="AG95" s="267"/>
      <c r="AH95" s="267"/>
      <c r="AI95" s="267"/>
      <c r="AJ95" s="267"/>
      <c r="AK95" s="267"/>
      <c r="AL95" s="267"/>
      <c r="AM95" s="267"/>
      <c r="AW95" s="312" t="s">
        <v>147</v>
      </c>
      <c r="AX95" s="313"/>
      <c r="AY95" s="313"/>
      <c r="AZ95" s="313"/>
      <c r="BA95" s="313"/>
      <c r="BB95" s="313"/>
      <c r="BC95" s="313"/>
      <c r="BD95" s="313"/>
      <c r="BE95" s="313"/>
      <c r="BF95" s="314"/>
      <c r="BG95" s="261">
        <v>116</v>
      </c>
      <c r="BH95" s="261"/>
      <c r="BI95" s="261"/>
      <c r="BJ95" s="261"/>
      <c r="BK95" s="261"/>
      <c r="BL95" s="261"/>
      <c r="BM95" s="261"/>
      <c r="BN95" s="261"/>
      <c r="BO95" s="273">
        <v>45147</v>
      </c>
      <c r="BP95" s="274"/>
      <c r="BQ95" s="274"/>
      <c r="BR95" s="274"/>
      <c r="BS95" s="274"/>
      <c r="BT95" s="274"/>
      <c r="BU95" s="274"/>
      <c r="BV95" s="274"/>
      <c r="BW95" s="261"/>
      <c r="BX95" s="261"/>
      <c r="BY95" s="261"/>
      <c r="BZ95" s="261"/>
      <c r="CA95" s="261"/>
      <c r="CB95" s="261"/>
      <c r="CC95" s="261"/>
      <c r="CD95" s="261"/>
      <c r="CP95" s="5"/>
    </row>
    <row r="96" spans="1:94" ht="15" customHeight="1" x14ac:dyDescent="0.15">
      <c r="A96" s="3"/>
      <c r="E96" s="283" t="s">
        <v>162</v>
      </c>
      <c r="F96" s="283"/>
      <c r="G96" s="283"/>
      <c r="H96" s="283"/>
      <c r="I96" s="283"/>
      <c r="J96" s="283"/>
      <c r="K96" s="283"/>
      <c r="L96" s="283"/>
      <c r="M96" s="283"/>
      <c r="N96" s="283"/>
      <c r="O96" s="283"/>
      <c r="P96" s="263">
        <v>43109</v>
      </c>
      <c r="Q96" s="264"/>
      <c r="R96" s="264"/>
      <c r="S96" s="264"/>
      <c r="T96" s="264"/>
      <c r="U96" s="264"/>
      <c r="V96" s="264"/>
      <c r="W96" s="264"/>
      <c r="X96" s="264"/>
      <c r="Y96" s="264"/>
      <c r="Z96" s="264"/>
      <c r="AA96" s="264"/>
      <c r="AB96" s="263">
        <v>44936</v>
      </c>
      <c r="AC96" s="264"/>
      <c r="AD96" s="264"/>
      <c r="AE96" s="264"/>
      <c r="AF96" s="264"/>
      <c r="AG96" s="264"/>
      <c r="AH96" s="264"/>
      <c r="AI96" s="264"/>
      <c r="AJ96" s="264"/>
      <c r="AK96" s="264"/>
      <c r="AL96" s="264"/>
      <c r="AM96" s="264"/>
      <c r="AW96" s="315" t="s">
        <v>148</v>
      </c>
      <c r="AX96" s="316"/>
      <c r="AY96" s="316"/>
      <c r="AZ96" s="316"/>
      <c r="BA96" s="316"/>
      <c r="BB96" s="316"/>
      <c r="BC96" s="316"/>
      <c r="BD96" s="316"/>
      <c r="BE96" s="316"/>
      <c r="BF96" s="317"/>
      <c r="BG96" s="262">
        <v>117</v>
      </c>
      <c r="BH96" s="262"/>
      <c r="BI96" s="262"/>
      <c r="BJ96" s="262"/>
      <c r="BK96" s="262"/>
      <c r="BL96" s="262"/>
      <c r="BM96" s="262"/>
      <c r="BN96" s="262"/>
      <c r="BO96" s="277">
        <v>45167</v>
      </c>
      <c r="BP96" s="278"/>
      <c r="BQ96" s="278"/>
      <c r="BR96" s="278"/>
      <c r="BS96" s="278"/>
      <c r="BT96" s="278"/>
      <c r="BU96" s="278"/>
      <c r="BV96" s="278"/>
      <c r="BW96" s="262"/>
      <c r="BX96" s="262"/>
      <c r="BY96" s="262"/>
      <c r="BZ96" s="262"/>
      <c r="CA96" s="262"/>
      <c r="CB96" s="262"/>
      <c r="CC96" s="262"/>
      <c r="CD96" s="262"/>
      <c r="CP96" s="5"/>
    </row>
    <row r="97" spans="1:94" ht="15" customHeight="1" x14ac:dyDescent="0.15">
      <c r="A97" s="3"/>
      <c r="E97" s="283" t="s">
        <v>202</v>
      </c>
      <c r="F97" s="283"/>
      <c r="G97" s="283"/>
      <c r="H97" s="283"/>
      <c r="I97" s="283"/>
      <c r="J97" s="283"/>
      <c r="K97" s="283"/>
      <c r="L97" s="283"/>
      <c r="M97" s="283"/>
      <c r="N97" s="283"/>
      <c r="O97" s="283"/>
      <c r="P97" s="263">
        <v>45090</v>
      </c>
      <c r="Q97" s="264"/>
      <c r="R97" s="264"/>
      <c r="S97" s="264"/>
      <c r="T97" s="264"/>
      <c r="U97" s="264"/>
      <c r="V97" s="264"/>
      <c r="W97" s="264"/>
      <c r="X97" s="264"/>
      <c r="Y97" s="264"/>
      <c r="Z97" s="264"/>
      <c r="AA97" s="264"/>
      <c r="AB97" s="263" t="s">
        <v>164</v>
      </c>
      <c r="AC97" s="264"/>
      <c r="AD97" s="264"/>
      <c r="AE97" s="264"/>
      <c r="AF97" s="264"/>
      <c r="AG97" s="264"/>
      <c r="AH97" s="264"/>
      <c r="AI97" s="264"/>
      <c r="AJ97" s="264"/>
      <c r="AK97" s="264"/>
      <c r="AL97" s="264"/>
      <c r="AM97" s="264"/>
      <c r="AW97" s="315" t="s">
        <v>149</v>
      </c>
      <c r="AX97" s="316"/>
      <c r="AY97" s="316"/>
      <c r="AZ97" s="316"/>
      <c r="BA97" s="316"/>
      <c r="BB97" s="316"/>
      <c r="BC97" s="316"/>
      <c r="BD97" s="316"/>
      <c r="BE97" s="316"/>
      <c r="BF97" s="317"/>
      <c r="BG97" s="262">
        <v>116</v>
      </c>
      <c r="BH97" s="262"/>
      <c r="BI97" s="262"/>
      <c r="BJ97" s="262"/>
      <c r="BK97" s="262"/>
      <c r="BL97" s="262"/>
      <c r="BM97" s="262"/>
      <c r="BN97" s="262"/>
      <c r="BO97" s="277">
        <v>45155</v>
      </c>
      <c r="BP97" s="278"/>
      <c r="BQ97" s="278"/>
      <c r="BR97" s="278"/>
      <c r="BS97" s="278"/>
      <c r="BT97" s="278"/>
      <c r="BU97" s="278"/>
      <c r="BV97" s="278"/>
      <c r="BW97" s="262"/>
      <c r="BX97" s="262"/>
      <c r="BY97" s="262"/>
      <c r="BZ97" s="262"/>
      <c r="CA97" s="262"/>
      <c r="CB97" s="262"/>
      <c r="CC97" s="262"/>
      <c r="CD97" s="262"/>
      <c r="CP97" s="5"/>
    </row>
    <row r="98" spans="1:94" ht="15" customHeight="1" x14ac:dyDescent="0.15">
      <c r="A98" s="3"/>
      <c r="E98" s="300" t="s">
        <v>203</v>
      </c>
      <c r="F98" s="300"/>
      <c r="G98" s="300"/>
      <c r="H98" s="300"/>
      <c r="I98" s="300"/>
      <c r="J98" s="300"/>
      <c r="K98" s="300"/>
      <c r="L98" s="300"/>
      <c r="M98" s="300"/>
      <c r="N98" s="300"/>
      <c r="O98" s="300"/>
      <c r="P98" s="290">
        <v>45944</v>
      </c>
      <c r="Q98" s="291"/>
      <c r="R98" s="291"/>
      <c r="S98" s="291"/>
      <c r="T98" s="291"/>
      <c r="U98" s="291"/>
      <c r="V98" s="291"/>
      <c r="W98" s="291"/>
      <c r="X98" s="291"/>
      <c r="Y98" s="291"/>
      <c r="Z98" s="291"/>
      <c r="AA98" s="291"/>
      <c r="AB98" s="290" t="s">
        <v>164</v>
      </c>
      <c r="AC98" s="291"/>
      <c r="AD98" s="291"/>
      <c r="AE98" s="291"/>
      <c r="AF98" s="291"/>
      <c r="AG98" s="291"/>
      <c r="AH98" s="291"/>
      <c r="AI98" s="291"/>
      <c r="AJ98" s="291"/>
      <c r="AK98" s="291"/>
      <c r="AL98" s="291"/>
      <c r="AM98" s="291"/>
      <c r="AT98" s="32"/>
      <c r="AU98" s="32"/>
      <c r="AW98" s="318" t="s">
        <v>150</v>
      </c>
      <c r="AX98" s="319"/>
      <c r="AY98" s="319"/>
      <c r="AZ98" s="319"/>
      <c r="BA98" s="319"/>
      <c r="BB98" s="319"/>
      <c r="BC98" s="319"/>
      <c r="BD98" s="319"/>
      <c r="BE98" s="319"/>
      <c r="BF98" s="320"/>
      <c r="BG98" s="275" t="s">
        <v>152</v>
      </c>
      <c r="BH98" s="275"/>
      <c r="BI98" s="275"/>
      <c r="BJ98" s="275"/>
      <c r="BK98" s="275"/>
      <c r="BL98" s="275"/>
      <c r="BM98" s="275"/>
      <c r="BN98" s="275"/>
      <c r="BO98" s="279">
        <v>44229</v>
      </c>
      <c r="BP98" s="280"/>
      <c r="BQ98" s="280"/>
      <c r="BR98" s="280"/>
      <c r="BS98" s="280"/>
      <c r="BT98" s="280"/>
      <c r="BU98" s="280"/>
      <c r="BV98" s="280"/>
      <c r="BW98" s="275" t="s">
        <v>153</v>
      </c>
      <c r="BX98" s="275"/>
      <c r="BY98" s="275"/>
      <c r="BZ98" s="275"/>
      <c r="CA98" s="275"/>
      <c r="CB98" s="275"/>
      <c r="CC98" s="275"/>
      <c r="CD98" s="275"/>
      <c r="CP98" s="5"/>
    </row>
    <row r="99" spans="1:94" ht="15" customHeight="1" x14ac:dyDescent="0.15">
      <c r="A99" s="3"/>
      <c r="E99" s="300" t="s">
        <v>170</v>
      </c>
      <c r="F99" s="300"/>
      <c r="G99" s="300"/>
      <c r="H99" s="300"/>
      <c r="I99" s="300"/>
      <c r="J99" s="300"/>
      <c r="K99" s="300"/>
      <c r="L99" s="300"/>
      <c r="M99" s="300"/>
      <c r="N99" s="300"/>
      <c r="O99" s="300"/>
      <c r="P99" s="290">
        <v>45209</v>
      </c>
      <c r="Q99" s="291"/>
      <c r="R99" s="291"/>
      <c r="S99" s="291"/>
      <c r="T99" s="291"/>
      <c r="U99" s="291"/>
      <c r="V99" s="291"/>
      <c r="W99" s="291"/>
      <c r="X99" s="291"/>
      <c r="Y99" s="291"/>
      <c r="Z99" s="291"/>
      <c r="AA99" s="291"/>
      <c r="AB99" s="290" t="s">
        <v>164</v>
      </c>
      <c r="AC99" s="291"/>
      <c r="AD99" s="291"/>
      <c r="AE99" s="291"/>
      <c r="AF99" s="291"/>
      <c r="AG99" s="291"/>
      <c r="AH99" s="291"/>
      <c r="AI99" s="291"/>
      <c r="AJ99" s="291"/>
      <c r="AK99" s="291"/>
      <c r="AL99" s="291"/>
      <c r="AM99" s="291"/>
      <c r="AT99" s="32"/>
      <c r="AU99" s="32"/>
      <c r="AW99" s="321" t="s">
        <v>151</v>
      </c>
      <c r="AX99" s="322"/>
      <c r="AY99" s="322"/>
      <c r="AZ99" s="322"/>
      <c r="BA99" s="322"/>
      <c r="BB99" s="322"/>
      <c r="BC99" s="322"/>
      <c r="BD99" s="322"/>
      <c r="BE99" s="322"/>
      <c r="BF99" s="323"/>
      <c r="BG99" s="276">
        <v>16.600000000000001</v>
      </c>
      <c r="BH99" s="276"/>
      <c r="BI99" s="276"/>
      <c r="BJ99" s="276"/>
      <c r="BK99" s="276"/>
      <c r="BL99" s="276"/>
      <c r="BM99" s="276"/>
      <c r="BN99" s="276"/>
      <c r="BO99" s="281">
        <v>45131</v>
      </c>
      <c r="BP99" s="282"/>
      <c r="BQ99" s="282"/>
      <c r="BR99" s="282"/>
      <c r="BS99" s="282"/>
      <c r="BT99" s="282"/>
      <c r="BU99" s="282"/>
      <c r="BV99" s="282"/>
      <c r="BW99" s="276"/>
      <c r="BX99" s="276"/>
      <c r="BY99" s="276"/>
      <c r="BZ99" s="276"/>
      <c r="CA99" s="276"/>
      <c r="CB99" s="276"/>
      <c r="CC99" s="276"/>
      <c r="CD99" s="276"/>
      <c r="CP99" s="5"/>
    </row>
    <row r="100" spans="1:94" ht="15" customHeight="1" x14ac:dyDescent="0.15">
      <c r="A100" s="3"/>
      <c r="E100" s="300" t="s">
        <v>170</v>
      </c>
      <c r="F100" s="300"/>
      <c r="G100" s="300"/>
      <c r="H100" s="300"/>
      <c r="I100" s="300"/>
      <c r="J100" s="300"/>
      <c r="K100" s="300"/>
      <c r="L100" s="300"/>
      <c r="M100" s="300"/>
      <c r="N100" s="300"/>
      <c r="O100" s="300"/>
      <c r="P100" s="290">
        <v>45573</v>
      </c>
      <c r="Q100" s="291"/>
      <c r="R100" s="291"/>
      <c r="S100" s="291"/>
      <c r="T100" s="291"/>
      <c r="U100" s="291"/>
      <c r="V100" s="291"/>
      <c r="W100" s="291"/>
      <c r="X100" s="291"/>
      <c r="Y100" s="291"/>
      <c r="Z100" s="291"/>
      <c r="AA100" s="291"/>
      <c r="AB100" s="290" t="s">
        <v>164</v>
      </c>
      <c r="AC100" s="291"/>
      <c r="AD100" s="291"/>
      <c r="AE100" s="291"/>
      <c r="AF100" s="291"/>
      <c r="AG100" s="291"/>
      <c r="AH100" s="291"/>
      <c r="AI100" s="291"/>
      <c r="AJ100" s="291"/>
      <c r="AK100" s="291"/>
      <c r="AL100" s="291"/>
      <c r="AM100" s="291"/>
      <c r="BE100" s="48"/>
      <c r="BF100" s="48"/>
      <c r="BG100" s="48"/>
      <c r="BH100" s="48"/>
      <c r="BI100" s="48"/>
      <c r="BJ100" s="48"/>
      <c r="BK100" s="48"/>
      <c r="BL100" s="48"/>
      <c r="BM100" s="49"/>
      <c r="BN100" s="48"/>
      <c r="BO100" s="48"/>
      <c r="BP100" s="48"/>
      <c r="BQ100" s="48"/>
      <c r="BR100" s="48"/>
      <c r="BS100" s="48"/>
      <c r="BT100" s="48"/>
      <c r="BU100" s="48"/>
      <c r="BV100" s="48"/>
      <c r="BW100" s="48"/>
      <c r="BX100" s="48"/>
      <c r="BY100" s="48"/>
      <c r="BZ100" s="48"/>
      <c r="CA100" s="48"/>
      <c r="CB100" s="48"/>
      <c r="CP100" s="5"/>
    </row>
    <row r="101" spans="1:94" ht="15" customHeight="1" x14ac:dyDescent="0.15">
      <c r="A101" s="3"/>
      <c r="E101" s="283" t="s">
        <v>165</v>
      </c>
      <c r="F101" s="283"/>
      <c r="G101" s="283"/>
      <c r="H101" s="283"/>
      <c r="I101" s="283"/>
      <c r="J101" s="283"/>
      <c r="K101" s="283"/>
      <c r="L101" s="283"/>
      <c r="M101" s="283"/>
      <c r="N101" s="283"/>
      <c r="O101" s="283"/>
      <c r="P101" s="263">
        <v>42290</v>
      </c>
      <c r="Q101" s="263"/>
      <c r="R101" s="263"/>
      <c r="S101" s="263"/>
      <c r="T101" s="263"/>
      <c r="U101" s="263"/>
      <c r="V101" s="263"/>
      <c r="W101" s="263"/>
      <c r="X101" s="263"/>
      <c r="Y101" s="263"/>
      <c r="Z101" s="263"/>
      <c r="AA101" s="263"/>
      <c r="AB101" s="263">
        <v>44117</v>
      </c>
      <c r="AC101" s="263"/>
      <c r="AD101" s="263"/>
      <c r="AE101" s="263"/>
      <c r="AF101" s="263"/>
      <c r="AG101" s="263"/>
      <c r="AH101" s="263"/>
      <c r="AI101" s="263"/>
      <c r="AJ101" s="263"/>
      <c r="AK101" s="263"/>
      <c r="AL101" s="263"/>
      <c r="AM101" s="263"/>
      <c r="CP101" s="5"/>
    </row>
    <row r="102" spans="1:94" ht="15" customHeight="1" x14ac:dyDescent="0.15">
      <c r="A102" s="3"/>
      <c r="E102" s="283" t="s">
        <v>166</v>
      </c>
      <c r="F102" s="283"/>
      <c r="G102" s="283"/>
      <c r="H102" s="283"/>
      <c r="I102" s="283"/>
      <c r="J102" s="283"/>
      <c r="K102" s="283"/>
      <c r="L102" s="283"/>
      <c r="M102" s="283"/>
      <c r="N102" s="283"/>
      <c r="O102" s="283"/>
      <c r="P102" s="263">
        <v>43200</v>
      </c>
      <c r="Q102" s="264"/>
      <c r="R102" s="264"/>
      <c r="S102" s="264"/>
      <c r="T102" s="264"/>
      <c r="U102" s="264"/>
      <c r="V102" s="264"/>
      <c r="W102" s="264"/>
      <c r="X102" s="264"/>
      <c r="Y102" s="264"/>
      <c r="Z102" s="264"/>
      <c r="AA102" s="264"/>
      <c r="AB102" s="263">
        <v>45027</v>
      </c>
      <c r="AC102" s="264"/>
      <c r="AD102" s="264"/>
      <c r="AE102" s="264"/>
      <c r="AF102" s="264"/>
      <c r="AG102" s="264"/>
      <c r="AH102" s="264"/>
      <c r="AI102" s="264"/>
      <c r="AJ102" s="264"/>
      <c r="AK102" s="264"/>
      <c r="AL102" s="264"/>
      <c r="AM102" s="264"/>
      <c r="CP102" s="5"/>
    </row>
    <row r="103" spans="1:94" ht="15" customHeight="1" x14ac:dyDescent="0.15">
      <c r="A103" s="3"/>
      <c r="E103" s="300" t="s">
        <v>167</v>
      </c>
      <c r="F103" s="300"/>
      <c r="G103" s="300"/>
      <c r="H103" s="300"/>
      <c r="I103" s="300"/>
      <c r="J103" s="300"/>
      <c r="K103" s="300"/>
      <c r="L103" s="300"/>
      <c r="M103" s="300"/>
      <c r="N103" s="300"/>
      <c r="O103" s="300"/>
      <c r="P103" s="290">
        <v>44117</v>
      </c>
      <c r="Q103" s="291"/>
      <c r="R103" s="291"/>
      <c r="S103" s="291"/>
      <c r="T103" s="291"/>
      <c r="U103" s="291"/>
      <c r="V103" s="291"/>
      <c r="W103" s="291"/>
      <c r="X103" s="291"/>
      <c r="Y103" s="291"/>
      <c r="Z103" s="291"/>
      <c r="AA103" s="291"/>
      <c r="AB103" s="290">
        <v>45944</v>
      </c>
      <c r="AC103" s="291"/>
      <c r="AD103" s="291"/>
      <c r="AE103" s="291"/>
      <c r="AF103" s="291"/>
      <c r="AG103" s="291"/>
      <c r="AH103" s="291"/>
      <c r="AI103" s="291"/>
      <c r="AJ103" s="291"/>
      <c r="AK103" s="291"/>
      <c r="AL103" s="291"/>
      <c r="AM103" s="291"/>
      <c r="CP103" s="5"/>
    </row>
    <row r="104" spans="1:94" ht="15" customHeight="1" x14ac:dyDescent="0.15">
      <c r="A104" s="3"/>
      <c r="E104" s="300" t="s">
        <v>168</v>
      </c>
      <c r="F104" s="300"/>
      <c r="G104" s="300"/>
      <c r="H104" s="300"/>
      <c r="I104" s="300"/>
      <c r="J104" s="300"/>
      <c r="K104" s="300"/>
      <c r="L104" s="300"/>
      <c r="M104" s="300"/>
      <c r="N104" s="300"/>
      <c r="O104" s="300"/>
      <c r="P104" s="290">
        <v>45209</v>
      </c>
      <c r="Q104" s="291"/>
      <c r="R104" s="291"/>
      <c r="S104" s="291"/>
      <c r="T104" s="291"/>
      <c r="U104" s="291"/>
      <c r="V104" s="291"/>
      <c r="W104" s="291"/>
      <c r="X104" s="291"/>
      <c r="Y104" s="291"/>
      <c r="Z104" s="291"/>
      <c r="AA104" s="291"/>
      <c r="AB104" s="290">
        <v>45944</v>
      </c>
      <c r="AC104" s="291"/>
      <c r="AD104" s="291"/>
      <c r="AE104" s="291"/>
      <c r="AF104" s="291"/>
      <c r="AG104" s="291"/>
      <c r="AH104" s="291"/>
      <c r="AI104" s="291"/>
      <c r="AJ104" s="291"/>
      <c r="AK104" s="291"/>
      <c r="AL104" s="291"/>
      <c r="AM104" s="291"/>
      <c r="CP104" s="5"/>
    </row>
    <row r="105" spans="1:94" ht="15" customHeight="1" x14ac:dyDescent="0.15">
      <c r="A105" s="3"/>
      <c r="E105" s="300" t="s">
        <v>169</v>
      </c>
      <c r="F105" s="300"/>
      <c r="G105" s="300"/>
      <c r="H105" s="300"/>
      <c r="I105" s="300"/>
      <c r="J105" s="300"/>
      <c r="K105" s="300"/>
      <c r="L105" s="300"/>
      <c r="M105" s="300"/>
      <c r="N105" s="300"/>
      <c r="O105" s="300"/>
      <c r="P105" s="290">
        <v>46308</v>
      </c>
      <c r="Q105" s="291"/>
      <c r="R105" s="291"/>
      <c r="S105" s="291"/>
      <c r="T105" s="291"/>
      <c r="U105" s="291"/>
      <c r="V105" s="291"/>
      <c r="W105" s="291"/>
      <c r="X105" s="291"/>
      <c r="Y105" s="291"/>
      <c r="Z105" s="291"/>
      <c r="AA105" s="291"/>
      <c r="AB105" s="290" t="s">
        <v>163</v>
      </c>
      <c r="AC105" s="291"/>
      <c r="AD105" s="291"/>
      <c r="AE105" s="291"/>
      <c r="AF105" s="291"/>
      <c r="AG105" s="291"/>
      <c r="AH105" s="291"/>
      <c r="AI105" s="291"/>
      <c r="AJ105" s="291"/>
      <c r="AK105" s="291"/>
      <c r="AL105" s="291"/>
      <c r="AM105" s="291"/>
      <c r="CP105" s="5"/>
    </row>
    <row r="106" spans="1:94" ht="15" customHeight="1" x14ac:dyDescent="0.15">
      <c r="A106" s="3"/>
      <c r="E106" s="301" t="s">
        <v>171</v>
      </c>
      <c r="F106" s="301"/>
      <c r="G106" s="301"/>
      <c r="H106" s="301"/>
      <c r="I106" s="301"/>
      <c r="J106" s="301"/>
      <c r="K106" s="301"/>
      <c r="L106" s="301"/>
      <c r="M106" s="301"/>
      <c r="N106" s="301"/>
      <c r="O106" s="301"/>
      <c r="P106" s="292">
        <v>46308</v>
      </c>
      <c r="Q106" s="293"/>
      <c r="R106" s="293"/>
      <c r="S106" s="293"/>
      <c r="T106" s="293"/>
      <c r="U106" s="293"/>
      <c r="V106" s="293"/>
      <c r="W106" s="293"/>
      <c r="X106" s="293"/>
      <c r="Y106" s="293"/>
      <c r="Z106" s="293"/>
      <c r="AA106" s="293"/>
      <c r="AB106" s="292">
        <v>48135</v>
      </c>
      <c r="AC106" s="293"/>
      <c r="AD106" s="293"/>
      <c r="AE106" s="293"/>
      <c r="AF106" s="293"/>
      <c r="AG106" s="293"/>
      <c r="AH106" s="293"/>
      <c r="AI106" s="293"/>
      <c r="AJ106" s="293"/>
      <c r="AK106" s="293"/>
      <c r="AL106" s="293"/>
      <c r="AM106" s="293"/>
      <c r="CP106" s="5"/>
    </row>
    <row r="107" spans="1:94" ht="15" customHeight="1" x14ac:dyDescent="0.15">
      <c r="A107" s="3"/>
      <c r="CP107" s="5"/>
    </row>
    <row r="108" spans="1:94" ht="15" customHeight="1" x14ac:dyDescent="0.15">
      <c r="A108" s="3"/>
      <c r="E108" s="4" t="s">
        <v>205</v>
      </c>
      <c r="CP108" s="5"/>
    </row>
    <row r="109" spans="1:94" ht="15" customHeight="1" x14ac:dyDescent="0.15">
      <c r="A109" s="3"/>
      <c r="E109" s="4" t="s">
        <v>204</v>
      </c>
      <c r="CP109" s="5"/>
    </row>
    <row r="110" spans="1:94" ht="15" customHeight="1" x14ac:dyDescent="0.15">
      <c r="A110" s="3"/>
      <c r="CP110" s="5"/>
    </row>
    <row r="111" spans="1:94" ht="15" customHeight="1" x14ac:dyDescent="0.15">
      <c r="A111" s="3"/>
      <c r="CP111" s="5"/>
    </row>
    <row r="112" spans="1:94" ht="15" customHeight="1" x14ac:dyDescent="0.15">
      <c r="A112" s="3"/>
      <c r="E112" s="4" t="s">
        <v>154</v>
      </c>
      <c r="CP112" s="5"/>
    </row>
    <row r="113" spans="1:94" ht="15" customHeight="1" thickBot="1" x14ac:dyDescent="0.2">
      <c r="A113" s="3"/>
      <c r="E113" s="46" t="s">
        <v>172</v>
      </c>
      <c r="F113" s="47"/>
      <c r="G113" s="47"/>
      <c r="H113" s="47"/>
      <c r="I113" s="47"/>
      <c r="J113" s="47"/>
      <c r="K113" s="47"/>
      <c r="L113" s="47"/>
      <c r="M113" s="47"/>
      <c r="N113" s="47"/>
      <c r="O113" s="47"/>
      <c r="P113" s="47"/>
      <c r="Q113" s="268" t="s">
        <v>173</v>
      </c>
      <c r="R113" s="269"/>
      <c r="S113" s="269"/>
      <c r="T113" s="269"/>
      <c r="U113" s="269"/>
      <c r="V113" s="269"/>
      <c r="W113" s="269"/>
      <c r="X113" s="269"/>
      <c r="Y113" s="269"/>
      <c r="Z113" s="268" t="s">
        <v>178</v>
      </c>
      <c r="AA113" s="269"/>
      <c r="AB113" s="269"/>
      <c r="AC113" s="269"/>
      <c r="AD113" s="269"/>
      <c r="AE113" s="269"/>
      <c r="AF113" s="269"/>
      <c r="AG113" s="269"/>
      <c r="AH113" s="269"/>
      <c r="AI113" s="269"/>
      <c r="CP113" s="5"/>
    </row>
    <row r="114" spans="1:94" ht="15" customHeight="1" thickTop="1" x14ac:dyDescent="0.15">
      <c r="A114" s="3"/>
      <c r="E114" s="294" t="s">
        <v>174</v>
      </c>
      <c r="F114" s="295"/>
      <c r="G114" s="295"/>
      <c r="H114" s="295"/>
      <c r="I114" s="295"/>
      <c r="J114" s="295"/>
      <c r="K114" s="295"/>
      <c r="L114" s="295"/>
      <c r="M114" s="295"/>
      <c r="N114" s="295"/>
      <c r="O114" s="295"/>
      <c r="P114" s="296"/>
      <c r="Q114" s="284">
        <v>42633</v>
      </c>
      <c r="R114" s="285"/>
      <c r="S114" s="285"/>
      <c r="T114" s="285"/>
      <c r="U114" s="285"/>
      <c r="V114" s="285"/>
      <c r="W114" s="285"/>
      <c r="X114" s="285"/>
      <c r="Y114" s="286"/>
      <c r="Z114" s="284" t="s">
        <v>153</v>
      </c>
      <c r="AA114" s="285"/>
      <c r="AB114" s="285"/>
      <c r="AC114" s="285"/>
      <c r="AD114" s="285"/>
      <c r="AE114" s="285"/>
      <c r="AF114" s="285"/>
      <c r="AG114" s="285"/>
      <c r="AH114" s="285"/>
      <c r="AI114" s="286"/>
      <c r="CP114" s="5"/>
    </row>
    <row r="115" spans="1:94" ht="15" customHeight="1" x14ac:dyDescent="0.15">
      <c r="A115" s="3"/>
      <c r="E115" s="297" t="s">
        <v>175</v>
      </c>
      <c r="F115" s="298"/>
      <c r="G115" s="298"/>
      <c r="H115" s="298"/>
      <c r="I115" s="298"/>
      <c r="J115" s="298"/>
      <c r="K115" s="298"/>
      <c r="L115" s="298"/>
      <c r="M115" s="298"/>
      <c r="N115" s="298"/>
      <c r="O115" s="298"/>
      <c r="P115" s="299"/>
      <c r="Q115" s="287">
        <v>43003</v>
      </c>
      <c r="R115" s="288"/>
      <c r="S115" s="288"/>
      <c r="T115" s="288"/>
      <c r="U115" s="288"/>
      <c r="V115" s="288"/>
      <c r="W115" s="288"/>
      <c r="X115" s="288"/>
      <c r="Y115" s="289"/>
      <c r="Z115" s="287" t="s">
        <v>153</v>
      </c>
      <c r="AA115" s="288"/>
      <c r="AB115" s="288"/>
      <c r="AC115" s="288"/>
      <c r="AD115" s="288"/>
      <c r="AE115" s="288"/>
      <c r="AF115" s="288"/>
      <c r="AG115" s="288"/>
      <c r="AH115" s="288"/>
      <c r="AI115" s="289"/>
      <c r="CP115" s="5"/>
    </row>
    <row r="116" spans="1:94" ht="15" customHeight="1" x14ac:dyDescent="0.15">
      <c r="A116" s="3"/>
      <c r="E116" s="297" t="s">
        <v>176</v>
      </c>
      <c r="F116" s="298"/>
      <c r="G116" s="298"/>
      <c r="H116" s="298"/>
      <c r="I116" s="298"/>
      <c r="J116" s="298"/>
      <c r="K116" s="298"/>
      <c r="L116" s="298"/>
      <c r="M116" s="298"/>
      <c r="N116" s="298"/>
      <c r="O116" s="298"/>
      <c r="P116" s="299"/>
      <c r="Q116" s="287">
        <v>43368</v>
      </c>
      <c r="R116" s="288"/>
      <c r="S116" s="288"/>
      <c r="T116" s="288"/>
      <c r="U116" s="288"/>
      <c r="V116" s="288"/>
      <c r="W116" s="288"/>
      <c r="X116" s="288"/>
      <c r="Y116" s="289"/>
      <c r="Z116" s="287" t="s">
        <v>153</v>
      </c>
      <c r="AA116" s="288"/>
      <c r="AB116" s="288"/>
      <c r="AC116" s="288"/>
      <c r="AD116" s="288"/>
      <c r="AE116" s="288"/>
      <c r="AF116" s="288"/>
      <c r="AG116" s="288"/>
      <c r="AH116" s="288"/>
      <c r="AI116" s="289"/>
      <c r="CP116" s="5"/>
    </row>
    <row r="117" spans="1:94" ht="15" customHeight="1" x14ac:dyDescent="0.15">
      <c r="A117" s="3"/>
      <c r="E117" s="297" t="s">
        <v>177</v>
      </c>
      <c r="F117" s="298"/>
      <c r="G117" s="298"/>
      <c r="H117" s="298"/>
      <c r="I117" s="298"/>
      <c r="J117" s="298"/>
      <c r="K117" s="298"/>
      <c r="L117" s="298"/>
      <c r="M117" s="298"/>
      <c r="N117" s="298"/>
      <c r="O117" s="298"/>
      <c r="P117" s="299"/>
      <c r="Q117" s="287">
        <v>43746</v>
      </c>
      <c r="R117" s="288"/>
      <c r="S117" s="288"/>
      <c r="T117" s="288"/>
      <c r="U117" s="288"/>
      <c r="V117" s="288"/>
      <c r="W117" s="288"/>
      <c r="X117" s="288"/>
      <c r="Y117" s="289"/>
      <c r="Z117" s="287" t="s">
        <v>153</v>
      </c>
      <c r="AA117" s="288"/>
      <c r="AB117" s="288"/>
      <c r="AC117" s="288"/>
      <c r="AD117" s="288"/>
      <c r="AE117" s="288"/>
      <c r="AF117" s="288"/>
      <c r="AG117" s="288"/>
      <c r="AH117" s="288"/>
      <c r="AI117" s="289"/>
      <c r="CP117" s="5"/>
    </row>
    <row r="118" spans="1:94" ht="15" customHeight="1" x14ac:dyDescent="0.15">
      <c r="A118" s="3"/>
      <c r="E118" s="302" t="s">
        <v>181</v>
      </c>
      <c r="F118" s="207"/>
      <c r="G118" s="207"/>
      <c r="H118" s="207"/>
      <c r="I118" s="207"/>
      <c r="J118" s="207"/>
      <c r="K118" s="207"/>
      <c r="L118" s="207"/>
      <c r="M118" s="207"/>
      <c r="N118" s="207"/>
      <c r="O118" s="207"/>
      <c r="P118" s="303"/>
      <c r="Q118" s="306">
        <v>44148</v>
      </c>
      <c r="R118" s="307"/>
      <c r="S118" s="307"/>
      <c r="T118" s="307"/>
      <c r="U118" s="307"/>
      <c r="V118" s="307"/>
      <c r="W118" s="307"/>
      <c r="X118" s="307"/>
      <c r="Y118" s="308"/>
      <c r="Z118" s="306" t="s">
        <v>180</v>
      </c>
      <c r="AA118" s="307"/>
      <c r="AB118" s="307"/>
      <c r="AC118" s="307"/>
      <c r="AD118" s="307"/>
      <c r="AE118" s="307"/>
      <c r="AF118" s="307"/>
      <c r="AG118" s="307"/>
      <c r="AH118" s="307"/>
      <c r="AI118" s="308"/>
      <c r="CP118" s="5"/>
    </row>
    <row r="119" spans="1:94" ht="15" customHeight="1" x14ac:dyDescent="0.15">
      <c r="A119" s="3"/>
      <c r="E119" s="302" t="s">
        <v>179</v>
      </c>
      <c r="F119" s="207"/>
      <c r="G119" s="207"/>
      <c r="H119" s="207"/>
      <c r="I119" s="207"/>
      <c r="J119" s="207"/>
      <c r="K119" s="207"/>
      <c r="L119" s="207"/>
      <c r="M119" s="207"/>
      <c r="N119" s="207"/>
      <c r="O119" s="207"/>
      <c r="P119" s="303"/>
      <c r="Q119" s="306">
        <v>44491</v>
      </c>
      <c r="R119" s="307"/>
      <c r="S119" s="307"/>
      <c r="T119" s="307"/>
      <c r="U119" s="307"/>
      <c r="V119" s="307"/>
      <c r="W119" s="307"/>
      <c r="X119" s="307"/>
      <c r="Y119" s="308"/>
      <c r="Z119" s="306" t="s">
        <v>180</v>
      </c>
      <c r="AA119" s="307"/>
      <c r="AB119" s="307"/>
      <c r="AC119" s="307"/>
      <c r="AD119" s="307"/>
      <c r="AE119" s="307"/>
      <c r="AF119" s="307"/>
      <c r="AG119" s="307"/>
      <c r="AH119" s="307"/>
      <c r="AI119" s="308"/>
      <c r="CP119" s="5"/>
    </row>
    <row r="120" spans="1:94" ht="15" customHeight="1" x14ac:dyDescent="0.15">
      <c r="A120" s="3"/>
      <c r="E120" s="302" t="s">
        <v>182</v>
      </c>
      <c r="F120" s="207"/>
      <c r="G120" s="207"/>
      <c r="H120" s="207"/>
      <c r="I120" s="207"/>
      <c r="J120" s="207"/>
      <c r="K120" s="207"/>
      <c r="L120" s="207"/>
      <c r="M120" s="207"/>
      <c r="N120" s="207"/>
      <c r="O120" s="207"/>
      <c r="P120" s="303"/>
      <c r="Q120" s="306">
        <v>44858</v>
      </c>
      <c r="R120" s="307"/>
      <c r="S120" s="307"/>
      <c r="T120" s="307"/>
      <c r="U120" s="307"/>
      <c r="V120" s="307"/>
      <c r="W120" s="307"/>
      <c r="X120" s="307"/>
      <c r="Y120" s="308"/>
      <c r="Z120" s="306" t="s">
        <v>180</v>
      </c>
      <c r="AA120" s="307"/>
      <c r="AB120" s="307"/>
      <c r="AC120" s="307"/>
      <c r="AD120" s="307"/>
      <c r="AE120" s="307"/>
      <c r="AF120" s="307"/>
      <c r="AG120" s="307"/>
      <c r="AH120" s="307"/>
      <c r="AI120" s="308"/>
      <c r="CP120" s="5"/>
    </row>
    <row r="121" spans="1:94" ht="15" customHeight="1" x14ac:dyDescent="0.15">
      <c r="A121" s="3"/>
      <c r="E121" s="304" t="s">
        <v>183</v>
      </c>
      <c r="F121" s="210"/>
      <c r="G121" s="210"/>
      <c r="H121" s="210"/>
      <c r="I121" s="210"/>
      <c r="J121" s="210"/>
      <c r="K121" s="210"/>
      <c r="L121" s="210"/>
      <c r="M121" s="210"/>
      <c r="N121" s="210"/>
      <c r="O121" s="210"/>
      <c r="P121" s="305"/>
      <c r="Q121" s="309">
        <v>45196</v>
      </c>
      <c r="R121" s="310"/>
      <c r="S121" s="310"/>
      <c r="T121" s="310"/>
      <c r="U121" s="310"/>
      <c r="V121" s="310"/>
      <c r="W121" s="310"/>
      <c r="X121" s="310"/>
      <c r="Y121" s="311"/>
      <c r="Z121" s="309" t="s">
        <v>180</v>
      </c>
      <c r="AA121" s="310"/>
      <c r="AB121" s="310"/>
      <c r="AC121" s="310"/>
      <c r="AD121" s="310"/>
      <c r="AE121" s="310"/>
      <c r="AF121" s="310"/>
      <c r="AG121" s="310"/>
      <c r="AH121" s="310"/>
      <c r="AI121" s="311"/>
      <c r="CP121" s="5"/>
    </row>
    <row r="122" spans="1:94" ht="15" customHeight="1" x14ac:dyDescent="0.15">
      <c r="A122" s="3"/>
      <c r="CP122" s="5"/>
    </row>
    <row r="123" spans="1:94" ht="15" customHeight="1" x14ac:dyDescent="0.15">
      <c r="A123" s="3"/>
      <c r="CP123" s="5"/>
    </row>
    <row r="124" spans="1:94" ht="15" customHeight="1" x14ac:dyDescent="0.15">
      <c r="A124" s="3"/>
      <c r="CP124" s="5"/>
    </row>
    <row r="125" spans="1:94" ht="15" customHeight="1" x14ac:dyDescent="0.15">
      <c r="A125" s="3"/>
      <c r="CP125" s="5"/>
    </row>
    <row r="126" spans="1:94" ht="15" customHeight="1" x14ac:dyDescent="0.15">
      <c r="A126" s="3"/>
      <c r="CP126" s="5"/>
    </row>
    <row r="127" spans="1:94" ht="15" customHeight="1" x14ac:dyDescent="0.15">
      <c r="A127" s="3"/>
      <c r="CP127" s="5"/>
    </row>
    <row r="128" spans="1:94" ht="15" customHeight="1" x14ac:dyDescent="0.15">
      <c r="A128" s="3"/>
      <c r="CP128" s="5"/>
    </row>
    <row r="129" spans="1:94" ht="15" customHeight="1" x14ac:dyDescent="0.15">
      <c r="A129" s="3"/>
      <c r="CP129" s="5"/>
    </row>
    <row r="130" spans="1:94" ht="15" customHeight="1" x14ac:dyDescent="0.15">
      <c r="A130" s="3"/>
      <c r="CP130" s="5"/>
    </row>
    <row r="131" spans="1:94" ht="15" customHeight="1" x14ac:dyDescent="0.15">
      <c r="A131" s="3"/>
      <c r="CP131" s="5"/>
    </row>
    <row r="132" spans="1:94" ht="15" customHeight="1" x14ac:dyDescent="0.15">
      <c r="A132" s="3"/>
      <c r="CP132" s="5"/>
    </row>
    <row r="133" spans="1:94" ht="15" customHeight="1" x14ac:dyDescent="0.15">
      <c r="A133" s="3"/>
      <c r="CP133" s="5"/>
    </row>
    <row r="134" spans="1:94" ht="15" customHeight="1" x14ac:dyDescent="0.15">
      <c r="A134" s="3"/>
      <c r="CP134" s="5"/>
    </row>
    <row r="135" spans="1:94" ht="15" customHeight="1" thickBot="1" x14ac:dyDescent="0.2">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9"/>
    </row>
  </sheetData>
  <mergeCells count="234">
    <mergeCell ref="V58:AS58"/>
    <mergeCell ref="BD55:BN55"/>
    <mergeCell ref="BD56:BN56"/>
    <mergeCell ref="BD61:BN61"/>
    <mergeCell ref="BD66:BN66"/>
    <mergeCell ref="BD72:BN72"/>
    <mergeCell ref="BD78:BN78"/>
    <mergeCell ref="BD54:BN54"/>
    <mergeCell ref="BD62:BN62"/>
    <mergeCell ref="BD63:BN63"/>
    <mergeCell ref="BD57:BN57"/>
    <mergeCell ref="BD58:BN58"/>
    <mergeCell ref="BD59:BN59"/>
    <mergeCell ref="BD60:BN60"/>
    <mergeCell ref="BD67:BN67"/>
    <mergeCell ref="BD68:BN68"/>
    <mergeCell ref="BD69:BN69"/>
    <mergeCell ref="BD70:BN70"/>
    <mergeCell ref="BD71:BN71"/>
    <mergeCell ref="BD77:BN77"/>
    <mergeCell ref="V62:AS62"/>
    <mergeCell ref="V63:AS63"/>
    <mergeCell ref="V60:AS60"/>
    <mergeCell ref="V76:AS76"/>
    <mergeCell ref="BD76:BN76"/>
    <mergeCell ref="AT59:BC59"/>
    <mergeCell ref="AT60:BC60"/>
    <mergeCell ref="AT61:BC61"/>
    <mergeCell ref="AT66:BC66"/>
    <mergeCell ref="AT67:BC67"/>
    <mergeCell ref="AT68:BC68"/>
    <mergeCell ref="AT69:BC69"/>
    <mergeCell ref="AT70:BC70"/>
    <mergeCell ref="AT71:BC71"/>
    <mergeCell ref="BO66:BW66"/>
    <mergeCell ref="BO67:BW67"/>
    <mergeCell ref="BO68:BW68"/>
    <mergeCell ref="BO69:BW69"/>
    <mergeCell ref="BO70:BW70"/>
    <mergeCell ref="BO71:BW71"/>
    <mergeCell ref="BD73:BN73"/>
    <mergeCell ref="BD74:BN74"/>
    <mergeCell ref="BD75:BN75"/>
    <mergeCell ref="BO55:BW55"/>
    <mergeCell ref="BO56:BW56"/>
    <mergeCell ref="BO62:BW62"/>
    <mergeCell ref="BO63:BW63"/>
    <mergeCell ref="BO57:BW57"/>
    <mergeCell ref="BO58:BW58"/>
    <mergeCell ref="AT54:BC54"/>
    <mergeCell ref="AT55:BC55"/>
    <mergeCell ref="AT56:BC56"/>
    <mergeCell ref="AT62:BC62"/>
    <mergeCell ref="AT63:BC63"/>
    <mergeCell ref="AT57:BC57"/>
    <mergeCell ref="AT58:BC58"/>
    <mergeCell ref="BO59:BW59"/>
    <mergeCell ref="BO60:BW60"/>
    <mergeCell ref="BO61:BW61"/>
    <mergeCell ref="E94:O94"/>
    <mergeCell ref="AW94:BF94"/>
    <mergeCell ref="AW95:BF95"/>
    <mergeCell ref="AW96:BF96"/>
    <mergeCell ref="AW97:BF97"/>
    <mergeCell ref="AW98:BF98"/>
    <mergeCell ref="AW99:BF99"/>
    <mergeCell ref="AB100:AM100"/>
    <mergeCell ref="P100:AA100"/>
    <mergeCell ref="AB94:AM94"/>
    <mergeCell ref="AB95:AM95"/>
    <mergeCell ref="AB96:AM96"/>
    <mergeCell ref="AB97:AM97"/>
    <mergeCell ref="E95:O95"/>
    <mergeCell ref="E96:O96"/>
    <mergeCell ref="E97:O97"/>
    <mergeCell ref="E98:O98"/>
    <mergeCell ref="P98:AA98"/>
    <mergeCell ref="AB98:AM98"/>
    <mergeCell ref="E100:O100"/>
    <mergeCell ref="P99:AA99"/>
    <mergeCell ref="AB99:AM99"/>
    <mergeCell ref="E99:O99"/>
    <mergeCell ref="E116:P116"/>
    <mergeCell ref="E117:P117"/>
    <mergeCell ref="E118:P118"/>
    <mergeCell ref="Q116:Y116"/>
    <mergeCell ref="Q117:Y117"/>
    <mergeCell ref="Q118:Y118"/>
    <mergeCell ref="Z116:AI116"/>
    <mergeCell ref="Z117:AI117"/>
    <mergeCell ref="Z118:AI118"/>
    <mergeCell ref="E119:P119"/>
    <mergeCell ref="E120:P120"/>
    <mergeCell ref="E121:P121"/>
    <mergeCell ref="Q119:Y119"/>
    <mergeCell ref="Q120:Y120"/>
    <mergeCell ref="Q121:Y121"/>
    <mergeCell ref="Z119:AI119"/>
    <mergeCell ref="Z120:AI120"/>
    <mergeCell ref="Z121:AI121"/>
    <mergeCell ref="E101:O101"/>
    <mergeCell ref="E102:O102"/>
    <mergeCell ref="BG98:BN98"/>
    <mergeCell ref="BG99:BN99"/>
    <mergeCell ref="Q113:Y113"/>
    <mergeCell ref="Q114:Y114"/>
    <mergeCell ref="Q115:Y115"/>
    <mergeCell ref="Z113:AI113"/>
    <mergeCell ref="Z114:AI114"/>
    <mergeCell ref="Z115:AI115"/>
    <mergeCell ref="P103:AA103"/>
    <mergeCell ref="AB103:AM103"/>
    <mergeCell ref="P104:AA104"/>
    <mergeCell ref="AB104:AM104"/>
    <mergeCell ref="AB105:AM105"/>
    <mergeCell ref="P105:AA105"/>
    <mergeCell ref="P106:AA106"/>
    <mergeCell ref="AB106:AM106"/>
    <mergeCell ref="E114:P114"/>
    <mergeCell ref="E115:P115"/>
    <mergeCell ref="E103:O103"/>
    <mergeCell ref="E104:O104"/>
    <mergeCell ref="E105:O105"/>
    <mergeCell ref="E106:O106"/>
    <mergeCell ref="BW98:CD98"/>
    <mergeCell ref="BW99:CD99"/>
    <mergeCell ref="BO96:BV96"/>
    <mergeCell ref="BO97:BV97"/>
    <mergeCell ref="BO98:BV98"/>
    <mergeCell ref="BO99:BV99"/>
    <mergeCell ref="P101:AA101"/>
    <mergeCell ref="AB101:AM101"/>
    <mergeCell ref="P102:AA102"/>
    <mergeCell ref="AB102:AM102"/>
    <mergeCell ref="BG94:BN94"/>
    <mergeCell ref="BO94:BV94"/>
    <mergeCell ref="BW94:CD94"/>
    <mergeCell ref="BG95:BN95"/>
    <mergeCell ref="BG96:BN96"/>
    <mergeCell ref="BG97:BN97"/>
    <mergeCell ref="V79:AS79"/>
    <mergeCell ref="V77:AS77"/>
    <mergeCell ref="P97:AA97"/>
    <mergeCell ref="AT77:BC77"/>
    <mergeCell ref="AT78:BC78"/>
    <mergeCell ref="AT79:BC79"/>
    <mergeCell ref="P96:AA96"/>
    <mergeCell ref="P95:AA95"/>
    <mergeCell ref="P94:AA94"/>
    <mergeCell ref="BO77:BW77"/>
    <mergeCell ref="BO78:BW78"/>
    <mergeCell ref="BO79:BW79"/>
    <mergeCell ref="BD79:BN79"/>
    <mergeCell ref="BO95:BV95"/>
    <mergeCell ref="BW95:CD95"/>
    <mergeCell ref="BW96:CD96"/>
    <mergeCell ref="BW97:CD97"/>
    <mergeCell ref="E54:N54"/>
    <mergeCell ref="E66:N71"/>
    <mergeCell ref="E78:N79"/>
    <mergeCell ref="V78:AS78"/>
    <mergeCell ref="V73:AS73"/>
    <mergeCell ref="V74:AS74"/>
    <mergeCell ref="V71:AS71"/>
    <mergeCell ref="V55:AS55"/>
    <mergeCell ref="V57:AS57"/>
    <mergeCell ref="V68:AS68"/>
    <mergeCell ref="V70:AS70"/>
    <mergeCell ref="V66:AS66"/>
    <mergeCell ref="V67:AS67"/>
    <mergeCell ref="V54:AS54"/>
    <mergeCell ref="O79:U79"/>
    <mergeCell ref="E55:N61"/>
    <mergeCell ref="O57:U61"/>
    <mergeCell ref="V69:AS69"/>
    <mergeCell ref="O78:U78"/>
    <mergeCell ref="O66:U66"/>
    <mergeCell ref="O71:U71"/>
    <mergeCell ref="O67:U70"/>
    <mergeCell ref="V72:AS72"/>
    <mergeCell ref="E72:N77"/>
    <mergeCell ref="O72:U72"/>
    <mergeCell ref="O73:U76"/>
    <mergeCell ref="V75:AS75"/>
    <mergeCell ref="O77:U77"/>
    <mergeCell ref="BU1:CC1"/>
    <mergeCell ref="BG1:BJ1"/>
    <mergeCell ref="BK1:BT1"/>
    <mergeCell ref="BG3:BJ3"/>
    <mergeCell ref="O54:U54"/>
    <mergeCell ref="V61:AS61"/>
    <mergeCell ref="V59:AS59"/>
    <mergeCell ref="O55:U56"/>
    <mergeCell ref="V56:AS56"/>
    <mergeCell ref="BO72:BW72"/>
    <mergeCell ref="BO73:BW73"/>
    <mergeCell ref="BO74:BW74"/>
    <mergeCell ref="BO75:BW75"/>
    <mergeCell ref="BO76:BW76"/>
    <mergeCell ref="AT72:BC72"/>
    <mergeCell ref="AT73:BC73"/>
    <mergeCell ref="AT74:BC74"/>
    <mergeCell ref="AT75:BC75"/>
    <mergeCell ref="AT76:BC76"/>
    <mergeCell ref="BO54:BW54"/>
    <mergeCell ref="CD1:CH3"/>
    <mergeCell ref="CI1:CP3"/>
    <mergeCell ref="A2:H2"/>
    <mergeCell ref="I2:AD2"/>
    <mergeCell ref="AE2:AK3"/>
    <mergeCell ref="AL2:BF2"/>
    <mergeCell ref="BG2:BJ2"/>
    <mergeCell ref="BK2:BT2"/>
    <mergeCell ref="BU2:CC2"/>
    <mergeCell ref="BK3:BT3"/>
    <mergeCell ref="A1:H1"/>
    <mergeCell ref="I1:AD1"/>
    <mergeCell ref="AE1:AK1"/>
    <mergeCell ref="AL1:BF1"/>
    <mergeCell ref="A3:H3"/>
    <mergeCell ref="I3:AD3"/>
    <mergeCell ref="AL3:BF3"/>
    <mergeCell ref="BU3:CC3"/>
    <mergeCell ref="E62:N65"/>
    <mergeCell ref="O64:U65"/>
    <mergeCell ref="O62:U63"/>
    <mergeCell ref="V64:AS64"/>
    <mergeCell ref="V65:AS65"/>
    <mergeCell ref="BD64:BN64"/>
    <mergeCell ref="BD65:BN65"/>
    <mergeCell ref="BO64:BW64"/>
    <mergeCell ref="BO65:BW65"/>
    <mergeCell ref="AT64:BC64"/>
    <mergeCell ref="AT65:BC65"/>
  </mergeCells>
  <phoneticPr fontId="3"/>
  <conditionalFormatting sqref="P95:AM106 Z114:Z121">
    <cfRule type="cellIs" dxfId="1" priority="1" stopIfTrue="1" operator="lessThan">
      <formula>$AJ$95</formula>
    </cfRule>
  </conditionalFormatting>
  <conditionalFormatting sqref="Q114:Q121">
    <cfRule type="cellIs" dxfId="0" priority="14" stopIfTrue="1" operator="lessThan">
      <formula>$AJ$95</formula>
    </cfRule>
  </conditionalFormatting>
  <pageMargins left="0.39370078740157483" right="0.39370078740157483" top="0.78740157480314965" bottom="0.39370078740157483" header="0.59055118110236227" footer="0.19685039370078741"/>
  <pageSetup paperSize="9" scale="80" orientation="landscape" r:id="rId1"/>
  <headerFooter alignWithMargins="0">
    <oddFooter>&amp;C&amp;P　/　&amp;N-3&amp;R株式会社　京信システムサービス</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10</vt:i4>
      </vt:variant>
    </vt:vector>
  </HeadingPairs>
  <TitlesOfParts>
    <vt:vector size="17" baseType="lpstr">
      <vt:lpstr>タイトル</vt:lpstr>
      <vt:lpstr>改訂履歴</vt:lpstr>
      <vt:lpstr>目次</vt:lpstr>
      <vt:lpstr>1.信頼性</vt:lpstr>
      <vt:lpstr>2.性能</vt:lpstr>
      <vt:lpstr>3.運用</vt:lpstr>
      <vt:lpstr>4.システム構成</vt:lpstr>
      <vt:lpstr>'4.システム構成'!_Toc94971774</vt:lpstr>
      <vt:lpstr>'1.信頼性'!Print_Area</vt:lpstr>
      <vt:lpstr>'2.性能'!Print_Area</vt:lpstr>
      <vt:lpstr>'3.運用'!Print_Area</vt:lpstr>
      <vt:lpstr>'4.システム構成'!Print_Area</vt:lpstr>
      <vt:lpstr>タイトル!Print_Area</vt:lpstr>
      <vt:lpstr>'1.信頼性'!Print_Titles</vt:lpstr>
      <vt:lpstr>'2.性能'!Print_Titles</vt:lpstr>
      <vt:lpstr>'3.運用'!Print_Titles</vt:lpstr>
      <vt:lpstr>'4.システム構成'!Print_Titles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[協]木田 優</cp:lastModifiedBy>
  <cp:lastPrinted>2023-11-02T04:05:33Z</cp:lastPrinted>
  <dcterms:created xsi:type="dcterms:W3CDTF">2006-03-07T04:00:40Z</dcterms:created>
  <dcterms:modified xsi:type="dcterms:W3CDTF">2023-11-17T00:44:54Z</dcterms:modified>
</cp:coreProperties>
</file>
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Z:\#開発2\DUSK_同志社大学\DUSK3070同志社学生勤務管理システム\C000_基本設計\010_機能設計書\CK_管理者_承認者\"/>
    </mc:Choice>
  </mc:AlternateContent>
  <xr:revisionPtr revIDLastSave="0" documentId="13_ncr:1_{3D1CF5D7-DED6-45F6-B9A6-FB46F1FE2DD1}" xr6:coauthVersionLast="47" xr6:coauthVersionMax="47" xr10:uidLastSave="{00000000-0000-0000-0000-000000000000}"/>
  <bookViews>
    <workbookView xWindow="0" yWindow="480" windowWidth="29010" windowHeight="12015" tabRatio="584" xr2:uid="{00000000-000D-0000-FFFF-FFFF00000000}"/>
  </bookViews>
  <sheets>
    <sheet name="タイトル" sheetId="266" r:id="rId1"/>
    <sheet name="改訂履歴" sheetId="6" r:id="rId2"/>
    <sheet name="機能概要・画面遷移図" sheetId="270" r:id="rId3"/>
    <sheet name="給与計算処理" sheetId="271" r:id="rId4"/>
    <sheet name="勤務データ仮集計" sheetId="272" r:id="rId5"/>
  </sheets>
  <definedNames>
    <definedName name="_xlnm.Print_Area" localSheetId="0">タイトル!$A$1:$AC$36</definedName>
    <definedName name="_xlnm.Print_Area" localSheetId="3">給与計算処理!$A$1:$CR$305</definedName>
    <definedName name="_xlnm.Print_Titles" localSheetId="1">改訂履歴!$1:$4</definedName>
    <definedName name="_xlnm.Print_Titles" localSheetId="2">機能概要・画面遷移図!$1:$4</definedName>
    <definedName name="_xlnm.Print_Titles" localSheetId="3">給与計算処理!$1:$4</definedName>
    <definedName name="_xlnm.Print_Titles" localSheetId="4">勤務データ仮集計!$1:$4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87" i="271" l="1"/>
  <c r="AH286" i="271"/>
  <c r="Z295" i="271" l="1"/>
  <c r="Z290" i="271"/>
  <c r="Z289" i="271"/>
  <c r="Z285" i="271"/>
  <c r="Z284" i="271"/>
  <c r="Z283" i="271"/>
  <c r="Z282" i="271"/>
  <c r="Z281" i="271"/>
  <c r="AH295" i="271"/>
  <c r="AH293" i="271"/>
  <c r="AH292" i="271"/>
  <c r="AH291" i="271"/>
  <c r="AH290" i="271"/>
  <c r="AH289" i="271"/>
  <c r="AH285" i="271"/>
  <c r="AH284" i="271"/>
  <c r="AH283" i="271"/>
  <c r="AH282" i="271"/>
  <c r="AH281" i="271"/>
  <c r="O285" i="271"/>
  <c r="O295" i="271"/>
  <c r="O293" i="271"/>
  <c r="O292" i="271"/>
  <c r="O291" i="271"/>
  <c r="O290" i="271"/>
  <c r="O289" i="271"/>
  <c r="O287" i="271"/>
  <c r="O286" i="271"/>
  <c r="O284" i="271"/>
  <c r="O283" i="271"/>
  <c r="O282" i="271"/>
  <c r="O281" i="271"/>
  <c r="I4" i="272"/>
  <c r="AL2" i="272"/>
  <c r="BW1" i="272"/>
  <c r="BM1" i="272"/>
  <c r="I1" i="272"/>
  <c r="O294" i="271" l="1"/>
  <c r="S294" i="271" s="1"/>
  <c r="Z294" i="271" s="1"/>
  <c r="AH296" i="271"/>
  <c r="O288" i="271"/>
  <c r="S288" i="271" s="1"/>
  <c r="S296" i="271" s="1"/>
  <c r="Z288" i="271"/>
  <c r="AL2" i="271"/>
  <c r="BW1" i="271"/>
  <c r="BM1" i="271"/>
  <c r="I1" i="271"/>
  <c r="I4" i="271"/>
  <c r="Z296" i="271" l="1"/>
  <c r="Z297" i="271" s="1"/>
  <c r="I51" i="266"/>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1A64F909-D0AF-49D1-A306-92DF72D2CB77}">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5CF940D3-1137-48A5-9800-EDF4840892BD}">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<sst xmlns="http://schemas.openxmlformats.org/spreadsheetml/2006/main" count="888" uniqueCount="538">
  <si>
    <t>工　　　　程</t>
    <rPh sb="0" eb="1">
      <t>コウ</t>
    </rPh>
    <rPh sb="5" eb="6">
      <t>ホド</t>
    </rPh>
    <phoneticPr fontId="2"/>
  </si>
  <si>
    <t>システム名</t>
    <rPh sb="4" eb="5">
      <t>メイ</t>
    </rPh>
    <phoneticPr fontId="2"/>
  </si>
  <si>
    <t>改訂履歴</t>
    <rPh sb="0" eb="2">
      <t>カイテイ</t>
    </rPh>
    <rPh sb="2" eb="4">
      <t>リレキ</t>
    </rPh>
    <phoneticPr fontId="2"/>
  </si>
  <si>
    <t>区分</t>
    <rPh sb="0" eb="2">
      <t>クブン</t>
    </rPh>
    <phoneticPr fontId="2"/>
  </si>
  <si>
    <t>頁</t>
    <rPh sb="0" eb="1">
      <t>ページ</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</si>
  <si>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</si>
  <si>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</si>
  <si>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</si>
  <si>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</si>
  <si>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　※ページ毎に個別入力</t>
    <rPh sb="5" eb="6">
      <t>ゴト</t>
    </rPh>
    <rPh sb="7" eb="9">
      <t>コベツ</t>
    </rPh>
    <rPh sb="9" eb="11">
      <t>ニュウリョク</t>
    </rPh>
    <phoneticPr fontId="2"/>
  </si>
  <si>
    <t>タイトル項目埋め込み内容</t>
    <rPh sb="4" eb="6">
      <t>コウモク</t>
    </rPh>
    <rPh sb="6" eb="7">
      <t>ウ</t>
    </rPh>
    <rPh sb="8" eb="9">
      <t>コ</t>
    </rPh>
    <rPh sb="10" eb="12">
      <t>ナイヨウ</t>
    </rPh>
    <phoneticPr fontId="2"/>
  </si>
  <si>
    <t>新規</t>
    <rPh sb="0" eb="2">
      <t>シンキ</t>
    </rPh>
    <phoneticPr fontId="2"/>
  </si>
  <si>
    <t>作　成</t>
    <rPh sb="0" eb="1">
      <t>サク</t>
    </rPh>
    <rPh sb="2" eb="3">
      <t>シゲル</t>
    </rPh>
    <phoneticPr fontId="2"/>
  </si>
  <si>
    <t>管理記号</t>
    <rPh sb="0" eb="2">
      <t>カンリ</t>
    </rPh>
    <rPh sb="2" eb="4">
      <t>キゴウ</t>
    </rPh>
    <phoneticPr fontId="2"/>
  </si>
  <si>
    <t>サブシステム名</t>
    <rPh sb="6" eb="7">
      <t>メイ</t>
    </rPh>
    <phoneticPr fontId="2"/>
  </si>
  <si>
    <t>改　訂</t>
    <rPh sb="0" eb="1">
      <t>アラタ</t>
    </rPh>
    <rPh sb="2" eb="3">
      <t>テイ</t>
    </rPh>
    <phoneticPr fontId="2"/>
  </si>
  <si>
    <t>No</t>
    <phoneticPr fontId="2"/>
  </si>
  <si>
    <t>Ver</t>
    <phoneticPr fontId="2"/>
  </si>
  <si>
    <t>新規作成</t>
    <rPh sb="0" eb="2">
      <t>シンキ</t>
    </rPh>
    <rPh sb="2" eb="4">
      <t>サクセイ</t>
    </rPh>
    <phoneticPr fontId="2"/>
  </si>
  <si>
    <t>見出し部タイトル制御テーブル</t>
    <rPh sb="0" eb="2">
      <t>ミダ</t>
    </rPh>
    <rPh sb="3" eb="4">
      <t>ブ</t>
    </rPh>
    <rPh sb="8" eb="10">
      <t>セイギョ</t>
    </rPh>
    <phoneticPr fontId="2"/>
  </si>
  <si>
    <t>タイトル項目</t>
    <rPh sb="4" eb="6">
      <t>コウモク</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</si>
  <si>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</si>
  <si>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</si>
  <si>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</si>
  <si>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</si>
  <si>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</si>
  <si>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</si>
  <si>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</si>
  <si>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</si>
  <si>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</si>
  <si>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</si>
  <si>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</si>
  <si>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ドキュメント</t>
    <phoneticPr fontId="2"/>
  </si>
  <si>
    <t xml:space="preserve">　 </t>
    <phoneticPr fontId="2"/>
  </si>
  <si>
    <t>　⑩Ｖｅｒ</t>
    <phoneticPr fontId="2"/>
  </si>
  <si>
    <t>　利用想定ユーザー</t>
    <rPh sb="1" eb="3">
      <t>リヨウ</t>
    </rPh>
    <rPh sb="3" eb="5">
      <t>ソウテイ</t>
    </rPh>
    <phoneticPr fontId="2"/>
  </si>
  <si>
    <t>　機能名称</t>
    <rPh sb="1" eb="3">
      <t>キノウ</t>
    </rPh>
    <rPh sb="3" eb="5">
      <t>メイショウ</t>
    </rPh>
    <phoneticPr fontId="2"/>
  </si>
  <si>
    <t>　機能ＩＤ</t>
    <rPh sb="1" eb="3">
      <t>キノウ</t>
    </rPh>
    <phoneticPr fontId="2"/>
  </si>
  <si>
    <t>　機能設計</t>
    <rPh sb="1" eb="3">
      <t>キノウ</t>
    </rPh>
    <rPh sb="3" eb="5">
      <t>セッケイ</t>
    </rPh>
    <phoneticPr fontId="2"/>
  </si>
  <si>
    <t>機　　能　　概　　要</t>
    <rPh sb="0" eb="1">
      <t>キ</t>
    </rPh>
    <rPh sb="3" eb="4">
      <t>ノウ</t>
    </rPh>
    <rPh sb="6" eb="7">
      <t>オオムネ</t>
    </rPh>
    <rPh sb="9" eb="10">
      <t>ヨウ</t>
    </rPh>
    <phoneticPr fontId="2"/>
  </si>
  <si>
    <t>画　　面　　遷　　移　　図</t>
    <rPh sb="0" eb="1">
      <t>ガ</t>
    </rPh>
    <rPh sb="3" eb="4">
      <t>メン</t>
    </rPh>
    <rPh sb="6" eb="7">
      <t>セン</t>
    </rPh>
    <rPh sb="9" eb="10">
      <t>ウツ</t>
    </rPh>
    <rPh sb="12" eb="13">
      <t>ズ</t>
    </rPh>
    <phoneticPr fontId="2"/>
  </si>
  <si>
    <t>　共通機能</t>
    <rPh sb="1" eb="3">
      <t>キョウツウ</t>
    </rPh>
    <rPh sb="3" eb="5">
      <t>キノウ</t>
    </rPh>
    <phoneticPr fontId="2"/>
  </si>
  <si>
    <t>DUC010</t>
    <phoneticPr fontId="2"/>
  </si>
  <si>
    <t>　学生勤務管理システム</t>
    <rPh sb="1" eb="3">
      <t>ガクセイ</t>
    </rPh>
    <rPh sb="3" eb="5">
      <t>キンム</t>
    </rPh>
    <rPh sb="5" eb="7">
      <t>カンリ</t>
    </rPh>
    <phoneticPr fontId="2"/>
  </si>
  <si>
    <t>木田　優</t>
    <rPh sb="0" eb="2">
      <t>キダ</t>
    </rPh>
    <rPh sb="3" eb="4">
      <t>マサル</t>
    </rPh>
    <phoneticPr fontId="2"/>
  </si>
  <si>
    <t>木田　優</t>
    <rPh sb="0" eb="2">
      <t>キダ</t>
    </rPh>
    <rPh sb="3" eb="4">
      <t>マサル</t>
    </rPh>
    <phoneticPr fontId="2"/>
  </si>
  <si>
    <t>機能</t>
    <rPh sb="0" eb="2">
      <t>キノウ</t>
    </rPh>
    <phoneticPr fontId="2"/>
  </si>
  <si>
    <t>　管理者</t>
    <rPh sb="1" eb="4">
      <t>カンリシャ</t>
    </rPh>
    <phoneticPr fontId="10"/>
  </si>
  <si>
    <t>勤務時間集計データ出力</t>
    <rPh sb="0" eb="2">
      <t>キンム</t>
    </rPh>
    <rPh sb="2" eb="4">
      <t>ジカン</t>
    </rPh>
    <rPh sb="4" eb="6">
      <t>シュウケイ</t>
    </rPh>
    <rPh sb="9" eb="11">
      <t>シュツリョク</t>
    </rPh>
    <phoneticPr fontId="11"/>
  </si>
  <si>
    <t>勤務時間集計データ（仮）出力</t>
    <rPh sb="0" eb="2">
      <t>キンム</t>
    </rPh>
    <rPh sb="2" eb="4">
      <t>ジカン</t>
    </rPh>
    <rPh sb="4" eb="6">
      <t>シュウケイ</t>
    </rPh>
    <rPh sb="10" eb="11">
      <t>カリ</t>
    </rPh>
    <rPh sb="12" eb="14">
      <t>シュツリョク</t>
    </rPh>
    <phoneticPr fontId="11"/>
  </si>
  <si>
    <t>勤務時間アラート情報出力</t>
    <rPh sb="0" eb="2">
      <t>キンム</t>
    </rPh>
    <rPh sb="2" eb="4">
      <t>ジカン</t>
    </rPh>
    <rPh sb="8" eb="10">
      <t>ジョウホウ</t>
    </rPh>
    <rPh sb="10" eb="12">
      <t>シュツリョク</t>
    </rPh>
    <phoneticPr fontId="11"/>
  </si>
  <si>
    <t>　機能設計</t>
  </si>
  <si>
    <t>　共通機能</t>
  </si>
  <si>
    <t>　画面名称</t>
    <rPh sb="1" eb="3">
      <t>ガメン</t>
    </rPh>
    <rPh sb="3" eb="5">
      <t>メイショウ</t>
    </rPh>
    <phoneticPr fontId="2"/>
  </si>
  <si>
    <t>　画面ＩＤ</t>
    <rPh sb="1" eb="3">
      <t>ガメン</t>
    </rPh>
    <phoneticPr fontId="2"/>
  </si>
  <si>
    <t>画面レイアウト</t>
    <rPh sb="0" eb="2">
      <t>ガメン</t>
    </rPh>
    <phoneticPr fontId="2"/>
  </si>
  <si>
    <t>機能概要</t>
    <rPh sb="0" eb="2">
      <t>キノウ</t>
    </rPh>
    <rPh sb="2" eb="4">
      <t>ガイヨウ</t>
    </rPh>
    <phoneticPr fontId="2"/>
  </si>
  <si>
    <t>・</t>
    <phoneticPr fontId="10"/>
  </si>
  <si>
    <t>画面説明　（処理内容・アクション等）</t>
    <rPh sb="0" eb="2">
      <t>ガメン</t>
    </rPh>
    <rPh sb="2" eb="4">
      <t>セツメイ</t>
    </rPh>
    <rPh sb="6" eb="8">
      <t>ショリ</t>
    </rPh>
    <rPh sb="8" eb="10">
      <t>ナイヨウ</t>
    </rPh>
    <rPh sb="16" eb="17">
      <t>トウ</t>
    </rPh>
    <phoneticPr fontId="2"/>
  </si>
  <si>
    <t>項目名</t>
    <rPh sb="0" eb="2">
      <t>コウモク</t>
    </rPh>
    <rPh sb="2" eb="3">
      <t>メイ</t>
    </rPh>
    <phoneticPr fontId="2"/>
  </si>
  <si>
    <t>・</t>
    <phoneticPr fontId="2"/>
  </si>
  <si>
    <t>リストボックス</t>
    <phoneticPr fontId="2"/>
  </si>
  <si>
    <t>内容</t>
    <rPh sb="0" eb="2">
      <t>ナイヨウ</t>
    </rPh>
    <phoneticPr fontId="10"/>
  </si>
  <si>
    <t>並び順</t>
    <rPh sb="0" eb="1">
      <t>ナラ</t>
    </rPh>
    <rPh sb="2" eb="3">
      <t>ジュン</t>
    </rPh>
    <phoneticPr fontId="10"/>
  </si>
  <si>
    <t>権限による画面制御</t>
    <rPh sb="0" eb="2">
      <t>ケンゲン</t>
    </rPh>
    <rPh sb="5" eb="7">
      <t>ガメン</t>
    </rPh>
    <rPh sb="7" eb="9">
      <t>セイギョ</t>
    </rPh>
    <phoneticPr fontId="10"/>
  </si>
  <si>
    <t>一覧の並び順</t>
    <rPh sb="0" eb="2">
      <t>イチラン</t>
    </rPh>
    <rPh sb="3" eb="4">
      <t>ナラ</t>
    </rPh>
    <rPh sb="5" eb="6">
      <t>ジュン</t>
    </rPh>
    <phoneticPr fontId="2"/>
  </si>
  <si>
    <t>画　面　補　足　説　明</t>
    <rPh sb="0" eb="1">
      <t>ガ</t>
    </rPh>
    <rPh sb="2" eb="3">
      <t>メン</t>
    </rPh>
    <rPh sb="4" eb="5">
      <t>タスク</t>
    </rPh>
    <rPh sb="6" eb="7">
      <t>アシ</t>
    </rPh>
    <rPh sb="8" eb="9">
      <t>セツ</t>
    </rPh>
    <rPh sb="10" eb="11">
      <t>メイ</t>
    </rPh>
    <phoneticPr fontId="2"/>
  </si>
  <si>
    <t>（CC-020-01G）</t>
    <phoneticPr fontId="2"/>
  </si>
  <si>
    <t>（CK-020-01G）</t>
    <phoneticPr fontId="2"/>
  </si>
  <si>
    <t>支給日</t>
    <rPh sb="0" eb="3">
      <t>シキュウビ</t>
    </rPh>
    <phoneticPr fontId="2"/>
  </si>
  <si>
    <t>○勤務データ仮集計画面</t>
    <rPh sb="1" eb="3">
      <t>キンム</t>
    </rPh>
    <rPh sb="6" eb="7">
      <t>カリ</t>
    </rPh>
    <rPh sb="7" eb="9">
      <t>シュウケイ</t>
    </rPh>
    <rPh sb="9" eb="11">
      <t>ガメン</t>
    </rPh>
    <phoneticPr fontId="2"/>
  </si>
  <si>
    <t>勤務データ仮集計</t>
    <rPh sb="0" eb="2">
      <t>キンム</t>
    </rPh>
    <rPh sb="5" eb="6">
      <t>カリ</t>
    </rPh>
    <rPh sb="6" eb="8">
      <t>シュウケイ</t>
    </rPh>
    <phoneticPr fontId="11"/>
  </si>
  <si>
    <t>ボタン</t>
  </si>
  <si>
    <t>（CK-020-03C）</t>
    <phoneticPr fontId="2"/>
  </si>
  <si>
    <t>CK-010-02G</t>
    <phoneticPr fontId="2"/>
  </si>
  <si>
    <t>出力することができる。</t>
  </si>
  <si>
    <t>支給日（年）</t>
    <rPh sb="0" eb="3">
      <t>シキュウビ</t>
    </rPh>
    <rPh sb="4" eb="5">
      <t>ネン</t>
    </rPh>
    <phoneticPr fontId="2"/>
  </si>
  <si>
    <t>降順</t>
    <rPh sb="0" eb="2">
      <t>コウジュン</t>
    </rPh>
    <phoneticPr fontId="2"/>
  </si>
  <si>
    <t>支給日（月日）</t>
    <rPh sb="0" eb="3">
      <t>シキュウビ</t>
    </rPh>
    <rPh sb="4" eb="6">
      <t>ツキヒ</t>
    </rPh>
    <phoneticPr fontId="2"/>
  </si>
  <si>
    <t>項目名</t>
    <rPh sb="0" eb="2">
      <t>コウモク</t>
    </rPh>
    <rPh sb="2" eb="3">
      <t>メイ</t>
    </rPh>
    <phoneticPr fontId="10"/>
  </si>
  <si>
    <t>入力必須</t>
    <rPh sb="0" eb="2">
      <t>ニュウリョク</t>
    </rPh>
    <rPh sb="2" eb="4">
      <t>ヒッス</t>
    </rPh>
    <phoneticPr fontId="10"/>
  </si>
  <si>
    <t>桁数</t>
    <rPh sb="0" eb="2">
      <t>ケタスウ</t>
    </rPh>
    <phoneticPr fontId="10"/>
  </si>
  <si>
    <t>入力制限等</t>
    <rPh sb="0" eb="2">
      <t>ニュウリョク</t>
    </rPh>
    <rPh sb="2" eb="4">
      <t>セイゲン</t>
    </rPh>
    <rPh sb="4" eb="5">
      <t>トウ</t>
    </rPh>
    <phoneticPr fontId="10"/>
  </si>
  <si>
    <t>支給日（年）</t>
    <rPh sb="0" eb="3">
      <t>シキュウビ</t>
    </rPh>
    <rPh sb="4" eb="5">
      <t>ネン</t>
    </rPh>
    <phoneticPr fontId="10"/>
  </si>
  <si>
    <t>－</t>
    <phoneticPr fontId="2"/>
  </si>
  <si>
    <t>支給日（月）</t>
    <rPh sb="0" eb="3">
      <t>シキュウビ</t>
    </rPh>
    <rPh sb="4" eb="5">
      <t>ツキ</t>
    </rPh>
    <phoneticPr fontId="10"/>
  </si>
  <si>
    <t>○入力項目</t>
    <rPh sb="1" eb="3">
      <t>ニュウリョク</t>
    </rPh>
    <rPh sb="3" eb="5">
      <t>コウモク</t>
    </rPh>
    <phoneticPr fontId="10"/>
  </si>
  <si>
    <t>なお、勤務アラートの条件に一致する勤務データが存在した場合は、勤務アラート情報を出力する。</t>
    <rPh sb="3" eb="5">
      <t>キンム</t>
    </rPh>
    <rPh sb="10" eb="12">
      <t>ジョウケン</t>
    </rPh>
    <rPh sb="13" eb="15">
      <t>イッチ</t>
    </rPh>
    <rPh sb="17" eb="19">
      <t>キンム</t>
    </rPh>
    <rPh sb="23" eb="25">
      <t>ソンザイ</t>
    </rPh>
    <rPh sb="27" eb="29">
      <t>バアイ</t>
    </rPh>
    <rPh sb="31" eb="33">
      <t>キンム</t>
    </rPh>
    <rPh sb="37" eb="39">
      <t>ジョウホウ</t>
    </rPh>
    <rPh sb="40" eb="42">
      <t>シュツリョク</t>
    </rPh>
    <phoneticPr fontId="2"/>
  </si>
  <si>
    <t>1</t>
    <phoneticPr fontId="2"/>
  </si>
  <si>
    <t>#</t>
    <phoneticPr fontId="2"/>
  </si>
  <si>
    <t>条件</t>
    <rPh sb="0" eb="2">
      <t>ジョウケン</t>
    </rPh>
    <phoneticPr fontId="2"/>
  </si>
  <si>
    <t>2</t>
    <phoneticPr fontId="2"/>
  </si>
  <si>
    <t>勤務データの最終ステータスが承認済</t>
    <rPh sb="0" eb="2">
      <t>キンム</t>
    </rPh>
    <rPh sb="6" eb="8">
      <t>サイシュウ</t>
    </rPh>
    <rPh sb="14" eb="16">
      <t>ショウニン</t>
    </rPh>
    <rPh sb="16" eb="17">
      <t>ズ</t>
    </rPh>
    <phoneticPr fontId="2"/>
  </si>
  <si>
    <t>　2023年10月31日までの勤務日が登録されている勤務データとする。</t>
    <rPh sb="5" eb="6">
      <t>ネン</t>
    </rPh>
    <rPh sb="8" eb="9">
      <t>ガツ</t>
    </rPh>
    <rPh sb="11" eb="12">
      <t>ヒ</t>
    </rPh>
    <rPh sb="15" eb="17">
      <t>キンム</t>
    </rPh>
    <rPh sb="17" eb="18">
      <t>ヒ</t>
    </rPh>
    <rPh sb="19" eb="21">
      <t>トウロク</t>
    </rPh>
    <rPh sb="26" eb="28">
      <t>キンム</t>
    </rPh>
    <phoneticPr fontId="2"/>
  </si>
  <si>
    <t>勤務アラートの抽出条件</t>
    <rPh sb="0" eb="2">
      <t>キンム</t>
    </rPh>
    <rPh sb="7" eb="9">
      <t>チュウシュツ</t>
    </rPh>
    <rPh sb="9" eb="11">
      <t>ジョウケン</t>
    </rPh>
    <phoneticPr fontId="2"/>
  </si>
  <si>
    <t>3</t>
    <phoneticPr fontId="2"/>
  </si>
  <si>
    <t>画面の支給日</t>
    <rPh sb="0" eb="2">
      <t>ガメン</t>
    </rPh>
    <rPh sb="3" eb="6">
      <t>シキュウビ</t>
    </rPh>
    <phoneticPr fontId="2"/>
  </si>
  <si>
    <t>システム操作日</t>
    <rPh sb="4" eb="6">
      <t>ソウサ</t>
    </rPh>
    <rPh sb="6" eb="7">
      <t>ビ</t>
    </rPh>
    <phoneticPr fontId="2"/>
  </si>
  <si>
    <t>制御例：</t>
    <rPh sb="0" eb="2">
      <t>セイギョ</t>
    </rPh>
    <rPh sb="2" eb="3">
      <t>レイ</t>
    </rPh>
    <phoneticPr fontId="2"/>
  </si>
  <si>
    <t>（ただし、当月中に限る）</t>
    <rPh sb="5" eb="7">
      <t>トウゲツ</t>
    </rPh>
    <rPh sb="7" eb="8">
      <t>チュウ</t>
    </rPh>
    <rPh sb="9" eb="10">
      <t>カギ</t>
    </rPh>
    <phoneticPr fontId="2"/>
  </si>
  <si>
    <t>Null</t>
    <phoneticPr fontId="2"/>
  </si>
  <si>
    <t>備考</t>
    <rPh sb="0" eb="2">
      <t>ビコウ</t>
    </rPh>
    <phoneticPr fontId="2"/>
  </si>
  <si>
    <t>支給日を先月に変更</t>
    <rPh sb="0" eb="3">
      <t>シキュウビ</t>
    </rPh>
    <rPh sb="4" eb="6">
      <t>センゲツ</t>
    </rPh>
    <rPh sb="7" eb="9">
      <t>ヘンコウ</t>
    </rPh>
    <phoneticPr fontId="2"/>
  </si>
  <si>
    <t>勤務データを集計して勤務時間集計表、勤務時間アラート情報を</t>
    <rPh sb="0" eb="2">
      <t>キンム</t>
    </rPh>
    <rPh sb="6" eb="8">
      <t>シュウケイ</t>
    </rPh>
    <rPh sb="10" eb="12">
      <t>キンム</t>
    </rPh>
    <rPh sb="12" eb="14">
      <t>ジカン</t>
    </rPh>
    <rPh sb="14" eb="16">
      <t>シュウケイ</t>
    </rPh>
    <rPh sb="16" eb="17">
      <t>ヒョウ</t>
    </rPh>
    <rPh sb="18" eb="20">
      <t>キンム</t>
    </rPh>
    <rPh sb="20" eb="22">
      <t>ジカン</t>
    </rPh>
    <rPh sb="26" eb="28">
      <t>ジョウホウ</t>
    </rPh>
    <phoneticPr fontId="2"/>
  </si>
  <si>
    <t>〇</t>
    <phoneticPr fontId="10"/>
  </si>
  <si>
    <t>○リストボックス</t>
    <phoneticPr fontId="2"/>
  </si>
  <si>
    <t>【支給日】</t>
    <rPh sb="1" eb="4">
      <t>シキュウビ</t>
    </rPh>
    <phoneticPr fontId="2"/>
  </si>
  <si>
    <t>▼</t>
    <phoneticPr fontId="2"/>
  </si>
  <si>
    <t>支給日（年）の選択結果に連動して、支給日（月）のリストボックスを変動させる。</t>
    <rPh sb="0" eb="2">
      <t>シキュウ</t>
    </rPh>
    <rPh sb="2" eb="3">
      <t>ヒ</t>
    </rPh>
    <rPh sb="4" eb="5">
      <t>ネン</t>
    </rPh>
    <rPh sb="7" eb="9">
      <t>センタク</t>
    </rPh>
    <rPh sb="9" eb="11">
      <t>ケッカ</t>
    </rPh>
    <rPh sb="12" eb="14">
      <t>レンドウ</t>
    </rPh>
    <rPh sb="17" eb="20">
      <t>シキュウビ</t>
    </rPh>
    <rPh sb="21" eb="22">
      <t>ツキ</t>
    </rPh>
    <rPh sb="32" eb="34">
      <t>ヘンドウ</t>
    </rPh>
    <phoneticPr fontId="2"/>
  </si>
  <si>
    <t>（CK-020-02G）</t>
    <phoneticPr fontId="2"/>
  </si>
  <si>
    <t>（CK-020-05E）</t>
    <phoneticPr fontId="2"/>
  </si>
  <si>
    <t>　管理者、担当者</t>
    <rPh sb="1" eb="4">
      <t>カンリシャ</t>
    </rPh>
    <rPh sb="5" eb="8">
      <t>タントウシャ</t>
    </rPh>
    <phoneticPr fontId="10"/>
  </si>
  <si>
    <t>雇用情報</t>
    <rPh sb="0" eb="2">
      <t>コヨウ</t>
    </rPh>
    <rPh sb="2" eb="4">
      <t>ジョウホウ</t>
    </rPh>
    <phoneticPr fontId="2"/>
  </si>
  <si>
    <t>○仮集計ボタン</t>
    <rPh sb="1" eb="2">
      <t>カリ</t>
    </rPh>
    <rPh sb="2" eb="4">
      <t>シュウケイ</t>
    </rPh>
    <phoneticPr fontId="10"/>
  </si>
  <si>
    <t>備考</t>
    <rPh sb="0" eb="2">
      <t>ビコウ</t>
    </rPh>
    <phoneticPr fontId="10"/>
  </si>
  <si>
    <t>○勤務時間集計表フォーマット</t>
    <rPh sb="1" eb="3">
      <t>キンム</t>
    </rPh>
    <rPh sb="3" eb="5">
      <t>ジカン</t>
    </rPh>
    <rPh sb="5" eb="7">
      <t>シュウケイ</t>
    </rPh>
    <rPh sb="7" eb="8">
      <t>ヒョウ</t>
    </rPh>
    <phoneticPr fontId="10"/>
  </si>
  <si>
    <t>処理年</t>
    <rPh sb="0" eb="2">
      <t>ショリ</t>
    </rPh>
    <rPh sb="2" eb="3">
      <t>ネン</t>
    </rPh>
    <phoneticPr fontId="4"/>
  </si>
  <si>
    <t>処理月</t>
    <rPh sb="0" eb="2">
      <t>ショリ</t>
    </rPh>
    <rPh sb="2" eb="3">
      <t>ツキ</t>
    </rPh>
    <phoneticPr fontId="4"/>
  </si>
  <si>
    <t>画面の支給日の月</t>
    <rPh sb="0" eb="1">
      <t>ガメン</t>
    </rPh>
    <rPh sb="2" eb="5">
      <t>シキュウビ</t>
    </rPh>
    <rPh sb="6" eb="7">
      <t>ツキ</t>
    </rPh>
    <phoneticPr fontId="2"/>
  </si>
  <si>
    <t>画面の支給日の年</t>
    <rPh sb="0" eb="1">
      <t>ガメン</t>
    </rPh>
    <rPh sb="2" eb="4">
      <t>シキュウビ</t>
    </rPh>
    <rPh sb="5" eb="6">
      <t>ネン</t>
    </rPh>
    <phoneticPr fontId="2"/>
  </si>
  <si>
    <t>勤務情報.社員ＩＤ（学生ＩＤ）</t>
    <rPh sb="0" eb="1">
      <t>キンム</t>
    </rPh>
    <rPh sb="2" eb="4">
      <t>ジョウホウ</t>
    </rPh>
    <rPh sb="5" eb="7">
      <t>シャイン</t>
    </rPh>
    <rPh sb="10" eb="12">
      <t>ガクセイ</t>
    </rPh>
    <phoneticPr fontId="2"/>
  </si>
  <si>
    <t>勤務情報.複数身分ＩＤ</t>
    <rPh sb="0" eb="1">
      <t>キンム</t>
    </rPh>
    <rPh sb="1" eb="3">
      <t>ジョウホウ</t>
    </rPh>
    <rPh sb="5" eb="7">
      <t>フクスウ</t>
    </rPh>
    <rPh sb="7" eb="9">
      <t>ミブン</t>
    </rPh>
    <phoneticPr fontId="2"/>
  </si>
  <si>
    <t>1　固定</t>
    <rPh sb="1" eb="3">
      <t>コテイ</t>
    </rPh>
    <phoneticPr fontId="2"/>
  </si>
  <si>
    <t>○勤務時間アラート情報フォーマット</t>
    <rPh sb="1" eb="3">
      <t>キンム</t>
    </rPh>
    <rPh sb="3" eb="5">
      <t>ジカン</t>
    </rPh>
    <rPh sb="9" eb="11">
      <t>ジョウホウ</t>
    </rPh>
    <phoneticPr fontId="10"/>
  </si>
  <si>
    <t>複数身分ＩＤ</t>
    <rPh sb="0" eb="2">
      <t>フクスウ</t>
    </rPh>
    <rPh sb="2" eb="4">
      <t>ミブン</t>
    </rPh>
    <phoneticPr fontId="4"/>
  </si>
  <si>
    <t>○ホーム画面（管理者のみ）</t>
    <rPh sb="4" eb="6">
      <t>ガメン</t>
    </rPh>
    <rPh sb="7" eb="10">
      <t>カンリシャ</t>
    </rPh>
    <phoneticPr fontId="2"/>
  </si>
  <si>
    <t>○ホーム画面（管理者・担当者）</t>
    <rPh sb="4" eb="6">
      <t>ガメン</t>
    </rPh>
    <rPh sb="7" eb="10">
      <t>カンリシャ</t>
    </rPh>
    <rPh sb="11" eb="14">
      <t>タントウシャ</t>
    </rPh>
    <phoneticPr fontId="2"/>
  </si>
  <si>
    <t>勤務月</t>
    <rPh sb="0" eb="3">
      <t>キンムツキ</t>
    </rPh>
    <phoneticPr fontId="2"/>
  </si>
  <si>
    <t>　CK-020_給与計算処理</t>
    <rPh sb="8" eb="12">
      <t>キュウヨケイサン</t>
    </rPh>
    <rPh sb="12" eb="14">
      <t>ショリ</t>
    </rPh>
    <phoneticPr fontId="2"/>
  </si>
  <si>
    <t>変更</t>
    <rPh sb="0" eb="2">
      <t>ヘンコウ</t>
    </rPh>
    <phoneticPr fontId="2"/>
  </si>
  <si>
    <t>タイトルの変更、ダウンロードするフォーマットの変更</t>
    <rPh sb="5" eb="7">
      <t>ヘンコウ</t>
    </rPh>
    <rPh sb="23" eb="25">
      <t>ヘンコウ</t>
    </rPh>
    <phoneticPr fontId="2"/>
  </si>
  <si>
    <t>（CK-020-04E）</t>
    <phoneticPr fontId="2"/>
  </si>
  <si>
    <t>勤務データの給与計算処理を行う時に使用する。</t>
    <rPh sb="0" eb="2">
      <t>キンム</t>
    </rPh>
    <rPh sb="6" eb="10">
      <t>キュウヨケイサン</t>
    </rPh>
    <rPh sb="10" eb="12">
      <t>ショリ</t>
    </rPh>
    <rPh sb="13" eb="14">
      <t>オコナ</t>
    </rPh>
    <rPh sb="15" eb="16">
      <t>トキ</t>
    </rPh>
    <rPh sb="17" eb="19">
      <t>シヨウ</t>
    </rPh>
    <phoneticPr fontId="2"/>
  </si>
  <si>
    <t>○給与計算処理画面</t>
    <rPh sb="1" eb="5">
      <t>キュウヨケイサン</t>
    </rPh>
    <rPh sb="5" eb="7">
      <t>ショリ</t>
    </rPh>
    <rPh sb="7" eb="9">
      <t>ガメン</t>
    </rPh>
    <phoneticPr fontId="2"/>
  </si>
  <si>
    <t>給与計算ボタンを押下すると、確認メッセージを表示したうえで</t>
    <rPh sb="0" eb="4">
      <t>キュウヨケイサン</t>
    </rPh>
    <phoneticPr fontId="2"/>
  </si>
  <si>
    <t>給与計算を行う。</t>
    <rPh sb="0" eb="2">
      <t>キュウヨ</t>
    </rPh>
    <rPh sb="2" eb="4">
      <t>ケイサン</t>
    </rPh>
    <rPh sb="5" eb="6">
      <t>オコナ</t>
    </rPh>
    <phoneticPr fontId="2"/>
  </si>
  <si>
    <t>※支給日を給与計算済みの日に設定した場合は、給与計算のボタンは</t>
    <rPh sb="1" eb="3">
      <t>シキュウ</t>
    </rPh>
    <rPh sb="3" eb="4">
      <t>ビ</t>
    </rPh>
    <rPh sb="5" eb="7">
      <t>キュウヨ</t>
    </rPh>
    <rPh sb="7" eb="9">
      <t>ケイサン</t>
    </rPh>
    <rPh sb="9" eb="10">
      <t>ズ</t>
    </rPh>
    <rPh sb="12" eb="13">
      <t>ヒ</t>
    </rPh>
    <rPh sb="14" eb="16">
      <t>セッテイ</t>
    </rPh>
    <rPh sb="18" eb="20">
      <t>バアイ</t>
    </rPh>
    <rPh sb="22" eb="26">
      <t>キュウヨケイサン</t>
    </rPh>
    <phoneticPr fontId="2"/>
  </si>
  <si>
    <t>　給与再計算ボタンに変更する。</t>
    <rPh sb="1" eb="6">
      <t>キュウヨサイケイサン</t>
    </rPh>
    <rPh sb="10" eb="12">
      <t>ヘンコウ</t>
    </rPh>
    <phoneticPr fontId="2"/>
  </si>
  <si>
    <t>・</t>
    <phoneticPr fontId="2"/>
  </si>
  <si>
    <t>給与計算済みの支給日を選択した場合は、計算時の勤務データをDL</t>
    <rPh sb="0" eb="2">
      <t>キュウヨ</t>
    </rPh>
    <rPh sb="2" eb="4">
      <t>ケイサン</t>
    </rPh>
    <rPh sb="4" eb="5">
      <t>ズ</t>
    </rPh>
    <rPh sb="7" eb="10">
      <t>シキュウビ</t>
    </rPh>
    <rPh sb="11" eb="13">
      <t>センタク</t>
    </rPh>
    <rPh sb="15" eb="17">
      <t>バアイ</t>
    </rPh>
    <rPh sb="19" eb="21">
      <t>ケイサン</t>
    </rPh>
    <rPh sb="21" eb="22">
      <t>ジ</t>
    </rPh>
    <rPh sb="23" eb="25">
      <t>キンム</t>
    </rPh>
    <phoneticPr fontId="2"/>
  </si>
  <si>
    <t>できるDLボタンを表示する。</t>
    <rPh sb="9" eb="11">
      <t>ヒョウジ</t>
    </rPh>
    <phoneticPr fontId="2"/>
  </si>
  <si>
    <t>給与支給日マスタの給与支給日の年</t>
    <rPh sb="0" eb="5">
      <t>キュウヨシキュウビ</t>
    </rPh>
    <rPh sb="9" eb="14">
      <t>キュウヨシキュウビ</t>
    </rPh>
    <rPh sb="15" eb="16">
      <t>ネン</t>
    </rPh>
    <phoneticPr fontId="2"/>
  </si>
  <si>
    <t>支給日（年）に一致する給与支給日マスタの給与支給日の月日</t>
    <rPh sb="0" eb="3">
      <t>シキュウビ</t>
    </rPh>
    <rPh sb="4" eb="5">
      <t>ネン</t>
    </rPh>
    <rPh sb="7" eb="9">
      <t>イッチ</t>
    </rPh>
    <rPh sb="11" eb="16">
      <t>キュウヨシキュウビ</t>
    </rPh>
    <rPh sb="20" eb="25">
      <t>キュウヨシキュウビ</t>
    </rPh>
    <rPh sb="26" eb="28">
      <t>ツキヒ</t>
    </rPh>
    <phoneticPr fontId="2"/>
  </si>
  <si>
    <t>〇給与計算時の画面の流れ</t>
    <rPh sb="1" eb="5">
      <t>キュウヨケイサン</t>
    </rPh>
    <rPh sb="5" eb="6">
      <t>ジ</t>
    </rPh>
    <rPh sb="7" eb="9">
      <t>ガメン</t>
    </rPh>
    <rPh sb="10" eb="11">
      <t>ナガ</t>
    </rPh>
    <phoneticPr fontId="2"/>
  </si>
  <si>
    <t>給与計算実行</t>
    <rPh sb="0" eb="4">
      <t>キュウヨケイサン</t>
    </rPh>
    <rPh sb="4" eb="6">
      <t>ジッコウ</t>
    </rPh>
    <phoneticPr fontId="2"/>
  </si>
  <si>
    <t>・給与計算ボタンを給与再計算ボタンに変更し、DLボタンを表示する。</t>
    <rPh sb="1" eb="5">
      <t>キュウヨケイサン</t>
    </rPh>
    <rPh sb="9" eb="14">
      <t>キュウヨサイケイサン</t>
    </rPh>
    <rPh sb="18" eb="20">
      <t>ヘンコウ</t>
    </rPh>
    <rPh sb="28" eb="30">
      <t>ヒョウジ</t>
    </rPh>
    <phoneticPr fontId="2"/>
  </si>
  <si>
    <t>DLボタンを押下すると、勤務時間集計表、勤務時間アラート情報を</t>
    <rPh sb="6" eb="8">
      <t>オウカ</t>
    </rPh>
    <rPh sb="12" eb="14">
      <t>キンム</t>
    </rPh>
    <rPh sb="14" eb="16">
      <t>ジカン</t>
    </rPh>
    <rPh sb="16" eb="18">
      <t>シュウケイ</t>
    </rPh>
    <rPh sb="18" eb="19">
      <t>ヒョウ</t>
    </rPh>
    <rPh sb="20" eb="22">
      <t>キンム</t>
    </rPh>
    <rPh sb="22" eb="24">
      <t>ジカン</t>
    </rPh>
    <rPh sb="28" eb="30">
      <t>ジョウホウ</t>
    </rPh>
    <phoneticPr fontId="2"/>
  </si>
  <si>
    <t>出力する。</t>
    <rPh sb="0" eb="2">
      <t>シュツリョク</t>
    </rPh>
    <phoneticPr fontId="2"/>
  </si>
  <si>
    <t>○給与計算ボタン</t>
    <rPh sb="1" eb="5">
      <t>キュウヨケイサン</t>
    </rPh>
    <phoneticPr fontId="10"/>
  </si>
  <si>
    <t>給与計算処理の抽出条件</t>
    <rPh sb="0" eb="4">
      <t>キュウヨケイサン</t>
    </rPh>
    <rPh sb="4" eb="6">
      <t>ショリ</t>
    </rPh>
    <rPh sb="7" eb="9">
      <t>チュウシュツ</t>
    </rPh>
    <rPh sb="9" eb="11">
      <t>ジョウケン</t>
    </rPh>
    <phoneticPr fontId="2"/>
  </si>
  <si>
    <t>　例として、給与支給日マスタの勤務月が「2023年10月」の場合、対象となる勤務データは</t>
    <rPh sb="1" eb="2">
      <t>レイ</t>
    </rPh>
    <rPh sb="6" eb="11">
      <t>キュウヨシキュウビ</t>
    </rPh>
    <rPh sb="15" eb="18">
      <t>キンムツキ</t>
    </rPh>
    <rPh sb="24" eb="25">
      <t>ネン</t>
    </rPh>
    <rPh sb="27" eb="28">
      <t>ガツ</t>
    </rPh>
    <rPh sb="30" eb="32">
      <t>バアイ</t>
    </rPh>
    <rPh sb="33" eb="35">
      <t>タイショウ</t>
    </rPh>
    <rPh sb="38" eb="40">
      <t>キンム</t>
    </rPh>
    <phoneticPr fontId="2"/>
  </si>
  <si>
    <t>給与計算ボタン</t>
    <rPh sb="0" eb="4">
      <t>キュウヨケイサン</t>
    </rPh>
    <phoneticPr fontId="2"/>
  </si>
  <si>
    <t>活性</t>
    <rPh sb="0" eb="2">
      <t>カッセイ</t>
    </rPh>
    <phoneticPr fontId="2"/>
  </si>
  <si>
    <t>非活性</t>
    <rPh sb="0" eb="3">
      <t>ヒカッセイ</t>
    </rPh>
    <phoneticPr fontId="2"/>
  </si>
  <si>
    <t>未給与計算</t>
    <rPh sb="0" eb="1">
      <t>ミ</t>
    </rPh>
    <rPh sb="1" eb="5">
      <t>キュウヨケイサン</t>
    </rPh>
    <phoneticPr fontId="2"/>
  </si>
  <si>
    <t>給与計算年月不一致</t>
    <rPh sb="0" eb="4">
      <t>キュウヨケイサン</t>
    </rPh>
    <rPh sb="4" eb="6">
      <t>ネンゲツ</t>
    </rPh>
    <rPh sb="6" eb="9">
      <t>フイッチ</t>
    </rPh>
    <phoneticPr fontId="2"/>
  </si>
  <si>
    <t>再計算（非活性）</t>
    <rPh sb="0" eb="3">
      <t>サイケイサン</t>
    </rPh>
    <rPh sb="4" eb="7">
      <t>ヒカッセイ</t>
    </rPh>
    <phoneticPr fontId="2"/>
  </si>
  <si>
    <t>勤務時間の条件によってＩＤを決定</t>
    <rPh sb="0" eb="3">
      <t>キンムジカン</t>
    </rPh>
    <rPh sb="4" eb="6">
      <t>ジョウケン</t>
    </rPh>
    <rPh sb="13" eb="15">
      <t>ケッテイ</t>
    </rPh>
    <phoneticPr fontId="2"/>
  </si>
  <si>
    <r>
      <t>項目ＩＤ</t>
    </r>
    <r>
      <rPr>
        <vertAlign val="superscript"/>
        <sz val="10"/>
        <rFont val="ＭＳ ゴシック"/>
        <family val="3"/>
        <charset val="128"/>
      </rPr>
      <t>※１</t>
    </r>
    <rPh sb="0" eb="2">
      <t>コウモク</t>
    </rPh>
    <phoneticPr fontId="4"/>
  </si>
  <si>
    <t>項目ID</t>
    <rPh sb="0" eb="2">
      <t>コウモク</t>
    </rPh>
    <phoneticPr fontId="2"/>
  </si>
  <si>
    <t>項目ID名称</t>
    <rPh sb="0" eb="2">
      <t>コウモク</t>
    </rPh>
    <rPh sb="4" eb="6">
      <t>メイショウ</t>
    </rPh>
    <phoneticPr fontId="2"/>
  </si>
  <si>
    <t>出力条件</t>
    <rPh sb="0" eb="2">
      <t>シュツリョク</t>
    </rPh>
    <rPh sb="2" eb="4">
      <t>ジョウケン</t>
    </rPh>
    <phoneticPr fontId="2"/>
  </si>
  <si>
    <t>F08030</t>
  </si>
  <si>
    <t>時）所定H100</t>
  </si>
  <si>
    <t>平日の勤務時間数（F08050,F8060を除いた勤務時間数）</t>
    <rPh sb="0" eb="2">
      <t>ヘイジツ</t>
    </rPh>
    <rPh sb="22" eb="23">
      <t>ノゾ</t>
    </rPh>
    <rPh sb="25" eb="27">
      <t>キンム</t>
    </rPh>
    <rPh sb="27" eb="29">
      <t>ジカン</t>
    </rPh>
    <rPh sb="29" eb="30">
      <t>スウ</t>
    </rPh>
    <phoneticPr fontId="2"/>
  </si>
  <si>
    <t>F08050</t>
  </si>
  <si>
    <t>時）時間外125</t>
  </si>
  <si>
    <t>F08060</t>
  </si>
  <si>
    <t>時）休日H135</t>
  </si>
  <si>
    <t>F08040</t>
  </si>
  <si>
    <t>時）深夜割25</t>
  </si>
  <si>
    <t>F08070</t>
  </si>
  <si>
    <t>週40時間超25</t>
  </si>
  <si>
    <t>F08080</t>
  </si>
  <si>
    <t>60時間超25</t>
  </si>
  <si>
    <t>土曜日勤務、8時間を超えた勤務時間数</t>
    <phoneticPr fontId="2"/>
  </si>
  <si>
    <t>日祝勤務時間数</t>
    <phoneticPr fontId="2"/>
  </si>
  <si>
    <t>22時～5時の勤務時間集計（F8030の内数）</t>
    <phoneticPr fontId="2"/>
  </si>
  <si>
    <t>日～土の勤務で40時間超過分の時間数（F8030,8050,8060の内数）</t>
    <phoneticPr fontId="2"/>
  </si>
  <si>
    <t>1ヶ月の勤務で60時間超過分の時間数（F8030,8050,8060の内数）</t>
    <phoneticPr fontId="2"/>
  </si>
  <si>
    <t>【シート1：仮集計結果】</t>
    <rPh sb="6" eb="7">
      <t>カリ</t>
    </rPh>
    <rPh sb="7" eb="9">
      <t>シュウケイ</t>
    </rPh>
    <rPh sb="9" eb="11">
      <t>ケッカ</t>
    </rPh>
    <phoneticPr fontId="19"/>
  </si>
  <si>
    <t>項目名</t>
    <rPh sb="0" eb="2">
      <t>コウモク</t>
    </rPh>
    <rPh sb="2" eb="3">
      <t>メイ</t>
    </rPh>
    <phoneticPr fontId="19"/>
  </si>
  <si>
    <t>処理年</t>
  </si>
  <si>
    <t>処理月</t>
  </si>
  <si>
    <t>学生ID/氏名</t>
  </si>
  <si>
    <t>雇用情報</t>
  </si>
  <si>
    <t>【シート2：仮集計対象データ一覧】</t>
    <rPh sb="6" eb="7">
      <t>カリ</t>
    </rPh>
    <rPh sb="7" eb="9">
      <t>シュウケイ</t>
    </rPh>
    <rPh sb="9" eb="11">
      <t>タイショウ</t>
    </rPh>
    <rPh sb="14" eb="16">
      <t>イチラン</t>
    </rPh>
    <phoneticPr fontId="19"/>
  </si>
  <si>
    <t>職種</t>
  </si>
  <si>
    <t>教員コード</t>
  </si>
  <si>
    <t>教員名</t>
  </si>
  <si>
    <t>曜日</t>
  </si>
  <si>
    <t>処理年</t>
    <rPh sb="0" eb="3">
      <t>ショリネン</t>
    </rPh>
    <phoneticPr fontId="2"/>
  </si>
  <si>
    <t>処理月</t>
    <rPh sb="0" eb="3">
      <t>ショリツキ</t>
    </rPh>
    <phoneticPr fontId="2"/>
  </si>
  <si>
    <t>項目ID</t>
    <rPh sb="0" eb="2">
      <t>コウモク</t>
    </rPh>
    <phoneticPr fontId="2"/>
  </si>
  <si>
    <t>100000</t>
    <phoneticPr fontId="2"/>
  </si>
  <si>
    <t>対象</t>
    <rPh sb="0" eb="2">
      <t>タイショウ</t>
    </rPh>
    <phoneticPr fontId="2"/>
  </si>
  <si>
    <t>複数条件チェック</t>
    <rPh sb="0" eb="2">
      <t>フクスウ</t>
    </rPh>
    <rPh sb="2" eb="4">
      <t>ジョウケン</t>
    </rPh>
    <phoneticPr fontId="2"/>
  </si>
  <si>
    <t>留学生</t>
    <rPh sb="0" eb="3">
      <t>リュウガクセイ</t>
    </rPh>
    <phoneticPr fontId="2"/>
  </si>
  <si>
    <t>06</t>
  </si>
  <si>
    <t>留学生チューター</t>
    <rPh sb="0" eb="3">
      <t>リュウガクセイ</t>
    </rPh>
    <phoneticPr fontId="21"/>
  </si>
  <si>
    <t>05</t>
  </si>
  <si>
    <t>LA</t>
  </si>
  <si>
    <t>04</t>
  </si>
  <si>
    <t>RA</t>
  </si>
  <si>
    <t>03</t>
  </si>
  <si>
    <t>SA</t>
  </si>
  <si>
    <t>02</t>
  </si>
  <si>
    <t>TA</t>
  </si>
  <si>
    <t>01</t>
  </si>
  <si>
    <t>職種コード</t>
    <rPh sb="0" eb="2">
      <t>ショクシュ</t>
    </rPh>
    <phoneticPr fontId="2"/>
  </si>
  <si>
    <t>2023</t>
    <phoneticPr fontId="2"/>
  </si>
  <si>
    <t>10</t>
  </si>
  <si>
    <t>10</t>
    <phoneticPr fontId="2"/>
  </si>
  <si>
    <t>13111551</t>
    <phoneticPr fontId="2"/>
  </si>
  <si>
    <t>1</t>
    <phoneticPr fontId="2"/>
  </si>
  <si>
    <t>16</t>
    <phoneticPr fontId="2"/>
  </si>
  <si>
    <t>112tad01</t>
    <phoneticPr fontId="2"/>
  </si>
  <si>
    <t>H560301</t>
    <phoneticPr fontId="2"/>
  </si>
  <si>
    <t>F08070</t>
    <phoneticPr fontId="2"/>
  </si>
  <si>
    <t>F08030</t>
    <phoneticPr fontId="2"/>
  </si>
  <si>
    <t>F08050</t>
    <phoneticPr fontId="2"/>
  </si>
  <si>
    <t>F08060</t>
    <phoneticPr fontId="2"/>
  </si>
  <si>
    <t>F08080</t>
    <phoneticPr fontId="2"/>
  </si>
  <si>
    <t>※1　勤務時間集計表出力条件について</t>
    <rPh sb="3" eb="5">
      <t>キンム</t>
    </rPh>
    <rPh sb="5" eb="7">
      <t>ジカン</t>
    </rPh>
    <rPh sb="7" eb="9">
      <t>シュウケイ</t>
    </rPh>
    <rPh sb="9" eb="10">
      <t>ヒョウ</t>
    </rPh>
    <rPh sb="10" eb="12">
      <t>シュツリョク</t>
    </rPh>
    <rPh sb="12" eb="14">
      <t>ジョウケン</t>
    </rPh>
    <phoneticPr fontId="2"/>
  </si>
  <si>
    <t>○勤務時間アラート情報</t>
    <rPh sb="1" eb="3">
      <t>キンム</t>
    </rPh>
    <rPh sb="3" eb="5">
      <t>ジカン</t>
    </rPh>
    <rPh sb="9" eb="11">
      <t>ジョウホウ</t>
    </rPh>
    <phoneticPr fontId="10"/>
  </si>
  <si>
    <t>前提条件：勤務データの最終ステータスが承認済</t>
    <rPh sb="0" eb="4">
      <t>ゼンテイジョウケン</t>
    </rPh>
    <rPh sb="5" eb="7">
      <t>キンム</t>
    </rPh>
    <rPh sb="11" eb="13">
      <t>サイシュウ</t>
    </rPh>
    <rPh sb="19" eb="22">
      <t>ショウニンズ</t>
    </rPh>
    <phoneticPr fontId="2"/>
  </si>
  <si>
    <t>職種</t>
    <rPh sb="0" eb="2">
      <t>ショクシュ</t>
    </rPh>
    <phoneticPr fontId="2"/>
  </si>
  <si>
    <t>ワーニング条件</t>
    <rPh sb="5" eb="7">
      <t>ジョウケン</t>
    </rPh>
    <phoneticPr fontId="2"/>
  </si>
  <si>
    <t>研究活動等支援員</t>
  </si>
  <si>
    <t>1日6時間超過</t>
    <rPh sb="1" eb="2">
      <t>ニチ</t>
    </rPh>
    <rPh sb="3" eb="5">
      <t>ジカン</t>
    </rPh>
    <rPh sb="5" eb="7">
      <t>チョウカ</t>
    </rPh>
    <phoneticPr fontId="2"/>
  </si>
  <si>
    <t>1週12時間超過（日～土）</t>
    <phoneticPr fontId="2"/>
  </si>
  <si>
    <t>51</t>
    <phoneticPr fontId="2"/>
  </si>
  <si>
    <t>4</t>
  </si>
  <si>
    <t>5</t>
  </si>
  <si>
    <t>6</t>
  </si>
  <si>
    <t>7</t>
  </si>
  <si>
    <t>8</t>
  </si>
  <si>
    <t>9</t>
  </si>
  <si>
    <t>11</t>
  </si>
  <si>
    <t>12</t>
  </si>
  <si>
    <t>活性/非活性、給与再計算ボタンへの切替を制御する。</t>
    <rPh sb="7" eb="12">
      <t>キュウヨサイケイサン</t>
    </rPh>
    <rPh sb="17" eb="19">
      <t>キリカエ</t>
    </rPh>
    <rPh sb="20" eb="22">
      <t>セイギョ</t>
    </rPh>
    <phoneticPr fontId="2"/>
  </si>
  <si>
    <t>1日7時間超過</t>
    <rPh sb="5" eb="7">
      <t>チョウカ</t>
    </rPh>
    <phoneticPr fontId="2"/>
  </si>
  <si>
    <t>1ヵ月8時間超過</t>
    <phoneticPr fontId="2"/>
  </si>
  <si>
    <t>13</t>
  </si>
  <si>
    <t>14</t>
  </si>
  <si>
    <t>0001</t>
    <phoneticPr fontId="2"/>
  </si>
  <si>
    <t>1週12時間超過（日～土）</t>
    <phoneticPr fontId="2"/>
  </si>
  <si>
    <t xml:space="preserve">
1週12時間超過（日～土）</t>
    <phoneticPr fontId="2"/>
  </si>
  <si>
    <t>1週26時間超過（日～土）</t>
    <phoneticPr fontId="2"/>
  </si>
  <si>
    <t xml:space="preserve">
1セメスター40時間超過（学年暦マスタの学期単位）</t>
    <phoneticPr fontId="2"/>
  </si>
  <si>
    <t>0002</t>
  </si>
  <si>
    <t>0002</t>
    <phoneticPr fontId="2"/>
  </si>
  <si>
    <t>0003</t>
  </si>
  <si>
    <t>0003</t>
    <phoneticPr fontId="2"/>
  </si>
  <si>
    <t>0004</t>
  </si>
  <si>
    <t>0004</t>
    <phoneticPr fontId="2"/>
  </si>
  <si>
    <t>0005</t>
  </si>
  <si>
    <t>0005</t>
    <phoneticPr fontId="2"/>
  </si>
  <si>
    <t>0006</t>
  </si>
  <si>
    <t>0006</t>
    <phoneticPr fontId="2"/>
  </si>
  <si>
    <t>15</t>
    <phoneticPr fontId="2"/>
  </si>
  <si>
    <t>0007</t>
    <phoneticPr fontId="2"/>
  </si>
  <si>
    <t>1日6時間超過</t>
    <phoneticPr fontId="2"/>
  </si>
  <si>
    <t xml:space="preserve">
1日8時間超過</t>
    <phoneticPr fontId="1"/>
  </si>
  <si>
    <t>1週40時間超過（日～土）</t>
    <phoneticPr fontId="1"/>
  </si>
  <si>
    <t>17</t>
    <phoneticPr fontId="2"/>
  </si>
  <si>
    <t>18</t>
    <phoneticPr fontId="2"/>
  </si>
  <si>
    <t>0008</t>
  </si>
  <si>
    <t>0008</t>
    <phoneticPr fontId="2"/>
  </si>
  <si>
    <t>0010</t>
  </si>
  <si>
    <t>0010</t>
    <phoneticPr fontId="2"/>
  </si>
  <si>
    <t>0009</t>
  </si>
  <si>
    <t>0009</t>
    <phoneticPr fontId="2"/>
  </si>
  <si>
    <t>0011</t>
  </si>
  <si>
    <t>0011</t>
    <phoneticPr fontId="2"/>
  </si>
  <si>
    <t>0012</t>
  </si>
  <si>
    <t>0012</t>
    <phoneticPr fontId="2"/>
  </si>
  <si>
    <t>アラート</t>
    <phoneticPr fontId="2"/>
  </si>
  <si>
    <t>メッセージ</t>
    <phoneticPr fontId="2"/>
  </si>
  <si>
    <t>1日での勤務時間が6時間を超えています。</t>
    <rPh sb="1" eb="2">
      <t>ニチ</t>
    </rPh>
    <rPh sb="4" eb="8">
      <t>キンムジカン</t>
    </rPh>
    <rPh sb="10" eb="12">
      <t>ジカン</t>
    </rPh>
    <rPh sb="13" eb="14">
      <t>コ</t>
    </rPh>
    <phoneticPr fontId="2"/>
  </si>
  <si>
    <t>1日での勤務時間が7時間を超えています。</t>
    <rPh sb="1" eb="2">
      <t>ニチ</t>
    </rPh>
    <rPh sb="4" eb="8">
      <t>キンムジカン</t>
    </rPh>
    <rPh sb="10" eb="12">
      <t>ジカン</t>
    </rPh>
    <rPh sb="13" eb="14">
      <t>コ</t>
    </rPh>
    <phoneticPr fontId="2"/>
  </si>
  <si>
    <t>1週間での勤務時間が12時間を超えています。</t>
    <rPh sb="1" eb="3">
      <t>シュウカン</t>
    </rPh>
    <rPh sb="5" eb="9">
      <t>キンムジカン</t>
    </rPh>
    <rPh sb="12" eb="14">
      <t>ジカン</t>
    </rPh>
    <rPh sb="15" eb="16">
      <t>コ</t>
    </rPh>
    <phoneticPr fontId="2"/>
  </si>
  <si>
    <t>1週間での勤務時間が26時間を超えています。</t>
    <rPh sb="1" eb="3">
      <t>シュウカン</t>
    </rPh>
    <rPh sb="5" eb="9">
      <t>キンムジカン</t>
    </rPh>
    <rPh sb="12" eb="14">
      <t>ジカン</t>
    </rPh>
    <rPh sb="15" eb="16">
      <t>コ</t>
    </rPh>
    <phoneticPr fontId="2"/>
  </si>
  <si>
    <t>1ヶ月での勤務時間が8時間を超えています。</t>
    <rPh sb="2" eb="3">
      <t>ゲツ</t>
    </rPh>
    <rPh sb="5" eb="9">
      <t>キンムジカン</t>
    </rPh>
    <rPh sb="11" eb="13">
      <t>ジカン</t>
    </rPh>
    <rPh sb="14" eb="15">
      <t>コ</t>
    </rPh>
    <phoneticPr fontId="2"/>
  </si>
  <si>
    <t>1セメスターでの勤務時間が40時間を超えています。</t>
    <rPh sb="8" eb="12">
      <t>キンムジカン</t>
    </rPh>
    <rPh sb="15" eb="17">
      <t>ジカン</t>
    </rPh>
    <rPh sb="18" eb="19">
      <t>コ</t>
    </rPh>
    <phoneticPr fontId="2"/>
  </si>
  <si>
    <t>職種合計で1日の勤務時間が6時間を超えています。</t>
    <rPh sb="0" eb="2">
      <t>ショクシュ</t>
    </rPh>
    <rPh sb="2" eb="4">
      <t>ゴウケイ</t>
    </rPh>
    <rPh sb="6" eb="7">
      <t>ニチ</t>
    </rPh>
    <rPh sb="8" eb="12">
      <t>キンムジカン</t>
    </rPh>
    <rPh sb="14" eb="16">
      <t>ジカン</t>
    </rPh>
    <rPh sb="17" eb="18">
      <t>コ</t>
    </rPh>
    <phoneticPr fontId="2"/>
  </si>
  <si>
    <t>職種合計で1日の勤務時間が8時間を超えています。</t>
    <rPh sb="0" eb="2">
      <t>ショクシュ</t>
    </rPh>
    <rPh sb="2" eb="4">
      <t>ゴウケイ</t>
    </rPh>
    <rPh sb="6" eb="7">
      <t>ニチ</t>
    </rPh>
    <rPh sb="8" eb="12">
      <t>キンムジカン</t>
    </rPh>
    <rPh sb="14" eb="16">
      <t>ジカン</t>
    </rPh>
    <rPh sb="17" eb="18">
      <t>コ</t>
    </rPh>
    <phoneticPr fontId="2"/>
  </si>
  <si>
    <t>職種合計で1週間の勤務時間が12時間を超えています。</t>
    <rPh sb="0" eb="2">
      <t>ショクシュ</t>
    </rPh>
    <rPh sb="2" eb="4">
      <t>ゴウケイ</t>
    </rPh>
    <rPh sb="6" eb="8">
      <t>シュウカン</t>
    </rPh>
    <rPh sb="9" eb="13">
      <t>キンムジカン</t>
    </rPh>
    <rPh sb="16" eb="18">
      <t>ジカン</t>
    </rPh>
    <rPh sb="19" eb="20">
      <t>コ</t>
    </rPh>
    <phoneticPr fontId="2"/>
  </si>
  <si>
    <t>職種合計で1週間の勤務時間が40時間を超えています。</t>
    <rPh sb="0" eb="2">
      <t>ショクシュ</t>
    </rPh>
    <rPh sb="2" eb="4">
      <t>ゴウケイ</t>
    </rPh>
    <rPh sb="6" eb="8">
      <t>シュウカン</t>
    </rPh>
    <rPh sb="9" eb="13">
      <t>キンムジカン</t>
    </rPh>
    <rPh sb="16" eb="18">
      <t>ジカン</t>
    </rPh>
    <rPh sb="19" eb="20">
      <t>コ</t>
    </rPh>
    <phoneticPr fontId="2"/>
  </si>
  <si>
    <t>勤務が3か月連続で発生しています。</t>
    <rPh sb="0" eb="2">
      <t>キンム</t>
    </rPh>
    <rPh sb="5" eb="6">
      <t>ゲツ</t>
    </rPh>
    <rPh sb="6" eb="8">
      <t>レンゾク</t>
    </rPh>
    <rPh sb="9" eb="11">
      <t>ハッセイ</t>
    </rPh>
    <phoneticPr fontId="2"/>
  </si>
  <si>
    <t>職種+曜日講時+科目+クラスコード+主担当教員（姓）
[LA]職種+雇用部課名
[学生アルバイトのみ]職種+雇用部課名+雇用情報備考</t>
    <rPh sb="0" eb="2">
      <t>ショクシュ</t>
    </rPh>
    <rPh sb="3" eb="5">
      <t>ヨウビ</t>
    </rPh>
    <rPh sb="5" eb="6">
      <t>コウ</t>
    </rPh>
    <rPh sb="6" eb="7">
      <t>ジ</t>
    </rPh>
    <rPh sb="8" eb="10">
      <t>カモク</t>
    </rPh>
    <rPh sb="18" eb="19">
      <t>シュ</t>
    </rPh>
    <rPh sb="19" eb="21">
      <t>タントウ</t>
    </rPh>
    <rPh sb="21" eb="23">
      <t>キョウイン</t>
    </rPh>
    <rPh sb="24" eb="25">
      <t>セイ</t>
    </rPh>
    <rPh sb="31" eb="33">
      <t>ショクシュ</t>
    </rPh>
    <rPh sb="34" eb="36">
      <t>コヨウ</t>
    </rPh>
    <rPh sb="36" eb="38">
      <t>ブカ</t>
    </rPh>
    <rPh sb="38" eb="39">
      <t>メイ</t>
    </rPh>
    <rPh sb="60" eb="64">
      <t>コヨウジョウホウ</t>
    </rPh>
    <rPh sb="64" eb="66">
      <t>ビコウ</t>
    </rPh>
    <phoneticPr fontId="2"/>
  </si>
  <si>
    <t>01：（TA）1日6時間超過、02：（TA）1週12時間超過　</t>
    <rPh sb="8" eb="9">
      <t>ニチ</t>
    </rPh>
    <rPh sb="10" eb="14">
      <t>ジカンチョウカ</t>
    </rPh>
    <rPh sb="23" eb="24">
      <t>シュウ</t>
    </rPh>
    <rPh sb="26" eb="28">
      <t>ジカン</t>
    </rPh>
    <rPh sb="28" eb="30">
      <t>チョウカ</t>
    </rPh>
    <phoneticPr fontId="2"/>
  </si>
  <si>
    <t>対象期間</t>
    <rPh sb="0" eb="2">
      <t>タイショウ</t>
    </rPh>
    <rPh sb="2" eb="4">
      <t>キカン</t>
    </rPh>
    <phoneticPr fontId="4"/>
  </si>
  <si>
    <t>勤務時間</t>
    <rPh sb="0" eb="2">
      <t>キンム</t>
    </rPh>
    <rPh sb="2" eb="4">
      <t>ジカン</t>
    </rPh>
    <phoneticPr fontId="4"/>
  </si>
  <si>
    <t>〇勤務時間アラート情報出力サンプル</t>
    <rPh sb="1" eb="5">
      <t>キンムジカン</t>
    </rPh>
    <rPh sb="9" eb="11">
      <t>ジョウホウ</t>
    </rPh>
    <rPh sb="11" eb="13">
      <t>シュツリョク</t>
    </rPh>
    <phoneticPr fontId="2"/>
  </si>
  <si>
    <t>アラート条件</t>
    <rPh sb="4" eb="6">
      <t>ジョウケン</t>
    </rPh>
    <phoneticPr fontId="2"/>
  </si>
  <si>
    <t>雇用情報</t>
    <rPh sb="0" eb="4">
      <t>コヨウジョウホウ</t>
    </rPh>
    <phoneticPr fontId="2"/>
  </si>
  <si>
    <t>複数身分ID</t>
    <rPh sb="0" eb="4">
      <t>フクスウミブン</t>
    </rPh>
    <phoneticPr fontId="2"/>
  </si>
  <si>
    <t>対象期間</t>
    <rPh sb="0" eb="4">
      <t>タイショウキカン</t>
    </rPh>
    <phoneticPr fontId="2"/>
  </si>
  <si>
    <t>勤務時間</t>
    <rPh sb="0" eb="4">
      <t>キンムジカン</t>
    </rPh>
    <phoneticPr fontId="2"/>
  </si>
  <si>
    <t>01：（TA）1日6時間超過</t>
    <phoneticPr fontId="2"/>
  </si>
  <si>
    <t>TA 月2　経済学-1　近藤</t>
    <rPh sb="3" eb="4">
      <t>ゲツ</t>
    </rPh>
    <rPh sb="6" eb="9">
      <t>ケイザイガク</t>
    </rPh>
    <rPh sb="12" eb="14">
      <t>コンドウ</t>
    </rPh>
    <phoneticPr fontId="2"/>
  </si>
  <si>
    <t>13111551</t>
    <phoneticPr fontId="2"/>
  </si>
  <si>
    <t>112tad01</t>
    <phoneticPr fontId="2"/>
  </si>
  <si>
    <t>03：（TA）1週12時間超過</t>
    <rPh sb="8" eb="9">
      <t>シュウ</t>
    </rPh>
    <phoneticPr fontId="2"/>
  </si>
  <si>
    <t>02：（RA）1日7時間超過</t>
    <phoneticPr fontId="2"/>
  </si>
  <si>
    <t>RA 水5　民法-1　斎藤</t>
    <rPh sb="3" eb="4">
      <t>ミズ</t>
    </rPh>
    <rPh sb="6" eb="8">
      <t>ミンポウ</t>
    </rPh>
    <rPh sb="11" eb="13">
      <t>サイトウ</t>
    </rPh>
    <phoneticPr fontId="2"/>
  </si>
  <si>
    <t>123rad01</t>
    <phoneticPr fontId="2"/>
  </si>
  <si>
    <t>※対象期間が1週間や1ヶ月の場合、基準となる開始日を出力する。</t>
    <rPh sb="1" eb="5">
      <t>タイショウキカン</t>
    </rPh>
    <rPh sb="7" eb="9">
      <t>シュウカン</t>
    </rPh>
    <rPh sb="12" eb="13">
      <t>ゲツ</t>
    </rPh>
    <rPh sb="14" eb="16">
      <t>バアイ</t>
    </rPh>
    <rPh sb="17" eb="19">
      <t>キジュン</t>
    </rPh>
    <rPh sb="22" eb="25">
      <t>カイシビ</t>
    </rPh>
    <rPh sb="26" eb="28">
      <t>シュツリョク</t>
    </rPh>
    <phoneticPr fontId="2"/>
  </si>
  <si>
    <t>給与支給日マスタの給与支給日の年</t>
    <rPh sb="0" eb="5">
      <t>キュウヨシキュウヒ</t>
    </rPh>
    <rPh sb="9" eb="14">
      <t>キュウヨシキュウヒ</t>
    </rPh>
    <rPh sb="15" eb="16">
      <t>ネン</t>
    </rPh>
    <phoneticPr fontId="2"/>
  </si>
  <si>
    <t>支給日（年）に一致する給与支給日マスタの給与支給日の月日</t>
    <rPh sb="0" eb="3">
      <t>シキュウビ</t>
    </rPh>
    <rPh sb="4" eb="5">
      <t>ネン</t>
    </rPh>
    <rPh sb="7" eb="9">
      <t>イッチ</t>
    </rPh>
    <rPh sb="11" eb="16">
      <t>キュウヨシキュウヒ</t>
    </rPh>
    <rPh sb="20" eb="25">
      <t>キュウヨシキュウヒ</t>
    </rPh>
    <rPh sb="26" eb="28">
      <t>ツキヒ</t>
    </rPh>
    <phoneticPr fontId="2"/>
  </si>
  <si>
    <t>仮集計の抽出条件</t>
    <rPh sb="0" eb="3">
      <t>カリシュウケイ</t>
    </rPh>
    <rPh sb="4" eb="6">
      <t>チュウシュツ</t>
    </rPh>
    <rPh sb="6" eb="8">
      <t>ジョウケン</t>
    </rPh>
    <phoneticPr fontId="2"/>
  </si>
  <si>
    <t>抽出条件、フォーマットについては、給与計算処理の画面補足説明参照。</t>
    <rPh sb="0" eb="4">
      <t>チュウシュツジョウケン</t>
    </rPh>
    <rPh sb="17" eb="21">
      <t>キュウヨケイサン</t>
    </rPh>
    <rPh sb="21" eb="23">
      <t>ショリ</t>
    </rPh>
    <rPh sb="24" eb="26">
      <t>ガメン</t>
    </rPh>
    <rPh sb="26" eb="28">
      <t>ホソク</t>
    </rPh>
    <rPh sb="28" eb="30">
      <t>セツメイ</t>
    </rPh>
    <rPh sb="30" eb="32">
      <t>サンショウ</t>
    </rPh>
    <phoneticPr fontId="2"/>
  </si>
  <si>
    <t>仮集計表は2シートで構成する。</t>
    <rPh sb="0" eb="4">
      <t>カリシュウケイヒョウ</t>
    </rPh>
    <rPh sb="10" eb="12">
      <t>コウセイ</t>
    </rPh>
    <phoneticPr fontId="2"/>
  </si>
  <si>
    <t>〇仮集計フォーマット</t>
    <rPh sb="1" eb="4">
      <t>カリシュウケイ</t>
    </rPh>
    <phoneticPr fontId="2"/>
  </si>
  <si>
    <t>勤務データの給与計算、給与再計算、勤務時間集計表、</t>
    <rPh sb="0" eb="2">
      <t>キンム</t>
    </rPh>
    <rPh sb="6" eb="10">
      <t>キュウヨケイサン</t>
    </rPh>
    <rPh sb="11" eb="13">
      <t>キュウヨ</t>
    </rPh>
    <rPh sb="13" eb="14">
      <t>サイ</t>
    </rPh>
    <rPh sb="14" eb="16">
      <t>ケイサン</t>
    </rPh>
    <rPh sb="17" eb="19">
      <t>キンム</t>
    </rPh>
    <rPh sb="19" eb="21">
      <t>ジカン</t>
    </rPh>
    <rPh sb="21" eb="23">
      <t>シュウケイ</t>
    </rPh>
    <rPh sb="23" eb="24">
      <t>ヒョウ</t>
    </rPh>
    <phoneticPr fontId="2"/>
  </si>
  <si>
    <t>勤務時間アラート情報を出力することができる。</t>
    <phoneticPr fontId="2"/>
  </si>
  <si>
    <t>ファイル名：『勤務時間集計表_yyyymmdd.csv』</t>
    <rPh sb="4" eb="5">
      <t>メイ</t>
    </rPh>
    <rPh sb="7" eb="14">
      <t>キンムジカンシュウケイヒョウ</t>
    </rPh>
    <phoneticPr fontId="2"/>
  </si>
  <si>
    <t>ファイル名：『勤務時間アラート_yyyymmdd.xlsx』</t>
    <rPh sb="4" eb="5">
      <t>メイ</t>
    </rPh>
    <rPh sb="7" eb="9">
      <t>キンム</t>
    </rPh>
    <rPh sb="9" eb="11">
      <t>ジカン</t>
    </rPh>
    <phoneticPr fontId="2"/>
  </si>
  <si>
    <t>木田　優</t>
    <phoneticPr fontId="11"/>
  </si>
  <si>
    <t>二校地間移動回数データ出力</t>
    <rPh sb="0" eb="8">
      <t>ニコウチカンイドウカイスウ</t>
    </rPh>
    <rPh sb="11" eb="13">
      <t>シュツリョク</t>
    </rPh>
    <phoneticPr fontId="11"/>
  </si>
  <si>
    <t>処理年</t>
    <rPh sb="0" eb="2">
      <t>ショリ</t>
    </rPh>
    <rPh sb="2" eb="3">
      <t>ネン</t>
    </rPh>
    <phoneticPr fontId="10"/>
  </si>
  <si>
    <t>処理月</t>
    <rPh sb="0" eb="2">
      <t>ショリ</t>
    </rPh>
    <rPh sb="2" eb="3">
      <t>ツキ</t>
    </rPh>
    <phoneticPr fontId="10"/>
  </si>
  <si>
    <t>処理回数</t>
    <rPh sb="0" eb="2">
      <t>ショリ</t>
    </rPh>
    <rPh sb="2" eb="4">
      <t>カイスウ</t>
    </rPh>
    <phoneticPr fontId="10"/>
  </si>
  <si>
    <t>0 固定</t>
    <rPh sb="0" eb="1">
      <t>コテイ</t>
    </rPh>
    <phoneticPr fontId="10"/>
  </si>
  <si>
    <t>処理区分</t>
    <rPh sb="0" eb="2">
      <t>ショリ</t>
    </rPh>
    <rPh sb="2" eb="4">
      <t>クブン</t>
    </rPh>
    <phoneticPr fontId="10"/>
  </si>
  <si>
    <t>1 固定</t>
    <rPh sb="2" eb="4">
      <t>コテイ</t>
    </rPh>
    <phoneticPr fontId="10"/>
  </si>
  <si>
    <t>複数身分識別ＩＤ</t>
    <rPh sb="0" eb="4">
      <t>フクスウミブン</t>
    </rPh>
    <rPh sb="4" eb="6">
      <t>シキベツ</t>
    </rPh>
    <phoneticPr fontId="10"/>
  </si>
  <si>
    <t>項目ＩＤ</t>
    <rPh sb="0" eb="2">
      <t>コウモク</t>
    </rPh>
    <phoneticPr fontId="10"/>
  </si>
  <si>
    <t>金額</t>
    <rPh sb="0" eb="2">
      <t>キンガク</t>
    </rPh>
    <phoneticPr fontId="10"/>
  </si>
  <si>
    <t>終了処理年</t>
    <rPh sb="0" eb="2">
      <t>シュウリョウ</t>
    </rPh>
    <rPh sb="2" eb="4">
      <t>ショリ</t>
    </rPh>
    <rPh sb="4" eb="5">
      <t>ネン</t>
    </rPh>
    <phoneticPr fontId="10"/>
  </si>
  <si>
    <t>空白 固定</t>
    <rPh sb="0" eb="1">
      <t>クウハク</t>
    </rPh>
    <rPh sb="2" eb="4">
      <t>コテイ</t>
    </rPh>
    <phoneticPr fontId="10"/>
  </si>
  <si>
    <t>終了処理月</t>
    <rPh sb="0" eb="2">
      <t>シュウリョウ</t>
    </rPh>
    <rPh sb="2" eb="4">
      <t>ショリ</t>
    </rPh>
    <rPh sb="4" eb="5">
      <t>ツキ</t>
    </rPh>
    <phoneticPr fontId="10"/>
  </si>
  <si>
    <t>終了処理回数</t>
    <rPh sb="0" eb="2">
      <t>シュウリョウ</t>
    </rPh>
    <rPh sb="2" eb="4">
      <t>ショリ</t>
    </rPh>
    <rPh sb="4" eb="6">
      <t>カイスウ</t>
    </rPh>
    <phoneticPr fontId="10"/>
  </si>
  <si>
    <t>〇二校地間移動回数表フォーマット</t>
    <rPh sb="1" eb="2">
      <t>ニ</t>
    </rPh>
    <rPh sb="2" eb="4">
      <t>コウチ</t>
    </rPh>
    <rPh sb="4" eb="5">
      <t>カン</t>
    </rPh>
    <rPh sb="5" eb="7">
      <t>イドウ</t>
    </rPh>
    <rPh sb="7" eb="9">
      <t>カイスウ</t>
    </rPh>
    <rPh sb="9" eb="10">
      <t>ヒョウ</t>
    </rPh>
    <phoneticPr fontId="2"/>
  </si>
  <si>
    <t>ファイル名：『二校地間移動回数表_yyyymmdd.csv』</t>
    <rPh sb="4" eb="5">
      <t>メイ</t>
    </rPh>
    <rPh sb="7" eb="8">
      <t>ニ</t>
    </rPh>
    <rPh sb="8" eb="10">
      <t>コウチ</t>
    </rPh>
    <rPh sb="10" eb="11">
      <t>カン</t>
    </rPh>
    <rPh sb="11" eb="13">
      <t>イドウ</t>
    </rPh>
    <rPh sb="13" eb="15">
      <t>カイスウ</t>
    </rPh>
    <rPh sb="15" eb="16">
      <t>ヒョウ</t>
    </rPh>
    <phoneticPr fontId="10"/>
  </si>
  <si>
    <t>H560301 固定</t>
    <rPh sb="8" eb="10">
      <t>コテイ</t>
    </rPh>
    <phoneticPr fontId="10"/>
  </si>
  <si>
    <t>勤務情報.校地移動フラグ(TRUE)の集計</t>
    <rPh sb="5" eb="7">
      <t>コウチ</t>
    </rPh>
    <rPh sb="7" eb="9">
      <t>イドウ</t>
    </rPh>
    <phoneticPr fontId="10"/>
  </si>
  <si>
    <t>処理回数</t>
    <rPh sb="0" eb="4">
      <t>ショリカイスウ</t>
    </rPh>
    <phoneticPr fontId="2"/>
  </si>
  <si>
    <t>処理区分</t>
    <rPh sb="0" eb="4">
      <t>ショリクブン</t>
    </rPh>
    <phoneticPr fontId="2"/>
  </si>
  <si>
    <t>金額</t>
    <rPh sb="0" eb="2">
      <t>キンガク</t>
    </rPh>
    <phoneticPr fontId="2"/>
  </si>
  <si>
    <t>終了処理年</t>
    <rPh sb="0" eb="4">
      <t>シュウリョウショリ</t>
    </rPh>
    <rPh sb="4" eb="5">
      <t>ネン</t>
    </rPh>
    <phoneticPr fontId="2"/>
  </si>
  <si>
    <t>終了処理月</t>
    <rPh sb="0" eb="2">
      <t>シュウリョウ</t>
    </rPh>
    <rPh sb="2" eb="4">
      <t>ショリ</t>
    </rPh>
    <rPh sb="4" eb="5">
      <t>ツキ</t>
    </rPh>
    <phoneticPr fontId="2"/>
  </si>
  <si>
    <t>終了処理回数</t>
    <rPh sb="0" eb="2">
      <t>シュウリョウ</t>
    </rPh>
    <rPh sb="2" eb="6">
      <t>ショリカイスウ</t>
    </rPh>
    <phoneticPr fontId="2"/>
  </si>
  <si>
    <t>H5600301</t>
  </si>
  <si>
    <t>H5600301</t>
    <phoneticPr fontId="2"/>
  </si>
  <si>
    <t>雇用部課</t>
    <rPh sb="0" eb="4">
      <t>コヨウブカ</t>
    </rPh>
    <phoneticPr fontId="4"/>
  </si>
  <si>
    <t>職種</t>
    <rPh sb="0" eb="2">
      <t>ショクシュ</t>
    </rPh>
    <phoneticPr fontId="4"/>
  </si>
  <si>
    <t>社員ID</t>
    <rPh sb="0" eb="2">
      <t>シャイン</t>
    </rPh>
    <phoneticPr fontId="4"/>
  </si>
  <si>
    <t>社員氏名</t>
    <rPh sb="0" eb="4">
      <t>シャインシメイ</t>
    </rPh>
    <phoneticPr fontId="4"/>
  </si>
  <si>
    <t>雇用情報マスタ.雇用部課</t>
    <rPh sb="0" eb="2">
      <t>コヨウ</t>
    </rPh>
    <rPh sb="2" eb="4">
      <t>ジョウホウ</t>
    </rPh>
    <rPh sb="8" eb="12">
      <t>コヨウブカ</t>
    </rPh>
    <phoneticPr fontId="2"/>
  </si>
  <si>
    <t>雇用情報マスタ.職種</t>
    <rPh sb="0" eb="2">
      <t>コヨウ</t>
    </rPh>
    <rPh sb="2" eb="4">
      <t>ジョウホウ</t>
    </rPh>
    <rPh sb="8" eb="10">
      <t>ショクシュ</t>
    </rPh>
    <phoneticPr fontId="2"/>
  </si>
  <si>
    <t>社員マスタ.漢字氏名</t>
    <rPh sb="0" eb="2">
      <t>シャイン</t>
    </rPh>
    <rPh sb="6" eb="10">
      <t>カンジシメイ</t>
    </rPh>
    <phoneticPr fontId="2"/>
  </si>
  <si>
    <t>雇用部課</t>
    <rPh sb="0" eb="4">
      <t>コヨウブカ</t>
    </rPh>
    <phoneticPr fontId="2"/>
  </si>
  <si>
    <t>経済学部･研究科</t>
    <rPh sb="0" eb="2">
      <t>ケイザイ</t>
    </rPh>
    <rPh sb="2" eb="4">
      <t>ガクブ</t>
    </rPh>
    <rPh sb="5" eb="8">
      <t>ケンキュウカ</t>
    </rPh>
    <phoneticPr fontId="2"/>
  </si>
  <si>
    <t>TA</t>
    <phoneticPr fontId="2"/>
  </si>
  <si>
    <t>RA</t>
    <phoneticPr fontId="2"/>
  </si>
  <si>
    <t>社員ID</t>
    <rPh sb="0" eb="2">
      <t>シャイン</t>
    </rPh>
    <phoneticPr fontId="2"/>
  </si>
  <si>
    <t>学生　A</t>
    <rPh sb="0" eb="2">
      <t>ガクセイ</t>
    </rPh>
    <phoneticPr fontId="2"/>
  </si>
  <si>
    <t>学生　B</t>
    <rPh sb="0" eb="2">
      <t>ガクセイ</t>
    </rPh>
    <phoneticPr fontId="2"/>
  </si>
  <si>
    <t>学生　C</t>
    <rPh sb="0" eb="2">
      <t>ガクセイ</t>
    </rPh>
    <phoneticPr fontId="2"/>
  </si>
  <si>
    <t>学生　D</t>
    <rPh sb="0" eb="2">
      <t>ガクセイ</t>
    </rPh>
    <phoneticPr fontId="2"/>
  </si>
  <si>
    <t>社員氏名</t>
    <rPh sb="0" eb="2">
      <t>シャイン</t>
    </rPh>
    <rPh sb="2" eb="4">
      <t>シメイ</t>
    </rPh>
    <phoneticPr fontId="2"/>
  </si>
  <si>
    <t>※給与計算処理を行うと、勤務時間集計表、二校地間移動回数表、</t>
    <rPh sb="1" eb="3">
      <t>キュウヨ</t>
    </rPh>
    <rPh sb="3" eb="5">
      <t>ケイサン</t>
    </rPh>
    <rPh sb="5" eb="7">
      <t>ショリ</t>
    </rPh>
    <rPh sb="8" eb="9">
      <t>オコナ</t>
    </rPh>
    <rPh sb="12" eb="19">
      <t>キンムジカンシュウケイヒョウ</t>
    </rPh>
    <rPh sb="20" eb="28">
      <t>ニコウチカンイドウカイスウ</t>
    </rPh>
    <rPh sb="28" eb="29">
      <t>ヒョウ</t>
    </rPh>
    <phoneticPr fontId="2"/>
  </si>
  <si>
    <t>　勤務情報アラート情報を出力する。</t>
    <rPh sb="12" eb="14">
      <t>シュツリョク</t>
    </rPh>
    <phoneticPr fontId="10"/>
  </si>
  <si>
    <t>勤務時間アラートは雇用部課別のEXCELファイルと全雇用部課をまとめたEXCELファイルの2種類をZIP化して</t>
    <rPh sb="0" eb="4">
      <t>キンムジカン</t>
    </rPh>
    <rPh sb="9" eb="14">
      <t>コヨウブカベツ</t>
    </rPh>
    <rPh sb="25" eb="30">
      <t>ゼンコヨウブカ</t>
    </rPh>
    <rPh sb="46" eb="48">
      <t>シュルイ</t>
    </rPh>
    <rPh sb="52" eb="53">
      <t>カ</t>
    </rPh>
    <phoneticPr fontId="10"/>
  </si>
  <si>
    <t>【ファイルの作成ルールについて】</t>
    <rPh sb="6" eb="8">
      <t>サクセイ</t>
    </rPh>
    <phoneticPr fontId="10"/>
  </si>
  <si>
    <t>一つにしたものがダウンロードできることとする。</t>
    <phoneticPr fontId="10"/>
  </si>
  <si>
    <t>木田　優</t>
    <phoneticPr fontId="10"/>
  </si>
  <si>
    <t>二校地間移動回数表の追加と勤務時間アラートフォーマットの変更</t>
    <rPh sb="0" eb="9">
      <t>ニコウチカンイドウカイスウヒョウ</t>
    </rPh>
    <rPh sb="10" eb="12">
      <t>ツイカ</t>
    </rPh>
    <rPh sb="13" eb="17">
      <t>キンムジカン</t>
    </rPh>
    <rPh sb="28" eb="30">
      <t>ヘンコウ</t>
    </rPh>
    <phoneticPr fontId="2"/>
  </si>
  <si>
    <t>変更</t>
    <rPh sb="0" eb="2">
      <t>ヘンコウ</t>
    </rPh>
    <phoneticPr fontId="2"/>
  </si>
  <si>
    <t>勤務時間集計表出力時間の仕様変更</t>
    <rPh sb="0" eb="7">
      <t>キンムジカンシュウケイヒョウ</t>
    </rPh>
    <rPh sb="7" eb="11">
      <t>シュツリョクジカン</t>
    </rPh>
    <rPh sb="12" eb="14">
      <t>シヨウ</t>
    </rPh>
    <rPh sb="14" eb="16">
      <t>ヘンコウ</t>
    </rPh>
    <phoneticPr fontId="2"/>
  </si>
  <si>
    <t>職種が一般の場合</t>
    <rPh sb="0" eb="2">
      <t>ショクシュ</t>
    </rPh>
    <rPh sb="3" eb="5">
      <t>イッパン</t>
    </rPh>
    <rPh sb="6" eb="8">
      <t>バアイ</t>
    </rPh>
    <phoneticPr fontId="10"/>
  </si>
  <si>
    <t>職種が一般以外の場合</t>
    <rPh sb="0" eb="2">
      <t>ショクシュ</t>
    </rPh>
    <rPh sb="3" eb="5">
      <t>イッパン</t>
    </rPh>
    <rPh sb="5" eb="7">
      <t>イガイ</t>
    </rPh>
    <rPh sb="8" eb="10">
      <t>バアイ</t>
    </rPh>
    <phoneticPr fontId="10"/>
  </si>
  <si>
    <t>日～土の勤務時間数（F08050,F8060を除いた勤務時間数）</t>
    <rPh sb="0" eb="1">
      <t>ニチ</t>
    </rPh>
    <rPh sb="2" eb="3">
      <t>ド</t>
    </rPh>
    <rPh sb="23" eb="24">
      <t>ノゾ</t>
    </rPh>
    <rPh sb="26" eb="28">
      <t>キンム</t>
    </rPh>
    <rPh sb="28" eb="30">
      <t>ジカン</t>
    </rPh>
    <rPh sb="30" eb="31">
      <t>スウ</t>
    </rPh>
    <phoneticPr fontId="2"/>
  </si>
  <si>
    <t>8時間を超えた勤務時間数</t>
    <phoneticPr fontId="2"/>
  </si>
  <si>
    <t>日～土の勤務で40時間超過分の時間数（F8030,8050の内数）</t>
    <phoneticPr fontId="2"/>
  </si>
  <si>
    <t>1ヶ月の勤務で60時間超過分の時間数（F8030,8050の内数）</t>
    <phoneticPr fontId="2"/>
  </si>
  <si>
    <t>画面の支給日と給与支給日マスタの「勤務月」「給与計算処理実施日」によって、給与計算ボタンの</t>
    <rPh sb="0" eb="2">
      <t>ガメン</t>
    </rPh>
    <rPh sb="3" eb="6">
      <t>シキュウビ</t>
    </rPh>
    <rPh sb="7" eb="12">
      <t>キュウヨシキュウビ</t>
    </rPh>
    <rPh sb="17" eb="20">
      <t>キンムツキ</t>
    </rPh>
    <rPh sb="22" eb="24">
      <t>キュウヨ</t>
    </rPh>
    <rPh sb="24" eb="26">
      <t>ケイサン</t>
    </rPh>
    <rPh sb="26" eb="28">
      <t>ショリ</t>
    </rPh>
    <rPh sb="28" eb="30">
      <t>ジッシ</t>
    </rPh>
    <rPh sb="30" eb="31">
      <t>ビ</t>
    </rPh>
    <rPh sb="37" eb="41">
      <t>キュウヨケイサン</t>
    </rPh>
    <phoneticPr fontId="2"/>
  </si>
  <si>
    <t>給与計算処理実施日</t>
    <rPh sb="0" eb="2">
      <t>キュウヨ</t>
    </rPh>
    <rPh sb="2" eb="4">
      <t>ケイサン</t>
    </rPh>
    <rPh sb="4" eb="6">
      <t>ショリ</t>
    </rPh>
    <rPh sb="6" eb="9">
      <t>ジッシビ</t>
    </rPh>
    <phoneticPr fontId="2"/>
  </si>
  <si>
    <t>給与計算未実施のため</t>
    <rPh sb="0" eb="2">
      <t>キュウヨ</t>
    </rPh>
    <rPh sb="2" eb="4">
      <t>ケイサン</t>
    </rPh>
    <rPh sb="4" eb="5">
      <t>ミ</t>
    </rPh>
    <rPh sb="5" eb="7">
      <t>ジッシ</t>
    </rPh>
    <phoneticPr fontId="2"/>
  </si>
  <si>
    <t>202/9/11</t>
    <phoneticPr fontId="10"/>
  </si>
  <si>
    <t>再計算（活性）</t>
    <rPh sb="0" eb="3">
      <t>サイケイサン</t>
    </rPh>
    <rPh sb="4" eb="6">
      <t>カッセイ</t>
    </rPh>
    <phoneticPr fontId="2"/>
  </si>
  <si>
    <t>給与再計算可能</t>
    <rPh sb="0" eb="7">
      <t>キュウヨサイケイサンカノウ</t>
    </rPh>
    <phoneticPr fontId="2"/>
  </si>
  <si>
    <t>勤務入力時に給与支給日を登録する仕様を変更したため
勤務時間集計表の勤怠集計の仕様が件数になっていたので、時間合計に変更</t>
    <rPh sb="0" eb="5">
      <t>キンムニュウリョクジ</t>
    </rPh>
    <rPh sb="6" eb="11">
      <t>キュウヨシキュウビ</t>
    </rPh>
    <rPh sb="12" eb="14">
      <t>トウロク</t>
    </rPh>
    <rPh sb="16" eb="18">
      <t>シヨウ</t>
    </rPh>
    <rPh sb="19" eb="21">
      <t>ヘンコウ</t>
    </rPh>
    <rPh sb="26" eb="33">
      <t>キンムジカンシュウケイヒョウ</t>
    </rPh>
    <rPh sb="34" eb="38">
      <t>キンタイシュウケイ</t>
    </rPh>
    <rPh sb="39" eb="41">
      <t>シヨウ</t>
    </rPh>
    <rPh sb="42" eb="44">
      <t>ケンスウ</t>
    </rPh>
    <rPh sb="53" eb="57">
      <t>ジカンゴウケイ</t>
    </rPh>
    <rPh sb="58" eb="60">
      <t>ヘンコウ</t>
    </rPh>
    <phoneticPr fontId="2"/>
  </si>
  <si>
    <t>※給与支給日を超えた後に給与計算・再計算はできません。</t>
    <rPh sb="1" eb="6">
      <t>キュウヨシキュウビ</t>
    </rPh>
    <rPh sb="7" eb="8">
      <t>コ</t>
    </rPh>
    <rPh sb="10" eb="11">
      <t>アト</t>
    </rPh>
    <rPh sb="12" eb="14">
      <t>キュウヨ</t>
    </rPh>
    <rPh sb="14" eb="16">
      <t>ケイサン</t>
    </rPh>
    <rPh sb="17" eb="18">
      <t>サイ</t>
    </rPh>
    <rPh sb="18" eb="20">
      <t>ケイサン</t>
    </rPh>
    <phoneticPr fontId="2"/>
  </si>
  <si>
    <t>※システム操作日と給与支給日の年月が一致していない場合、給与計算はできません。</t>
    <rPh sb="5" eb="8">
      <t>ソウサビ</t>
    </rPh>
    <rPh sb="9" eb="14">
      <t>キュウヨシキュウビ</t>
    </rPh>
    <rPh sb="15" eb="17">
      <t>ネンゲツ</t>
    </rPh>
    <rPh sb="18" eb="20">
      <t>イッチ</t>
    </rPh>
    <rPh sb="25" eb="27">
      <t>バアイ</t>
    </rPh>
    <rPh sb="28" eb="32">
      <t>キュウヨケイサン</t>
    </rPh>
    <phoneticPr fontId="2"/>
  </si>
  <si>
    <t>勤務データの勤務日が給与支給日マスタの勤務月まで（ただし、同一年度に限る）</t>
    <rPh sb="0" eb="2">
      <t>キンム</t>
    </rPh>
    <rPh sb="6" eb="8">
      <t>キンム</t>
    </rPh>
    <rPh sb="8" eb="9">
      <t>ビ</t>
    </rPh>
    <rPh sb="10" eb="15">
      <t>キュウヨシキュウビ</t>
    </rPh>
    <rPh sb="19" eb="22">
      <t>キンムツキ</t>
    </rPh>
    <rPh sb="29" eb="33">
      <t>ドウイツネンド</t>
    </rPh>
    <rPh sb="34" eb="35">
      <t>カギ</t>
    </rPh>
    <phoneticPr fontId="2"/>
  </si>
  <si>
    <t>法人コード</t>
    <rPh sb="0" eb="2">
      <t>ホウジン</t>
    </rPh>
    <phoneticPr fontId="2"/>
  </si>
  <si>
    <t>10000 固定</t>
    <rPh sb="5" eb="7">
      <t>コテイ</t>
    </rPh>
    <phoneticPr fontId="10"/>
  </si>
  <si>
    <t>インタフェース定義資料変更に基づくフォーマット内容の変更反映</t>
    <rPh sb="7" eb="9">
      <t>テイギ</t>
    </rPh>
    <rPh sb="9" eb="11">
      <t>シリョウ</t>
    </rPh>
    <rPh sb="11" eb="13">
      <t>ヘンコウ</t>
    </rPh>
    <rPh sb="14" eb="15">
      <t>モト</t>
    </rPh>
    <rPh sb="23" eb="25">
      <t>ナイヨウ</t>
    </rPh>
    <rPh sb="26" eb="30">
      <t>ヘンコウハンエイ</t>
    </rPh>
    <phoneticPr fontId="2"/>
  </si>
  <si>
    <r>
      <t>数値</t>
    </r>
    <r>
      <rPr>
        <vertAlign val="superscript"/>
        <sz val="10"/>
        <rFont val="ＭＳ ゴシック"/>
        <family val="3"/>
        <charset val="128"/>
      </rPr>
      <t>※１</t>
    </r>
    <rPh sb="0" eb="2">
      <t>スウチ</t>
    </rPh>
    <phoneticPr fontId="4"/>
  </si>
  <si>
    <t>勤怠枚数</t>
    <rPh sb="0" eb="2">
      <t>キンタイ</t>
    </rPh>
    <rPh sb="2" eb="4">
      <t>マイスウ</t>
    </rPh>
    <phoneticPr fontId="2"/>
  </si>
  <si>
    <t>複数身分識別ＩＤ</t>
    <rPh sb="0" eb="2">
      <t>フクスウ</t>
    </rPh>
    <rPh sb="2" eb="4">
      <t>ミブン</t>
    </rPh>
    <rPh sb="4" eb="6">
      <t>シキベツ</t>
    </rPh>
    <phoneticPr fontId="4"/>
  </si>
  <si>
    <t>職員番号</t>
    <rPh sb="0" eb="2">
      <t>ショクイン</t>
    </rPh>
    <rPh sb="2" eb="4">
      <t>バンゴウ</t>
    </rPh>
    <phoneticPr fontId="4"/>
  </si>
  <si>
    <t>処理回数</t>
    <rPh sb="0" eb="4">
      <t>ショリカイスウ</t>
    </rPh>
    <phoneticPr fontId="4"/>
  </si>
  <si>
    <t>0　固定</t>
    <rPh sb="1" eb="3">
      <t>コテイ</t>
    </rPh>
    <phoneticPr fontId="2"/>
  </si>
  <si>
    <t>勤務時間の集計（小数点以下切り上げの整数値）</t>
    <rPh sb="0" eb="2">
      <t>キンム</t>
    </rPh>
    <rPh sb="2" eb="4">
      <t>ジカン</t>
    </rPh>
    <rPh sb="5" eb="7">
      <t>シュウケイ</t>
    </rPh>
    <rPh sb="8" eb="13">
      <t>ショウスウテンイカ</t>
    </rPh>
    <rPh sb="13" eb="14">
      <t>キ</t>
    </rPh>
    <rPh sb="15" eb="16">
      <t>ア</t>
    </rPh>
    <rPh sb="18" eb="21">
      <t>セイスウチ</t>
    </rPh>
    <phoneticPr fontId="2"/>
  </si>
  <si>
    <t>勤務情報.社員ＩＤ（学生ＩＤ）</t>
    <phoneticPr fontId="10"/>
  </si>
  <si>
    <t>勤務情報.複数身分ＩＤ</t>
    <phoneticPr fontId="10"/>
  </si>
  <si>
    <t>〇出力サンプル（勤務時間集計表）</t>
    <rPh sb="1" eb="3">
      <t>シュツリョク</t>
    </rPh>
    <rPh sb="8" eb="15">
      <t>キンムジカンシュウケイヒョウ</t>
    </rPh>
    <phoneticPr fontId="2"/>
  </si>
  <si>
    <t>〇出力サンプル（二校地間移動回数表）</t>
    <rPh sb="1" eb="3">
      <t>シュツリョク</t>
    </rPh>
    <rPh sb="8" eb="16">
      <t>ニコウチカンイドウカイスウ</t>
    </rPh>
    <rPh sb="16" eb="17">
      <t>ヒョウ</t>
    </rPh>
    <phoneticPr fontId="2"/>
  </si>
  <si>
    <t>職員番号</t>
    <rPh sb="0" eb="2">
      <t>ショクイン</t>
    </rPh>
    <rPh sb="2" eb="4">
      <t>バンゴウ</t>
    </rPh>
    <phoneticPr fontId="2"/>
  </si>
  <si>
    <t>数値</t>
    <rPh sb="0" eb="2">
      <t>スウチ</t>
    </rPh>
    <phoneticPr fontId="2"/>
  </si>
  <si>
    <t>1週間での勤務時間が20時間を超えています。(留学生)</t>
    <rPh sb="1" eb="3">
      <t>シュウカン</t>
    </rPh>
    <rPh sb="5" eb="9">
      <t>キンムジカン</t>
    </rPh>
    <rPh sb="12" eb="14">
      <t>ジカン</t>
    </rPh>
    <rPh sb="15" eb="16">
      <t>コ</t>
    </rPh>
    <rPh sb="23" eb="26">
      <t>リュウガクセイ</t>
    </rPh>
    <phoneticPr fontId="2"/>
  </si>
  <si>
    <t>複数身分ID</t>
    <rPh sb="0" eb="2">
      <t>フクスウ</t>
    </rPh>
    <rPh sb="2" eb="4">
      <t>ミブン</t>
    </rPh>
    <phoneticPr fontId="2"/>
  </si>
  <si>
    <t>勤務時間アラートの1セメスターのアラート条件と職種の複数条件時の出力内容の情報を追記</t>
    <rPh sb="37" eb="39">
      <t>ジョウホウ</t>
    </rPh>
    <rPh sb="40" eb="42">
      <t>ツイキ</t>
    </rPh>
    <phoneticPr fontId="2"/>
  </si>
  <si>
    <t>〇1セメスターのアラート条件について</t>
    <phoneticPr fontId="10"/>
  </si>
  <si>
    <t>対象の勤務月の月初日を参照し、参照日が学年暦マスタのどちらの学期かでセメスターの範囲を取得する。</t>
    <rPh sb="40" eb="42">
      <t>ハンイ</t>
    </rPh>
    <rPh sb="43" eb="45">
      <t>シュトク</t>
    </rPh>
    <phoneticPr fontId="10"/>
  </si>
  <si>
    <t>※例えば1月給与支給日の作業時には秋学期が対象となりますが、仮に過去分の春学期の6月の勤務データが</t>
    <phoneticPr fontId="10"/>
  </si>
  <si>
    <t>集計対象となっても春学期分を考慮したチェックは不要</t>
    <phoneticPr fontId="10"/>
  </si>
  <si>
    <t>〇職種の複数条件時のアラート内容について</t>
    <phoneticPr fontId="10"/>
  </si>
  <si>
    <t>画面遷移図</t>
    <rPh sb="0" eb="5">
      <t>ガメンセンイズ</t>
    </rPh>
    <phoneticPr fontId="2"/>
  </si>
  <si>
    <t>戻るボタンの廃止</t>
    <rPh sb="0" eb="1">
      <t>モド</t>
    </rPh>
    <rPh sb="6" eb="8">
      <t>ハイシ</t>
    </rPh>
    <phoneticPr fontId="2"/>
  </si>
  <si>
    <t>給与計算処理ボタン</t>
    <rPh sb="0" eb="2">
      <t>キュウヨ</t>
    </rPh>
    <rPh sb="2" eb="4">
      <t>ケイサン</t>
    </rPh>
    <rPh sb="4" eb="6">
      <t>ショリ</t>
    </rPh>
    <phoneticPr fontId="11"/>
  </si>
  <si>
    <t>仮集計ボタン</t>
    <rPh sb="0" eb="1">
      <t>カリ</t>
    </rPh>
    <rPh sb="1" eb="3">
      <t>シュウケイ</t>
    </rPh>
    <phoneticPr fontId="11"/>
  </si>
  <si>
    <t>ＤＬボタン</t>
    <phoneticPr fontId="11"/>
  </si>
  <si>
    <t>勤務データの勤務時間集計表、二校地間移動回数表、勤務時間アラート情報、勤務時間集計データ（仮）を出力することができる。</t>
    <rPh sb="0" eb="2">
      <t>キンム</t>
    </rPh>
    <rPh sb="6" eb="8">
      <t>キンム</t>
    </rPh>
    <rPh sb="8" eb="10">
      <t>ジカン</t>
    </rPh>
    <rPh sb="10" eb="12">
      <t>シュウケイ</t>
    </rPh>
    <rPh sb="12" eb="13">
      <t>ヒョウ</t>
    </rPh>
    <rPh sb="14" eb="18">
      <t>ニコウチカン</t>
    </rPh>
    <rPh sb="18" eb="20">
      <t>イドウ</t>
    </rPh>
    <rPh sb="20" eb="22">
      <t>カイスウ</t>
    </rPh>
    <rPh sb="22" eb="23">
      <t>ヒョウ</t>
    </rPh>
    <rPh sb="24" eb="26">
      <t>キンム</t>
    </rPh>
    <rPh sb="26" eb="28">
      <t>ジカン</t>
    </rPh>
    <rPh sb="32" eb="34">
      <t>ジョウホウ</t>
    </rPh>
    <rPh sb="35" eb="41">
      <t>キンムジカンシュウケイ</t>
    </rPh>
    <rPh sb="45" eb="46">
      <t>カリ</t>
    </rPh>
    <rPh sb="48" eb="50">
      <t>シュツリョク</t>
    </rPh>
    <phoneticPr fontId="2"/>
  </si>
  <si>
    <t>支給日は直近の給与計算の対象となる給与支給日を初期値とする。</t>
    <rPh sb="0" eb="3">
      <t>シキュウビ</t>
    </rPh>
    <rPh sb="4" eb="6">
      <t>チョッキン</t>
    </rPh>
    <rPh sb="7" eb="11">
      <t>キュウヨケイサン</t>
    </rPh>
    <rPh sb="12" eb="14">
      <t>タイショウ</t>
    </rPh>
    <rPh sb="17" eb="19">
      <t>キュウヨ</t>
    </rPh>
    <rPh sb="19" eb="22">
      <t>シキュウビ</t>
    </rPh>
    <rPh sb="23" eb="26">
      <t>ショキチ</t>
    </rPh>
    <phoneticPr fontId="11"/>
  </si>
  <si>
    <t>支給日（年）を未選択にすると、支給日（月）はクリアする。</t>
    <rPh sb="0" eb="2">
      <t>シキュウ</t>
    </rPh>
    <rPh sb="2" eb="3">
      <t>ヒ</t>
    </rPh>
    <rPh sb="4" eb="5">
      <t>ネン</t>
    </rPh>
    <rPh sb="7" eb="8">
      <t>ミ</t>
    </rPh>
    <rPh sb="8" eb="10">
      <t>センタク</t>
    </rPh>
    <rPh sb="15" eb="18">
      <t>シキュウビ</t>
    </rPh>
    <rPh sb="19" eb="20">
      <t>ツキ</t>
    </rPh>
    <phoneticPr fontId="2"/>
  </si>
  <si>
    <t>単一職種で超過していても、複数職種での超過と捉えられるワーニングの出力になるため、</t>
    <phoneticPr fontId="10"/>
  </si>
  <si>
    <t>「どの雇用部課・職種」で発生したのかは対象部課に管理者より報告する運用で対応する。</t>
    <rPh sb="33" eb="35">
      <t>ウンヨウ</t>
    </rPh>
    <rPh sb="36" eb="38">
      <t>タイオウ</t>
    </rPh>
    <phoneticPr fontId="10"/>
  </si>
  <si>
    <t>給与計算の抽出条件に該当する全ての勤務データを集計する。</t>
    <rPh sb="0" eb="2">
      <t>キュウヨ</t>
    </rPh>
    <rPh sb="2" eb="4">
      <t>ケイサン</t>
    </rPh>
    <rPh sb="5" eb="7">
      <t>チュウシュツ</t>
    </rPh>
    <rPh sb="7" eb="9">
      <t>ジョウケン</t>
    </rPh>
    <rPh sb="10" eb="12">
      <t>ガイトウ</t>
    </rPh>
    <rPh sb="14" eb="15">
      <t>スベ</t>
    </rPh>
    <rPh sb="17" eb="19">
      <t>キンム</t>
    </rPh>
    <rPh sb="23" eb="25">
      <t>シュウケイ</t>
    </rPh>
    <phoneticPr fontId="2"/>
  </si>
  <si>
    <t>なお、勤務アラートの条件に一致する勤務データが存在した場合は、勤務アラート情報を抽出する。</t>
    <rPh sb="3" eb="5">
      <t>キンム</t>
    </rPh>
    <rPh sb="10" eb="12">
      <t>ジョウケン</t>
    </rPh>
    <rPh sb="13" eb="15">
      <t>イッチ</t>
    </rPh>
    <rPh sb="17" eb="19">
      <t>キンム</t>
    </rPh>
    <rPh sb="23" eb="25">
      <t>ソンザイ</t>
    </rPh>
    <rPh sb="27" eb="29">
      <t>バアイ</t>
    </rPh>
    <rPh sb="31" eb="33">
      <t>キンム</t>
    </rPh>
    <rPh sb="37" eb="39">
      <t>ジョウホウ</t>
    </rPh>
    <rPh sb="40" eb="42">
      <t>チュウシュツ</t>
    </rPh>
    <phoneticPr fontId="2"/>
  </si>
  <si>
    <t>〇ＤＬボタン</t>
    <phoneticPr fontId="10"/>
  </si>
  <si>
    <t>勤務時間集計表</t>
    <rPh sb="0" eb="7">
      <t>キンムジカンシュウケイヒョウ</t>
    </rPh>
    <phoneticPr fontId="10"/>
  </si>
  <si>
    <t>二校地間移動回数表</t>
    <rPh sb="0" eb="4">
      <t>ニコウチカン</t>
    </rPh>
    <rPh sb="4" eb="9">
      <t>イドウカイスウヒョウ</t>
    </rPh>
    <phoneticPr fontId="10"/>
  </si>
  <si>
    <t>勤務アラート情報</t>
    <rPh sb="0" eb="2">
      <t>キンム</t>
    </rPh>
    <rPh sb="6" eb="8">
      <t>ジョウホウ</t>
    </rPh>
    <phoneticPr fontId="10"/>
  </si>
  <si>
    <t>が出力される</t>
    <rPh sb="1" eb="3">
      <t>シュツリョク</t>
    </rPh>
    <phoneticPr fontId="10"/>
  </si>
  <si>
    <t>給与計算処理で集計・抽出された勤務時間集計表、二校地間移動回数表、勤務アラート情報を出力する。</t>
    <rPh sb="0" eb="6">
      <t>キュウヨケイサンショリ</t>
    </rPh>
    <rPh sb="7" eb="9">
      <t>シュウケイ</t>
    </rPh>
    <rPh sb="10" eb="12">
      <t>チュウシュツ</t>
    </rPh>
    <rPh sb="15" eb="22">
      <t>キンムジカンシュウケイヒョウ</t>
    </rPh>
    <rPh sb="23" eb="29">
      <t>ニコウチカンイドウ</t>
    </rPh>
    <rPh sb="29" eb="32">
      <t>カイスウヒョウ</t>
    </rPh>
    <rPh sb="33" eb="35">
      <t>キンム</t>
    </rPh>
    <rPh sb="39" eb="41">
      <t>ジョウホウ</t>
    </rPh>
    <rPh sb="42" eb="44">
      <t>シュツリョク</t>
    </rPh>
    <phoneticPr fontId="10"/>
  </si>
  <si>
    <r>
      <t>勤怠集計</t>
    </r>
    <r>
      <rPr>
        <vertAlign val="superscript"/>
        <sz val="10"/>
        <rFont val="ＭＳ ゴシック"/>
        <family val="3"/>
        <charset val="128"/>
      </rPr>
      <t>※1</t>
    </r>
    <r>
      <rPr>
        <sz val="10"/>
        <rFont val="ＭＳ ゴシック"/>
        <family val="3"/>
        <charset val="128"/>
      </rPr>
      <t>（項目IDごとの集計は不要）</t>
    </r>
    <phoneticPr fontId="2"/>
  </si>
  <si>
    <t>勤務時間　（小数点第三位を切り捨て小数第二位まで表示）</t>
    <rPh sb="0" eb="3">
      <t>キンムジカン</t>
    </rPh>
    <rPh sb="9" eb="12">
      <t>ダイ3イ</t>
    </rPh>
    <rPh sb="13" eb="14">
      <t>キ</t>
    </rPh>
    <rPh sb="15" eb="16">
      <t>ス</t>
    </rPh>
    <rPh sb="17" eb="22">
      <t>ショウスウダイニイ</t>
    </rPh>
    <rPh sb="24" eb="26">
      <t>ヒョウジ</t>
    </rPh>
    <phoneticPr fontId="2"/>
  </si>
  <si>
    <t>勤務情報.勤務日　yyyy/m/d</t>
    <rPh sb="0" eb="1">
      <t>キンム</t>
    </rPh>
    <rPh sb="2" eb="4">
      <t>ジョウホウ</t>
    </rPh>
    <rPh sb="5" eb="7">
      <t>キンム</t>
    </rPh>
    <rPh sb="7" eb="8">
      <t>ビ</t>
    </rPh>
    <phoneticPr fontId="2"/>
  </si>
  <si>
    <t>・</t>
    <phoneticPr fontId="2"/>
  </si>
  <si>
    <t>仮集計ボタンを押下すると、出力者が所属する部署に雇用されている</t>
    <rPh sb="0" eb="3">
      <t>カリシュウケイ</t>
    </rPh>
    <rPh sb="7" eb="9">
      <t>オウカ</t>
    </rPh>
    <rPh sb="13" eb="16">
      <t>シュツリョクシャ</t>
    </rPh>
    <rPh sb="17" eb="19">
      <t>ショゾク</t>
    </rPh>
    <rPh sb="21" eb="23">
      <t>ブショ</t>
    </rPh>
    <rPh sb="24" eb="26">
      <t>コヨウ</t>
    </rPh>
    <phoneticPr fontId="2"/>
  </si>
  <si>
    <t>学生分の勤務時間仮集計表と勤務時間アラートが出力される。</t>
    <rPh sb="0" eb="2">
      <t>ガクセイ</t>
    </rPh>
    <rPh sb="2" eb="3">
      <t>ブン</t>
    </rPh>
    <rPh sb="22" eb="24">
      <t>シュツリョク</t>
    </rPh>
    <phoneticPr fontId="2"/>
  </si>
  <si>
    <t>出力者が所属する部署に雇用されている学生の勤務データを集計し、集計表を出力する。</t>
    <rPh sb="0" eb="2">
      <t>シュツリョク</t>
    </rPh>
    <rPh sb="2" eb="3">
      <t>シャ</t>
    </rPh>
    <rPh sb="4" eb="6">
      <t>ショゾク</t>
    </rPh>
    <rPh sb="8" eb="10">
      <t>ブショ</t>
    </rPh>
    <rPh sb="11" eb="13">
      <t>コヨウ</t>
    </rPh>
    <rPh sb="18" eb="20">
      <t>ガクセイ</t>
    </rPh>
    <rPh sb="21" eb="23">
      <t>キンム</t>
    </rPh>
    <rPh sb="27" eb="29">
      <t>シュウケイ</t>
    </rPh>
    <rPh sb="31" eb="33">
      <t>シュウケイ</t>
    </rPh>
    <rPh sb="33" eb="34">
      <t>ヒョウ</t>
    </rPh>
    <rPh sb="35" eb="37">
      <t>シュツリョク</t>
    </rPh>
    <phoneticPr fontId="2"/>
  </si>
  <si>
    <t>※管理者の場合は、全部署が対象</t>
    <rPh sb="1" eb="4">
      <t>カンリシャ</t>
    </rPh>
    <rPh sb="5" eb="7">
      <t>バアイ</t>
    </rPh>
    <rPh sb="9" eb="12">
      <t>ゼンブショ</t>
    </rPh>
    <rPh sb="13" eb="15">
      <t>タイショウ</t>
    </rPh>
    <phoneticPr fontId="2"/>
  </si>
  <si>
    <t>二校地移動回数</t>
    <phoneticPr fontId="2"/>
  </si>
  <si>
    <t>開講科目コード</t>
    <phoneticPr fontId="2"/>
  </si>
  <si>
    <t>クラスコード</t>
    <phoneticPr fontId="19"/>
  </si>
  <si>
    <t>※1：勤怠集計時間は小数第3位を切り捨てて</t>
    <rPh sb="3" eb="7">
      <t>キンタイシュウケイ</t>
    </rPh>
    <rPh sb="7" eb="9">
      <t>ジカン</t>
    </rPh>
    <rPh sb="10" eb="13">
      <t>ショウスウダイ</t>
    </rPh>
    <rPh sb="14" eb="15">
      <t>イ</t>
    </rPh>
    <rPh sb="16" eb="17">
      <t>キ</t>
    </rPh>
    <rPh sb="18" eb="19">
      <t>ス</t>
    </rPh>
    <phoneticPr fontId="2"/>
  </si>
  <si>
    <t>小数第二位を表示</t>
    <rPh sb="0" eb="5">
      <t>ショウスウダイニイ</t>
    </rPh>
    <rPh sb="6" eb="8">
      <t>ヒョウジ</t>
    </rPh>
    <phoneticPr fontId="2"/>
  </si>
  <si>
    <r>
      <t>勤務時間</t>
    </r>
    <r>
      <rPr>
        <vertAlign val="superscript"/>
        <sz val="10"/>
        <rFont val="ＭＳ ゴシック"/>
        <family val="3"/>
        <charset val="128"/>
      </rPr>
      <t>※1</t>
    </r>
    <r>
      <rPr>
        <sz val="10"/>
        <rFont val="ＭＳ ゴシック"/>
        <family val="3"/>
        <charset val="128"/>
      </rPr>
      <t>（このレコード分の数字）</t>
    </r>
    <rPh sb="0" eb="4">
      <t>キンムジカン</t>
    </rPh>
    <phoneticPr fontId="2"/>
  </si>
  <si>
    <t>※1：勤務時間は小数第3位を切り捨てて</t>
    <rPh sb="3" eb="5">
      <t>キンム</t>
    </rPh>
    <rPh sb="5" eb="7">
      <t>ジカン</t>
    </rPh>
    <rPh sb="8" eb="11">
      <t>ショウスウダイ</t>
    </rPh>
    <rPh sb="12" eb="13">
      <t>イ</t>
    </rPh>
    <rPh sb="14" eb="15">
      <t>キ</t>
    </rPh>
    <rPh sb="16" eb="17">
      <t>ス</t>
    </rPh>
    <phoneticPr fontId="2"/>
  </si>
  <si>
    <t>開始時刻　h:mm</t>
    <phoneticPr fontId="2"/>
  </si>
  <si>
    <t>終了時刻　h:mm</t>
    <phoneticPr fontId="2"/>
  </si>
  <si>
    <t>控除時間　h:mm</t>
    <phoneticPr fontId="19"/>
  </si>
  <si>
    <t>勤務日　yyyy/m/d</t>
    <phoneticPr fontId="2"/>
  </si>
  <si>
    <t>勤務データ仮集計</t>
    <rPh sb="0" eb="2">
      <t>キンム</t>
    </rPh>
    <rPh sb="5" eb="8">
      <t>カリシュウケイ</t>
    </rPh>
    <phoneticPr fontId="2"/>
  </si>
  <si>
    <t>検索条件の変更</t>
    <rPh sb="0" eb="4">
      <t>ケンサクジョウケン</t>
    </rPh>
    <rPh sb="5" eb="7">
      <t>ヘンコウ</t>
    </rPh>
    <phoneticPr fontId="2"/>
  </si>
  <si>
    <t>〇給与計算処理で未承認の勤務データの繰り越し処理</t>
    <rPh sb="1" eb="7">
      <t>キュウヨケイサンショリ</t>
    </rPh>
    <rPh sb="8" eb="11">
      <t>ミショウニン</t>
    </rPh>
    <rPh sb="12" eb="14">
      <t>キンム</t>
    </rPh>
    <phoneticPr fontId="10"/>
  </si>
  <si>
    <t>未承認の勤務データについては、給与計算処理にて翌月の給与支給日に自動更新します。</t>
    <rPh sb="0" eb="3">
      <t>ミショウニン</t>
    </rPh>
    <rPh sb="4" eb="6">
      <t>キンム</t>
    </rPh>
    <rPh sb="15" eb="19">
      <t>キュウヨケイサン</t>
    </rPh>
    <rPh sb="19" eb="21">
      <t>ショリ</t>
    </rPh>
    <rPh sb="23" eb="25">
      <t>ヨクゲツ</t>
    </rPh>
    <rPh sb="26" eb="31">
      <t>キュウヨシキュウビ</t>
    </rPh>
    <rPh sb="32" eb="36">
      <t>ジドウコウシン</t>
    </rPh>
    <phoneticPr fontId="10"/>
  </si>
  <si>
    <t>翌月に更新することで、未承認の勤務データを今時点で最終承認まで進むと支給される給与支給日となり、</t>
    <rPh sb="0" eb="2">
      <t>ヨクゲツ</t>
    </rPh>
    <rPh sb="3" eb="5">
      <t>コウシン</t>
    </rPh>
    <rPh sb="11" eb="14">
      <t>ミショウニン</t>
    </rPh>
    <rPh sb="15" eb="17">
      <t>キンム</t>
    </rPh>
    <rPh sb="21" eb="22">
      <t>イマ</t>
    </rPh>
    <rPh sb="22" eb="24">
      <t>ジテン</t>
    </rPh>
    <rPh sb="25" eb="29">
      <t>サイシュウショウニン</t>
    </rPh>
    <rPh sb="31" eb="32">
      <t>スス</t>
    </rPh>
    <rPh sb="34" eb="36">
      <t>シキュウ</t>
    </rPh>
    <rPh sb="39" eb="44">
      <t>キュウヨシキュウビ</t>
    </rPh>
    <phoneticPr fontId="10"/>
  </si>
  <si>
    <t>勤怠データの承認処理などを行う時の検索条件となる給与支給日として、取り扱うことができます。</t>
  </si>
  <si>
    <t>給与計算処理フロー</t>
    <rPh sb="0" eb="6">
      <t>キュウヨケイサンショリ</t>
    </rPh>
    <phoneticPr fontId="10"/>
  </si>
  <si>
    <t>給与支給日の処理概要　（勤務入力時の給与支給日について）</t>
    <rPh sb="0" eb="5">
      <t>キュウヨシキュウビ</t>
    </rPh>
    <rPh sb="6" eb="10">
      <t>ショリガイヨウ</t>
    </rPh>
    <rPh sb="12" eb="16">
      <t>キンムニュウリョク</t>
    </rPh>
    <rPh sb="16" eb="17">
      <t>ジ</t>
    </rPh>
    <rPh sb="18" eb="23">
      <t>キュウヨシキュウビ</t>
    </rPh>
    <phoneticPr fontId="10"/>
  </si>
  <si>
    <t>木田　優</t>
    <phoneticPr fontId="2"/>
  </si>
  <si>
    <t>2022</t>
    <phoneticPr fontId="2"/>
  </si>
  <si>
    <t>2021</t>
    <phoneticPr fontId="2"/>
  </si>
  <si>
    <t>9/23</t>
    <phoneticPr fontId="2"/>
  </si>
  <si>
    <t>8/23</t>
    <phoneticPr fontId="2"/>
  </si>
  <si>
    <t>7/23</t>
    <phoneticPr fontId="2"/>
  </si>
  <si>
    <t>F08050</t>
    <phoneticPr fontId="10"/>
  </si>
  <si>
    <t>TA 月2　経済学-2　近藤</t>
    <rPh sb="3" eb="4">
      <t>ゲツ</t>
    </rPh>
    <rPh sb="6" eb="9">
      <t>ケイザイガク</t>
    </rPh>
    <rPh sb="12" eb="14">
      <t>コンドウ</t>
    </rPh>
    <phoneticPr fontId="2"/>
  </si>
  <si>
    <t>ダウンロードファイル名の変更
（2024年度保守_項番24）</t>
    <rPh sb="10" eb="11">
      <t>メイ</t>
    </rPh>
    <rPh sb="12" eb="14">
      <t>ヘンコウ</t>
    </rPh>
    <rPh sb="20" eb="22">
      <t>ネンド</t>
    </rPh>
    <rPh sb="22" eb="24">
      <t>ホシュ</t>
    </rPh>
    <rPh sb="25" eb="27">
      <t>コウバン</t>
    </rPh>
    <phoneticPr fontId="2"/>
  </si>
  <si>
    <t>〇勤務情報集計表と勤務時間仮集計表の勤務時間の端数処理について</t>
    <rPh sb="1" eb="3">
      <t>キンム</t>
    </rPh>
    <rPh sb="3" eb="5">
      <t>ジョウホウ</t>
    </rPh>
    <rPh sb="5" eb="8">
      <t>シュウケイヒョウ</t>
    </rPh>
    <rPh sb="9" eb="11">
      <t>キンム</t>
    </rPh>
    <rPh sb="11" eb="13">
      <t>ジカン</t>
    </rPh>
    <rPh sb="13" eb="14">
      <t>カリ</t>
    </rPh>
    <rPh sb="14" eb="16">
      <t>シュウケイ</t>
    </rPh>
    <rPh sb="16" eb="17">
      <t>ヒョウ</t>
    </rPh>
    <rPh sb="18" eb="20">
      <t>キンム</t>
    </rPh>
    <rPh sb="20" eb="22">
      <t>ジカン</t>
    </rPh>
    <rPh sb="23" eb="25">
      <t>ハスウ</t>
    </rPh>
    <rPh sb="25" eb="27">
      <t>ショリ</t>
    </rPh>
    <phoneticPr fontId="10"/>
  </si>
  <si>
    <t>変更</t>
    <rPh sb="0" eb="2">
      <t>ヘンコウ</t>
    </rPh>
    <phoneticPr fontId="2"/>
  </si>
  <si>
    <t>給与計算処理</t>
    <rPh sb="0" eb="6">
      <t>キュウヨケイサンショリ</t>
    </rPh>
    <phoneticPr fontId="2"/>
  </si>
  <si>
    <t>勤務情報集計表と勤務時間仮集計表の勤務時間の端数処理の補足説明を追記</t>
    <rPh sb="27" eb="29">
      <t>ホソク</t>
    </rPh>
    <rPh sb="29" eb="31">
      <t>セツメイ</t>
    </rPh>
    <rPh sb="32" eb="34">
      <t>ツイキ</t>
    </rPh>
    <phoneticPr fontId="2"/>
  </si>
  <si>
    <t>勤務情報集計表</t>
    <rPh sb="0" eb="4">
      <t>キンムジョウホウ</t>
    </rPh>
    <rPh sb="4" eb="7">
      <t>シュウケイヒョウ</t>
    </rPh>
    <phoneticPr fontId="10"/>
  </si>
  <si>
    <t>勤務時間の端数処理：</t>
    <rPh sb="0" eb="4">
      <t>キンムジカン</t>
    </rPh>
    <rPh sb="5" eb="9">
      <t>ハスウショリ</t>
    </rPh>
    <phoneticPr fontId="10"/>
  </si>
  <si>
    <t>勤務時間仮集計表</t>
    <rPh sb="0" eb="2">
      <t>キンム</t>
    </rPh>
    <rPh sb="2" eb="4">
      <t>ジカン</t>
    </rPh>
    <rPh sb="4" eb="5">
      <t>カリ</t>
    </rPh>
    <rPh sb="5" eb="7">
      <t>シュウケイ</t>
    </rPh>
    <rPh sb="7" eb="8">
      <t>ヒョウ</t>
    </rPh>
    <phoneticPr fontId="10"/>
  </si>
  <si>
    <t>勤務時間</t>
    <rPh sb="0" eb="4">
      <t>キンムジカン</t>
    </rPh>
    <phoneticPr fontId="10"/>
  </si>
  <si>
    <t>終了時間</t>
    <rPh sb="0" eb="4">
      <t>シュウリョウジカン</t>
    </rPh>
    <phoneticPr fontId="10"/>
  </si>
  <si>
    <t>開始時間</t>
    <rPh sb="0" eb="4">
      <t>カイシジカン</t>
    </rPh>
    <phoneticPr fontId="10"/>
  </si>
  <si>
    <t>勤務時間（数値）</t>
    <rPh sb="0" eb="4">
      <t>キンムジカン</t>
    </rPh>
    <rPh sb="5" eb="7">
      <t>スウチ</t>
    </rPh>
    <phoneticPr fontId="10"/>
  </si>
  <si>
    <t>勤務時間の端数処理例</t>
    <rPh sb="0" eb="4">
      <t>キンムジカン</t>
    </rPh>
    <rPh sb="5" eb="9">
      <t>ハスウショリ</t>
    </rPh>
    <rPh sb="9" eb="10">
      <t>レイ</t>
    </rPh>
    <phoneticPr fontId="10"/>
  </si>
  <si>
    <t>（仮集計結果）</t>
    <rPh sb="1" eb="6">
      <t>カリシュウケイケッカ</t>
    </rPh>
    <phoneticPr fontId="10"/>
  </si>
  <si>
    <t>（仮集計対象データ一覧）</t>
    <rPh sb="1" eb="4">
      <t>カリシュウケイ</t>
    </rPh>
    <rPh sb="4" eb="6">
      <t>タイショウ</t>
    </rPh>
    <rPh sb="9" eb="11">
      <t>イチラン</t>
    </rPh>
    <phoneticPr fontId="10"/>
  </si>
  <si>
    <t>勤務時間仮集計表</t>
    <rPh sb="0" eb="4">
      <t>キンムジカン</t>
    </rPh>
    <rPh sb="4" eb="5">
      <t>カリ</t>
    </rPh>
    <rPh sb="5" eb="7">
      <t>シュウケイ</t>
    </rPh>
    <rPh sb="7" eb="8">
      <t>ヒョウ</t>
    </rPh>
    <phoneticPr fontId="10"/>
  </si>
  <si>
    <t>勤務日</t>
    <rPh sb="0" eb="3">
      <t>キンムビ</t>
    </rPh>
    <phoneticPr fontId="10"/>
  </si>
  <si>
    <t>小数第4位を四捨五入</t>
    <rPh sb="0" eb="3">
      <t>ショウスウダイ</t>
    </rPh>
    <rPh sb="4" eb="5">
      <t>イ</t>
    </rPh>
    <rPh sb="6" eb="10">
      <t>シシャゴニュウ</t>
    </rPh>
    <phoneticPr fontId="10"/>
  </si>
  <si>
    <t>小数第3位を切り捨て</t>
    <rPh sb="0" eb="3">
      <t>ショウスウダイ</t>
    </rPh>
    <rPh sb="4" eb="5">
      <t>イ</t>
    </rPh>
    <rPh sb="6" eb="7">
      <t>キ</t>
    </rPh>
    <rPh sb="8" eb="9">
      <t>ス</t>
    </rPh>
    <phoneticPr fontId="10"/>
  </si>
  <si>
    <t>小数切り上げの整数値→</t>
    <rPh sb="0" eb="2">
      <t>ショウスウ</t>
    </rPh>
    <rPh sb="2" eb="3">
      <t>キ</t>
    </rPh>
    <rPh sb="4" eb="5">
      <t>ア</t>
    </rPh>
    <rPh sb="7" eb="10">
      <t>セイスウチ</t>
    </rPh>
    <phoneticPr fontId="10"/>
  </si>
  <si>
    <t>小数第4位を四捨五入（勤務日毎）</t>
    <rPh sb="0" eb="2">
      <t>ショウスウ</t>
    </rPh>
    <rPh sb="2" eb="3">
      <t>ダイ</t>
    </rPh>
    <rPh sb="4" eb="5">
      <t>イ</t>
    </rPh>
    <rPh sb="6" eb="10">
      <t>シシャゴニュウ</t>
    </rPh>
    <rPh sb="11" eb="15">
      <t>キンムビゴト</t>
    </rPh>
    <phoneticPr fontId="10"/>
  </si>
  <si>
    <t>小数第3位を切り捨て（勤務レコード毎）</t>
    <rPh sb="0" eb="2">
      <t>ショウスウ</t>
    </rPh>
    <rPh sb="2" eb="3">
      <t>ダイ</t>
    </rPh>
    <rPh sb="4" eb="5">
      <t>イ</t>
    </rPh>
    <rPh sb="6" eb="7">
      <t>キ</t>
    </rPh>
    <rPh sb="8" eb="9">
      <t>ス</t>
    </rPh>
    <rPh sb="11" eb="13">
      <t>キンム</t>
    </rPh>
    <rPh sb="17" eb="18">
      <t>ゴト</t>
    </rPh>
    <phoneticPr fontId="10"/>
  </si>
  <si>
    <t>ファイル名：『勤務時間仮集計表_[ユーザID]_yyyymmdd.xlsx』</t>
    <rPh sb="4" eb="5">
      <t>メイ</t>
    </rPh>
    <rPh sb="7" eb="9">
      <t>キンム</t>
    </rPh>
    <rPh sb="9" eb="11">
      <t>ジカン</t>
    </rPh>
    <rPh sb="11" eb="15">
      <t>カリシュウケイヒョウ</t>
    </rPh>
    <phoneticPr fontId="2"/>
  </si>
  <si>
    <t>勤務時間アラートの留学生の週28時間チェックを28時間以上から28時間超に変更</t>
    <rPh sb="0" eb="4">
      <t>キンムジカン</t>
    </rPh>
    <rPh sb="9" eb="12">
      <t>リュウガクセイ</t>
    </rPh>
    <rPh sb="13" eb="14">
      <t>シュウ</t>
    </rPh>
    <rPh sb="16" eb="18">
      <t>ジカン</t>
    </rPh>
    <rPh sb="25" eb="27">
      <t>ジカン</t>
    </rPh>
    <rPh sb="27" eb="29">
      <t>イジョウ</t>
    </rPh>
    <rPh sb="33" eb="36">
      <t>ジカンチョウ</t>
    </rPh>
    <rPh sb="37" eb="39">
      <t>ヘンコウ</t>
    </rPh>
    <phoneticPr fontId="2"/>
  </si>
  <si>
    <t>2025年度改修_項番2</t>
    <rPh sb="4" eb="8">
      <t>ネンドカイシュウ</t>
    </rPh>
    <rPh sb="9" eb="11">
      <t>コウバン</t>
    </rPh>
    <phoneticPr fontId="10"/>
  </si>
  <si>
    <t>（身分より職種の方がわかりやすいので、修正）</t>
    <rPh sb="1" eb="3">
      <t>ミブン</t>
    </rPh>
    <rPh sb="5" eb="7">
      <t>ショクシュ</t>
    </rPh>
    <rPh sb="8" eb="9">
      <t>ホウ</t>
    </rPh>
    <rPh sb="19" eb="21">
      <t>シュウセイ</t>
    </rPh>
    <phoneticPr fontId="10"/>
  </si>
  <si>
    <t>（全員より全職種の方がわかりやすいので、修正）</t>
    <rPh sb="1" eb="3">
      <t>ゼンイン</t>
    </rPh>
    <rPh sb="5" eb="6">
      <t>ゼン</t>
    </rPh>
    <rPh sb="6" eb="8">
      <t>ショクシュ</t>
    </rPh>
    <rPh sb="9" eb="10">
      <t>ホウ</t>
    </rPh>
    <rPh sb="20" eb="22">
      <t>シュウセイ</t>
    </rPh>
    <phoneticPr fontId="10"/>
  </si>
  <si>
    <t>（学生アルバイトより一般の方がわかりやすいので、修正）</t>
    <rPh sb="1" eb="3">
      <t>ガクセイ</t>
    </rPh>
    <rPh sb="10" eb="12">
      <t>イッパン</t>
    </rPh>
    <rPh sb="13" eb="14">
      <t>ホウ</t>
    </rPh>
    <rPh sb="24" eb="26">
      <t>シュウセイ</t>
    </rPh>
    <phoneticPr fontId="10"/>
  </si>
  <si>
    <t>一般</t>
    <rPh sb="0" eb="2">
      <t>イッパン</t>
    </rPh>
    <phoneticPr fontId="21"/>
  </si>
  <si>
    <t>一般</t>
    <rPh sb="0" eb="2">
      <t>イッパン</t>
    </rPh>
    <phoneticPr fontId="1"/>
  </si>
  <si>
    <t>〇</t>
    <phoneticPr fontId="10"/>
  </si>
  <si>
    <t>例：</t>
    <rPh sb="0" eb="1">
      <t>レイ</t>
    </rPh>
    <phoneticPr fontId="10"/>
  </si>
  <si>
    <t>雇用部課</t>
    <rPh sb="0" eb="4">
      <t>コヨウブカ</t>
    </rPh>
    <phoneticPr fontId="10"/>
  </si>
  <si>
    <t>社員ＩＤ</t>
    <rPh sb="0" eb="2">
      <t>シャイン</t>
    </rPh>
    <phoneticPr fontId="10"/>
  </si>
  <si>
    <t>13111551</t>
    <phoneticPr fontId="10"/>
  </si>
  <si>
    <t>経済学部･研究科</t>
    <phoneticPr fontId="10"/>
  </si>
  <si>
    <t>勤務時間</t>
    <rPh sb="0" eb="4">
      <t>キンムジカン</t>
    </rPh>
    <phoneticPr fontId="10"/>
  </si>
  <si>
    <t>勤務日</t>
    <rPh sb="0" eb="2">
      <t>キンム</t>
    </rPh>
    <rPh sb="2" eb="3">
      <t>ヒ</t>
    </rPh>
    <phoneticPr fontId="10"/>
  </si>
  <si>
    <t>2025/6/2(月)</t>
    <rPh sb="9" eb="10">
      <t>ゲツ</t>
    </rPh>
    <phoneticPr fontId="10"/>
  </si>
  <si>
    <t>職種</t>
    <rPh sb="0" eb="2">
      <t>ショクシュ</t>
    </rPh>
    <phoneticPr fontId="10"/>
  </si>
  <si>
    <t>TA</t>
    <phoneticPr fontId="10"/>
  </si>
  <si>
    <t>9：00～13：00</t>
    <phoneticPr fontId="10"/>
  </si>
  <si>
    <t>14：00～18：00</t>
    <phoneticPr fontId="10"/>
  </si>
  <si>
    <t>文学部・研究科</t>
    <rPh sb="0" eb="3">
      <t>ブンガクブ</t>
    </rPh>
    <rPh sb="4" eb="7">
      <t>ケンキュウカ</t>
    </rPh>
    <phoneticPr fontId="10"/>
  </si>
  <si>
    <t>RA</t>
    <phoneticPr fontId="10"/>
  </si>
  <si>
    <t>固定でセットする雇用部課、職種については以下の通りとする。</t>
    <rPh sb="8" eb="12">
      <t>コヨウブカ</t>
    </rPh>
    <rPh sb="13" eb="15">
      <t>ショクシュ</t>
    </rPh>
    <rPh sb="20" eb="22">
      <t>イカ</t>
    </rPh>
    <phoneticPr fontId="10"/>
  </si>
  <si>
    <t>職種</t>
    <rPh sb="0" eb="2">
      <t>ショクシュ</t>
    </rPh>
    <phoneticPr fontId="10"/>
  </si>
  <si>
    <t>アラート番号</t>
    <rPh sb="4" eb="6">
      <t>バンゴウ</t>
    </rPh>
    <phoneticPr fontId="10"/>
  </si>
  <si>
    <t>＃16</t>
    <phoneticPr fontId="10"/>
  </si>
  <si>
    <t>雇用部課</t>
    <rPh sb="0" eb="4">
      <t>コヨウブカ</t>
    </rPh>
    <phoneticPr fontId="10"/>
  </si>
  <si>
    <t>＃17</t>
    <phoneticPr fontId="10"/>
  </si>
  <si>
    <t>空白</t>
    <rPh sb="0" eb="2">
      <t>クウハク</t>
    </rPh>
    <phoneticPr fontId="10"/>
  </si>
  <si>
    <t>"アシスタント合計"</t>
    <rPh sb="7" eb="9">
      <t>ゴウケイ</t>
    </rPh>
    <phoneticPr fontId="10"/>
  </si>
  <si>
    <t>"学生合計"</t>
    <rPh sb="1" eb="5">
      <t>ガクセイゴウケイ</t>
    </rPh>
    <phoneticPr fontId="10"/>
  </si>
  <si>
    <t>勤務時間アラートの職種合計の対象職種からSAを除外する
勤務時間アラートを担当者が出力する時、別雇用部課の勤務時間要因によるアラートは出力しない
（2025年度改修_項番2）</t>
    <rPh sb="0" eb="4">
      <t>キンムジカン</t>
    </rPh>
    <rPh sb="9" eb="13">
      <t>ショクシュゴウケイ</t>
    </rPh>
    <rPh sb="14" eb="16">
      <t>タイショウ</t>
    </rPh>
    <rPh sb="16" eb="18">
      <t>ショクシュ</t>
    </rPh>
    <rPh sb="23" eb="25">
      <t>ジョガイ</t>
    </rPh>
    <rPh sb="28" eb="30">
      <t>キンム</t>
    </rPh>
    <rPh sb="30" eb="32">
      <t>ジカン</t>
    </rPh>
    <rPh sb="37" eb="40">
      <t>タントウシャ</t>
    </rPh>
    <rPh sb="41" eb="43">
      <t>シュツリョク</t>
    </rPh>
    <rPh sb="45" eb="46">
      <t>トキ</t>
    </rPh>
    <rPh sb="47" eb="48">
      <t>ベツ</t>
    </rPh>
    <rPh sb="48" eb="52">
      <t>コヨウブカ</t>
    </rPh>
    <rPh sb="53" eb="55">
      <t>キンム</t>
    </rPh>
    <rPh sb="55" eb="57">
      <t>ジカン</t>
    </rPh>
    <rPh sb="57" eb="59">
      <t>ヨウイン</t>
    </rPh>
    <rPh sb="67" eb="69">
      <t>シュツリョク</t>
    </rPh>
    <rPh sb="78" eb="82">
      <t>ネンドカイシュウ</t>
    </rPh>
    <rPh sb="83" eb="85">
      <t>コウバン</t>
    </rPh>
    <phoneticPr fontId="2"/>
  </si>
  <si>
    <t>複数雇用されている学生の勤務アラートについて</t>
    <rPh sb="0" eb="2">
      <t>フクスウ</t>
    </rPh>
    <rPh sb="2" eb="4">
      <t>コヨウ</t>
    </rPh>
    <rPh sb="9" eb="11">
      <t>ガクセイ</t>
    </rPh>
    <rPh sb="12" eb="14">
      <t>キンム</t>
    </rPh>
    <phoneticPr fontId="10"/>
  </si>
  <si>
    <t>担当者が出力する勤務時間アラートでは担当者の雇用部課での勤務がない場合、出力しない</t>
    <rPh sb="0" eb="3">
      <t>タントウシャ</t>
    </rPh>
    <rPh sb="4" eb="6">
      <t>シュツリョク</t>
    </rPh>
    <rPh sb="8" eb="12">
      <t>キンムジカン</t>
    </rPh>
    <rPh sb="18" eb="21">
      <t>タントウシャ</t>
    </rPh>
    <rPh sb="22" eb="26">
      <t>コヨウブカ</t>
    </rPh>
    <rPh sb="28" eb="30">
      <t>キンム</t>
    </rPh>
    <rPh sb="33" eb="35">
      <t>バアイ</t>
    </rPh>
    <rPh sb="36" eb="38">
      <t>シュツリョク</t>
    </rPh>
    <phoneticPr fontId="10"/>
  </si>
  <si>
    <t>※管理者は出力する</t>
    <rPh sb="1" eb="4">
      <t>カンリシャ</t>
    </rPh>
    <rPh sb="5" eb="7">
      <t>シュツリョク</t>
    </rPh>
    <phoneticPr fontId="10"/>
  </si>
  <si>
    <t>下記例の場合、経済学部の担当者が出力する勤務時間アラートには出力されない</t>
    <rPh sb="0" eb="3">
      <t>カキレイ</t>
    </rPh>
    <rPh sb="4" eb="6">
      <t>バアイ</t>
    </rPh>
    <rPh sb="7" eb="9">
      <t>ケイザイ</t>
    </rPh>
    <rPh sb="9" eb="11">
      <t>ガクブ</t>
    </rPh>
    <rPh sb="12" eb="15">
      <t>タントウシャ</t>
    </rPh>
    <rPh sb="16" eb="18">
      <t>シュツリョク</t>
    </rPh>
    <rPh sb="20" eb="24">
      <t>キンムジカン</t>
    </rPh>
    <rPh sb="30" eb="32">
      <t>シュツリョク</t>
    </rPh>
    <phoneticPr fontId="10"/>
  </si>
  <si>
    <t>2025/6/3(火)</t>
    <rPh sb="9" eb="10">
      <t>ヒ</t>
    </rPh>
    <phoneticPr fontId="10"/>
  </si>
  <si>
    <t>10：00～12：00</t>
    <phoneticPr fontId="10"/>
  </si>
  <si>
    <t>アラートメッセージ</t>
    <phoneticPr fontId="10"/>
  </si>
  <si>
    <t>下記例の場合、文学部・経済学部の担当者が出力する勤務時間アラートに出力される</t>
    <rPh sb="0" eb="3">
      <t>カキレイ</t>
    </rPh>
    <rPh sb="4" eb="6">
      <t>バアイ</t>
    </rPh>
    <rPh sb="7" eb="10">
      <t>ブンガクブ</t>
    </rPh>
    <rPh sb="11" eb="13">
      <t>ケイザイ</t>
    </rPh>
    <rPh sb="13" eb="15">
      <t>ガクブ</t>
    </rPh>
    <rPh sb="16" eb="19">
      <t>タントウシャ</t>
    </rPh>
    <rPh sb="20" eb="22">
      <t>シュツリョク</t>
    </rPh>
    <rPh sb="24" eb="28">
      <t>キンムジカン</t>
    </rPh>
    <rPh sb="33" eb="35">
      <t>シュツリョク</t>
    </rPh>
    <phoneticPr fontId="10"/>
  </si>
  <si>
    <t>←文学部の担当者が出力した場合のみ出力される</t>
    <rPh sb="1" eb="4">
      <t>ブンガクブ</t>
    </rPh>
    <rPh sb="5" eb="8">
      <t>タントウシャ</t>
    </rPh>
    <rPh sb="9" eb="11">
      <t>シュツリョク</t>
    </rPh>
    <rPh sb="13" eb="15">
      <t>バアイ</t>
    </rPh>
    <rPh sb="17" eb="19">
      <t>シュツリョク</t>
    </rPh>
    <phoneticPr fontId="10"/>
  </si>
  <si>
    <t>←文学部・経済学部のどちらの担当者が出力した場合も出力される</t>
    <rPh sb="1" eb="4">
      <t>ブンガクブ</t>
    </rPh>
    <rPh sb="5" eb="9">
      <t>ケイザイガクブ</t>
    </rPh>
    <rPh sb="14" eb="17">
      <t>タントウシャ</t>
    </rPh>
    <rPh sb="18" eb="20">
      <t>シュツリョク</t>
    </rPh>
    <rPh sb="22" eb="24">
      <t>バアイ</t>
    </rPh>
    <rPh sb="25" eb="27">
      <t>シュツリョク</t>
    </rPh>
    <phoneticPr fontId="10"/>
  </si>
  <si>
    <t>2025/6/4(水)</t>
    <rPh sb="9" eb="10">
      <t>スイ</t>
    </rPh>
    <phoneticPr fontId="10"/>
  </si>
  <si>
    <t>10：00～13：00</t>
    <phoneticPr fontId="10"/>
  </si>
  <si>
    <r>
      <t>種別が学生アルバイトの場合、1週20時間</t>
    </r>
    <r>
      <rPr>
        <strike/>
        <sz val="10"/>
        <color theme="1"/>
        <rFont val="ＭＳ Ｐゴシック"/>
        <family val="3"/>
        <charset val="128"/>
      </rPr>
      <t>以上</t>
    </r>
    <r>
      <rPr>
        <sz val="10"/>
        <color theme="1"/>
        <rFont val="ＭＳ Ｐゴシック"/>
        <family val="3"/>
        <charset val="128"/>
      </rPr>
      <t>超過
（どの曜日から起算しても1週間）</t>
    </r>
    <rPh sb="15" eb="16">
      <t>シュウ</t>
    </rPh>
    <rPh sb="18" eb="20">
      <t>ジカン</t>
    </rPh>
    <rPh sb="20" eb="22">
      <t>イジョウ</t>
    </rPh>
    <rPh sb="22" eb="24">
      <t>チョウカ</t>
    </rPh>
    <phoneticPr fontId="2"/>
  </si>
  <si>
    <r>
      <t>TA,</t>
    </r>
    <r>
      <rPr>
        <strike/>
        <sz val="10"/>
        <color theme="1"/>
        <rFont val="ＭＳ Ｐゴシック"/>
        <family val="3"/>
        <charset val="128"/>
      </rPr>
      <t>SA,</t>
    </r>
    <r>
      <rPr>
        <sz val="10"/>
        <color theme="1"/>
        <rFont val="ＭＳ Ｐゴシック"/>
        <family val="3"/>
        <charset val="128"/>
      </rPr>
      <t>RA,LA,研究活動等支援員</t>
    </r>
    <rPh sb="12" eb="14">
      <t>ケンキュウ</t>
    </rPh>
    <rPh sb="14" eb="16">
      <t>カツドウ</t>
    </rPh>
    <rPh sb="16" eb="17">
      <t>トウ</t>
    </rPh>
    <rPh sb="17" eb="19">
      <t>シエン</t>
    </rPh>
    <rPh sb="19" eb="20">
      <t>イン</t>
    </rPh>
    <phoneticPr fontId="1"/>
  </si>
  <si>
    <t>左記職種での勤務の合計で下記を超過</t>
    <rPh sb="0" eb="2">
      <t>サキ</t>
    </rPh>
    <rPh sb="2" eb="4">
      <t>ショクシュ</t>
    </rPh>
    <rPh sb="6" eb="8">
      <t>キンム</t>
    </rPh>
    <rPh sb="9" eb="11">
      <t>ゴウケイ</t>
    </rPh>
    <rPh sb="12" eb="14">
      <t>カキ</t>
    </rPh>
    <rPh sb="15" eb="17">
      <t>チョウカ</t>
    </rPh>
    <phoneticPr fontId="1"/>
  </si>
  <si>
    <t>全職種</t>
    <rPh sb="0" eb="1">
      <t>ゼン</t>
    </rPh>
    <rPh sb="1" eb="3">
      <t>ショクシュ</t>
    </rPh>
    <phoneticPr fontId="1"/>
  </si>
  <si>
    <t>全職種での勤務の合計で下記を超過</t>
    <rPh sb="0" eb="1">
      <t>ゼン</t>
    </rPh>
    <rPh sb="1" eb="3">
      <t>ショクシュ</t>
    </rPh>
    <rPh sb="5" eb="7">
      <t>キンム</t>
    </rPh>
    <rPh sb="8" eb="10">
      <t>ゴウケイ</t>
    </rPh>
    <rPh sb="11" eb="13">
      <t>カキ</t>
    </rPh>
    <rPh sb="14" eb="16">
      <t>チョウカ</t>
    </rPh>
    <phoneticPr fontId="1"/>
  </si>
  <si>
    <t>左記職種での勤務が3ヵ月連続で発生</t>
    <rPh sb="0" eb="2">
      <t>サキ</t>
    </rPh>
    <rPh sb="2" eb="4">
      <t>ショクシュ</t>
    </rPh>
    <rPh sb="6" eb="8">
      <t>キンム</t>
    </rPh>
    <rPh sb="11" eb="12">
      <t>ゲツ</t>
    </rPh>
    <rPh sb="12" eb="14">
      <t>レンゾク</t>
    </rPh>
    <rPh sb="15" eb="17">
      <t>ハッセイ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</si>
</sst>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0.00_ "/>
    <numFmt numFmtId="178" formatCode="yyyy/m"/>
    <numFmt numFmtId="179" formatCode="0.000"/>
  </numFmts>
  <fonts count="30"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9"/>
      <name val="ＭＳ ゴシック"/>
      <family val="3"/>
      <charset val="128"/>
    </font>
    <font>
      <sz val="10"/>
      <color theme="6" tint="-0.499984740745262"/>
      <name val="ＭＳ ゴシック"/>
      <family val="3"/>
      <charset val="128"/>
    </font>
    <font>
      <vertAlign val="superscript"/>
      <sz val="10"/>
      <name val="ＭＳ ゴシック"/>
      <family val="3"/>
      <charset val="128"/>
    </font>
    <font>
      <sz val="11"/>
      <color theme="1"/>
      <name val="ＭＳ Ｐゴシック"/>
      <family val="2"/>
      <scheme val="minor"/>
    </font>
    <font>
      <sz val="6"/>
      <name val="ＭＳ Ｐゴシック"/>
      <family val="3"/>
      <charset val="128"/>
      <scheme val="minor"/>
    </font>
    <font>
      <sz val="11"/>
      <color theme="1"/>
      <name val="ＭＳ Ｐゴシック"/>
      <family val="3"/>
      <charset val="128"/>
      <scheme val="minor"/>
    </font>
    <font>
      <b/>
      <sz val="15"/>
      <color theme="3"/>
      <name val="BIZ UDゴシック"/>
      <family val="2"/>
      <charset val="128"/>
    </font>
    <font>
      <sz val="6"/>
      <name val="ＭＳ ゴシック"/>
      <family val="3"/>
      <charset val="128"/>
    </font>
    <font>
      <strike/>
      <sz val="10"/>
      <name val="ＭＳ ゴシック"/>
      <family val="3"/>
      <charset val="128"/>
    </font>
    <font>
      <strike/>
      <sz val="10"/>
      <name val="ＭＳ Ｐゴシック"/>
      <family val="3"/>
      <charset val="128"/>
    </font>
    <font>
      <sz val="10"/>
      <color rgb="FFFF0000"/>
      <name val="ＭＳ Ｐゴシック"/>
      <family val="3"/>
      <charset val="128"/>
    </font>
    <font>
      <sz val="10"/>
      <color theme="1"/>
      <name val="ＭＳ 明朝"/>
      <family val="1"/>
      <charset val="128"/>
    </font>
    <font>
      <sz val="10"/>
      <color theme="1"/>
      <name val="ＭＳ Ｐゴシック"/>
      <family val="3"/>
      <charset val="128"/>
    </font>
    <font>
      <sz val="10"/>
      <color theme="1"/>
      <name val="ＭＳ ゴシック"/>
      <family val="3"/>
      <charset val="128"/>
    </font>
    <font>
      <strike/>
      <sz val="10"/>
      <color theme="1"/>
      <name val="ＭＳ Ｐゴシック"/>
      <family val="3"/>
      <charset val="128"/>
    </font>
  </fonts>
  <fills count="17">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lightDown">
        <fgColor theme="0" tint="-0.14996795556505021"/>
        <bgColor theme="0"/>
      </patternFill>
    </fill>
    <fill>
      <patternFill patternType="solid">
        <fgColor theme="1" tint="0.34998626667073579"/>
        <bgColor indexed="64"/>
      </patternFill>
    </fill>
    <fill>
      <patternFill patternType="solid">
        <fgColor theme="9" tint="0.79998168889431442"/>
        <bgColor indexed="64"/>
      </patternFill>
    </fill>
    <fill>
      <patternFill patternType="solid">
        <fgColor theme="9" tint="0.59999389629810485"/>
        <bgColor indexed="64"/>
      </patternFill>
    </fill>
    <fill>
      <patternFill patternType="lightDown">
        <fgColor theme="0" tint="-0.14996795556505021"/>
        <bgColor indexed="65"/>
      </patternFill>
    </fill>
    <fill>
      <patternFill patternType="solid">
        <fgColor theme="0" tint="-4.9989318521683403E-2"/>
        <bgColor indexed="64"/>
      </patternFill>
    </fill>
  </fills>
  <borders count="7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thin">
        <color theme="6" tint="-0.499984740745262"/>
      </left>
      <right/>
      <top style="medium">
        <color theme="6" tint="-0.499984740745262"/>
      </top>
      <bottom style="thin">
        <color theme="6" tint="-0.499984740745262"/>
      </bottom>
      <diagonal/>
    </border>
    <border>
      <left/>
      <right/>
      <top style="medium">
        <color theme="6" tint="-0.499984740745262"/>
      </top>
      <bottom style="thin">
        <color theme="6" tint="-0.499984740745262"/>
      </bottom>
      <diagonal/>
    </border>
    <border>
      <left/>
      <right style="thin">
        <color theme="6" tint="-0.499984740745262"/>
      </right>
      <top style="medium">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4">
    <xf numFmtId="0" fontId="0" fillId="0" borderId="0"/>
    <xf numFmtId="0" fontId="1" fillId="0" borderId="0"/>
    <xf numFmtId="0" fontId="18" fillId="0" borderId="0"/>
    <xf numFmtId="0" fontId="20" fillId="0" borderId="0">
      <alignment vertical="center"/>
    </xf>
  </cellStyleXfs>
  <cellXfs count="400">
    <xf numFmtId="0" fontId="0" fillId="0" borderId="0" xfId="0"/>
    <xf numFmtId="0" fontId="1" fillId="0" borderId="0" xfId="0" applyFont="1"/>
    <xf numFmtId="0" fontId="1" fillId="0" borderId="0" xfId="0" applyFont="1" applyAlignment="1">
      <alignment vertical="center"/>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0" xfId="0"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6" fillId="0" borderId="0" xfId="0" applyFont="1"/>
    <xf numFmtId="0" fontId="4" fillId="0" borderId="0" xfId="0" applyFont="1"/>
    <xf numFmtId="49" fontId="1" fillId="0" borderId="0" xfId="0" applyNumberFormat="1" applyFont="1"/>
    <xf numFmtId="0" fontId="5" fillId="0" borderId="0" xfId="0" applyFont="1"/>
    <xf numFmtId="0" fontId="5" fillId="0" borderId="0" xfId="0" applyFont="1" applyAlignment="1">
      <alignment vertical="center"/>
    </xf>
    <xf numFmtId="0" fontId="9" fillId="0" borderId="0" xfId="0" applyFont="1"/>
    <xf numFmtId="0" fontId="4" fillId="0" borderId="0" xfId="0" applyFont="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2" fillId="0" borderId="0" xfId="0" applyFont="1"/>
    <xf numFmtId="0" fontId="6" fillId="0" borderId="9" xfId="0" applyFont="1" applyBorder="1" applyAlignment="1">
      <alignment vertical="center"/>
    </xf>
    <xf numFmtId="0" fontId="6" fillId="0" borderId="0" xfId="0" applyFont="1" applyAlignment="1">
      <alignment vertical="center"/>
    </xf>
    <xf numFmtId="0" fontId="6" fillId="0" borderId="10" xfId="0" applyFont="1" applyBorder="1" applyAlignment="1">
      <alignment vertical="center"/>
    </xf>
    <xf numFmtId="0" fontId="12" fillId="0" borderId="0" xfId="0" applyFont="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2" xfId="0" applyFont="1" applyBorder="1"/>
    <xf numFmtId="0" fontId="12" fillId="0" borderId="12" xfId="0" applyFont="1" applyBorder="1" applyAlignment="1">
      <alignment vertical="center"/>
    </xf>
    <xf numFmtId="0" fontId="6" fillId="0" borderId="14" xfId="0" applyFont="1" applyBorder="1" applyAlignment="1">
      <alignment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6" fillId="6" borderId="5" xfId="0" applyFont="1" applyFill="1" applyBorder="1" applyAlignment="1">
      <alignment vertical="center"/>
    </xf>
    <xf numFmtId="0" fontId="13" fillId="6" borderId="0" xfId="0" applyFont="1" applyFill="1" applyAlignment="1">
      <alignment vertical="center"/>
    </xf>
    <xf numFmtId="0" fontId="6" fillId="6" borderId="0" xfId="0" applyFont="1" applyFill="1" applyAlignment="1">
      <alignment vertical="center"/>
    </xf>
    <xf numFmtId="0" fontId="12" fillId="6" borderId="0" xfId="0" applyFont="1" applyFill="1" applyAlignment="1">
      <alignment vertical="center"/>
    </xf>
    <xf numFmtId="0" fontId="6" fillId="6" borderId="4" xfId="0" applyFont="1" applyFill="1" applyBorder="1" applyAlignment="1">
      <alignment vertical="center"/>
    </xf>
    <xf numFmtId="0" fontId="6" fillId="6" borderId="0" xfId="0" applyFont="1" applyFill="1"/>
    <xf numFmtId="0" fontId="6" fillId="6" borderId="4" xfId="0" applyFont="1" applyFill="1" applyBorder="1"/>
    <xf numFmtId="0" fontId="6" fillId="6" borderId="6" xfId="0" applyFont="1" applyFill="1" applyBorder="1" applyAlignment="1">
      <alignment vertical="center"/>
    </xf>
    <xf numFmtId="0" fontId="6" fillId="6" borderId="7" xfId="0" applyFont="1" applyFill="1" applyBorder="1" applyAlignment="1">
      <alignment vertical="center"/>
    </xf>
    <xf numFmtId="0" fontId="12" fillId="6" borderId="7" xfId="0" applyFont="1" applyFill="1" applyBorder="1" applyAlignment="1">
      <alignment vertical="center"/>
    </xf>
    <xf numFmtId="0" fontId="6" fillId="6" borderId="7" xfId="0" applyFont="1" applyFill="1" applyBorder="1"/>
    <xf numFmtId="0" fontId="6" fillId="6" borderId="8" xfId="0" applyFont="1" applyFill="1" applyBorder="1"/>
    <xf numFmtId="0" fontId="13" fillId="0" borderId="0" xfId="0" applyFont="1" applyAlignment="1">
      <alignment vertical="center"/>
    </xf>
    <xf numFmtId="0" fontId="14" fillId="0" borderId="9" xfId="0" applyFont="1" applyBorder="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9" xfId="0" applyFont="1" applyBorder="1" applyAlignment="1">
      <alignment vertical="center"/>
    </xf>
    <xf numFmtId="0" fontId="4" fillId="0" borderId="5" xfId="0" applyFont="1" applyBorder="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0" xfId="0" applyFont="1" applyBorder="1" applyAlignment="1">
      <alignment horizontal="left" vertical="center"/>
    </xf>
    <xf numFmtId="0" fontId="15" fillId="0" borderId="0" xfId="0" applyFont="1" applyAlignment="1">
      <alignmen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4" xfId="0" applyFont="1" applyBorder="1" applyAlignment="1">
      <alignment horizontal="left" vertical="center"/>
    </xf>
    <xf numFmtId="0" fontId="6" fillId="6" borderId="0" xfId="0" applyFont="1" applyFill="1" applyAlignment="1">
      <alignment horizontal="left" vertical="center"/>
    </xf>
    <xf numFmtId="0" fontId="6" fillId="6" borderId="4" xfId="0" applyFont="1" applyFill="1" applyBorder="1" applyAlignment="1">
      <alignment horizontal="left" vertical="center"/>
    </xf>
    <xf numFmtId="0" fontId="6" fillId="6" borderId="5" xfId="0" applyFont="1" applyFill="1" applyBorder="1" applyAlignment="1">
      <alignment horizontal="left" vertical="center"/>
    </xf>
    <xf numFmtId="0" fontId="6" fillId="6" borderId="6" xfId="0" applyFont="1" applyFill="1" applyBorder="1" applyAlignment="1">
      <alignment horizontal="left" vertical="center"/>
    </xf>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6" borderId="5" xfId="0" applyFont="1" applyFill="1" applyBorder="1"/>
    <xf numFmtId="0" fontId="6" fillId="6" borderId="8" xfId="0" applyFont="1" applyFill="1" applyBorder="1" applyAlignment="1">
      <alignment vertical="center"/>
    </xf>
    <xf numFmtId="0" fontId="13" fillId="0" borderId="1" xfId="0" applyFont="1" applyBorder="1" applyAlignment="1">
      <alignment vertical="center"/>
    </xf>
    <xf numFmtId="0" fontId="6" fillId="6" borderId="15" xfId="0" applyFont="1" applyFill="1" applyBorder="1" applyAlignment="1">
      <alignment horizontal="left" vertical="center"/>
    </xf>
    <xf numFmtId="0" fontId="6" fillId="6" borderId="15" xfId="0" applyFont="1" applyFill="1" applyBorder="1" applyAlignment="1">
      <alignment vertical="center"/>
    </xf>
    <xf numFmtId="0" fontId="6" fillId="6" borderId="16" xfId="0" applyFont="1" applyFill="1" applyBorder="1" applyAlignment="1">
      <alignment horizontal="left" vertical="center"/>
    </xf>
    <xf numFmtId="0" fontId="15" fillId="7" borderId="52" xfId="0" applyFont="1" applyFill="1" applyBorder="1" applyAlignment="1">
      <alignment vertical="center"/>
    </xf>
    <xf numFmtId="49" fontId="6" fillId="6" borderId="52" xfId="0" applyNumberFormat="1" applyFont="1" applyFill="1" applyBorder="1" applyAlignment="1">
      <alignment horizontal="left" vertical="center"/>
    </xf>
    <xf numFmtId="0" fontId="6" fillId="6" borderId="53" xfId="0" applyFont="1" applyFill="1" applyBorder="1" applyAlignment="1">
      <alignment horizontal="left" vertical="center"/>
    </xf>
    <xf numFmtId="0" fontId="6" fillId="6" borderId="20" xfId="0" applyFont="1" applyFill="1" applyBorder="1" applyAlignment="1">
      <alignment horizontal="left" vertical="center"/>
    </xf>
    <xf numFmtId="49" fontId="6" fillId="6" borderId="21" xfId="0" applyNumberFormat="1" applyFont="1" applyFill="1" applyBorder="1" applyAlignment="1">
      <alignment horizontal="left" vertical="center"/>
    </xf>
    <xf numFmtId="0" fontId="16" fillId="10" borderId="54" xfId="0" applyFont="1" applyFill="1" applyBorder="1" applyAlignment="1">
      <alignment horizontal="left" vertical="center"/>
    </xf>
    <xf numFmtId="0" fontId="16" fillId="10" borderId="55" xfId="0" applyFont="1" applyFill="1" applyBorder="1" applyAlignment="1">
      <alignment horizontal="left" vertical="center"/>
    </xf>
    <xf numFmtId="0" fontId="16" fillId="10" borderId="56" xfId="0" applyFont="1" applyFill="1" applyBorder="1" applyAlignment="1">
      <alignment horizontal="left" vertical="center"/>
    </xf>
    <xf numFmtId="0" fontId="6" fillId="6" borderId="54" xfId="0" applyFont="1" applyFill="1" applyBorder="1" applyAlignment="1">
      <alignment horizontal="left" vertical="center"/>
    </xf>
    <xf numFmtId="0" fontId="6" fillId="6" borderId="55" xfId="0" applyFont="1" applyFill="1" applyBorder="1" applyAlignment="1">
      <alignment horizontal="left" vertical="center"/>
    </xf>
    <xf numFmtId="0" fontId="6" fillId="6" borderId="56" xfId="0" applyFont="1" applyFill="1" applyBorder="1" applyAlignment="1">
      <alignment horizontal="left" vertical="center"/>
    </xf>
    <xf numFmtId="49" fontId="6" fillId="6" borderId="57" xfId="0" quotePrefix="1" applyNumberFormat="1" applyFont="1" applyFill="1" applyBorder="1" applyAlignment="1">
      <alignment horizontal="left" vertical="center"/>
    </xf>
    <xf numFmtId="0" fontId="6" fillId="6" borderId="58" xfId="0" applyFont="1" applyFill="1" applyBorder="1" applyAlignment="1">
      <alignment horizontal="left" vertical="center"/>
    </xf>
    <xf numFmtId="0" fontId="6" fillId="6" borderId="59" xfId="0" applyFont="1" applyFill="1" applyBorder="1" applyAlignment="1">
      <alignment horizontal="left" vertical="center"/>
    </xf>
    <xf numFmtId="49" fontId="6" fillId="6" borderId="60" xfId="0" quotePrefix="1" applyNumberFormat="1" applyFont="1" applyFill="1" applyBorder="1" applyAlignment="1">
      <alignment horizontal="left" vertical="center"/>
    </xf>
    <xf numFmtId="0" fontId="6" fillId="6" borderId="61" xfId="0" applyFont="1" applyFill="1" applyBorder="1" applyAlignment="1">
      <alignment horizontal="left" vertical="center"/>
    </xf>
    <xf numFmtId="0" fontId="6" fillId="6" borderId="62" xfId="0" applyFont="1" applyFill="1" applyBorder="1" applyAlignment="1">
      <alignment horizontal="left" vertical="center"/>
    </xf>
    <xf numFmtId="0" fontId="9" fillId="0" borderId="0" xfId="0" applyFont="1" applyAlignment="1">
      <alignment vertical="center"/>
    </xf>
    <xf numFmtId="0" fontId="6" fillId="0" borderId="21" xfId="0" quotePrefix="1" applyFont="1" applyBorder="1" applyAlignment="1">
      <alignment horizontal="left" vertical="center"/>
    </xf>
    <xf numFmtId="0" fontId="15" fillId="7" borderId="21" xfId="0" applyFont="1" applyFill="1" applyBorder="1" applyAlignment="1">
      <alignment vertical="center"/>
    </xf>
    <xf numFmtId="0" fontId="15" fillId="7" borderId="19" xfId="0" applyFont="1" applyFill="1" applyBorder="1" applyAlignment="1">
      <alignment vertical="center"/>
    </xf>
    <xf numFmtId="0" fontId="15" fillId="7" borderId="15" xfId="0" applyFont="1" applyFill="1" applyBorder="1" applyAlignment="1">
      <alignment vertical="center"/>
    </xf>
    <xf numFmtId="0" fontId="15" fillId="7" borderId="16" xfId="0" applyFont="1" applyFill="1" applyBorder="1" applyAlignment="1">
      <alignment vertical="center"/>
    </xf>
    <xf numFmtId="0" fontId="6" fillId="6" borderId="19" xfId="0" applyFont="1" applyFill="1" applyBorder="1" applyAlignment="1">
      <alignment vertical="center"/>
    </xf>
    <xf numFmtId="0" fontId="9" fillId="0" borderId="9" xfId="0" applyFont="1" applyBorder="1"/>
    <xf numFmtId="0" fontId="9" fillId="0" borderId="10" xfId="0" applyFont="1" applyBorder="1"/>
    <xf numFmtId="0" fontId="9" fillId="0" borderId="11" xfId="0" applyFont="1" applyBorder="1"/>
    <xf numFmtId="0" fontId="9" fillId="0" borderId="12" xfId="0" applyFont="1" applyBorder="1"/>
    <xf numFmtId="0" fontId="9" fillId="0" borderId="14" xfId="0" applyFont="1" applyBorder="1"/>
    <xf numFmtId="0" fontId="13" fillId="6" borderId="1" xfId="0" applyFont="1" applyFill="1" applyBorder="1" applyAlignment="1">
      <alignment vertical="center"/>
    </xf>
    <xf numFmtId="0" fontId="13" fillId="6" borderId="2" xfId="0" applyFont="1" applyFill="1" applyBorder="1" applyAlignment="1">
      <alignment vertical="center"/>
    </xf>
    <xf numFmtId="0" fontId="4" fillId="6" borderId="2" xfId="0" applyFont="1" applyFill="1" applyBorder="1"/>
    <xf numFmtId="0" fontId="4" fillId="6" borderId="0" xfId="0" applyFont="1" applyFill="1"/>
    <xf numFmtId="0" fontId="4" fillId="6" borderId="7" xfId="0" applyFont="1" applyFill="1" applyBorder="1"/>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vertical="center"/>
    </xf>
    <xf numFmtId="0" fontId="6" fillId="0" borderId="3" xfId="0" applyFont="1" applyBorder="1" applyAlignment="1">
      <alignment horizontal="left" vertical="center"/>
    </xf>
    <xf numFmtId="49" fontId="6" fillId="0" borderId="52" xfId="0" applyNumberFormat="1" applyFont="1" applyBorder="1" applyAlignment="1">
      <alignment horizontal="left" vertical="center"/>
    </xf>
    <xf numFmtId="0" fontId="15" fillId="0" borderId="9" xfId="0" applyFont="1" applyBorder="1" applyAlignment="1">
      <alignment vertical="center"/>
    </xf>
    <xf numFmtId="0" fontId="24" fillId="0" borderId="0" xfId="0" applyFont="1"/>
    <xf numFmtId="0" fontId="25" fillId="0" borderId="0" xfId="0" applyFont="1"/>
    <xf numFmtId="0" fontId="9" fillId="6" borderId="1" xfId="0" applyFont="1" applyFill="1" applyBorder="1" applyAlignment="1">
      <alignment vertical="center"/>
    </xf>
    <xf numFmtId="0" fontId="9" fillId="6" borderId="2" xfId="0" applyFont="1" applyFill="1" applyBorder="1" applyAlignment="1">
      <alignment vertical="center"/>
    </xf>
    <xf numFmtId="0" fontId="9" fillId="6" borderId="3" xfId="0" applyFont="1" applyFill="1" applyBorder="1" applyAlignment="1">
      <alignment vertical="center"/>
    </xf>
    <xf numFmtId="0" fontId="9" fillId="6" borderId="19" xfId="0" applyFont="1" applyFill="1" applyBorder="1" applyAlignment="1">
      <alignment vertical="center"/>
    </xf>
    <xf numFmtId="0" fontId="9" fillId="6" borderId="15" xfId="0" applyFont="1" applyFill="1" applyBorder="1" applyAlignment="1">
      <alignment vertical="center"/>
    </xf>
    <xf numFmtId="0" fontId="9" fillId="6" borderId="16" xfId="0" applyFont="1" applyFill="1" applyBorder="1" applyAlignment="1">
      <alignment vertical="center"/>
    </xf>
    <xf numFmtId="0" fontId="9" fillId="6" borderId="15" xfId="0" applyFont="1" applyFill="1" applyBorder="1"/>
    <xf numFmtId="0" fontId="27" fillId="0" borderId="0" xfId="0" applyFont="1" applyAlignment="1">
      <alignment vertical="center"/>
    </xf>
    <xf numFmtId="0" fontId="27" fillId="0" borderId="0" xfId="0" applyFont="1"/>
    <xf numFmtId="0" fontId="28" fillId="0" borderId="0" xfId="0" applyFont="1" applyAlignment="1">
      <alignment horizontal="left" vertical="center"/>
    </xf>
    <xf numFmtId="0" fontId="5" fillId="5" borderId="21" xfId="0" applyFont="1" applyFill="1" applyBorder="1" applyAlignment="1">
      <alignment vertical="center"/>
    </xf>
    <xf numFmtId="0" fontId="5" fillId="0" borderId="21" xfId="0" applyFont="1" applyBorder="1" applyAlignment="1">
      <alignment vertical="center"/>
    </xf>
    <xf numFmtId="14" fontId="5" fillId="0" borderId="21" xfId="0" applyNumberFormat="1" applyFont="1" applyBorder="1" applyAlignment="1">
      <alignment horizontal="left" vertical="center"/>
    </xf>
    <xf numFmtId="0" fontId="5" fillId="0" borderId="21" xfId="0" applyFont="1" applyBorder="1" applyAlignment="1">
      <alignment horizontal="left"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0" fontId="5" fillId="3" borderId="21" xfId="0" applyFont="1" applyFill="1" applyBorder="1" applyAlignment="1">
      <alignment horizontal="center" vertical="center"/>
    </xf>
    <xf numFmtId="14" fontId="8" fillId="0" borderId="0" xfId="0" applyNumberFormat="1" applyFont="1" applyAlignment="1">
      <alignment horizontal="center"/>
    </xf>
    <xf numFmtId="0" fontId="8" fillId="0" borderId="0" xfId="0" applyFont="1" applyAlignment="1">
      <alignment horizontal="center"/>
    </xf>
    <xf numFmtId="0" fontId="5" fillId="0" borderId="7" xfId="0" applyFont="1" applyBorder="1" applyAlignment="1">
      <alignment vertical="center"/>
    </xf>
    <xf numFmtId="0" fontId="4" fillId="0" borderId="21" xfId="0" applyFont="1" applyBorder="1" applyAlignment="1">
      <alignment horizontal="center" vertical="center"/>
    </xf>
    <xf numFmtId="177" fontId="4" fillId="0" borderId="21" xfId="0" applyNumberFormat="1" applyFont="1" applyBorder="1" applyAlignment="1">
      <alignment horizontal="center" vertical="center"/>
    </xf>
    <xf numFmtId="31" fontId="4" fillId="0" borderId="21" xfId="0" applyNumberFormat="1" applyFont="1" applyBorder="1" applyAlignment="1">
      <alignment horizontal="center" vertical="center"/>
    </xf>
    <xf numFmtId="0" fontId="4" fillId="0" borderId="21" xfId="0" applyFont="1" applyBorder="1" applyAlignment="1">
      <alignment vertical="center" wrapText="1"/>
    </xf>
    <xf numFmtId="0" fontId="4" fillId="0" borderId="21" xfId="0" applyFont="1" applyBorder="1" applyAlignment="1">
      <alignment vertical="center"/>
    </xf>
    <xf numFmtId="0" fontId="4" fillId="0" borderId="21" xfId="0" applyFont="1" applyBorder="1" applyAlignment="1">
      <alignment horizontal="left" vertical="center"/>
    </xf>
    <xf numFmtId="0" fontId="4" fillId="6" borderId="20"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176" fontId="4" fillId="6" borderId="19" xfId="0" applyNumberFormat="1" applyFont="1" applyFill="1" applyBorder="1" applyAlignment="1">
      <alignment horizontal="center" vertical="center"/>
    </xf>
    <xf numFmtId="176" fontId="4" fillId="6" borderId="15" xfId="0" applyNumberFormat="1" applyFont="1" applyFill="1" applyBorder="1" applyAlignment="1">
      <alignment horizontal="center" vertical="center"/>
    </xf>
    <xf numFmtId="176" fontId="4" fillId="6" borderId="16"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177" fontId="4" fillId="6" borderId="19" xfId="0" applyNumberFormat="1" applyFont="1" applyFill="1" applyBorder="1" applyAlignment="1">
      <alignment horizontal="center" vertical="center"/>
    </xf>
    <xf numFmtId="177" fontId="4" fillId="6" borderId="15" xfId="0" applyNumberFormat="1" applyFont="1" applyFill="1" applyBorder="1" applyAlignment="1">
      <alignment horizontal="center" vertical="center"/>
    </xf>
    <xf numFmtId="177" fontId="4" fillId="6" borderId="16" xfId="0" applyNumberFormat="1" applyFont="1" applyFill="1" applyBorder="1" applyAlignment="1">
      <alignment horizontal="center" vertical="center"/>
    </xf>
    <xf numFmtId="0" fontId="4" fillId="6" borderId="21" xfId="0" applyFont="1" applyFill="1" applyBorder="1" applyAlignment="1">
      <alignment vertical="center"/>
    </xf>
    <xf numFmtId="0" fontId="4" fillId="6" borderId="21" xfId="0" applyFont="1" applyFill="1" applyBorder="1" applyAlignment="1">
      <alignment horizontal="left" vertical="center"/>
    </xf>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4" fillId="0" borderId="19"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26" fillId="0" borderId="19" xfId="0" applyFont="1" applyBorder="1" applyAlignment="1">
      <alignment vertical="center"/>
    </xf>
    <xf numFmtId="0" fontId="26" fillId="0" borderId="15" xfId="0" applyFont="1" applyBorder="1" applyAlignment="1">
      <alignment vertical="center"/>
    </xf>
    <xf numFmtId="0" fontId="26" fillId="0" borderId="16" xfId="0" applyFont="1" applyBorder="1" applyAlignment="1">
      <alignment vertical="center"/>
    </xf>
    <xf numFmtId="0" fontId="26" fillId="0" borderId="21" xfId="0" applyFont="1" applyBorder="1" applyAlignment="1">
      <alignment vertical="center" wrapText="1"/>
    </xf>
    <xf numFmtId="0" fontId="26" fillId="0" borderId="21" xfId="0" applyFont="1" applyBorder="1" applyAlignment="1">
      <alignment vertical="center"/>
    </xf>
    <xf numFmtId="0" fontId="26" fillId="0" borderId="21" xfId="0" applyFont="1" applyBorder="1" applyAlignment="1">
      <alignment horizontal="left" vertical="center"/>
    </xf>
    <xf numFmtId="0" fontId="26" fillId="0" borderId="21" xfId="0" applyFont="1" applyBorder="1" applyAlignment="1">
      <alignment horizontal="center" vertical="center"/>
    </xf>
    <xf numFmtId="177" fontId="26" fillId="0" borderId="21" xfId="0" applyNumberFormat="1" applyFont="1" applyBorder="1" applyAlignment="1">
      <alignment horizontal="center" vertical="center"/>
    </xf>
    <xf numFmtId="31" fontId="26" fillId="0" borderId="21" xfId="0" applyNumberFormat="1" applyFont="1" applyBorder="1" applyAlignment="1">
      <alignment horizontal="center" vertical="center"/>
    </xf>
    <xf numFmtId="0" fontId="5"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2" xfId="0" applyFont="1" applyFill="1" applyBorder="1" applyAlignment="1">
      <alignment horizontal="center" vertical="center"/>
    </xf>
    <xf numFmtId="0" fontId="5" fillId="0" borderId="33"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4" borderId="36" xfId="0" applyFont="1" applyFill="1" applyBorder="1" applyAlignment="1">
      <alignment vertical="center"/>
    </xf>
    <xf numFmtId="0" fontId="5" fillId="4" borderId="35" xfId="0" applyFont="1" applyFill="1" applyBorder="1" applyAlignment="1">
      <alignment vertical="center"/>
    </xf>
    <xf numFmtId="0" fontId="5" fillId="0" borderId="35" xfId="0" applyFont="1" applyBorder="1" applyAlignment="1">
      <alignment vertical="center"/>
    </xf>
    <xf numFmtId="0" fontId="5" fillId="0" borderId="35" xfId="0" applyFont="1" applyBorder="1" applyAlignment="1">
      <alignment horizontal="center" vertical="center"/>
    </xf>
    <xf numFmtId="0" fontId="5" fillId="4" borderId="33" xfId="0" applyFont="1" applyFill="1" applyBorder="1" applyAlignment="1">
      <alignment horizontal="left" vertical="center"/>
    </xf>
    <xf numFmtId="0" fontId="5" fillId="4" borderId="23" xfId="0" applyFont="1" applyFill="1" applyBorder="1" applyAlignment="1">
      <alignment horizontal="left" vertical="center"/>
    </xf>
    <xf numFmtId="0" fontId="5" fillId="4" borderId="29" xfId="1" applyFont="1" applyFill="1" applyBorder="1" applyAlignment="1">
      <alignment vertical="center"/>
    </xf>
    <xf numFmtId="0" fontId="5" fillId="4" borderId="30" xfId="1" applyFont="1" applyFill="1" applyBorder="1" applyAlignment="1">
      <alignment vertical="center"/>
    </xf>
    <xf numFmtId="0" fontId="5" fillId="4" borderId="31" xfId="1" applyFont="1" applyFill="1" applyBorder="1" applyAlignment="1">
      <alignment vertical="center"/>
    </xf>
    <xf numFmtId="0" fontId="5" fillId="0" borderId="32" xfId="1" applyFont="1" applyBorder="1" applyAlignment="1">
      <alignment vertical="center" wrapText="1"/>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13" xfId="1" applyFont="1" applyBorder="1" applyAlignment="1">
      <alignment horizontal="left" vertical="center"/>
    </xf>
    <xf numFmtId="0" fontId="5" fillId="0" borderId="12" xfId="1" applyFont="1" applyBorder="1" applyAlignment="1">
      <alignment horizontal="left" vertical="center"/>
    </xf>
    <xf numFmtId="0" fontId="5" fillId="0" borderId="18" xfId="1" applyFont="1" applyBorder="1" applyAlignment="1">
      <alignment horizontal="left" vertical="center"/>
    </xf>
    <xf numFmtId="0" fontId="5" fillId="4" borderId="32" xfId="1" applyFont="1" applyFill="1" applyBorder="1" applyAlignment="1">
      <alignment horizontal="center" vertical="center"/>
    </xf>
    <xf numFmtId="0" fontId="5" fillId="4" borderId="30" xfId="1" applyFont="1" applyFill="1" applyBorder="1" applyAlignment="1">
      <alignment horizontal="center" vertical="center"/>
    </xf>
    <xf numFmtId="0" fontId="5" fillId="4" borderId="31" xfId="1" applyFont="1" applyFill="1" applyBorder="1" applyAlignment="1">
      <alignment horizontal="center" vertical="center"/>
    </xf>
    <xf numFmtId="0" fontId="5" fillId="0" borderId="32" xfId="1" applyFont="1" applyBorder="1" applyAlignment="1">
      <alignment horizontal="left" vertical="center"/>
    </xf>
    <xf numFmtId="0" fontId="5" fillId="0" borderId="30" xfId="1" applyFont="1" applyBorder="1" applyAlignment="1">
      <alignment horizontal="left" vertical="center"/>
    </xf>
    <xf numFmtId="0" fontId="5" fillId="0" borderId="31" xfId="1" applyFont="1" applyBorder="1" applyAlignment="1">
      <alignment horizontal="left" vertical="center"/>
    </xf>
    <xf numFmtId="31" fontId="5" fillId="0" borderId="25" xfId="1" applyNumberFormat="1" applyFont="1" applyBorder="1" applyAlignment="1">
      <alignment horizontal="center" vertical="center"/>
    </xf>
    <xf numFmtId="31" fontId="5" fillId="0" borderId="26" xfId="1" applyNumberFormat="1" applyFont="1" applyBorder="1" applyAlignment="1">
      <alignment horizontal="center" vertical="center"/>
    </xf>
    <xf numFmtId="31" fontId="5" fillId="0" borderId="27" xfId="1" applyNumberFormat="1" applyFont="1" applyBorder="1" applyAlignment="1">
      <alignment horizontal="center" vertical="center"/>
    </xf>
    <xf numFmtId="0" fontId="5" fillId="4" borderId="33" xfId="1" applyFont="1" applyFill="1" applyBorder="1" applyAlignment="1">
      <alignment horizontal="center" vertical="center"/>
    </xf>
    <xf numFmtId="0" fontId="5" fillId="4" borderId="23" xfId="1" applyFont="1" applyFill="1" applyBorder="1" applyAlignment="1">
      <alignment horizontal="center" vertical="center"/>
    </xf>
    <xf numFmtId="0" fontId="5" fillId="4" borderId="34" xfId="1" applyFont="1" applyFill="1" applyBorder="1" applyAlignment="1">
      <alignment horizontal="center" vertical="center"/>
    </xf>
    <xf numFmtId="0" fontId="5" fillId="4" borderId="5" xfId="1" applyFont="1" applyFill="1" applyBorder="1" applyAlignment="1">
      <alignment horizontal="center" vertical="center"/>
    </xf>
    <xf numFmtId="0" fontId="5" fillId="4" borderId="0" xfId="1" applyFont="1" applyFill="1" applyAlignment="1">
      <alignment horizontal="center" vertical="center"/>
    </xf>
    <xf numFmtId="0" fontId="5" fillId="4" borderId="4" xfId="1" applyFont="1" applyFill="1" applyBorder="1" applyAlignment="1">
      <alignment horizontal="center" vertical="center"/>
    </xf>
    <xf numFmtId="0" fontId="5" fillId="4" borderId="13"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18" xfId="1" applyFont="1" applyFill="1" applyBorder="1" applyAlignment="1">
      <alignment horizontal="center" vertical="center"/>
    </xf>
    <xf numFmtId="0" fontId="5" fillId="0" borderId="33"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5" xfId="1" applyFont="1" applyBorder="1" applyAlignment="1">
      <alignment horizontal="center" vertical="center"/>
    </xf>
    <xf numFmtId="0" fontId="5" fillId="0" borderId="0" xfId="1" applyFont="1" applyAlignment="1">
      <alignment horizontal="center" vertical="center"/>
    </xf>
    <xf numFmtId="0" fontId="5" fillId="0" borderId="10"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4" borderId="17" xfId="1" applyFont="1" applyFill="1" applyBorder="1" applyAlignment="1">
      <alignment vertical="center"/>
    </xf>
    <xf numFmtId="0" fontId="5" fillId="4" borderId="15" xfId="1" applyFont="1" applyFill="1" applyBorder="1" applyAlignment="1">
      <alignment vertical="center"/>
    </xf>
    <xf numFmtId="0" fontId="5" fillId="4" borderId="16" xfId="1" applyFont="1" applyFill="1" applyBorder="1" applyAlignment="1">
      <alignment vertical="center"/>
    </xf>
    <xf numFmtId="0" fontId="5" fillId="0" borderId="19" xfId="1" applyFont="1" applyBorder="1" applyAlignment="1">
      <alignment vertical="center" wrapText="1"/>
    </xf>
    <xf numFmtId="0" fontId="5" fillId="0" borderId="15" xfId="1" applyFont="1" applyBorder="1" applyAlignment="1">
      <alignment vertical="center" wrapText="1"/>
    </xf>
    <xf numFmtId="0" fontId="5" fillId="0" borderId="16" xfId="1" applyFont="1" applyBorder="1" applyAlignment="1">
      <alignment vertical="center" wrapText="1"/>
    </xf>
    <xf numFmtId="0" fontId="5" fillId="4" borderId="1"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5" fillId="0" borderId="1" xfId="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5" fillId="4" borderId="19"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6" xfId="1" applyFont="1" applyFill="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31" fontId="5" fillId="0" borderId="19" xfId="1" applyNumberFormat="1" applyFont="1" applyBorder="1" applyAlignment="1">
      <alignment horizontal="center" vertical="center"/>
    </xf>
    <xf numFmtId="31" fontId="5" fillId="0" borderId="15" xfId="1" applyNumberFormat="1" applyFont="1" applyBorder="1" applyAlignment="1">
      <alignment horizontal="center" vertical="center"/>
    </xf>
    <xf numFmtId="31" fontId="5" fillId="0" borderId="16" xfId="1" applyNumberFormat="1" applyFont="1" applyBorder="1" applyAlignment="1">
      <alignment horizontal="center" vertical="center"/>
    </xf>
    <xf numFmtId="0" fontId="5" fillId="4" borderId="28" xfId="1" applyFont="1" applyFill="1" applyBorder="1" applyAlignment="1">
      <alignment vertical="center"/>
    </xf>
    <xf numFmtId="0" fontId="5" fillId="4" borderId="26" xfId="1" applyFont="1" applyFill="1" applyBorder="1" applyAlignment="1">
      <alignment vertical="center"/>
    </xf>
    <xf numFmtId="0" fontId="5" fillId="4" borderId="27"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4" borderId="25" xfId="1" applyFont="1" applyFill="1" applyBorder="1" applyAlignment="1">
      <alignment horizontal="center" vertical="center"/>
    </xf>
    <xf numFmtId="0" fontId="5" fillId="4" borderId="26" xfId="1" applyFont="1" applyFill="1" applyBorder="1" applyAlignment="1">
      <alignment horizontal="center" vertical="center"/>
    </xf>
    <xf numFmtId="0" fontId="5" fillId="4" borderId="27" xfId="1" applyFont="1" applyFill="1" applyBorder="1" applyAlignment="1">
      <alignment horizontal="center"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9" fillId="0" borderId="21" xfId="0" applyFont="1" applyBorder="1" applyAlignment="1">
      <alignment horizontal="center" vertical="center"/>
    </xf>
    <xf numFmtId="0" fontId="9" fillId="0" borderId="21" xfId="0" applyFont="1" applyBorder="1" applyAlignment="1">
      <alignment horizontal="left" vertical="center"/>
    </xf>
    <xf numFmtId="14" fontId="9" fillId="0" borderId="21" xfId="0" applyNumberFormat="1" applyFont="1" applyBorder="1" applyAlignment="1">
      <alignment horizontal="left" vertical="center"/>
    </xf>
    <xf numFmtId="20" fontId="9" fillId="0" borderId="21" xfId="0" applyNumberFormat="1" applyFont="1" applyBorder="1" applyAlignment="1">
      <alignment horizontal="left" vertical="center"/>
    </xf>
    <xf numFmtId="0" fontId="9" fillId="0" borderId="19" xfId="0" applyFont="1" applyBorder="1" applyAlignment="1">
      <alignment horizontal="left" vertical="center"/>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9" fillId="0" borderId="19" xfId="0" applyFont="1" applyBorder="1" applyAlignment="1">
      <alignment vertical="center"/>
    </xf>
    <xf numFmtId="0" fontId="9" fillId="0" borderId="15" xfId="0" applyFont="1" applyBorder="1" applyAlignment="1">
      <alignment vertical="center"/>
    </xf>
    <xf numFmtId="0" fontId="9" fillId="0" borderId="16" xfId="0" applyFont="1" applyBorder="1" applyAlignment="1">
      <alignment vertical="center"/>
    </xf>
    <xf numFmtId="0" fontId="6" fillId="0" borderId="21" xfId="0" quotePrefix="1" applyFont="1" applyBorder="1" applyAlignment="1">
      <alignment vertical="center"/>
    </xf>
    <xf numFmtId="0" fontId="6" fillId="0" borderId="21" xfId="0" applyFont="1" applyBorder="1" applyAlignment="1">
      <alignment vertical="center"/>
    </xf>
    <xf numFmtId="0" fontId="5" fillId="4" borderId="28"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37" xfId="0" applyFont="1" applyFill="1" applyBorder="1" applyAlignment="1">
      <alignment horizontal="center" vertical="center"/>
    </xf>
    <xf numFmtId="0" fontId="9" fillId="0" borderId="19"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21" xfId="0" quotePrefix="1" applyFont="1" applyBorder="1" applyAlignment="1">
      <alignment horizontal="left" vertical="center"/>
    </xf>
    <xf numFmtId="0" fontId="6" fillId="11" borderId="21" xfId="0" quotePrefix="1" applyFont="1" applyFill="1" applyBorder="1" applyAlignment="1">
      <alignment horizontal="center" vertical="center"/>
    </xf>
    <xf numFmtId="0" fontId="6" fillId="6" borderId="21" xfId="0" quotePrefix="1" applyFont="1" applyFill="1" applyBorder="1" applyAlignment="1">
      <alignment horizontal="center" vertical="center"/>
    </xf>
    <xf numFmtId="0" fontId="6" fillId="7" borderId="21" xfId="0" applyFont="1" applyFill="1" applyBorder="1" applyAlignment="1">
      <alignment horizontal="center" vertical="center"/>
    </xf>
    <xf numFmtId="0" fontId="27" fillId="0" borderId="20" xfId="0" applyFont="1" applyBorder="1" applyAlignment="1">
      <alignment horizontal="left" vertical="center"/>
    </xf>
    <xf numFmtId="0" fontId="27" fillId="0" borderId="52" xfId="0" applyFont="1" applyBorder="1" applyAlignment="1">
      <alignment horizontal="left" vertical="center" wrapText="1"/>
    </xf>
    <xf numFmtId="0" fontId="27" fillId="0" borderId="52"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vertical="center"/>
    </xf>
    <xf numFmtId="0" fontId="6" fillId="6" borderId="21" xfId="0" applyFont="1" applyFill="1" applyBorder="1" applyAlignment="1">
      <alignment horizontal="left" vertical="center"/>
    </xf>
    <xf numFmtId="0" fontId="9" fillId="0" borderId="21" xfId="0" applyFont="1" applyBorder="1" applyAlignment="1">
      <alignment vertical="center"/>
    </xf>
    <xf numFmtId="0" fontId="6" fillId="0" borderId="21" xfId="0" applyFont="1" applyBorder="1" applyAlignment="1">
      <alignment horizontal="left" vertical="center"/>
    </xf>
    <xf numFmtId="0" fontId="6" fillId="6" borderId="21" xfId="0" applyFont="1" applyFill="1" applyBorder="1" applyAlignment="1">
      <alignment vertical="center" wrapText="1"/>
    </xf>
    <xf numFmtId="0" fontId="6" fillId="7" borderId="19" xfId="0" applyFont="1" applyFill="1" applyBorder="1" applyAlignment="1">
      <alignment horizontal="center" vertical="center"/>
    </xf>
    <xf numFmtId="0" fontId="6" fillId="7" borderId="15" xfId="0" applyFont="1" applyFill="1" applyBorder="1" applyAlignment="1">
      <alignment horizontal="center" vertical="center"/>
    </xf>
    <xf numFmtId="0" fontId="15" fillId="0" borderId="21" xfId="0" quotePrefix="1" applyFont="1" applyBorder="1" applyAlignment="1">
      <alignment horizontal="center" vertical="center"/>
    </xf>
    <xf numFmtId="0" fontId="15" fillId="0" borderId="21" xfId="0" applyFont="1" applyBorder="1" applyAlignment="1">
      <alignment horizontal="center" vertical="center"/>
    </xf>
    <xf numFmtId="0" fontId="27" fillId="0" borderId="21" xfId="0" applyFont="1" applyBorder="1" applyAlignment="1">
      <alignment horizontal="left" vertical="center" wrapText="1"/>
    </xf>
    <xf numFmtId="0" fontId="28" fillId="0" borderId="21" xfId="0" applyFont="1" applyBorder="1" applyAlignment="1">
      <alignment horizontal="left" vertical="center"/>
    </xf>
    <xf numFmtId="0" fontId="6" fillId="0" borderId="21" xfId="0" quotePrefix="1" applyFont="1" applyBorder="1" applyAlignment="1">
      <alignment horizontal="left"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7" borderId="16" xfId="0" applyFont="1" applyFill="1" applyBorder="1" applyAlignment="1">
      <alignment horizontal="center" vertical="center"/>
    </xf>
    <xf numFmtId="0" fontId="6" fillId="0" borderId="65" xfId="0" applyFont="1" applyBorder="1" applyAlignment="1">
      <alignment horizontal="center" vertical="center"/>
    </xf>
    <xf numFmtId="0" fontId="6" fillId="0" borderId="21" xfId="0" applyFont="1" applyBorder="1" applyAlignment="1">
      <alignment horizontal="center" vertical="center"/>
    </xf>
    <xf numFmtId="0" fontId="6" fillId="0" borderId="52" xfId="0" applyFont="1" applyBorder="1" applyAlignment="1">
      <alignment horizontal="center" vertical="center"/>
    </xf>
    <xf numFmtId="0" fontId="6" fillId="0" borderId="66" xfId="0" applyFont="1" applyBorder="1" applyAlignment="1">
      <alignment horizontal="center" vertical="center"/>
    </xf>
    <xf numFmtId="0" fontId="23" fillId="12" borderId="21" xfId="0" applyFont="1" applyFill="1" applyBorder="1" applyAlignment="1">
      <alignment vertical="center"/>
    </xf>
    <xf numFmtId="0" fontId="22" fillId="0" borderId="21" xfId="0" applyFont="1" applyBorder="1" applyAlignment="1">
      <alignment horizontal="center" vertical="center"/>
    </xf>
    <xf numFmtId="0" fontId="6" fillId="0" borderId="6" xfId="0" quotePrefix="1" applyFont="1" applyBorder="1" applyAlignment="1">
      <alignment vertical="center"/>
    </xf>
    <xf numFmtId="0" fontId="6" fillId="0" borderId="7" xfId="0" quotePrefix="1" applyFont="1" applyBorder="1" applyAlignment="1">
      <alignment vertical="center"/>
    </xf>
    <xf numFmtId="0" fontId="6" fillId="0" borderId="8" xfId="0" quotePrefix="1" applyFont="1" applyBorder="1" applyAlignment="1">
      <alignment vertical="center"/>
    </xf>
    <xf numFmtId="0" fontId="6" fillId="0" borderId="19"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6" fillId="8" borderId="21" xfId="0" applyFont="1" applyFill="1" applyBorder="1" applyAlignment="1">
      <alignment horizontal="center" vertical="center"/>
    </xf>
    <xf numFmtId="0" fontId="6" fillId="7" borderId="15" xfId="0" applyFont="1" applyFill="1" applyBorder="1"/>
    <xf numFmtId="0" fontId="6" fillId="7" borderId="16" xfId="0" applyFont="1" applyFill="1" applyBorder="1"/>
    <xf numFmtId="0" fontId="6" fillId="0" borderId="19"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1" xfId="0" quotePrefix="1" applyFont="1" applyBorder="1" applyAlignment="1">
      <alignment vertical="center" wrapText="1"/>
    </xf>
    <xf numFmtId="0" fontId="6" fillId="0" borderId="19" xfId="0" applyFont="1" applyBorder="1" applyAlignment="1">
      <alignment horizontal="left" vertical="center"/>
    </xf>
    <xf numFmtId="0" fontId="6" fillId="0" borderId="15" xfId="0" applyFont="1" applyBorder="1" applyAlignment="1">
      <alignment horizontal="left" vertical="center"/>
    </xf>
    <xf numFmtId="0" fontId="6" fillId="0" borderId="16" xfId="0" applyFont="1" applyBorder="1" applyAlignment="1">
      <alignment horizontal="left" vertical="center"/>
    </xf>
    <xf numFmtId="14" fontId="6" fillId="0" borderId="21" xfId="0" applyNumberFormat="1" applyFont="1" applyBorder="1" applyAlignment="1">
      <alignment horizontal="center" vertical="center"/>
    </xf>
    <xf numFmtId="178" fontId="6" fillId="0" borderId="21" xfId="0" applyNumberFormat="1" applyFont="1" applyBorder="1" applyAlignment="1">
      <alignment horizontal="center" vertical="center"/>
    </xf>
    <xf numFmtId="0" fontId="22" fillId="8" borderId="21" xfId="0" applyFont="1" applyFill="1" applyBorder="1" applyAlignment="1">
      <alignment horizontal="center" vertical="center"/>
    </xf>
    <xf numFmtId="0" fontId="6" fillId="9" borderId="21" xfId="0" applyFont="1" applyFill="1" applyBorder="1" applyAlignment="1">
      <alignment vertical="center"/>
    </xf>
    <xf numFmtId="14" fontId="6" fillId="9" borderId="21" xfId="0" applyNumberFormat="1" applyFont="1" applyFill="1" applyBorder="1" applyAlignment="1">
      <alignment horizontal="center" vertical="center"/>
    </xf>
    <xf numFmtId="0" fontId="6" fillId="9" borderId="21" xfId="0" applyFont="1" applyFill="1" applyBorder="1" applyAlignment="1">
      <alignment horizontal="center" vertical="center"/>
    </xf>
    <xf numFmtId="178" fontId="6" fillId="9" borderId="21" xfId="0" applyNumberFormat="1" applyFont="1" applyFill="1" applyBorder="1" applyAlignment="1">
      <alignment horizontal="center" vertical="center"/>
    </xf>
    <xf numFmtId="0" fontId="4" fillId="0" borderId="47"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46" xfId="0" applyFont="1" applyBorder="1" applyAlignment="1">
      <alignment horizontal="left" vertical="center" shrinkToFit="1"/>
    </xf>
    <xf numFmtId="0" fontId="5" fillId="4" borderId="25" xfId="0" applyFont="1" applyFill="1" applyBorder="1" applyAlignment="1">
      <alignment horizontal="left" vertical="center"/>
    </xf>
    <xf numFmtId="0" fontId="5" fillId="4" borderId="26" xfId="0" applyFont="1" applyFill="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37" xfId="0" applyFont="1" applyBorder="1" applyAlignment="1">
      <alignment horizontal="left" vertical="center"/>
    </xf>
    <xf numFmtId="0" fontId="5" fillId="4" borderId="21"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43" xfId="0" applyFont="1" applyBorder="1" applyAlignment="1">
      <alignment horizontal="left" vertical="center" shrinkToFit="1"/>
    </xf>
    <xf numFmtId="0" fontId="16" fillId="10" borderId="54" xfId="0" applyFont="1" applyFill="1" applyBorder="1" applyAlignment="1">
      <alignment horizontal="center" vertical="center"/>
    </xf>
    <xf numFmtId="0" fontId="16" fillId="10" borderId="56" xfId="0" applyFont="1" applyFill="1" applyBorder="1" applyAlignment="1">
      <alignment horizontal="center" vertical="center"/>
    </xf>
    <xf numFmtId="0" fontId="4" fillId="0" borderId="44" xfId="0" applyFont="1" applyBorder="1" applyAlignment="1">
      <alignment horizontal="left" vertical="center" shrinkToFit="1"/>
    </xf>
    <xf numFmtId="0" fontId="4" fillId="0" borderId="48" xfId="0" applyFont="1" applyBorder="1" applyAlignment="1">
      <alignment horizontal="left" vertical="center" shrinkToFit="1"/>
    </xf>
    <xf numFmtId="0" fontId="4" fillId="0" borderId="49" xfId="0" applyFont="1" applyBorder="1" applyAlignment="1">
      <alignment horizontal="left" vertical="center" shrinkToFit="1"/>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20" fontId="9" fillId="0" borderId="63" xfId="0" applyNumberFormat="1" applyFont="1" applyBorder="1" applyAlignment="1">
      <alignment horizontal="center"/>
    </xf>
    <xf numFmtId="0" fontId="9" fillId="0" borderId="63" xfId="0" applyFont="1" applyBorder="1" applyAlignment="1">
      <alignment horizontal="center"/>
    </xf>
    <xf numFmtId="0" fontId="9" fillId="0" borderId="21" xfId="0" applyFont="1" applyBorder="1" applyAlignment="1">
      <alignment horizontal="center"/>
    </xf>
    <xf numFmtId="2" fontId="9" fillId="0" borderId="63" xfId="0" applyNumberFormat="1" applyFont="1" applyBorder="1" applyAlignment="1">
      <alignment horizontal="center"/>
    </xf>
    <xf numFmtId="179" fontId="9" fillId="0" borderId="63" xfId="0" applyNumberFormat="1" applyFont="1" applyBorder="1" applyAlignment="1">
      <alignment horizontal="center"/>
    </xf>
    <xf numFmtId="56" fontId="9" fillId="0" borderId="63" xfId="0" applyNumberFormat="1" applyFont="1" applyBorder="1" applyAlignment="1">
      <alignment horizontal="center"/>
    </xf>
    <xf numFmtId="0" fontId="2" fillId="0" borderId="0" xfId="0" applyFont="1" applyAlignment="1">
      <alignment horizontal="right"/>
    </xf>
    <xf numFmtId="20" fontId="9" fillId="0" borderId="64" xfId="0" applyNumberFormat="1" applyFont="1" applyBorder="1" applyAlignment="1">
      <alignment horizontal="center"/>
    </xf>
    <xf numFmtId="0" fontId="9" fillId="0" borderId="64" xfId="0" applyFont="1" applyBorder="1" applyAlignment="1">
      <alignment horizontal="center"/>
    </xf>
    <xf numFmtId="179" fontId="9" fillId="0" borderId="64" xfId="0" applyNumberFormat="1" applyFont="1" applyBorder="1" applyAlignment="1">
      <alignment horizontal="center"/>
    </xf>
    <xf numFmtId="2" fontId="9" fillId="0" borderId="64" xfId="0" applyNumberFormat="1" applyFont="1" applyBorder="1" applyAlignment="1">
      <alignment horizontal="center"/>
    </xf>
    <xf numFmtId="20" fontId="9" fillId="15" borderId="64" xfId="0" applyNumberFormat="1" applyFont="1" applyFill="1" applyBorder="1" applyAlignment="1">
      <alignment horizontal="center"/>
    </xf>
    <xf numFmtId="0" fontId="9" fillId="15" borderId="64" xfId="0" applyFont="1" applyFill="1" applyBorder="1" applyAlignment="1">
      <alignment horizontal="center"/>
    </xf>
    <xf numFmtId="56" fontId="9" fillId="0" borderId="64" xfId="0" applyNumberFormat="1" applyFont="1" applyBorder="1" applyAlignment="1">
      <alignment horizontal="center"/>
    </xf>
    <xf numFmtId="56" fontId="9" fillId="0" borderId="65" xfId="0" applyNumberFormat="1" applyFont="1" applyBorder="1" applyAlignment="1">
      <alignment horizontal="center"/>
    </xf>
    <xf numFmtId="0" fontId="9" fillId="0" borderId="65" xfId="0" applyFont="1" applyBorder="1" applyAlignment="1">
      <alignment horizontal="center"/>
    </xf>
    <xf numFmtId="20" fontId="9" fillId="0" borderId="65" xfId="0" applyNumberFormat="1" applyFont="1" applyBorder="1" applyAlignment="1">
      <alignment horizontal="center"/>
    </xf>
    <xf numFmtId="56" fontId="9" fillId="15" borderId="64" xfId="0" applyNumberFormat="1" applyFont="1" applyFill="1" applyBorder="1" applyAlignment="1">
      <alignment horizontal="center"/>
    </xf>
    <xf numFmtId="179" fontId="9" fillId="0" borderId="68" xfId="0" applyNumberFormat="1" applyFont="1" applyBorder="1" applyAlignment="1">
      <alignment horizontal="center"/>
    </xf>
    <xf numFmtId="2" fontId="9" fillId="0" borderId="68" xfId="0" applyNumberFormat="1" applyFont="1" applyBorder="1" applyAlignment="1">
      <alignment horizontal="center"/>
    </xf>
    <xf numFmtId="179" fontId="9" fillId="13" borderId="67" xfId="0" applyNumberFormat="1" applyFont="1" applyFill="1" applyBorder="1" applyAlignment="1">
      <alignment horizontal="center"/>
    </xf>
    <xf numFmtId="2" fontId="9" fillId="13" borderId="67" xfId="0" applyNumberFormat="1" applyFont="1" applyFill="1" applyBorder="1" applyAlignment="1">
      <alignment horizontal="center"/>
    </xf>
    <xf numFmtId="1" fontId="9" fillId="14" borderId="67" xfId="0" applyNumberFormat="1" applyFont="1" applyFill="1" applyBorder="1" applyAlignment="1">
      <alignment horizontal="center"/>
    </xf>
    <xf numFmtId="0" fontId="9" fillId="0" borderId="0" xfId="0" applyFont="1" applyAlignment="1">
      <alignment horizontal="right"/>
    </xf>
    <xf numFmtId="0" fontId="9" fillId="0" borderId="10" xfId="0" applyFont="1" applyBorder="1" applyAlignment="1">
      <alignment horizontal="right"/>
    </xf>
    <xf numFmtId="179" fontId="9" fillId="0" borderId="65" xfId="0" applyNumberFormat="1" applyFont="1" applyBorder="1" applyAlignment="1">
      <alignment horizontal="center"/>
    </xf>
    <xf numFmtId="179" fontId="9" fillId="0" borderId="69" xfId="0" applyNumberFormat="1" applyFont="1" applyBorder="1" applyAlignment="1">
      <alignment horizontal="center"/>
    </xf>
    <xf numFmtId="179" fontId="9" fillId="0" borderId="70" xfId="0" applyNumberFormat="1" applyFont="1" applyBorder="1" applyAlignment="1">
      <alignment horizontal="center"/>
    </xf>
    <xf numFmtId="179" fontId="9" fillId="0" borderId="71" xfId="0" applyNumberFormat="1" applyFont="1" applyBorder="1" applyAlignment="1">
      <alignment horizontal="center"/>
    </xf>
    <xf numFmtId="179" fontId="9" fillId="0" borderId="72" xfId="0" applyNumberFormat="1" applyFont="1" applyBorder="1" applyAlignment="1">
      <alignment horizontal="center"/>
    </xf>
    <xf numFmtId="179" fontId="9" fillId="0" borderId="73" xfId="0" applyNumberFormat="1" applyFont="1" applyBorder="1" applyAlignment="1">
      <alignment horizontal="center"/>
    </xf>
    <xf numFmtId="179" fontId="9" fillId="0" borderId="74" xfId="0" applyNumberFormat="1" applyFont="1" applyBorder="1" applyAlignment="1">
      <alignment horizontal="center"/>
    </xf>
    <xf numFmtId="179" fontId="9" fillId="0" borderId="5" xfId="0" applyNumberFormat="1" applyFont="1" applyBorder="1" applyAlignment="1">
      <alignment horizontal="center"/>
    </xf>
    <xf numFmtId="179" fontId="9" fillId="0" borderId="0" xfId="0" applyNumberFormat="1" applyFont="1" applyAlignment="1">
      <alignment horizontal="center"/>
    </xf>
    <xf numFmtId="179" fontId="9" fillId="0" borderId="4" xfId="0" applyNumberFormat="1" applyFont="1" applyBorder="1" applyAlignment="1">
      <alignment horizontal="center"/>
    </xf>
    <xf numFmtId="20" fontId="9" fillId="16" borderId="64" xfId="0" applyNumberFormat="1" applyFont="1" applyFill="1" applyBorder="1" applyAlignment="1">
      <alignment horizontal="center"/>
    </xf>
    <xf numFmtId="0" fontId="9" fillId="16" borderId="64" xfId="0" applyFont="1" applyFill="1" applyBorder="1" applyAlignment="1">
      <alignment horizontal="center"/>
    </xf>
    <xf numFmtId="179" fontId="9" fillId="16" borderId="64" xfId="0" applyNumberFormat="1" applyFont="1" applyFill="1" applyBorder="1" applyAlignment="1">
      <alignment horizontal="center"/>
    </xf>
    <xf numFmtId="2" fontId="9" fillId="16" borderId="64" xfId="0" applyNumberFormat="1" applyFont="1" applyFill="1" applyBorder="1" applyAlignment="1">
      <alignment horizontal="center"/>
    </xf>
  </cellXfs>
  <cellStyles count="4">
    <cellStyle name="標準" xfId="0" builtinId="0"/>
    <cellStyle name="標準 2" xfId="2" xr:uid="{93AF0926-28E2-4FA9-8560-E9ACCB1A7FE4}"/>
    <cellStyle name="標準 3" xfId="3" xr:uid="{9F644992-1714-4F4A-84AE-3AA89E859A7C}"/>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8.png"/><Relationship Id="rId7" Type="http://schemas.openxmlformats.org/officeDocument/2006/relationships/image" Target="../media/image12.emf"/><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emf"/><Relationship Id="rId5" Type="http://schemas.openxmlformats.org/officeDocument/2006/relationships/image" Target="../media/image10.png"/><Relationship Id="rId10" Type="http://schemas.openxmlformats.org/officeDocument/2006/relationships/image" Target="../media/image14.png"/><Relationship Id="rId4" Type="http://schemas.openxmlformats.org/officeDocument/2006/relationships/image" Target="../media/image9.png"/><Relationship Id="rId9"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xdr:from>
      <xdr:col>11</xdr:col>
      <xdr:colOff>0</xdr:colOff>
      <xdr:row>33</xdr:row>
      <xdr:rowOff>0</xdr:rowOff>
    </xdr:from>
    <xdr:to>
      <xdr:col>18</xdr:col>
      <xdr:colOff>0</xdr:colOff>
      <xdr:row>35</xdr:row>
      <xdr:rowOff>0</xdr:rowOff>
    </xdr:to>
    <xdr:grpSp>
      <xdr:nvGrpSpPr>
        <xdr:cNvPr id="373763" name="Group 3">
          <a:extLst>
            <a:ext uri="{FF2B5EF4-FFF2-40B4-BE49-F238E27FC236}">
              <a16:creationId xmlns:a16="http://schemas.microsoft.com/office/drawing/2014/main" id="{00000000-0008-0000-0000-000003B40500}"/>
            </a:ext>
          </a:extLst>
        </xdr:cNvPr>
        <xdr:cNvGrpSpPr>
          <a:grpSpLocks/>
        </xdr:cNvGrpSpPr>
      </xdr:nvGrpSpPr>
      <xdr:grpSpPr bwMode="auto">
        <a:xfrm>
          <a:off x="3328147" y="5546912"/>
          <a:ext cx="2117912" cy="336176"/>
          <a:chOff x="396" y="576"/>
          <a:chExt cx="252" cy="36"/>
        </a:xfrm>
      </xdr:grpSpPr>
      <xdr:sp macro="" textlink="">
        <xdr:nvSpPr>
          <xdr:cNvPr id="373765" name="Rectangle 5">
            <a:extLst>
              <a:ext uri="{FF2B5EF4-FFF2-40B4-BE49-F238E27FC236}">
                <a16:creationId xmlns:a16="http://schemas.microsoft.com/office/drawing/2014/main" id="{00000000-0008-0000-0000-000005B40500}"/>
              </a:ext>
            </a:extLst>
          </xdr:cNvPr>
          <xdr:cNvSpPr>
            <a:spLocks noChangeArrowheads="1"/>
          </xdr:cNvSpPr>
        </xdr:nvSpPr>
        <xdr:spPr bwMode="auto">
          <a:xfrm>
            <a:off x="396" y="576"/>
            <a:ext cx="252" cy="36"/>
          </a:xfrm>
          <a:prstGeom prst="rect">
            <a:avLst/>
          </a:prstGeom>
          <a:noFill/>
          <a:ln w="9525">
            <a:noFill/>
            <a:miter lim="800000"/>
            <a:headEnd/>
            <a:tailEnd/>
          </a:ln>
        </xdr:spPr>
      </xdr:sp>
    </xdr:grpSp>
    <xdr:clientData/>
  </xdr:twoCellAnchor>
  <xdr:twoCellAnchor editAs="oneCell">
    <xdr:from>
      <xdr:col>10</xdr:col>
      <xdr:colOff>235323</xdr:colOff>
      <xdr:row>30</xdr:row>
      <xdr:rowOff>67235</xdr:rowOff>
    </xdr:from>
    <xdr:to>
      <xdr:col>18</xdr:col>
      <xdr:colOff>159612</xdr:colOff>
      <xdr:row>34</xdr:row>
      <xdr:rowOff>109256</xdr:rowOff>
    </xdr:to>
    <xdr:pic>
      <xdr:nvPicPr>
        <xdr:cNvPr id="2" name="図 1">
          <a:extLst>
            <a:ext uri="{FF2B5EF4-FFF2-40B4-BE49-F238E27FC236}">
              <a16:creationId xmlns:a16="http://schemas.microsoft.com/office/drawing/2014/main" id="{25DC2BB7-1E06-407B-A129-69E3392F9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9147" y="5109882"/>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19050</xdr:colOff>
      <xdr:row>16</xdr:row>
      <xdr:rowOff>11206</xdr:rowOff>
    </xdr:from>
    <xdr:to>
      <xdr:col>30</xdr:col>
      <xdr:colOff>85725</xdr:colOff>
      <xdr:row>17</xdr:row>
      <xdr:rowOff>114300</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3019425" y="3059206"/>
          <a:ext cx="135255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50</xdr:col>
      <xdr:colOff>74545</xdr:colOff>
      <xdr:row>16</xdr:row>
      <xdr:rowOff>6213</xdr:rowOff>
    </xdr:from>
    <xdr:to>
      <xdr:col>60</xdr:col>
      <xdr:colOff>416</xdr:colOff>
      <xdr:row>17</xdr:row>
      <xdr:rowOff>109307</xdr:rowOff>
    </xdr:to>
    <xdr:sp macro="" textlink="">
      <xdr:nvSpPr>
        <xdr:cNvPr id="2" name="右矢印 2">
          <a:extLst>
            <a:ext uri="{FF2B5EF4-FFF2-40B4-BE49-F238E27FC236}">
              <a16:creationId xmlns:a16="http://schemas.microsoft.com/office/drawing/2014/main" id="{00000000-0008-0000-0200-000002000000}"/>
            </a:ext>
          </a:extLst>
        </xdr:cNvPr>
        <xdr:cNvSpPr/>
      </xdr:nvSpPr>
      <xdr:spPr bwMode="auto">
        <a:xfrm>
          <a:off x="7218295" y="3054213"/>
          <a:ext cx="1354621"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76</xdr:col>
      <xdr:colOff>22411</xdr:colOff>
      <xdr:row>15</xdr:row>
      <xdr:rowOff>182963</xdr:rowOff>
    </xdr:from>
    <xdr:to>
      <xdr:col>82</xdr:col>
      <xdr:colOff>70036</xdr:colOff>
      <xdr:row>17</xdr:row>
      <xdr:rowOff>95557</xdr:rowOff>
    </xdr:to>
    <xdr:sp macro="" textlink="">
      <xdr:nvSpPr>
        <xdr:cNvPr id="31" name="右矢印 2">
          <a:extLst>
            <a:ext uri="{FF2B5EF4-FFF2-40B4-BE49-F238E27FC236}">
              <a16:creationId xmlns:a16="http://schemas.microsoft.com/office/drawing/2014/main" id="{00000000-0008-0000-0200-00001F000000}"/>
            </a:ext>
          </a:extLst>
        </xdr:cNvPr>
        <xdr:cNvSpPr/>
      </xdr:nvSpPr>
      <xdr:spPr bwMode="auto">
        <a:xfrm>
          <a:off x="11093823" y="3040463"/>
          <a:ext cx="921684"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63</xdr:col>
      <xdr:colOff>9525</xdr:colOff>
      <xdr:row>15</xdr:row>
      <xdr:rowOff>0</xdr:rowOff>
    </xdr:from>
    <xdr:to>
      <xdr:col>68</xdr:col>
      <xdr:colOff>91815</xdr:colOff>
      <xdr:row>19</xdr:row>
      <xdr:rowOff>79309</xdr:rowOff>
    </xdr:to>
    <xdr:grpSp>
      <xdr:nvGrpSpPr>
        <xdr:cNvPr id="38" name="グループ化 37">
          <a:extLst>
            <a:ext uri="{FF2B5EF4-FFF2-40B4-BE49-F238E27FC236}">
              <a16:creationId xmlns:a16="http://schemas.microsoft.com/office/drawing/2014/main" id="{00000000-0008-0000-0200-000026000000}"/>
            </a:ext>
          </a:extLst>
        </xdr:cNvPr>
        <xdr:cNvGrpSpPr/>
      </xdr:nvGrpSpPr>
      <xdr:grpSpPr>
        <a:xfrm>
          <a:off x="8412480" y="2857500"/>
          <a:ext cx="750945" cy="841309"/>
          <a:chOff x="12268200" y="2949641"/>
          <a:chExt cx="796665" cy="841309"/>
        </a:xfrm>
      </xdr:grpSpPr>
      <xdr:sp macro="" textlink="">
        <xdr:nvSpPr>
          <xdr:cNvPr id="39" name="フローチャート: 処理 38">
            <a:extLst>
              <a:ext uri="{FF2B5EF4-FFF2-40B4-BE49-F238E27FC236}">
                <a16:creationId xmlns:a16="http://schemas.microsoft.com/office/drawing/2014/main" id="{00000000-0008-0000-0200-000027000000}"/>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0" name="二等辺三角形 39">
            <a:extLst>
              <a:ext uri="{FF2B5EF4-FFF2-40B4-BE49-F238E27FC236}">
                <a16:creationId xmlns:a16="http://schemas.microsoft.com/office/drawing/2014/main" id="{00000000-0008-0000-0200-000028000000}"/>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1" name="二等辺三角形 40">
            <a:extLst>
              <a:ext uri="{FF2B5EF4-FFF2-40B4-BE49-F238E27FC236}">
                <a16:creationId xmlns:a16="http://schemas.microsoft.com/office/drawing/2014/main" id="{00000000-0008-0000-0200-000029000000}"/>
              </a:ext>
            </a:extLst>
          </xdr:cNvPr>
          <xdr:cNvSpPr/>
        </xdr:nvSpPr>
        <xdr:spPr bwMode="auto">
          <a:xfrm rot="2499407">
            <a:off x="12675899" y="2949641"/>
            <a:ext cx="388966" cy="220614"/>
          </a:xfrm>
          <a:prstGeom prst="triangle">
            <a:avLst/>
          </a:prstGeom>
          <a:solidFill>
            <a:schemeClr val="bg1"/>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2" name="フローチャート: 処理 41">
            <a:extLst>
              <a:ext uri="{FF2B5EF4-FFF2-40B4-BE49-F238E27FC236}">
                <a16:creationId xmlns:a16="http://schemas.microsoft.com/office/drawing/2014/main" id="{00000000-0008-0000-0200-00002A000000}"/>
              </a:ext>
            </a:extLst>
          </xdr:cNvPr>
          <xdr:cNvSpPr/>
        </xdr:nvSpPr>
        <xdr:spPr bwMode="auto">
          <a:xfrm>
            <a:off x="12649200" y="3438526"/>
            <a:ext cx="371475" cy="266700"/>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CSV</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69</xdr:col>
      <xdr:colOff>107574</xdr:colOff>
      <xdr:row>21</xdr:row>
      <xdr:rowOff>78438</xdr:rowOff>
    </xdr:from>
    <xdr:to>
      <xdr:col>88</xdr:col>
      <xdr:colOff>11205</xdr:colOff>
      <xdr:row>30</xdr:row>
      <xdr:rowOff>20725</xdr:rowOff>
    </xdr:to>
    <xdr:sp macro="" textlink="">
      <xdr:nvSpPr>
        <xdr:cNvPr id="44" name="矢印: 折線 43">
          <a:extLst>
            <a:ext uri="{FF2B5EF4-FFF2-40B4-BE49-F238E27FC236}">
              <a16:creationId xmlns:a16="http://schemas.microsoft.com/office/drawing/2014/main" id="{00000000-0008-0000-0200-00002C000000}"/>
            </a:ext>
          </a:extLst>
        </xdr:cNvPr>
        <xdr:cNvSpPr/>
      </xdr:nvSpPr>
      <xdr:spPr bwMode="auto">
        <a:xfrm rot="16200000" flipV="1">
          <a:off x="10666598" y="3571590"/>
          <a:ext cx="1656787" cy="2671484"/>
        </a:xfrm>
        <a:prstGeom prst="bentArrow">
          <a:avLst>
            <a:gd name="adj1" fmla="val 8430"/>
            <a:gd name="adj2" fmla="val 8938"/>
            <a:gd name="adj3" fmla="val 13939"/>
            <a:gd name="adj4" fmla="val 15018"/>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21</xdr:col>
      <xdr:colOff>19050</xdr:colOff>
      <xdr:row>29</xdr:row>
      <xdr:rowOff>11206</xdr:rowOff>
    </xdr:from>
    <xdr:to>
      <xdr:col>30</xdr:col>
      <xdr:colOff>85725</xdr:colOff>
      <xdr:row>30</xdr:row>
      <xdr:rowOff>114300</xdr:rowOff>
    </xdr:to>
    <xdr:sp macro="" textlink="">
      <xdr:nvSpPr>
        <xdr:cNvPr id="11" name="右矢印 2">
          <a:extLst>
            <a:ext uri="{FF2B5EF4-FFF2-40B4-BE49-F238E27FC236}">
              <a16:creationId xmlns:a16="http://schemas.microsoft.com/office/drawing/2014/main" id="{E6E01DA9-97B3-452B-89FD-3F31E8C5113D}"/>
            </a:ext>
          </a:extLst>
        </xdr:cNvPr>
        <xdr:cNvSpPr/>
      </xdr:nvSpPr>
      <xdr:spPr bwMode="auto">
        <a:xfrm>
          <a:off x="3078256" y="3059206"/>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85</xdr:col>
      <xdr:colOff>9525</xdr:colOff>
      <xdr:row>15</xdr:row>
      <xdr:rowOff>0</xdr:rowOff>
    </xdr:from>
    <xdr:to>
      <xdr:col>90</xdr:col>
      <xdr:colOff>91815</xdr:colOff>
      <xdr:row>19</xdr:row>
      <xdr:rowOff>79309</xdr:rowOff>
    </xdr:to>
    <xdr:grpSp>
      <xdr:nvGrpSpPr>
        <xdr:cNvPr id="16" name="グループ化 15">
          <a:extLst>
            <a:ext uri="{FF2B5EF4-FFF2-40B4-BE49-F238E27FC236}">
              <a16:creationId xmlns:a16="http://schemas.microsoft.com/office/drawing/2014/main" id="{0A8CBA67-6DBE-465C-B001-A7655394DFAB}"/>
            </a:ext>
          </a:extLst>
        </xdr:cNvPr>
        <xdr:cNvGrpSpPr/>
      </xdr:nvGrpSpPr>
      <xdr:grpSpPr>
        <a:xfrm>
          <a:off x="11346180" y="2857500"/>
          <a:ext cx="750945" cy="841309"/>
          <a:chOff x="12268200" y="2949641"/>
          <a:chExt cx="796665" cy="841309"/>
        </a:xfrm>
      </xdr:grpSpPr>
      <xdr:sp macro="" textlink="">
        <xdr:nvSpPr>
          <xdr:cNvPr id="22" name="フローチャート: 処理 21">
            <a:extLst>
              <a:ext uri="{FF2B5EF4-FFF2-40B4-BE49-F238E27FC236}">
                <a16:creationId xmlns:a16="http://schemas.microsoft.com/office/drawing/2014/main" id="{D4D6F5CC-65D8-DD33-6A73-8B4417824078}"/>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3" name="二等辺三角形 22">
            <a:extLst>
              <a:ext uri="{FF2B5EF4-FFF2-40B4-BE49-F238E27FC236}">
                <a16:creationId xmlns:a16="http://schemas.microsoft.com/office/drawing/2014/main" id="{59393E4F-02CA-FB7C-3B91-B81144EEC01F}"/>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4" name="二等辺三角形 23">
            <a:extLst>
              <a:ext uri="{FF2B5EF4-FFF2-40B4-BE49-F238E27FC236}">
                <a16:creationId xmlns:a16="http://schemas.microsoft.com/office/drawing/2014/main" id="{5D0D7594-11EC-5A8B-A23F-EF2DFAB9DA05}"/>
              </a:ext>
            </a:extLst>
          </xdr:cNvPr>
          <xdr:cNvSpPr/>
        </xdr:nvSpPr>
        <xdr:spPr bwMode="auto">
          <a:xfrm rot="2499407">
            <a:off x="12675899" y="2949641"/>
            <a:ext cx="388966" cy="220614"/>
          </a:xfrm>
          <a:prstGeom prst="triangle">
            <a:avLst/>
          </a:prstGeom>
          <a:solidFill>
            <a:schemeClr val="bg1"/>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5" name="フローチャート: 処理 24">
            <a:extLst>
              <a:ext uri="{FF2B5EF4-FFF2-40B4-BE49-F238E27FC236}">
                <a16:creationId xmlns:a16="http://schemas.microsoft.com/office/drawing/2014/main" id="{7A426086-B3AB-176A-F4CF-EDD91546DD60}"/>
              </a:ext>
            </a:extLst>
          </xdr:cNvPr>
          <xdr:cNvSpPr/>
        </xdr:nvSpPr>
        <xdr:spPr bwMode="auto">
          <a:xfrm>
            <a:off x="12512122" y="3438526"/>
            <a:ext cx="508554" cy="250703"/>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EXCEL</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63</xdr:col>
      <xdr:colOff>9525</xdr:colOff>
      <xdr:row>28</xdr:row>
      <xdr:rowOff>0</xdr:rowOff>
    </xdr:from>
    <xdr:to>
      <xdr:col>68</xdr:col>
      <xdr:colOff>91815</xdr:colOff>
      <xdr:row>32</xdr:row>
      <xdr:rowOff>79309</xdr:rowOff>
    </xdr:to>
    <xdr:grpSp>
      <xdr:nvGrpSpPr>
        <xdr:cNvPr id="27" name="グループ化 26">
          <a:extLst>
            <a:ext uri="{FF2B5EF4-FFF2-40B4-BE49-F238E27FC236}">
              <a16:creationId xmlns:a16="http://schemas.microsoft.com/office/drawing/2014/main" id="{6AF260BE-C471-4B17-B72A-CA10E136BA6B}"/>
            </a:ext>
          </a:extLst>
        </xdr:cNvPr>
        <xdr:cNvGrpSpPr/>
      </xdr:nvGrpSpPr>
      <xdr:grpSpPr>
        <a:xfrm>
          <a:off x="8412480" y="5334000"/>
          <a:ext cx="750945" cy="841309"/>
          <a:chOff x="12268200" y="2949641"/>
          <a:chExt cx="796665" cy="841309"/>
        </a:xfrm>
      </xdr:grpSpPr>
      <xdr:sp macro="" textlink="">
        <xdr:nvSpPr>
          <xdr:cNvPr id="28" name="フローチャート: 処理 27">
            <a:extLst>
              <a:ext uri="{FF2B5EF4-FFF2-40B4-BE49-F238E27FC236}">
                <a16:creationId xmlns:a16="http://schemas.microsoft.com/office/drawing/2014/main" id="{118E31EF-EEAC-485F-A626-D4951FCB0D2E}"/>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5" name="二等辺三角形 44">
            <a:extLst>
              <a:ext uri="{FF2B5EF4-FFF2-40B4-BE49-F238E27FC236}">
                <a16:creationId xmlns:a16="http://schemas.microsoft.com/office/drawing/2014/main" id="{5513E805-C04E-AC64-D95E-1A21C25FE648}"/>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6" name="二等辺三角形 45">
            <a:extLst>
              <a:ext uri="{FF2B5EF4-FFF2-40B4-BE49-F238E27FC236}">
                <a16:creationId xmlns:a16="http://schemas.microsoft.com/office/drawing/2014/main" id="{37ABD26D-EF50-8645-7191-EDDBF0489D11}"/>
              </a:ext>
            </a:extLst>
          </xdr:cNvPr>
          <xdr:cNvSpPr/>
        </xdr:nvSpPr>
        <xdr:spPr bwMode="auto">
          <a:xfrm rot="2499407">
            <a:off x="12675899" y="2949641"/>
            <a:ext cx="388966" cy="220614"/>
          </a:xfrm>
          <a:prstGeom prst="triangle">
            <a:avLst/>
          </a:prstGeom>
          <a:solidFill>
            <a:schemeClr val="bg1"/>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7" name="フローチャート: 処理 46">
            <a:extLst>
              <a:ext uri="{FF2B5EF4-FFF2-40B4-BE49-F238E27FC236}">
                <a16:creationId xmlns:a16="http://schemas.microsoft.com/office/drawing/2014/main" id="{AAABC10B-2C96-1E34-4671-E2A724B60312}"/>
              </a:ext>
            </a:extLst>
          </xdr:cNvPr>
          <xdr:cNvSpPr/>
        </xdr:nvSpPr>
        <xdr:spPr bwMode="auto">
          <a:xfrm>
            <a:off x="12567182" y="3438525"/>
            <a:ext cx="453493" cy="273115"/>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EXCEL</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50</xdr:col>
      <xdr:colOff>102559</xdr:colOff>
      <xdr:row>29</xdr:row>
      <xdr:rowOff>6213</xdr:rowOff>
    </xdr:from>
    <xdr:to>
      <xdr:col>60</xdr:col>
      <xdr:colOff>28430</xdr:colOff>
      <xdr:row>30</xdr:row>
      <xdr:rowOff>109307</xdr:rowOff>
    </xdr:to>
    <xdr:sp macro="" textlink="">
      <xdr:nvSpPr>
        <xdr:cNvPr id="48" name="右矢印 2">
          <a:extLst>
            <a:ext uri="{FF2B5EF4-FFF2-40B4-BE49-F238E27FC236}">
              <a16:creationId xmlns:a16="http://schemas.microsoft.com/office/drawing/2014/main" id="{DE91B0D3-59E6-4117-8F60-F514ED25B4BB}"/>
            </a:ext>
          </a:extLst>
        </xdr:cNvPr>
        <xdr:cNvSpPr/>
      </xdr:nvSpPr>
      <xdr:spPr bwMode="auto">
        <a:xfrm>
          <a:off x="7386383" y="5530713"/>
          <a:ext cx="1382635"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69</xdr:col>
      <xdr:colOff>89647</xdr:colOff>
      <xdr:row>15</xdr:row>
      <xdr:rowOff>11206</xdr:rowOff>
    </xdr:from>
    <xdr:to>
      <xdr:col>75</xdr:col>
      <xdr:colOff>26260</xdr:colOff>
      <xdr:row>19</xdr:row>
      <xdr:rowOff>90515</xdr:rowOff>
    </xdr:to>
    <xdr:grpSp>
      <xdr:nvGrpSpPr>
        <xdr:cNvPr id="4" name="グループ化 3">
          <a:extLst>
            <a:ext uri="{FF2B5EF4-FFF2-40B4-BE49-F238E27FC236}">
              <a16:creationId xmlns:a16="http://schemas.microsoft.com/office/drawing/2014/main" id="{7D92AF6E-A996-4CEB-8F9A-55AA857DB504}"/>
            </a:ext>
          </a:extLst>
        </xdr:cNvPr>
        <xdr:cNvGrpSpPr/>
      </xdr:nvGrpSpPr>
      <xdr:grpSpPr>
        <a:xfrm>
          <a:off x="9294607" y="2870611"/>
          <a:ext cx="729093" cy="843214"/>
          <a:chOff x="12268200" y="2949641"/>
          <a:chExt cx="796665" cy="841309"/>
        </a:xfrm>
      </xdr:grpSpPr>
      <xdr:sp macro="" textlink="">
        <xdr:nvSpPr>
          <xdr:cNvPr id="6" name="フローチャート: 処理 5">
            <a:extLst>
              <a:ext uri="{FF2B5EF4-FFF2-40B4-BE49-F238E27FC236}">
                <a16:creationId xmlns:a16="http://schemas.microsoft.com/office/drawing/2014/main" id="{390F1A96-7EAD-B694-F3CF-305C9DE43758}"/>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7" name="二等辺三角形 6">
            <a:extLst>
              <a:ext uri="{FF2B5EF4-FFF2-40B4-BE49-F238E27FC236}">
                <a16:creationId xmlns:a16="http://schemas.microsoft.com/office/drawing/2014/main" id="{A5E53035-A308-2DE7-1D5A-E64FEB79284E}"/>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8" name="二等辺三角形 7">
            <a:extLst>
              <a:ext uri="{FF2B5EF4-FFF2-40B4-BE49-F238E27FC236}">
                <a16:creationId xmlns:a16="http://schemas.microsoft.com/office/drawing/2014/main" id="{089E7FC5-92A4-CF9D-E60C-AE0D452408DB}"/>
              </a:ext>
            </a:extLst>
          </xdr:cNvPr>
          <xdr:cNvSpPr/>
        </xdr:nvSpPr>
        <xdr:spPr bwMode="auto">
          <a:xfrm rot="2499407">
            <a:off x="12675899" y="2949641"/>
            <a:ext cx="388966" cy="220614"/>
          </a:xfrm>
          <a:prstGeom prst="triangle">
            <a:avLst/>
          </a:prstGeom>
          <a:solidFill>
            <a:schemeClr val="bg1"/>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4" name="フローチャート: 処理 13">
            <a:extLst>
              <a:ext uri="{FF2B5EF4-FFF2-40B4-BE49-F238E27FC236}">
                <a16:creationId xmlns:a16="http://schemas.microsoft.com/office/drawing/2014/main" id="{D23B0BAA-1419-9C06-DCBE-6B5D56592100}"/>
              </a:ext>
            </a:extLst>
          </xdr:cNvPr>
          <xdr:cNvSpPr/>
        </xdr:nvSpPr>
        <xdr:spPr bwMode="auto">
          <a:xfrm>
            <a:off x="12649200" y="3438526"/>
            <a:ext cx="371475" cy="266700"/>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CSV</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editAs="oneCell">
    <xdr:from>
      <xdr:col>3</xdr:col>
      <xdr:colOff>0</xdr:colOff>
      <xdr:row>14</xdr:row>
      <xdr:rowOff>0</xdr:rowOff>
    </xdr:from>
    <xdr:to>
      <xdr:col>19</xdr:col>
      <xdr:colOff>11206</xdr:colOff>
      <xdr:row>22</xdr:row>
      <xdr:rowOff>59884</xdr:rowOff>
    </xdr:to>
    <xdr:pic>
      <xdr:nvPicPr>
        <xdr:cNvPr id="9" name="図 8">
          <a:extLst>
            <a:ext uri="{FF2B5EF4-FFF2-40B4-BE49-F238E27FC236}">
              <a16:creationId xmlns:a16="http://schemas.microsoft.com/office/drawing/2014/main" id="{F3662013-77FD-8F82-13FE-22BE335EB2B6}"/>
            </a:ext>
          </a:extLst>
        </xdr:cNvPr>
        <xdr:cNvPicPr>
          <a:picLocks noChangeAspect="1"/>
        </xdr:cNvPicPr>
      </xdr:nvPicPr>
      <xdr:blipFill>
        <a:blip xmlns:r="http://schemas.openxmlformats.org/officeDocument/2006/relationships" r:embed="rId1"/>
        <a:stretch>
          <a:fillRect/>
        </a:stretch>
      </xdr:blipFill>
      <xdr:spPr>
        <a:xfrm>
          <a:off x="437029" y="2667000"/>
          <a:ext cx="2342030" cy="1583884"/>
        </a:xfrm>
        <a:prstGeom prst="rect">
          <a:avLst/>
        </a:prstGeom>
      </xdr:spPr>
    </xdr:pic>
    <xdr:clientData/>
  </xdr:twoCellAnchor>
  <xdr:twoCellAnchor editAs="oneCell">
    <xdr:from>
      <xdr:col>33</xdr:col>
      <xdr:colOff>0</xdr:colOff>
      <xdr:row>14</xdr:row>
      <xdr:rowOff>0</xdr:rowOff>
    </xdr:from>
    <xdr:to>
      <xdr:col>49</xdr:col>
      <xdr:colOff>58938</xdr:colOff>
      <xdr:row>22</xdr:row>
      <xdr:rowOff>89647</xdr:rowOff>
    </xdr:to>
    <xdr:pic>
      <xdr:nvPicPr>
        <xdr:cNvPr id="10" name="図 9">
          <a:extLst>
            <a:ext uri="{FF2B5EF4-FFF2-40B4-BE49-F238E27FC236}">
              <a16:creationId xmlns:a16="http://schemas.microsoft.com/office/drawing/2014/main" id="{036A765A-07B8-97E8-75B0-C6DDE4E91EA4}"/>
            </a:ext>
          </a:extLst>
        </xdr:cNvPr>
        <xdr:cNvPicPr>
          <a:picLocks noChangeAspect="1"/>
        </xdr:cNvPicPr>
      </xdr:nvPicPr>
      <xdr:blipFill>
        <a:blip xmlns:r="http://schemas.openxmlformats.org/officeDocument/2006/relationships" r:embed="rId2"/>
        <a:stretch>
          <a:fillRect/>
        </a:stretch>
      </xdr:blipFill>
      <xdr:spPr>
        <a:xfrm>
          <a:off x="4807324" y="2667000"/>
          <a:ext cx="2389761" cy="1613647"/>
        </a:xfrm>
        <a:prstGeom prst="rect">
          <a:avLst/>
        </a:prstGeom>
      </xdr:spPr>
    </xdr:pic>
    <xdr:clientData/>
  </xdr:twoCellAnchor>
  <xdr:twoCellAnchor editAs="oneCell">
    <xdr:from>
      <xdr:col>3</xdr:col>
      <xdr:colOff>0</xdr:colOff>
      <xdr:row>27</xdr:row>
      <xdr:rowOff>0</xdr:rowOff>
    </xdr:from>
    <xdr:to>
      <xdr:col>19</xdr:col>
      <xdr:colOff>78441</xdr:colOff>
      <xdr:row>35</xdr:row>
      <xdr:rowOff>112411</xdr:rowOff>
    </xdr:to>
    <xdr:pic>
      <xdr:nvPicPr>
        <xdr:cNvPr id="13" name="図 12">
          <a:extLst>
            <a:ext uri="{FF2B5EF4-FFF2-40B4-BE49-F238E27FC236}">
              <a16:creationId xmlns:a16="http://schemas.microsoft.com/office/drawing/2014/main" id="{40FFC4CA-63CF-ACC1-6F35-84C39A0940BC}"/>
            </a:ext>
          </a:extLst>
        </xdr:cNvPr>
        <xdr:cNvPicPr>
          <a:picLocks noChangeAspect="1"/>
        </xdr:cNvPicPr>
      </xdr:nvPicPr>
      <xdr:blipFill>
        <a:blip xmlns:r="http://schemas.openxmlformats.org/officeDocument/2006/relationships" r:embed="rId3"/>
        <a:stretch>
          <a:fillRect/>
        </a:stretch>
      </xdr:blipFill>
      <xdr:spPr>
        <a:xfrm>
          <a:off x="437029" y="5143500"/>
          <a:ext cx="2409265" cy="1636411"/>
        </a:xfrm>
        <a:prstGeom prst="rect">
          <a:avLst/>
        </a:prstGeom>
      </xdr:spPr>
    </xdr:pic>
    <xdr:clientData/>
  </xdr:twoCellAnchor>
  <xdr:twoCellAnchor editAs="oneCell">
    <xdr:from>
      <xdr:col>33</xdr:col>
      <xdr:colOff>1</xdr:colOff>
      <xdr:row>27</xdr:row>
      <xdr:rowOff>0</xdr:rowOff>
    </xdr:from>
    <xdr:to>
      <xdr:col>49</xdr:col>
      <xdr:colOff>67236</xdr:colOff>
      <xdr:row>35</xdr:row>
      <xdr:rowOff>99705</xdr:rowOff>
    </xdr:to>
    <xdr:pic>
      <xdr:nvPicPr>
        <xdr:cNvPr id="15" name="図 14">
          <a:extLst>
            <a:ext uri="{FF2B5EF4-FFF2-40B4-BE49-F238E27FC236}">
              <a16:creationId xmlns:a16="http://schemas.microsoft.com/office/drawing/2014/main" id="{9E6FB590-4CCB-F5CC-52F7-5A170FD967AC}"/>
            </a:ext>
          </a:extLst>
        </xdr:cNvPr>
        <xdr:cNvPicPr>
          <a:picLocks noChangeAspect="1"/>
        </xdr:cNvPicPr>
      </xdr:nvPicPr>
      <xdr:blipFill>
        <a:blip xmlns:r="http://schemas.openxmlformats.org/officeDocument/2006/relationships" r:embed="rId4"/>
        <a:stretch>
          <a:fillRect/>
        </a:stretch>
      </xdr:blipFill>
      <xdr:spPr>
        <a:xfrm>
          <a:off x="4807325" y="5143500"/>
          <a:ext cx="2398058" cy="16237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269</xdr:row>
      <xdr:rowOff>0</xdr:rowOff>
    </xdr:from>
    <xdr:to>
      <xdr:col>45</xdr:col>
      <xdr:colOff>97331</xdr:colOff>
      <xdr:row>274</xdr:row>
      <xdr:rowOff>57291</xdr:rowOff>
    </xdr:to>
    <xdr:pic>
      <xdr:nvPicPr>
        <xdr:cNvPr id="27" name="図 26">
          <a:extLst>
            <a:ext uri="{FF2B5EF4-FFF2-40B4-BE49-F238E27FC236}">
              <a16:creationId xmlns:a16="http://schemas.microsoft.com/office/drawing/2014/main" id="{D72EC0D8-9409-9E00-22D3-121E5A68C70C}"/>
            </a:ext>
          </a:extLst>
        </xdr:cNvPr>
        <xdr:cNvPicPr>
          <a:picLocks noChangeAspect="1"/>
        </xdr:cNvPicPr>
      </xdr:nvPicPr>
      <xdr:blipFill>
        <a:blip xmlns:r="http://schemas.openxmlformats.org/officeDocument/2006/relationships" r:embed="rId1"/>
        <a:stretch>
          <a:fillRect/>
        </a:stretch>
      </xdr:blipFill>
      <xdr:spPr>
        <a:xfrm>
          <a:off x="422413" y="51244500"/>
          <a:ext cx="6011114" cy="1009791"/>
        </a:xfrm>
        <a:prstGeom prst="rect">
          <a:avLst/>
        </a:prstGeom>
      </xdr:spPr>
    </xdr:pic>
    <xdr:clientData/>
  </xdr:twoCellAnchor>
  <xdr:twoCellAnchor editAs="oneCell">
    <xdr:from>
      <xdr:col>50</xdr:col>
      <xdr:colOff>5381</xdr:colOff>
      <xdr:row>280</xdr:row>
      <xdr:rowOff>0</xdr:rowOff>
    </xdr:from>
    <xdr:to>
      <xdr:col>95</xdr:col>
      <xdr:colOff>56</xdr:colOff>
      <xdr:row>291</xdr:row>
      <xdr:rowOff>18195</xdr:rowOff>
    </xdr:to>
    <xdr:pic>
      <xdr:nvPicPr>
        <xdr:cNvPr id="26" name="図 25">
          <a:extLst>
            <a:ext uri="{FF2B5EF4-FFF2-40B4-BE49-F238E27FC236}">
              <a16:creationId xmlns:a16="http://schemas.microsoft.com/office/drawing/2014/main" id="{A3B02BC0-A185-6174-BFEE-337906F25F8F}"/>
            </a:ext>
          </a:extLst>
        </xdr:cNvPr>
        <xdr:cNvPicPr>
          <a:picLocks noChangeAspect="1"/>
        </xdr:cNvPicPr>
      </xdr:nvPicPr>
      <xdr:blipFill>
        <a:blip xmlns:r="http://schemas.openxmlformats.org/officeDocument/2006/relationships" r:embed="rId2"/>
        <a:stretch>
          <a:fillRect/>
        </a:stretch>
      </xdr:blipFill>
      <xdr:spPr>
        <a:xfrm>
          <a:off x="7149131" y="53340000"/>
          <a:ext cx="6411836" cy="2125125"/>
        </a:xfrm>
        <a:prstGeom prst="rect">
          <a:avLst/>
        </a:prstGeom>
      </xdr:spPr>
    </xdr:pic>
    <xdr:clientData/>
  </xdr:twoCellAnchor>
  <xdr:twoCellAnchor editAs="oneCell">
    <xdr:from>
      <xdr:col>50</xdr:col>
      <xdr:colOff>0</xdr:colOff>
      <xdr:row>269</xdr:row>
      <xdr:rowOff>0</xdr:rowOff>
    </xdr:from>
    <xdr:to>
      <xdr:col>86</xdr:col>
      <xdr:colOff>57876</xdr:colOff>
      <xdr:row>278</xdr:row>
      <xdr:rowOff>76450</xdr:rowOff>
    </xdr:to>
    <xdr:pic>
      <xdr:nvPicPr>
        <xdr:cNvPr id="25" name="図 24">
          <a:extLst>
            <a:ext uri="{FF2B5EF4-FFF2-40B4-BE49-F238E27FC236}">
              <a16:creationId xmlns:a16="http://schemas.microsoft.com/office/drawing/2014/main" id="{A9E8E1A9-E1C4-03FE-35A0-540A4DB8D363}"/>
            </a:ext>
          </a:extLst>
        </xdr:cNvPr>
        <xdr:cNvPicPr>
          <a:picLocks noChangeAspect="1"/>
        </xdr:cNvPicPr>
      </xdr:nvPicPr>
      <xdr:blipFill>
        <a:blip xmlns:r="http://schemas.openxmlformats.org/officeDocument/2006/relationships" r:embed="rId3"/>
        <a:stretch>
          <a:fillRect/>
        </a:stretch>
      </xdr:blipFill>
      <xdr:spPr>
        <a:xfrm>
          <a:off x="7143750" y="51244500"/>
          <a:ext cx="5201376" cy="1790950"/>
        </a:xfrm>
        <a:prstGeom prst="rect">
          <a:avLst/>
        </a:prstGeom>
      </xdr:spPr>
    </xdr:pic>
    <xdr:clientData/>
  </xdr:twoCellAnchor>
  <xdr:twoCellAnchor editAs="oneCell">
    <xdr:from>
      <xdr:col>2</xdr:col>
      <xdr:colOff>134472</xdr:colOff>
      <xdr:row>52</xdr:row>
      <xdr:rowOff>11206</xdr:rowOff>
    </xdr:from>
    <xdr:to>
      <xdr:col>28</xdr:col>
      <xdr:colOff>78442</xdr:colOff>
      <xdr:row>63</xdr:row>
      <xdr:rowOff>18542</xdr:rowOff>
    </xdr:to>
    <xdr:pic>
      <xdr:nvPicPr>
        <xdr:cNvPr id="13" name="図 12">
          <a:extLst>
            <a:ext uri="{FF2B5EF4-FFF2-40B4-BE49-F238E27FC236}">
              <a16:creationId xmlns:a16="http://schemas.microsoft.com/office/drawing/2014/main" id="{CF24EAA5-54B2-120A-113C-6E80A73C46F6}"/>
            </a:ext>
          </a:extLst>
        </xdr:cNvPr>
        <xdr:cNvPicPr>
          <a:picLocks noChangeAspect="1"/>
        </xdr:cNvPicPr>
      </xdr:nvPicPr>
      <xdr:blipFill>
        <a:blip xmlns:r="http://schemas.openxmlformats.org/officeDocument/2006/relationships" r:embed="rId4"/>
        <a:stretch>
          <a:fillRect/>
        </a:stretch>
      </xdr:blipFill>
      <xdr:spPr>
        <a:xfrm>
          <a:off x="425825" y="9917206"/>
          <a:ext cx="3731558" cy="2102836"/>
        </a:xfrm>
        <a:prstGeom prst="rect">
          <a:avLst/>
        </a:prstGeom>
      </xdr:spPr>
    </xdr:pic>
    <xdr:clientData/>
  </xdr:twoCellAnchor>
  <xdr:twoCellAnchor editAs="oneCell">
    <xdr:from>
      <xdr:col>3</xdr:col>
      <xdr:colOff>11207</xdr:colOff>
      <xdr:row>66</xdr:row>
      <xdr:rowOff>56029</xdr:rowOff>
    </xdr:from>
    <xdr:to>
      <xdr:col>28</xdr:col>
      <xdr:colOff>16328</xdr:colOff>
      <xdr:row>72</xdr:row>
      <xdr:rowOff>16920</xdr:rowOff>
    </xdr:to>
    <xdr:pic>
      <xdr:nvPicPr>
        <xdr:cNvPr id="15" name="図 14">
          <a:extLst>
            <a:ext uri="{FF2B5EF4-FFF2-40B4-BE49-F238E27FC236}">
              <a16:creationId xmlns:a16="http://schemas.microsoft.com/office/drawing/2014/main" id="{8771DAD4-1AE7-28A4-54EB-CF5C843CD78B}"/>
            </a:ext>
          </a:extLst>
        </xdr:cNvPr>
        <xdr:cNvPicPr>
          <a:picLocks noChangeAspect="1"/>
        </xdr:cNvPicPr>
      </xdr:nvPicPr>
      <xdr:blipFill>
        <a:blip xmlns:r="http://schemas.openxmlformats.org/officeDocument/2006/relationships" r:embed="rId5"/>
        <a:stretch>
          <a:fillRect/>
        </a:stretch>
      </xdr:blipFill>
      <xdr:spPr>
        <a:xfrm>
          <a:off x="448236" y="12629029"/>
          <a:ext cx="3641318" cy="1098176"/>
        </a:xfrm>
        <a:prstGeom prst="rect">
          <a:avLst/>
        </a:prstGeom>
        <a:ln>
          <a:solidFill>
            <a:schemeClr val="tx1">
              <a:lumMod val="50000"/>
              <a:lumOff val="50000"/>
            </a:schemeClr>
          </a:solidFill>
        </a:ln>
      </xdr:spPr>
    </xdr:pic>
    <xdr:clientData/>
  </xdr:twoCellAnchor>
  <xdr:twoCellAnchor>
    <xdr:from>
      <xdr:col>13</xdr:col>
      <xdr:colOff>11209</xdr:colOff>
      <xdr:row>60</xdr:row>
      <xdr:rowOff>168088</xdr:rowOff>
    </xdr:from>
    <xdr:to>
      <xdr:col>18</xdr:col>
      <xdr:colOff>56030</xdr:colOff>
      <xdr:row>62</xdr:row>
      <xdr:rowOff>89647</xdr:rowOff>
    </xdr:to>
    <xdr:sp macro="" textlink="">
      <xdr:nvSpPr>
        <xdr:cNvPr id="6" name="四角形: 角を丸くする 5">
          <a:extLst>
            <a:ext uri="{FF2B5EF4-FFF2-40B4-BE49-F238E27FC236}">
              <a16:creationId xmlns:a16="http://schemas.microsoft.com/office/drawing/2014/main" id="{00000000-0008-0000-0300-000006000000}"/>
            </a:ext>
          </a:extLst>
        </xdr:cNvPr>
        <xdr:cNvSpPr/>
      </xdr:nvSpPr>
      <xdr:spPr bwMode="auto">
        <a:xfrm>
          <a:off x="1905003" y="11598088"/>
          <a:ext cx="773203" cy="302559"/>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16</xdr:col>
      <xdr:colOff>100852</xdr:colOff>
      <xdr:row>69</xdr:row>
      <xdr:rowOff>44822</xdr:rowOff>
    </xdr:from>
    <xdr:to>
      <xdr:col>22</xdr:col>
      <xdr:colOff>44824</xdr:colOff>
      <xdr:row>71</xdr:row>
      <xdr:rowOff>156881</xdr:rowOff>
    </xdr:to>
    <xdr:sp macro="" textlink="">
      <xdr:nvSpPr>
        <xdr:cNvPr id="7" name="四角形: 角を丸くする 6">
          <a:extLst>
            <a:ext uri="{FF2B5EF4-FFF2-40B4-BE49-F238E27FC236}">
              <a16:creationId xmlns:a16="http://schemas.microsoft.com/office/drawing/2014/main" id="{00000000-0008-0000-0300-000007000000}"/>
            </a:ext>
          </a:extLst>
        </xdr:cNvPr>
        <xdr:cNvSpPr/>
      </xdr:nvSpPr>
      <xdr:spPr bwMode="auto">
        <a:xfrm>
          <a:off x="2431676" y="13189322"/>
          <a:ext cx="818030" cy="493059"/>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14</xdr:col>
      <xdr:colOff>4203</xdr:colOff>
      <xdr:row>63</xdr:row>
      <xdr:rowOff>89658</xdr:rowOff>
    </xdr:from>
    <xdr:to>
      <xdr:col>16</xdr:col>
      <xdr:colOff>6444</xdr:colOff>
      <xdr:row>65</xdr:row>
      <xdr:rowOff>78447</xdr:rowOff>
    </xdr:to>
    <xdr:sp macro="" textlink="">
      <xdr:nvSpPr>
        <xdr:cNvPr id="10" name="右矢印 2">
          <a:extLst>
            <a:ext uri="{FF2B5EF4-FFF2-40B4-BE49-F238E27FC236}">
              <a16:creationId xmlns:a16="http://schemas.microsoft.com/office/drawing/2014/main" id="{B156DDC4-FDDF-4F5E-AAED-0497F1AD71B9}"/>
            </a:ext>
          </a:extLst>
        </xdr:cNvPr>
        <xdr:cNvSpPr/>
      </xdr:nvSpPr>
      <xdr:spPr bwMode="auto">
        <a:xfrm rot="5400000">
          <a:off x="2005576" y="12129256"/>
          <a:ext cx="369789"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xdr:col>
      <xdr:colOff>123265</xdr:colOff>
      <xdr:row>72</xdr:row>
      <xdr:rowOff>123276</xdr:rowOff>
    </xdr:from>
    <xdr:to>
      <xdr:col>7</xdr:col>
      <xdr:colOff>125506</xdr:colOff>
      <xdr:row>74</xdr:row>
      <xdr:rowOff>134478</xdr:rowOff>
    </xdr:to>
    <xdr:sp macro="" textlink="">
      <xdr:nvSpPr>
        <xdr:cNvPr id="11" name="右矢印 2">
          <a:extLst>
            <a:ext uri="{FF2B5EF4-FFF2-40B4-BE49-F238E27FC236}">
              <a16:creationId xmlns:a16="http://schemas.microsoft.com/office/drawing/2014/main" id="{CF37EC3D-617E-4FBA-9E9E-847DE902F26A}"/>
            </a:ext>
          </a:extLst>
        </xdr:cNvPr>
        <xdr:cNvSpPr/>
      </xdr:nvSpPr>
      <xdr:spPr bwMode="auto">
        <a:xfrm rot="5400000">
          <a:off x="802343" y="13888580"/>
          <a:ext cx="392202"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15</xdr:col>
      <xdr:colOff>44824</xdr:colOff>
      <xdr:row>83</xdr:row>
      <xdr:rowOff>128300</xdr:rowOff>
    </xdr:from>
    <xdr:to>
      <xdr:col>20</xdr:col>
      <xdr:colOff>22412</xdr:colOff>
      <xdr:row>85</xdr:row>
      <xdr:rowOff>33615</xdr:rowOff>
    </xdr:to>
    <xdr:sp macro="" textlink="">
      <xdr:nvSpPr>
        <xdr:cNvPr id="9" name="四角形: 角を丸くする 8">
          <a:extLst>
            <a:ext uri="{FF2B5EF4-FFF2-40B4-BE49-F238E27FC236}">
              <a16:creationId xmlns:a16="http://schemas.microsoft.com/office/drawing/2014/main" id="{00000000-0008-0000-0300-000009000000}"/>
            </a:ext>
          </a:extLst>
        </xdr:cNvPr>
        <xdr:cNvSpPr/>
      </xdr:nvSpPr>
      <xdr:spPr bwMode="auto">
        <a:xfrm flipV="1">
          <a:off x="2229971" y="15939800"/>
          <a:ext cx="705970" cy="286315"/>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14</xdr:col>
      <xdr:colOff>26992</xdr:colOff>
      <xdr:row>85</xdr:row>
      <xdr:rowOff>82381</xdr:rowOff>
    </xdr:from>
    <xdr:to>
      <xdr:col>16</xdr:col>
      <xdr:colOff>29233</xdr:colOff>
      <xdr:row>87</xdr:row>
      <xdr:rowOff>113030</xdr:rowOff>
    </xdr:to>
    <xdr:sp macro="" textlink="">
      <xdr:nvSpPr>
        <xdr:cNvPr id="16" name="右矢印 2">
          <a:extLst>
            <a:ext uri="{FF2B5EF4-FFF2-40B4-BE49-F238E27FC236}">
              <a16:creationId xmlns:a16="http://schemas.microsoft.com/office/drawing/2014/main" id="{9B31AF59-9674-4A78-9B8B-3AD765E9E99F}"/>
            </a:ext>
          </a:extLst>
        </xdr:cNvPr>
        <xdr:cNvSpPr/>
      </xdr:nvSpPr>
      <xdr:spPr bwMode="auto">
        <a:xfrm rot="7729858">
          <a:off x="2007435" y="16333909"/>
          <a:ext cx="411649"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editAs="oneCell">
    <xdr:from>
      <xdr:col>53</xdr:col>
      <xdr:colOff>11208</xdr:colOff>
      <xdr:row>226</xdr:row>
      <xdr:rowOff>28682</xdr:rowOff>
    </xdr:from>
    <xdr:to>
      <xdr:col>95</xdr:col>
      <xdr:colOff>56180</xdr:colOff>
      <xdr:row>260</xdr:row>
      <xdr:rowOff>16921</xdr:rowOff>
    </xdr:to>
    <xdr:pic>
      <xdr:nvPicPr>
        <xdr:cNvPr id="4" name="図 3">
          <a:extLst>
            <a:ext uri="{FF2B5EF4-FFF2-40B4-BE49-F238E27FC236}">
              <a16:creationId xmlns:a16="http://schemas.microsoft.com/office/drawing/2014/main" id="{5B1242C6-1FCF-F569-E300-4DAE436D966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732061" y="43081682"/>
          <a:ext cx="6174814" cy="6459524"/>
        </a:xfrm>
        <a:prstGeom prst="rect">
          <a:avLst/>
        </a:prstGeom>
        <a:solidFill>
          <a:schemeClr val="bg1"/>
        </a:solidFill>
      </xdr:spPr>
    </xdr:pic>
    <xdr:clientData/>
  </xdr:twoCellAnchor>
  <xdr:twoCellAnchor editAs="oneCell">
    <xdr:from>
      <xdr:col>4</xdr:col>
      <xdr:colOff>0</xdr:colOff>
      <xdr:row>227</xdr:row>
      <xdr:rowOff>0</xdr:rowOff>
    </xdr:from>
    <xdr:to>
      <xdr:col>50</xdr:col>
      <xdr:colOff>112059</xdr:colOff>
      <xdr:row>239</xdr:row>
      <xdr:rowOff>35375</xdr:rowOff>
    </xdr:to>
    <xdr:pic>
      <xdr:nvPicPr>
        <xdr:cNvPr id="12" name="図 11">
          <a:extLst>
            <a:ext uri="{FF2B5EF4-FFF2-40B4-BE49-F238E27FC236}">
              <a16:creationId xmlns:a16="http://schemas.microsoft.com/office/drawing/2014/main" id="{B6677E87-D21A-4E0E-9F3B-E62FF239C28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2706" y="43243500"/>
          <a:ext cx="6813177" cy="2321375"/>
        </a:xfrm>
        <a:prstGeom prst="rect">
          <a:avLst/>
        </a:prstGeom>
        <a:solidFill>
          <a:schemeClr val="bg1"/>
        </a:solidFill>
      </xdr:spPr>
    </xdr:pic>
    <xdr:clientData/>
  </xdr:twoCellAnchor>
  <xdr:twoCellAnchor editAs="oneCell">
    <xdr:from>
      <xdr:col>1</xdr:col>
      <xdr:colOff>0</xdr:colOff>
      <xdr:row>6</xdr:row>
      <xdr:rowOff>0</xdr:rowOff>
    </xdr:from>
    <xdr:to>
      <xdr:col>59</xdr:col>
      <xdr:colOff>22121</xdr:colOff>
      <xdr:row>36</xdr:row>
      <xdr:rowOff>0</xdr:rowOff>
    </xdr:to>
    <xdr:pic>
      <xdr:nvPicPr>
        <xdr:cNvPr id="2" name="図 1">
          <a:extLst>
            <a:ext uri="{FF2B5EF4-FFF2-40B4-BE49-F238E27FC236}">
              <a16:creationId xmlns:a16="http://schemas.microsoft.com/office/drawing/2014/main" id="{22CA2770-55D2-4537-8712-B0ED4E9147EA}"/>
            </a:ext>
          </a:extLst>
        </xdr:cNvPr>
        <xdr:cNvPicPr>
          <a:picLocks noChangeAspect="1"/>
        </xdr:cNvPicPr>
      </xdr:nvPicPr>
      <xdr:blipFill>
        <a:blip xmlns:r="http://schemas.openxmlformats.org/officeDocument/2006/relationships" r:embed="rId8"/>
        <a:stretch>
          <a:fillRect/>
        </a:stretch>
      </xdr:blipFill>
      <xdr:spPr>
        <a:xfrm>
          <a:off x="145676" y="1143000"/>
          <a:ext cx="8463737" cy="5715000"/>
        </a:xfrm>
        <a:prstGeom prst="rect">
          <a:avLst/>
        </a:prstGeom>
      </xdr:spPr>
    </xdr:pic>
    <xdr:clientData/>
  </xdr:twoCellAnchor>
  <xdr:twoCellAnchor>
    <xdr:from>
      <xdr:col>2</xdr:col>
      <xdr:colOff>134472</xdr:colOff>
      <xdr:row>74</xdr:row>
      <xdr:rowOff>145679</xdr:rowOff>
    </xdr:from>
    <xdr:to>
      <xdr:col>28</xdr:col>
      <xdr:colOff>59500</xdr:colOff>
      <xdr:row>85</xdr:row>
      <xdr:rowOff>125693</xdr:rowOff>
    </xdr:to>
    <xdr:grpSp>
      <xdr:nvGrpSpPr>
        <xdr:cNvPr id="20" name="グループ化 19">
          <a:extLst>
            <a:ext uri="{FF2B5EF4-FFF2-40B4-BE49-F238E27FC236}">
              <a16:creationId xmlns:a16="http://schemas.microsoft.com/office/drawing/2014/main" id="{CD727818-E96D-51A4-A7B5-5D5DD076250F}"/>
            </a:ext>
          </a:extLst>
        </xdr:cNvPr>
        <xdr:cNvGrpSpPr/>
      </xdr:nvGrpSpPr>
      <xdr:grpSpPr>
        <a:xfrm>
          <a:off x="399603" y="14240774"/>
          <a:ext cx="3421263" cy="2079324"/>
          <a:chOff x="425235" y="14242679"/>
          <a:chExt cx="3704949" cy="2075514"/>
        </a:xfrm>
      </xdr:grpSpPr>
      <xdr:pic>
        <xdr:nvPicPr>
          <xdr:cNvPr id="8" name="図 7">
            <a:extLst>
              <a:ext uri="{FF2B5EF4-FFF2-40B4-BE49-F238E27FC236}">
                <a16:creationId xmlns:a16="http://schemas.microsoft.com/office/drawing/2014/main" id="{05593F96-3FA1-D15F-0978-5B771CAB545A}"/>
              </a:ext>
            </a:extLst>
          </xdr:cNvPr>
          <xdr:cNvPicPr>
            <a:picLocks noChangeAspect="1"/>
          </xdr:cNvPicPr>
        </xdr:nvPicPr>
        <xdr:blipFill>
          <a:blip xmlns:r="http://schemas.openxmlformats.org/officeDocument/2006/relationships" r:embed="rId9"/>
          <a:stretch>
            <a:fillRect/>
          </a:stretch>
        </xdr:blipFill>
        <xdr:spPr>
          <a:xfrm>
            <a:off x="425235" y="14242679"/>
            <a:ext cx="3704949" cy="2075514"/>
          </a:xfrm>
          <a:prstGeom prst="rect">
            <a:avLst/>
          </a:prstGeom>
        </xdr:spPr>
      </xdr:pic>
      <xdr:pic>
        <xdr:nvPicPr>
          <xdr:cNvPr id="18" name="図 17">
            <a:extLst>
              <a:ext uri="{FF2B5EF4-FFF2-40B4-BE49-F238E27FC236}">
                <a16:creationId xmlns:a16="http://schemas.microsoft.com/office/drawing/2014/main" id="{8396B918-62F0-A536-ABB1-37CB19D1BA12}"/>
              </a:ext>
            </a:extLst>
          </xdr:cNvPr>
          <xdr:cNvPicPr>
            <a:picLocks noChangeAspect="1"/>
          </xdr:cNvPicPr>
        </xdr:nvPicPr>
        <xdr:blipFill>
          <a:blip xmlns:r="http://schemas.openxmlformats.org/officeDocument/2006/relationships" r:embed="rId10"/>
          <a:stretch>
            <a:fillRect/>
          </a:stretch>
        </xdr:blipFill>
        <xdr:spPr>
          <a:xfrm>
            <a:off x="1223212" y="14663487"/>
            <a:ext cx="305801" cy="141139"/>
          </a:xfrm>
          <a:prstGeom prst="rect">
            <a:avLst/>
          </a:prstGeom>
        </xdr:spPr>
      </xdr:pic>
    </xdr:grpSp>
    <xdr:clientData/>
  </xdr:twoCellAnchor>
  <xdr:twoCellAnchor>
    <xdr:from>
      <xdr:col>40</xdr:col>
      <xdr:colOff>21949</xdr:colOff>
      <xdr:row>271</xdr:row>
      <xdr:rowOff>154885</xdr:rowOff>
    </xdr:from>
    <xdr:to>
      <xdr:col>45</xdr:col>
      <xdr:colOff>40998</xdr:colOff>
      <xdr:row>273</xdr:row>
      <xdr:rowOff>97735</xdr:rowOff>
    </xdr:to>
    <xdr:sp macro="" textlink="">
      <xdr:nvSpPr>
        <xdr:cNvPr id="21" name="四角形: 角を丸くする 20">
          <a:extLst>
            <a:ext uri="{FF2B5EF4-FFF2-40B4-BE49-F238E27FC236}">
              <a16:creationId xmlns:a16="http://schemas.microsoft.com/office/drawing/2014/main" id="{ABCEAB4B-C9DD-5C66-8791-01D255284D8B}"/>
            </a:ext>
          </a:extLst>
        </xdr:cNvPr>
        <xdr:cNvSpPr/>
      </xdr:nvSpPr>
      <xdr:spPr bwMode="auto">
        <a:xfrm>
          <a:off x="5654123" y="51780385"/>
          <a:ext cx="723071" cy="323850"/>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70</xdr:col>
      <xdr:colOff>95250</xdr:colOff>
      <xdr:row>273</xdr:row>
      <xdr:rowOff>123825</xdr:rowOff>
    </xdr:from>
    <xdr:to>
      <xdr:col>75</xdr:col>
      <xdr:colOff>114300</xdr:colOff>
      <xdr:row>275</xdr:row>
      <xdr:rowOff>66675</xdr:rowOff>
    </xdr:to>
    <xdr:sp macro="" textlink="">
      <xdr:nvSpPr>
        <xdr:cNvPr id="22" name="四角形: 角を丸くする 21">
          <a:extLst>
            <a:ext uri="{FF2B5EF4-FFF2-40B4-BE49-F238E27FC236}">
              <a16:creationId xmlns:a16="http://schemas.microsoft.com/office/drawing/2014/main" id="{EF061345-1985-4E70-9A79-8FBDAA847F42}"/>
            </a:ext>
          </a:extLst>
        </xdr:cNvPr>
        <xdr:cNvSpPr/>
      </xdr:nvSpPr>
      <xdr:spPr bwMode="auto">
        <a:xfrm>
          <a:off x="10096500" y="52130325"/>
          <a:ext cx="733425" cy="323850"/>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91</xdr:col>
      <xdr:colOff>48037</xdr:colOff>
      <xdr:row>280</xdr:row>
      <xdr:rowOff>173935</xdr:rowOff>
    </xdr:from>
    <xdr:to>
      <xdr:col>94</xdr:col>
      <xdr:colOff>76612</xdr:colOff>
      <xdr:row>290</xdr:row>
      <xdr:rowOff>165652</xdr:rowOff>
    </xdr:to>
    <xdr:sp macro="" textlink="">
      <xdr:nvSpPr>
        <xdr:cNvPr id="23" name="四角形: 角を丸くする 22">
          <a:extLst>
            <a:ext uri="{FF2B5EF4-FFF2-40B4-BE49-F238E27FC236}">
              <a16:creationId xmlns:a16="http://schemas.microsoft.com/office/drawing/2014/main" id="{4DEB2CBB-C48B-4FCB-AE87-CE60D2C8CB57}"/>
            </a:ext>
          </a:extLst>
        </xdr:cNvPr>
        <xdr:cNvSpPr/>
      </xdr:nvSpPr>
      <xdr:spPr bwMode="auto">
        <a:xfrm>
          <a:off x="13049662" y="53513935"/>
          <a:ext cx="457200" cy="1896717"/>
        </a:xfrm>
        <a:prstGeom prst="roundRect">
          <a:avLst/>
        </a:prstGeom>
        <a:noFill/>
        <a:ln w="19050" cap="flat" cmpd="sng" algn="ctr">
          <a:solidFill>
            <a:srgbClr val="FF0000"/>
          </a:solidFill>
          <a:prstDash val="sysDash"/>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87</xdr:col>
      <xdr:colOff>86777</xdr:colOff>
      <xdr:row>271</xdr:row>
      <xdr:rowOff>108247</xdr:rowOff>
    </xdr:from>
    <xdr:to>
      <xdr:col>92</xdr:col>
      <xdr:colOff>66833</xdr:colOff>
      <xdr:row>280</xdr:row>
      <xdr:rowOff>115589</xdr:rowOff>
    </xdr:to>
    <xdr:sp macro="" textlink="">
      <xdr:nvSpPr>
        <xdr:cNvPr id="28" name="矢印: 左カーブ 27">
          <a:extLst>
            <a:ext uri="{FF2B5EF4-FFF2-40B4-BE49-F238E27FC236}">
              <a16:creationId xmlns:a16="http://schemas.microsoft.com/office/drawing/2014/main" id="{7CF501D5-2CB0-42B5-EF71-494AAD5B424D}"/>
            </a:ext>
          </a:extLst>
        </xdr:cNvPr>
        <xdr:cNvSpPr/>
      </xdr:nvSpPr>
      <xdr:spPr bwMode="auto">
        <a:xfrm rot="19291869" flipV="1">
          <a:off x="12336755" y="51733747"/>
          <a:ext cx="684078" cy="1721842"/>
        </a:xfrm>
        <a:prstGeom prst="curvedLeftArrow">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oneCellAnchor>
    <xdr:from>
      <xdr:col>78</xdr:col>
      <xdr:colOff>140804</xdr:colOff>
      <xdr:row>275</xdr:row>
      <xdr:rowOff>115957</xdr:rowOff>
    </xdr:from>
    <xdr:ext cx="1657428" cy="759182"/>
    <xdr:sp macro="" textlink="">
      <xdr:nvSpPr>
        <xdr:cNvPr id="29" name="テキスト ボックス 28">
          <a:extLst>
            <a:ext uri="{FF2B5EF4-FFF2-40B4-BE49-F238E27FC236}">
              <a16:creationId xmlns:a16="http://schemas.microsoft.com/office/drawing/2014/main" id="{BD63C893-9AD9-C8E4-69AB-0F8848290BE0}"/>
            </a:ext>
          </a:extLst>
        </xdr:cNvPr>
        <xdr:cNvSpPr txBox="1"/>
      </xdr:nvSpPr>
      <xdr:spPr>
        <a:xfrm>
          <a:off x="11123543" y="52503457"/>
          <a:ext cx="1657428" cy="759182"/>
        </a:xfrm>
        <a:prstGeom prst="rect">
          <a:avLst/>
        </a:prstGeom>
        <a:solidFill>
          <a:schemeClr val="bg1">
            <a:lumMod val="95000"/>
          </a:schemeClr>
        </a:solidFill>
        <a:ln>
          <a:solidFill>
            <a:schemeClr val="tx1">
              <a:lumMod val="65000"/>
              <a:lumOff val="3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kumimoji="1" lang="en-US" altLang="ja-JP" sz="1000">
              <a:latin typeface="+mj-ea"/>
              <a:ea typeface="+mj-ea"/>
            </a:rPr>
            <a:t>[</a:t>
          </a:r>
          <a:r>
            <a:rPr kumimoji="1" lang="ja-JP" altLang="en-US" sz="1000">
              <a:latin typeface="+mj-ea"/>
              <a:ea typeface="+mj-ea"/>
            </a:rPr>
            <a:t>仮集計対象データ一覧</a:t>
          </a:r>
          <a:r>
            <a:rPr kumimoji="1" lang="en-US" altLang="ja-JP" sz="1000">
              <a:latin typeface="+mj-ea"/>
              <a:ea typeface="+mj-ea"/>
            </a:rPr>
            <a:t>]</a:t>
          </a:r>
          <a:r>
            <a:rPr kumimoji="1" lang="ja-JP" altLang="en-US" sz="1000">
              <a:latin typeface="+mj-ea"/>
              <a:ea typeface="+mj-ea"/>
            </a:rPr>
            <a:t>の勤務時間の合計を勤務時間仮集計表の勤怠集計列に出力</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59</xdr:col>
      <xdr:colOff>0</xdr:colOff>
      <xdr:row>36</xdr:row>
      <xdr:rowOff>5907</xdr:rowOff>
    </xdr:to>
    <xdr:pic>
      <xdr:nvPicPr>
        <xdr:cNvPr id="3" name="図 2">
          <a:extLst>
            <a:ext uri="{FF2B5EF4-FFF2-40B4-BE49-F238E27FC236}">
              <a16:creationId xmlns:a16="http://schemas.microsoft.com/office/drawing/2014/main" id="{791BA319-9685-4AEB-8DB4-CD9319B1FE4B}"/>
            </a:ext>
          </a:extLst>
        </xdr:cNvPr>
        <xdr:cNvPicPr>
          <a:picLocks noChangeAspect="1"/>
        </xdr:cNvPicPr>
      </xdr:nvPicPr>
      <xdr:blipFill>
        <a:blip xmlns:r="http://schemas.openxmlformats.org/officeDocument/2006/relationships" r:embed="rId1"/>
        <a:stretch>
          <a:fillRect/>
        </a:stretch>
      </xdr:blipFill>
      <xdr:spPr>
        <a:xfrm>
          <a:off x="145676" y="1143000"/>
          <a:ext cx="8449236" cy="572090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tabSelected="1" zoomScale="85" zoomScaleNormal="85"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132" t="str">
        <f>I40</f>
        <v>　学生勤務管理システム</v>
      </c>
      <c r="H11" s="133"/>
      <c r="I11" s="133"/>
      <c r="J11" s="133"/>
      <c r="K11" s="133"/>
      <c r="L11" s="133"/>
      <c r="M11" s="133"/>
      <c r="N11" s="133"/>
      <c r="O11" s="133"/>
      <c r="P11" s="133"/>
      <c r="Q11" s="133"/>
      <c r="R11" s="133"/>
      <c r="S11" s="133"/>
      <c r="T11" s="133"/>
      <c r="U11" s="133"/>
      <c r="V11" s="133"/>
      <c r="W11" s="133"/>
      <c r="X11" s="6"/>
    </row>
    <row r="12" spans="7:24" ht="13.5" customHeight="1" x14ac:dyDescent="0.2">
      <c r="G12" s="132"/>
      <c r="H12" s="133"/>
      <c r="I12" s="133"/>
      <c r="J12" s="133"/>
      <c r="K12" s="133"/>
      <c r="L12" s="133"/>
      <c r="M12" s="133"/>
      <c r="N12" s="133"/>
      <c r="O12" s="133"/>
      <c r="P12" s="133"/>
      <c r="Q12" s="133"/>
      <c r="R12" s="133"/>
      <c r="S12" s="133"/>
      <c r="T12" s="133"/>
      <c r="U12" s="133"/>
      <c r="V12" s="133"/>
      <c r="W12" s="133"/>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132" t="str">
        <f>I44</f>
        <v>　CK-020_給与計算処理</v>
      </c>
      <c r="H14" s="133"/>
      <c r="I14" s="133"/>
      <c r="J14" s="133"/>
      <c r="K14" s="133"/>
      <c r="L14" s="133"/>
      <c r="M14" s="133"/>
      <c r="N14" s="133"/>
      <c r="O14" s="133"/>
      <c r="P14" s="133"/>
      <c r="Q14" s="133"/>
      <c r="R14" s="133"/>
      <c r="S14" s="133"/>
      <c r="T14" s="133"/>
      <c r="U14" s="133"/>
      <c r="V14" s="133"/>
      <c r="W14" s="133"/>
      <c r="X14" s="6"/>
    </row>
    <row r="15" spans="7:24" ht="13.5" customHeight="1" x14ac:dyDescent="0.2">
      <c r="G15" s="132"/>
      <c r="H15" s="133"/>
      <c r="I15" s="133"/>
      <c r="J15" s="133"/>
      <c r="K15" s="133"/>
      <c r="L15" s="133"/>
      <c r="M15" s="133"/>
      <c r="N15" s="133"/>
      <c r="O15" s="133"/>
      <c r="P15" s="133"/>
      <c r="Q15" s="133"/>
      <c r="R15" s="133"/>
      <c r="S15" s="133"/>
      <c r="T15" s="133"/>
      <c r="U15" s="133"/>
      <c r="V15" s="133"/>
      <c r="W15" s="133"/>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132" t="str">
        <f>I42</f>
        <v xml:space="preserve">　 </v>
      </c>
      <c r="H17" s="133"/>
      <c r="I17" s="133"/>
      <c r="J17" s="133"/>
      <c r="K17" s="133"/>
      <c r="L17" s="133"/>
      <c r="M17" s="133"/>
      <c r="N17" s="133"/>
      <c r="O17" s="133"/>
      <c r="P17" s="133"/>
      <c r="Q17" s="133"/>
      <c r="R17" s="133"/>
      <c r="S17" s="133"/>
      <c r="T17" s="133"/>
      <c r="U17" s="133"/>
      <c r="V17" s="133"/>
      <c r="W17" s="133"/>
      <c r="X17" s="6"/>
    </row>
    <row r="18" spans="7:24" ht="13.5" customHeight="1" x14ac:dyDescent="0.2">
      <c r="G18" s="132"/>
      <c r="H18" s="133"/>
      <c r="I18" s="133"/>
      <c r="J18" s="133"/>
      <c r="K18" s="133"/>
      <c r="L18" s="133"/>
      <c r="M18" s="133"/>
      <c r="N18" s="133"/>
      <c r="O18" s="133"/>
      <c r="P18" s="133"/>
      <c r="Q18" s="133"/>
      <c r="R18" s="133"/>
      <c r="S18" s="133"/>
      <c r="T18" s="133"/>
      <c r="U18" s="133"/>
      <c r="V18" s="133"/>
      <c r="W18" s="133"/>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132" t="str">
        <f>I51</f>
        <v>【 Ver 1.20 】</v>
      </c>
      <c r="H20" s="133"/>
      <c r="I20" s="133"/>
      <c r="J20" s="133"/>
      <c r="K20" s="133"/>
      <c r="L20" s="133"/>
      <c r="M20" s="133"/>
      <c r="N20" s="133"/>
      <c r="O20" s="133"/>
      <c r="P20" s="133"/>
      <c r="Q20" s="133"/>
      <c r="R20" s="133"/>
      <c r="S20" s="133"/>
      <c r="T20" s="133"/>
      <c r="U20" s="133"/>
      <c r="V20" s="133"/>
      <c r="W20" s="133"/>
      <c r="X20" s="6"/>
    </row>
    <row r="21" spans="7:24" ht="13.5" customHeight="1" x14ac:dyDescent="0.2">
      <c r="G21" s="132"/>
      <c r="H21" s="133"/>
      <c r="I21" s="133"/>
      <c r="J21" s="133"/>
      <c r="K21" s="133"/>
      <c r="L21" s="133"/>
      <c r="M21" s="133"/>
      <c r="N21" s="133"/>
      <c r="O21" s="133"/>
      <c r="P21" s="133"/>
      <c r="Q21" s="133"/>
      <c r="R21" s="133"/>
      <c r="S21" s="133"/>
      <c r="T21" s="133"/>
      <c r="U21" s="133"/>
      <c r="V21" s="133"/>
      <c r="W21" s="133"/>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135" t="str">
        <f>TEXT(I47,"yyyy年")&amp;IF(LEFT(TEXT(I47,"mm"),1)="0"," ","")&amp;TEXT(I47,"m月")&amp;IF(LEFT(TEXT(I47,"dd"),1)="0"," ","")&amp;TEXT(I47,"d日")&amp;"作成"</f>
        <v>2023年10月 5日作成</v>
      </c>
      <c r="K27" s="136"/>
      <c r="L27" s="136"/>
      <c r="M27" s="136"/>
      <c r="N27" s="136"/>
      <c r="O27" s="136"/>
      <c r="P27" s="136"/>
      <c r="Q27" s="136"/>
      <c r="R27" s="136"/>
      <c r="S27" s="136"/>
      <c r="T27" s="136"/>
    </row>
    <row r="28" spans="7:24" s="1" customFormat="1" x14ac:dyDescent="0.2">
      <c r="J28" s="136"/>
      <c r="K28" s="136"/>
      <c r="L28" s="136"/>
      <c r="M28" s="136"/>
      <c r="N28" s="136"/>
      <c r="O28" s="136"/>
      <c r="P28" s="136"/>
      <c r="Q28" s="136"/>
      <c r="R28" s="136"/>
      <c r="S28" s="136"/>
      <c r="T28" s="136"/>
    </row>
    <row r="29" spans="7:24" s="1" customFormat="1" x14ac:dyDescent="0.2">
      <c r="J29" s="135" t="str">
        <f>IF(I49="　※ページ毎に個別入力","    年  月  日改訂",TEXT(I49,"yyyy年")&amp;IF(LEFT(TEXT(I49,"mm"),1)="0"," ","")&amp;TEXT(I49,"m月")&amp;IF(LEFT(TEXT(I49,"dd"),1)="0"," ","")&amp;TEXT(I49,"d日")&amp;"改訂")</f>
        <v>2025年 7月17日改訂</v>
      </c>
      <c r="K29" s="136"/>
      <c r="L29" s="136"/>
      <c r="M29" s="136"/>
      <c r="N29" s="136"/>
      <c r="O29" s="136"/>
      <c r="P29" s="136"/>
      <c r="Q29" s="136"/>
      <c r="R29" s="136"/>
      <c r="S29" s="136"/>
      <c r="T29" s="136"/>
    </row>
    <row r="30" spans="7:24" s="1" customFormat="1" x14ac:dyDescent="0.2">
      <c r="J30" s="136"/>
      <c r="K30" s="136"/>
      <c r="L30" s="136"/>
      <c r="M30" s="136"/>
      <c r="N30" s="136"/>
      <c r="O30" s="136"/>
      <c r="P30" s="136"/>
      <c r="Q30" s="136"/>
      <c r="R30" s="136"/>
      <c r="S30" s="136"/>
      <c r="T30" s="136"/>
    </row>
    <row r="38" spans="2:28" ht="23.25" customHeight="1" x14ac:dyDescent="0.2">
      <c r="B38" s="137" t="s">
        <v>19</v>
      </c>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row>
    <row r="39" spans="2:28" ht="23.25" customHeight="1" x14ac:dyDescent="0.2">
      <c r="B39" s="134" t="s">
        <v>20</v>
      </c>
      <c r="C39" s="134"/>
      <c r="D39" s="134"/>
      <c r="E39" s="134"/>
      <c r="F39" s="134"/>
      <c r="G39" s="134"/>
      <c r="H39" s="134"/>
      <c r="I39" s="134" t="s">
        <v>10</v>
      </c>
      <c r="J39" s="134"/>
      <c r="K39" s="134"/>
      <c r="L39" s="134"/>
      <c r="M39" s="134"/>
      <c r="N39" s="134"/>
      <c r="O39" s="134"/>
      <c r="P39" s="134"/>
      <c r="Q39" s="134"/>
      <c r="R39" s="134"/>
      <c r="S39" s="134"/>
      <c r="T39" s="134"/>
      <c r="U39" s="134"/>
      <c r="V39" s="134"/>
      <c r="W39" s="134"/>
      <c r="X39" s="134"/>
      <c r="Y39" s="134"/>
      <c r="Z39" s="134"/>
      <c r="AA39" s="134"/>
      <c r="AB39" s="134"/>
    </row>
    <row r="40" spans="2:28" ht="23.25" customHeight="1" x14ac:dyDescent="0.2">
      <c r="B40" s="128" t="s">
        <v>21</v>
      </c>
      <c r="C40" s="128"/>
      <c r="D40" s="128"/>
      <c r="E40" s="128"/>
      <c r="F40" s="128"/>
      <c r="G40" s="128"/>
      <c r="H40" s="128"/>
      <c r="I40" s="129" t="s">
        <v>43</v>
      </c>
      <c r="J40" s="129"/>
      <c r="K40" s="129"/>
      <c r="L40" s="129"/>
      <c r="M40" s="129"/>
      <c r="N40" s="129"/>
      <c r="O40" s="129"/>
      <c r="P40" s="129"/>
      <c r="Q40" s="129"/>
      <c r="R40" s="129"/>
      <c r="S40" s="129"/>
      <c r="T40" s="129"/>
      <c r="U40" s="129"/>
      <c r="V40" s="129"/>
      <c r="W40" s="129"/>
      <c r="X40" s="129"/>
      <c r="Y40" s="129"/>
      <c r="Z40" s="129"/>
      <c r="AA40" s="129"/>
      <c r="AB40" s="129"/>
    </row>
    <row r="41" spans="2:28" ht="23.25" customHeight="1" x14ac:dyDescent="0.2">
      <c r="B41" s="128" t="s">
        <v>22</v>
      </c>
      <c r="C41" s="128"/>
      <c r="D41" s="128"/>
      <c r="E41" s="128"/>
      <c r="F41" s="128"/>
      <c r="G41" s="128"/>
      <c r="H41" s="128"/>
      <c r="I41" s="129" t="s">
        <v>41</v>
      </c>
      <c r="J41" s="129"/>
      <c r="K41" s="129"/>
      <c r="L41" s="129"/>
      <c r="M41" s="129"/>
      <c r="N41" s="129"/>
      <c r="O41" s="129"/>
      <c r="P41" s="129"/>
      <c r="Q41" s="129"/>
      <c r="R41" s="129"/>
      <c r="S41" s="129"/>
      <c r="T41" s="129"/>
      <c r="U41" s="129"/>
      <c r="V41" s="129"/>
      <c r="W41" s="129"/>
      <c r="X41" s="129"/>
      <c r="Y41" s="129"/>
      <c r="Z41" s="129"/>
      <c r="AA41" s="129"/>
      <c r="AB41" s="129"/>
    </row>
    <row r="42" spans="2:28" ht="23.25" customHeight="1" x14ac:dyDescent="0.2">
      <c r="B42" s="128" t="s">
        <v>23</v>
      </c>
      <c r="C42" s="128"/>
      <c r="D42" s="128"/>
      <c r="E42" s="128"/>
      <c r="F42" s="128"/>
      <c r="G42" s="128"/>
      <c r="H42" s="128"/>
      <c r="I42" s="129" t="s">
        <v>33</v>
      </c>
      <c r="J42" s="129"/>
      <c r="K42" s="129"/>
      <c r="L42" s="129"/>
      <c r="M42" s="129"/>
      <c r="N42" s="129"/>
      <c r="O42" s="129"/>
      <c r="P42" s="129"/>
      <c r="Q42" s="129"/>
      <c r="R42" s="129"/>
      <c r="S42" s="129"/>
      <c r="T42" s="129"/>
      <c r="U42" s="129"/>
      <c r="V42" s="129"/>
      <c r="W42" s="129"/>
      <c r="X42" s="129"/>
      <c r="Y42" s="129"/>
      <c r="Z42" s="129"/>
      <c r="AA42" s="129"/>
      <c r="AB42" s="129"/>
    </row>
    <row r="43" spans="2:28" ht="23.25" customHeight="1" x14ac:dyDescent="0.2">
      <c r="B43" s="128" t="s">
        <v>24</v>
      </c>
      <c r="C43" s="128"/>
      <c r="D43" s="128"/>
      <c r="E43" s="128"/>
      <c r="F43" s="128"/>
      <c r="G43" s="128"/>
      <c r="H43" s="128"/>
      <c r="I43" s="129" t="s">
        <v>38</v>
      </c>
      <c r="J43" s="129"/>
      <c r="K43" s="129"/>
      <c r="L43" s="129"/>
      <c r="M43" s="129"/>
      <c r="N43" s="129"/>
      <c r="O43" s="129"/>
      <c r="P43" s="129"/>
      <c r="Q43" s="129"/>
      <c r="R43" s="129"/>
      <c r="S43" s="129"/>
      <c r="T43" s="129"/>
      <c r="U43" s="129"/>
      <c r="V43" s="129"/>
      <c r="W43" s="129"/>
      <c r="X43" s="129"/>
      <c r="Y43" s="129"/>
      <c r="Z43" s="129"/>
      <c r="AA43" s="129"/>
      <c r="AB43" s="129"/>
    </row>
    <row r="44" spans="2:28" ht="23.25" customHeight="1" x14ac:dyDescent="0.2">
      <c r="B44" s="128" t="s">
        <v>25</v>
      </c>
      <c r="C44" s="128"/>
      <c r="D44" s="128"/>
      <c r="E44" s="128"/>
      <c r="F44" s="128"/>
      <c r="G44" s="128"/>
      <c r="H44" s="128"/>
      <c r="I44" s="129" t="s">
        <v>128</v>
      </c>
      <c r="J44" s="129"/>
      <c r="K44" s="129"/>
      <c r="L44" s="129"/>
      <c r="M44" s="129"/>
      <c r="N44" s="129"/>
      <c r="O44" s="129"/>
      <c r="P44" s="129"/>
      <c r="Q44" s="129"/>
      <c r="R44" s="129"/>
      <c r="S44" s="129"/>
      <c r="T44" s="129"/>
      <c r="U44" s="129"/>
      <c r="V44" s="129"/>
      <c r="W44" s="129"/>
      <c r="X44" s="129"/>
      <c r="Y44" s="129"/>
      <c r="Z44" s="129"/>
      <c r="AA44" s="129"/>
      <c r="AB44" s="129"/>
    </row>
    <row r="45" spans="2:28" ht="23.25" customHeight="1" x14ac:dyDescent="0.2">
      <c r="B45" s="128" t="s">
        <v>26</v>
      </c>
      <c r="C45" s="128"/>
      <c r="D45" s="128"/>
      <c r="E45" s="128"/>
      <c r="F45" s="128"/>
      <c r="G45" s="128"/>
      <c r="H45" s="128"/>
      <c r="I45" s="129" t="s">
        <v>9</v>
      </c>
      <c r="J45" s="129"/>
      <c r="K45" s="129"/>
      <c r="L45" s="129"/>
      <c r="M45" s="129"/>
      <c r="N45" s="129"/>
      <c r="O45" s="129"/>
      <c r="P45" s="129"/>
      <c r="Q45" s="129"/>
      <c r="R45" s="129"/>
      <c r="S45" s="129"/>
      <c r="T45" s="129"/>
      <c r="U45" s="129"/>
      <c r="V45" s="129"/>
      <c r="W45" s="129"/>
      <c r="X45" s="129"/>
      <c r="Y45" s="129"/>
      <c r="Z45" s="129"/>
      <c r="AA45" s="129"/>
      <c r="AB45" s="129"/>
    </row>
    <row r="46" spans="2:28" ht="23.25" customHeight="1" x14ac:dyDescent="0.2">
      <c r="B46" s="128" t="s">
        <v>27</v>
      </c>
      <c r="C46" s="128"/>
      <c r="D46" s="128"/>
      <c r="E46" s="128"/>
      <c r="F46" s="128"/>
      <c r="G46" s="128"/>
      <c r="H46" s="128"/>
      <c r="I46" s="129" t="s">
        <v>44</v>
      </c>
      <c r="J46" s="129"/>
      <c r="K46" s="129"/>
      <c r="L46" s="129"/>
      <c r="M46" s="129"/>
      <c r="N46" s="129"/>
      <c r="O46" s="129"/>
      <c r="P46" s="129"/>
      <c r="Q46" s="129"/>
      <c r="R46" s="129"/>
      <c r="S46" s="129"/>
      <c r="T46" s="129"/>
      <c r="U46" s="129"/>
      <c r="V46" s="129"/>
      <c r="W46" s="129"/>
      <c r="X46" s="129"/>
      <c r="Y46" s="129"/>
      <c r="Z46" s="129"/>
      <c r="AA46" s="129"/>
      <c r="AB46" s="129"/>
    </row>
    <row r="47" spans="2:28" ht="23.25" customHeight="1" x14ac:dyDescent="0.2">
      <c r="B47" s="128" t="s">
        <v>28</v>
      </c>
      <c r="C47" s="128"/>
      <c r="D47" s="128"/>
      <c r="E47" s="128"/>
      <c r="F47" s="128"/>
      <c r="G47" s="128"/>
      <c r="H47" s="128"/>
      <c r="I47" s="130">
        <v>45204</v>
      </c>
      <c r="J47" s="131"/>
      <c r="K47" s="131"/>
      <c r="L47" s="131"/>
      <c r="M47" s="131"/>
      <c r="N47" s="131"/>
      <c r="O47" s="131"/>
      <c r="P47" s="131"/>
      <c r="Q47" s="131"/>
      <c r="R47" s="131"/>
      <c r="S47" s="129"/>
      <c r="T47" s="129"/>
      <c r="U47" s="129"/>
      <c r="V47" s="129"/>
      <c r="W47" s="129"/>
      <c r="X47" s="129"/>
      <c r="Y47" s="129"/>
      <c r="Z47" s="129"/>
      <c r="AA47" s="129"/>
      <c r="AB47" s="129"/>
    </row>
    <row r="48" spans="2:28" ht="23.25" customHeight="1" x14ac:dyDescent="0.2">
      <c r="B48" s="128" t="s">
        <v>29</v>
      </c>
      <c r="C48" s="128"/>
      <c r="D48" s="128"/>
      <c r="E48" s="128"/>
      <c r="F48" s="128"/>
      <c r="G48" s="128"/>
      <c r="H48" s="128"/>
      <c r="I48" s="129" t="s">
        <v>9</v>
      </c>
      <c r="J48" s="129"/>
      <c r="K48" s="129"/>
      <c r="L48" s="129"/>
      <c r="M48" s="129"/>
      <c r="N48" s="129"/>
      <c r="O48" s="129"/>
      <c r="P48" s="129"/>
      <c r="Q48" s="129"/>
      <c r="R48" s="129"/>
      <c r="S48" s="129"/>
      <c r="T48" s="129"/>
      <c r="U48" s="129"/>
      <c r="V48" s="129"/>
      <c r="W48" s="129"/>
      <c r="X48" s="129"/>
      <c r="Y48" s="129"/>
      <c r="Z48" s="129"/>
      <c r="AA48" s="129"/>
      <c r="AB48" s="129"/>
    </row>
    <row r="49" spans="2:28" ht="23.25" customHeight="1" x14ac:dyDescent="0.2">
      <c r="B49" s="128" t="s">
        <v>30</v>
      </c>
      <c r="C49" s="128"/>
      <c r="D49" s="128"/>
      <c r="E49" s="128"/>
      <c r="F49" s="128"/>
      <c r="G49" s="128"/>
      <c r="H49" s="128"/>
      <c r="I49" s="129" t="str">
        <f>TEXT(MAX(改訂履歴!J5:J992),"yyyy/mm/dd")</f>
        <v>2025/07/17</v>
      </c>
      <c r="J49" s="129"/>
      <c r="K49" s="129"/>
      <c r="L49" s="129"/>
      <c r="M49" s="129"/>
      <c r="N49" s="129"/>
      <c r="O49" s="129"/>
      <c r="P49" s="129"/>
      <c r="Q49" s="129"/>
      <c r="R49" s="129"/>
      <c r="S49" s="129"/>
      <c r="T49" s="129"/>
      <c r="U49" s="129"/>
      <c r="V49" s="129"/>
      <c r="W49" s="129"/>
      <c r="X49" s="129"/>
      <c r="Y49" s="129"/>
      <c r="Z49" s="129"/>
      <c r="AA49" s="129"/>
      <c r="AB49" s="129"/>
    </row>
    <row r="50" spans="2:28" ht="23.25" customHeight="1" x14ac:dyDescent="0.2">
      <c r="B50" s="128" t="s">
        <v>31</v>
      </c>
      <c r="C50" s="128"/>
      <c r="D50" s="128"/>
      <c r="E50" s="128"/>
      <c r="F50" s="128"/>
      <c r="G50" s="128"/>
      <c r="H50" s="128"/>
      <c r="I50" s="129" t="s">
        <v>42</v>
      </c>
      <c r="J50" s="129"/>
      <c r="K50" s="129"/>
      <c r="L50" s="129"/>
      <c r="M50" s="129"/>
      <c r="N50" s="129"/>
      <c r="O50" s="129"/>
      <c r="P50" s="129"/>
      <c r="Q50" s="129"/>
      <c r="R50" s="129"/>
      <c r="S50" s="129"/>
      <c r="T50" s="129"/>
      <c r="U50" s="129"/>
      <c r="V50" s="129"/>
      <c r="W50" s="129"/>
      <c r="X50" s="129"/>
      <c r="Y50" s="129"/>
      <c r="Z50" s="129"/>
      <c r="AA50" s="129"/>
      <c r="AB50" s="129"/>
    </row>
    <row r="51" spans="2:28" ht="23.25" customHeight="1" x14ac:dyDescent="0.2">
      <c r="B51" s="128" t="s">
        <v>34</v>
      </c>
      <c r="C51" s="128"/>
      <c r="D51" s="128"/>
      <c r="E51" s="128"/>
      <c r="F51" s="128"/>
      <c r="G51" s="128"/>
      <c r="H51" s="128"/>
      <c r="I51" s="129" t="str">
        <f>"【 Ver " &amp; TEXT(MAX(改訂履歴!E5:E992),"0.00") &amp; " 】"</f>
        <v>【 Ver 1.20 】</v>
      </c>
      <c r="J51" s="129"/>
      <c r="K51" s="129"/>
      <c r="L51" s="129"/>
      <c r="M51" s="129"/>
      <c r="N51" s="129"/>
      <c r="O51" s="129"/>
      <c r="P51" s="129"/>
      <c r="Q51" s="129"/>
      <c r="R51" s="129"/>
      <c r="S51" s="129"/>
      <c r="T51" s="129"/>
      <c r="U51" s="129"/>
      <c r="V51" s="129"/>
      <c r="W51" s="129"/>
      <c r="X51" s="129"/>
      <c r="Y51" s="129"/>
      <c r="Z51" s="129"/>
      <c r="AA51" s="129"/>
      <c r="AB51" s="129"/>
    </row>
  </sheetData>
  <mergeCells count="33">
    <mergeCell ref="B43:H43"/>
    <mergeCell ref="B39:H39"/>
    <mergeCell ref="J27:T28"/>
    <mergeCell ref="J29:T30"/>
    <mergeCell ref="I40:AB40"/>
    <mergeCell ref="I41:AB41"/>
    <mergeCell ref="I39:AB39"/>
    <mergeCell ref="B38:AB38"/>
    <mergeCell ref="B40:H40"/>
    <mergeCell ref="I43:AB43"/>
    <mergeCell ref="G11:W12"/>
    <mergeCell ref="G14:W15"/>
    <mergeCell ref="G17:W18"/>
    <mergeCell ref="G20:W21"/>
    <mergeCell ref="I42:AB42"/>
    <mergeCell ref="B41:H41"/>
    <mergeCell ref="B42:H42"/>
    <mergeCell ref="B48:H48"/>
    <mergeCell ref="I48:AB48"/>
    <mergeCell ref="B44:H44"/>
    <mergeCell ref="B45:H45"/>
    <mergeCell ref="B46:H46"/>
    <mergeCell ref="B47:H47"/>
    <mergeCell ref="I45:AB45"/>
    <mergeCell ref="I46:AB46"/>
    <mergeCell ref="I47:AB47"/>
    <mergeCell ref="I44:AB44"/>
    <mergeCell ref="B51:H51"/>
    <mergeCell ref="I51:AB51"/>
    <mergeCell ref="B49:H49"/>
    <mergeCell ref="I49:AB49"/>
    <mergeCell ref="B50:H50"/>
    <mergeCell ref="I50:AB50"/>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5"/>
  <sheetViews>
    <sheetView view="pageBreakPreview" zoomScaleNormal="85" zoomScaleSheetLayoutView="100" workbookViewId="0"/>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t="s">
        <v>2</v>
      </c>
    </row>
    <row r="3" spans="1:76" s="2" customFormat="1" ht="15" customHeight="1" x14ac:dyDescent="0.2">
      <c r="A3" s="148" t="s">
        <v>16</v>
      </c>
      <c r="B3" s="148"/>
      <c r="C3" s="148"/>
      <c r="D3" s="148"/>
      <c r="E3" s="158" t="s">
        <v>17</v>
      </c>
      <c r="F3" s="159"/>
      <c r="G3" s="159"/>
      <c r="H3" s="159"/>
      <c r="I3" s="160"/>
      <c r="J3" s="149" t="s">
        <v>5</v>
      </c>
      <c r="K3" s="150"/>
      <c r="L3" s="150"/>
      <c r="M3" s="150"/>
      <c r="N3" s="150"/>
      <c r="O3" s="150"/>
      <c r="P3" s="150"/>
      <c r="Q3" s="151"/>
      <c r="R3" s="148" t="s">
        <v>3</v>
      </c>
      <c r="S3" s="148"/>
      <c r="T3" s="148"/>
      <c r="U3" s="148"/>
      <c r="V3" s="148"/>
      <c r="W3" s="148" t="s">
        <v>6</v>
      </c>
      <c r="X3" s="148"/>
      <c r="Y3" s="148"/>
      <c r="Z3" s="148"/>
      <c r="AA3" s="148"/>
      <c r="AB3" s="148"/>
      <c r="AC3" s="148"/>
      <c r="AD3" s="148"/>
      <c r="AE3" s="148"/>
      <c r="AF3" s="148"/>
      <c r="AG3" s="148"/>
      <c r="AH3" s="148" t="s">
        <v>7</v>
      </c>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t="s">
        <v>8</v>
      </c>
      <c r="BS3" s="148"/>
      <c r="BT3" s="148"/>
      <c r="BU3" s="148"/>
      <c r="BV3" s="148"/>
      <c r="BW3" s="148"/>
      <c r="BX3" s="148"/>
    </row>
    <row r="4" spans="1:76" s="2" customFormat="1" ht="15" customHeight="1" x14ac:dyDescent="0.2">
      <c r="A4" s="148"/>
      <c r="B4" s="148"/>
      <c r="C4" s="148"/>
      <c r="D4" s="148"/>
      <c r="E4" s="161"/>
      <c r="F4" s="162"/>
      <c r="G4" s="162"/>
      <c r="H4" s="162"/>
      <c r="I4" s="163"/>
      <c r="J4" s="152"/>
      <c r="K4" s="153"/>
      <c r="L4" s="153"/>
      <c r="M4" s="153"/>
      <c r="N4" s="153"/>
      <c r="O4" s="153"/>
      <c r="P4" s="153"/>
      <c r="Q4" s="154"/>
      <c r="R4" s="148"/>
      <c r="S4" s="148"/>
      <c r="T4" s="148"/>
      <c r="U4" s="148"/>
      <c r="V4" s="148"/>
      <c r="W4" s="148" t="s">
        <v>4</v>
      </c>
      <c r="X4" s="148"/>
      <c r="Y4" s="148"/>
      <c r="Z4" s="148"/>
      <c r="AA4" s="148" t="s">
        <v>46</v>
      </c>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8"/>
    </row>
    <row r="5" spans="1:76" ht="20.100000000000001" customHeight="1" x14ac:dyDescent="0.2">
      <c r="A5" s="144">
        <v>1</v>
      </c>
      <c r="B5" s="144"/>
      <c r="C5" s="144"/>
      <c r="D5" s="144"/>
      <c r="E5" s="164">
        <v>1</v>
      </c>
      <c r="F5" s="165"/>
      <c r="G5" s="165"/>
      <c r="H5" s="165"/>
      <c r="I5" s="166"/>
      <c r="J5" s="155">
        <f>タイトル!I47</f>
        <v>45204</v>
      </c>
      <c r="K5" s="156"/>
      <c r="L5" s="156"/>
      <c r="M5" s="156"/>
      <c r="N5" s="156"/>
      <c r="O5" s="156"/>
      <c r="P5" s="156"/>
      <c r="Q5" s="157"/>
      <c r="R5" s="145" t="s">
        <v>11</v>
      </c>
      <c r="S5" s="146"/>
      <c r="T5" s="146"/>
      <c r="U5" s="146"/>
      <c r="V5" s="147"/>
      <c r="W5" s="169"/>
      <c r="X5" s="170"/>
      <c r="Y5" s="170"/>
      <c r="Z5" s="171"/>
      <c r="AA5" s="169"/>
      <c r="AB5" s="170"/>
      <c r="AC5" s="170"/>
      <c r="AD5" s="170"/>
      <c r="AE5" s="170"/>
      <c r="AF5" s="170"/>
      <c r="AG5" s="171"/>
      <c r="AH5" s="167" t="s">
        <v>18</v>
      </c>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8" t="s">
        <v>45</v>
      </c>
      <c r="BS5" s="168"/>
      <c r="BT5" s="168"/>
      <c r="BU5" s="168"/>
      <c r="BV5" s="168"/>
      <c r="BW5" s="168"/>
      <c r="BX5" s="168"/>
    </row>
    <row r="6" spans="1:76" ht="20.100000000000001" customHeight="1" x14ac:dyDescent="0.2">
      <c r="A6" s="138">
        <v>2</v>
      </c>
      <c r="B6" s="138"/>
      <c r="C6" s="138"/>
      <c r="D6" s="138"/>
      <c r="E6" s="139">
        <v>1.01</v>
      </c>
      <c r="F6" s="139"/>
      <c r="G6" s="139"/>
      <c r="H6" s="139"/>
      <c r="I6" s="139"/>
      <c r="J6" s="140">
        <v>45224</v>
      </c>
      <c r="K6" s="140"/>
      <c r="L6" s="140"/>
      <c r="M6" s="140"/>
      <c r="N6" s="140"/>
      <c r="O6" s="140"/>
      <c r="P6" s="140"/>
      <c r="Q6" s="140"/>
      <c r="R6" s="138" t="s">
        <v>129</v>
      </c>
      <c r="S6" s="138"/>
      <c r="T6" s="138"/>
      <c r="U6" s="138"/>
      <c r="V6" s="138"/>
      <c r="W6" s="142"/>
      <c r="X6" s="142"/>
      <c r="Y6" s="142"/>
      <c r="Z6" s="142"/>
      <c r="AA6" s="142"/>
      <c r="AB6" s="142"/>
      <c r="AC6" s="142"/>
      <c r="AD6" s="142"/>
      <c r="AE6" s="142"/>
      <c r="AF6" s="142"/>
      <c r="AG6" s="142"/>
      <c r="AH6" s="141" t="s">
        <v>130</v>
      </c>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3" t="s">
        <v>44</v>
      </c>
      <c r="BS6" s="143"/>
      <c r="BT6" s="143"/>
      <c r="BU6" s="143"/>
      <c r="BV6" s="143"/>
      <c r="BW6" s="143"/>
      <c r="BX6" s="143"/>
    </row>
    <row r="7" spans="1:76" ht="20.100000000000001" customHeight="1" x14ac:dyDescent="0.2">
      <c r="A7" s="138">
        <v>3</v>
      </c>
      <c r="B7" s="138"/>
      <c r="C7" s="138"/>
      <c r="D7" s="138"/>
      <c r="E7" s="139">
        <v>1.02</v>
      </c>
      <c r="F7" s="139"/>
      <c r="G7" s="139"/>
      <c r="H7" s="139"/>
      <c r="I7" s="139"/>
      <c r="J7" s="140">
        <v>45239</v>
      </c>
      <c r="K7" s="140"/>
      <c r="L7" s="140"/>
      <c r="M7" s="140"/>
      <c r="N7" s="140"/>
      <c r="O7" s="140"/>
      <c r="P7" s="140"/>
      <c r="Q7" s="140"/>
      <c r="R7" s="138" t="s">
        <v>129</v>
      </c>
      <c r="S7" s="138"/>
      <c r="T7" s="138"/>
      <c r="U7" s="138"/>
      <c r="V7" s="138"/>
      <c r="W7" s="142"/>
      <c r="X7" s="142"/>
      <c r="Y7" s="142"/>
      <c r="Z7" s="142"/>
      <c r="AA7" s="142"/>
      <c r="AB7" s="142"/>
      <c r="AC7" s="142"/>
      <c r="AD7" s="142"/>
      <c r="AE7" s="142"/>
      <c r="AF7" s="142"/>
      <c r="AG7" s="142"/>
      <c r="AH7" s="141" t="s">
        <v>369</v>
      </c>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3" t="s">
        <v>44</v>
      </c>
      <c r="BS7" s="143"/>
      <c r="BT7" s="143"/>
      <c r="BU7" s="143"/>
      <c r="BV7" s="143"/>
      <c r="BW7" s="143"/>
      <c r="BX7" s="143"/>
    </row>
    <row r="8" spans="1:76" ht="20.100000000000001" customHeight="1" x14ac:dyDescent="0.2">
      <c r="A8" s="138">
        <v>4</v>
      </c>
      <c r="B8" s="138"/>
      <c r="C8" s="138"/>
      <c r="D8" s="138"/>
      <c r="E8" s="139">
        <v>1.03</v>
      </c>
      <c r="F8" s="139"/>
      <c r="G8" s="139"/>
      <c r="H8" s="139"/>
      <c r="I8" s="139"/>
      <c r="J8" s="140">
        <v>45259</v>
      </c>
      <c r="K8" s="140"/>
      <c r="L8" s="140"/>
      <c r="M8" s="140"/>
      <c r="N8" s="140"/>
      <c r="O8" s="140"/>
      <c r="P8" s="140"/>
      <c r="Q8" s="140"/>
      <c r="R8" s="138" t="s">
        <v>370</v>
      </c>
      <c r="S8" s="138"/>
      <c r="T8" s="138"/>
      <c r="U8" s="138"/>
      <c r="V8" s="138"/>
      <c r="W8" s="142"/>
      <c r="X8" s="142"/>
      <c r="Y8" s="142"/>
      <c r="Z8" s="142"/>
      <c r="AA8" s="142"/>
      <c r="AB8" s="142"/>
      <c r="AC8" s="142"/>
      <c r="AD8" s="142"/>
      <c r="AE8" s="142"/>
      <c r="AF8" s="142"/>
      <c r="AG8" s="142"/>
      <c r="AH8" s="141" t="s">
        <v>371</v>
      </c>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3" t="s">
        <v>44</v>
      </c>
      <c r="BS8" s="143"/>
      <c r="BT8" s="143"/>
      <c r="BU8" s="143"/>
      <c r="BV8" s="143"/>
      <c r="BW8" s="143"/>
      <c r="BX8" s="143"/>
    </row>
    <row r="9" spans="1:76" ht="39.9" customHeight="1" x14ac:dyDescent="0.2">
      <c r="A9" s="138">
        <v>5</v>
      </c>
      <c r="B9" s="138"/>
      <c r="C9" s="138"/>
      <c r="D9" s="138"/>
      <c r="E9" s="139">
        <v>1.04</v>
      </c>
      <c r="F9" s="139"/>
      <c r="G9" s="139"/>
      <c r="H9" s="139"/>
      <c r="I9" s="139"/>
      <c r="J9" s="140">
        <v>45265</v>
      </c>
      <c r="K9" s="140"/>
      <c r="L9" s="140"/>
      <c r="M9" s="140"/>
      <c r="N9" s="140"/>
      <c r="O9" s="140"/>
      <c r="P9" s="140"/>
      <c r="Q9" s="140"/>
      <c r="R9" s="138" t="s">
        <v>129</v>
      </c>
      <c r="S9" s="138"/>
      <c r="T9" s="138"/>
      <c r="U9" s="138"/>
      <c r="V9" s="138"/>
      <c r="W9" s="142"/>
      <c r="X9" s="142"/>
      <c r="Y9" s="142"/>
      <c r="Z9" s="142"/>
      <c r="AA9" s="142"/>
      <c r="AB9" s="142"/>
      <c r="AC9" s="142"/>
      <c r="AD9" s="142"/>
      <c r="AE9" s="142"/>
      <c r="AF9" s="142"/>
      <c r="AG9" s="142"/>
      <c r="AH9" s="141" t="s">
        <v>384</v>
      </c>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3" t="s">
        <v>44</v>
      </c>
      <c r="BS9" s="143"/>
      <c r="BT9" s="143"/>
      <c r="BU9" s="143"/>
      <c r="BV9" s="143"/>
      <c r="BW9" s="143"/>
      <c r="BX9" s="143"/>
    </row>
    <row r="10" spans="1:76" ht="20.100000000000001" customHeight="1" x14ac:dyDescent="0.2">
      <c r="A10" s="138">
        <v>6</v>
      </c>
      <c r="B10" s="138"/>
      <c r="C10" s="138"/>
      <c r="D10" s="138"/>
      <c r="E10" s="139">
        <v>1.05</v>
      </c>
      <c r="F10" s="139"/>
      <c r="G10" s="139"/>
      <c r="H10" s="139"/>
      <c r="I10" s="139"/>
      <c r="J10" s="140">
        <v>45267</v>
      </c>
      <c r="K10" s="140"/>
      <c r="L10" s="140"/>
      <c r="M10" s="140"/>
      <c r="N10" s="140"/>
      <c r="O10" s="140"/>
      <c r="P10" s="140"/>
      <c r="Q10" s="140"/>
      <c r="R10" s="138" t="s">
        <v>129</v>
      </c>
      <c r="S10" s="138"/>
      <c r="T10" s="138"/>
      <c r="U10" s="138"/>
      <c r="V10" s="138"/>
      <c r="W10" s="142"/>
      <c r="X10" s="142"/>
      <c r="Y10" s="142"/>
      <c r="Z10" s="142"/>
      <c r="AA10" s="141"/>
      <c r="AB10" s="142"/>
      <c r="AC10" s="142"/>
      <c r="AD10" s="142"/>
      <c r="AE10" s="142"/>
      <c r="AF10" s="142"/>
      <c r="AG10" s="142"/>
      <c r="AH10" s="141" t="s">
        <v>390</v>
      </c>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3" t="s">
        <v>44</v>
      </c>
      <c r="BS10" s="143"/>
      <c r="BT10" s="143"/>
      <c r="BU10" s="143"/>
      <c r="BV10" s="143"/>
      <c r="BW10" s="143"/>
      <c r="BX10" s="143"/>
    </row>
    <row r="11" spans="1:76" ht="30" customHeight="1" x14ac:dyDescent="0.2">
      <c r="A11" s="138">
        <v>7</v>
      </c>
      <c r="B11" s="138"/>
      <c r="C11" s="138"/>
      <c r="D11" s="138"/>
      <c r="E11" s="139">
        <v>1.06</v>
      </c>
      <c r="F11" s="139"/>
      <c r="G11" s="139"/>
      <c r="H11" s="139"/>
      <c r="I11" s="139"/>
      <c r="J11" s="140">
        <v>45296</v>
      </c>
      <c r="K11" s="140"/>
      <c r="L11" s="140"/>
      <c r="M11" s="140"/>
      <c r="N11" s="140"/>
      <c r="O11" s="140"/>
      <c r="P11" s="140"/>
      <c r="Q11" s="140"/>
      <c r="R11" s="138" t="s">
        <v>129</v>
      </c>
      <c r="S11" s="138"/>
      <c r="T11" s="138"/>
      <c r="U11" s="138"/>
      <c r="V11" s="138"/>
      <c r="W11" s="142"/>
      <c r="X11" s="142"/>
      <c r="Y11" s="142"/>
      <c r="Z11" s="142"/>
      <c r="AA11" s="141"/>
      <c r="AB11" s="142"/>
      <c r="AC11" s="142"/>
      <c r="AD11" s="142"/>
      <c r="AE11" s="142"/>
      <c r="AF11" s="142"/>
      <c r="AG11" s="142"/>
      <c r="AH11" s="141" t="s">
        <v>406</v>
      </c>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3" t="s">
        <v>44</v>
      </c>
      <c r="BS11" s="143"/>
      <c r="BT11" s="143"/>
      <c r="BU11" s="143"/>
      <c r="BV11" s="143"/>
      <c r="BW11" s="143"/>
      <c r="BX11" s="143"/>
    </row>
    <row r="12" spans="1:76" ht="20.100000000000001" customHeight="1" x14ac:dyDescent="0.2">
      <c r="A12" s="138">
        <v>8</v>
      </c>
      <c r="B12" s="138"/>
      <c r="C12" s="138"/>
      <c r="D12" s="138"/>
      <c r="E12" s="139">
        <v>1.07</v>
      </c>
      <c r="F12" s="139"/>
      <c r="G12" s="139"/>
      <c r="H12" s="139"/>
      <c r="I12" s="139"/>
      <c r="J12" s="140">
        <v>45315</v>
      </c>
      <c r="K12" s="140"/>
      <c r="L12" s="140"/>
      <c r="M12" s="140"/>
      <c r="N12" s="140"/>
      <c r="O12" s="140"/>
      <c r="P12" s="140"/>
      <c r="Q12" s="140"/>
      <c r="R12" s="138" t="s">
        <v>129</v>
      </c>
      <c r="S12" s="138"/>
      <c r="T12" s="138"/>
      <c r="U12" s="138"/>
      <c r="V12" s="138"/>
      <c r="W12" s="142"/>
      <c r="X12" s="142"/>
      <c r="Y12" s="142"/>
      <c r="Z12" s="142"/>
      <c r="AA12" s="142" t="s">
        <v>412</v>
      </c>
      <c r="AB12" s="142"/>
      <c r="AC12" s="142"/>
      <c r="AD12" s="142"/>
      <c r="AE12" s="142"/>
      <c r="AF12" s="142"/>
      <c r="AG12" s="142"/>
      <c r="AH12" s="141" t="s">
        <v>413</v>
      </c>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3" t="s">
        <v>44</v>
      </c>
      <c r="BS12" s="143"/>
      <c r="BT12" s="143"/>
      <c r="BU12" s="143"/>
      <c r="BV12" s="143"/>
      <c r="BW12" s="143"/>
      <c r="BX12" s="143"/>
    </row>
    <row r="13" spans="1:76" ht="20.100000000000001" customHeight="1" x14ac:dyDescent="0.2">
      <c r="A13" s="138">
        <v>9</v>
      </c>
      <c r="B13" s="138"/>
      <c r="C13" s="138"/>
      <c r="D13" s="138"/>
      <c r="E13" s="139"/>
      <c r="F13" s="139"/>
      <c r="G13" s="139"/>
      <c r="H13" s="139"/>
      <c r="I13" s="139"/>
      <c r="J13" s="140">
        <v>45315</v>
      </c>
      <c r="K13" s="140"/>
      <c r="L13" s="140"/>
      <c r="M13" s="140"/>
      <c r="N13" s="140"/>
      <c r="O13" s="140"/>
      <c r="P13" s="140"/>
      <c r="Q13" s="140"/>
      <c r="R13" s="138" t="s">
        <v>129</v>
      </c>
      <c r="S13" s="138"/>
      <c r="T13" s="138"/>
      <c r="U13" s="138"/>
      <c r="V13" s="138"/>
      <c r="W13" s="142"/>
      <c r="X13" s="142"/>
      <c r="Y13" s="142"/>
      <c r="Z13" s="142"/>
      <c r="AA13" s="142" t="s">
        <v>449</v>
      </c>
      <c r="AB13" s="142"/>
      <c r="AC13" s="142"/>
      <c r="AD13" s="142"/>
      <c r="AE13" s="142"/>
      <c r="AF13" s="142"/>
      <c r="AG13" s="142"/>
      <c r="AH13" s="141" t="s">
        <v>450</v>
      </c>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2"/>
      <c r="BK13" s="142"/>
      <c r="BL13" s="142"/>
      <c r="BM13" s="142"/>
      <c r="BN13" s="142"/>
      <c r="BO13" s="142"/>
      <c r="BP13" s="142"/>
      <c r="BQ13" s="142"/>
      <c r="BR13" s="143" t="s">
        <v>44</v>
      </c>
      <c r="BS13" s="143"/>
      <c r="BT13" s="143"/>
      <c r="BU13" s="143"/>
      <c r="BV13" s="143"/>
      <c r="BW13" s="143"/>
      <c r="BX13" s="143"/>
    </row>
    <row r="14" spans="1:76" ht="30" customHeight="1" x14ac:dyDescent="0.2">
      <c r="A14" s="138">
        <v>10</v>
      </c>
      <c r="B14" s="138"/>
      <c r="C14" s="138"/>
      <c r="D14" s="138"/>
      <c r="E14" s="139">
        <v>1.08</v>
      </c>
      <c r="F14" s="139"/>
      <c r="G14" s="139"/>
      <c r="H14" s="139"/>
      <c r="I14" s="139"/>
      <c r="J14" s="140">
        <v>45454</v>
      </c>
      <c r="K14" s="140"/>
      <c r="L14" s="140"/>
      <c r="M14" s="140"/>
      <c r="N14" s="140"/>
      <c r="O14" s="140"/>
      <c r="P14" s="140"/>
      <c r="Q14" s="140"/>
      <c r="R14" s="138" t="s">
        <v>129</v>
      </c>
      <c r="S14" s="138"/>
      <c r="T14" s="138"/>
      <c r="U14" s="138"/>
      <c r="V14" s="138"/>
      <c r="W14" s="142"/>
      <c r="X14" s="142"/>
      <c r="Y14" s="142"/>
      <c r="Z14" s="142"/>
      <c r="AA14" s="142" t="s">
        <v>449</v>
      </c>
      <c r="AB14" s="142"/>
      <c r="AC14" s="142"/>
      <c r="AD14" s="142"/>
      <c r="AE14" s="142"/>
      <c r="AF14" s="142"/>
      <c r="AG14" s="142"/>
      <c r="AH14" s="141" t="s">
        <v>465</v>
      </c>
      <c r="AI14" s="142"/>
      <c r="AJ14" s="142"/>
      <c r="AK14" s="142"/>
      <c r="AL14" s="142"/>
      <c r="AM14" s="142"/>
      <c r="AN14" s="142"/>
      <c r="AO14" s="142"/>
      <c r="AP14" s="142"/>
      <c r="AQ14" s="142"/>
      <c r="AR14" s="142"/>
      <c r="AS14" s="142"/>
      <c r="AT14" s="142"/>
      <c r="AU14" s="142"/>
      <c r="AV14" s="142"/>
      <c r="AW14" s="142"/>
      <c r="AX14" s="142"/>
      <c r="AY14" s="142"/>
      <c r="AZ14" s="142"/>
      <c r="BA14" s="142"/>
      <c r="BB14" s="142"/>
      <c r="BC14" s="142"/>
      <c r="BD14" s="142"/>
      <c r="BE14" s="142"/>
      <c r="BF14" s="142"/>
      <c r="BG14" s="142"/>
      <c r="BH14" s="142"/>
      <c r="BI14" s="142"/>
      <c r="BJ14" s="142"/>
      <c r="BK14" s="142"/>
      <c r="BL14" s="142"/>
      <c r="BM14" s="142"/>
      <c r="BN14" s="142"/>
      <c r="BO14" s="142"/>
      <c r="BP14" s="142"/>
      <c r="BQ14" s="142"/>
      <c r="BR14" s="143" t="s">
        <v>44</v>
      </c>
      <c r="BS14" s="143"/>
      <c r="BT14" s="143"/>
      <c r="BU14" s="143"/>
      <c r="BV14" s="143"/>
      <c r="BW14" s="143"/>
      <c r="BX14" s="143"/>
    </row>
    <row r="15" spans="1:76" ht="20.100000000000001" customHeight="1" x14ac:dyDescent="0.2">
      <c r="A15" s="138">
        <v>11</v>
      </c>
      <c r="B15" s="138"/>
      <c r="C15" s="138"/>
      <c r="D15" s="138"/>
      <c r="E15" s="139">
        <v>1.0900000000000001</v>
      </c>
      <c r="F15" s="139"/>
      <c r="G15" s="139"/>
      <c r="H15" s="139"/>
      <c r="I15" s="139"/>
      <c r="J15" s="140">
        <v>45485</v>
      </c>
      <c r="K15" s="140"/>
      <c r="L15" s="140"/>
      <c r="M15" s="140"/>
      <c r="N15" s="140"/>
      <c r="O15" s="140"/>
      <c r="P15" s="140"/>
      <c r="Q15" s="140"/>
      <c r="R15" s="138" t="s">
        <v>467</v>
      </c>
      <c r="S15" s="138"/>
      <c r="T15" s="138"/>
      <c r="U15" s="138"/>
      <c r="V15" s="138"/>
      <c r="W15" s="142"/>
      <c r="X15" s="142"/>
      <c r="Y15" s="142"/>
      <c r="Z15" s="142"/>
      <c r="AA15" s="172" t="s">
        <v>468</v>
      </c>
      <c r="AB15" s="173"/>
      <c r="AC15" s="173"/>
      <c r="AD15" s="173"/>
      <c r="AE15" s="173"/>
      <c r="AF15" s="173"/>
      <c r="AG15" s="174"/>
      <c r="AH15" s="141" t="s">
        <v>469</v>
      </c>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3" t="s">
        <v>44</v>
      </c>
      <c r="BS15" s="143"/>
      <c r="BT15" s="143"/>
      <c r="BU15" s="143"/>
      <c r="BV15" s="143"/>
      <c r="BW15" s="143"/>
      <c r="BX15" s="143"/>
    </row>
    <row r="16" spans="1:76" ht="20.100000000000001" customHeight="1" x14ac:dyDescent="0.2">
      <c r="A16" s="138">
        <v>12</v>
      </c>
      <c r="B16" s="138"/>
      <c r="C16" s="138"/>
      <c r="D16" s="138"/>
      <c r="E16" s="139">
        <v>1.1000000000000001</v>
      </c>
      <c r="F16" s="139"/>
      <c r="G16" s="139"/>
      <c r="H16" s="139"/>
      <c r="I16" s="139"/>
      <c r="J16" s="140">
        <v>45510</v>
      </c>
      <c r="K16" s="140"/>
      <c r="L16" s="140"/>
      <c r="M16" s="140"/>
      <c r="N16" s="140"/>
      <c r="O16" s="140"/>
      <c r="P16" s="140"/>
      <c r="Q16" s="140"/>
      <c r="R16" s="138" t="s">
        <v>129</v>
      </c>
      <c r="S16" s="138"/>
      <c r="T16" s="138"/>
      <c r="U16" s="138"/>
      <c r="V16" s="138"/>
      <c r="W16" s="142"/>
      <c r="X16" s="142"/>
      <c r="Y16" s="142"/>
      <c r="Z16" s="142"/>
      <c r="AA16" s="172" t="s">
        <v>468</v>
      </c>
      <c r="AB16" s="173"/>
      <c r="AC16" s="173"/>
      <c r="AD16" s="173"/>
      <c r="AE16" s="173"/>
      <c r="AF16" s="173"/>
      <c r="AG16" s="174"/>
      <c r="AH16" s="141" t="s">
        <v>488</v>
      </c>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3" t="s">
        <v>44</v>
      </c>
      <c r="BS16" s="143"/>
      <c r="BT16" s="143"/>
      <c r="BU16" s="143"/>
      <c r="BV16" s="143"/>
      <c r="BW16" s="143"/>
      <c r="BX16" s="143"/>
    </row>
    <row r="17" spans="1:76" ht="50.1" customHeight="1" x14ac:dyDescent="0.2">
      <c r="A17" s="181">
        <v>13</v>
      </c>
      <c r="B17" s="181"/>
      <c r="C17" s="181"/>
      <c r="D17" s="181"/>
      <c r="E17" s="182">
        <v>1.2</v>
      </c>
      <c r="F17" s="182"/>
      <c r="G17" s="182"/>
      <c r="H17" s="182"/>
      <c r="I17" s="182"/>
      <c r="J17" s="183">
        <v>45855</v>
      </c>
      <c r="K17" s="183"/>
      <c r="L17" s="183"/>
      <c r="M17" s="183"/>
      <c r="N17" s="183"/>
      <c r="O17" s="183"/>
      <c r="P17" s="183"/>
      <c r="Q17" s="183"/>
      <c r="R17" s="181" t="s">
        <v>129</v>
      </c>
      <c r="S17" s="181"/>
      <c r="T17" s="181"/>
      <c r="U17" s="181"/>
      <c r="V17" s="181"/>
      <c r="W17" s="179"/>
      <c r="X17" s="179"/>
      <c r="Y17" s="179"/>
      <c r="Z17" s="179"/>
      <c r="AA17" s="175" t="s">
        <v>468</v>
      </c>
      <c r="AB17" s="176"/>
      <c r="AC17" s="176"/>
      <c r="AD17" s="176"/>
      <c r="AE17" s="176"/>
      <c r="AF17" s="176"/>
      <c r="AG17" s="177"/>
      <c r="AH17" s="178" t="s">
        <v>519</v>
      </c>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80" t="s">
        <v>44</v>
      </c>
      <c r="BS17" s="180"/>
      <c r="BT17" s="180"/>
      <c r="BU17" s="180"/>
      <c r="BV17" s="180"/>
      <c r="BW17" s="180"/>
      <c r="BX17" s="180"/>
    </row>
    <row r="18" spans="1:76" ht="20.100000000000001" customHeight="1" x14ac:dyDescent="0.2">
      <c r="A18" s="138"/>
      <c r="B18" s="138"/>
      <c r="C18" s="138"/>
      <c r="D18" s="138"/>
      <c r="E18" s="139"/>
      <c r="F18" s="139"/>
      <c r="G18" s="139"/>
      <c r="H18" s="139"/>
      <c r="I18" s="139"/>
      <c r="J18" s="140"/>
      <c r="K18" s="140"/>
      <c r="L18" s="140"/>
      <c r="M18" s="140"/>
      <c r="N18" s="140"/>
      <c r="O18" s="140"/>
      <c r="P18" s="140"/>
      <c r="Q18" s="140"/>
      <c r="R18" s="138"/>
      <c r="S18" s="138"/>
      <c r="T18" s="138"/>
      <c r="U18" s="138"/>
      <c r="V18" s="138"/>
      <c r="W18" s="142"/>
      <c r="X18" s="142"/>
      <c r="Y18" s="142"/>
      <c r="Z18" s="142"/>
      <c r="AA18" s="142"/>
      <c r="AB18" s="142"/>
      <c r="AC18" s="142"/>
      <c r="AD18" s="142"/>
      <c r="AE18" s="142"/>
      <c r="AF18" s="142"/>
      <c r="AG18" s="142"/>
      <c r="AH18" s="141"/>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3"/>
      <c r="BS18" s="143"/>
      <c r="BT18" s="143"/>
      <c r="BU18" s="143"/>
      <c r="BV18" s="143"/>
      <c r="BW18" s="143"/>
      <c r="BX18" s="143"/>
    </row>
    <row r="19" spans="1:76" ht="20.100000000000001" customHeight="1" x14ac:dyDescent="0.2">
      <c r="A19" s="138"/>
      <c r="B19" s="138"/>
      <c r="C19" s="138"/>
      <c r="D19" s="138"/>
      <c r="E19" s="139"/>
      <c r="F19" s="139"/>
      <c r="G19" s="139"/>
      <c r="H19" s="139"/>
      <c r="I19" s="139"/>
      <c r="J19" s="140"/>
      <c r="K19" s="140"/>
      <c r="L19" s="140"/>
      <c r="M19" s="140"/>
      <c r="N19" s="140"/>
      <c r="O19" s="140"/>
      <c r="P19" s="140"/>
      <c r="Q19" s="140"/>
      <c r="R19" s="138"/>
      <c r="S19" s="138"/>
      <c r="T19" s="138"/>
      <c r="U19" s="138"/>
      <c r="V19" s="138"/>
      <c r="W19" s="142"/>
      <c r="X19" s="142"/>
      <c r="Y19" s="142"/>
      <c r="Z19" s="142"/>
      <c r="AA19" s="142"/>
      <c r="AB19" s="142"/>
      <c r="AC19" s="142"/>
      <c r="AD19" s="142"/>
      <c r="AE19" s="142"/>
      <c r="AF19" s="142"/>
      <c r="AG19" s="142"/>
      <c r="AH19" s="141"/>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2"/>
      <c r="BK19" s="142"/>
      <c r="BL19" s="142"/>
      <c r="BM19" s="142"/>
      <c r="BN19" s="142"/>
      <c r="BO19" s="142"/>
      <c r="BP19" s="142"/>
      <c r="BQ19" s="142"/>
      <c r="BR19" s="143"/>
      <c r="BS19" s="143"/>
      <c r="BT19" s="143"/>
      <c r="BU19" s="143"/>
      <c r="BV19" s="143"/>
      <c r="BW19" s="143"/>
      <c r="BX19" s="143"/>
    </row>
    <row r="20" spans="1:76" ht="20.100000000000001" customHeight="1" x14ac:dyDescent="0.2">
      <c r="A20" s="138"/>
      <c r="B20" s="138"/>
      <c r="C20" s="138"/>
      <c r="D20" s="138"/>
      <c r="E20" s="139"/>
      <c r="F20" s="139"/>
      <c r="G20" s="139"/>
      <c r="H20" s="139"/>
      <c r="I20" s="139"/>
      <c r="J20" s="140"/>
      <c r="K20" s="140"/>
      <c r="L20" s="140"/>
      <c r="M20" s="140"/>
      <c r="N20" s="140"/>
      <c r="O20" s="140"/>
      <c r="P20" s="140"/>
      <c r="Q20" s="140"/>
      <c r="R20" s="138"/>
      <c r="S20" s="138"/>
      <c r="T20" s="138"/>
      <c r="U20" s="138"/>
      <c r="V20" s="138"/>
      <c r="W20" s="142"/>
      <c r="X20" s="142"/>
      <c r="Y20" s="142"/>
      <c r="Z20" s="142"/>
      <c r="AA20" s="142"/>
      <c r="AB20" s="142"/>
      <c r="AC20" s="142"/>
      <c r="AD20" s="142"/>
      <c r="AE20" s="142"/>
      <c r="AF20" s="142"/>
      <c r="AG20" s="142"/>
      <c r="AH20" s="141"/>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3"/>
      <c r="BS20" s="143"/>
      <c r="BT20" s="143"/>
      <c r="BU20" s="143"/>
      <c r="BV20" s="143"/>
      <c r="BW20" s="143"/>
      <c r="BX20" s="143"/>
    </row>
    <row r="21" spans="1:76" ht="20.100000000000001" customHeight="1" x14ac:dyDescent="0.2">
      <c r="A21" s="138"/>
      <c r="B21" s="138"/>
      <c r="C21" s="138"/>
      <c r="D21" s="138"/>
      <c r="E21" s="139"/>
      <c r="F21" s="139"/>
      <c r="G21" s="139"/>
      <c r="H21" s="139"/>
      <c r="I21" s="139"/>
      <c r="J21" s="140"/>
      <c r="K21" s="140"/>
      <c r="L21" s="140"/>
      <c r="M21" s="140"/>
      <c r="N21" s="140"/>
      <c r="O21" s="140"/>
      <c r="P21" s="140"/>
      <c r="Q21" s="140"/>
      <c r="R21" s="138"/>
      <c r="S21" s="138"/>
      <c r="T21" s="138"/>
      <c r="U21" s="138"/>
      <c r="V21" s="138"/>
      <c r="W21" s="142"/>
      <c r="X21" s="142"/>
      <c r="Y21" s="142"/>
      <c r="Z21" s="142"/>
      <c r="AA21" s="142"/>
      <c r="AB21" s="142"/>
      <c r="AC21" s="142"/>
      <c r="AD21" s="142"/>
      <c r="AE21" s="142"/>
      <c r="AF21" s="142"/>
      <c r="AG21" s="142"/>
      <c r="AH21" s="141"/>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2"/>
      <c r="BO21" s="142"/>
      <c r="BP21" s="142"/>
      <c r="BQ21" s="142"/>
      <c r="BR21" s="143"/>
      <c r="BS21" s="143"/>
      <c r="BT21" s="143"/>
      <c r="BU21" s="143"/>
      <c r="BV21" s="143"/>
      <c r="BW21" s="143"/>
      <c r="BX21" s="143"/>
    </row>
    <row r="22" spans="1:76" ht="20.100000000000001" customHeight="1" x14ac:dyDescent="0.2">
      <c r="A22" s="138"/>
      <c r="B22" s="138"/>
      <c r="C22" s="138"/>
      <c r="D22" s="138"/>
      <c r="E22" s="139"/>
      <c r="F22" s="139"/>
      <c r="G22" s="139"/>
      <c r="H22" s="139"/>
      <c r="I22" s="139"/>
      <c r="J22" s="140"/>
      <c r="K22" s="140"/>
      <c r="L22" s="140"/>
      <c r="M22" s="140"/>
      <c r="N22" s="140"/>
      <c r="O22" s="140"/>
      <c r="P22" s="140"/>
      <c r="Q22" s="140"/>
      <c r="R22" s="138"/>
      <c r="S22" s="138"/>
      <c r="T22" s="138"/>
      <c r="U22" s="138"/>
      <c r="V22" s="138"/>
      <c r="W22" s="142"/>
      <c r="X22" s="142"/>
      <c r="Y22" s="142"/>
      <c r="Z22" s="142"/>
      <c r="AA22" s="142"/>
      <c r="AB22" s="142"/>
      <c r="AC22" s="142"/>
      <c r="AD22" s="142"/>
      <c r="AE22" s="142"/>
      <c r="AF22" s="142"/>
      <c r="AG22" s="142"/>
      <c r="AH22" s="141"/>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2"/>
      <c r="BO22" s="142"/>
      <c r="BP22" s="142"/>
      <c r="BQ22" s="142"/>
      <c r="BR22" s="143"/>
      <c r="BS22" s="143"/>
      <c r="BT22" s="143"/>
      <c r="BU22" s="143"/>
      <c r="BV22" s="143"/>
      <c r="BW22" s="143"/>
      <c r="BX22" s="143"/>
    </row>
    <row r="23" spans="1:76" ht="20.100000000000001" customHeight="1" x14ac:dyDescent="0.2">
      <c r="A23" s="138"/>
      <c r="B23" s="138"/>
      <c r="C23" s="138"/>
      <c r="D23" s="138"/>
      <c r="E23" s="139"/>
      <c r="F23" s="139"/>
      <c r="G23" s="139"/>
      <c r="H23" s="139"/>
      <c r="I23" s="139"/>
      <c r="J23" s="140"/>
      <c r="K23" s="140"/>
      <c r="L23" s="140"/>
      <c r="M23" s="140"/>
      <c r="N23" s="140"/>
      <c r="O23" s="140"/>
      <c r="P23" s="140"/>
      <c r="Q23" s="140"/>
      <c r="R23" s="138"/>
      <c r="S23" s="138"/>
      <c r="T23" s="138"/>
      <c r="U23" s="138"/>
      <c r="V23" s="138"/>
      <c r="W23" s="142"/>
      <c r="X23" s="142"/>
      <c r="Y23" s="142"/>
      <c r="Z23" s="142"/>
      <c r="AA23" s="142"/>
      <c r="AB23" s="142"/>
      <c r="AC23" s="142"/>
      <c r="AD23" s="142"/>
      <c r="AE23" s="142"/>
      <c r="AF23" s="142"/>
      <c r="AG23" s="142"/>
      <c r="AH23" s="141"/>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3"/>
      <c r="BS23" s="143"/>
      <c r="BT23" s="143"/>
      <c r="BU23" s="143"/>
      <c r="BV23" s="143"/>
      <c r="BW23" s="143"/>
      <c r="BX23" s="143"/>
    </row>
    <row r="24" spans="1:76" ht="20.100000000000001" customHeight="1" x14ac:dyDescent="0.2">
      <c r="A24" s="138"/>
      <c r="B24" s="138"/>
      <c r="C24" s="138"/>
      <c r="D24" s="138"/>
      <c r="E24" s="139"/>
      <c r="F24" s="139"/>
      <c r="G24" s="139"/>
      <c r="H24" s="139"/>
      <c r="I24" s="139"/>
      <c r="J24" s="140"/>
      <c r="K24" s="140"/>
      <c r="L24" s="140"/>
      <c r="M24" s="140"/>
      <c r="N24" s="140"/>
      <c r="O24" s="140"/>
      <c r="P24" s="140"/>
      <c r="Q24" s="140"/>
      <c r="R24" s="138"/>
      <c r="S24" s="138"/>
      <c r="T24" s="138"/>
      <c r="U24" s="138"/>
      <c r="V24" s="138"/>
      <c r="W24" s="142"/>
      <c r="X24" s="142"/>
      <c r="Y24" s="142"/>
      <c r="Z24" s="142"/>
      <c r="AA24" s="142"/>
      <c r="AB24" s="142"/>
      <c r="AC24" s="142"/>
      <c r="AD24" s="142"/>
      <c r="AE24" s="142"/>
      <c r="AF24" s="142"/>
      <c r="AG24" s="142"/>
      <c r="AH24" s="141"/>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3"/>
      <c r="BS24" s="143"/>
      <c r="BT24" s="143"/>
      <c r="BU24" s="143"/>
      <c r="BV24" s="143"/>
      <c r="BW24" s="143"/>
      <c r="BX24" s="143"/>
    </row>
    <row r="25" spans="1:76" ht="20.100000000000001" customHeight="1" x14ac:dyDescent="0.2">
      <c r="A25" s="138"/>
      <c r="B25" s="138"/>
      <c r="C25" s="138"/>
      <c r="D25" s="138"/>
      <c r="E25" s="139"/>
      <c r="F25" s="139"/>
      <c r="G25" s="139"/>
      <c r="H25" s="139"/>
      <c r="I25" s="139"/>
      <c r="J25" s="140"/>
      <c r="K25" s="140"/>
      <c r="L25" s="140"/>
      <c r="M25" s="140"/>
      <c r="N25" s="140"/>
      <c r="O25" s="140"/>
      <c r="P25" s="140"/>
      <c r="Q25" s="140"/>
      <c r="R25" s="138"/>
      <c r="S25" s="138"/>
      <c r="T25" s="138"/>
      <c r="U25" s="138"/>
      <c r="V25" s="138"/>
      <c r="W25" s="142"/>
      <c r="X25" s="142"/>
      <c r="Y25" s="142"/>
      <c r="Z25" s="142"/>
      <c r="AA25" s="142"/>
      <c r="AB25" s="142"/>
      <c r="AC25" s="142"/>
      <c r="AD25" s="142"/>
      <c r="AE25" s="142"/>
      <c r="AF25" s="142"/>
      <c r="AG25" s="142"/>
      <c r="AH25" s="141"/>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3"/>
      <c r="BS25" s="143"/>
      <c r="BT25" s="143"/>
      <c r="BU25" s="143"/>
      <c r="BV25" s="143"/>
      <c r="BW25" s="143"/>
      <c r="BX25" s="143"/>
    </row>
  </sheetData>
  <mergeCells count="177">
    <mergeCell ref="AA25:AG25"/>
    <mergeCell ref="AH25:BQ25"/>
    <mergeCell ref="BR25:BX25"/>
    <mergeCell ref="A25:D25"/>
    <mergeCell ref="E25:I25"/>
    <mergeCell ref="J25:Q25"/>
    <mergeCell ref="R25:V25"/>
    <mergeCell ref="W25:Z25"/>
    <mergeCell ref="AA23:AG23"/>
    <mergeCell ref="AH23:BQ23"/>
    <mergeCell ref="BR23:BX23"/>
    <mergeCell ref="A24:D24"/>
    <mergeCell ref="E24:I24"/>
    <mergeCell ref="J24:Q24"/>
    <mergeCell ref="R24:V24"/>
    <mergeCell ref="W24:Z24"/>
    <mergeCell ref="AA24:AG24"/>
    <mergeCell ref="AH24:BQ24"/>
    <mergeCell ref="BR24:BX24"/>
    <mergeCell ref="A23:D23"/>
    <mergeCell ref="E23:I23"/>
    <mergeCell ref="J23:Q23"/>
    <mergeCell ref="R23:V23"/>
    <mergeCell ref="W23:Z23"/>
    <mergeCell ref="AA22:AG22"/>
    <mergeCell ref="AH22:BQ22"/>
    <mergeCell ref="BR22:BX22"/>
    <mergeCell ref="A22:D22"/>
    <mergeCell ref="E22:I22"/>
    <mergeCell ref="J22:Q22"/>
    <mergeCell ref="R22:V22"/>
    <mergeCell ref="W22:Z22"/>
    <mergeCell ref="A21:D21"/>
    <mergeCell ref="E21:I21"/>
    <mergeCell ref="J21:Q21"/>
    <mergeCell ref="R21:V21"/>
    <mergeCell ref="W21:Z21"/>
    <mergeCell ref="AA21:AG21"/>
    <mergeCell ref="AH21:BQ21"/>
    <mergeCell ref="BR21:BX21"/>
    <mergeCell ref="A20:D20"/>
    <mergeCell ref="E20:I20"/>
    <mergeCell ref="J20:Q20"/>
    <mergeCell ref="R20:V20"/>
    <mergeCell ref="W20:Z20"/>
    <mergeCell ref="AA19:AG19"/>
    <mergeCell ref="AH19:BQ19"/>
    <mergeCell ref="BR19:BX19"/>
    <mergeCell ref="A19:D19"/>
    <mergeCell ref="E19:I19"/>
    <mergeCell ref="J19:Q19"/>
    <mergeCell ref="R19:V19"/>
    <mergeCell ref="W19:Z19"/>
    <mergeCell ref="AA20:AG20"/>
    <mergeCell ref="AH20:BQ20"/>
    <mergeCell ref="BR20:BX20"/>
    <mergeCell ref="AA17:AG17"/>
    <mergeCell ref="AH17:BQ17"/>
    <mergeCell ref="BR17:BX17"/>
    <mergeCell ref="A18:D18"/>
    <mergeCell ref="E18:I18"/>
    <mergeCell ref="J18:Q18"/>
    <mergeCell ref="R18:V18"/>
    <mergeCell ref="W18:Z18"/>
    <mergeCell ref="AA18:AG18"/>
    <mergeCell ref="AH18:BQ18"/>
    <mergeCell ref="BR18:BX18"/>
    <mergeCell ref="A17:D17"/>
    <mergeCell ref="E17:I17"/>
    <mergeCell ref="J17:Q17"/>
    <mergeCell ref="R17:V17"/>
    <mergeCell ref="W17:Z17"/>
    <mergeCell ref="AA15:AG15"/>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A13:AG13"/>
    <mergeCell ref="AH13:BQ13"/>
    <mergeCell ref="BR13:BX13"/>
    <mergeCell ref="A14:D14"/>
    <mergeCell ref="E14:I14"/>
    <mergeCell ref="J14:Q14"/>
    <mergeCell ref="R14:V14"/>
    <mergeCell ref="W14:Z14"/>
    <mergeCell ref="AA14:AG14"/>
    <mergeCell ref="AH14:BQ14"/>
    <mergeCell ref="BR14:BX14"/>
    <mergeCell ref="A13:D13"/>
    <mergeCell ref="E13:I13"/>
    <mergeCell ref="J13:Q13"/>
    <mergeCell ref="R13:V13"/>
    <mergeCell ref="W13:Z13"/>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J8:Q8"/>
    <mergeCell ref="R8:V8"/>
    <mergeCell ref="W9:Z9"/>
    <mergeCell ref="AA9:AG9"/>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AH8:BQ8"/>
    <mergeCell ref="BR8:BX8"/>
    <mergeCell ref="AA8:AG8"/>
    <mergeCell ref="W8:Z8"/>
    <mergeCell ref="BR7:BX7"/>
    <mergeCell ref="AH7:BQ7"/>
    <mergeCell ref="R9:V9"/>
    <mergeCell ref="W10:Z10"/>
    <mergeCell ref="AA10:AG10"/>
    <mergeCell ref="AH10:BQ10"/>
    <mergeCell ref="BR10:BX10"/>
    <mergeCell ref="R7:V7"/>
    <mergeCell ref="A10:D10"/>
    <mergeCell ref="E10:I10"/>
    <mergeCell ref="J10:Q10"/>
    <mergeCell ref="R10:V10"/>
    <mergeCell ref="AH9:BQ9"/>
    <mergeCell ref="BR9:BX9"/>
    <mergeCell ref="W12:Z12"/>
    <mergeCell ref="AA12:AG12"/>
    <mergeCell ref="AH12:BQ12"/>
    <mergeCell ref="BR12:BX12"/>
    <mergeCell ref="A12:D12"/>
    <mergeCell ref="E12:I12"/>
    <mergeCell ref="J12:Q12"/>
    <mergeCell ref="R12:V12"/>
    <mergeCell ref="AH11:BQ11"/>
    <mergeCell ref="BR11:BX11"/>
    <mergeCell ref="A11:D11"/>
    <mergeCell ref="E11:I11"/>
    <mergeCell ref="J11:Q11"/>
    <mergeCell ref="R11:V11"/>
    <mergeCell ref="W11:Z11"/>
    <mergeCell ref="AA11:AG11"/>
  </mergeCells>
  <phoneticPr fontId="2"/>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47"/>
  <sheetViews>
    <sheetView zoomScaleNormal="100" workbookViewId="0">
      <pane ySplit="3" topLeftCell="A4" activePane="bottomLeft" state="frozen"/>
      <selection activeCell="A4" sqref="A4:H4"/>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53" t="s">
        <v>1</v>
      </c>
      <c r="B1" s="254"/>
      <c r="C1" s="254"/>
      <c r="D1" s="254"/>
      <c r="E1" s="254"/>
      <c r="F1" s="254"/>
      <c r="G1" s="254"/>
      <c r="H1" s="255"/>
      <c r="I1" s="256" t="str">
        <f>タイトル!I40</f>
        <v>　学生勤務管理システム</v>
      </c>
      <c r="J1" s="257"/>
      <c r="K1" s="257"/>
      <c r="L1" s="257"/>
      <c r="M1" s="257"/>
      <c r="N1" s="257"/>
      <c r="O1" s="257"/>
      <c r="P1" s="257"/>
      <c r="Q1" s="257"/>
      <c r="R1" s="257"/>
      <c r="S1" s="257"/>
      <c r="T1" s="257"/>
      <c r="U1" s="257"/>
      <c r="V1" s="257"/>
      <c r="W1" s="257"/>
      <c r="X1" s="257"/>
      <c r="Y1" s="257"/>
      <c r="Z1" s="257"/>
      <c r="AA1" s="257"/>
      <c r="AB1" s="257"/>
      <c r="AC1" s="257"/>
      <c r="AD1" s="258"/>
      <c r="AE1" s="259" t="s">
        <v>0</v>
      </c>
      <c r="AF1" s="260"/>
      <c r="AG1" s="260"/>
      <c r="AH1" s="260"/>
      <c r="AI1" s="260"/>
      <c r="AJ1" s="260"/>
      <c r="AK1" s="261"/>
      <c r="AL1" s="262" t="str">
        <f>タイトル!I43</f>
        <v>　機能設計</v>
      </c>
      <c r="AM1" s="263"/>
      <c r="AN1" s="263"/>
      <c r="AO1" s="263"/>
      <c r="AP1" s="263"/>
      <c r="AQ1" s="263"/>
      <c r="AR1" s="263"/>
      <c r="AS1" s="263"/>
      <c r="AT1" s="263"/>
      <c r="AU1" s="263"/>
      <c r="AV1" s="263"/>
      <c r="AW1" s="263"/>
      <c r="AX1" s="263"/>
      <c r="AY1" s="263"/>
      <c r="AZ1" s="263"/>
      <c r="BA1" s="263"/>
      <c r="BB1" s="263"/>
      <c r="BC1" s="263"/>
      <c r="BD1" s="263"/>
      <c r="BE1" s="263"/>
      <c r="BF1" s="263"/>
      <c r="BG1" s="263"/>
      <c r="BH1" s="264"/>
      <c r="BI1" s="259" t="s">
        <v>12</v>
      </c>
      <c r="BJ1" s="260"/>
      <c r="BK1" s="260"/>
      <c r="BL1" s="261"/>
      <c r="BM1" s="265" t="str">
        <f>タイトル!I46</f>
        <v>木田　優</v>
      </c>
      <c r="BN1" s="266"/>
      <c r="BO1" s="266"/>
      <c r="BP1" s="266"/>
      <c r="BQ1" s="266"/>
      <c r="BR1" s="266"/>
      <c r="BS1" s="266"/>
      <c r="BT1" s="266"/>
      <c r="BU1" s="266"/>
      <c r="BV1" s="267"/>
      <c r="BW1" s="211">
        <f>タイトル!I47</f>
        <v>45204</v>
      </c>
      <c r="BX1" s="212"/>
      <c r="BY1" s="212"/>
      <c r="BZ1" s="212"/>
      <c r="CA1" s="212"/>
      <c r="CB1" s="212"/>
      <c r="CC1" s="212"/>
      <c r="CD1" s="212"/>
      <c r="CE1" s="213"/>
      <c r="CF1" s="214" t="s">
        <v>13</v>
      </c>
      <c r="CG1" s="215"/>
      <c r="CH1" s="215"/>
      <c r="CI1" s="215"/>
      <c r="CJ1" s="216"/>
      <c r="CK1" s="223"/>
      <c r="CL1" s="224"/>
      <c r="CM1" s="224"/>
      <c r="CN1" s="224"/>
      <c r="CO1" s="224"/>
      <c r="CP1" s="224"/>
      <c r="CQ1" s="224"/>
      <c r="CR1" s="225"/>
    </row>
    <row r="2" spans="1:96" s="15" customFormat="1" ht="15" customHeight="1" x14ac:dyDescent="0.2">
      <c r="A2" s="232" t="s">
        <v>14</v>
      </c>
      <c r="B2" s="233"/>
      <c r="C2" s="233"/>
      <c r="D2" s="233"/>
      <c r="E2" s="233"/>
      <c r="F2" s="233"/>
      <c r="G2" s="233"/>
      <c r="H2" s="234"/>
      <c r="I2" s="235" t="str">
        <f>タイトル!I41</f>
        <v>　共通機能</v>
      </c>
      <c r="J2" s="236"/>
      <c r="K2" s="236"/>
      <c r="L2" s="236"/>
      <c r="M2" s="236"/>
      <c r="N2" s="236"/>
      <c r="O2" s="236"/>
      <c r="P2" s="236"/>
      <c r="Q2" s="236"/>
      <c r="R2" s="236"/>
      <c r="S2" s="236"/>
      <c r="T2" s="236"/>
      <c r="U2" s="236"/>
      <c r="V2" s="236"/>
      <c r="W2" s="236"/>
      <c r="X2" s="236"/>
      <c r="Y2" s="236"/>
      <c r="Z2" s="236"/>
      <c r="AA2" s="236"/>
      <c r="AB2" s="236"/>
      <c r="AC2" s="236"/>
      <c r="AD2" s="237"/>
      <c r="AE2" s="238" t="s">
        <v>32</v>
      </c>
      <c r="AF2" s="239"/>
      <c r="AG2" s="239"/>
      <c r="AH2" s="239"/>
      <c r="AI2" s="239"/>
      <c r="AJ2" s="239"/>
      <c r="AK2" s="240"/>
      <c r="AL2" s="241" t="str">
        <f>タイトル!I44</f>
        <v>　CK-020_給与計算処理</v>
      </c>
      <c r="AM2" s="242"/>
      <c r="AN2" s="242"/>
      <c r="AO2" s="242"/>
      <c r="AP2" s="242"/>
      <c r="AQ2" s="242"/>
      <c r="AR2" s="242"/>
      <c r="AS2" s="242"/>
      <c r="AT2" s="242"/>
      <c r="AU2" s="242"/>
      <c r="AV2" s="242"/>
      <c r="AW2" s="242"/>
      <c r="AX2" s="242"/>
      <c r="AY2" s="242"/>
      <c r="AZ2" s="242"/>
      <c r="BA2" s="242"/>
      <c r="BB2" s="242"/>
      <c r="BC2" s="242"/>
      <c r="BD2" s="242"/>
      <c r="BE2" s="242"/>
      <c r="BF2" s="242"/>
      <c r="BG2" s="242"/>
      <c r="BH2" s="243"/>
      <c r="BI2" s="244" t="s">
        <v>15</v>
      </c>
      <c r="BJ2" s="245"/>
      <c r="BK2" s="245"/>
      <c r="BL2" s="246"/>
      <c r="BM2" s="247" t="s">
        <v>319</v>
      </c>
      <c r="BN2" s="248"/>
      <c r="BO2" s="248"/>
      <c r="BP2" s="248"/>
      <c r="BQ2" s="248"/>
      <c r="BR2" s="248"/>
      <c r="BS2" s="248"/>
      <c r="BT2" s="248"/>
      <c r="BU2" s="248"/>
      <c r="BV2" s="249"/>
      <c r="BW2" s="250">
        <v>45315</v>
      </c>
      <c r="BX2" s="251"/>
      <c r="BY2" s="251"/>
      <c r="BZ2" s="251"/>
      <c r="CA2" s="251"/>
      <c r="CB2" s="251"/>
      <c r="CC2" s="251"/>
      <c r="CD2" s="251"/>
      <c r="CE2" s="252"/>
      <c r="CF2" s="217"/>
      <c r="CG2" s="218"/>
      <c r="CH2" s="218"/>
      <c r="CI2" s="218"/>
      <c r="CJ2" s="219"/>
      <c r="CK2" s="226"/>
      <c r="CL2" s="227"/>
      <c r="CM2" s="227"/>
      <c r="CN2" s="227"/>
      <c r="CO2" s="227"/>
      <c r="CP2" s="227"/>
      <c r="CQ2" s="227"/>
      <c r="CR2" s="228"/>
    </row>
    <row r="3" spans="1:96" s="15" customFormat="1" ht="15" customHeight="1" thickBot="1" x14ac:dyDescent="0.25">
      <c r="A3" s="196"/>
      <c r="B3" s="197"/>
      <c r="C3" s="197"/>
      <c r="D3" s="197"/>
      <c r="E3" s="197"/>
      <c r="F3" s="197"/>
      <c r="G3" s="197"/>
      <c r="H3" s="198"/>
      <c r="I3" s="199"/>
      <c r="J3" s="200"/>
      <c r="K3" s="200"/>
      <c r="L3" s="200"/>
      <c r="M3" s="200"/>
      <c r="N3" s="200"/>
      <c r="O3" s="200"/>
      <c r="P3" s="200"/>
      <c r="Q3" s="200"/>
      <c r="R3" s="200"/>
      <c r="S3" s="200"/>
      <c r="T3" s="200"/>
      <c r="U3" s="200"/>
      <c r="V3" s="200"/>
      <c r="W3" s="200"/>
      <c r="X3" s="200"/>
      <c r="Y3" s="200"/>
      <c r="Z3" s="200"/>
      <c r="AA3" s="200"/>
      <c r="AB3" s="200"/>
      <c r="AC3" s="200"/>
      <c r="AD3" s="201"/>
      <c r="AE3" s="220"/>
      <c r="AF3" s="221"/>
      <c r="AG3" s="221"/>
      <c r="AH3" s="221"/>
      <c r="AI3" s="221"/>
      <c r="AJ3" s="221"/>
      <c r="AK3" s="222"/>
      <c r="AL3" s="202"/>
      <c r="AM3" s="203"/>
      <c r="AN3" s="203"/>
      <c r="AO3" s="203"/>
      <c r="AP3" s="203"/>
      <c r="AQ3" s="203"/>
      <c r="AR3" s="203"/>
      <c r="AS3" s="203"/>
      <c r="AT3" s="203"/>
      <c r="AU3" s="203"/>
      <c r="AV3" s="203"/>
      <c r="AW3" s="203"/>
      <c r="AX3" s="203"/>
      <c r="AY3" s="203"/>
      <c r="AZ3" s="203"/>
      <c r="BA3" s="203"/>
      <c r="BB3" s="203"/>
      <c r="BC3" s="203"/>
      <c r="BD3" s="203"/>
      <c r="BE3" s="203"/>
      <c r="BF3" s="203"/>
      <c r="BG3" s="203"/>
      <c r="BH3" s="204"/>
      <c r="BI3" s="205"/>
      <c r="BJ3" s="206"/>
      <c r="BK3" s="206"/>
      <c r="BL3" s="207"/>
      <c r="BM3" s="208"/>
      <c r="BN3" s="209"/>
      <c r="BO3" s="209"/>
      <c r="BP3" s="209"/>
      <c r="BQ3" s="209"/>
      <c r="BR3" s="209"/>
      <c r="BS3" s="209"/>
      <c r="BT3" s="209"/>
      <c r="BU3" s="209"/>
      <c r="BV3" s="209"/>
      <c r="BW3" s="209"/>
      <c r="BX3" s="209"/>
      <c r="BY3" s="209"/>
      <c r="BZ3" s="209"/>
      <c r="CA3" s="209"/>
      <c r="CB3" s="209"/>
      <c r="CC3" s="209"/>
      <c r="CD3" s="209"/>
      <c r="CE3" s="210"/>
      <c r="CF3" s="220"/>
      <c r="CG3" s="221"/>
      <c r="CH3" s="221"/>
      <c r="CI3" s="221"/>
      <c r="CJ3" s="222"/>
      <c r="CK3" s="229"/>
      <c r="CL3" s="230"/>
      <c r="CM3" s="230"/>
      <c r="CN3" s="230"/>
      <c r="CO3" s="230"/>
      <c r="CP3" s="230"/>
      <c r="CQ3" s="230"/>
      <c r="CR3" s="231"/>
    </row>
    <row r="4" spans="1:96" s="16" customFormat="1" ht="15" customHeight="1" x14ac:dyDescent="0.2">
      <c r="A4" s="190" t="s">
        <v>36</v>
      </c>
      <c r="B4" s="191"/>
      <c r="C4" s="191"/>
      <c r="D4" s="191"/>
      <c r="E4" s="191"/>
      <c r="F4" s="191"/>
      <c r="G4" s="191"/>
      <c r="H4" s="191"/>
      <c r="I4" s="192" t="str">
        <f>"　" &amp; RIGHT(タイトル!I44,LEN(タイトル!I44)-8)</f>
        <v>　給与計算処理</v>
      </c>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1" t="s">
        <v>37</v>
      </c>
      <c r="AM4" s="191"/>
      <c r="AN4" s="191"/>
      <c r="AO4" s="191"/>
      <c r="AP4" s="191"/>
      <c r="AQ4" s="191"/>
      <c r="AR4" s="191"/>
      <c r="AS4" s="193" t="str">
        <f>LEFT(タイトル!I44,7)</f>
        <v>　CK-020</v>
      </c>
      <c r="AT4" s="193"/>
      <c r="AU4" s="193"/>
      <c r="AV4" s="193"/>
      <c r="AW4" s="193"/>
      <c r="AX4" s="193"/>
      <c r="AY4" s="193"/>
      <c r="AZ4" s="193"/>
      <c r="BA4" s="193"/>
      <c r="BB4" s="193"/>
      <c r="BC4" s="193"/>
      <c r="BD4" s="193"/>
      <c r="BE4" s="193"/>
      <c r="BF4" s="193"/>
      <c r="BG4" s="193"/>
      <c r="BH4" s="193"/>
      <c r="BI4" s="194" t="s">
        <v>35</v>
      </c>
      <c r="BJ4" s="195"/>
      <c r="BK4" s="195"/>
      <c r="BL4" s="195"/>
      <c r="BM4" s="195"/>
      <c r="BN4" s="195"/>
      <c r="BO4" s="195"/>
      <c r="BP4" s="195"/>
      <c r="BQ4" s="195"/>
      <c r="BR4" s="195"/>
      <c r="BS4" s="195"/>
      <c r="BT4" s="187" t="s">
        <v>111</v>
      </c>
      <c r="BU4" s="188"/>
      <c r="BV4" s="188"/>
      <c r="BW4" s="188"/>
      <c r="BX4" s="188"/>
      <c r="BY4" s="188"/>
      <c r="BZ4" s="188"/>
      <c r="CA4" s="188"/>
      <c r="CB4" s="188"/>
      <c r="CC4" s="188"/>
      <c r="CD4" s="188"/>
      <c r="CE4" s="188"/>
      <c r="CF4" s="188"/>
      <c r="CG4" s="188"/>
      <c r="CH4" s="188"/>
      <c r="CI4" s="188"/>
      <c r="CJ4" s="188"/>
      <c r="CK4" s="188"/>
      <c r="CL4" s="188"/>
      <c r="CM4" s="188"/>
      <c r="CN4" s="188"/>
      <c r="CO4" s="188"/>
      <c r="CP4" s="188"/>
      <c r="CQ4" s="188"/>
      <c r="CR4" s="189"/>
    </row>
    <row r="5" spans="1:96" s="13" customFormat="1" ht="15" customHeight="1" x14ac:dyDescent="0.15">
      <c r="A5" s="184" t="s">
        <v>39</v>
      </c>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c r="CB5" s="185"/>
      <c r="CC5" s="185"/>
      <c r="CD5" s="185"/>
      <c r="CE5" s="185"/>
      <c r="CF5" s="185"/>
      <c r="CG5" s="185"/>
      <c r="CH5" s="185"/>
      <c r="CI5" s="185"/>
      <c r="CJ5" s="185"/>
      <c r="CK5" s="185"/>
      <c r="CL5" s="185"/>
      <c r="CM5" s="185"/>
      <c r="CN5" s="185"/>
      <c r="CO5" s="185"/>
      <c r="CP5" s="185"/>
      <c r="CQ5" s="185"/>
      <c r="CR5" s="186"/>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132</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t="s">
        <v>417</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184" t="s">
        <v>40</v>
      </c>
      <c r="B10" s="185"/>
      <c r="C10" s="185"/>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5"/>
      <c r="BK10" s="185"/>
      <c r="BL10" s="185"/>
      <c r="BM10" s="185"/>
      <c r="BN10" s="185"/>
      <c r="BO10" s="185"/>
      <c r="BP10" s="185"/>
      <c r="BQ10" s="185"/>
      <c r="BR10" s="185"/>
      <c r="BS10" s="185"/>
      <c r="BT10" s="185"/>
      <c r="BU10" s="185"/>
      <c r="BV10" s="185"/>
      <c r="BW10" s="185"/>
      <c r="BX10" s="185"/>
      <c r="BY10" s="185"/>
      <c r="BZ10" s="185"/>
      <c r="CA10" s="185"/>
      <c r="CB10" s="185"/>
      <c r="CC10" s="185"/>
      <c r="CD10" s="185"/>
      <c r="CE10" s="185"/>
      <c r="CF10" s="185"/>
      <c r="CG10" s="185"/>
      <c r="CH10" s="185"/>
      <c r="CI10" s="185"/>
      <c r="CJ10" s="185"/>
      <c r="CK10" s="185"/>
      <c r="CL10" s="185"/>
      <c r="CM10" s="185"/>
      <c r="CN10" s="185"/>
      <c r="CO10" s="185"/>
      <c r="CP10" s="185"/>
      <c r="CQ10" s="185"/>
      <c r="CR10" s="186"/>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125</v>
      </c>
      <c r="D13" s="32"/>
      <c r="E13" s="32"/>
      <c r="F13" s="32"/>
      <c r="G13" s="32"/>
      <c r="H13" s="32"/>
      <c r="I13" s="32"/>
      <c r="J13" s="32"/>
      <c r="K13" s="32"/>
      <c r="L13" s="32"/>
      <c r="M13" s="32"/>
      <c r="N13" s="32"/>
      <c r="O13" s="32"/>
      <c r="P13" s="32"/>
      <c r="Q13" s="32"/>
      <c r="R13" s="32"/>
      <c r="S13" s="32"/>
      <c r="T13" s="33"/>
      <c r="U13" s="23"/>
      <c r="V13" s="23"/>
      <c r="W13" s="23"/>
      <c r="X13" s="23"/>
      <c r="Y13" s="23"/>
      <c r="Z13" s="23"/>
      <c r="AA13" s="23"/>
      <c r="AB13" s="23"/>
      <c r="AC13" s="23"/>
      <c r="AD13" s="23"/>
      <c r="AE13" s="12"/>
      <c r="AG13" s="31" t="s">
        <v>133</v>
      </c>
      <c r="AH13" s="32"/>
      <c r="AI13" s="32"/>
      <c r="AJ13" s="32"/>
      <c r="AK13" s="32"/>
      <c r="AL13" s="32"/>
      <c r="AM13" s="32"/>
      <c r="AN13" s="32"/>
      <c r="AO13" s="32"/>
      <c r="AP13" s="32"/>
      <c r="AQ13" s="32"/>
      <c r="AR13" s="32"/>
      <c r="AS13" s="32"/>
      <c r="AT13" s="32"/>
      <c r="AU13" s="32"/>
      <c r="AV13" s="32"/>
      <c r="AW13" s="32"/>
      <c r="AX13" s="33"/>
      <c r="AY13" s="23"/>
      <c r="AZ13" s="23"/>
      <c r="BA13" s="23"/>
      <c r="BB13" s="23"/>
      <c r="BC13" s="23"/>
      <c r="BD13" s="23"/>
      <c r="BE13" s="23"/>
      <c r="BF13" s="23"/>
      <c r="BG13" s="23"/>
      <c r="BH13" s="23"/>
      <c r="BJ13" s="25" t="s">
        <v>48</v>
      </c>
      <c r="CA13" s="23"/>
      <c r="CB13" s="23"/>
      <c r="CC13" s="23"/>
      <c r="CD13" s="23"/>
      <c r="CE13" s="23"/>
      <c r="CF13" s="23"/>
      <c r="CG13" s="23"/>
      <c r="CH13" s="23"/>
      <c r="CI13" s="23"/>
      <c r="CJ13" s="23"/>
      <c r="CK13" s="23"/>
      <c r="CL13" s="23"/>
      <c r="CM13" s="23"/>
      <c r="CN13" s="23"/>
      <c r="CO13" s="23"/>
      <c r="CP13" s="23"/>
      <c r="CQ13" s="23"/>
      <c r="CR13" s="24"/>
    </row>
    <row r="14" spans="1:96" s="13" customFormat="1" ht="15" customHeight="1" x14ac:dyDescent="0.15">
      <c r="A14" s="22"/>
      <c r="B14" s="23"/>
      <c r="C14" s="34"/>
      <c r="D14" s="35" t="s">
        <v>67</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D14" s="23"/>
      <c r="AE14" s="12"/>
      <c r="AG14" s="34"/>
      <c r="AH14" s="35" t="s">
        <v>68</v>
      </c>
      <c r="AI14" s="36"/>
      <c r="AJ14" s="36"/>
      <c r="AK14" s="36"/>
      <c r="AL14" s="36"/>
      <c r="AM14" s="36"/>
      <c r="AN14" s="36"/>
      <c r="AO14" s="36"/>
      <c r="AP14" s="36"/>
      <c r="AQ14" s="36"/>
      <c r="AR14" s="36"/>
      <c r="AS14" s="36"/>
      <c r="AT14" s="36"/>
      <c r="AU14" s="36"/>
      <c r="AV14" s="37"/>
      <c r="AW14" s="36"/>
      <c r="AX14" s="38"/>
      <c r="AY14" s="23"/>
      <c r="AZ14" s="23"/>
      <c r="BA14" s="23"/>
      <c r="BB14" s="23"/>
      <c r="BC14" s="23"/>
      <c r="BD14" s="23"/>
      <c r="BE14" s="23"/>
      <c r="BF14" s="23"/>
      <c r="BG14" s="23"/>
      <c r="BH14" s="23"/>
      <c r="BJ14" s="25" t="s">
        <v>320</v>
      </c>
      <c r="BK14" s="25"/>
      <c r="CF14" s="25" t="s">
        <v>50</v>
      </c>
      <c r="CG14" s="23"/>
      <c r="CI14" s="23"/>
      <c r="CJ14" s="23"/>
      <c r="CK14" s="23"/>
      <c r="CL14" s="23"/>
      <c r="CM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V15" s="21" t="s">
        <v>414</v>
      </c>
      <c r="W15" s="23"/>
      <c r="X15" s="23"/>
      <c r="Y15" s="23"/>
      <c r="Z15" s="23"/>
      <c r="AA15" s="23"/>
      <c r="AB15" s="23"/>
      <c r="AC15" s="23"/>
      <c r="AD15" s="23"/>
      <c r="AE15" s="12"/>
      <c r="AG15" s="34"/>
      <c r="AH15" s="36"/>
      <c r="AI15" s="36"/>
      <c r="AJ15" s="36"/>
      <c r="AK15" s="36"/>
      <c r="AL15" s="36"/>
      <c r="AM15" s="36"/>
      <c r="AN15" s="36"/>
      <c r="AO15" s="36"/>
      <c r="AP15" s="36"/>
      <c r="AQ15" s="36"/>
      <c r="AR15" s="36"/>
      <c r="AS15" s="36"/>
      <c r="AT15" s="36"/>
      <c r="AU15" s="39"/>
      <c r="AV15" s="37"/>
      <c r="AW15" s="36"/>
      <c r="AX15" s="38"/>
      <c r="AY15" s="23"/>
      <c r="AZ15" s="25" t="s">
        <v>416</v>
      </c>
      <c r="BA15" s="23"/>
      <c r="BB15" s="23"/>
      <c r="BC15" s="23"/>
      <c r="BD15" s="23"/>
      <c r="BE15" s="23"/>
      <c r="BF15" s="23"/>
      <c r="BG15" s="23"/>
      <c r="BH15" s="23"/>
      <c r="BJ15" s="105" t="s">
        <v>73</v>
      </c>
      <c r="BK15" s="32"/>
      <c r="BL15" s="32"/>
      <c r="BM15" s="32"/>
      <c r="BN15" s="32"/>
      <c r="BO15" s="32"/>
      <c r="BP15" s="32"/>
      <c r="BQ15" s="106"/>
      <c r="BR15" s="107"/>
      <c r="BS15" s="107"/>
      <c r="BT15" s="107"/>
      <c r="BU15" s="107"/>
      <c r="BV15" s="107"/>
      <c r="BW15" s="107"/>
      <c r="BX15" s="33"/>
      <c r="CF15" s="72" t="s">
        <v>110</v>
      </c>
      <c r="CG15" s="32"/>
      <c r="CH15" s="32"/>
      <c r="CI15" s="32"/>
      <c r="CJ15" s="32"/>
      <c r="CK15" s="32"/>
      <c r="CL15" s="32"/>
      <c r="CM15" s="3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V16" s="23"/>
      <c r="W16" s="23"/>
      <c r="X16" s="23"/>
      <c r="Y16" s="12"/>
      <c r="Z16" s="12"/>
      <c r="AA16" s="12"/>
      <c r="AB16" s="12"/>
      <c r="AC16" s="12"/>
      <c r="AD16" s="12"/>
      <c r="AE16" s="12"/>
      <c r="AG16" s="34"/>
      <c r="AH16" s="36"/>
      <c r="AI16" s="36"/>
      <c r="AJ16" s="36"/>
      <c r="AK16" s="36"/>
      <c r="AL16" s="36"/>
      <c r="AM16" s="36"/>
      <c r="AN16" s="36"/>
      <c r="AO16" s="36"/>
      <c r="AP16" s="36"/>
      <c r="AQ16" s="36"/>
      <c r="AR16" s="36"/>
      <c r="AS16" s="36"/>
      <c r="AT16" s="36"/>
      <c r="AU16" s="36"/>
      <c r="AV16" s="36"/>
      <c r="AW16" s="36"/>
      <c r="AX16" s="38"/>
      <c r="AY16" s="23"/>
      <c r="AZ16" s="23"/>
      <c r="BA16" s="23"/>
      <c r="BB16" s="23"/>
      <c r="BC16" s="23"/>
      <c r="BD16" s="23"/>
      <c r="BE16" s="23"/>
      <c r="BF16" s="23"/>
      <c r="BG16" s="23"/>
      <c r="BH16" s="23"/>
      <c r="BJ16" s="34"/>
      <c r="BK16" s="36"/>
      <c r="BL16" s="36"/>
      <c r="BM16" s="36"/>
      <c r="BN16" s="36"/>
      <c r="BO16" s="36"/>
      <c r="BP16" s="36"/>
      <c r="BQ16" s="108"/>
      <c r="BR16" s="108"/>
      <c r="BS16" s="108"/>
      <c r="BT16" s="108"/>
      <c r="BU16" s="108"/>
      <c r="BV16" s="108"/>
      <c r="BW16" s="108"/>
      <c r="BX16" s="38"/>
      <c r="CF16" s="34"/>
      <c r="CG16" s="36"/>
      <c r="CH16" s="36"/>
      <c r="CI16" s="36"/>
      <c r="CJ16" s="36"/>
      <c r="CK16" s="36"/>
      <c r="CL16" s="36"/>
      <c r="CM16" s="38"/>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V17" s="23"/>
      <c r="W17" s="23"/>
      <c r="X17" s="23"/>
      <c r="Y17" s="12"/>
      <c r="Z17" s="12"/>
      <c r="AA17" s="12"/>
      <c r="AB17" s="12"/>
      <c r="AC17" s="12"/>
      <c r="AD17" s="12"/>
      <c r="AE17" s="12"/>
      <c r="AG17" s="34"/>
      <c r="AH17" s="36"/>
      <c r="AI17" s="36"/>
      <c r="AJ17" s="36"/>
      <c r="AK17" s="36"/>
      <c r="AL17" s="36"/>
      <c r="AM17" s="36"/>
      <c r="AN17" s="36"/>
      <c r="AO17" s="36"/>
      <c r="AP17" s="36"/>
      <c r="AQ17" s="36"/>
      <c r="AR17" s="36"/>
      <c r="AS17" s="36"/>
      <c r="AT17" s="36"/>
      <c r="AU17" s="36"/>
      <c r="AV17" s="36"/>
      <c r="AW17" s="36"/>
      <c r="AX17" s="38"/>
      <c r="AY17" s="23"/>
      <c r="AZ17" s="23"/>
      <c r="BA17" s="23"/>
      <c r="BB17" s="23"/>
      <c r="BC17" s="23"/>
      <c r="BD17" s="23"/>
      <c r="BE17" s="23"/>
      <c r="BF17" s="23"/>
      <c r="BG17" s="23"/>
      <c r="BH17" s="23"/>
      <c r="BJ17" s="34"/>
      <c r="BK17" s="36"/>
      <c r="BL17" s="36"/>
      <c r="BM17" s="36"/>
      <c r="BN17" s="36"/>
      <c r="BO17" s="36"/>
      <c r="BP17" s="36"/>
      <c r="BQ17" s="108"/>
      <c r="BR17" s="108"/>
      <c r="BS17" s="108"/>
      <c r="BT17" s="108"/>
      <c r="BU17" s="108"/>
      <c r="BV17" s="108"/>
      <c r="BW17" s="108"/>
      <c r="BX17" s="38"/>
      <c r="CF17" s="34"/>
      <c r="CG17" s="36"/>
      <c r="CH17" s="36"/>
      <c r="CI17" s="36"/>
      <c r="CJ17" s="36"/>
      <c r="CK17" s="36"/>
      <c r="CL17" s="36"/>
      <c r="CM17" s="38"/>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V18" s="12"/>
      <c r="X18" s="23"/>
      <c r="Y18" s="12"/>
      <c r="Z18" s="12"/>
      <c r="AA18" s="12"/>
      <c r="AB18" s="12"/>
      <c r="AC18" s="12"/>
      <c r="AD18" s="12"/>
      <c r="AE18" s="12"/>
      <c r="AG18" s="34"/>
      <c r="AH18" s="36"/>
      <c r="AI18" s="36"/>
      <c r="AJ18" s="36"/>
      <c r="AK18" s="36"/>
      <c r="AL18" s="36"/>
      <c r="AM18" s="36"/>
      <c r="AN18" s="36"/>
      <c r="AO18" s="36"/>
      <c r="AP18" s="36"/>
      <c r="AQ18" s="36"/>
      <c r="AR18" s="36"/>
      <c r="AS18" s="36"/>
      <c r="AT18" s="36"/>
      <c r="AU18" s="36"/>
      <c r="AV18" s="36"/>
      <c r="AW18" s="36"/>
      <c r="AX18" s="38"/>
      <c r="AY18" s="23"/>
      <c r="AZ18" s="23"/>
      <c r="BA18" s="23"/>
      <c r="BB18" s="23"/>
      <c r="BC18" s="23"/>
      <c r="BD18" s="23"/>
      <c r="BE18" s="23"/>
      <c r="BF18" s="23"/>
      <c r="BG18" s="23"/>
      <c r="BH18" s="23"/>
      <c r="BJ18" s="34"/>
      <c r="BK18" s="36"/>
      <c r="BL18" s="36"/>
      <c r="BM18" s="36"/>
      <c r="BN18" s="36"/>
      <c r="BO18" s="36"/>
      <c r="BP18" s="36"/>
      <c r="BQ18" s="108"/>
      <c r="BR18" s="108"/>
      <c r="BS18" s="108"/>
      <c r="BT18" s="108"/>
      <c r="BU18" s="108"/>
      <c r="BV18" s="108"/>
      <c r="BW18" s="108"/>
      <c r="BX18" s="38"/>
      <c r="CF18" s="34"/>
      <c r="CG18" s="36"/>
      <c r="CH18" s="36"/>
      <c r="CI18" s="36"/>
      <c r="CJ18" s="36"/>
      <c r="CK18" s="36"/>
      <c r="CL18" s="36"/>
      <c r="CM18" s="38"/>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V19" s="23"/>
      <c r="W19" s="23"/>
      <c r="X19" s="23"/>
      <c r="Y19" s="12"/>
      <c r="Z19" s="12"/>
      <c r="AA19" s="12"/>
      <c r="AB19" s="12"/>
      <c r="AC19" s="12"/>
      <c r="AD19" s="12"/>
      <c r="AE19" s="12"/>
      <c r="AG19" s="34"/>
      <c r="AH19" s="36"/>
      <c r="AI19" s="36"/>
      <c r="AJ19" s="36"/>
      <c r="AK19" s="36"/>
      <c r="AL19" s="36"/>
      <c r="AM19" s="36"/>
      <c r="AN19" s="36"/>
      <c r="AO19" s="36"/>
      <c r="AP19" s="36"/>
      <c r="AQ19" s="36"/>
      <c r="AR19" s="36"/>
      <c r="AS19" s="36"/>
      <c r="AT19" s="36"/>
      <c r="AU19" s="36"/>
      <c r="AV19" s="36"/>
      <c r="AW19" s="36"/>
      <c r="AX19" s="38"/>
      <c r="AY19" s="23"/>
      <c r="AZ19" s="23"/>
      <c r="BA19" s="23"/>
      <c r="BB19" s="23"/>
      <c r="BC19" s="23"/>
      <c r="BD19" s="23"/>
      <c r="BE19" s="23"/>
      <c r="BF19" s="23"/>
      <c r="BG19" s="23"/>
      <c r="BH19" s="23"/>
      <c r="BJ19" s="70"/>
      <c r="BK19" s="39"/>
      <c r="BL19" s="39"/>
      <c r="BM19" s="39"/>
      <c r="BN19" s="39"/>
      <c r="BO19" s="39"/>
      <c r="BP19" s="39"/>
      <c r="BQ19" s="108"/>
      <c r="BR19" s="108"/>
      <c r="BS19" s="108"/>
      <c r="BT19" s="108"/>
      <c r="BU19" s="108"/>
      <c r="BV19" s="108"/>
      <c r="BW19" s="108"/>
      <c r="BX19" s="40"/>
      <c r="CF19" s="70"/>
      <c r="CG19" s="39"/>
      <c r="CH19" s="39"/>
      <c r="CI19" s="39"/>
      <c r="CJ19" s="39"/>
      <c r="CK19" s="39"/>
      <c r="CL19" s="39"/>
      <c r="CM19" s="40"/>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V20" s="21"/>
      <c r="W20" s="23"/>
      <c r="X20" s="23"/>
      <c r="Y20" s="23"/>
      <c r="Z20" s="23"/>
      <c r="AA20" s="23"/>
      <c r="AB20" s="23"/>
      <c r="AC20" s="23"/>
      <c r="AD20" s="23"/>
      <c r="AE20" s="23"/>
      <c r="AG20" s="34"/>
      <c r="AH20" s="36"/>
      <c r="AI20" s="36"/>
      <c r="AJ20" s="36"/>
      <c r="AK20" s="36"/>
      <c r="AL20" s="36"/>
      <c r="AM20" s="36"/>
      <c r="AN20" s="36"/>
      <c r="AO20" s="36"/>
      <c r="AP20" s="36"/>
      <c r="AQ20" s="36"/>
      <c r="AR20" s="36"/>
      <c r="AS20" s="36"/>
      <c r="AT20" s="36"/>
      <c r="AU20" s="36"/>
      <c r="AV20" s="36"/>
      <c r="AW20" s="36"/>
      <c r="AX20" s="38"/>
      <c r="AY20" s="23"/>
      <c r="AZ20" s="23"/>
      <c r="BA20" s="23"/>
      <c r="BB20" s="23"/>
      <c r="BC20" s="23"/>
      <c r="BD20" s="23"/>
      <c r="BE20" s="23"/>
      <c r="BF20" s="23"/>
      <c r="BG20" s="23"/>
      <c r="BH20" s="23"/>
      <c r="BJ20" s="70"/>
      <c r="BK20" s="39"/>
      <c r="BL20" s="39"/>
      <c r="BM20" s="39"/>
      <c r="BN20" s="39"/>
      <c r="BO20" s="39"/>
      <c r="BP20" s="39"/>
      <c r="BQ20" s="108"/>
      <c r="BR20" s="108"/>
      <c r="BS20" s="108"/>
      <c r="BT20" s="108"/>
      <c r="BU20" s="108"/>
      <c r="BV20" s="108"/>
      <c r="BW20" s="108"/>
      <c r="BX20" s="40"/>
      <c r="CF20" s="70"/>
      <c r="CG20" s="39"/>
      <c r="CH20" s="39"/>
      <c r="CI20" s="39"/>
      <c r="CJ20" s="39"/>
      <c r="CK20" s="39"/>
      <c r="CL20" s="39"/>
      <c r="CM20" s="40"/>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X21" s="23"/>
      <c r="Y21" s="23"/>
      <c r="Z21" s="23"/>
      <c r="AA21" s="23"/>
      <c r="AB21" s="23"/>
      <c r="AC21" s="23"/>
      <c r="AD21" s="23"/>
      <c r="AE21" s="23"/>
      <c r="AG21" s="34"/>
      <c r="AH21" s="36"/>
      <c r="AI21" s="36"/>
      <c r="AJ21" s="36"/>
      <c r="AK21" s="36"/>
      <c r="AL21" s="36"/>
      <c r="AM21" s="36"/>
      <c r="AN21" s="36"/>
      <c r="AO21" s="36"/>
      <c r="AP21" s="36"/>
      <c r="AQ21" s="36"/>
      <c r="AR21" s="36"/>
      <c r="AS21" s="36"/>
      <c r="AT21" s="36"/>
      <c r="AU21" s="36"/>
      <c r="AV21" s="36"/>
      <c r="AW21" s="36"/>
      <c r="AX21" s="38"/>
      <c r="AY21" s="23"/>
      <c r="AZ21" s="23"/>
      <c r="BA21" s="23"/>
      <c r="BB21" s="23"/>
      <c r="BC21" s="23"/>
      <c r="BD21" s="23"/>
      <c r="BE21" s="23"/>
      <c r="BF21" s="23"/>
      <c r="BG21" s="23"/>
      <c r="BH21" s="23"/>
      <c r="BJ21" s="41"/>
      <c r="BK21" s="42"/>
      <c r="BL21" s="42"/>
      <c r="BM21" s="42"/>
      <c r="BN21" s="42"/>
      <c r="BO21" s="42"/>
      <c r="BP21" s="42"/>
      <c r="BQ21" s="109"/>
      <c r="BR21" s="109"/>
      <c r="BS21" s="109"/>
      <c r="BT21" s="109"/>
      <c r="BU21" s="109"/>
      <c r="BV21" s="109"/>
      <c r="BW21" s="109"/>
      <c r="BX21" s="71"/>
      <c r="CF21" s="41"/>
      <c r="CG21" s="42"/>
      <c r="CH21" s="42"/>
      <c r="CI21" s="42"/>
      <c r="CJ21" s="42"/>
      <c r="CK21" s="42"/>
      <c r="CL21" s="42"/>
      <c r="CM21" s="71"/>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Y22" s="12"/>
      <c r="Z22" s="12"/>
      <c r="AA22" s="12"/>
      <c r="AB22" s="12"/>
      <c r="AC22" s="12"/>
      <c r="AD22" s="12"/>
      <c r="AE22" s="23"/>
      <c r="AG22" s="34"/>
      <c r="AH22" s="36"/>
      <c r="AI22" s="36"/>
      <c r="AJ22" s="36"/>
      <c r="AK22" s="36"/>
      <c r="AL22" s="36"/>
      <c r="AM22" s="36"/>
      <c r="AN22" s="36"/>
      <c r="AO22" s="36"/>
      <c r="AP22" s="36"/>
      <c r="AQ22" s="36"/>
      <c r="AR22" s="36"/>
      <c r="AS22" s="36"/>
      <c r="AT22" s="36"/>
      <c r="AU22" s="36"/>
      <c r="AV22" s="39"/>
      <c r="AW22" s="39"/>
      <c r="AX22" s="40"/>
      <c r="AY22" s="23"/>
      <c r="AZ22" s="23"/>
      <c r="BA22" s="23"/>
      <c r="BB22" s="12"/>
      <c r="BC22" s="23"/>
      <c r="BD22" s="23"/>
      <c r="BE22" s="23"/>
      <c r="BF22" s="23"/>
      <c r="BG22" s="23"/>
      <c r="BH22" s="23"/>
      <c r="CA22" s="23"/>
      <c r="CB22" s="23"/>
      <c r="CC22" s="23"/>
      <c r="CD22" s="23"/>
      <c r="CE22" s="23"/>
      <c r="CF22" s="2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V23" s="12"/>
      <c r="W23" s="12"/>
      <c r="X23" s="12"/>
      <c r="Y23" s="12"/>
      <c r="Z23" s="12"/>
      <c r="AA23" s="12"/>
      <c r="AB23" s="12"/>
      <c r="AC23" s="12"/>
      <c r="AD23" s="12"/>
      <c r="AE23" s="23"/>
      <c r="AG23" s="41"/>
      <c r="AH23" s="42"/>
      <c r="AI23" s="42"/>
      <c r="AJ23" s="42"/>
      <c r="AK23" s="43"/>
      <c r="AL23" s="42"/>
      <c r="AM23" s="42"/>
      <c r="AN23" s="42"/>
      <c r="AO23" s="42"/>
      <c r="AP23" s="42"/>
      <c r="AQ23" s="42"/>
      <c r="AR23" s="42"/>
      <c r="AS23" s="42"/>
      <c r="AT23" s="42"/>
      <c r="AU23" s="42"/>
      <c r="AV23" s="44"/>
      <c r="AW23" s="44"/>
      <c r="AX23" s="45"/>
      <c r="AY23" s="23"/>
      <c r="AZ23" s="23"/>
      <c r="BA23" s="23"/>
      <c r="BB23" s="23"/>
      <c r="BC23" s="23"/>
      <c r="BD23" s="23"/>
      <c r="BE23" s="23"/>
      <c r="BF23" s="23"/>
      <c r="BG23" s="23"/>
      <c r="BH23" s="23"/>
      <c r="CA23" s="23"/>
      <c r="CB23" s="23"/>
      <c r="CC23" s="23"/>
      <c r="CD23" s="23"/>
      <c r="CE23" s="23"/>
      <c r="CF23" s="23"/>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CA24" s="23"/>
      <c r="CB24" s="23"/>
      <c r="CC24" s="23"/>
      <c r="CD24" s="23"/>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BA25" s="12"/>
      <c r="BB25" s="12"/>
      <c r="BC25" s="12"/>
      <c r="BD25" s="12"/>
      <c r="BE25" s="12"/>
      <c r="BF25" s="12"/>
      <c r="BG25" s="12"/>
      <c r="CA25" s="23"/>
      <c r="CC25" s="23"/>
      <c r="CD25" s="23"/>
      <c r="CE25" s="23"/>
      <c r="CF25" s="23"/>
      <c r="CG25" s="23"/>
      <c r="CH25" s="23"/>
      <c r="CI25" s="23"/>
      <c r="CJ25" s="23"/>
      <c r="CK25" s="23"/>
      <c r="CL25" s="23"/>
      <c r="CM25" s="23"/>
      <c r="CN25" s="23"/>
      <c r="CO25" s="23"/>
      <c r="CP25" s="23"/>
      <c r="CQ25" s="23"/>
      <c r="CR25" s="24"/>
    </row>
    <row r="26" spans="1:96" s="13" customFormat="1" ht="15" customHeight="1" x14ac:dyDescent="0.15">
      <c r="A26" s="22"/>
      <c r="B26" s="23"/>
      <c r="C26" s="31" t="s">
        <v>126</v>
      </c>
      <c r="D26" s="32"/>
      <c r="E26" s="32"/>
      <c r="F26" s="32"/>
      <c r="G26" s="32"/>
      <c r="H26" s="32"/>
      <c r="I26" s="32"/>
      <c r="J26" s="32"/>
      <c r="K26" s="32"/>
      <c r="L26" s="32"/>
      <c r="M26" s="32"/>
      <c r="N26" s="32"/>
      <c r="O26" s="32"/>
      <c r="P26" s="32"/>
      <c r="Q26" s="32"/>
      <c r="R26" s="32"/>
      <c r="S26" s="32"/>
      <c r="T26" s="33"/>
      <c r="U26" s="12"/>
      <c r="V26" s="12"/>
      <c r="W26" s="12"/>
      <c r="X26" s="12"/>
      <c r="Y26" s="12"/>
      <c r="Z26" s="12"/>
      <c r="AA26" s="12"/>
      <c r="AB26" s="12"/>
      <c r="AC26" s="12"/>
      <c r="AD26" s="12"/>
      <c r="AE26" s="12"/>
      <c r="AF26" s="12"/>
      <c r="AG26" s="31" t="s">
        <v>70</v>
      </c>
      <c r="AH26" s="32"/>
      <c r="AI26" s="32"/>
      <c r="AJ26" s="32"/>
      <c r="AK26" s="32"/>
      <c r="AL26" s="32"/>
      <c r="AM26" s="32"/>
      <c r="AN26" s="32"/>
      <c r="AO26" s="32"/>
      <c r="AP26" s="32"/>
      <c r="AQ26" s="32"/>
      <c r="AR26" s="32"/>
      <c r="AS26" s="32"/>
      <c r="AT26" s="32"/>
      <c r="AU26" s="32"/>
      <c r="AV26" s="32"/>
      <c r="AW26" s="32"/>
      <c r="AX26" s="33"/>
      <c r="AY26" s="12"/>
      <c r="AZ26" s="12"/>
      <c r="BA26" s="12"/>
      <c r="BB26" s="12"/>
      <c r="BC26" s="12"/>
      <c r="BD26" s="12"/>
      <c r="BE26" s="12"/>
      <c r="BF26" s="12"/>
      <c r="BG26" s="12"/>
      <c r="CA26" s="23"/>
      <c r="CB26" s="23"/>
      <c r="CC26" s="46"/>
      <c r="CD26" s="23"/>
      <c r="CE26" s="23"/>
      <c r="CF26" s="23"/>
      <c r="CG26" s="23"/>
      <c r="CH26" s="23"/>
      <c r="CI26" s="23"/>
      <c r="CJ26" s="23"/>
      <c r="CK26" s="23"/>
      <c r="CL26" s="23"/>
      <c r="CM26" s="23"/>
      <c r="CN26" s="23"/>
      <c r="CO26" s="23"/>
      <c r="CP26" s="23"/>
      <c r="CQ26" s="23"/>
      <c r="CR26" s="24"/>
    </row>
    <row r="27" spans="1:96" s="13" customFormat="1" ht="15" customHeight="1" x14ac:dyDescent="0.15">
      <c r="A27" s="22"/>
      <c r="B27" s="23"/>
      <c r="C27" s="34"/>
      <c r="D27" s="35" t="s">
        <v>67</v>
      </c>
      <c r="E27" s="36"/>
      <c r="F27" s="36"/>
      <c r="G27" s="36"/>
      <c r="H27" s="36"/>
      <c r="I27" s="36"/>
      <c r="J27" s="36"/>
      <c r="K27" s="36"/>
      <c r="L27" s="36"/>
      <c r="M27" s="36"/>
      <c r="N27" s="36"/>
      <c r="O27" s="36"/>
      <c r="P27" s="36"/>
      <c r="Q27" s="36"/>
      <c r="R27" s="37"/>
      <c r="S27" s="36"/>
      <c r="T27" s="38"/>
      <c r="U27" s="12"/>
      <c r="V27" s="12"/>
      <c r="W27" s="12"/>
      <c r="X27" s="12"/>
      <c r="Y27" s="12"/>
      <c r="Z27" s="12"/>
      <c r="AA27" s="12"/>
      <c r="AB27" s="12"/>
      <c r="AC27" s="12"/>
      <c r="AD27" s="12"/>
      <c r="AE27" s="12"/>
      <c r="AF27" s="12"/>
      <c r="AG27" s="34"/>
      <c r="AH27" s="35" t="s">
        <v>109</v>
      </c>
      <c r="AI27" s="36"/>
      <c r="AJ27" s="36"/>
      <c r="AK27" s="36"/>
      <c r="AL27" s="36"/>
      <c r="AM27" s="36"/>
      <c r="AN27" s="36"/>
      <c r="AO27" s="36"/>
      <c r="AP27" s="36"/>
      <c r="AQ27" s="36"/>
      <c r="AR27" s="36"/>
      <c r="AS27" s="36"/>
      <c r="AT27" s="36"/>
      <c r="AU27" s="36"/>
      <c r="AV27" s="37"/>
      <c r="AW27" s="36"/>
      <c r="AX27" s="38"/>
      <c r="AY27" s="12"/>
      <c r="AZ27" s="12"/>
      <c r="BA27" s="12"/>
      <c r="BB27" s="12"/>
      <c r="BC27" s="12"/>
      <c r="BD27" s="12"/>
      <c r="BE27" s="12"/>
      <c r="BF27" s="12"/>
      <c r="BG27" s="12"/>
      <c r="BJ27" s="25" t="s">
        <v>49</v>
      </c>
      <c r="CA27" s="23"/>
      <c r="CB27" s="23"/>
      <c r="CC27" s="23"/>
      <c r="CD27" s="23"/>
      <c r="CE27" s="23"/>
      <c r="CF27" s="23"/>
      <c r="CG27" s="23"/>
      <c r="CH27" s="23"/>
      <c r="CI27" s="23"/>
      <c r="CJ27" s="23"/>
      <c r="CK27" s="23"/>
      <c r="CL27" s="23"/>
      <c r="CM27" s="23"/>
      <c r="CN27" s="23"/>
      <c r="CO27" s="23"/>
      <c r="CP27" s="23"/>
      <c r="CQ27" s="23"/>
      <c r="CR27" s="24"/>
    </row>
    <row r="28" spans="1:96" s="13" customFormat="1" ht="15" customHeight="1" x14ac:dyDescent="0.15">
      <c r="A28" s="22"/>
      <c r="B28" s="23"/>
      <c r="C28" s="34"/>
      <c r="D28" s="36"/>
      <c r="E28" s="36"/>
      <c r="F28" s="36"/>
      <c r="G28" s="36"/>
      <c r="H28" s="36"/>
      <c r="I28" s="36"/>
      <c r="J28" s="36"/>
      <c r="K28" s="36"/>
      <c r="L28" s="36"/>
      <c r="M28" s="36"/>
      <c r="N28" s="36"/>
      <c r="O28" s="36"/>
      <c r="P28" s="36"/>
      <c r="Q28" s="39"/>
      <c r="R28" s="37"/>
      <c r="S28" s="36"/>
      <c r="T28" s="38"/>
      <c r="U28" s="12"/>
      <c r="V28" s="21" t="s">
        <v>71</v>
      </c>
      <c r="W28" s="23"/>
      <c r="X28" s="23"/>
      <c r="Y28" s="23"/>
      <c r="Z28" s="23"/>
      <c r="AA28" s="23"/>
      <c r="AB28" s="23"/>
      <c r="AC28" s="23"/>
      <c r="AD28" s="23"/>
      <c r="AE28" s="12"/>
      <c r="AG28" s="34"/>
      <c r="AH28" s="36"/>
      <c r="AI28" s="36"/>
      <c r="AJ28" s="36"/>
      <c r="AK28" s="36"/>
      <c r="AL28" s="36"/>
      <c r="AM28" s="36"/>
      <c r="AN28" s="36"/>
      <c r="AO28" s="36"/>
      <c r="AP28" s="36"/>
      <c r="AQ28" s="36"/>
      <c r="AR28" s="36"/>
      <c r="AS28" s="36"/>
      <c r="AT28" s="36"/>
      <c r="AU28" s="39"/>
      <c r="AV28" s="37"/>
      <c r="AW28" s="36"/>
      <c r="AX28" s="38"/>
      <c r="AY28" s="12"/>
      <c r="AZ28" s="25" t="s">
        <v>415</v>
      </c>
      <c r="BA28" s="12"/>
      <c r="BB28" s="12"/>
      <c r="BC28" s="12"/>
      <c r="BD28" s="12"/>
      <c r="BE28" s="12"/>
      <c r="BF28" s="12"/>
      <c r="BG28" s="12"/>
      <c r="BJ28" s="72" t="s">
        <v>131</v>
      </c>
      <c r="BK28" s="32"/>
      <c r="BL28" s="32"/>
      <c r="BM28" s="32"/>
      <c r="BN28" s="32"/>
      <c r="BO28" s="32"/>
      <c r="BP28" s="32"/>
      <c r="BQ28" s="33"/>
      <c r="CA28" s="12"/>
      <c r="CB28" s="12"/>
      <c r="CC28" s="12"/>
      <c r="CD28" s="12"/>
      <c r="CE28" s="23"/>
      <c r="CF28" s="23"/>
      <c r="CG28" s="23"/>
      <c r="CH28" s="23"/>
      <c r="CI28" s="23"/>
      <c r="CJ28" s="23"/>
      <c r="CK28" s="23"/>
      <c r="CL28" s="23"/>
      <c r="CM28" s="23"/>
      <c r="CN28" s="23"/>
      <c r="CO28" s="23"/>
      <c r="CP28" s="23"/>
      <c r="CQ28" s="23"/>
      <c r="CR28" s="24"/>
    </row>
    <row r="29" spans="1:96" s="13" customFormat="1" ht="15" customHeight="1" x14ac:dyDescent="0.15">
      <c r="A29" s="22"/>
      <c r="B29" s="23"/>
      <c r="C29" s="34"/>
      <c r="D29" s="36"/>
      <c r="E29" s="36"/>
      <c r="F29" s="36"/>
      <c r="G29" s="36"/>
      <c r="H29" s="36"/>
      <c r="I29" s="36"/>
      <c r="J29" s="36"/>
      <c r="K29" s="36"/>
      <c r="L29" s="36"/>
      <c r="M29" s="36"/>
      <c r="N29" s="36"/>
      <c r="O29" s="36"/>
      <c r="P29" s="36"/>
      <c r="Q29" s="36"/>
      <c r="R29" s="36"/>
      <c r="S29" s="36"/>
      <c r="T29" s="38"/>
      <c r="U29" s="12"/>
      <c r="V29" s="25" t="s">
        <v>72</v>
      </c>
      <c r="W29" s="23"/>
      <c r="X29" s="23"/>
      <c r="Y29" s="12"/>
      <c r="Z29" s="12"/>
      <c r="AA29" s="12"/>
      <c r="AB29" s="12"/>
      <c r="AC29" s="12"/>
      <c r="AD29" s="12"/>
      <c r="AE29" s="12"/>
      <c r="AG29" s="34"/>
      <c r="AH29" s="36"/>
      <c r="AI29" s="36"/>
      <c r="AJ29" s="36"/>
      <c r="AK29" s="36"/>
      <c r="AL29" s="36"/>
      <c r="AM29" s="36"/>
      <c r="AN29" s="36"/>
      <c r="AO29" s="36"/>
      <c r="AP29" s="36"/>
      <c r="AQ29" s="36"/>
      <c r="AR29" s="36"/>
      <c r="AS29" s="36"/>
      <c r="AT29" s="36"/>
      <c r="AU29" s="36"/>
      <c r="AV29" s="36"/>
      <c r="AW29" s="36"/>
      <c r="AX29" s="38"/>
      <c r="AY29" s="12"/>
      <c r="AZ29" s="21"/>
      <c r="BA29" s="12"/>
      <c r="BB29" s="12"/>
      <c r="BC29" s="12"/>
      <c r="BD29" s="12"/>
      <c r="BE29" s="12"/>
      <c r="BF29" s="12"/>
      <c r="BG29" s="12"/>
      <c r="BJ29" s="34"/>
      <c r="BK29" s="36"/>
      <c r="BL29" s="36"/>
      <c r="BM29" s="36"/>
      <c r="BN29" s="36"/>
      <c r="BO29" s="36"/>
      <c r="BP29" s="36"/>
      <c r="BQ29" s="38"/>
      <c r="CA29" s="12"/>
      <c r="CB29" s="12"/>
      <c r="CC29" s="12"/>
      <c r="CD29" s="12"/>
      <c r="CE29" s="12"/>
      <c r="CF29" s="12"/>
      <c r="CG29" s="12"/>
      <c r="CH29" s="12"/>
      <c r="CI29" s="12"/>
      <c r="CJ29" s="12"/>
      <c r="CK29" s="12"/>
      <c r="CL29" s="12"/>
      <c r="CM29" s="12"/>
      <c r="CN29" s="12"/>
      <c r="CO29" s="12"/>
      <c r="CP29" s="12"/>
      <c r="CQ29" s="12"/>
      <c r="CR29" s="24"/>
    </row>
    <row r="30" spans="1:96" s="13" customFormat="1" ht="15" customHeight="1" x14ac:dyDescent="0.15">
      <c r="A30" s="22"/>
      <c r="B30" s="23"/>
      <c r="C30" s="34"/>
      <c r="D30" s="36"/>
      <c r="E30" s="36"/>
      <c r="F30" s="36"/>
      <c r="G30" s="36"/>
      <c r="H30" s="36"/>
      <c r="I30" s="36"/>
      <c r="J30" s="36"/>
      <c r="K30" s="36"/>
      <c r="L30" s="36"/>
      <c r="M30" s="36"/>
      <c r="N30" s="36"/>
      <c r="O30" s="36"/>
      <c r="P30" s="36"/>
      <c r="Q30" s="36"/>
      <c r="R30" s="36"/>
      <c r="S30" s="36"/>
      <c r="T30" s="38"/>
      <c r="U30" s="12"/>
      <c r="V30" s="23"/>
      <c r="W30" s="23"/>
      <c r="X30" s="23"/>
      <c r="Y30" s="12"/>
      <c r="Z30" s="12"/>
      <c r="AA30" s="12"/>
      <c r="AB30" s="12"/>
      <c r="AC30" s="12"/>
      <c r="AD30" s="12"/>
      <c r="AE30" s="12"/>
      <c r="AG30" s="34"/>
      <c r="AH30" s="36"/>
      <c r="AI30" s="36"/>
      <c r="AJ30" s="36"/>
      <c r="AK30" s="36"/>
      <c r="AL30" s="36"/>
      <c r="AM30" s="36"/>
      <c r="AN30" s="36"/>
      <c r="AO30" s="36"/>
      <c r="AP30" s="36"/>
      <c r="AQ30" s="36"/>
      <c r="AR30" s="36"/>
      <c r="AS30" s="36"/>
      <c r="AT30" s="36"/>
      <c r="AU30" s="36"/>
      <c r="AV30" s="36"/>
      <c r="AW30" s="36"/>
      <c r="AX30" s="38"/>
      <c r="AY30" s="12"/>
      <c r="AZ30" s="12"/>
      <c r="BA30" s="12"/>
      <c r="BB30" s="12"/>
      <c r="BC30" s="12"/>
      <c r="BD30" s="12"/>
      <c r="BE30" s="12"/>
      <c r="BF30" s="12"/>
      <c r="BG30" s="12"/>
      <c r="BJ30" s="34"/>
      <c r="BK30" s="36"/>
      <c r="BL30" s="36"/>
      <c r="BM30" s="36"/>
      <c r="BN30" s="36"/>
      <c r="BO30" s="36"/>
      <c r="BP30" s="36"/>
      <c r="BQ30" s="38"/>
      <c r="CA30" s="23"/>
      <c r="CB30" s="23"/>
      <c r="CC30" s="23"/>
      <c r="CD30" s="12"/>
      <c r="CE30" s="12"/>
      <c r="CF30" s="12"/>
      <c r="CG30" s="12"/>
      <c r="CH30" s="12"/>
      <c r="CI30" s="12"/>
      <c r="CJ30" s="12"/>
      <c r="CK30" s="12"/>
      <c r="CL30" s="12"/>
      <c r="CM30" s="12"/>
      <c r="CN30" s="12"/>
      <c r="CO30" s="12"/>
      <c r="CP30" s="12"/>
      <c r="CQ30" s="12"/>
      <c r="CR30" s="24"/>
    </row>
    <row r="31" spans="1:96" s="13" customFormat="1" ht="15" customHeight="1" x14ac:dyDescent="0.15">
      <c r="A31" s="22"/>
      <c r="B31" s="23"/>
      <c r="C31" s="34"/>
      <c r="D31" s="36"/>
      <c r="E31" s="36"/>
      <c r="F31" s="36"/>
      <c r="G31" s="36"/>
      <c r="H31" s="36"/>
      <c r="I31" s="36"/>
      <c r="J31" s="36"/>
      <c r="K31" s="36"/>
      <c r="L31" s="36"/>
      <c r="M31" s="36"/>
      <c r="N31" s="36"/>
      <c r="O31" s="36"/>
      <c r="P31" s="36"/>
      <c r="Q31" s="36"/>
      <c r="R31" s="36"/>
      <c r="S31" s="36"/>
      <c r="T31" s="38"/>
      <c r="U31" s="12"/>
      <c r="V31" s="12"/>
      <c r="X31" s="23"/>
      <c r="Y31" s="12"/>
      <c r="Z31" s="12"/>
      <c r="AA31" s="12"/>
      <c r="AB31" s="12"/>
      <c r="AC31" s="12"/>
      <c r="AD31" s="12"/>
      <c r="AE31" s="12"/>
      <c r="AG31" s="34"/>
      <c r="AH31" s="36"/>
      <c r="AI31" s="36"/>
      <c r="AJ31" s="36"/>
      <c r="AK31" s="36"/>
      <c r="AL31" s="36"/>
      <c r="AM31" s="36"/>
      <c r="AN31" s="36"/>
      <c r="AO31" s="36"/>
      <c r="AP31" s="36"/>
      <c r="AQ31" s="36"/>
      <c r="AR31" s="36"/>
      <c r="AS31" s="36"/>
      <c r="AT31" s="36"/>
      <c r="AU31" s="36"/>
      <c r="AV31" s="36"/>
      <c r="AW31" s="36"/>
      <c r="AX31" s="38"/>
      <c r="AY31" s="12"/>
      <c r="AZ31" s="12"/>
      <c r="BA31" s="12"/>
      <c r="BB31" s="12"/>
      <c r="BC31" s="12"/>
      <c r="BD31" s="12"/>
      <c r="BE31" s="12"/>
      <c r="BF31" s="12"/>
      <c r="BG31" s="12"/>
      <c r="BJ31" s="34"/>
      <c r="BK31" s="36"/>
      <c r="BL31" s="36"/>
      <c r="BM31" s="36"/>
      <c r="BN31" s="36"/>
      <c r="BO31" s="36"/>
      <c r="BP31" s="36"/>
      <c r="BQ31" s="38"/>
      <c r="CA31" s="23"/>
      <c r="CB31" s="12"/>
      <c r="CC31" s="12"/>
      <c r="CD31" s="12"/>
      <c r="CE31" s="23"/>
      <c r="CF31" s="23"/>
      <c r="CG31" s="23"/>
      <c r="CH31" s="23"/>
      <c r="CI31" s="23"/>
      <c r="CJ31" s="23"/>
      <c r="CK31" s="23"/>
      <c r="CL31" s="23"/>
      <c r="CM31" s="23"/>
      <c r="CN31" s="23"/>
      <c r="CO31" s="23"/>
      <c r="CP31" s="23"/>
      <c r="CQ31" s="23"/>
      <c r="CR31" s="24"/>
    </row>
    <row r="32" spans="1:96" s="13" customFormat="1" ht="15" customHeight="1" x14ac:dyDescent="0.15">
      <c r="A32" s="22"/>
      <c r="B32" s="23"/>
      <c r="C32" s="34"/>
      <c r="D32" s="36"/>
      <c r="E32" s="36"/>
      <c r="F32" s="36"/>
      <c r="G32" s="36"/>
      <c r="H32" s="36"/>
      <c r="I32" s="36"/>
      <c r="J32" s="36"/>
      <c r="K32" s="36"/>
      <c r="L32" s="36"/>
      <c r="M32" s="36"/>
      <c r="N32" s="36"/>
      <c r="O32" s="36"/>
      <c r="P32" s="36"/>
      <c r="Q32" s="36"/>
      <c r="R32" s="36"/>
      <c r="S32" s="36"/>
      <c r="T32" s="38"/>
      <c r="U32" s="12"/>
      <c r="V32" s="23"/>
      <c r="W32" s="23"/>
      <c r="X32" s="23"/>
      <c r="Y32" s="12"/>
      <c r="Z32" s="12"/>
      <c r="AA32" s="12"/>
      <c r="AB32" s="12"/>
      <c r="AC32" s="12"/>
      <c r="AD32" s="12"/>
      <c r="AE32" s="12"/>
      <c r="AG32" s="34"/>
      <c r="AH32" s="36"/>
      <c r="AI32" s="36"/>
      <c r="AJ32" s="36"/>
      <c r="AK32" s="36"/>
      <c r="AL32" s="36"/>
      <c r="AM32" s="36"/>
      <c r="AN32" s="36"/>
      <c r="AO32" s="36"/>
      <c r="AP32" s="36"/>
      <c r="AQ32" s="36"/>
      <c r="AR32" s="36"/>
      <c r="AS32" s="36"/>
      <c r="AT32" s="36"/>
      <c r="AU32" s="36"/>
      <c r="AV32" s="36"/>
      <c r="AW32" s="36"/>
      <c r="AX32" s="38"/>
      <c r="AY32" s="12"/>
      <c r="AZ32" s="12"/>
      <c r="BA32" s="12"/>
      <c r="BB32" s="12"/>
      <c r="BC32" s="12"/>
      <c r="BD32" s="12"/>
      <c r="BE32" s="12"/>
      <c r="BF32" s="12"/>
      <c r="BG32" s="12"/>
      <c r="BJ32" s="70"/>
      <c r="BK32" s="39"/>
      <c r="BL32" s="39"/>
      <c r="BM32" s="39"/>
      <c r="BN32" s="39"/>
      <c r="BO32" s="39"/>
      <c r="BP32" s="39"/>
      <c r="BQ32" s="40"/>
      <c r="CA32" s="23"/>
      <c r="CB32" s="12"/>
      <c r="CC32" s="12"/>
      <c r="CD32" s="12"/>
      <c r="CE32" s="23"/>
      <c r="CF32" s="23"/>
      <c r="CG32" s="23"/>
      <c r="CH32" s="23"/>
      <c r="CI32" s="23"/>
      <c r="CJ32" s="23"/>
      <c r="CK32" s="23"/>
      <c r="CL32" s="23"/>
      <c r="CM32" s="23"/>
      <c r="CN32" s="23"/>
      <c r="CO32" s="23"/>
      <c r="CP32" s="23"/>
      <c r="CQ32" s="23"/>
      <c r="CR32" s="24"/>
    </row>
    <row r="33" spans="1:96" s="13" customFormat="1" ht="15" customHeight="1" x14ac:dyDescent="0.15">
      <c r="A33" s="22"/>
      <c r="B33" s="23"/>
      <c r="C33" s="34"/>
      <c r="D33" s="36"/>
      <c r="E33" s="36"/>
      <c r="F33" s="36"/>
      <c r="G33" s="36"/>
      <c r="H33" s="36"/>
      <c r="I33" s="36"/>
      <c r="J33" s="36"/>
      <c r="K33" s="36"/>
      <c r="L33" s="36"/>
      <c r="M33" s="36"/>
      <c r="N33" s="36"/>
      <c r="O33" s="36"/>
      <c r="P33" s="36"/>
      <c r="Q33" s="36"/>
      <c r="R33" s="36"/>
      <c r="S33" s="36"/>
      <c r="T33" s="38"/>
      <c r="U33" s="12"/>
      <c r="V33" s="21"/>
      <c r="W33" s="23"/>
      <c r="X33" s="23"/>
      <c r="Y33" s="23"/>
      <c r="Z33" s="23"/>
      <c r="AA33" s="23"/>
      <c r="AB33" s="23"/>
      <c r="AC33" s="23"/>
      <c r="AD33" s="23"/>
      <c r="AE33" s="23"/>
      <c r="AG33" s="34"/>
      <c r="AH33" s="36"/>
      <c r="AI33" s="36"/>
      <c r="AJ33" s="36"/>
      <c r="AK33" s="36"/>
      <c r="AL33" s="36"/>
      <c r="AM33" s="36"/>
      <c r="AN33" s="36"/>
      <c r="AO33" s="36"/>
      <c r="AP33" s="36"/>
      <c r="AQ33" s="36"/>
      <c r="AR33" s="36"/>
      <c r="AS33" s="36"/>
      <c r="AT33" s="36"/>
      <c r="AU33" s="36"/>
      <c r="AV33" s="36"/>
      <c r="AW33" s="36"/>
      <c r="AX33" s="38"/>
      <c r="AY33" s="12"/>
      <c r="AZ33" s="12"/>
      <c r="BA33" s="12"/>
      <c r="BB33" s="12"/>
      <c r="BC33" s="12"/>
      <c r="BD33" s="12"/>
      <c r="BE33" s="12"/>
      <c r="BF33" s="12"/>
      <c r="BG33" s="12"/>
      <c r="BJ33" s="70"/>
      <c r="BK33" s="39"/>
      <c r="BL33" s="39"/>
      <c r="BM33" s="39"/>
      <c r="BN33" s="39"/>
      <c r="BO33" s="39"/>
      <c r="BP33" s="39"/>
      <c r="BQ33" s="40"/>
      <c r="CA33" s="23"/>
      <c r="CB33" s="12"/>
      <c r="CC33" s="12"/>
      <c r="CD33" s="12"/>
      <c r="CE33" s="23"/>
      <c r="CF33" s="23"/>
      <c r="CG33" s="23"/>
      <c r="CH33" s="23"/>
      <c r="CI33" s="23"/>
      <c r="CJ33" s="23"/>
      <c r="CK33" s="23"/>
      <c r="CL33" s="23"/>
      <c r="CM33" s="23"/>
      <c r="CN33" s="23"/>
      <c r="CO33" s="23"/>
      <c r="CP33" s="23"/>
      <c r="CQ33" s="23"/>
      <c r="CR33" s="24"/>
    </row>
    <row r="34" spans="1:96" s="13" customFormat="1" ht="15" customHeight="1" x14ac:dyDescent="0.15">
      <c r="A34" s="22"/>
      <c r="B34" s="23"/>
      <c r="C34" s="34"/>
      <c r="D34" s="36"/>
      <c r="E34" s="36"/>
      <c r="F34" s="36"/>
      <c r="G34" s="36"/>
      <c r="H34" s="36"/>
      <c r="I34" s="36"/>
      <c r="J34" s="36"/>
      <c r="K34" s="36"/>
      <c r="L34" s="36"/>
      <c r="M34" s="36"/>
      <c r="N34" s="36"/>
      <c r="O34" s="36"/>
      <c r="P34" s="36"/>
      <c r="Q34" s="36"/>
      <c r="R34" s="36"/>
      <c r="S34" s="36"/>
      <c r="T34" s="38"/>
      <c r="U34" s="12"/>
      <c r="X34" s="23"/>
      <c r="Y34" s="23"/>
      <c r="Z34" s="23"/>
      <c r="AA34" s="23"/>
      <c r="AB34" s="23"/>
      <c r="AC34" s="23"/>
      <c r="AD34" s="23"/>
      <c r="AE34" s="23"/>
      <c r="AG34" s="34"/>
      <c r="AH34" s="36"/>
      <c r="AI34" s="36"/>
      <c r="AJ34" s="36"/>
      <c r="AK34" s="36"/>
      <c r="AL34" s="36"/>
      <c r="AM34" s="36"/>
      <c r="AN34" s="36"/>
      <c r="AO34" s="36"/>
      <c r="AP34" s="36"/>
      <c r="AQ34" s="36"/>
      <c r="AR34" s="36"/>
      <c r="AS34" s="36"/>
      <c r="AT34" s="36"/>
      <c r="AU34" s="36"/>
      <c r="AV34" s="36"/>
      <c r="AW34" s="36"/>
      <c r="AX34" s="38"/>
      <c r="AY34" s="12"/>
      <c r="AZ34" s="12"/>
      <c r="BA34" s="12"/>
      <c r="BB34" s="12"/>
      <c r="BC34" s="12"/>
      <c r="BD34" s="12"/>
      <c r="BE34" s="12"/>
      <c r="BF34" s="12"/>
      <c r="BG34" s="12"/>
      <c r="BJ34" s="41"/>
      <c r="BK34" s="42"/>
      <c r="BL34" s="42"/>
      <c r="BM34" s="42"/>
      <c r="BN34" s="42"/>
      <c r="BO34" s="42"/>
      <c r="BP34" s="42"/>
      <c r="BQ34" s="71"/>
      <c r="CA34" s="23"/>
      <c r="CB34" s="12"/>
      <c r="CC34" s="12"/>
      <c r="CD34" s="12"/>
      <c r="CE34" s="23"/>
      <c r="CF34" s="23"/>
      <c r="CG34" s="23"/>
      <c r="CH34" s="23"/>
      <c r="CI34" s="23"/>
      <c r="CJ34" s="23"/>
      <c r="CK34" s="23"/>
      <c r="CL34" s="23"/>
      <c r="CM34" s="23"/>
      <c r="CN34" s="23"/>
      <c r="CO34" s="23"/>
      <c r="CP34" s="23"/>
      <c r="CQ34" s="23"/>
      <c r="CR34" s="24"/>
    </row>
    <row r="35" spans="1:96" s="13" customFormat="1" ht="15" customHeight="1" x14ac:dyDescent="0.15">
      <c r="A35" s="22"/>
      <c r="B35" s="23"/>
      <c r="C35" s="34"/>
      <c r="D35" s="36"/>
      <c r="E35" s="36"/>
      <c r="F35" s="36"/>
      <c r="G35" s="36"/>
      <c r="H35" s="36"/>
      <c r="I35" s="36"/>
      <c r="J35" s="36"/>
      <c r="K35" s="36"/>
      <c r="L35" s="36"/>
      <c r="M35" s="36"/>
      <c r="N35" s="36"/>
      <c r="O35" s="36"/>
      <c r="P35" s="36"/>
      <c r="Q35" s="36"/>
      <c r="R35" s="39"/>
      <c r="S35" s="39"/>
      <c r="T35" s="40"/>
      <c r="U35" s="12"/>
      <c r="Y35" s="12"/>
      <c r="Z35" s="12"/>
      <c r="AA35" s="12"/>
      <c r="AB35" s="12"/>
      <c r="AC35" s="12"/>
      <c r="AD35" s="12"/>
      <c r="AE35" s="23"/>
      <c r="AG35" s="34"/>
      <c r="AH35" s="36"/>
      <c r="AI35" s="36"/>
      <c r="AJ35" s="36"/>
      <c r="AK35" s="36"/>
      <c r="AL35" s="36"/>
      <c r="AM35" s="36"/>
      <c r="AN35" s="36"/>
      <c r="AO35" s="36"/>
      <c r="AP35" s="36"/>
      <c r="AQ35" s="36"/>
      <c r="AR35" s="36"/>
      <c r="AS35" s="36"/>
      <c r="AT35" s="36"/>
      <c r="AU35" s="36"/>
      <c r="AV35" s="39"/>
      <c r="AW35" s="39"/>
      <c r="AX35" s="40"/>
      <c r="AY35" s="12"/>
      <c r="AZ35" s="12"/>
      <c r="BA35" s="12"/>
      <c r="BB35" s="12"/>
      <c r="BC35" s="12"/>
      <c r="BD35" s="12"/>
      <c r="BE35" s="12"/>
      <c r="BF35" s="12"/>
      <c r="BG35" s="12"/>
      <c r="CA35" s="23"/>
      <c r="CB35" s="12"/>
      <c r="CC35" s="12"/>
      <c r="CD35" s="12"/>
      <c r="CE35" s="23"/>
      <c r="CF35" s="23"/>
      <c r="CG35" s="23"/>
      <c r="CH35" s="23"/>
      <c r="CI35" s="23"/>
      <c r="CJ35" s="23"/>
      <c r="CK35" s="23"/>
      <c r="CL35" s="23"/>
      <c r="CM35" s="23"/>
      <c r="CN35" s="23"/>
      <c r="CO35" s="23"/>
      <c r="CP35" s="23"/>
      <c r="CQ35" s="23"/>
      <c r="CR35" s="24"/>
    </row>
    <row r="36" spans="1:96" s="13" customFormat="1" ht="15" customHeight="1" x14ac:dyDescent="0.15">
      <c r="A36" s="22"/>
      <c r="B36" s="23"/>
      <c r="C36" s="41"/>
      <c r="D36" s="42"/>
      <c r="E36" s="42"/>
      <c r="F36" s="42"/>
      <c r="G36" s="43"/>
      <c r="H36" s="42"/>
      <c r="I36" s="42"/>
      <c r="J36" s="42"/>
      <c r="K36" s="42"/>
      <c r="L36" s="42"/>
      <c r="M36" s="42"/>
      <c r="N36" s="42"/>
      <c r="O36" s="42"/>
      <c r="P36" s="42"/>
      <c r="Q36" s="42"/>
      <c r="R36" s="44"/>
      <c r="S36" s="44"/>
      <c r="T36" s="45"/>
      <c r="U36" s="12"/>
      <c r="V36" s="12"/>
      <c r="W36" s="12"/>
      <c r="X36" s="12"/>
      <c r="Y36" s="12"/>
      <c r="Z36" s="12"/>
      <c r="AA36" s="12"/>
      <c r="AB36" s="12"/>
      <c r="AC36" s="12"/>
      <c r="AD36" s="12"/>
      <c r="AE36" s="23"/>
      <c r="AG36" s="41"/>
      <c r="AH36" s="42"/>
      <c r="AI36" s="42"/>
      <c r="AJ36" s="42"/>
      <c r="AK36" s="43"/>
      <c r="AL36" s="42"/>
      <c r="AM36" s="42"/>
      <c r="AN36" s="42"/>
      <c r="AO36" s="42"/>
      <c r="AP36" s="42"/>
      <c r="AQ36" s="42"/>
      <c r="AR36" s="42"/>
      <c r="AS36" s="42"/>
      <c r="AT36" s="42"/>
      <c r="AU36" s="42"/>
      <c r="AV36" s="44"/>
      <c r="AW36" s="44"/>
      <c r="AX36" s="45"/>
      <c r="AY36" s="12"/>
      <c r="AZ36" s="12"/>
      <c r="BA36" s="12"/>
      <c r="BB36" s="12"/>
      <c r="BC36" s="12"/>
      <c r="BD36" s="12"/>
      <c r="BE36" s="12"/>
      <c r="BF36" s="12"/>
      <c r="BG36" s="12"/>
      <c r="CA36" s="12"/>
      <c r="CC36" s="23"/>
      <c r="CD36" s="12"/>
      <c r="CE36" s="23"/>
      <c r="CF36" s="23"/>
      <c r="CG36" s="23"/>
      <c r="CH36" s="23"/>
      <c r="CI36" s="23"/>
      <c r="CJ36" s="23"/>
      <c r="CK36" s="23"/>
      <c r="CL36" s="23"/>
      <c r="CM36" s="23"/>
      <c r="CN36" s="23"/>
      <c r="CO36" s="23"/>
      <c r="CP36" s="23"/>
      <c r="CQ36" s="23"/>
      <c r="CR36" s="24"/>
    </row>
    <row r="37" spans="1:96" s="13" customFormat="1" ht="15" customHeight="1" x14ac:dyDescent="0.15">
      <c r="A37" s="22"/>
      <c r="B37" s="23"/>
      <c r="C37" s="23"/>
      <c r="D37" s="23"/>
      <c r="E37" s="23"/>
      <c r="F37" s="23"/>
      <c r="G37" s="23"/>
      <c r="H37" s="23"/>
      <c r="I37" s="23"/>
      <c r="J37" s="23"/>
      <c r="K37" s="23"/>
      <c r="L37" s="23"/>
      <c r="M37" s="23"/>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CA37" s="12"/>
      <c r="CB37" s="23"/>
      <c r="CC37" s="46"/>
      <c r="CD37" s="12"/>
      <c r="CE37" s="23"/>
      <c r="CF37" s="23"/>
      <c r="CG37" s="23"/>
      <c r="CH37" s="23"/>
      <c r="CI37" s="23"/>
      <c r="CJ37" s="23"/>
      <c r="CK37" s="23"/>
      <c r="CL37" s="23"/>
      <c r="CM37" s="23"/>
      <c r="CN37" s="23"/>
      <c r="CO37" s="23"/>
      <c r="CP37" s="23"/>
      <c r="CQ37" s="23"/>
      <c r="CR37" s="24"/>
    </row>
    <row r="38" spans="1:96" s="13" customFormat="1" ht="15" customHeight="1" x14ac:dyDescent="0.15">
      <c r="A38" s="22"/>
      <c r="B38" s="23"/>
      <c r="C38" s="23"/>
      <c r="D38" s="23"/>
      <c r="E38" s="23"/>
      <c r="F38" s="23"/>
      <c r="G38" s="23"/>
      <c r="H38" s="23"/>
      <c r="I38" s="23"/>
      <c r="J38" s="23"/>
      <c r="K38" s="23"/>
      <c r="L38" s="23"/>
      <c r="M38" s="23"/>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CA38" s="12"/>
      <c r="CB38" s="12"/>
      <c r="CC38" s="12"/>
      <c r="CD38" s="12"/>
      <c r="CE38" s="12"/>
      <c r="CF38" s="12"/>
      <c r="CG38" s="12"/>
      <c r="CH38" s="12"/>
      <c r="CI38" s="12"/>
      <c r="CJ38" s="12"/>
      <c r="CK38" s="12"/>
      <c r="CL38" s="12"/>
      <c r="CM38" s="12"/>
      <c r="CN38" s="12"/>
      <c r="CO38" s="12"/>
      <c r="CP38" s="12"/>
      <c r="CQ38" s="12"/>
      <c r="CR38" s="24"/>
    </row>
    <row r="39" spans="1:96" s="13" customFormat="1" ht="15" customHeight="1" x14ac:dyDescent="0.15">
      <c r="A39" s="22"/>
      <c r="B39" s="23"/>
      <c r="C39" s="23"/>
      <c r="D39" s="23"/>
      <c r="E39" s="23"/>
      <c r="F39" s="23"/>
      <c r="G39" s="23"/>
      <c r="H39" s="23"/>
      <c r="I39" s="23"/>
      <c r="J39" s="23"/>
      <c r="K39" s="23"/>
      <c r="L39" s="23"/>
      <c r="M39" s="23"/>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CA39" s="23"/>
      <c r="CB39" s="23"/>
      <c r="CC39" s="23"/>
      <c r="CD39" s="12"/>
      <c r="CE39" s="23"/>
      <c r="CF39" s="23"/>
      <c r="CG39" s="23"/>
      <c r="CH39" s="23"/>
      <c r="CI39" s="23"/>
      <c r="CJ39" s="23"/>
      <c r="CK39" s="23"/>
      <c r="CL39" s="23"/>
      <c r="CM39" s="23"/>
      <c r="CN39" s="23"/>
      <c r="CO39" s="23"/>
      <c r="CP39" s="23"/>
      <c r="CQ39" s="23"/>
      <c r="CR39" s="24"/>
    </row>
    <row r="40" spans="1:96" s="13" customFormat="1" ht="15" customHeight="1" x14ac:dyDescent="0.15">
      <c r="A40" s="22"/>
      <c r="B40" s="23"/>
      <c r="C40" s="23"/>
      <c r="D40" s="23"/>
      <c r="E40" s="23"/>
      <c r="F40" s="23"/>
      <c r="G40" s="23"/>
      <c r="H40" s="23"/>
      <c r="I40" s="23"/>
      <c r="J40" s="23"/>
      <c r="K40" s="23"/>
      <c r="L40" s="23"/>
      <c r="M40" s="23"/>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CA40" s="23"/>
      <c r="CB40" s="12"/>
      <c r="CC40" s="12"/>
      <c r="CD40" s="12"/>
      <c r="CE40" s="23"/>
      <c r="CF40" s="23"/>
      <c r="CG40" s="23"/>
      <c r="CH40" s="23"/>
      <c r="CI40" s="23"/>
      <c r="CJ40" s="23"/>
      <c r="CK40" s="23"/>
      <c r="CL40" s="23"/>
      <c r="CM40" s="23"/>
      <c r="CN40" s="23"/>
      <c r="CO40" s="23"/>
      <c r="CP40" s="23"/>
      <c r="CQ40" s="23"/>
      <c r="CR40" s="24"/>
    </row>
    <row r="41" spans="1:96" s="13" customFormat="1" ht="15" customHeight="1" x14ac:dyDescent="0.15">
      <c r="A41" s="22"/>
      <c r="B41" s="23"/>
      <c r="C41" s="23"/>
      <c r="D41" s="23"/>
      <c r="E41" s="23"/>
      <c r="F41" s="23"/>
      <c r="G41" s="23"/>
      <c r="H41" s="23"/>
      <c r="I41" s="23"/>
      <c r="J41" s="23"/>
      <c r="K41" s="23"/>
      <c r="L41" s="23"/>
      <c r="M41" s="23"/>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CA41" s="23"/>
      <c r="CB41" s="12"/>
      <c r="CC41" s="12"/>
      <c r="CD41" s="12"/>
      <c r="CE41" s="23"/>
      <c r="CF41" s="23"/>
      <c r="CG41" s="23"/>
      <c r="CH41" s="23"/>
      <c r="CI41" s="23"/>
      <c r="CJ41" s="23"/>
      <c r="CK41" s="23"/>
      <c r="CL41" s="23"/>
      <c r="CM41" s="23"/>
      <c r="CN41" s="23"/>
      <c r="CO41" s="23"/>
      <c r="CP41" s="23"/>
      <c r="CQ41" s="23"/>
      <c r="CR41" s="24"/>
    </row>
    <row r="42" spans="1:96" s="13" customFormat="1" ht="15" customHeight="1" x14ac:dyDescent="0.1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CA42" s="23"/>
      <c r="CB42" s="12"/>
      <c r="CC42" s="12"/>
      <c r="CD42" s="12"/>
      <c r="CE42" s="23"/>
      <c r="CF42" s="23"/>
      <c r="CG42" s="23"/>
      <c r="CH42" s="23"/>
      <c r="CI42" s="23"/>
      <c r="CJ42" s="23"/>
      <c r="CK42" s="23"/>
      <c r="CL42" s="23"/>
      <c r="CM42" s="23"/>
      <c r="CN42" s="23"/>
      <c r="CO42" s="23"/>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CA43" s="23"/>
      <c r="CB43" s="12"/>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CA45" s="12"/>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sheetData>
  <mergeCells count="29">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A5:CR5"/>
    <mergeCell ref="BT4:CR4"/>
    <mergeCell ref="A10:CR10"/>
    <mergeCell ref="A4:H4"/>
    <mergeCell ref="I4:AK4"/>
    <mergeCell ref="AL4:AR4"/>
    <mergeCell ref="AS4:BH4"/>
    <mergeCell ref="BI4:BS4"/>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362CE-C201-4F99-8EE4-C48FF8B0E785}">
  <dimension ref="A1:DO305"/>
  <sheetViews>
    <sheetView view="pageBreakPreview" zoomScale="85" zoomScaleNormal="85" zoomScaleSheetLayoutView="85" workbookViewId="0">
      <pane ySplit="3" topLeftCell="A4" activePane="bottomLeft" state="frozen"/>
      <selection activeCell="A4" sqref="A4:H4"/>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53" t="s">
        <v>1</v>
      </c>
      <c r="B1" s="254"/>
      <c r="C1" s="254"/>
      <c r="D1" s="254"/>
      <c r="E1" s="254"/>
      <c r="F1" s="254"/>
      <c r="G1" s="254"/>
      <c r="H1" s="255"/>
      <c r="I1" s="256" t="str">
        <f>タイトル!I40</f>
        <v>　学生勤務管理システム</v>
      </c>
      <c r="J1" s="257"/>
      <c r="K1" s="257"/>
      <c r="L1" s="257"/>
      <c r="M1" s="257"/>
      <c r="N1" s="257"/>
      <c r="O1" s="257"/>
      <c r="P1" s="257"/>
      <c r="Q1" s="257"/>
      <c r="R1" s="257"/>
      <c r="S1" s="257"/>
      <c r="T1" s="257"/>
      <c r="U1" s="257"/>
      <c r="V1" s="257"/>
      <c r="W1" s="257"/>
      <c r="X1" s="257"/>
      <c r="Y1" s="257"/>
      <c r="Z1" s="257"/>
      <c r="AA1" s="257"/>
      <c r="AB1" s="257"/>
      <c r="AC1" s="257"/>
      <c r="AD1" s="258"/>
      <c r="AE1" s="259" t="s">
        <v>0</v>
      </c>
      <c r="AF1" s="260"/>
      <c r="AG1" s="260"/>
      <c r="AH1" s="260"/>
      <c r="AI1" s="260"/>
      <c r="AJ1" s="260"/>
      <c r="AK1" s="261"/>
      <c r="AL1" s="262" t="s">
        <v>51</v>
      </c>
      <c r="AM1" s="263"/>
      <c r="AN1" s="263"/>
      <c r="AO1" s="263"/>
      <c r="AP1" s="263"/>
      <c r="AQ1" s="263"/>
      <c r="AR1" s="263"/>
      <c r="AS1" s="263"/>
      <c r="AT1" s="263"/>
      <c r="AU1" s="263"/>
      <c r="AV1" s="263"/>
      <c r="AW1" s="263"/>
      <c r="AX1" s="263"/>
      <c r="AY1" s="263"/>
      <c r="AZ1" s="263"/>
      <c r="BA1" s="263"/>
      <c r="BB1" s="263"/>
      <c r="BC1" s="263"/>
      <c r="BD1" s="263"/>
      <c r="BE1" s="263"/>
      <c r="BF1" s="263"/>
      <c r="BG1" s="263"/>
      <c r="BH1" s="264"/>
      <c r="BI1" s="259" t="s">
        <v>12</v>
      </c>
      <c r="BJ1" s="260"/>
      <c r="BK1" s="260"/>
      <c r="BL1" s="261"/>
      <c r="BM1" s="265" t="str">
        <f>タイトル!I46</f>
        <v>木田　優</v>
      </c>
      <c r="BN1" s="266"/>
      <c r="BO1" s="266"/>
      <c r="BP1" s="266"/>
      <c r="BQ1" s="266"/>
      <c r="BR1" s="266"/>
      <c r="BS1" s="266"/>
      <c r="BT1" s="266"/>
      <c r="BU1" s="266"/>
      <c r="BV1" s="267"/>
      <c r="BW1" s="211">
        <f>タイトル!I47</f>
        <v>45204</v>
      </c>
      <c r="BX1" s="212"/>
      <c r="BY1" s="212"/>
      <c r="BZ1" s="212"/>
      <c r="CA1" s="212"/>
      <c r="CB1" s="212"/>
      <c r="CC1" s="212"/>
      <c r="CD1" s="212"/>
      <c r="CE1" s="213"/>
      <c r="CF1" s="214" t="s">
        <v>13</v>
      </c>
      <c r="CG1" s="215"/>
      <c r="CH1" s="215"/>
      <c r="CI1" s="215"/>
      <c r="CJ1" s="216"/>
      <c r="CK1" s="223"/>
      <c r="CL1" s="224"/>
      <c r="CM1" s="224"/>
      <c r="CN1" s="224"/>
      <c r="CO1" s="224"/>
      <c r="CP1" s="224"/>
      <c r="CQ1" s="224"/>
      <c r="CR1" s="225"/>
    </row>
    <row r="2" spans="1:96" s="15" customFormat="1" ht="15" customHeight="1" x14ac:dyDescent="0.2">
      <c r="A2" s="232" t="s">
        <v>14</v>
      </c>
      <c r="B2" s="233"/>
      <c r="C2" s="233"/>
      <c r="D2" s="233"/>
      <c r="E2" s="233"/>
      <c r="F2" s="233"/>
      <c r="G2" s="233"/>
      <c r="H2" s="234"/>
      <c r="I2" s="235" t="s">
        <v>52</v>
      </c>
      <c r="J2" s="236"/>
      <c r="K2" s="236"/>
      <c r="L2" s="236"/>
      <c r="M2" s="236"/>
      <c r="N2" s="236"/>
      <c r="O2" s="236"/>
      <c r="P2" s="236"/>
      <c r="Q2" s="236"/>
      <c r="R2" s="236"/>
      <c r="S2" s="236"/>
      <c r="T2" s="236"/>
      <c r="U2" s="236"/>
      <c r="V2" s="236"/>
      <c r="W2" s="236"/>
      <c r="X2" s="236"/>
      <c r="Y2" s="236"/>
      <c r="Z2" s="236"/>
      <c r="AA2" s="236"/>
      <c r="AB2" s="236"/>
      <c r="AC2" s="236"/>
      <c r="AD2" s="237"/>
      <c r="AE2" s="238" t="s">
        <v>32</v>
      </c>
      <c r="AF2" s="239"/>
      <c r="AG2" s="239"/>
      <c r="AH2" s="239"/>
      <c r="AI2" s="239"/>
      <c r="AJ2" s="239"/>
      <c r="AK2" s="240"/>
      <c r="AL2" s="241" t="str">
        <f>タイトル!I44</f>
        <v>　CK-020_給与計算処理</v>
      </c>
      <c r="AM2" s="242"/>
      <c r="AN2" s="242"/>
      <c r="AO2" s="242"/>
      <c r="AP2" s="242"/>
      <c r="AQ2" s="242"/>
      <c r="AR2" s="242"/>
      <c r="AS2" s="242"/>
      <c r="AT2" s="242"/>
      <c r="AU2" s="242"/>
      <c r="AV2" s="242"/>
      <c r="AW2" s="242"/>
      <c r="AX2" s="242"/>
      <c r="AY2" s="242"/>
      <c r="AZ2" s="242"/>
      <c r="BA2" s="242"/>
      <c r="BB2" s="242"/>
      <c r="BC2" s="242"/>
      <c r="BD2" s="242"/>
      <c r="BE2" s="242"/>
      <c r="BF2" s="242"/>
      <c r="BG2" s="242"/>
      <c r="BH2" s="243"/>
      <c r="BI2" s="244" t="s">
        <v>15</v>
      </c>
      <c r="BJ2" s="245"/>
      <c r="BK2" s="245"/>
      <c r="BL2" s="246"/>
      <c r="BM2" s="247" t="s">
        <v>368</v>
      </c>
      <c r="BN2" s="248"/>
      <c r="BO2" s="248"/>
      <c r="BP2" s="248"/>
      <c r="BQ2" s="248"/>
      <c r="BR2" s="248"/>
      <c r="BS2" s="248"/>
      <c r="BT2" s="248"/>
      <c r="BU2" s="248"/>
      <c r="BV2" s="249"/>
      <c r="BW2" s="250">
        <v>45855</v>
      </c>
      <c r="BX2" s="251"/>
      <c r="BY2" s="251"/>
      <c r="BZ2" s="251"/>
      <c r="CA2" s="251"/>
      <c r="CB2" s="251"/>
      <c r="CC2" s="251"/>
      <c r="CD2" s="251"/>
      <c r="CE2" s="252"/>
      <c r="CF2" s="217"/>
      <c r="CG2" s="218"/>
      <c r="CH2" s="218"/>
      <c r="CI2" s="218"/>
      <c r="CJ2" s="219"/>
      <c r="CK2" s="226"/>
      <c r="CL2" s="227"/>
      <c r="CM2" s="227"/>
      <c r="CN2" s="227"/>
      <c r="CO2" s="227"/>
      <c r="CP2" s="227"/>
      <c r="CQ2" s="227"/>
      <c r="CR2" s="228"/>
    </row>
    <row r="3" spans="1:96" s="15" customFormat="1" ht="15" customHeight="1" thickBot="1" x14ac:dyDescent="0.25">
      <c r="A3" s="196"/>
      <c r="B3" s="197"/>
      <c r="C3" s="197"/>
      <c r="D3" s="197"/>
      <c r="E3" s="197"/>
      <c r="F3" s="197"/>
      <c r="G3" s="197"/>
      <c r="H3" s="198"/>
      <c r="I3" s="199"/>
      <c r="J3" s="200"/>
      <c r="K3" s="200"/>
      <c r="L3" s="200"/>
      <c r="M3" s="200"/>
      <c r="N3" s="200"/>
      <c r="O3" s="200"/>
      <c r="P3" s="200"/>
      <c r="Q3" s="200"/>
      <c r="R3" s="200"/>
      <c r="S3" s="200"/>
      <c r="T3" s="200"/>
      <c r="U3" s="200"/>
      <c r="V3" s="200"/>
      <c r="W3" s="200"/>
      <c r="X3" s="200"/>
      <c r="Y3" s="200"/>
      <c r="Z3" s="200"/>
      <c r="AA3" s="200"/>
      <c r="AB3" s="200"/>
      <c r="AC3" s="200"/>
      <c r="AD3" s="201"/>
      <c r="AE3" s="220"/>
      <c r="AF3" s="221"/>
      <c r="AG3" s="221"/>
      <c r="AH3" s="221"/>
      <c r="AI3" s="221"/>
      <c r="AJ3" s="221"/>
      <c r="AK3" s="222"/>
      <c r="AL3" s="202"/>
      <c r="AM3" s="203"/>
      <c r="AN3" s="203"/>
      <c r="AO3" s="203"/>
      <c r="AP3" s="203"/>
      <c r="AQ3" s="203"/>
      <c r="AR3" s="203"/>
      <c r="AS3" s="203"/>
      <c r="AT3" s="203"/>
      <c r="AU3" s="203"/>
      <c r="AV3" s="203"/>
      <c r="AW3" s="203"/>
      <c r="AX3" s="203"/>
      <c r="AY3" s="203"/>
      <c r="AZ3" s="203"/>
      <c r="BA3" s="203"/>
      <c r="BB3" s="203"/>
      <c r="BC3" s="203"/>
      <c r="BD3" s="203"/>
      <c r="BE3" s="203"/>
      <c r="BF3" s="203"/>
      <c r="BG3" s="203"/>
      <c r="BH3" s="204"/>
      <c r="BI3" s="205"/>
      <c r="BJ3" s="206"/>
      <c r="BK3" s="206"/>
      <c r="BL3" s="207"/>
      <c r="BM3" s="208"/>
      <c r="BN3" s="209"/>
      <c r="BO3" s="209"/>
      <c r="BP3" s="209"/>
      <c r="BQ3" s="209"/>
      <c r="BR3" s="209"/>
      <c r="BS3" s="209"/>
      <c r="BT3" s="209"/>
      <c r="BU3" s="209"/>
      <c r="BV3" s="209"/>
      <c r="BW3" s="209"/>
      <c r="BX3" s="209"/>
      <c r="BY3" s="209"/>
      <c r="BZ3" s="209"/>
      <c r="CA3" s="209"/>
      <c r="CB3" s="209"/>
      <c r="CC3" s="209"/>
      <c r="CD3" s="209"/>
      <c r="CE3" s="210"/>
      <c r="CF3" s="220"/>
      <c r="CG3" s="221"/>
      <c r="CH3" s="221"/>
      <c r="CI3" s="221"/>
      <c r="CJ3" s="222"/>
      <c r="CK3" s="229"/>
      <c r="CL3" s="230"/>
      <c r="CM3" s="230"/>
      <c r="CN3" s="230"/>
      <c r="CO3" s="230"/>
      <c r="CP3" s="230"/>
      <c r="CQ3" s="230"/>
      <c r="CR3" s="231"/>
    </row>
    <row r="4" spans="1:96" s="16" customFormat="1" ht="15" customHeight="1" x14ac:dyDescent="0.2">
      <c r="A4" s="190" t="s">
        <v>53</v>
      </c>
      <c r="B4" s="191"/>
      <c r="C4" s="191"/>
      <c r="D4" s="191"/>
      <c r="E4" s="191"/>
      <c r="F4" s="191"/>
      <c r="G4" s="191"/>
      <c r="H4" s="191"/>
      <c r="I4" s="192" t="str">
        <f ca="1">"　" &amp; RIGHT(CELL("filename",A1),LEN(CELL("filename",A1))-FIND("]",CELL("filename",A1)))</f>
        <v>　給与計算処理</v>
      </c>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1" t="s">
        <v>54</v>
      </c>
      <c r="AM4" s="191"/>
      <c r="AN4" s="191"/>
      <c r="AO4" s="191"/>
      <c r="AP4" s="191"/>
      <c r="AQ4" s="191"/>
      <c r="AR4" s="191"/>
      <c r="AS4" s="193" t="s">
        <v>74</v>
      </c>
      <c r="AT4" s="193"/>
      <c r="AU4" s="193"/>
      <c r="AV4" s="193"/>
      <c r="AW4" s="193"/>
      <c r="AX4" s="193"/>
      <c r="AY4" s="193"/>
      <c r="AZ4" s="193"/>
      <c r="BA4" s="193"/>
      <c r="BB4" s="193"/>
      <c r="BC4" s="193"/>
      <c r="BD4" s="193"/>
      <c r="BE4" s="193"/>
      <c r="BF4" s="193"/>
      <c r="BG4" s="193"/>
      <c r="BH4" s="193"/>
      <c r="BI4" s="341" t="s">
        <v>35</v>
      </c>
      <c r="BJ4" s="342"/>
      <c r="BK4" s="342"/>
      <c r="BL4" s="342"/>
      <c r="BM4" s="342"/>
      <c r="BN4" s="342"/>
      <c r="BO4" s="342"/>
      <c r="BP4" s="342"/>
      <c r="BQ4" s="342"/>
      <c r="BR4" s="342"/>
      <c r="BS4" s="342"/>
      <c r="BT4" s="343" t="s">
        <v>47</v>
      </c>
      <c r="BU4" s="344"/>
      <c r="BV4" s="344"/>
      <c r="BW4" s="344"/>
      <c r="BX4" s="344"/>
      <c r="BY4" s="344"/>
      <c r="BZ4" s="344"/>
      <c r="CA4" s="344"/>
      <c r="CB4" s="344"/>
      <c r="CC4" s="344"/>
      <c r="CD4" s="344"/>
      <c r="CE4" s="344"/>
      <c r="CF4" s="344"/>
      <c r="CG4" s="344"/>
      <c r="CH4" s="344"/>
      <c r="CI4" s="344"/>
      <c r="CJ4" s="344"/>
      <c r="CK4" s="344"/>
      <c r="CL4" s="344"/>
      <c r="CM4" s="344"/>
      <c r="CN4" s="344"/>
      <c r="CO4" s="344"/>
      <c r="CP4" s="344"/>
      <c r="CQ4" s="344"/>
      <c r="CR4" s="345"/>
    </row>
    <row r="5" spans="1:96" s="12" customFormat="1" ht="15" customHeight="1" x14ac:dyDescent="0.15">
      <c r="A5" s="184" t="s">
        <v>55</v>
      </c>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346" t="s">
        <v>56</v>
      </c>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6"/>
      <c r="CL5" s="346"/>
      <c r="CM5" s="346"/>
      <c r="CN5" s="346"/>
      <c r="CO5" s="346"/>
      <c r="CP5" s="346"/>
      <c r="CQ5" s="346"/>
      <c r="CR5" s="347"/>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57</v>
      </c>
      <c r="BK7" s="18" t="s">
        <v>132</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t="s">
        <v>57</v>
      </c>
      <c r="BK8" s="18" t="s">
        <v>315</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K9" s="13" t="s">
        <v>316</v>
      </c>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348" t="s">
        <v>58</v>
      </c>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5"/>
      <c r="CG12" s="185"/>
      <c r="CH12" s="185"/>
      <c r="CI12" s="185"/>
      <c r="CJ12" s="185"/>
      <c r="CK12" s="185"/>
      <c r="CL12" s="185"/>
      <c r="CM12" s="185"/>
      <c r="CN12" s="185"/>
      <c r="CO12" s="185"/>
      <c r="CP12" s="185"/>
      <c r="CQ12" s="185"/>
      <c r="CR12" s="186"/>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8" t="s">
        <v>60</v>
      </c>
      <c r="BK14" s="13" t="s">
        <v>418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J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J16" s="18" t="s">
        <v>60</v>
      </c>
      <c r="BK16" s="18" t="s">
        <v>134</v>
      </c>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row>
    <row r="17" spans="1:119"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8"/>
      <c r="BK17" s="18" t="s">
        <v>135</v>
      </c>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row>
    <row r="18" spans="1:119"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K18" s="18" t="s">
        <v>136</v>
      </c>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row>
    <row r="19" spans="1:119"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c r="BK19" s="18" t="s">
        <v>137</v>
      </c>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9"/>
    </row>
    <row r="20" spans="1:119"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18"/>
      <c r="BL20" s="13" t="s">
        <v>99</v>
      </c>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row>
    <row r="21" spans="1:119"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K21" s="13" t="s">
        <v>363</v>
      </c>
      <c r="BM21" s="18"/>
      <c r="BN21" s="18"/>
      <c r="BO21" s="18"/>
      <c r="CQ21" s="18"/>
      <c r="CR21" s="19"/>
    </row>
    <row r="22" spans="1:119"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K22" s="13" t="s">
        <v>364</v>
      </c>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19"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row>
    <row r="24" spans="1:119"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J24" s="18" t="s">
        <v>138</v>
      </c>
      <c r="BK24" s="18" t="s">
        <v>139</v>
      </c>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row>
    <row r="25" spans="1:119"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18"/>
      <c r="BK25" s="18" t="s">
        <v>140</v>
      </c>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row>
    <row r="26" spans="1:119"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J26" s="18"/>
      <c r="BK26" s="18" t="s">
        <v>146</v>
      </c>
      <c r="BL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19"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J27" s="18"/>
      <c r="BK27" s="18" t="s">
        <v>147</v>
      </c>
      <c r="BL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row>
    <row r="28" spans="1:119"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row>
    <row r="29" spans="1:119"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row>
    <row r="30" spans="1:119"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19"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row>
    <row r="32" spans="1:119"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DK32" s="18"/>
      <c r="DL32" s="18"/>
      <c r="DM32" s="18"/>
      <c r="DN32" s="18"/>
      <c r="DO32" s="18"/>
    </row>
    <row r="33" spans="1:119"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DK33" s="18"/>
      <c r="DL33" s="18"/>
      <c r="DM33" s="18"/>
      <c r="DN33" s="18"/>
      <c r="DO33" s="18"/>
    </row>
    <row r="34" spans="1:119"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row>
    <row r="35" spans="1:119"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row>
    <row r="36" spans="1:119"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19"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19" s="13" customFormat="1" ht="15" customHeight="1" x14ac:dyDescent="0.15">
      <c r="A38" s="184" t="s">
        <v>61</v>
      </c>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c r="AX38" s="185"/>
      <c r="AY38" s="185"/>
      <c r="AZ38" s="185"/>
      <c r="BA38" s="185"/>
      <c r="BB38" s="185"/>
      <c r="BC38" s="185"/>
      <c r="BD38" s="185"/>
      <c r="BE38" s="185"/>
      <c r="BF38" s="185"/>
      <c r="BG38" s="185"/>
      <c r="BH38" s="349"/>
      <c r="BI38" s="348" t="s">
        <v>64</v>
      </c>
      <c r="BJ38" s="185"/>
      <c r="BK38" s="185"/>
      <c r="BL38" s="185"/>
      <c r="BM38" s="185"/>
      <c r="BN38" s="185"/>
      <c r="BO38" s="185"/>
      <c r="BP38" s="185"/>
      <c r="BQ38" s="185"/>
      <c r="BR38" s="185"/>
      <c r="BS38" s="185"/>
      <c r="BT38" s="185"/>
      <c r="BU38" s="185"/>
      <c r="BV38" s="185"/>
      <c r="BW38" s="185"/>
      <c r="BX38" s="185"/>
      <c r="BY38" s="185"/>
      <c r="BZ38" s="185"/>
      <c r="CA38" s="185"/>
      <c r="CB38" s="185"/>
      <c r="CC38" s="185"/>
      <c r="CD38" s="185"/>
      <c r="CE38" s="185"/>
      <c r="CF38" s="185"/>
      <c r="CG38" s="185"/>
      <c r="CH38" s="185"/>
      <c r="CI38" s="185"/>
      <c r="CJ38" s="185"/>
      <c r="CK38" s="185"/>
      <c r="CL38" s="185"/>
      <c r="CM38" s="185"/>
      <c r="CN38" s="185"/>
      <c r="CO38" s="185"/>
      <c r="CP38" s="185"/>
      <c r="CQ38" s="185"/>
      <c r="CR38" s="186"/>
    </row>
    <row r="39" spans="1:119" s="13" customFormat="1" ht="15" customHeight="1" x14ac:dyDescent="0.15">
      <c r="A39" s="184" t="s">
        <v>59</v>
      </c>
      <c r="B39" s="185"/>
      <c r="C39" s="185"/>
      <c r="D39" s="185"/>
      <c r="E39" s="185"/>
      <c r="F39" s="185"/>
      <c r="G39" s="185"/>
      <c r="H39" s="185"/>
      <c r="I39" s="185"/>
      <c r="J39" s="349"/>
      <c r="K39" s="348" t="s">
        <v>62</v>
      </c>
      <c r="L39" s="185"/>
      <c r="M39" s="185"/>
      <c r="N39" s="185"/>
      <c r="O39" s="185"/>
      <c r="P39" s="185"/>
      <c r="Q39" s="185"/>
      <c r="R39" s="185"/>
      <c r="S39" s="185"/>
      <c r="T39" s="185"/>
      <c r="U39" s="185"/>
      <c r="V39" s="185"/>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349"/>
      <c r="AW39" s="348" t="s">
        <v>63</v>
      </c>
      <c r="AX39" s="185"/>
      <c r="AY39" s="185"/>
      <c r="AZ39" s="185"/>
      <c r="BA39" s="185"/>
      <c r="BB39" s="185"/>
      <c r="BC39" s="185"/>
      <c r="BD39" s="185"/>
      <c r="BE39" s="185"/>
      <c r="BF39" s="185"/>
      <c r="BG39" s="185"/>
      <c r="BH39" s="349"/>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19" s="13" customFormat="1" ht="15" customHeight="1" x14ac:dyDescent="0.15">
      <c r="A40" s="350" t="s">
        <v>76</v>
      </c>
      <c r="B40" s="351"/>
      <c r="C40" s="351"/>
      <c r="D40" s="351"/>
      <c r="E40" s="351"/>
      <c r="F40" s="351"/>
      <c r="G40" s="351"/>
      <c r="H40" s="351"/>
      <c r="I40" s="351"/>
      <c r="J40" s="352"/>
      <c r="K40" s="353" t="s">
        <v>141</v>
      </c>
      <c r="L40" s="351"/>
      <c r="M40" s="351"/>
      <c r="N40" s="351"/>
      <c r="O40" s="351"/>
      <c r="P40" s="351"/>
      <c r="Q40" s="351"/>
      <c r="R40" s="351"/>
      <c r="S40" s="351"/>
      <c r="T40" s="351"/>
      <c r="U40" s="351"/>
      <c r="V40" s="351"/>
      <c r="W40" s="351"/>
      <c r="X40" s="351"/>
      <c r="Y40" s="351"/>
      <c r="Z40" s="351"/>
      <c r="AA40" s="351"/>
      <c r="AB40" s="351"/>
      <c r="AC40" s="351"/>
      <c r="AD40" s="351"/>
      <c r="AE40" s="351"/>
      <c r="AF40" s="351"/>
      <c r="AG40" s="351"/>
      <c r="AH40" s="351"/>
      <c r="AI40" s="351"/>
      <c r="AJ40" s="351"/>
      <c r="AK40" s="351"/>
      <c r="AL40" s="351"/>
      <c r="AM40" s="351"/>
      <c r="AN40" s="351"/>
      <c r="AO40" s="351"/>
      <c r="AP40" s="351"/>
      <c r="AQ40" s="351"/>
      <c r="AR40" s="351"/>
      <c r="AS40" s="351"/>
      <c r="AT40" s="351"/>
      <c r="AU40" s="351"/>
      <c r="AV40" s="352"/>
      <c r="AW40" s="353" t="s">
        <v>77</v>
      </c>
      <c r="AX40" s="351"/>
      <c r="AY40" s="351"/>
      <c r="AZ40" s="351"/>
      <c r="BA40" s="351"/>
      <c r="BB40" s="351"/>
      <c r="BC40" s="351"/>
      <c r="BD40" s="351"/>
      <c r="BE40" s="351"/>
      <c r="BF40" s="351"/>
      <c r="BG40" s="351"/>
      <c r="BH40" s="352"/>
      <c r="BI40" s="53"/>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19" s="13" customFormat="1" ht="15" customHeight="1" x14ac:dyDescent="0.15">
      <c r="A41" s="356" t="s">
        <v>78</v>
      </c>
      <c r="B41" s="339"/>
      <c r="C41" s="339"/>
      <c r="D41" s="339"/>
      <c r="E41" s="339"/>
      <c r="F41" s="339"/>
      <c r="G41" s="339"/>
      <c r="H41" s="339"/>
      <c r="I41" s="339"/>
      <c r="J41" s="340"/>
      <c r="K41" s="338" t="s">
        <v>142</v>
      </c>
      <c r="L41" s="339"/>
      <c r="M41" s="339"/>
      <c r="N41" s="339"/>
      <c r="O41" s="339"/>
      <c r="P41" s="339"/>
      <c r="Q41" s="339"/>
      <c r="R41" s="339"/>
      <c r="S41" s="339"/>
      <c r="T41" s="339"/>
      <c r="U41" s="339"/>
      <c r="V41" s="339"/>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40"/>
      <c r="AW41" s="338" t="s">
        <v>77</v>
      </c>
      <c r="AX41" s="339"/>
      <c r="AY41" s="339"/>
      <c r="AZ41" s="339"/>
      <c r="BA41" s="339"/>
      <c r="BB41" s="339"/>
      <c r="BC41" s="339"/>
      <c r="BD41" s="339"/>
      <c r="BE41" s="339"/>
      <c r="BF41" s="339"/>
      <c r="BG41" s="339"/>
      <c r="BH41" s="340"/>
      <c r="BI41" s="53"/>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19" s="13" customFormat="1" ht="15" customHeight="1" x14ac:dyDescent="0.15">
      <c r="A42" s="356"/>
      <c r="B42" s="339"/>
      <c r="C42" s="339"/>
      <c r="D42" s="339"/>
      <c r="E42" s="339"/>
      <c r="F42" s="339"/>
      <c r="G42" s="339"/>
      <c r="H42" s="339"/>
      <c r="I42" s="339"/>
      <c r="J42" s="340"/>
      <c r="K42" s="338"/>
      <c r="L42" s="339"/>
      <c r="M42" s="339"/>
      <c r="N42" s="339"/>
      <c r="O42" s="339"/>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40"/>
      <c r="AW42" s="338"/>
      <c r="AX42" s="339"/>
      <c r="AY42" s="339"/>
      <c r="AZ42" s="339"/>
      <c r="BA42" s="339"/>
      <c r="BB42" s="339"/>
      <c r="BC42" s="339"/>
      <c r="BD42" s="339"/>
      <c r="BE42" s="339"/>
      <c r="BF42" s="339"/>
      <c r="BG42" s="339"/>
      <c r="BH42" s="340"/>
      <c r="BI42" s="53"/>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19" s="13" customFormat="1" ht="15" customHeight="1" x14ac:dyDescent="0.15">
      <c r="A43" s="356"/>
      <c r="B43" s="339"/>
      <c r="C43" s="339"/>
      <c r="D43" s="339"/>
      <c r="E43" s="339"/>
      <c r="F43" s="339"/>
      <c r="G43" s="339"/>
      <c r="H43" s="339"/>
      <c r="I43" s="339"/>
      <c r="J43" s="340"/>
      <c r="K43" s="338"/>
      <c r="L43" s="339"/>
      <c r="M43" s="339"/>
      <c r="N43" s="339"/>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40"/>
      <c r="AW43" s="338"/>
      <c r="AX43" s="339"/>
      <c r="AY43" s="339"/>
      <c r="AZ43" s="339"/>
      <c r="BA43" s="339"/>
      <c r="BB43" s="339"/>
      <c r="BC43" s="339"/>
      <c r="BD43" s="339"/>
      <c r="BE43" s="339"/>
      <c r="BF43" s="339"/>
      <c r="BG43" s="339"/>
      <c r="BH43" s="340"/>
      <c r="BI43" s="348" t="s">
        <v>65</v>
      </c>
      <c r="BJ43" s="185"/>
      <c r="BK43" s="185"/>
      <c r="BL43" s="185"/>
      <c r="BM43" s="185"/>
      <c r="BN43" s="185"/>
      <c r="BO43" s="185"/>
      <c r="BP43" s="185"/>
      <c r="BQ43" s="185"/>
      <c r="BR43" s="185"/>
      <c r="BS43" s="185"/>
      <c r="BT43" s="185"/>
      <c r="BU43" s="185"/>
      <c r="BV43" s="185"/>
      <c r="BW43" s="185"/>
      <c r="BX43" s="185"/>
      <c r="BY43" s="185"/>
      <c r="BZ43" s="185"/>
      <c r="CA43" s="185"/>
      <c r="CB43" s="185"/>
      <c r="CC43" s="185"/>
      <c r="CD43" s="185"/>
      <c r="CE43" s="185"/>
      <c r="CF43" s="185"/>
      <c r="CG43" s="185"/>
      <c r="CH43" s="185"/>
      <c r="CI43" s="185"/>
      <c r="CJ43" s="185"/>
      <c r="CK43" s="185"/>
      <c r="CL43" s="185"/>
      <c r="CM43" s="185"/>
      <c r="CN43" s="185"/>
      <c r="CO43" s="185"/>
      <c r="CP43" s="185"/>
      <c r="CQ43" s="185"/>
      <c r="CR43" s="186"/>
    </row>
    <row r="44" spans="1:119" s="13" customFormat="1" ht="15" customHeight="1" x14ac:dyDescent="0.15">
      <c r="A44" s="356"/>
      <c r="B44" s="339"/>
      <c r="C44" s="339"/>
      <c r="D44" s="339"/>
      <c r="E44" s="339"/>
      <c r="F44" s="339"/>
      <c r="G44" s="339"/>
      <c r="H44" s="339"/>
      <c r="I44" s="339"/>
      <c r="J44" s="340"/>
      <c r="K44" s="338"/>
      <c r="L44" s="339"/>
      <c r="M44" s="339"/>
      <c r="N44" s="339"/>
      <c r="O44" s="339"/>
      <c r="P44" s="339"/>
      <c r="Q44" s="339"/>
      <c r="R44" s="339"/>
      <c r="S44" s="339"/>
      <c r="T44" s="339"/>
      <c r="U44" s="339"/>
      <c r="V44" s="339"/>
      <c r="W44" s="339"/>
      <c r="X44" s="339"/>
      <c r="Y44" s="339"/>
      <c r="Z44" s="339"/>
      <c r="AA44" s="339"/>
      <c r="AB44" s="339"/>
      <c r="AC44" s="339"/>
      <c r="AD44" s="339"/>
      <c r="AE44" s="339"/>
      <c r="AF44" s="339"/>
      <c r="AG44" s="339"/>
      <c r="AH44" s="339"/>
      <c r="AI44" s="339"/>
      <c r="AJ44" s="339"/>
      <c r="AK44" s="339"/>
      <c r="AL44" s="339"/>
      <c r="AM44" s="339"/>
      <c r="AN44" s="339"/>
      <c r="AO44" s="339"/>
      <c r="AP44" s="339"/>
      <c r="AQ44" s="339"/>
      <c r="AR44" s="339"/>
      <c r="AS44" s="339"/>
      <c r="AT44" s="339"/>
      <c r="AU44" s="339"/>
      <c r="AV44" s="340"/>
      <c r="AW44" s="338"/>
      <c r="AX44" s="339"/>
      <c r="AY44" s="339"/>
      <c r="AZ44" s="339"/>
      <c r="BA44" s="339"/>
      <c r="BB44" s="339"/>
      <c r="BC44" s="339"/>
      <c r="BD44" s="339"/>
      <c r="BE44" s="339"/>
      <c r="BF44" s="339"/>
      <c r="BG44" s="339"/>
      <c r="BH44" s="340"/>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19" s="13" customFormat="1" ht="15" customHeight="1" x14ac:dyDescent="0.15">
      <c r="A45" s="356"/>
      <c r="B45" s="339"/>
      <c r="C45" s="339"/>
      <c r="D45" s="339"/>
      <c r="E45" s="339"/>
      <c r="F45" s="339"/>
      <c r="G45" s="339"/>
      <c r="H45" s="339"/>
      <c r="I45" s="339"/>
      <c r="J45" s="340"/>
      <c r="K45" s="338"/>
      <c r="L45" s="339"/>
      <c r="M45" s="339"/>
      <c r="N45" s="339"/>
      <c r="O45" s="339"/>
      <c r="P45" s="339"/>
      <c r="Q45" s="339"/>
      <c r="R45" s="339"/>
      <c r="S45" s="339"/>
      <c r="T45" s="339"/>
      <c r="U45" s="339"/>
      <c r="V45" s="339"/>
      <c r="W45" s="339"/>
      <c r="X45" s="339"/>
      <c r="Y45" s="339"/>
      <c r="Z45" s="339"/>
      <c r="AA45" s="339"/>
      <c r="AB45" s="339"/>
      <c r="AC45" s="339"/>
      <c r="AD45" s="339"/>
      <c r="AE45" s="339"/>
      <c r="AF45" s="339"/>
      <c r="AG45" s="339"/>
      <c r="AH45" s="339"/>
      <c r="AI45" s="339"/>
      <c r="AJ45" s="339"/>
      <c r="AK45" s="339"/>
      <c r="AL45" s="339"/>
      <c r="AM45" s="339"/>
      <c r="AN45" s="339"/>
      <c r="AO45" s="339"/>
      <c r="AP45" s="339"/>
      <c r="AQ45" s="339"/>
      <c r="AR45" s="339"/>
      <c r="AS45" s="339"/>
      <c r="AT45" s="339"/>
      <c r="AU45" s="339"/>
      <c r="AV45" s="340"/>
      <c r="AW45" s="338"/>
      <c r="AX45" s="339"/>
      <c r="AY45" s="339"/>
      <c r="AZ45" s="339"/>
      <c r="BA45" s="339"/>
      <c r="BB45" s="339"/>
      <c r="BC45" s="339"/>
      <c r="BD45" s="339"/>
      <c r="BE45" s="339"/>
      <c r="BF45" s="339"/>
      <c r="BG45" s="339"/>
      <c r="BH45" s="340"/>
      <c r="BI45" s="53"/>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19" s="13" customFormat="1" ht="15" customHeight="1" x14ac:dyDescent="0.15">
      <c r="A46" s="356"/>
      <c r="B46" s="339"/>
      <c r="C46" s="339"/>
      <c r="D46" s="339"/>
      <c r="E46" s="339"/>
      <c r="F46" s="339"/>
      <c r="G46" s="339"/>
      <c r="H46" s="339"/>
      <c r="I46" s="339"/>
      <c r="J46" s="340"/>
      <c r="K46" s="338"/>
      <c r="L46" s="339"/>
      <c r="M46" s="339"/>
      <c r="N46" s="339"/>
      <c r="O46" s="339"/>
      <c r="P46" s="339"/>
      <c r="Q46" s="339"/>
      <c r="R46" s="339"/>
      <c r="S46" s="339"/>
      <c r="T46" s="339"/>
      <c r="U46" s="339"/>
      <c r="V46" s="339"/>
      <c r="W46" s="339"/>
      <c r="X46" s="339"/>
      <c r="Y46" s="339"/>
      <c r="Z46" s="339"/>
      <c r="AA46" s="339"/>
      <c r="AB46" s="339"/>
      <c r="AC46" s="339"/>
      <c r="AD46" s="339"/>
      <c r="AE46" s="339"/>
      <c r="AF46" s="339"/>
      <c r="AG46" s="339"/>
      <c r="AH46" s="339"/>
      <c r="AI46" s="339"/>
      <c r="AJ46" s="339"/>
      <c r="AK46" s="339"/>
      <c r="AL46" s="339"/>
      <c r="AM46" s="339"/>
      <c r="AN46" s="339"/>
      <c r="AO46" s="339"/>
      <c r="AP46" s="339"/>
      <c r="AQ46" s="339"/>
      <c r="AR46" s="339"/>
      <c r="AS46" s="339"/>
      <c r="AT46" s="339"/>
      <c r="AU46" s="339"/>
      <c r="AV46" s="340"/>
      <c r="AW46" s="338"/>
      <c r="AX46" s="339"/>
      <c r="AY46" s="339"/>
      <c r="AZ46" s="339"/>
      <c r="BA46" s="339"/>
      <c r="BB46" s="339"/>
      <c r="BC46" s="339"/>
      <c r="BD46" s="339"/>
      <c r="BE46" s="339"/>
      <c r="BF46" s="339"/>
      <c r="BG46" s="339"/>
      <c r="BH46" s="340"/>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19" s="13" customFormat="1" ht="15" customHeight="1" thickBot="1" x14ac:dyDescent="0.2">
      <c r="A47" s="357"/>
      <c r="B47" s="358"/>
      <c r="C47" s="358"/>
      <c r="D47" s="358"/>
      <c r="E47" s="358"/>
      <c r="F47" s="358"/>
      <c r="G47" s="358"/>
      <c r="H47" s="358"/>
      <c r="I47" s="358"/>
      <c r="J47" s="359"/>
      <c r="K47" s="360"/>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9"/>
      <c r="AW47" s="360"/>
      <c r="AX47" s="358"/>
      <c r="AY47" s="358"/>
      <c r="AZ47" s="358"/>
      <c r="BA47" s="358"/>
      <c r="BB47" s="358"/>
      <c r="BC47" s="358"/>
      <c r="BD47" s="358"/>
      <c r="BE47" s="358"/>
      <c r="BF47" s="358"/>
      <c r="BG47" s="358"/>
      <c r="BH47" s="359"/>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19" s="12" customFormat="1" ht="15" customHeight="1" x14ac:dyDescent="0.15">
      <c r="A48" s="184" t="s">
        <v>66</v>
      </c>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c r="BW48" s="185"/>
      <c r="BX48" s="185"/>
      <c r="BY48" s="185"/>
      <c r="BZ48" s="185"/>
      <c r="CA48" s="185"/>
      <c r="CB48" s="185"/>
      <c r="CC48" s="185"/>
      <c r="CD48" s="185"/>
      <c r="CE48" s="185"/>
      <c r="CF48" s="185"/>
      <c r="CG48" s="185"/>
      <c r="CH48" s="185"/>
      <c r="CI48" s="185"/>
      <c r="CJ48" s="185"/>
      <c r="CK48" s="185"/>
      <c r="CL48" s="185"/>
      <c r="CM48" s="185"/>
      <c r="CN48" s="185"/>
      <c r="CO48" s="185"/>
      <c r="CP48" s="185"/>
      <c r="CQ48" s="185"/>
      <c r="CR48" s="186"/>
    </row>
    <row r="49" spans="1:96"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2">
      <c r="A50" s="57"/>
      <c r="B50" s="58" t="s">
        <v>143</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t="s">
        <v>86</v>
      </c>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15">
      <c r="A51" s="57"/>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299" t="s">
        <v>79</v>
      </c>
      <c r="AX51" s="300"/>
      <c r="AY51" s="300"/>
      <c r="AZ51" s="300"/>
      <c r="BA51" s="300"/>
      <c r="BB51" s="300"/>
      <c r="BC51" s="300"/>
      <c r="BD51" s="300"/>
      <c r="BE51" s="300"/>
      <c r="BF51" s="300"/>
      <c r="BG51" s="300"/>
      <c r="BH51" s="300"/>
      <c r="BI51" s="300"/>
      <c r="BJ51" s="308"/>
      <c r="BK51" s="299" t="s">
        <v>80</v>
      </c>
      <c r="BL51" s="300"/>
      <c r="BM51" s="300"/>
      <c r="BN51" s="300"/>
      <c r="BO51" s="308"/>
      <c r="BP51" s="299" t="s">
        <v>81</v>
      </c>
      <c r="BQ51" s="300"/>
      <c r="BR51" s="308"/>
      <c r="BS51" s="299" t="s">
        <v>82</v>
      </c>
      <c r="BT51" s="322"/>
      <c r="BU51" s="322"/>
      <c r="BV51" s="322"/>
      <c r="BW51" s="322"/>
      <c r="BX51" s="322"/>
      <c r="BY51" s="322"/>
      <c r="BZ51" s="322"/>
      <c r="CA51" s="322"/>
      <c r="CB51" s="322"/>
      <c r="CC51" s="322"/>
      <c r="CD51" s="322"/>
      <c r="CE51" s="322"/>
      <c r="CF51" s="322"/>
      <c r="CG51" s="322"/>
      <c r="CH51" s="322"/>
      <c r="CI51" s="322"/>
      <c r="CJ51" s="322"/>
      <c r="CK51" s="322"/>
      <c r="CL51" s="322"/>
      <c r="CM51" s="322"/>
      <c r="CN51" s="322"/>
      <c r="CO51" s="322"/>
      <c r="CP51" s="322"/>
      <c r="CQ51" s="323"/>
      <c r="CR51" s="59"/>
    </row>
    <row r="52" spans="1:96" s="60" customFormat="1" ht="15" customHeight="1" x14ac:dyDescent="0.2">
      <c r="A52" s="57"/>
      <c r="B52" s="58"/>
      <c r="C52" s="58" t="s">
        <v>144</v>
      </c>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297" t="s">
        <v>83</v>
      </c>
      <c r="AX52" s="297"/>
      <c r="AY52" s="297"/>
      <c r="AZ52" s="297"/>
      <c r="BA52" s="297"/>
      <c r="BB52" s="297"/>
      <c r="BC52" s="297"/>
      <c r="BD52" s="297"/>
      <c r="BE52" s="297"/>
      <c r="BF52" s="297"/>
      <c r="BG52" s="297"/>
      <c r="BH52" s="297"/>
      <c r="BI52" s="297"/>
      <c r="BJ52" s="297"/>
      <c r="BK52" s="310" t="s">
        <v>104</v>
      </c>
      <c r="BL52" s="310"/>
      <c r="BM52" s="310"/>
      <c r="BN52" s="310"/>
      <c r="BO52" s="310"/>
      <c r="BP52" s="324" t="s">
        <v>84</v>
      </c>
      <c r="BQ52" s="325"/>
      <c r="BR52" s="326"/>
      <c r="BS52" s="297" t="s">
        <v>61</v>
      </c>
      <c r="BT52" s="297"/>
      <c r="BU52" s="297"/>
      <c r="BV52" s="297"/>
      <c r="BW52" s="297"/>
      <c r="BX52" s="297"/>
      <c r="BY52" s="297"/>
      <c r="BZ52" s="297"/>
      <c r="CA52" s="297"/>
      <c r="CB52" s="297"/>
      <c r="CC52" s="297"/>
      <c r="CD52" s="297"/>
      <c r="CE52" s="297"/>
      <c r="CF52" s="297"/>
      <c r="CG52" s="297"/>
      <c r="CH52" s="297"/>
      <c r="CI52" s="297"/>
      <c r="CJ52" s="297"/>
      <c r="CK52" s="297"/>
      <c r="CL52" s="297"/>
      <c r="CM52" s="297"/>
      <c r="CN52" s="297"/>
      <c r="CO52" s="297"/>
      <c r="CP52" s="297"/>
      <c r="CQ52" s="297"/>
      <c r="CR52" s="59"/>
    </row>
    <row r="53" spans="1:96" s="60" customFormat="1" ht="15" customHeight="1" x14ac:dyDescent="0.2">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297" t="s">
        <v>85</v>
      </c>
      <c r="AX53" s="297"/>
      <c r="AY53" s="297"/>
      <c r="AZ53" s="297"/>
      <c r="BA53" s="297"/>
      <c r="BB53" s="297"/>
      <c r="BC53" s="297"/>
      <c r="BD53" s="297"/>
      <c r="BE53" s="297"/>
      <c r="BF53" s="297"/>
      <c r="BG53" s="297"/>
      <c r="BH53" s="297"/>
      <c r="BI53" s="297"/>
      <c r="BJ53" s="297"/>
      <c r="BK53" s="310" t="s">
        <v>104</v>
      </c>
      <c r="BL53" s="310"/>
      <c r="BM53" s="310"/>
      <c r="BN53" s="310"/>
      <c r="BO53" s="310"/>
      <c r="BP53" s="324" t="s">
        <v>84</v>
      </c>
      <c r="BQ53" s="325"/>
      <c r="BR53" s="326"/>
      <c r="BS53" s="297" t="s">
        <v>61</v>
      </c>
      <c r="BT53" s="297"/>
      <c r="BU53" s="297"/>
      <c r="BV53" s="297"/>
      <c r="BW53" s="297"/>
      <c r="BX53" s="297"/>
      <c r="BY53" s="297"/>
      <c r="BZ53" s="297"/>
      <c r="CA53" s="297"/>
      <c r="CB53" s="297"/>
      <c r="CC53" s="297"/>
      <c r="CD53" s="297"/>
      <c r="CE53" s="297"/>
      <c r="CF53" s="297"/>
      <c r="CG53" s="297"/>
      <c r="CH53" s="297"/>
      <c r="CI53" s="297"/>
      <c r="CJ53" s="297"/>
      <c r="CK53" s="297"/>
      <c r="CL53" s="297"/>
      <c r="CM53" s="297"/>
      <c r="CN53" s="297"/>
      <c r="CO53" s="297"/>
      <c r="CP53" s="297"/>
      <c r="CQ53" s="297"/>
      <c r="CR53" s="59"/>
    </row>
    <row r="54" spans="1:96" s="60" customFormat="1" ht="15" customHeight="1" x14ac:dyDescent="0.2">
      <c r="A54" s="57"/>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CR54" s="59"/>
    </row>
    <row r="55" spans="1:96" s="60" customFormat="1" ht="15" customHeight="1" x14ac:dyDescent="0.2">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t="s">
        <v>105</v>
      </c>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R55" s="59"/>
    </row>
    <row r="56" spans="1:96" s="60" customFormat="1" ht="15" customHeight="1" thickBot="1" x14ac:dyDescent="0.25">
      <c r="A56" s="57"/>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t="s">
        <v>106</v>
      </c>
      <c r="AY56" s="58"/>
      <c r="AZ56" s="58"/>
      <c r="CA56" s="58"/>
      <c r="CB56" s="58"/>
      <c r="CC56" s="58"/>
      <c r="CD56" s="58"/>
      <c r="CR56" s="59"/>
    </row>
    <row r="57" spans="1:96" s="60" customFormat="1" ht="15" customHeight="1" thickBot="1" x14ac:dyDescent="0.25">
      <c r="A57" s="57"/>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81" t="s">
        <v>69</v>
      </c>
      <c r="AZ57" s="82"/>
      <c r="BA57" s="82"/>
      <c r="BB57" s="82"/>
      <c r="BC57" s="82"/>
      <c r="BD57" s="82"/>
      <c r="BE57" s="82"/>
      <c r="BF57" s="83"/>
      <c r="BG57" s="84"/>
      <c r="BH57" s="85"/>
      <c r="BI57" s="85"/>
      <c r="BJ57" s="85"/>
      <c r="BK57" s="85"/>
      <c r="BL57" s="85"/>
      <c r="BM57" s="85"/>
      <c r="BN57" s="85"/>
      <c r="BO57" s="354" t="s">
        <v>107</v>
      </c>
      <c r="BP57" s="355"/>
      <c r="BQ57" s="84"/>
      <c r="BR57" s="85"/>
      <c r="BS57" s="85"/>
      <c r="BT57" s="85"/>
      <c r="BU57" s="85"/>
      <c r="BV57" s="85"/>
      <c r="BW57" s="85"/>
      <c r="BX57" s="86"/>
      <c r="BY57" s="354" t="s">
        <v>107</v>
      </c>
      <c r="BZ57" s="355"/>
      <c r="CA57" s="58"/>
      <c r="CB57" s="58"/>
      <c r="CC57" s="58"/>
      <c r="CD57" s="58"/>
      <c r="CR57" s="59"/>
    </row>
    <row r="58" spans="1:96" s="60" customFormat="1" ht="15" customHeight="1" x14ac:dyDescent="0.2">
      <c r="A58" s="57"/>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G58" s="87" t="s">
        <v>210</v>
      </c>
      <c r="BH58" s="88"/>
      <c r="BI58" s="88"/>
      <c r="BJ58" s="88"/>
      <c r="BK58" s="88"/>
      <c r="BL58" s="88"/>
      <c r="BM58" s="88"/>
      <c r="BN58" s="89"/>
      <c r="BO58" s="58"/>
      <c r="BP58" s="58"/>
      <c r="BQ58" s="87" t="s">
        <v>460</v>
      </c>
      <c r="BR58" s="88"/>
      <c r="BS58" s="88"/>
      <c r="BT58" s="88"/>
      <c r="BU58" s="88"/>
      <c r="BV58" s="88"/>
      <c r="BW58" s="88"/>
      <c r="BX58" s="89"/>
      <c r="BY58" s="58"/>
      <c r="BZ58" s="58"/>
      <c r="CA58" s="58"/>
      <c r="CB58" s="58"/>
      <c r="CC58" s="58"/>
      <c r="CD58" s="58"/>
      <c r="CR58" s="59"/>
    </row>
    <row r="59" spans="1:96" s="60" customFormat="1" ht="15" customHeight="1" x14ac:dyDescent="0.2">
      <c r="A59" s="57"/>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G59" s="90" t="s">
        <v>458</v>
      </c>
      <c r="BH59" s="91"/>
      <c r="BI59" s="91"/>
      <c r="BJ59" s="91"/>
      <c r="BK59" s="91"/>
      <c r="BL59" s="91"/>
      <c r="BM59" s="91"/>
      <c r="BN59" s="92"/>
      <c r="BO59" s="58"/>
      <c r="BP59" s="58"/>
      <c r="BQ59" s="90" t="s">
        <v>461</v>
      </c>
      <c r="BR59" s="91"/>
      <c r="BS59" s="91"/>
      <c r="BT59" s="91"/>
      <c r="BU59" s="91"/>
      <c r="BV59" s="91"/>
      <c r="BW59" s="91"/>
      <c r="BX59" s="92"/>
      <c r="BY59" s="58"/>
      <c r="BZ59" s="58"/>
      <c r="CA59" s="58"/>
      <c r="CB59" s="58"/>
      <c r="CC59" s="58"/>
      <c r="CD59" s="58"/>
      <c r="CR59" s="59"/>
    </row>
    <row r="60" spans="1:96" s="60" customFormat="1" ht="15" customHeight="1" x14ac:dyDescent="0.2">
      <c r="A60" s="57"/>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G60" s="90" t="s">
        <v>459</v>
      </c>
      <c r="BH60" s="91"/>
      <c r="BI60" s="91"/>
      <c r="BJ60" s="91"/>
      <c r="BK60" s="91"/>
      <c r="BL60" s="91"/>
      <c r="BM60" s="91"/>
      <c r="BN60" s="92"/>
      <c r="BO60" s="58"/>
      <c r="BP60" s="58"/>
      <c r="BQ60" s="90" t="s">
        <v>462</v>
      </c>
      <c r="BR60" s="91"/>
      <c r="BS60" s="91"/>
      <c r="BT60" s="91"/>
      <c r="BU60" s="91"/>
      <c r="BV60" s="91"/>
      <c r="BW60" s="91"/>
      <c r="BX60" s="92"/>
      <c r="BY60" s="58"/>
      <c r="BZ60" s="58"/>
      <c r="CA60" s="58"/>
      <c r="CB60" s="58"/>
      <c r="CC60" s="58"/>
      <c r="CD60" s="58"/>
      <c r="CR60" s="59"/>
    </row>
    <row r="61" spans="1:96" s="60" customFormat="1" ht="15" customHeight="1" x14ac:dyDescent="0.2">
      <c r="A61" s="57"/>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R61" s="59"/>
    </row>
    <row r="62" spans="1:96" s="60" customFormat="1" ht="15" customHeight="1" x14ac:dyDescent="0.2">
      <c r="A62" s="57"/>
      <c r="B62" s="58"/>
      <c r="C62" s="58"/>
      <c r="D62" s="58"/>
      <c r="E62" s="58"/>
      <c r="F62" s="58"/>
      <c r="G62" s="58"/>
      <c r="H62" s="58"/>
      <c r="I62" s="58"/>
      <c r="J62" s="58"/>
      <c r="K62" s="58"/>
      <c r="L62" s="58"/>
      <c r="M62" s="58"/>
      <c r="N62" s="58"/>
      <c r="O62" s="58"/>
      <c r="P62" s="58"/>
      <c r="Q62" s="58"/>
      <c r="R62" s="58"/>
      <c r="S62" s="58"/>
      <c r="T62" s="58"/>
      <c r="U62" s="58"/>
      <c r="V62" s="58"/>
      <c r="W62" s="58"/>
      <c r="X62" s="58"/>
      <c r="AJ62" s="58"/>
      <c r="AK62" s="58"/>
      <c r="AL62" s="58"/>
      <c r="AM62" s="58"/>
      <c r="AN62" s="58"/>
      <c r="AO62" s="58"/>
      <c r="AP62" s="58"/>
      <c r="AQ62" s="58"/>
      <c r="AR62" s="58"/>
      <c r="AS62" s="58"/>
      <c r="AT62" s="58"/>
      <c r="AU62" s="58"/>
      <c r="AV62" s="58"/>
      <c r="AW62" s="58"/>
      <c r="AX62" s="58" t="s">
        <v>108</v>
      </c>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R62" s="59"/>
    </row>
    <row r="63" spans="1:96" s="60" customFormat="1" ht="15" customHeight="1" x14ac:dyDescent="0.2">
      <c r="A63" s="57"/>
      <c r="B63" s="58"/>
      <c r="AJ63" s="58"/>
      <c r="AK63" s="58"/>
      <c r="AL63" s="58"/>
      <c r="AM63" s="58"/>
      <c r="AN63" s="58"/>
      <c r="AO63" s="58"/>
      <c r="AP63" s="58"/>
      <c r="AQ63" s="58"/>
      <c r="AR63" s="58"/>
      <c r="AS63" s="58"/>
      <c r="AT63" s="58"/>
      <c r="AU63" s="58"/>
      <c r="AV63" s="58"/>
      <c r="AW63" s="58"/>
      <c r="AX63" s="58" t="s">
        <v>419</v>
      </c>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R63" s="59"/>
    </row>
    <row r="64" spans="1:96" s="60" customFormat="1" ht="15" customHeight="1" x14ac:dyDescent="0.2">
      <c r="A64" s="57"/>
      <c r="B64" s="58"/>
      <c r="AA64" s="58"/>
      <c r="AB64" s="58"/>
      <c r="AC64" s="58"/>
      <c r="AD64" s="58"/>
      <c r="AE64" s="58"/>
      <c r="AF64" s="58"/>
      <c r="AG64" s="58"/>
      <c r="AH64" s="58"/>
      <c r="AI64" s="58"/>
      <c r="AJ64" s="58"/>
      <c r="AK64" s="58"/>
      <c r="AL64" s="58"/>
      <c r="AM64" s="58"/>
      <c r="AN64" s="58"/>
      <c r="AO64" s="58"/>
      <c r="AP64" s="58"/>
      <c r="AQ64" s="58"/>
      <c r="AR64" s="58"/>
      <c r="AS64" s="58"/>
      <c r="AT64" s="58"/>
      <c r="AU64" s="58"/>
      <c r="AV64" s="58"/>
      <c r="CR64" s="59"/>
    </row>
    <row r="65" spans="1:96" s="60" customFormat="1" ht="15" customHeight="1" x14ac:dyDescent="0.2">
      <c r="A65" s="57"/>
      <c r="B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t="s">
        <v>148</v>
      </c>
      <c r="AX65" s="58"/>
      <c r="AY65" s="58"/>
      <c r="AZ65" s="58"/>
      <c r="BA65" s="58"/>
      <c r="BB65" s="58"/>
      <c r="BC65" s="58"/>
      <c r="BD65" s="58"/>
      <c r="BE65" s="58"/>
      <c r="BF65" s="58"/>
      <c r="BG65" s="58"/>
      <c r="CR65" s="59"/>
    </row>
    <row r="66" spans="1:96" s="60" customFormat="1" ht="15" customHeight="1" x14ac:dyDescent="0.2">
      <c r="A66" s="57"/>
      <c r="B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23" t="s">
        <v>422</v>
      </c>
      <c r="AY66" s="58"/>
      <c r="AZ66" s="58"/>
      <c r="BA66" s="58"/>
      <c r="BB66" s="58"/>
      <c r="BC66" s="58"/>
      <c r="BD66" s="58"/>
      <c r="BE66" s="58"/>
      <c r="BF66" s="58"/>
      <c r="BG66" s="58"/>
      <c r="CR66" s="59"/>
    </row>
    <row r="67" spans="1:96" s="60" customFormat="1" ht="15" customHeight="1" x14ac:dyDescent="0.2">
      <c r="A67" s="57"/>
      <c r="B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23" t="s">
        <v>423</v>
      </c>
      <c r="AY67" s="58"/>
      <c r="AZ67" s="58"/>
      <c r="BA67" s="58"/>
      <c r="BB67" s="58"/>
      <c r="BC67" s="58"/>
      <c r="BD67" s="58"/>
      <c r="BE67" s="58"/>
      <c r="BF67" s="58"/>
      <c r="BG67" s="58"/>
      <c r="CR67" s="59"/>
    </row>
    <row r="68" spans="1:96" s="60" customFormat="1" ht="15" customHeight="1" x14ac:dyDescent="0.2">
      <c r="A68" s="57"/>
      <c r="B68" s="58"/>
      <c r="AA68" s="58"/>
      <c r="AB68" s="58"/>
      <c r="AC68" s="58"/>
      <c r="AD68" s="58"/>
      <c r="AE68" s="58"/>
      <c r="AF68" s="58"/>
      <c r="AG68" s="58"/>
      <c r="AH68" s="58"/>
      <c r="AI68" s="58"/>
      <c r="AJ68" s="58"/>
      <c r="AK68" s="58"/>
      <c r="AL68" s="58"/>
      <c r="AM68" s="58"/>
      <c r="AN68" s="58"/>
      <c r="AO68" s="58"/>
      <c r="AP68" s="58"/>
      <c r="AQ68" s="58"/>
      <c r="AR68" s="58"/>
      <c r="AS68" s="58"/>
      <c r="AT68" s="58"/>
      <c r="AU68" s="58"/>
      <c r="AV68" s="58"/>
      <c r="AX68" s="23"/>
      <c r="CR68" s="59"/>
    </row>
    <row r="69" spans="1:96" s="60" customFormat="1" ht="15" customHeight="1" x14ac:dyDescent="0.2">
      <c r="A69" s="57"/>
      <c r="B69" s="58"/>
      <c r="X69" s="58"/>
      <c r="Y69" s="58"/>
      <c r="Z69" s="58"/>
      <c r="AU69" s="58"/>
      <c r="AV69" s="58"/>
      <c r="AW69" s="58" t="s">
        <v>424</v>
      </c>
      <c r="CR69" s="59"/>
    </row>
    <row r="70" spans="1:96" s="60" customFormat="1" ht="15" customHeight="1" x14ac:dyDescent="0.2">
      <c r="A70" s="57"/>
      <c r="B70" s="58"/>
      <c r="X70" s="58"/>
      <c r="Y70" s="58"/>
      <c r="Z70" s="58"/>
      <c r="AU70" s="58"/>
      <c r="AV70" s="58"/>
      <c r="AW70" s="58"/>
      <c r="AX70" s="23" t="s">
        <v>429</v>
      </c>
      <c r="CR70" s="59"/>
    </row>
    <row r="71" spans="1:96" s="60" customFormat="1" ht="15" customHeight="1" x14ac:dyDescent="0.2">
      <c r="A71" s="57"/>
      <c r="X71" s="58"/>
      <c r="Y71" s="58"/>
      <c r="Z71" s="58"/>
      <c r="AU71" s="58"/>
      <c r="AV71" s="58"/>
      <c r="CR71" s="59"/>
    </row>
    <row r="72" spans="1:96" s="60" customFormat="1" ht="15" customHeight="1" x14ac:dyDescent="0.2">
      <c r="A72" s="57"/>
      <c r="B72" s="23"/>
      <c r="C72" s="58"/>
      <c r="X72" s="58"/>
      <c r="Y72" s="58"/>
      <c r="Z72" s="58"/>
      <c r="AU72" s="58"/>
      <c r="AV72" s="58"/>
      <c r="AX72" s="58"/>
      <c r="AY72" s="58" t="s">
        <v>149</v>
      </c>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23"/>
      <c r="CN72" s="23"/>
      <c r="CO72" s="23"/>
      <c r="CP72" s="23"/>
      <c r="CQ72" s="58"/>
      <c r="CR72" s="59"/>
    </row>
    <row r="73" spans="1:96" s="60" customFormat="1" ht="15" customHeight="1" x14ac:dyDescent="0.2">
      <c r="A73" s="57"/>
      <c r="B73" s="58"/>
      <c r="C73" s="58"/>
      <c r="M73" s="23"/>
      <c r="X73" s="23"/>
      <c r="Y73" s="58"/>
      <c r="Z73" s="58"/>
      <c r="AU73" s="58"/>
      <c r="AV73" s="58"/>
      <c r="AX73" s="58"/>
      <c r="AY73" s="76" t="s">
        <v>89</v>
      </c>
      <c r="AZ73" s="289" t="s">
        <v>90</v>
      </c>
      <c r="BA73" s="289"/>
      <c r="BB73" s="289"/>
      <c r="BC73" s="289"/>
      <c r="BD73" s="289"/>
      <c r="BE73" s="289"/>
      <c r="BF73" s="289"/>
      <c r="BG73" s="289"/>
      <c r="BH73" s="289"/>
      <c r="BI73" s="289"/>
      <c r="BJ73" s="289"/>
      <c r="BK73" s="289"/>
      <c r="BL73" s="289"/>
      <c r="BM73" s="289"/>
      <c r="BN73" s="289"/>
      <c r="BO73" s="289"/>
      <c r="BP73" s="289"/>
      <c r="BQ73" s="289"/>
      <c r="BR73" s="289"/>
      <c r="BS73" s="289"/>
      <c r="BT73" s="289"/>
      <c r="BU73" s="289"/>
      <c r="BV73" s="289"/>
      <c r="BW73" s="289"/>
      <c r="BX73" s="289"/>
      <c r="BY73" s="289"/>
      <c r="BZ73" s="289"/>
      <c r="CA73" s="289"/>
      <c r="CB73" s="289"/>
      <c r="CC73" s="289"/>
      <c r="CD73" s="289"/>
      <c r="CE73" s="289"/>
      <c r="CF73" s="289"/>
      <c r="CG73" s="289"/>
      <c r="CH73" s="289"/>
      <c r="CI73" s="289"/>
      <c r="CJ73" s="289"/>
      <c r="CK73" s="289"/>
      <c r="CL73" s="289"/>
      <c r="CM73" s="289"/>
      <c r="CN73" s="289"/>
      <c r="CO73" s="289"/>
      <c r="CP73" s="289"/>
      <c r="CQ73" s="289"/>
      <c r="CR73" s="59"/>
    </row>
    <row r="74" spans="1:96" s="60" customFormat="1" ht="15" customHeight="1" x14ac:dyDescent="0.2">
      <c r="A74" s="57"/>
      <c r="B74" s="58"/>
      <c r="C74" s="58"/>
      <c r="J74" s="23" t="s">
        <v>145</v>
      </c>
      <c r="K74" s="23"/>
      <c r="L74" s="23"/>
      <c r="M74" s="23"/>
      <c r="X74" s="58"/>
      <c r="Y74" s="58"/>
      <c r="Z74" s="58"/>
      <c r="AU74" s="58"/>
      <c r="AV74" s="58"/>
      <c r="AY74" s="80" t="s">
        <v>88</v>
      </c>
      <c r="AZ74" s="73" t="s">
        <v>92</v>
      </c>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c r="CC74" s="73"/>
      <c r="CD74" s="73"/>
      <c r="CE74" s="73"/>
      <c r="CF74" s="73"/>
      <c r="CG74" s="73"/>
      <c r="CH74" s="73"/>
      <c r="CI74" s="73"/>
      <c r="CJ74" s="73"/>
      <c r="CK74" s="73"/>
      <c r="CL74" s="73"/>
      <c r="CM74" s="74"/>
      <c r="CN74" s="74"/>
      <c r="CO74" s="74"/>
      <c r="CP74" s="74"/>
      <c r="CQ74" s="75"/>
      <c r="CR74" s="59"/>
    </row>
    <row r="75" spans="1:96" s="60" customFormat="1" ht="15" customHeight="1" x14ac:dyDescent="0.2">
      <c r="A75" s="57"/>
      <c r="B75" s="58"/>
      <c r="C75" s="58"/>
      <c r="D75" s="23"/>
      <c r="E75" s="23"/>
      <c r="F75" s="23"/>
      <c r="G75" s="23"/>
      <c r="H75" s="23"/>
      <c r="I75" s="23"/>
      <c r="M75" s="23"/>
      <c r="N75" s="23"/>
      <c r="O75" s="23"/>
      <c r="P75" s="23"/>
      <c r="Q75" s="23"/>
      <c r="R75" s="23"/>
      <c r="S75" s="23"/>
      <c r="T75" s="23"/>
      <c r="U75" s="23"/>
      <c r="V75" s="23"/>
      <c r="W75" s="23"/>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Y75" s="77" t="s">
        <v>91</v>
      </c>
      <c r="AZ75" s="110" t="s">
        <v>387</v>
      </c>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c r="BY75" s="111"/>
      <c r="BZ75" s="111"/>
      <c r="CA75" s="111"/>
      <c r="CB75" s="111"/>
      <c r="CC75" s="111"/>
      <c r="CD75" s="111"/>
      <c r="CE75" s="111"/>
      <c r="CF75" s="111"/>
      <c r="CG75" s="111"/>
      <c r="CH75" s="111"/>
      <c r="CI75" s="111"/>
      <c r="CJ75" s="111"/>
      <c r="CK75" s="111"/>
      <c r="CL75" s="111"/>
      <c r="CM75" s="112"/>
      <c r="CN75" s="112"/>
      <c r="CO75" s="112"/>
      <c r="CP75" s="112"/>
      <c r="CQ75" s="113"/>
      <c r="CR75" s="59"/>
    </row>
    <row r="76" spans="1:96" s="60" customFormat="1" ht="15" customHeight="1" x14ac:dyDescent="0.2">
      <c r="A76" s="57"/>
      <c r="B76" s="58"/>
      <c r="C76" s="58"/>
      <c r="D76" s="23"/>
      <c r="E76" s="23"/>
      <c r="F76" s="23"/>
      <c r="G76" s="23"/>
      <c r="H76" s="23"/>
      <c r="I76" s="23"/>
      <c r="N76" s="23"/>
      <c r="O76" s="23"/>
      <c r="P76" s="23"/>
      <c r="Q76" s="23"/>
      <c r="R76" s="23"/>
      <c r="S76" s="23"/>
      <c r="T76" s="23"/>
      <c r="U76" s="23"/>
      <c r="V76" s="23"/>
      <c r="W76" s="23"/>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Y76" s="78"/>
      <c r="AZ76" s="66" t="s">
        <v>150</v>
      </c>
      <c r="BA76" s="64"/>
      <c r="BB76" s="64"/>
      <c r="BC76" s="64"/>
      <c r="BD76" s="64"/>
      <c r="BE76" s="64"/>
      <c r="BF76" s="64"/>
      <c r="BG76" s="64"/>
      <c r="BH76" s="64"/>
      <c r="BI76" s="64"/>
      <c r="BJ76" s="64"/>
      <c r="BK76" s="64"/>
      <c r="BL76" s="64"/>
      <c r="BM76" s="64"/>
      <c r="BN76" s="64"/>
      <c r="BO76" s="64"/>
      <c r="BP76" s="64"/>
      <c r="BQ76" s="64"/>
      <c r="BR76" s="64"/>
      <c r="BS76" s="64"/>
      <c r="BT76" s="64"/>
      <c r="BU76" s="64"/>
      <c r="BV76" s="64"/>
      <c r="BW76" s="64"/>
      <c r="BX76" s="64"/>
      <c r="BY76" s="64"/>
      <c r="BZ76" s="64"/>
      <c r="CA76" s="64"/>
      <c r="CB76" s="64"/>
      <c r="CC76" s="64"/>
      <c r="CD76" s="64"/>
      <c r="CE76" s="64"/>
      <c r="CF76" s="64"/>
      <c r="CG76" s="64"/>
      <c r="CH76" s="64"/>
      <c r="CI76" s="64"/>
      <c r="CJ76" s="64"/>
      <c r="CK76" s="64"/>
      <c r="CL76" s="64"/>
      <c r="CM76" s="36"/>
      <c r="CN76" s="36"/>
      <c r="CO76" s="36"/>
      <c r="CP76" s="36"/>
      <c r="CQ76" s="65"/>
      <c r="CR76" s="59"/>
    </row>
    <row r="77" spans="1:96" s="60" customFormat="1" ht="15" customHeight="1" x14ac:dyDescent="0.2">
      <c r="A77" s="57"/>
      <c r="B77" s="58"/>
      <c r="C77" s="58"/>
      <c r="D77" s="23"/>
      <c r="E77" s="23"/>
      <c r="F77" s="23"/>
      <c r="G77" s="23"/>
      <c r="H77" s="23"/>
      <c r="I77" s="23"/>
      <c r="N77" s="23"/>
      <c r="O77" s="23"/>
      <c r="P77" s="23"/>
      <c r="Q77" s="23"/>
      <c r="R77" s="23"/>
      <c r="S77" s="23"/>
      <c r="T77" s="23"/>
      <c r="U77" s="23"/>
      <c r="V77" s="23"/>
      <c r="W77" s="23"/>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Y77" s="79"/>
      <c r="AZ77" s="67" t="s">
        <v>93</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42"/>
      <c r="CN77" s="42"/>
      <c r="CO77" s="42"/>
      <c r="CP77" s="42"/>
      <c r="CQ77" s="69"/>
      <c r="CR77" s="59"/>
    </row>
    <row r="78" spans="1:96" s="60" customFormat="1" ht="15" customHeight="1" x14ac:dyDescent="0.2">
      <c r="A78" s="57"/>
      <c r="B78" s="58"/>
      <c r="C78" s="58"/>
      <c r="D78" s="23"/>
      <c r="E78" s="23"/>
      <c r="F78" s="23"/>
      <c r="G78" s="23"/>
      <c r="H78" s="23"/>
      <c r="I78" s="23"/>
      <c r="J78" s="23"/>
      <c r="P78" s="23"/>
      <c r="Q78" s="23"/>
      <c r="R78" s="23"/>
      <c r="S78" s="23"/>
      <c r="T78" s="23"/>
      <c r="U78" s="23"/>
      <c r="V78" s="23"/>
      <c r="W78" s="23"/>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CR78" s="59"/>
    </row>
    <row r="79" spans="1:96" s="60" customFormat="1" ht="15" customHeight="1" x14ac:dyDescent="0.2">
      <c r="A79" s="57"/>
      <c r="B79" s="58"/>
      <c r="C79" s="58"/>
      <c r="D79" s="58"/>
      <c r="E79" s="58"/>
      <c r="F79" s="58"/>
      <c r="G79" s="58"/>
      <c r="H79" s="58"/>
      <c r="I79" s="58"/>
      <c r="J79" s="58"/>
      <c r="K79" s="23"/>
      <c r="L79" s="23"/>
      <c r="M79" s="23"/>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t="s">
        <v>378</v>
      </c>
      <c r="CR79" s="59"/>
    </row>
    <row r="80" spans="1:96" s="60" customFormat="1" ht="15" customHeight="1" x14ac:dyDescent="0.2">
      <c r="A80" s="57"/>
      <c r="B80" s="58"/>
      <c r="C80" s="58"/>
      <c r="D80" s="58"/>
      <c r="E80" s="58"/>
      <c r="F80" s="58"/>
      <c r="G80" s="58"/>
      <c r="H80" s="23"/>
      <c r="I80" s="23"/>
      <c r="J80" s="23"/>
      <c r="M80" s="23"/>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t="s">
        <v>240</v>
      </c>
      <c r="CR80" s="59"/>
    </row>
    <row r="81" spans="1:96" s="60" customFormat="1" ht="15" customHeight="1" x14ac:dyDescent="0.2">
      <c r="A81" s="57"/>
      <c r="B81" s="58"/>
      <c r="C81" s="58"/>
      <c r="R81" s="23"/>
      <c r="S81" s="23"/>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23" t="s">
        <v>98</v>
      </c>
      <c r="CH81" s="58"/>
      <c r="CI81" s="58"/>
      <c r="CJ81" s="58"/>
      <c r="CK81" s="58"/>
      <c r="CL81" s="58"/>
      <c r="CM81" s="58"/>
      <c r="CN81" s="58"/>
      <c r="CO81" s="58"/>
      <c r="CP81" s="58"/>
      <c r="CQ81" s="58"/>
      <c r="CR81" s="59"/>
    </row>
    <row r="82" spans="1:96" s="60" customFormat="1" ht="15" customHeight="1" x14ac:dyDescent="0.2">
      <c r="A82" s="57"/>
      <c r="B82" s="58"/>
      <c r="C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X82" s="58"/>
      <c r="AY82" s="321" t="s">
        <v>97</v>
      </c>
      <c r="AZ82" s="321"/>
      <c r="BA82" s="321"/>
      <c r="BB82" s="321"/>
      <c r="BC82" s="321"/>
      <c r="BD82" s="321"/>
      <c r="BE82" s="321"/>
      <c r="BF82" s="321" t="s">
        <v>96</v>
      </c>
      <c r="BG82" s="321"/>
      <c r="BH82" s="321"/>
      <c r="BI82" s="321"/>
      <c r="BJ82" s="321"/>
      <c r="BK82" s="321"/>
      <c r="BL82" s="321"/>
      <c r="BM82" s="321" t="s">
        <v>127</v>
      </c>
      <c r="BN82" s="321"/>
      <c r="BO82" s="321"/>
      <c r="BP82" s="321"/>
      <c r="BQ82" s="321"/>
      <c r="BR82" s="333" t="s">
        <v>379</v>
      </c>
      <c r="BS82" s="333"/>
      <c r="BT82" s="333"/>
      <c r="BU82" s="333"/>
      <c r="BV82" s="333"/>
      <c r="BW82" s="333"/>
      <c r="BX82" s="333"/>
      <c r="BY82" s="321" t="s">
        <v>151</v>
      </c>
      <c r="BZ82" s="321"/>
      <c r="CA82" s="321"/>
      <c r="CB82" s="321"/>
      <c r="CC82" s="321"/>
      <c r="CD82" s="321"/>
      <c r="CE82" s="321"/>
      <c r="CF82" s="321"/>
      <c r="CG82" s="321"/>
      <c r="CH82" s="321" t="s">
        <v>101</v>
      </c>
      <c r="CI82" s="321"/>
      <c r="CJ82" s="321"/>
      <c r="CK82" s="321"/>
      <c r="CL82" s="321"/>
      <c r="CM82" s="321"/>
      <c r="CN82" s="321"/>
      <c r="CO82" s="321"/>
      <c r="CP82" s="321"/>
      <c r="CQ82" s="321"/>
      <c r="CR82" s="59"/>
    </row>
    <row r="83" spans="1:96" s="60" customFormat="1" ht="15" customHeight="1" x14ac:dyDescent="0.2">
      <c r="A83" s="57"/>
      <c r="B83" s="58"/>
      <c r="C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X83" s="58"/>
      <c r="AY83" s="331">
        <v>45171</v>
      </c>
      <c r="AZ83" s="310"/>
      <c r="BA83" s="310"/>
      <c r="BB83" s="310"/>
      <c r="BC83" s="310"/>
      <c r="BD83" s="310"/>
      <c r="BE83" s="310"/>
      <c r="BF83" s="331">
        <v>45194</v>
      </c>
      <c r="BG83" s="310"/>
      <c r="BH83" s="310"/>
      <c r="BI83" s="310"/>
      <c r="BJ83" s="310"/>
      <c r="BK83" s="310"/>
      <c r="BL83" s="310"/>
      <c r="BM83" s="332">
        <v>45139</v>
      </c>
      <c r="BN83" s="332"/>
      <c r="BO83" s="332"/>
      <c r="BP83" s="332"/>
      <c r="BQ83" s="332"/>
      <c r="BR83" s="331" t="s">
        <v>100</v>
      </c>
      <c r="BS83" s="310"/>
      <c r="BT83" s="310"/>
      <c r="BU83" s="310"/>
      <c r="BV83" s="310"/>
      <c r="BW83" s="310"/>
      <c r="BX83" s="310"/>
      <c r="BY83" s="310" t="s">
        <v>152</v>
      </c>
      <c r="BZ83" s="310"/>
      <c r="CA83" s="310"/>
      <c r="CB83" s="310"/>
      <c r="CC83" s="310"/>
      <c r="CD83" s="310"/>
      <c r="CE83" s="310"/>
      <c r="CF83" s="310"/>
      <c r="CG83" s="310"/>
      <c r="CH83" s="279" t="s">
        <v>154</v>
      </c>
      <c r="CI83" s="279"/>
      <c r="CJ83" s="279"/>
      <c r="CK83" s="279"/>
      <c r="CL83" s="279"/>
      <c r="CM83" s="279"/>
      <c r="CN83" s="279"/>
      <c r="CO83" s="279"/>
      <c r="CP83" s="279"/>
      <c r="CQ83" s="279"/>
      <c r="CR83" s="59"/>
    </row>
    <row r="84" spans="1:96" s="60" customFormat="1" ht="15" customHeight="1" x14ac:dyDescent="0.2">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X84" s="58"/>
      <c r="AY84" s="331" t="s">
        <v>381</v>
      </c>
      <c r="AZ84" s="310"/>
      <c r="BA84" s="310"/>
      <c r="BB84" s="310"/>
      <c r="BC84" s="310"/>
      <c r="BD84" s="310"/>
      <c r="BE84" s="310"/>
      <c r="BF84" s="331">
        <v>45194</v>
      </c>
      <c r="BG84" s="310"/>
      <c r="BH84" s="310"/>
      <c r="BI84" s="310"/>
      <c r="BJ84" s="310"/>
      <c r="BK84" s="310"/>
      <c r="BL84" s="310"/>
      <c r="BM84" s="332">
        <v>45139</v>
      </c>
      <c r="BN84" s="332"/>
      <c r="BO84" s="332"/>
      <c r="BP84" s="332"/>
      <c r="BQ84" s="332"/>
      <c r="BR84" s="331">
        <v>45179</v>
      </c>
      <c r="BS84" s="310"/>
      <c r="BT84" s="310"/>
      <c r="BU84" s="310"/>
      <c r="BV84" s="310"/>
      <c r="BW84" s="310"/>
      <c r="BX84" s="310"/>
      <c r="BY84" s="310" t="s">
        <v>382</v>
      </c>
      <c r="BZ84" s="310"/>
      <c r="CA84" s="310"/>
      <c r="CB84" s="310"/>
      <c r="CC84" s="310"/>
      <c r="CD84" s="310"/>
      <c r="CE84" s="310"/>
      <c r="CF84" s="310"/>
      <c r="CG84" s="310"/>
      <c r="CH84" s="279" t="s">
        <v>383</v>
      </c>
      <c r="CI84" s="279"/>
      <c r="CJ84" s="279"/>
      <c r="CK84" s="279"/>
      <c r="CL84" s="279"/>
      <c r="CM84" s="279"/>
      <c r="CN84" s="279"/>
      <c r="CO84" s="279"/>
      <c r="CP84" s="279"/>
      <c r="CQ84" s="279"/>
      <c r="CR84" s="59"/>
    </row>
    <row r="85" spans="1:96" s="60" customFormat="1" ht="15" customHeight="1" x14ac:dyDescent="0.2">
      <c r="A85" s="57"/>
      <c r="B85" s="58"/>
      <c r="AY85" s="335">
        <v>45171</v>
      </c>
      <c r="AZ85" s="336"/>
      <c r="BA85" s="336"/>
      <c r="BB85" s="336"/>
      <c r="BC85" s="336"/>
      <c r="BD85" s="336"/>
      <c r="BE85" s="336"/>
      <c r="BF85" s="335">
        <v>45163</v>
      </c>
      <c r="BG85" s="336"/>
      <c r="BH85" s="336"/>
      <c r="BI85" s="336"/>
      <c r="BJ85" s="336"/>
      <c r="BK85" s="336"/>
      <c r="BL85" s="336"/>
      <c r="BM85" s="337">
        <v>45108</v>
      </c>
      <c r="BN85" s="337"/>
      <c r="BO85" s="337"/>
      <c r="BP85" s="337"/>
      <c r="BQ85" s="337"/>
      <c r="BR85" s="335">
        <v>45148</v>
      </c>
      <c r="BS85" s="336"/>
      <c r="BT85" s="336"/>
      <c r="BU85" s="336"/>
      <c r="BV85" s="336"/>
      <c r="BW85" s="336"/>
      <c r="BX85" s="336"/>
      <c r="BY85" s="336" t="s">
        <v>156</v>
      </c>
      <c r="BZ85" s="336"/>
      <c r="CA85" s="336"/>
      <c r="CB85" s="336"/>
      <c r="CC85" s="336"/>
      <c r="CD85" s="336"/>
      <c r="CE85" s="336"/>
      <c r="CF85" s="336"/>
      <c r="CG85" s="336"/>
      <c r="CH85" s="334" t="s">
        <v>102</v>
      </c>
      <c r="CI85" s="334"/>
      <c r="CJ85" s="334"/>
      <c r="CK85" s="334"/>
      <c r="CL85" s="334"/>
      <c r="CM85" s="334"/>
      <c r="CN85" s="334"/>
      <c r="CO85" s="334"/>
      <c r="CP85" s="334"/>
      <c r="CQ85" s="334"/>
      <c r="CR85" s="59"/>
    </row>
    <row r="86" spans="1:96" s="60" customFormat="1" ht="15" customHeight="1" x14ac:dyDescent="0.2">
      <c r="A86" s="57"/>
      <c r="B86" s="58"/>
      <c r="AY86" s="331">
        <v>45171</v>
      </c>
      <c r="AZ86" s="310"/>
      <c r="BA86" s="310"/>
      <c r="BB86" s="310"/>
      <c r="BC86" s="310"/>
      <c r="BD86" s="310"/>
      <c r="BE86" s="310"/>
      <c r="BF86" s="331">
        <v>45163</v>
      </c>
      <c r="BG86" s="310"/>
      <c r="BH86" s="310"/>
      <c r="BI86" s="310"/>
      <c r="BJ86" s="310"/>
      <c r="BK86" s="310"/>
      <c r="BL86" s="310"/>
      <c r="BM86" s="332">
        <v>45108</v>
      </c>
      <c r="BN86" s="332"/>
      <c r="BO86" s="332"/>
      <c r="BP86" s="332"/>
      <c r="BQ86" s="332"/>
      <c r="BR86" s="331" t="s">
        <v>100</v>
      </c>
      <c r="BS86" s="310"/>
      <c r="BT86" s="310"/>
      <c r="BU86" s="310"/>
      <c r="BV86" s="310"/>
      <c r="BW86" s="310"/>
      <c r="BX86" s="310"/>
      <c r="BY86" s="310" t="s">
        <v>153</v>
      </c>
      <c r="BZ86" s="310"/>
      <c r="CA86" s="310"/>
      <c r="CB86" s="310"/>
      <c r="CC86" s="310"/>
      <c r="CD86" s="310"/>
      <c r="CE86" s="310"/>
      <c r="CF86" s="310"/>
      <c r="CG86" s="310"/>
      <c r="CH86" s="279" t="s">
        <v>380</v>
      </c>
      <c r="CI86" s="279"/>
      <c r="CJ86" s="279"/>
      <c r="CK86" s="279"/>
      <c r="CL86" s="279"/>
      <c r="CM86" s="279"/>
      <c r="CN86" s="279"/>
      <c r="CO86" s="279"/>
      <c r="CP86" s="279"/>
      <c r="CQ86" s="279"/>
      <c r="CR86" s="59"/>
    </row>
    <row r="87" spans="1:96" s="60" customFormat="1" ht="15" customHeight="1" x14ac:dyDescent="0.2">
      <c r="A87" s="57"/>
      <c r="B87" s="58"/>
      <c r="D87" s="58" t="s">
        <v>425</v>
      </c>
      <c r="E87" s="58"/>
      <c r="F87" s="58"/>
      <c r="G87" s="58"/>
      <c r="H87" s="23"/>
      <c r="I87" s="23"/>
      <c r="J87" s="23"/>
      <c r="K87" s="23"/>
      <c r="L87" s="23"/>
      <c r="M87" s="23"/>
      <c r="N87" s="23"/>
      <c r="O87" s="23"/>
      <c r="P87" s="23"/>
      <c r="Q87" s="23"/>
      <c r="AW87" s="58"/>
      <c r="AY87" s="331">
        <v>45180</v>
      </c>
      <c r="AZ87" s="310"/>
      <c r="BA87" s="310"/>
      <c r="BB87" s="310"/>
      <c r="BC87" s="310"/>
      <c r="BD87" s="310"/>
      <c r="BE87" s="310"/>
      <c r="BF87" s="331">
        <v>45224</v>
      </c>
      <c r="BG87" s="310"/>
      <c r="BH87" s="310"/>
      <c r="BI87" s="310"/>
      <c r="BJ87" s="310"/>
      <c r="BK87" s="310"/>
      <c r="BL87" s="310"/>
      <c r="BM87" s="332">
        <v>45170</v>
      </c>
      <c r="BN87" s="332"/>
      <c r="BO87" s="332"/>
      <c r="BP87" s="332"/>
      <c r="BQ87" s="332"/>
      <c r="BR87" s="331" t="s">
        <v>100</v>
      </c>
      <c r="BS87" s="310"/>
      <c r="BT87" s="310"/>
      <c r="BU87" s="310"/>
      <c r="BV87" s="310"/>
      <c r="BW87" s="310"/>
      <c r="BX87" s="310"/>
      <c r="BY87" s="310" t="s">
        <v>153</v>
      </c>
      <c r="BZ87" s="310"/>
      <c r="CA87" s="310"/>
      <c r="CB87" s="310"/>
      <c r="CC87" s="310"/>
      <c r="CD87" s="310"/>
      <c r="CE87" s="310"/>
      <c r="CF87" s="310"/>
      <c r="CG87" s="310"/>
      <c r="CH87" s="279" t="s">
        <v>155</v>
      </c>
      <c r="CI87" s="279"/>
      <c r="CJ87" s="279"/>
      <c r="CK87" s="279"/>
      <c r="CL87" s="279"/>
      <c r="CM87" s="279"/>
      <c r="CN87" s="279"/>
      <c r="CO87" s="279"/>
      <c r="CP87" s="279"/>
      <c r="CQ87" s="279"/>
      <c r="CR87" s="59"/>
    </row>
    <row r="88" spans="1:96" s="60" customFormat="1" ht="15" customHeight="1" x14ac:dyDescent="0.2">
      <c r="A88" s="57"/>
      <c r="B88" s="23"/>
      <c r="D88" s="58" t="s">
        <v>426</v>
      </c>
      <c r="E88" s="58"/>
      <c r="F88" s="58"/>
      <c r="G88" s="58"/>
      <c r="H88" s="58"/>
      <c r="I88" s="58"/>
      <c r="J88" s="58"/>
      <c r="K88" s="58"/>
      <c r="L88" s="58"/>
      <c r="M88" s="58"/>
      <c r="N88" s="58"/>
      <c r="O88" s="58"/>
      <c r="P88" s="58"/>
      <c r="Q88" s="58"/>
      <c r="AZ88" s="23" t="s">
        <v>385</v>
      </c>
      <c r="CR88" s="59"/>
    </row>
    <row r="89" spans="1:96" s="60" customFormat="1" ht="15" customHeight="1" x14ac:dyDescent="0.2">
      <c r="A89" s="57"/>
      <c r="B89" s="23"/>
      <c r="D89" s="58" t="s">
        <v>427</v>
      </c>
      <c r="E89" s="58"/>
      <c r="F89" s="58"/>
      <c r="G89" s="58"/>
      <c r="H89" s="58"/>
      <c r="I89" s="58"/>
      <c r="J89" s="58"/>
      <c r="K89" s="58"/>
      <c r="L89" s="58"/>
      <c r="M89" s="58"/>
      <c r="N89" s="58" t="s">
        <v>428</v>
      </c>
      <c r="O89" s="58"/>
      <c r="P89" s="58"/>
      <c r="AZ89" s="23" t="s">
        <v>386</v>
      </c>
      <c r="CR89" s="59"/>
    </row>
    <row r="90" spans="1:96"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row r="91" spans="1:96" ht="15" customHeight="1" x14ac:dyDescent="0.15">
      <c r="A91" s="184" t="s">
        <v>66</v>
      </c>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c r="AX91" s="185"/>
      <c r="AY91" s="185"/>
      <c r="AZ91" s="185"/>
      <c r="BA91" s="185"/>
      <c r="BB91" s="185"/>
      <c r="BC91" s="185"/>
      <c r="BD91" s="185"/>
      <c r="BE91" s="185"/>
      <c r="BF91" s="185"/>
      <c r="BG91" s="185"/>
      <c r="BH91" s="185"/>
      <c r="BI91" s="185"/>
      <c r="BJ91" s="185"/>
      <c r="BK91" s="185"/>
      <c r="BL91" s="185"/>
      <c r="BM91" s="185"/>
      <c r="BN91" s="185"/>
      <c r="BO91" s="185"/>
      <c r="BP91" s="185"/>
      <c r="BQ91" s="185"/>
      <c r="BR91" s="185"/>
      <c r="BS91" s="185"/>
      <c r="BT91" s="185"/>
      <c r="BU91" s="185"/>
      <c r="BV91" s="185"/>
      <c r="BW91" s="185"/>
      <c r="BX91" s="185"/>
      <c r="BY91" s="185"/>
      <c r="BZ91" s="185"/>
      <c r="CA91" s="185"/>
      <c r="CB91" s="185"/>
      <c r="CC91" s="185"/>
      <c r="CD91" s="185"/>
      <c r="CE91" s="185"/>
      <c r="CF91" s="185"/>
      <c r="CG91" s="185"/>
      <c r="CH91" s="185"/>
      <c r="CI91" s="185"/>
      <c r="CJ91" s="185"/>
      <c r="CK91" s="185"/>
      <c r="CL91" s="185"/>
      <c r="CM91" s="185"/>
      <c r="CN91" s="185"/>
      <c r="CO91" s="185"/>
      <c r="CP91" s="185"/>
      <c r="CQ91" s="185"/>
      <c r="CR91" s="186"/>
    </row>
    <row r="92" spans="1:96" ht="15" customHeight="1" x14ac:dyDescent="0.15">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9"/>
    </row>
    <row r="93" spans="1:96" ht="15" customHeight="1" x14ac:dyDescent="0.15">
      <c r="A93" s="57"/>
      <c r="B93" s="58" t="s">
        <v>115</v>
      </c>
      <c r="C93" s="58"/>
      <c r="D93" s="58"/>
      <c r="E93" s="58"/>
      <c r="F93" s="58"/>
      <c r="G93" s="58"/>
      <c r="H93" s="58"/>
      <c r="I93" s="58"/>
      <c r="J93" s="58"/>
      <c r="K93" s="58"/>
      <c r="L93" s="58"/>
      <c r="M93" s="58"/>
      <c r="N93" s="58"/>
      <c r="O93" s="58"/>
      <c r="P93" s="58"/>
      <c r="Q93" s="58"/>
      <c r="R93" s="58"/>
      <c r="S93" s="58"/>
      <c r="T93" s="58" t="s">
        <v>317</v>
      </c>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t="s">
        <v>334</v>
      </c>
      <c r="AY93" s="58"/>
      <c r="AZ93" s="58"/>
      <c r="BA93" s="58"/>
      <c r="BB93" s="58"/>
      <c r="BC93" s="58"/>
      <c r="BD93" s="58"/>
      <c r="BE93" s="58"/>
      <c r="BF93" s="58"/>
      <c r="BG93" s="58"/>
      <c r="BH93" s="58"/>
      <c r="BI93" s="58"/>
      <c r="BJ93" s="58"/>
      <c r="BO93" s="58" t="s">
        <v>335</v>
      </c>
      <c r="BP93" s="58"/>
      <c r="BQ93" s="58"/>
      <c r="BR93" s="58"/>
      <c r="BS93" s="58"/>
      <c r="BT93" s="58"/>
      <c r="BU93" s="58"/>
      <c r="BV93" s="58"/>
      <c r="BW93" s="58"/>
      <c r="BX93" s="58"/>
      <c r="BY93" s="58"/>
      <c r="BZ93" s="58"/>
      <c r="CA93" s="58"/>
      <c r="CB93" s="58"/>
      <c r="CC93" s="58"/>
      <c r="CD93" s="58"/>
      <c r="CE93" s="58"/>
      <c r="CF93" s="58"/>
      <c r="CG93" s="58"/>
      <c r="CH93" s="58"/>
      <c r="CI93" s="58"/>
      <c r="CJ93" s="58"/>
      <c r="CK93" s="58"/>
      <c r="CL93" s="60"/>
      <c r="CM93" s="60"/>
      <c r="CN93" s="60"/>
      <c r="CO93" s="60"/>
      <c r="CP93" s="58"/>
      <c r="CQ93" s="58"/>
      <c r="CR93" s="59"/>
    </row>
    <row r="94" spans="1:96" ht="15" customHeight="1" x14ac:dyDescent="0.15">
      <c r="A94" s="57"/>
      <c r="B94" s="58"/>
      <c r="C94" s="299" t="s">
        <v>79</v>
      </c>
      <c r="D94" s="300"/>
      <c r="E94" s="300"/>
      <c r="F94" s="300"/>
      <c r="G94" s="300"/>
      <c r="H94" s="300"/>
      <c r="I94" s="300"/>
      <c r="J94" s="300"/>
      <c r="K94" s="300"/>
      <c r="L94" s="300"/>
      <c r="M94" s="300"/>
      <c r="N94" s="300"/>
      <c r="O94" s="300"/>
      <c r="P94" s="308"/>
      <c r="Q94" s="299" t="s">
        <v>114</v>
      </c>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8"/>
      <c r="AO94" s="58"/>
      <c r="AP94" s="58"/>
      <c r="AQ94" s="58"/>
      <c r="AR94" s="58"/>
      <c r="AS94" s="58"/>
      <c r="AT94" s="58"/>
      <c r="AU94" s="58"/>
      <c r="AV94" s="58"/>
      <c r="AW94" s="58"/>
      <c r="AX94" s="58"/>
      <c r="AY94" s="289" t="s">
        <v>79</v>
      </c>
      <c r="AZ94" s="289"/>
      <c r="BA94" s="289"/>
      <c r="BB94" s="289"/>
      <c r="BC94" s="289"/>
      <c r="BD94" s="289"/>
      <c r="BE94" s="289"/>
      <c r="BF94" s="289"/>
      <c r="BG94" s="289"/>
      <c r="BH94" s="289"/>
      <c r="BI94" s="289"/>
      <c r="BJ94" s="289"/>
      <c r="BK94" s="289"/>
      <c r="BL94" s="289"/>
      <c r="BM94" s="289" t="s">
        <v>114</v>
      </c>
      <c r="BN94" s="289"/>
      <c r="BO94" s="289"/>
      <c r="BP94" s="289"/>
      <c r="BQ94" s="289"/>
      <c r="BR94" s="289"/>
      <c r="BS94" s="289"/>
      <c r="BT94" s="289"/>
      <c r="BU94" s="289"/>
      <c r="BV94" s="289"/>
      <c r="BW94" s="289"/>
      <c r="BX94" s="289"/>
      <c r="BY94" s="289"/>
      <c r="BZ94" s="289"/>
      <c r="CA94" s="289"/>
      <c r="CB94" s="289"/>
      <c r="CC94" s="289"/>
      <c r="CD94" s="289"/>
      <c r="CE94" s="289"/>
      <c r="CF94" s="289"/>
      <c r="CG94" s="289"/>
      <c r="CH94" s="289"/>
      <c r="CI94" s="289"/>
      <c r="CJ94" s="289"/>
      <c r="CK94" s="289"/>
      <c r="CL94" s="289"/>
      <c r="CM94" s="289"/>
      <c r="CN94" s="289"/>
      <c r="CO94" s="289"/>
      <c r="CP94" s="58"/>
      <c r="CQ94" s="58"/>
      <c r="CR94" s="59"/>
    </row>
    <row r="95" spans="1:96" ht="15" customHeight="1" x14ac:dyDescent="0.15">
      <c r="A95" s="57"/>
      <c r="B95" s="58"/>
      <c r="C95" s="296" t="s">
        <v>388</v>
      </c>
      <c r="D95" s="296"/>
      <c r="E95" s="296"/>
      <c r="F95" s="296"/>
      <c r="G95" s="296"/>
      <c r="H95" s="296"/>
      <c r="I95" s="296"/>
      <c r="J95" s="296"/>
      <c r="K95" s="296"/>
      <c r="L95" s="296"/>
      <c r="M95" s="296"/>
      <c r="N95" s="296"/>
      <c r="O95" s="296"/>
      <c r="P95" s="296"/>
      <c r="Q95" s="327" t="s">
        <v>389</v>
      </c>
      <c r="R95" s="327"/>
      <c r="S95" s="327"/>
      <c r="T95" s="327"/>
      <c r="U95" s="327"/>
      <c r="V95" s="327"/>
      <c r="W95" s="327"/>
      <c r="X95" s="327"/>
      <c r="Y95" s="327"/>
      <c r="Z95" s="327"/>
      <c r="AA95" s="327"/>
      <c r="AB95" s="327"/>
      <c r="AC95" s="327"/>
      <c r="AD95" s="327"/>
      <c r="AE95" s="327"/>
      <c r="AF95" s="327"/>
      <c r="AG95" s="327"/>
      <c r="AH95" s="327"/>
      <c r="AI95" s="327"/>
      <c r="AJ95" s="327"/>
      <c r="AK95" s="327"/>
      <c r="AL95" s="327"/>
      <c r="AM95" s="327"/>
      <c r="AN95" s="327"/>
      <c r="AO95" s="58"/>
      <c r="AP95" s="58"/>
      <c r="AQ95" s="58"/>
      <c r="AR95" s="58"/>
      <c r="AS95" s="58"/>
      <c r="AT95" s="58"/>
      <c r="AU95" s="58"/>
      <c r="AV95" s="58"/>
      <c r="AW95" s="58"/>
      <c r="AX95" s="60"/>
      <c r="AY95" s="296" t="s">
        <v>388</v>
      </c>
      <c r="AZ95" s="296"/>
      <c r="BA95" s="296"/>
      <c r="BB95" s="296"/>
      <c r="BC95" s="296"/>
      <c r="BD95" s="296"/>
      <c r="BE95" s="296"/>
      <c r="BF95" s="296"/>
      <c r="BG95" s="296"/>
      <c r="BH95" s="296"/>
      <c r="BI95" s="296"/>
      <c r="BJ95" s="296"/>
      <c r="BK95" s="296"/>
      <c r="BL95" s="296"/>
      <c r="BM95" s="278" t="s">
        <v>389</v>
      </c>
      <c r="BN95" s="278"/>
      <c r="BO95" s="278"/>
      <c r="BP95" s="278"/>
      <c r="BQ95" s="278"/>
      <c r="BR95" s="278"/>
      <c r="BS95" s="278"/>
      <c r="BT95" s="278"/>
      <c r="BU95" s="278"/>
      <c r="BV95" s="278"/>
      <c r="BW95" s="278"/>
      <c r="BX95" s="278"/>
      <c r="BY95" s="278"/>
      <c r="BZ95" s="278"/>
      <c r="CA95" s="278"/>
      <c r="CB95" s="278"/>
      <c r="CC95" s="278"/>
      <c r="CD95" s="278"/>
      <c r="CE95" s="278"/>
      <c r="CF95" s="278"/>
      <c r="CG95" s="278"/>
      <c r="CH95" s="278"/>
      <c r="CI95" s="278"/>
      <c r="CJ95" s="278"/>
      <c r="CK95" s="278"/>
      <c r="CL95" s="278"/>
      <c r="CM95" s="278"/>
      <c r="CN95" s="278"/>
      <c r="CO95" s="278"/>
      <c r="CP95" s="58"/>
      <c r="CQ95" s="58"/>
      <c r="CR95" s="59"/>
    </row>
    <row r="96" spans="1:96" ht="15" customHeight="1" x14ac:dyDescent="0.15">
      <c r="A96" s="57"/>
      <c r="B96" s="58"/>
      <c r="C96" s="318" t="s">
        <v>116</v>
      </c>
      <c r="D96" s="319"/>
      <c r="E96" s="319"/>
      <c r="F96" s="319"/>
      <c r="G96" s="319"/>
      <c r="H96" s="319"/>
      <c r="I96" s="319"/>
      <c r="J96" s="319"/>
      <c r="K96" s="319"/>
      <c r="L96" s="319"/>
      <c r="M96" s="319"/>
      <c r="N96" s="319"/>
      <c r="O96" s="319"/>
      <c r="P96" s="320"/>
      <c r="Q96" s="315" t="s">
        <v>119</v>
      </c>
      <c r="R96" s="316"/>
      <c r="S96" s="316"/>
      <c r="T96" s="316"/>
      <c r="U96" s="316"/>
      <c r="V96" s="316"/>
      <c r="W96" s="316"/>
      <c r="X96" s="316"/>
      <c r="Y96" s="316"/>
      <c r="Z96" s="316"/>
      <c r="AA96" s="316"/>
      <c r="AB96" s="316"/>
      <c r="AC96" s="316"/>
      <c r="AD96" s="316"/>
      <c r="AE96" s="316"/>
      <c r="AF96" s="316"/>
      <c r="AG96" s="316"/>
      <c r="AH96" s="316"/>
      <c r="AI96" s="316"/>
      <c r="AJ96" s="316"/>
      <c r="AK96" s="316"/>
      <c r="AL96" s="316"/>
      <c r="AM96" s="316"/>
      <c r="AN96" s="317"/>
      <c r="AO96" s="58"/>
      <c r="AP96" s="58"/>
      <c r="AQ96" s="58"/>
      <c r="AR96" s="58"/>
      <c r="AS96" s="58"/>
      <c r="AT96" s="58"/>
      <c r="AU96" s="58"/>
      <c r="AV96" s="58"/>
      <c r="AW96" s="58"/>
      <c r="AX96" s="60"/>
      <c r="AY96" s="297" t="s">
        <v>321</v>
      </c>
      <c r="AZ96" s="297"/>
      <c r="BA96" s="297"/>
      <c r="BB96" s="297"/>
      <c r="BC96" s="297"/>
      <c r="BD96" s="297"/>
      <c r="BE96" s="297"/>
      <c r="BF96" s="297"/>
      <c r="BG96" s="297"/>
      <c r="BH96" s="297"/>
      <c r="BI96" s="297"/>
      <c r="BJ96" s="297"/>
      <c r="BK96" s="297"/>
      <c r="BL96" s="297"/>
      <c r="BM96" s="278" t="s">
        <v>119</v>
      </c>
      <c r="BN96" s="278"/>
      <c r="BO96" s="278"/>
      <c r="BP96" s="278"/>
      <c r="BQ96" s="278"/>
      <c r="BR96" s="278"/>
      <c r="BS96" s="278"/>
      <c r="BT96" s="278"/>
      <c r="BU96" s="278"/>
      <c r="BV96" s="278"/>
      <c r="BW96" s="278"/>
      <c r="BX96" s="278"/>
      <c r="BY96" s="278"/>
      <c r="BZ96" s="278"/>
      <c r="CA96" s="278"/>
      <c r="CB96" s="278"/>
      <c r="CC96" s="278"/>
      <c r="CD96" s="278"/>
      <c r="CE96" s="278"/>
      <c r="CF96" s="278"/>
      <c r="CG96" s="278"/>
      <c r="CH96" s="278"/>
      <c r="CI96" s="278"/>
      <c r="CJ96" s="278"/>
      <c r="CK96" s="278"/>
      <c r="CL96" s="278"/>
      <c r="CM96" s="278"/>
      <c r="CN96" s="278"/>
      <c r="CO96" s="278"/>
      <c r="CP96" s="58"/>
      <c r="CQ96" s="58"/>
      <c r="CR96" s="59"/>
    </row>
    <row r="97" spans="1:103" ht="15" customHeight="1" x14ac:dyDescent="0.15">
      <c r="A97" s="57"/>
      <c r="B97" s="58"/>
      <c r="C97" s="318" t="s">
        <v>117</v>
      </c>
      <c r="D97" s="319"/>
      <c r="E97" s="319"/>
      <c r="F97" s="319"/>
      <c r="G97" s="319"/>
      <c r="H97" s="319"/>
      <c r="I97" s="319"/>
      <c r="J97" s="319"/>
      <c r="K97" s="319"/>
      <c r="L97" s="319"/>
      <c r="M97" s="319"/>
      <c r="N97" s="319"/>
      <c r="O97" s="319"/>
      <c r="P97" s="320"/>
      <c r="Q97" s="315" t="s">
        <v>118</v>
      </c>
      <c r="R97" s="316"/>
      <c r="S97" s="316"/>
      <c r="T97" s="316"/>
      <c r="U97" s="316"/>
      <c r="V97" s="316"/>
      <c r="W97" s="316"/>
      <c r="X97" s="316"/>
      <c r="Y97" s="316"/>
      <c r="Z97" s="316"/>
      <c r="AA97" s="316"/>
      <c r="AB97" s="316"/>
      <c r="AC97" s="316"/>
      <c r="AD97" s="316"/>
      <c r="AE97" s="316"/>
      <c r="AF97" s="316"/>
      <c r="AG97" s="316"/>
      <c r="AH97" s="316"/>
      <c r="AI97" s="316"/>
      <c r="AJ97" s="316"/>
      <c r="AK97" s="316"/>
      <c r="AL97" s="316"/>
      <c r="AM97" s="316"/>
      <c r="AN97" s="317"/>
      <c r="AO97" s="58"/>
      <c r="AP97" s="58"/>
      <c r="AQ97" s="58"/>
      <c r="AR97" s="58"/>
      <c r="AS97" s="58"/>
      <c r="AT97" s="58"/>
      <c r="AU97" s="58"/>
      <c r="AV97" s="58"/>
      <c r="AW97" s="58"/>
      <c r="AX97" s="60"/>
      <c r="AY97" s="297" t="s">
        <v>322</v>
      </c>
      <c r="AZ97" s="297"/>
      <c r="BA97" s="297"/>
      <c r="BB97" s="297"/>
      <c r="BC97" s="297"/>
      <c r="BD97" s="297"/>
      <c r="BE97" s="297"/>
      <c r="BF97" s="297"/>
      <c r="BG97" s="297"/>
      <c r="BH97" s="297"/>
      <c r="BI97" s="297"/>
      <c r="BJ97" s="297"/>
      <c r="BK97" s="297"/>
      <c r="BL97" s="297"/>
      <c r="BM97" s="278" t="s">
        <v>118</v>
      </c>
      <c r="BN97" s="278"/>
      <c r="BO97" s="278"/>
      <c r="BP97" s="278"/>
      <c r="BQ97" s="278"/>
      <c r="BR97" s="278"/>
      <c r="BS97" s="278"/>
      <c r="BT97" s="278"/>
      <c r="BU97" s="278"/>
      <c r="BV97" s="278"/>
      <c r="BW97" s="278"/>
      <c r="BX97" s="278"/>
      <c r="BY97" s="278"/>
      <c r="BZ97" s="278"/>
      <c r="CA97" s="278"/>
      <c r="CB97" s="278"/>
      <c r="CC97" s="278"/>
      <c r="CD97" s="278"/>
      <c r="CE97" s="278"/>
      <c r="CF97" s="278"/>
      <c r="CG97" s="278"/>
      <c r="CH97" s="278"/>
      <c r="CI97" s="278"/>
      <c r="CJ97" s="278"/>
      <c r="CK97" s="278"/>
      <c r="CL97" s="278"/>
      <c r="CM97" s="278"/>
      <c r="CN97" s="278"/>
      <c r="CO97" s="278"/>
      <c r="CP97" s="58"/>
      <c r="CQ97" s="58"/>
      <c r="CR97" s="59"/>
    </row>
    <row r="98" spans="1:103" ht="15" customHeight="1" x14ac:dyDescent="0.15">
      <c r="A98" s="57"/>
      <c r="B98" s="58"/>
      <c r="C98" s="318" t="s">
        <v>395</v>
      </c>
      <c r="D98" s="319"/>
      <c r="E98" s="319"/>
      <c r="F98" s="319"/>
      <c r="G98" s="319"/>
      <c r="H98" s="319"/>
      <c r="I98" s="319"/>
      <c r="J98" s="319"/>
      <c r="K98" s="319"/>
      <c r="L98" s="319"/>
      <c r="M98" s="319"/>
      <c r="N98" s="319"/>
      <c r="O98" s="319"/>
      <c r="P98" s="320"/>
      <c r="Q98" s="315" t="s">
        <v>396</v>
      </c>
      <c r="R98" s="316"/>
      <c r="S98" s="316"/>
      <c r="T98" s="316"/>
      <c r="U98" s="316"/>
      <c r="V98" s="316"/>
      <c r="W98" s="316"/>
      <c r="X98" s="316"/>
      <c r="Y98" s="316"/>
      <c r="Z98" s="316"/>
      <c r="AA98" s="316"/>
      <c r="AB98" s="316"/>
      <c r="AC98" s="316"/>
      <c r="AD98" s="316"/>
      <c r="AE98" s="316"/>
      <c r="AF98" s="316"/>
      <c r="AG98" s="316"/>
      <c r="AH98" s="316"/>
      <c r="AI98" s="316"/>
      <c r="AJ98" s="316"/>
      <c r="AK98" s="316"/>
      <c r="AL98" s="316"/>
      <c r="AM98" s="316"/>
      <c r="AN98" s="317"/>
      <c r="AO98" s="58"/>
      <c r="AP98" s="58"/>
      <c r="AQ98" s="58"/>
      <c r="AR98" s="58"/>
      <c r="AS98" s="58"/>
      <c r="AT98" s="58"/>
      <c r="AU98" s="58"/>
      <c r="AV98" s="58"/>
      <c r="AW98" s="58"/>
      <c r="AX98" s="60"/>
      <c r="AY98" s="328" t="s">
        <v>323</v>
      </c>
      <c r="AZ98" s="329"/>
      <c r="BA98" s="329"/>
      <c r="BB98" s="329"/>
      <c r="BC98" s="329"/>
      <c r="BD98" s="329"/>
      <c r="BE98" s="329"/>
      <c r="BF98" s="329"/>
      <c r="BG98" s="329"/>
      <c r="BH98" s="329"/>
      <c r="BI98" s="329"/>
      <c r="BJ98" s="329"/>
      <c r="BK98" s="329"/>
      <c r="BL98" s="330"/>
      <c r="BM98" s="278" t="s">
        <v>324</v>
      </c>
      <c r="BN98" s="278"/>
      <c r="BO98" s="278"/>
      <c r="BP98" s="278"/>
      <c r="BQ98" s="278"/>
      <c r="BR98" s="278"/>
      <c r="BS98" s="278"/>
      <c r="BT98" s="278"/>
      <c r="BU98" s="278"/>
      <c r="BV98" s="278"/>
      <c r="BW98" s="278"/>
      <c r="BX98" s="278"/>
      <c r="BY98" s="278"/>
      <c r="BZ98" s="278"/>
      <c r="CA98" s="278"/>
      <c r="CB98" s="278"/>
      <c r="CC98" s="278"/>
      <c r="CD98" s="278"/>
      <c r="CE98" s="278"/>
      <c r="CF98" s="278"/>
      <c r="CG98" s="278"/>
      <c r="CH98" s="278"/>
      <c r="CI98" s="278"/>
      <c r="CJ98" s="278"/>
      <c r="CK98" s="278"/>
      <c r="CL98" s="278"/>
      <c r="CM98" s="278"/>
      <c r="CN98" s="278"/>
      <c r="CO98" s="278"/>
      <c r="CP98" s="58"/>
      <c r="CQ98" s="58"/>
      <c r="CR98" s="59"/>
    </row>
    <row r="99" spans="1:103" ht="15" customHeight="1" x14ac:dyDescent="0.15">
      <c r="A99" s="57"/>
      <c r="B99" s="58"/>
      <c r="C99" s="318" t="s">
        <v>394</v>
      </c>
      <c r="D99" s="319"/>
      <c r="E99" s="319"/>
      <c r="F99" s="319"/>
      <c r="G99" s="319"/>
      <c r="H99" s="319"/>
      <c r="I99" s="319"/>
      <c r="J99" s="319"/>
      <c r="K99" s="319"/>
      <c r="L99" s="319"/>
      <c r="M99" s="319"/>
      <c r="N99" s="319"/>
      <c r="O99" s="319"/>
      <c r="P99" s="320"/>
      <c r="Q99" s="315" t="s">
        <v>120</v>
      </c>
      <c r="R99" s="316"/>
      <c r="S99" s="316"/>
      <c r="T99" s="316"/>
      <c r="U99" s="316"/>
      <c r="V99" s="316"/>
      <c r="W99" s="316"/>
      <c r="X99" s="316"/>
      <c r="Y99" s="316"/>
      <c r="Z99" s="316"/>
      <c r="AA99" s="316"/>
      <c r="AB99" s="316"/>
      <c r="AC99" s="316"/>
      <c r="AD99" s="316"/>
      <c r="AE99" s="316"/>
      <c r="AF99" s="316"/>
      <c r="AG99" s="316"/>
      <c r="AH99" s="316"/>
      <c r="AI99" s="316"/>
      <c r="AJ99" s="316"/>
      <c r="AK99" s="316"/>
      <c r="AL99" s="316"/>
      <c r="AM99" s="316"/>
      <c r="AN99" s="317"/>
      <c r="AO99" s="58"/>
      <c r="AP99" s="58"/>
      <c r="AQ99" s="58"/>
      <c r="AR99" s="58"/>
      <c r="AS99" s="58"/>
      <c r="AT99" s="58"/>
      <c r="AU99" s="58"/>
      <c r="AV99" s="58"/>
      <c r="AW99" s="58"/>
      <c r="AX99" s="60"/>
      <c r="AY99" s="328" t="s">
        <v>325</v>
      </c>
      <c r="AZ99" s="329"/>
      <c r="BA99" s="329"/>
      <c r="BB99" s="329"/>
      <c r="BC99" s="329"/>
      <c r="BD99" s="329"/>
      <c r="BE99" s="329"/>
      <c r="BF99" s="329"/>
      <c r="BG99" s="329"/>
      <c r="BH99" s="329"/>
      <c r="BI99" s="329"/>
      <c r="BJ99" s="329"/>
      <c r="BK99" s="329"/>
      <c r="BL99" s="330"/>
      <c r="BM99" s="278" t="s">
        <v>326</v>
      </c>
      <c r="BN99" s="278"/>
      <c r="BO99" s="278"/>
      <c r="BP99" s="278"/>
      <c r="BQ99" s="278"/>
      <c r="BR99" s="278"/>
      <c r="BS99" s="278"/>
      <c r="BT99" s="278"/>
      <c r="BU99" s="278"/>
      <c r="BV99" s="278"/>
      <c r="BW99" s="278"/>
      <c r="BX99" s="278"/>
      <c r="BY99" s="278"/>
      <c r="BZ99" s="278"/>
      <c r="CA99" s="278"/>
      <c r="CB99" s="278"/>
      <c r="CC99" s="278"/>
      <c r="CD99" s="278"/>
      <c r="CE99" s="278"/>
      <c r="CF99" s="278"/>
      <c r="CG99" s="278"/>
      <c r="CH99" s="278"/>
      <c r="CI99" s="278"/>
      <c r="CJ99" s="278"/>
      <c r="CK99" s="278"/>
      <c r="CL99" s="278"/>
      <c r="CM99" s="278"/>
      <c r="CN99" s="278"/>
      <c r="CO99" s="278"/>
      <c r="CP99" s="58"/>
      <c r="CQ99" s="58"/>
      <c r="CR99" s="59"/>
    </row>
    <row r="100" spans="1:103" ht="15" customHeight="1" x14ac:dyDescent="0.15">
      <c r="A100" s="57"/>
      <c r="B100" s="58"/>
      <c r="C100" s="318" t="s">
        <v>393</v>
      </c>
      <c r="D100" s="319"/>
      <c r="E100" s="319"/>
      <c r="F100" s="319"/>
      <c r="G100" s="319"/>
      <c r="H100" s="319"/>
      <c r="I100" s="319"/>
      <c r="J100" s="319"/>
      <c r="K100" s="319"/>
      <c r="L100" s="319"/>
      <c r="M100" s="319"/>
      <c r="N100" s="319"/>
      <c r="O100" s="319"/>
      <c r="P100" s="320"/>
      <c r="Q100" s="315" t="s">
        <v>121</v>
      </c>
      <c r="R100" s="316"/>
      <c r="S100" s="316"/>
      <c r="T100" s="316"/>
      <c r="U100" s="316"/>
      <c r="V100" s="316"/>
      <c r="W100" s="316"/>
      <c r="X100" s="316"/>
      <c r="Y100" s="316"/>
      <c r="Z100" s="316"/>
      <c r="AA100" s="316"/>
      <c r="AB100" s="316"/>
      <c r="AC100" s="316"/>
      <c r="AD100" s="316"/>
      <c r="AE100" s="316"/>
      <c r="AF100" s="316"/>
      <c r="AG100" s="316"/>
      <c r="AH100" s="316"/>
      <c r="AI100" s="316"/>
      <c r="AJ100" s="316"/>
      <c r="AK100" s="316"/>
      <c r="AL100" s="316"/>
      <c r="AM100" s="316"/>
      <c r="AN100" s="317"/>
      <c r="AO100" s="58"/>
      <c r="AP100" s="58"/>
      <c r="AQ100" s="58"/>
      <c r="AR100" s="58"/>
      <c r="AS100" s="58"/>
      <c r="AT100" s="58"/>
      <c r="AU100" s="58"/>
      <c r="AV100" s="58"/>
      <c r="AW100" s="58"/>
      <c r="AX100" s="58"/>
      <c r="AY100" s="318" t="s">
        <v>394</v>
      </c>
      <c r="AZ100" s="319"/>
      <c r="BA100" s="319"/>
      <c r="BB100" s="319"/>
      <c r="BC100" s="319"/>
      <c r="BD100" s="319"/>
      <c r="BE100" s="319"/>
      <c r="BF100" s="319"/>
      <c r="BG100" s="319"/>
      <c r="BH100" s="319"/>
      <c r="BI100" s="319"/>
      <c r="BJ100" s="319"/>
      <c r="BK100" s="319"/>
      <c r="BL100" s="320"/>
      <c r="BM100" s="278" t="s">
        <v>398</v>
      </c>
      <c r="BN100" s="278"/>
      <c r="BO100" s="278"/>
      <c r="BP100" s="278"/>
      <c r="BQ100" s="278"/>
      <c r="BR100" s="278"/>
      <c r="BS100" s="278"/>
      <c r="BT100" s="278"/>
      <c r="BU100" s="278"/>
      <c r="BV100" s="278"/>
      <c r="BW100" s="278"/>
      <c r="BX100" s="278"/>
      <c r="BY100" s="278"/>
      <c r="BZ100" s="278"/>
      <c r="CA100" s="278"/>
      <c r="CB100" s="278"/>
      <c r="CC100" s="278"/>
      <c r="CD100" s="278"/>
      <c r="CE100" s="278"/>
      <c r="CF100" s="278"/>
      <c r="CG100" s="278"/>
      <c r="CH100" s="278"/>
      <c r="CI100" s="278"/>
      <c r="CJ100" s="278"/>
      <c r="CK100" s="278"/>
      <c r="CL100" s="278"/>
      <c r="CM100" s="278"/>
      <c r="CN100" s="278"/>
      <c r="CO100" s="278"/>
      <c r="CP100" s="58"/>
      <c r="CQ100" s="58"/>
      <c r="CR100" s="59"/>
    </row>
    <row r="101" spans="1:103" ht="15" customHeight="1" x14ac:dyDescent="0.15">
      <c r="A101" s="57"/>
      <c r="B101" s="58"/>
      <c r="C101" s="318" t="s">
        <v>392</v>
      </c>
      <c r="D101" s="319"/>
      <c r="E101" s="319"/>
      <c r="F101" s="319"/>
      <c r="G101" s="319"/>
      <c r="H101" s="319"/>
      <c r="I101" s="319"/>
      <c r="J101" s="319"/>
      <c r="K101" s="319"/>
      <c r="L101" s="319"/>
      <c r="M101" s="319"/>
      <c r="N101" s="319"/>
      <c r="O101" s="319"/>
      <c r="P101" s="320"/>
      <c r="Q101" s="315" t="s">
        <v>122</v>
      </c>
      <c r="R101" s="316"/>
      <c r="S101" s="316"/>
      <c r="T101" s="316"/>
      <c r="U101" s="316"/>
      <c r="V101" s="316"/>
      <c r="W101" s="316"/>
      <c r="X101" s="316"/>
      <c r="Y101" s="316"/>
      <c r="Z101" s="316"/>
      <c r="AA101" s="316"/>
      <c r="AB101" s="316"/>
      <c r="AC101" s="316"/>
      <c r="AD101" s="316"/>
      <c r="AE101" s="316"/>
      <c r="AF101" s="316"/>
      <c r="AG101" s="316"/>
      <c r="AH101" s="316"/>
      <c r="AI101" s="316"/>
      <c r="AJ101" s="316"/>
      <c r="AK101" s="316"/>
      <c r="AL101" s="316"/>
      <c r="AM101" s="316"/>
      <c r="AN101" s="317"/>
      <c r="AO101" s="58"/>
      <c r="AP101" s="58"/>
      <c r="AQ101" s="58"/>
      <c r="AR101" s="58"/>
      <c r="AS101" s="58"/>
      <c r="AT101" s="58"/>
      <c r="AU101" s="58"/>
      <c r="AV101" s="58"/>
      <c r="AW101" s="58"/>
      <c r="AX101" s="58"/>
      <c r="AY101" s="328" t="s">
        <v>327</v>
      </c>
      <c r="AZ101" s="329"/>
      <c r="BA101" s="329"/>
      <c r="BB101" s="329"/>
      <c r="BC101" s="329"/>
      <c r="BD101" s="329"/>
      <c r="BE101" s="329"/>
      <c r="BF101" s="329"/>
      <c r="BG101" s="329"/>
      <c r="BH101" s="329"/>
      <c r="BI101" s="329"/>
      <c r="BJ101" s="329"/>
      <c r="BK101" s="329"/>
      <c r="BL101" s="330"/>
      <c r="BM101" s="278" t="s">
        <v>399</v>
      </c>
      <c r="BN101" s="278"/>
      <c r="BO101" s="278"/>
      <c r="BP101" s="278"/>
      <c r="BQ101" s="278"/>
      <c r="BR101" s="278"/>
      <c r="BS101" s="278"/>
      <c r="BT101" s="278"/>
      <c r="BU101" s="278"/>
      <c r="BV101" s="278"/>
      <c r="BW101" s="278"/>
      <c r="BX101" s="278"/>
      <c r="BY101" s="278"/>
      <c r="BZ101" s="278"/>
      <c r="CA101" s="278"/>
      <c r="CB101" s="278"/>
      <c r="CC101" s="278"/>
      <c r="CD101" s="278"/>
      <c r="CE101" s="278"/>
      <c r="CF101" s="278"/>
      <c r="CG101" s="278"/>
      <c r="CH101" s="278"/>
      <c r="CI101" s="278"/>
      <c r="CJ101" s="278"/>
      <c r="CK101" s="278"/>
      <c r="CL101" s="278"/>
      <c r="CM101" s="278"/>
      <c r="CN101" s="278"/>
      <c r="CO101" s="278"/>
      <c r="CP101" s="58"/>
      <c r="CQ101" s="58"/>
      <c r="CR101" s="59"/>
    </row>
    <row r="102" spans="1:103" ht="15" customHeight="1" x14ac:dyDescent="0.15">
      <c r="A102" s="57"/>
      <c r="C102" s="318" t="s">
        <v>158</v>
      </c>
      <c r="D102" s="319"/>
      <c r="E102" s="319"/>
      <c r="F102" s="319"/>
      <c r="G102" s="319"/>
      <c r="H102" s="319"/>
      <c r="I102" s="319"/>
      <c r="J102" s="319"/>
      <c r="K102" s="319"/>
      <c r="L102" s="319"/>
      <c r="M102" s="319"/>
      <c r="N102" s="319"/>
      <c r="O102" s="319"/>
      <c r="P102" s="320"/>
      <c r="Q102" s="315" t="s">
        <v>157</v>
      </c>
      <c r="R102" s="316"/>
      <c r="S102" s="316"/>
      <c r="T102" s="316"/>
      <c r="U102" s="316"/>
      <c r="V102" s="316"/>
      <c r="W102" s="316"/>
      <c r="X102" s="316"/>
      <c r="Y102" s="316"/>
      <c r="Z102" s="316"/>
      <c r="AA102" s="316"/>
      <c r="AB102" s="316"/>
      <c r="AC102" s="316"/>
      <c r="AD102" s="316"/>
      <c r="AE102" s="316"/>
      <c r="AF102" s="316"/>
      <c r="AG102" s="316"/>
      <c r="AH102" s="316"/>
      <c r="AI102" s="316"/>
      <c r="AJ102" s="316"/>
      <c r="AK102" s="316"/>
      <c r="AL102" s="316"/>
      <c r="AM102" s="316"/>
      <c r="AN102" s="317"/>
      <c r="AO102" s="58"/>
      <c r="AP102" s="58"/>
      <c r="AQ102" s="58"/>
      <c r="AR102" s="58"/>
      <c r="AS102" s="58"/>
      <c r="AT102" s="58"/>
      <c r="AU102" s="58"/>
      <c r="AV102" s="58"/>
      <c r="AW102" s="58"/>
      <c r="AX102" s="58"/>
      <c r="AY102" s="328" t="s">
        <v>328</v>
      </c>
      <c r="AZ102" s="329"/>
      <c r="BA102" s="329"/>
      <c r="BB102" s="329"/>
      <c r="BC102" s="329"/>
      <c r="BD102" s="329"/>
      <c r="BE102" s="329"/>
      <c r="BF102" s="329"/>
      <c r="BG102" s="329"/>
      <c r="BH102" s="329"/>
      <c r="BI102" s="329"/>
      <c r="BJ102" s="329"/>
      <c r="BK102" s="329"/>
      <c r="BL102" s="330"/>
      <c r="BM102" s="278" t="s">
        <v>336</v>
      </c>
      <c r="BN102" s="278"/>
      <c r="BO102" s="278"/>
      <c r="BP102" s="278"/>
      <c r="BQ102" s="278"/>
      <c r="BR102" s="278"/>
      <c r="BS102" s="278"/>
      <c r="BT102" s="278"/>
      <c r="BU102" s="278"/>
      <c r="BV102" s="278"/>
      <c r="BW102" s="278"/>
      <c r="BX102" s="278"/>
      <c r="BY102" s="278"/>
      <c r="BZ102" s="278"/>
      <c r="CA102" s="278"/>
      <c r="CB102" s="278"/>
      <c r="CC102" s="278"/>
      <c r="CD102" s="278"/>
      <c r="CE102" s="278"/>
      <c r="CF102" s="278"/>
      <c r="CG102" s="278"/>
      <c r="CH102" s="278"/>
      <c r="CI102" s="278"/>
      <c r="CJ102" s="278"/>
      <c r="CK102" s="278"/>
      <c r="CL102" s="278"/>
      <c r="CM102" s="278"/>
      <c r="CN102" s="278"/>
      <c r="CO102" s="278"/>
      <c r="CP102" s="58"/>
      <c r="CQ102" s="58"/>
      <c r="CR102" s="59"/>
    </row>
    <row r="103" spans="1:103" ht="15" customHeight="1" x14ac:dyDescent="0.15">
      <c r="A103" s="57"/>
      <c r="C103" s="318" t="s">
        <v>391</v>
      </c>
      <c r="D103" s="319"/>
      <c r="E103" s="319"/>
      <c r="F103" s="319"/>
      <c r="G103" s="319"/>
      <c r="H103" s="319"/>
      <c r="I103" s="319"/>
      <c r="J103" s="319"/>
      <c r="K103" s="319"/>
      <c r="L103" s="319"/>
      <c r="M103" s="319"/>
      <c r="N103" s="319"/>
      <c r="O103" s="319"/>
      <c r="P103" s="320"/>
      <c r="Q103" s="315" t="s">
        <v>397</v>
      </c>
      <c r="R103" s="316"/>
      <c r="S103" s="316"/>
      <c r="T103" s="316"/>
      <c r="U103" s="316"/>
      <c r="V103" s="316"/>
      <c r="W103" s="316"/>
      <c r="X103" s="316"/>
      <c r="Y103" s="316"/>
      <c r="Z103" s="316"/>
      <c r="AA103" s="316"/>
      <c r="AB103" s="316"/>
      <c r="AC103" s="316"/>
      <c r="AD103" s="316"/>
      <c r="AE103" s="316"/>
      <c r="AF103" s="316"/>
      <c r="AG103" s="316"/>
      <c r="AH103" s="316"/>
      <c r="AI103" s="316"/>
      <c r="AJ103" s="316"/>
      <c r="AK103" s="316"/>
      <c r="AL103" s="316"/>
      <c r="AM103" s="316"/>
      <c r="AN103" s="317"/>
      <c r="AO103" s="58"/>
      <c r="AP103" s="58"/>
      <c r="AQ103" s="58"/>
      <c r="AR103" s="58"/>
      <c r="AS103" s="58"/>
      <c r="AT103" s="58"/>
      <c r="AU103" s="58"/>
      <c r="AV103" s="58"/>
      <c r="AW103" s="58"/>
      <c r="AX103" s="58"/>
      <c r="AY103" s="328" t="s">
        <v>329</v>
      </c>
      <c r="AZ103" s="329"/>
      <c r="BA103" s="329"/>
      <c r="BB103" s="329"/>
      <c r="BC103" s="329"/>
      <c r="BD103" s="329"/>
      <c r="BE103" s="329"/>
      <c r="BF103" s="329"/>
      <c r="BG103" s="329"/>
      <c r="BH103" s="329"/>
      <c r="BI103" s="329"/>
      <c r="BJ103" s="329"/>
      <c r="BK103" s="329"/>
      <c r="BL103" s="330"/>
      <c r="BM103" s="278" t="s">
        <v>337</v>
      </c>
      <c r="BN103" s="278"/>
      <c r="BO103" s="278"/>
      <c r="BP103" s="278"/>
      <c r="BQ103" s="278"/>
      <c r="BR103" s="278"/>
      <c r="BS103" s="278"/>
      <c r="BT103" s="278"/>
      <c r="BU103" s="278"/>
      <c r="BV103" s="278"/>
      <c r="BW103" s="278"/>
      <c r="BX103" s="278"/>
      <c r="BY103" s="278"/>
      <c r="BZ103" s="278"/>
      <c r="CA103" s="278"/>
      <c r="CB103" s="278"/>
      <c r="CC103" s="278"/>
      <c r="CD103" s="278"/>
      <c r="CE103" s="278"/>
      <c r="CF103" s="278"/>
      <c r="CG103" s="278"/>
      <c r="CH103" s="278"/>
      <c r="CI103" s="278"/>
      <c r="CJ103" s="278"/>
      <c r="CK103" s="278"/>
      <c r="CL103" s="278"/>
      <c r="CM103" s="278"/>
      <c r="CN103" s="278"/>
      <c r="CO103" s="278"/>
      <c r="CP103" s="58"/>
      <c r="CQ103" s="58"/>
      <c r="CR103" s="59"/>
    </row>
    <row r="104" spans="1:103" ht="15" customHeight="1" x14ac:dyDescent="0.15">
      <c r="A104" s="57"/>
      <c r="AT104" s="58"/>
      <c r="AU104" s="58"/>
      <c r="AV104" s="58"/>
      <c r="AW104" s="58"/>
      <c r="AX104" s="58"/>
      <c r="AY104" s="328" t="s">
        <v>330</v>
      </c>
      <c r="AZ104" s="329"/>
      <c r="BA104" s="329"/>
      <c r="BB104" s="329"/>
      <c r="BC104" s="329"/>
      <c r="BD104" s="329"/>
      <c r="BE104" s="329"/>
      <c r="BF104" s="329"/>
      <c r="BG104" s="329"/>
      <c r="BH104" s="329"/>
      <c r="BI104" s="329"/>
      <c r="BJ104" s="329"/>
      <c r="BK104" s="329"/>
      <c r="BL104" s="330"/>
      <c r="BM104" s="278" t="s">
        <v>331</v>
      </c>
      <c r="BN104" s="278"/>
      <c r="BO104" s="278"/>
      <c r="BP104" s="278"/>
      <c r="BQ104" s="278"/>
      <c r="BR104" s="278"/>
      <c r="BS104" s="278"/>
      <c r="BT104" s="278"/>
      <c r="BU104" s="278"/>
      <c r="BV104" s="278"/>
      <c r="BW104" s="278"/>
      <c r="BX104" s="278"/>
      <c r="BY104" s="278"/>
      <c r="BZ104" s="278"/>
      <c r="CA104" s="278"/>
      <c r="CB104" s="278"/>
      <c r="CC104" s="278"/>
      <c r="CD104" s="278"/>
      <c r="CE104" s="278"/>
      <c r="CF104" s="278"/>
      <c r="CG104" s="278"/>
      <c r="CH104" s="278"/>
      <c r="CI104" s="278"/>
      <c r="CJ104" s="278"/>
      <c r="CK104" s="278"/>
      <c r="CL104" s="278"/>
      <c r="CM104" s="278"/>
      <c r="CN104" s="278"/>
      <c r="CO104" s="278"/>
      <c r="CP104" s="58"/>
      <c r="CQ104" s="58"/>
      <c r="CR104" s="59"/>
    </row>
    <row r="105" spans="1:103" ht="15" customHeight="1" x14ac:dyDescent="0.15">
      <c r="A105" s="57"/>
      <c r="AT105" s="58"/>
      <c r="AU105" s="58"/>
      <c r="AV105" s="58"/>
      <c r="AW105" s="58"/>
      <c r="AX105" s="58"/>
      <c r="AY105" s="328" t="s">
        <v>332</v>
      </c>
      <c r="AZ105" s="329"/>
      <c r="BA105" s="329"/>
      <c r="BB105" s="329"/>
      <c r="BC105" s="329"/>
      <c r="BD105" s="329"/>
      <c r="BE105" s="329"/>
      <c r="BF105" s="329"/>
      <c r="BG105" s="329"/>
      <c r="BH105" s="329"/>
      <c r="BI105" s="329"/>
      <c r="BJ105" s="329"/>
      <c r="BK105" s="329"/>
      <c r="BL105" s="330"/>
      <c r="BM105" s="278" t="s">
        <v>331</v>
      </c>
      <c r="BN105" s="278"/>
      <c r="BO105" s="278"/>
      <c r="BP105" s="278"/>
      <c r="BQ105" s="278"/>
      <c r="BR105" s="278"/>
      <c r="BS105" s="278"/>
      <c r="BT105" s="278"/>
      <c r="BU105" s="278"/>
      <c r="BV105" s="278"/>
      <c r="BW105" s="278"/>
      <c r="BX105" s="278"/>
      <c r="BY105" s="278"/>
      <c r="BZ105" s="278"/>
      <c r="CA105" s="278"/>
      <c r="CB105" s="278"/>
      <c r="CC105" s="278"/>
      <c r="CD105" s="278"/>
      <c r="CE105" s="278"/>
      <c r="CF105" s="278"/>
      <c r="CG105" s="278"/>
      <c r="CH105" s="278"/>
      <c r="CI105" s="278"/>
      <c r="CJ105" s="278"/>
      <c r="CK105" s="278"/>
      <c r="CL105" s="278"/>
      <c r="CM105" s="278"/>
      <c r="CN105" s="278"/>
      <c r="CO105" s="278"/>
      <c r="CP105" s="58"/>
      <c r="CQ105" s="58"/>
      <c r="CR105" s="59"/>
    </row>
    <row r="106" spans="1:103" ht="15" customHeight="1" x14ac:dyDescent="0.2">
      <c r="A106" s="57"/>
      <c r="C106" s="58" t="s">
        <v>223</v>
      </c>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328" t="s">
        <v>333</v>
      </c>
      <c r="AZ106" s="329"/>
      <c r="BA106" s="329"/>
      <c r="BB106" s="329"/>
      <c r="BC106" s="329"/>
      <c r="BD106" s="329"/>
      <c r="BE106" s="329"/>
      <c r="BF106" s="329"/>
      <c r="BG106" s="329"/>
      <c r="BH106" s="329"/>
      <c r="BI106" s="329"/>
      <c r="BJ106" s="329"/>
      <c r="BK106" s="329"/>
      <c r="BL106" s="330"/>
      <c r="BM106" s="278" t="s">
        <v>331</v>
      </c>
      <c r="BN106" s="278"/>
      <c r="BO106" s="278"/>
      <c r="BP106" s="278"/>
      <c r="BQ106" s="278"/>
      <c r="BR106" s="278"/>
      <c r="BS106" s="278"/>
      <c r="BT106" s="278"/>
      <c r="BU106" s="278"/>
      <c r="BV106" s="278"/>
      <c r="BW106" s="278"/>
      <c r="BX106" s="278"/>
      <c r="BY106" s="278"/>
      <c r="BZ106" s="278"/>
      <c r="CA106" s="278"/>
      <c r="CB106" s="278"/>
      <c r="CC106" s="278"/>
      <c r="CD106" s="278"/>
      <c r="CE106" s="278"/>
      <c r="CF106" s="278"/>
      <c r="CG106" s="278"/>
      <c r="CH106" s="278"/>
      <c r="CI106" s="278"/>
      <c r="CJ106" s="278"/>
      <c r="CK106" s="278"/>
      <c r="CL106" s="278"/>
      <c r="CM106" s="278"/>
      <c r="CN106" s="278"/>
      <c r="CO106" s="278"/>
      <c r="CP106" s="58"/>
      <c r="CQ106" s="58"/>
      <c r="CR106" s="59"/>
      <c r="CX106"/>
      <c r="CY106"/>
    </row>
    <row r="107" spans="1:103" ht="15" customHeight="1" x14ac:dyDescent="0.2">
      <c r="A107" s="57"/>
      <c r="C107" s="58" t="s">
        <v>372</v>
      </c>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CO107" s="58"/>
      <c r="CP107" s="58"/>
      <c r="CQ107" s="58"/>
      <c r="CR107" s="59"/>
      <c r="CX107"/>
      <c r="CY107"/>
    </row>
    <row r="108" spans="1:103" ht="15" customHeight="1" x14ac:dyDescent="0.15">
      <c r="A108" s="57"/>
      <c r="C108" s="321" t="s">
        <v>159</v>
      </c>
      <c r="D108" s="321"/>
      <c r="E108" s="321"/>
      <c r="F108" s="321"/>
      <c r="G108" s="321" t="s">
        <v>160</v>
      </c>
      <c r="H108" s="321"/>
      <c r="I108" s="321"/>
      <c r="J108" s="321"/>
      <c r="K108" s="321"/>
      <c r="L108" s="321"/>
      <c r="M108" s="321"/>
      <c r="N108" s="321"/>
      <c r="O108" s="321" t="s">
        <v>161</v>
      </c>
      <c r="P108" s="321"/>
      <c r="Q108" s="321"/>
      <c r="R108" s="321"/>
      <c r="S108" s="321"/>
      <c r="T108" s="321"/>
      <c r="U108" s="321"/>
      <c r="V108" s="321"/>
      <c r="W108" s="321"/>
      <c r="X108" s="321"/>
      <c r="Y108" s="321"/>
      <c r="Z108" s="321"/>
      <c r="AA108" s="321"/>
      <c r="AB108" s="321"/>
      <c r="AC108" s="321"/>
      <c r="AD108" s="321"/>
      <c r="AE108" s="321"/>
      <c r="AF108" s="321"/>
      <c r="AG108" s="321"/>
      <c r="AH108" s="321"/>
      <c r="AI108" s="321"/>
      <c r="AJ108" s="321"/>
      <c r="AK108" s="321"/>
      <c r="AL108" s="321"/>
      <c r="AM108" s="321"/>
      <c r="AN108" s="321"/>
      <c r="AO108" s="321"/>
      <c r="AP108" s="321"/>
      <c r="AQ108" s="321"/>
      <c r="AR108" s="321"/>
      <c r="AS108" s="321"/>
      <c r="AT108" s="58"/>
      <c r="AU108" s="58"/>
      <c r="AV108" s="58"/>
      <c r="AW108" s="58"/>
      <c r="AX108" s="58" t="s">
        <v>400</v>
      </c>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9"/>
    </row>
    <row r="109" spans="1:103" ht="15" customHeight="1" x14ac:dyDescent="0.15">
      <c r="A109" s="57"/>
      <c r="B109" s="58"/>
      <c r="C109" s="279" t="s">
        <v>162</v>
      </c>
      <c r="D109" s="279"/>
      <c r="E109" s="279"/>
      <c r="F109" s="279"/>
      <c r="G109" s="279" t="s">
        <v>163</v>
      </c>
      <c r="H109" s="279"/>
      <c r="I109" s="279"/>
      <c r="J109" s="279"/>
      <c r="K109" s="279"/>
      <c r="L109" s="279"/>
      <c r="M109" s="279"/>
      <c r="N109" s="279"/>
      <c r="O109" s="279" t="s">
        <v>164</v>
      </c>
      <c r="P109" s="279"/>
      <c r="Q109" s="279"/>
      <c r="R109" s="279"/>
      <c r="S109" s="279"/>
      <c r="T109" s="279"/>
      <c r="U109" s="279"/>
      <c r="V109" s="279"/>
      <c r="W109" s="279"/>
      <c r="X109" s="279"/>
      <c r="Y109" s="279"/>
      <c r="Z109" s="279"/>
      <c r="AA109" s="279"/>
      <c r="AB109" s="279"/>
      <c r="AC109" s="279"/>
      <c r="AD109" s="279"/>
      <c r="AE109" s="279"/>
      <c r="AF109" s="279"/>
      <c r="AG109" s="279"/>
      <c r="AH109" s="279"/>
      <c r="AI109" s="279"/>
      <c r="AJ109" s="279"/>
      <c r="AK109" s="279"/>
      <c r="AL109" s="279"/>
      <c r="AM109" s="279"/>
      <c r="AN109" s="279"/>
      <c r="AO109" s="279"/>
      <c r="AP109" s="279"/>
      <c r="AQ109" s="279"/>
      <c r="AR109" s="279"/>
      <c r="AS109" s="279"/>
      <c r="AT109" s="58"/>
      <c r="AU109" s="58"/>
      <c r="AV109" s="58"/>
      <c r="AW109" s="58"/>
      <c r="AX109" s="58"/>
      <c r="AY109" s="310" t="s">
        <v>388</v>
      </c>
      <c r="AZ109" s="310"/>
      <c r="BA109" s="310"/>
      <c r="BB109" s="310"/>
      <c r="BC109" s="310"/>
      <c r="BD109" s="310"/>
      <c r="BE109" s="310" t="s">
        <v>191</v>
      </c>
      <c r="BF109" s="310"/>
      <c r="BG109" s="310"/>
      <c r="BH109" s="310"/>
      <c r="BI109" s="310" t="s">
        <v>192</v>
      </c>
      <c r="BJ109" s="310"/>
      <c r="BK109" s="310"/>
      <c r="BL109" s="310"/>
      <c r="BM109" s="310" t="s">
        <v>338</v>
      </c>
      <c r="BN109" s="310"/>
      <c r="BO109" s="310"/>
      <c r="BP109" s="310"/>
      <c r="BQ109" s="310" t="s">
        <v>402</v>
      </c>
      <c r="BR109" s="310"/>
      <c r="BS109" s="310"/>
      <c r="BT109" s="310"/>
      <c r="BU109" s="310"/>
      <c r="BV109" s="314" t="s">
        <v>327</v>
      </c>
      <c r="BW109" s="314"/>
      <c r="BX109" s="314"/>
      <c r="BY109" s="314"/>
      <c r="BZ109" s="314"/>
      <c r="CA109" s="314"/>
      <c r="CB109" s="310" t="s">
        <v>392</v>
      </c>
      <c r="CC109" s="310"/>
      <c r="CD109" s="310"/>
      <c r="CE109" s="310"/>
      <c r="CF109" s="310" t="s">
        <v>193</v>
      </c>
      <c r="CG109" s="310"/>
      <c r="CH109" s="310"/>
      <c r="CI109" s="310"/>
      <c r="CJ109" s="310"/>
      <c r="CK109" s="310" t="s">
        <v>403</v>
      </c>
      <c r="CL109" s="310"/>
      <c r="CM109" s="310"/>
      <c r="CN109" s="310"/>
      <c r="CO109" s="310"/>
      <c r="CR109" s="59"/>
    </row>
    <row r="110" spans="1:103" ht="15" customHeight="1" x14ac:dyDescent="0.15">
      <c r="A110" s="57"/>
      <c r="B110" s="58"/>
      <c r="C110" s="279" t="s">
        <v>463</v>
      </c>
      <c r="D110" s="279"/>
      <c r="E110" s="279"/>
      <c r="F110" s="279"/>
      <c r="G110" s="279" t="s">
        <v>166</v>
      </c>
      <c r="H110" s="279"/>
      <c r="I110" s="279"/>
      <c r="J110" s="279"/>
      <c r="K110" s="279"/>
      <c r="L110" s="279"/>
      <c r="M110" s="279"/>
      <c r="N110" s="279"/>
      <c r="O110" s="279" t="s">
        <v>175</v>
      </c>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58"/>
      <c r="AU110" s="58"/>
      <c r="AV110" s="58"/>
      <c r="AW110" s="58"/>
      <c r="AX110" s="58"/>
      <c r="AY110" s="306" t="s">
        <v>194</v>
      </c>
      <c r="AZ110" s="306"/>
      <c r="BA110" s="306"/>
      <c r="BB110" s="306"/>
      <c r="BC110" s="306"/>
      <c r="BD110" s="306"/>
      <c r="BE110" s="306" t="s">
        <v>210</v>
      </c>
      <c r="BF110" s="306"/>
      <c r="BG110" s="306"/>
      <c r="BH110" s="306"/>
      <c r="BI110" s="306" t="s">
        <v>212</v>
      </c>
      <c r="BJ110" s="306"/>
      <c r="BK110" s="306"/>
      <c r="BL110" s="306"/>
      <c r="BM110" s="306">
        <v>0</v>
      </c>
      <c r="BN110" s="306"/>
      <c r="BO110" s="306"/>
      <c r="BP110" s="306"/>
      <c r="BQ110" s="306" t="s">
        <v>213</v>
      </c>
      <c r="BR110" s="306"/>
      <c r="BS110" s="306"/>
      <c r="BT110" s="306"/>
      <c r="BU110" s="306"/>
      <c r="BV110" s="306" t="s">
        <v>216</v>
      </c>
      <c r="BW110" s="306"/>
      <c r="BX110" s="306"/>
      <c r="BY110" s="306"/>
      <c r="BZ110" s="306"/>
      <c r="CA110" s="306"/>
      <c r="CB110" s="306" t="s">
        <v>214</v>
      </c>
      <c r="CC110" s="306"/>
      <c r="CD110" s="306"/>
      <c r="CE110" s="306"/>
      <c r="CF110" s="306" t="s">
        <v>219</v>
      </c>
      <c r="CG110" s="306"/>
      <c r="CH110" s="306"/>
      <c r="CI110" s="306"/>
      <c r="CJ110" s="306"/>
      <c r="CK110" s="306" t="s">
        <v>215</v>
      </c>
      <c r="CL110" s="306"/>
      <c r="CM110" s="306"/>
      <c r="CN110" s="306"/>
      <c r="CO110" s="306"/>
      <c r="CR110" s="59"/>
    </row>
    <row r="111" spans="1:103" ht="15" customHeight="1" x14ac:dyDescent="0.15">
      <c r="A111" s="57"/>
      <c r="B111" s="58"/>
      <c r="C111" s="279" t="s">
        <v>167</v>
      </c>
      <c r="D111" s="279"/>
      <c r="E111" s="279"/>
      <c r="F111" s="279"/>
      <c r="G111" s="279" t="s">
        <v>168</v>
      </c>
      <c r="H111" s="279"/>
      <c r="I111" s="279"/>
      <c r="J111" s="279"/>
      <c r="K111" s="279"/>
      <c r="L111" s="279"/>
      <c r="M111" s="279"/>
      <c r="N111" s="279"/>
      <c r="O111" s="279" t="s">
        <v>176</v>
      </c>
      <c r="P111" s="279"/>
      <c r="Q111" s="279"/>
      <c r="R111" s="279"/>
      <c r="S111" s="279"/>
      <c r="T111" s="279"/>
      <c r="U111" s="279"/>
      <c r="V111" s="279"/>
      <c r="W111" s="279"/>
      <c r="X111" s="279"/>
      <c r="Y111" s="279"/>
      <c r="Z111" s="279"/>
      <c r="AA111" s="279"/>
      <c r="AB111" s="279"/>
      <c r="AC111" s="279"/>
      <c r="AD111" s="279"/>
      <c r="AE111" s="279"/>
      <c r="AF111" s="279"/>
      <c r="AG111" s="279"/>
      <c r="AH111" s="279"/>
      <c r="AI111" s="279"/>
      <c r="AJ111" s="279"/>
      <c r="AK111" s="279"/>
      <c r="AL111" s="279"/>
      <c r="AM111" s="279"/>
      <c r="AN111" s="279"/>
      <c r="AO111" s="279"/>
      <c r="AP111" s="279"/>
      <c r="AQ111" s="279"/>
      <c r="AR111" s="279"/>
      <c r="AS111" s="279"/>
      <c r="AT111" s="58"/>
      <c r="AU111" s="58"/>
      <c r="AV111" s="58"/>
      <c r="AW111" s="58"/>
      <c r="AX111" s="58"/>
      <c r="AY111" s="307" t="s">
        <v>194</v>
      </c>
      <c r="AZ111" s="307"/>
      <c r="BA111" s="307"/>
      <c r="BB111" s="307"/>
      <c r="BC111" s="307"/>
      <c r="BD111" s="307"/>
      <c r="BE111" s="307" t="s">
        <v>210</v>
      </c>
      <c r="BF111" s="307"/>
      <c r="BG111" s="307"/>
      <c r="BH111" s="307"/>
      <c r="BI111" s="307" t="s">
        <v>212</v>
      </c>
      <c r="BJ111" s="307"/>
      <c r="BK111" s="307"/>
      <c r="BL111" s="307"/>
      <c r="BM111" s="307">
        <v>0</v>
      </c>
      <c r="BN111" s="307"/>
      <c r="BO111" s="307"/>
      <c r="BP111" s="307"/>
      <c r="BQ111" s="307" t="s">
        <v>213</v>
      </c>
      <c r="BR111" s="307"/>
      <c r="BS111" s="307"/>
      <c r="BT111" s="307"/>
      <c r="BU111" s="307"/>
      <c r="BV111" s="307" t="s">
        <v>216</v>
      </c>
      <c r="BW111" s="307"/>
      <c r="BX111" s="307"/>
      <c r="BY111" s="307"/>
      <c r="BZ111" s="307"/>
      <c r="CA111" s="307"/>
      <c r="CB111" s="307" t="s">
        <v>88</v>
      </c>
      <c r="CC111" s="307"/>
      <c r="CD111" s="307"/>
      <c r="CE111" s="307"/>
      <c r="CF111" s="307" t="s">
        <v>220</v>
      </c>
      <c r="CG111" s="307"/>
      <c r="CH111" s="307"/>
      <c r="CI111" s="307"/>
      <c r="CJ111" s="307"/>
      <c r="CK111" s="307">
        <v>2</v>
      </c>
      <c r="CL111" s="307"/>
      <c r="CM111" s="307"/>
      <c r="CN111" s="307"/>
      <c r="CO111" s="307"/>
      <c r="CR111" s="59"/>
    </row>
    <row r="112" spans="1:103" ht="15" customHeight="1" x14ac:dyDescent="0.15">
      <c r="A112" s="57"/>
      <c r="B112" s="58"/>
      <c r="C112" s="313" t="s">
        <v>169</v>
      </c>
      <c r="D112" s="313"/>
      <c r="E112" s="313"/>
      <c r="F112" s="313"/>
      <c r="G112" s="313" t="s">
        <v>170</v>
      </c>
      <c r="H112" s="313"/>
      <c r="I112" s="313"/>
      <c r="J112" s="313"/>
      <c r="K112" s="313"/>
      <c r="L112" s="313"/>
      <c r="M112" s="313"/>
      <c r="N112" s="313"/>
      <c r="O112" s="313" t="s">
        <v>177</v>
      </c>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58"/>
      <c r="AU112" s="58"/>
      <c r="AV112" s="58"/>
      <c r="AW112" s="58"/>
      <c r="AX112" s="58"/>
      <c r="AY112" s="307" t="s">
        <v>194</v>
      </c>
      <c r="AZ112" s="307"/>
      <c r="BA112" s="307"/>
      <c r="BB112" s="307"/>
      <c r="BC112" s="307"/>
      <c r="BD112" s="307"/>
      <c r="BE112" s="307" t="s">
        <v>210</v>
      </c>
      <c r="BF112" s="307"/>
      <c r="BG112" s="307"/>
      <c r="BH112" s="307"/>
      <c r="BI112" s="307" t="s">
        <v>212</v>
      </c>
      <c r="BJ112" s="307"/>
      <c r="BK112" s="307"/>
      <c r="BL112" s="307"/>
      <c r="BM112" s="307">
        <v>0</v>
      </c>
      <c r="BN112" s="307"/>
      <c r="BO112" s="307"/>
      <c r="BP112" s="307"/>
      <c r="BQ112" s="307" t="s">
        <v>213</v>
      </c>
      <c r="BR112" s="307"/>
      <c r="BS112" s="307"/>
      <c r="BT112" s="307"/>
      <c r="BU112" s="307"/>
      <c r="BV112" s="307" t="s">
        <v>216</v>
      </c>
      <c r="BW112" s="307"/>
      <c r="BX112" s="307"/>
      <c r="BY112" s="307"/>
      <c r="BZ112" s="307"/>
      <c r="CA112" s="307"/>
      <c r="CB112" s="307" t="s">
        <v>88</v>
      </c>
      <c r="CC112" s="307"/>
      <c r="CD112" s="307"/>
      <c r="CE112" s="307"/>
      <c r="CF112" s="307" t="s">
        <v>221</v>
      </c>
      <c r="CG112" s="307"/>
      <c r="CH112" s="307"/>
      <c r="CI112" s="307"/>
      <c r="CJ112" s="307"/>
      <c r="CK112" s="307">
        <v>1</v>
      </c>
      <c r="CL112" s="307"/>
      <c r="CM112" s="307"/>
      <c r="CN112" s="307"/>
      <c r="CO112" s="307"/>
      <c r="CR112" s="59"/>
    </row>
    <row r="113" spans="1:96" ht="15" customHeight="1" x14ac:dyDescent="0.15">
      <c r="A113" s="57"/>
      <c r="B113" s="58"/>
      <c r="C113" s="279" t="s">
        <v>171</v>
      </c>
      <c r="D113" s="279"/>
      <c r="E113" s="279"/>
      <c r="F113" s="279"/>
      <c r="G113" s="279" t="s">
        <v>172</v>
      </c>
      <c r="H113" s="279"/>
      <c r="I113" s="279"/>
      <c r="J113" s="279"/>
      <c r="K113" s="279"/>
      <c r="L113" s="279"/>
      <c r="M113" s="279"/>
      <c r="N113" s="279"/>
      <c r="O113" s="279" t="s">
        <v>178</v>
      </c>
      <c r="P113" s="279"/>
      <c r="Q113" s="279"/>
      <c r="R113" s="279"/>
      <c r="S113" s="279"/>
      <c r="T113" s="279"/>
      <c r="U113" s="279"/>
      <c r="V113" s="279"/>
      <c r="W113" s="279"/>
      <c r="X113" s="279"/>
      <c r="Y113" s="279"/>
      <c r="Z113" s="279"/>
      <c r="AA113" s="279"/>
      <c r="AB113" s="279"/>
      <c r="AC113" s="279"/>
      <c r="AD113" s="279"/>
      <c r="AE113" s="279"/>
      <c r="AF113" s="279"/>
      <c r="AG113" s="279"/>
      <c r="AH113" s="279"/>
      <c r="AI113" s="279"/>
      <c r="AJ113" s="279"/>
      <c r="AK113" s="279"/>
      <c r="AL113" s="279"/>
      <c r="AM113" s="279"/>
      <c r="AN113" s="279"/>
      <c r="AO113" s="279"/>
      <c r="AP113" s="279"/>
      <c r="AQ113" s="279"/>
      <c r="AR113" s="279"/>
      <c r="AS113" s="279"/>
      <c r="AT113" s="58"/>
      <c r="AU113" s="58"/>
      <c r="AV113" s="58"/>
      <c r="AW113" s="58"/>
      <c r="AX113" s="58"/>
      <c r="AY113" s="307" t="s">
        <v>194</v>
      </c>
      <c r="AZ113" s="307"/>
      <c r="BA113" s="307"/>
      <c r="BB113" s="307"/>
      <c r="BC113" s="307"/>
      <c r="BD113" s="307"/>
      <c r="BE113" s="307" t="s">
        <v>210</v>
      </c>
      <c r="BF113" s="307"/>
      <c r="BG113" s="307"/>
      <c r="BH113" s="307"/>
      <c r="BI113" s="307" t="s">
        <v>212</v>
      </c>
      <c r="BJ113" s="307"/>
      <c r="BK113" s="307"/>
      <c r="BL113" s="307"/>
      <c r="BM113" s="307">
        <v>0</v>
      </c>
      <c r="BN113" s="307"/>
      <c r="BO113" s="307"/>
      <c r="BP113" s="307"/>
      <c r="BQ113" s="307" t="s">
        <v>213</v>
      </c>
      <c r="BR113" s="307"/>
      <c r="BS113" s="307"/>
      <c r="BT113" s="307"/>
      <c r="BU113" s="307"/>
      <c r="BV113" s="307" t="s">
        <v>216</v>
      </c>
      <c r="BW113" s="307"/>
      <c r="BX113" s="307"/>
      <c r="BY113" s="307"/>
      <c r="BZ113" s="307"/>
      <c r="CA113" s="307"/>
      <c r="CB113" s="307" t="s">
        <v>88</v>
      </c>
      <c r="CC113" s="307"/>
      <c r="CD113" s="307"/>
      <c r="CE113" s="307"/>
      <c r="CF113" s="307" t="s">
        <v>217</v>
      </c>
      <c r="CG113" s="307"/>
      <c r="CH113" s="307"/>
      <c r="CI113" s="307"/>
      <c r="CJ113" s="307"/>
      <c r="CK113" s="307">
        <v>4</v>
      </c>
      <c r="CL113" s="307"/>
      <c r="CM113" s="307"/>
      <c r="CN113" s="307"/>
      <c r="CO113" s="307"/>
      <c r="CR113" s="59"/>
    </row>
    <row r="114" spans="1:96" ht="15" customHeight="1" x14ac:dyDescent="0.15">
      <c r="A114" s="57"/>
      <c r="B114" s="58"/>
      <c r="C114" s="313" t="s">
        <v>173</v>
      </c>
      <c r="D114" s="313"/>
      <c r="E114" s="313"/>
      <c r="F114" s="313"/>
      <c r="G114" s="313" t="s">
        <v>174</v>
      </c>
      <c r="H114" s="313"/>
      <c r="I114" s="313"/>
      <c r="J114" s="313"/>
      <c r="K114" s="313"/>
      <c r="L114" s="313"/>
      <c r="M114" s="313"/>
      <c r="N114" s="313"/>
      <c r="O114" s="313" t="s">
        <v>179</v>
      </c>
      <c r="P114" s="313"/>
      <c r="Q114" s="313"/>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58"/>
      <c r="AU114" s="58"/>
      <c r="AV114" s="58"/>
      <c r="AW114" s="58"/>
      <c r="AX114" s="58"/>
      <c r="AY114" s="307" t="s">
        <v>194</v>
      </c>
      <c r="AZ114" s="307"/>
      <c r="BA114" s="307"/>
      <c r="BB114" s="307"/>
      <c r="BC114" s="307"/>
      <c r="BD114" s="307"/>
      <c r="BE114" s="307" t="s">
        <v>210</v>
      </c>
      <c r="BF114" s="307"/>
      <c r="BG114" s="307"/>
      <c r="BH114" s="307"/>
      <c r="BI114" s="307" t="s">
        <v>212</v>
      </c>
      <c r="BJ114" s="307"/>
      <c r="BK114" s="307"/>
      <c r="BL114" s="307"/>
      <c r="BM114" s="307">
        <v>0</v>
      </c>
      <c r="BN114" s="307"/>
      <c r="BO114" s="307"/>
      <c r="BP114" s="307"/>
      <c r="BQ114" s="307" t="s">
        <v>213</v>
      </c>
      <c r="BR114" s="307"/>
      <c r="BS114" s="307"/>
      <c r="BT114" s="307"/>
      <c r="BU114" s="307"/>
      <c r="BV114" s="307" t="s">
        <v>216</v>
      </c>
      <c r="BW114" s="307"/>
      <c r="BX114" s="307"/>
      <c r="BY114" s="307"/>
      <c r="BZ114" s="307"/>
      <c r="CA114" s="307"/>
      <c r="CB114" s="307" t="s">
        <v>88</v>
      </c>
      <c r="CC114" s="307"/>
      <c r="CD114" s="307"/>
      <c r="CE114" s="307"/>
      <c r="CF114" s="307" t="s">
        <v>218</v>
      </c>
      <c r="CG114" s="307"/>
      <c r="CH114" s="307"/>
      <c r="CI114" s="307"/>
      <c r="CJ114" s="307"/>
      <c r="CK114" s="307" t="s">
        <v>215</v>
      </c>
      <c r="CL114" s="307"/>
      <c r="CM114" s="307"/>
      <c r="CN114" s="307"/>
      <c r="CO114" s="307"/>
      <c r="CR114" s="59"/>
    </row>
    <row r="115" spans="1:96" ht="15" customHeight="1" x14ac:dyDescent="0.15">
      <c r="A115" s="57"/>
      <c r="B115" s="58"/>
      <c r="AT115" s="58"/>
      <c r="AU115" s="58"/>
      <c r="AV115" s="58"/>
      <c r="AW115" s="58"/>
      <c r="AX115" s="58"/>
      <c r="AY115" s="307" t="s">
        <v>194</v>
      </c>
      <c r="AZ115" s="307"/>
      <c r="BA115" s="307"/>
      <c r="BB115" s="307"/>
      <c r="BC115" s="307"/>
      <c r="BD115" s="307"/>
      <c r="BE115" s="307" t="s">
        <v>210</v>
      </c>
      <c r="BF115" s="307"/>
      <c r="BG115" s="307"/>
      <c r="BH115" s="307"/>
      <c r="BI115" s="307" t="s">
        <v>212</v>
      </c>
      <c r="BJ115" s="307"/>
      <c r="BK115" s="307"/>
      <c r="BL115" s="307"/>
      <c r="BM115" s="307">
        <v>0</v>
      </c>
      <c r="BN115" s="307"/>
      <c r="BO115" s="307"/>
      <c r="BP115" s="307"/>
      <c r="BQ115" s="307">
        <v>13112645</v>
      </c>
      <c r="BR115" s="307"/>
      <c r="BS115" s="307"/>
      <c r="BT115" s="307"/>
      <c r="BU115" s="307"/>
      <c r="BV115" s="307" t="s">
        <v>216</v>
      </c>
      <c r="BW115" s="307"/>
      <c r="BX115" s="307"/>
      <c r="BY115" s="307"/>
      <c r="BZ115" s="307"/>
      <c r="CA115" s="307"/>
      <c r="CB115" s="307" t="s">
        <v>88</v>
      </c>
      <c r="CC115" s="307"/>
      <c r="CD115" s="307"/>
      <c r="CE115" s="307"/>
      <c r="CF115" s="307" t="s">
        <v>222</v>
      </c>
      <c r="CG115" s="307"/>
      <c r="CH115" s="307"/>
      <c r="CI115" s="307"/>
      <c r="CJ115" s="307"/>
      <c r="CK115" s="307">
        <v>2</v>
      </c>
      <c r="CL115" s="307"/>
      <c r="CM115" s="307"/>
      <c r="CN115" s="307"/>
      <c r="CO115" s="307"/>
      <c r="CR115" s="59"/>
    </row>
    <row r="116" spans="1:96" ht="15" customHeight="1" x14ac:dyDescent="0.15">
      <c r="A116" s="57"/>
      <c r="B116" s="58"/>
      <c r="C116" s="17" t="s">
        <v>373</v>
      </c>
      <c r="AU116" s="58"/>
      <c r="AV116" s="58"/>
      <c r="AW116" s="58"/>
      <c r="AX116" s="58"/>
      <c r="AY116" s="307" t="s">
        <v>194</v>
      </c>
      <c r="AZ116" s="307"/>
      <c r="BA116" s="307"/>
      <c r="BB116" s="307"/>
      <c r="BC116" s="307"/>
      <c r="BD116" s="307"/>
      <c r="BE116" s="307" t="s">
        <v>210</v>
      </c>
      <c r="BF116" s="307"/>
      <c r="BG116" s="307"/>
      <c r="BH116" s="307"/>
      <c r="BI116" s="307" t="s">
        <v>212</v>
      </c>
      <c r="BJ116" s="307"/>
      <c r="BK116" s="307"/>
      <c r="BL116" s="307"/>
      <c r="BM116" s="307">
        <v>0</v>
      </c>
      <c r="BN116" s="307"/>
      <c r="BO116" s="307"/>
      <c r="BP116" s="307"/>
      <c r="BQ116" s="307">
        <v>13113456</v>
      </c>
      <c r="BR116" s="307"/>
      <c r="BS116" s="307"/>
      <c r="BT116" s="307"/>
      <c r="BU116" s="307"/>
      <c r="BV116" s="307" t="s">
        <v>216</v>
      </c>
      <c r="BW116" s="307"/>
      <c r="BX116" s="307"/>
      <c r="BY116" s="307"/>
      <c r="BZ116" s="307"/>
      <c r="CA116" s="307"/>
      <c r="CB116" s="307" t="s">
        <v>88</v>
      </c>
      <c r="CC116" s="307"/>
      <c r="CD116" s="307"/>
      <c r="CE116" s="307"/>
      <c r="CF116" s="307" t="s">
        <v>219</v>
      </c>
      <c r="CG116" s="307"/>
      <c r="CH116" s="307"/>
      <c r="CI116" s="307"/>
      <c r="CJ116" s="307"/>
      <c r="CK116" s="307">
        <v>20</v>
      </c>
      <c r="CL116" s="307"/>
      <c r="CM116" s="307"/>
      <c r="CN116" s="307"/>
      <c r="CO116" s="307"/>
      <c r="CR116" s="59"/>
    </row>
    <row r="117" spans="1:96" ht="15" customHeight="1" x14ac:dyDescent="0.15">
      <c r="A117" s="57"/>
      <c r="B117" s="58"/>
      <c r="C117" s="321" t="s">
        <v>159</v>
      </c>
      <c r="D117" s="321"/>
      <c r="E117" s="321"/>
      <c r="F117" s="321"/>
      <c r="G117" s="321" t="s">
        <v>160</v>
      </c>
      <c r="H117" s="321"/>
      <c r="I117" s="321"/>
      <c r="J117" s="321"/>
      <c r="K117" s="321"/>
      <c r="L117" s="321"/>
      <c r="M117" s="321"/>
      <c r="N117" s="321"/>
      <c r="O117" s="321" t="s">
        <v>161</v>
      </c>
      <c r="P117" s="321"/>
      <c r="Q117" s="321"/>
      <c r="R117" s="321"/>
      <c r="S117" s="321"/>
      <c r="T117" s="321"/>
      <c r="U117" s="321"/>
      <c r="V117" s="321"/>
      <c r="W117" s="321"/>
      <c r="X117" s="321"/>
      <c r="Y117" s="321"/>
      <c r="Z117" s="321"/>
      <c r="AA117" s="321"/>
      <c r="AB117" s="321"/>
      <c r="AC117" s="321"/>
      <c r="AD117" s="321"/>
      <c r="AE117" s="321"/>
      <c r="AF117" s="321"/>
      <c r="AG117" s="321"/>
      <c r="AH117" s="321"/>
      <c r="AI117" s="321"/>
      <c r="AJ117" s="321"/>
      <c r="AK117" s="321"/>
      <c r="AL117" s="321"/>
      <c r="AM117" s="321"/>
      <c r="AN117" s="321"/>
      <c r="AO117" s="321"/>
      <c r="AP117" s="321"/>
      <c r="AQ117" s="321"/>
      <c r="AR117" s="321"/>
      <c r="AS117" s="321"/>
      <c r="AU117" s="58"/>
      <c r="AV117" s="58"/>
      <c r="AW117" s="58"/>
      <c r="AX117" s="58"/>
      <c r="AY117" s="307" t="s">
        <v>194</v>
      </c>
      <c r="AZ117" s="307"/>
      <c r="BA117" s="307"/>
      <c r="BB117" s="307"/>
      <c r="BC117" s="307"/>
      <c r="BD117" s="307"/>
      <c r="BE117" s="307" t="s">
        <v>210</v>
      </c>
      <c r="BF117" s="307"/>
      <c r="BG117" s="307"/>
      <c r="BH117" s="307"/>
      <c r="BI117" s="307" t="s">
        <v>212</v>
      </c>
      <c r="BJ117" s="307"/>
      <c r="BK117" s="307"/>
      <c r="BL117" s="307"/>
      <c r="BM117" s="307">
        <v>0</v>
      </c>
      <c r="BN117" s="307"/>
      <c r="BO117" s="307"/>
      <c r="BP117" s="307"/>
      <c r="BQ117" s="307">
        <v>13114155</v>
      </c>
      <c r="BR117" s="307"/>
      <c r="BS117" s="307"/>
      <c r="BT117" s="307"/>
      <c r="BU117" s="307"/>
      <c r="BV117" s="307" t="s">
        <v>216</v>
      </c>
      <c r="BW117" s="307"/>
      <c r="BX117" s="307"/>
      <c r="BY117" s="307"/>
      <c r="BZ117" s="307"/>
      <c r="CA117" s="307"/>
      <c r="CB117" s="307" t="s">
        <v>88</v>
      </c>
      <c r="CC117" s="307"/>
      <c r="CD117" s="307"/>
      <c r="CE117" s="307"/>
      <c r="CF117" s="307" t="s">
        <v>219</v>
      </c>
      <c r="CG117" s="307"/>
      <c r="CH117" s="307"/>
      <c r="CI117" s="307"/>
      <c r="CJ117" s="307"/>
      <c r="CK117" s="307">
        <v>20</v>
      </c>
      <c r="CL117" s="307"/>
      <c r="CM117" s="307"/>
      <c r="CN117" s="307"/>
      <c r="CO117" s="307"/>
      <c r="CR117" s="59"/>
    </row>
    <row r="118" spans="1:96" ht="15" customHeight="1" x14ac:dyDescent="0.15">
      <c r="A118" s="57"/>
      <c r="B118" s="58"/>
      <c r="C118" s="279" t="s">
        <v>162</v>
      </c>
      <c r="D118" s="279"/>
      <c r="E118" s="279"/>
      <c r="F118" s="279"/>
      <c r="G118" s="279" t="s">
        <v>163</v>
      </c>
      <c r="H118" s="279"/>
      <c r="I118" s="279"/>
      <c r="J118" s="279"/>
      <c r="K118" s="279"/>
      <c r="L118" s="279"/>
      <c r="M118" s="279"/>
      <c r="N118" s="279"/>
      <c r="O118" s="279" t="s">
        <v>374</v>
      </c>
      <c r="P118" s="279"/>
      <c r="Q118" s="279"/>
      <c r="R118" s="279"/>
      <c r="S118" s="279"/>
      <c r="T118" s="279"/>
      <c r="U118" s="279"/>
      <c r="V118" s="279"/>
      <c r="W118" s="279"/>
      <c r="X118" s="279"/>
      <c r="Y118" s="279"/>
      <c r="Z118" s="279"/>
      <c r="AA118" s="279"/>
      <c r="AB118" s="279"/>
      <c r="AC118" s="279"/>
      <c r="AD118" s="279"/>
      <c r="AE118" s="279"/>
      <c r="AF118" s="279"/>
      <c r="AG118" s="279"/>
      <c r="AH118" s="279"/>
      <c r="AI118" s="279"/>
      <c r="AJ118" s="279"/>
      <c r="AK118" s="279"/>
      <c r="AL118" s="279"/>
      <c r="AM118" s="279"/>
      <c r="AN118" s="279"/>
      <c r="AO118" s="279"/>
      <c r="AP118" s="279"/>
      <c r="AQ118" s="279"/>
      <c r="AR118" s="279"/>
      <c r="AS118" s="279"/>
      <c r="AU118" s="58"/>
      <c r="AV118" s="58"/>
      <c r="AW118" s="58"/>
      <c r="AX118" s="58"/>
      <c r="AY118" s="309" t="s">
        <v>194</v>
      </c>
      <c r="AZ118" s="309"/>
      <c r="BA118" s="309"/>
      <c r="BB118" s="309"/>
      <c r="BC118" s="309"/>
      <c r="BD118" s="309"/>
      <c r="BE118" s="309" t="s">
        <v>210</v>
      </c>
      <c r="BF118" s="309"/>
      <c r="BG118" s="309"/>
      <c r="BH118" s="309"/>
      <c r="BI118" s="309" t="s">
        <v>212</v>
      </c>
      <c r="BJ118" s="309"/>
      <c r="BK118" s="309"/>
      <c r="BL118" s="309"/>
      <c r="BM118" s="309">
        <v>0</v>
      </c>
      <c r="BN118" s="309"/>
      <c r="BO118" s="309"/>
      <c r="BP118" s="309"/>
      <c r="BQ118" s="309">
        <v>13121456</v>
      </c>
      <c r="BR118" s="309"/>
      <c r="BS118" s="309"/>
      <c r="BT118" s="309"/>
      <c r="BU118" s="309"/>
      <c r="BV118" s="309" t="s">
        <v>216</v>
      </c>
      <c r="BW118" s="309"/>
      <c r="BX118" s="309"/>
      <c r="BY118" s="309"/>
      <c r="BZ118" s="309"/>
      <c r="CA118" s="309"/>
      <c r="CB118" s="309" t="s">
        <v>88</v>
      </c>
      <c r="CC118" s="309"/>
      <c r="CD118" s="309"/>
      <c r="CE118" s="309"/>
      <c r="CF118" s="309" t="s">
        <v>219</v>
      </c>
      <c r="CG118" s="309"/>
      <c r="CH118" s="309"/>
      <c r="CI118" s="309"/>
      <c r="CJ118" s="309"/>
      <c r="CK118" s="309">
        <v>20</v>
      </c>
      <c r="CL118" s="309"/>
      <c r="CM118" s="309"/>
      <c r="CN118" s="309"/>
      <c r="CO118" s="309"/>
      <c r="CR118" s="59"/>
    </row>
    <row r="119" spans="1:96" ht="15" customHeight="1" x14ac:dyDescent="0.15">
      <c r="A119" s="57"/>
      <c r="B119" s="58"/>
      <c r="C119" s="279" t="s">
        <v>165</v>
      </c>
      <c r="D119" s="279"/>
      <c r="E119" s="279"/>
      <c r="F119" s="279"/>
      <c r="G119" s="279" t="s">
        <v>166</v>
      </c>
      <c r="H119" s="279"/>
      <c r="I119" s="279"/>
      <c r="J119" s="279"/>
      <c r="K119" s="279"/>
      <c r="L119" s="279"/>
      <c r="M119" s="279"/>
      <c r="N119" s="279"/>
      <c r="O119" s="279" t="s">
        <v>375</v>
      </c>
      <c r="P119" s="279"/>
      <c r="Q119" s="279"/>
      <c r="R119" s="279"/>
      <c r="S119" s="279"/>
      <c r="T119" s="279"/>
      <c r="U119" s="279"/>
      <c r="V119" s="279"/>
      <c r="W119" s="279"/>
      <c r="X119" s="279"/>
      <c r="Y119" s="279"/>
      <c r="Z119" s="279"/>
      <c r="AA119" s="279"/>
      <c r="AB119" s="279"/>
      <c r="AC119" s="279"/>
      <c r="AD119" s="279"/>
      <c r="AE119" s="279"/>
      <c r="AF119" s="279"/>
      <c r="AG119" s="279"/>
      <c r="AH119" s="279"/>
      <c r="AI119" s="279"/>
      <c r="AJ119" s="279"/>
      <c r="AK119" s="279"/>
      <c r="AL119" s="279"/>
      <c r="AM119" s="279"/>
      <c r="AN119" s="279"/>
      <c r="AO119" s="279"/>
      <c r="AP119" s="279"/>
      <c r="AQ119" s="279"/>
      <c r="AR119" s="279"/>
      <c r="AS119" s="279"/>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9"/>
    </row>
    <row r="120" spans="1:96" ht="15" customHeight="1" x14ac:dyDescent="0.15">
      <c r="A120" s="57"/>
      <c r="C120" s="279" t="s">
        <v>169</v>
      </c>
      <c r="D120" s="279"/>
      <c r="E120" s="279"/>
      <c r="F120" s="279"/>
      <c r="G120" s="279" t="s">
        <v>170</v>
      </c>
      <c r="H120" s="279"/>
      <c r="I120" s="279"/>
      <c r="J120" s="279"/>
      <c r="K120" s="279"/>
      <c r="L120" s="279"/>
      <c r="M120" s="279"/>
      <c r="N120" s="279"/>
      <c r="O120" s="279" t="s">
        <v>177</v>
      </c>
      <c r="P120" s="279"/>
      <c r="Q120" s="279"/>
      <c r="R120" s="279"/>
      <c r="S120" s="279"/>
      <c r="T120" s="279"/>
      <c r="U120" s="279"/>
      <c r="V120" s="279"/>
      <c r="W120" s="279"/>
      <c r="X120" s="279"/>
      <c r="Y120" s="279"/>
      <c r="Z120" s="279"/>
      <c r="AA120" s="279"/>
      <c r="AB120" s="279"/>
      <c r="AC120" s="279"/>
      <c r="AD120" s="279"/>
      <c r="AE120" s="279"/>
      <c r="AF120" s="279"/>
      <c r="AG120" s="279"/>
      <c r="AH120" s="279"/>
      <c r="AI120" s="279"/>
      <c r="AJ120" s="279"/>
      <c r="AK120" s="279"/>
      <c r="AL120" s="279"/>
      <c r="AM120" s="279"/>
      <c r="AN120" s="279"/>
      <c r="AO120" s="279"/>
      <c r="AP120" s="279"/>
      <c r="AQ120" s="279"/>
      <c r="AR120" s="279"/>
      <c r="AS120" s="279"/>
      <c r="AU120" s="58"/>
      <c r="AV120" s="58"/>
      <c r="AW120" s="58"/>
      <c r="AX120" s="58" t="s">
        <v>401</v>
      </c>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9"/>
    </row>
    <row r="121" spans="1:96" ht="15" customHeight="1" x14ac:dyDescent="0.15">
      <c r="A121" s="57"/>
      <c r="C121" s="279" t="s">
        <v>171</v>
      </c>
      <c r="D121" s="279"/>
      <c r="E121" s="279"/>
      <c r="F121" s="279"/>
      <c r="G121" s="279" t="s">
        <v>172</v>
      </c>
      <c r="H121" s="279"/>
      <c r="I121" s="279"/>
      <c r="J121" s="279"/>
      <c r="K121" s="279"/>
      <c r="L121" s="279"/>
      <c r="M121" s="279"/>
      <c r="N121" s="279"/>
      <c r="O121" s="279" t="s">
        <v>376</v>
      </c>
      <c r="P121" s="279"/>
      <c r="Q121" s="279"/>
      <c r="R121" s="279"/>
      <c r="S121" s="279"/>
      <c r="T121" s="279"/>
      <c r="U121" s="279"/>
      <c r="V121" s="279"/>
      <c r="W121" s="279"/>
      <c r="X121" s="279"/>
      <c r="Y121" s="279"/>
      <c r="Z121" s="279"/>
      <c r="AA121" s="279"/>
      <c r="AB121" s="279"/>
      <c r="AC121" s="279"/>
      <c r="AD121" s="279"/>
      <c r="AE121" s="279"/>
      <c r="AF121" s="279"/>
      <c r="AG121" s="279"/>
      <c r="AH121" s="279"/>
      <c r="AI121" s="279"/>
      <c r="AJ121" s="279"/>
      <c r="AK121" s="279"/>
      <c r="AL121" s="279"/>
      <c r="AM121" s="279"/>
      <c r="AN121" s="279"/>
      <c r="AO121" s="279"/>
      <c r="AP121" s="279"/>
      <c r="AQ121" s="279"/>
      <c r="AR121" s="279"/>
      <c r="AS121" s="279"/>
      <c r="AT121" s="58"/>
      <c r="AU121" s="58"/>
      <c r="AV121" s="58"/>
      <c r="AW121" s="58"/>
      <c r="AX121" s="58"/>
      <c r="AY121" s="310" t="s">
        <v>388</v>
      </c>
      <c r="AZ121" s="310"/>
      <c r="BA121" s="310"/>
      <c r="BB121" s="310"/>
      <c r="BC121" s="310"/>
      <c r="BD121" s="310"/>
      <c r="BE121" s="310" t="s">
        <v>191</v>
      </c>
      <c r="BF121" s="310"/>
      <c r="BG121" s="310"/>
      <c r="BH121" s="310"/>
      <c r="BI121" s="310" t="s">
        <v>192</v>
      </c>
      <c r="BJ121" s="310"/>
      <c r="BK121" s="310"/>
      <c r="BL121" s="310"/>
      <c r="BM121" s="310" t="s">
        <v>338</v>
      </c>
      <c r="BN121" s="310"/>
      <c r="BO121" s="310"/>
      <c r="BP121" s="310"/>
      <c r="BQ121" s="310"/>
      <c r="BR121" s="310" t="s">
        <v>339</v>
      </c>
      <c r="BS121" s="310"/>
      <c r="BT121" s="310"/>
      <c r="BU121" s="310"/>
      <c r="BV121" s="310"/>
      <c r="BW121" s="310" t="s">
        <v>402</v>
      </c>
      <c r="BX121" s="310"/>
      <c r="BY121" s="310"/>
      <c r="BZ121" s="310"/>
      <c r="CA121" s="310"/>
      <c r="CB121" s="314" t="s">
        <v>327</v>
      </c>
      <c r="CC121" s="314"/>
      <c r="CD121" s="314"/>
      <c r="CE121" s="314"/>
      <c r="CF121" s="314"/>
      <c r="CG121" s="314"/>
      <c r="CH121" s="310" t="s">
        <v>159</v>
      </c>
      <c r="CI121" s="310"/>
      <c r="CJ121" s="310"/>
      <c r="CK121" s="310"/>
      <c r="CL121" s="310"/>
      <c r="CM121" s="310" t="s">
        <v>340</v>
      </c>
      <c r="CN121" s="310"/>
      <c r="CO121" s="310"/>
      <c r="CP121" s="310"/>
      <c r="CQ121" s="310"/>
      <c r="CR121" s="59"/>
    </row>
    <row r="122" spans="1:96" ht="15" customHeight="1" x14ac:dyDescent="0.15">
      <c r="A122" s="57"/>
      <c r="C122" s="313" t="s">
        <v>173</v>
      </c>
      <c r="D122" s="313"/>
      <c r="E122" s="313"/>
      <c r="F122" s="313"/>
      <c r="G122" s="313" t="s">
        <v>174</v>
      </c>
      <c r="H122" s="313"/>
      <c r="I122" s="313"/>
      <c r="J122" s="313"/>
      <c r="K122" s="313"/>
      <c r="L122" s="313"/>
      <c r="M122" s="313"/>
      <c r="N122" s="313"/>
      <c r="O122" s="313" t="s">
        <v>377</v>
      </c>
      <c r="P122" s="313"/>
      <c r="Q122" s="313"/>
      <c r="R122" s="313"/>
      <c r="S122" s="313"/>
      <c r="T122" s="313"/>
      <c r="U122" s="313"/>
      <c r="V122" s="313"/>
      <c r="W122" s="313"/>
      <c r="X122" s="313"/>
      <c r="Y122" s="313"/>
      <c r="Z122" s="313"/>
      <c r="AA122" s="313"/>
      <c r="AB122" s="313"/>
      <c r="AC122" s="313"/>
      <c r="AD122" s="313"/>
      <c r="AE122" s="313"/>
      <c r="AF122" s="313"/>
      <c r="AG122" s="313"/>
      <c r="AH122" s="313"/>
      <c r="AI122" s="313"/>
      <c r="AJ122" s="313"/>
      <c r="AK122" s="313"/>
      <c r="AL122" s="313"/>
      <c r="AM122" s="313"/>
      <c r="AN122" s="313"/>
      <c r="AO122" s="313"/>
      <c r="AP122" s="313"/>
      <c r="AQ122" s="313"/>
      <c r="AR122" s="313"/>
      <c r="AS122" s="313"/>
      <c r="AT122" s="58"/>
      <c r="AU122" s="58"/>
      <c r="AV122" s="58"/>
      <c r="AW122" s="58"/>
      <c r="AX122" s="58"/>
      <c r="AY122" s="306" t="s">
        <v>194</v>
      </c>
      <c r="AZ122" s="306"/>
      <c r="BA122" s="306"/>
      <c r="BB122" s="306"/>
      <c r="BC122" s="306"/>
      <c r="BD122" s="306"/>
      <c r="BE122" s="306" t="s">
        <v>210</v>
      </c>
      <c r="BF122" s="306"/>
      <c r="BG122" s="306"/>
      <c r="BH122" s="306"/>
      <c r="BI122" s="306" t="s">
        <v>212</v>
      </c>
      <c r="BJ122" s="306"/>
      <c r="BK122" s="306"/>
      <c r="BL122" s="306"/>
      <c r="BM122" s="306">
        <v>0</v>
      </c>
      <c r="BN122" s="306"/>
      <c r="BO122" s="306"/>
      <c r="BP122" s="306"/>
      <c r="BQ122" s="306"/>
      <c r="BR122" s="306">
        <v>1</v>
      </c>
      <c r="BS122" s="306"/>
      <c r="BT122" s="306"/>
      <c r="BU122" s="306"/>
      <c r="BV122" s="306"/>
      <c r="BW122" s="306" t="s">
        <v>213</v>
      </c>
      <c r="BX122" s="306"/>
      <c r="BY122" s="306"/>
      <c r="BZ122" s="306"/>
      <c r="CA122" s="306"/>
      <c r="CB122" s="306" t="s">
        <v>216</v>
      </c>
      <c r="CC122" s="306"/>
      <c r="CD122" s="306"/>
      <c r="CE122" s="306"/>
      <c r="CF122" s="306"/>
      <c r="CG122" s="306"/>
      <c r="CH122" s="306" t="s">
        <v>345</v>
      </c>
      <c r="CI122" s="306"/>
      <c r="CJ122" s="306"/>
      <c r="CK122" s="306"/>
      <c r="CL122" s="306"/>
      <c r="CM122" s="306">
        <v>4</v>
      </c>
      <c r="CN122" s="306"/>
      <c r="CO122" s="306"/>
      <c r="CP122" s="306"/>
      <c r="CQ122" s="306"/>
      <c r="CR122" s="59"/>
    </row>
    <row r="123" spans="1:96" ht="15" customHeight="1" x14ac:dyDescent="0.15">
      <c r="A123" s="57"/>
      <c r="AT123" s="58"/>
      <c r="AU123" s="58"/>
      <c r="AV123" s="58"/>
      <c r="AW123" s="58"/>
      <c r="AX123" s="58"/>
      <c r="AY123" s="307" t="s">
        <v>194</v>
      </c>
      <c r="AZ123" s="307"/>
      <c r="BA123" s="307"/>
      <c r="BB123" s="307"/>
      <c r="BC123" s="307"/>
      <c r="BD123" s="307"/>
      <c r="BE123" s="307" t="s">
        <v>210</v>
      </c>
      <c r="BF123" s="307"/>
      <c r="BG123" s="307"/>
      <c r="BH123" s="307"/>
      <c r="BI123" s="307" t="s">
        <v>212</v>
      </c>
      <c r="BJ123" s="307"/>
      <c r="BK123" s="307"/>
      <c r="BL123" s="307"/>
      <c r="BM123" s="307">
        <v>0</v>
      </c>
      <c r="BN123" s="307"/>
      <c r="BO123" s="307"/>
      <c r="BP123" s="307"/>
      <c r="BQ123" s="307"/>
      <c r="BR123" s="307">
        <v>1</v>
      </c>
      <c r="BS123" s="307"/>
      <c r="BT123" s="307"/>
      <c r="BU123" s="307"/>
      <c r="BV123" s="307"/>
      <c r="BW123" s="307">
        <v>13112645</v>
      </c>
      <c r="BX123" s="307"/>
      <c r="BY123" s="307"/>
      <c r="BZ123" s="307"/>
      <c r="CA123" s="307"/>
      <c r="CB123" s="307" t="s">
        <v>216</v>
      </c>
      <c r="CC123" s="307"/>
      <c r="CD123" s="307"/>
      <c r="CE123" s="307"/>
      <c r="CF123" s="307"/>
      <c r="CG123" s="307"/>
      <c r="CH123" s="307" t="s">
        <v>344</v>
      </c>
      <c r="CI123" s="307"/>
      <c r="CJ123" s="307"/>
      <c r="CK123" s="307"/>
      <c r="CL123" s="307"/>
      <c r="CM123" s="307">
        <v>6</v>
      </c>
      <c r="CN123" s="307"/>
      <c r="CO123" s="307"/>
      <c r="CP123" s="307"/>
      <c r="CQ123" s="307"/>
      <c r="CR123" s="59"/>
    </row>
    <row r="124" spans="1:96" ht="15" customHeight="1" x14ac:dyDescent="0.15">
      <c r="A124" s="57"/>
      <c r="AT124" s="58"/>
      <c r="AU124" s="58"/>
      <c r="AV124" s="58"/>
      <c r="AW124" s="58"/>
      <c r="AX124" s="58"/>
      <c r="AY124" s="307" t="s">
        <v>194</v>
      </c>
      <c r="AZ124" s="307"/>
      <c r="BA124" s="307"/>
      <c r="BB124" s="307"/>
      <c r="BC124" s="307"/>
      <c r="BD124" s="307"/>
      <c r="BE124" s="307" t="s">
        <v>210</v>
      </c>
      <c r="BF124" s="307"/>
      <c r="BG124" s="307"/>
      <c r="BH124" s="307"/>
      <c r="BI124" s="307" t="s">
        <v>212</v>
      </c>
      <c r="BJ124" s="307"/>
      <c r="BK124" s="307"/>
      <c r="BL124" s="307"/>
      <c r="BM124" s="307">
        <v>0</v>
      </c>
      <c r="BN124" s="307"/>
      <c r="BO124" s="307"/>
      <c r="BP124" s="307"/>
      <c r="BQ124" s="307"/>
      <c r="BR124" s="307">
        <v>1</v>
      </c>
      <c r="BS124" s="307"/>
      <c r="BT124" s="307"/>
      <c r="BU124" s="307"/>
      <c r="BV124" s="307"/>
      <c r="BW124" s="307">
        <v>13113456</v>
      </c>
      <c r="BX124" s="307"/>
      <c r="BY124" s="307"/>
      <c r="BZ124" s="307"/>
      <c r="CA124" s="307"/>
      <c r="CB124" s="307" t="s">
        <v>216</v>
      </c>
      <c r="CC124" s="307"/>
      <c r="CD124" s="307"/>
      <c r="CE124" s="307"/>
      <c r="CF124" s="307"/>
      <c r="CG124" s="307"/>
      <c r="CH124" s="307" t="s">
        <v>344</v>
      </c>
      <c r="CI124" s="307"/>
      <c r="CJ124" s="307"/>
      <c r="CK124" s="307"/>
      <c r="CL124" s="307"/>
      <c r="CM124" s="307">
        <v>3</v>
      </c>
      <c r="CN124" s="307"/>
      <c r="CO124" s="307"/>
      <c r="CP124" s="307"/>
      <c r="CQ124" s="307"/>
      <c r="CR124" s="59"/>
    </row>
    <row r="125" spans="1:96" ht="15" customHeight="1" x14ac:dyDescent="0.15">
      <c r="A125" s="57"/>
      <c r="AT125" s="58"/>
      <c r="AU125" s="58"/>
      <c r="AV125" s="58"/>
      <c r="AW125" s="58"/>
      <c r="AX125" s="58"/>
      <c r="AY125" s="309" t="s">
        <v>194</v>
      </c>
      <c r="AZ125" s="309"/>
      <c r="BA125" s="309"/>
      <c r="BB125" s="309"/>
      <c r="BC125" s="309"/>
      <c r="BD125" s="309"/>
      <c r="BE125" s="309" t="s">
        <v>210</v>
      </c>
      <c r="BF125" s="309"/>
      <c r="BG125" s="309"/>
      <c r="BH125" s="309"/>
      <c r="BI125" s="309" t="s">
        <v>212</v>
      </c>
      <c r="BJ125" s="309"/>
      <c r="BK125" s="309"/>
      <c r="BL125" s="309"/>
      <c r="BM125" s="309">
        <v>0</v>
      </c>
      <c r="BN125" s="309"/>
      <c r="BO125" s="309"/>
      <c r="BP125" s="309"/>
      <c r="BQ125" s="309"/>
      <c r="BR125" s="309">
        <v>1</v>
      </c>
      <c r="BS125" s="309"/>
      <c r="BT125" s="309"/>
      <c r="BU125" s="309"/>
      <c r="BV125" s="309"/>
      <c r="BW125" s="309">
        <v>13114155</v>
      </c>
      <c r="BX125" s="309"/>
      <c r="BY125" s="309"/>
      <c r="BZ125" s="309"/>
      <c r="CA125" s="309"/>
      <c r="CB125" s="309" t="s">
        <v>216</v>
      </c>
      <c r="CC125" s="309"/>
      <c r="CD125" s="309"/>
      <c r="CE125" s="309"/>
      <c r="CF125" s="309"/>
      <c r="CG125" s="309"/>
      <c r="CH125" s="309" t="s">
        <v>344</v>
      </c>
      <c r="CI125" s="309"/>
      <c r="CJ125" s="309"/>
      <c r="CK125" s="309"/>
      <c r="CL125" s="309"/>
      <c r="CM125" s="309">
        <v>1</v>
      </c>
      <c r="CN125" s="309"/>
      <c r="CO125" s="309"/>
      <c r="CP125" s="309"/>
      <c r="CQ125" s="309"/>
      <c r="CR125" s="59"/>
    </row>
    <row r="126" spans="1:96" ht="15" customHeight="1" x14ac:dyDescent="0.15">
      <c r="A126" s="57"/>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9"/>
    </row>
    <row r="127" spans="1:96" ht="15" customHeight="1" x14ac:dyDescent="0.15">
      <c r="A127" s="57"/>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Y127" s="310" t="s">
        <v>341</v>
      </c>
      <c r="BZ127" s="310"/>
      <c r="CA127" s="310"/>
      <c r="CB127" s="310"/>
      <c r="CC127" s="310"/>
      <c r="CD127" s="310"/>
      <c r="CE127" s="310" t="s">
        <v>342</v>
      </c>
      <c r="CF127" s="310"/>
      <c r="CG127" s="310"/>
      <c r="CH127" s="310"/>
      <c r="CI127" s="310"/>
      <c r="CJ127" s="310"/>
      <c r="CK127" s="310" t="s">
        <v>343</v>
      </c>
      <c r="CL127" s="310"/>
      <c r="CM127" s="310"/>
      <c r="CN127" s="310"/>
      <c r="CO127" s="310"/>
      <c r="CP127" s="310"/>
      <c r="CQ127" s="58"/>
      <c r="CR127" s="59"/>
    </row>
    <row r="128" spans="1:96" ht="15" customHeight="1" x14ac:dyDescent="0.15">
      <c r="A128" s="57"/>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Y128" s="311"/>
      <c r="BZ128" s="311"/>
      <c r="CA128" s="311"/>
      <c r="CB128" s="311"/>
      <c r="CC128" s="311"/>
      <c r="CD128" s="311"/>
      <c r="CE128" s="311"/>
      <c r="CF128" s="311"/>
      <c r="CG128" s="311"/>
      <c r="CH128" s="311"/>
      <c r="CI128" s="311"/>
      <c r="CJ128" s="311"/>
      <c r="CK128" s="311"/>
      <c r="CL128" s="311"/>
      <c r="CM128" s="311"/>
      <c r="CN128" s="311"/>
      <c r="CO128" s="311"/>
      <c r="CP128" s="311"/>
      <c r="CQ128" s="58"/>
      <c r="CR128" s="59"/>
    </row>
    <row r="129" spans="1:107" ht="15" customHeight="1" x14ac:dyDescent="0.15">
      <c r="A129" s="57"/>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Y129" s="307"/>
      <c r="BZ129" s="307"/>
      <c r="CA129" s="307"/>
      <c r="CB129" s="307"/>
      <c r="CC129" s="307"/>
      <c r="CD129" s="307"/>
      <c r="CE129" s="307"/>
      <c r="CF129" s="307"/>
      <c r="CG129" s="307"/>
      <c r="CH129" s="307"/>
      <c r="CI129" s="307"/>
      <c r="CJ129" s="307"/>
      <c r="CK129" s="307"/>
      <c r="CL129" s="307"/>
      <c r="CM129" s="307"/>
      <c r="CN129" s="307"/>
      <c r="CO129" s="307"/>
      <c r="CP129" s="307"/>
      <c r="CQ129" s="58"/>
      <c r="CR129" s="59"/>
      <c r="DC129" s="58"/>
    </row>
    <row r="130" spans="1:107" ht="15" customHeight="1" x14ac:dyDescent="0.15">
      <c r="A130" s="57"/>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312"/>
      <c r="BZ130" s="312"/>
      <c r="CA130" s="312"/>
      <c r="CB130" s="312"/>
      <c r="CC130" s="312"/>
      <c r="CD130" s="312"/>
      <c r="CE130" s="312"/>
      <c r="CF130" s="312"/>
      <c r="CG130" s="312"/>
      <c r="CH130" s="312"/>
      <c r="CI130" s="312"/>
      <c r="CJ130" s="312"/>
      <c r="CK130" s="312"/>
      <c r="CL130" s="312"/>
      <c r="CM130" s="312"/>
      <c r="CN130" s="312"/>
      <c r="CO130" s="312"/>
      <c r="CP130" s="312"/>
      <c r="CQ130" s="58"/>
      <c r="CR130" s="59"/>
      <c r="DC130" s="58"/>
    </row>
    <row r="131" spans="1:107" ht="15" customHeight="1" x14ac:dyDescent="0.15">
      <c r="A131" s="57"/>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309"/>
      <c r="BZ131" s="309"/>
      <c r="CA131" s="309"/>
      <c r="CB131" s="309"/>
      <c r="CC131" s="309"/>
      <c r="CD131" s="309"/>
      <c r="CE131" s="309"/>
      <c r="CF131" s="309"/>
      <c r="CG131" s="309"/>
      <c r="CH131" s="309"/>
      <c r="CI131" s="309"/>
      <c r="CJ131" s="309"/>
      <c r="CK131" s="309"/>
      <c r="CL131" s="309"/>
      <c r="CM131" s="309"/>
      <c r="CN131" s="309"/>
      <c r="CO131" s="309"/>
      <c r="CP131" s="309"/>
      <c r="CQ131" s="58"/>
      <c r="CR131" s="59"/>
      <c r="DC131" s="58"/>
    </row>
    <row r="132" spans="1:107" ht="15" customHeight="1" x14ac:dyDescent="0.15">
      <c r="A132" s="57"/>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9"/>
      <c r="DC132" s="58"/>
    </row>
    <row r="133" spans="1:107" ht="15" customHeight="1" thickBot="1" x14ac:dyDescent="0.2">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3"/>
    </row>
    <row r="134" spans="1:107" ht="15" customHeight="1" x14ac:dyDescent="0.15">
      <c r="A134" s="184" t="s">
        <v>66</v>
      </c>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5"/>
      <c r="CA134" s="185"/>
      <c r="CB134" s="185"/>
      <c r="CC134" s="185"/>
      <c r="CD134" s="185"/>
      <c r="CE134" s="185"/>
      <c r="CF134" s="185"/>
      <c r="CG134" s="185"/>
      <c r="CH134" s="185"/>
      <c r="CI134" s="185"/>
      <c r="CJ134" s="185"/>
      <c r="CK134" s="185"/>
      <c r="CL134" s="185"/>
      <c r="CM134" s="185"/>
      <c r="CN134" s="185"/>
      <c r="CO134" s="185"/>
      <c r="CP134" s="185"/>
      <c r="CQ134" s="185"/>
      <c r="CR134" s="186"/>
    </row>
    <row r="135" spans="1:107" ht="15" customHeight="1" x14ac:dyDescent="0.15">
      <c r="A135" s="57"/>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9"/>
    </row>
    <row r="136" spans="1:107" ht="15" customHeight="1" x14ac:dyDescent="0.15">
      <c r="A136" s="57"/>
      <c r="B136" s="58" t="s">
        <v>224</v>
      </c>
      <c r="C136" s="58"/>
      <c r="D136" s="58"/>
      <c r="E136" s="58"/>
      <c r="F136" s="58"/>
      <c r="G136" s="58"/>
      <c r="H136" s="58"/>
      <c r="I136" s="58"/>
      <c r="J136" s="58"/>
      <c r="K136" s="58"/>
      <c r="L136" s="58"/>
      <c r="M136" s="58"/>
      <c r="N136" s="58"/>
      <c r="O136" s="58"/>
      <c r="P136" s="58"/>
      <c r="Q136" s="58"/>
      <c r="R136" s="58"/>
      <c r="S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289" t="s">
        <v>277</v>
      </c>
      <c r="AY136" s="289"/>
      <c r="AZ136" s="289"/>
      <c r="BA136" s="289"/>
      <c r="BB136" s="289"/>
      <c r="BC136" s="289"/>
      <c r="BD136" s="289" t="s">
        <v>278</v>
      </c>
      <c r="BE136" s="289"/>
      <c r="BF136" s="289"/>
      <c r="BG136" s="289"/>
      <c r="BH136" s="289"/>
      <c r="BI136" s="289"/>
      <c r="BJ136" s="289"/>
      <c r="BK136" s="289"/>
      <c r="BL136" s="289"/>
      <c r="BM136" s="289"/>
      <c r="BN136" s="289"/>
      <c r="BO136" s="289"/>
      <c r="BP136" s="289"/>
      <c r="BQ136" s="289"/>
      <c r="BR136" s="289"/>
      <c r="BS136" s="289"/>
      <c r="BT136" s="289"/>
      <c r="BU136" s="289"/>
      <c r="BV136" s="289"/>
      <c r="BW136" s="289"/>
      <c r="BX136" s="289"/>
      <c r="BY136" s="289"/>
      <c r="BZ136" s="289"/>
      <c r="CA136" s="289"/>
      <c r="CB136" s="289"/>
      <c r="CC136" s="289"/>
      <c r="CD136" s="289"/>
      <c r="CE136" s="289"/>
      <c r="CF136" s="289"/>
      <c r="CG136" s="289"/>
      <c r="CH136" s="289"/>
      <c r="CI136" s="289"/>
      <c r="CJ136" s="289"/>
      <c r="CK136" s="289"/>
      <c r="CL136" s="289"/>
      <c r="CM136" s="289"/>
      <c r="CN136" s="289"/>
      <c r="CO136" s="289"/>
      <c r="CP136" s="289"/>
      <c r="CQ136" s="58"/>
      <c r="CR136" s="59"/>
    </row>
    <row r="137" spans="1:107" ht="15" customHeight="1" x14ac:dyDescent="0.15">
      <c r="A137" s="57"/>
      <c r="B137" s="58"/>
      <c r="C137" s="58" t="s">
        <v>94</v>
      </c>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23"/>
      <c r="AR137" s="23"/>
      <c r="AS137" s="23"/>
      <c r="AT137" s="23"/>
      <c r="AU137" s="58"/>
      <c r="AV137" s="58"/>
      <c r="AW137" s="58"/>
      <c r="AX137" s="288" t="s">
        <v>261</v>
      </c>
      <c r="AY137" s="288"/>
      <c r="AZ137" s="288"/>
      <c r="BA137" s="288"/>
      <c r="BB137" s="288"/>
      <c r="BC137" s="288"/>
      <c r="BD137" s="295" t="s">
        <v>404</v>
      </c>
      <c r="BE137" s="295"/>
      <c r="BF137" s="295"/>
      <c r="BG137" s="295"/>
      <c r="BH137" s="295"/>
      <c r="BI137" s="295"/>
      <c r="BJ137" s="295"/>
      <c r="BK137" s="295"/>
      <c r="BL137" s="295"/>
      <c r="BM137" s="295"/>
      <c r="BN137" s="295"/>
      <c r="BO137" s="295"/>
      <c r="BP137" s="295"/>
      <c r="BQ137" s="295"/>
      <c r="BR137" s="295"/>
      <c r="BS137" s="295"/>
      <c r="BT137" s="295"/>
      <c r="BU137" s="295"/>
      <c r="BV137" s="295"/>
      <c r="BW137" s="295"/>
      <c r="BX137" s="295"/>
      <c r="BY137" s="295"/>
      <c r="BZ137" s="295"/>
      <c r="CA137" s="295"/>
      <c r="CB137" s="295"/>
      <c r="CC137" s="295"/>
      <c r="CD137" s="295"/>
      <c r="CE137" s="295"/>
      <c r="CF137" s="295"/>
      <c r="CG137" s="295"/>
      <c r="CH137" s="295"/>
      <c r="CI137" s="295"/>
      <c r="CJ137" s="295"/>
      <c r="CK137" s="295"/>
      <c r="CL137" s="295"/>
      <c r="CM137" s="295"/>
      <c r="CN137" s="295"/>
      <c r="CO137" s="295"/>
      <c r="CP137" s="295"/>
      <c r="CQ137" s="58"/>
      <c r="CR137" s="59"/>
    </row>
    <row r="138" spans="1:107" ht="15" customHeight="1" x14ac:dyDescent="0.15">
      <c r="A138" s="57"/>
      <c r="B138" s="58"/>
      <c r="C138" s="93" t="s">
        <v>225</v>
      </c>
      <c r="AV138" s="58"/>
      <c r="AW138" s="58"/>
      <c r="AX138" s="288" t="s">
        <v>267</v>
      </c>
      <c r="AY138" s="288"/>
      <c r="AZ138" s="288"/>
      <c r="BA138" s="288"/>
      <c r="BB138" s="288"/>
      <c r="BC138" s="288"/>
      <c r="BD138" s="297" t="s">
        <v>285</v>
      </c>
      <c r="BE138" s="297"/>
      <c r="BF138" s="297"/>
      <c r="BG138" s="297"/>
      <c r="BH138" s="297"/>
      <c r="BI138" s="297"/>
      <c r="BJ138" s="297"/>
      <c r="BK138" s="297"/>
      <c r="BL138" s="297"/>
      <c r="BM138" s="297"/>
      <c r="BN138" s="297"/>
      <c r="BO138" s="297"/>
      <c r="BP138" s="297"/>
      <c r="BQ138" s="297"/>
      <c r="BR138" s="297"/>
      <c r="BS138" s="297"/>
      <c r="BT138" s="297"/>
      <c r="BU138" s="297"/>
      <c r="BV138" s="297"/>
      <c r="BW138" s="297"/>
      <c r="BX138" s="297"/>
      <c r="BY138" s="297"/>
      <c r="BZ138" s="297"/>
      <c r="CA138" s="297"/>
      <c r="CB138" s="297"/>
      <c r="CC138" s="297"/>
      <c r="CD138" s="297"/>
      <c r="CE138" s="297"/>
      <c r="CF138" s="297"/>
      <c r="CG138" s="297"/>
      <c r="CH138" s="297"/>
      <c r="CI138" s="297"/>
      <c r="CJ138" s="297"/>
      <c r="CK138" s="297"/>
      <c r="CL138" s="297"/>
      <c r="CM138" s="297"/>
      <c r="CN138" s="297"/>
      <c r="CO138" s="297"/>
      <c r="CP138" s="297"/>
      <c r="CQ138" s="58"/>
      <c r="CR138" s="59"/>
    </row>
    <row r="139" spans="1:107" ht="15" customHeight="1" x14ac:dyDescent="0.15">
      <c r="A139" s="57"/>
      <c r="C139" s="95" t="s">
        <v>89</v>
      </c>
      <c r="D139" s="289" t="s">
        <v>209</v>
      </c>
      <c r="E139" s="289"/>
      <c r="F139" s="289"/>
      <c r="G139" s="289"/>
      <c r="H139" s="289"/>
      <c r="I139" s="289" t="s">
        <v>226</v>
      </c>
      <c r="J139" s="289"/>
      <c r="K139" s="289"/>
      <c r="L139" s="289"/>
      <c r="M139" s="289"/>
      <c r="N139" s="289"/>
      <c r="O139" s="289"/>
      <c r="P139" s="289"/>
      <c r="Q139" s="289"/>
      <c r="R139" s="289" t="s">
        <v>227</v>
      </c>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t="s">
        <v>277</v>
      </c>
      <c r="AQ139" s="289"/>
      <c r="AR139" s="289"/>
      <c r="AS139" s="289"/>
      <c r="AT139" s="289"/>
      <c r="AU139" s="289"/>
      <c r="AV139" s="58"/>
      <c r="AW139" s="58"/>
      <c r="AX139" s="288" t="s">
        <v>271</v>
      </c>
      <c r="AY139" s="288"/>
      <c r="AZ139" s="288"/>
      <c r="BA139" s="288"/>
      <c r="BB139" s="288"/>
      <c r="BC139" s="288"/>
      <c r="BD139" s="297" t="s">
        <v>286</v>
      </c>
      <c r="BE139" s="297"/>
      <c r="BF139" s="297"/>
      <c r="BG139" s="297"/>
      <c r="BH139" s="297"/>
      <c r="BI139" s="297"/>
      <c r="BJ139" s="297"/>
      <c r="BK139" s="297"/>
      <c r="BL139" s="297"/>
      <c r="BM139" s="297"/>
      <c r="BN139" s="297"/>
      <c r="BO139" s="297"/>
      <c r="BP139" s="297"/>
      <c r="BQ139" s="297"/>
      <c r="BR139" s="297"/>
      <c r="BS139" s="297"/>
      <c r="BT139" s="297"/>
      <c r="BU139" s="297"/>
      <c r="BV139" s="297"/>
      <c r="BW139" s="297"/>
      <c r="BX139" s="297"/>
      <c r="BY139" s="297"/>
      <c r="BZ139" s="297"/>
      <c r="CA139" s="297"/>
      <c r="CB139" s="297"/>
      <c r="CC139" s="297"/>
      <c r="CD139" s="297"/>
      <c r="CE139" s="297"/>
      <c r="CF139" s="297"/>
      <c r="CG139" s="297"/>
      <c r="CH139" s="297"/>
      <c r="CI139" s="297"/>
      <c r="CJ139" s="297"/>
      <c r="CK139" s="297"/>
      <c r="CL139" s="297"/>
      <c r="CM139" s="297"/>
      <c r="CN139" s="297"/>
      <c r="CO139" s="297"/>
      <c r="CP139" s="297"/>
      <c r="CQ139" s="58"/>
      <c r="CR139" s="59"/>
    </row>
    <row r="140" spans="1:107" ht="15" customHeight="1" x14ac:dyDescent="0.15">
      <c r="A140" s="57"/>
      <c r="C140" s="80" t="s">
        <v>88</v>
      </c>
      <c r="D140" s="295" t="s">
        <v>208</v>
      </c>
      <c r="E140" s="295"/>
      <c r="F140" s="295"/>
      <c r="G140" s="295"/>
      <c r="H140" s="295"/>
      <c r="I140" s="295" t="s">
        <v>207</v>
      </c>
      <c r="J140" s="295"/>
      <c r="K140" s="295"/>
      <c r="L140" s="295"/>
      <c r="M140" s="295"/>
      <c r="N140" s="295"/>
      <c r="O140" s="295"/>
      <c r="P140" s="295"/>
      <c r="Q140" s="295"/>
      <c r="R140" s="297" t="s">
        <v>229</v>
      </c>
      <c r="S140" s="297"/>
      <c r="T140" s="297"/>
      <c r="U140" s="297"/>
      <c r="V140" s="297"/>
      <c r="W140" s="297"/>
      <c r="X140" s="297"/>
      <c r="Y140" s="297"/>
      <c r="Z140" s="297"/>
      <c r="AA140" s="297"/>
      <c r="AB140" s="297"/>
      <c r="AC140" s="297"/>
      <c r="AD140" s="297"/>
      <c r="AE140" s="297"/>
      <c r="AF140" s="297"/>
      <c r="AG140" s="297"/>
      <c r="AH140" s="297"/>
      <c r="AI140" s="297"/>
      <c r="AJ140" s="297"/>
      <c r="AK140" s="297"/>
      <c r="AL140" s="297"/>
      <c r="AM140" s="297"/>
      <c r="AN140" s="297"/>
      <c r="AO140" s="297"/>
      <c r="AP140" s="288" t="s">
        <v>245</v>
      </c>
      <c r="AQ140" s="288"/>
      <c r="AR140" s="288"/>
      <c r="AS140" s="288"/>
      <c r="AT140" s="288"/>
      <c r="AU140" s="288"/>
      <c r="AV140" s="58"/>
      <c r="AW140" s="58"/>
      <c r="AX140" s="288" t="s">
        <v>269</v>
      </c>
      <c r="AY140" s="288"/>
      <c r="AZ140" s="288"/>
      <c r="BA140" s="288"/>
      <c r="BB140" s="288"/>
      <c r="BC140" s="288"/>
      <c r="BD140" s="297" t="s">
        <v>287</v>
      </c>
      <c r="BE140" s="297"/>
      <c r="BF140" s="297"/>
      <c r="BG140" s="297"/>
      <c r="BH140" s="297"/>
      <c r="BI140" s="297"/>
      <c r="BJ140" s="297"/>
      <c r="BK140" s="297"/>
      <c r="BL140" s="297"/>
      <c r="BM140" s="297"/>
      <c r="BN140" s="297"/>
      <c r="BO140" s="297"/>
      <c r="BP140" s="297"/>
      <c r="BQ140" s="297"/>
      <c r="BR140" s="297"/>
      <c r="BS140" s="297"/>
      <c r="BT140" s="297"/>
      <c r="BU140" s="297"/>
      <c r="BV140" s="297"/>
      <c r="BW140" s="297"/>
      <c r="BX140" s="297"/>
      <c r="BY140" s="297"/>
      <c r="BZ140" s="297"/>
      <c r="CA140" s="297"/>
      <c r="CB140" s="297"/>
      <c r="CC140" s="297"/>
      <c r="CD140" s="297"/>
      <c r="CE140" s="297"/>
      <c r="CF140" s="297"/>
      <c r="CG140" s="297"/>
      <c r="CH140" s="297"/>
      <c r="CI140" s="297"/>
      <c r="CJ140" s="297"/>
      <c r="CK140" s="297"/>
      <c r="CL140" s="297"/>
      <c r="CM140" s="297"/>
      <c r="CN140" s="297"/>
      <c r="CO140" s="297"/>
      <c r="CP140" s="297"/>
      <c r="CQ140" s="58"/>
      <c r="CR140" s="59"/>
    </row>
    <row r="141" spans="1:107" ht="15" customHeight="1" x14ac:dyDescent="0.15">
      <c r="A141" s="57"/>
      <c r="C141" s="80" t="s">
        <v>91</v>
      </c>
      <c r="D141" s="295"/>
      <c r="E141" s="295"/>
      <c r="F141" s="295"/>
      <c r="G141" s="295"/>
      <c r="H141" s="295"/>
      <c r="I141" s="295"/>
      <c r="J141" s="295"/>
      <c r="K141" s="295"/>
      <c r="L141" s="295"/>
      <c r="M141" s="295"/>
      <c r="N141" s="295"/>
      <c r="O141" s="295"/>
      <c r="P141" s="295"/>
      <c r="Q141" s="295"/>
      <c r="R141" s="295" t="s">
        <v>246</v>
      </c>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88" t="s">
        <v>253</v>
      </c>
      <c r="AQ141" s="288"/>
      <c r="AR141" s="288"/>
      <c r="AS141" s="288"/>
      <c r="AT141" s="288"/>
      <c r="AU141" s="288"/>
      <c r="AV141" s="58"/>
      <c r="AW141" s="58"/>
      <c r="AX141" s="288" t="s">
        <v>273</v>
      </c>
      <c r="AY141" s="288"/>
      <c r="AZ141" s="288"/>
      <c r="BA141" s="288"/>
      <c r="BB141" s="288"/>
      <c r="BC141" s="288"/>
      <c r="BD141" s="297" t="s">
        <v>288</v>
      </c>
      <c r="BE141" s="297"/>
      <c r="BF141" s="297"/>
      <c r="BG141" s="297"/>
      <c r="BH141" s="297"/>
      <c r="BI141" s="297"/>
      <c r="BJ141" s="297"/>
      <c r="BK141" s="297"/>
      <c r="BL141" s="297"/>
      <c r="BM141" s="297"/>
      <c r="BN141" s="297"/>
      <c r="BO141" s="297"/>
      <c r="BP141" s="297"/>
      <c r="BQ141" s="297"/>
      <c r="BR141" s="297"/>
      <c r="BS141" s="297"/>
      <c r="BT141" s="297"/>
      <c r="BU141" s="297"/>
      <c r="BV141" s="297"/>
      <c r="BW141" s="297"/>
      <c r="BX141" s="297"/>
      <c r="BY141" s="297"/>
      <c r="BZ141" s="297"/>
      <c r="CA141" s="297"/>
      <c r="CB141" s="297"/>
      <c r="CC141" s="297"/>
      <c r="CD141" s="297"/>
      <c r="CE141" s="297"/>
      <c r="CF141" s="297"/>
      <c r="CG141" s="297"/>
      <c r="CH141" s="297"/>
      <c r="CI141" s="297"/>
      <c r="CJ141" s="297"/>
      <c r="CK141" s="297"/>
      <c r="CL141" s="297"/>
      <c r="CM141" s="297"/>
      <c r="CN141" s="297"/>
      <c r="CO141" s="297"/>
      <c r="CP141" s="297"/>
      <c r="CQ141" s="58"/>
      <c r="CR141" s="59"/>
    </row>
    <row r="142" spans="1:107" ht="15" customHeight="1" x14ac:dyDescent="0.15">
      <c r="A142" s="57"/>
      <c r="C142" s="80" t="s">
        <v>95</v>
      </c>
      <c r="D142" s="295" t="s">
        <v>206</v>
      </c>
      <c r="E142" s="295"/>
      <c r="F142" s="295"/>
      <c r="G142" s="295"/>
      <c r="H142" s="295"/>
      <c r="I142" s="295" t="s">
        <v>205</v>
      </c>
      <c r="J142" s="295"/>
      <c r="K142" s="295"/>
      <c r="L142" s="295"/>
      <c r="M142" s="295"/>
      <c r="N142" s="295"/>
      <c r="O142" s="295"/>
      <c r="P142" s="295"/>
      <c r="Q142" s="295"/>
      <c r="R142" s="295" t="s">
        <v>229</v>
      </c>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88" t="s">
        <v>245</v>
      </c>
      <c r="AQ142" s="288"/>
      <c r="AR142" s="288"/>
      <c r="AS142" s="288"/>
      <c r="AT142" s="288"/>
      <c r="AU142" s="288"/>
      <c r="AV142" s="58"/>
      <c r="AW142" s="58"/>
      <c r="AX142" s="288" t="s">
        <v>275</v>
      </c>
      <c r="AY142" s="288"/>
      <c r="AZ142" s="288"/>
      <c r="BA142" s="288"/>
      <c r="BB142" s="288"/>
      <c r="BC142" s="288"/>
      <c r="BD142" s="297" t="s">
        <v>289</v>
      </c>
      <c r="BE142" s="297"/>
      <c r="BF142" s="297"/>
      <c r="BG142" s="297"/>
      <c r="BH142" s="297"/>
      <c r="BI142" s="297"/>
      <c r="BJ142" s="297"/>
      <c r="BK142" s="297"/>
      <c r="BL142" s="297"/>
      <c r="BM142" s="297"/>
      <c r="BN142" s="297"/>
      <c r="BO142" s="297"/>
      <c r="BP142" s="297"/>
      <c r="BQ142" s="297"/>
      <c r="BR142" s="297"/>
      <c r="BS142" s="297"/>
      <c r="BT142" s="297"/>
      <c r="BU142" s="297"/>
      <c r="BV142" s="297"/>
      <c r="BW142" s="297"/>
      <c r="BX142" s="297"/>
      <c r="BY142" s="297"/>
      <c r="BZ142" s="297"/>
      <c r="CA142" s="297"/>
      <c r="CB142" s="297"/>
      <c r="CC142" s="297"/>
      <c r="CD142" s="297"/>
      <c r="CE142" s="297"/>
      <c r="CF142" s="297"/>
      <c r="CG142" s="297"/>
      <c r="CH142" s="297"/>
      <c r="CI142" s="297"/>
      <c r="CJ142" s="297"/>
      <c r="CK142" s="297"/>
      <c r="CL142" s="297"/>
      <c r="CM142" s="297"/>
      <c r="CN142" s="297"/>
      <c r="CO142" s="297"/>
      <c r="CP142" s="297"/>
      <c r="CQ142" s="58"/>
      <c r="CR142" s="59"/>
    </row>
    <row r="143" spans="1:107" ht="15" customHeight="1" x14ac:dyDescent="0.15">
      <c r="A143" s="57"/>
      <c r="C143" s="80" t="s">
        <v>232</v>
      </c>
      <c r="D143" s="295"/>
      <c r="E143" s="295"/>
      <c r="F143" s="295"/>
      <c r="G143" s="295"/>
      <c r="H143" s="295"/>
      <c r="I143" s="295"/>
      <c r="J143" s="295"/>
      <c r="K143" s="295"/>
      <c r="L143" s="295"/>
      <c r="M143" s="295"/>
      <c r="N143" s="295"/>
      <c r="O143" s="295"/>
      <c r="P143" s="295"/>
      <c r="Q143" s="295"/>
      <c r="R143" s="295" t="s">
        <v>247</v>
      </c>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88" t="s">
        <v>253</v>
      </c>
      <c r="AQ143" s="288"/>
      <c r="AR143" s="288"/>
      <c r="AS143" s="288"/>
      <c r="AT143" s="288"/>
      <c r="AU143" s="288"/>
      <c r="AV143" s="58"/>
      <c r="AW143" s="58"/>
      <c r="CK143" s="58"/>
      <c r="CL143" s="58"/>
      <c r="CM143" s="58"/>
      <c r="CN143" s="58"/>
      <c r="CO143" s="58"/>
      <c r="CP143" s="58"/>
      <c r="CQ143" s="58"/>
      <c r="CR143" s="59"/>
    </row>
    <row r="144" spans="1:107" ht="15" customHeight="1" x14ac:dyDescent="0.15">
      <c r="A144" s="57"/>
      <c r="C144" s="80" t="s">
        <v>233</v>
      </c>
      <c r="D144" s="295" t="s">
        <v>204</v>
      </c>
      <c r="E144" s="295"/>
      <c r="F144" s="295"/>
      <c r="G144" s="295"/>
      <c r="H144" s="295"/>
      <c r="I144" s="295" t="s">
        <v>203</v>
      </c>
      <c r="J144" s="295"/>
      <c r="K144" s="295"/>
      <c r="L144" s="295"/>
      <c r="M144" s="295"/>
      <c r="N144" s="295"/>
      <c r="O144" s="295"/>
      <c r="P144" s="295"/>
      <c r="Q144" s="295"/>
      <c r="R144" s="295" t="s">
        <v>241</v>
      </c>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c r="AN144" s="295"/>
      <c r="AO144" s="295"/>
      <c r="AP144" s="288" t="s">
        <v>251</v>
      </c>
      <c r="AQ144" s="288"/>
      <c r="AR144" s="288"/>
      <c r="AS144" s="288"/>
      <c r="AT144" s="288"/>
      <c r="AU144" s="288"/>
      <c r="AV144" s="58"/>
      <c r="AW144" s="58"/>
      <c r="CR144" s="59"/>
    </row>
    <row r="145" spans="1:109" ht="15" customHeight="1" x14ac:dyDescent="0.15">
      <c r="A145" s="57"/>
      <c r="C145" s="80" t="s">
        <v>234</v>
      </c>
      <c r="D145" s="295"/>
      <c r="E145" s="295"/>
      <c r="F145" s="295"/>
      <c r="G145" s="295"/>
      <c r="H145" s="295"/>
      <c r="I145" s="295"/>
      <c r="J145" s="295"/>
      <c r="K145" s="295"/>
      <c r="L145" s="295"/>
      <c r="M145" s="295"/>
      <c r="N145" s="295"/>
      <c r="O145" s="295"/>
      <c r="P145" s="295"/>
      <c r="Q145" s="295"/>
      <c r="R145" s="295" t="s">
        <v>246</v>
      </c>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c r="AN145" s="295"/>
      <c r="AO145" s="295"/>
      <c r="AP145" s="288" t="s">
        <v>253</v>
      </c>
      <c r="AQ145" s="288"/>
      <c r="AR145" s="288"/>
      <c r="AS145" s="288"/>
      <c r="AT145" s="288"/>
      <c r="AU145" s="288"/>
      <c r="AV145" s="58"/>
      <c r="AW145" s="58"/>
      <c r="AX145" s="17" t="s">
        <v>407</v>
      </c>
      <c r="CR145" s="59"/>
    </row>
    <row r="146" spans="1:109" ht="15" customHeight="1" x14ac:dyDescent="0.15">
      <c r="A146" s="57"/>
      <c r="C146" s="80" t="s">
        <v>235</v>
      </c>
      <c r="D146" s="295"/>
      <c r="E146" s="295"/>
      <c r="F146" s="295"/>
      <c r="G146" s="295"/>
      <c r="H146" s="295"/>
      <c r="I146" s="295"/>
      <c r="J146" s="295"/>
      <c r="K146" s="295"/>
      <c r="L146" s="295"/>
      <c r="M146" s="295"/>
      <c r="N146" s="295"/>
      <c r="O146" s="295"/>
      <c r="P146" s="295"/>
      <c r="Q146" s="295"/>
      <c r="R146" s="295" t="s">
        <v>248</v>
      </c>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c r="AN146" s="295"/>
      <c r="AO146" s="295"/>
      <c r="AP146" s="288" t="s">
        <v>255</v>
      </c>
      <c r="AQ146" s="288"/>
      <c r="AR146" s="288"/>
      <c r="AS146" s="288"/>
      <c r="AT146" s="288"/>
      <c r="AU146" s="288"/>
      <c r="AV146" s="58"/>
      <c r="AW146" s="58"/>
      <c r="AY146" s="17" t="s">
        <v>408</v>
      </c>
      <c r="CR146" s="59"/>
    </row>
    <row r="147" spans="1:109" ht="15" customHeight="1" x14ac:dyDescent="0.15">
      <c r="A147" s="57"/>
      <c r="C147" s="80" t="s">
        <v>236</v>
      </c>
      <c r="D147" s="297" t="s">
        <v>202</v>
      </c>
      <c r="E147" s="297"/>
      <c r="F147" s="297"/>
      <c r="G147" s="297"/>
      <c r="H147" s="297"/>
      <c r="I147" s="297" t="s">
        <v>201</v>
      </c>
      <c r="J147" s="297"/>
      <c r="K147" s="297"/>
      <c r="L147" s="297"/>
      <c r="M147" s="297"/>
      <c r="N147" s="297"/>
      <c r="O147" s="297"/>
      <c r="P147" s="297"/>
      <c r="Q147" s="297"/>
      <c r="R147" s="295" t="s">
        <v>229</v>
      </c>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c r="AN147" s="295"/>
      <c r="AO147" s="295"/>
      <c r="AP147" s="288" t="s">
        <v>245</v>
      </c>
      <c r="AQ147" s="288"/>
      <c r="AR147" s="288"/>
      <c r="AS147" s="288"/>
      <c r="AT147" s="288"/>
      <c r="AU147" s="288"/>
      <c r="AV147" s="58"/>
      <c r="AW147" s="58"/>
      <c r="AY147" s="17" t="s">
        <v>409</v>
      </c>
      <c r="CR147" s="59"/>
    </row>
    <row r="148" spans="1:109" ht="15" customHeight="1" x14ac:dyDescent="0.15">
      <c r="A148" s="57"/>
      <c r="C148" s="80" t="s">
        <v>237</v>
      </c>
      <c r="D148" s="297"/>
      <c r="E148" s="297"/>
      <c r="F148" s="297"/>
      <c r="G148" s="297"/>
      <c r="H148" s="297"/>
      <c r="I148" s="297"/>
      <c r="J148" s="297"/>
      <c r="K148" s="297"/>
      <c r="L148" s="297"/>
      <c r="M148" s="297"/>
      <c r="N148" s="297"/>
      <c r="O148" s="297"/>
      <c r="P148" s="297"/>
      <c r="Q148" s="297"/>
      <c r="R148" s="295" t="s">
        <v>247</v>
      </c>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c r="AN148" s="295"/>
      <c r="AO148" s="295"/>
      <c r="AP148" s="288" t="s">
        <v>253</v>
      </c>
      <c r="AQ148" s="288"/>
      <c r="AR148" s="288"/>
      <c r="AS148" s="288"/>
      <c r="AT148" s="288"/>
      <c r="AU148" s="288"/>
      <c r="AV148" s="58"/>
      <c r="AW148" s="58"/>
      <c r="AZ148" s="17" t="s">
        <v>410</v>
      </c>
      <c r="CR148" s="59"/>
    </row>
    <row r="149" spans="1:109" ht="15" customHeight="1" x14ac:dyDescent="0.15">
      <c r="A149" s="57"/>
      <c r="C149" s="80" t="s">
        <v>211</v>
      </c>
      <c r="D149" s="297" t="s">
        <v>200</v>
      </c>
      <c r="E149" s="297"/>
      <c r="F149" s="297"/>
      <c r="G149" s="297"/>
      <c r="H149" s="297"/>
      <c r="I149" s="297" t="s">
        <v>199</v>
      </c>
      <c r="J149" s="297"/>
      <c r="K149" s="297"/>
      <c r="L149" s="297"/>
      <c r="M149" s="297"/>
      <c r="N149" s="297"/>
      <c r="O149" s="297"/>
      <c r="P149" s="297"/>
      <c r="Q149" s="297"/>
      <c r="R149" s="295" t="s">
        <v>242</v>
      </c>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c r="AN149" s="295"/>
      <c r="AO149" s="295"/>
      <c r="AP149" s="288" t="s">
        <v>257</v>
      </c>
      <c r="AQ149" s="288"/>
      <c r="AR149" s="288"/>
      <c r="AS149" s="288"/>
      <c r="AT149" s="288"/>
      <c r="AU149" s="288"/>
      <c r="AV149" s="58"/>
      <c r="AW149" s="58"/>
      <c r="CR149" s="59"/>
    </row>
    <row r="150" spans="1:109" ht="15" customHeight="1" x14ac:dyDescent="0.15">
      <c r="A150" s="57"/>
      <c r="C150" s="80" t="s">
        <v>238</v>
      </c>
      <c r="D150" s="297"/>
      <c r="E150" s="297"/>
      <c r="F150" s="297"/>
      <c r="G150" s="297"/>
      <c r="H150" s="297"/>
      <c r="I150" s="297"/>
      <c r="J150" s="297"/>
      <c r="K150" s="297"/>
      <c r="L150" s="297"/>
      <c r="M150" s="297"/>
      <c r="N150" s="297"/>
      <c r="O150" s="297"/>
      <c r="P150" s="297"/>
      <c r="Q150" s="297"/>
      <c r="R150" s="295" t="s">
        <v>249</v>
      </c>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88" t="s">
        <v>259</v>
      </c>
      <c r="AQ150" s="288"/>
      <c r="AR150" s="288"/>
      <c r="AS150" s="288"/>
      <c r="AT150" s="288"/>
      <c r="AU150" s="288"/>
      <c r="AV150" s="58"/>
      <c r="AW150" s="58"/>
      <c r="AX150" s="17" t="s">
        <v>411</v>
      </c>
      <c r="CR150" s="59"/>
    </row>
    <row r="151" spans="1:109" ht="15" customHeight="1" x14ac:dyDescent="0.15">
      <c r="A151" s="57"/>
      <c r="C151" s="80" t="s">
        <v>239</v>
      </c>
      <c r="D151" s="297" t="s">
        <v>198</v>
      </c>
      <c r="E151" s="297"/>
      <c r="F151" s="297"/>
      <c r="G151" s="297"/>
      <c r="H151" s="297"/>
      <c r="I151" s="297" t="s">
        <v>228</v>
      </c>
      <c r="J151" s="297"/>
      <c r="K151" s="297"/>
      <c r="L151" s="297"/>
      <c r="M151" s="297"/>
      <c r="N151" s="297"/>
      <c r="O151" s="297"/>
      <c r="P151" s="297"/>
      <c r="Q151" s="297"/>
      <c r="R151" s="295" t="s">
        <v>229</v>
      </c>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c r="AN151" s="295"/>
      <c r="AO151" s="295"/>
      <c r="AP151" s="288" t="s">
        <v>245</v>
      </c>
      <c r="AQ151" s="288"/>
      <c r="AR151" s="288"/>
      <c r="AS151" s="288"/>
      <c r="AT151" s="288"/>
      <c r="AU151" s="288"/>
      <c r="AV151" s="58"/>
      <c r="AW151" s="58"/>
      <c r="AY151" s="17" t="s">
        <v>420</v>
      </c>
      <c r="CR151" s="59"/>
    </row>
    <row r="152" spans="1:109" ht="15" customHeight="1" x14ac:dyDescent="0.15">
      <c r="A152" s="57"/>
      <c r="C152" s="80" t="s">
        <v>243</v>
      </c>
      <c r="D152" s="297"/>
      <c r="E152" s="297"/>
      <c r="F152" s="297"/>
      <c r="G152" s="297"/>
      <c r="H152" s="297"/>
      <c r="I152" s="297"/>
      <c r="J152" s="297"/>
      <c r="K152" s="297"/>
      <c r="L152" s="297"/>
      <c r="M152" s="297"/>
      <c r="N152" s="297"/>
      <c r="O152" s="297"/>
      <c r="P152" s="297"/>
      <c r="Q152" s="297"/>
      <c r="R152" s="295" t="s">
        <v>247</v>
      </c>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c r="AN152" s="295"/>
      <c r="AO152" s="295"/>
      <c r="AP152" s="288" t="s">
        <v>253</v>
      </c>
      <c r="AQ152" s="288"/>
      <c r="AR152" s="288"/>
      <c r="AS152" s="288"/>
      <c r="AT152" s="288"/>
      <c r="AU152" s="288"/>
      <c r="AV152" s="58"/>
      <c r="AW152" s="58"/>
      <c r="AY152" s="17" t="s">
        <v>421</v>
      </c>
      <c r="CR152" s="59"/>
    </row>
    <row r="153" spans="1:109" ht="15" customHeight="1" x14ac:dyDescent="0.15">
      <c r="A153" s="57"/>
      <c r="C153" s="80" t="s">
        <v>244</v>
      </c>
      <c r="D153" s="305" t="s">
        <v>231</v>
      </c>
      <c r="E153" s="305"/>
      <c r="F153" s="305"/>
      <c r="G153" s="305"/>
      <c r="H153" s="305"/>
      <c r="I153" s="304" t="s">
        <v>493</v>
      </c>
      <c r="J153" s="304"/>
      <c r="K153" s="304"/>
      <c r="L153" s="304"/>
      <c r="M153" s="304"/>
      <c r="N153" s="304"/>
      <c r="O153" s="304"/>
      <c r="P153" s="304"/>
      <c r="Q153" s="304"/>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88"/>
      <c r="AQ153" s="288"/>
      <c r="AR153" s="288"/>
      <c r="AS153" s="288"/>
      <c r="AT153" s="288"/>
      <c r="AU153" s="288"/>
      <c r="AV153" s="58"/>
      <c r="AW153" s="58"/>
      <c r="CR153" s="59"/>
      <c r="CT153" s="126" t="s">
        <v>489</v>
      </c>
      <c r="DC153" s="126" t="s">
        <v>492</v>
      </c>
      <c r="DD153" s="126"/>
      <c r="DE153" s="126"/>
    </row>
    <row r="154" spans="1:109" ht="15" customHeight="1" x14ac:dyDescent="0.15">
      <c r="A154" s="57"/>
      <c r="AO154" s="58"/>
      <c r="AP154" s="58"/>
      <c r="AQ154" s="58"/>
      <c r="AR154" s="58"/>
      <c r="AS154" s="58"/>
      <c r="AT154" s="58"/>
      <c r="AU154" s="58"/>
      <c r="AV154" s="58"/>
      <c r="AW154" s="58"/>
      <c r="AX154" s="17" t="s">
        <v>495</v>
      </c>
      <c r="AY154" s="125" t="s">
        <v>520</v>
      </c>
      <c r="AZ154" s="125"/>
      <c r="BA154" s="125"/>
      <c r="BB154" s="125"/>
      <c r="BC154" s="125"/>
      <c r="BD154" s="125"/>
      <c r="BE154" s="125"/>
      <c r="BF154" s="125"/>
      <c r="BG154" s="125"/>
      <c r="BH154" s="125"/>
      <c r="BI154" s="125"/>
      <c r="BJ154" s="125"/>
      <c r="BK154" s="125"/>
      <c r="BL154" s="125"/>
      <c r="BM154" s="125"/>
      <c r="BN154" s="125"/>
      <c r="BO154" s="125"/>
      <c r="BP154" s="125"/>
      <c r="BQ154" s="125"/>
      <c r="BR154" s="125"/>
      <c r="BS154" s="125"/>
      <c r="BT154" s="125"/>
      <c r="BU154" s="125"/>
      <c r="BV154" s="125"/>
      <c r="BW154" s="125"/>
      <c r="BX154" s="125"/>
      <c r="BY154" s="125"/>
      <c r="BZ154" s="125"/>
      <c r="CA154" s="125"/>
      <c r="CB154" s="125"/>
      <c r="CC154" s="125"/>
      <c r="CD154" s="126"/>
      <c r="CE154" s="126"/>
      <c r="CF154" s="126"/>
      <c r="CG154" s="126"/>
      <c r="CH154" s="126"/>
      <c r="CI154" s="126"/>
      <c r="CJ154" s="126"/>
      <c r="CK154" s="126"/>
      <c r="CL154" s="126"/>
      <c r="CM154" s="126"/>
      <c r="CN154" s="126"/>
      <c r="CO154" s="126"/>
      <c r="CP154" s="126"/>
      <c r="CQ154" s="126"/>
      <c r="CR154" s="59"/>
      <c r="CT154" s="126" t="s">
        <v>489</v>
      </c>
      <c r="DC154" s="126"/>
      <c r="DD154" s="126"/>
      <c r="DE154" s="126"/>
    </row>
    <row r="155" spans="1:109" ht="15" customHeight="1" x14ac:dyDescent="0.15">
      <c r="A155" s="57"/>
      <c r="C155" s="95" t="s">
        <v>89</v>
      </c>
      <c r="D155" s="299" t="s">
        <v>195</v>
      </c>
      <c r="E155" s="300"/>
      <c r="F155" s="300"/>
      <c r="G155" s="300"/>
      <c r="H155" s="300"/>
      <c r="I155" s="300"/>
      <c r="J155" s="300"/>
      <c r="K155" s="300"/>
      <c r="L155" s="300"/>
      <c r="M155" s="300"/>
      <c r="N155" s="300"/>
      <c r="O155" s="300"/>
      <c r="P155" s="300"/>
      <c r="Q155" s="308"/>
      <c r="R155" s="289" t="s">
        <v>227</v>
      </c>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t="s">
        <v>277</v>
      </c>
      <c r="AQ155" s="289"/>
      <c r="AR155" s="289"/>
      <c r="AS155" s="289"/>
      <c r="AT155" s="289"/>
      <c r="AU155" s="289"/>
      <c r="AV155" s="58"/>
      <c r="AW155" s="58"/>
      <c r="AY155" s="125" t="s">
        <v>521</v>
      </c>
      <c r="AZ155" s="125"/>
      <c r="BA155" s="125"/>
      <c r="BB155" s="125"/>
      <c r="BC155" s="125"/>
      <c r="BD155" s="125"/>
      <c r="BE155" s="125"/>
      <c r="BF155" s="125"/>
      <c r="BG155" s="125"/>
      <c r="BH155" s="125"/>
      <c r="BI155" s="125"/>
      <c r="BJ155" s="125"/>
      <c r="BK155" s="125"/>
      <c r="BL155" s="125"/>
      <c r="BM155" s="125"/>
      <c r="BN155" s="125"/>
      <c r="BO155" s="125"/>
      <c r="BP155" s="125"/>
      <c r="BQ155" s="125"/>
      <c r="BR155" s="125"/>
      <c r="BS155" s="125"/>
      <c r="BT155" s="125"/>
      <c r="BU155" s="125"/>
      <c r="BV155" s="125"/>
      <c r="BW155" s="125"/>
      <c r="BX155" s="125"/>
      <c r="BY155" s="125"/>
      <c r="BZ155" s="125"/>
      <c r="CA155" s="125"/>
      <c r="CB155" s="125"/>
      <c r="CC155" s="125"/>
      <c r="CD155" s="126"/>
      <c r="CE155" s="126"/>
      <c r="CF155" s="126"/>
      <c r="CG155" s="126"/>
      <c r="CH155" s="126" t="s">
        <v>522</v>
      </c>
      <c r="CI155" s="126"/>
      <c r="CJ155" s="126"/>
      <c r="CK155" s="126"/>
      <c r="CL155" s="126"/>
      <c r="CM155" s="126"/>
      <c r="CN155" s="126"/>
      <c r="CO155" s="126"/>
      <c r="CP155" s="126"/>
      <c r="CQ155" s="126"/>
      <c r="CR155" s="59"/>
      <c r="CT155" s="126"/>
      <c r="DC155" s="126"/>
      <c r="DD155" s="126"/>
      <c r="DE155" s="126"/>
    </row>
    <row r="156" spans="1:109" ht="15" customHeight="1" x14ac:dyDescent="0.15">
      <c r="A156" s="57"/>
      <c r="C156" s="286" t="s">
        <v>260</v>
      </c>
      <c r="D156" s="269" t="s">
        <v>197</v>
      </c>
      <c r="E156" s="269"/>
      <c r="F156" s="269"/>
      <c r="G156" s="269"/>
      <c r="H156" s="269"/>
      <c r="I156" s="269"/>
      <c r="J156" s="269"/>
      <c r="K156" s="269"/>
      <c r="L156" s="269"/>
      <c r="M156" s="269"/>
      <c r="N156" s="269"/>
      <c r="O156" s="269"/>
      <c r="P156" s="269"/>
      <c r="Q156" s="269"/>
      <c r="R156" s="303" t="s">
        <v>532</v>
      </c>
      <c r="S156" s="293"/>
      <c r="T156" s="293"/>
      <c r="U156" s="293"/>
      <c r="V156" s="293"/>
      <c r="W156" s="293"/>
      <c r="X156" s="293"/>
      <c r="Y156" s="293"/>
      <c r="Z156" s="293"/>
      <c r="AA156" s="293"/>
      <c r="AB156" s="293"/>
      <c r="AC156" s="293"/>
      <c r="AD156" s="293"/>
      <c r="AE156" s="293"/>
      <c r="AF156" s="293"/>
      <c r="AG156" s="293"/>
      <c r="AH156" s="293"/>
      <c r="AI156" s="293"/>
      <c r="AJ156" s="293"/>
      <c r="AK156" s="293"/>
      <c r="AL156" s="293"/>
      <c r="AM156" s="293"/>
      <c r="AN156" s="293"/>
      <c r="AO156" s="293"/>
      <c r="AP156" s="301" t="s">
        <v>261</v>
      </c>
      <c r="AQ156" s="302"/>
      <c r="AR156" s="302"/>
      <c r="AS156" s="302"/>
      <c r="AT156" s="302"/>
      <c r="AU156" s="302"/>
      <c r="AV156" s="58"/>
      <c r="AW156" s="58"/>
      <c r="AY156" s="125" t="s">
        <v>496</v>
      </c>
      <c r="AZ156" s="125"/>
      <c r="BA156" s="125" t="s">
        <v>523</v>
      </c>
      <c r="BB156" s="125"/>
      <c r="BC156" s="125"/>
      <c r="BD156" s="125"/>
      <c r="BE156" s="125"/>
      <c r="BF156" s="125"/>
      <c r="BG156" s="125"/>
      <c r="BH156" s="125"/>
      <c r="BI156" s="125"/>
      <c r="BJ156" s="125"/>
      <c r="BK156" s="125"/>
      <c r="BL156" s="125"/>
      <c r="BM156" s="125"/>
      <c r="BN156" s="125"/>
      <c r="BO156" s="125"/>
      <c r="BP156" s="125"/>
      <c r="BQ156" s="125"/>
      <c r="BR156" s="125"/>
      <c r="BS156" s="125"/>
      <c r="BT156" s="125"/>
      <c r="BU156" s="125"/>
      <c r="BV156" s="125"/>
      <c r="BW156" s="125"/>
      <c r="BX156" s="125"/>
      <c r="BY156" s="125"/>
      <c r="BZ156" s="125"/>
      <c r="CA156" s="125"/>
      <c r="CB156" s="125"/>
      <c r="CC156" s="125"/>
      <c r="CD156" s="126"/>
      <c r="CE156" s="126"/>
      <c r="CF156" s="126"/>
      <c r="CG156" s="126"/>
      <c r="CH156" s="126"/>
      <c r="CI156" s="126"/>
      <c r="CJ156" s="126"/>
      <c r="CK156" s="126"/>
      <c r="CL156" s="126"/>
      <c r="CM156" s="126"/>
      <c r="CN156" s="126"/>
      <c r="CO156" s="126"/>
      <c r="CP156" s="126"/>
      <c r="CQ156" s="126"/>
      <c r="CR156" s="59"/>
      <c r="CT156" s="126"/>
      <c r="DC156" s="126"/>
      <c r="DD156" s="126"/>
      <c r="DE156" s="126"/>
    </row>
    <row r="157" spans="1:109" ht="15" customHeight="1" x14ac:dyDescent="0.15">
      <c r="A157" s="57"/>
      <c r="C157" s="269"/>
      <c r="D157" s="269"/>
      <c r="E157" s="269"/>
      <c r="F157" s="269"/>
      <c r="G157" s="269"/>
      <c r="H157" s="269"/>
      <c r="I157" s="269"/>
      <c r="J157" s="269"/>
      <c r="K157" s="269"/>
      <c r="L157" s="269"/>
      <c r="M157" s="269"/>
      <c r="N157" s="269"/>
      <c r="O157" s="269"/>
      <c r="P157" s="269"/>
      <c r="Q157" s="269"/>
      <c r="R157" s="293"/>
      <c r="S157" s="293"/>
      <c r="T157" s="293"/>
      <c r="U157" s="293"/>
      <c r="V157" s="293"/>
      <c r="W157" s="293"/>
      <c r="X157" s="293"/>
      <c r="Y157" s="293"/>
      <c r="Z157" s="293"/>
      <c r="AA157" s="293"/>
      <c r="AB157" s="293"/>
      <c r="AC157" s="293"/>
      <c r="AD157" s="293"/>
      <c r="AE157" s="293"/>
      <c r="AF157" s="293"/>
      <c r="AG157" s="293"/>
      <c r="AH157" s="293"/>
      <c r="AI157" s="293"/>
      <c r="AJ157" s="293"/>
      <c r="AK157" s="293"/>
      <c r="AL157" s="293"/>
      <c r="AM157" s="293"/>
      <c r="AN157" s="293"/>
      <c r="AO157" s="293"/>
      <c r="AP157" s="302"/>
      <c r="AQ157" s="302"/>
      <c r="AR157" s="302"/>
      <c r="AS157" s="302"/>
      <c r="AT157" s="302"/>
      <c r="AU157" s="302"/>
      <c r="AV157" s="58"/>
      <c r="AW157" s="58"/>
      <c r="BA157" s="268" t="s">
        <v>498</v>
      </c>
      <c r="BB157" s="268"/>
      <c r="BC157" s="268"/>
      <c r="BD157" s="268"/>
      <c r="BE157" s="268"/>
      <c r="BF157" s="268" t="s">
        <v>497</v>
      </c>
      <c r="BG157" s="268"/>
      <c r="BH157" s="268"/>
      <c r="BI157" s="268"/>
      <c r="BJ157" s="268"/>
      <c r="BK157" s="268"/>
      <c r="BL157" s="268"/>
      <c r="BM157" s="268" t="s">
        <v>504</v>
      </c>
      <c r="BN157" s="268"/>
      <c r="BO157" s="268"/>
      <c r="BP157" s="268"/>
      <c r="BQ157" s="268" t="s">
        <v>502</v>
      </c>
      <c r="BR157" s="268"/>
      <c r="BS157" s="268"/>
      <c r="BT157" s="268"/>
      <c r="BU157" s="268"/>
      <c r="BV157" s="268"/>
      <c r="BW157" s="268" t="s">
        <v>501</v>
      </c>
      <c r="BX157" s="268"/>
      <c r="BY157" s="268"/>
      <c r="BZ157" s="268"/>
      <c r="CA157" s="268"/>
      <c r="CB157" s="268"/>
      <c r="CC157" s="268"/>
      <c r="CR157" s="59"/>
      <c r="CT157" s="126"/>
      <c r="DC157" s="126"/>
      <c r="DD157" s="126"/>
      <c r="DE157" s="126"/>
    </row>
    <row r="158" spans="1:109" ht="15" customHeight="1" x14ac:dyDescent="0.15">
      <c r="A158" s="57"/>
      <c r="AO158" s="60"/>
      <c r="AP158" s="60"/>
      <c r="AQ158" s="60"/>
      <c r="AR158" s="60"/>
      <c r="AS158" s="60"/>
      <c r="AT158" s="60"/>
      <c r="AU158" s="58"/>
      <c r="AV158" s="58"/>
      <c r="AW158" s="58"/>
      <c r="BA158" s="268" t="s">
        <v>499</v>
      </c>
      <c r="BB158" s="268"/>
      <c r="BC158" s="268"/>
      <c r="BD158" s="268"/>
      <c r="BE158" s="268"/>
      <c r="BF158" s="268" t="s">
        <v>508</v>
      </c>
      <c r="BG158" s="268"/>
      <c r="BH158" s="268"/>
      <c r="BI158" s="268"/>
      <c r="BJ158" s="268"/>
      <c r="BK158" s="268"/>
      <c r="BL158" s="268"/>
      <c r="BM158" s="268" t="s">
        <v>505</v>
      </c>
      <c r="BN158" s="268"/>
      <c r="BO158" s="268"/>
      <c r="BP158" s="268"/>
      <c r="BQ158" s="268" t="s">
        <v>503</v>
      </c>
      <c r="BR158" s="268"/>
      <c r="BS158" s="268"/>
      <c r="BT158" s="268"/>
      <c r="BU158" s="268"/>
      <c r="BV158" s="268"/>
      <c r="BW158" s="268" t="s">
        <v>506</v>
      </c>
      <c r="BX158" s="268"/>
      <c r="BY158" s="268"/>
      <c r="BZ158" s="268"/>
      <c r="CA158" s="268"/>
      <c r="CB158" s="268"/>
      <c r="CC158" s="268"/>
      <c r="CR158" s="59"/>
      <c r="CT158" s="126"/>
      <c r="DC158" s="126"/>
      <c r="DD158" s="126"/>
      <c r="DE158" s="126"/>
    </row>
    <row r="159" spans="1:109" ht="15" customHeight="1" x14ac:dyDescent="0.15">
      <c r="A159" s="57"/>
      <c r="C159" s="17" t="s">
        <v>196</v>
      </c>
      <c r="AO159" s="60"/>
      <c r="AP159" s="60"/>
      <c r="AQ159" s="60"/>
      <c r="AR159" s="60"/>
      <c r="AS159" s="60"/>
      <c r="AT159" s="60"/>
      <c r="AU159" s="58"/>
      <c r="AV159" s="58"/>
      <c r="AW159" s="58"/>
      <c r="BA159" s="268" t="s">
        <v>499</v>
      </c>
      <c r="BB159" s="268"/>
      <c r="BC159" s="268"/>
      <c r="BD159" s="268"/>
      <c r="BE159" s="268"/>
      <c r="BF159" s="268" t="s">
        <v>508</v>
      </c>
      <c r="BG159" s="268"/>
      <c r="BH159" s="268"/>
      <c r="BI159" s="268"/>
      <c r="BJ159" s="268"/>
      <c r="BK159" s="268"/>
      <c r="BL159" s="268"/>
      <c r="BM159" s="268" t="s">
        <v>509</v>
      </c>
      <c r="BN159" s="268"/>
      <c r="BO159" s="268"/>
      <c r="BP159" s="268"/>
      <c r="BQ159" s="268" t="s">
        <v>503</v>
      </c>
      <c r="BR159" s="268"/>
      <c r="BS159" s="268"/>
      <c r="BT159" s="268"/>
      <c r="BU159" s="268"/>
      <c r="BV159" s="268"/>
      <c r="BW159" s="268" t="s">
        <v>507</v>
      </c>
      <c r="BX159" s="268"/>
      <c r="BY159" s="268"/>
      <c r="BZ159" s="268"/>
      <c r="CA159" s="268"/>
      <c r="CB159" s="268"/>
      <c r="CC159" s="268"/>
      <c r="CR159" s="59"/>
      <c r="CT159" s="126"/>
      <c r="DC159" s="126"/>
      <c r="DD159" s="126"/>
      <c r="DE159" s="126"/>
    </row>
    <row r="160" spans="1:109" ht="15" customHeight="1" x14ac:dyDescent="0.15">
      <c r="A160" s="57"/>
      <c r="C160" s="95" t="s">
        <v>89</v>
      </c>
      <c r="D160" s="299" t="s">
        <v>195</v>
      </c>
      <c r="E160" s="300"/>
      <c r="F160" s="300"/>
      <c r="G160" s="300"/>
      <c r="H160" s="300"/>
      <c r="I160" s="300"/>
      <c r="J160" s="300"/>
      <c r="K160" s="300"/>
      <c r="L160" s="300"/>
      <c r="M160" s="300"/>
      <c r="N160" s="300"/>
      <c r="O160" s="300"/>
      <c r="P160" s="300"/>
      <c r="Q160" s="308"/>
      <c r="R160" s="289" t="s">
        <v>227</v>
      </c>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t="s">
        <v>277</v>
      </c>
      <c r="AQ160" s="289"/>
      <c r="AR160" s="289"/>
      <c r="AS160" s="289"/>
      <c r="AT160" s="289"/>
      <c r="AU160" s="289"/>
      <c r="AV160" s="58"/>
      <c r="AW160" s="58"/>
      <c r="BA160" s="268" t="s">
        <v>499</v>
      </c>
      <c r="BB160" s="268"/>
      <c r="BC160" s="268"/>
      <c r="BD160" s="268"/>
      <c r="BE160" s="268"/>
      <c r="BF160" s="268" t="s">
        <v>500</v>
      </c>
      <c r="BG160" s="268"/>
      <c r="BH160" s="268"/>
      <c r="BI160" s="268"/>
      <c r="BJ160" s="268"/>
      <c r="BK160" s="268"/>
      <c r="BL160" s="268"/>
      <c r="BM160" s="268" t="s">
        <v>509</v>
      </c>
      <c r="BN160" s="268"/>
      <c r="BO160" s="268"/>
      <c r="BP160" s="268"/>
      <c r="BQ160" s="268" t="s">
        <v>524</v>
      </c>
      <c r="BR160" s="268"/>
      <c r="BS160" s="268"/>
      <c r="BT160" s="268"/>
      <c r="BU160" s="268"/>
      <c r="BV160" s="268"/>
      <c r="BW160" s="268" t="s">
        <v>525</v>
      </c>
      <c r="BX160" s="268"/>
      <c r="BY160" s="268"/>
      <c r="BZ160" s="268"/>
      <c r="CA160" s="268"/>
      <c r="CB160" s="268"/>
      <c r="CC160" s="268"/>
      <c r="CR160" s="59"/>
      <c r="CT160" s="126"/>
      <c r="DC160" s="126"/>
      <c r="DD160" s="126"/>
      <c r="DE160" s="126"/>
    </row>
    <row r="161" spans="1:109" ht="15" customHeight="1" x14ac:dyDescent="0.15">
      <c r="A161" s="57"/>
      <c r="C161" s="286" t="s">
        <v>215</v>
      </c>
      <c r="D161" s="294" t="s">
        <v>533</v>
      </c>
      <c r="E161" s="294"/>
      <c r="F161" s="294"/>
      <c r="G161" s="294"/>
      <c r="H161" s="294"/>
      <c r="I161" s="294"/>
      <c r="J161" s="294"/>
      <c r="K161" s="294"/>
      <c r="L161" s="294"/>
      <c r="M161" s="294"/>
      <c r="N161" s="294"/>
      <c r="O161" s="294"/>
      <c r="P161" s="294"/>
      <c r="Q161" s="294"/>
      <c r="R161" s="291" t="s">
        <v>534</v>
      </c>
      <c r="S161" s="292"/>
      <c r="T161" s="292"/>
      <c r="U161" s="292"/>
      <c r="V161" s="292"/>
      <c r="W161" s="292"/>
      <c r="X161" s="292"/>
      <c r="Y161" s="292"/>
      <c r="Z161" s="292"/>
      <c r="AA161" s="292"/>
      <c r="AB161" s="292"/>
      <c r="AC161" s="292"/>
      <c r="AD161" s="292"/>
      <c r="AE161" s="292"/>
      <c r="AF161" s="292"/>
      <c r="AG161" s="292"/>
      <c r="AH161" s="292"/>
      <c r="AI161" s="292"/>
      <c r="AJ161" s="292"/>
      <c r="AK161" s="292"/>
      <c r="AL161" s="292"/>
      <c r="AM161" s="292"/>
      <c r="AN161" s="292"/>
      <c r="AO161" s="292"/>
      <c r="AP161" s="287"/>
      <c r="AQ161" s="287"/>
      <c r="AR161" s="287"/>
      <c r="AS161" s="287"/>
      <c r="AT161" s="287"/>
      <c r="AU161" s="287"/>
      <c r="AV161" s="58"/>
      <c r="AW161" s="58"/>
      <c r="CR161" s="59"/>
      <c r="CT161" s="126" t="s">
        <v>489</v>
      </c>
      <c r="DC161" s="126" t="s">
        <v>490</v>
      </c>
      <c r="DD161" s="126"/>
      <c r="DE161" s="126"/>
    </row>
    <row r="162" spans="1:109" ht="15" customHeight="1" x14ac:dyDescent="0.15">
      <c r="A162" s="57"/>
      <c r="C162" s="269"/>
      <c r="D162" s="294"/>
      <c r="E162" s="294"/>
      <c r="F162" s="294"/>
      <c r="G162" s="294"/>
      <c r="H162" s="294"/>
      <c r="I162" s="294"/>
      <c r="J162" s="294"/>
      <c r="K162" s="294"/>
      <c r="L162" s="294"/>
      <c r="M162" s="294"/>
      <c r="N162" s="294"/>
      <c r="O162" s="294"/>
      <c r="P162" s="294"/>
      <c r="Q162" s="294"/>
      <c r="R162" s="290" t="s">
        <v>262</v>
      </c>
      <c r="S162" s="290"/>
      <c r="T162" s="290"/>
      <c r="U162" s="290"/>
      <c r="V162" s="290"/>
      <c r="W162" s="290"/>
      <c r="X162" s="290"/>
      <c r="Y162" s="290"/>
      <c r="Z162" s="290"/>
      <c r="AA162" s="290"/>
      <c r="AB162" s="290"/>
      <c r="AC162" s="290"/>
      <c r="AD162" s="290"/>
      <c r="AE162" s="290"/>
      <c r="AF162" s="290"/>
      <c r="AG162" s="290"/>
      <c r="AH162" s="290"/>
      <c r="AI162" s="290"/>
      <c r="AJ162" s="290"/>
      <c r="AK162" s="290"/>
      <c r="AL162" s="290"/>
      <c r="AM162" s="290"/>
      <c r="AN162" s="290"/>
      <c r="AO162" s="290"/>
      <c r="AP162" s="288" t="s">
        <v>268</v>
      </c>
      <c r="AQ162" s="288"/>
      <c r="AR162" s="288"/>
      <c r="AS162" s="288"/>
      <c r="AT162" s="288"/>
      <c r="AU162" s="288"/>
      <c r="AV162" s="58"/>
      <c r="AW162" s="58"/>
      <c r="AY162" s="126"/>
      <c r="AZ162" s="126"/>
      <c r="BA162" s="126" t="s">
        <v>526</v>
      </c>
      <c r="BB162" s="126"/>
      <c r="BC162" s="126"/>
      <c r="BD162" s="126"/>
      <c r="BE162" s="126"/>
      <c r="BF162" s="126"/>
      <c r="BG162" s="126"/>
      <c r="BH162" s="126"/>
      <c r="BI162" s="126"/>
      <c r="BJ162" s="126"/>
      <c r="BK162" s="126"/>
      <c r="BL162" s="126"/>
      <c r="BM162" s="126"/>
      <c r="BN162" s="126"/>
      <c r="BO162" s="126"/>
      <c r="BP162" s="126"/>
      <c r="BQ162" s="126"/>
      <c r="BR162" s="126"/>
      <c r="BS162" s="126"/>
      <c r="BT162" s="126"/>
      <c r="BU162" s="126"/>
      <c r="BV162" s="126"/>
      <c r="BW162" s="126"/>
      <c r="BX162" s="126"/>
      <c r="BY162" s="126"/>
      <c r="BZ162" s="126"/>
      <c r="CA162" s="126"/>
      <c r="CB162" s="126"/>
      <c r="CC162" s="126"/>
      <c r="CD162" s="126"/>
      <c r="CE162" s="126"/>
      <c r="CF162" s="126"/>
      <c r="CG162" s="126"/>
      <c r="CH162" s="126"/>
      <c r="CI162" s="126"/>
      <c r="CJ162" s="126"/>
      <c r="CK162" s="126"/>
      <c r="CL162" s="126"/>
      <c r="CM162" s="126"/>
      <c r="CN162" s="126"/>
      <c r="CO162" s="126"/>
      <c r="CP162" s="126"/>
      <c r="CQ162" s="126"/>
      <c r="CR162" s="59"/>
      <c r="CT162" s="126"/>
      <c r="DC162" s="126"/>
      <c r="DD162" s="126"/>
      <c r="DE162" s="126"/>
    </row>
    <row r="163" spans="1:109" ht="15" customHeight="1" x14ac:dyDescent="0.15">
      <c r="A163" s="57"/>
      <c r="C163" s="269"/>
      <c r="D163" s="294"/>
      <c r="E163" s="294"/>
      <c r="F163" s="294"/>
      <c r="G163" s="294"/>
      <c r="H163" s="294"/>
      <c r="I163" s="294"/>
      <c r="J163" s="294"/>
      <c r="K163" s="294"/>
      <c r="L163" s="294"/>
      <c r="M163" s="294"/>
      <c r="N163" s="294"/>
      <c r="O163" s="294"/>
      <c r="P163" s="294"/>
      <c r="Q163" s="294"/>
      <c r="R163" s="293" t="s">
        <v>230</v>
      </c>
      <c r="S163" s="293"/>
      <c r="T163" s="293"/>
      <c r="U163" s="293"/>
      <c r="V163" s="293"/>
      <c r="W163" s="293"/>
      <c r="X163" s="293"/>
      <c r="Y163" s="293"/>
      <c r="Z163" s="293"/>
      <c r="AA163" s="293"/>
      <c r="AB163" s="293"/>
      <c r="AC163" s="293"/>
      <c r="AD163" s="293"/>
      <c r="AE163" s="293"/>
      <c r="AF163" s="293"/>
      <c r="AG163" s="293"/>
      <c r="AH163" s="293"/>
      <c r="AI163" s="293"/>
      <c r="AJ163" s="293"/>
      <c r="AK163" s="293"/>
      <c r="AL163" s="293"/>
      <c r="AM163" s="293"/>
      <c r="AN163" s="293"/>
      <c r="AO163" s="293"/>
      <c r="AP163" s="288" t="s">
        <v>270</v>
      </c>
      <c r="AQ163" s="288"/>
      <c r="AR163" s="288"/>
      <c r="AS163" s="288"/>
      <c r="AT163" s="288"/>
      <c r="AU163" s="288"/>
      <c r="AV163" s="58"/>
      <c r="AW163" s="58"/>
      <c r="AY163" s="126"/>
      <c r="AZ163" s="126"/>
      <c r="BA163" s="126"/>
      <c r="BB163" s="126" t="s">
        <v>279</v>
      </c>
      <c r="BC163" s="126"/>
      <c r="BD163" s="126"/>
      <c r="BE163" s="126"/>
      <c r="BF163" s="126"/>
      <c r="BG163" s="126"/>
      <c r="BH163" s="126"/>
      <c r="BI163" s="126"/>
      <c r="BJ163" s="126"/>
      <c r="BK163" s="126"/>
      <c r="BL163" s="126"/>
      <c r="BM163" s="126"/>
      <c r="BN163" s="126"/>
      <c r="BO163" s="126"/>
      <c r="BP163" s="126"/>
      <c r="BQ163" s="126"/>
      <c r="BR163" s="126"/>
      <c r="BS163" s="126"/>
      <c r="BT163" s="126" t="s">
        <v>528</v>
      </c>
      <c r="BU163" s="126"/>
      <c r="BV163" s="126"/>
      <c r="BW163" s="126"/>
      <c r="BX163" s="126"/>
      <c r="BY163" s="126"/>
      <c r="BZ163" s="126"/>
      <c r="CA163" s="126"/>
      <c r="CB163" s="126"/>
      <c r="CC163" s="126"/>
      <c r="CD163" s="126"/>
      <c r="CE163" s="126"/>
      <c r="CF163" s="126"/>
      <c r="CG163" s="126"/>
      <c r="CH163" s="126"/>
      <c r="CI163" s="126"/>
      <c r="CJ163" s="126"/>
      <c r="CK163" s="126"/>
      <c r="CL163" s="126"/>
      <c r="CM163" s="126"/>
      <c r="CN163" s="126"/>
      <c r="CO163" s="126"/>
      <c r="CP163" s="126"/>
      <c r="CQ163" s="126"/>
      <c r="CR163" s="59"/>
      <c r="CT163" s="126"/>
      <c r="DC163" s="126"/>
      <c r="DD163" s="126"/>
      <c r="DE163" s="126"/>
    </row>
    <row r="164" spans="1:109" ht="15" customHeight="1" x14ac:dyDescent="0.15">
      <c r="A164" s="57"/>
      <c r="C164" s="286" t="s">
        <v>265</v>
      </c>
      <c r="D164" s="294" t="s">
        <v>535</v>
      </c>
      <c r="E164" s="294"/>
      <c r="F164" s="294"/>
      <c r="G164" s="294"/>
      <c r="H164" s="294"/>
      <c r="I164" s="294"/>
      <c r="J164" s="294"/>
      <c r="K164" s="294"/>
      <c r="L164" s="294"/>
      <c r="M164" s="294"/>
      <c r="N164" s="294"/>
      <c r="O164" s="294"/>
      <c r="P164" s="294"/>
      <c r="Q164" s="294"/>
      <c r="R164" s="292" t="s">
        <v>536</v>
      </c>
      <c r="S164" s="292"/>
      <c r="T164" s="292"/>
      <c r="U164" s="292"/>
      <c r="V164" s="292"/>
      <c r="W164" s="292"/>
      <c r="X164" s="292"/>
      <c r="Y164" s="292"/>
      <c r="Z164" s="292"/>
      <c r="AA164" s="292"/>
      <c r="AB164" s="292"/>
      <c r="AC164" s="292"/>
      <c r="AD164" s="292"/>
      <c r="AE164" s="292"/>
      <c r="AF164" s="292"/>
      <c r="AG164" s="292"/>
      <c r="AH164" s="292"/>
      <c r="AI164" s="292"/>
      <c r="AJ164" s="292"/>
      <c r="AK164" s="292"/>
      <c r="AL164" s="292"/>
      <c r="AM164" s="292"/>
      <c r="AN164" s="292"/>
      <c r="AO164" s="292"/>
      <c r="AP164" s="287"/>
      <c r="AQ164" s="287"/>
      <c r="AR164" s="287"/>
      <c r="AS164" s="287"/>
      <c r="AT164" s="287"/>
      <c r="AU164" s="287"/>
      <c r="AV164" s="58"/>
      <c r="AW164" s="58"/>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c r="CR164" s="59"/>
      <c r="CT164" s="126" t="s">
        <v>489</v>
      </c>
      <c r="DC164" s="126" t="s">
        <v>490</v>
      </c>
      <c r="DD164" s="126"/>
      <c r="DE164" s="126"/>
    </row>
    <row r="165" spans="1:109" ht="15" customHeight="1" x14ac:dyDescent="0.15">
      <c r="A165" s="57"/>
      <c r="C165" s="269"/>
      <c r="D165" s="294"/>
      <c r="E165" s="294"/>
      <c r="F165" s="294"/>
      <c r="G165" s="294"/>
      <c r="H165" s="294"/>
      <c r="I165" s="294"/>
      <c r="J165" s="294"/>
      <c r="K165" s="294"/>
      <c r="L165" s="294"/>
      <c r="M165" s="294"/>
      <c r="N165" s="294"/>
      <c r="O165" s="294"/>
      <c r="P165" s="294"/>
      <c r="Q165" s="294"/>
      <c r="R165" s="290" t="s">
        <v>263</v>
      </c>
      <c r="S165" s="290"/>
      <c r="T165" s="290"/>
      <c r="U165" s="290"/>
      <c r="V165" s="290"/>
      <c r="W165" s="290"/>
      <c r="X165" s="290"/>
      <c r="Y165" s="290"/>
      <c r="Z165" s="290"/>
      <c r="AA165" s="290"/>
      <c r="AB165" s="290"/>
      <c r="AC165" s="290"/>
      <c r="AD165" s="290"/>
      <c r="AE165" s="290"/>
      <c r="AF165" s="290"/>
      <c r="AG165" s="290"/>
      <c r="AH165" s="290"/>
      <c r="AI165" s="290"/>
      <c r="AJ165" s="290"/>
      <c r="AK165" s="290"/>
      <c r="AL165" s="290"/>
      <c r="AM165" s="290"/>
      <c r="AN165" s="290"/>
      <c r="AO165" s="290"/>
      <c r="AP165" s="288" t="s">
        <v>272</v>
      </c>
      <c r="AQ165" s="288"/>
      <c r="AR165" s="288"/>
      <c r="AS165" s="288"/>
      <c r="AT165" s="288"/>
      <c r="AU165" s="288"/>
      <c r="AV165" s="58"/>
      <c r="AW165" s="58"/>
      <c r="AY165" s="125"/>
      <c r="AZ165" s="125"/>
      <c r="BA165" s="125" t="s">
        <v>527</v>
      </c>
      <c r="BB165" s="125"/>
      <c r="BC165" s="125"/>
      <c r="BD165" s="125"/>
      <c r="BE165" s="125"/>
      <c r="BF165" s="125"/>
      <c r="BG165" s="125"/>
      <c r="BH165" s="125"/>
      <c r="BI165" s="125"/>
      <c r="BJ165" s="125"/>
      <c r="BK165" s="125"/>
      <c r="BL165" s="125"/>
      <c r="BM165" s="125"/>
      <c r="BN165" s="125"/>
      <c r="BO165" s="125"/>
      <c r="BP165" s="125"/>
      <c r="BQ165" s="125"/>
      <c r="BR165" s="125"/>
      <c r="BS165" s="125"/>
      <c r="BT165" s="125"/>
      <c r="BU165" s="125"/>
      <c r="BV165" s="125"/>
      <c r="BW165" s="125"/>
      <c r="BX165" s="125"/>
      <c r="BY165" s="125"/>
      <c r="BZ165" s="125"/>
      <c r="CA165" s="125"/>
      <c r="CB165" s="125"/>
      <c r="CC165" s="125"/>
      <c r="CD165" s="126"/>
      <c r="CE165" s="126"/>
      <c r="CF165" s="126"/>
      <c r="CG165" s="126"/>
      <c r="CH165" s="126"/>
      <c r="CI165" s="126"/>
      <c r="CJ165" s="126"/>
      <c r="CK165" s="126"/>
      <c r="CL165" s="126"/>
      <c r="CM165" s="126"/>
      <c r="CN165" s="126"/>
      <c r="CO165" s="126"/>
      <c r="CP165" s="126"/>
      <c r="CQ165" s="126"/>
      <c r="CR165" s="59"/>
      <c r="CT165" s="126"/>
      <c r="DC165" s="126" t="s">
        <v>491</v>
      </c>
      <c r="DD165" s="126"/>
      <c r="DE165" s="126"/>
    </row>
    <row r="166" spans="1:109" ht="15" customHeight="1" x14ac:dyDescent="0.15">
      <c r="A166" s="57"/>
      <c r="B166" s="58"/>
      <c r="C166" s="269"/>
      <c r="D166" s="294"/>
      <c r="E166" s="294"/>
      <c r="F166" s="294"/>
      <c r="G166" s="294"/>
      <c r="H166" s="294"/>
      <c r="I166" s="294"/>
      <c r="J166" s="294"/>
      <c r="K166" s="294"/>
      <c r="L166" s="294"/>
      <c r="M166" s="294"/>
      <c r="N166" s="294"/>
      <c r="O166" s="294"/>
      <c r="P166" s="294"/>
      <c r="Q166" s="294"/>
      <c r="R166" s="293" t="s">
        <v>264</v>
      </c>
      <c r="S166" s="293"/>
      <c r="T166" s="293"/>
      <c r="U166" s="293"/>
      <c r="V166" s="293"/>
      <c r="W166" s="293"/>
      <c r="X166" s="293"/>
      <c r="Y166" s="293"/>
      <c r="Z166" s="293"/>
      <c r="AA166" s="293"/>
      <c r="AB166" s="293"/>
      <c r="AC166" s="293"/>
      <c r="AD166" s="293"/>
      <c r="AE166" s="293"/>
      <c r="AF166" s="293"/>
      <c r="AG166" s="293"/>
      <c r="AH166" s="293"/>
      <c r="AI166" s="293"/>
      <c r="AJ166" s="293"/>
      <c r="AK166" s="293"/>
      <c r="AL166" s="293"/>
      <c r="AM166" s="293"/>
      <c r="AN166" s="293"/>
      <c r="AO166" s="293"/>
      <c r="AP166" s="288" t="s">
        <v>274</v>
      </c>
      <c r="AQ166" s="288"/>
      <c r="AR166" s="288"/>
      <c r="AS166" s="288"/>
      <c r="AT166" s="288"/>
      <c r="AU166" s="288"/>
      <c r="AV166" s="58"/>
      <c r="AW166" s="58"/>
      <c r="BA166" s="268" t="s">
        <v>498</v>
      </c>
      <c r="BB166" s="268"/>
      <c r="BC166" s="268"/>
      <c r="BD166" s="268"/>
      <c r="BE166" s="268"/>
      <c r="BF166" s="268" t="s">
        <v>497</v>
      </c>
      <c r="BG166" s="268"/>
      <c r="BH166" s="268"/>
      <c r="BI166" s="268"/>
      <c r="BJ166" s="268"/>
      <c r="BK166" s="268"/>
      <c r="BL166" s="268"/>
      <c r="BM166" s="268" t="s">
        <v>504</v>
      </c>
      <c r="BN166" s="268"/>
      <c r="BO166" s="268"/>
      <c r="BP166" s="268"/>
      <c r="BQ166" s="268" t="s">
        <v>502</v>
      </c>
      <c r="BR166" s="268"/>
      <c r="BS166" s="268"/>
      <c r="BT166" s="268"/>
      <c r="BU166" s="268"/>
      <c r="BV166" s="268"/>
      <c r="BW166" s="268" t="s">
        <v>501</v>
      </c>
      <c r="BX166" s="268"/>
      <c r="BY166" s="268"/>
      <c r="BZ166" s="268"/>
      <c r="CA166" s="268"/>
      <c r="CB166" s="268"/>
      <c r="CC166" s="268"/>
      <c r="CR166" s="59"/>
      <c r="CT166" s="126"/>
      <c r="DC166" s="126"/>
      <c r="DD166" s="126"/>
      <c r="DE166" s="126"/>
    </row>
    <row r="167" spans="1:109" ht="15" customHeight="1" x14ac:dyDescent="0.15">
      <c r="A167" s="57"/>
      <c r="B167" s="58"/>
      <c r="C167" s="94" t="s">
        <v>266</v>
      </c>
      <c r="D167" s="294" t="s">
        <v>494</v>
      </c>
      <c r="E167" s="294"/>
      <c r="F167" s="294"/>
      <c r="G167" s="294"/>
      <c r="H167" s="294"/>
      <c r="I167" s="294"/>
      <c r="J167" s="294"/>
      <c r="K167" s="294"/>
      <c r="L167" s="294"/>
      <c r="M167" s="294"/>
      <c r="N167" s="294"/>
      <c r="O167" s="294"/>
      <c r="P167" s="294"/>
      <c r="Q167" s="294"/>
      <c r="R167" s="293" t="s">
        <v>537</v>
      </c>
      <c r="S167" s="293"/>
      <c r="T167" s="293"/>
      <c r="U167" s="293"/>
      <c r="V167" s="293"/>
      <c r="W167" s="293"/>
      <c r="X167" s="293"/>
      <c r="Y167" s="293"/>
      <c r="Z167" s="293"/>
      <c r="AA167" s="293"/>
      <c r="AB167" s="293"/>
      <c r="AC167" s="293"/>
      <c r="AD167" s="293"/>
      <c r="AE167" s="293"/>
      <c r="AF167" s="293"/>
      <c r="AG167" s="293"/>
      <c r="AH167" s="293"/>
      <c r="AI167" s="293"/>
      <c r="AJ167" s="293"/>
      <c r="AK167" s="293"/>
      <c r="AL167" s="293"/>
      <c r="AM167" s="293"/>
      <c r="AN167" s="293"/>
      <c r="AO167" s="293"/>
      <c r="AP167" s="288" t="s">
        <v>276</v>
      </c>
      <c r="AQ167" s="288"/>
      <c r="AR167" s="288"/>
      <c r="AS167" s="288"/>
      <c r="AT167" s="288"/>
      <c r="AU167" s="288"/>
      <c r="AV167" s="58"/>
      <c r="AW167" s="58"/>
      <c r="BA167" s="268" t="s">
        <v>499</v>
      </c>
      <c r="BB167" s="268"/>
      <c r="BC167" s="268"/>
      <c r="BD167" s="268"/>
      <c r="BE167" s="268"/>
      <c r="BF167" s="268" t="s">
        <v>508</v>
      </c>
      <c r="BG167" s="268"/>
      <c r="BH167" s="268"/>
      <c r="BI167" s="268"/>
      <c r="BJ167" s="268"/>
      <c r="BK167" s="268"/>
      <c r="BL167" s="268"/>
      <c r="BM167" s="268" t="s">
        <v>505</v>
      </c>
      <c r="BN167" s="268"/>
      <c r="BO167" s="268"/>
      <c r="BP167" s="268"/>
      <c r="BQ167" s="268" t="s">
        <v>503</v>
      </c>
      <c r="BR167" s="268"/>
      <c r="BS167" s="268"/>
      <c r="BT167" s="268"/>
      <c r="BU167" s="268"/>
      <c r="BV167" s="268"/>
      <c r="BW167" s="268" t="s">
        <v>506</v>
      </c>
      <c r="BX167" s="268"/>
      <c r="BY167" s="268"/>
      <c r="BZ167" s="268"/>
      <c r="CA167" s="268"/>
      <c r="CB167" s="268"/>
      <c r="CC167" s="268"/>
      <c r="CR167" s="59"/>
      <c r="CT167" s="126" t="s">
        <v>489</v>
      </c>
      <c r="DC167" s="126" t="s">
        <v>492</v>
      </c>
      <c r="DD167" s="126"/>
      <c r="DE167" s="126"/>
    </row>
    <row r="168" spans="1:109" ht="15" customHeight="1" x14ac:dyDescent="0.15">
      <c r="A168" s="57"/>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BA168" s="268" t="s">
        <v>499</v>
      </c>
      <c r="BB168" s="268"/>
      <c r="BC168" s="268"/>
      <c r="BD168" s="268"/>
      <c r="BE168" s="268"/>
      <c r="BF168" s="268" t="s">
        <v>508</v>
      </c>
      <c r="BG168" s="268"/>
      <c r="BH168" s="268"/>
      <c r="BI168" s="268"/>
      <c r="BJ168" s="268"/>
      <c r="BK168" s="268"/>
      <c r="BL168" s="268"/>
      <c r="BM168" s="268" t="s">
        <v>509</v>
      </c>
      <c r="BN168" s="268"/>
      <c r="BO168" s="268"/>
      <c r="BP168" s="268"/>
      <c r="BQ168" s="268" t="s">
        <v>503</v>
      </c>
      <c r="BR168" s="268"/>
      <c r="BS168" s="268"/>
      <c r="BT168" s="268"/>
      <c r="BU168" s="268"/>
      <c r="BV168" s="268"/>
      <c r="BW168" s="268" t="s">
        <v>507</v>
      </c>
      <c r="BX168" s="268"/>
      <c r="BY168" s="268"/>
      <c r="BZ168" s="268"/>
      <c r="CA168" s="268"/>
      <c r="CB168" s="268"/>
      <c r="CC168" s="268"/>
      <c r="CR168" s="59"/>
      <c r="CT168" s="126"/>
      <c r="DC168" s="126"/>
      <c r="DD168" s="126"/>
      <c r="DE168" s="126"/>
    </row>
    <row r="169" spans="1:109" ht="15" customHeight="1" x14ac:dyDescent="0.15">
      <c r="A169" s="57"/>
      <c r="B169" s="58"/>
      <c r="C169" s="289" t="s">
        <v>277</v>
      </c>
      <c r="D169" s="289"/>
      <c r="E169" s="289"/>
      <c r="F169" s="289"/>
      <c r="G169" s="289"/>
      <c r="H169" s="289"/>
      <c r="I169" s="289" t="s">
        <v>278</v>
      </c>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58"/>
      <c r="AW169" s="58"/>
      <c r="BA169" s="268" t="s">
        <v>499</v>
      </c>
      <c r="BB169" s="268"/>
      <c r="BC169" s="268"/>
      <c r="BD169" s="268"/>
      <c r="BE169" s="268"/>
      <c r="BF169" s="268" t="s">
        <v>500</v>
      </c>
      <c r="BG169" s="268"/>
      <c r="BH169" s="268"/>
      <c r="BI169" s="268"/>
      <c r="BJ169" s="268"/>
      <c r="BK169" s="268"/>
      <c r="BL169" s="268"/>
      <c r="BM169" s="268" t="s">
        <v>509</v>
      </c>
      <c r="BN169" s="268"/>
      <c r="BO169" s="268"/>
      <c r="BP169" s="268"/>
      <c r="BQ169" s="268" t="s">
        <v>524</v>
      </c>
      <c r="BR169" s="268"/>
      <c r="BS169" s="268"/>
      <c r="BT169" s="268"/>
      <c r="BU169" s="268"/>
      <c r="BV169" s="268"/>
      <c r="BW169" s="268" t="s">
        <v>531</v>
      </c>
      <c r="BX169" s="268"/>
      <c r="BY169" s="268"/>
      <c r="BZ169" s="268"/>
      <c r="CA169" s="268"/>
      <c r="CB169" s="268"/>
      <c r="CC169" s="268"/>
      <c r="CR169" s="59"/>
    </row>
    <row r="170" spans="1:109" ht="15" customHeight="1" x14ac:dyDescent="0.15">
      <c r="A170" s="57"/>
      <c r="B170" s="58"/>
      <c r="C170" s="288" t="s">
        <v>245</v>
      </c>
      <c r="D170" s="288"/>
      <c r="E170" s="288"/>
      <c r="F170" s="288"/>
      <c r="G170" s="288"/>
      <c r="H170" s="288"/>
      <c r="I170" s="297" t="s">
        <v>279</v>
      </c>
      <c r="J170" s="297"/>
      <c r="K170" s="297"/>
      <c r="L170" s="297"/>
      <c r="M170" s="297"/>
      <c r="N170" s="297"/>
      <c r="O170" s="297"/>
      <c r="P170" s="297"/>
      <c r="Q170" s="297"/>
      <c r="R170" s="297"/>
      <c r="S170" s="297"/>
      <c r="T170" s="297"/>
      <c r="U170" s="297"/>
      <c r="V170" s="297"/>
      <c r="W170" s="297"/>
      <c r="X170" s="297"/>
      <c r="Y170" s="297"/>
      <c r="Z170" s="297"/>
      <c r="AA170" s="297"/>
      <c r="AB170" s="297"/>
      <c r="AC170" s="297"/>
      <c r="AD170" s="297"/>
      <c r="AE170" s="297"/>
      <c r="AF170" s="297"/>
      <c r="AG170" s="297"/>
      <c r="AH170" s="297"/>
      <c r="AI170" s="297"/>
      <c r="AJ170" s="297"/>
      <c r="AK170" s="297"/>
      <c r="AL170" s="297"/>
      <c r="AM170" s="297"/>
      <c r="AN170" s="297"/>
      <c r="AO170" s="297"/>
      <c r="AP170" s="297"/>
      <c r="AQ170" s="297"/>
      <c r="AR170" s="297"/>
      <c r="AS170" s="297"/>
      <c r="AT170" s="297"/>
      <c r="AU170" s="297"/>
      <c r="AV170" s="58"/>
      <c r="AW170" s="58"/>
      <c r="BA170" s="268" t="s">
        <v>499</v>
      </c>
      <c r="BB170" s="268"/>
      <c r="BC170" s="268"/>
      <c r="BD170" s="268"/>
      <c r="BE170" s="268"/>
      <c r="BF170" s="268" t="s">
        <v>500</v>
      </c>
      <c r="BG170" s="268"/>
      <c r="BH170" s="268"/>
      <c r="BI170" s="268"/>
      <c r="BJ170" s="268"/>
      <c r="BK170" s="268"/>
      <c r="BL170" s="268"/>
      <c r="BM170" s="268" t="s">
        <v>509</v>
      </c>
      <c r="BN170" s="268"/>
      <c r="BO170" s="268"/>
      <c r="BP170" s="268"/>
      <c r="BQ170" s="268" t="s">
        <v>530</v>
      </c>
      <c r="BR170" s="268"/>
      <c r="BS170" s="268"/>
      <c r="BT170" s="268"/>
      <c r="BU170" s="268"/>
      <c r="BV170" s="268"/>
      <c r="BW170" s="268" t="s">
        <v>531</v>
      </c>
      <c r="BX170" s="268"/>
      <c r="BY170" s="268"/>
      <c r="BZ170" s="268"/>
      <c r="CA170" s="268"/>
      <c r="CB170" s="268"/>
      <c r="CC170" s="268"/>
      <c r="CR170" s="59"/>
    </row>
    <row r="171" spans="1:109" ht="15" customHeight="1" x14ac:dyDescent="0.15">
      <c r="A171" s="57"/>
      <c r="B171" s="58"/>
      <c r="C171" s="288" t="s">
        <v>250</v>
      </c>
      <c r="D171" s="288"/>
      <c r="E171" s="288"/>
      <c r="F171" s="288"/>
      <c r="G171" s="288"/>
      <c r="H171" s="288"/>
      <c r="I171" s="297" t="s">
        <v>280</v>
      </c>
      <c r="J171" s="297"/>
      <c r="K171" s="297"/>
      <c r="L171" s="297"/>
      <c r="M171" s="297"/>
      <c r="N171" s="297"/>
      <c r="O171" s="297"/>
      <c r="P171" s="297"/>
      <c r="Q171" s="297"/>
      <c r="R171" s="297"/>
      <c r="S171" s="297"/>
      <c r="T171" s="297"/>
      <c r="U171" s="297"/>
      <c r="V171" s="297"/>
      <c r="W171" s="297"/>
      <c r="X171" s="297"/>
      <c r="Y171" s="297"/>
      <c r="Z171" s="297"/>
      <c r="AA171" s="297"/>
      <c r="AB171" s="297"/>
      <c r="AC171" s="297"/>
      <c r="AD171" s="297"/>
      <c r="AE171" s="297"/>
      <c r="AF171" s="297"/>
      <c r="AG171" s="297"/>
      <c r="AH171" s="297"/>
      <c r="AI171" s="297"/>
      <c r="AJ171" s="297"/>
      <c r="AK171" s="297"/>
      <c r="AL171" s="297"/>
      <c r="AM171" s="297"/>
      <c r="AN171" s="297"/>
      <c r="AO171" s="297"/>
      <c r="AP171" s="297"/>
      <c r="AQ171" s="297"/>
      <c r="AR171" s="297"/>
      <c r="AS171" s="297"/>
      <c r="AT171" s="297"/>
      <c r="AU171" s="297"/>
      <c r="AV171" s="58"/>
      <c r="AW171" s="58"/>
      <c r="CR171" s="59"/>
    </row>
    <row r="172" spans="1:109" ht="15" customHeight="1" x14ac:dyDescent="0.15">
      <c r="A172" s="57"/>
      <c r="B172" s="58"/>
      <c r="C172" s="288" t="s">
        <v>252</v>
      </c>
      <c r="D172" s="288"/>
      <c r="E172" s="288"/>
      <c r="F172" s="288"/>
      <c r="G172" s="288"/>
      <c r="H172" s="288"/>
      <c r="I172" s="297" t="s">
        <v>281</v>
      </c>
      <c r="J172" s="297"/>
      <c r="K172" s="297"/>
      <c r="L172" s="297"/>
      <c r="M172" s="297"/>
      <c r="N172" s="297"/>
      <c r="O172" s="297"/>
      <c r="P172" s="297"/>
      <c r="Q172" s="297"/>
      <c r="R172" s="297"/>
      <c r="S172" s="297"/>
      <c r="T172" s="297"/>
      <c r="U172" s="297"/>
      <c r="V172" s="297"/>
      <c r="W172" s="297"/>
      <c r="X172" s="297"/>
      <c r="Y172" s="297"/>
      <c r="Z172" s="297"/>
      <c r="AA172" s="297"/>
      <c r="AB172" s="297"/>
      <c r="AC172" s="297"/>
      <c r="AD172" s="297"/>
      <c r="AE172" s="297"/>
      <c r="AF172" s="297"/>
      <c r="AG172" s="297"/>
      <c r="AH172" s="297"/>
      <c r="AI172" s="297"/>
      <c r="AJ172" s="297"/>
      <c r="AK172" s="297"/>
      <c r="AL172" s="297"/>
      <c r="AM172" s="297"/>
      <c r="AN172" s="297"/>
      <c r="AO172" s="297"/>
      <c r="AP172" s="297"/>
      <c r="AQ172" s="297"/>
      <c r="AR172" s="297"/>
      <c r="AS172" s="297"/>
      <c r="AT172" s="297"/>
      <c r="AU172" s="297"/>
      <c r="AV172" s="58"/>
      <c r="AW172" s="58"/>
      <c r="AX172" s="58"/>
      <c r="AY172" s="58"/>
      <c r="AZ172" s="58"/>
      <c r="BA172" s="126" t="s">
        <v>526</v>
      </c>
      <c r="BB172" s="126"/>
      <c r="BC172" s="127"/>
      <c r="BD172" s="127"/>
      <c r="BE172" s="127"/>
      <c r="BF172" s="127"/>
      <c r="BG172" s="127"/>
      <c r="BH172" s="127"/>
      <c r="BI172" s="127"/>
      <c r="BJ172" s="127"/>
      <c r="BK172" s="127"/>
      <c r="BL172" s="127"/>
      <c r="BM172" s="127"/>
      <c r="BN172" s="127"/>
      <c r="BO172" s="127"/>
      <c r="BP172" s="127"/>
      <c r="BQ172" s="127"/>
      <c r="BR172" s="127"/>
      <c r="BS172" s="127"/>
      <c r="BT172" s="127"/>
      <c r="BU172" s="127"/>
      <c r="BV172" s="127"/>
      <c r="BW172" s="127"/>
      <c r="BX172" s="126"/>
      <c r="BY172" s="126"/>
      <c r="BZ172" s="126"/>
      <c r="CA172" s="126"/>
      <c r="CB172" s="126"/>
      <c r="CC172" s="126"/>
      <c r="CD172" s="126"/>
      <c r="CE172" s="126"/>
      <c r="CF172" s="126"/>
      <c r="CG172" s="126"/>
      <c r="CH172" s="126"/>
      <c r="CI172" s="126"/>
      <c r="CJ172" s="127"/>
      <c r="CK172" s="127"/>
      <c r="CL172" s="127"/>
      <c r="CM172" s="127"/>
      <c r="CN172" s="127"/>
      <c r="CO172" s="127"/>
      <c r="CP172" s="127"/>
      <c r="CQ172" s="127"/>
      <c r="CR172" s="59"/>
    </row>
    <row r="173" spans="1:109" ht="15" customHeight="1" x14ac:dyDescent="0.15">
      <c r="A173" s="57"/>
      <c r="B173" s="58"/>
      <c r="C173" s="288" t="s">
        <v>254</v>
      </c>
      <c r="D173" s="288"/>
      <c r="E173" s="288"/>
      <c r="F173" s="288"/>
      <c r="G173" s="288"/>
      <c r="H173" s="288"/>
      <c r="I173" s="297" t="s">
        <v>282</v>
      </c>
      <c r="J173" s="297"/>
      <c r="K173" s="297"/>
      <c r="L173" s="297"/>
      <c r="M173" s="297"/>
      <c r="N173" s="297"/>
      <c r="O173" s="297"/>
      <c r="P173" s="297"/>
      <c r="Q173" s="297"/>
      <c r="R173" s="297"/>
      <c r="S173" s="297"/>
      <c r="T173" s="297"/>
      <c r="U173" s="297"/>
      <c r="V173" s="297"/>
      <c r="W173" s="297"/>
      <c r="X173" s="297"/>
      <c r="Y173" s="297"/>
      <c r="Z173" s="297"/>
      <c r="AA173" s="297"/>
      <c r="AB173" s="297"/>
      <c r="AC173" s="297"/>
      <c r="AD173" s="297"/>
      <c r="AE173" s="297"/>
      <c r="AF173" s="297"/>
      <c r="AG173" s="297"/>
      <c r="AH173" s="297"/>
      <c r="AI173" s="297"/>
      <c r="AJ173" s="297"/>
      <c r="AK173" s="297"/>
      <c r="AL173" s="297"/>
      <c r="AM173" s="297"/>
      <c r="AN173" s="297"/>
      <c r="AO173" s="297"/>
      <c r="AP173" s="297"/>
      <c r="AQ173" s="297"/>
      <c r="AR173" s="297"/>
      <c r="AS173" s="297"/>
      <c r="AT173" s="297"/>
      <c r="AU173" s="297"/>
      <c r="AV173" s="58"/>
      <c r="AW173" s="58"/>
      <c r="AX173" s="58"/>
      <c r="AY173" s="58"/>
      <c r="AZ173" s="58"/>
      <c r="BA173" s="126"/>
      <c r="BB173" s="126" t="s">
        <v>279</v>
      </c>
      <c r="BC173" s="126"/>
      <c r="BD173" s="126"/>
      <c r="BE173" s="126"/>
      <c r="BF173" s="126"/>
      <c r="BG173" s="126"/>
      <c r="BH173" s="126"/>
      <c r="BI173" s="126"/>
      <c r="BJ173" s="126"/>
      <c r="BK173" s="126"/>
      <c r="BL173" s="126"/>
      <c r="BM173" s="126"/>
      <c r="BN173" s="126"/>
      <c r="BO173" s="126"/>
      <c r="BP173" s="126"/>
      <c r="BQ173" s="126"/>
      <c r="BR173" s="126"/>
      <c r="BS173" s="126"/>
      <c r="BT173" s="126" t="s">
        <v>528</v>
      </c>
      <c r="BU173" s="126"/>
      <c r="BV173" s="126"/>
      <c r="BW173" s="126"/>
      <c r="BX173" s="126"/>
      <c r="BY173" s="126"/>
      <c r="BZ173" s="126"/>
      <c r="CA173" s="126"/>
      <c r="CB173" s="126"/>
      <c r="CC173" s="126"/>
      <c r="CD173" s="127"/>
      <c r="CE173" s="127"/>
      <c r="CF173" s="127"/>
      <c r="CG173" s="127"/>
      <c r="CH173" s="127"/>
      <c r="CI173" s="127"/>
      <c r="CJ173" s="127"/>
      <c r="CK173" s="127"/>
      <c r="CL173" s="127"/>
      <c r="CM173" s="127"/>
      <c r="CN173" s="127"/>
      <c r="CO173" s="127"/>
      <c r="CP173" s="127"/>
      <c r="CQ173" s="127"/>
      <c r="CR173" s="59"/>
    </row>
    <row r="174" spans="1:109" ht="15" customHeight="1" x14ac:dyDescent="0.15">
      <c r="A174" s="57"/>
      <c r="B174" s="23"/>
      <c r="C174" s="288" t="s">
        <v>256</v>
      </c>
      <c r="D174" s="288"/>
      <c r="E174" s="288"/>
      <c r="F174" s="288"/>
      <c r="G174" s="288"/>
      <c r="H174" s="288"/>
      <c r="I174" s="297" t="s">
        <v>283</v>
      </c>
      <c r="J174" s="297"/>
      <c r="K174" s="297"/>
      <c r="L174" s="297"/>
      <c r="M174" s="297"/>
      <c r="N174" s="297"/>
      <c r="O174" s="297"/>
      <c r="P174" s="297"/>
      <c r="Q174" s="297"/>
      <c r="R174" s="297"/>
      <c r="S174" s="297"/>
      <c r="T174" s="297"/>
      <c r="U174" s="297"/>
      <c r="V174" s="297"/>
      <c r="W174" s="297"/>
      <c r="X174" s="297"/>
      <c r="Y174" s="297"/>
      <c r="Z174" s="297"/>
      <c r="AA174" s="297"/>
      <c r="AB174" s="297"/>
      <c r="AC174" s="297"/>
      <c r="AD174" s="297"/>
      <c r="AE174" s="297"/>
      <c r="AF174" s="297"/>
      <c r="AG174" s="297"/>
      <c r="AH174" s="297"/>
      <c r="AI174" s="297"/>
      <c r="AJ174" s="297"/>
      <c r="AK174" s="297"/>
      <c r="AL174" s="297"/>
      <c r="AM174" s="297"/>
      <c r="AN174" s="297"/>
      <c r="AO174" s="297"/>
      <c r="AP174" s="297"/>
      <c r="AQ174" s="297"/>
      <c r="AR174" s="297"/>
      <c r="AS174" s="297"/>
      <c r="AT174" s="297"/>
      <c r="AU174" s="297"/>
      <c r="AV174" s="58"/>
      <c r="AW174" s="58"/>
      <c r="AX174" s="58"/>
      <c r="AY174" s="58"/>
      <c r="AZ174" s="58"/>
      <c r="BA174" s="126"/>
      <c r="BB174" s="126" t="s">
        <v>281</v>
      </c>
      <c r="BC174" s="127"/>
      <c r="BD174" s="127"/>
      <c r="BE174" s="127"/>
      <c r="BF174" s="127"/>
      <c r="BG174" s="127"/>
      <c r="BH174" s="127"/>
      <c r="BI174" s="127"/>
      <c r="BJ174" s="127"/>
      <c r="BK174" s="127"/>
      <c r="BL174" s="127"/>
      <c r="BM174" s="127"/>
      <c r="BN174" s="127"/>
      <c r="BO174" s="127"/>
      <c r="BP174" s="127"/>
      <c r="BQ174" s="127"/>
      <c r="BR174" s="127"/>
      <c r="BS174" s="126"/>
      <c r="BT174" s="126" t="s">
        <v>529</v>
      </c>
      <c r="BU174" s="127"/>
      <c r="BV174" s="127"/>
      <c r="BW174" s="127"/>
      <c r="BX174" s="126"/>
      <c r="BY174" s="126"/>
      <c r="BZ174" s="126"/>
      <c r="CA174" s="126"/>
      <c r="CB174" s="126"/>
      <c r="CC174" s="127"/>
      <c r="CD174" s="127"/>
      <c r="CE174" s="127"/>
      <c r="CF174" s="127"/>
      <c r="CG174" s="127"/>
      <c r="CH174" s="127"/>
      <c r="CI174" s="127"/>
      <c r="CJ174" s="127"/>
      <c r="CK174" s="127"/>
      <c r="CL174" s="127"/>
      <c r="CM174" s="127"/>
      <c r="CN174" s="127"/>
      <c r="CO174" s="127"/>
      <c r="CP174" s="127"/>
      <c r="CQ174" s="127"/>
      <c r="CR174" s="59"/>
    </row>
    <row r="175" spans="1:109" ht="15" customHeight="1" x14ac:dyDescent="0.15">
      <c r="A175" s="57"/>
      <c r="B175" s="23"/>
      <c r="C175" s="288" t="s">
        <v>258</v>
      </c>
      <c r="D175" s="288"/>
      <c r="E175" s="288"/>
      <c r="F175" s="288"/>
      <c r="G175" s="288"/>
      <c r="H175" s="288"/>
      <c r="I175" s="297" t="s">
        <v>284</v>
      </c>
      <c r="J175" s="297"/>
      <c r="K175" s="297"/>
      <c r="L175" s="297"/>
      <c r="M175" s="297"/>
      <c r="N175" s="297"/>
      <c r="O175" s="297"/>
      <c r="P175" s="297"/>
      <c r="Q175" s="297"/>
      <c r="R175" s="297"/>
      <c r="S175" s="297"/>
      <c r="T175" s="297"/>
      <c r="U175" s="297"/>
      <c r="V175" s="297"/>
      <c r="W175" s="297"/>
      <c r="X175" s="297"/>
      <c r="Y175" s="297"/>
      <c r="Z175" s="297"/>
      <c r="AA175" s="297"/>
      <c r="AB175" s="297"/>
      <c r="AC175" s="297"/>
      <c r="AD175" s="297"/>
      <c r="AE175" s="297"/>
      <c r="AF175" s="297"/>
      <c r="AG175" s="297"/>
      <c r="AH175" s="297"/>
      <c r="AI175" s="297"/>
      <c r="AJ175" s="297"/>
      <c r="AK175" s="297"/>
      <c r="AL175" s="297"/>
      <c r="AM175" s="297"/>
      <c r="AN175" s="297"/>
      <c r="AO175" s="297"/>
      <c r="AP175" s="297"/>
      <c r="AQ175" s="297"/>
      <c r="AR175" s="297"/>
      <c r="AS175" s="297"/>
      <c r="AT175" s="297"/>
      <c r="AU175" s="297"/>
      <c r="AV175" s="58"/>
      <c r="AW175" s="58"/>
      <c r="AX175" s="58"/>
      <c r="AY175" s="58"/>
      <c r="AZ175" s="58"/>
      <c r="BX175" s="58"/>
      <c r="BY175" s="58"/>
      <c r="BZ175" s="58"/>
      <c r="CA175" s="58"/>
      <c r="CB175" s="58"/>
      <c r="CC175" s="58"/>
      <c r="CD175" s="58"/>
      <c r="CE175" s="58"/>
      <c r="CF175" s="58"/>
      <c r="CG175" s="58"/>
      <c r="CH175" s="58"/>
      <c r="CI175" s="58"/>
      <c r="CJ175" s="58"/>
      <c r="CK175" s="58"/>
      <c r="CL175" s="58"/>
      <c r="CM175" s="58"/>
      <c r="CN175" s="58"/>
      <c r="CO175" s="58"/>
      <c r="CP175" s="58"/>
      <c r="CQ175" s="58"/>
      <c r="CR175" s="59"/>
    </row>
    <row r="176" spans="1:109" ht="15" customHeight="1" thickBot="1" x14ac:dyDescent="0.2">
      <c r="A176" s="61"/>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3"/>
    </row>
    <row r="177" spans="1:98" ht="15" customHeight="1" x14ac:dyDescent="0.15">
      <c r="A177" s="280" t="s">
        <v>66</v>
      </c>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c r="BA177" s="281"/>
      <c r="BB177" s="281"/>
      <c r="BC177" s="281"/>
      <c r="BD177" s="281"/>
      <c r="BE177" s="281"/>
      <c r="BF177" s="281"/>
      <c r="BG177" s="281"/>
      <c r="BH177" s="281"/>
      <c r="BI177" s="281"/>
      <c r="BJ177" s="281"/>
      <c r="BK177" s="281"/>
      <c r="BL177" s="281"/>
      <c r="BM177" s="281"/>
      <c r="BN177" s="281"/>
      <c r="BO177" s="281"/>
      <c r="BP177" s="281"/>
      <c r="BQ177" s="281"/>
      <c r="BR177" s="281"/>
      <c r="BS177" s="281"/>
      <c r="BT177" s="281"/>
      <c r="BU177" s="281"/>
      <c r="BV177" s="281"/>
      <c r="BW177" s="281"/>
      <c r="BX177" s="281"/>
      <c r="BY177" s="281"/>
      <c r="BZ177" s="281"/>
      <c r="CA177" s="281"/>
      <c r="CB177" s="281"/>
      <c r="CC177" s="281"/>
      <c r="CD177" s="281"/>
      <c r="CE177" s="281"/>
      <c r="CF177" s="281"/>
      <c r="CG177" s="281"/>
      <c r="CH177" s="281"/>
      <c r="CI177" s="281"/>
      <c r="CJ177" s="281"/>
      <c r="CK177" s="281"/>
      <c r="CL177" s="281"/>
      <c r="CM177" s="281"/>
      <c r="CN177" s="281"/>
      <c r="CO177" s="281"/>
      <c r="CP177" s="281"/>
      <c r="CQ177" s="281"/>
      <c r="CR177" s="282"/>
    </row>
    <row r="178" spans="1:98" ht="15" customHeight="1" x14ac:dyDescent="0.15">
      <c r="A178" s="100"/>
      <c r="CR178" s="101"/>
    </row>
    <row r="179" spans="1:98" ht="15" customHeight="1" x14ac:dyDescent="0.15">
      <c r="A179" s="100"/>
      <c r="B179" s="58" t="s">
        <v>123</v>
      </c>
      <c r="C179" s="58"/>
      <c r="D179" s="58"/>
      <c r="E179" s="58"/>
      <c r="F179" s="58"/>
      <c r="G179" s="58"/>
      <c r="H179" s="58"/>
      <c r="I179" s="58"/>
      <c r="J179" s="58"/>
      <c r="K179" s="58"/>
      <c r="L179" s="58"/>
      <c r="M179" s="58"/>
      <c r="N179" s="58"/>
      <c r="O179" s="58"/>
      <c r="P179" s="58"/>
      <c r="Q179" s="58"/>
      <c r="R179" s="58"/>
      <c r="S179" s="58"/>
      <c r="T179" s="58"/>
      <c r="U179" s="58"/>
      <c r="V179" s="58" t="s">
        <v>318</v>
      </c>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CR179" s="101"/>
    </row>
    <row r="180" spans="1:98" ht="15" customHeight="1" x14ac:dyDescent="0.15">
      <c r="A180" s="100"/>
      <c r="B180" s="58"/>
      <c r="C180" s="299" t="s">
        <v>79</v>
      </c>
      <c r="D180" s="300"/>
      <c r="E180" s="300"/>
      <c r="F180" s="300"/>
      <c r="G180" s="300"/>
      <c r="H180" s="300"/>
      <c r="I180" s="300"/>
      <c r="J180" s="300"/>
      <c r="K180" s="300"/>
      <c r="L180" s="300"/>
      <c r="M180" s="300"/>
      <c r="N180" s="300"/>
      <c r="O180" s="300"/>
      <c r="P180" s="300"/>
      <c r="Q180" s="289" t="s">
        <v>114</v>
      </c>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58"/>
      <c r="AW180" s="116" t="s">
        <v>366</v>
      </c>
      <c r="CR180" s="101"/>
    </row>
    <row r="181" spans="1:98" ht="15" customHeight="1" x14ac:dyDescent="0.15">
      <c r="A181" s="100"/>
      <c r="C181" s="296" t="s">
        <v>277</v>
      </c>
      <c r="D181" s="296"/>
      <c r="E181" s="296"/>
      <c r="F181" s="296"/>
      <c r="G181" s="296"/>
      <c r="H181" s="296"/>
      <c r="I181" s="296"/>
      <c r="J181" s="296"/>
      <c r="K181" s="296"/>
      <c r="L181" s="296"/>
      <c r="M181" s="296"/>
      <c r="N181" s="296"/>
      <c r="O181" s="296"/>
      <c r="P181" s="296"/>
      <c r="Q181" s="269" t="s">
        <v>291</v>
      </c>
      <c r="R181" s="269"/>
      <c r="S181" s="269"/>
      <c r="T181" s="269"/>
      <c r="U181" s="269"/>
      <c r="V181" s="269"/>
      <c r="W181" s="269"/>
      <c r="X181" s="269"/>
      <c r="Y181" s="269"/>
      <c r="Z181" s="269"/>
      <c r="AA181" s="269"/>
      <c r="AB181" s="269"/>
      <c r="AC181" s="269"/>
      <c r="AD181" s="269"/>
      <c r="AE181" s="269"/>
      <c r="AF181" s="269"/>
      <c r="AG181" s="269"/>
      <c r="AH181" s="269"/>
      <c r="AI181" s="269"/>
      <c r="AJ181" s="269"/>
      <c r="AK181" s="269"/>
      <c r="AL181" s="269"/>
      <c r="AM181" s="269"/>
      <c r="AN181" s="269"/>
      <c r="AO181" s="269"/>
      <c r="AP181" s="269"/>
      <c r="AQ181" s="269"/>
      <c r="AR181" s="269"/>
      <c r="AS181" s="269"/>
      <c r="AT181" s="269"/>
      <c r="AU181" s="58"/>
      <c r="AW181" s="116" t="s">
        <v>365</v>
      </c>
      <c r="CR181" s="101"/>
    </row>
    <row r="182" spans="1:98" ht="15" customHeight="1" x14ac:dyDescent="0.15">
      <c r="A182" s="100"/>
      <c r="C182" s="279" t="s">
        <v>346</v>
      </c>
      <c r="D182" s="279"/>
      <c r="E182" s="279"/>
      <c r="F182" s="279"/>
      <c r="G182" s="279"/>
      <c r="H182" s="279"/>
      <c r="I182" s="279"/>
      <c r="J182" s="279"/>
      <c r="K182" s="279"/>
      <c r="L182" s="279"/>
      <c r="M182" s="279"/>
      <c r="N182" s="279"/>
      <c r="O182" s="279"/>
      <c r="P182" s="279"/>
      <c r="Q182" s="278" t="s">
        <v>350</v>
      </c>
      <c r="R182" s="278"/>
      <c r="S182" s="278"/>
      <c r="T182" s="278"/>
      <c r="U182" s="278"/>
      <c r="V182" s="278"/>
      <c r="W182" s="278"/>
      <c r="X182" s="278"/>
      <c r="Y182" s="278"/>
      <c r="Z182" s="278"/>
      <c r="AA182" s="278"/>
      <c r="AB182" s="278"/>
      <c r="AC182" s="278"/>
      <c r="AD182" s="278"/>
      <c r="AE182" s="278"/>
      <c r="AF182" s="278"/>
      <c r="AG182" s="278"/>
      <c r="AH182" s="278"/>
      <c r="AI182" s="278"/>
      <c r="AJ182" s="278"/>
      <c r="AK182" s="278"/>
      <c r="AL182" s="278"/>
      <c r="AM182" s="278"/>
      <c r="AN182" s="278"/>
      <c r="AO182" s="278"/>
      <c r="AP182" s="278"/>
      <c r="AQ182" s="278"/>
      <c r="AR182" s="278"/>
      <c r="AS182" s="278"/>
      <c r="AT182" s="278"/>
      <c r="AU182" s="58"/>
      <c r="AW182" s="116" t="s">
        <v>367</v>
      </c>
      <c r="CR182" s="101"/>
    </row>
    <row r="183" spans="1:98" ht="15" customHeight="1" x14ac:dyDescent="0.15">
      <c r="A183" s="100"/>
      <c r="C183" s="279" t="s">
        <v>347</v>
      </c>
      <c r="D183" s="279"/>
      <c r="E183" s="279"/>
      <c r="F183" s="279"/>
      <c r="G183" s="279"/>
      <c r="H183" s="279"/>
      <c r="I183" s="279"/>
      <c r="J183" s="279"/>
      <c r="K183" s="279"/>
      <c r="L183" s="279"/>
      <c r="M183" s="279"/>
      <c r="N183" s="279"/>
      <c r="O183" s="279"/>
      <c r="P183" s="279"/>
      <c r="Q183" s="278" t="s">
        <v>351</v>
      </c>
      <c r="R183" s="278"/>
      <c r="S183" s="278"/>
      <c r="T183" s="278"/>
      <c r="U183" s="278"/>
      <c r="V183" s="278"/>
      <c r="W183" s="278"/>
      <c r="X183" s="278"/>
      <c r="Y183" s="278"/>
      <c r="Z183" s="278"/>
      <c r="AA183" s="278"/>
      <c r="AB183" s="278"/>
      <c r="AC183" s="278"/>
      <c r="AD183" s="278"/>
      <c r="AE183" s="278"/>
      <c r="AF183" s="278"/>
      <c r="AG183" s="278"/>
      <c r="AH183" s="278"/>
      <c r="AI183" s="278"/>
      <c r="AJ183" s="278"/>
      <c r="AK183" s="278"/>
      <c r="AL183" s="278"/>
      <c r="AM183" s="278"/>
      <c r="AN183" s="278"/>
      <c r="AO183" s="278"/>
      <c r="AP183" s="278"/>
      <c r="AQ183" s="278"/>
      <c r="AR183" s="278"/>
      <c r="AS183" s="278"/>
      <c r="AT183" s="278"/>
      <c r="AU183" s="58"/>
      <c r="CR183" s="101"/>
    </row>
    <row r="184" spans="1:98" ht="15" customHeight="1" x14ac:dyDescent="0.15">
      <c r="A184" s="100"/>
      <c r="C184" s="279" t="s">
        <v>348</v>
      </c>
      <c r="D184" s="279"/>
      <c r="E184" s="279"/>
      <c r="F184" s="279"/>
      <c r="G184" s="279"/>
      <c r="H184" s="279"/>
      <c r="I184" s="279"/>
      <c r="J184" s="279"/>
      <c r="K184" s="279"/>
      <c r="L184" s="279"/>
      <c r="M184" s="279"/>
      <c r="N184" s="279"/>
      <c r="O184" s="279"/>
      <c r="P184" s="279"/>
      <c r="Q184" s="278" t="s">
        <v>120</v>
      </c>
      <c r="R184" s="278"/>
      <c r="S184" s="278"/>
      <c r="T184" s="278"/>
      <c r="U184" s="278"/>
      <c r="V184" s="278"/>
      <c r="W184" s="278"/>
      <c r="X184" s="278"/>
      <c r="Y184" s="278"/>
      <c r="Z184" s="278"/>
      <c r="AA184" s="278"/>
      <c r="AB184" s="278"/>
      <c r="AC184" s="278"/>
      <c r="AD184" s="278"/>
      <c r="AE184" s="278"/>
      <c r="AF184" s="278"/>
      <c r="AG184" s="278"/>
      <c r="AH184" s="278"/>
      <c r="AI184" s="278"/>
      <c r="AJ184" s="278"/>
      <c r="AK184" s="278"/>
      <c r="AL184" s="278"/>
      <c r="AM184" s="278"/>
      <c r="AN184" s="278"/>
      <c r="AO184" s="278"/>
      <c r="AP184" s="278"/>
      <c r="AQ184" s="278"/>
      <c r="AR184" s="278"/>
      <c r="AS184" s="278"/>
      <c r="AT184" s="278"/>
      <c r="AU184" s="58"/>
      <c r="AW184" s="17" t="s">
        <v>411</v>
      </c>
      <c r="CR184" s="101"/>
    </row>
    <row r="185" spans="1:98" ht="15" customHeight="1" x14ac:dyDescent="0.15">
      <c r="A185" s="100"/>
      <c r="B185" s="58"/>
      <c r="C185" s="279" t="s">
        <v>349</v>
      </c>
      <c r="D185" s="279"/>
      <c r="E185" s="279"/>
      <c r="F185" s="279"/>
      <c r="G185" s="279"/>
      <c r="H185" s="279"/>
      <c r="I185" s="279"/>
      <c r="J185" s="279"/>
      <c r="K185" s="279"/>
      <c r="L185" s="279"/>
      <c r="M185" s="279"/>
      <c r="N185" s="279"/>
      <c r="O185" s="279"/>
      <c r="P185" s="279"/>
      <c r="Q185" s="278" t="s">
        <v>352</v>
      </c>
      <c r="R185" s="278"/>
      <c r="S185" s="278"/>
      <c r="T185" s="278"/>
      <c r="U185" s="278"/>
      <c r="V185" s="278"/>
      <c r="W185" s="278"/>
      <c r="X185" s="278"/>
      <c r="Y185" s="278"/>
      <c r="Z185" s="278"/>
      <c r="AA185" s="278"/>
      <c r="AB185" s="278"/>
      <c r="AC185" s="278"/>
      <c r="AD185" s="278"/>
      <c r="AE185" s="278"/>
      <c r="AF185" s="278"/>
      <c r="AG185" s="278"/>
      <c r="AH185" s="278"/>
      <c r="AI185" s="278"/>
      <c r="AJ185" s="278"/>
      <c r="AK185" s="278"/>
      <c r="AL185" s="278"/>
      <c r="AM185" s="278"/>
      <c r="AN185" s="278"/>
      <c r="AO185" s="278"/>
      <c r="AP185" s="278"/>
      <c r="AQ185" s="278"/>
      <c r="AR185" s="278"/>
      <c r="AS185" s="278"/>
      <c r="AT185" s="278"/>
      <c r="AU185" s="58"/>
      <c r="AX185" s="17" t="s">
        <v>510</v>
      </c>
      <c r="CR185" s="101"/>
    </row>
    <row r="186" spans="1:98" ht="15" customHeight="1" x14ac:dyDescent="0.15">
      <c r="A186" s="100"/>
      <c r="C186" s="296" t="s">
        <v>112</v>
      </c>
      <c r="D186" s="296"/>
      <c r="E186" s="296"/>
      <c r="F186" s="296"/>
      <c r="G186" s="296"/>
      <c r="H186" s="296"/>
      <c r="I186" s="296"/>
      <c r="J186" s="296"/>
      <c r="K186" s="296"/>
      <c r="L186" s="296"/>
      <c r="M186" s="296"/>
      <c r="N186" s="296"/>
      <c r="O186" s="296"/>
      <c r="P186" s="296"/>
      <c r="Q186" s="298" t="s">
        <v>290</v>
      </c>
      <c r="R186" s="298"/>
      <c r="S186" s="298"/>
      <c r="T186" s="298"/>
      <c r="U186" s="298"/>
      <c r="V186" s="298"/>
      <c r="W186" s="298"/>
      <c r="X186" s="298"/>
      <c r="Y186" s="298"/>
      <c r="Z186" s="298"/>
      <c r="AA186" s="298"/>
      <c r="AB186" s="298"/>
      <c r="AC186" s="298"/>
      <c r="AD186" s="298"/>
      <c r="AE186" s="298"/>
      <c r="AF186" s="298"/>
      <c r="AG186" s="298"/>
      <c r="AH186" s="298"/>
      <c r="AI186" s="298"/>
      <c r="AJ186" s="298"/>
      <c r="AK186" s="298"/>
      <c r="AL186" s="298"/>
      <c r="AM186" s="298"/>
      <c r="AN186" s="298"/>
      <c r="AO186" s="298"/>
      <c r="AP186" s="298"/>
      <c r="AQ186" s="298"/>
      <c r="AR186" s="298"/>
      <c r="AS186" s="298"/>
      <c r="AT186" s="298"/>
      <c r="AY186" s="118" t="s">
        <v>512</v>
      </c>
      <c r="AZ186" s="119"/>
      <c r="BA186" s="119"/>
      <c r="BB186" s="119"/>
      <c r="BC186" s="119"/>
      <c r="BD186" s="120"/>
      <c r="BE186" s="118" t="s">
        <v>514</v>
      </c>
      <c r="BF186" s="119"/>
      <c r="BG186" s="119"/>
      <c r="BH186" s="119"/>
      <c r="BI186" s="119"/>
      <c r="BJ186" s="119"/>
      <c r="BK186" s="119"/>
      <c r="BL186" s="120"/>
      <c r="BM186" s="121" t="s">
        <v>511</v>
      </c>
      <c r="BN186" s="122"/>
      <c r="BO186" s="124"/>
      <c r="BP186" s="124"/>
      <c r="BQ186" s="124"/>
      <c r="BR186" s="124"/>
      <c r="BS186" s="124"/>
      <c r="BT186" s="123"/>
      <c r="CR186" s="101"/>
    </row>
    <row r="187" spans="1:98" ht="15" customHeight="1" x14ac:dyDescent="0.15">
      <c r="A187" s="100"/>
      <c r="C187" s="296"/>
      <c r="D187" s="296"/>
      <c r="E187" s="296"/>
      <c r="F187" s="296"/>
      <c r="G187" s="296"/>
      <c r="H187" s="296"/>
      <c r="I187" s="296"/>
      <c r="J187" s="296"/>
      <c r="K187" s="296"/>
      <c r="L187" s="296"/>
      <c r="M187" s="296"/>
      <c r="N187" s="296"/>
      <c r="O187" s="296"/>
      <c r="P187" s="296"/>
      <c r="Q187" s="298"/>
      <c r="R187" s="298"/>
      <c r="S187" s="298"/>
      <c r="T187" s="298"/>
      <c r="U187" s="298"/>
      <c r="V187" s="298"/>
      <c r="W187" s="298"/>
      <c r="X187" s="298"/>
      <c r="Y187" s="298"/>
      <c r="Z187" s="298"/>
      <c r="AA187" s="298"/>
      <c r="AB187" s="298"/>
      <c r="AC187" s="298"/>
      <c r="AD187" s="298"/>
      <c r="AE187" s="298"/>
      <c r="AF187" s="298"/>
      <c r="AG187" s="298"/>
      <c r="AH187" s="298"/>
      <c r="AI187" s="298"/>
      <c r="AJ187" s="298"/>
      <c r="AK187" s="298"/>
      <c r="AL187" s="298"/>
      <c r="AM187" s="298"/>
      <c r="AN187" s="298"/>
      <c r="AO187" s="298"/>
      <c r="AP187" s="298"/>
      <c r="AQ187" s="298"/>
      <c r="AR187" s="298"/>
      <c r="AS187" s="298"/>
      <c r="AT187" s="298"/>
      <c r="AU187" s="58"/>
      <c r="AY187" s="121" t="s">
        <v>513</v>
      </c>
      <c r="AZ187" s="122"/>
      <c r="BA187" s="122"/>
      <c r="BB187" s="122"/>
      <c r="BC187" s="122"/>
      <c r="BD187" s="123"/>
      <c r="BE187" s="121" t="s">
        <v>517</v>
      </c>
      <c r="BF187" s="122"/>
      <c r="BG187" s="122"/>
      <c r="BH187" s="122"/>
      <c r="BI187" s="122"/>
      <c r="BJ187" s="122"/>
      <c r="BK187" s="122"/>
      <c r="BL187" s="123"/>
      <c r="BM187" s="121" t="s">
        <v>516</v>
      </c>
      <c r="BN187" s="122"/>
      <c r="BO187" s="124"/>
      <c r="BP187" s="124"/>
      <c r="BQ187" s="124"/>
      <c r="BR187" s="124"/>
      <c r="BS187" s="124"/>
      <c r="BT187" s="123"/>
      <c r="CR187" s="101"/>
      <c r="CT187" s="117"/>
    </row>
    <row r="188" spans="1:98" ht="15" customHeight="1" x14ac:dyDescent="0.15">
      <c r="A188" s="100"/>
      <c r="B188" s="58"/>
      <c r="C188" s="296"/>
      <c r="D188" s="296"/>
      <c r="E188" s="296"/>
      <c r="F188" s="296"/>
      <c r="G188" s="296"/>
      <c r="H188" s="296"/>
      <c r="I188" s="296"/>
      <c r="J188" s="296"/>
      <c r="K188" s="296"/>
      <c r="L188" s="296"/>
      <c r="M188" s="296"/>
      <c r="N188" s="296"/>
      <c r="O188" s="296"/>
      <c r="P188" s="296"/>
      <c r="Q188" s="298"/>
      <c r="R188" s="298"/>
      <c r="S188" s="298"/>
      <c r="T188" s="298"/>
      <c r="U188" s="298"/>
      <c r="V188" s="298"/>
      <c r="W188" s="298"/>
      <c r="X188" s="298"/>
      <c r="Y188" s="298"/>
      <c r="Z188" s="298"/>
      <c r="AA188" s="298"/>
      <c r="AB188" s="298"/>
      <c r="AC188" s="298"/>
      <c r="AD188" s="298"/>
      <c r="AE188" s="298"/>
      <c r="AF188" s="298"/>
      <c r="AG188" s="298"/>
      <c r="AH188" s="298"/>
      <c r="AI188" s="298"/>
      <c r="AJ188" s="298"/>
      <c r="AK188" s="298"/>
      <c r="AL188" s="298"/>
      <c r="AM188" s="298"/>
      <c r="AN188" s="298"/>
      <c r="AO188" s="298"/>
      <c r="AP188" s="298"/>
      <c r="AQ188" s="298"/>
      <c r="AR188" s="298"/>
      <c r="AS188" s="298"/>
      <c r="AT188" s="298"/>
      <c r="AU188" s="58"/>
      <c r="AY188" s="121" t="s">
        <v>515</v>
      </c>
      <c r="AZ188" s="122"/>
      <c r="BA188" s="122"/>
      <c r="BB188" s="122"/>
      <c r="BC188" s="122"/>
      <c r="BD188" s="123"/>
      <c r="BE188" s="121" t="s">
        <v>518</v>
      </c>
      <c r="BF188" s="122"/>
      <c r="BG188" s="122"/>
      <c r="BH188" s="122"/>
      <c r="BI188" s="122"/>
      <c r="BJ188" s="122"/>
      <c r="BK188" s="122"/>
      <c r="BL188" s="123"/>
      <c r="BM188" s="121" t="s">
        <v>516</v>
      </c>
      <c r="BN188" s="122"/>
      <c r="BO188" s="124"/>
      <c r="BP188" s="124"/>
      <c r="BQ188" s="124"/>
      <c r="BR188" s="124"/>
      <c r="BS188" s="124"/>
      <c r="BT188" s="123"/>
      <c r="CR188" s="101"/>
      <c r="CT188" s="117"/>
    </row>
    <row r="189" spans="1:98" ht="15" customHeight="1" x14ac:dyDescent="0.15">
      <c r="A189" s="100"/>
      <c r="B189" s="58"/>
      <c r="C189" s="279" t="s">
        <v>124</v>
      </c>
      <c r="D189" s="279"/>
      <c r="E189" s="279"/>
      <c r="F189" s="279"/>
      <c r="G189" s="279"/>
      <c r="H189" s="279"/>
      <c r="I189" s="279"/>
      <c r="J189" s="279"/>
      <c r="K189" s="279"/>
      <c r="L189" s="279"/>
      <c r="M189" s="279"/>
      <c r="N189" s="279"/>
      <c r="O189" s="279"/>
      <c r="P189" s="279"/>
      <c r="Q189" s="278" t="s">
        <v>121</v>
      </c>
      <c r="R189" s="278"/>
      <c r="S189" s="278"/>
      <c r="T189" s="278"/>
      <c r="U189" s="278"/>
      <c r="V189" s="278"/>
      <c r="W189" s="278"/>
      <c r="X189" s="278"/>
      <c r="Y189" s="278"/>
      <c r="Z189" s="278"/>
      <c r="AA189" s="278"/>
      <c r="AB189" s="278"/>
      <c r="AC189" s="278"/>
      <c r="AD189" s="278"/>
      <c r="AE189" s="278"/>
      <c r="AF189" s="278"/>
      <c r="AG189" s="278"/>
      <c r="AH189" s="278"/>
      <c r="AI189" s="278"/>
      <c r="AJ189" s="278"/>
      <c r="AK189" s="278"/>
      <c r="AL189" s="278"/>
      <c r="AM189" s="278"/>
      <c r="AN189" s="278"/>
      <c r="AO189" s="278"/>
      <c r="AP189" s="278"/>
      <c r="AQ189" s="278"/>
      <c r="AR189" s="278"/>
      <c r="AS189" s="278"/>
      <c r="AT189" s="278"/>
      <c r="AU189" s="58"/>
      <c r="CR189" s="101"/>
      <c r="CT189" s="117"/>
    </row>
    <row r="190" spans="1:98" ht="15" customHeight="1" x14ac:dyDescent="0.15">
      <c r="A190" s="100"/>
      <c r="B190" s="58"/>
      <c r="C190" s="279" t="s">
        <v>292</v>
      </c>
      <c r="D190" s="279"/>
      <c r="E190" s="279"/>
      <c r="F190" s="279"/>
      <c r="G190" s="279"/>
      <c r="H190" s="279"/>
      <c r="I190" s="279"/>
      <c r="J190" s="279"/>
      <c r="K190" s="279"/>
      <c r="L190" s="279"/>
      <c r="M190" s="279"/>
      <c r="N190" s="279"/>
      <c r="O190" s="279"/>
      <c r="P190" s="279"/>
      <c r="Q190" s="278" t="s">
        <v>432</v>
      </c>
      <c r="R190" s="278"/>
      <c r="S190" s="278"/>
      <c r="T190" s="278"/>
      <c r="U190" s="278"/>
      <c r="V190" s="278"/>
      <c r="W190" s="278"/>
      <c r="X190" s="278"/>
      <c r="Y190" s="278"/>
      <c r="Z190" s="278"/>
      <c r="AA190" s="278"/>
      <c r="AB190" s="278"/>
      <c r="AC190" s="278"/>
      <c r="AD190" s="278"/>
      <c r="AE190" s="278"/>
      <c r="AF190" s="278"/>
      <c r="AG190" s="278"/>
      <c r="AH190" s="278"/>
      <c r="AI190" s="278"/>
      <c r="AJ190" s="278"/>
      <c r="AK190" s="278"/>
      <c r="AL190" s="278"/>
      <c r="AM190" s="278"/>
      <c r="AN190" s="278"/>
      <c r="AO190" s="278"/>
      <c r="AP190" s="278"/>
      <c r="AQ190" s="278"/>
      <c r="AR190" s="278"/>
      <c r="AS190" s="278"/>
      <c r="AT190" s="278"/>
      <c r="AU190" s="58"/>
      <c r="CR190" s="101"/>
      <c r="CT190" s="117"/>
    </row>
    <row r="191" spans="1:98" ht="15" customHeight="1" x14ac:dyDescent="0.15">
      <c r="A191" s="100"/>
      <c r="B191" s="58"/>
      <c r="C191" s="279" t="s">
        <v>293</v>
      </c>
      <c r="D191" s="279"/>
      <c r="E191" s="279"/>
      <c r="F191" s="279"/>
      <c r="G191" s="279"/>
      <c r="H191" s="279"/>
      <c r="I191" s="279"/>
      <c r="J191" s="279"/>
      <c r="K191" s="279"/>
      <c r="L191" s="279"/>
      <c r="M191" s="279"/>
      <c r="N191" s="279"/>
      <c r="O191" s="279"/>
      <c r="P191" s="279"/>
      <c r="Q191" s="278" t="s">
        <v>431</v>
      </c>
      <c r="R191" s="278"/>
      <c r="S191" s="278"/>
      <c r="T191" s="278"/>
      <c r="U191" s="278"/>
      <c r="V191" s="278"/>
      <c r="W191" s="278"/>
      <c r="X191" s="278"/>
      <c r="Y191" s="278"/>
      <c r="Z191" s="278"/>
      <c r="AA191" s="278"/>
      <c r="AB191" s="278"/>
      <c r="AC191" s="278"/>
      <c r="AD191" s="278"/>
      <c r="AE191" s="278"/>
      <c r="AF191" s="278"/>
      <c r="AG191" s="278"/>
      <c r="AH191" s="278"/>
      <c r="AI191" s="278"/>
      <c r="AJ191" s="278"/>
      <c r="AK191" s="278"/>
      <c r="AL191" s="278"/>
      <c r="AM191" s="278"/>
      <c r="AN191" s="278"/>
      <c r="AO191" s="278"/>
      <c r="AP191" s="278"/>
      <c r="AQ191" s="278"/>
      <c r="AR191" s="278"/>
      <c r="AS191" s="278"/>
      <c r="AT191" s="278"/>
      <c r="AU191" s="58"/>
      <c r="CR191" s="101"/>
    </row>
    <row r="192" spans="1:98" ht="15" customHeight="1" x14ac:dyDescent="0.15">
      <c r="A192" s="100"/>
      <c r="AU192" s="58"/>
      <c r="CR192" s="101"/>
    </row>
    <row r="193" spans="1:96" ht="15" customHeight="1" x14ac:dyDescent="0.15">
      <c r="A193" s="100"/>
      <c r="AU193" s="58"/>
      <c r="CR193" s="101"/>
    </row>
    <row r="194" spans="1:96" ht="15" customHeight="1" x14ac:dyDescent="0.15">
      <c r="A194" s="100"/>
      <c r="AU194" s="58"/>
      <c r="CR194" s="101"/>
    </row>
    <row r="195" spans="1:96" ht="15" customHeight="1" x14ac:dyDescent="0.15">
      <c r="A195" s="100"/>
      <c r="B195" s="58" t="s">
        <v>294</v>
      </c>
      <c r="AO195" s="58"/>
      <c r="AP195" s="58"/>
      <c r="AQ195" s="58"/>
      <c r="AR195" s="58"/>
      <c r="AS195" s="58"/>
      <c r="AT195" s="58"/>
      <c r="AU195" s="58"/>
      <c r="CR195" s="101"/>
    </row>
    <row r="196" spans="1:96" ht="15" customHeight="1" x14ac:dyDescent="0.15">
      <c r="A196" s="100"/>
      <c r="B196" s="58"/>
      <c r="C196" s="268" t="s">
        <v>295</v>
      </c>
      <c r="D196" s="268"/>
      <c r="E196" s="268"/>
      <c r="F196" s="268"/>
      <c r="G196" s="268"/>
      <c r="H196" s="268"/>
      <c r="I196" s="268"/>
      <c r="J196" s="268"/>
      <c r="K196" s="268"/>
      <c r="L196" s="268"/>
      <c r="M196" s="268"/>
      <c r="N196" s="268" t="s">
        <v>353</v>
      </c>
      <c r="O196" s="268"/>
      <c r="P196" s="268"/>
      <c r="Q196" s="268"/>
      <c r="R196" s="268"/>
      <c r="S196" s="268"/>
      <c r="T196" s="268"/>
      <c r="U196" s="268"/>
      <c r="V196" s="268"/>
      <c r="W196" s="268"/>
      <c r="X196" s="283" t="s">
        <v>226</v>
      </c>
      <c r="Y196" s="284"/>
      <c r="Z196" s="284"/>
      <c r="AA196" s="284"/>
      <c r="AB196" s="284"/>
      <c r="AC196" s="285"/>
      <c r="AD196" s="268" t="s">
        <v>357</v>
      </c>
      <c r="AE196" s="268"/>
      <c r="AF196" s="268"/>
      <c r="AG196" s="268"/>
      <c r="AH196" s="268"/>
      <c r="AI196" s="268" t="s">
        <v>362</v>
      </c>
      <c r="AJ196" s="268"/>
      <c r="AK196" s="268"/>
      <c r="AL196" s="268"/>
      <c r="AM196" s="268"/>
      <c r="AN196" s="268"/>
      <c r="AO196" s="268"/>
      <c r="AP196" s="268"/>
      <c r="AQ196" s="268"/>
      <c r="AR196" s="268"/>
      <c r="AS196" s="268" t="s">
        <v>296</v>
      </c>
      <c r="AT196" s="268"/>
      <c r="AU196" s="268"/>
      <c r="AV196" s="268"/>
      <c r="AW196" s="268"/>
      <c r="AX196" s="268"/>
      <c r="AY196" s="268"/>
      <c r="AZ196" s="268"/>
      <c r="BA196" s="268"/>
      <c r="BB196" s="268"/>
      <c r="BC196" s="268" t="s">
        <v>297</v>
      </c>
      <c r="BD196" s="268"/>
      <c r="BE196" s="268"/>
      <c r="BF196" s="268"/>
      <c r="BG196" s="268"/>
      <c r="BH196" s="268"/>
      <c r="BI196" s="268" t="s">
        <v>298</v>
      </c>
      <c r="BJ196" s="268"/>
      <c r="BK196" s="268"/>
      <c r="BL196" s="268"/>
      <c r="BM196" s="268"/>
      <c r="BN196" s="268"/>
      <c r="BO196" s="268"/>
      <c r="BP196" s="268" t="s">
        <v>299</v>
      </c>
      <c r="BQ196" s="268"/>
      <c r="BR196" s="268"/>
      <c r="BS196" s="268"/>
      <c r="BT196" s="268"/>
      <c r="CR196" s="101"/>
    </row>
    <row r="197" spans="1:96" ht="15" customHeight="1" x14ac:dyDescent="0.15">
      <c r="A197" s="100"/>
      <c r="B197" s="58"/>
      <c r="C197" s="269" t="s">
        <v>300</v>
      </c>
      <c r="D197" s="269"/>
      <c r="E197" s="269"/>
      <c r="F197" s="269"/>
      <c r="G197" s="269"/>
      <c r="H197" s="269"/>
      <c r="I197" s="269"/>
      <c r="J197" s="269"/>
      <c r="K197" s="269"/>
      <c r="L197" s="269"/>
      <c r="M197" s="269"/>
      <c r="N197" s="269" t="s">
        <v>354</v>
      </c>
      <c r="O197" s="269"/>
      <c r="P197" s="269"/>
      <c r="Q197" s="269"/>
      <c r="R197" s="269"/>
      <c r="S197" s="269"/>
      <c r="T197" s="269"/>
      <c r="U197" s="269"/>
      <c r="V197" s="269"/>
      <c r="W197" s="269"/>
      <c r="X197" s="275" t="s">
        <v>355</v>
      </c>
      <c r="Y197" s="276"/>
      <c r="Z197" s="276"/>
      <c r="AA197" s="276"/>
      <c r="AB197" s="276"/>
      <c r="AC197" s="277"/>
      <c r="AD197" s="269" t="s">
        <v>302</v>
      </c>
      <c r="AE197" s="269"/>
      <c r="AF197" s="269"/>
      <c r="AG197" s="269"/>
      <c r="AH197" s="269"/>
      <c r="AI197" s="269" t="s">
        <v>358</v>
      </c>
      <c r="AJ197" s="269"/>
      <c r="AK197" s="269"/>
      <c r="AL197" s="269"/>
      <c r="AM197" s="269"/>
      <c r="AN197" s="269"/>
      <c r="AO197" s="269"/>
      <c r="AP197" s="269"/>
      <c r="AQ197" s="269"/>
      <c r="AR197" s="269"/>
      <c r="AS197" s="269" t="s">
        <v>301</v>
      </c>
      <c r="AT197" s="269"/>
      <c r="AU197" s="269"/>
      <c r="AV197" s="269"/>
      <c r="AW197" s="269"/>
      <c r="AX197" s="269"/>
      <c r="AY197" s="269"/>
      <c r="AZ197" s="269"/>
      <c r="BA197" s="269"/>
      <c r="BB197" s="269"/>
      <c r="BC197" s="269" t="s">
        <v>303</v>
      </c>
      <c r="BD197" s="269"/>
      <c r="BE197" s="269"/>
      <c r="BF197" s="269"/>
      <c r="BG197" s="269"/>
      <c r="BH197" s="269"/>
      <c r="BI197" s="270">
        <v>45224</v>
      </c>
      <c r="BJ197" s="269"/>
      <c r="BK197" s="269"/>
      <c r="BL197" s="269"/>
      <c r="BM197" s="269"/>
      <c r="BN197" s="269"/>
      <c r="BO197" s="269"/>
      <c r="BP197" s="271">
        <v>0.33333333333333331</v>
      </c>
      <c r="BQ197" s="269"/>
      <c r="BR197" s="269"/>
      <c r="BS197" s="269"/>
      <c r="BT197" s="269"/>
      <c r="CR197" s="101"/>
    </row>
    <row r="198" spans="1:96" ht="15" customHeight="1" x14ac:dyDescent="0.15">
      <c r="A198" s="100"/>
      <c r="B198" s="58"/>
      <c r="C198" s="269" t="s">
        <v>300</v>
      </c>
      <c r="D198" s="269"/>
      <c r="E198" s="269"/>
      <c r="F198" s="269"/>
      <c r="G198" s="269"/>
      <c r="H198" s="269"/>
      <c r="I198" s="269"/>
      <c r="J198" s="269"/>
      <c r="K198" s="269"/>
      <c r="L198" s="269"/>
      <c r="M198" s="269"/>
      <c r="N198" s="269" t="s">
        <v>354</v>
      </c>
      <c r="O198" s="269"/>
      <c r="P198" s="269"/>
      <c r="Q198" s="269"/>
      <c r="R198" s="269"/>
      <c r="S198" s="269"/>
      <c r="T198" s="269"/>
      <c r="U198" s="269"/>
      <c r="V198" s="269"/>
      <c r="W198" s="269"/>
      <c r="X198" s="275" t="s">
        <v>355</v>
      </c>
      <c r="Y198" s="276"/>
      <c r="Z198" s="276"/>
      <c r="AA198" s="276"/>
      <c r="AB198" s="276"/>
      <c r="AC198" s="277"/>
      <c r="AD198" s="269" t="s">
        <v>302</v>
      </c>
      <c r="AE198" s="269"/>
      <c r="AF198" s="269"/>
      <c r="AG198" s="269"/>
      <c r="AH198" s="269"/>
      <c r="AI198" s="269" t="s">
        <v>358</v>
      </c>
      <c r="AJ198" s="269"/>
      <c r="AK198" s="269"/>
      <c r="AL198" s="269"/>
      <c r="AM198" s="269"/>
      <c r="AN198" s="269"/>
      <c r="AO198" s="269"/>
      <c r="AP198" s="269"/>
      <c r="AQ198" s="269"/>
      <c r="AR198" s="269"/>
      <c r="AS198" s="269" t="s">
        <v>464</v>
      </c>
      <c r="AT198" s="269"/>
      <c r="AU198" s="269"/>
      <c r="AV198" s="269"/>
      <c r="AW198" s="269"/>
      <c r="AX198" s="269"/>
      <c r="AY198" s="269"/>
      <c r="AZ198" s="269"/>
      <c r="BA198" s="269"/>
      <c r="BB198" s="269"/>
      <c r="BC198" s="269" t="s">
        <v>303</v>
      </c>
      <c r="BD198" s="269"/>
      <c r="BE198" s="269"/>
      <c r="BF198" s="269"/>
      <c r="BG198" s="269"/>
      <c r="BH198" s="269"/>
      <c r="BI198" s="270">
        <v>45225</v>
      </c>
      <c r="BJ198" s="269"/>
      <c r="BK198" s="269"/>
      <c r="BL198" s="269"/>
      <c r="BM198" s="269"/>
      <c r="BN198" s="269"/>
      <c r="BO198" s="269"/>
      <c r="BP198" s="271">
        <v>0.33333333333333331</v>
      </c>
      <c r="BQ198" s="269"/>
      <c r="BR198" s="269"/>
      <c r="BS198" s="269"/>
      <c r="BT198" s="269"/>
      <c r="CR198" s="101"/>
    </row>
    <row r="199" spans="1:96" ht="15" customHeight="1" x14ac:dyDescent="0.15">
      <c r="A199" s="100"/>
      <c r="B199" s="58"/>
      <c r="C199" s="269" t="s">
        <v>300</v>
      </c>
      <c r="D199" s="269"/>
      <c r="E199" s="269"/>
      <c r="F199" s="269"/>
      <c r="G199" s="269"/>
      <c r="H199" s="269"/>
      <c r="I199" s="269"/>
      <c r="J199" s="269"/>
      <c r="K199" s="269"/>
      <c r="L199" s="269"/>
      <c r="M199" s="269"/>
      <c r="N199" s="269" t="s">
        <v>354</v>
      </c>
      <c r="O199" s="269"/>
      <c r="P199" s="269"/>
      <c r="Q199" s="269"/>
      <c r="R199" s="269"/>
      <c r="S199" s="269"/>
      <c r="T199" s="269"/>
      <c r="U199" s="269"/>
      <c r="V199" s="269"/>
      <c r="W199" s="269"/>
      <c r="X199" s="275" t="s">
        <v>355</v>
      </c>
      <c r="Y199" s="276"/>
      <c r="Z199" s="276"/>
      <c r="AA199" s="276"/>
      <c r="AB199" s="276"/>
      <c r="AC199" s="277"/>
      <c r="AD199" s="269">
        <v>13111552</v>
      </c>
      <c r="AE199" s="269"/>
      <c r="AF199" s="269"/>
      <c r="AG199" s="269"/>
      <c r="AH199" s="269"/>
      <c r="AI199" s="269" t="s">
        <v>359</v>
      </c>
      <c r="AJ199" s="269"/>
      <c r="AK199" s="269"/>
      <c r="AL199" s="269"/>
      <c r="AM199" s="269"/>
      <c r="AN199" s="269"/>
      <c r="AO199" s="269"/>
      <c r="AP199" s="269"/>
      <c r="AQ199" s="269"/>
      <c r="AR199" s="269"/>
      <c r="AS199" s="269" t="s">
        <v>301</v>
      </c>
      <c r="AT199" s="269"/>
      <c r="AU199" s="269"/>
      <c r="AV199" s="269"/>
      <c r="AW199" s="269"/>
      <c r="AX199" s="269"/>
      <c r="AY199" s="269"/>
      <c r="AZ199" s="269"/>
      <c r="BA199" s="269"/>
      <c r="BB199" s="269"/>
      <c r="BC199" s="269" t="s">
        <v>303</v>
      </c>
      <c r="BD199" s="269"/>
      <c r="BE199" s="269"/>
      <c r="BF199" s="269"/>
      <c r="BG199" s="269"/>
      <c r="BH199" s="269"/>
      <c r="BI199" s="270">
        <v>45224</v>
      </c>
      <c r="BJ199" s="269"/>
      <c r="BK199" s="269"/>
      <c r="BL199" s="269"/>
      <c r="BM199" s="269"/>
      <c r="BN199" s="269"/>
      <c r="BO199" s="269"/>
      <c r="BP199" s="271">
        <v>0.33333333333333331</v>
      </c>
      <c r="BQ199" s="269"/>
      <c r="BR199" s="269"/>
      <c r="BS199" s="269"/>
      <c r="BT199" s="269"/>
      <c r="CR199" s="101"/>
    </row>
    <row r="200" spans="1:96" ht="15" customHeight="1" x14ac:dyDescent="0.15">
      <c r="A200" s="100"/>
      <c r="B200" s="58"/>
      <c r="C200" s="269" t="s">
        <v>300</v>
      </c>
      <c r="D200" s="269"/>
      <c r="E200" s="269"/>
      <c r="F200" s="269"/>
      <c r="G200" s="269"/>
      <c r="H200" s="269"/>
      <c r="I200" s="269"/>
      <c r="J200" s="269"/>
      <c r="K200" s="269"/>
      <c r="L200" s="269"/>
      <c r="M200" s="269"/>
      <c r="N200" s="269" t="s">
        <v>354</v>
      </c>
      <c r="O200" s="269"/>
      <c r="P200" s="269"/>
      <c r="Q200" s="269"/>
      <c r="R200" s="269"/>
      <c r="S200" s="269"/>
      <c r="T200" s="269"/>
      <c r="U200" s="269"/>
      <c r="V200" s="269"/>
      <c r="W200" s="269"/>
      <c r="X200" s="275" t="s">
        <v>355</v>
      </c>
      <c r="Y200" s="276"/>
      <c r="Z200" s="276"/>
      <c r="AA200" s="276"/>
      <c r="AB200" s="276"/>
      <c r="AC200" s="277"/>
      <c r="AD200" s="269">
        <v>13111552</v>
      </c>
      <c r="AE200" s="269"/>
      <c r="AF200" s="269"/>
      <c r="AG200" s="269"/>
      <c r="AH200" s="269"/>
      <c r="AI200" s="269" t="s">
        <v>359</v>
      </c>
      <c r="AJ200" s="269"/>
      <c r="AK200" s="269"/>
      <c r="AL200" s="269"/>
      <c r="AM200" s="269"/>
      <c r="AN200" s="269"/>
      <c r="AO200" s="269"/>
      <c r="AP200" s="269"/>
      <c r="AQ200" s="269"/>
      <c r="AR200" s="269"/>
      <c r="AS200" s="269" t="s">
        <v>301</v>
      </c>
      <c r="AT200" s="269"/>
      <c r="AU200" s="269"/>
      <c r="AV200" s="269"/>
      <c r="AW200" s="269"/>
      <c r="AX200" s="269"/>
      <c r="AY200" s="269"/>
      <c r="AZ200" s="269"/>
      <c r="BA200" s="269"/>
      <c r="BB200" s="269"/>
      <c r="BC200" s="269" t="s">
        <v>303</v>
      </c>
      <c r="BD200" s="269"/>
      <c r="BE200" s="269"/>
      <c r="BF200" s="269"/>
      <c r="BG200" s="269"/>
      <c r="BH200" s="269"/>
      <c r="BI200" s="270">
        <v>45225</v>
      </c>
      <c r="BJ200" s="269"/>
      <c r="BK200" s="269"/>
      <c r="BL200" s="269"/>
      <c r="BM200" s="269"/>
      <c r="BN200" s="269"/>
      <c r="BO200" s="269"/>
      <c r="BP200" s="271">
        <v>0.33333333333333331</v>
      </c>
      <c r="BQ200" s="269"/>
      <c r="BR200" s="269"/>
      <c r="BS200" s="269"/>
      <c r="BT200" s="269"/>
      <c r="CR200" s="101"/>
    </row>
    <row r="201" spans="1:96" ht="15" customHeight="1" x14ac:dyDescent="0.15">
      <c r="A201" s="100"/>
      <c r="B201" s="58"/>
      <c r="C201" s="269" t="s">
        <v>300</v>
      </c>
      <c r="D201" s="269"/>
      <c r="E201" s="269"/>
      <c r="F201" s="269"/>
      <c r="G201" s="269"/>
      <c r="H201" s="269"/>
      <c r="I201" s="269"/>
      <c r="J201" s="269"/>
      <c r="K201" s="269"/>
      <c r="L201" s="269"/>
      <c r="M201" s="269"/>
      <c r="N201" s="269" t="s">
        <v>354</v>
      </c>
      <c r="O201" s="269"/>
      <c r="P201" s="269"/>
      <c r="Q201" s="269"/>
      <c r="R201" s="269"/>
      <c r="S201" s="269"/>
      <c r="T201" s="269"/>
      <c r="U201" s="269"/>
      <c r="V201" s="269"/>
      <c r="W201" s="269"/>
      <c r="X201" s="275" t="s">
        <v>355</v>
      </c>
      <c r="Y201" s="276"/>
      <c r="Z201" s="276"/>
      <c r="AA201" s="276"/>
      <c r="AB201" s="276"/>
      <c r="AC201" s="277"/>
      <c r="AD201" s="269">
        <v>13111553</v>
      </c>
      <c r="AE201" s="269"/>
      <c r="AF201" s="269"/>
      <c r="AG201" s="269"/>
      <c r="AH201" s="269"/>
      <c r="AI201" s="269" t="s">
        <v>360</v>
      </c>
      <c r="AJ201" s="269"/>
      <c r="AK201" s="269"/>
      <c r="AL201" s="269"/>
      <c r="AM201" s="269"/>
      <c r="AN201" s="269"/>
      <c r="AO201" s="269"/>
      <c r="AP201" s="269"/>
      <c r="AQ201" s="269"/>
      <c r="AR201" s="269"/>
      <c r="AS201" s="269" t="s">
        <v>301</v>
      </c>
      <c r="AT201" s="269"/>
      <c r="AU201" s="269"/>
      <c r="AV201" s="269"/>
      <c r="AW201" s="269"/>
      <c r="AX201" s="269"/>
      <c r="AY201" s="269"/>
      <c r="AZ201" s="269"/>
      <c r="BA201" s="269"/>
      <c r="BB201" s="269"/>
      <c r="BC201" s="269" t="s">
        <v>303</v>
      </c>
      <c r="BD201" s="269"/>
      <c r="BE201" s="269"/>
      <c r="BF201" s="269"/>
      <c r="BG201" s="269"/>
      <c r="BH201" s="269"/>
      <c r="BI201" s="270">
        <v>45224</v>
      </c>
      <c r="BJ201" s="269"/>
      <c r="BK201" s="269"/>
      <c r="BL201" s="269"/>
      <c r="BM201" s="269"/>
      <c r="BN201" s="269"/>
      <c r="BO201" s="269"/>
      <c r="BP201" s="271">
        <v>0.33333333333333331</v>
      </c>
      <c r="BQ201" s="269"/>
      <c r="BR201" s="269"/>
      <c r="BS201" s="269"/>
      <c r="BT201" s="269"/>
      <c r="CR201" s="101"/>
    </row>
    <row r="202" spans="1:96" ht="15" customHeight="1" x14ac:dyDescent="0.15">
      <c r="A202" s="100"/>
      <c r="B202" s="58"/>
      <c r="C202" s="269" t="s">
        <v>300</v>
      </c>
      <c r="D202" s="269"/>
      <c r="E202" s="269"/>
      <c r="F202" s="269"/>
      <c r="G202" s="269"/>
      <c r="H202" s="269"/>
      <c r="I202" s="269"/>
      <c r="J202" s="269"/>
      <c r="K202" s="269"/>
      <c r="L202" s="269"/>
      <c r="M202" s="269"/>
      <c r="N202" s="269" t="s">
        <v>354</v>
      </c>
      <c r="O202" s="269"/>
      <c r="P202" s="269"/>
      <c r="Q202" s="269"/>
      <c r="R202" s="269"/>
      <c r="S202" s="269"/>
      <c r="T202" s="269"/>
      <c r="U202" s="269"/>
      <c r="V202" s="269"/>
      <c r="W202" s="269"/>
      <c r="X202" s="275" t="s">
        <v>355</v>
      </c>
      <c r="Y202" s="276"/>
      <c r="Z202" s="276"/>
      <c r="AA202" s="276"/>
      <c r="AB202" s="276"/>
      <c r="AC202" s="277"/>
      <c r="AD202" s="269">
        <v>13111553</v>
      </c>
      <c r="AE202" s="269"/>
      <c r="AF202" s="269"/>
      <c r="AG202" s="269"/>
      <c r="AH202" s="269"/>
      <c r="AI202" s="269" t="s">
        <v>360</v>
      </c>
      <c r="AJ202" s="269"/>
      <c r="AK202" s="269"/>
      <c r="AL202" s="269"/>
      <c r="AM202" s="269"/>
      <c r="AN202" s="269"/>
      <c r="AO202" s="269"/>
      <c r="AP202" s="269"/>
      <c r="AQ202" s="269"/>
      <c r="AR202" s="269"/>
      <c r="AS202" s="269" t="s">
        <v>301</v>
      </c>
      <c r="AT202" s="269"/>
      <c r="AU202" s="269"/>
      <c r="AV202" s="269"/>
      <c r="AW202" s="269"/>
      <c r="AX202" s="269"/>
      <c r="AY202" s="269"/>
      <c r="AZ202" s="269"/>
      <c r="BA202" s="269"/>
      <c r="BB202" s="269"/>
      <c r="BC202" s="269" t="s">
        <v>303</v>
      </c>
      <c r="BD202" s="269"/>
      <c r="BE202" s="269"/>
      <c r="BF202" s="269"/>
      <c r="BG202" s="269"/>
      <c r="BH202" s="269"/>
      <c r="BI202" s="270">
        <v>45225</v>
      </c>
      <c r="BJ202" s="269"/>
      <c r="BK202" s="269"/>
      <c r="BL202" s="269"/>
      <c r="BM202" s="269"/>
      <c r="BN202" s="269"/>
      <c r="BO202" s="269"/>
      <c r="BP202" s="271">
        <v>0.33333333333333331</v>
      </c>
      <c r="BQ202" s="269"/>
      <c r="BR202" s="269"/>
      <c r="BS202" s="269"/>
      <c r="BT202" s="269"/>
      <c r="CR202" s="101"/>
    </row>
    <row r="203" spans="1:96" ht="15" customHeight="1" x14ac:dyDescent="0.15">
      <c r="A203" s="100"/>
      <c r="B203" s="58"/>
      <c r="C203" s="269" t="s">
        <v>304</v>
      </c>
      <c r="D203" s="269"/>
      <c r="E203" s="269"/>
      <c r="F203" s="269"/>
      <c r="G203" s="269"/>
      <c r="H203" s="269"/>
      <c r="I203" s="269"/>
      <c r="J203" s="269"/>
      <c r="K203" s="269"/>
      <c r="L203" s="269"/>
      <c r="M203" s="269"/>
      <c r="N203" s="269" t="s">
        <v>354</v>
      </c>
      <c r="O203" s="269"/>
      <c r="P203" s="269"/>
      <c r="Q203" s="269"/>
      <c r="R203" s="269"/>
      <c r="S203" s="269"/>
      <c r="T203" s="269"/>
      <c r="U203" s="269"/>
      <c r="V203" s="269"/>
      <c r="W203" s="269"/>
      <c r="X203" s="275" t="s">
        <v>355</v>
      </c>
      <c r="Y203" s="276"/>
      <c r="Z203" s="276"/>
      <c r="AA203" s="276"/>
      <c r="AB203" s="276"/>
      <c r="AC203" s="277"/>
      <c r="AD203" s="269" t="s">
        <v>302</v>
      </c>
      <c r="AE203" s="269"/>
      <c r="AF203" s="269"/>
      <c r="AG203" s="269"/>
      <c r="AH203" s="269"/>
      <c r="AI203" s="269" t="s">
        <v>358</v>
      </c>
      <c r="AJ203" s="269"/>
      <c r="AK203" s="269"/>
      <c r="AL203" s="269"/>
      <c r="AM203" s="269"/>
      <c r="AN203" s="269"/>
      <c r="AO203" s="269"/>
      <c r="AP203" s="269"/>
      <c r="AQ203" s="269"/>
      <c r="AR203" s="269"/>
      <c r="AS203" s="269" t="s">
        <v>301</v>
      </c>
      <c r="AT203" s="269"/>
      <c r="AU203" s="269"/>
      <c r="AV203" s="269"/>
      <c r="AW203" s="269"/>
      <c r="AX203" s="269"/>
      <c r="AY203" s="269"/>
      <c r="AZ203" s="269"/>
      <c r="BA203" s="269"/>
      <c r="BB203" s="269"/>
      <c r="BC203" s="269" t="s">
        <v>303</v>
      </c>
      <c r="BD203" s="269"/>
      <c r="BE203" s="269"/>
      <c r="BF203" s="269"/>
      <c r="BG203" s="269"/>
      <c r="BH203" s="269"/>
      <c r="BI203" s="270">
        <v>45221</v>
      </c>
      <c r="BJ203" s="269"/>
      <c r="BK203" s="269"/>
      <c r="BL203" s="269"/>
      <c r="BM203" s="269"/>
      <c r="BN203" s="269"/>
      <c r="BO203" s="269"/>
      <c r="BP203" s="271">
        <v>0.66666666666666663</v>
      </c>
      <c r="BQ203" s="269"/>
      <c r="BR203" s="269"/>
      <c r="BS203" s="269"/>
      <c r="BT203" s="269"/>
      <c r="CR203" s="101"/>
    </row>
    <row r="204" spans="1:96" ht="15" customHeight="1" x14ac:dyDescent="0.15">
      <c r="A204" s="100"/>
      <c r="B204" s="58"/>
      <c r="C204" s="269" t="s">
        <v>304</v>
      </c>
      <c r="D204" s="269"/>
      <c r="E204" s="269"/>
      <c r="F204" s="269"/>
      <c r="G204" s="269"/>
      <c r="H204" s="269"/>
      <c r="I204" s="269"/>
      <c r="J204" s="269"/>
      <c r="K204" s="269"/>
      <c r="L204" s="269"/>
      <c r="M204" s="269"/>
      <c r="N204" s="269" t="s">
        <v>354</v>
      </c>
      <c r="O204" s="269"/>
      <c r="P204" s="269"/>
      <c r="Q204" s="269"/>
      <c r="R204" s="269"/>
      <c r="S204" s="269"/>
      <c r="T204" s="269"/>
      <c r="U204" s="269"/>
      <c r="V204" s="269"/>
      <c r="W204" s="269"/>
      <c r="X204" s="275" t="s">
        <v>355</v>
      </c>
      <c r="Y204" s="276"/>
      <c r="Z204" s="276"/>
      <c r="AA204" s="276"/>
      <c r="AB204" s="276"/>
      <c r="AC204" s="277"/>
      <c r="AD204" s="269">
        <v>13111552</v>
      </c>
      <c r="AE204" s="269"/>
      <c r="AF204" s="269"/>
      <c r="AG204" s="269"/>
      <c r="AH204" s="269"/>
      <c r="AI204" s="269" t="s">
        <v>359</v>
      </c>
      <c r="AJ204" s="269"/>
      <c r="AK204" s="269"/>
      <c r="AL204" s="269"/>
      <c r="AM204" s="269"/>
      <c r="AN204" s="269"/>
      <c r="AO204" s="269"/>
      <c r="AP204" s="269"/>
      <c r="AQ204" s="269"/>
      <c r="AR204" s="269"/>
      <c r="AS204" s="269" t="s">
        <v>301</v>
      </c>
      <c r="AT204" s="269"/>
      <c r="AU204" s="269"/>
      <c r="AV204" s="269"/>
      <c r="AW204" s="269"/>
      <c r="AX204" s="269"/>
      <c r="AY204" s="269"/>
      <c r="AZ204" s="269"/>
      <c r="BA204" s="269"/>
      <c r="BB204" s="269"/>
      <c r="BC204" s="269" t="s">
        <v>303</v>
      </c>
      <c r="BD204" s="269"/>
      <c r="BE204" s="269"/>
      <c r="BF204" s="269"/>
      <c r="BG204" s="269"/>
      <c r="BH204" s="269"/>
      <c r="BI204" s="270">
        <v>45221</v>
      </c>
      <c r="BJ204" s="269"/>
      <c r="BK204" s="269"/>
      <c r="BL204" s="269"/>
      <c r="BM204" s="269"/>
      <c r="BN204" s="269"/>
      <c r="BO204" s="269"/>
      <c r="BP204" s="271">
        <v>0.66666666666666663</v>
      </c>
      <c r="BQ204" s="269"/>
      <c r="BR204" s="269"/>
      <c r="BS204" s="269"/>
      <c r="BT204" s="269"/>
      <c r="CR204" s="101"/>
    </row>
    <row r="205" spans="1:96" ht="15" customHeight="1" x14ac:dyDescent="0.15">
      <c r="A205" s="100"/>
      <c r="B205" s="58"/>
      <c r="C205" s="269" t="s">
        <v>304</v>
      </c>
      <c r="D205" s="269"/>
      <c r="E205" s="269"/>
      <c r="F205" s="269"/>
      <c r="G205" s="269"/>
      <c r="H205" s="269"/>
      <c r="I205" s="269"/>
      <c r="J205" s="269"/>
      <c r="K205" s="269"/>
      <c r="L205" s="269"/>
      <c r="M205" s="269"/>
      <c r="N205" s="269" t="s">
        <v>354</v>
      </c>
      <c r="O205" s="269"/>
      <c r="P205" s="269"/>
      <c r="Q205" s="269"/>
      <c r="R205" s="269"/>
      <c r="S205" s="269"/>
      <c r="T205" s="269"/>
      <c r="U205" s="269"/>
      <c r="V205" s="269"/>
      <c r="W205" s="269"/>
      <c r="X205" s="275" t="s">
        <v>355</v>
      </c>
      <c r="Y205" s="276"/>
      <c r="Z205" s="276"/>
      <c r="AA205" s="276"/>
      <c r="AB205" s="276"/>
      <c r="AC205" s="277"/>
      <c r="AD205" s="269">
        <v>13111553</v>
      </c>
      <c r="AE205" s="269"/>
      <c r="AF205" s="269"/>
      <c r="AG205" s="269"/>
      <c r="AH205" s="269"/>
      <c r="AI205" s="269" t="s">
        <v>360</v>
      </c>
      <c r="AJ205" s="269"/>
      <c r="AK205" s="269"/>
      <c r="AL205" s="269"/>
      <c r="AM205" s="269"/>
      <c r="AN205" s="269"/>
      <c r="AO205" s="269"/>
      <c r="AP205" s="269"/>
      <c r="AQ205" s="269"/>
      <c r="AR205" s="269"/>
      <c r="AS205" s="269" t="s">
        <v>301</v>
      </c>
      <c r="AT205" s="269"/>
      <c r="AU205" s="269"/>
      <c r="AV205" s="269"/>
      <c r="AW205" s="269"/>
      <c r="AX205" s="269"/>
      <c r="AY205" s="269"/>
      <c r="AZ205" s="269"/>
      <c r="BA205" s="269"/>
      <c r="BB205" s="269"/>
      <c r="BC205" s="269" t="s">
        <v>303</v>
      </c>
      <c r="BD205" s="269"/>
      <c r="BE205" s="269"/>
      <c r="BF205" s="269"/>
      <c r="BG205" s="269"/>
      <c r="BH205" s="269"/>
      <c r="BI205" s="270">
        <v>45221</v>
      </c>
      <c r="BJ205" s="269"/>
      <c r="BK205" s="269"/>
      <c r="BL205" s="269"/>
      <c r="BM205" s="269"/>
      <c r="BN205" s="269"/>
      <c r="BO205" s="269"/>
      <c r="BP205" s="271">
        <v>0.66666666666666663</v>
      </c>
      <c r="BQ205" s="269"/>
      <c r="BR205" s="269"/>
      <c r="BS205" s="269"/>
      <c r="BT205" s="269"/>
      <c r="CR205" s="101"/>
    </row>
    <row r="206" spans="1:96" ht="15" customHeight="1" x14ac:dyDescent="0.15">
      <c r="A206" s="100"/>
      <c r="B206" s="58"/>
      <c r="C206" s="272" t="s">
        <v>305</v>
      </c>
      <c r="D206" s="273"/>
      <c r="E206" s="273"/>
      <c r="F206" s="273"/>
      <c r="G206" s="273"/>
      <c r="H206" s="273"/>
      <c r="I206" s="273"/>
      <c r="J206" s="273"/>
      <c r="K206" s="273"/>
      <c r="L206" s="273"/>
      <c r="M206" s="274"/>
      <c r="N206" s="269" t="s">
        <v>354</v>
      </c>
      <c r="O206" s="269"/>
      <c r="P206" s="269"/>
      <c r="Q206" s="269"/>
      <c r="R206" s="269"/>
      <c r="S206" s="269"/>
      <c r="T206" s="269"/>
      <c r="U206" s="269"/>
      <c r="V206" s="269"/>
      <c r="W206" s="269"/>
      <c r="X206" s="275" t="s">
        <v>356</v>
      </c>
      <c r="Y206" s="276"/>
      <c r="Z206" s="276"/>
      <c r="AA206" s="276"/>
      <c r="AB206" s="276"/>
      <c r="AC206" s="277"/>
      <c r="AD206" s="269">
        <v>13111483</v>
      </c>
      <c r="AE206" s="269"/>
      <c r="AF206" s="269"/>
      <c r="AG206" s="269"/>
      <c r="AH206" s="269"/>
      <c r="AI206" s="269" t="s">
        <v>361</v>
      </c>
      <c r="AJ206" s="269"/>
      <c r="AK206" s="269"/>
      <c r="AL206" s="269"/>
      <c r="AM206" s="269"/>
      <c r="AN206" s="269"/>
      <c r="AO206" s="269"/>
      <c r="AP206" s="269"/>
      <c r="AQ206" s="269"/>
      <c r="AR206" s="269"/>
      <c r="AS206" s="269" t="s">
        <v>306</v>
      </c>
      <c r="AT206" s="269"/>
      <c r="AU206" s="269"/>
      <c r="AV206" s="269"/>
      <c r="AW206" s="269"/>
      <c r="AX206" s="269"/>
      <c r="AY206" s="269"/>
      <c r="AZ206" s="269"/>
      <c r="BA206" s="269"/>
      <c r="BB206" s="269"/>
      <c r="BC206" s="269" t="s">
        <v>307</v>
      </c>
      <c r="BD206" s="269"/>
      <c r="BE206" s="269"/>
      <c r="BF206" s="269"/>
      <c r="BG206" s="269"/>
      <c r="BH206" s="269"/>
      <c r="BI206" s="270">
        <v>45215</v>
      </c>
      <c r="BJ206" s="269"/>
      <c r="BK206" s="269"/>
      <c r="BL206" s="269"/>
      <c r="BM206" s="269"/>
      <c r="BN206" s="269"/>
      <c r="BO206" s="269"/>
      <c r="BP206" s="271">
        <v>0.33333333333333331</v>
      </c>
      <c r="BQ206" s="269"/>
      <c r="BR206" s="269"/>
      <c r="BS206" s="269"/>
      <c r="BT206" s="269"/>
      <c r="CR206" s="101"/>
    </row>
    <row r="207" spans="1:96" ht="15" customHeight="1" x14ac:dyDescent="0.15">
      <c r="A207" s="100"/>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CR207" s="101"/>
    </row>
    <row r="208" spans="1:96" ht="15" customHeight="1" x14ac:dyDescent="0.15">
      <c r="A208" s="100"/>
      <c r="B208" s="58"/>
      <c r="C208" s="58" t="s">
        <v>308</v>
      </c>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CR208" s="101"/>
    </row>
    <row r="209" spans="1:96" ht="15" customHeight="1" x14ac:dyDescent="0.15">
      <c r="A209" s="100"/>
      <c r="CR209" s="101"/>
    </row>
    <row r="210" spans="1:96" ht="15" customHeight="1" x14ac:dyDescent="0.15">
      <c r="A210" s="100"/>
      <c r="CR210" s="101"/>
    </row>
    <row r="211" spans="1:96" ht="15" customHeight="1" x14ac:dyDescent="0.15">
      <c r="A211" s="100"/>
      <c r="CR211" s="101"/>
    </row>
    <row r="212" spans="1:96" ht="15" customHeight="1" x14ac:dyDescent="0.15">
      <c r="A212" s="100"/>
      <c r="CR212" s="101"/>
    </row>
    <row r="213" spans="1:96" ht="15" customHeight="1" x14ac:dyDescent="0.15">
      <c r="A213" s="100"/>
      <c r="CR213" s="101"/>
    </row>
    <row r="214" spans="1:96" ht="15" customHeight="1" x14ac:dyDescent="0.15">
      <c r="A214" s="100"/>
      <c r="CR214" s="101"/>
    </row>
    <row r="215" spans="1:96" ht="15" customHeight="1" x14ac:dyDescent="0.15">
      <c r="A215" s="100"/>
      <c r="CR215" s="101"/>
    </row>
    <row r="216" spans="1:96" ht="15" customHeight="1" x14ac:dyDescent="0.15">
      <c r="A216" s="100"/>
      <c r="CR216" s="101"/>
    </row>
    <row r="217" spans="1:96" ht="15" customHeight="1" x14ac:dyDescent="0.15">
      <c r="A217" s="100"/>
      <c r="CR217" s="101"/>
    </row>
    <row r="218" spans="1:96" ht="15" customHeight="1" x14ac:dyDescent="0.15">
      <c r="A218" s="100"/>
      <c r="CR218" s="101"/>
    </row>
    <row r="219" spans="1:96" ht="15" customHeight="1" thickBot="1" x14ac:dyDescent="0.2">
      <c r="A219" s="102"/>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c r="CA219" s="103"/>
      <c r="CB219" s="103"/>
      <c r="CC219" s="103"/>
      <c r="CD219" s="103"/>
      <c r="CE219" s="103"/>
      <c r="CF219" s="103"/>
      <c r="CG219" s="103"/>
      <c r="CH219" s="103"/>
      <c r="CI219" s="103"/>
      <c r="CJ219" s="103"/>
      <c r="CK219" s="103"/>
      <c r="CL219" s="103"/>
      <c r="CM219" s="103"/>
      <c r="CN219" s="103"/>
      <c r="CO219" s="103"/>
      <c r="CP219" s="103"/>
      <c r="CQ219" s="103"/>
      <c r="CR219" s="104"/>
    </row>
    <row r="220" spans="1:96" ht="15" customHeight="1" x14ac:dyDescent="0.15">
      <c r="A220" s="280" t="s">
        <v>66</v>
      </c>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81"/>
      <c r="BC220" s="281"/>
      <c r="BD220" s="281"/>
      <c r="BE220" s="281"/>
      <c r="BF220" s="281"/>
      <c r="BG220" s="281"/>
      <c r="BH220" s="281"/>
      <c r="BI220" s="281"/>
      <c r="BJ220" s="281"/>
      <c r="BK220" s="281"/>
      <c r="BL220" s="281"/>
      <c r="BM220" s="281"/>
      <c r="BN220" s="281"/>
      <c r="BO220" s="281"/>
      <c r="BP220" s="281"/>
      <c r="BQ220" s="281"/>
      <c r="BR220" s="281"/>
      <c r="BS220" s="281"/>
      <c r="BT220" s="281"/>
      <c r="BU220" s="281"/>
      <c r="BV220" s="281"/>
      <c r="BW220" s="281"/>
      <c r="BX220" s="281"/>
      <c r="BY220" s="281"/>
      <c r="BZ220" s="281"/>
      <c r="CA220" s="281"/>
      <c r="CB220" s="281"/>
      <c r="CC220" s="281"/>
      <c r="CD220" s="281"/>
      <c r="CE220" s="281"/>
      <c r="CF220" s="281"/>
      <c r="CG220" s="281"/>
      <c r="CH220" s="281"/>
      <c r="CI220" s="281"/>
      <c r="CJ220" s="281"/>
      <c r="CK220" s="281"/>
      <c r="CL220" s="281"/>
      <c r="CM220" s="281"/>
      <c r="CN220" s="281"/>
      <c r="CO220" s="281"/>
      <c r="CP220" s="281"/>
      <c r="CQ220" s="281"/>
      <c r="CR220" s="282"/>
    </row>
    <row r="221" spans="1:96" ht="15" customHeight="1" x14ac:dyDescent="0.15">
      <c r="A221" s="100"/>
      <c r="CR221" s="101"/>
    </row>
    <row r="222" spans="1:96" ht="15" customHeight="1" x14ac:dyDescent="0.15">
      <c r="A222" s="100"/>
      <c r="B222" s="17" t="s">
        <v>451</v>
      </c>
      <c r="CR222" s="101"/>
    </row>
    <row r="223" spans="1:96" ht="15" customHeight="1" x14ac:dyDescent="0.15">
      <c r="A223" s="100"/>
      <c r="C223" s="17" t="s">
        <v>452</v>
      </c>
      <c r="CR223" s="101"/>
    </row>
    <row r="224" spans="1:96" ht="15" customHeight="1" x14ac:dyDescent="0.15">
      <c r="A224" s="100"/>
      <c r="C224" s="17" t="s">
        <v>453</v>
      </c>
      <c r="CR224" s="101"/>
    </row>
    <row r="225" spans="1:96" ht="15" customHeight="1" x14ac:dyDescent="0.15">
      <c r="A225" s="100"/>
      <c r="C225" s="17" t="s">
        <v>454</v>
      </c>
      <c r="CR225" s="101"/>
    </row>
    <row r="226" spans="1:96" ht="15" customHeight="1" x14ac:dyDescent="0.15">
      <c r="A226" s="100"/>
      <c r="BA226" s="17" t="s">
        <v>455</v>
      </c>
      <c r="CR226" s="101"/>
    </row>
    <row r="227" spans="1:96" ht="15" customHeight="1" x14ac:dyDescent="0.15">
      <c r="A227" s="100"/>
      <c r="D227" s="17" t="s">
        <v>456</v>
      </c>
      <c r="CR227" s="101"/>
    </row>
    <row r="228" spans="1:96" ht="15" customHeight="1" x14ac:dyDescent="0.15">
      <c r="A228" s="100"/>
      <c r="CR228" s="101"/>
    </row>
    <row r="229" spans="1:96" ht="15" customHeight="1" x14ac:dyDescent="0.15">
      <c r="A229" s="100"/>
      <c r="CR229" s="101"/>
    </row>
    <row r="230" spans="1:96" ht="15" customHeight="1" x14ac:dyDescent="0.15">
      <c r="A230" s="100"/>
      <c r="CR230" s="101"/>
    </row>
    <row r="231" spans="1:96" ht="15" customHeight="1" x14ac:dyDescent="0.15">
      <c r="A231" s="100"/>
      <c r="CR231" s="101"/>
    </row>
    <row r="232" spans="1:96" ht="15" customHeight="1" x14ac:dyDescent="0.15">
      <c r="A232" s="100"/>
      <c r="CR232" s="101"/>
    </row>
    <row r="233" spans="1:96" ht="15" customHeight="1" x14ac:dyDescent="0.15">
      <c r="A233" s="100"/>
      <c r="CR233" s="101"/>
    </row>
    <row r="234" spans="1:96" ht="15" customHeight="1" x14ac:dyDescent="0.15">
      <c r="A234" s="100"/>
      <c r="CR234" s="101"/>
    </row>
    <row r="235" spans="1:96" ht="15" customHeight="1" x14ac:dyDescent="0.15">
      <c r="A235" s="100"/>
      <c r="CR235" s="101"/>
    </row>
    <row r="236" spans="1:96" ht="15" customHeight="1" x14ac:dyDescent="0.15">
      <c r="A236" s="100"/>
      <c r="CR236" s="101"/>
    </row>
    <row r="237" spans="1:96" ht="15" customHeight="1" x14ac:dyDescent="0.15">
      <c r="A237" s="100"/>
      <c r="CR237" s="101"/>
    </row>
    <row r="238" spans="1:96" ht="15" customHeight="1" x14ac:dyDescent="0.15">
      <c r="A238" s="100"/>
      <c r="CR238" s="101"/>
    </row>
    <row r="239" spans="1:96" ht="15" customHeight="1" x14ac:dyDescent="0.15">
      <c r="A239" s="100"/>
      <c r="CR239" s="101"/>
    </row>
    <row r="240" spans="1:96" ht="15" customHeight="1" x14ac:dyDescent="0.15">
      <c r="A240" s="100"/>
      <c r="CR240" s="101"/>
    </row>
    <row r="241" spans="1:96" ht="15" customHeight="1" x14ac:dyDescent="0.15">
      <c r="A241" s="100"/>
      <c r="CR241" s="101"/>
    </row>
    <row r="242" spans="1:96" ht="15" customHeight="1" x14ac:dyDescent="0.15">
      <c r="A242" s="100"/>
      <c r="CR242" s="101"/>
    </row>
    <row r="243" spans="1:96" ht="15" customHeight="1" x14ac:dyDescent="0.15">
      <c r="A243" s="100"/>
      <c r="CR243" s="101"/>
    </row>
    <row r="244" spans="1:96" ht="15" customHeight="1" x14ac:dyDescent="0.15">
      <c r="A244" s="100"/>
      <c r="CR244" s="101"/>
    </row>
    <row r="245" spans="1:96" ht="15" customHeight="1" x14ac:dyDescent="0.15">
      <c r="A245" s="100"/>
      <c r="CR245" s="101"/>
    </row>
    <row r="246" spans="1:96" ht="15" customHeight="1" x14ac:dyDescent="0.15">
      <c r="A246" s="100"/>
      <c r="CR246" s="101"/>
    </row>
    <row r="247" spans="1:96" ht="15" customHeight="1" x14ac:dyDescent="0.15">
      <c r="A247" s="100"/>
      <c r="CR247" s="101"/>
    </row>
    <row r="248" spans="1:96" ht="15" customHeight="1" x14ac:dyDescent="0.15">
      <c r="A248" s="100"/>
      <c r="CR248" s="101"/>
    </row>
    <row r="249" spans="1:96" ht="15" customHeight="1" x14ac:dyDescent="0.15">
      <c r="A249" s="100"/>
      <c r="CR249" s="101"/>
    </row>
    <row r="250" spans="1:96" ht="15" customHeight="1" x14ac:dyDescent="0.15">
      <c r="A250" s="100"/>
      <c r="CR250" s="101"/>
    </row>
    <row r="251" spans="1:96" ht="15" customHeight="1" x14ac:dyDescent="0.15">
      <c r="A251" s="100"/>
      <c r="CR251" s="101"/>
    </row>
    <row r="252" spans="1:96" ht="15" customHeight="1" x14ac:dyDescent="0.15">
      <c r="A252" s="100"/>
      <c r="CR252" s="101"/>
    </row>
    <row r="253" spans="1:96" ht="15" customHeight="1" x14ac:dyDescent="0.15">
      <c r="A253" s="100"/>
      <c r="CR253" s="101"/>
    </row>
    <row r="254" spans="1:96" ht="15" customHeight="1" x14ac:dyDescent="0.15">
      <c r="A254" s="100"/>
      <c r="CR254" s="101"/>
    </row>
    <row r="255" spans="1:96" ht="15" customHeight="1" x14ac:dyDescent="0.15">
      <c r="A255" s="100"/>
      <c r="CR255" s="101"/>
    </row>
    <row r="256" spans="1:96" ht="15" customHeight="1" x14ac:dyDescent="0.15">
      <c r="A256" s="100"/>
      <c r="CR256" s="101"/>
    </row>
    <row r="257" spans="1:96" ht="15" customHeight="1" x14ac:dyDescent="0.15">
      <c r="A257" s="100"/>
      <c r="CR257" s="101"/>
    </row>
    <row r="258" spans="1:96" ht="15" customHeight="1" x14ac:dyDescent="0.15">
      <c r="A258" s="100"/>
      <c r="CR258" s="101"/>
    </row>
    <row r="259" spans="1:96" ht="15" customHeight="1" x14ac:dyDescent="0.15">
      <c r="A259" s="100"/>
      <c r="CR259" s="101"/>
    </row>
    <row r="260" spans="1:96" ht="15" customHeight="1" x14ac:dyDescent="0.15">
      <c r="A260" s="100"/>
      <c r="CR260" s="101"/>
    </row>
    <row r="261" spans="1:96" ht="15" customHeight="1" x14ac:dyDescent="0.15">
      <c r="A261" s="100"/>
      <c r="CR261" s="101"/>
    </row>
    <row r="262" spans="1:96" ht="15" customHeight="1" thickBot="1" x14ac:dyDescent="0.2">
      <c r="A262" s="102"/>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c r="CA262" s="103"/>
      <c r="CB262" s="103"/>
      <c r="CC262" s="103"/>
      <c r="CD262" s="103"/>
      <c r="CE262" s="103"/>
      <c r="CF262" s="103"/>
      <c r="CG262" s="103"/>
      <c r="CH262" s="103"/>
      <c r="CI262" s="103"/>
      <c r="CJ262" s="103"/>
      <c r="CK262" s="103"/>
      <c r="CL262" s="103"/>
      <c r="CM262" s="103"/>
      <c r="CN262" s="103"/>
      <c r="CO262" s="103"/>
      <c r="CP262" s="103"/>
      <c r="CQ262" s="103"/>
      <c r="CR262" s="104"/>
    </row>
    <row r="263" spans="1:96" ht="15" customHeight="1" x14ac:dyDescent="0.15">
      <c r="A263" s="280" t="s">
        <v>66</v>
      </c>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c r="BA263" s="281"/>
      <c r="BB263" s="281"/>
      <c r="BC263" s="281"/>
      <c r="BD263" s="281"/>
      <c r="BE263" s="281"/>
      <c r="BF263" s="281"/>
      <c r="BG263" s="281"/>
      <c r="BH263" s="281"/>
      <c r="BI263" s="281"/>
      <c r="BJ263" s="281"/>
      <c r="BK263" s="281"/>
      <c r="BL263" s="281"/>
      <c r="BM263" s="281"/>
      <c r="BN263" s="281"/>
      <c r="BO263" s="281"/>
      <c r="BP263" s="281"/>
      <c r="BQ263" s="281"/>
      <c r="BR263" s="281"/>
      <c r="BS263" s="281"/>
      <c r="BT263" s="281"/>
      <c r="BU263" s="281"/>
      <c r="BV263" s="281"/>
      <c r="BW263" s="281"/>
      <c r="BX263" s="281"/>
      <c r="BY263" s="281"/>
      <c r="BZ263" s="281"/>
      <c r="CA263" s="281"/>
      <c r="CB263" s="281"/>
      <c r="CC263" s="281"/>
      <c r="CD263" s="281"/>
      <c r="CE263" s="281"/>
      <c r="CF263" s="281"/>
      <c r="CG263" s="281"/>
      <c r="CH263" s="281"/>
      <c r="CI263" s="281"/>
      <c r="CJ263" s="281"/>
      <c r="CK263" s="281"/>
      <c r="CL263" s="281"/>
      <c r="CM263" s="281"/>
      <c r="CN263" s="281"/>
      <c r="CO263" s="281"/>
      <c r="CP263" s="281"/>
      <c r="CQ263" s="281"/>
      <c r="CR263" s="282"/>
    </row>
    <row r="264" spans="1:96" ht="15" customHeight="1" x14ac:dyDescent="0.15">
      <c r="A264" s="100"/>
      <c r="CR264" s="101"/>
    </row>
    <row r="265" spans="1:96" ht="15" customHeight="1" x14ac:dyDescent="0.15">
      <c r="A265" s="100"/>
      <c r="B265" s="17" t="s">
        <v>466</v>
      </c>
      <c r="CR265" s="101"/>
    </row>
    <row r="266" spans="1:96" ht="15" customHeight="1" x14ac:dyDescent="0.15">
      <c r="A266" s="100"/>
      <c r="CR266" s="101"/>
    </row>
    <row r="267" spans="1:96" ht="15" customHeight="1" x14ac:dyDescent="0.15">
      <c r="A267" s="100"/>
      <c r="C267" s="17" t="s">
        <v>470</v>
      </c>
      <c r="AX267" s="17" t="s">
        <v>472</v>
      </c>
      <c r="CR267" s="101"/>
    </row>
    <row r="268" spans="1:96" ht="15" customHeight="1" x14ac:dyDescent="0.15">
      <c r="A268" s="100"/>
      <c r="D268" s="17" t="s">
        <v>471</v>
      </c>
      <c r="M268" s="17" t="s">
        <v>485</v>
      </c>
      <c r="AY268" s="17" t="s">
        <v>471</v>
      </c>
      <c r="BH268" s="17" t="s">
        <v>486</v>
      </c>
      <c r="CR268" s="101"/>
    </row>
    <row r="269" spans="1:96" ht="15" customHeight="1" x14ac:dyDescent="0.15">
      <c r="A269" s="100"/>
      <c r="AY269" s="17" t="s">
        <v>478</v>
      </c>
      <c r="CR269" s="101"/>
    </row>
    <row r="270" spans="1:96" ht="15" customHeight="1" x14ac:dyDescent="0.15">
      <c r="A270" s="100"/>
      <c r="CR270" s="101"/>
    </row>
    <row r="271" spans="1:96" ht="15" customHeight="1" x14ac:dyDescent="0.15">
      <c r="A271" s="100"/>
      <c r="CR271" s="101"/>
    </row>
    <row r="272" spans="1:96" ht="15" customHeight="1" x14ac:dyDescent="0.15">
      <c r="A272" s="100"/>
      <c r="CR272" s="101"/>
    </row>
    <row r="273" spans="1:96" ht="15" customHeight="1" x14ac:dyDescent="0.15">
      <c r="A273" s="100"/>
      <c r="CR273" s="101"/>
    </row>
    <row r="274" spans="1:96" ht="15" customHeight="1" x14ac:dyDescent="0.15">
      <c r="A274" s="100"/>
      <c r="CR274" s="101"/>
    </row>
    <row r="275" spans="1:96" ht="15" customHeight="1" x14ac:dyDescent="0.15">
      <c r="A275" s="100"/>
      <c r="CR275" s="101"/>
    </row>
    <row r="276" spans="1:96" ht="15" customHeight="1" x14ac:dyDescent="0.15">
      <c r="A276" s="100"/>
      <c r="CR276" s="101"/>
    </row>
    <row r="277" spans="1:96" ht="15" customHeight="1" x14ac:dyDescent="0.15">
      <c r="A277" s="100"/>
      <c r="CR277" s="101"/>
    </row>
    <row r="278" spans="1:96" ht="15" customHeight="1" x14ac:dyDescent="0.15">
      <c r="A278" s="100"/>
      <c r="CR278" s="101"/>
    </row>
    <row r="279" spans="1:96" ht="15" customHeight="1" x14ac:dyDescent="0.15">
      <c r="A279" s="100"/>
      <c r="C279" s="17" t="s">
        <v>477</v>
      </c>
      <c r="Z279" s="367" t="s">
        <v>482</v>
      </c>
      <c r="AA279" s="367"/>
      <c r="AB279" s="367"/>
      <c r="AC279" s="367"/>
      <c r="AD279" s="367"/>
      <c r="AE279" s="367"/>
      <c r="AF279" s="367"/>
      <c r="AG279" s="367"/>
      <c r="AH279" s="367" t="s">
        <v>483</v>
      </c>
      <c r="AI279" s="367"/>
      <c r="AJ279" s="367"/>
      <c r="AK279" s="367"/>
      <c r="AL279" s="367"/>
      <c r="AM279" s="367"/>
      <c r="AN279" s="367"/>
      <c r="AO279" s="367"/>
      <c r="CR279" s="101"/>
    </row>
    <row r="280" spans="1:96" ht="15" customHeight="1" x14ac:dyDescent="0.15">
      <c r="A280" s="100"/>
      <c r="C280" s="363" t="s">
        <v>481</v>
      </c>
      <c r="D280" s="363"/>
      <c r="E280" s="363"/>
      <c r="F280" s="363"/>
      <c r="G280" s="363" t="s">
        <v>475</v>
      </c>
      <c r="H280" s="363"/>
      <c r="I280" s="363"/>
      <c r="J280" s="363"/>
      <c r="K280" s="363" t="s">
        <v>474</v>
      </c>
      <c r="L280" s="363"/>
      <c r="M280" s="363"/>
      <c r="N280" s="363"/>
      <c r="O280" s="363" t="s">
        <v>473</v>
      </c>
      <c r="P280" s="363"/>
      <c r="Q280" s="363"/>
      <c r="R280" s="363"/>
      <c r="S280" s="363" t="s">
        <v>476</v>
      </c>
      <c r="T280" s="363"/>
      <c r="U280" s="363"/>
      <c r="V280" s="363"/>
      <c r="W280" s="363"/>
      <c r="X280" s="363"/>
      <c r="Y280" s="363"/>
      <c r="Z280" s="363" t="s">
        <v>470</v>
      </c>
      <c r="AA280" s="363"/>
      <c r="AB280" s="363"/>
      <c r="AC280" s="363"/>
      <c r="AD280" s="363"/>
      <c r="AE280" s="363"/>
      <c r="AF280" s="363"/>
      <c r="AG280" s="363"/>
      <c r="AH280" s="363" t="s">
        <v>480</v>
      </c>
      <c r="AI280" s="363"/>
      <c r="AJ280" s="363"/>
      <c r="AK280" s="363"/>
      <c r="AL280" s="363"/>
      <c r="AM280" s="363"/>
      <c r="AN280" s="363"/>
      <c r="AO280" s="363"/>
      <c r="AY280" s="17" t="s">
        <v>479</v>
      </c>
      <c r="CR280" s="101"/>
    </row>
    <row r="281" spans="1:96" ht="15" customHeight="1" x14ac:dyDescent="0.15">
      <c r="A281" s="100"/>
      <c r="C281" s="366">
        <v>45448</v>
      </c>
      <c r="D281" s="362"/>
      <c r="E281" s="362"/>
      <c r="F281" s="362"/>
      <c r="G281" s="361">
        <v>0.44791666666666669</v>
      </c>
      <c r="H281" s="362"/>
      <c r="I281" s="362"/>
      <c r="J281" s="362"/>
      <c r="K281" s="361">
        <v>0.51041666666666663</v>
      </c>
      <c r="L281" s="362"/>
      <c r="M281" s="362"/>
      <c r="N281" s="362"/>
      <c r="O281" s="361">
        <f>K281-G281</f>
        <v>6.2499999999999944E-2</v>
      </c>
      <c r="P281" s="362"/>
      <c r="Q281" s="362"/>
      <c r="R281" s="362"/>
      <c r="S281" s="362">
        <v>1.4999999999999987</v>
      </c>
      <c r="T281" s="362"/>
      <c r="U281" s="362"/>
      <c r="V281" s="362"/>
      <c r="W281" s="362"/>
      <c r="X281" s="362"/>
      <c r="Y281" s="362"/>
      <c r="Z281" s="365">
        <f>ROUND(S281,3)</f>
        <v>1.5</v>
      </c>
      <c r="AA281" s="365"/>
      <c r="AB281" s="365"/>
      <c r="AC281" s="365"/>
      <c r="AD281" s="365"/>
      <c r="AE281" s="365"/>
      <c r="AF281" s="365"/>
      <c r="AG281" s="365"/>
      <c r="AH281" s="364">
        <f>ROUNDDOWN(S281,2)</f>
        <v>1.5</v>
      </c>
      <c r="AI281" s="364"/>
      <c r="AJ281" s="364"/>
      <c r="AK281" s="364"/>
      <c r="AL281" s="364"/>
      <c r="AM281" s="364"/>
      <c r="AN281" s="364"/>
      <c r="AO281" s="364"/>
      <c r="CR281" s="101"/>
    </row>
    <row r="282" spans="1:96" ht="15" customHeight="1" x14ac:dyDescent="0.15">
      <c r="A282" s="100"/>
      <c r="C282" s="374">
        <v>45455</v>
      </c>
      <c r="D282" s="369"/>
      <c r="E282" s="369"/>
      <c r="F282" s="369"/>
      <c r="G282" s="368">
        <v>0.44791666666666669</v>
      </c>
      <c r="H282" s="369"/>
      <c r="I282" s="369"/>
      <c r="J282" s="369"/>
      <c r="K282" s="368">
        <v>0.51041666666666663</v>
      </c>
      <c r="L282" s="369"/>
      <c r="M282" s="369"/>
      <c r="N282" s="369"/>
      <c r="O282" s="368">
        <f t="shared" ref="O282:O287" si="0">K282-G282</f>
        <v>6.2499999999999944E-2</v>
      </c>
      <c r="P282" s="369"/>
      <c r="Q282" s="369"/>
      <c r="R282" s="369"/>
      <c r="S282" s="369">
        <v>1.4999999999999987</v>
      </c>
      <c r="T282" s="369"/>
      <c r="U282" s="369"/>
      <c r="V282" s="369"/>
      <c r="W282" s="369"/>
      <c r="X282" s="369"/>
      <c r="Y282" s="369"/>
      <c r="Z282" s="370">
        <f t="shared" ref="Z282:Z285" si="1">ROUND(S282,3)</f>
        <v>1.5</v>
      </c>
      <c r="AA282" s="370"/>
      <c r="AB282" s="370"/>
      <c r="AC282" s="370"/>
      <c r="AD282" s="370"/>
      <c r="AE282" s="370"/>
      <c r="AF282" s="370"/>
      <c r="AG282" s="370"/>
      <c r="AH282" s="371">
        <f t="shared" ref="AH282:AH285" si="2">ROUNDDOWN(S282,2)</f>
        <v>1.5</v>
      </c>
      <c r="AI282" s="371"/>
      <c r="AJ282" s="371"/>
      <c r="AK282" s="371"/>
      <c r="AL282" s="371"/>
      <c r="AM282" s="371"/>
      <c r="AN282" s="371"/>
      <c r="AO282" s="371"/>
      <c r="CR282" s="101"/>
    </row>
    <row r="283" spans="1:96" ht="15" customHeight="1" x14ac:dyDescent="0.15">
      <c r="A283" s="100"/>
      <c r="C283" s="374">
        <v>45462</v>
      </c>
      <c r="D283" s="369"/>
      <c r="E283" s="369"/>
      <c r="F283" s="369"/>
      <c r="G283" s="368">
        <v>0.44791666666666669</v>
      </c>
      <c r="H283" s="369"/>
      <c r="I283" s="369"/>
      <c r="J283" s="369"/>
      <c r="K283" s="368">
        <v>0.51041666666666663</v>
      </c>
      <c r="L283" s="369"/>
      <c r="M283" s="369"/>
      <c r="N283" s="369"/>
      <c r="O283" s="368">
        <f t="shared" si="0"/>
        <v>6.2499999999999944E-2</v>
      </c>
      <c r="P283" s="369"/>
      <c r="Q283" s="369"/>
      <c r="R283" s="369"/>
      <c r="S283" s="369">
        <v>1.4999999999999987</v>
      </c>
      <c r="T283" s="369"/>
      <c r="U283" s="369"/>
      <c r="V283" s="369"/>
      <c r="W283" s="369"/>
      <c r="X283" s="369"/>
      <c r="Y283" s="369"/>
      <c r="Z283" s="370">
        <f t="shared" si="1"/>
        <v>1.5</v>
      </c>
      <c r="AA283" s="370"/>
      <c r="AB283" s="370"/>
      <c r="AC283" s="370"/>
      <c r="AD283" s="370"/>
      <c r="AE283" s="370"/>
      <c r="AF283" s="370"/>
      <c r="AG283" s="370"/>
      <c r="AH283" s="371">
        <f t="shared" si="2"/>
        <v>1.5</v>
      </c>
      <c r="AI283" s="371"/>
      <c r="AJ283" s="371"/>
      <c r="AK283" s="371"/>
      <c r="AL283" s="371"/>
      <c r="AM283" s="371"/>
      <c r="AN283" s="371"/>
      <c r="AO283" s="371"/>
      <c r="CR283" s="101"/>
    </row>
    <row r="284" spans="1:96" ht="15" customHeight="1" x14ac:dyDescent="0.15">
      <c r="A284" s="100"/>
      <c r="C284" s="374">
        <v>45463</v>
      </c>
      <c r="D284" s="369"/>
      <c r="E284" s="369"/>
      <c r="F284" s="369"/>
      <c r="G284" s="368">
        <v>0.88541666666666663</v>
      </c>
      <c r="H284" s="369"/>
      <c r="I284" s="369"/>
      <c r="J284" s="369"/>
      <c r="K284" s="368">
        <v>0.91666666666666663</v>
      </c>
      <c r="L284" s="369"/>
      <c r="M284" s="369"/>
      <c r="N284" s="369"/>
      <c r="O284" s="368">
        <f t="shared" si="0"/>
        <v>3.125E-2</v>
      </c>
      <c r="P284" s="369"/>
      <c r="Q284" s="369"/>
      <c r="R284" s="369"/>
      <c r="S284" s="369">
        <v>0.75</v>
      </c>
      <c r="T284" s="369"/>
      <c r="U284" s="369"/>
      <c r="V284" s="369"/>
      <c r="W284" s="369"/>
      <c r="X284" s="369"/>
      <c r="Y284" s="369"/>
      <c r="Z284" s="370">
        <f t="shared" si="1"/>
        <v>0.75</v>
      </c>
      <c r="AA284" s="370"/>
      <c r="AB284" s="370"/>
      <c r="AC284" s="370"/>
      <c r="AD284" s="370"/>
      <c r="AE284" s="370"/>
      <c r="AF284" s="370"/>
      <c r="AG284" s="370"/>
      <c r="AH284" s="371">
        <f t="shared" si="2"/>
        <v>0.75</v>
      </c>
      <c r="AI284" s="371"/>
      <c r="AJ284" s="371"/>
      <c r="AK284" s="371"/>
      <c r="AL284" s="371"/>
      <c r="AM284" s="371"/>
      <c r="AN284" s="371"/>
      <c r="AO284" s="371"/>
      <c r="CR284" s="101"/>
    </row>
    <row r="285" spans="1:96" ht="15" customHeight="1" x14ac:dyDescent="0.15">
      <c r="A285" s="100"/>
      <c r="C285" s="374">
        <v>45464</v>
      </c>
      <c r="D285" s="369"/>
      <c r="E285" s="369"/>
      <c r="F285" s="369"/>
      <c r="G285" s="368">
        <v>0.76041666666666663</v>
      </c>
      <c r="H285" s="369"/>
      <c r="I285" s="369"/>
      <c r="J285" s="369"/>
      <c r="K285" s="368">
        <v>0.78819444444444442</v>
      </c>
      <c r="L285" s="369"/>
      <c r="M285" s="369"/>
      <c r="N285" s="369"/>
      <c r="O285" s="368">
        <f t="shared" ref="O285" si="3">K285-G285</f>
        <v>2.777777777777779E-2</v>
      </c>
      <c r="P285" s="369"/>
      <c r="Q285" s="369"/>
      <c r="R285" s="369"/>
      <c r="S285" s="369">
        <v>0.66666666666666696</v>
      </c>
      <c r="T285" s="369"/>
      <c r="U285" s="369"/>
      <c r="V285" s="369"/>
      <c r="W285" s="369"/>
      <c r="X285" s="369"/>
      <c r="Y285" s="369"/>
      <c r="Z285" s="370">
        <f t="shared" si="1"/>
        <v>0.66700000000000004</v>
      </c>
      <c r="AA285" s="370"/>
      <c r="AB285" s="370"/>
      <c r="AC285" s="370"/>
      <c r="AD285" s="370"/>
      <c r="AE285" s="370"/>
      <c r="AF285" s="370"/>
      <c r="AG285" s="370"/>
      <c r="AH285" s="371">
        <f t="shared" si="2"/>
        <v>0.66</v>
      </c>
      <c r="AI285" s="371"/>
      <c r="AJ285" s="371"/>
      <c r="AK285" s="371"/>
      <c r="AL285" s="371"/>
      <c r="AM285" s="371"/>
      <c r="AN285" s="371"/>
      <c r="AO285" s="371"/>
      <c r="CR285" s="101"/>
    </row>
    <row r="286" spans="1:96" ht="15" customHeight="1" x14ac:dyDescent="0.15">
      <c r="A286" s="100"/>
      <c r="C286" s="374">
        <v>45466</v>
      </c>
      <c r="D286" s="369"/>
      <c r="E286" s="369"/>
      <c r="F286" s="369"/>
      <c r="G286" s="368">
        <v>0.64583333333333337</v>
      </c>
      <c r="H286" s="369"/>
      <c r="I286" s="369"/>
      <c r="J286" s="369"/>
      <c r="K286" s="368">
        <v>0.6875</v>
      </c>
      <c r="L286" s="369"/>
      <c r="M286" s="369"/>
      <c r="N286" s="369"/>
      <c r="O286" s="368">
        <f t="shared" si="0"/>
        <v>4.166666666666663E-2</v>
      </c>
      <c r="P286" s="369"/>
      <c r="Q286" s="369"/>
      <c r="R286" s="369"/>
      <c r="S286" s="369">
        <v>1</v>
      </c>
      <c r="T286" s="369"/>
      <c r="U286" s="369"/>
      <c r="V286" s="369"/>
      <c r="W286" s="369"/>
      <c r="X286" s="369"/>
      <c r="Y286" s="369"/>
      <c r="Z286" s="387"/>
      <c r="AA286" s="388"/>
      <c r="AB286" s="388"/>
      <c r="AC286" s="388"/>
      <c r="AD286" s="388"/>
      <c r="AE286" s="388"/>
      <c r="AF286" s="388"/>
      <c r="AG286" s="389"/>
      <c r="AH286" s="371">
        <f t="shared" ref="AH286:AH287" si="4">ROUNDDOWN(S286,2)</f>
        <v>1</v>
      </c>
      <c r="AI286" s="371"/>
      <c r="AJ286" s="371"/>
      <c r="AK286" s="371"/>
      <c r="AL286" s="371"/>
      <c r="AM286" s="371"/>
      <c r="AN286" s="371"/>
      <c r="AO286" s="371"/>
      <c r="CR286" s="101"/>
    </row>
    <row r="287" spans="1:96" ht="15" customHeight="1" x14ac:dyDescent="0.15">
      <c r="A287" s="100"/>
      <c r="C287" s="374">
        <v>45466</v>
      </c>
      <c r="D287" s="369"/>
      <c r="E287" s="369"/>
      <c r="F287" s="369"/>
      <c r="G287" s="368">
        <v>0.79166666666666663</v>
      </c>
      <c r="H287" s="369"/>
      <c r="I287" s="369"/>
      <c r="J287" s="369"/>
      <c r="K287" s="368">
        <v>0.8125</v>
      </c>
      <c r="L287" s="369"/>
      <c r="M287" s="369"/>
      <c r="N287" s="369"/>
      <c r="O287" s="368">
        <f t="shared" si="0"/>
        <v>2.083333333333337E-2</v>
      </c>
      <c r="P287" s="369"/>
      <c r="Q287" s="369"/>
      <c r="R287" s="369"/>
      <c r="S287" s="369">
        <v>0.5</v>
      </c>
      <c r="T287" s="369"/>
      <c r="U287" s="369"/>
      <c r="V287" s="369"/>
      <c r="W287" s="369"/>
      <c r="X287" s="369"/>
      <c r="Y287" s="369"/>
      <c r="Z287" s="390"/>
      <c r="AA287" s="391"/>
      <c r="AB287" s="391"/>
      <c r="AC287" s="391"/>
      <c r="AD287" s="391"/>
      <c r="AE287" s="391"/>
      <c r="AF287" s="391"/>
      <c r="AG287" s="392"/>
      <c r="AH287" s="371">
        <f t="shared" si="4"/>
        <v>0.5</v>
      </c>
      <c r="AI287" s="371"/>
      <c r="AJ287" s="371"/>
      <c r="AK287" s="371"/>
      <c r="AL287" s="371"/>
      <c r="AM287" s="371"/>
      <c r="AN287" s="371"/>
      <c r="AO287" s="371"/>
      <c r="CR287" s="101"/>
    </row>
    <row r="288" spans="1:96" ht="15" customHeight="1" x14ac:dyDescent="0.15">
      <c r="A288" s="100"/>
      <c r="C288" s="378"/>
      <c r="D288" s="373"/>
      <c r="E288" s="373"/>
      <c r="F288" s="373"/>
      <c r="G288" s="372"/>
      <c r="H288" s="373"/>
      <c r="I288" s="373"/>
      <c r="J288" s="373"/>
      <c r="K288" s="372"/>
      <c r="L288" s="373"/>
      <c r="M288" s="373"/>
      <c r="N288" s="373"/>
      <c r="O288" s="396">
        <f>O286+O287</f>
        <v>6.25E-2</v>
      </c>
      <c r="P288" s="397"/>
      <c r="Q288" s="397"/>
      <c r="R288" s="397"/>
      <c r="S288" s="397">
        <f>O288*24</f>
        <v>1.5</v>
      </c>
      <c r="T288" s="397"/>
      <c r="U288" s="397"/>
      <c r="V288" s="397"/>
      <c r="W288" s="397"/>
      <c r="X288" s="397"/>
      <c r="Y288" s="397"/>
      <c r="Z288" s="398">
        <f>ROUND(S288,3)</f>
        <v>1.5</v>
      </c>
      <c r="AA288" s="398"/>
      <c r="AB288" s="398"/>
      <c r="AC288" s="398"/>
      <c r="AD288" s="398"/>
      <c r="AE288" s="398"/>
      <c r="AF288" s="398"/>
      <c r="AG288" s="398"/>
      <c r="AH288" s="399"/>
      <c r="AI288" s="399"/>
      <c r="AJ288" s="399"/>
      <c r="AK288" s="399"/>
      <c r="AL288" s="399"/>
      <c r="AM288" s="399"/>
      <c r="AN288" s="399"/>
      <c r="AO288" s="399"/>
      <c r="CR288" s="101"/>
    </row>
    <row r="289" spans="1:96" ht="15" customHeight="1" x14ac:dyDescent="0.15">
      <c r="A289" s="100"/>
      <c r="C289" s="374">
        <v>45469</v>
      </c>
      <c r="D289" s="369"/>
      <c r="E289" s="369"/>
      <c r="F289" s="369"/>
      <c r="G289" s="368">
        <v>0.44791666666666669</v>
      </c>
      <c r="H289" s="369"/>
      <c r="I289" s="369"/>
      <c r="J289" s="369"/>
      <c r="K289" s="368">
        <v>0.51041666666666663</v>
      </c>
      <c r="L289" s="369"/>
      <c r="M289" s="369"/>
      <c r="N289" s="369"/>
      <c r="O289" s="368">
        <f>K289-G289</f>
        <v>6.2499999999999944E-2</v>
      </c>
      <c r="P289" s="369"/>
      <c r="Q289" s="369"/>
      <c r="R289" s="369"/>
      <c r="S289" s="369">
        <v>1.4999999999999987</v>
      </c>
      <c r="T289" s="369"/>
      <c r="U289" s="369"/>
      <c r="V289" s="369"/>
      <c r="W289" s="369"/>
      <c r="X289" s="369"/>
      <c r="Y289" s="369"/>
      <c r="Z289" s="370">
        <f>ROUND(S289,3)</f>
        <v>1.5</v>
      </c>
      <c r="AA289" s="370"/>
      <c r="AB289" s="370"/>
      <c r="AC289" s="370"/>
      <c r="AD289" s="370"/>
      <c r="AE289" s="370"/>
      <c r="AF289" s="370"/>
      <c r="AG289" s="370"/>
      <c r="AH289" s="371">
        <f>ROUNDDOWN(S289,2)</f>
        <v>1.5</v>
      </c>
      <c r="AI289" s="371"/>
      <c r="AJ289" s="371"/>
      <c r="AK289" s="371"/>
      <c r="AL289" s="371"/>
      <c r="AM289" s="371"/>
      <c r="AN289" s="371"/>
      <c r="AO289" s="371"/>
      <c r="CR289" s="101"/>
    </row>
    <row r="290" spans="1:96" ht="15" customHeight="1" x14ac:dyDescent="0.15">
      <c r="A290" s="100"/>
      <c r="C290" s="374">
        <v>45471</v>
      </c>
      <c r="D290" s="369"/>
      <c r="E290" s="369"/>
      <c r="F290" s="369"/>
      <c r="G290" s="368">
        <v>0.81944444444444442</v>
      </c>
      <c r="H290" s="369"/>
      <c r="I290" s="369"/>
      <c r="J290" s="369"/>
      <c r="K290" s="368">
        <v>0.84722222222222221</v>
      </c>
      <c r="L290" s="369"/>
      <c r="M290" s="369"/>
      <c r="N290" s="369"/>
      <c r="O290" s="368">
        <f>K290-G290</f>
        <v>2.777777777777779E-2</v>
      </c>
      <c r="P290" s="369"/>
      <c r="Q290" s="369"/>
      <c r="R290" s="369"/>
      <c r="S290" s="369">
        <v>0.66666666666666696</v>
      </c>
      <c r="T290" s="369"/>
      <c r="U290" s="369"/>
      <c r="V290" s="369"/>
      <c r="W290" s="369"/>
      <c r="X290" s="369"/>
      <c r="Y290" s="369"/>
      <c r="Z290" s="370">
        <f>ROUND(S290,3)</f>
        <v>0.66700000000000004</v>
      </c>
      <c r="AA290" s="370"/>
      <c r="AB290" s="370"/>
      <c r="AC290" s="370"/>
      <c r="AD290" s="370"/>
      <c r="AE290" s="370"/>
      <c r="AF290" s="370"/>
      <c r="AG290" s="370"/>
      <c r="AH290" s="371">
        <f>ROUNDDOWN(S290,2)</f>
        <v>0.66</v>
      </c>
      <c r="AI290" s="371"/>
      <c r="AJ290" s="371"/>
      <c r="AK290" s="371"/>
      <c r="AL290" s="371"/>
      <c r="AM290" s="371"/>
      <c r="AN290" s="371"/>
      <c r="AO290" s="371"/>
      <c r="CR290" s="101"/>
    </row>
    <row r="291" spans="1:96" ht="15" customHeight="1" x14ac:dyDescent="0.15">
      <c r="A291" s="100"/>
      <c r="C291" s="374">
        <v>45472</v>
      </c>
      <c r="D291" s="369"/>
      <c r="E291" s="369"/>
      <c r="F291" s="369"/>
      <c r="G291" s="368">
        <v>0.47916666666666669</v>
      </c>
      <c r="H291" s="369"/>
      <c r="I291" s="369"/>
      <c r="J291" s="369"/>
      <c r="K291" s="368">
        <v>0.53125</v>
      </c>
      <c r="L291" s="369"/>
      <c r="M291" s="369"/>
      <c r="N291" s="369"/>
      <c r="O291" s="368">
        <f>K291-G291</f>
        <v>5.2083333333333315E-2</v>
      </c>
      <c r="P291" s="369"/>
      <c r="Q291" s="369"/>
      <c r="R291" s="369"/>
      <c r="S291" s="369">
        <v>1.2499999999999996</v>
      </c>
      <c r="T291" s="369"/>
      <c r="U291" s="369"/>
      <c r="V291" s="369"/>
      <c r="W291" s="369"/>
      <c r="X291" s="369"/>
      <c r="Y291" s="369"/>
      <c r="Z291" s="387"/>
      <c r="AA291" s="388"/>
      <c r="AB291" s="388"/>
      <c r="AC291" s="388"/>
      <c r="AD291" s="388"/>
      <c r="AE291" s="388"/>
      <c r="AF291" s="388"/>
      <c r="AG291" s="389"/>
      <c r="AH291" s="371">
        <f>ROUNDDOWN(S291,2)</f>
        <v>1.25</v>
      </c>
      <c r="AI291" s="371"/>
      <c r="AJ291" s="371"/>
      <c r="AK291" s="371"/>
      <c r="AL291" s="371"/>
      <c r="AM291" s="371"/>
      <c r="AN291" s="371"/>
      <c r="AO291" s="371"/>
      <c r="CR291" s="101"/>
    </row>
    <row r="292" spans="1:96" ht="15" customHeight="1" x14ac:dyDescent="0.15">
      <c r="A292" s="100"/>
      <c r="C292" s="374">
        <v>45472</v>
      </c>
      <c r="D292" s="369"/>
      <c r="E292" s="369"/>
      <c r="F292" s="369"/>
      <c r="G292" s="368">
        <v>0.59375</v>
      </c>
      <c r="H292" s="369"/>
      <c r="I292" s="369"/>
      <c r="J292" s="369"/>
      <c r="K292" s="368">
        <v>0.62847222222222221</v>
      </c>
      <c r="L292" s="369"/>
      <c r="M292" s="369"/>
      <c r="N292" s="369"/>
      <c r="O292" s="368">
        <f>K292-G292</f>
        <v>3.472222222222221E-2</v>
      </c>
      <c r="P292" s="369"/>
      <c r="Q292" s="369"/>
      <c r="R292" s="369"/>
      <c r="S292" s="369">
        <v>0.83333333333333304</v>
      </c>
      <c r="T292" s="369"/>
      <c r="U292" s="369"/>
      <c r="V292" s="369"/>
      <c r="W292" s="369"/>
      <c r="X292" s="369"/>
      <c r="Y292" s="369"/>
      <c r="Z292" s="393"/>
      <c r="AA292" s="394"/>
      <c r="AB292" s="394"/>
      <c r="AC292" s="394"/>
      <c r="AD292" s="394"/>
      <c r="AE292" s="394"/>
      <c r="AF292" s="394"/>
      <c r="AG292" s="395"/>
      <c r="AH292" s="371">
        <f>ROUNDDOWN(S292,2)</f>
        <v>0.83</v>
      </c>
      <c r="AI292" s="371"/>
      <c r="AJ292" s="371"/>
      <c r="AK292" s="371"/>
      <c r="AL292" s="371"/>
      <c r="AM292" s="371"/>
      <c r="AN292" s="371"/>
      <c r="AO292" s="371"/>
      <c r="CR292" s="101"/>
    </row>
    <row r="293" spans="1:96" ht="15" customHeight="1" x14ac:dyDescent="0.15">
      <c r="A293" s="100"/>
      <c r="C293" s="374">
        <v>45472</v>
      </c>
      <c r="D293" s="369"/>
      <c r="E293" s="369"/>
      <c r="F293" s="369"/>
      <c r="G293" s="368">
        <v>0.76388888888888884</v>
      </c>
      <c r="H293" s="369"/>
      <c r="I293" s="369"/>
      <c r="J293" s="369"/>
      <c r="K293" s="368">
        <v>0.79861111111111116</v>
      </c>
      <c r="L293" s="369"/>
      <c r="M293" s="369"/>
      <c r="N293" s="369"/>
      <c r="O293" s="368">
        <f>K293-G293</f>
        <v>3.4722222222222321E-2</v>
      </c>
      <c r="P293" s="369"/>
      <c r="Q293" s="369"/>
      <c r="R293" s="369"/>
      <c r="S293" s="369">
        <v>0.8333333333333357</v>
      </c>
      <c r="T293" s="369"/>
      <c r="U293" s="369"/>
      <c r="V293" s="369"/>
      <c r="W293" s="369"/>
      <c r="X293" s="369"/>
      <c r="Y293" s="369"/>
      <c r="Z293" s="390"/>
      <c r="AA293" s="391"/>
      <c r="AB293" s="391"/>
      <c r="AC293" s="391"/>
      <c r="AD293" s="391"/>
      <c r="AE293" s="391"/>
      <c r="AF293" s="391"/>
      <c r="AG293" s="392"/>
      <c r="AH293" s="371">
        <f>ROUNDDOWN(S293,2)</f>
        <v>0.83</v>
      </c>
      <c r="AI293" s="371"/>
      <c r="AJ293" s="371"/>
      <c r="AK293" s="371"/>
      <c r="AL293" s="371"/>
      <c r="AM293" s="371"/>
      <c r="AN293" s="371"/>
      <c r="AO293" s="371"/>
      <c r="CR293" s="101"/>
    </row>
    <row r="294" spans="1:96" ht="15" customHeight="1" x14ac:dyDescent="0.15">
      <c r="A294" s="100"/>
      <c r="C294" s="378"/>
      <c r="D294" s="373"/>
      <c r="E294" s="373"/>
      <c r="F294" s="373"/>
      <c r="G294" s="372"/>
      <c r="H294" s="373"/>
      <c r="I294" s="373"/>
      <c r="J294" s="373"/>
      <c r="K294" s="372"/>
      <c r="L294" s="373"/>
      <c r="M294" s="373"/>
      <c r="N294" s="373"/>
      <c r="O294" s="396">
        <f>O291+O292+O293</f>
        <v>0.12152777777777785</v>
      </c>
      <c r="P294" s="397"/>
      <c r="Q294" s="397"/>
      <c r="R294" s="397"/>
      <c r="S294" s="397">
        <f>O294*24</f>
        <v>2.9166666666666683</v>
      </c>
      <c r="T294" s="397"/>
      <c r="U294" s="397"/>
      <c r="V294" s="397"/>
      <c r="W294" s="397"/>
      <c r="X294" s="397"/>
      <c r="Y294" s="397"/>
      <c r="Z294" s="398">
        <f>ROUND(S294,3)</f>
        <v>2.9169999999999998</v>
      </c>
      <c r="AA294" s="398"/>
      <c r="AB294" s="398"/>
      <c r="AC294" s="398"/>
      <c r="AD294" s="398"/>
      <c r="AE294" s="398"/>
      <c r="AF294" s="398"/>
      <c r="AG294" s="398"/>
      <c r="AH294" s="399"/>
      <c r="AI294" s="399"/>
      <c r="AJ294" s="399"/>
      <c r="AK294" s="399"/>
      <c r="AL294" s="399"/>
      <c r="AM294" s="399"/>
      <c r="AN294" s="399"/>
      <c r="AO294" s="399"/>
      <c r="CR294" s="101"/>
    </row>
    <row r="295" spans="1:96" ht="15" customHeight="1" thickBot="1" x14ac:dyDescent="0.2">
      <c r="A295" s="100"/>
      <c r="C295" s="375">
        <v>45473</v>
      </c>
      <c r="D295" s="376"/>
      <c r="E295" s="376"/>
      <c r="F295" s="376"/>
      <c r="G295" s="377">
        <v>0.49652777777777779</v>
      </c>
      <c r="H295" s="376"/>
      <c r="I295" s="376"/>
      <c r="J295" s="376"/>
      <c r="K295" s="377">
        <v>0.51736111111111116</v>
      </c>
      <c r="L295" s="376"/>
      <c r="M295" s="376"/>
      <c r="N295" s="376"/>
      <c r="O295" s="377">
        <f t="shared" ref="O295" si="5">K295-G295</f>
        <v>2.083333333333337E-2</v>
      </c>
      <c r="P295" s="376"/>
      <c r="Q295" s="376"/>
      <c r="R295" s="376"/>
      <c r="S295" s="376">
        <v>0.5</v>
      </c>
      <c r="T295" s="376"/>
      <c r="U295" s="376"/>
      <c r="V295" s="376"/>
      <c r="W295" s="376"/>
      <c r="X295" s="376"/>
      <c r="Y295" s="376"/>
      <c r="Z295" s="379">
        <f>ROUND(S295,3)</f>
        <v>0.5</v>
      </c>
      <c r="AA295" s="379"/>
      <c r="AB295" s="379"/>
      <c r="AC295" s="379"/>
      <c r="AD295" s="379"/>
      <c r="AE295" s="379"/>
      <c r="AF295" s="379"/>
      <c r="AG295" s="379"/>
      <c r="AH295" s="380">
        <f>ROUNDDOWN(S295,2)</f>
        <v>0.5</v>
      </c>
      <c r="AI295" s="380"/>
      <c r="AJ295" s="380"/>
      <c r="AK295" s="380"/>
      <c r="AL295" s="380"/>
      <c r="AM295" s="380"/>
      <c r="AN295" s="380"/>
      <c r="AO295" s="380"/>
      <c r="CR295" s="101"/>
    </row>
    <row r="296" spans="1:96" ht="15" customHeight="1" thickBot="1" x14ac:dyDescent="0.2">
      <c r="A296" s="100"/>
      <c r="S296" s="386">
        <f>SUM(S281:Y293)</f>
        <v>13.999999999999996</v>
      </c>
      <c r="T296" s="386"/>
      <c r="U296" s="386"/>
      <c r="V296" s="386"/>
      <c r="W296" s="386"/>
      <c r="X296" s="386"/>
      <c r="Y296" s="386"/>
      <c r="Z296" s="381">
        <f>SUM(Z281:AG295)</f>
        <v>13.000999999999999</v>
      </c>
      <c r="AA296" s="381"/>
      <c r="AB296" s="381"/>
      <c r="AC296" s="381"/>
      <c r="AD296" s="381"/>
      <c r="AE296" s="381"/>
      <c r="AF296" s="381"/>
      <c r="AG296" s="381"/>
      <c r="AH296" s="382">
        <f>SUM(AH281:AO295)</f>
        <v>12.98</v>
      </c>
      <c r="AI296" s="382"/>
      <c r="AJ296" s="382"/>
      <c r="AK296" s="382"/>
      <c r="AL296" s="382"/>
      <c r="AM296" s="382"/>
      <c r="AN296" s="382"/>
      <c r="AO296" s="382"/>
      <c r="CR296" s="101"/>
    </row>
    <row r="297" spans="1:96" ht="15" customHeight="1" thickBot="1" x14ac:dyDescent="0.2">
      <c r="A297" s="100"/>
      <c r="P297" s="384" t="s">
        <v>484</v>
      </c>
      <c r="Q297" s="384"/>
      <c r="R297" s="384"/>
      <c r="S297" s="384"/>
      <c r="T297" s="384"/>
      <c r="U297" s="384"/>
      <c r="V297" s="384"/>
      <c r="W297" s="384"/>
      <c r="X297" s="384"/>
      <c r="Y297" s="385"/>
      <c r="Z297" s="383">
        <f>ROUNDUP(Z296,0)</f>
        <v>14</v>
      </c>
      <c r="AA297" s="383"/>
      <c r="AB297" s="383"/>
      <c r="AC297" s="383"/>
      <c r="AD297" s="383"/>
      <c r="AE297" s="383"/>
      <c r="AF297" s="383"/>
      <c r="AG297" s="383"/>
      <c r="CR297" s="101"/>
    </row>
    <row r="298" spans="1:96" ht="15" customHeight="1" x14ac:dyDescent="0.15">
      <c r="A298" s="100"/>
      <c r="CR298" s="101"/>
    </row>
    <row r="299" spans="1:96" ht="15" customHeight="1" x14ac:dyDescent="0.15">
      <c r="A299" s="100"/>
      <c r="CR299" s="101"/>
    </row>
    <row r="300" spans="1:96" ht="15" customHeight="1" x14ac:dyDescent="0.15">
      <c r="A300" s="100"/>
      <c r="CR300" s="101"/>
    </row>
    <row r="301" spans="1:96" ht="15" customHeight="1" x14ac:dyDescent="0.15">
      <c r="A301" s="100"/>
      <c r="CR301" s="101"/>
    </row>
    <row r="302" spans="1:96" ht="15" customHeight="1" x14ac:dyDescent="0.15">
      <c r="A302" s="100"/>
      <c r="CR302" s="101"/>
    </row>
    <row r="303" spans="1:96" ht="15" customHeight="1" x14ac:dyDescent="0.15">
      <c r="A303" s="100"/>
      <c r="CR303" s="101"/>
    </row>
    <row r="304" spans="1:96" ht="15" customHeight="1" x14ac:dyDescent="0.15">
      <c r="A304" s="100"/>
      <c r="CR304" s="101"/>
    </row>
    <row r="305" spans="1:96" ht="15" customHeight="1" thickBot="1" x14ac:dyDescent="0.2">
      <c r="A305" s="102"/>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c r="AX305" s="103"/>
      <c r="AY305" s="103"/>
      <c r="AZ305" s="103"/>
      <c r="BA305" s="103"/>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c r="CA305" s="103"/>
      <c r="CB305" s="103"/>
      <c r="CC305" s="103"/>
      <c r="CD305" s="103"/>
      <c r="CE305" s="103"/>
      <c r="CF305" s="103"/>
      <c r="CG305" s="103"/>
      <c r="CH305" s="103"/>
      <c r="CI305" s="103"/>
      <c r="CJ305" s="103"/>
      <c r="CK305" s="103"/>
      <c r="CL305" s="103"/>
      <c r="CM305" s="103"/>
      <c r="CN305" s="103"/>
      <c r="CO305" s="103"/>
      <c r="CP305" s="103"/>
      <c r="CQ305" s="103"/>
      <c r="CR305" s="104"/>
    </row>
  </sheetData>
  <mergeCells count="735">
    <mergeCell ref="BA169:BE169"/>
    <mergeCell ref="BF169:BL169"/>
    <mergeCell ref="BM169:BP169"/>
    <mergeCell ref="BQ169:BV169"/>
    <mergeCell ref="BW169:CC169"/>
    <mergeCell ref="BA170:BE170"/>
    <mergeCell ref="BF170:BL170"/>
    <mergeCell ref="BM170:BP170"/>
    <mergeCell ref="BQ170:BV170"/>
    <mergeCell ref="BW170:CC170"/>
    <mergeCell ref="K294:N294"/>
    <mergeCell ref="O294:R294"/>
    <mergeCell ref="S294:Y294"/>
    <mergeCell ref="Z294:AG294"/>
    <mergeCell ref="AH294:AO294"/>
    <mergeCell ref="G290:J290"/>
    <mergeCell ref="K290:N290"/>
    <mergeCell ref="G291:J291"/>
    <mergeCell ref="K291:N291"/>
    <mergeCell ref="Z296:AG296"/>
    <mergeCell ref="AH296:AO296"/>
    <mergeCell ref="Z297:AG297"/>
    <mergeCell ref="P297:Y297"/>
    <mergeCell ref="S296:Y296"/>
    <mergeCell ref="Z286:AG287"/>
    <mergeCell ref="Z291:AG293"/>
    <mergeCell ref="O293:R293"/>
    <mergeCell ref="S293:Y293"/>
    <mergeCell ref="AH293:AO293"/>
    <mergeCell ref="O290:R290"/>
    <mergeCell ref="S290:Y290"/>
    <mergeCell ref="Z290:AG290"/>
    <mergeCell ref="AH290:AO290"/>
    <mergeCell ref="O291:R291"/>
    <mergeCell ref="S291:Y291"/>
    <mergeCell ref="AH291:AO291"/>
    <mergeCell ref="O288:R288"/>
    <mergeCell ref="S288:Y288"/>
    <mergeCell ref="Z288:AG288"/>
    <mergeCell ref="AH288:AO288"/>
    <mergeCell ref="K295:N295"/>
    <mergeCell ref="O295:R295"/>
    <mergeCell ref="S295:Y295"/>
    <mergeCell ref="Z295:AG295"/>
    <mergeCell ref="AH295:AO295"/>
    <mergeCell ref="C285:F285"/>
    <mergeCell ref="G285:J285"/>
    <mergeCell ref="K285:N285"/>
    <mergeCell ref="O285:R285"/>
    <mergeCell ref="S285:Y285"/>
    <mergeCell ref="Z285:AG285"/>
    <mergeCell ref="AH285:AO285"/>
    <mergeCell ref="C291:F291"/>
    <mergeCell ref="C292:F292"/>
    <mergeCell ref="C293:F293"/>
    <mergeCell ref="G292:J292"/>
    <mergeCell ref="K292:N292"/>
    <mergeCell ref="O292:R292"/>
    <mergeCell ref="S292:Y292"/>
    <mergeCell ref="AH292:AO292"/>
    <mergeCell ref="G293:J293"/>
    <mergeCell ref="K293:N293"/>
    <mergeCell ref="C288:F288"/>
    <mergeCell ref="G288:J288"/>
    <mergeCell ref="C282:F282"/>
    <mergeCell ref="C283:F283"/>
    <mergeCell ref="C284:F284"/>
    <mergeCell ref="C286:F286"/>
    <mergeCell ref="C287:F287"/>
    <mergeCell ref="C289:F289"/>
    <mergeCell ref="C290:F290"/>
    <mergeCell ref="C295:F295"/>
    <mergeCell ref="G295:J295"/>
    <mergeCell ref="C294:F294"/>
    <mergeCell ref="G294:J294"/>
    <mergeCell ref="G287:J287"/>
    <mergeCell ref="G284:J284"/>
    <mergeCell ref="G282:J282"/>
    <mergeCell ref="K287:N287"/>
    <mergeCell ref="O287:R287"/>
    <mergeCell ref="S287:Y287"/>
    <mergeCell ref="AH287:AO287"/>
    <mergeCell ref="G289:J289"/>
    <mergeCell ref="K289:N289"/>
    <mergeCell ref="O289:R289"/>
    <mergeCell ref="S289:Y289"/>
    <mergeCell ref="Z289:AG289"/>
    <mergeCell ref="AH289:AO289"/>
    <mergeCell ref="K288:N288"/>
    <mergeCell ref="K284:N284"/>
    <mergeCell ref="O284:R284"/>
    <mergeCell ref="S284:Y284"/>
    <mergeCell ref="Z284:AG284"/>
    <mergeCell ref="AH284:AO284"/>
    <mergeCell ref="G286:J286"/>
    <mergeCell ref="K286:N286"/>
    <mergeCell ref="O286:R286"/>
    <mergeCell ref="S286:Y286"/>
    <mergeCell ref="AH286:AO286"/>
    <mergeCell ref="K282:N282"/>
    <mergeCell ref="O282:R282"/>
    <mergeCell ref="S282:Y282"/>
    <mergeCell ref="Z282:AG282"/>
    <mergeCell ref="AH282:AO282"/>
    <mergeCell ref="G283:J283"/>
    <mergeCell ref="K283:N283"/>
    <mergeCell ref="O283:R283"/>
    <mergeCell ref="S283:Y283"/>
    <mergeCell ref="Z283:AG283"/>
    <mergeCell ref="AH283:AO283"/>
    <mergeCell ref="A263:CR263"/>
    <mergeCell ref="G281:J281"/>
    <mergeCell ref="G280:J280"/>
    <mergeCell ref="K280:N280"/>
    <mergeCell ref="K281:N281"/>
    <mergeCell ref="O280:R280"/>
    <mergeCell ref="O281:R281"/>
    <mergeCell ref="S281:Y281"/>
    <mergeCell ref="S280:Y280"/>
    <mergeCell ref="AH281:AO281"/>
    <mergeCell ref="AH280:AO280"/>
    <mergeCell ref="Z281:AG281"/>
    <mergeCell ref="Z280:AG280"/>
    <mergeCell ref="C280:F280"/>
    <mergeCell ref="C281:F281"/>
    <mergeCell ref="AH279:AO279"/>
    <mergeCell ref="Z279:AG279"/>
    <mergeCell ref="A220:CR220"/>
    <mergeCell ref="BE121:BH121"/>
    <mergeCell ref="BI121:BL121"/>
    <mergeCell ref="BM121:BQ121"/>
    <mergeCell ref="CM121:CQ121"/>
    <mergeCell ref="CH125:CL125"/>
    <mergeCell ref="CM125:CQ125"/>
    <mergeCell ref="CH121:CL121"/>
    <mergeCell ref="CH122:CL122"/>
    <mergeCell ref="CH123:CL123"/>
    <mergeCell ref="CM123:CQ123"/>
    <mergeCell ref="BW124:CA124"/>
    <mergeCell ref="CB124:CG124"/>
    <mergeCell ref="CH124:CL124"/>
    <mergeCell ref="CM124:CQ124"/>
    <mergeCell ref="D142:H143"/>
    <mergeCell ref="I144:Q146"/>
    <mergeCell ref="BR121:BV121"/>
    <mergeCell ref="BR122:BV122"/>
    <mergeCell ref="BR123:BV123"/>
    <mergeCell ref="BW121:CA121"/>
    <mergeCell ref="BW122:CA122"/>
    <mergeCell ref="BW123:CA123"/>
    <mergeCell ref="CB121:CG121"/>
    <mergeCell ref="A46:J46"/>
    <mergeCell ref="K46:AV46"/>
    <mergeCell ref="AW46:BH46"/>
    <mergeCell ref="A47:J47"/>
    <mergeCell ref="K47:AV47"/>
    <mergeCell ref="AW47:BH47"/>
    <mergeCell ref="A44:J44"/>
    <mergeCell ref="K44:AV44"/>
    <mergeCell ref="AW44:BH44"/>
    <mergeCell ref="A45:J45"/>
    <mergeCell ref="K45:AV45"/>
    <mergeCell ref="AW45:BH45"/>
    <mergeCell ref="AZ73:CQ73"/>
    <mergeCell ref="BO57:BP57"/>
    <mergeCell ref="BY57:BZ57"/>
    <mergeCell ref="A39:J39"/>
    <mergeCell ref="K39:AV39"/>
    <mergeCell ref="AW39:BH39"/>
    <mergeCell ref="A48:CR48"/>
    <mergeCell ref="BI38:CR38"/>
    <mergeCell ref="BI43:CR43"/>
    <mergeCell ref="A41:J41"/>
    <mergeCell ref="K41:AV41"/>
    <mergeCell ref="AW41:BH41"/>
    <mergeCell ref="A42:J42"/>
    <mergeCell ref="K42:AV42"/>
    <mergeCell ref="AW42:BH42"/>
    <mergeCell ref="A43:J43"/>
    <mergeCell ref="BS52:CQ52"/>
    <mergeCell ref="AW53:BJ53"/>
    <mergeCell ref="BK53:BO53"/>
    <mergeCell ref="BP53:BR53"/>
    <mergeCell ref="BS53:CQ53"/>
    <mergeCell ref="AW51:BJ51"/>
    <mergeCell ref="BK51:BO51"/>
    <mergeCell ref="BP51:BR51"/>
    <mergeCell ref="A2:H2"/>
    <mergeCell ref="I2:AD2"/>
    <mergeCell ref="AE2:AK3"/>
    <mergeCell ref="AL2:BH2"/>
    <mergeCell ref="BI2:BL2"/>
    <mergeCell ref="BM2:BV2"/>
    <mergeCell ref="BW2:CE2"/>
    <mergeCell ref="A1:H1"/>
    <mergeCell ref="I1:AD1"/>
    <mergeCell ref="AE1:AK1"/>
    <mergeCell ref="AL1:BH1"/>
    <mergeCell ref="BI1:BL1"/>
    <mergeCell ref="BM1:BV1"/>
    <mergeCell ref="BM3:CE3"/>
    <mergeCell ref="BI3:BL3"/>
    <mergeCell ref="A3:H3"/>
    <mergeCell ref="I3:AD3"/>
    <mergeCell ref="AL3:BH3"/>
    <mergeCell ref="Q97:AN97"/>
    <mergeCell ref="BW1:CE1"/>
    <mergeCell ref="K43:AV43"/>
    <mergeCell ref="AW43:BH43"/>
    <mergeCell ref="A5:BH5"/>
    <mergeCell ref="A4:H4"/>
    <mergeCell ref="I4:AK4"/>
    <mergeCell ref="AL4:AR4"/>
    <mergeCell ref="AS4:BH4"/>
    <mergeCell ref="BI4:BS4"/>
    <mergeCell ref="BT4:CR4"/>
    <mergeCell ref="BI5:CR5"/>
    <mergeCell ref="BI12:CR12"/>
    <mergeCell ref="A38:BH38"/>
    <mergeCell ref="A40:J40"/>
    <mergeCell ref="K40:AV40"/>
    <mergeCell ref="AW40:BH40"/>
    <mergeCell ref="CF1:CJ3"/>
    <mergeCell ref="CK1:CR3"/>
    <mergeCell ref="BM94:CO94"/>
    <mergeCell ref="AY95:BL95"/>
    <mergeCell ref="BM95:CO95"/>
    <mergeCell ref="CH82:CQ82"/>
    <mergeCell ref="CH83:CQ83"/>
    <mergeCell ref="BM105:CO105"/>
    <mergeCell ref="AY106:BL106"/>
    <mergeCell ref="BM106:CO106"/>
    <mergeCell ref="AY96:BL96"/>
    <mergeCell ref="BM96:CO96"/>
    <mergeCell ref="AY97:BL97"/>
    <mergeCell ref="AY98:BL98"/>
    <mergeCell ref="BM98:CO98"/>
    <mergeCell ref="AY104:BL104"/>
    <mergeCell ref="BM104:CO104"/>
    <mergeCell ref="AY105:BL105"/>
    <mergeCell ref="AY99:BL99"/>
    <mergeCell ref="BM99:CO99"/>
    <mergeCell ref="AY100:BL100"/>
    <mergeCell ref="BM100:CO100"/>
    <mergeCell ref="BM101:CO101"/>
    <mergeCell ref="BM102:CO102"/>
    <mergeCell ref="BM103:CO103"/>
    <mergeCell ref="BM97:CO97"/>
    <mergeCell ref="AY103:BL103"/>
    <mergeCell ref="BY85:CG85"/>
    <mergeCell ref="AY87:BE87"/>
    <mergeCell ref="BF87:BL87"/>
    <mergeCell ref="BM87:BQ87"/>
    <mergeCell ref="BR87:BX87"/>
    <mergeCell ref="BY87:CG87"/>
    <mergeCell ref="AY86:BE86"/>
    <mergeCell ref="BF86:BL86"/>
    <mergeCell ref="BM86:BQ86"/>
    <mergeCell ref="BR86:BX86"/>
    <mergeCell ref="BY86:CG86"/>
    <mergeCell ref="AY83:BE83"/>
    <mergeCell ref="BF83:BL83"/>
    <mergeCell ref="BM83:BQ83"/>
    <mergeCell ref="BR83:BX83"/>
    <mergeCell ref="BY82:CG82"/>
    <mergeCell ref="BR82:BX82"/>
    <mergeCell ref="BM82:BQ82"/>
    <mergeCell ref="A91:CR91"/>
    <mergeCell ref="CH86:CQ86"/>
    <mergeCell ref="CH85:CQ85"/>
    <mergeCell ref="CH87:CQ87"/>
    <mergeCell ref="AY85:BE85"/>
    <mergeCell ref="BF85:BL85"/>
    <mergeCell ref="BM85:BQ85"/>
    <mergeCell ref="BR85:BX85"/>
    <mergeCell ref="BF82:BL82"/>
    <mergeCell ref="AY82:BE82"/>
    <mergeCell ref="BY83:CG83"/>
    <mergeCell ref="AY84:BE84"/>
    <mergeCell ref="BF84:BL84"/>
    <mergeCell ref="BM84:BQ84"/>
    <mergeCell ref="BR84:BX84"/>
    <mergeCell ref="BY84:CG84"/>
    <mergeCell ref="CH84:CQ84"/>
    <mergeCell ref="BS51:CQ51"/>
    <mergeCell ref="AW52:BJ52"/>
    <mergeCell ref="BK52:BO52"/>
    <mergeCell ref="BP52:BR52"/>
    <mergeCell ref="AY110:BD110"/>
    <mergeCell ref="AY109:BD109"/>
    <mergeCell ref="BE110:BH110"/>
    <mergeCell ref="Q94:AN94"/>
    <mergeCell ref="C95:P95"/>
    <mergeCell ref="Q95:AN95"/>
    <mergeCell ref="C96:P96"/>
    <mergeCell ref="Q96:AN96"/>
    <mergeCell ref="C94:P94"/>
    <mergeCell ref="C97:P97"/>
    <mergeCell ref="AY94:BL94"/>
    <mergeCell ref="C100:P100"/>
    <mergeCell ref="Q100:AN100"/>
    <mergeCell ref="C98:P98"/>
    <mergeCell ref="Q98:AN98"/>
    <mergeCell ref="C99:P99"/>
    <mergeCell ref="Q99:AN99"/>
    <mergeCell ref="BI110:BL110"/>
    <mergeCell ref="AY101:BL101"/>
    <mergeCell ref="AY102:BL102"/>
    <mergeCell ref="C118:F118"/>
    <mergeCell ref="G118:N118"/>
    <mergeCell ref="O118:AS118"/>
    <mergeCell ref="Q101:AN101"/>
    <mergeCell ref="C102:P102"/>
    <mergeCell ref="Q102:AN102"/>
    <mergeCell ref="C103:P103"/>
    <mergeCell ref="Q103:AN103"/>
    <mergeCell ref="C101:P101"/>
    <mergeCell ref="O117:AS117"/>
    <mergeCell ref="G108:N108"/>
    <mergeCell ref="C108:F108"/>
    <mergeCell ref="O109:AS109"/>
    <mergeCell ref="O108:AS108"/>
    <mergeCell ref="C117:F117"/>
    <mergeCell ref="G109:N109"/>
    <mergeCell ref="C109:F109"/>
    <mergeCell ref="C110:F110"/>
    <mergeCell ref="G110:N110"/>
    <mergeCell ref="O110:AS110"/>
    <mergeCell ref="C111:F111"/>
    <mergeCell ref="G111:N111"/>
    <mergeCell ref="O111:AS111"/>
    <mergeCell ref="G117:N117"/>
    <mergeCell ref="CE129:CJ129"/>
    <mergeCell ref="C121:F121"/>
    <mergeCell ref="G121:N121"/>
    <mergeCell ref="O121:AS121"/>
    <mergeCell ref="C122:F122"/>
    <mergeCell ref="G122:N122"/>
    <mergeCell ref="O122:AS122"/>
    <mergeCell ref="CB122:CG122"/>
    <mergeCell ref="CB123:CG123"/>
    <mergeCell ref="AY124:BD124"/>
    <mergeCell ref="BE124:BH124"/>
    <mergeCell ref="BI124:BL124"/>
    <mergeCell ref="BM124:BQ124"/>
    <mergeCell ref="BR124:BV124"/>
    <mergeCell ref="BY127:CD127"/>
    <mergeCell ref="BY128:CD128"/>
    <mergeCell ref="C119:F119"/>
    <mergeCell ref="G119:N119"/>
    <mergeCell ref="O119:AS119"/>
    <mergeCell ref="C120:F120"/>
    <mergeCell ref="G120:N120"/>
    <mergeCell ref="O120:AS120"/>
    <mergeCell ref="BQ110:BU110"/>
    <mergeCell ref="BV110:CA110"/>
    <mergeCell ref="CF110:CJ110"/>
    <mergeCell ref="CB111:CE111"/>
    <mergeCell ref="CB112:CE112"/>
    <mergeCell ref="BV111:CA111"/>
    <mergeCell ref="CF111:CJ111"/>
    <mergeCell ref="BV115:CA115"/>
    <mergeCell ref="CF117:CJ117"/>
    <mergeCell ref="AY118:BD118"/>
    <mergeCell ref="BE118:BH118"/>
    <mergeCell ref="BI118:BL118"/>
    <mergeCell ref="BQ118:BU118"/>
    <mergeCell ref="CF118:CJ118"/>
    <mergeCell ref="G112:N112"/>
    <mergeCell ref="O112:AS112"/>
    <mergeCell ref="C113:F113"/>
    <mergeCell ref="G113:N113"/>
    <mergeCell ref="CK110:CO110"/>
    <mergeCell ref="BQ109:BU109"/>
    <mergeCell ref="BI109:BL109"/>
    <mergeCell ref="BE109:BH109"/>
    <mergeCell ref="CK109:CO109"/>
    <mergeCell ref="CF109:CJ109"/>
    <mergeCell ref="BV109:CA109"/>
    <mergeCell ref="BM109:BP109"/>
    <mergeCell ref="BM110:BP110"/>
    <mergeCell ref="CB109:CE109"/>
    <mergeCell ref="CB110:CE110"/>
    <mergeCell ref="CK111:CO111"/>
    <mergeCell ref="AY112:BD112"/>
    <mergeCell ref="BE112:BH112"/>
    <mergeCell ref="BI112:BL112"/>
    <mergeCell ref="BQ112:BU112"/>
    <mergeCell ref="BV112:CA112"/>
    <mergeCell ref="CF112:CJ112"/>
    <mergeCell ref="CK112:CO112"/>
    <mergeCell ref="AY111:BD111"/>
    <mergeCell ref="BE111:BH111"/>
    <mergeCell ref="BI111:BL111"/>
    <mergeCell ref="BQ111:BU111"/>
    <mergeCell ref="BM111:BP111"/>
    <mergeCell ref="BM112:BP112"/>
    <mergeCell ref="CK118:CO118"/>
    <mergeCell ref="CK117:CO117"/>
    <mergeCell ref="AY117:BD117"/>
    <mergeCell ref="BM117:BP117"/>
    <mergeCell ref="CB115:CE115"/>
    <mergeCell ref="CB116:CE116"/>
    <mergeCell ref="CB117:CE117"/>
    <mergeCell ref="CB118:CE118"/>
    <mergeCell ref="CF115:CJ115"/>
    <mergeCell ref="AY116:BD116"/>
    <mergeCell ref="BE116:BH116"/>
    <mergeCell ref="BI116:BL116"/>
    <mergeCell ref="BQ116:BU116"/>
    <mergeCell ref="BV116:CA116"/>
    <mergeCell ref="CF116:CJ116"/>
    <mergeCell ref="BM115:BP115"/>
    <mergeCell ref="BM116:BP116"/>
    <mergeCell ref="BM118:BP118"/>
    <mergeCell ref="CK113:CO113"/>
    <mergeCell ref="AY114:BD114"/>
    <mergeCell ref="BE114:BH114"/>
    <mergeCell ref="BI114:BL114"/>
    <mergeCell ref="BQ114:BU114"/>
    <mergeCell ref="BV114:CA114"/>
    <mergeCell ref="CF114:CJ114"/>
    <mergeCell ref="CK114:CO114"/>
    <mergeCell ref="AY113:BD113"/>
    <mergeCell ref="BE113:BH113"/>
    <mergeCell ref="BI113:BL113"/>
    <mergeCell ref="BQ113:BU113"/>
    <mergeCell ref="BV113:CA113"/>
    <mergeCell ref="BM113:BP113"/>
    <mergeCell ref="BM114:BP114"/>
    <mergeCell ref="CB113:CE113"/>
    <mergeCell ref="CB114:CE114"/>
    <mergeCell ref="O113:AS113"/>
    <mergeCell ref="C114:F114"/>
    <mergeCell ref="G114:N114"/>
    <mergeCell ref="O114:AS114"/>
    <mergeCell ref="AP139:AU139"/>
    <mergeCell ref="R139:AO139"/>
    <mergeCell ref="C112:F112"/>
    <mergeCell ref="A134:CR134"/>
    <mergeCell ref="AY121:BD121"/>
    <mergeCell ref="BD136:CP136"/>
    <mergeCell ref="BD137:CP137"/>
    <mergeCell ref="BD138:CP138"/>
    <mergeCell ref="CK116:CO116"/>
    <mergeCell ref="AY115:BD115"/>
    <mergeCell ref="BE115:BH115"/>
    <mergeCell ref="BI115:BL115"/>
    <mergeCell ref="BQ115:BU115"/>
    <mergeCell ref="CK115:CO115"/>
    <mergeCell ref="BV118:CA118"/>
    <mergeCell ref="CF113:CJ113"/>
    <mergeCell ref="BE117:BH117"/>
    <mergeCell ref="BI117:BL117"/>
    <mergeCell ref="BQ117:BU117"/>
    <mergeCell ref="BV117:CA117"/>
    <mergeCell ref="AP140:AU140"/>
    <mergeCell ref="AP141:AU141"/>
    <mergeCell ref="BD141:CP141"/>
    <mergeCell ref="AX142:BC142"/>
    <mergeCell ref="BD142:CP142"/>
    <mergeCell ref="AY125:BD125"/>
    <mergeCell ref="CK127:CP127"/>
    <mergeCell ref="CK128:CP128"/>
    <mergeCell ref="CK131:CP131"/>
    <mergeCell ref="CK129:CP129"/>
    <mergeCell ref="BY130:CD130"/>
    <mergeCell ref="CE130:CJ130"/>
    <mergeCell ref="CK130:CP130"/>
    <mergeCell ref="BE125:BH125"/>
    <mergeCell ref="BI125:BL125"/>
    <mergeCell ref="BM125:BQ125"/>
    <mergeCell ref="BR125:BV125"/>
    <mergeCell ref="BW125:CA125"/>
    <mergeCell ref="CB125:CG125"/>
    <mergeCell ref="BY131:CD131"/>
    <mergeCell ref="CE127:CJ127"/>
    <mergeCell ref="CE128:CJ128"/>
    <mergeCell ref="CE131:CJ131"/>
    <mergeCell ref="BY129:CD129"/>
    <mergeCell ref="AP155:AU155"/>
    <mergeCell ref="D155:Q155"/>
    <mergeCell ref="R167:AO167"/>
    <mergeCell ref="D167:Q167"/>
    <mergeCell ref="AP167:AU167"/>
    <mergeCell ref="D147:H148"/>
    <mergeCell ref="AP164:AU164"/>
    <mergeCell ref="AP165:AU165"/>
    <mergeCell ref="AP166:AU166"/>
    <mergeCell ref="D160:Q160"/>
    <mergeCell ref="R160:AO160"/>
    <mergeCell ref="AP160:AU160"/>
    <mergeCell ref="R163:AO163"/>
    <mergeCell ref="I147:Q148"/>
    <mergeCell ref="R142:AO142"/>
    <mergeCell ref="R143:AO143"/>
    <mergeCell ref="R144:AO144"/>
    <mergeCell ref="R145:AO145"/>
    <mergeCell ref="D144:H146"/>
    <mergeCell ref="BE122:BH122"/>
    <mergeCell ref="BI122:BL122"/>
    <mergeCell ref="BM122:BQ122"/>
    <mergeCell ref="CM122:CQ122"/>
    <mergeCell ref="AY123:BD123"/>
    <mergeCell ref="BE123:BH123"/>
    <mergeCell ref="BI123:BL123"/>
    <mergeCell ref="BM123:BQ123"/>
    <mergeCell ref="AY122:BD122"/>
    <mergeCell ref="BD139:CP139"/>
    <mergeCell ref="AX140:BC140"/>
    <mergeCell ref="BD140:CP140"/>
    <mergeCell ref="D139:H139"/>
    <mergeCell ref="I139:Q139"/>
    <mergeCell ref="D140:H141"/>
    <mergeCell ref="R140:AO140"/>
    <mergeCell ref="R141:AO141"/>
    <mergeCell ref="I140:Q141"/>
    <mergeCell ref="I142:Q143"/>
    <mergeCell ref="C156:C157"/>
    <mergeCell ref="AP156:AU157"/>
    <mergeCell ref="R156:AO157"/>
    <mergeCell ref="D156:Q157"/>
    <mergeCell ref="AP146:AU146"/>
    <mergeCell ref="AP147:AU147"/>
    <mergeCell ref="AP148:AU148"/>
    <mergeCell ref="AP149:AU149"/>
    <mergeCell ref="AP150:AU150"/>
    <mergeCell ref="AP151:AU151"/>
    <mergeCell ref="AP152:AU152"/>
    <mergeCell ref="AP153:AU153"/>
    <mergeCell ref="R146:AO146"/>
    <mergeCell ref="R147:AO147"/>
    <mergeCell ref="R148:AO148"/>
    <mergeCell ref="R149:AO149"/>
    <mergeCell ref="R150:AO150"/>
    <mergeCell ref="I149:Q150"/>
    <mergeCell ref="D149:H150"/>
    <mergeCell ref="I153:Q153"/>
    <mergeCell ref="D153:H153"/>
    <mergeCell ref="I151:Q152"/>
    <mergeCell ref="D151:H152"/>
    <mergeCell ref="R155:AO155"/>
    <mergeCell ref="C186:P188"/>
    <mergeCell ref="C181:P181"/>
    <mergeCell ref="Q181:AT181"/>
    <mergeCell ref="C169:H169"/>
    <mergeCell ref="C170:H170"/>
    <mergeCell ref="I169:AU169"/>
    <mergeCell ref="C171:H171"/>
    <mergeCell ref="I171:AU171"/>
    <mergeCell ref="C172:H172"/>
    <mergeCell ref="I172:AU172"/>
    <mergeCell ref="C173:H173"/>
    <mergeCell ref="I173:AU173"/>
    <mergeCell ref="C174:H174"/>
    <mergeCell ref="I174:AU174"/>
    <mergeCell ref="C175:H175"/>
    <mergeCell ref="I175:AU175"/>
    <mergeCell ref="Q184:AT184"/>
    <mergeCell ref="Q186:AT188"/>
    <mergeCell ref="Q180:AT180"/>
    <mergeCell ref="I170:AU170"/>
    <mergeCell ref="C180:P180"/>
    <mergeCell ref="C164:C166"/>
    <mergeCell ref="C161:C163"/>
    <mergeCell ref="AP161:AU161"/>
    <mergeCell ref="AP162:AU162"/>
    <mergeCell ref="AP163:AU163"/>
    <mergeCell ref="AX136:BC136"/>
    <mergeCell ref="R162:AO162"/>
    <mergeCell ref="R161:AO161"/>
    <mergeCell ref="R164:AO164"/>
    <mergeCell ref="R165:AO165"/>
    <mergeCell ref="R166:AO166"/>
    <mergeCell ref="D164:Q166"/>
    <mergeCell ref="D161:Q163"/>
    <mergeCell ref="AX141:BC141"/>
    <mergeCell ref="R151:AO151"/>
    <mergeCell ref="R152:AO152"/>
    <mergeCell ref="R153:AO153"/>
    <mergeCell ref="AP142:AU142"/>
    <mergeCell ref="AP143:AU143"/>
    <mergeCell ref="AP144:AU144"/>
    <mergeCell ref="AP145:AU145"/>
    <mergeCell ref="AX137:BC137"/>
    <mergeCell ref="AX138:BC138"/>
    <mergeCell ref="AX139:BC139"/>
    <mergeCell ref="C191:P191"/>
    <mergeCell ref="C189:P189"/>
    <mergeCell ref="C190:P190"/>
    <mergeCell ref="C197:M197"/>
    <mergeCell ref="AS197:BB197"/>
    <mergeCell ref="A177:CR177"/>
    <mergeCell ref="C182:P182"/>
    <mergeCell ref="Q182:AT182"/>
    <mergeCell ref="C183:P183"/>
    <mergeCell ref="Q183:AT183"/>
    <mergeCell ref="C184:P184"/>
    <mergeCell ref="C185:P185"/>
    <mergeCell ref="Q185:AT185"/>
    <mergeCell ref="C196:M196"/>
    <mergeCell ref="AS196:BB196"/>
    <mergeCell ref="N196:W196"/>
    <mergeCell ref="N197:W197"/>
    <mergeCell ref="X197:AC197"/>
    <mergeCell ref="X196:AC196"/>
    <mergeCell ref="BP197:BT197"/>
    <mergeCell ref="BI197:BO197"/>
    <mergeCell ref="BP196:BT196"/>
    <mergeCell ref="BI196:BO196"/>
    <mergeCell ref="BC196:BH196"/>
    <mergeCell ref="AD196:AH196"/>
    <mergeCell ref="AD198:AH198"/>
    <mergeCell ref="BC198:BH198"/>
    <mergeCell ref="BI198:BO198"/>
    <mergeCell ref="AI197:AR197"/>
    <mergeCell ref="Q189:AT189"/>
    <mergeCell ref="Q190:AT190"/>
    <mergeCell ref="Q191:AT191"/>
    <mergeCell ref="AD197:AH197"/>
    <mergeCell ref="BC197:BH197"/>
    <mergeCell ref="AI196:AR196"/>
    <mergeCell ref="BP198:BT198"/>
    <mergeCell ref="AI198:AR198"/>
    <mergeCell ref="N198:W198"/>
    <mergeCell ref="X198:AC198"/>
    <mergeCell ref="BI199:BO199"/>
    <mergeCell ref="BP199:BT199"/>
    <mergeCell ref="C200:M200"/>
    <mergeCell ref="AS200:BB200"/>
    <mergeCell ref="AD200:AH200"/>
    <mergeCell ref="BC200:BH200"/>
    <mergeCell ref="BI200:BO200"/>
    <mergeCell ref="BP200:BT200"/>
    <mergeCell ref="AI199:AR199"/>
    <mergeCell ref="AI200:AR200"/>
    <mergeCell ref="N199:W199"/>
    <mergeCell ref="N200:W200"/>
    <mergeCell ref="X199:AC199"/>
    <mergeCell ref="X200:AC200"/>
    <mergeCell ref="C198:M198"/>
    <mergeCell ref="AS198:BB198"/>
    <mergeCell ref="C199:M199"/>
    <mergeCell ref="AS199:BB199"/>
    <mergeCell ref="AD199:AH199"/>
    <mergeCell ref="BC199:BH199"/>
    <mergeCell ref="C201:M201"/>
    <mergeCell ref="AS201:BB201"/>
    <mergeCell ref="AD201:AH201"/>
    <mergeCell ref="BC201:BH201"/>
    <mergeCell ref="BI201:BO201"/>
    <mergeCell ref="BP201:BT201"/>
    <mergeCell ref="C202:M202"/>
    <mergeCell ref="AS202:BB202"/>
    <mergeCell ref="AD202:AH202"/>
    <mergeCell ref="BC202:BH202"/>
    <mergeCell ref="BI202:BO202"/>
    <mergeCell ref="BP202:BT202"/>
    <mergeCell ref="AI201:AR201"/>
    <mergeCell ref="AI202:AR202"/>
    <mergeCell ref="N201:W201"/>
    <mergeCell ref="N202:W202"/>
    <mergeCell ref="X201:AC201"/>
    <mergeCell ref="X202:AC202"/>
    <mergeCell ref="C203:M203"/>
    <mergeCell ref="AS203:BB203"/>
    <mergeCell ref="AD203:AH203"/>
    <mergeCell ref="BC203:BH203"/>
    <mergeCell ref="BI203:BO203"/>
    <mergeCell ref="BP203:BT203"/>
    <mergeCell ref="C204:M204"/>
    <mergeCell ref="AS204:BB204"/>
    <mergeCell ref="AD204:AH204"/>
    <mergeCell ref="BC204:BH204"/>
    <mergeCell ref="BI204:BO204"/>
    <mergeCell ref="BP204:BT204"/>
    <mergeCell ref="N203:W203"/>
    <mergeCell ref="N204:W204"/>
    <mergeCell ref="X203:AC203"/>
    <mergeCell ref="X204:AC204"/>
    <mergeCell ref="AI203:AR203"/>
    <mergeCell ref="AI204:AR204"/>
    <mergeCell ref="C205:M205"/>
    <mergeCell ref="AS205:BB205"/>
    <mergeCell ref="AD205:AH205"/>
    <mergeCell ref="BC205:BH205"/>
    <mergeCell ref="BI205:BO205"/>
    <mergeCell ref="BP205:BT205"/>
    <mergeCell ref="C206:M206"/>
    <mergeCell ref="AS206:BB206"/>
    <mergeCell ref="AD206:AH206"/>
    <mergeCell ref="BC206:BH206"/>
    <mergeCell ref="BI206:BO206"/>
    <mergeCell ref="BP206:BT206"/>
    <mergeCell ref="N205:W205"/>
    <mergeCell ref="N206:W206"/>
    <mergeCell ref="X205:AC205"/>
    <mergeCell ref="X206:AC206"/>
    <mergeCell ref="AI205:AR205"/>
    <mergeCell ref="AI206:AR206"/>
    <mergeCell ref="BW157:CC157"/>
    <mergeCell ref="BQ157:BV157"/>
    <mergeCell ref="BM157:BP157"/>
    <mergeCell ref="BF157:BL157"/>
    <mergeCell ref="BA157:BE157"/>
    <mergeCell ref="BA158:BE158"/>
    <mergeCell ref="BF158:BL158"/>
    <mergeCell ref="BM158:BP158"/>
    <mergeCell ref="BQ158:BV158"/>
    <mergeCell ref="BW158:CC158"/>
    <mergeCell ref="BA159:BE159"/>
    <mergeCell ref="BF159:BL159"/>
    <mergeCell ref="BM159:BP159"/>
    <mergeCell ref="BQ159:BV159"/>
    <mergeCell ref="BW159:CC159"/>
    <mergeCell ref="BA166:BE166"/>
    <mergeCell ref="BF166:BL166"/>
    <mergeCell ref="BM166:BP166"/>
    <mergeCell ref="BQ166:BV166"/>
    <mergeCell ref="BW166:CC166"/>
    <mergeCell ref="BA160:BE160"/>
    <mergeCell ref="BF160:BL160"/>
    <mergeCell ref="BM160:BP160"/>
    <mergeCell ref="BQ160:BV160"/>
    <mergeCell ref="BW160:CC160"/>
    <mergeCell ref="BA167:BE167"/>
    <mergeCell ref="BF167:BL167"/>
    <mergeCell ref="BM167:BP167"/>
    <mergeCell ref="BQ167:BV167"/>
    <mergeCell ref="BW167:CC167"/>
    <mergeCell ref="BA168:BE168"/>
    <mergeCell ref="BF168:BL168"/>
    <mergeCell ref="BM168:BP168"/>
    <mergeCell ref="BQ168:BV168"/>
    <mergeCell ref="BW168:CC168"/>
  </mergeCells>
  <phoneticPr fontId="10"/>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57B1-9106-47DC-8B5E-47637BED5504}">
  <dimension ref="A1:DS90"/>
  <sheetViews>
    <sheetView zoomScaleNormal="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53" t="s">
        <v>1</v>
      </c>
      <c r="B1" s="254"/>
      <c r="C1" s="254"/>
      <c r="D1" s="254"/>
      <c r="E1" s="254"/>
      <c r="F1" s="254"/>
      <c r="G1" s="254"/>
      <c r="H1" s="255"/>
      <c r="I1" s="256" t="str">
        <f>タイトル!I40</f>
        <v>　学生勤務管理システム</v>
      </c>
      <c r="J1" s="257"/>
      <c r="K1" s="257"/>
      <c r="L1" s="257"/>
      <c r="M1" s="257"/>
      <c r="N1" s="257"/>
      <c r="O1" s="257"/>
      <c r="P1" s="257"/>
      <c r="Q1" s="257"/>
      <c r="R1" s="257"/>
      <c r="S1" s="257"/>
      <c r="T1" s="257"/>
      <c r="U1" s="257"/>
      <c r="V1" s="257"/>
      <c r="W1" s="257"/>
      <c r="X1" s="257"/>
      <c r="Y1" s="257"/>
      <c r="Z1" s="257"/>
      <c r="AA1" s="257"/>
      <c r="AB1" s="257"/>
      <c r="AC1" s="257"/>
      <c r="AD1" s="258"/>
      <c r="AE1" s="259" t="s">
        <v>0</v>
      </c>
      <c r="AF1" s="260"/>
      <c r="AG1" s="260"/>
      <c r="AH1" s="260"/>
      <c r="AI1" s="260"/>
      <c r="AJ1" s="260"/>
      <c r="AK1" s="261"/>
      <c r="AL1" s="262" t="s">
        <v>51</v>
      </c>
      <c r="AM1" s="263"/>
      <c r="AN1" s="263"/>
      <c r="AO1" s="263"/>
      <c r="AP1" s="263"/>
      <c r="AQ1" s="263"/>
      <c r="AR1" s="263"/>
      <c r="AS1" s="263"/>
      <c r="AT1" s="263"/>
      <c r="AU1" s="263"/>
      <c r="AV1" s="263"/>
      <c r="AW1" s="263"/>
      <c r="AX1" s="263"/>
      <c r="AY1" s="263"/>
      <c r="AZ1" s="263"/>
      <c r="BA1" s="263"/>
      <c r="BB1" s="263"/>
      <c r="BC1" s="263"/>
      <c r="BD1" s="263"/>
      <c r="BE1" s="263"/>
      <c r="BF1" s="263"/>
      <c r="BG1" s="263"/>
      <c r="BH1" s="264"/>
      <c r="BI1" s="259" t="s">
        <v>12</v>
      </c>
      <c r="BJ1" s="260"/>
      <c r="BK1" s="260"/>
      <c r="BL1" s="261"/>
      <c r="BM1" s="265" t="str">
        <f>タイトル!I46</f>
        <v>木田　優</v>
      </c>
      <c r="BN1" s="266"/>
      <c r="BO1" s="266"/>
      <c r="BP1" s="266"/>
      <c r="BQ1" s="266"/>
      <c r="BR1" s="266"/>
      <c r="BS1" s="266"/>
      <c r="BT1" s="266"/>
      <c r="BU1" s="266"/>
      <c r="BV1" s="267"/>
      <c r="BW1" s="211">
        <f>タイトル!I47</f>
        <v>45204</v>
      </c>
      <c r="BX1" s="212"/>
      <c r="BY1" s="212"/>
      <c r="BZ1" s="212"/>
      <c r="CA1" s="212"/>
      <c r="CB1" s="212"/>
      <c r="CC1" s="212"/>
      <c r="CD1" s="212"/>
      <c r="CE1" s="213"/>
      <c r="CF1" s="214" t="s">
        <v>13</v>
      </c>
      <c r="CG1" s="215"/>
      <c r="CH1" s="215"/>
      <c r="CI1" s="215"/>
      <c r="CJ1" s="216"/>
      <c r="CK1" s="223"/>
      <c r="CL1" s="224"/>
      <c r="CM1" s="224"/>
      <c r="CN1" s="224"/>
      <c r="CO1" s="224"/>
      <c r="CP1" s="224"/>
      <c r="CQ1" s="224"/>
      <c r="CR1" s="225"/>
    </row>
    <row r="2" spans="1:96" s="15" customFormat="1" ht="15" customHeight="1" x14ac:dyDescent="0.2">
      <c r="A2" s="232" t="s">
        <v>14</v>
      </c>
      <c r="B2" s="233"/>
      <c r="C2" s="233"/>
      <c r="D2" s="233"/>
      <c r="E2" s="233"/>
      <c r="F2" s="233"/>
      <c r="G2" s="233"/>
      <c r="H2" s="234"/>
      <c r="I2" s="235" t="s">
        <v>52</v>
      </c>
      <c r="J2" s="236"/>
      <c r="K2" s="236"/>
      <c r="L2" s="236"/>
      <c r="M2" s="236"/>
      <c r="N2" s="236"/>
      <c r="O2" s="236"/>
      <c r="P2" s="236"/>
      <c r="Q2" s="236"/>
      <c r="R2" s="236"/>
      <c r="S2" s="236"/>
      <c r="T2" s="236"/>
      <c r="U2" s="236"/>
      <c r="V2" s="236"/>
      <c r="W2" s="236"/>
      <c r="X2" s="236"/>
      <c r="Y2" s="236"/>
      <c r="Z2" s="236"/>
      <c r="AA2" s="236"/>
      <c r="AB2" s="236"/>
      <c r="AC2" s="236"/>
      <c r="AD2" s="237"/>
      <c r="AE2" s="238" t="s">
        <v>32</v>
      </c>
      <c r="AF2" s="239"/>
      <c r="AG2" s="239"/>
      <c r="AH2" s="239"/>
      <c r="AI2" s="239"/>
      <c r="AJ2" s="239"/>
      <c r="AK2" s="240"/>
      <c r="AL2" s="241" t="str">
        <f>タイトル!I44</f>
        <v>　CK-020_給与計算処理</v>
      </c>
      <c r="AM2" s="242"/>
      <c r="AN2" s="242"/>
      <c r="AO2" s="242"/>
      <c r="AP2" s="242"/>
      <c r="AQ2" s="242"/>
      <c r="AR2" s="242"/>
      <c r="AS2" s="242"/>
      <c r="AT2" s="242"/>
      <c r="AU2" s="242"/>
      <c r="AV2" s="242"/>
      <c r="AW2" s="242"/>
      <c r="AX2" s="242"/>
      <c r="AY2" s="242"/>
      <c r="AZ2" s="242"/>
      <c r="BA2" s="242"/>
      <c r="BB2" s="242"/>
      <c r="BC2" s="242"/>
      <c r="BD2" s="242"/>
      <c r="BE2" s="242"/>
      <c r="BF2" s="242"/>
      <c r="BG2" s="242"/>
      <c r="BH2" s="243"/>
      <c r="BI2" s="244" t="s">
        <v>15</v>
      </c>
      <c r="BJ2" s="245"/>
      <c r="BK2" s="245"/>
      <c r="BL2" s="246"/>
      <c r="BM2" s="247" t="s">
        <v>457</v>
      </c>
      <c r="BN2" s="248"/>
      <c r="BO2" s="248"/>
      <c r="BP2" s="248"/>
      <c r="BQ2" s="248"/>
      <c r="BR2" s="248"/>
      <c r="BS2" s="248"/>
      <c r="BT2" s="248"/>
      <c r="BU2" s="248"/>
      <c r="BV2" s="249"/>
      <c r="BW2" s="250">
        <v>45454</v>
      </c>
      <c r="BX2" s="251"/>
      <c r="BY2" s="251"/>
      <c r="BZ2" s="251"/>
      <c r="CA2" s="251"/>
      <c r="CB2" s="251"/>
      <c r="CC2" s="251"/>
      <c r="CD2" s="251"/>
      <c r="CE2" s="252"/>
      <c r="CF2" s="217"/>
      <c r="CG2" s="218"/>
      <c r="CH2" s="218"/>
      <c r="CI2" s="218"/>
      <c r="CJ2" s="219"/>
      <c r="CK2" s="226"/>
      <c r="CL2" s="227"/>
      <c r="CM2" s="227"/>
      <c r="CN2" s="227"/>
      <c r="CO2" s="227"/>
      <c r="CP2" s="227"/>
      <c r="CQ2" s="227"/>
      <c r="CR2" s="228"/>
    </row>
    <row r="3" spans="1:96" s="15" customFormat="1" ht="15" customHeight="1" thickBot="1" x14ac:dyDescent="0.25">
      <c r="A3" s="196"/>
      <c r="B3" s="197"/>
      <c r="C3" s="197"/>
      <c r="D3" s="197"/>
      <c r="E3" s="197"/>
      <c r="F3" s="197"/>
      <c r="G3" s="197"/>
      <c r="H3" s="198"/>
      <c r="I3" s="199"/>
      <c r="J3" s="200"/>
      <c r="K3" s="200"/>
      <c r="L3" s="200"/>
      <c r="M3" s="200"/>
      <c r="N3" s="200"/>
      <c r="O3" s="200"/>
      <c r="P3" s="200"/>
      <c r="Q3" s="200"/>
      <c r="R3" s="200"/>
      <c r="S3" s="200"/>
      <c r="T3" s="200"/>
      <c r="U3" s="200"/>
      <c r="V3" s="200"/>
      <c r="W3" s="200"/>
      <c r="X3" s="200"/>
      <c r="Y3" s="200"/>
      <c r="Z3" s="200"/>
      <c r="AA3" s="200"/>
      <c r="AB3" s="200"/>
      <c r="AC3" s="200"/>
      <c r="AD3" s="201"/>
      <c r="AE3" s="220"/>
      <c r="AF3" s="221"/>
      <c r="AG3" s="221"/>
      <c r="AH3" s="221"/>
      <c r="AI3" s="221"/>
      <c r="AJ3" s="221"/>
      <c r="AK3" s="222"/>
      <c r="AL3" s="202"/>
      <c r="AM3" s="203"/>
      <c r="AN3" s="203"/>
      <c r="AO3" s="203"/>
      <c r="AP3" s="203"/>
      <c r="AQ3" s="203"/>
      <c r="AR3" s="203"/>
      <c r="AS3" s="203"/>
      <c r="AT3" s="203"/>
      <c r="AU3" s="203"/>
      <c r="AV3" s="203"/>
      <c r="AW3" s="203"/>
      <c r="AX3" s="203"/>
      <c r="AY3" s="203"/>
      <c r="AZ3" s="203"/>
      <c r="BA3" s="203"/>
      <c r="BB3" s="203"/>
      <c r="BC3" s="203"/>
      <c r="BD3" s="203"/>
      <c r="BE3" s="203"/>
      <c r="BF3" s="203"/>
      <c r="BG3" s="203"/>
      <c r="BH3" s="204"/>
      <c r="BI3" s="205"/>
      <c r="BJ3" s="206"/>
      <c r="BK3" s="206"/>
      <c r="BL3" s="207"/>
      <c r="BM3" s="208"/>
      <c r="BN3" s="209"/>
      <c r="BO3" s="209"/>
      <c r="BP3" s="209"/>
      <c r="BQ3" s="209"/>
      <c r="BR3" s="209"/>
      <c r="BS3" s="209"/>
      <c r="BT3" s="209"/>
      <c r="BU3" s="209"/>
      <c r="BV3" s="209"/>
      <c r="BW3" s="209"/>
      <c r="BX3" s="209"/>
      <c r="BY3" s="209"/>
      <c r="BZ3" s="209"/>
      <c r="CA3" s="209"/>
      <c r="CB3" s="209"/>
      <c r="CC3" s="209"/>
      <c r="CD3" s="209"/>
      <c r="CE3" s="210"/>
      <c r="CF3" s="220"/>
      <c r="CG3" s="221"/>
      <c r="CH3" s="221"/>
      <c r="CI3" s="221"/>
      <c r="CJ3" s="222"/>
      <c r="CK3" s="229"/>
      <c r="CL3" s="230"/>
      <c r="CM3" s="230"/>
      <c r="CN3" s="230"/>
      <c r="CO3" s="230"/>
      <c r="CP3" s="230"/>
      <c r="CQ3" s="230"/>
      <c r="CR3" s="231"/>
    </row>
    <row r="4" spans="1:96" s="16" customFormat="1" ht="15" customHeight="1" x14ac:dyDescent="0.2">
      <c r="A4" s="190" t="s">
        <v>53</v>
      </c>
      <c r="B4" s="191"/>
      <c r="C4" s="191"/>
      <c r="D4" s="191"/>
      <c r="E4" s="191"/>
      <c r="F4" s="191"/>
      <c r="G4" s="191"/>
      <c r="H4" s="191"/>
      <c r="I4" s="192" t="str">
        <f ca="1">"　" &amp; RIGHT(CELL("filename",A1),LEN(CELL("filename",A1))-FIND("]",CELL("filename",A1)))</f>
        <v>　勤務データ仮集計</v>
      </c>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1" t="s">
        <v>54</v>
      </c>
      <c r="AM4" s="191"/>
      <c r="AN4" s="191"/>
      <c r="AO4" s="191"/>
      <c r="AP4" s="191"/>
      <c r="AQ4" s="191"/>
      <c r="AR4" s="191"/>
      <c r="AS4" s="193" t="s">
        <v>74</v>
      </c>
      <c r="AT4" s="193"/>
      <c r="AU4" s="193"/>
      <c r="AV4" s="193"/>
      <c r="AW4" s="193"/>
      <c r="AX4" s="193"/>
      <c r="AY4" s="193"/>
      <c r="AZ4" s="193"/>
      <c r="BA4" s="193"/>
      <c r="BB4" s="193"/>
      <c r="BC4" s="193"/>
      <c r="BD4" s="193"/>
      <c r="BE4" s="193"/>
      <c r="BF4" s="193"/>
      <c r="BG4" s="193"/>
      <c r="BH4" s="193"/>
      <c r="BI4" s="341" t="s">
        <v>35</v>
      </c>
      <c r="BJ4" s="342"/>
      <c r="BK4" s="342"/>
      <c r="BL4" s="342"/>
      <c r="BM4" s="342"/>
      <c r="BN4" s="342"/>
      <c r="BO4" s="342"/>
      <c r="BP4" s="342"/>
      <c r="BQ4" s="342"/>
      <c r="BR4" s="342"/>
      <c r="BS4" s="342"/>
      <c r="BT4" s="343" t="s">
        <v>111</v>
      </c>
      <c r="BU4" s="344"/>
      <c r="BV4" s="344"/>
      <c r="BW4" s="344"/>
      <c r="BX4" s="344"/>
      <c r="BY4" s="344"/>
      <c r="BZ4" s="344"/>
      <c r="CA4" s="344"/>
      <c r="CB4" s="344"/>
      <c r="CC4" s="344"/>
      <c r="CD4" s="344"/>
      <c r="CE4" s="344"/>
      <c r="CF4" s="344"/>
      <c r="CG4" s="344"/>
      <c r="CH4" s="344"/>
      <c r="CI4" s="344"/>
      <c r="CJ4" s="344"/>
      <c r="CK4" s="344"/>
      <c r="CL4" s="344"/>
      <c r="CM4" s="344"/>
      <c r="CN4" s="344"/>
      <c r="CO4" s="344"/>
      <c r="CP4" s="344"/>
      <c r="CQ4" s="344"/>
      <c r="CR4" s="345"/>
    </row>
    <row r="5" spans="1:96" s="12" customFormat="1" ht="15" customHeight="1" x14ac:dyDescent="0.15">
      <c r="A5" s="184" t="s">
        <v>55</v>
      </c>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346" t="s">
        <v>56</v>
      </c>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6"/>
      <c r="CL5" s="346"/>
      <c r="CM5" s="346"/>
      <c r="CN5" s="346"/>
      <c r="CO5" s="346"/>
      <c r="CP5" s="346"/>
      <c r="CQ5" s="346"/>
      <c r="CR5" s="347"/>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57</v>
      </c>
      <c r="BK7" s="18" t="s">
        <v>103</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c r="BK8" s="13" t="s">
        <v>75</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348" t="s">
        <v>58</v>
      </c>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5"/>
      <c r="CG12" s="185"/>
      <c r="CH12" s="185"/>
      <c r="CI12" s="185"/>
      <c r="CJ12" s="185"/>
      <c r="CK12" s="185"/>
      <c r="CL12" s="185"/>
      <c r="CM12" s="185"/>
      <c r="CN12" s="185"/>
      <c r="CO12" s="185"/>
      <c r="CP12" s="185"/>
      <c r="CQ12" s="185"/>
      <c r="CR12" s="186"/>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8" t="s">
        <v>60</v>
      </c>
      <c r="BK14" s="13" t="s">
        <v>418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J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J16" s="18" t="s">
        <v>433</v>
      </c>
      <c r="BK16" s="18" t="s">
        <v>434</v>
      </c>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row>
    <row r="17" spans="1:123"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8"/>
      <c r="BK17" s="18" t="s">
        <v>435</v>
      </c>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row>
    <row r="18" spans="1:123"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J18" s="18"/>
      <c r="BK18" s="18" t="s">
        <v>437</v>
      </c>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row>
    <row r="19" spans="1:123"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c r="BK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9"/>
    </row>
    <row r="20" spans="1:123"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row>
    <row r="21" spans="1:123"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M21" s="18"/>
      <c r="BN21" s="18"/>
      <c r="BO21" s="18"/>
      <c r="CQ21" s="18"/>
      <c r="CR21" s="19"/>
    </row>
    <row r="22" spans="1:123"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23"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row>
    <row r="24" spans="1:123"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row>
    <row r="25" spans="1:123"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row>
    <row r="26" spans="1:123"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23"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V27" s="18"/>
    </row>
    <row r="28" spans="1:123"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row>
    <row r="29" spans="1:123"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row>
    <row r="30" spans="1:123"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23"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row>
    <row r="32" spans="1:123"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184" t="s">
        <v>61</v>
      </c>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c r="AX38" s="185"/>
      <c r="AY38" s="185"/>
      <c r="AZ38" s="185"/>
      <c r="BA38" s="185"/>
      <c r="BB38" s="185"/>
      <c r="BC38" s="185"/>
      <c r="BD38" s="185"/>
      <c r="BE38" s="185"/>
      <c r="BF38" s="185"/>
      <c r="BG38" s="185"/>
      <c r="BH38" s="349"/>
      <c r="BI38" s="348" t="s">
        <v>64</v>
      </c>
      <c r="BJ38" s="185"/>
      <c r="BK38" s="185"/>
      <c r="BL38" s="185"/>
      <c r="BM38" s="185"/>
      <c r="BN38" s="185"/>
      <c r="BO38" s="185"/>
      <c r="BP38" s="185"/>
      <c r="BQ38" s="185"/>
      <c r="BR38" s="185"/>
      <c r="BS38" s="185"/>
      <c r="BT38" s="185"/>
      <c r="BU38" s="185"/>
      <c r="BV38" s="185"/>
      <c r="BW38" s="185"/>
      <c r="BX38" s="185"/>
      <c r="BY38" s="185"/>
      <c r="BZ38" s="185"/>
      <c r="CA38" s="185"/>
      <c r="CB38" s="185"/>
      <c r="CC38" s="185"/>
      <c r="CD38" s="185"/>
      <c r="CE38" s="185"/>
      <c r="CF38" s="185"/>
      <c r="CG38" s="185"/>
      <c r="CH38" s="185"/>
      <c r="CI38" s="185"/>
      <c r="CJ38" s="185"/>
      <c r="CK38" s="185"/>
      <c r="CL38" s="185"/>
      <c r="CM38" s="185"/>
      <c r="CN38" s="185"/>
      <c r="CO38" s="185"/>
      <c r="CP38" s="185"/>
      <c r="CQ38" s="185"/>
      <c r="CR38" s="186"/>
    </row>
    <row r="39" spans="1:123" s="13" customFormat="1" ht="15" customHeight="1" x14ac:dyDescent="0.15">
      <c r="A39" s="184" t="s">
        <v>59</v>
      </c>
      <c r="B39" s="185"/>
      <c r="C39" s="185"/>
      <c r="D39" s="185"/>
      <c r="E39" s="185"/>
      <c r="F39" s="185"/>
      <c r="G39" s="185"/>
      <c r="H39" s="185"/>
      <c r="I39" s="185"/>
      <c r="J39" s="349"/>
      <c r="K39" s="348" t="s">
        <v>62</v>
      </c>
      <c r="L39" s="185"/>
      <c r="M39" s="185"/>
      <c r="N39" s="185"/>
      <c r="O39" s="185"/>
      <c r="P39" s="185"/>
      <c r="Q39" s="185"/>
      <c r="R39" s="185"/>
      <c r="S39" s="185"/>
      <c r="T39" s="185"/>
      <c r="U39" s="185"/>
      <c r="V39" s="185"/>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349"/>
      <c r="AW39" s="348" t="s">
        <v>63</v>
      </c>
      <c r="AX39" s="185"/>
      <c r="AY39" s="185"/>
      <c r="AZ39" s="185"/>
      <c r="BA39" s="185"/>
      <c r="BB39" s="185"/>
      <c r="BC39" s="185"/>
      <c r="BD39" s="185"/>
      <c r="BE39" s="185"/>
      <c r="BF39" s="185"/>
      <c r="BG39" s="185"/>
      <c r="BH39" s="349"/>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350" t="s">
        <v>76</v>
      </c>
      <c r="B40" s="351"/>
      <c r="C40" s="351"/>
      <c r="D40" s="351"/>
      <c r="E40" s="351"/>
      <c r="F40" s="351"/>
      <c r="G40" s="351"/>
      <c r="H40" s="351"/>
      <c r="I40" s="351"/>
      <c r="J40" s="352"/>
      <c r="K40" s="353" t="s">
        <v>309</v>
      </c>
      <c r="L40" s="351"/>
      <c r="M40" s="351"/>
      <c r="N40" s="351"/>
      <c r="O40" s="351"/>
      <c r="P40" s="351"/>
      <c r="Q40" s="351"/>
      <c r="R40" s="351"/>
      <c r="S40" s="351"/>
      <c r="T40" s="351"/>
      <c r="U40" s="351"/>
      <c r="V40" s="351"/>
      <c r="W40" s="351"/>
      <c r="X40" s="351"/>
      <c r="Y40" s="351"/>
      <c r="Z40" s="351"/>
      <c r="AA40" s="351"/>
      <c r="AB40" s="351"/>
      <c r="AC40" s="351"/>
      <c r="AD40" s="351"/>
      <c r="AE40" s="351"/>
      <c r="AF40" s="351"/>
      <c r="AG40" s="351"/>
      <c r="AH40" s="351"/>
      <c r="AI40" s="351"/>
      <c r="AJ40" s="351"/>
      <c r="AK40" s="351"/>
      <c r="AL40" s="351"/>
      <c r="AM40" s="351"/>
      <c r="AN40" s="351"/>
      <c r="AO40" s="351"/>
      <c r="AP40" s="351"/>
      <c r="AQ40" s="351"/>
      <c r="AR40" s="351"/>
      <c r="AS40" s="351"/>
      <c r="AT40" s="351"/>
      <c r="AU40" s="351"/>
      <c r="AV40" s="352"/>
      <c r="AW40" s="353" t="s">
        <v>77</v>
      </c>
      <c r="AX40" s="351"/>
      <c r="AY40" s="351"/>
      <c r="AZ40" s="351"/>
      <c r="BA40" s="351"/>
      <c r="BB40" s="351"/>
      <c r="BC40" s="351"/>
      <c r="BD40" s="351"/>
      <c r="BE40" s="351"/>
      <c r="BF40" s="351"/>
      <c r="BG40" s="351"/>
      <c r="BH40" s="352"/>
      <c r="BI40" s="53"/>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356" t="s">
        <v>78</v>
      </c>
      <c r="B41" s="339"/>
      <c r="C41" s="339"/>
      <c r="D41" s="339"/>
      <c r="E41" s="339"/>
      <c r="F41" s="339"/>
      <c r="G41" s="339"/>
      <c r="H41" s="339"/>
      <c r="I41" s="339"/>
      <c r="J41" s="340"/>
      <c r="K41" s="338" t="s">
        <v>310</v>
      </c>
      <c r="L41" s="339"/>
      <c r="M41" s="339"/>
      <c r="N41" s="339"/>
      <c r="O41" s="339"/>
      <c r="P41" s="339"/>
      <c r="Q41" s="339"/>
      <c r="R41" s="339"/>
      <c r="S41" s="339"/>
      <c r="T41" s="339"/>
      <c r="U41" s="339"/>
      <c r="V41" s="339"/>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40"/>
      <c r="AW41" s="338" t="s">
        <v>77</v>
      </c>
      <c r="AX41" s="339"/>
      <c r="AY41" s="339"/>
      <c r="AZ41" s="339"/>
      <c r="BA41" s="339"/>
      <c r="BB41" s="339"/>
      <c r="BC41" s="339"/>
      <c r="BD41" s="339"/>
      <c r="BE41" s="339"/>
      <c r="BF41" s="339"/>
      <c r="BG41" s="339"/>
      <c r="BH41" s="340"/>
      <c r="BI41" s="53"/>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356"/>
      <c r="B42" s="339"/>
      <c r="C42" s="339"/>
      <c r="D42" s="339"/>
      <c r="E42" s="339"/>
      <c r="F42" s="339"/>
      <c r="G42" s="339"/>
      <c r="H42" s="339"/>
      <c r="I42" s="339"/>
      <c r="J42" s="340"/>
      <c r="K42" s="338"/>
      <c r="L42" s="339"/>
      <c r="M42" s="339"/>
      <c r="N42" s="339"/>
      <c r="O42" s="339"/>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40"/>
      <c r="AW42" s="338"/>
      <c r="AX42" s="339"/>
      <c r="AY42" s="339"/>
      <c r="AZ42" s="339"/>
      <c r="BA42" s="339"/>
      <c r="BB42" s="339"/>
      <c r="BC42" s="339"/>
      <c r="BD42" s="339"/>
      <c r="BE42" s="339"/>
      <c r="BF42" s="339"/>
      <c r="BG42" s="339"/>
      <c r="BH42" s="340"/>
      <c r="BI42" s="53"/>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356"/>
      <c r="B43" s="339"/>
      <c r="C43" s="339"/>
      <c r="D43" s="339"/>
      <c r="E43" s="339"/>
      <c r="F43" s="339"/>
      <c r="G43" s="339"/>
      <c r="H43" s="339"/>
      <c r="I43" s="339"/>
      <c r="J43" s="340"/>
      <c r="K43" s="338"/>
      <c r="L43" s="339"/>
      <c r="M43" s="339"/>
      <c r="N43" s="339"/>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40"/>
      <c r="AW43" s="338"/>
      <c r="AX43" s="339"/>
      <c r="AY43" s="339"/>
      <c r="AZ43" s="339"/>
      <c r="BA43" s="339"/>
      <c r="BB43" s="339"/>
      <c r="BC43" s="339"/>
      <c r="BD43" s="339"/>
      <c r="BE43" s="339"/>
      <c r="BF43" s="339"/>
      <c r="BG43" s="339"/>
      <c r="BH43" s="340"/>
      <c r="BI43" s="348" t="s">
        <v>65</v>
      </c>
      <c r="BJ43" s="185"/>
      <c r="BK43" s="185"/>
      <c r="BL43" s="185"/>
      <c r="BM43" s="185"/>
      <c r="BN43" s="185"/>
      <c r="BO43" s="185"/>
      <c r="BP43" s="185"/>
      <c r="BQ43" s="185"/>
      <c r="BR43" s="185"/>
      <c r="BS43" s="185"/>
      <c r="BT43" s="185"/>
      <c r="BU43" s="185"/>
      <c r="BV43" s="185"/>
      <c r="BW43" s="185"/>
      <c r="BX43" s="185"/>
      <c r="BY43" s="185"/>
      <c r="BZ43" s="185"/>
      <c r="CA43" s="185"/>
      <c r="CB43" s="185"/>
      <c r="CC43" s="185"/>
      <c r="CD43" s="185"/>
      <c r="CE43" s="185"/>
      <c r="CF43" s="185"/>
      <c r="CG43" s="185"/>
      <c r="CH43" s="185"/>
      <c r="CI43" s="185"/>
      <c r="CJ43" s="185"/>
      <c r="CK43" s="185"/>
      <c r="CL43" s="185"/>
      <c r="CM43" s="185"/>
      <c r="CN43" s="185"/>
      <c r="CO43" s="185"/>
      <c r="CP43" s="185"/>
      <c r="CQ43" s="185"/>
      <c r="CR43" s="186"/>
    </row>
    <row r="44" spans="1:123" s="13" customFormat="1" ht="15" customHeight="1" x14ac:dyDescent="0.15">
      <c r="A44" s="356"/>
      <c r="B44" s="339"/>
      <c r="C44" s="339"/>
      <c r="D44" s="339"/>
      <c r="E44" s="339"/>
      <c r="F44" s="339"/>
      <c r="G44" s="339"/>
      <c r="H44" s="339"/>
      <c r="I44" s="339"/>
      <c r="J44" s="340"/>
      <c r="K44" s="338"/>
      <c r="L44" s="339"/>
      <c r="M44" s="339"/>
      <c r="N44" s="339"/>
      <c r="O44" s="339"/>
      <c r="P44" s="339"/>
      <c r="Q44" s="339"/>
      <c r="R44" s="339"/>
      <c r="S44" s="339"/>
      <c r="T44" s="339"/>
      <c r="U44" s="339"/>
      <c r="V44" s="339"/>
      <c r="W44" s="339"/>
      <c r="X44" s="339"/>
      <c r="Y44" s="339"/>
      <c r="Z44" s="339"/>
      <c r="AA44" s="339"/>
      <c r="AB44" s="339"/>
      <c r="AC44" s="339"/>
      <c r="AD44" s="339"/>
      <c r="AE44" s="339"/>
      <c r="AF44" s="339"/>
      <c r="AG44" s="339"/>
      <c r="AH44" s="339"/>
      <c r="AI44" s="339"/>
      <c r="AJ44" s="339"/>
      <c r="AK44" s="339"/>
      <c r="AL44" s="339"/>
      <c r="AM44" s="339"/>
      <c r="AN44" s="339"/>
      <c r="AO44" s="339"/>
      <c r="AP44" s="339"/>
      <c r="AQ44" s="339"/>
      <c r="AR44" s="339"/>
      <c r="AS44" s="339"/>
      <c r="AT44" s="339"/>
      <c r="AU44" s="339"/>
      <c r="AV44" s="340"/>
      <c r="AW44" s="338"/>
      <c r="AX44" s="339"/>
      <c r="AY44" s="339"/>
      <c r="AZ44" s="339"/>
      <c r="BA44" s="339"/>
      <c r="BB44" s="339"/>
      <c r="BC44" s="339"/>
      <c r="BD44" s="339"/>
      <c r="BE44" s="339"/>
      <c r="BF44" s="339"/>
      <c r="BG44" s="339"/>
      <c r="BH44" s="340"/>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356"/>
      <c r="B45" s="339"/>
      <c r="C45" s="339"/>
      <c r="D45" s="339"/>
      <c r="E45" s="339"/>
      <c r="F45" s="339"/>
      <c r="G45" s="339"/>
      <c r="H45" s="339"/>
      <c r="I45" s="339"/>
      <c r="J45" s="340"/>
      <c r="K45" s="338"/>
      <c r="L45" s="339"/>
      <c r="M45" s="339"/>
      <c r="N45" s="339"/>
      <c r="O45" s="339"/>
      <c r="P45" s="339"/>
      <c r="Q45" s="339"/>
      <c r="R45" s="339"/>
      <c r="S45" s="339"/>
      <c r="T45" s="339"/>
      <c r="U45" s="339"/>
      <c r="V45" s="339"/>
      <c r="W45" s="339"/>
      <c r="X45" s="339"/>
      <c r="Y45" s="339"/>
      <c r="Z45" s="339"/>
      <c r="AA45" s="339"/>
      <c r="AB45" s="339"/>
      <c r="AC45" s="339"/>
      <c r="AD45" s="339"/>
      <c r="AE45" s="339"/>
      <c r="AF45" s="339"/>
      <c r="AG45" s="339"/>
      <c r="AH45" s="339"/>
      <c r="AI45" s="339"/>
      <c r="AJ45" s="339"/>
      <c r="AK45" s="339"/>
      <c r="AL45" s="339"/>
      <c r="AM45" s="339"/>
      <c r="AN45" s="339"/>
      <c r="AO45" s="339"/>
      <c r="AP45" s="339"/>
      <c r="AQ45" s="339"/>
      <c r="AR45" s="339"/>
      <c r="AS45" s="339"/>
      <c r="AT45" s="339"/>
      <c r="AU45" s="339"/>
      <c r="AV45" s="340"/>
      <c r="AW45" s="338"/>
      <c r="AX45" s="339"/>
      <c r="AY45" s="339"/>
      <c r="AZ45" s="339"/>
      <c r="BA45" s="339"/>
      <c r="BB45" s="339"/>
      <c r="BC45" s="339"/>
      <c r="BD45" s="339"/>
      <c r="BE45" s="339"/>
      <c r="BF45" s="339"/>
      <c r="BG45" s="339"/>
      <c r="BH45" s="340"/>
      <c r="BI45" s="53"/>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356"/>
      <c r="B46" s="339"/>
      <c r="C46" s="339"/>
      <c r="D46" s="339"/>
      <c r="E46" s="339"/>
      <c r="F46" s="339"/>
      <c r="G46" s="339"/>
      <c r="H46" s="339"/>
      <c r="I46" s="339"/>
      <c r="J46" s="340"/>
      <c r="K46" s="338"/>
      <c r="L46" s="339"/>
      <c r="M46" s="339"/>
      <c r="N46" s="339"/>
      <c r="O46" s="339"/>
      <c r="P46" s="339"/>
      <c r="Q46" s="339"/>
      <c r="R46" s="339"/>
      <c r="S46" s="339"/>
      <c r="T46" s="339"/>
      <c r="U46" s="339"/>
      <c r="V46" s="339"/>
      <c r="W46" s="339"/>
      <c r="X46" s="339"/>
      <c r="Y46" s="339"/>
      <c r="Z46" s="339"/>
      <c r="AA46" s="339"/>
      <c r="AB46" s="339"/>
      <c r="AC46" s="339"/>
      <c r="AD46" s="339"/>
      <c r="AE46" s="339"/>
      <c r="AF46" s="339"/>
      <c r="AG46" s="339"/>
      <c r="AH46" s="339"/>
      <c r="AI46" s="339"/>
      <c r="AJ46" s="339"/>
      <c r="AK46" s="339"/>
      <c r="AL46" s="339"/>
      <c r="AM46" s="339"/>
      <c r="AN46" s="339"/>
      <c r="AO46" s="339"/>
      <c r="AP46" s="339"/>
      <c r="AQ46" s="339"/>
      <c r="AR46" s="339"/>
      <c r="AS46" s="339"/>
      <c r="AT46" s="339"/>
      <c r="AU46" s="339"/>
      <c r="AV46" s="340"/>
      <c r="AW46" s="338"/>
      <c r="AX46" s="339"/>
      <c r="AY46" s="339"/>
      <c r="AZ46" s="339"/>
      <c r="BA46" s="339"/>
      <c r="BB46" s="339"/>
      <c r="BC46" s="339"/>
      <c r="BD46" s="339"/>
      <c r="BE46" s="339"/>
      <c r="BF46" s="339"/>
      <c r="BG46" s="339"/>
      <c r="BH46" s="340"/>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357"/>
      <c r="B47" s="358"/>
      <c r="C47" s="358"/>
      <c r="D47" s="358"/>
      <c r="E47" s="358"/>
      <c r="F47" s="358"/>
      <c r="G47" s="358"/>
      <c r="H47" s="358"/>
      <c r="I47" s="358"/>
      <c r="J47" s="359"/>
      <c r="K47" s="360"/>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9"/>
      <c r="AW47" s="360"/>
      <c r="AX47" s="358"/>
      <c r="AY47" s="358"/>
      <c r="AZ47" s="358"/>
      <c r="BA47" s="358"/>
      <c r="BB47" s="358"/>
      <c r="BC47" s="358"/>
      <c r="BD47" s="358"/>
      <c r="BE47" s="358"/>
      <c r="BF47" s="358"/>
      <c r="BG47" s="358"/>
      <c r="BH47" s="359"/>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184" t="s">
        <v>66</v>
      </c>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c r="BW48" s="185"/>
      <c r="BX48" s="185"/>
      <c r="BY48" s="185"/>
      <c r="BZ48" s="185"/>
      <c r="CA48" s="185"/>
      <c r="CB48" s="185"/>
      <c r="CC48" s="185"/>
      <c r="CD48" s="185"/>
      <c r="CE48" s="185"/>
      <c r="CF48" s="185"/>
      <c r="CG48" s="185"/>
      <c r="CH48" s="185"/>
      <c r="CI48" s="185"/>
      <c r="CJ48" s="185"/>
      <c r="CK48" s="185"/>
      <c r="CL48" s="185"/>
      <c r="CM48" s="185"/>
      <c r="CN48" s="185"/>
      <c r="CO48" s="185"/>
      <c r="CP48" s="185"/>
      <c r="CQ48" s="185"/>
      <c r="CR48" s="186"/>
    </row>
    <row r="49" spans="1:96"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2">
      <c r="A50" s="57"/>
      <c r="B50" s="58" t="s">
        <v>86</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X50" s="58" t="s">
        <v>113</v>
      </c>
      <c r="AY50" s="58"/>
      <c r="AZ50" s="58"/>
      <c r="BA50" s="58"/>
      <c r="BB50" s="58"/>
      <c r="BC50" s="58"/>
      <c r="BD50" s="58"/>
      <c r="BE50" s="58"/>
      <c r="CR50" s="59"/>
    </row>
    <row r="51" spans="1:96" s="60" customFormat="1" ht="15" customHeight="1" x14ac:dyDescent="0.15">
      <c r="A51" s="57"/>
      <c r="B51" s="299" t="s">
        <v>79</v>
      </c>
      <c r="C51" s="300"/>
      <c r="D51" s="300"/>
      <c r="E51" s="300"/>
      <c r="F51" s="300"/>
      <c r="G51" s="300"/>
      <c r="H51" s="300"/>
      <c r="I51" s="300"/>
      <c r="J51" s="300"/>
      <c r="K51" s="300"/>
      <c r="L51" s="300"/>
      <c r="M51" s="300"/>
      <c r="N51" s="300"/>
      <c r="O51" s="308"/>
      <c r="P51" s="299" t="s">
        <v>80</v>
      </c>
      <c r="Q51" s="300"/>
      <c r="R51" s="300"/>
      <c r="S51" s="300"/>
      <c r="T51" s="308"/>
      <c r="U51" s="299" t="s">
        <v>81</v>
      </c>
      <c r="V51" s="300"/>
      <c r="W51" s="308"/>
      <c r="X51" s="299" t="s">
        <v>82</v>
      </c>
      <c r="Y51" s="322"/>
      <c r="Z51" s="322"/>
      <c r="AA51" s="322"/>
      <c r="AB51" s="322"/>
      <c r="AC51" s="322"/>
      <c r="AD51" s="322"/>
      <c r="AE51" s="322"/>
      <c r="AF51" s="322"/>
      <c r="AG51" s="322"/>
      <c r="AH51" s="322"/>
      <c r="AI51" s="322"/>
      <c r="AJ51" s="322"/>
      <c r="AK51" s="322"/>
      <c r="AL51" s="322"/>
      <c r="AM51" s="322"/>
      <c r="AN51" s="322"/>
      <c r="AO51" s="322"/>
      <c r="AP51" s="322"/>
      <c r="AQ51" s="322"/>
      <c r="AR51" s="322"/>
      <c r="AS51" s="322"/>
      <c r="AT51" s="322"/>
      <c r="AU51" s="322"/>
      <c r="AV51" s="323"/>
      <c r="AX51" s="58"/>
      <c r="AY51" s="23" t="s">
        <v>436</v>
      </c>
      <c r="AZ51" s="58"/>
      <c r="BA51" s="58"/>
      <c r="BB51" s="58"/>
      <c r="BC51" s="58"/>
      <c r="BD51" s="58"/>
      <c r="BE51" s="58"/>
      <c r="CR51" s="59"/>
    </row>
    <row r="52" spans="1:96" s="60" customFormat="1" ht="15" customHeight="1" x14ac:dyDescent="0.2">
      <c r="A52" s="57"/>
      <c r="B52" s="297" t="s">
        <v>83</v>
      </c>
      <c r="C52" s="297"/>
      <c r="D52" s="297"/>
      <c r="E52" s="297"/>
      <c r="F52" s="297"/>
      <c r="G52" s="297"/>
      <c r="H52" s="297"/>
      <c r="I52" s="297"/>
      <c r="J52" s="297"/>
      <c r="K52" s="297"/>
      <c r="L52" s="297"/>
      <c r="M52" s="297"/>
      <c r="N52" s="297"/>
      <c r="O52" s="297"/>
      <c r="P52" s="310" t="s">
        <v>104</v>
      </c>
      <c r="Q52" s="310"/>
      <c r="R52" s="310"/>
      <c r="S52" s="310"/>
      <c r="T52" s="310"/>
      <c r="U52" s="324" t="s">
        <v>84</v>
      </c>
      <c r="V52" s="325"/>
      <c r="W52" s="326"/>
      <c r="X52" s="297" t="s">
        <v>61</v>
      </c>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X52" s="58"/>
      <c r="AY52" s="23" t="s">
        <v>87</v>
      </c>
      <c r="AZ52" s="58"/>
      <c r="BA52" s="58"/>
      <c r="BB52" s="58"/>
      <c r="BC52" s="58"/>
      <c r="BD52" s="58"/>
      <c r="BE52" s="58"/>
      <c r="CR52" s="59"/>
    </row>
    <row r="53" spans="1:96" s="60" customFormat="1" ht="15" customHeight="1" x14ac:dyDescent="0.2">
      <c r="A53" s="57"/>
      <c r="B53" s="297" t="s">
        <v>85</v>
      </c>
      <c r="C53" s="297"/>
      <c r="D53" s="297"/>
      <c r="E53" s="297"/>
      <c r="F53" s="297"/>
      <c r="G53" s="297"/>
      <c r="H53" s="297"/>
      <c r="I53" s="297"/>
      <c r="J53" s="297"/>
      <c r="K53" s="297"/>
      <c r="L53" s="297"/>
      <c r="M53" s="297"/>
      <c r="N53" s="297"/>
      <c r="O53" s="297"/>
      <c r="P53" s="310" t="s">
        <v>104</v>
      </c>
      <c r="Q53" s="310"/>
      <c r="R53" s="310"/>
      <c r="S53" s="310"/>
      <c r="T53" s="310"/>
      <c r="U53" s="324" t="s">
        <v>84</v>
      </c>
      <c r="V53" s="325"/>
      <c r="W53" s="326"/>
      <c r="X53" s="297" t="s">
        <v>61</v>
      </c>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Y53" s="18" t="s">
        <v>437</v>
      </c>
      <c r="CR53" s="59"/>
    </row>
    <row r="54" spans="1:96" s="60" customFormat="1" ht="15" customHeight="1" x14ac:dyDescent="0.2">
      <c r="A54" s="57"/>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CR54" s="59"/>
    </row>
    <row r="55" spans="1:96" s="60" customFormat="1" ht="15" customHeight="1" x14ac:dyDescent="0.2">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t="s">
        <v>311</v>
      </c>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23"/>
      <c r="CN55" s="23"/>
      <c r="CO55" s="23"/>
      <c r="CP55" s="23"/>
      <c r="CQ55" s="58"/>
      <c r="CR55" s="59"/>
    </row>
    <row r="56" spans="1:96" s="60" customFormat="1" ht="15" customHeight="1" x14ac:dyDescent="0.2">
      <c r="A56" s="57"/>
      <c r="B56" s="58" t="s">
        <v>105</v>
      </c>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X56" s="58"/>
      <c r="AY56" s="76" t="s">
        <v>89</v>
      </c>
      <c r="AZ56" s="289" t="s">
        <v>90</v>
      </c>
      <c r="BA56" s="289"/>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c r="CM56" s="289"/>
      <c r="CN56" s="289"/>
      <c r="CO56" s="289"/>
      <c r="CP56" s="289"/>
      <c r="CQ56" s="289"/>
      <c r="CR56" s="59"/>
    </row>
    <row r="57" spans="1:96" s="60" customFormat="1" ht="15" customHeight="1" thickBot="1" x14ac:dyDescent="0.25">
      <c r="A57" s="57"/>
      <c r="B57" s="58"/>
      <c r="C57" s="58" t="s">
        <v>106</v>
      </c>
      <c r="D57" s="58"/>
      <c r="E57" s="58"/>
      <c r="AF57" s="58"/>
      <c r="AG57" s="58"/>
      <c r="AH57" s="58"/>
      <c r="AI57" s="58"/>
      <c r="AJ57" s="58"/>
      <c r="AK57" s="58"/>
      <c r="AL57" s="58"/>
      <c r="AM57" s="58"/>
      <c r="AN57" s="58"/>
      <c r="AO57" s="58"/>
      <c r="AP57" s="58"/>
      <c r="AQ57" s="58"/>
      <c r="AR57" s="58"/>
      <c r="AS57" s="58"/>
      <c r="AT57" s="58"/>
      <c r="AU57" s="58"/>
      <c r="AV57" s="58"/>
      <c r="AY57" s="80" t="s">
        <v>88</v>
      </c>
      <c r="AZ57" s="73" t="s">
        <v>92</v>
      </c>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4"/>
      <c r="CN57" s="74"/>
      <c r="CO57" s="74"/>
      <c r="CP57" s="74"/>
      <c r="CQ57" s="75"/>
      <c r="CR57" s="59"/>
    </row>
    <row r="58" spans="1:96" s="60" customFormat="1" ht="15" customHeight="1" thickBot="1" x14ac:dyDescent="0.25">
      <c r="A58" s="57"/>
      <c r="B58" s="58"/>
      <c r="C58" s="58"/>
      <c r="D58" s="81" t="s">
        <v>69</v>
      </c>
      <c r="E58" s="82"/>
      <c r="F58" s="82"/>
      <c r="G58" s="82"/>
      <c r="H58" s="82"/>
      <c r="I58" s="82"/>
      <c r="J58" s="82"/>
      <c r="K58" s="83"/>
      <c r="L58" s="84"/>
      <c r="M58" s="85"/>
      <c r="N58" s="85"/>
      <c r="O58" s="85"/>
      <c r="P58" s="85"/>
      <c r="Q58" s="85"/>
      <c r="R58" s="85"/>
      <c r="S58" s="85"/>
      <c r="T58" s="354" t="s">
        <v>107</v>
      </c>
      <c r="U58" s="355"/>
      <c r="V58" s="84"/>
      <c r="W58" s="85"/>
      <c r="X58" s="85"/>
      <c r="Y58" s="85"/>
      <c r="Z58" s="85"/>
      <c r="AA58" s="85"/>
      <c r="AB58" s="85"/>
      <c r="AC58" s="86"/>
      <c r="AD58" s="354" t="s">
        <v>107</v>
      </c>
      <c r="AE58" s="355"/>
      <c r="AF58" s="58"/>
      <c r="AG58" s="58"/>
      <c r="AH58" s="58"/>
      <c r="AI58" s="58"/>
      <c r="AJ58" s="58"/>
      <c r="AK58" s="58"/>
      <c r="AL58" s="58"/>
      <c r="AM58" s="58"/>
      <c r="AN58" s="58"/>
      <c r="AO58" s="58"/>
      <c r="AP58" s="58"/>
      <c r="AQ58" s="58"/>
      <c r="AR58" s="58"/>
      <c r="AS58" s="58"/>
      <c r="AT58" s="58"/>
      <c r="AU58" s="58"/>
      <c r="AV58" s="58"/>
      <c r="AY58" s="114" t="s">
        <v>91</v>
      </c>
      <c r="AZ58" s="110" t="s">
        <v>387</v>
      </c>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2"/>
      <c r="CN58" s="112"/>
      <c r="CO58" s="112"/>
      <c r="CP58" s="112"/>
      <c r="CQ58" s="113"/>
      <c r="CR58" s="59"/>
    </row>
    <row r="59" spans="1:96" s="60" customFormat="1" ht="15" customHeight="1" x14ac:dyDescent="0.2">
      <c r="A59" s="57"/>
      <c r="B59" s="58"/>
      <c r="C59" s="58"/>
      <c r="D59" s="58"/>
      <c r="E59" s="58"/>
      <c r="F59" s="58"/>
      <c r="G59" s="58"/>
      <c r="H59" s="58"/>
      <c r="L59" s="87" t="s">
        <v>210</v>
      </c>
      <c r="M59" s="88"/>
      <c r="N59" s="88"/>
      <c r="O59" s="88"/>
      <c r="P59" s="88"/>
      <c r="Q59" s="88"/>
      <c r="R59" s="88"/>
      <c r="S59" s="89"/>
      <c r="T59" s="58"/>
      <c r="U59" s="58"/>
      <c r="V59" s="87" t="s">
        <v>460</v>
      </c>
      <c r="W59" s="88"/>
      <c r="X59" s="88"/>
      <c r="Y59" s="88"/>
      <c r="Z59" s="88"/>
      <c r="AA59" s="88"/>
      <c r="AB59" s="88"/>
      <c r="AC59" s="89"/>
      <c r="AD59" s="58"/>
      <c r="AE59" s="58"/>
      <c r="AF59" s="58"/>
      <c r="AG59" s="58"/>
      <c r="AH59" s="58"/>
      <c r="AI59" s="58"/>
      <c r="AJ59" s="58"/>
      <c r="AK59" s="58"/>
      <c r="AL59" s="58"/>
      <c r="AM59" s="58"/>
      <c r="AN59" s="58"/>
      <c r="AO59" s="58"/>
      <c r="AP59" s="58"/>
      <c r="AQ59" s="58"/>
      <c r="AR59" s="58"/>
      <c r="AS59" s="58"/>
      <c r="AT59" s="58"/>
      <c r="AU59" s="58"/>
      <c r="AV59" s="58"/>
      <c r="AW59" s="58"/>
      <c r="AY59" s="78"/>
      <c r="AZ59" s="66" t="s">
        <v>150</v>
      </c>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36"/>
      <c r="CN59" s="36"/>
      <c r="CO59" s="36"/>
      <c r="CP59" s="36"/>
      <c r="CQ59" s="65"/>
      <c r="CR59" s="59"/>
    </row>
    <row r="60" spans="1:96" s="60" customFormat="1" ht="15" customHeight="1" x14ac:dyDescent="0.2">
      <c r="A60" s="57"/>
      <c r="B60" s="58"/>
      <c r="C60" s="58"/>
      <c r="D60" s="58"/>
      <c r="E60" s="58"/>
      <c r="F60" s="58"/>
      <c r="G60" s="58"/>
      <c r="H60" s="58"/>
      <c r="L60" s="90" t="s">
        <v>458</v>
      </c>
      <c r="M60" s="91"/>
      <c r="N60" s="91"/>
      <c r="O60" s="91"/>
      <c r="P60" s="91"/>
      <c r="Q60" s="91"/>
      <c r="R60" s="91"/>
      <c r="S60" s="92"/>
      <c r="T60" s="58"/>
      <c r="U60" s="58"/>
      <c r="V60" s="90" t="s">
        <v>461</v>
      </c>
      <c r="W60" s="91"/>
      <c r="X60" s="91"/>
      <c r="Y60" s="91"/>
      <c r="Z60" s="91"/>
      <c r="AA60" s="91"/>
      <c r="AB60" s="91"/>
      <c r="AC60" s="92"/>
      <c r="AD60" s="58"/>
      <c r="AE60" s="58"/>
      <c r="AF60" s="58"/>
      <c r="AG60" s="58"/>
      <c r="AH60" s="58"/>
      <c r="AI60" s="58"/>
      <c r="AJ60" s="58"/>
      <c r="AK60" s="58"/>
      <c r="AL60" s="58"/>
      <c r="AM60" s="58"/>
      <c r="AN60" s="58"/>
      <c r="AO60" s="58"/>
      <c r="AP60" s="58"/>
      <c r="AQ60" s="58"/>
      <c r="AR60" s="58"/>
      <c r="AS60" s="58"/>
      <c r="AT60" s="58"/>
      <c r="AU60" s="58"/>
      <c r="AV60" s="58"/>
      <c r="AW60" s="58"/>
      <c r="AY60" s="79"/>
      <c r="AZ60" s="67" t="s">
        <v>93</v>
      </c>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42"/>
      <c r="CN60" s="42"/>
      <c r="CO60" s="42"/>
      <c r="CP60" s="42"/>
      <c r="CQ60" s="69"/>
      <c r="CR60" s="59"/>
    </row>
    <row r="61" spans="1:96" s="60" customFormat="1" ht="15" customHeight="1" x14ac:dyDescent="0.2">
      <c r="A61" s="57"/>
      <c r="B61" s="58"/>
      <c r="C61" s="58"/>
      <c r="D61" s="58"/>
      <c r="E61" s="58"/>
      <c r="F61" s="58"/>
      <c r="G61" s="58"/>
      <c r="H61" s="58"/>
      <c r="L61" s="90" t="s">
        <v>459</v>
      </c>
      <c r="M61" s="91"/>
      <c r="N61" s="91"/>
      <c r="O61" s="91"/>
      <c r="P61" s="91"/>
      <c r="Q61" s="91"/>
      <c r="R61" s="91"/>
      <c r="S61" s="92"/>
      <c r="T61" s="58"/>
      <c r="U61" s="58"/>
      <c r="V61" s="90" t="s">
        <v>462</v>
      </c>
      <c r="W61" s="91"/>
      <c r="X61" s="91"/>
      <c r="Y61" s="91"/>
      <c r="Z61" s="91"/>
      <c r="AA61" s="91"/>
      <c r="AB61" s="91"/>
      <c r="AC61" s="92"/>
      <c r="AD61" s="58"/>
      <c r="AE61" s="58"/>
      <c r="AF61" s="58"/>
      <c r="AG61" s="58"/>
      <c r="AH61" s="58"/>
      <c r="AI61" s="58"/>
      <c r="AJ61" s="58"/>
      <c r="AK61" s="58"/>
      <c r="AL61" s="58"/>
      <c r="AM61" s="58"/>
      <c r="AN61" s="58"/>
      <c r="AO61" s="58"/>
      <c r="AP61" s="58"/>
      <c r="AQ61" s="58"/>
      <c r="AR61" s="58"/>
      <c r="AS61" s="58"/>
      <c r="AT61" s="58"/>
      <c r="AU61" s="58"/>
      <c r="AV61" s="58"/>
      <c r="AW61" s="58"/>
      <c r="CR61" s="59"/>
    </row>
    <row r="62" spans="1:96" s="60" customFormat="1" ht="15" customHeight="1" x14ac:dyDescent="0.2">
      <c r="A62" s="57"/>
      <c r="B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23" t="s">
        <v>314</v>
      </c>
      <c r="BK62" s="58" t="s">
        <v>487</v>
      </c>
      <c r="CR62" s="59"/>
    </row>
    <row r="63" spans="1:96" s="60" customFormat="1" ht="15" customHeight="1" x14ac:dyDescent="0.2">
      <c r="A63" s="57"/>
      <c r="B63" s="58"/>
      <c r="C63" s="58" t="s">
        <v>108</v>
      </c>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Y63" s="23" t="s">
        <v>313</v>
      </c>
      <c r="CR63" s="59"/>
    </row>
    <row r="64" spans="1:96" s="60" customFormat="1" ht="15" customHeight="1" x14ac:dyDescent="0.2">
      <c r="A64" s="57"/>
      <c r="B64" s="58"/>
      <c r="C64" s="58" t="s">
        <v>419</v>
      </c>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CR64" s="59"/>
    </row>
    <row r="65" spans="1:96" s="60" customFormat="1" ht="15" customHeight="1" x14ac:dyDescent="0.2">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Y65" s="60" t="s">
        <v>180</v>
      </c>
      <c r="BT65" s="60" t="s">
        <v>186</v>
      </c>
      <c r="CR65" s="59"/>
    </row>
    <row r="66" spans="1:96" s="60" customFormat="1" ht="15" customHeight="1" x14ac:dyDescent="0.2">
      <c r="A66" s="115"/>
      <c r="AU66" s="58"/>
      <c r="AV66" s="58"/>
      <c r="AW66" s="58"/>
      <c r="AZ66" s="96" t="s">
        <v>181</v>
      </c>
      <c r="BA66" s="97"/>
      <c r="BB66" s="97"/>
      <c r="BC66" s="97"/>
      <c r="BD66" s="97"/>
      <c r="BE66" s="97"/>
      <c r="BF66" s="97"/>
      <c r="BG66" s="97"/>
      <c r="BH66" s="97"/>
      <c r="BI66" s="97"/>
      <c r="BJ66" s="97"/>
      <c r="BK66" s="97"/>
      <c r="BL66" s="97"/>
      <c r="BM66" s="97"/>
      <c r="BN66" s="97"/>
      <c r="BO66" s="97"/>
      <c r="BP66" s="97"/>
      <c r="BQ66" s="98"/>
      <c r="BU66" s="96" t="s">
        <v>181</v>
      </c>
      <c r="BV66" s="97"/>
      <c r="BW66" s="97"/>
      <c r="BX66" s="97"/>
      <c r="BY66" s="97"/>
      <c r="BZ66" s="97"/>
      <c r="CA66" s="97"/>
      <c r="CB66" s="97"/>
      <c r="CC66" s="97"/>
      <c r="CD66" s="97"/>
      <c r="CE66" s="97"/>
      <c r="CF66" s="97"/>
      <c r="CG66" s="97"/>
      <c r="CH66" s="97"/>
      <c r="CI66" s="97"/>
      <c r="CJ66" s="97"/>
      <c r="CK66" s="97"/>
      <c r="CL66" s="98"/>
      <c r="CR66" s="59"/>
    </row>
    <row r="67" spans="1:96" s="60" customFormat="1" ht="15" customHeight="1" x14ac:dyDescent="0.2">
      <c r="A67" s="115"/>
      <c r="AU67" s="58"/>
      <c r="AV67" s="58"/>
      <c r="AW67" s="58"/>
      <c r="AX67" s="58"/>
      <c r="AZ67" s="99" t="s">
        <v>182</v>
      </c>
      <c r="BA67" s="74"/>
      <c r="BB67" s="73"/>
      <c r="BC67" s="73"/>
      <c r="BD67" s="73"/>
      <c r="BE67" s="73"/>
      <c r="BF67" s="73"/>
      <c r="BG67" s="73"/>
      <c r="BH67" s="73"/>
      <c r="BI67" s="73"/>
      <c r="BJ67" s="73"/>
      <c r="BK67" s="73"/>
      <c r="BL67" s="73"/>
      <c r="BM67" s="73"/>
      <c r="BN67" s="73"/>
      <c r="BO67" s="73"/>
      <c r="BP67" s="73"/>
      <c r="BQ67" s="75"/>
      <c r="BR67" s="58"/>
      <c r="BS67" s="58"/>
      <c r="BT67" s="58"/>
      <c r="BU67" s="99" t="s">
        <v>182</v>
      </c>
      <c r="BV67" s="74"/>
      <c r="BW67" s="73"/>
      <c r="BX67" s="73"/>
      <c r="BY67" s="73"/>
      <c r="BZ67" s="73"/>
      <c r="CA67" s="73"/>
      <c r="CB67" s="73"/>
      <c r="CC67" s="73"/>
      <c r="CD67" s="73"/>
      <c r="CE67" s="73"/>
      <c r="CF67" s="73"/>
      <c r="CG67" s="73"/>
      <c r="CH67" s="73"/>
      <c r="CI67" s="73"/>
      <c r="CJ67" s="73"/>
      <c r="CK67" s="73"/>
      <c r="CL67" s="75"/>
      <c r="CM67" s="58"/>
      <c r="CN67" s="58"/>
      <c r="CO67" s="58"/>
      <c r="CP67" s="58"/>
      <c r="CQ67" s="58"/>
      <c r="CR67" s="59"/>
    </row>
    <row r="68" spans="1:96" s="60" customFormat="1" ht="15" customHeight="1" x14ac:dyDescent="0.2">
      <c r="A68" s="115"/>
      <c r="AU68" s="58"/>
      <c r="AV68" s="58"/>
      <c r="AW68" s="58"/>
      <c r="AX68" s="58"/>
      <c r="AZ68" s="99" t="s">
        <v>183</v>
      </c>
      <c r="BA68" s="74"/>
      <c r="BB68" s="73"/>
      <c r="BC68" s="73"/>
      <c r="BD68" s="73"/>
      <c r="BE68" s="73"/>
      <c r="BF68" s="73"/>
      <c r="BG68" s="73"/>
      <c r="BH68" s="73"/>
      <c r="BI68" s="73"/>
      <c r="BJ68" s="73"/>
      <c r="BK68" s="73"/>
      <c r="BL68" s="73"/>
      <c r="BM68" s="73"/>
      <c r="BN68" s="73"/>
      <c r="BO68" s="73"/>
      <c r="BP68" s="73"/>
      <c r="BQ68" s="75"/>
      <c r="BU68" s="99" t="s">
        <v>183</v>
      </c>
      <c r="BV68" s="74"/>
      <c r="BW68" s="73"/>
      <c r="BX68" s="73"/>
      <c r="BY68" s="73"/>
      <c r="BZ68" s="73"/>
      <c r="CA68" s="73"/>
      <c r="CB68" s="73"/>
      <c r="CC68" s="73"/>
      <c r="CD68" s="73"/>
      <c r="CE68" s="73"/>
      <c r="CF68" s="73"/>
      <c r="CG68" s="73"/>
      <c r="CH68" s="73"/>
      <c r="CI68" s="73"/>
      <c r="CJ68" s="73"/>
      <c r="CK68" s="73"/>
      <c r="CL68" s="75"/>
      <c r="CR68" s="59"/>
    </row>
    <row r="69" spans="1:96" s="60" customFormat="1" ht="15" customHeight="1" x14ac:dyDescent="0.2">
      <c r="A69" s="115"/>
      <c r="AU69" s="58"/>
      <c r="AV69" s="58"/>
      <c r="AW69" s="58"/>
      <c r="AX69" s="58"/>
      <c r="AZ69" s="99" t="s">
        <v>184</v>
      </c>
      <c r="BA69" s="74"/>
      <c r="BB69" s="73"/>
      <c r="BC69" s="73"/>
      <c r="BD69" s="73"/>
      <c r="BE69" s="73"/>
      <c r="BF69" s="73"/>
      <c r="BG69" s="73"/>
      <c r="BH69" s="73"/>
      <c r="BI69" s="73"/>
      <c r="BJ69" s="73"/>
      <c r="BK69" s="73"/>
      <c r="BL69" s="73"/>
      <c r="BM69" s="73"/>
      <c r="BN69" s="73"/>
      <c r="BO69" s="73"/>
      <c r="BP69" s="73"/>
      <c r="BQ69" s="75"/>
      <c r="BU69" s="99" t="s">
        <v>184</v>
      </c>
      <c r="BV69" s="74"/>
      <c r="BW69" s="73"/>
      <c r="BX69" s="73"/>
      <c r="BY69" s="73"/>
      <c r="BZ69" s="73"/>
      <c r="CA69" s="73"/>
      <c r="CB69" s="73"/>
      <c r="CC69" s="73"/>
      <c r="CD69" s="73"/>
      <c r="CE69" s="73"/>
      <c r="CF69" s="73"/>
      <c r="CG69" s="73"/>
      <c r="CH69" s="73"/>
      <c r="CI69" s="73"/>
      <c r="CJ69" s="73"/>
      <c r="CK69" s="73"/>
      <c r="CL69" s="75"/>
      <c r="CR69" s="59"/>
    </row>
    <row r="70" spans="1:96" s="60" customFormat="1" ht="15" customHeight="1" x14ac:dyDescent="0.2">
      <c r="A70" s="115"/>
      <c r="AU70" s="58"/>
      <c r="AV70" s="58"/>
      <c r="AW70" s="58"/>
      <c r="AZ70" s="99" t="s">
        <v>405</v>
      </c>
      <c r="BA70" s="74"/>
      <c r="BB70" s="73"/>
      <c r="BC70" s="73"/>
      <c r="BD70" s="73"/>
      <c r="BE70" s="73"/>
      <c r="BF70" s="73"/>
      <c r="BG70" s="73"/>
      <c r="BH70" s="73"/>
      <c r="BI70" s="73"/>
      <c r="BJ70" s="73"/>
      <c r="BK70" s="73"/>
      <c r="BL70" s="73"/>
      <c r="BM70" s="73"/>
      <c r="BN70" s="73"/>
      <c r="BO70" s="73"/>
      <c r="BP70" s="73"/>
      <c r="BQ70" s="75"/>
      <c r="BU70" s="99" t="s">
        <v>405</v>
      </c>
      <c r="BV70" s="74"/>
      <c r="BW70" s="73"/>
      <c r="BX70" s="73"/>
      <c r="BY70" s="73"/>
      <c r="BZ70" s="73"/>
      <c r="CA70" s="73"/>
      <c r="CB70" s="73"/>
      <c r="CC70" s="73"/>
      <c r="CD70" s="73"/>
      <c r="CE70" s="73"/>
      <c r="CF70" s="73"/>
      <c r="CG70" s="73"/>
      <c r="CH70" s="73"/>
      <c r="CI70" s="73"/>
      <c r="CJ70" s="73"/>
      <c r="CK70" s="73"/>
      <c r="CL70" s="75"/>
      <c r="CR70" s="59"/>
    </row>
    <row r="71" spans="1:96" s="60" customFormat="1" ht="15" customHeight="1" x14ac:dyDescent="0.2">
      <c r="A71" s="115"/>
      <c r="AU71" s="58"/>
      <c r="AV71" s="58"/>
      <c r="AW71" s="58"/>
      <c r="AZ71" s="99" t="s">
        <v>430</v>
      </c>
      <c r="BA71" s="74"/>
      <c r="BB71" s="73"/>
      <c r="BC71" s="73"/>
      <c r="BD71" s="73"/>
      <c r="BE71" s="73"/>
      <c r="BF71" s="73"/>
      <c r="BG71" s="73"/>
      <c r="BH71" s="73"/>
      <c r="BI71" s="73"/>
      <c r="BJ71" s="73"/>
      <c r="BK71" s="73"/>
      <c r="BL71" s="73"/>
      <c r="BM71" s="73"/>
      <c r="BN71" s="73"/>
      <c r="BO71" s="73"/>
      <c r="BP71" s="73"/>
      <c r="BQ71" s="75"/>
      <c r="BU71" s="99" t="s">
        <v>185</v>
      </c>
      <c r="BV71" s="74"/>
      <c r="BW71" s="73"/>
      <c r="BX71" s="73"/>
      <c r="BY71" s="73"/>
      <c r="BZ71" s="73"/>
      <c r="CA71" s="73"/>
      <c r="CB71" s="73"/>
      <c r="CC71" s="73"/>
      <c r="CD71" s="73"/>
      <c r="CE71" s="73"/>
      <c r="CF71" s="73"/>
      <c r="CG71" s="73"/>
      <c r="CH71" s="73"/>
      <c r="CI71" s="73"/>
      <c r="CJ71" s="73"/>
      <c r="CK71" s="73"/>
      <c r="CL71" s="75"/>
      <c r="CR71" s="59"/>
    </row>
    <row r="72" spans="1:96" s="60" customFormat="1" ht="15" customHeight="1" x14ac:dyDescent="0.2">
      <c r="A72" s="115"/>
      <c r="AU72" s="58"/>
      <c r="AV72" s="58"/>
      <c r="AW72" s="58"/>
      <c r="AX72" s="58"/>
      <c r="AZ72" s="99" t="s">
        <v>438</v>
      </c>
      <c r="BA72" s="74"/>
      <c r="BB72" s="73"/>
      <c r="BC72" s="73"/>
      <c r="BD72" s="73"/>
      <c r="BE72" s="73"/>
      <c r="BF72" s="73"/>
      <c r="BG72" s="73"/>
      <c r="BH72" s="73"/>
      <c r="BI72" s="73"/>
      <c r="BJ72" s="73"/>
      <c r="BK72" s="73"/>
      <c r="BL72" s="73"/>
      <c r="BM72" s="73"/>
      <c r="BN72" s="73"/>
      <c r="BO72" s="73"/>
      <c r="BP72" s="73"/>
      <c r="BQ72" s="75"/>
      <c r="BU72" s="99" t="s">
        <v>187</v>
      </c>
      <c r="BV72" s="74"/>
      <c r="BW72" s="73"/>
      <c r="BX72" s="73"/>
      <c r="BY72" s="73"/>
      <c r="BZ72" s="73"/>
      <c r="CA72" s="73"/>
      <c r="CB72" s="73"/>
      <c r="CC72" s="73"/>
      <c r="CD72" s="73"/>
      <c r="CE72" s="73"/>
      <c r="CF72" s="73"/>
      <c r="CG72" s="73"/>
      <c r="CH72" s="73"/>
      <c r="CI72" s="73"/>
      <c r="CJ72" s="73"/>
      <c r="CK72" s="73"/>
      <c r="CL72" s="75"/>
      <c r="CR72" s="59"/>
    </row>
    <row r="73" spans="1:96" s="60" customFormat="1" ht="15" customHeight="1" x14ac:dyDescent="0.2">
      <c r="A73" s="115"/>
      <c r="AU73" s="58"/>
      <c r="AV73" s="58"/>
      <c r="AW73" s="58"/>
      <c r="AX73" s="58"/>
      <c r="AZ73" s="23"/>
      <c r="BA73" s="23"/>
      <c r="BB73" s="23"/>
      <c r="BC73" s="23"/>
      <c r="BD73" s="23"/>
      <c r="BE73" s="23"/>
      <c r="BF73" s="23"/>
      <c r="BG73" s="23"/>
      <c r="BU73" s="99" t="s">
        <v>439</v>
      </c>
      <c r="BV73" s="74"/>
      <c r="BW73" s="73"/>
      <c r="BX73" s="73"/>
      <c r="BY73" s="73"/>
      <c r="BZ73" s="73"/>
      <c r="CA73" s="73"/>
      <c r="CB73" s="73"/>
      <c r="CC73" s="73"/>
      <c r="CD73" s="73"/>
      <c r="CE73" s="73"/>
      <c r="CF73" s="73"/>
      <c r="CG73" s="73"/>
      <c r="CH73" s="73"/>
      <c r="CI73" s="73"/>
      <c r="CJ73" s="73"/>
      <c r="CK73" s="73"/>
      <c r="CL73" s="75"/>
      <c r="CR73" s="59"/>
    </row>
    <row r="74" spans="1:96" s="60" customFormat="1" ht="15" customHeight="1" x14ac:dyDescent="0.2">
      <c r="A74" s="115"/>
      <c r="AU74" s="58"/>
      <c r="AV74" s="58"/>
      <c r="AW74" s="58"/>
      <c r="AX74" s="58"/>
      <c r="AZ74" s="60" t="s">
        <v>441</v>
      </c>
      <c r="BU74" s="99" t="s">
        <v>440</v>
      </c>
      <c r="BV74" s="74"/>
      <c r="BW74" s="73"/>
      <c r="BX74" s="73"/>
      <c r="BY74" s="73"/>
      <c r="BZ74" s="73"/>
      <c r="CA74" s="73"/>
      <c r="CB74" s="73"/>
      <c r="CC74" s="73"/>
      <c r="CD74" s="73"/>
      <c r="CE74" s="73"/>
      <c r="CF74" s="73"/>
      <c r="CG74" s="73"/>
      <c r="CH74" s="73"/>
      <c r="CI74" s="73"/>
      <c r="CJ74" s="73"/>
      <c r="CK74" s="73"/>
      <c r="CL74" s="75"/>
      <c r="CR74" s="59"/>
    </row>
    <row r="75" spans="1:96" s="60" customFormat="1" ht="15" customHeight="1" x14ac:dyDescent="0.2">
      <c r="A75" s="115"/>
      <c r="AU75" s="58"/>
      <c r="AX75" s="58"/>
      <c r="BB75" s="60" t="s">
        <v>442</v>
      </c>
      <c r="BU75" s="99" t="s">
        <v>188</v>
      </c>
      <c r="BV75" s="74"/>
      <c r="BW75" s="73"/>
      <c r="BX75" s="73"/>
      <c r="BY75" s="73"/>
      <c r="BZ75" s="73"/>
      <c r="CA75" s="73"/>
      <c r="CB75" s="73"/>
      <c r="CC75" s="73"/>
      <c r="CD75" s="73"/>
      <c r="CE75" s="73"/>
      <c r="CF75" s="73"/>
      <c r="CG75" s="73"/>
      <c r="CH75" s="73"/>
      <c r="CI75" s="73"/>
      <c r="CJ75" s="73"/>
      <c r="CK75" s="73"/>
      <c r="CL75" s="75"/>
      <c r="CR75" s="59"/>
    </row>
    <row r="76" spans="1:96" s="60" customFormat="1" ht="15" customHeight="1" x14ac:dyDescent="0.2">
      <c r="A76" s="115"/>
      <c r="AU76" s="58"/>
      <c r="BU76" s="99" t="s">
        <v>189</v>
      </c>
      <c r="BV76" s="74"/>
      <c r="BW76" s="73"/>
      <c r="BX76" s="73"/>
      <c r="BY76" s="73"/>
      <c r="BZ76" s="73"/>
      <c r="CA76" s="73"/>
      <c r="CB76" s="73"/>
      <c r="CC76" s="73"/>
      <c r="CD76" s="73"/>
      <c r="CE76" s="73"/>
      <c r="CF76" s="73"/>
      <c r="CG76" s="73"/>
      <c r="CH76" s="73"/>
      <c r="CI76" s="73"/>
      <c r="CJ76" s="73"/>
      <c r="CK76" s="73"/>
      <c r="CL76" s="75"/>
      <c r="CR76" s="59"/>
    </row>
    <row r="77" spans="1:96" s="60" customFormat="1" ht="15" customHeight="1" x14ac:dyDescent="0.2">
      <c r="A77" s="115"/>
      <c r="AU77" s="58"/>
      <c r="AV77" s="58"/>
      <c r="AW77" s="58"/>
      <c r="BU77" s="99" t="s">
        <v>448</v>
      </c>
      <c r="BV77" s="74"/>
      <c r="BW77" s="73"/>
      <c r="BX77" s="73"/>
      <c r="BY77" s="73"/>
      <c r="BZ77" s="73"/>
      <c r="CA77" s="73"/>
      <c r="CB77" s="73"/>
      <c r="CC77" s="73"/>
      <c r="CD77" s="73"/>
      <c r="CE77" s="73"/>
      <c r="CF77" s="73"/>
      <c r="CG77" s="73"/>
      <c r="CH77" s="73"/>
      <c r="CI77" s="73"/>
      <c r="CJ77" s="73"/>
      <c r="CK77" s="73"/>
      <c r="CL77" s="75"/>
      <c r="CR77" s="59"/>
    </row>
    <row r="78" spans="1:96" s="60" customFormat="1" ht="15" customHeight="1" x14ac:dyDescent="0.2">
      <c r="A78" s="115"/>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99" t="s">
        <v>190</v>
      </c>
      <c r="BV78" s="74"/>
      <c r="BW78" s="73"/>
      <c r="BX78" s="73"/>
      <c r="BY78" s="73"/>
      <c r="BZ78" s="73"/>
      <c r="CA78" s="73"/>
      <c r="CB78" s="73"/>
      <c r="CC78" s="73"/>
      <c r="CD78" s="73"/>
      <c r="CE78" s="73"/>
      <c r="CF78" s="73"/>
      <c r="CG78" s="73"/>
      <c r="CH78" s="73"/>
      <c r="CI78" s="73"/>
      <c r="CJ78" s="73"/>
      <c r="CK78" s="73"/>
      <c r="CL78" s="75"/>
      <c r="CM78" s="58"/>
      <c r="CN78" s="58"/>
      <c r="CO78" s="58"/>
      <c r="CP78" s="58"/>
      <c r="CQ78" s="58"/>
      <c r="CR78" s="59"/>
    </row>
    <row r="79" spans="1:96" s="60" customFormat="1" ht="15" customHeight="1" x14ac:dyDescent="0.2">
      <c r="A79" s="115"/>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99" t="s">
        <v>445</v>
      </c>
      <c r="BV79" s="74"/>
      <c r="BW79" s="73"/>
      <c r="BX79" s="73"/>
      <c r="BY79" s="73"/>
      <c r="BZ79" s="73"/>
      <c r="CA79" s="73"/>
      <c r="CB79" s="73"/>
      <c r="CC79" s="73"/>
      <c r="CD79" s="73"/>
      <c r="CE79" s="73"/>
      <c r="CF79" s="73"/>
      <c r="CG79" s="73"/>
      <c r="CH79" s="73"/>
      <c r="CI79" s="73"/>
      <c r="CJ79" s="73"/>
      <c r="CK79" s="73"/>
      <c r="CL79" s="75"/>
      <c r="CM79" s="58"/>
      <c r="CN79" s="58"/>
      <c r="CO79" s="58"/>
      <c r="CP79" s="58"/>
      <c r="CQ79" s="58"/>
      <c r="CR79" s="59"/>
    </row>
    <row r="80" spans="1:96" s="60" customFormat="1" ht="15" customHeight="1" x14ac:dyDescent="0.2">
      <c r="A80" s="57"/>
      <c r="B80" s="58"/>
      <c r="C80" s="58"/>
      <c r="D80" s="58"/>
      <c r="E80" s="58"/>
      <c r="F80" s="58"/>
      <c r="G80" s="58"/>
      <c r="H80" s="23"/>
      <c r="I80" s="23"/>
      <c r="J80" s="23"/>
      <c r="K80" s="23"/>
      <c r="L80" s="23"/>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99" t="s">
        <v>446</v>
      </c>
      <c r="BV80" s="74"/>
      <c r="BW80" s="73"/>
      <c r="BX80" s="73"/>
      <c r="BY80" s="73"/>
      <c r="BZ80" s="73"/>
      <c r="CA80" s="73"/>
      <c r="CB80" s="73"/>
      <c r="CC80" s="73"/>
      <c r="CD80" s="73"/>
      <c r="CE80" s="73"/>
      <c r="CF80" s="73"/>
      <c r="CG80" s="73"/>
      <c r="CH80" s="73"/>
      <c r="CI80" s="73"/>
      <c r="CJ80" s="73"/>
      <c r="CK80" s="73"/>
      <c r="CL80" s="75"/>
      <c r="CM80" s="58"/>
      <c r="CN80" s="58"/>
      <c r="CO80" s="58"/>
      <c r="CP80" s="58"/>
      <c r="CQ80" s="58"/>
      <c r="CR80" s="59"/>
    </row>
    <row r="81" spans="1:96" s="60" customFormat="1" ht="15" customHeight="1" x14ac:dyDescent="0.2">
      <c r="A81" s="57"/>
      <c r="B81" s="58"/>
      <c r="C81" s="58"/>
      <c r="D81" s="58"/>
      <c r="E81" s="58"/>
      <c r="F81" s="58"/>
      <c r="G81" s="58"/>
      <c r="H81" s="23"/>
      <c r="I81" s="23"/>
      <c r="J81" s="23"/>
      <c r="K81" s="23"/>
      <c r="L81" s="23"/>
      <c r="M81" s="23"/>
      <c r="N81" s="23"/>
      <c r="O81" s="23"/>
      <c r="P81" s="23"/>
      <c r="Q81" s="23"/>
      <c r="R81" s="23"/>
      <c r="S81" s="23"/>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99" t="s">
        <v>447</v>
      </c>
      <c r="BV81" s="74"/>
      <c r="BW81" s="73"/>
      <c r="BX81" s="73"/>
      <c r="BY81" s="73"/>
      <c r="BZ81" s="73"/>
      <c r="CA81" s="73"/>
      <c r="CB81" s="73"/>
      <c r="CC81" s="73"/>
      <c r="CD81" s="73"/>
      <c r="CE81" s="73"/>
      <c r="CF81" s="73"/>
      <c r="CG81" s="73"/>
      <c r="CH81" s="73"/>
      <c r="CI81" s="73"/>
      <c r="CJ81" s="73"/>
      <c r="CK81" s="73"/>
      <c r="CL81" s="75"/>
      <c r="CM81" s="58"/>
      <c r="CN81" s="58"/>
      <c r="CO81" s="58"/>
      <c r="CP81" s="58"/>
      <c r="CQ81" s="58"/>
      <c r="CR81" s="59"/>
    </row>
    <row r="82" spans="1:96" s="60" customFormat="1" ht="15" customHeight="1" x14ac:dyDescent="0.2">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99" t="s">
        <v>443</v>
      </c>
      <c r="BV82" s="74"/>
      <c r="BW82" s="73"/>
      <c r="BX82" s="73"/>
      <c r="BY82" s="73"/>
      <c r="BZ82" s="73"/>
      <c r="CA82" s="73"/>
      <c r="CB82" s="73"/>
      <c r="CC82" s="73"/>
      <c r="CD82" s="73"/>
      <c r="CE82" s="73"/>
      <c r="CF82" s="73"/>
      <c r="CG82" s="73"/>
      <c r="CH82" s="73"/>
      <c r="CI82" s="73"/>
      <c r="CJ82" s="73"/>
      <c r="CK82" s="73"/>
      <c r="CL82" s="75"/>
      <c r="CM82" s="58"/>
      <c r="CN82" s="58"/>
      <c r="CO82" s="58"/>
      <c r="CP82" s="58"/>
      <c r="CQ82" s="58"/>
      <c r="CR82" s="59"/>
    </row>
    <row r="83" spans="1:96" s="60" customFormat="1" ht="15" customHeight="1" x14ac:dyDescent="0.2">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9"/>
    </row>
    <row r="84" spans="1:96" s="60" customFormat="1" ht="15" customHeight="1" x14ac:dyDescent="0.2">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BB84" s="58"/>
      <c r="BC84" s="58"/>
      <c r="BD84" s="58"/>
      <c r="BE84" s="58"/>
      <c r="BF84" s="58"/>
      <c r="BG84" s="58"/>
      <c r="BH84" s="58"/>
      <c r="BI84" s="58"/>
      <c r="BJ84" s="58"/>
      <c r="BK84" s="58"/>
      <c r="BL84" s="58"/>
      <c r="BM84" s="58"/>
      <c r="BN84" s="58"/>
      <c r="BO84" s="58"/>
      <c r="BP84" s="58"/>
      <c r="BQ84" s="58"/>
      <c r="BR84" s="58"/>
      <c r="BS84" s="58"/>
      <c r="BT84" s="58"/>
      <c r="BU84" s="60" t="s">
        <v>444</v>
      </c>
      <c r="BY84" s="58"/>
      <c r="BZ84" s="58"/>
      <c r="CA84" s="58"/>
      <c r="CB84" s="58"/>
      <c r="CC84" s="58"/>
      <c r="CD84" s="58"/>
      <c r="CE84" s="58"/>
      <c r="CF84" s="58"/>
      <c r="CG84" s="58"/>
      <c r="CH84" s="58"/>
      <c r="CI84" s="58"/>
      <c r="CJ84" s="58"/>
      <c r="CK84" s="58"/>
      <c r="CL84" s="58"/>
      <c r="CM84" s="58"/>
      <c r="CN84" s="58"/>
      <c r="CO84" s="58"/>
      <c r="CP84" s="58"/>
      <c r="CQ84" s="58"/>
      <c r="CR84" s="59"/>
    </row>
    <row r="85" spans="1:96" s="60" customFormat="1" ht="15" customHeight="1" x14ac:dyDescent="0.2">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BB85" s="58"/>
      <c r="BC85" s="58"/>
      <c r="BD85" s="58"/>
      <c r="BE85" s="58"/>
      <c r="BF85" s="58"/>
      <c r="BG85" s="58"/>
      <c r="BH85" s="58"/>
      <c r="BI85" s="58"/>
      <c r="BJ85" s="58"/>
      <c r="BK85" s="58"/>
      <c r="BL85" s="58"/>
      <c r="BM85" s="58"/>
      <c r="BN85" s="58"/>
      <c r="BO85" s="58"/>
      <c r="BP85" s="58"/>
      <c r="BQ85" s="58"/>
      <c r="BR85" s="58"/>
      <c r="BS85" s="58"/>
      <c r="BT85" s="58"/>
      <c r="BW85" s="60" t="s">
        <v>442</v>
      </c>
      <c r="BY85" s="58"/>
      <c r="BZ85" s="58"/>
      <c r="CA85" s="58"/>
      <c r="CB85" s="58"/>
      <c r="CC85" s="58"/>
      <c r="CD85" s="58"/>
      <c r="CE85" s="58"/>
      <c r="CF85" s="58"/>
      <c r="CG85" s="58"/>
      <c r="CH85" s="58"/>
      <c r="CI85" s="58"/>
      <c r="CJ85" s="58"/>
      <c r="CK85" s="58"/>
      <c r="CL85" s="58"/>
      <c r="CM85" s="58"/>
      <c r="CN85" s="58"/>
      <c r="CO85" s="58"/>
      <c r="CP85" s="58"/>
      <c r="CQ85" s="58"/>
      <c r="CR85" s="59"/>
    </row>
    <row r="86" spans="1:96" s="60" customFormat="1" ht="15" customHeight="1" x14ac:dyDescent="0.2">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9"/>
    </row>
    <row r="87" spans="1:96" s="60" customFormat="1" ht="15" customHeight="1" x14ac:dyDescent="0.2">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t="s">
        <v>123</v>
      </c>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9"/>
    </row>
    <row r="88" spans="1:96" s="60" customFormat="1" ht="15" customHeight="1" x14ac:dyDescent="0.2">
      <c r="A88" s="57"/>
      <c r="B88" s="23"/>
      <c r="C88" s="23"/>
      <c r="D88" s="23"/>
      <c r="E88" s="23"/>
      <c r="F88" s="23"/>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23" t="s">
        <v>312</v>
      </c>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9"/>
    </row>
    <row r="89" spans="1:96" s="60" customFormat="1" ht="15" customHeight="1" x14ac:dyDescent="0.2">
      <c r="A89" s="57"/>
      <c r="B89" s="23"/>
      <c r="C89" s="23"/>
      <c r="D89" s="23"/>
      <c r="E89" s="23"/>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9"/>
    </row>
    <row r="90" spans="1:96"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sheetData>
  <mergeCells count="76">
    <mergeCell ref="A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BI12:CR12"/>
    <mergeCell ref="A38:BH38"/>
    <mergeCell ref="BI38:CR38"/>
    <mergeCell ref="BT4:CR4"/>
    <mergeCell ref="A3:H3"/>
    <mergeCell ref="I3:AD3"/>
    <mergeCell ref="AL3:BH3"/>
    <mergeCell ref="BI3:BL3"/>
    <mergeCell ref="BM3:CE3"/>
    <mergeCell ref="A4:H4"/>
    <mergeCell ref="I4:AK4"/>
    <mergeCell ref="AL4:AR4"/>
    <mergeCell ref="AS4:BH4"/>
    <mergeCell ref="BI4:BS4"/>
    <mergeCell ref="A40:J40"/>
    <mergeCell ref="K40:AV40"/>
    <mergeCell ref="AW40:BH40"/>
    <mergeCell ref="A39:J39"/>
    <mergeCell ref="K39:AV39"/>
    <mergeCell ref="AW39:BH39"/>
    <mergeCell ref="A41:J41"/>
    <mergeCell ref="K41:AV41"/>
    <mergeCell ref="AW41:BH41"/>
    <mergeCell ref="A42:J42"/>
    <mergeCell ref="K42:AV42"/>
    <mergeCell ref="AW42:BH42"/>
    <mergeCell ref="BI43:CR43"/>
    <mergeCell ref="A44:J44"/>
    <mergeCell ref="K44:AV44"/>
    <mergeCell ref="AW44:BH44"/>
    <mergeCell ref="A45:J45"/>
    <mergeCell ref="K45:AV45"/>
    <mergeCell ref="AW45:BH45"/>
    <mergeCell ref="A43:J43"/>
    <mergeCell ref="K43:AV43"/>
    <mergeCell ref="AW43:BH43"/>
    <mergeCell ref="B52:O52"/>
    <mergeCell ref="P52:T52"/>
    <mergeCell ref="U52:W52"/>
    <mergeCell ref="X52:AV52"/>
    <mergeCell ref="A46:J46"/>
    <mergeCell ref="K46:AV46"/>
    <mergeCell ref="A48:CR48"/>
    <mergeCell ref="B51:O51"/>
    <mergeCell ref="P51:T51"/>
    <mergeCell ref="U51:W51"/>
    <mergeCell ref="X51:AV51"/>
    <mergeCell ref="AW46:BH46"/>
    <mergeCell ref="A47:J47"/>
    <mergeCell ref="K47:AV47"/>
    <mergeCell ref="AW47:BH47"/>
    <mergeCell ref="AZ56:CQ56"/>
    <mergeCell ref="T58:U58"/>
    <mergeCell ref="AD58:AE58"/>
    <mergeCell ref="B53:O53"/>
    <mergeCell ref="P53:T53"/>
    <mergeCell ref="U53:W53"/>
    <mergeCell ref="X53:AV53"/>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タイトル</vt:lpstr>
      <vt:lpstr>改訂履歴</vt:lpstr>
      <vt:lpstr>機能概要・画面遷移図</vt:lpstr>
      <vt:lpstr>給与計算処理</vt:lpstr>
      <vt:lpstr>勤務データ仮集計</vt:lpstr>
      <vt:lpstr>タイトル!Print_Area</vt:lpstr>
      <vt:lpstr>給与計算処理!Print_Area</vt:lpstr>
      <vt:lpstr>改訂履歴!Print_Titles</vt:lpstr>
      <vt:lpstr>機能概要・画面遷移図!Print_Titles</vt:lpstr>
      <vt:lpstr>給与計算処理!Print_Titles</vt:lpstr>
      <vt:lpstr>勤務データ仮集計!Print_Titles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明石　 啓吾</cp:lastModifiedBy>
  <cp:lastPrinted>2024-07-12T01:01:56Z</cp:lastPrinted>
  <dcterms:created xsi:type="dcterms:W3CDTF">2006-03-07T04:00:40Z</dcterms:created>
  <dcterms:modified xsi:type="dcterms:W3CDTF">2025-10-21T05:21:21Z</dcterms:modified>
</cp:coreProperties>
</file>
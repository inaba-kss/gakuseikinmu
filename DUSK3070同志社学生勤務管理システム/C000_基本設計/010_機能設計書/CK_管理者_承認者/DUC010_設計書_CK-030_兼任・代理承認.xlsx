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C000_基本設計\010_機能設計書\CK_管理者_承認者\"/>
    </mc:Choice>
  </mc:AlternateContent>
  <xr:revisionPtr revIDLastSave="0" documentId="13_ncr:1_{BD6CF551-149E-4990-A01A-A8ED6D3EA031}" xr6:coauthVersionLast="47" xr6:coauthVersionMax="47" xr10:uidLastSave="{00000000-0000-0000-0000-000000000000}"/>
  <bookViews>
    <workbookView xWindow="-120" yWindow="-120" windowWidth="29040" windowHeight="15840" tabRatio="584" xr2:uid="{00000000-000D-0000-FFFF-FFFF00000000}"/>
  </bookViews>
  <sheets>
    <sheet name="タイトル" sheetId="266" r:id="rId1"/>
    <sheet name="改訂履歴" sheetId="6" r:id="rId2"/>
    <sheet name="機能概要・画面遷移図" sheetId="270" r:id="rId3"/>
    <sheet name="兼任・代理承認" sheetId="271" r:id="rId4"/>
  </sheets>
  <definedNames>
    <definedName name="_xlnm.Print_Area" localSheetId="0">タイトル!$A$1:$AC$36</definedName>
    <definedName name="_xlnm.Print_Titles" localSheetId="1">改訂履歴!$1:$4</definedName>
    <definedName name="_xlnm.Print_Titles" localSheetId="2">機能概要・画面遷移図!$1:$4</definedName>
    <definedName name="_xlnm.Print_Titles" localSheetId="3">兼任・代理承認!$1:$4</definedName>
  </definedNames>
  <calcPr calcId="191029"/>
</workbook>
</file>

<file path=xl/calcChain.xml><?xml version="1.0" encoding="utf-8"?>
<calcChain xmlns="http://schemas.openxmlformats.org/spreadsheetml/2006/main">
  <c r="AL2" i="271" l="1"/>
  <c r="BW1" i="271"/>
  <c r="BM1" i="271"/>
  <c r="I1" i="271"/>
  <c r="I4" i="271"/>
  <c r="I51" i="266" l="1"/>
  <c r="AS4" i="270" l="1"/>
  <c r="I4" i="270"/>
  <c r="J5" i="6" l="1"/>
  <c r="I49" i="266" s="1"/>
  <c r="AL2" i="270" l="1"/>
  <c r="I2" i="270"/>
  <c r="BW1" i="270"/>
  <c r="BM1" i="270"/>
  <c r="AL1" i="270"/>
  <c r="I1" i="270"/>
  <c r="G11" i="266" l="1"/>
  <c r="G14" i="266"/>
  <c r="G17" i="266"/>
  <c r="G20" i="266"/>
  <c r="J27" i="266"/>
  <c r="J29" i="26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H3" authorId="0" shapeId="0" xr:uid="{00000000-0006-0000-0100-000001000000}">
      <text>
        <r>
          <rPr>
            <sz val="9"/>
            <color indexed="81"/>
            <rFont val="ＭＳ Ｐゴシック"/>
            <family val="3"/>
            <charset val="128"/>
          </rPr>
          <t>変更内容を簡潔に記述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2" authorId="0" shapeId="0" xr:uid="{00000000-0006-0000-0200-000001000000}">
      <text>
        <r>
          <rPr>
            <sz val="9"/>
            <color indexed="81"/>
            <rFont val="ＭＳ Ｐゴシック"/>
            <family val="3"/>
            <charset val="128"/>
          </rPr>
          <t>人事システム
給与システム
システム基盤 等を書く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2" authorId="0" shapeId="0" xr:uid="{1A64F909-D0AF-49D1-A306-92DF72D2CB77}">
      <text>
        <r>
          <rPr>
            <sz val="9"/>
            <color indexed="81"/>
            <rFont val="ＭＳ Ｐゴシック"/>
            <family val="3"/>
            <charset val="128"/>
          </rPr>
          <t>人事システム
給与システム
システム基盤 等を書く</t>
        </r>
      </text>
    </comment>
  </commentList>
</comments>
</file>

<file path=xl/sharedStrings.xml><?xml version="1.0" encoding="utf-8"?>
<sst xmlns="http://schemas.openxmlformats.org/spreadsheetml/2006/main" count="129" uniqueCount="99">
  <si>
    <t>工　　　　程</t>
    <rPh sb="0" eb="1">
      <t>コウ</t>
    </rPh>
    <rPh sb="5" eb="6">
      <t>ホド</t>
    </rPh>
    <phoneticPr fontId="2"/>
  </si>
  <si>
    <t>システム名</t>
    <rPh sb="4" eb="5">
      <t>メイ</t>
    </rPh>
    <phoneticPr fontId="2"/>
  </si>
  <si>
    <t>改訂履歴</t>
    <rPh sb="0" eb="2">
      <t>カイテイ</t>
    </rPh>
    <rPh sb="2" eb="4">
      <t>リレキ</t>
    </rPh>
    <phoneticPr fontId="2"/>
  </si>
  <si>
    <t>区分</t>
    <rPh sb="0" eb="2">
      <t>クブン</t>
    </rPh>
    <phoneticPr fontId="2"/>
  </si>
  <si>
    <t>頁</t>
    <rPh sb="0" eb="1">
      <t>ページ</t>
    </rPh>
    <phoneticPr fontId="2"/>
  </si>
  <si>
    <t>新規／改訂日</t>
    <rPh sb="0" eb="2">
      <t>シンキ</t>
    </rPh>
    <rPh sb="3" eb="5">
      <t>カイテイ</t>
    </rPh>
    <rPh sb="5" eb="6">
      <t>ビ</t>
    </rPh>
    <phoneticPr fontId="2"/>
  </si>
  <si>
    <t>改訂箇所</t>
    <rPh sb="0" eb="2">
      <t>カイテイ</t>
    </rPh>
    <rPh sb="2" eb="4">
      <t>カショ</t>
    </rPh>
    <phoneticPr fontId="2"/>
  </si>
  <si>
    <t>改訂理由</t>
    <rPh sb="0" eb="2">
      <t>カイテイ</t>
    </rPh>
    <rPh sb="2" eb="4">
      <t>リユウ</t>
    </rPh>
    <phoneticPr fontId="2"/>
  </si>
  <si>
    <t>新規／改訂者</t>
    <rPh sb="0" eb="2">
      <t>シンキ</t>
    </rPh>
    <rPh sb="3" eb="5">
      <t>カイテイ</t>
    </rPh>
    <rPh sb="5" eb="6">
      <t>シャ</t>
    </rPh>
    <phoneticPr fontId="2"/>
  </si>
  <si>
    <t>　※ページ毎に個別入力</t>
    <rPh sb="5" eb="6">
      <t>ゴト</t>
    </rPh>
    <rPh sb="7" eb="9">
      <t>コベツ</t>
    </rPh>
    <rPh sb="9" eb="11">
      <t>ニュウリョク</t>
    </rPh>
    <phoneticPr fontId="2"/>
  </si>
  <si>
    <t>タイトル項目埋め込み内容</t>
    <rPh sb="4" eb="6">
      <t>コウモク</t>
    </rPh>
    <rPh sb="6" eb="7">
      <t>ウ</t>
    </rPh>
    <rPh sb="8" eb="9">
      <t>コ</t>
    </rPh>
    <rPh sb="10" eb="12">
      <t>ナイヨウ</t>
    </rPh>
    <phoneticPr fontId="2"/>
  </si>
  <si>
    <t>新規</t>
    <rPh sb="0" eb="2">
      <t>シンキ</t>
    </rPh>
    <phoneticPr fontId="2"/>
  </si>
  <si>
    <t>作　成</t>
    <rPh sb="0" eb="1">
      <t>サク</t>
    </rPh>
    <rPh sb="2" eb="3">
      <t>シゲル</t>
    </rPh>
    <phoneticPr fontId="2"/>
  </si>
  <si>
    <t>管理記号</t>
    <rPh sb="0" eb="2">
      <t>カンリ</t>
    </rPh>
    <rPh sb="2" eb="4">
      <t>キゴウ</t>
    </rPh>
    <phoneticPr fontId="2"/>
  </si>
  <si>
    <t>サブシステム名</t>
    <rPh sb="6" eb="7">
      <t>メイ</t>
    </rPh>
    <phoneticPr fontId="2"/>
  </si>
  <si>
    <t>改　訂</t>
    <rPh sb="0" eb="1">
      <t>アラタ</t>
    </rPh>
    <rPh sb="2" eb="3">
      <t>テイ</t>
    </rPh>
    <phoneticPr fontId="2"/>
  </si>
  <si>
    <t>No</t>
    <phoneticPr fontId="2"/>
  </si>
  <si>
    <t>Ver</t>
    <phoneticPr fontId="2"/>
  </si>
  <si>
    <t>新規作成</t>
    <rPh sb="0" eb="2">
      <t>シンキ</t>
    </rPh>
    <rPh sb="2" eb="4">
      <t>サクセイ</t>
    </rPh>
    <phoneticPr fontId="2"/>
  </si>
  <si>
    <t>見出し部タイトル制御テーブル</t>
    <rPh sb="0" eb="2">
      <t>ミダ</t>
    </rPh>
    <rPh sb="3" eb="4">
      <t>ブ</t>
    </rPh>
    <rPh sb="8" eb="10">
      <t>セイギョ</t>
    </rPh>
    <phoneticPr fontId="2"/>
  </si>
  <si>
    <t>タイトル項目</t>
    <rPh sb="4" eb="6">
      <t>コウモク</t>
    </rPh>
    <phoneticPr fontId="2"/>
  </si>
  <si>
    <t>　①システム名</t>
    <rPh sb="6" eb="7">
      <t>メイ</t>
    </rPh>
    <phoneticPr fontId="2"/>
  </si>
  <si>
    <t>　②サブシステム名</t>
    <rPh sb="8" eb="9">
      <t>メイ</t>
    </rPh>
    <phoneticPr fontId="2"/>
  </si>
  <si>
    <t>　③分類名</t>
    <rPh sb="2" eb="4">
      <t>ブンルイ</t>
    </rPh>
    <rPh sb="4" eb="5">
      <t>メイ</t>
    </rPh>
    <phoneticPr fontId="2"/>
  </si>
  <si>
    <t>　④作業工程名</t>
    <rPh sb="2" eb="4">
      <t>サギョウ</t>
    </rPh>
    <rPh sb="4" eb="6">
      <t>コウテイ</t>
    </rPh>
    <rPh sb="6" eb="7">
      <t>メイ</t>
    </rPh>
    <phoneticPr fontId="2"/>
  </si>
  <si>
    <t>　⑤ドキュメント代表名</t>
    <rPh sb="8" eb="10">
      <t>ダイヒョウ</t>
    </rPh>
    <rPh sb="10" eb="11">
      <t>メイ</t>
    </rPh>
    <phoneticPr fontId="2"/>
  </si>
  <si>
    <t>　⑥ドキュメント詳細名</t>
    <rPh sb="8" eb="10">
      <t>ショウサイ</t>
    </rPh>
    <rPh sb="10" eb="11">
      <t>メイ</t>
    </rPh>
    <phoneticPr fontId="2"/>
  </si>
  <si>
    <t>　⑦作成者</t>
    <rPh sb="2" eb="5">
      <t>サクセイシャ</t>
    </rPh>
    <phoneticPr fontId="2"/>
  </si>
  <si>
    <t>　⑧作成日</t>
    <rPh sb="2" eb="5">
      <t>サクセイビ</t>
    </rPh>
    <phoneticPr fontId="2"/>
  </si>
  <si>
    <t>　⑦改定者</t>
    <rPh sb="2" eb="4">
      <t>カイテイ</t>
    </rPh>
    <rPh sb="4" eb="5">
      <t>シャ</t>
    </rPh>
    <phoneticPr fontId="2"/>
  </si>
  <si>
    <t>　⑧改定日</t>
    <rPh sb="2" eb="4">
      <t>カイテイ</t>
    </rPh>
    <rPh sb="4" eb="5">
      <t>ビ</t>
    </rPh>
    <phoneticPr fontId="2"/>
  </si>
  <si>
    <t>　⑨管理記号</t>
    <rPh sb="2" eb="4">
      <t>カンリ</t>
    </rPh>
    <rPh sb="4" eb="6">
      <t>キゴウ</t>
    </rPh>
    <phoneticPr fontId="2"/>
  </si>
  <si>
    <t>ドキュメント</t>
    <phoneticPr fontId="2"/>
  </si>
  <si>
    <t xml:space="preserve">　 </t>
    <phoneticPr fontId="2"/>
  </si>
  <si>
    <t>　⑩Ｖｅｒ</t>
    <phoneticPr fontId="2"/>
  </si>
  <si>
    <t>　利用想定ユーザー</t>
    <rPh sb="1" eb="3">
      <t>リヨウ</t>
    </rPh>
    <rPh sb="3" eb="5">
      <t>ソウテイ</t>
    </rPh>
    <phoneticPr fontId="2"/>
  </si>
  <si>
    <t>　機能名称</t>
    <rPh sb="1" eb="3">
      <t>キノウ</t>
    </rPh>
    <rPh sb="3" eb="5">
      <t>メイショウ</t>
    </rPh>
    <phoneticPr fontId="2"/>
  </si>
  <si>
    <t>　機能ＩＤ</t>
    <rPh sb="1" eb="3">
      <t>キノウ</t>
    </rPh>
    <phoneticPr fontId="2"/>
  </si>
  <si>
    <t>　機能設計</t>
    <rPh sb="1" eb="3">
      <t>キノウ</t>
    </rPh>
    <rPh sb="3" eb="5">
      <t>セッケイ</t>
    </rPh>
    <phoneticPr fontId="2"/>
  </si>
  <si>
    <t>機　　能　　概　　要</t>
    <rPh sb="0" eb="1">
      <t>キ</t>
    </rPh>
    <rPh sb="3" eb="4">
      <t>ノウ</t>
    </rPh>
    <rPh sb="6" eb="7">
      <t>オオムネ</t>
    </rPh>
    <rPh sb="9" eb="10">
      <t>ヨウ</t>
    </rPh>
    <phoneticPr fontId="2"/>
  </si>
  <si>
    <t>画　　面　　遷　　移　　図</t>
    <rPh sb="0" eb="1">
      <t>ガ</t>
    </rPh>
    <rPh sb="3" eb="4">
      <t>メン</t>
    </rPh>
    <rPh sb="6" eb="7">
      <t>セン</t>
    </rPh>
    <rPh sb="9" eb="10">
      <t>ウツ</t>
    </rPh>
    <rPh sb="12" eb="13">
      <t>ズ</t>
    </rPh>
    <phoneticPr fontId="2"/>
  </si>
  <si>
    <t>　共通機能</t>
    <rPh sb="1" eb="3">
      <t>キョウツウ</t>
    </rPh>
    <rPh sb="3" eb="5">
      <t>キノウ</t>
    </rPh>
    <phoneticPr fontId="2"/>
  </si>
  <si>
    <t>DUC010</t>
    <phoneticPr fontId="2"/>
  </si>
  <si>
    <t>　学生勤務管理システム</t>
    <rPh sb="1" eb="3">
      <t>ガクセイ</t>
    </rPh>
    <rPh sb="3" eb="5">
      <t>キンム</t>
    </rPh>
    <rPh sb="5" eb="7">
      <t>カンリ</t>
    </rPh>
    <phoneticPr fontId="2"/>
  </si>
  <si>
    <t>木田　優</t>
    <rPh sb="0" eb="2">
      <t>キダ</t>
    </rPh>
    <rPh sb="3" eb="4">
      <t>マサル</t>
    </rPh>
    <phoneticPr fontId="2"/>
  </si>
  <si>
    <t>木田　優</t>
    <rPh sb="0" eb="2">
      <t>キダ</t>
    </rPh>
    <rPh sb="3" eb="4">
      <t>マサル</t>
    </rPh>
    <phoneticPr fontId="2"/>
  </si>
  <si>
    <t>機能</t>
    <rPh sb="0" eb="2">
      <t>キノウ</t>
    </rPh>
    <phoneticPr fontId="2"/>
  </si>
  <si>
    <t>　機能設計</t>
  </si>
  <si>
    <t>　共通機能</t>
  </si>
  <si>
    <t>　画面名称</t>
    <rPh sb="1" eb="3">
      <t>ガメン</t>
    </rPh>
    <rPh sb="3" eb="5">
      <t>メイショウ</t>
    </rPh>
    <phoneticPr fontId="2"/>
  </si>
  <si>
    <t>　画面ＩＤ</t>
    <rPh sb="1" eb="3">
      <t>ガメン</t>
    </rPh>
    <phoneticPr fontId="2"/>
  </si>
  <si>
    <t>画面レイアウト</t>
    <rPh sb="0" eb="2">
      <t>ガメン</t>
    </rPh>
    <phoneticPr fontId="2"/>
  </si>
  <si>
    <t>機能概要</t>
    <rPh sb="0" eb="2">
      <t>キノウ</t>
    </rPh>
    <rPh sb="2" eb="4">
      <t>ガイヨウ</t>
    </rPh>
    <phoneticPr fontId="2"/>
  </si>
  <si>
    <t>・</t>
    <phoneticPr fontId="10"/>
  </si>
  <si>
    <t>画面説明　（処理内容・アクション等）</t>
    <rPh sb="0" eb="2">
      <t>ガメン</t>
    </rPh>
    <rPh sb="2" eb="4">
      <t>セツメイ</t>
    </rPh>
    <rPh sb="6" eb="8">
      <t>ショリ</t>
    </rPh>
    <rPh sb="8" eb="10">
      <t>ナイヨウ</t>
    </rPh>
    <rPh sb="16" eb="17">
      <t>トウ</t>
    </rPh>
    <phoneticPr fontId="2"/>
  </si>
  <si>
    <t>項目名</t>
    <rPh sb="0" eb="2">
      <t>コウモク</t>
    </rPh>
    <rPh sb="2" eb="3">
      <t>メイ</t>
    </rPh>
    <phoneticPr fontId="2"/>
  </si>
  <si>
    <t>・</t>
    <phoneticPr fontId="2"/>
  </si>
  <si>
    <t>リストボックス</t>
    <phoneticPr fontId="2"/>
  </si>
  <si>
    <t>内容</t>
    <rPh sb="0" eb="2">
      <t>ナイヨウ</t>
    </rPh>
    <phoneticPr fontId="10"/>
  </si>
  <si>
    <t>並び順</t>
    <rPh sb="0" eb="1">
      <t>ナラ</t>
    </rPh>
    <rPh sb="2" eb="3">
      <t>ジュン</t>
    </rPh>
    <phoneticPr fontId="10"/>
  </si>
  <si>
    <t>権限による画面制御</t>
    <rPh sb="0" eb="2">
      <t>ケンゲン</t>
    </rPh>
    <rPh sb="5" eb="7">
      <t>ガメン</t>
    </rPh>
    <rPh sb="7" eb="9">
      <t>セイギョ</t>
    </rPh>
    <phoneticPr fontId="10"/>
  </si>
  <si>
    <t>一覧の並び順</t>
    <rPh sb="0" eb="2">
      <t>イチラン</t>
    </rPh>
    <rPh sb="3" eb="4">
      <t>ナラ</t>
    </rPh>
    <rPh sb="5" eb="6">
      <t>ジュン</t>
    </rPh>
    <phoneticPr fontId="2"/>
  </si>
  <si>
    <t>画　面　補　足　説　明</t>
    <rPh sb="0" eb="1">
      <t>ガ</t>
    </rPh>
    <rPh sb="2" eb="3">
      <t>メン</t>
    </rPh>
    <rPh sb="4" eb="5">
      <t>タスク</t>
    </rPh>
    <rPh sb="6" eb="7">
      <t>アシ</t>
    </rPh>
    <rPh sb="8" eb="9">
      <t>セツ</t>
    </rPh>
    <rPh sb="10" eb="11">
      <t>メイ</t>
    </rPh>
    <phoneticPr fontId="2"/>
  </si>
  <si>
    <t>（CC-020-01G）</t>
    <phoneticPr fontId="2"/>
  </si>
  <si>
    <t>ボタン</t>
  </si>
  <si>
    <t>（CK-030-01G）</t>
    <phoneticPr fontId="2"/>
  </si>
  <si>
    <t>○ホーム画面（管理者、担当者）</t>
    <rPh sb="4" eb="6">
      <t>ガメン</t>
    </rPh>
    <rPh sb="7" eb="10">
      <t>カンリシャ</t>
    </rPh>
    <rPh sb="11" eb="14">
      <t>タントウシャ</t>
    </rPh>
    <phoneticPr fontId="2"/>
  </si>
  <si>
    <t>（CK-010-01G）</t>
    <phoneticPr fontId="2"/>
  </si>
  <si>
    <t>CK-030-01G</t>
    <phoneticPr fontId="2"/>
  </si>
  <si>
    <t>（管理者、担当者）</t>
    <rPh sb="1" eb="4">
      <t>カンリシャ</t>
    </rPh>
    <rPh sb="5" eb="8">
      <t>タントウシャ</t>
    </rPh>
    <phoneticPr fontId="2"/>
  </si>
  <si>
    <t>○ホーム画面（教員）</t>
    <rPh sb="4" eb="6">
      <t>ガメン</t>
    </rPh>
    <rPh sb="7" eb="9">
      <t>キョウイン</t>
    </rPh>
    <phoneticPr fontId="2"/>
  </si>
  <si>
    <t>　管理者、担当者、教員</t>
    <rPh sb="1" eb="4">
      <t>カンリシャ</t>
    </rPh>
    <rPh sb="5" eb="8">
      <t>タントウシャ</t>
    </rPh>
    <rPh sb="9" eb="11">
      <t>キョウイン</t>
    </rPh>
    <phoneticPr fontId="10"/>
  </si>
  <si>
    <t>（教員）</t>
    <rPh sb="1" eb="3">
      <t>キョウイン</t>
    </rPh>
    <phoneticPr fontId="2"/>
  </si>
  <si>
    <t>社員名</t>
    <rPh sb="0" eb="3">
      <t>シャインメイ</t>
    </rPh>
    <phoneticPr fontId="11"/>
  </si>
  <si>
    <t>昇順</t>
    <rPh sb="0" eb="2">
      <t>ショウジュン</t>
    </rPh>
    <phoneticPr fontId="11"/>
  </si>
  <si>
    <t>変更</t>
    <rPh sb="0" eb="2">
      <t>ヘンコウ</t>
    </rPh>
    <phoneticPr fontId="2"/>
  </si>
  <si>
    <t>代理承認できる社員を予めリストボックスで表示するように変更</t>
    <rPh sb="0" eb="4">
      <t>ダイリショウニン</t>
    </rPh>
    <rPh sb="7" eb="9">
      <t>シャイン</t>
    </rPh>
    <rPh sb="10" eb="11">
      <t>アラカジ</t>
    </rPh>
    <rPh sb="20" eb="22">
      <t>ヒョウジ</t>
    </rPh>
    <rPh sb="27" eb="29">
      <t>ヘンコウ</t>
    </rPh>
    <phoneticPr fontId="2"/>
  </si>
  <si>
    <t>勤務申請状況件数の取得内容を変更</t>
    <rPh sb="0" eb="8">
      <t>キンムシンセイジョウキョウケンスウ</t>
    </rPh>
    <rPh sb="9" eb="13">
      <t>シュトクナイヨウ</t>
    </rPh>
    <rPh sb="14" eb="16">
      <t>ヘンコウ</t>
    </rPh>
    <phoneticPr fontId="2"/>
  </si>
  <si>
    <t>変更</t>
    <rPh sb="0" eb="2">
      <t>ヘンコウ</t>
    </rPh>
    <phoneticPr fontId="2"/>
  </si>
  <si>
    <t>代理承認ログインを兼任・代理承認に変更</t>
    <rPh sb="0" eb="4">
      <t>ダイリショウニン</t>
    </rPh>
    <rPh sb="9" eb="11">
      <t>ケンニン</t>
    </rPh>
    <rPh sb="12" eb="16">
      <t>ダイリショウニン</t>
    </rPh>
    <rPh sb="17" eb="19">
      <t>ヘンコウ</t>
    </rPh>
    <phoneticPr fontId="2"/>
  </si>
  <si>
    <t>　CK-030_兼任・代理承認</t>
    <rPh sb="8" eb="10">
      <t>ケンニン</t>
    </rPh>
    <rPh sb="11" eb="15">
      <t>ダイリショウニン</t>
    </rPh>
    <phoneticPr fontId="2"/>
  </si>
  <si>
    <t>兼務者や代理者が勤務データの承認処理を行う時に使用する。</t>
    <rPh sb="0" eb="3">
      <t>ケンムシャ</t>
    </rPh>
    <rPh sb="4" eb="6">
      <t>ダイリ</t>
    </rPh>
    <rPh sb="6" eb="7">
      <t>シャ</t>
    </rPh>
    <rPh sb="8" eb="10">
      <t>キンム</t>
    </rPh>
    <rPh sb="14" eb="16">
      <t>ショウニン</t>
    </rPh>
    <rPh sb="16" eb="18">
      <t>ショリ</t>
    </rPh>
    <rPh sb="19" eb="20">
      <t>オコナ</t>
    </rPh>
    <rPh sb="21" eb="22">
      <t>トキ</t>
    </rPh>
    <rPh sb="23" eb="25">
      <t>シヨウ</t>
    </rPh>
    <phoneticPr fontId="2"/>
  </si>
  <si>
    <t>兼任・代理承認</t>
    <rPh sb="0" eb="2">
      <t>ケンニン</t>
    </rPh>
    <rPh sb="3" eb="7">
      <t>ダイリショウニン</t>
    </rPh>
    <phoneticPr fontId="11"/>
  </si>
  <si>
    <t>○兼任・代理承認画面</t>
    <rPh sb="1" eb="3">
      <t>ケンニン</t>
    </rPh>
    <rPh sb="4" eb="8">
      <t>ダイリショウニン</t>
    </rPh>
    <rPh sb="8" eb="10">
      <t>ガメン</t>
    </rPh>
    <phoneticPr fontId="2"/>
  </si>
  <si>
    <t>兼任・代理承認へボタンを押下すると、選択された社員の権限で</t>
    <rPh sb="0" eb="2">
      <t>ケンニン</t>
    </rPh>
    <rPh sb="3" eb="5">
      <t>ダイリ</t>
    </rPh>
    <rPh sb="5" eb="7">
      <t>ショウニン</t>
    </rPh>
    <rPh sb="12" eb="14">
      <t>オウカ</t>
    </rPh>
    <rPh sb="18" eb="20">
      <t>センタク</t>
    </rPh>
    <rPh sb="23" eb="25">
      <t>シャイン</t>
    </rPh>
    <rPh sb="26" eb="28">
      <t>ケンゲン</t>
    </rPh>
    <phoneticPr fontId="2"/>
  </si>
  <si>
    <t>勤務データ承認画面を表示する。</t>
    <rPh sb="0" eb="2">
      <t>キンム</t>
    </rPh>
    <rPh sb="5" eb="9">
      <t>ショウニンガメン</t>
    </rPh>
    <rPh sb="10" eb="12">
      <t>ヒョウジ</t>
    </rPh>
    <phoneticPr fontId="2"/>
  </si>
  <si>
    <t>兼任・代理承認者として許可されている社員名</t>
    <rPh sb="0" eb="2">
      <t>ケンニン</t>
    </rPh>
    <rPh sb="3" eb="8">
      <t>ダイリショウニンシャ</t>
    </rPh>
    <rPh sb="11" eb="13">
      <t>キョカ</t>
    </rPh>
    <rPh sb="18" eb="21">
      <t>シャインメイ</t>
    </rPh>
    <phoneticPr fontId="11"/>
  </si>
  <si>
    <t>兼任・代理承認へボタン</t>
    <rPh sb="0" eb="2">
      <t>ケンニン</t>
    </rPh>
    <rPh sb="3" eb="7">
      <t>ダイリショウニン</t>
    </rPh>
    <phoneticPr fontId="11"/>
  </si>
  <si>
    <t>〇兼任・代理承認へボタンを押下すると、勤務データ承認画面を表示</t>
    <rPh sb="1" eb="3">
      <t>ケンニン</t>
    </rPh>
    <rPh sb="4" eb="6">
      <t>ダイリ</t>
    </rPh>
    <rPh sb="6" eb="8">
      <t>ショウニン</t>
    </rPh>
    <rPh sb="13" eb="15">
      <t>オウカ</t>
    </rPh>
    <rPh sb="19" eb="21">
      <t>キンム</t>
    </rPh>
    <rPh sb="24" eb="26">
      <t>ショウニン</t>
    </rPh>
    <rPh sb="26" eb="28">
      <t>ガメン</t>
    </rPh>
    <rPh sb="29" eb="31">
      <t>ヒョウジ</t>
    </rPh>
    <phoneticPr fontId="2"/>
  </si>
  <si>
    <t>木田　優</t>
    <phoneticPr fontId="11"/>
  </si>
  <si>
    <t>兼任・代理承認中の状態を画面に表示するように変更</t>
    <rPh sb="0" eb="2">
      <t>ケンニン</t>
    </rPh>
    <rPh sb="3" eb="8">
      <t>ダイリショウニンチュウ</t>
    </rPh>
    <rPh sb="9" eb="11">
      <t>ジョウタイ</t>
    </rPh>
    <rPh sb="12" eb="14">
      <t>ガメン</t>
    </rPh>
    <rPh sb="15" eb="17">
      <t>ヒョウジ</t>
    </rPh>
    <rPh sb="22" eb="24">
      <t>ヘンコウ</t>
    </rPh>
    <phoneticPr fontId="2"/>
  </si>
  <si>
    <t>・</t>
    <phoneticPr fontId="11"/>
  </si>
  <si>
    <t>〇勤務データ承認画面の選択ボタンを押下すると、勤務修正画面を表示</t>
    <rPh sb="1" eb="3">
      <t>キンム</t>
    </rPh>
    <rPh sb="6" eb="8">
      <t>ショウニン</t>
    </rPh>
    <rPh sb="8" eb="10">
      <t>ガメン</t>
    </rPh>
    <rPh sb="11" eb="13">
      <t>センタク</t>
    </rPh>
    <rPh sb="17" eb="19">
      <t>オウカ</t>
    </rPh>
    <rPh sb="23" eb="29">
      <t>キンムシュウセイガメン</t>
    </rPh>
    <rPh sb="30" eb="32">
      <t>ヒョウジ</t>
    </rPh>
    <phoneticPr fontId="11"/>
  </si>
  <si>
    <t>兼任・代理承認で処理した際の更新者は処理した人の社員IDが登録されます。</t>
    <rPh sb="0" eb="2">
      <t>ケンニン</t>
    </rPh>
    <rPh sb="3" eb="7">
      <t>ダイリショウニン</t>
    </rPh>
    <rPh sb="8" eb="10">
      <t>ショリ</t>
    </rPh>
    <rPh sb="12" eb="13">
      <t>サイ</t>
    </rPh>
    <rPh sb="14" eb="17">
      <t>コウシンシャ</t>
    </rPh>
    <rPh sb="18" eb="20">
      <t>ショリ</t>
    </rPh>
    <rPh sb="22" eb="23">
      <t>ヒト</t>
    </rPh>
    <rPh sb="24" eb="26">
      <t>シャイン</t>
    </rPh>
    <rPh sb="29" eb="31">
      <t>トウロク</t>
    </rPh>
    <phoneticPr fontId="11"/>
  </si>
  <si>
    <t>画面遷移図</t>
    <rPh sb="0" eb="5">
      <t>ガメンセンイズ</t>
    </rPh>
    <phoneticPr fontId="2"/>
  </si>
  <si>
    <t>戻るボタンを廃止</t>
    <rPh sb="0" eb="1">
      <t>モド</t>
    </rPh>
    <rPh sb="6" eb="8">
      <t>ハイシ</t>
    </rPh>
    <phoneticPr fontId="2"/>
  </si>
  <si>
    <t>木田　優</t>
    <phoneticPr fontId="11"/>
  </si>
  <si>
    <t>○勤務データ承認(照会)</t>
    <rPh sb="1" eb="3">
      <t>キンム</t>
    </rPh>
    <rPh sb="6" eb="8">
      <t>ショウニン</t>
    </rPh>
    <rPh sb="9" eb="11">
      <t>ショウカイ</t>
    </rPh>
    <phoneticPr fontId="2"/>
  </si>
  <si>
    <t>パンくずリストの下に　＜＜{兼任・代理承認中の社員名}の兼任・代理承認中＞＞　と表示する。</t>
    <rPh sb="8" eb="9">
      <t>シタ</t>
    </rPh>
    <rPh sb="14" eb="16">
      <t>ケンニン</t>
    </rPh>
    <rPh sb="17" eb="21">
      <t>ダイリショウニン</t>
    </rPh>
    <rPh sb="21" eb="22">
      <t>チュウ</t>
    </rPh>
    <rPh sb="23" eb="26">
      <t>シャインメイ</t>
    </rPh>
    <rPh sb="28" eb="30">
      <t>ケンニン</t>
    </rPh>
    <rPh sb="31" eb="36">
      <t>ダイリショウニンチュウ</t>
    </rPh>
    <rPh sb="40" eb="42">
      <t>ヒョウジ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</si>
</sst>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年&quot;m&quot;月&quot;d&quot;日&quot;;@"/>
    <numFmt numFmtId="177" formatCode="0.00_ "/>
  </numFmts>
  <fonts count="1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20"/>
      <name val="ＭＳ ゴシック"/>
      <family val="3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6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b/>
      <sz val="10"/>
      <name val="ＭＳ ゴシック"/>
      <family val="3"/>
      <charset val="128"/>
    </font>
    <font>
      <sz val="10"/>
      <color theme="0" tint="-0.499984740745262"/>
      <name val="ＭＳ ゴシック"/>
      <family val="3"/>
      <charset val="128"/>
    </font>
    <font>
      <sz val="9"/>
      <name val="ＭＳ 明朝"/>
      <family val="1"/>
      <charset val="128"/>
    </font>
    <font>
      <sz val="9"/>
      <name val="ＭＳ ゴシック"/>
      <family val="3"/>
      <charset val="128"/>
    </font>
    <font>
      <b/>
      <sz val="10"/>
      <name val="ＭＳ 明朝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2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0" xfId="0" applyFont="1" applyFill="1"/>
    <xf numFmtId="0" fontId="5" fillId="2" borderId="6" xfId="0" applyFont="1" applyFill="1" applyBorder="1"/>
    <xf numFmtId="0" fontId="5" fillId="2" borderId="7" xfId="0" applyFont="1" applyFill="1" applyBorder="1"/>
    <xf numFmtId="0" fontId="5" fillId="2" borderId="8" xfId="0" applyFont="1" applyFill="1" applyBorder="1"/>
    <xf numFmtId="0" fontId="6" fillId="0" borderId="0" xfId="0" applyFont="1"/>
    <xf numFmtId="0" fontId="4" fillId="0" borderId="0" xfId="0" applyFont="1"/>
    <xf numFmtId="49" fontId="1" fillId="0" borderId="0" xfId="0" applyNumberFormat="1" applyFont="1"/>
    <xf numFmtId="0" fontId="5" fillId="0" borderId="0" xfId="0" applyFont="1"/>
    <xf numFmtId="0" fontId="5" fillId="0" borderId="0" xfId="0" applyFont="1" applyAlignment="1">
      <alignment vertical="center"/>
    </xf>
    <xf numFmtId="0" fontId="9" fillId="0" borderId="0" xfId="0" applyFont="1"/>
    <xf numFmtId="0" fontId="4" fillId="0" borderId="0" xfId="0" applyFont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12" fillId="0" borderId="0" xfId="0" applyFont="1"/>
    <xf numFmtId="0" fontId="6" fillId="0" borderId="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2" xfId="0" applyFont="1" applyBorder="1"/>
    <xf numFmtId="0" fontId="12" fillId="0" borderId="12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6" fillId="6" borderId="2" xfId="0" applyFont="1" applyFill="1" applyBorder="1" applyAlignment="1">
      <alignment vertical="center"/>
    </xf>
    <xf numFmtId="0" fontId="6" fillId="6" borderId="3" xfId="0" applyFont="1" applyFill="1" applyBorder="1" applyAlignment="1">
      <alignment vertical="center"/>
    </xf>
    <xf numFmtId="0" fontId="6" fillId="6" borderId="5" xfId="0" applyFont="1" applyFill="1" applyBorder="1" applyAlignment="1">
      <alignment vertical="center"/>
    </xf>
    <xf numFmtId="0" fontId="13" fillId="6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12" fillId="6" borderId="0" xfId="0" applyFont="1" applyFill="1" applyAlignment="1">
      <alignment vertical="center"/>
    </xf>
    <xf numFmtId="0" fontId="6" fillId="6" borderId="4" xfId="0" applyFont="1" applyFill="1" applyBorder="1" applyAlignment="1">
      <alignment vertical="center"/>
    </xf>
    <xf numFmtId="0" fontId="6" fillId="6" borderId="0" xfId="0" applyFont="1" applyFill="1"/>
    <xf numFmtId="0" fontId="6" fillId="6" borderId="4" xfId="0" applyFont="1" applyFill="1" applyBorder="1"/>
    <xf numFmtId="0" fontId="6" fillId="6" borderId="6" xfId="0" applyFont="1" applyFill="1" applyBorder="1" applyAlignment="1">
      <alignment vertical="center"/>
    </xf>
    <xf numFmtId="0" fontId="6" fillId="6" borderId="7" xfId="0" applyFont="1" applyFill="1" applyBorder="1" applyAlignment="1">
      <alignment vertical="center"/>
    </xf>
    <xf numFmtId="0" fontId="12" fillId="6" borderId="7" xfId="0" applyFont="1" applyFill="1" applyBorder="1" applyAlignment="1">
      <alignment vertical="center"/>
    </xf>
    <xf numFmtId="0" fontId="6" fillId="6" borderId="7" xfId="0" applyFont="1" applyFill="1" applyBorder="1"/>
    <xf numFmtId="0" fontId="6" fillId="6" borderId="8" xfId="0" applyFont="1" applyFill="1" applyBorder="1"/>
    <xf numFmtId="0" fontId="14" fillId="0" borderId="9" xfId="0" applyFont="1" applyBorder="1" applyAlignment="1">
      <alignment vertical="center"/>
    </xf>
    <xf numFmtId="0" fontId="14" fillId="0" borderId="0" xfId="0" quotePrefix="1" applyFont="1" applyAlignment="1">
      <alignment vertical="center"/>
    </xf>
    <xf numFmtId="0" fontId="1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6" fillId="0" borderId="9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16" fillId="0" borderId="0" xfId="0" applyFont="1"/>
    <xf numFmtId="0" fontId="5" fillId="5" borderId="21" xfId="0" applyFont="1" applyFill="1" applyBorder="1" applyAlignment="1">
      <alignment vertical="center"/>
    </xf>
    <xf numFmtId="0" fontId="5" fillId="0" borderId="21" xfId="0" applyFont="1" applyBorder="1" applyAlignment="1">
      <alignment vertical="center"/>
    </xf>
    <xf numFmtId="14" fontId="5" fillId="0" borderId="21" xfId="0" applyNumberFormat="1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7" xfId="0" applyFont="1" applyBorder="1" applyAlignment="1">
      <alignment vertical="center"/>
    </xf>
    <xf numFmtId="0" fontId="4" fillId="0" borderId="21" xfId="0" applyFont="1" applyBorder="1" applyAlignment="1">
      <alignment horizontal="center" vertical="center"/>
    </xf>
    <xf numFmtId="177" fontId="4" fillId="0" borderId="21" xfId="0" applyNumberFormat="1" applyFont="1" applyBorder="1" applyAlignment="1">
      <alignment horizontal="center" vertical="center"/>
    </xf>
    <xf numFmtId="31" fontId="4" fillId="0" borderId="21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vertical="center" wrapText="1"/>
    </xf>
    <xf numFmtId="0" fontId="4" fillId="0" borderId="21" xfId="0" applyFont="1" applyBorder="1" applyAlignment="1">
      <alignment vertical="center"/>
    </xf>
    <xf numFmtId="0" fontId="4" fillId="0" borderId="21" xfId="0" applyFont="1" applyBorder="1" applyAlignment="1">
      <alignment horizontal="left" vertical="center"/>
    </xf>
    <xf numFmtId="0" fontId="4" fillId="6" borderId="20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176" fontId="4" fillId="6" borderId="19" xfId="0" applyNumberFormat="1" applyFont="1" applyFill="1" applyBorder="1" applyAlignment="1">
      <alignment horizontal="center" vertical="center"/>
    </xf>
    <xf numFmtId="176" fontId="4" fillId="6" borderId="15" xfId="0" applyNumberFormat="1" applyFont="1" applyFill="1" applyBorder="1" applyAlignment="1">
      <alignment horizontal="center" vertical="center"/>
    </xf>
    <xf numFmtId="176" fontId="4" fillId="6" borderId="16" xfId="0" applyNumberFormat="1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49" fontId="6" fillId="4" borderId="3" xfId="0" applyNumberFormat="1" applyFont="1" applyFill="1" applyBorder="1" applyAlignment="1">
      <alignment horizontal="center" vertical="center"/>
    </xf>
    <xf numFmtId="49" fontId="6" fillId="4" borderId="6" xfId="0" applyNumberFormat="1" applyFont="1" applyFill="1" applyBorder="1" applyAlignment="1">
      <alignment horizontal="center" vertical="center"/>
    </xf>
    <xf numFmtId="49" fontId="6" fillId="4" borderId="7" xfId="0" applyNumberFormat="1" applyFont="1" applyFill="1" applyBorder="1" applyAlignment="1">
      <alignment horizontal="center" vertical="center"/>
    </xf>
    <xf numFmtId="49" fontId="6" fillId="4" borderId="8" xfId="0" applyNumberFormat="1" applyFont="1" applyFill="1" applyBorder="1" applyAlignment="1">
      <alignment horizontal="center" vertical="center"/>
    </xf>
    <xf numFmtId="177" fontId="4" fillId="6" borderId="19" xfId="0" applyNumberFormat="1" applyFont="1" applyFill="1" applyBorder="1" applyAlignment="1">
      <alignment horizontal="center" vertical="center"/>
    </xf>
    <xf numFmtId="177" fontId="4" fillId="6" borderId="15" xfId="0" applyNumberFormat="1" applyFont="1" applyFill="1" applyBorder="1" applyAlignment="1">
      <alignment horizontal="center" vertical="center"/>
    </xf>
    <xf numFmtId="177" fontId="4" fillId="6" borderId="16" xfId="0" applyNumberFormat="1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vertical="center"/>
    </xf>
    <xf numFmtId="0" fontId="4" fillId="6" borderId="21" xfId="0" applyFont="1" applyFill="1" applyBorder="1" applyAlignment="1">
      <alignment horizontal="left" vertical="center"/>
    </xf>
    <xf numFmtId="0" fontId="4" fillId="6" borderId="19" xfId="0" applyFont="1" applyFill="1" applyBorder="1" applyAlignment="1">
      <alignment vertical="center"/>
    </xf>
    <xf numFmtId="0" fontId="4" fillId="6" borderId="15" xfId="0" applyFont="1" applyFill="1" applyBorder="1" applyAlignment="1">
      <alignment vertical="center"/>
    </xf>
    <xf numFmtId="0" fontId="4" fillId="6" borderId="16" xfId="0" applyFont="1" applyFill="1" applyBorder="1" applyAlignment="1">
      <alignment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0" borderId="33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4" borderId="36" xfId="0" applyFont="1" applyFill="1" applyBorder="1" applyAlignment="1">
      <alignment vertical="center"/>
    </xf>
    <xf numFmtId="0" fontId="5" fillId="4" borderId="35" xfId="0" applyFont="1" applyFill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5" fillId="0" borderId="35" xfId="0" applyFont="1" applyBorder="1" applyAlignment="1">
      <alignment horizontal="center" vertical="center"/>
    </xf>
    <xf numFmtId="0" fontId="5" fillId="4" borderId="33" xfId="0" applyFont="1" applyFill="1" applyBorder="1" applyAlignment="1">
      <alignment horizontal="left" vertical="center"/>
    </xf>
    <xf numFmtId="0" fontId="5" fillId="4" borderId="23" xfId="0" applyFont="1" applyFill="1" applyBorder="1" applyAlignment="1">
      <alignment horizontal="left" vertical="center"/>
    </xf>
    <xf numFmtId="0" fontId="5" fillId="4" borderId="29" xfId="1" applyFont="1" applyFill="1" applyBorder="1" applyAlignment="1">
      <alignment vertical="center"/>
    </xf>
    <xf numFmtId="0" fontId="5" fillId="4" borderId="30" xfId="1" applyFont="1" applyFill="1" applyBorder="1" applyAlignment="1">
      <alignment vertical="center"/>
    </xf>
    <xf numFmtId="0" fontId="5" fillId="4" borderId="31" xfId="1" applyFont="1" applyFill="1" applyBorder="1" applyAlignment="1">
      <alignment vertical="center"/>
    </xf>
    <xf numFmtId="0" fontId="5" fillId="0" borderId="32" xfId="1" applyFont="1" applyBorder="1" applyAlignment="1">
      <alignment vertical="center" wrapText="1"/>
    </xf>
    <xf numFmtId="0" fontId="5" fillId="0" borderId="30" xfId="1" applyFont="1" applyBorder="1" applyAlignment="1">
      <alignment vertical="center" wrapText="1"/>
    </xf>
    <xf numFmtId="0" fontId="5" fillId="0" borderId="31" xfId="1" applyFont="1" applyBorder="1" applyAlignment="1">
      <alignment vertical="center" wrapText="1"/>
    </xf>
    <xf numFmtId="0" fontId="5" fillId="0" borderId="13" xfId="1" applyFont="1" applyBorder="1" applyAlignment="1">
      <alignment horizontal="left" vertical="center"/>
    </xf>
    <xf numFmtId="0" fontId="5" fillId="0" borderId="12" xfId="1" applyFont="1" applyBorder="1" applyAlignment="1">
      <alignment horizontal="left" vertical="center"/>
    </xf>
    <xf numFmtId="0" fontId="5" fillId="0" borderId="18" xfId="1" applyFont="1" applyBorder="1" applyAlignment="1">
      <alignment horizontal="left" vertical="center"/>
    </xf>
    <xf numFmtId="0" fontId="5" fillId="4" borderId="32" xfId="1" applyFont="1" applyFill="1" applyBorder="1" applyAlignment="1">
      <alignment horizontal="center" vertical="center"/>
    </xf>
    <xf numFmtId="0" fontId="5" fillId="4" borderId="30" xfId="1" applyFont="1" applyFill="1" applyBorder="1" applyAlignment="1">
      <alignment horizontal="center" vertical="center"/>
    </xf>
    <xf numFmtId="0" fontId="5" fillId="4" borderId="31" xfId="1" applyFont="1" applyFill="1" applyBorder="1" applyAlignment="1">
      <alignment horizontal="center" vertical="center"/>
    </xf>
    <xf numFmtId="0" fontId="5" fillId="0" borderId="32" xfId="1" applyFont="1" applyBorder="1" applyAlignment="1">
      <alignment horizontal="left" vertical="center"/>
    </xf>
    <xf numFmtId="0" fontId="5" fillId="0" borderId="30" xfId="1" applyFont="1" applyBorder="1" applyAlignment="1">
      <alignment horizontal="left" vertical="center"/>
    </xf>
    <xf numFmtId="0" fontId="5" fillId="0" borderId="31" xfId="1" applyFont="1" applyBorder="1" applyAlignment="1">
      <alignment horizontal="left" vertical="center"/>
    </xf>
    <xf numFmtId="31" fontId="5" fillId="0" borderId="25" xfId="1" applyNumberFormat="1" applyFont="1" applyBorder="1" applyAlignment="1">
      <alignment horizontal="center" vertical="center"/>
    </xf>
    <xf numFmtId="31" fontId="5" fillId="0" borderId="26" xfId="1" applyNumberFormat="1" applyFont="1" applyBorder="1" applyAlignment="1">
      <alignment horizontal="center" vertical="center"/>
    </xf>
    <xf numFmtId="31" fontId="5" fillId="0" borderId="27" xfId="1" applyNumberFormat="1" applyFont="1" applyBorder="1" applyAlignment="1">
      <alignment horizontal="center" vertical="center"/>
    </xf>
    <xf numFmtId="0" fontId="5" fillId="4" borderId="33" xfId="1" applyFont="1" applyFill="1" applyBorder="1" applyAlignment="1">
      <alignment horizontal="center" vertical="center"/>
    </xf>
    <xf numFmtId="0" fontId="5" fillId="4" borderId="23" xfId="1" applyFont="1" applyFill="1" applyBorder="1" applyAlignment="1">
      <alignment horizontal="center" vertical="center"/>
    </xf>
    <xf numFmtId="0" fontId="5" fillId="4" borderId="3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13" xfId="1" applyFont="1" applyFill="1" applyBorder="1" applyAlignment="1">
      <alignment horizontal="center" vertical="center"/>
    </xf>
    <xf numFmtId="0" fontId="5" fillId="4" borderId="12" xfId="1" applyFont="1" applyFill="1" applyBorder="1" applyAlignment="1">
      <alignment horizontal="center" vertical="center"/>
    </xf>
    <xf numFmtId="0" fontId="5" fillId="4" borderId="18" xfId="1" applyFont="1" applyFill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4" borderId="17" xfId="1" applyFont="1" applyFill="1" applyBorder="1" applyAlignment="1">
      <alignment vertical="center"/>
    </xf>
    <xf numFmtId="0" fontId="5" fillId="4" borderId="15" xfId="1" applyFont="1" applyFill="1" applyBorder="1" applyAlignment="1">
      <alignment vertical="center"/>
    </xf>
    <xf numFmtId="0" fontId="5" fillId="4" borderId="16" xfId="1" applyFont="1" applyFill="1" applyBorder="1" applyAlignment="1">
      <alignment vertical="center"/>
    </xf>
    <xf numFmtId="0" fontId="5" fillId="0" borderId="19" xfId="1" applyFont="1" applyBorder="1" applyAlignment="1">
      <alignment vertical="center" wrapText="1"/>
    </xf>
    <xf numFmtId="0" fontId="5" fillId="0" borderId="15" xfId="1" applyFont="1" applyBorder="1" applyAlignment="1">
      <alignment vertical="center" wrapText="1"/>
    </xf>
    <xf numFmtId="0" fontId="5" fillId="0" borderId="16" xfId="1" applyFont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5" fillId="4" borderId="19" xfId="1" applyFont="1" applyFill="1" applyBorder="1" applyAlignment="1">
      <alignment horizontal="center" vertical="center"/>
    </xf>
    <xf numFmtId="0" fontId="5" fillId="4" borderId="15" xfId="1" applyFont="1" applyFill="1" applyBorder="1" applyAlignment="1">
      <alignment horizontal="center" vertical="center"/>
    </xf>
    <xf numFmtId="0" fontId="5" fillId="4" borderId="16" xfId="1" applyFont="1" applyFill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31" fontId="5" fillId="0" borderId="19" xfId="1" applyNumberFormat="1" applyFont="1" applyBorder="1" applyAlignment="1">
      <alignment horizontal="center" vertical="center"/>
    </xf>
    <xf numFmtId="31" fontId="5" fillId="0" borderId="15" xfId="1" applyNumberFormat="1" applyFont="1" applyBorder="1" applyAlignment="1">
      <alignment horizontal="center" vertical="center"/>
    </xf>
    <xf numFmtId="31" fontId="5" fillId="0" borderId="16" xfId="1" applyNumberFormat="1" applyFont="1" applyBorder="1" applyAlignment="1">
      <alignment horizontal="center" vertical="center"/>
    </xf>
    <xf numFmtId="0" fontId="5" fillId="4" borderId="28" xfId="1" applyFont="1" applyFill="1" applyBorder="1" applyAlignment="1">
      <alignment vertical="center"/>
    </xf>
    <xf numFmtId="0" fontId="5" fillId="4" borderId="26" xfId="1" applyFont="1" applyFill="1" applyBorder="1" applyAlignment="1">
      <alignment vertical="center"/>
    </xf>
    <xf numFmtId="0" fontId="5" fillId="4" borderId="27" xfId="1" applyFont="1" applyFill="1" applyBorder="1" applyAlignment="1">
      <alignment vertical="center"/>
    </xf>
    <xf numFmtId="0" fontId="5" fillId="0" borderId="25" xfId="1" applyFont="1" applyBorder="1" applyAlignment="1">
      <alignment vertical="center"/>
    </xf>
    <xf numFmtId="0" fontId="5" fillId="0" borderId="26" xfId="1" applyFont="1" applyBorder="1" applyAlignment="1">
      <alignment vertical="center"/>
    </xf>
    <xf numFmtId="0" fontId="5" fillId="0" borderId="27" xfId="1" applyFont="1" applyBorder="1" applyAlignment="1">
      <alignment vertical="center"/>
    </xf>
    <xf numFmtId="0" fontId="5" fillId="4" borderId="25" xfId="1" applyFont="1" applyFill="1" applyBorder="1" applyAlignment="1">
      <alignment horizontal="center" vertical="center"/>
    </xf>
    <xf numFmtId="0" fontId="5" fillId="4" borderId="26" xfId="1" applyFont="1" applyFill="1" applyBorder="1" applyAlignment="1">
      <alignment horizontal="center" vertical="center"/>
    </xf>
    <xf numFmtId="0" fontId="5" fillId="4" borderId="27" xfId="1" applyFont="1" applyFill="1" applyBorder="1" applyAlignment="1">
      <alignment horizontal="center" vertical="center"/>
    </xf>
    <xf numFmtId="0" fontId="5" fillId="0" borderId="25" xfId="1" applyFont="1" applyBorder="1" applyAlignment="1">
      <alignment horizontal="left" vertical="center"/>
    </xf>
    <xf numFmtId="0" fontId="5" fillId="0" borderId="26" xfId="1" applyFont="1" applyBorder="1" applyAlignment="1">
      <alignment horizontal="left" vertical="center"/>
    </xf>
    <xf numFmtId="0" fontId="5" fillId="0" borderId="27" xfId="1" applyFont="1" applyBorder="1" applyAlignment="1">
      <alignment horizontal="left" vertical="center"/>
    </xf>
    <xf numFmtId="0" fontId="5" fillId="0" borderId="25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/>
    </xf>
    <xf numFmtId="0" fontId="4" fillId="0" borderId="40" xfId="0" applyFont="1" applyBorder="1" applyAlignment="1">
      <alignment horizontal="left" vertical="center" shrinkToFit="1"/>
    </xf>
    <xf numFmtId="0" fontId="4" fillId="0" borderId="41" xfId="0" applyFont="1" applyBorder="1" applyAlignment="1">
      <alignment horizontal="left" vertical="center" shrinkToFit="1"/>
    </xf>
    <xf numFmtId="0" fontId="4" fillId="0" borderId="42" xfId="0" applyFont="1" applyBorder="1" applyAlignment="1">
      <alignment horizontal="left" vertical="center" shrinkToFit="1"/>
    </xf>
    <xf numFmtId="0" fontId="4" fillId="0" borderId="43" xfId="0" applyFont="1" applyBorder="1" applyAlignment="1">
      <alignment horizontal="left" vertical="center" shrinkToFit="1"/>
    </xf>
    <xf numFmtId="0" fontId="5" fillId="4" borderId="16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5" fillId="4" borderId="38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left" vertical="center"/>
    </xf>
    <xf numFmtId="0" fontId="5" fillId="4" borderId="26" xfId="0" applyFont="1" applyFill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 shrinkToFit="1"/>
    </xf>
    <xf numFmtId="0" fontId="4" fillId="0" borderId="45" xfId="0" applyFont="1" applyBorder="1" applyAlignment="1">
      <alignment horizontal="left" vertical="center" shrinkToFit="1"/>
    </xf>
    <xf numFmtId="0" fontId="4" fillId="0" borderId="46" xfId="0" applyFont="1" applyBorder="1" applyAlignment="1">
      <alignment horizontal="left" vertical="center" shrinkToFit="1"/>
    </xf>
    <xf numFmtId="0" fontId="4" fillId="0" borderId="44" xfId="0" applyFont="1" applyBorder="1" applyAlignment="1">
      <alignment horizontal="left" vertical="center" shrinkToFit="1"/>
    </xf>
    <xf numFmtId="0" fontId="4" fillId="0" borderId="48" xfId="0" applyFont="1" applyBorder="1" applyAlignment="1">
      <alignment horizontal="left" vertical="center" shrinkToFit="1"/>
    </xf>
    <xf numFmtId="0" fontId="4" fillId="0" borderId="49" xfId="0" applyFont="1" applyBorder="1" applyAlignment="1">
      <alignment horizontal="left" vertical="center" shrinkToFit="1"/>
    </xf>
    <xf numFmtId="0" fontId="4" fillId="0" borderId="50" xfId="0" applyFont="1" applyBorder="1" applyAlignment="1">
      <alignment horizontal="left" vertical="center" shrinkToFit="1"/>
    </xf>
    <xf numFmtId="0" fontId="4" fillId="0" borderId="51" xfId="0" applyFont="1" applyBorder="1" applyAlignment="1">
      <alignment horizontal="left" vertical="center" shrinkToFit="1"/>
    </xf>
    <xf numFmtId="0" fontId="4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12" fillId="0" borderId="0" xfId="0" applyFont="1" applyFill="1"/>
    <xf numFmtId="0" fontId="12" fillId="0" borderId="0" xfId="0" applyFont="1" applyFill="1" applyAlignment="1">
      <alignment vertical="center"/>
    </xf>
    <xf numFmtId="0" fontId="6" fillId="0" borderId="0" xfId="0" applyFont="1" applyFill="1"/>
    <xf numFmtId="0" fontId="4" fillId="0" borderId="0" xfId="0" applyFont="1" applyFill="1"/>
    <xf numFmtId="0" fontId="4" fillId="0" borderId="43" xfId="0" applyFont="1" applyFill="1" applyBorder="1" applyAlignment="1">
      <alignment horizontal="left" vertical="center" shrinkToFit="1"/>
    </xf>
    <xf numFmtId="0" fontId="4" fillId="0" borderId="41" xfId="0" applyFont="1" applyFill="1" applyBorder="1" applyAlignment="1">
      <alignment horizontal="left" vertical="center" shrinkToFit="1"/>
    </xf>
    <xf numFmtId="0" fontId="4" fillId="0" borderId="42" xfId="0" applyFont="1" applyFill="1" applyBorder="1" applyAlignment="1">
      <alignment horizontal="left" vertical="center" shrinkToFit="1"/>
    </xf>
    <xf numFmtId="0" fontId="6" fillId="0" borderId="0" xfId="0" applyFont="1" applyFill="1" applyAlignment="1">
      <alignment horizontal="left" vertical="center"/>
    </xf>
    <xf numFmtId="0" fontId="15" fillId="0" borderId="0" xfId="0" applyFont="1" applyFill="1" applyAlignment="1">
      <alignment vertical="center"/>
    </xf>
  </cellXfs>
  <cellStyles count="2">
    <cellStyle name="標準" xfId="0" builtinId="0"/>
    <cellStyle name="標準_概念_要件定義書（原紙本文EAI-HUB用）_プライオリティ規約（修正版20020430_MQプライオリティ追加)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21</xdr:col>
      <xdr:colOff>0</xdr:colOff>
      <xdr:row>7</xdr:row>
      <xdr:rowOff>0</xdr:rowOff>
    </xdr:to>
    <xdr:sp macro="" textlink="">
      <xdr:nvSpPr>
        <xdr:cNvPr id="373761" name="Text Box 1">
          <a:extLst>
            <a:ext uri="{FF2B5EF4-FFF2-40B4-BE49-F238E27FC236}">
              <a16:creationId xmlns:a16="http://schemas.microsoft.com/office/drawing/2014/main" id="{00000000-0008-0000-0000-000001B40500}"/>
            </a:ext>
          </a:extLst>
        </xdr:cNvPr>
        <xdr:cNvSpPr txBox="1">
          <a:spLocks noChangeArrowheads="1"/>
        </xdr:cNvSpPr>
      </xdr:nvSpPr>
      <xdr:spPr bwMode="auto">
        <a:xfrm>
          <a:off x="2743200" y="171450"/>
          <a:ext cx="4457700" cy="1028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同志社大学様</a:t>
          </a:r>
        </a:p>
      </xdr:txBody>
    </xdr:sp>
    <xdr:clientData/>
  </xdr:twoCellAnchor>
  <xdr:twoCellAnchor>
    <xdr:from>
      <xdr:col>8</xdr:col>
      <xdr:colOff>133350</xdr:colOff>
      <xdr:row>5</xdr:row>
      <xdr:rowOff>66675</xdr:rowOff>
    </xdr:from>
    <xdr:to>
      <xdr:col>19</xdr:col>
      <xdr:colOff>285750</xdr:colOff>
      <xdr:row>5</xdr:row>
      <xdr:rowOff>66675</xdr:rowOff>
    </xdr:to>
    <xdr:sp macro="" textlink="">
      <xdr:nvSpPr>
        <xdr:cNvPr id="373762" name="Line 2">
          <a:extLst>
            <a:ext uri="{FF2B5EF4-FFF2-40B4-BE49-F238E27FC236}">
              <a16:creationId xmlns:a16="http://schemas.microsoft.com/office/drawing/2014/main" id="{00000000-0008-0000-0000-000002B40500}"/>
            </a:ext>
          </a:extLst>
        </xdr:cNvPr>
        <xdr:cNvSpPr>
          <a:spLocks noChangeShapeType="1"/>
        </xdr:cNvSpPr>
      </xdr:nvSpPr>
      <xdr:spPr bwMode="auto">
        <a:xfrm flipV="1">
          <a:off x="2876550" y="923925"/>
          <a:ext cx="39243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33</xdr:row>
      <xdr:rowOff>0</xdr:rowOff>
    </xdr:from>
    <xdr:to>
      <xdr:col>18</xdr:col>
      <xdr:colOff>0</xdr:colOff>
      <xdr:row>35</xdr:row>
      <xdr:rowOff>0</xdr:rowOff>
    </xdr:to>
    <xdr:grpSp>
      <xdr:nvGrpSpPr>
        <xdr:cNvPr id="373763" name="Group 3">
          <a:extLst>
            <a:ext uri="{FF2B5EF4-FFF2-40B4-BE49-F238E27FC236}">
              <a16:creationId xmlns:a16="http://schemas.microsoft.com/office/drawing/2014/main" id="{00000000-0008-0000-0000-000003B40500}"/>
            </a:ext>
          </a:extLst>
        </xdr:cNvPr>
        <xdr:cNvGrpSpPr>
          <a:grpSpLocks/>
        </xdr:cNvGrpSpPr>
      </xdr:nvGrpSpPr>
      <xdr:grpSpPr bwMode="auto">
        <a:xfrm>
          <a:off x="3821206" y="5546912"/>
          <a:ext cx="2431676" cy="336176"/>
          <a:chOff x="396" y="576"/>
          <a:chExt cx="252" cy="36"/>
        </a:xfrm>
      </xdr:grpSpPr>
      <xdr:sp macro="" textlink="">
        <xdr:nvSpPr>
          <xdr:cNvPr id="373765" name="Rectangle 5">
            <a:extLst>
              <a:ext uri="{FF2B5EF4-FFF2-40B4-BE49-F238E27FC236}">
                <a16:creationId xmlns:a16="http://schemas.microsoft.com/office/drawing/2014/main" id="{00000000-0008-0000-0000-000005B40500}"/>
              </a:ext>
            </a:extLst>
          </xdr:cNvPr>
          <xdr:cNvSpPr>
            <a:spLocks noChangeArrowheads="1"/>
          </xdr:cNvSpPr>
        </xdr:nvSpPr>
        <xdr:spPr bwMode="auto">
          <a:xfrm>
            <a:off x="396" y="576"/>
            <a:ext cx="252" cy="3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</xdr:grpSp>
    <xdr:clientData/>
  </xdr:twoCellAnchor>
  <xdr:twoCellAnchor editAs="oneCell">
    <xdr:from>
      <xdr:col>10</xdr:col>
      <xdr:colOff>235323</xdr:colOff>
      <xdr:row>30</xdr:row>
      <xdr:rowOff>67235</xdr:rowOff>
    </xdr:from>
    <xdr:to>
      <xdr:col>18</xdr:col>
      <xdr:colOff>159612</xdr:colOff>
      <xdr:row>34</xdr:row>
      <xdr:rowOff>109256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5DC2BB7-1E06-407B-A129-69E3392F9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9147" y="5109882"/>
          <a:ext cx="2703347" cy="7143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19050</xdr:colOff>
      <xdr:row>16</xdr:row>
      <xdr:rowOff>11206</xdr:rowOff>
    </xdr:from>
    <xdr:to>
      <xdr:col>29</xdr:col>
      <xdr:colOff>100853</xdr:colOff>
      <xdr:row>17</xdr:row>
      <xdr:rowOff>114300</xdr:rowOff>
    </xdr:to>
    <xdr:sp macro="" textlink="">
      <xdr:nvSpPr>
        <xdr:cNvPr id="3" name="右矢印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 bwMode="auto">
        <a:xfrm>
          <a:off x="3078256" y="3059206"/>
          <a:ext cx="1247215" cy="293594"/>
        </a:xfrm>
        <a:prstGeom prst="rightArrow">
          <a:avLst>
            <a:gd name="adj1" fmla="val 50000"/>
            <a:gd name="adj2" fmla="val 85687"/>
          </a:avLst>
        </a:prstGeom>
        <a:pattFill prst="dkDnDiag">
          <a:fgClr>
            <a:schemeClr val="tx1">
              <a:lumMod val="75000"/>
              <a:lumOff val="25000"/>
            </a:schemeClr>
          </a:fgClr>
          <a:bgClr>
            <a:schemeClr val="bg1"/>
          </a:bgClr>
        </a:pattFill>
        <a:ln>
          <a:noFill/>
          <a:headEnd type="none" w="med" len="med"/>
          <a:tailEnd type="none" w="med" len="med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48</xdr:col>
      <xdr:colOff>118776</xdr:colOff>
      <xdr:row>32</xdr:row>
      <xdr:rowOff>56027</xdr:rowOff>
    </xdr:from>
    <xdr:to>
      <xdr:col>63</xdr:col>
      <xdr:colOff>44823</xdr:colOff>
      <xdr:row>36</xdr:row>
      <xdr:rowOff>155194</xdr:rowOff>
    </xdr:to>
    <xdr:sp macro="" textlink="">
      <xdr:nvSpPr>
        <xdr:cNvPr id="44" name="矢印: 折線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 bwMode="auto">
        <a:xfrm rot="16200000" flipV="1">
          <a:off x="7736260" y="5527014"/>
          <a:ext cx="861167" cy="2111194"/>
        </a:xfrm>
        <a:prstGeom prst="bentArrow">
          <a:avLst>
            <a:gd name="adj1" fmla="val 16538"/>
            <a:gd name="adj2" fmla="val 19799"/>
            <a:gd name="adj3" fmla="val 26553"/>
            <a:gd name="adj4" fmla="val 15018"/>
          </a:avLst>
        </a:prstGeom>
        <a:pattFill prst="dkDnDiag">
          <a:fgClr>
            <a:schemeClr val="tx1">
              <a:lumMod val="75000"/>
              <a:lumOff val="25000"/>
            </a:schemeClr>
          </a:fgClr>
          <a:bgClr>
            <a:schemeClr val="bg1"/>
          </a:bgClr>
        </a:patt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/>
        </a:scene3d>
      </xdr:spPr>
      <xdr:txBody>
        <a:bodyPr vertOverflow="clip" wrap="square" lIns="18288" tIns="0" rIns="0" bIns="0" rtlCol="0" anchor="ctr" upright="1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21</xdr:col>
      <xdr:colOff>19050</xdr:colOff>
      <xdr:row>33</xdr:row>
      <xdr:rowOff>112058</xdr:rowOff>
    </xdr:from>
    <xdr:to>
      <xdr:col>29</xdr:col>
      <xdr:colOff>78441</xdr:colOff>
      <xdr:row>35</xdr:row>
      <xdr:rowOff>24652</xdr:rowOff>
    </xdr:to>
    <xdr:sp macro="" textlink="">
      <xdr:nvSpPr>
        <xdr:cNvPr id="11" name="右矢印 2">
          <a:extLst>
            <a:ext uri="{FF2B5EF4-FFF2-40B4-BE49-F238E27FC236}">
              <a16:creationId xmlns:a16="http://schemas.microsoft.com/office/drawing/2014/main" id="{E6E01DA9-97B3-452B-89FD-3F31E8C5113D}"/>
            </a:ext>
          </a:extLst>
        </xdr:cNvPr>
        <xdr:cNvSpPr/>
      </xdr:nvSpPr>
      <xdr:spPr bwMode="auto">
        <a:xfrm>
          <a:off x="3078256" y="6398558"/>
          <a:ext cx="1224803" cy="293594"/>
        </a:xfrm>
        <a:prstGeom prst="rightArrow">
          <a:avLst>
            <a:gd name="adj1" fmla="val 50000"/>
            <a:gd name="adj2" fmla="val 85687"/>
          </a:avLst>
        </a:prstGeom>
        <a:pattFill prst="dkDnDiag">
          <a:fgClr>
            <a:schemeClr val="tx1">
              <a:lumMod val="75000"/>
              <a:lumOff val="25000"/>
            </a:schemeClr>
          </a:fgClr>
          <a:bgClr>
            <a:schemeClr val="bg1"/>
          </a:bgClr>
        </a:pattFill>
        <a:ln>
          <a:noFill/>
          <a:headEnd type="none" w="med" len="med"/>
          <a:tailEnd type="none" w="med" len="med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49</xdr:col>
      <xdr:colOff>31649</xdr:colOff>
      <xdr:row>15</xdr:row>
      <xdr:rowOff>168088</xdr:rowOff>
    </xdr:from>
    <xdr:to>
      <xdr:col>63</xdr:col>
      <xdr:colOff>44821</xdr:colOff>
      <xdr:row>20</xdr:row>
      <xdr:rowOff>123265</xdr:rowOff>
    </xdr:to>
    <xdr:sp macro="" textlink="">
      <xdr:nvSpPr>
        <xdr:cNvPr id="18" name="矢印: 折線 17">
          <a:extLst>
            <a:ext uri="{FF2B5EF4-FFF2-40B4-BE49-F238E27FC236}">
              <a16:creationId xmlns:a16="http://schemas.microsoft.com/office/drawing/2014/main" id="{6FE5F337-9E4E-44A9-8F1B-5B0110F63991}"/>
            </a:ext>
          </a:extLst>
        </xdr:cNvPr>
        <xdr:cNvSpPr/>
      </xdr:nvSpPr>
      <xdr:spPr bwMode="auto">
        <a:xfrm rot="16200000" flipH="1" flipV="1">
          <a:off x="7742279" y="2453105"/>
          <a:ext cx="907677" cy="2052643"/>
        </a:xfrm>
        <a:prstGeom prst="bentArrow">
          <a:avLst>
            <a:gd name="adj1" fmla="val 18021"/>
            <a:gd name="adj2" fmla="val 20147"/>
            <a:gd name="adj3" fmla="val 27534"/>
            <a:gd name="adj4" fmla="val 15018"/>
          </a:avLst>
        </a:prstGeom>
        <a:pattFill prst="dkDnDiag">
          <a:fgClr>
            <a:schemeClr val="tx1">
              <a:lumMod val="75000"/>
              <a:lumOff val="25000"/>
            </a:schemeClr>
          </a:fgClr>
          <a:bgClr>
            <a:schemeClr val="bg1"/>
          </a:bgClr>
        </a:patt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/>
        </a:scene3d>
      </xdr:spPr>
      <xdr:txBody>
        <a:bodyPr vertOverflow="clip" wrap="square" lIns="18288" tIns="0" rIns="0" bIns="0" rtlCol="0" anchor="ctr" upright="1"/>
        <a:lstStyle/>
        <a:p>
          <a:pPr algn="ctr"/>
          <a:endParaRPr kumimoji="1" lang="ja-JP" altLang="en-US" sz="1100"/>
        </a:p>
      </xdr:txBody>
    </xdr:sp>
    <xdr:clientData/>
  </xdr:twoCellAnchor>
  <xdr:oneCellAnchor>
    <xdr:from>
      <xdr:col>6</xdr:col>
      <xdr:colOff>89649</xdr:colOff>
      <xdr:row>14</xdr:row>
      <xdr:rowOff>17930</xdr:rowOff>
    </xdr:from>
    <xdr:ext cx="873400" cy="1541928"/>
    <xdr:pic>
      <xdr:nvPicPr>
        <xdr:cNvPr id="7" name="図 6">
          <a:extLst>
            <a:ext uri="{FF2B5EF4-FFF2-40B4-BE49-F238E27FC236}">
              <a16:creationId xmlns:a16="http://schemas.microsoft.com/office/drawing/2014/main" id="{7C1DD5A2-39C9-4B77-BE45-266A4291E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2684" y="2653554"/>
          <a:ext cx="873400" cy="1541928"/>
        </a:xfrm>
        <a:prstGeom prst="rect">
          <a:avLst/>
        </a:prstGeom>
      </xdr:spPr>
    </xdr:pic>
    <xdr:clientData/>
  </xdr:oneCellAnchor>
  <xdr:twoCellAnchor editAs="oneCell">
    <xdr:from>
      <xdr:col>35</xdr:col>
      <xdr:colOff>35859</xdr:colOff>
      <xdr:row>14</xdr:row>
      <xdr:rowOff>1</xdr:rowOff>
    </xdr:from>
    <xdr:to>
      <xdr:col>42</xdr:col>
      <xdr:colOff>40215</xdr:colOff>
      <xdr:row>22</xdr:row>
      <xdr:rowOff>53788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ED220E3E-8FC7-4BF2-80EF-3AC4EC4E8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28565" y="2635625"/>
          <a:ext cx="882897" cy="1559857"/>
        </a:xfrm>
        <a:prstGeom prst="rect">
          <a:avLst/>
        </a:prstGeom>
      </xdr:spPr>
    </xdr:pic>
    <xdr:clientData/>
  </xdr:twoCellAnchor>
  <xdr:twoCellAnchor editAs="oneCell">
    <xdr:from>
      <xdr:col>56</xdr:col>
      <xdr:colOff>71719</xdr:colOff>
      <xdr:row>23</xdr:row>
      <xdr:rowOff>8964</xdr:rowOff>
    </xdr:from>
    <xdr:to>
      <xdr:col>64</xdr:col>
      <xdr:colOff>15237</xdr:colOff>
      <xdr:row>31</xdr:row>
      <xdr:rowOff>170328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C8C364A4-A6CD-422F-8921-9E7437065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00048" y="4338917"/>
          <a:ext cx="947565" cy="1667435"/>
        </a:xfrm>
        <a:prstGeom prst="rect">
          <a:avLst/>
        </a:prstGeom>
      </xdr:spPr>
    </xdr:pic>
    <xdr:clientData/>
  </xdr:twoCellAnchor>
  <xdr:oneCellAnchor>
    <xdr:from>
      <xdr:col>2</xdr:col>
      <xdr:colOff>17932</xdr:colOff>
      <xdr:row>33</xdr:row>
      <xdr:rowOff>125507</xdr:rowOff>
    </xdr:from>
    <xdr:ext cx="2180208" cy="1102660"/>
    <xdr:pic>
      <xdr:nvPicPr>
        <xdr:cNvPr id="12" name="図 11">
          <a:extLst>
            <a:ext uri="{FF2B5EF4-FFF2-40B4-BE49-F238E27FC236}">
              <a16:creationId xmlns:a16="http://schemas.microsoft.com/office/drawing/2014/main" id="{5DC05477-A021-4116-AE2A-BE4EC916F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8944" y="6338048"/>
          <a:ext cx="2180208" cy="1102660"/>
        </a:xfrm>
        <a:prstGeom prst="rect">
          <a:avLst/>
        </a:prstGeom>
      </xdr:spPr>
    </xdr:pic>
    <xdr:clientData/>
  </xdr:oneCellAnchor>
  <xdr:twoCellAnchor editAs="oneCell">
    <xdr:from>
      <xdr:col>30</xdr:col>
      <xdr:colOff>40341</xdr:colOff>
      <xdr:row>33</xdr:row>
      <xdr:rowOff>45945</xdr:rowOff>
    </xdr:from>
    <xdr:to>
      <xdr:col>47</xdr:col>
      <xdr:colOff>66586</xdr:colOff>
      <xdr:row>39</xdr:row>
      <xdr:rowOff>8966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7A506039-E06D-2FF2-6AE1-F087F1640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05517" y="6258486"/>
          <a:ext cx="2159845" cy="10925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23</xdr:col>
      <xdr:colOff>44085</xdr:colOff>
      <xdr:row>35</xdr:row>
      <xdr:rowOff>179294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2980A58-3E87-1EF6-FB84-8155B4B28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353" y="1333500"/>
          <a:ext cx="3103291" cy="551329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48</xdr:col>
      <xdr:colOff>1643</xdr:colOff>
      <xdr:row>73</xdr:row>
      <xdr:rowOff>156882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F86E578-2CD7-4FA0-8F3A-313686DBF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53" y="9525000"/>
          <a:ext cx="6702761" cy="4538382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50</xdr:row>
      <xdr:rowOff>0</xdr:rowOff>
    </xdr:from>
    <xdr:to>
      <xdr:col>95</xdr:col>
      <xdr:colOff>41716</xdr:colOff>
      <xdr:row>73</xdr:row>
      <xdr:rowOff>100853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D4700BB-1BDD-44E9-A13D-81ED55FFA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83824" y="9525000"/>
          <a:ext cx="6597157" cy="4482353"/>
        </a:xfrm>
        <a:prstGeom prst="rect">
          <a:avLst/>
        </a:prstGeom>
      </xdr:spPr>
    </xdr:pic>
    <xdr:clientData/>
  </xdr:twoCellAnchor>
  <xdr:twoCellAnchor editAs="oneCell">
    <xdr:from>
      <xdr:col>19</xdr:col>
      <xdr:colOff>78441</xdr:colOff>
      <xdr:row>12</xdr:row>
      <xdr:rowOff>190499</xdr:rowOff>
    </xdr:from>
    <xdr:to>
      <xdr:col>59</xdr:col>
      <xdr:colOff>78441</xdr:colOff>
      <xdr:row>36</xdr:row>
      <xdr:rowOff>21674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794971C-C944-F9E4-5C27-EC9DFDAA6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46294" y="2476499"/>
          <a:ext cx="5827059" cy="4403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/>
        </a:scene3d>
      </a:spPr>
      <a:bodyPr vertOverflow="clip" wrap="square" lIns="18288" tIns="0" rIns="0" bIns="0" rtlCol="0" anchor="ctr" upright="1"/>
      <a:lstStyle>
        <a:defPPr algn="ctr">
          <a:defRPr kumimoji="1" sz="1100"/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wrap="square" rtlCol="0" anchor="t"/>
      <a:lstStyle>
        <a:defPPr>
          <a:defRPr kumimoji="1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B10:AB51"/>
  <sheetViews>
    <sheetView tabSelected="1" zoomScale="85" zoomScaleNormal="85" workbookViewId="0"/>
  </sheetViews>
  <sheetFormatPr defaultRowHeight="13.5" x14ac:dyDescent="0.15"/>
  <cols>
    <col min="1" max="32" width="4.5" customWidth="1"/>
  </cols>
  <sheetData>
    <row r="10" spans="7:24" x14ac:dyDescent="0.15"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5"/>
    </row>
    <row r="11" spans="7:24" ht="13.5" customHeight="1" x14ac:dyDescent="0.15">
      <c r="G11" s="68" t="str">
        <f>I40</f>
        <v>　学生勤務管理システム</v>
      </c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"/>
    </row>
    <row r="12" spans="7:24" ht="13.5" customHeight="1" x14ac:dyDescent="0.15">
      <c r="G12" s="68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"/>
    </row>
    <row r="13" spans="7:24" x14ac:dyDescent="0.15"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6"/>
    </row>
    <row r="14" spans="7:24" ht="13.5" customHeight="1" x14ac:dyDescent="0.15">
      <c r="G14" s="68" t="str">
        <f>I44</f>
        <v>　CK-030_兼任・代理承認</v>
      </c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"/>
    </row>
    <row r="15" spans="7:24" ht="13.5" customHeight="1" x14ac:dyDescent="0.15">
      <c r="G15" s="68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"/>
    </row>
    <row r="16" spans="7:24" x14ac:dyDescent="0.15"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6"/>
    </row>
    <row r="17" spans="7:24" ht="13.5" customHeight="1" x14ac:dyDescent="0.15">
      <c r="G17" s="68" t="str">
        <f>I42</f>
        <v xml:space="preserve">　 </v>
      </c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"/>
    </row>
    <row r="18" spans="7:24" ht="13.5" customHeight="1" x14ac:dyDescent="0.15">
      <c r="G18" s="68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"/>
    </row>
    <row r="19" spans="7:24" x14ac:dyDescent="0.15">
      <c r="G19" s="7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6"/>
    </row>
    <row r="20" spans="7:24" ht="13.5" customHeight="1" x14ac:dyDescent="0.15">
      <c r="G20" s="68" t="str">
        <f>I51</f>
        <v>【 Ver 1.05 】</v>
      </c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"/>
    </row>
    <row r="21" spans="7:24" ht="13.5" customHeight="1" x14ac:dyDescent="0.15">
      <c r="G21" s="68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"/>
    </row>
    <row r="22" spans="7:24" x14ac:dyDescent="0.15"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1"/>
    </row>
    <row r="27" spans="7:24" s="1" customFormat="1" x14ac:dyDescent="0.15">
      <c r="J27" s="71" t="str">
        <f>TEXT(I47,"yyyy年")&amp;IF(LEFT(TEXT(I47,"mm"),1)="0"," ","")&amp;TEXT(I47,"m月")&amp;IF(LEFT(TEXT(I47,"dd"),1)="0"," ","")&amp;TEXT(I47,"d日")&amp;"作成"</f>
        <v>2023年10月 5日作成</v>
      </c>
      <c r="K27" s="72"/>
      <c r="L27" s="72"/>
      <c r="M27" s="72"/>
      <c r="N27" s="72"/>
      <c r="O27" s="72"/>
      <c r="P27" s="72"/>
      <c r="Q27" s="72"/>
      <c r="R27" s="72"/>
      <c r="S27" s="72"/>
      <c r="T27" s="72"/>
    </row>
    <row r="28" spans="7:24" s="1" customFormat="1" x14ac:dyDescent="0.15"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</row>
    <row r="29" spans="7:24" s="1" customFormat="1" x14ac:dyDescent="0.15">
      <c r="J29" s="71" t="str">
        <f>IF(I49="　※ページ毎に個別入力","    年  月  日改訂",TEXT(I49,"yyyy年")&amp;IF(LEFT(TEXT(I49,"mm"),1)="0"," ","")&amp;TEXT(I49,"m月")&amp;IF(LEFT(TEXT(I49,"dd"),1)="0"," ","")&amp;TEXT(I49,"d日")&amp;"改訂")</f>
        <v>2024年 1月24日改訂</v>
      </c>
      <c r="K29" s="72"/>
      <c r="L29" s="72"/>
      <c r="M29" s="72"/>
      <c r="N29" s="72"/>
      <c r="O29" s="72"/>
      <c r="P29" s="72"/>
      <c r="Q29" s="72"/>
      <c r="R29" s="72"/>
      <c r="S29" s="72"/>
      <c r="T29" s="72"/>
    </row>
    <row r="30" spans="7:24" s="1" customFormat="1" x14ac:dyDescent="0.15"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</row>
    <row r="38" spans="2:28" ht="23.25" customHeight="1" x14ac:dyDescent="0.15">
      <c r="B38" s="73" t="s">
        <v>19</v>
      </c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</row>
    <row r="39" spans="2:28" ht="23.25" customHeight="1" x14ac:dyDescent="0.15">
      <c r="B39" s="70" t="s">
        <v>20</v>
      </c>
      <c r="C39" s="70"/>
      <c r="D39" s="70"/>
      <c r="E39" s="70"/>
      <c r="F39" s="70"/>
      <c r="G39" s="70"/>
      <c r="H39" s="70"/>
      <c r="I39" s="70" t="s">
        <v>10</v>
      </c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</row>
    <row r="40" spans="2:28" ht="23.25" customHeight="1" x14ac:dyDescent="0.15">
      <c r="B40" s="64" t="s">
        <v>21</v>
      </c>
      <c r="C40" s="64"/>
      <c r="D40" s="64"/>
      <c r="E40" s="64"/>
      <c r="F40" s="64"/>
      <c r="G40" s="64"/>
      <c r="H40" s="64"/>
      <c r="I40" s="65" t="s">
        <v>43</v>
      </c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</row>
    <row r="41" spans="2:28" ht="23.25" customHeight="1" x14ac:dyDescent="0.15">
      <c r="B41" s="64" t="s">
        <v>22</v>
      </c>
      <c r="C41" s="64"/>
      <c r="D41" s="64"/>
      <c r="E41" s="64"/>
      <c r="F41" s="64"/>
      <c r="G41" s="64"/>
      <c r="H41" s="64"/>
      <c r="I41" s="65" t="s">
        <v>41</v>
      </c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</row>
    <row r="42" spans="2:28" ht="23.25" customHeight="1" x14ac:dyDescent="0.15">
      <c r="B42" s="64" t="s">
        <v>23</v>
      </c>
      <c r="C42" s="64"/>
      <c r="D42" s="64"/>
      <c r="E42" s="64"/>
      <c r="F42" s="64"/>
      <c r="G42" s="64"/>
      <c r="H42" s="64"/>
      <c r="I42" s="65" t="s">
        <v>33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</row>
    <row r="43" spans="2:28" ht="23.25" customHeight="1" x14ac:dyDescent="0.15">
      <c r="B43" s="64" t="s">
        <v>24</v>
      </c>
      <c r="C43" s="64"/>
      <c r="D43" s="64"/>
      <c r="E43" s="64"/>
      <c r="F43" s="64"/>
      <c r="G43" s="64"/>
      <c r="H43" s="64"/>
      <c r="I43" s="65" t="s">
        <v>38</v>
      </c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</row>
    <row r="44" spans="2:28" ht="23.25" customHeight="1" x14ac:dyDescent="0.15">
      <c r="B44" s="64" t="s">
        <v>25</v>
      </c>
      <c r="C44" s="64"/>
      <c r="D44" s="64"/>
      <c r="E44" s="64"/>
      <c r="F44" s="64"/>
      <c r="G44" s="64"/>
      <c r="H44" s="64"/>
      <c r="I44" s="65" t="s">
        <v>80</v>
      </c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</row>
    <row r="45" spans="2:28" ht="23.25" customHeight="1" x14ac:dyDescent="0.15">
      <c r="B45" s="64" t="s">
        <v>26</v>
      </c>
      <c r="C45" s="64"/>
      <c r="D45" s="64"/>
      <c r="E45" s="64"/>
      <c r="F45" s="64"/>
      <c r="G45" s="64"/>
      <c r="H45" s="64"/>
      <c r="I45" s="65" t="s">
        <v>9</v>
      </c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</row>
    <row r="46" spans="2:28" ht="23.25" customHeight="1" x14ac:dyDescent="0.15">
      <c r="B46" s="64" t="s">
        <v>27</v>
      </c>
      <c r="C46" s="64"/>
      <c r="D46" s="64"/>
      <c r="E46" s="64"/>
      <c r="F46" s="64"/>
      <c r="G46" s="64"/>
      <c r="H46" s="64"/>
      <c r="I46" s="65" t="s">
        <v>44</v>
      </c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</row>
    <row r="47" spans="2:28" ht="23.25" customHeight="1" x14ac:dyDescent="0.15">
      <c r="B47" s="64" t="s">
        <v>28</v>
      </c>
      <c r="C47" s="64"/>
      <c r="D47" s="64"/>
      <c r="E47" s="64"/>
      <c r="F47" s="64"/>
      <c r="G47" s="64"/>
      <c r="H47" s="64"/>
      <c r="I47" s="66">
        <v>45204</v>
      </c>
      <c r="J47" s="67"/>
      <c r="K47" s="67"/>
      <c r="L47" s="67"/>
      <c r="M47" s="67"/>
      <c r="N47" s="67"/>
      <c r="O47" s="67"/>
      <c r="P47" s="67"/>
      <c r="Q47" s="67"/>
      <c r="R47" s="67"/>
      <c r="S47" s="65"/>
      <c r="T47" s="65"/>
      <c r="U47" s="65"/>
      <c r="V47" s="65"/>
      <c r="W47" s="65"/>
      <c r="X47" s="65"/>
      <c r="Y47" s="65"/>
      <c r="Z47" s="65"/>
      <c r="AA47" s="65"/>
      <c r="AB47" s="65"/>
    </row>
    <row r="48" spans="2:28" ht="23.25" customHeight="1" x14ac:dyDescent="0.15">
      <c r="B48" s="64" t="s">
        <v>29</v>
      </c>
      <c r="C48" s="64"/>
      <c r="D48" s="64"/>
      <c r="E48" s="64"/>
      <c r="F48" s="64"/>
      <c r="G48" s="64"/>
      <c r="H48" s="64"/>
      <c r="I48" s="65" t="s">
        <v>9</v>
      </c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</row>
    <row r="49" spans="2:28" ht="23.25" customHeight="1" x14ac:dyDescent="0.15">
      <c r="B49" s="64" t="s">
        <v>30</v>
      </c>
      <c r="C49" s="64"/>
      <c r="D49" s="64"/>
      <c r="E49" s="64"/>
      <c r="F49" s="64"/>
      <c r="G49" s="64"/>
      <c r="H49" s="64"/>
      <c r="I49" s="65" t="str">
        <f>TEXT(MAX(改訂履歴!J5:J996),"yyyy/mm/dd")</f>
        <v>2024/01/24</v>
      </c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</row>
    <row r="50" spans="2:28" ht="23.25" customHeight="1" x14ac:dyDescent="0.15">
      <c r="B50" s="64" t="s">
        <v>31</v>
      </c>
      <c r="C50" s="64"/>
      <c r="D50" s="64"/>
      <c r="E50" s="64"/>
      <c r="F50" s="64"/>
      <c r="G50" s="64"/>
      <c r="H50" s="64"/>
      <c r="I50" s="65" t="s">
        <v>42</v>
      </c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</row>
    <row r="51" spans="2:28" ht="23.25" customHeight="1" x14ac:dyDescent="0.15">
      <c r="B51" s="64" t="s">
        <v>34</v>
      </c>
      <c r="C51" s="64"/>
      <c r="D51" s="64"/>
      <c r="E51" s="64"/>
      <c r="F51" s="64"/>
      <c r="G51" s="64"/>
      <c r="H51" s="64"/>
      <c r="I51" s="65" t="str">
        <f>"【 Ver " &amp; TEXT(MAX(改訂履歴!E5:E996),"0.00") &amp; " 】"</f>
        <v>【 Ver 1.05 】</v>
      </c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</row>
  </sheetData>
  <mergeCells count="33">
    <mergeCell ref="B43:H43"/>
    <mergeCell ref="B39:H39"/>
    <mergeCell ref="J27:T28"/>
    <mergeCell ref="J29:T30"/>
    <mergeCell ref="I40:AB40"/>
    <mergeCell ref="I41:AB41"/>
    <mergeCell ref="I39:AB39"/>
    <mergeCell ref="B38:AB38"/>
    <mergeCell ref="B40:H40"/>
    <mergeCell ref="I43:AB43"/>
    <mergeCell ref="G11:W12"/>
    <mergeCell ref="G14:W15"/>
    <mergeCell ref="G17:W18"/>
    <mergeCell ref="G20:W21"/>
    <mergeCell ref="I42:AB42"/>
    <mergeCell ref="B41:H41"/>
    <mergeCell ref="B42:H42"/>
    <mergeCell ref="B48:H48"/>
    <mergeCell ref="I48:AB48"/>
    <mergeCell ref="B44:H44"/>
    <mergeCell ref="B45:H45"/>
    <mergeCell ref="B46:H46"/>
    <mergeCell ref="B47:H47"/>
    <mergeCell ref="I45:AB45"/>
    <mergeCell ref="I46:AB46"/>
    <mergeCell ref="I47:AB47"/>
    <mergeCell ref="I44:AB44"/>
    <mergeCell ref="B51:H51"/>
    <mergeCell ref="I51:AB51"/>
    <mergeCell ref="B49:H49"/>
    <mergeCell ref="I49:AB49"/>
    <mergeCell ref="B50:H50"/>
    <mergeCell ref="I50:AB50"/>
  </mergeCells>
  <phoneticPr fontId="2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X29"/>
  <sheetViews>
    <sheetView view="pageBreakPreview" zoomScaleNormal="85" zoomScaleSheetLayoutView="100" workbookViewId="0"/>
  </sheetViews>
  <sheetFormatPr defaultColWidth="1.875" defaultRowHeight="15" customHeight="1" x14ac:dyDescent="0.15"/>
  <cols>
    <col min="1" max="4" width="1.875" style="1" customWidth="1"/>
    <col min="5" max="9" width="1.875" style="14" customWidth="1"/>
    <col min="10" max="26" width="1.875" style="1" customWidth="1"/>
    <col min="27" max="33" width="2.375" style="1" customWidth="1"/>
    <col min="34" max="16384" width="1.875" style="1"/>
  </cols>
  <sheetData>
    <row r="1" spans="1:76" ht="15" customHeight="1" x14ac:dyDescent="0.15">
      <c r="A1" s="1" t="s">
        <v>2</v>
      </c>
    </row>
    <row r="3" spans="1:76" s="2" customFormat="1" ht="15" customHeight="1" x14ac:dyDescent="0.15">
      <c r="A3" s="84" t="s">
        <v>16</v>
      </c>
      <c r="B3" s="84"/>
      <c r="C3" s="84"/>
      <c r="D3" s="84"/>
      <c r="E3" s="94" t="s">
        <v>17</v>
      </c>
      <c r="F3" s="95"/>
      <c r="G3" s="95"/>
      <c r="H3" s="95"/>
      <c r="I3" s="96"/>
      <c r="J3" s="85" t="s">
        <v>5</v>
      </c>
      <c r="K3" s="86"/>
      <c r="L3" s="86"/>
      <c r="M3" s="86"/>
      <c r="N3" s="86"/>
      <c r="O3" s="86"/>
      <c r="P3" s="86"/>
      <c r="Q3" s="87"/>
      <c r="R3" s="84" t="s">
        <v>3</v>
      </c>
      <c r="S3" s="84"/>
      <c r="T3" s="84"/>
      <c r="U3" s="84"/>
      <c r="V3" s="84"/>
      <c r="W3" s="84" t="s">
        <v>6</v>
      </c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 t="s">
        <v>7</v>
      </c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  <c r="BM3" s="84"/>
      <c r="BN3" s="84"/>
      <c r="BO3" s="84"/>
      <c r="BP3" s="84"/>
      <c r="BQ3" s="84"/>
      <c r="BR3" s="84" t="s">
        <v>8</v>
      </c>
      <c r="BS3" s="84"/>
      <c r="BT3" s="84"/>
      <c r="BU3" s="84"/>
      <c r="BV3" s="84"/>
      <c r="BW3" s="84"/>
      <c r="BX3" s="84"/>
    </row>
    <row r="4" spans="1:76" s="2" customFormat="1" ht="15" customHeight="1" x14ac:dyDescent="0.15">
      <c r="A4" s="84"/>
      <c r="B4" s="84"/>
      <c r="C4" s="84"/>
      <c r="D4" s="84"/>
      <c r="E4" s="97"/>
      <c r="F4" s="98"/>
      <c r="G4" s="98"/>
      <c r="H4" s="98"/>
      <c r="I4" s="99"/>
      <c r="J4" s="88"/>
      <c r="K4" s="89"/>
      <c r="L4" s="89"/>
      <c r="M4" s="89"/>
      <c r="N4" s="89"/>
      <c r="O4" s="89"/>
      <c r="P4" s="89"/>
      <c r="Q4" s="90"/>
      <c r="R4" s="84"/>
      <c r="S4" s="84"/>
      <c r="T4" s="84"/>
      <c r="U4" s="84"/>
      <c r="V4" s="84"/>
      <c r="W4" s="84" t="s">
        <v>4</v>
      </c>
      <c r="X4" s="84"/>
      <c r="Y4" s="84"/>
      <c r="Z4" s="84"/>
      <c r="AA4" s="84" t="s">
        <v>46</v>
      </c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  <c r="BM4" s="84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</row>
    <row r="5" spans="1:76" ht="20.100000000000001" customHeight="1" x14ac:dyDescent="0.15">
      <c r="A5" s="80">
        <v>1</v>
      </c>
      <c r="B5" s="80"/>
      <c r="C5" s="80"/>
      <c r="D5" s="80"/>
      <c r="E5" s="100">
        <v>1</v>
      </c>
      <c r="F5" s="101"/>
      <c r="G5" s="101"/>
      <c r="H5" s="101"/>
      <c r="I5" s="102"/>
      <c r="J5" s="91">
        <f>タイトル!I47</f>
        <v>45204</v>
      </c>
      <c r="K5" s="92"/>
      <c r="L5" s="92"/>
      <c r="M5" s="92"/>
      <c r="N5" s="92"/>
      <c r="O5" s="92"/>
      <c r="P5" s="92"/>
      <c r="Q5" s="93"/>
      <c r="R5" s="81" t="s">
        <v>11</v>
      </c>
      <c r="S5" s="82"/>
      <c r="T5" s="82"/>
      <c r="U5" s="82"/>
      <c r="V5" s="83"/>
      <c r="W5" s="105"/>
      <c r="X5" s="106"/>
      <c r="Y5" s="106"/>
      <c r="Z5" s="107"/>
      <c r="AA5" s="105"/>
      <c r="AB5" s="106"/>
      <c r="AC5" s="106"/>
      <c r="AD5" s="106"/>
      <c r="AE5" s="106"/>
      <c r="AF5" s="106"/>
      <c r="AG5" s="107"/>
      <c r="AH5" s="103" t="s">
        <v>18</v>
      </c>
      <c r="AI5" s="103"/>
      <c r="AJ5" s="103"/>
      <c r="AK5" s="103"/>
      <c r="AL5" s="103"/>
      <c r="AM5" s="103"/>
      <c r="AN5" s="103"/>
      <c r="AO5" s="103"/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3"/>
      <c r="BF5" s="103"/>
      <c r="BG5" s="103"/>
      <c r="BH5" s="103"/>
      <c r="BI5" s="103"/>
      <c r="BJ5" s="103"/>
      <c r="BK5" s="103"/>
      <c r="BL5" s="103"/>
      <c r="BM5" s="103"/>
      <c r="BN5" s="103"/>
      <c r="BO5" s="103"/>
      <c r="BP5" s="103"/>
      <c r="BQ5" s="103"/>
      <c r="BR5" s="104" t="s">
        <v>45</v>
      </c>
      <c r="BS5" s="104"/>
      <c r="BT5" s="104"/>
      <c r="BU5" s="104"/>
      <c r="BV5" s="104"/>
      <c r="BW5" s="104"/>
      <c r="BX5" s="104"/>
    </row>
    <row r="6" spans="1:76" ht="20.100000000000001" customHeight="1" x14ac:dyDescent="0.15">
      <c r="A6" s="74">
        <v>2</v>
      </c>
      <c r="B6" s="74"/>
      <c r="C6" s="74"/>
      <c r="D6" s="74"/>
      <c r="E6" s="75">
        <v>1.01</v>
      </c>
      <c r="F6" s="75"/>
      <c r="G6" s="75"/>
      <c r="H6" s="75"/>
      <c r="I6" s="75"/>
      <c r="J6" s="76">
        <v>45223</v>
      </c>
      <c r="K6" s="76"/>
      <c r="L6" s="76"/>
      <c r="M6" s="76"/>
      <c r="N6" s="76"/>
      <c r="O6" s="76"/>
      <c r="P6" s="76"/>
      <c r="Q6" s="76"/>
      <c r="R6" s="74" t="s">
        <v>75</v>
      </c>
      <c r="S6" s="74"/>
      <c r="T6" s="74"/>
      <c r="U6" s="74"/>
      <c r="V6" s="74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7" t="s">
        <v>76</v>
      </c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  <c r="BJ6" s="78"/>
      <c r="BK6" s="78"/>
      <c r="BL6" s="78"/>
      <c r="BM6" s="78"/>
      <c r="BN6" s="78"/>
      <c r="BO6" s="78"/>
      <c r="BP6" s="78"/>
      <c r="BQ6" s="78"/>
      <c r="BR6" s="79" t="s">
        <v>44</v>
      </c>
      <c r="BS6" s="79"/>
      <c r="BT6" s="79"/>
      <c r="BU6" s="79"/>
      <c r="BV6" s="79"/>
      <c r="BW6" s="79"/>
      <c r="BX6" s="79"/>
    </row>
    <row r="7" spans="1:76" ht="20.100000000000001" customHeight="1" x14ac:dyDescent="0.15">
      <c r="A7" s="74">
        <v>3</v>
      </c>
      <c r="B7" s="74"/>
      <c r="C7" s="74"/>
      <c r="D7" s="74"/>
      <c r="E7" s="75">
        <v>1.02</v>
      </c>
      <c r="F7" s="75"/>
      <c r="G7" s="75"/>
      <c r="H7" s="75"/>
      <c r="I7" s="75"/>
      <c r="J7" s="76">
        <v>45239</v>
      </c>
      <c r="K7" s="76"/>
      <c r="L7" s="76"/>
      <c r="M7" s="76"/>
      <c r="N7" s="76"/>
      <c r="O7" s="76"/>
      <c r="P7" s="76"/>
      <c r="Q7" s="76"/>
      <c r="R7" s="74" t="s">
        <v>75</v>
      </c>
      <c r="S7" s="74"/>
      <c r="T7" s="74"/>
      <c r="U7" s="74"/>
      <c r="V7" s="74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7" t="s">
        <v>77</v>
      </c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8"/>
      <c r="BL7" s="78"/>
      <c r="BM7" s="78"/>
      <c r="BN7" s="78"/>
      <c r="BO7" s="78"/>
      <c r="BP7" s="78"/>
      <c r="BQ7" s="78"/>
      <c r="BR7" s="79" t="s">
        <v>44</v>
      </c>
      <c r="BS7" s="79"/>
      <c r="BT7" s="79"/>
      <c r="BU7" s="79"/>
      <c r="BV7" s="79"/>
      <c r="BW7" s="79"/>
      <c r="BX7" s="79"/>
    </row>
    <row r="8" spans="1:76" ht="20.100000000000001" customHeight="1" x14ac:dyDescent="0.15">
      <c r="A8" s="74">
        <v>4</v>
      </c>
      <c r="B8" s="74"/>
      <c r="C8" s="74"/>
      <c r="D8" s="74"/>
      <c r="E8" s="75">
        <v>1.03</v>
      </c>
      <c r="F8" s="75"/>
      <c r="G8" s="75"/>
      <c r="H8" s="75"/>
      <c r="I8" s="75"/>
      <c r="J8" s="76">
        <v>45261</v>
      </c>
      <c r="K8" s="76"/>
      <c r="L8" s="76"/>
      <c r="M8" s="76"/>
      <c r="N8" s="76"/>
      <c r="O8" s="76"/>
      <c r="P8" s="76"/>
      <c r="Q8" s="76"/>
      <c r="R8" s="74" t="s">
        <v>78</v>
      </c>
      <c r="S8" s="74"/>
      <c r="T8" s="74"/>
      <c r="U8" s="74"/>
      <c r="V8" s="74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7" t="s">
        <v>79</v>
      </c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9" t="s">
        <v>44</v>
      </c>
      <c r="BS8" s="79"/>
      <c r="BT8" s="79"/>
      <c r="BU8" s="79"/>
      <c r="BV8" s="79"/>
      <c r="BW8" s="79"/>
      <c r="BX8" s="79"/>
    </row>
    <row r="9" spans="1:76" ht="20.100000000000001" customHeight="1" x14ac:dyDescent="0.15">
      <c r="A9" s="74">
        <v>5</v>
      </c>
      <c r="B9" s="74"/>
      <c r="C9" s="74"/>
      <c r="D9" s="74"/>
      <c r="E9" s="75">
        <v>1.04</v>
      </c>
      <c r="F9" s="75"/>
      <c r="G9" s="75"/>
      <c r="H9" s="75"/>
      <c r="I9" s="75"/>
      <c r="J9" s="76">
        <v>45267</v>
      </c>
      <c r="K9" s="76"/>
      <c r="L9" s="76"/>
      <c r="M9" s="76"/>
      <c r="N9" s="76"/>
      <c r="O9" s="76"/>
      <c r="P9" s="76"/>
      <c r="Q9" s="76"/>
      <c r="R9" s="74" t="s">
        <v>75</v>
      </c>
      <c r="S9" s="74"/>
      <c r="T9" s="74"/>
      <c r="U9" s="74"/>
      <c r="V9" s="74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7" t="s">
        <v>90</v>
      </c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9" t="s">
        <v>44</v>
      </c>
      <c r="BS9" s="79"/>
      <c r="BT9" s="79"/>
      <c r="BU9" s="79"/>
      <c r="BV9" s="79"/>
      <c r="BW9" s="79"/>
      <c r="BX9" s="79"/>
    </row>
    <row r="10" spans="1:76" ht="20.100000000000001" customHeight="1" x14ac:dyDescent="0.15">
      <c r="A10" s="74">
        <v>6</v>
      </c>
      <c r="B10" s="74"/>
      <c r="C10" s="74"/>
      <c r="D10" s="74"/>
      <c r="E10" s="75">
        <v>1.05</v>
      </c>
      <c r="F10" s="75"/>
      <c r="G10" s="75"/>
      <c r="H10" s="75"/>
      <c r="I10" s="75"/>
      <c r="J10" s="76">
        <v>45315</v>
      </c>
      <c r="K10" s="76"/>
      <c r="L10" s="76"/>
      <c r="M10" s="76"/>
      <c r="N10" s="76"/>
      <c r="O10" s="76"/>
      <c r="P10" s="76"/>
      <c r="Q10" s="76"/>
      <c r="R10" s="74" t="s">
        <v>75</v>
      </c>
      <c r="S10" s="74"/>
      <c r="T10" s="74"/>
      <c r="U10" s="74"/>
      <c r="V10" s="74"/>
      <c r="W10" s="78"/>
      <c r="X10" s="78"/>
      <c r="Y10" s="78"/>
      <c r="Z10" s="78"/>
      <c r="AA10" s="77" t="s">
        <v>94</v>
      </c>
      <c r="AB10" s="78"/>
      <c r="AC10" s="78"/>
      <c r="AD10" s="78"/>
      <c r="AE10" s="78"/>
      <c r="AF10" s="78"/>
      <c r="AG10" s="78"/>
      <c r="AH10" s="77" t="s">
        <v>95</v>
      </c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9" t="s">
        <v>44</v>
      </c>
      <c r="BS10" s="79"/>
      <c r="BT10" s="79"/>
      <c r="BU10" s="79"/>
      <c r="BV10" s="79"/>
      <c r="BW10" s="79"/>
      <c r="BX10" s="79"/>
    </row>
    <row r="11" spans="1:76" ht="20.100000000000001" customHeight="1" x14ac:dyDescent="0.15">
      <c r="A11" s="74"/>
      <c r="B11" s="74"/>
      <c r="C11" s="74"/>
      <c r="D11" s="74"/>
      <c r="E11" s="75"/>
      <c r="F11" s="75"/>
      <c r="G11" s="75"/>
      <c r="H11" s="75"/>
      <c r="I11" s="75"/>
      <c r="J11" s="76"/>
      <c r="K11" s="76"/>
      <c r="L11" s="76"/>
      <c r="M11" s="76"/>
      <c r="N11" s="76"/>
      <c r="O11" s="76"/>
      <c r="P11" s="76"/>
      <c r="Q11" s="76"/>
      <c r="R11" s="74"/>
      <c r="S11" s="74"/>
      <c r="T11" s="74"/>
      <c r="U11" s="74"/>
      <c r="V11" s="74"/>
      <c r="W11" s="78"/>
      <c r="X11" s="78"/>
      <c r="Y11" s="78"/>
      <c r="Z11" s="78"/>
      <c r="AA11" s="77"/>
      <c r="AB11" s="78"/>
      <c r="AC11" s="78"/>
      <c r="AD11" s="78"/>
      <c r="AE11" s="78"/>
      <c r="AF11" s="78"/>
      <c r="AG11" s="78"/>
      <c r="AH11" s="77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78"/>
      <c r="BF11" s="78"/>
      <c r="BG11" s="78"/>
      <c r="BH11" s="78"/>
      <c r="BI11" s="78"/>
      <c r="BJ11" s="78"/>
      <c r="BK11" s="78"/>
      <c r="BL11" s="78"/>
      <c r="BM11" s="78"/>
      <c r="BN11" s="78"/>
      <c r="BO11" s="78"/>
      <c r="BP11" s="78"/>
      <c r="BQ11" s="78"/>
      <c r="BR11" s="79"/>
      <c r="BS11" s="79"/>
      <c r="BT11" s="79"/>
      <c r="BU11" s="79"/>
      <c r="BV11" s="79"/>
      <c r="BW11" s="79"/>
      <c r="BX11" s="79"/>
    </row>
    <row r="12" spans="1:76" ht="20.100000000000001" customHeight="1" x14ac:dyDescent="0.15">
      <c r="A12" s="74"/>
      <c r="B12" s="74"/>
      <c r="C12" s="74"/>
      <c r="D12" s="74"/>
      <c r="E12" s="75"/>
      <c r="F12" s="75"/>
      <c r="G12" s="75"/>
      <c r="H12" s="75"/>
      <c r="I12" s="75"/>
      <c r="J12" s="76"/>
      <c r="K12" s="76"/>
      <c r="L12" s="76"/>
      <c r="M12" s="76"/>
      <c r="N12" s="76"/>
      <c r="O12" s="76"/>
      <c r="P12" s="76"/>
      <c r="Q12" s="76"/>
      <c r="R12" s="74"/>
      <c r="S12" s="74"/>
      <c r="T12" s="74"/>
      <c r="U12" s="74"/>
      <c r="V12" s="74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7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9"/>
      <c r="BS12" s="79"/>
      <c r="BT12" s="79"/>
      <c r="BU12" s="79"/>
      <c r="BV12" s="79"/>
      <c r="BW12" s="79"/>
      <c r="BX12" s="79"/>
    </row>
    <row r="13" spans="1:76" ht="20.100000000000001" customHeight="1" x14ac:dyDescent="0.15">
      <c r="A13" s="74"/>
      <c r="B13" s="74"/>
      <c r="C13" s="74"/>
      <c r="D13" s="74"/>
      <c r="E13" s="75"/>
      <c r="F13" s="75"/>
      <c r="G13" s="75"/>
      <c r="H13" s="75"/>
      <c r="I13" s="75"/>
      <c r="J13" s="76"/>
      <c r="K13" s="76"/>
      <c r="L13" s="76"/>
      <c r="M13" s="76"/>
      <c r="N13" s="76"/>
      <c r="O13" s="76"/>
      <c r="P13" s="76"/>
      <c r="Q13" s="76"/>
      <c r="R13" s="74"/>
      <c r="S13" s="74"/>
      <c r="T13" s="74"/>
      <c r="U13" s="74"/>
      <c r="V13" s="74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7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78"/>
      <c r="BH13" s="78"/>
      <c r="BI13" s="78"/>
      <c r="BJ13" s="78"/>
      <c r="BK13" s="78"/>
      <c r="BL13" s="78"/>
      <c r="BM13" s="78"/>
      <c r="BN13" s="78"/>
      <c r="BO13" s="78"/>
      <c r="BP13" s="78"/>
      <c r="BQ13" s="78"/>
      <c r="BR13" s="79"/>
      <c r="BS13" s="79"/>
      <c r="BT13" s="79"/>
      <c r="BU13" s="79"/>
      <c r="BV13" s="79"/>
      <c r="BW13" s="79"/>
      <c r="BX13" s="79"/>
    </row>
    <row r="14" spans="1:76" ht="20.100000000000001" customHeight="1" x14ac:dyDescent="0.15">
      <c r="A14" s="74"/>
      <c r="B14" s="74"/>
      <c r="C14" s="74"/>
      <c r="D14" s="74"/>
      <c r="E14" s="75"/>
      <c r="F14" s="75"/>
      <c r="G14" s="75"/>
      <c r="H14" s="75"/>
      <c r="I14" s="75"/>
      <c r="J14" s="76"/>
      <c r="K14" s="76"/>
      <c r="L14" s="76"/>
      <c r="M14" s="76"/>
      <c r="N14" s="76"/>
      <c r="O14" s="76"/>
      <c r="P14" s="76"/>
      <c r="Q14" s="76"/>
      <c r="R14" s="74"/>
      <c r="S14" s="74"/>
      <c r="T14" s="74"/>
      <c r="U14" s="74"/>
      <c r="V14" s="74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7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78"/>
      <c r="BF14" s="78"/>
      <c r="BG14" s="78"/>
      <c r="BH14" s="78"/>
      <c r="BI14" s="78"/>
      <c r="BJ14" s="78"/>
      <c r="BK14" s="78"/>
      <c r="BL14" s="78"/>
      <c r="BM14" s="78"/>
      <c r="BN14" s="78"/>
      <c r="BO14" s="78"/>
      <c r="BP14" s="78"/>
      <c r="BQ14" s="78"/>
      <c r="BR14" s="79"/>
      <c r="BS14" s="79"/>
      <c r="BT14" s="79"/>
      <c r="BU14" s="79"/>
      <c r="BV14" s="79"/>
      <c r="BW14" s="79"/>
      <c r="BX14" s="79"/>
    </row>
    <row r="15" spans="1:76" ht="20.100000000000001" customHeight="1" x14ac:dyDescent="0.15">
      <c r="A15" s="74"/>
      <c r="B15" s="74"/>
      <c r="C15" s="74"/>
      <c r="D15" s="74"/>
      <c r="E15" s="75"/>
      <c r="F15" s="75"/>
      <c r="G15" s="75"/>
      <c r="H15" s="75"/>
      <c r="I15" s="75"/>
      <c r="J15" s="76"/>
      <c r="K15" s="76"/>
      <c r="L15" s="76"/>
      <c r="M15" s="76"/>
      <c r="N15" s="76"/>
      <c r="O15" s="76"/>
      <c r="P15" s="76"/>
      <c r="Q15" s="76"/>
      <c r="R15" s="74"/>
      <c r="S15" s="74"/>
      <c r="T15" s="74"/>
      <c r="U15" s="74"/>
      <c r="V15" s="74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7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78"/>
      <c r="BF15" s="78"/>
      <c r="BG15" s="78"/>
      <c r="BH15" s="78"/>
      <c r="BI15" s="78"/>
      <c r="BJ15" s="78"/>
      <c r="BK15" s="78"/>
      <c r="BL15" s="78"/>
      <c r="BM15" s="78"/>
      <c r="BN15" s="78"/>
      <c r="BO15" s="78"/>
      <c r="BP15" s="78"/>
      <c r="BQ15" s="78"/>
      <c r="BR15" s="79"/>
      <c r="BS15" s="79"/>
      <c r="BT15" s="79"/>
      <c r="BU15" s="79"/>
      <c r="BV15" s="79"/>
      <c r="BW15" s="79"/>
      <c r="BX15" s="79"/>
    </row>
    <row r="16" spans="1:76" ht="20.100000000000001" customHeight="1" x14ac:dyDescent="0.15">
      <c r="A16" s="74"/>
      <c r="B16" s="74"/>
      <c r="C16" s="74"/>
      <c r="D16" s="74"/>
      <c r="E16" s="75"/>
      <c r="F16" s="75"/>
      <c r="G16" s="75"/>
      <c r="H16" s="75"/>
      <c r="I16" s="75"/>
      <c r="J16" s="76"/>
      <c r="K16" s="76"/>
      <c r="L16" s="76"/>
      <c r="M16" s="76"/>
      <c r="N16" s="76"/>
      <c r="O16" s="76"/>
      <c r="P16" s="76"/>
      <c r="Q16" s="76"/>
      <c r="R16" s="74"/>
      <c r="S16" s="74"/>
      <c r="T16" s="74"/>
      <c r="U16" s="74"/>
      <c r="V16" s="74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7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8"/>
      <c r="BM16" s="78"/>
      <c r="BN16" s="78"/>
      <c r="BO16" s="78"/>
      <c r="BP16" s="78"/>
      <c r="BQ16" s="78"/>
      <c r="BR16" s="79"/>
      <c r="BS16" s="79"/>
      <c r="BT16" s="79"/>
      <c r="BU16" s="79"/>
      <c r="BV16" s="79"/>
      <c r="BW16" s="79"/>
      <c r="BX16" s="79"/>
    </row>
    <row r="17" spans="1:76" ht="20.100000000000001" customHeight="1" x14ac:dyDescent="0.15">
      <c r="A17" s="74"/>
      <c r="B17" s="74"/>
      <c r="C17" s="74"/>
      <c r="D17" s="74"/>
      <c r="E17" s="75"/>
      <c r="F17" s="75"/>
      <c r="G17" s="75"/>
      <c r="H17" s="75"/>
      <c r="I17" s="75"/>
      <c r="J17" s="76"/>
      <c r="K17" s="76"/>
      <c r="L17" s="76"/>
      <c r="M17" s="76"/>
      <c r="N17" s="76"/>
      <c r="O17" s="76"/>
      <c r="P17" s="76"/>
      <c r="Q17" s="76"/>
      <c r="R17" s="74"/>
      <c r="S17" s="74"/>
      <c r="T17" s="74"/>
      <c r="U17" s="74"/>
      <c r="V17" s="74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7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8"/>
      <c r="BM17" s="78"/>
      <c r="BN17" s="78"/>
      <c r="BO17" s="78"/>
      <c r="BP17" s="78"/>
      <c r="BQ17" s="78"/>
      <c r="BR17" s="79"/>
      <c r="BS17" s="79"/>
      <c r="BT17" s="79"/>
      <c r="BU17" s="79"/>
      <c r="BV17" s="79"/>
      <c r="BW17" s="79"/>
      <c r="BX17" s="79"/>
    </row>
    <row r="18" spans="1:76" ht="20.100000000000001" customHeight="1" x14ac:dyDescent="0.15">
      <c r="A18" s="74"/>
      <c r="B18" s="74"/>
      <c r="C18" s="74"/>
      <c r="D18" s="74"/>
      <c r="E18" s="75"/>
      <c r="F18" s="75"/>
      <c r="G18" s="75"/>
      <c r="H18" s="75"/>
      <c r="I18" s="75"/>
      <c r="J18" s="76"/>
      <c r="K18" s="76"/>
      <c r="L18" s="76"/>
      <c r="M18" s="76"/>
      <c r="N18" s="76"/>
      <c r="O18" s="76"/>
      <c r="P18" s="76"/>
      <c r="Q18" s="76"/>
      <c r="R18" s="74"/>
      <c r="S18" s="74"/>
      <c r="T18" s="74"/>
      <c r="U18" s="74"/>
      <c r="V18" s="74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7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78"/>
      <c r="BF18" s="78"/>
      <c r="BG18" s="78"/>
      <c r="BH18" s="78"/>
      <c r="BI18" s="78"/>
      <c r="BJ18" s="78"/>
      <c r="BK18" s="78"/>
      <c r="BL18" s="78"/>
      <c r="BM18" s="78"/>
      <c r="BN18" s="78"/>
      <c r="BO18" s="78"/>
      <c r="BP18" s="78"/>
      <c r="BQ18" s="78"/>
      <c r="BR18" s="79"/>
      <c r="BS18" s="79"/>
      <c r="BT18" s="79"/>
      <c r="BU18" s="79"/>
      <c r="BV18" s="79"/>
      <c r="BW18" s="79"/>
      <c r="BX18" s="79"/>
    </row>
    <row r="19" spans="1:76" ht="20.100000000000001" customHeight="1" x14ac:dyDescent="0.15">
      <c r="A19" s="74"/>
      <c r="B19" s="74"/>
      <c r="C19" s="74"/>
      <c r="D19" s="74"/>
      <c r="E19" s="75"/>
      <c r="F19" s="75"/>
      <c r="G19" s="75"/>
      <c r="H19" s="75"/>
      <c r="I19" s="75"/>
      <c r="J19" s="76"/>
      <c r="K19" s="76"/>
      <c r="L19" s="76"/>
      <c r="M19" s="76"/>
      <c r="N19" s="76"/>
      <c r="O19" s="76"/>
      <c r="P19" s="76"/>
      <c r="Q19" s="76"/>
      <c r="R19" s="74"/>
      <c r="S19" s="74"/>
      <c r="T19" s="74"/>
      <c r="U19" s="74"/>
      <c r="V19" s="74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7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9"/>
      <c r="BS19" s="79"/>
      <c r="BT19" s="79"/>
      <c r="BU19" s="79"/>
      <c r="BV19" s="79"/>
      <c r="BW19" s="79"/>
      <c r="BX19" s="79"/>
    </row>
    <row r="20" spans="1:76" ht="20.100000000000001" customHeight="1" x14ac:dyDescent="0.15">
      <c r="A20" s="74"/>
      <c r="B20" s="74"/>
      <c r="C20" s="74"/>
      <c r="D20" s="74"/>
      <c r="E20" s="75"/>
      <c r="F20" s="75"/>
      <c r="G20" s="75"/>
      <c r="H20" s="75"/>
      <c r="I20" s="75"/>
      <c r="J20" s="76"/>
      <c r="K20" s="76"/>
      <c r="L20" s="76"/>
      <c r="M20" s="76"/>
      <c r="N20" s="76"/>
      <c r="O20" s="76"/>
      <c r="P20" s="76"/>
      <c r="Q20" s="76"/>
      <c r="R20" s="74"/>
      <c r="S20" s="74"/>
      <c r="T20" s="74"/>
      <c r="U20" s="74"/>
      <c r="V20" s="74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7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8"/>
      <c r="BM20" s="78"/>
      <c r="BN20" s="78"/>
      <c r="BO20" s="78"/>
      <c r="BP20" s="78"/>
      <c r="BQ20" s="78"/>
      <c r="BR20" s="79"/>
      <c r="BS20" s="79"/>
      <c r="BT20" s="79"/>
      <c r="BU20" s="79"/>
      <c r="BV20" s="79"/>
      <c r="BW20" s="79"/>
      <c r="BX20" s="79"/>
    </row>
    <row r="21" spans="1:76" ht="20.100000000000001" customHeight="1" x14ac:dyDescent="0.15">
      <c r="A21" s="74"/>
      <c r="B21" s="74"/>
      <c r="C21" s="74"/>
      <c r="D21" s="74"/>
      <c r="E21" s="75"/>
      <c r="F21" s="75"/>
      <c r="G21" s="75"/>
      <c r="H21" s="75"/>
      <c r="I21" s="75"/>
      <c r="J21" s="76"/>
      <c r="K21" s="76"/>
      <c r="L21" s="76"/>
      <c r="M21" s="76"/>
      <c r="N21" s="76"/>
      <c r="O21" s="76"/>
      <c r="P21" s="76"/>
      <c r="Q21" s="76"/>
      <c r="R21" s="74"/>
      <c r="S21" s="74"/>
      <c r="T21" s="74"/>
      <c r="U21" s="74"/>
      <c r="V21" s="74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7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9"/>
      <c r="BS21" s="79"/>
      <c r="BT21" s="79"/>
      <c r="BU21" s="79"/>
      <c r="BV21" s="79"/>
      <c r="BW21" s="79"/>
      <c r="BX21" s="79"/>
    </row>
    <row r="22" spans="1:76" ht="20.100000000000001" customHeight="1" x14ac:dyDescent="0.15">
      <c r="A22" s="74"/>
      <c r="B22" s="74"/>
      <c r="C22" s="74"/>
      <c r="D22" s="74"/>
      <c r="E22" s="75"/>
      <c r="F22" s="75"/>
      <c r="G22" s="75"/>
      <c r="H22" s="75"/>
      <c r="I22" s="75"/>
      <c r="J22" s="76"/>
      <c r="K22" s="76"/>
      <c r="L22" s="76"/>
      <c r="M22" s="76"/>
      <c r="N22" s="76"/>
      <c r="O22" s="76"/>
      <c r="P22" s="76"/>
      <c r="Q22" s="76"/>
      <c r="R22" s="74"/>
      <c r="S22" s="74"/>
      <c r="T22" s="74"/>
      <c r="U22" s="74"/>
      <c r="V22" s="74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7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9"/>
      <c r="BS22" s="79"/>
      <c r="BT22" s="79"/>
      <c r="BU22" s="79"/>
      <c r="BV22" s="79"/>
      <c r="BW22" s="79"/>
      <c r="BX22" s="79"/>
    </row>
    <row r="23" spans="1:76" ht="20.100000000000001" customHeight="1" x14ac:dyDescent="0.15">
      <c r="A23" s="74"/>
      <c r="B23" s="74"/>
      <c r="C23" s="74"/>
      <c r="D23" s="74"/>
      <c r="E23" s="75"/>
      <c r="F23" s="75"/>
      <c r="G23" s="75"/>
      <c r="H23" s="75"/>
      <c r="I23" s="75"/>
      <c r="J23" s="76"/>
      <c r="K23" s="76"/>
      <c r="L23" s="76"/>
      <c r="M23" s="76"/>
      <c r="N23" s="76"/>
      <c r="O23" s="76"/>
      <c r="P23" s="76"/>
      <c r="Q23" s="76"/>
      <c r="R23" s="74"/>
      <c r="S23" s="74"/>
      <c r="T23" s="74"/>
      <c r="U23" s="74"/>
      <c r="V23" s="74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7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9"/>
      <c r="BS23" s="79"/>
      <c r="BT23" s="79"/>
      <c r="BU23" s="79"/>
      <c r="BV23" s="79"/>
      <c r="BW23" s="79"/>
      <c r="BX23" s="79"/>
    </row>
    <row r="24" spans="1:76" ht="20.100000000000001" customHeight="1" x14ac:dyDescent="0.15">
      <c r="A24" s="74"/>
      <c r="B24" s="74"/>
      <c r="C24" s="74"/>
      <c r="D24" s="74"/>
      <c r="E24" s="75"/>
      <c r="F24" s="75"/>
      <c r="G24" s="75"/>
      <c r="H24" s="75"/>
      <c r="I24" s="75"/>
      <c r="J24" s="76"/>
      <c r="K24" s="76"/>
      <c r="L24" s="76"/>
      <c r="M24" s="76"/>
      <c r="N24" s="76"/>
      <c r="O24" s="76"/>
      <c r="P24" s="76"/>
      <c r="Q24" s="76"/>
      <c r="R24" s="74"/>
      <c r="S24" s="74"/>
      <c r="T24" s="74"/>
      <c r="U24" s="74"/>
      <c r="V24" s="74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7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9"/>
      <c r="BS24" s="79"/>
      <c r="BT24" s="79"/>
      <c r="BU24" s="79"/>
      <c r="BV24" s="79"/>
      <c r="BW24" s="79"/>
      <c r="BX24" s="79"/>
    </row>
    <row r="25" spans="1:76" ht="20.100000000000001" customHeight="1" x14ac:dyDescent="0.15">
      <c r="A25" s="74"/>
      <c r="B25" s="74"/>
      <c r="C25" s="74"/>
      <c r="D25" s="74"/>
      <c r="E25" s="75"/>
      <c r="F25" s="75"/>
      <c r="G25" s="75"/>
      <c r="H25" s="75"/>
      <c r="I25" s="75"/>
      <c r="J25" s="76"/>
      <c r="K25" s="76"/>
      <c r="L25" s="76"/>
      <c r="M25" s="76"/>
      <c r="N25" s="76"/>
      <c r="O25" s="76"/>
      <c r="P25" s="76"/>
      <c r="Q25" s="76"/>
      <c r="R25" s="74"/>
      <c r="S25" s="74"/>
      <c r="T25" s="74"/>
      <c r="U25" s="74"/>
      <c r="V25" s="74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7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9"/>
      <c r="BS25" s="79"/>
      <c r="BT25" s="79"/>
      <c r="BU25" s="79"/>
      <c r="BV25" s="79"/>
      <c r="BW25" s="79"/>
      <c r="BX25" s="79"/>
    </row>
    <row r="26" spans="1:76" ht="20.100000000000001" customHeight="1" x14ac:dyDescent="0.15">
      <c r="A26" s="74"/>
      <c r="B26" s="74"/>
      <c r="C26" s="74"/>
      <c r="D26" s="74"/>
      <c r="E26" s="75"/>
      <c r="F26" s="75"/>
      <c r="G26" s="75"/>
      <c r="H26" s="75"/>
      <c r="I26" s="75"/>
      <c r="J26" s="76"/>
      <c r="K26" s="76"/>
      <c r="L26" s="76"/>
      <c r="M26" s="76"/>
      <c r="N26" s="76"/>
      <c r="O26" s="76"/>
      <c r="P26" s="76"/>
      <c r="Q26" s="76"/>
      <c r="R26" s="74"/>
      <c r="S26" s="74"/>
      <c r="T26" s="74"/>
      <c r="U26" s="74"/>
      <c r="V26" s="74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7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9"/>
      <c r="BS26" s="79"/>
      <c r="BT26" s="79"/>
      <c r="BU26" s="79"/>
      <c r="BV26" s="79"/>
      <c r="BW26" s="79"/>
      <c r="BX26" s="79"/>
    </row>
    <row r="27" spans="1:76" ht="20.100000000000001" customHeight="1" x14ac:dyDescent="0.15">
      <c r="A27" s="74"/>
      <c r="B27" s="74"/>
      <c r="C27" s="74"/>
      <c r="D27" s="74"/>
      <c r="E27" s="75"/>
      <c r="F27" s="75"/>
      <c r="G27" s="75"/>
      <c r="H27" s="75"/>
      <c r="I27" s="75"/>
      <c r="J27" s="76"/>
      <c r="K27" s="76"/>
      <c r="L27" s="76"/>
      <c r="M27" s="76"/>
      <c r="N27" s="76"/>
      <c r="O27" s="76"/>
      <c r="P27" s="76"/>
      <c r="Q27" s="76"/>
      <c r="R27" s="74"/>
      <c r="S27" s="74"/>
      <c r="T27" s="74"/>
      <c r="U27" s="74"/>
      <c r="V27" s="74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7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9"/>
      <c r="BS27" s="79"/>
      <c r="BT27" s="79"/>
      <c r="BU27" s="79"/>
      <c r="BV27" s="79"/>
      <c r="BW27" s="79"/>
      <c r="BX27" s="79"/>
    </row>
    <row r="28" spans="1:76" ht="20.100000000000001" customHeight="1" x14ac:dyDescent="0.15">
      <c r="A28" s="74"/>
      <c r="B28" s="74"/>
      <c r="C28" s="74"/>
      <c r="D28" s="74"/>
      <c r="E28" s="75"/>
      <c r="F28" s="75"/>
      <c r="G28" s="75"/>
      <c r="H28" s="75"/>
      <c r="I28" s="75"/>
      <c r="J28" s="76"/>
      <c r="K28" s="76"/>
      <c r="L28" s="76"/>
      <c r="M28" s="76"/>
      <c r="N28" s="76"/>
      <c r="O28" s="76"/>
      <c r="P28" s="76"/>
      <c r="Q28" s="76"/>
      <c r="R28" s="74"/>
      <c r="S28" s="74"/>
      <c r="T28" s="74"/>
      <c r="U28" s="74"/>
      <c r="V28" s="74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7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9"/>
      <c r="BS28" s="79"/>
      <c r="BT28" s="79"/>
      <c r="BU28" s="79"/>
      <c r="BV28" s="79"/>
      <c r="BW28" s="79"/>
      <c r="BX28" s="79"/>
    </row>
    <row r="29" spans="1:76" ht="20.100000000000001" customHeight="1" x14ac:dyDescent="0.15">
      <c r="A29" s="74"/>
      <c r="B29" s="74"/>
      <c r="C29" s="74"/>
      <c r="D29" s="74"/>
      <c r="E29" s="75"/>
      <c r="F29" s="75"/>
      <c r="G29" s="75"/>
      <c r="H29" s="75"/>
      <c r="I29" s="75"/>
      <c r="J29" s="76"/>
      <c r="K29" s="76"/>
      <c r="L29" s="76"/>
      <c r="M29" s="76"/>
      <c r="N29" s="76"/>
      <c r="O29" s="76"/>
      <c r="P29" s="76"/>
      <c r="Q29" s="76"/>
      <c r="R29" s="74"/>
      <c r="S29" s="74"/>
      <c r="T29" s="74"/>
      <c r="U29" s="74"/>
      <c r="V29" s="74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7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9"/>
      <c r="BS29" s="79"/>
      <c r="BT29" s="79"/>
      <c r="BU29" s="79"/>
      <c r="BV29" s="79"/>
      <c r="BW29" s="79"/>
      <c r="BX29" s="79"/>
    </row>
  </sheetData>
  <mergeCells count="209">
    <mergeCell ref="AA29:AG29"/>
    <mergeCell ref="AH29:BQ29"/>
    <mergeCell ref="BR29:BX29"/>
    <mergeCell ref="A29:D29"/>
    <mergeCell ref="E29:I29"/>
    <mergeCell ref="J29:Q29"/>
    <mergeCell ref="R29:V29"/>
    <mergeCell ref="W29:Z29"/>
    <mergeCell ref="AA27:AG27"/>
    <mergeCell ref="AH27:BQ27"/>
    <mergeCell ref="BR27:BX27"/>
    <mergeCell ref="A28:D28"/>
    <mergeCell ref="E28:I28"/>
    <mergeCell ref="J28:Q28"/>
    <mergeCell ref="R28:V28"/>
    <mergeCell ref="W28:Z28"/>
    <mergeCell ref="AA28:AG28"/>
    <mergeCell ref="AH28:BQ28"/>
    <mergeCell ref="BR28:BX28"/>
    <mergeCell ref="A27:D27"/>
    <mergeCell ref="E27:I27"/>
    <mergeCell ref="J27:Q27"/>
    <mergeCell ref="R27:V27"/>
    <mergeCell ref="W27:Z27"/>
    <mergeCell ref="AA25:AG25"/>
    <mergeCell ref="AH25:BQ25"/>
    <mergeCell ref="BR25:BX25"/>
    <mergeCell ref="A26:D26"/>
    <mergeCell ref="E26:I26"/>
    <mergeCell ref="J26:Q26"/>
    <mergeCell ref="R26:V26"/>
    <mergeCell ref="W26:Z26"/>
    <mergeCell ref="AA26:AG26"/>
    <mergeCell ref="AH26:BQ26"/>
    <mergeCell ref="BR26:BX26"/>
    <mergeCell ref="A25:D25"/>
    <mergeCell ref="E25:I25"/>
    <mergeCell ref="J25:Q25"/>
    <mergeCell ref="R25:V25"/>
    <mergeCell ref="W25:Z25"/>
    <mergeCell ref="AA23:AG23"/>
    <mergeCell ref="AH23:BQ23"/>
    <mergeCell ref="BR23:BX23"/>
    <mergeCell ref="A24:D24"/>
    <mergeCell ref="E24:I24"/>
    <mergeCell ref="J24:Q24"/>
    <mergeCell ref="R24:V24"/>
    <mergeCell ref="W24:Z24"/>
    <mergeCell ref="AA24:AG24"/>
    <mergeCell ref="AH24:BQ24"/>
    <mergeCell ref="BR24:BX24"/>
    <mergeCell ref="A23:D23"/>
    <mergeCell ref="E23:I23"/>
    <mergeCell ref="J23:Q23"/>
    <mergeCell ref="R23:V23"/>
    <mergeCell ref="W23:Z23"/>
    <mergeCell ref="A22:D22"/>
    <mergeCell ref="E22:I22"/>
    <mergeCell ref="J22:Q22"/>
    <mergeCell ref="R22:V22"/>
    <mergeCell ref="W22:Z22"/>
    <mergeCell ref="AA22:AG22"/>
    <mergeCell ref="AH22:BQ22"/>
    <mergeCell ref="BR22:BX22"/>
    <mergeCell ref="AA21:AG21"/>
    <mergeCell ref="AH21:BQ21"/>
    <mergeCell ref="BR21:BX21"/>
    <mergeCell ref="A21:D21"/>
    <mergeCell ref="E21:I21"/>
    <mergeCell ref="J21:Q21"/>
    <mergeCell ref="R21:V21"/>
    <mergeCell ref="W21:Z21"/>
    <mergeCell ref="AA19:AG19"/>
    <mergeCell ref="AH19:BQ19"/>
    <mergeCell ref="BR19:BX19"/>
    <mergeCell ref="A20:D20"/>
    <mergeCell ref="E20:I20"/>
    <mergeCell ref="J20:Q20"/>
    <mergeCell ref="R20:V20"/>
    <mergeCell ref="W20:Z20"/>
    <mergeCell ref="AA20:AG20"/>
    <mergeCell ref="AH20:BQ20"/>
    <mergeCell ref="BR20:BX20"/>
    <mergeCell ref="A19:D19"/>
    <mergeCell ref="E19:I19"/>
    <mergeCell ref="J19:Q19"/>
    <mergeCell ref="R19:V19"/>
    <mergeCell ref="W19:Z19"/>
    <mergeCell ref="AA17:AG17"/>
    <mergeCell ref="AH17:BQ17"/>
    <mergeCell ref="BR17:BX17"/>
    <mergeCell ref="A18:D18"/>
    <mergeCell ref="E18:I18"/>
    <mergeCell ref="J18:Q18"/>
    <mergeCell ref="R18:V18"/>
    <mergeCell ref="W18:Z18"/>
    <mergeCell ref="AA18:AG18"/>
    <mergeCell ref="AH18:BQ18"/>
    <mergeCell ref="BR18:BX18"/>
    <mergeCell ref="A17:D17"/>
    <mergeCell ref="E17:I17"/>
    <mergeCell ref="J17:Q17"/>
    <mergeCell ref="R17:V17"/>
    <mergeCell ref="W17:Z17"/>
    <mergeCell ref="AA15:AG15"/>
    <mergeCell ref="AH15:BQ15"/>
    <mergeCell ref="BR15:BX15"/>
    <mergeCell ref="A16:D16"/>
    <mergeCell ref="E16:I16"/>
    <mergeCell ref="J16:Q16"/>
    <mergeCell ref="R16:V16"/>
    <mergeCell ref="W16:Z16"/>
    <mergeCell ref="AA16:AG16"/>
    <mergeCell ref="AH16:BQ16"/>
    <mergeCell ref="BR16:BX16"/>
    <mergeCell ref="A15:D15"/>
    <mergeCell ref="E15:I15"/>
    <mergeCell ref="J15:Q15"/>
    <mergeCell ref="R15:V15"/>
    <mergeCell ref="W15:Z15"/>
    <mergeCell ref="AA13:AG13"/>
    <mergeCell ref="AH13:BQ13"/>
    <mergeCell ref="BR13:BX13"/>
    <mergeCell ref="A14:D14"/>
    <mergeCell ref="E14:I14"/>
    <mergeCell ref="J14:Q14"/>
    <mergeCell ref="R14:V14"/>
    <mergeCell ref="W14:Z14"/>
    <mergeCell ref="AA14:AG14"/>
    <mergeCell ref="AH14:BQ14"/>
    <mergeCell ref="BR14:BX14"/>
    <mergeCell ref="A13:D13"/>
    <mergeCell ref="E13:I13"/>
    <mergeCell ref="J13:Q13"/>
    <mergeCell ref="R13:V13"/>
    <mergeCell ref="W13:Z13"/>
    <mergeCell ref="R3:V4"/>
    <mergeCell ref="R6:V6"/>
    <mergeCell ref="BR3:BX4"/>
    <mergeCell ref="AH3:BQ4"/>
    <mergeCell ref="AH5:BQ5"/>
    <mergeCell ref="BR5:BX5"/>
    <mergeCell ref="W6:Z6"/>
    <mergeCell ref="AA6:AG6"/>
    <mergeCell ref="AH6:BQ6"/>
    <mergeCell ref="BR6:BX6"/>
    <mergeCell ref="AA4:AG4"/>
    <mergeCell ref="W3:AG3"/>
    <mergeCell ref="W4:Z4"/>
    <mergeCell ref="W5:Z5"/>
    <mergeCell ref="AA5:AG5"/>
    <mergeCell ref="J8:Q8"/>
    <mergeCell ref="R8:V8"/>
    <mergeCell ref="W9:Z9"/>
    <mergeCell ref="AA9:AG9"/>
    <mergeCell ref="A5:D5"/>
    <mergeCell ref="R5:V5"/>
    <mergeCell ref="W7:Z7"/>
    <mergeCell ref="AA7:AG7"/>
    <mergeCell ref="A3:D4"/>
    <mergeCell ref="J3:Q4"/>
    <mergeCell ref="A9:D9"/>
    <mergeCell ref="E9:I9"/>
    <mergeCell ref="J9:Q9"/>
    <mergeCell ref="A8:D8"/>
    <mergeCell ref="E8:I8"/>
    <mergeCell ref="A6:D6"/>
    <mergeCell ref="E6:I6"/>
    <mergeCell ref="J6:Q6"/>
    <mergeCell ref="J5:Q5"/>
    <mergeCell ref="E3:I4"/>
    <mergeCell ref="E5:I5"/>
    <mergeCell ref="A7:D7"/>
    <mergeCell ref="E7:I7"/>
    <mergeCell ref="J7:Q7"/>
    <mergeCell ref="AH8:BQ8"/>
    <mergeCell ref="BR8:BX8"/>
    <mergeCell ref="AA8:AG8"/>
    <mergeCell ref="W8:Z8"/>
    <mergeCell ref="BR7:BX7"/>
    <mergeCell ref="AH7:BQ7"/>
    <mergeCell ref="R9:V9"/>
    <mergeCell ref="W10:Z10"/>
    <mergeCell ref="AA10:AG10"/>
    <mergeCell ref="AH10:BQ10"/>
    <mergeCell ref="BR10:BX10"/>
    <mergeCell ref="R7:V7"/>
    <mergeCell ref="A10:D10"/>
    <mergeCell ref="E10:I10"/>
    <mergeCell ref="J10:Q10"/>
    <mergeCell ref="R10:V10"/>
    <mergeCell ref="AH9:BQ9"/>
    <mergeCell ref="BR9:BX9"/>
    <mergeCell ref="W12:Z12"/>
    <mergeCell ref="AA12:AG12"/>
    <mergeCell ref="AH12:BQ12"/>
    <mergeCell ref="BR12:BX12"/>
    <mergeCell ref="A12:D12"/>
    <mergeCell ref="E12:I12"/>
    <mergeCell ref="J12:Q12"/>
    <mergeCell ref="R12:V12"/>
    <mergeCell ref="AH11:BQ11"/>
    <mergeCell ref="BR11:BX11"/>
    <mergeCell ref="A11:D11"/>
    <mergeCell ref="E11:I11"/>
    <mergeCell ref="J11:Q11"/>
    <mergeCell ref="R11:V11"/>
    <mergeCell ref="W11:Z11"/>
    <mergeCell ref="AA11:AG11"/>
  </mergeCells>
  <phoneticPr fontId="2"/>
  <pageMargins left="0.21" right="0.2" top="0.78740157480314965" bottom="0.39370078740157483" header="0.59055118110236227" footer="0.19685039370078741"/>
  <pageSetup paperSize="9" orientation="landscape" r:id="rId1"/>
  <headerFooter alignWithMargins="0">
    <oddFooter>&amp;R&amp;9株式会社　京信システムサービス&amp;C&amp;11&amp;P　/　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CR47"/>
  <sheetViews>
    <sheetView zoomScale="85" zoomScaleNormal="85" workbookViewId="0">
      <pane ySplit="3" topLeftCell="A4" activePane="bottomLeft" state="frozen"/>
      <selection activeCell="J6" sqref="J6:Q6"/>
      <selection pane="bottomLeft" activeCell="A4" sqref="A4:H4"/>
    </sheetView>
  </sheetViews>
  <sheetFormatPr defaultColWidth="1.875" defaultRowHeight="15" customHeight="1" x14ac:dyDescent="0.15"/>
  <cols>
    <col min="1" max="16384" width="1.875" style="17"/>
  </cols>
  <sheetData>
    <row r="1" spans="1:96" s="15" customFormat="1" ht="15" customHeight="1" x14ac:dyDescent="0.15">
      <c r="A1" s="177" t="s">
        <v>1</v>
      </c>
      <c r="B1" s="178"/>
      <c r="C1" s="178"/>
      <c r="D1" s="178"/>
      <c r="E1" s="178"/>
      <c r="F1" s="178"/>
      <c r="G1" s="178"/>
      <c r="H1" s="179"/>
      <c r="I1" s="180" t="str">
        <f>タイトル!I40</f>
        <v>　学生勤務管理システム</v>
      </c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2"/>
      <c r="AE1" s="183" t="s">
        <v>0</v>
      </c>
      <c r="AF1" s="184"/>
      <c r="AG1" s="184"/>
      <c r="AH1" s="184"/>
      <c r="AI1" s="184"/>
      <c r="AJ1" s="184"/>
      <c r="AK1" s="185"/>
      <c r="AL1" s="186" t="str">
        <f>タイトル!I43</f>
        <v>　機能設計</v>
      </c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187"/>
      <c r="BH1" s="188"/>
      <c r="BI1" s="183" t="s">
        <v>12</v>
      </c>
      <c r="BJ1" s="184"/>
      <c r="BK1" s="184"/>
      <c r="BL1" s="185"/>
      <c r="BM1" s="189" t="str">
        <f>タイトル!I46</f>
        <v>木田　優</v>
      </c>
      <c r="BN1" s="190"/>
      <c r="BO1" s="190"/>
      <c r="BP1" s="190"/>
      <c r="BQ1" s="190"/>
      <c r="BR1" s="190"/>
      <c r="BS1" s="190"/>
      <c r="BT1" s="190"/>
      <c r="BU1" s="190"/>
      <c r="BV1" s="191"/>
      <c r="BW1" s="135">
        <f>タイトル!I47</f>
        <v>45204</v>
      </c>
      <c r="BX1" s="136"/>
      <c r="BY1" s="136"/>
      <c r="BZ1" s="136"/>
      <c r="CA1" s="136"/>
      <c r="CB1" s="136"/>
      <c r="CC1" s="136"/>
      <c r="CD1" s="136"/>
      <c r="CE1" s="137"/>
      <c r="CF1" s="138" t="s">
        <v>13</v>
      </c>
      <c r="CG1" s="139"/>
      <c r="CH1" s="139"/>
      <c r="CI1" s="139"/>
      <c r="CJ1" s="140"/>
      <c r="CK1" s="147"/>
      <c r="CL1" s="148"/>
      <c r="CM1" s="148"/>
      <c r="CN1" s="148"/>
      <c r="CO1" s="148"/>
      <c r="CP1" s="148"/>
      <c r="CQ1" s="148"/>
      <c r="CR1" s="149"/>
    </row>
    <row r="2" spans="1:96" s="15" customFormat="1" ht="15" customHeight="1" x14ac:dyDescent="0.15">
      <c r="A2" s="156" t="s">
        <v>14</v>
      </c>
      <c r="B2" s="157"/>
      <c r="C2" s="157"/>
      <c r="D2" s="157"/>
      <c r="E2" s="157"/>
      <c r="F2" s="157"/>
      <c r="G2" s="157"/>
      <c r="H2" s="158"/>
      <c r="I2" s="159" t="str">
        <f>タイトル!I41</f>
        <v>　共通機能</v>
      </c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1"/>
      <c r="AE2" s="162" t="s">
        <v>32</v>
      </c>
      <c r="AF2" s="163"/>
      <c r="AG2" s="163"/>
      <c r="AH2" s="163"/>
      <c r="AI2" s="163"/>
      <c r="AJ2" s="163"/>
      <c r="AK2" s="164"/>
      <c r="AL2" s="165" t="str">
        <f>タイトル!I44</f>
        <v>　CK-030_兼任・代理承認</v>
      </c>
      <c r="AM2" s="166"/>
      <c r="AN2" s="166"/>
      <c r="AO2" s="166"/>
      <c r="AP2" s="166"/>
      <c r="AQ2" s="166"/>
      <c r="AR2" s="166"/>
      <c r="AS2" s="166"/>
      <c r="AT2" s="166"/>
      <c r="AU2" s="166"/>
      <c r="AV2" s="166"/>
      <c r="AW2" s="166"/>
      <c r="AX2" s="166"/>
      <c r="AY2" s="166"/>
      <c r="AZ2" s="166"/>
      <c r="BA2" s="166"/>
      <c r="BB2" s="166"/>
      <c r="BC2" s="166"/>
      <c r="BD2" s="166"/>
      <c r="BE2" s="166"/>
      <c r="BF2" s="166"/>
      <c r="BG2" s="166"/>
      <c r="BH2" s="167"/>
      <c r="BI2" s="168" t="s">
        <v>15</v>
      </c>
      <c r="BJ2" s="169"/>
      <c r="BK2" s="169"/>
      <c r="BL2" s="170"/>
      <c r="BM2" s="171" t="s">
        <v>96</v>
      </c>
      <c r="BN2" s="172"/>
      <c r="BO2" s="172"/>
      <c r="BP2" s="172"/>
      <c r="BQ2" s="172"/>
      <c r="BR2" s="172"/>
      <c r="BS2" s="172"/>
      <c r="BT2" s="172"/>
      <c r="BU2" s="172"/>
      <c r="BV2" s="173"/>
      <c r="BW2" s="174">
        <v>45315</v>
      </c>
      <c r="BX2" s="175"/>
      <c r="BY2" s="175"/>
      <c r="BZ2" s="175"/>
      <c r="CA2" s="175"/>
      <c r="CB2" s="175"/>
      <c r="CC2" s="175"/>
      <c r="CD2" s="175"/>
      <c r="CE2" s="176"/>
      <c r="CF2" s="141"/>
      <c r="CG2" s="142"/>
      <c r="CH2" s="142"/>
      <c r="CI2" s="142"/>
      <c r="CJ2" s="143"/>
      <c r="CK2" s="150"/>
      <c r="CL2" s="151"/>
      <c r="CM2" s="151"/>
      <c r="CN2" s="151"/>
      <c r="CO2" s="151"/>
      <c r="CP2" s="151"/>
      <c r="CQ2" s="151"/>
      <c r="CR2" s="152"/>
    </row>
    <row r="3" spans="1:96" s="15" customFormat="1" ht="15" customHeight="1" thickBot="1" x14ac:dyDescent="0.2">
      <c r="A3" s="120"/>
      <c r="B3" s="121"/>
      <c r="C3" s="121"/>
      <c r="D3" s="121"/>
      <c r="E3" s="121"/>
      <c r="F3" s="121"/>
      <c r="G3" s="121"/>
      <c r="H3" s="122"/>
      <c r="I3" s="123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5"/>
      <c r="AE3" s="144"/>
      <c r="AF3" s="145"/>
      <c r="AG3" s="145"/>
      <c r="AH3" s="145"/>
      <c r="AI3" s="145"/>
      <c r="AJ3" s="145"/>
      <c r="AK3" s="146"/>
      <c r="AL3" s="126"/>
      <c r="AM3" s="127"/>
      <c r="AN3" s="127"/>
      <c r="AO3" s="127"/>
      <c r="AP3" s="127"/>
      <c r="AQ3" s="127"/>
      <c r="AR3" s="127"/>
      <c r="AS3" s="127"/>
      <c r="AT3" s="127"/>
      <c r="AU3" s="127"/>
      <c r="AV3" s="127"/>
      <c r="AW3" s="127"/>
      <c r="AX3" s="127"/>
      <c r="AY3" s="127"/>
      <c r="AZ3" s="127"/>
      <c r="BA3" s="127"/>
      <c r="BB3" s="127"/>
      <c r="BC3" s="127"/>
      <c r="BD3" s="127"/>
      <c r="BE3" s="127"/>
      <c r="BF3" s="127"/>
      <c r="BG3" s="127"/>
      <c r="BH3" s="128"/>
      <c r="BI3" s="129"/>
      <c r="BJ3" s="130"/>
      <c r="BK3" s="130"/>
      <c r="BL3" s="131"/>
      <c r="BM3" s="132"/>
      <c r="BN3" s="133"/>
      <c r="BO3" s="133"/>
      <c r="BP3" s="133"/>
      <c r="BQ3" s="133"/>
      <c r="BR3" s="133"/>
      <c r="BS3" s="133"/>
      <c r="BT3" s="133"/>
      <c r="BU3" s="133"/>
      <c r="BV3" s="133"/>
      <c r="BW3" s="133"/>
      <c r="BX3" s="133"/>
      <c r="BY3" s="133"/>
      <c r="BZ3" s="133"/>
      <c r="CA3" s="133"/>
      <c r="CB3" s="133"/>
      <c r="CC3" s="133"/>
      <c r="CD3" s="133"/>
      <c r="CE3" s="134"/>
      <c r="CF3" s="144"/>
      <c r="CG3" s="145"/>
      <c r="CH3" s="145"/>
      <c r="CI3" s="145"/>
      <c r="CJ3" s="146"/>
      <c r="CK3" s="153"/>
      <c r="CL3" s="154"/>
      <c r="CM3" s="154"/>
      <c r="CN3" s="154"/>
      <c r="CO3" s="154"/>
      <c r="CP3" s="154"/>
      <c r="CQ3" s="154"/>
      <c r="CR3" s="155"/>
    </row>
    <row r="4" spans="1:96" s="16" customFormat="1" ht="15" customHeight="1" x14ac:dyDescent="0.15">
      <c r="A4" s="114" t="s">
        <v>36</v>
      </c>
      <c r="B4" s="115"/>
      <c r="C4" s="115"/>
      <c r="D4" s="115"/>
      <c r="E4" s="115"/>
      <c r="F4" s="115"/>
      <c r="G4" s="115"/>
      <c r="H4" s="115"/>
      <c r="I4" s="116" t="str">
        <f>"　" &amp; RIGHT(タイトル!I44,LEN(タイトル!I44)-8)</f>
        <v>　兼任・代理承認</v>
      </c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5" t="s">
        <v>37</v>
      </c>
      <c r="AM4" s="115"/>
      <c r="AN4" s="115"/>
      <c r="AO4" s="115"/>
      <c r="AP4" s="115"/>
      <c r="AQ4" s="115"/>
      <c r="AR4" s="115"/>
      <c r="AS4" s="117" t="str">
        <f>LEFT(タイトル!I44,7)</f>
        <v>　CK-030</v>
      </c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17"/>
      <c r="BF4" s="117"/>
      <c r="BG4" s="117"/>
      <c r="BH4" s="117"/>
      <c r="BI4" s="118" t="s">
        <v>35</v>
      </c>
      <c r="BJ4" s="119"/>
      <c r="BK4" s="119"/>
      <c r="BL4" s="119"/>
      <c r="BM4" s="119"/>
      <c r="BN4" s="119"/>
      <c r="BO4" s="119"/>
      <c r="BP4" s="119"/>
      <c r="BQ4" s="119"/>
      <c r="BR4" s="119"/>
      <c r="BS4" s="119"/>
      <c r="BT4" s="111" t="s">
        <v>71</v>
      </c>
      <c r="BU4" s="112"/>
      <c r="BV4" s="112"/>
      <c r="BW4" s="112"/>
      <c r="BX4" s="112"/>
      <c r="BY4" s="112"/>
      <c r="BZ4" s="112"/>
      <c r="CA4" s="112"/>
      <c r="CB4" s="112"/>
      <c r="CC4" s="112"/>
      <c r="CD4" s="112"/>
      <c r="CE4" s="112"/>
      <c r="CF4" s="112"/>
      <c r="CG4" s="112"/>
      <c r="CH4" s="112"/>
      <c r="CI4" s="112"/>
      <c r="CJ4" s="112"/>
      <c r="CK4" s="112"/>
      <c r="CL4" s="112"/>
      <c r="CM4" s="112"/>
      <c r="CN4" s="112"/>
      <c r="CO4" s="112"/>
      <c r="CP4" s="112"/>
      <c r="CQ4" s="112"/>
      <c r="CR4" s="113"/>
    </row>
    <row r="5" spans="1:96" s="13" customFormat="1" ht="15" customHeight="1" x14ac:dyDescent="0.15">
      <c r="A5" s="108" t="s">
        <v>39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09"/>
      <c r="BL5" s="109"/>
      <c r="BM5" s="109"/>
      <c r="BN5" s="109"/>
      <c r="BO5" s="109"/>
      <c r="BP5" s="109"/>
      <c r="BQ5" s="109"/>
      <c r="BR5" s="109"/>
      <c r="BS5" s="109"/>
      <c r="BT5" s="109"/>
      <c r="BU5" s="109"/>
      <c r="BV5" s="109"/>
      <c r="BW5" s="109"/>
      <c r="BX5" s="109"/>
      <c r="BY5" s="109"/>
      <c r="BZ5" s="109"/>
      <c r="CA5" s="109"/>
      <c r="CB5" s="109"/>
      <c r="CC5" s="109"/>
      <c r="CD5" s="109"/>
      <c r="CE5" s="109"/>
      <c r="CF5" s="109"/>
      <c r="CG5" s="109"/>
      <c r="CH5" s="109"/>
      <c r="CI5" s="109"/>
      <c r="CJ5" s="109"/>
      <c r="CK5" s="109"/>
      <c r="CL5" s="109"/>
      <c r="CM5" s="109"/>
      <c r="CN5" s="109"/>
      <c r="CO5" s="109"/>
      <c r="CP5" s="109"/>
      <c r="CQ5" s="109"/>
      <c r="CR5" s="110"/>
    </row>
    <row r="6" spans="1:96" s="13" customFormat="1" ht="15" customHeight="1" x14ac:dyDescent="0.15">
      <c r="A6" s="20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9"/>
    </row>
    <row r="7" spans="1:96" s="13" customFormat="1" ht="15" customHeight="1" x14ac:dyDescent="0.15">
      <c r="A7" s="20"/>
      <c r="B7" s="213" t="s">
        <v>81</v>
      </c>
      <c r="C7" s="213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  <c r="X7" s="213"/>
      <c r="Y7" s="213"/>
      <c r="Z7" s="213"/>
      <c r="AA7" s="213"/>
      <c r="AB7" s="213"/>
      <c r="AC7" s="213"/>
      <c r="AD7" s="213"/>
      <c r="AE7" s="213"/>
      <c r="AF7" s="213"/>
      <c r="AG7" s="213"/>
      <c r="AH7" s="213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9"/>
    </row>
    <row r="8" spans="1:96" s="13" customFormat="1" ht="15" customHeight="1" x14ac:dyDescent="0.15">
      <c r="A8" s="20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9"/>
    </row>
    <row r="9" spans="1:96" s="13" customFormat="1" ht="15" customHeight="1" x14ac:dyDescent="0.15">
      <c r="A9" s="20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9"/>
    </row>
    <row r="10" spans="1:96" s="12" customFormat="1" ht="15" customHeight="1" x14ac:dyDescent="0.15">
      <c r="A10" s="108" t="s">
        <v>40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09"/>
      <c r="BG10" s="109"/>
      <c r="BH10" s="109"/>
      <c r="BI10" s="109"/>
      <c r="BJ10" s="109"/>
      <c r="BK10" s="109"/>
      <c r="BL10" s="109"/>
      <c r="BM10" s="109"/>
      <c r="BN10" s="109"/>
      <c r="BO10" s="109"/>
      <c r="BP10" s="109"/>
      <c r="BQ10" s="109"/>
      <c r="BR10" s="109"/>
      <c r="BS10" s="109"/>
      <c r="BT10" s="109"/>
      <c r="BU10" s="109"/>
      <c r="BV10" s="109"/>
      <c r="BW10" s="109"/>
      <c r="BX10" s="109"/>
      <c r="BY10" s="109"/>
      <c r="BZ10" s="109"/>
      <c r="CA10" s="109"/>
      <c r="CB10" s="109"/>
      <c r="CC10" s="109"/>
      <c r="CD10" s="109"/>
      <c r="CE10" s="109"/>
      <c r="CF10" s="109"/>
      <c r="CG10" s="109"/>
      <c r="CH10" s="109"/>
      <c r="CI10" s="109"/>
      <c r="CJ10" s="109"/>
      <c r="CK10" s="109"/>
      <c r="CL10" s="109"/>
      <c r="CM10" s="109"/>
      <c r="CN10" s="109"/>
      <c r="CO10" s="109"/>
      <c r="CP10" s="109"/>
      <c r="CQ10" s="109"/>
      <c r="CR10" s="110"/>
    </row>
    <row r="11" spans="1:96" s="13" customFormat="1" ht="15" customHeight="1" x14ac:dyDescent="0.15">
      <c r="A11" s="22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4"/>
    </row>
    <row r="12" spans="1:96" s="13" customFormat="1" ht="15" customHeight="1" x14ac:dyDescent="0.15">
      <c r="A12" s="2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4"/>
    </row>
    <row r="13" spans="1:96" s="13" customFormat="1" ht="15" customHeight="1" x14ac:dyDescent="0.15">
      <c r="A13" s="22"/>
      <c r="B13" s="23"/>
      <c r="C13" s="31" t="s">
        <v>70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31" t="s">
        <v>83</v>
      </c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4"/>
    </row>
    <row r="14" spans="1:96" s="13" customFormat="1" ht="15" customHeight="1" x14ac:dyDescent="0.15">
      <c r="A14" s="22"/>
      <c r="B14" s="23"/>
      <c r="C14" s="34"/>
      <c r="D14" s="35" t="s">
        <v>63</v>
      </c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7"/>
      <c r="S14" s="36"/>
      <c r="T14" s="38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34"/>
      <c r="AF14" s="35" t="s">
        <v>65</v>
      </c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7"/>
      <c r="AU14" s="36"/>
      <c r="AV14" s="38"/>
      <c r="AY14" s="23"/>
      <c r="AZ14" s="214"/>
      <c r="BA14" s="214"/>
      <c r="BB14" s="214"/>
      <c r="BC14" s="214"/>
      <c r="BD14" s="214"/>
      <c r="BE14" s="214"/>
      <c r="BF14" s="214"/>
      <c r="BG14" s="214"/>
      <c r="BH14" s="214"/>
      <c r="BI14" s="214"/>
      <c r="BJ14" s="218"/>
      <c r="BK14" s="218"/>
      <c r="BL14" s="218"/>
      <c r="BM14" s="218"/>
      <c r="BN14" s="218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4"/>
    </row>
    <row r="15" spans="1:96" s="13" customFormat="1" ht="15" customHeight="1" x14ac:dyDescent="0.15">
      <c r="A15" s="22"/>
      <c r="B15" s="23"/>
      <c r="C15" s="34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9"/>
      <c r="R15" s="37"/>
      <c r="S15" s="36"/>
      <c r="T15" s="38"/>
      <c r="U15" s="214"/>
      <c r="V15" s="215" t="s">
        <v>82</v>
      </c>
      <c r="W15" s="214"/>
      <c r="X15" s="214"/>
      <c r="Y15" s="214"/>
      <c r="Z15" s="214"/>
      <c r="AA15" s="214"/>
      <c r="AB15" s="214"/>
      <c r="AC15" s="214"/>
      <c r="AD15" s="214"/>
      <c r="AE15" s="34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9"/>
      <c r="AT15" s="37"/>
      <c r="AU15" s="36"/>
      <c r="AV15" s="38"/>
      <c r="AY15" s="23"/>
      <c r="AZ15" s="216" t="s">
        <v>87</v>
      </c>
      <c r="BA15" s="214"/>
      <c r="BB15" s="214"/>
      <c r="BC15" s="214"/>
      <c r="BD15" s="214"/>
      <c r="BE15" s="214"/>
      <c r="BF15" s="214"/>
      <c r="BG15" s="214"/>
      <c r="BH15" s="214"/>
      <c r="BI15" s="214"/>
      <c r="BJ15" s="218"/>
      <c r="BK15" s="218"/>
      <c r="BL15" s="218"/>
      <c r="BM15" s="218"/>
      <c r="BN15" s="218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4"/>
    </row>
    <row r="16" spans="1:96" s="13" customFormat="1" ht="15" customHeight="1" x14ac:dyDescent="0.15">
      <c r="A16" s="22"/>
      <c r="B16" s="23"/>
      <c r="C16" s="34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8"/>
      <c r="U16" s="214"/>
      <c r="V16" s="216" t="s">
        <v>64</v>
      </c>
      <c r="W16" s="214"/>
      <c r="X16" s="214"/>
      <c r="Y16" s="217"/>
      <c r="Z16" s="217"/>
      <c r="AA16" s="217"/>
      <c r="AB16" s="217"/>
      <c r="AC16" s="217"/>
      <c r="AD16" s="217"/>
      <c r="AE16" s="34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8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O16" s="23"/>
      <c r="CP16" s="23"/>
      <c r="CQ16" s="23"/>
      <c r="CR16" s="24"/>
    </row>
    <row r="17" spans="1:96" s="13" customFormat="1" ht="15" customHeight="1" x14ac:dyDescent="0.15">
      <c r="A17" s="22"/>
      <c r="B17" s="23"/>
      <c r="C17" s="34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8"/>
      <c r="U17" s="214"/>
      <c r="V17" s="214"/>
      <c r="W17" s="214"/>
      <c r="X17" s="214"/>
      <c r="Y17" s="217"/>
      <c r="Z17" s="217"/>
      <c r="AA17" s="217"/>
      <c r="AB17" s="217"/>
      <c r="AC17" s="217"/>
      <c r="AD17" s="217"/>
      <c r="AE17" s="34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8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O17" s="23"/>
      <c r="CP17" s="23"/>
      <c r="CQ17" s="23"/>
      <c r="CR17" s="24"/>
    </row>
    <row r="18" spans="1:96" s="13" customFormat="1" ht="15" customHeight="1" x14ac:dyDescent="0.15">
      <c r="A18" s="22"/>
      <c r="B18" s="23"/>
      <c r="C18" s="34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8"/>
      <c r="U18" s="214"/>
      <c r="V18" s="217"/>
      <c r="W18" s="218"/>
      <c r="X18" s="214"/>
      <c r="Y18" s="217"/>
      <c r="Z18" s="217"/>
      <c r="AA18" s="217"/>
      <c r="AB18" s="217"/>
      <c r="AC18" s="217"/>
      <c r="AD18" s="217"/>
      <c r="AE18" s="34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8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O18" s="23"/>
      <c r="CP18" s="23"/>
      <c r="CQ18" s="23"/>
      <c r="CR18" s="24"/>
    </row>
    <row r="19" spans="1:96" s="13" customFormat="1" ht="15" customHeight="1" x14ac:dyDescent="0.15">
      <c r="A19" s="22"/>
      <c r="B19" s="23"/>
      <c r="C19" s="34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8"/>
      <c r="U19" s="214"/>
      <c r="V19" s="215"/>
      <c r="W19" s="214"/>
      <c r="X19" s="214"/>
      <c r="Y19" s="217"/>
      <c r="Z19" s="217"/>
      <c r="AA19" s="217"/>
      <c r="AB19" s="217"/>
      <c r="AC19" s="217"/>
      <c r="AD19" s="217"/>
      <c r="AE19" s="34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8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CR19" s="24"/>
    </row>
    <row r="20" spans="1:96" s="13" customFormat="1" ht="15" customHeight="1" x14ac:dyDescent="0.15">
      <c r="A20" s="22"/>
      <c r="B20" s="23"/>
      <c r="C20" s="34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8"/>
      <c r="U20" s="214"/>
      <c r="V20" s="218"/>
      <c r="W20" s="214"/>
      <c r="X20" s="214"/>
      <c r="Y20" s="214"/>
      <c r="Z20" s="214"/>
      <c r="AA20" s="214"/>
      <c r="AB20" s="214"/>
      <c r="AC20" s="214"/>
      <c r="AD20" s="214"/>
      <c r="AE20" s="34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8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CR20" s="24"/>
    </row>
    <row r="21" spans="1:96" s="13" customFormat="1" ht="15" customHeight="1" x14ac:dyDescent="0.15">
      <c r="A21" s="22"/>
      <c r="B21" s="23"/>
      <c r="C21" s="34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8"/>
      <c r="U21" s="214"/>
      <c r="V21" s="218"/>
      <c r="W21" s="218"/>
      <c r="X21" s="214"/>
      <c r="Y21" s="214"/>
      <c r="Z21" s="214"/>
      <c r="AA21" s="214"/>
      <c r="AB21" s="214"/>
      <c r="AC21" s="214"/>
      <c r="AD21" s="214"/>
      <c r="AE21" s="34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8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CR21" s="24"/>
    </row>
    <row r="22" spans="1:96" s="13" customFormat="1" ht="15" customHeight="1" x14ac:dyDescent="0.15">
      <c r="A22" s="22"/>
      <c r="B22" s="23"/>
      <c r="C22" s="34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9"/>
      <c r="S22" s="39"/>
      <c r="T22" s="40"/>
      <c r="U22" s="217"/>
      <c r="V22" s="218"/>
      <c r="W22" s="218"/>
      <c r="X22" s="218"/>
      <c r="Y22" s="217"/>
      <c r="Z22" s="217"/>
      <c r="AA22" s="217"/>
      <c r="AB22" s="217"/>
      <c r="AC22" s="217"/>
      <c r="AD22" s="217"/>
      <c r="AE22" s="34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9"/>
      <c r="AU22" s="39"/>
      <c r="AV22" s="40"/>
      <c r="AY22" s="23"/>
      <c r="AZ22" s="23"/>
      <c r="BA22" s="31" t="s">
        <v>97</v>
      </c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3"/>
      <c r="CR22" s="24"/>
    </row>
    <row r="23" spans="1:96" s="13" customFormat="1" ht="15" customHeight="1" x14ac:dyDescent="0.15">
      <c r="A23" s="22"/>
      <c r="B23" s="23"/>
      <c r="C23" s="41"/>
      <c r="D23" s="42"/>
      <c r="E23" s="42"/>
      <c r="F23" s="42"/>
      <c r="G23" s="43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4"/>
      <c r="S23" s="44"/>
      <c r="T23" s="45"/>
      <c r="U23" s="217"/>
      <c r="V23" s="217"/>
      <c r="W23" s="217"/>
      <c r="X23" s="217"/>
      <c r="Y23" s="217"/>
      <c r="Z23" s="217"/>
      <c r="AA23" s="217"/>
      <c r="AB23" s="217"/>
      <c r="AC23" s="217"/>
      <c r="AD23" s="217"/>
      <c r="AE23" s="41"/>
      <c r="AF23" s="42"/>
      <c r="AG23" s="42"/>
      <c r="AH23" s="42"/>
      <c r="AI23" s="43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4"/>
      <c r="AU23" s="44"/>
      <c r="AV23" s="45"/>
      <c r="AY23" s="23"/>
      <c r="AZ23" s="23"/>
      <c r="BA23" s="34"/>
      <c r="BB23" s="35" t="s">
        <v>67</v>
      </c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7"/>
      <c r="BQ23" s="36"/>
      <c r="BR23" s="38"/>
      <c r="BT23" s="63"/>
      <c r="CR23" s="24"/>
    </row>
    <row r="24" spans="1:96" s="13" customFormat="1" ht="15" customHeight="1" x14ac:dyDescent="0.15">
      <c r="A24" s="22"/>
      <c r="B24" s="23"/>
      <c r="U24" s="217"/>
      <c r="V24" s="217"/>
      <c r="W24" s="217"/>
      <c r="X24" s="217"/>
      <c r="Y24" s="217"/>
      <c r="Z24" s="217"/>
      <c r="AA24" s="217"/>
      <c r="AB24" s="217"/>
      <c r="AC24" s="217"/>
      <c r="AD24" s="217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34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9"/>
      <c r="BP24" s="37"/>
      <c r="BQ24" s="36"/>
      <c r="BR24" s="38"/>
      <c r="BT24" s="63"/>
      <c r="CR24" s="24"/>
    </row>
    <row r="25" spans="1:96" s="13" customFormat="1" ht="15" customHeight="1" x14ac:dyDescent="0.15">
      <c r="A25" s="22"/>
      <c r="B25" s="23"/>
      <c r="U25" s="217"/>
      <c r="V25" s="217"/>
      <c r="W25" s="217"/>
      <c r="X25" s="217"/>
      <c r="Y25" s="217"/>
      <c r="Z25" s="217"/>
      <c r="AA25" s="217"/>
      <c r="AB25" s="217"/>
      <c r="AC25" s="217"/>
      <c r="AD25" s="217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21"/>
      <c r="AQ25" s="12"/>
      <c r="AR25" s="12"/>
      <c r="AS25" s="12"/>
      <c r="AT25" s="12"/>
      <c r="AU25" s="12"/>
      <c r="AV25" s="12"/>
      <c r="BA25" s="34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8"/>
      <c r="CR25" s="24"/>
    </row>
    <row r="26" spans="1:96" s="13" customFormat="1" ht="15" customHeight="1" x14ac:dyDescent="0.15">
      <c r="A26" s="22"/>
      <c r="B26" s="23"/>
      <c r="U26" s="217"/>
      <c r="V26" s="217"/>
      <c r="W26" s="217"/>
      <c r="X26" s="217"/>
      <c r="Y26" s="217"/>
      <c r="Z26" s="217"/>
      <c r="AA26" s="217"/>
      <c r="AB26" s="217"/>
      <c r="AC26" s="217"/>
      <c r="AD26" s="217"/>
      <c r="AE26" s="12"/>
      <c r="AF26" s="12"/>
      <c r="AY26" s="12"/>
      <c r="AZ26" s="12"/>
      <c r="BA26" s="34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8"/>
      <c r="CR26" s="24"/>
    </row>
    <row r="27" spans="1:96" s="13" customFormat="1" ht="15" customHeight="1" x14ac:dyDescent="0.15">
      <c r="A27" s="22"/>
      <c r="B27" s="23"/>
      <c r="U27" s="217"/>
      <c r="V27" s="218"/>
      <c r="W27" s="217"/>
      <c r="X27" s="217"/>
      <c r="Y27" s="217"/>
      <c r="Z27" s="217"/>
      <c r="AA27" s="217"/>
      <c r="AB27" s="217"/>
      <c r="AC27" s="217"/>
      <c r="AD27" s="217"/>
      <c r="AE27" s="12"/>
      <c r="AF27" s="12"/>
      <c r="AY27" s="12"/>
      <c r="AZ27" s="12"/>
      <c r="BA27" s="34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8"/>
      <c r="CR27" s="24"/>
    </row>
    <row r="28" spans="1:96" s="13" customFormat="1" ht="15" customHeight="1" x14ac:dyDescent="0.15">
      <c r="A28" s="22"/>
      <c r="B28" s="23"/>
      <c r="U28" s="217"/>
      <c r="V28" s="218"/>
      <c r="W28" s="214"/>
      <c r="X28" s="214"/>
      <c r="Y28" s="214"/>
      <c r="Z28" s="214"/>
      <c r="AA28" s="214"/>
      <c r="AB28" s="214"/>
      <c r="AC28" s="214"/>
      <c r="AD28" s="214"/>
      <c r="AE28" s="12"/>
      <c r="AY28" s="12"/>
      <c r="BA28" s="34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8"/>
      <c r="BT28" s="63"/>
      <c r="CR28" s="24"/>
    </row>
    <row r="29" spans="1:96" s="13" customFormat="1" ht="15" customHeight="1" x14ac:dyDescent="0.15">
      <c r="A29" s="22"/>
      <c r="B29" s="23"/>
      <c r="U29" s="217"/>
      <c r="V29" s="218"/>
      <c r="W29" s="214"/>
      <c r="X29" s="214"/>
      <c r="Y29" s="217"/>
      <c r="Z29" s="217"/>
      <c r="AA29" s="217"/>
      <c r="AB29" s="217"/>
      <c r="AC29" s="217"/>
      <c r="AD29" s="217"/>
      <c r="AE29" s="12"/>
      <c r="AO29" s="21"/>
      <c r="AY29" s="12"/>
      <c r="AZ29" s="21"/>
      <c r="BA29" s="34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8"/>
      <c r="CR29" s="24"/>
    </row>
    <row r="30" spans="1:96" s="13" customFormat="1" ht="15" customHeight="1" x14ac:dyDescent="0.15">
      <c r="A30" s="22"/>
      <c r="B30" s="23"/>
      <c r="U30" s="217"/>
      <c r="V30" s="214"/>
      <c r="W30" s="214"/>
      <c r="X30" s="214"/>
      <c r="Y30" s="217"/>
      <c r="Z30" s="217"/>
      <c r="AA30" s="217"/>
      <c r="AB30" s="217"/>
      <c r="AC30" s="217"/>
      <c r="AD30" s="217"/>
      <c r="AE30" s="12"/>
      <c r="AY30" s="12"/>
      <c r="AZ30" s="12"/>
      <c r="BA30" s="34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8"/>
      <c r="CR30" s="24"/>
    </row>
    <row r="31" spans="1:96" s="13" customFormat="1" ht="15" customHeight="1" x14ac:dyDescent="0.15">
      <c r="A31" s="22"/>
      <c r="B31" s="23"/>
      <c r="C31" s="31" t="s">
        <v>66</v>
      </c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3"/>
      <c r="U31" s="217"/>
      <c r="V31" s="217"/>
      <c r="W31" s="218"/>
      <c r="X31" s="214"/>
      <c r="Y31" s="217"/>
      <c r="Z31" s="217"/>
      <c r="AA31" s="217"/>
      <c r="AB31" s="217"/>
      <c r="AC31" s="217"/>
      <c r="AD31" s="217"/>
      <c r="AE31" s="31" t="s">
        <v>83</v>
      </c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3"/>
      <c r="AY31" s="12"/>
      <c r="AZ31" s="12"/>
      <c r="BA31" s="34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9"/>
      <c r="BQ31" s="39"/>
      <c r="BR31" s="40"/>
      <c r="CR31" s="24"/>
    </row>
    <row r="32" spans="1:96" s="13" customFormat="1" ht="15" customHeight="1" x14ac:dyDescent="0.15">
      <c r="A32" s="22"/>
      <c r="B32" s="23"/>
      <c r="C32" s="34"/>
      <c r="D32" s="35" t="s">
        <v>63</v>
      </c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7"/>
      <c r="S32" s="36"/>
      <c r="T32" s="38"/>
      <c r="U32" s="217"/>
      <c r="V32" s="215" t="s">
        <v>82</v>
      </c>
      <c r="W32" s="214"/>
      <c r="X32" s="214"/>
      <c r="Y32" s="214"/>
      <c r="Z32" s="214"/>
      <c r="AA32" s="214"/>
      <c r="AB32" s="214"/>
      <c r="AC32" s="214"/>
      <c r="AD32" s="217"/>
      <c r="AE32" s="34"/>
      <c r="AF32" s="35" t="s">
        <v>65</v>
      </c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7"/>
      <c r="AU32" s="36"/>
      <c r="AV32" s="38"/>
      <c r="AY32" s="12"/>
      <c r="AZ32" s="12"/>
      <c r="BA32" s="41"/>
      <c r="BB32" s="42"/>
      <c r="BC32" s="42"/>
      <c r="BD32" s="42"/>
      <c r="BE32" s="43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4"/>
      <c r="BQ32" s="44"/>
      <c r="BR32" s="45"/>
      <c r="CR32" s="24"/>
    </row>
    <row r="33" spans="1:96" s="13" customFormat="1" ht="15" customHeight="1" x14ac:dyDescent="0.15">
      <c r="A33" s="22"/>
      <c r="B33" s="23"/>
      <c r="C33" s="34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9"/>
      <c r="R33" s="37"/>
      <c r="S33" s="36"/>
      <c r="T33" s="38"/>
      <c r="U33" s="217"/>
      <c r="V33" s="216" t="s">
        <v>64</v>
      </c>
      <c r="W33" s="214"/>
      <c r="X33" s="214"/>
      <c r="Y33" s="214"/>
      <c r="Z33" s="214"/>
      <c r="AA33" s="214"/>
      <c r="AB33" s="214"/>
      <c r="AC33" s="214"/>
      <c r="AD33" s="214"/>
      <c r="AE33" s="34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9"/>
      <c r="AT33" s="37"/>
      <c r="AU33" s="36"/>
      <c r="AV33" s="38"/>
      <c r="AY33" s="12"/>
      <c r="AZ33" s="12"/>
      <c r="BA33" s="12"/>
      <c r="BB33" s="12"/>
      <c r="BC33" s="12"/>
      <c r="BD33" s="12"/>
      <c r="BE33" s="12"/>
      <c r="BF33" s="12"/>
      <c r="BG33" s="12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CR33" s="24"/>
    </row>
    <row r="34" spans="1:96" s="13" customFormat="1" ht="15" customHeight="1" x14ac:dyDescent="0.15">
      <c r="A34" s="22"/>
      <c r="B34" s="23"/>
      <c r="C34" s="34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8"/>
      <c r="U34" s="12"/>
      <c r="X34" s="23"/>
      <c r="Y34" s="23"/>
      <c r="Z34" s="23"/>
      <c r="AA34" s="23"/>
      <c r="AB34" s="23"/>
      <c r="AC34" s="23"/>
      <c r="AD34" s="23"/>
      <c r="AE34" s="34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8"/>
      <c r="AX34" s="218"/>
      <c r="AY34" s="217"/>
      <c r="AZ34" s="217"/>
      <c r="BA34" s="217"/>
      <c r="BB34" s="217"/>
      <c r="BC34" s="217"/>
      <c r="BD34" s="217"/>
      <c r="BE34" s="217"/>
      <c r="BF34" s="217"/>
      <c r="BG34" s="217"/>
      <c r="BH34" s="218"/>
      <c r="BI34" s="214"/>
      <c r="BJ34" s="214"/>
      <c r="BK34" s="214"/>
      <c r="BL34" s="214"/>
      <c r="BM34" s="214"/>
      <c r="BN34" s="214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CR34" s="24"/>
    </row>
    <row r="35" spans="1:96" s="13" customFormat="1" ht="15" customHeight="1" x14ac:dyDescent="0.15">
      <c r="A35" s="22"/>
      <c r="B35" s="23"/>
      <c r="C35" s="34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8"/>
      <c r="U35" s="12"/>
      <c r="Y35" s="12"/>
      <c r="Z35" s="12"/>
      <c r="AA35" s="12"/>
      <c r="AB35" s="12"/>
      <c r="AC35" s="12"/>
      <c r="AD35" s="12"/>
      <c r="AE35" s="34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8"/>
      <c r="AX35" s="218"/>
      <c r="AY35" s="216" t="s">
        <v>87</v>
      </c>
      <c r="AZ35" s="214"/>
      <c r="BA35" s="214"/>
      <c r="BB35" s="214"/>
      <c r="BC35" s="214"/>
      <c r="BD35" s="214"/>
      <c r="BE35" s="214"/>
      <c r="BF35" s="214"/>
      <c r="BG35" s="214"/>
      <c r="BH35" s="214"/>
      <c r="BI35" s="218"/>
      <c r="BJ35" s="218"/>
      <c r="BK35" s="214"/>
      <c r="BL35" s="214"/>
      <c r="BM35" s="214"/>
      <c r="BN35" s="214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CR35" s="24"/>
    </row>
    <row r="36" spans="1:96" s="13" customFormat="1" ht="15" customHeight="1" x14ac:dyDescent="0.15">
      <c r="A36" s="22"/>
      <c r="B36" s="23"/>
      <c r="C36" s="34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8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34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8"/>
      <c r="AX36" s="218"/>
      <c r="AY36" s="217"/>
      <c r="AZ36" s="217"/>
      <c r="BA36" s="217"/>
      <c r="BB36" s="217"/>
      <c r="BC36" s="217"/>
      <c r="BD36" s="217"/>
      <c r="BE36" s="217"/>
      <c r="BF36" s="217"/>
      <c r="BG36" s="217"/>
      <c r="BH36" s="218"/>
      <c r="BI36" s="214"/>
      <c r="BJ36" s="214"/>
      <c r="BK36" s="214"/>
      <c r="BL36" s="214"/>
      <c r="BM36" s="214"/>
      <c r="BN36" s="214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4"/>
    </row>
    <row r="37" spans="1:96" s="13" customFormat="1" ht="15" customHeight="1" x14ac:dyDescent="0.15">
      <c r="A37" s="22"/>
      <c r="B37" s="23"/>
      <c r="C37" s="34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8"/>
      <c r="U37" s="12"/>
      <c r="V37" s="21"/>
      <c r="W37" s="12"/>
      <c r="X37" s="12"/>
      <c r="Y37" s="12"/>
      <c r="Z37" s="12"/>
      <c r="AA37" s="12"/>
      <c r="AB37" s="12"/>
      <c r="AC37" s="12"/>
      <c r="AD37" s="12"/>
      <c r="AE37" s="34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8"/>
      <c r="AX37" s="218"/>
      <c r="AY37" s="217"/>
      <c r="AZ37" s="217"/>
      <c r="BA37" s="217"/>
      <c r="BB37" s="217"/>
      <c r="BC37" s="217"/>
      <c r="BD37" s="217"/>
      <c r="BE37" s="217"/>
      <c r="BF37" s="217"/>
      <c r="BG37" s="217"/>
      <c r="BH37" s="218"/>
      <c r="BI37" s="214"/>
      <c r="BJ37" s="214"/>
      <c r="BK37" s="214"/>
      <c r="BL37" s="214"/>
      <c r="BM37" s="214"/>
      <c r="BN37" s="214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4"/>
    </row>
    <row r="38" spans="1:96" s="13" customFormat="1" ht="15" customHeight="1" x14ac:dyDescent="0.15">
      <c r="A38" s="22"/>
      <c r="B38" s="23"/>
      <c r="C38" s="34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8"/>
      <c r="U38" s="12"/>
      <c r="V38" s="21"/>
      <c r="W38" s="12"/>
      <c r="X38" s="12"/>
      <c r="Y38" s="12"/>
      <c r="Z38" s="12"/>
      <c r="AA38" s="12"/>
      <c r="AB38" s="12"/>
      <c r="AC38" s="12"/>
      <c r="AD38" s="12"/>
      <c r="AE38" s="34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8"/>
      <c r="AX38" s="218"/>
      <c r="AY38" s="217"/>
      <c r="AZ38" s="217"/>
      <c r="BA38" s="218"/>
      <c r="BB38" s="217"/>
      <c r="BC38" s="217"/>
      <c r="BD38" s="217"/>
      <c r="BE38" s="217"/>
      <c r="BF38" s="217"/>
      <c r="BG38" s="217"/>
      <c r="BH38" s="218"/>
      <c r="BI38" s="214"/>
      <c r="BJ38" s="214"/>
      <c r="BK38" s="214"/>
      <c r="BL38" s="214"/>
      <c r="BM38" s="214"/>
      <c r="BN38" s="214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12"/>
      <c r="CN38" s="12"/>
      <c r="CO38" s="12"/>
      <c r="CP38" s="12"/>
      <c r="CQ38" s="12"/>
      <c r="CR38" s="24"/>
    </row>
    <row r="39" spans="1:96" s="13" customFormat="1" ht="15" customHeight="1" x14ac:dyDescent="0.15">
      <c r="A39" s="22"/>
      <c r="B39" s="23"/>
      <c r="C39" s="34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8"/>
      <c r="U39" s="12"/>
      <c r="V39" s="25"/>
      <c r="W39" s="12"/>
      <c r="X39" s="12"/>
      <c r="Y39" s="12"/>
      <c r="Z39" s="12"/>
      <c r="AA39" s="12"/>
      <c r="AB39" s="12"/>
      <c r="AC39" s="12"/>
      <c r="AD39" s="12"/>
      <c r="AE39" s="34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8"/>
      <c r="AX39" s="218"/>
      <c r="AY39" s="217"/>
      <c r="AZ39" s="217"/>
      <c r="BA39" s="217"/>
      <c r="BB39" s="217"/>
      <c r="BC39" s="217"/>
      <c r="BD39" s="217"/>
      <c r="BE39" s="217"/>
      <c r="BF39" s="217"/>
      <c r="BG39" s="217"/>
      <c r="BH39" s="218"/>
      <c r="BI39" s="218"/>
      <c r="BJ39" s="218"/>
      <c r="BK39" s="218"/>
      <c r="BL39" s="218"/>
      <c r="BM39" s="218"/>
      <c r="BN39" s="218"/>
      <c r="CA39" s="23"/>
      <c r="CB39" s="23"/>
      <c r="CC39" s="23"/>
      <c r="CD39" s="12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4"/>
    </row>
    <row r="40" spans="1:96" s="13" customFormat="1" ht="15" customHeight="1" x14ac:dyDescent="0.15">
      <c r="A40" s="22"/>
      <c r="B40" s="23"/>
      <c r="C40" s="34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9"/>
      <c r="S40" s="39"/>
      <c r="T40" s="40"/>
      <c r="U40" s="12"/>
      <c r="V40" s="23"/>
      <c r="W40" s="12"/>
      <c r="X40" s="12"/>
      <c r="Y40" s="12"/>
      <c r="Z40" s="12"/>
      <c r="AA40" s="12"/>
      <c r="AB40" s="12"/>
      <c r="AC40" s="12"/>
      <c r="AD40" s="12"/>
      <c r="AE40" s="34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9"/>
      <c r="AU40" s="39"/>
      <c r="AV40" s="40"/>
      <c r="AX40" s="218"/>
      <c r="AY40" s="217"/>
      <c r="AZ40" s="217"/>
      <c r="BA40" s="217"/>
      <c r="BB40" s="217"/>
      <c r="BC40" s="217"/>
      <c r="BD40" s="217"/>
      <c r="BE40" s="217"/>
      <c r="BF40" s="217"/>
      <c r="BG40" s="217"/>
      <c r="BH40" s="218"/>
      <c r="BI40" s="218"/>
      <c r="BJ40" s="218"/>
      <c r="BK40" s="218"/>
      <c r="BL40" s="218"/>
      <c r="BM40" s="218"/>
      <c r="BN40" s="218"/>
      <c r="CA40" s="23"/>
      <c r="CB40" s="12"/>
      <c r="CC40" s="12"/>
      <c r="CD40" s="12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4"/>
    </row>
    <row r="41" spans="1:96" s="13" customFormat="1" ht="15" customHeight="1" x14ac:dyDescent="0.15">
      <c r="A41" s="22"/>
      <c r="B41" s="23"/>
      <c r="C41" s="41"/>
      <c r="D41" s="42"/>
      <c r="E41" s="42"/>
      <c r="F41" s="42"/>
      <c r="G41" s="43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4"/>
      <c r="S41" s="44"/>
      <c r="T41" s="45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41"/>
      <c r="AF41" s="42"/>
      <c r="AG41" s="42"/>
      <c r="AH41" s="42"/>
      <c r="AI41" s="43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4"/>
      <c r="AU41" s="44"/>
      <c r="AV41" s="45"/>
      <c r="AX41" s="218"/>
      <c r="AY41" s="217"/>
      <c r="AZ41" s="217"/>
      <c r="BA41" s="217"/>
      <c r="BB41" s="217"/>
      <c r="BC41" s="217"/>
      <c r="BD41" s="217"/>
      <c r="BE41" s="217"/>
      <c r="BF41" s="217"/>
      <c r="BG41" s="217"/>
      <c r="BH41" s="218"/>
      <c r="BI41" s="218"/>
      <c r="BJ41" s="218"/>
      <c r="BK41" s="218"/>
      <c r="BL41" s="218"/>
      <c r="BM41" s="218"/>
      <c r="BN41" s="218"/>
      <c r="CA41" s="23"/>
      <c r="CB41" s="12"/>
      <c r="CC41" s="12"/>
      <c r="CD41" s="12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4"/>
    </row>
    <row r="42" spans="1:96" s="13" customFormat="1" ht="15" customHeight="1" x14ac:dyDescent="0.15">
      <c r="A42" s="22"/>
      <c r="B42" s="23"/>
      <c r="U42" s="23"/>
      <c r="V42" s="21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CA42" s="23"/>
      <c r="CB42" s="12"/>
      <c r="CC42" s="12"/>
      <c r="CD42" s="12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4"/>
    </row>
    <row r="43" spans="1:96" s="13" customFormat="1" ht="15" customHeight="1" x14ac:dyDescent="0.15">
      <c r="A43" s="22"/>
      <c r="B43" s="23"/>
      <c r="U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CA43" s="23"/>
      <c r="CB43" s="12"/>
      <c r="CC43" s="12"/>
      <c r="CD43" s="12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4"/>
    </row>
    <row r="44" spans="1:96" s="13" customFormat="1" ht="15" customHeight="1" x14ac:dyDescent="0.15">
      <c r="A44" s="22"/>
      <c r="B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CA44" s="23"/>
      <c r="CB44" s="12"/>
      <c r="CC44" s="12"/>
      <c r="CD44" s="12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4"/>
    </row>
    <row r="45" spans="1:96" s="13" customFormat="1" ht="15" customHeight="1" x14ac:dyDescent="0.15">
      <c r="A45" s="22"/>
      <c r="B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CA45" s="12"/>
      <c r="CB45" s="12"/>
      <c r="CC45" s="12"/>
      <c r="CD45" s="12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4"/>
    </row>
    <row r="46" spans="1:96" s="13" customFormat="1" ht="15" customHeight="1" x14ac:dyDescent="0.15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W46" s="12"/>
      <c r="BX46" s="12"/>
      <c r="BY46" s="12"/>
      <c r="BZ46" s="12"/>
      <c r="CA46" s="12"/>
      <c r="CB46" s="12"/>
      <c r="CC46" s="12"/>
      <c r="CD46" s="12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4"/>
    </row>
    <row r="47" spans="1:96" s="13" customFormat="1" ht="15" customHeight="1" thickBot="1" x14ac:dyDescent="0.2">
      <c r="A47" s="26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8"/>
      <c r="BL47" s="28"/>
      <c r="BM47" s="29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30"/>
    </row>
  </sheetData>
  <mergeCells count="29">
    <mergeCell ref="BW1:CE1"/>
    <mergeCell ref="CF1:CJ3"/>
    <mergeCell ref="CK1:CR3"/>
    <mergeCell ref="A2:H2"/>
    <mergeCell ref="I2:AD2"/>
    <mergeCell ref="AE2:AK3"/>
    <mergeCell ref="AL2:BH2"/>
    <mergeCell ref="BI2:BL2"/>
    <mergeCell ref="BM2:BV2"/>
    <mergeCell ref="BW2:CE2"/>
    <mergeCell ref="A1:H1"/>
    <mergeCell ref="I1:AD1"/>
    <mergeCell ref="AE1:AK1"/>
    <mergeCell ref="AL1:BH1"/>
    <mergeCell ref="BI1:BL1"/>
    <mergeCell ref="BM1:BV1"/>
    <mergeCell ref="A3:H3"/>
    <mergeCell ref="I3:AD3"/>
    <mergeCell ref="AL3:BH3"/>
    <mergeCell ref="BI3:BL3"/>
    <mergeCell ref="BM3:CE3"/>
    <mergeCell ref="A5:CR5"/>
    <mergeCell ref="BT4:CR4"/>
    <mergeCell ref="A10:CR10"/>
    <mergeCell ref="A4:H4"/>
    <mergeCell ref="I4:AK4"/>
    <mergeCell ref="AL4:AR4"/>
    <mergeCell ref="AS4:BH4"/>
    <mergeCell ref="BI4:BS4"/>
  </mergeCells>
  <phoneticPr fontId="11"/>
  <pageMargins left="0.39370078740157483" right="0.16" top="0.78740157480314965" bottom="0.39370078740157483" header="0.59055118110236227" footer="0.19685039370078741"/>
  <pageSetup paperSize="9" scale="80" firstPageNumber="4" orientation="landscape" r:id="rId1"/>
  <headerFooter alignWithMargins="0">
    <oddFooter>&amp;C&amp;P　/　&amp;N&amp;R株式会社　京信システムサービス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362CE-C201-4F99-8EE4-C48FF8B0E785}">
  <dimension ref="A1:EQ90"/>
  <sheetViews>
    <sheetView zoomScale="85" zoomScaleNormal="85" workbookViewId="0">
      <pane ySplit="3" topLeftCell="A4" activePane="bottomLeft" state="frozen"/>
      <selection activeCell="W7" sqref="W7:Z7"/>
      <selection pane="bottomLeft" activeCell="A4" sqref="A4:H4"/>
    </sheetView>
  </sheetViews>
  <sheetFormatPr defaultColWidth="1.875" defaultRowHeight="15" customHeight="1" x14ac:dyDescent="0.15"/>
  <cols>
    <col min="1" max="16384" width="1.875" style="17"/>
  </cols>
  <sheetData>
    <row r="1" spans="1:96" s="15" customFormat="1" ht="15" customHeight="1" x14ac:dyDescent="0.15">
      <c r="A1" s="177" t="s">
        <v>1</v>
      </c>
      <c r="B1" s="178"/>
      <c r="C1" s="178"/>
      <c r="D1" s="178"/>
      <c r="E1" s="178"/>
      <c r="F1" s="178"/>
      <c r="G1" s="178"/>
      <c r="H1" s="179"/>
      <c r="I1" s="180" t="str">
        <f>タイトル!I40</f>
        <v>　学生勤務管理システム</v>
      </c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2"/>
      <c r="AE1" s="183" t="s">
        <v>0</v>
      </c>
      <c r="AF1" s="184"/>
      <c r="AG1" s="184"/>
      <c r="AH1" s="184"/>
      <c r="AI1" s="184"/>
      <c r="AJ1" s="184"/>
      <c r="AK1" s="185"/>
      <c r="AL1" s="186" t="s">
        <v>47</v>
      </c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187"/>
      <c r="BH1" s="188"/>
      <c r="BI1" s="183" t="s">
        <v>12</v>
      </c>
      <c r="BJ1" s="184"/>
      <c r="BK1" s="184"/>
      <c r="BL1" s="185"/>
      <c r="BM1" s="189" t="str">
        <f>タイトル!I46</f>
        <v>木田　優</v>
      </c>
      <c r="BN1" s="190"/>
      <c r="BO1" s="190"/>
      <c r="BP1" s="190"/>
      <c r="BQ1" s="190"/>
      <c r="BR1" s="190"/>
      <c r="BS1" s="190"/>
      <c r="BT1" s="190"/>
      <c r="BU1" s="190"/>
      <c r="BV1" s="191"/>
      <c r="BW1" s="135">
        <f>タイトル!I47</f>
        <v>45204</v>
      </c>
      <c r="BX1" s="136"/>
      <c r="BY1" s="136"/>
      <c r="BZ1" s="136"/>
      <c r="CA1" s="136"/>
      <c r="CB1" s="136"/>
      <c r="CC1" s="136"/>
      <c r="CD1" s="136"/>
      <c r="CE1" s="137"/>
      <c r="CF1" s="138" t="s">
        <v>13</v>
      </c>
      <c r="CG1" s="139"/>
      <c r="CH1" s="139"/>
      <c r="CI1" s="139"/>
      <c r="CJ1" s="140"/>
      <c r="CK1" s="147"/>
      <c r="CL1" s="148"/>
      <c r="CM1" s="148"/>
      <c r="CN1" s="148"/>
      <c r="CO1" s="148"/>
      <c r="CP1" s="148"/>
      <c r="CQ1" s="148"/>
      <c r="CR1" s="149"/>
    </row>
    <row r="2" spans="1:96" s="15" customFormat="1" ht="15" customHeight="1" x14ac:dyDescent="0.15">
      <c r="A2" s="156" t="s">
        <v>14</v>
      </c>
      <c r="B2" s="157"/>
      <c r="C2" s="157"/>
      <c r="D2" s="157"/>
      <c r="E2" s="157"/>
      <c r="F2" s="157"/>
      <c r="G2" s="157"/>
      <c r="H2" s="158"/>
      <c r="I2" s="159" t="s">
        <v>48</v>
      </c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1"/>
      <c r="AE2" s="162" t="s">
        <v>32</v>
      </c>
      <c r="AF2" s="163"/>
      <c r="AG2" s="163"/>
      <c r="AH2" s="163"/>
      <c r="AI2" s="163"/>
      <c r="AJ2" s="163"/>
      <c r="AK2" s="164"/>
      <c r="AL2" s="165" t="str">
        <f>タイトル!I44</f>
        <v>　CK-030_兼任・代理承認</v>
      </c>
      <c r="AM2" s="166"/>
      <c r="AN2" s="166"/>
      <c r="AO2" s="166"/>
      <c r="AP2" s="166"/>
      <c r="AQ2" s="166"/>
      <c r="AR2" s="166"/>
      <c r="AS2" s="166"/>
      <c r="AT2" s="166"/>
      <c r="AU2" s="166"/>
      <c r="AV2" s="166"/>
      <c r="AW2" s="166"/>
      <c r="AX2" s="166"/>
      <c r="AY2" s="166"/>
      <c r="AZ2" s="166"/>
      <c r="BA2" s="166"/>
      <c r="BB2" s="166"/>
      <c r="BC2" s="166"/>
      <c r="BD2" s="166"/>
      <c r="BE2" s="166"/>
      <c r="BF2" s="166"/>
      <c r="BG2" s="166"/>
      <c r="BH2" s="167"/>
      <c r="BI2" s="168" t="s">
        <v>15</v>
      </c>
      <c r="BJ2" s="169"/>
      <c r="BK2" s="169"/>
      <c r="BL2" s="170"/>
      <c r="BM2" s="171" t="s">
        <v>89</v>
      </c>
      <c r="BN2" s="172"/>
      <c r="BO2" s="172"/>
      <c r="BP2" s="172"/>
      <c r="BQ2" s="172"/>
      <c r="BR2" s="172"/>
      <c r="BS2" s="172"/>
      <c r="BT2" s="172"/>
      <c r="BU2" s="172"/>
      <c r="BV2" s="173"/>
      <c r="BW2" s="174">
        <v>45261</v>
      </c>
      <c r="BX2" s="175"/>
      <c r="BY2" s="175"/>
      <c r="BZ2" s="175"/>
      <c r="CA2" s="175"/>
      <c r="CB2" s="175"/>
      <c r="CC2" s="175"/>
      <c r="CD2" s="175"/>
      <c r="CE2" s="176"/>
      <c r="CF2" s="141"/>
      <c r="CG2" s="142"/>
      <c r="CH2" s="142"/>
      <c r="CI2" s="142"/>
      <c r="CJ2" s="143"/>
      <c r="CK2" s="150"/>
      <c r="CL2" s="151"/>
      <c r="CM2" s="151"/>
      <c r="CN2" s="151"/>
      <c r="CO2" s="151"/>
      <c r="CP2" s="151"/>
      <c r="CQ2" s="151"/>
      <c r="CR2" s="152"/>
    </row>
    <row r="3" spans="1:96" s="15" customFormat="1" ht="15" customHeight="1" thickBot="1" x14ac:dyDescent="0.2">
      <c r="A3" s="120"/>
      <c r="B3" s="121"/>
      <c r="C3" s="121"/>
      <c r="D3" s="121"/>
      <c r="E3" s="121"/>
      <c r="F3" s="121"/>
      <c r="G3" s="121"/>
      <c r="H3" s="122"/>
      <c r="I3" s="123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5"/>
      <c r="AE3" s="144"/>
      <c r="AF3" s="145"/>
      <c r="AG3" s="145"/>
      <c r="AH3" s="145"/>
      <c r="AI3" s="145"/>
      <c r="AJ3" s="145"/>
      <c r="AK3" s="146"/>
      <c r="AL3" s="126"/>
      <c r="AM3" s="127"/>
      <c r="AN3" s="127"/>
      <c r="AO3" s="127"/>
      <c r="AP3" s="127"/>
      <c r="AQ3" s="127"/>
      <c r="AR3" s="127"/>
      <c r="AS3" s="127"/>
      <c r="AT3" s="127"/>
      <c r="AU3" s="127"/>
      <c r="AV3" s="127"/>
      <c r="AW3" s="127"/>
      <c r="AX3" s="127"/>
      <c r="AY3" s="127"/>
      <c r="AZ3" s="127"/>
      <c r="BA3" s="127"/>
      <c r="BB3" s="127"/>
      <c r="BC3" s="127"/>
      <c r="BD3" s="127"/>
      <c r="BE3" s="127"/>
      <c r="BF3" s="127"/>
      <c r="BG3" s="127"/>
      <c r="BH3" s="128"/>
      <c r="BI3" s="129"/>
      <c r="BJ3" s="130"/>
      <c r="BK3" s="130"/>
      <c r="BL3" s="131"/>
      <c r="BM3" s="132"/>
      <c r="BN3" s="133"/>
      <c r="BO3" s="133"/>
      <c r="BP3" s="133"/>
      <c r="BQ3" s="133"/>
      <c r="BR3" s="133"/>
      <c r="BS3" s="133"/>
      <c r="BT3" s="133"/>
      <c r="BU3" s="133"/>
      <c r="BV3" s="133"/>
      <c r="BW3" s="133"/>
      <c r="BX3" s="133"/>
      <c r="BY3" s="133"/>
      <c r="BZ3" s="133"/>
      <c r="CA3" s="133"/>
      <c r="CB3" s="133"/>
      <c r="CC3" s="133"/>
      <c r="CD3" s="133"/>
      <c r="CE3" s="134"/>
      <c r="CF3" s="144"/>
      <c r="CG3" s="145"/>
      <c r="CH3" s="145"/>
      <c r="CI3" s="145"/>
      <c r="CJ3" s="146"/>
      <c r="CK3" s="153"/>
      <c r="CL3" s="154"/>
      <c r="CM3" s="154"/>
      <c r="CN3" s="154"/>
      <c r="CO3" s="154"/>
      <c r="CP3" s="154"/>
      <c r="CQ3" s="154"/>
      <c r="CR3" s="155"/>
    </row>
    <row r="4" spans="1:96" s="16" customFormat="1" ht="15" customHeight="1" x14ac:dyDescent="0.15">
      <c r="A4" s="114" t="s">
        <v>49</v>
      </c>
      <c r="B4" s="115"/>
      <c r="C4" s="115"/>
      <c r="D4" s="115"/>
      <c r="E4" s="115"/>
      <c r="F4" s="115"/>
      <c r="G4" s="115"/>
      <c r="H4" s="115"/>
      <c r="I4" s="116" t="str">
        <f ca="1">"　" &amp; RIGHT(CELL("filename",A1),LEN(CELL("filename",A1))-FIND("]",CELL("filename",A1)))</f>
        <v>　兼任・代理承認</v>
      </c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5" t="s">
        <v>50</v>
      </c>
      <c r="AM4" s="115"/>
      <c r="AN4" s="115"/>
      <c r="AO4" s="115"/>
      <c r="AP4" s="115"/>
      <c r="AQ4" s="115"/>
      <c r="AR4" s="115"/>
      <c r="AS4" s="117" t="s">
        <v>68</v>
      </c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17"/>
      <c r="BF4" s="117"/>
      <c r="BG4" s="117"/>
      <c r="BH4" s="117"/>
      <c r="BI4" s="200" t="s">
        <v>35</v>
      </c>
      <c r="BJ4" s="201"/>
      <c r="BK4" s="201"/>
      <c r="BL4" s="201"/>
      <c r="BM4" s="201"/>
      <c r="BN4" s="201"/>
      <c r="BO4" s="201"/>
      <c r="BP4" s="201"/>
      <c r="BQ4" s="201"/>
      <c r="BR4" s="201"/>
      <c r="BS4" s="201"/>
      <c r="BT4" s="202" t="s">
        <v>71</v>
      </c>
      <c r="BU4" s="203"/>
      <c r="BV4" s="203"/>
      <c r="BW4" s="203"/>
      <c r="BX4" s="203"/>
      <c r="BY4" s="203"/>
      <c r="BZ4" s="203"/>
      <c r="CA4" s="203"/>
      <c r="CB4" s="203"/>
      <c r="CC4" s="203"/>
      <c r="CD4" s="203"/>
      <c r="CE4" s="203"/>
      <c r="CF4" s="203"/>
      <c r="CG4" s="203"/>
      <c r="CH4" s="203"/>
      <c r="CI4" s="203"/>
      <c r="CJ4" s="203"/>
      <c r="CK4" s="203"/>
      <c r="CL4" s="203"/>
      <c r="CM4" s="203"/>
      <c r="CN4" s="203"/>
      <c r="CO4" s="203"/>
      <c r="CP4" s="203"/>
      <c r="CQ4" s="203"/>
      <c r="CR4" s="204"/>
    </row>
    <row r="5" spans="1:96" s="12" customFormat="1" ht="15" customHeight="1" x14ac:dyDescent="0.15">
      <c r="A5" s="108" t="s">
        <v>51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98" t="s">
        <v>52</v>
      </c>
      <c r="BJ5" s="198"/>
      <c r="BK5" s="198"/>
      <c r="BL5" s="198"/>
      <c r="BM5" s="198"/>
      <c r="BN5" s="198"/>
      <c r="BO5" s="198"/>
      <c r="BP5" s="198"/>
      <c r="BQ5" s="198"/>
      <c r="BR5" s="198"/>
      <c r="BS5" s="198"/>
      <c r="BT5" s="198"/>
      <c r="BU5" s="198"/>
      <c r="BV5" s="198"/>
      <c r="BW5" s="198"/>
      <c r="BX5" s="198"/>
      <c r="BY5" s="198"/>
      <c r="BZ5" s="198"/>
      <c r="CA5" s="198"/>
      <c r="CB5" s="198"/>
      <c r="CC5" s="198"/>
      <c r="CD5" s="198"/>
      <c r="CE5" s="198"/>
      <c r="CF5" s="198"/>
      <c r="CG5" s="198"/>
      <c r="CH5" s="198"/>
      <c r="CI5" s="198"/>
      <c r="CJ5" s="198"/>
      <c r="CK5" s="198"/>
      <c r="CL5" s="198"/>
      <c r="CM5" s="198"/>
      <c r="CN5" s="198"/>
      <c r="CO5" s="198"/>
      <c r="CP5" s="198"/>
      <c r="CQ5" s="198"/>
      <c r="CR5" s="199"/>
    </row>
    <row r="6" spans="1:96" s="13" customFormat="1" ht="15" customHeight="1" x14ac:dyDescent="0.15">
      <c r="A6" s="46"/>
      <c r="B6" s="47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18"/>
      <c r="BI6" s="49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1"/>
    </row>
    <row r="7" spans="1:96" s="13" customFormat="1" ht="15" customHeight="1" x14ac:dyDescent="0.15">
      <c r="A7" s="46"/>
      <c r="B7" s="18" t="s">
        <v>72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52"/>
      <c r="BJ7" s="18" t="s">
        <v>53</v>
      </c>
      <c r="BK7" s="213" t="s">
        <v>81</v>
      </c>
      <c r="BL7" s="213"/>
      <c r="BM7" s="213"/>
      <c r="BN7" s="213"/>
      <c r="BO7" s="213"/>
      <c r="BP7" s="213"/>
      <c r="BQ7" s="213"/>
      <c r="BR7" s="213"/>
      <c r="BS7" s="213"/>
      <c r="BT7" s="213"/>
      <c r="BU7" s="213"/>
      <c r="BV7" s="213"/>
      <c r="BW7" s="213"/>
      <c r="BX7" s="213"/>
      <c r="BY7" s="213"/>
      <c r="BZ7" s="213"/>
      <c r="CA7" s="213"/>
      <c r="CB7" s="213"/>
      <c r="CC7" s="213"/>
      <c r="CD7" s="213"/>
      <c r="CE7" s="213"/>
      <c r="CF7" s="213"/>
      <c r="CG7" s="213"/>
      <c r="CH7" s="213"/>
      <c r="CI7" s="213"/>
      <c r="CJ7" s="213"/>
      <c r="CK7" s="213"/>
      <c r="CL7" s="213"/>
      <c r="CM7" s="213"/>
      <c r="CN7" s="18"/>
      <c r="CO7" s="18"/>
      <c r="CP7" s="18"/>
      <c r="CQ7" s="18"/>
      <c r="CR7" s="19"/>
    </row>
    <row r="8" spans="1:96" s="13" customFormat="1" ht="15" customHeight="1" x14ac:dyDescent="0.15">
      <c r="A8" s="46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52"/>
      <c r="BJ8" s="18"/>
      <c r="BK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9"/>
    </row>
    <row r="9" spans="1:96" s="13" customFormat="1" ht="15" customHeight="1" x14ac:dyDescent="0.15">
      <c r="A9" s="46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52"/>
      <c r="BJ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9"/>
    </row>
    <row r="10" spans="1:96" s="13" customFormat="1" ht="15" customHeight="1" x14ac:dyDescent="0.15">
      <c r="A10" s="4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52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9"/>
    </row>
    <row r="11" spans="1:96" s="13" customFormat="1" ht="15" customHeight="1" x14ac:dyDescent="0.15">
      <c r="A11" s="46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52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9"/>
    </row>
    <row r="12" spans="1:96" s="13" customFormat="1" ht="15" customHeight="1" x14ac:dyDescent="0.15">
      <c r="A12" s="4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97" t="s">
        <v>54</v>
      </c>
      <c r="BJ12" s="109"/>
      <c r="BK12" s="109"/>
      <c r="BL12" s="109"/>
      <c r="BM12" s="109"/>
      <c r="BN12" s="109"/>
      <c r="BO12" s="109"/>
      <c r="BP12" s="109"/>
      <c r="BQ12" s="109"/>
      <c r="BR12" s="109"/>
      <c r="BS12" s="109"/>
      <c r="BT12" s="109"/>
      <c r="BU12" s="109"/>
      <c r="BV12" s="109"/>
      <c r="BW12" s="109"/>
      <c r="BX12" s="109"/>
      <c r="BY12" s="109"/>
      <c r="BZ12" s="109"/>
      <c r="CA12" s="109"/>
      <c r="CB12" s="109"/>
      <c r="CC12" s="109"/>
      <c r="CD12" s="109"/>
      <c r="CE12" s="109"/>
      <c r="CF12" s="109"/>
      <c r="CG12" s="109"/>
      <c r="CH12" s="109"/>
      <c r="CI12" s="109"/>
      <c r="CJ12" s="109"/>
      <c r="CK12" s="109"/>
      <c r="CL12" s="109"/>
      <c r="CM12" s="109"/>
      <c r="CN12" s="109"/>
      <c r="CO12" s="109"/>
      <c r="CP12" s="109"/>
      <c r="CQ12" s="109"/>
      <c r="CR12" s="110"/>
    </row>
    <row r="13" spans="1:96" s="13" customFormat="1" ht="15" customHeight="1" x14ac:dyDescent="0.15">
      <c r="A13" s="46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 t="s">
        <v>69</v>
      </c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52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9"/>
    </row>
    <row r="14" spans="1:96" s="13" customFormat="1" ht="15" customHeight="1" x14ac:dyDescent="0.15">
      <c r="A14" s="46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52"/>
      <c r="BJ14" s="18" t="s">
        <v>56</v>
      </c>
      <c r="BK14" s="213" t="s">
        <v>84</v>
      </c>
      <c r="BL14" s="213"/>
      <c r="BM14" s="213"/>
      <c r="BN14" s="213"/>
      <c r="BO14" s="213"/>
      <c r="BP14" s="213"/>
      <c r="BQ14" s="213"/>
      <c r="BR14" s="213"/>
      <c r="BS14" s="213"/>
      <c r="BT14" s="213"/>
      <c r="BU14" s="213"/>
      <c r="BV14" s="213"/>
      <c r="BW14" s="213"/>
      <c r="BX14" s="213"/>
      <c r="BY14" s="213"/>
      <c r="BZ14" s="213"/>
      <c r="CA14" s="213"/>
      <c r="CB14" s="213"/>
      <c r="CC14" s="213"/>
      <c r="CD14" s="213"/>
      <c r="CE14" s="213"/>
      <c r="CF14" s="213"/>
      <c r="CG14" s="213"/>
      <c r="CH14" s="213"/>
      <c r="CI14" s="213"/>
      <c r="CJ14" s="213"/>
      <c r="CK14" s="213"/>
      <c r="CL14" s="213"/>
      <c r="CM14" s="18"/>
      <c r="CN14" s="18"/>
      <c r="CO14" s="18"/>
      <c r="CP14" s="18"/>
      <c r="CQ14" s="18"/>
      <c r="CR14" s="19"/>
    </row>
    <row r="15" spans="1:96" s="13" customFormat="1" ht="15" customHeight="1" x14ac:dyDescent="0.15">
      <c r="A15" s="46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52"/>
      <c r="BJ15" s="18"/>
      <c r="BK15" s="213" t="s">
        <v>85</v>
      </c>
      <c r="BL15" s="213"/>
      <c r="BM15" s="213"/>
      <c r="BN15" s="213"/>
      <c r="BO15" s="213"/>
      <c r="BP15" s="213"/>
      <c r="BQ15" s="213"/>
      <c r="BR15" s="213"/>
      <c r="BS15" s="213"/>
      <c r="BT15" s="213"/>
      <c r="BU15" s="213"/>
      <c r="BV15" s="213"/>
      <c r="BW15" s="213"/>
      <c r="BX15" s="213"/>
      <c r="BY15" s="213"/>
      <c r="BZ15" s="213"/>
      <c r="CA15" s="213"/>
      <c r="CB15" s="213"/>
      <c r="CC15" s="213"/>
      <c r="CD15" s="213"/>
      <c r="CE15" s="213"/>
      <c r="CF15" s="213"/>
      <c r="CG15" s="213"/>
      <c r="CH15" s="213"/>
      <c r="CI15" s="213"/>
      <c r="CJ15" s="213"/>
      <c r="CK15" s="213"/>
      <c r="CL15" s="213"/>
      <c r="CM15" s="18"/>
      <c r="CN15" s="18"/>
      <c r="CO15" s="18"/>
      <c r="CP15" s="18"/>
      <c r="CQ15" s="18"/>
      <c r="CR15" s="19"/>
    </row>
    <row r="16" spans="1:96" s="13" customFormat="1" ht="15" customHeight="1" x14ac:dyDescent="0.15">
      <c r="A16" s="46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52"/>
      <c r="BJ16" s="18"/>
      <c r="BK16" s="213"/>
      <c r="BL16" s="213"/>
      <c r="BM16" s="213"/>
      <c r="BN16" s="213"/>
      <c r="BO16" s="213"/>
      <c r="BP16" s="213"/>
      <c r="BQ16" s="213"/>
      <c r="BR16" s="213"/>
      <c r="BS16" s="213"/>
      <c r="BT16" s="213"/>
      <c r="BU16" s="213"/>
      <c r="BV16" s="213"/>
      <c r="BW16" s="213"/>
      <c r="BX16" s="213"/>
      <c r="BY16" s="213"/>
      <c r="BZ16" s="213"/>
      <c r="CA16" s="213"/>
      <c r="CB16" s="213"/>
      <c r="CC16" s="213"/>
      <c r="CD16" s="213"/>
      <c r="CE16" s="213"/>
      <c r="CF16" s="213"/>
      <c r="CG16" s="213"/>
      <c r="CH16" s="213"/>
      <c r="CI16" s="213"/>
      <c r="CJ16" s="213"/>
      <c r="CK16" s="213"/>
      <c r="CL16" s="213"/>
      <c r="CM16" s="18"/>
      <c r="CN16" s="18"/>
      <c r="CO16" s="18"/>
      <c r="CP16" s="18"/>
      <c r="CQ16" s="18"/>
      <c r="CR16" s="19"/>
    </row>
    <row r="17" spans="1:123" s="13" customFormat="1" ht="15" customHeight="1" x14ac:dyDescent="0.15">
      <c r="A17" s="46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52"/>
      <c r="BJ17" s="18"/>
      <c r="BK17" s="218"/>
      <c r="BL17" s="218"/>
      <c r="BM17" s="218"/>
      <c r="BN17" s="218"/>
      <c r="BO17" s="218"/>
      <c r="BP17" s="218"/>
      <c r="BQ17" s="218"/>
      <c r="BR17" s="218"/>
      <c r="BS17" s="218"/>
      <c r="BT17" s="218"/>
      <c r="BU17" s="218"/>
      <c r="BV17" s="218"/>
      <c r="BW17" s="218"/>
      <c r="BX17" s="218"/>
      <c r="BY17" s="218"/>
      <c r="BZ17" s="218"/>
      <c r="CA17" s="218"/>
      <c r="CB17" s="218"/>
      <c r="CC17" s="218"/>
      <c r="CD17" s="218"/>
      <c r="CE17" s="218"/>
      <c r="CF17" s="218"/>
      <c r="CG17" s="218"/>
      <c r="CH17" s="218"/>
      <c r="CI17" s="218"/>
      <c r="CJ17" s="218"/>
      <c r="CK17" s="218"/>
      <c r="CL17" s="218"/>
      <c r="CQ17" s="18"/>
      <c r="CR17" s="19"/>
    </row>
    <row r="18" spans="1:123" s="13" customFormat="1" ht="15" customHeight="1" x14ac:dyDescent="0.15">
      <c r="A18" s="46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52"/>
      <c r="BK18" s="218"/>
      <c r="BL18" s="218"/>
      <c r="BM18" s="218"/>
      <c r="BN18" s="218"/>
      <c r="BO18" s="218"/>
      <c r="BP18" s="218"/>
      <c r="BQ18" s="218"/>
      <c r="BR18" s="218"/>
      <c r="BS18" s="218"/>
      <c r="BT18" s="218"/>
      <c r="BU18" s="218"/>
      <c r="BV18" s="218"/>
      <c r="BW18" s="218"/>
      <c r="BX18" s="218"/>
      <c r="BY18" s="218"/>
      <c r="BZ18" s="218"/>
      <c r="CA18" s="218"/>
      <c r="CB18" s="218"/>
      <c r="CC18" s="218"/>
      <c r="CD18" s="218"/>
      <c r="CE18" s="218"/>
      <c r="CF18" s="218"/>
      <c r="CG18" s="218"/>
      <c r="CH18" s="218"/>
      <c r="CI18" s="218"/>
      <c r="CJ18" s="218"/>
      <c r="CK18" s="218"/>
      <c r="CL18" s="218"/>
      <c r="CQ18" s="18"/>
      <c r="CR18" s="19"/>
    </row>
    <row r="19" spans="1:123" s="13" customFormat="1" ht="15" customHeight="1" x14ac:dyDescent="0.15">
      <c r="A19" s="46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52"/>
      <c r="BJ19" s="18"/>
      <c r="BK19" s="213"/>
      <c r="BL19" s="213"/>
      <c r="BM19" s="213"/>
      <c r="BN19" s="213"/>
      <c r="BO19" s="213"/>
      <c r="BP19" s="213"/>
      <c r="BQ19" s="213"/>
      <c r="BR19" s="213"/>
      <c r="BS19" s="213"/>
      <c r="BT19" s="213"/>
      <c r="BU19" s="213"/>
      <c r="BV19" s="213"/>
      <c r="BW19" s="213"/>
      <c r="BX19" s="213"/>
      <c r="BY19" s="213"/>
      <c r="BZ19" s="213"/>
      <c r="CA19" s="213"/>
      <c r="CB19" s="213"/>
      <c r="CC19" s="213"/>
      <c r="CD19" s="213"/>
      <c r="CE19" s="213"/>
      <c r="CF19" s="213"/>
      <c r="CG19" s="213"/>
      <c r="CH19" s="213"/>
      <c r="CI19" s="213"/>
      <c r="CJ19" s="213"/>
      <c r="CK19" s="213"/>
      <c r="CL19" s="213"/>
      <c r="CM19" s="18"/>
      <c r="CN19" s="18"/>
      <c r="CO19" s="18"/>
      <c r="CP19" s="18"/>
      <c r="CQ19" s="18"/>
      <c r="CR19" s="19"/>
    </row>
    <row r="20" spans="1:123" s="13" customFormat="1" ht="15" customHeight="1" x14ac:dyDescent="0.15">
      <c r="A20" s="4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52"/>
      <c r="BJ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9"/>
    </row>
    <row r="21" spans="1:123" s="13" customFormat="1" ht="15" customHeight="1" x14ac:dyDescent="0.15">
      <c r="A21" s="46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52"/>
      <c r="BM21" s="18"/>
      <c r="BN21" s="18"/>
      <c r="BO21" s="18"/>
      <c r="CQ21" s="18"/>
      <c r="CR21" s="19"/>
    </row>
    <row r="22" spans="1:123" s="13" customFormat="1" ht="15" customHeight="1" x14ac:dyDescent="0.15">
      <c r="A22" s="46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52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9"/>
    </row>
    <row r="23" spans="1:123" s="13" customFormat="1" ht="15" customHeight="1" x14ac:dyDescent="0.15">
      <c r="A23" s="46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52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9"/>
    </row>
    <row r="24" spans="1:123" s="13" customFormat="1" ht="15" customHeight="1" x14ac:dyDescent="0.15">
      <c r="A24" s="46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52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9"/>
    </row>
    <row r="25" spans="1:123" s="13" customFormat="1" ht="15" customHeight="1" x14ac:dyDescent="0.15">
      <c r="A25" s="46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52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9"/>
    </row>
    <row r="26" spans="1:123" s="13" customFormat="1" ht="15" customHeight="1" x14ac:dyDescent="0.15">
      <c r="A26" s="46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52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9"/>
    </row>
    <row r="27" spans="1:123" s="13" customFormat="1" ht="15" customHeight="1" x14ac:dyDescent="0.15">
      <c r="A27" s="46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52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9"/>
      <c r="CV27" s="18"/>
    </row>
    <row r="28" spans="1:123" s="13" customFormat="1" ht="15" customHeight="1" x14ac:dyDescent="0.15">
      <c r="A28" s="46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52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9"/>
    </row>
    <row r="29" spans="1:123" s="13" customFormat="1" ht="15" customHeight="1" x14ac:dyDescent="0.15">
      <c r="A29" s="46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52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9"/>
    </row>
    <row r="30" spans="1:123" s="13" customFormat="1" ht="15" customHeight="1" x14ac:dyDescent="0.15">
      <c r="A30" s="46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52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9"/>
    </row>
    <row r="31" spans="1:123" s="13" customFormat="1" ht="15" customHeight="1" x14ac:dyDescent="0.15">
      <c r="A31" s="4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52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9"/>
    </row>
    <row r="32" spans="1:123" s="13" customFormat="1" ht="15" customHeight="1" x14ac:dyDescent="0.15">
      <c r="A32" s="46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52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9"/>
      <c r="DO32" s="18"/>
      <c r="DP32" s="18"/>
      <c r="DQ32" s="18"/>
      <c r="DR32" s="18"/>
      <c r="DS32" s="18"/>
    </row>
    <row r="33" spans="1:123" s="13" customFormat="1" ht="15" customHeight="1" x14ac:dyDescent="0.15">
      <c r="A33" s="46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52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9"/>
      <c r="DO33" s="18"/>
      <c r="DP33" s="18"/>
      <c r="DQ33" s="18"/>
      <c r="DR33" s="18"/>
      <c r="DS33" s="18"/>
    </row>
    <row r="34" spans="1:123" s="13" customFormat="1" ht="15" customHeight="1" x14ac:dyDescent="0.15">
      <c r="A34" s="46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52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9"/>
    </row>
    <row r="35" spans="1:123" s="13" customFormat="1" ht="15" customHeight="1" x14ac:dyDescent="0.15">
      <c r="A35" s="46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52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9"/>
    </row>
    <row r="36" spans="1:123" s="13" customFormat="1" ht="15" customHeight="1" x14ac:dyDescent="0.15">
      <c r="A36" s="46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52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9"/>
    </row>
    <row r="37" spans="1:123" s="13" customFormat="1" ht="15" customHeight="1" x14ac:dyDescent="0.15">
      <c r="A37" s="20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52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9"/>
    </row>
    <row r="38" spans="1:123" s="13" customFormat="1" ht="15" customHeight="1" x14ac:dyDescent="0.15">
      <c r="A38" s="108" t="s">
        <v>57</v>
      </c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09"/>
      <c r="AX38" s="109"/>
      <c r="AY38" s="109"/>
      <c r="AZ38" s="109"/>
      <c r="BA38" s="109"/>
      <c r="BB38" s="109"/>
      <c r="BC38" s="109"/>
      <c r="BD38" s="109"/>
      <c r="BE38" s="109"/>
      <c r="BF38" s="109"/>
      <c r="BG38" s="109"/>
      <c r="BH38" s="196"/>
      <c r="BI38" s="197" t="s">
        <v>60</v>
      </c>
      <c r="BJ38" s="109"/>
      <c r="BK38" s="109"/>
      <c r="BL38" s="109"/>
      <c r="BM38" s="109"/>
      <c r="BN38" s="109"/>
      <c r="BO38" s="109"/>
      <c r="BP38" s="109"/>
      <c r="BQ38" s="109"/>
      <c r="BR38" s="109"/>
      <c r="BS38" s="109"/>
      <c r="BT38" s="109"/>
      <c r="BU38" s="109"/>
      <c r="BV38" s="109"/>
      <c r="BW38" s="109"/>
      <c r="BX38" s="109"/>
      <c r="BY38" s="109"/>
      <c r="BZ38" s="109"/>
      <c r="CA38" s="109"/>
      <c r="CB38" s="109"/>
      <c r="CC38" s="109"/>
      <c r="CD38" s="109"/>
      <c r="CE38" s="109"/>
      <c r="CF38" s="109"/>
      <c r="CG38" s="109"/>
      <c r="CH38" s="109"/>
      <c r="CI38" s="109"/>
      <c r="CJ38" s="109"/>
      <c r="CK38" s="109"/>
      <c r="CL38" s="109"/>
      <c r="CM38" s="109"/>
      <c r="CN38" s="109"/>
      <c r="CO38" s="109"/>
      <c r="CP38" s="109"/>
      <c r="CQ38" s="109"/>
      <c r="CR38" s="110"/>
    </row>
    <row r="39" spans="1:123" s="13" customFormat="1" ht="15" customHeight="1" x14ac:dyDescent="0.15">
      <c r="A39" s="108" t="s">
        <v>55</v>
      </c>
      <c r="B39" s="109"/>
      <c r="C39" s="109"/>
      <c r="D39" s="109"/>
      <c r="E39" s="109"/>
      <c r="F39" s="109"/>
      <c r="G39" s="109"/>
      <c r="H39" s="109"/>
      <c r="I39" s="109"/>
      <c r="J39" s="196"/>
      <c r="K39" s="197" t="s">
        <v>58</v>
      </c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109"/>
      <c r="AU39" s="109"/>
      <c r="AV39" s="196"/>
      <c r="AW39" s="197" t="s">
        <v>59</v>
      </c>
      <c r="AX39" s="109"/>
      <c r="AY39" s="109"/>
      <c r="AZ39" s="109"/>
      <c r="BA39" s="109"/>
      <c r="BB39" s="109"/>
      <c r="BC39" s="109"/>
      <c r="BD39" s="109"/>
      <c r="BE39" s="109"/>
      <c r="BF39" s="109"/>
      <c r="BG39" s="109"/>
      <c r="BH39" s="196"/>
      <c r="BI39" s="52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9"/>
    </row>
    <row r="40" spans="1:123" s="13" customFormat="1" ht="15" customHeight="1" x14ac:dyDescent="0.15">
      <c r="A40" s="192" t="s">
        <v>73</v>
      </c>
      <c r="B40" s="193"/>
      <c r="C40" s="193"/>
      <c r="D40" s="193"/>
      <c r="E40" s="193"/>
      <c r="F40" s="193"/>
      <c r="G40" s="193"/>
      <c r="H40" s="193"/>
      <c r="I40" s="193"/>
      <c r="J40" s="194"/>
      <c r="K40" s="219" t="s">
        <v>86</v>
      </c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0"/>
      <c r="AA40" s="220"/>
      <c r="AB40" s="220"/>
      <c r="AC40" s="220"/>
      <c r="AD40" s="220"/>
      <c r="AE40" s="220"/>
      <c r="AF40" s="220"/>
      <c r="AG40" s="220"/>
      <c r="AH40" s="220"/>
      <c r="AI40" s="220"/>
      <c r="AJ40" s="220"/>
      <c r="AK40" s="220"/>
      <c r="AL40" s="220"/>
      <c r="AM40" s="220"/>
      <c r="AN40" s="220"/>
      <c r="AO40" s="220"/>
      <c r="AP40" s="220"/>
      <c r="AQ40" s="220"/>
      <c r="AR40" s="220"/>
      <c r="AS40" s="220"/>
      <c r="AT40" s="220"/>
      <c r="AU40" s="220"/>
      <c r="AV40" s="221"/>
      <c r="AW40" s="195" t="s">
        <v>74</v>
      </c>
      <c r="AX40" s="193"/>
      <c r="AY40" s="193"/>
      <c r="AZ40" s="193"/>
      <c r="BA40" s="193"/>
      <c r="BB40" s="193"/>
      <c r="BC40" s="193"/>
      <c r="BD40" s="193"/>
      <c r="BE40" s="193"/>
      <c r="BF40" s="193"/>
      <c r="BG40" s="193"/>
      <c r="BH40" s="194"/>
      <c r="BI40" s="52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9"/>
    </row>
    <row r="41" spans="1:123" s="13" customFormat="1" ht="15" customHeight="1" x14ac:dyDescent="0.15">
      <c r="A41" s="208"/>
      <c r="B41" s="206"/>
      <c r="C41" s="206"/>
      <c r="D41" s="206"/>
      <c r="E41" s="206"/>
      <c r="F41" s="206"/>
      <c r="G41" s="206"/>
      <c r="H41" s="206"/>
      <c r="I41" s="206"/>
      <c r="J41" s="207"/>
      <c r="K41" s="205"/>
      <c r="L41" s="206"/>
      <c r="M41" s="206"/>
      <c r="N41" s="206"/>
      <c r="O41" s="206"/>
      <c r="P41" s="206"/>
      <c r="Q41" s="206"/>
      <c r="R41" s="206"/>
      <c r="S41" s="206"/>
      <c r="T41" s="206"/>
      <c r="U41" s="206"/>
      <c r="V41" s="206"/>
      <c r="W41" s="206"/>
      <c r="X41" s="206"/>
      <c r="Y41" s="206"/>
      <c r="Z41" s="206"/>
      <c r="AA41" s="206"/>
      <c r="AB41" s="206"/>
      <c r="AC41" s="206"/>
      <c r="AD41" s="206"/>
      <c r="AE41" s="206"/>
      <c r="AF41" s="206"/>
      <c r="AG41" s="206"/>
      <c r="AH41" s="206"/>
      <c r="AI41" s="206"/>
      <c r="AJ41" s="206"/>
      <c r="AK41" s="206"/>
      <c r="AL41" s="206"/>
      <c r="AM41" s="206"/>
      <c r="AN41" s="206"/>
      <c r="AO41" s="206"/>
      <c r="AP41" s="206"/>
      <c r="AQ41" s="206"/>
      <c r="AR41" s="206"/>
      <c r="AS41" s="206"/>
      <c r="AT41" s="206"/>
      <c r="AU41" s="206"/>
      <c r="AV41" s="207"/>
      <c r="AW41" s="205"/>
      <c r="AX41" s="206"/>
      <c r="AY41" s="206"/>
      <c r="AZ41" s="206"/>
      <c r="BA41" s="206"/>
      <c r="BB41" s="206"/>
      <c r="BC41" s="206"/>
      <c r="BD41" s="206"/>
      <c r="BE41" s="206"/>
      <c r="BF41" s="206"/>
      <c r="BG41" s="206"/>
      <c r="BH41" s="207"/>
      <c r="BI41" s="52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9"/>
    </row>
    <row r="42" spans="1:123" s="13" customFormat="1" ht="15" customHeight="1" x14ac:dyDescent="0.15">
      <c r="A42" s="208"/>
      <c r="B42" s="206"/>
      <c r="C42" s="206"/>
      <c r="D42" s="206"/>
      <c r="E42" s="206"/>
      <c r="F42" s="206"/>
      <c r="G42" s="206"/>
      <c r="H42" s="206"/>
      <c r="I42" s="206"/>
      <c r="J42" s="207"/>
      <c r="K42" s="205"/>
      <c r="L42" s="206"/>
      <c r="M42" s="206"/>
      <c r="N42" s="206"/>
      <c r="O42" s="206"/>
      <c r="P42" s="206"/>
      <c r="Q42" s="206"/>
      <c r="R42" s="206"/>
      <c r="S42" s="206"/>
      <c r="T42" s="206"/>
      <c r="U42" s="206"/>
      <c r="V42" s="206"/>
      <c r="W42" s="206"/>
      <c r="X42" s="206"/>
      <c r="Y42" s="206"/>
      <c r="Z42" s="206"/>
      <c r="AA42" s="206"/>
      <c r="AB42" s="206"/>
      <c r="AC42" s="206"/>
      <c r="AD42" s="206"/>
      <c r="AE42" s="206"/>
      <c r="AF42" s="206"/>
      <c r="AG42" s="206"/>
      <c r="AH42" s="206"/>
      <c r="AI42" s="206"/>
      <c r="AJ42" s="206"/>
      <c r="AK42" s="206"/>
      <c r="AL42" s="206"/>
      <c r="AM42" s="206"/>
      <c r="AN42" s="206"/>
      <c r="AO42" s="206"/>
      <c r="AP42" s="206"/>
      <c r="AQ42" s="206"/>
      <c r="AR42" s="206"/>
      <c r="AS42" s="206"/>
      <c r="AT42" s="206"/>
      <c r="AU42" s="206"/>
      <c r="AV42" s="207"/>
      <c r="AW42" s="205"/>
      <c r="AX42" s="206"/>
      <c r="AY42" s="206"/>
      <c r="AZ42" s="206"/>
      <c r="BA42" s="206"/>
      <c r="BB42" s="206"/>
      <c r="BC42" s="206"/>
      <c r="BD42" s="206"/>
      <c r="BE42" s="206"/>
      <c r="BF42" s="206"/>
      <c r="BG42" s="206"/>
      <c r="BH42" s="207"/>
      <c r="BI42" s="52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9"/>
    </row>
    <row r="43" spans="1:123" s="13" customFormat="1" ht="15" customHeight="1" x14ac:dyDescent="0.15">
      <c r="A43" s="208"/>
      <c r="B43" s="206"/>
      <c r="C43" s="206"/>
      <c r="D43" s="206"/>
      <c r="E43" s="206"/>
      <c r="F43" s="206"/>
      <c r="G43" s="206"/>
      <c r="H43" s="206"/>
      <c r="I43" s="206"/>
      <c r="J43" s="207"/>
      <c r="K43" s="205"/>
      <c r="L43" s="206"/>
      <c r="M43" s="206"/>
      <c r="N43" s="206"/>
      <c r="O43" s="206"/>
      <c r="P43" s="206"/>
      <c r="Q43" s="206"/>
      <c r="R43" s="206"/>
      <c r="S43" s="206"/>
      <c r="T43" s="206"/>
      <c r="U43" s="206"/>
      <c r="V43" s="206"/>
      <c r="W43" s="206"/>
      <c r="X43" s="206"/>
      <c r="Y43" s="206"/>
      <c r="Z43" s="206"/>
      <c r="AA43" s="206"/>
      <c r="AB43" s="206"/>
      <c r="AC43" s="206"/>
      <c r="AD43" s="206"/>
      <c r="AE43" s="206"/>
      <c r="AF43" s="206"/>
      <c r="AG43" s="206"/>
      <c r="AH43" s="206"/>
      <c r="AI43" s="206"/>
      <c r="AJ43" s="206"/>
      <c r="AK43" s="206"/>
      <c r="AL43" s="206"/>
      <c r="AM43" s="206"/>
      <c r="AN43" s="206"/>
      <c r="AO43" s="206"/>
      <c r="AP43" s="206"/>
      <c r="AQ43" s="206"/>
      <c r="AR43" s="206"/>
      <c r="AS43" s="206"/>
      <c r="AT43" s="206"/>
      <c r="AU43" s="206"/>
      <c r="AV43" s="207"/>
      <c r="AW43" s="205"/>
      <c r="AX43" s="206"/>
      <c r="AY43" s="206"/>
      <c r="AZ43" s="206"/>
      <c r="BA43" s="206"/>
      <c r="BB43" s="206"/>
      <c r="BC43" s="206"/>
      <c r="BD43" s="206"/>
      <c r="BE43" s="206"/>
      <c r="BF43" s="206"/>
      <c r="BG43" s="206"/>
      <c r="BH43" s="207"/>
      <c r="BI43" s="197" t="s">
        <v>61</v>
      </c>
      <c r="BJ43" s="109"/>
      <c r="BK43" s="109"/>
      <c r="BL43" s="109"/>
      <c r="BM43" s="109"/>
      <c r="BN43" s="109"/>
      <c r="BO43" s="109"/>
      <c r="BP43" s="109"/>
      <c r="BQ43" s="109"/>
      <c r="BR43" s="109"/>
      <c r="BS43" s="109"/>
      <c r="BT43" s="109"/>
      <c r="BU43" s="109"/>
      <c r="BV43" s="109"/>
      <c r="BW43" s="109"/>
      <c r="BX43" s="109"/>
      <c r="BY43" s="109"/>
      <c r="BZ43" s="109"/>
      <c r="CA43" s="109"/>
      <c r="CB43" s="109"/>
      <c r="CC43" s="109"/>
      <c r="CD43" s="109"/>
      <c r="CE43" s="109"/>
      <c r="CF43" s="109"/>
      <c r="CG43" s="109"/>
      <c r="CH43" s="109"/>
      <c r="CI43" s="109"/>
      <c r="CJ43" s="109"/>
      <c r="CK43" s="109"/>
      <c r="CL43" s="109"/>
      <c r="CM43" s="109"/>
      <c r="CN43" s="109"/>
      <c r="CO43" s="109"/>
      <c r="CP43" s="109"/>
      <c r="CQ43" s="109"/>
      <c r="CR43" s="110"/>
    </row>
    <row r="44" spans="1:123" s="13" customFormat="1" ht="15" customHeight="1" x14ac:dyDescent="0.15">
      <c r="A44" s="208"/>
      <c r="B44" s="206"/>
      <c r="C44" s="206"/>
      <c r="D44" s="206"/>
      <c r="E44" s="206"/>
      <c r="F44" s="206"/>
      <c r="G44" s="206"/>
      <c r="H44" s="206"/>
      <c r="I44" s="206"/>
      <c r="J44" s="207"/>
      <c r="K44" s="205"/>
      <c r="L44" s="206"/>
      <c r="M44" s="206"/>
      <c r="N44" s="206"/>
      <c r="O44" s="206"/>
      <c r="P44" s="206"/>
      <c r="Q44" s="206"/>
      <c r="R44" s="206"/>
      <c r="S44" s="206"/>
      <c r="T44" s="206"/>
      <c r="U44" s="206"/>
      <c r="V44" s="206"/>
      <c r="W44" s="206"/>
      <c r="X44" s="206"/>
      <c r="Y44" s="206"/>
      <c r="Z44" s="206"/>
      <c r="AA44" s="206"/>
      <c r="AB44" s="206"/>
      <c r="AC44" s="206"/>
      <c r="AD44" s="206"/>
      <c r="AE44" s="206"/>
      <c r="AF44" s="206"/>
      <c r="AG44" s="206"/>
      <c r="AH44" s="206"/>
      <c r="AI44" s="206"/>
      <c r="AJ44" s="206"/>
      <c r="AK44" s="206"/>
      <c r="AL44" s="206"/>
      <c r="AM44" s="206"/>
      <c r="AN44" s="206"/>
      <c r="AO44" s="206"/>
      <c r="AP44" s="206"/>
      <c r="AQ44" s="206"/>
      <c r="AR44" s="206"/>
      <c r="AS44" s="206"/>
      <c r="AT44" s="206"/>
      <c r="AU44" s="206"/>
      <c r="AV44" s="207"/>
      <c r="AW44" s="205"/>
      <c r="AX44" s="206"/>
      <c r="AY44" s="206"/>
      <c r="AZ44" s="206"/>
      <c r="BA44" s="206"/>
      <c r="BB44" s="206"/>
      <c r="BC44" s="206"/>
      <c r="BD44" s="206"/>
      <c r="BE44" s="206"/>
      <c r="BF44" s="206"/>
      <c r="BG44" s="206"/>
      <c r="BH44" s="207"/>
      <c r="BI44" s="52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9"/>
    </row>
    <row r="45" spans="1:123" s="13" customFormat="1" ht="15" customHeight="1" x14ac:dyDescent="0.15">
      <c r="A45" s="208"/>
      <c r="B45" s="206"/>
      <c r="C45" s="206"/>
      <c r="D45" s="206"/>
      <c r="E45" s="206"/>
      <c r="F45" s="206"/>
      <c r="G45" s="206"/>
      <c r="H45" s="206"/>
      <c r="I45" s="206"/>
      <c r="J45" s="207"/>
      <c r="K45" s="205"/>
      <c r="L45" s="206"/>
      <c r="M45" s="206"/>
      <c r="N45" s="206"/>
      <c r="O45" s="206"/>
      <c r="P45" s="206"/>
      <c r="Q45" s="206"/>
      <c r="R45" s="206"/>
      <c r="S45" s="206"/>
      <c r="T45" s="206"/>
      <c r="U45" s="206"/>
      <c r="V45" s="206"/>
      <c r="W45" s="206"/>
      <c r="X45" s="206"/>
      <c r="Y45" s="206"/>
      <c r="Z45" s="206"/>
      <c r="AA45" s="206"/>
      <c r="AB45" s="206"/>
      <c r="AC45" s="206"/>
      <c r="AD45" s="206"/>
      <c r="AE45" s="206"/>
      <c r="AF45" s="206"/>
      <c r="AG45" s="206"/>
      <c r="AH45" s="206"/>
      <c r="AI45" s="206"/>
      <c r="AJ45" s="206"/>
      <c r="AK45" s="206"/>
      <c r="AL45" s="206"/>
      <c r="AM45" s="206"/>
      <c r="AN45" s="206"/>
      <c r="AO45" s="206"/>
      <c r="AP45" s="206"/>
      <c r="AQ45" s="206"/>
      <c r="AR45" s="206"/>
      <c r="AS45" s="206"/>
      <c r="AT45" s="206"/>
      <c r="AU45" s="206"/>
      <c r="AV45" s="207"/>
      <c r="AW45" s="205"/>
      <c r="AX45" s="206"/>
      <c r="AY45" s="206"/>
      <c r="AZ45" s="206"/>
      <c r="BA45" s="206"/>
      <c r="BB45" s="206"/>
      <c r="BC45" s="206"/>
      <c r="BD45" s="206"/>
      <c r="BE45" s="206"/>
      <c r="BF45" s="206"/>
      <c r="BG45" s="206"/>
      <c r="BH45" s="207"/>
      <c r="BI45" s="52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9"/>
    </row>
    <row r="46" spans="1:123" s="13" customFormat="1" ht="15" customHeight="1" x14ac:dyDescent="0.15">
      <c r="A46" s="208"/>
      <c r="B46" s="206"/>
      <c r="C46" s="206"/>
      <c r="D46" s="206"/>
      <c r="E46" s="206"/>
      <c r="F46" s="206"/>
      <c r="G46" s="206"/>
      <c r="H46" s="206"/>
      <c r="I46" s="206"/>
      <c r="J46" s="207"/>
      <c r="K46" s="205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6"/>
      <c r="X46" s="206"/>
      <c r="Y46" s="206"/>
      <c r="Z46" s="206"/>
      <c r="AA46" s="206"/>
      <c r="AB46" s="206"/>
      <c r="AC46" s="206"/>
      <c r="AD46" s="206"/>
      <c r="AE46" s="206"/>
      <c r="AF46" s="206"/>
      <c r="AG46" s="206"/>
      <c r="AH46" s="206"/>
      <c r="AI46" s="206"/>
      <c r="AJ46" s="206"/>
      <c r="AK46" s="206"/>
      <c r="AL46" s="206"/>
      <c r="AM46" s="206"/>
      <c r="AN46" s="206"/>
      <c r="AO46" s="206"/>
      <c r="AP46" s="206"/>
      <c r="AQ46" s="206"/>
      <c r="AR46" s="206"/>
      <c r="AS46" s="206"/>
      <c r="AT46" s="206"/>
      <c r="AU46" s="206"/>
      <c r="AV46" s="207"/>
      <c r="AW46" s="205"/>
      <c r="AX46" s="206"/>
      <c r="AY46" s="206"/>
      <c r="AZ46" s="206"/>
      <c r="BA46" s="206"/>
      <c r="BB46" s="206"/>
      <c r="BC46" s="206"/>
      <c r="BD46" s="206"/>
      <c r="BE46" s="206"/>
      <c r="BF46" s="206"/>
      <c r="BG46" s="206"/>
      <c r="BH46" s="207"/>
      <c r="BI46" s="52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9"/>
    </row>
    <row r="47" spans="1:123" s="13" customFormat="1" ht="15" customHeight="1" thickBot="1" x14ac:dyDescent="0.2">
      <c r="A47" s="209"/>
      <c r="B47" s="210"/>
      <c r="C47" s="210"/>
      <c r="D47" s="210"/>
      <c r="E47" s="210"/>
      <c r="F47" s="210"/>
      <c r="G47" s="210"/>
      <c r="H47" s="210"/>
      <c r="I47" s="210"/>
      <c r="J47" s="211"/>
      <c r="K47" s="212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  <c r="AA47" s="210"/>
      <c r="AB47" s="210"/>
      <c r="AC47" s="210"/>
      <c r="AD47" s="210"/>
      <c r="AE47" s="210"/>
      <c r="AF47" s="210"/>
      <c r="AG47" s="210"/>
      <c r="AH47" s="210"/>
      <c r="AI47" s="210"/>
      <c r="AJ47" s="210"/>
      <c r="AK47" s="210"/>
      <c r="AL47" s="210"/>
      <c r="AM47" s="210"/>
      <c r="AN47" s="210"/>
      <c r="AO47" s="210"/>
      <c r="AP47" s="210"/>
      <c r="AQ47" s="210"/>
      <c r="AR47" s="210"/>
      <c r="AS47" s="210"/>
      <c r="AT47" s="210"/>
      <c r="AU47" s="210"/>
      <c r="AV47" s="211"/>
      <c r="AW47" s="212"/>
      <c r="AX47" s="210"/>
      <c r="AY47" s="210"/>
      <c r="AZ47" s="210"/>
      <c r="BA47" s="210"/>
      <c r="BB47" s="210"/>
      <c r="BC47" s="210"/>
      <c r="BD47" s="210"/>
      <c r="BE47" s="210"/>
      <c r="BF47" s="210"/>
      <c r="BG47" s="210"/>
      <c r="BH47" s="211"/>
      <c r="BI47" s="53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5"/>
    </row>
    <row r="48" spans="1:123" s="12" customFormat="1" ht="15" customHeight="1" x14ac:dyDescent="0.15">
      <c r="A48" s="108" t="s">
        <v>62</v>
      </c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109"/>
      <c r="AV48" s="109"/>
      <c r="AW48" s="109"/>
      <c r="AX48" s="109"/>
      <c r="AY48" s="109"/>
      <c r="AZ48" s="109"/>
      <c r="BA48" s="109"/>
      <c r="BB48" s="109"/>
      <c r="BC48" s="109"/>
      <c r="BD48" s="109"/>
      <c r="BE48" s="109"/>
      <c r="BF48" s="109"/>
      <c r="BG48" s="109"/>
      <c r="BH48" s="109"/>
      <c r="BI48" s="109"/>
      <c r="BJ48" s="109"/>
      <c r="BK48" s="109"/>
      <c r="BL48" s="109"/>
      <c r="BM48" s="109"/>
      <c r="BN48" s="109"/>
      <c r="BO48" s="109"/>
      <c r="BP48" s="109"/>
      <c r="BQ48" s="109"/>
      <c r="BR48" s="109"/>
      <c r="BS48" s="109"/>
      <c r="BT48" s="109"/>
      <c r="BU48" s="109"/>
      <c r="BV48" s="109"/>
      <c r="BW48" s="109"/>
      <c r="BX48" s="109"/>
      <c r="BY48" s="109"/>
      <c r="BZ48" s="109"/>
      <c r="CA48" s="109"/>
      <c r="CB48" s="109"/>
      <c r="CC48" s="109"/>
      <c r="CD48" s="109"/>
      <c r="CE48" s="109"/>
      <c r="CF48" s="109"/>
      <c r="CG48" s="109"/>
      <c r="CH48" s="109"/>
      <c r="CI48" s="109"/>
      <c r="CJ48" s="109"/>
      <c r="CK48" s="109"/>
      <c r="CL48" s="109"/>
      <c r="CM48" s="109"/>
      <c r="CN48" s="109"/>
      <c r="CO48" s="109"/>
      <c r="CP48" s="109"/>
      <c r="CQ48" s="109"/>
      <c r="CR48" s="110"/>
    </row>
    <row r="49" spans="1:96" s="59" customFormat="1" ht="15" customHeight="1" x14ac:dyDescent="0.15">
      <c r="A49" s="56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57"/>
      <c r="BM49" s="57"/>
      <c r="BN49" s="57"/>
      <c r="BO49" s="57"/>
      <c r="BP49" s="57"/>
      <c r="BQ49" s="57"/>
      <c r="BR49" s="57"/>
      <c r="BS49" s="57"/>
      <c r="BT49" s="57"/>
      <c r="BU49" s="57"/>
      <c r="BV49" s="57"/>
      <c r="BW49" s="57"/>
      <c r="BX49" s="57"/>
      <c r="BY49" s="57"/>
      <c r="BZ49" s="57"/>
      <c r="CA49" s="57"/>
      <c r="CB49" s="57"/>
      <c r="CC49" s="57"/>
      <c r="CD49" s="57"/>
      <c r="CE49" s="57"/>
      <c r="CF49" s="57"/>
      <c r="CG49" s="57"/>
      <c r="CH49" s="57"/>
      <c r="CI49" s="57"/>
      <c r="CJ49" s="57"/>
      <c r="CK49" s="57"/>
      <c r="CL49" s="57"/>
      <c r="CM49" s="57"/>
      <c r="CN49" s="57"/>
      <c r="CO49" s="57"/>
      <c r="CP49" s="57"/>
      <c r="CQ49" s="57"/>
      <c r="CR49" s="58"/>
    </row>
    <row r="50" spans="1:96" s="59" customFormat="1" ht="15" customHeight="1" x14ac:dyDescent="0.15">
      <c r="A50" s="56"/>
      <c r="B50" s="222" t="s">
        <v>88</v>
      </c>
      <c r="C50" s="222"/>
      <c r="D50" s="222"/>
      <c r="E50" s="222"/>
      <c r="F50" s="222"/>
      <c r="G50" s="222"/>
      <c r="H50" s="222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Y50" s="222"/>
      <c r="Z50" s="222"/>
      <c r="AA50" s="222"/>
      <c r="AB50" s="222"/>
      <c r="AC50" s="222"/>
      <c r="AD50" s="222"/>
      <c r="AE50" s="222"/>
      <c r="AF50" s="222"/>
      <c r="AG50" s="222"/>
      <c r="AH50" s="222"/>
      <c r="AI50" s="222"/>
      <c r="AJ50" s="222"/>
      <c r="AK50" s="222"/>
      <c r="AL50" s="222"/>
      <c r="AM50" s="222"/>
      <c r="AN50" s="222"/>
      <c r="AO50" s="222"/>
      <c r="AP50" s="222"/>
      <c r="AQ50" s="222"/>
      <c r="AR50" s="222"/>
      <c r="AS50" s="222"/>
      <c r="AT50" s="222"/>
      <c r="AU50" s="222"/>
      <c r="AV50" s="222"/>
      <c r="AW50" s="222"/>
      <c r="AX50" s="214" t="s">
        <v>92</v>
      </c>
      <c r="AY50" s="222"/>
      <c r="AZ50" s="222"/>
      <c r="BA50" s="222"/>
      <c r="BB50" s="222"/>
      <c r="BC50" s="222"/>
      <c r="BD50" s="222"/>
      <c r="BE50" s="222"/>
      <c r="BF50" s="222"/>
      <c r="BG50" s="222"/>
      <c r="BH50" s="222"/>
      <c r="BI50" s="222"/>
      <c r="BJ50" s="222"/>
      <c r="BK50" s="222"/>
      <c r="BL50" s="222"/>
      <c r="BM50" s="222"/>
      <c r="BN50" s="222"/>
      <c r="BO50" s="222"/>
      <c r="BP50" s="222"/>
      <c r="BQ50" s="222"/>
      <c r="BR50" s="222"/>
      <c r="BS50" s="222"/>
      <c r="BT50" s="222"/>
      <c r="BU50" s="222"/>
      <c r="BV50" s="222"/>
      <c r="BW50" s="222"/>
      <c r="BX50" s="222"/>
      <c r="BY50" s="222"/>
      <c r="BZ50" s="222"/>
      <c r="CA50" s="222"/>
      <c r="CB50" s="222"/>
      <c r="CC50" s="57"/>
      <c r="CD50" s="57"/>
      <c r="CE50" s="57"/>
      <c r="CF50" s="57"/>
      <c r="CG50" s="57"/>
      <c r="CH50" s="57"/>
      <c r="CI50" s="57"/>
      <c r="CJ50" s="57"/>
      <c r="CK50" s="57"/>
      <c r="CR50" s="58"/>
    </row>
    <row r="51" spans="1:96" s="59" customFormat="1" ht="15" customHeight="1" x14ac:dyDescent="0.15">
      <c r="A51" s="56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57"/>
      <c r="BL51" s="57"/>
      <c r="BM51" s="57"/>
      <c r="BN51" s="57"/>
      <c r="BO51" s="57"/>
      <c r="BP51" s="57"/>
      <c r="BQ51" s="57"/>
      <c r="BR51" s="57"/>
      <c r="BS51" s="57"/>
      <c r="BT51" s="57"/>
      <c r="BU51" s="57"/>
      <c r="BV51" s="57"/>
      <c r="BW51" s="57"/>
      <c r="BX51" s="57"/>
      <c r="BY51" s="57"/>
      <c r="BZ51" s="57"/>
      <c r="CA51" s="57"/>
      <c r="CB51" s="57"/>
      <c r="CC51" s="57"/>
      <c r="CD51" s="57"/>
      <c r="CE51" s="57"/>
      <c r="CF51" s="57"/>
      <c r="CG51" s="57"/>
      <c r="CH51" s="57"/>
      <c r="CI51" s="57"/>
      <c r="CJ51" s="57"/>
      <c r="CK51" s="57"/>
      <c r="CR51" s="58"/>
    </row>
    <row r="52" spans="1:96" s="59" customFormat="1" ht="15" customHeight="1" x14ac:dyDescent="0.15">
      <c r="A52" s="56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57"/>
      <c r="BL52" s="57"/>
      <c r="BM52" s="57"/>
      <c r="BN52" s="57"/>
      <c r="BO52" s="57"/>
      <c r="BP52" s="57"/>
      <c r="BQ52" s="57"/>
      <c r="BR52" s="57"/>
      <c r="BS52" s="57"/>
      <c r="BT52" s="57"/>
      <c r="BU52" s="57"/>
      <c r="BV52" s="57"/>
      <c r="BW52" s="57"/>
      <c r="BX52" s="57"/>
      <c r="BY52" s="57"/>
      <c r="BZ52" s="57"/>
      <c r="CA52" s="57"/>
      <c r="CB52" s="57"/>
      <c r="CC52" s="57"/>
      <c r="CD52" s="57"/>
      <c r="CE52" s="57"/>
      <c r="CF52" s="57"/>
      <c r="CG52" s="57"/>
      <c r="CH52" s="57"/>
      <c r="CI52" s="57"/>
      <c r="CJ52" s="57"/>
      <c r="CK52" s="57"/>
      <c r="CR52" s="58"/>
    </row>
    <row r="53" spans="1:96" s="59" customFormat="1" ht="15" customHeight="1" x14ac:dyDescent="0.15">
      <c r="A53" s="56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7"/>
      <c r="BK53" s="57"/>
      <c r="BL53" s="57"/>
      <c r="BM53" s="57"/>
      <c r="BN53" s="57"/>
      <c r="BO53" s="57"/>
      <c r="BP53" s="57"/>
      <c r="BQ53" s="57"/>
      <c r="BR53" s="57"/>
      <c r="BS53" s="57"/>
      <c r="BT53" s="57"/>
      <c r="BU53" s="57"/>
      <c r="BV53" s="57"/>
      <c r="BW53" s="57"/>
      <c r="BX53" s="57"/>
      <c r="BY53" s="57"/>
      <c r="BZ53" s="57"/>
      <c r="CA53" s="57"/>
      <c r="CB53" s="57"/>
      <c r="CC53" s="57"/>
      <c r="CD53" s="57"/>
      <c r="CE53" s="57"/>
      <c r="CF53" s="57"/>
      <c r="CG53" s="57"/>
      <c r="CH53" s="57"/>
      <c r="CI53" s="57"/>
      <c r="CJ53" s="57"/>
      <c r="CK53" s="57"/>
      <c r="CR53" s="58"/>
    </row>
    <row r="54" spans="1:96" s="59" customFormat="1" ht="15" customHeight="1" x14ac:dyDescent="0.15">
      <c r="A54" s="56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/>
      <c r="BR54" s="57"/>
      <c r="BS54" s="57"/>
      <c r="BT54" s="57"/>
      <c r="BU54" s="57"/>
      <c r="BV54" s="57"/>
      <c r="BW54" s="57"/>
      <c r="BX54" s="57"/>
      <c r="BY54" s="57"/>
      <c r="BZ54" s="57"/>
      <c r="CA54" s="57"/>
      <c r="CB54" s="57"/>
      <c r="CC54" s="57"/>
      <c r="CD54" s="57"/>
      <c r="CE54" s="57"/>
      <c r="CF54" s="57"/>
      <c r="CG54" s="57"/>
      <c r="CH54" s="57"/>
      <c r="CI54" s="57"/>
      <c r="CJ54" s="57"/>
      <c r="CK54" s="57"/>
      <c r="CR54" s="58"/>
    </row>
    <row r="55" spans="1:96" s="59" customFormat="1" ht="15" customHeight="1" x14ac:dyDescent="0.15">
      <c r="A55" s="56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7"/>
      <c r="BL55" s="57"/>
      <c r="BM55" s="57"/>
      <c r="BN55" s="57"/>
      <c r="BO55" s="57"/>
      <c r="BP55" s="57"/>
      <c r="BQ55" s="57"/>
      <c r="BR55" s="57"/>
      <c r="BS55" s="57"/>
      <c r="BT55" s="57"/>
      <c r="BU55" s="57"/>
      <c r="BV55" s="57"/>
      <c r="BW55" s="57"/>
      <c r="BX55" s="57"/>
      <c r="BY55" s="57"/>
      <c r="BZ55" s="57"/>
      <c r="CA55" s="57"/>
      <c r="CB55" s="57"/>
      <c r="CC55" s="57"/>
      <c r="CD55" s="57"/>
      <c r="CE55" s="57"/>
      <c r="CF55" s="57"/>
      <c r="CG55" s="57"/>
      <c r="CH55" s="57"/>
      <c r="CI55" s="57"/>
      <c r="CJ55" s="57"/>
      <c r="CK55" s="57"/>
      <c r="CR55" s="58"/>
    </row>
    <row r="56" spans="1:96" s="59" customFormat="1" ht="15" customHeight="1" x14ac:dyDescent="0.15">
      <c r="A56" s="56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CR56" s="58"/>
    </row>
    <row r="57" spans="1:96" s="59" customFormat="1" ht="15" customHeight="1" x14ac:dyDescent="0.15">
      <c r="A57" s="56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X57" s="23"/>
      <c r="CR57" s="58"/>
    </row>
    <row r="58" spans="1:96" s="59" customFormat="1" ht="15" customHeight="1" x14ac:dyDescent="0.15">
      <c r="A58" s="56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CR58" s="58"/>
    </row>
    <row r="59" spans="1:96" s="59" customFormat="1" ht="15" customHeight="1" x14ac:dyDescent="0.15">
      <c r="A59" s="56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CR59" s="58"/>
    </row>
    <row r="60" spans="1:96" s="59" customFormat="1" ht="15" customHeight="1" x14ac:dyDescent="0.15">
      <c r="A60" s="56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CR60" s="58"/>
    </row>
    <row r="61" spans="1:96" s="59" customFormat="1" ht="15" customHeight="1" x14ac:dyDescent="0.15">
      <c r="A61" s="56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CR61" s="58"/>
    </row>
    <row r="62" spans="1:96" s="59" customFormat="1" ht="15" customHeight="1" x14ac:dyDescent="0.15">
      <c r="A62" s="56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CR62" s="58"/>
    </row>
    <row r="63" spans="1:96" s="59" customFormat="1" ht="15" customHeight="1" x14ac:dyDescent="0.15">
      <c r="A63" s="56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CR63" s="58"/>
    </row>
    <row r="64" spans="1:96" s="59" customFormat="1" ht="15" customHeight="1" x14ac:dyDescent="0.15">
      <c r="A64" s="56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CR64" s="58"/>
    </row>
    <row r="65" spans="1:147" s="59" customFormat="1" ht="15" customHeight="1" x14ac:dyDescent="0.15">
      <c r="A65" s="56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CR65" s="58"/>
    </row>
    <row r="66" spans="1:147" s="59" customFormat="1" ht="15" customHeight="1" x14ac:dyDescent="0.15">
      <c r="A66" s="56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CR66" s="58"/>
      <c r="CW66" s="57"/>
      <c r="CX66" s="57"/>
      <c r="EG66" s="57"/>
      <c r="EH66" s="57"/>
      <c r="EI66" s="57"/>
      <c r="EJ66" s="57"/>
      <c r="EK66" s="57"/>
      <c r="EL66" s="57"/>
      <c r="EM66" s="23"/>
      <c r="EN66" s="23"/>
      <c r="EO66" s="23"/>
      <c r="EP66" s="23"/>
      <c r="EQ66" s="57"/>
    </row>
    <row r="67" spans="1:147" s="59" customFormat="1" ht="15" customHeight="1" x14ac:dyDescent="0.15">
      <c r="A67" s="56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CR67" s="58"/>
      <c r="CW67" s="57"/>
    </row>
    <row r="68" spans="1:147" s="59" customFormat="1" ht="15" customHeight="1" x14ac:dyDescent="0.15">
      <c r="A68" s="56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CR68" s="58"/>
      <c r="CW68" s="57"/>
    </row>
    <row r="69" spans="1:147" s="59" customFormat="1" ht="15" customHeight="1" x14ac:dyDescent="0.15">
      <c r="A69" s="56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U69" s="57"/>
      <c r="AV69" s="57"/>
      <c r="CR69" s="58"/>
      <c r="CW69" s="57"/>
    </row>
    <row r="70" spans="1:147" s="59" customFormat="1" ht="15" customHeight="1" x14ac:dyDescent="0.15">
      <c r="A70" s="56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U70" s="57"/>
      <c r="AV70" s="57"/>
      <c r="CR70" s="58"/>
      <c r="CW70" s="57"/>
    </row>
    <row r="71" spans="1:147" s="59" customFormat="1" ht="15" customHeight="1" x14ac:dyDescent="0.15">
      <c r="A71" s="56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U71" s="57"/>
      <c r="AV71" s="57"/>
      <c r="CR71" s="58"/>
      <c r="CW71" s="57"/>
    </row>
    <row r="72" spans="1:147" s="59" customFormat="1" ht="15" customHeight="1" x14ac:dyDescent="0.15">
      <c r="A72" s="56"/>
      <c r="AU72" s="57"/>
      <c r="AV72" s="57"/>
      <c r="CR72" s="58"/>
      <c r="CW72" s="57"/>
    </row>
    <row r="73" spans="1:147" s="59" customFormat="1" ht="15" customHeight="1" x14ac:dyDescent="0.15">
      <c r="A73" s="56"/>
      <c r="M73" s="223"/>
      <c r="N73" s="223"/>
      <c r="O73" s="223"/>
      <c r="P73" s="223"/>
      <c r="Q73" s="223"/>
      <c r="R73" s="223"/>
      <c r="S73" s="223"/>
      <c r="T73" s="223"/>
      <c r="U73" s="223"/>
      <c r="V73" s="223"/>
      <c r="W73" s="223"/>
      <c r="X73" s="223"/>
      <c r="Y73" s="223"/>
      <c r="Z73" s="223"/>
      <c r="AA73" s="223"/>
      <c r="AB73" s="223"/>
      <c r="AC73" s="223"/>
      <c r="AD73" s="223"/>
      <c r="AE73" s="223"/>
      <c r="AF73" s="223"/>
      <c r="AG73" s="223"/>
      <c r="AH73" s="223"/>
      <c r="AI73" s="223"/>
      <c r="AJ73" s="223"/>
      <c r="AK73" s="223"/>
      <c r="AL73" s="223"/>
      <c r="AM73" s="223"/>
      <c r="AN73" s="223"/>
      <c r="AO73" s="223"/>
      <c r="AP73" s="223"/>
      <c r="AQ73" s="223"/>
      <c r="AR73" s="223"/>
      <c r="AS73" s="223"/>
      <c r="AT73" s="223"/>
      <c r="AU73" s="57"/>
      <c r="AV73" s="57"/>
      <c r="BA73" s="23"/>
      <c r="CR73" s="58"/>
      <c r="CW73" s="57"/>
    </row>
    <row r="74" spans="1:147" s="59" customFormat="1" ht="15" customHeight="1" x14ac:dyDescent="0.15">
      <c r="A74" s="56"/>
      <c r="M74" s="223"/>
      <c r="N74" s="223"/>
      <c r="O74" s="223"/>
      <c r="P74" s="223"/>
      <c r="Q74" s="223"/>
      <c r="R74" s="223"/>
      <c r="S74" s="223"/>
      <c r="T74" s="223"/>
      <c r="U74" s="223"/>
      <c r="V74" s="223"/>
      <c r="W74" s="223"/>
      <c r="X74" s="223"/>
      <c r="Y74" s="223"/>
      <c r="Z74" s="223"/>
      <c r="AA74" s="223"/>
      <c r="AB74" s="223"/>
      <c r="AC74" s="223"/>
      <c r="AD74" s="223"/>
      <c r="AE74" s="223"/>
      <c r="AF74" s="223"/>
      <c r="AG74" s="223"/>
      <c r="AH74" s="223"/>
      <c r="AI74" s="223"/>
      <c r="AJ74" s="223"/>
      <c r="AK74" s="223"/>
      <c r="AL74" s="223"/>
      <c r="AM74" s="223"/>
      <c r="AN74" s="223"/>
      <c r="AO74" s="223"/>
      <c r="AP74" s="223"/>
      <c r="AQ74" s="223"/>
      <c r="AR74" s="223"/>
      <c r="AS74" s="223"/>
      <c r="AT74" s="223"/>
      <c r="AU74" s="57"/>
      <c r="AV74" s="57"/>
      <c r="BA74" s="23"/>
      <c r="CR74" s="58"/>
      <c r="CW74" s="57"/>
    </row>
    <row r="75" spans="1:147" s="59" customFormat="1" ht="15" customHeight="1" x14ac:dyDescent="0.15">
      <c r="A75" s="56"/>
      <c r="C75" s="223"/>
      <c r="D75" s="223"/>
      <c r="E75" s="223"/>
      <c r="F75" s="223"/>
      <c r="G75" s="223"/>
      <c r="H75" s="223"/>
      <c r="I75" s="223"/>
      <c r="J75" s="223"/>
      <c r="K75" s="223"/>
      <c r="L75" s="223"/>
      <c r="M75" s="223"/>
      <c r="N75" s="223"/>
      <c r="O75" s="223"/>
      <c r="P75" s="223"/>
      <c r="Q75" s="223"/>
      <c r="R75" s="223"/>
      <c r="S75" s="223"/>
      <c r="T75" s="223"/>
      <c r="U75" s="223"/>
      <c r="V75" s="223"/>
      <c r="W75" s="223"/>
      <c r="X75" s="223"/>
      <c r="Y75" s="223"/>
      <c r="Z75" s="223"/>
      <c r="AA75" s="223"/>
      <c r="AB75" s="223"/>
      <c r="AC75" s="223"/>
      <c r="AD75" s="223"/>
      <c r="AE75" s="223"/>
      <c r="AF75" s="223"/>
      <c r="AG75" s="223"/>
      <c r="AH75" s="223"/>
      <c r="AI75" s="223"/>
      <c r="AJ75" s="223"/>
      <c r="AK75" s="223"/>
      <c r="AL75" s="223"/>
      <c r="AM75" s="223"/>
      <c r="AN75" s="223"/>
      <c r="AO75" s="222"/>
      <c r="AP75" s="222"/>
      <c r="AQ75" s="222"/>
      <c r="AR75" s="222"/>
      <c r="AS75" s="222"/>
      <c r="AT75" s="222"/>
      <c r="AU75" s="57"/>
      <c r="AV75" s="57"/>
      <c r="BA75" s="23"/>
      <c r="CR75" s="58"/>
      <c r="CW75" s="57"/>
    </row>
    <row r="76" spans="1:147" s="59" customFormat="1" ht="15" customHeight="1" x14ac:dyDescent="0.15">
      <c r="A76" s="56"/>
      <c r="M76" s="223"/>
      <c r="N76" s="223"/>
      <c r="O76" s="223"/>
      <c r="P76" s="223"/>
      <c r="Q76" s="223"/>
      <c r="R76" s="223"/>
      <c r="S76" s="223"/>
      <c r="T76" s="223"/>
      <c r="U76" s="223"/>
      <c r="V76" s="223"/>
      <c r="W76" s="223"/>
      <c r="X76" s="223"/>
      <c r="Y76" s="223"/>
      <c r="Z76" s="223"/>
      <c r="AA76" s="223"/>
      <c r="AB76" s="223"/>
      <c r="AC76" s="223"/>
      <c r="AD76" s="223"/>
      <c r="AE76" s="223"/>
      <c r="AF76" s="223"/>
      <c r="AG76" s="223"/>
      <c r="AH76" s="223"/>
      <c r="AI76" s="223"/>
      <c r="AJ76" s="223"/>
      <c r="AK76" s="223"/>
      <c r="AL76" s="223"/>
      <c r="AM76" s="223"/>
      <c r="AN76" s="223"/>
      <c r="AO76" s="222"/>
      <c r="AP76" s="222"/>
      <c r="AQ76" s="222"/>
      <c r="AR76" s="222"/>
      <c r="AS76" s="222"/>
      <c r="AT76" s="222"/>
      <c r="AU76" s="57"/>
      <c r="AV76" s="57"/>
      <c r="CR76" s="58"/>
      <c r="CW76" s="57"/>
    </row>
    <row r="77" spans="1:147" s="59" customFormat="1" ht="15" customHeight="1" x14ac:dyDescent="0.15">
      <c r="A77" s="56"/>
      <c r="C77" s="223" t="s">
        <v>91</v>
      </c>
      <c r="D77" s="223" t="s">
        <v>98</v>
      </c>
      <c r="E77" s="223"/>
      <c r="F77" s="223"/>
      <c r="G77" s="223"/>
      <c r="H77" s="223"/>
      <c r="I77" s="223"/>
      <c r="J77" s="223"/>
      <c r="K77" s="223"/>
      <c r="L77" s="223"/>
      <c r="M77" s="223"/>
      <c r="N77" s="223"/>
      <c r="O77" s="223"/>
      <c r="P77" s="223"/>
      <c r="Q77" s="223"/>
      <c r="R77" s="223"/>
      <c r="S77" s="223"/>
      <c r="T77" s="223"/>
      <c r="U77" s="223"/>
      <c r="V77" s="223"/>
      <c r="W77" s="223"/>
      <c r="X77" s="223"/>
      <c r="Y77" s="223"/>
      <c r="Z77" s="223"/>
      <c r="AA77" s="223"/>
      <c r="AB77" s="223"/>
      <c r="AC77" s="223"/>
      <c r="AD77" s="223"/>
      <c r="AE77" s="223"/>
      <c r="AF77" s="223"/>
      <c r="AG77" s="223"/>
      <c r="AH77" s="223"/>
      <c r="AI77" s="223"/>
      <c r="AJ77" s="223"/>
      <c r="AK77" s="223"/>
      <c r="AL77" s="223"/>
      <c r="AM77" s="223"/>
      <c r="AN77" s="223"/>
      <c r="AO77" s="222"/>
      <c r="AP77" s="222"/>
      <c r="AQ77" s="222"/>
      <c r="AR77" s="222"/>
      <c r="AS77" s="222"/>
      <c r="AT77" s="222"/>
      <c r="AU77" s="57"/>
      <c r="AV77" s="57"/>
      <c r="AY77" s="223" t="s">
        <v>91</v>
      </c>
      <c r="AZ77" s="223" t="s">
        <v>98</v>
      </c>
      <c r="BA77" s="223"/>
      <c r="BB77" s="223"/>
      <c r="BC77" s="223"/>
      <c r="BD77" s="223"/>
      <c r="BE77" s="223"/>
      <c r="BF77" s="223"/>
      <c r="BG77" s="223"/>
      <c r="BH77" s="223"/>
      <c r="BI77" s="223"/>
      <c r="BJ77" s="223"/>
      <c r="CR77" s="58"/>
      <c r="CW77" s="57"/>
    </row>
    <row r="78" spans="1:147" s="59" customFormat="1" ht="15" customHeight="1" x14ac:dyDescent="0.15">
      <c r="A78" s="56"/>
      <c r="C78" s="223" t="s">
        <v>91</v>
      </c>
      <c r="D78" s="223" t="s">
        <v>93</v>
      </c>
      <c r="E78" s="223"/>
      <c r="F78" s="223"/>
      <c r="G78" s="223"/>
      <c r="H78" s="223"/>
      <c r="I78" s="223"/>
      <c r="J78" s="223"/>
      <c r="K78" s="223"/>
      <c r="L78" s="223"/>
      <c r="M78" s="223"/>
      <c r="N78" s="223"/>
      <c r="O78" s="223"/>
      <c r="P78" s="223"/>
      <c r="Q78" s="223"/>
      <c r="R78" s="223"/>
      <c r="S78" s="223"/>
      <c r="T78" s="223"/>
      <c r="U78" s="223"/>
      <c r="V78" s="223"/>
      <c r="W78" s="223"/>
      <c r="X78" s="223"/>
      <c r="Y78" s="223"/>
      <c r="Z78" s="223"/>
      <c r="AA78" s="223"/>
      <c r="AB78" s="223"/>
      <c r="AC78" s="223"/>
      <c r="AD78" s="223"/>
      <c r="AE78" s="223"/>
      <c r="AF78" s="223"/>
      <c r="AG78" s="223"/>
      <c r="AH78" s="223"/>
      <c r="AI78" s="223"/>
      <c r="AJ78" s="223"/>
      <c r="AK78" s="223"/>
      <c r="AL78" s="223"/>
      <c r="AM78" s="223"/>
      <c r="AN78" s="223"/>
      <c r="AO78" s="222"/>
      <c r="AP78" s="222"/>
      <c r="AQ78" s="222"/>
      <c r="AR78" s="222"/>
      <c r="AS78" s="222"/>
      <c r="AT78" s="222"/>
      <c r="AU78" s="57"/>
      <c r="AV78" s="57"/>
      <c r="AY78" s="223" t="s">
        <v>91</v>
      </c>
      <c r="AZ78" s="223" t="s">
        <v>93</v>
      </c>
      <c r="BA78" s="223"/>
      <c r="BB78" s="223"/>
      <c r="BC78" s="223"/>
      <c r="BD78" s="223"/>
      <c r="BE78" s="223"/>
      <c r="BF78" s="223"/>
      <c r="BG78" s="223"/>
      <c r="BH78" s="223"/>
      <c r="BI78" s="223"/>
      <c r="BJ78" s="223"/>
      <c r="CR78" s="58"/>
      <c r="CW78" s="57"/>
    </row>
    <row r="79" spans="1:147" s="59" customFormat="1" ht="15" customHeight="1" x14ac:dyDescent="0.15">
      <c r="A79" s="56"/>
      <c r="AO79" s="57"/>
      <c r="AP79" s="57"/>
      <c r="AQ79" s="57"/>
      <c r="AR79" s="57"/>
      <c r="AS79" s="57"/>
      <c r="AT79" s="57"/>
      <c r="AU79" s="57"/>
      <c r="AV79" s="57"/>
      <c r="CR79" s="58"/>
      <c r="CW79" s="57"/>
    </row>
    <row r="80" spans="1:147" s="59" customFormat="1" ht="15" customHeight="1" x14ac:dyDescent="0.15">
      <c r="A80" s="56"/>
      <c r="AO80" s="57"/>
      <c r="AP80" s="57"/>
      <c r="AQ80" s="57"/>
      <c r="AR80" s="57"/>
      <c r="AS80" s="57"/>
      <c r="AT80" s="57"/>
      <c r="AU80" s="57"/>
      <c r="AV80" s="57"/>
      <c r="CR80" s="58"/>
      <c r="CW80" s="57"/>
    </row>
    <row r="81" spans="1:96" s="59" customFormat="1" ht="15" customHeight="1" x14ac:dyDescent="0.15">
      <c r="A81" s="56"/>
      <c r="AO81" s="57"/>
      <c r="AP81" s="57"/>
      <c r="AQ81" s="57"/>
      <c r="CR81" s="58"/>
    </row>
    <row r="82" spans="1:96" s="59" customFormat="1" ht="15" customHeight="1" x14ac:dyDescent="0.15">
      <c r="A82" s="56"/>
      <c r="AO82" s="57"/>
      <c r="AP82" s="57"/>
      <c r="AQ82" s="57"/>
      <c r="CR82" s="58"/>
    </row>
    <row r="83" spans="1:96" s="59" customFormat="1" ht="15" customHeight="1" x14ac:dyDescent="0.15">
      <c r="A83" s="56"/>
      <c r="AO83" s="57"/>
      <c r="AP83" s="57"/>
      <c r="AQ83" s="57"/>
      <c r="CR83" s="58"/>
    </row>
    <row r="84" spans="1:96" s="59" customFormat="1" ht="15" customHeight="1" x14ac:dyDescent="0.15">
      <c r="A84" s="56"/>
      <c r="AO84" s="57"/>
      <c r="AP84" s="57"/>
      <c r="AQ84" s="57"/>
      <c r="CR84" s="58"/>
    </row>
    <row r="85" spans="1:96" s="59" customFormat="1" ht="15" customHeight="1" x14ac:dyDescent="0.15">
      <c r="A85" s="56"/>
      <c r="AO85" s="57"/>
      <c r="AP85" s="57"/>
      <c r="AQ85" s="57"/>
      <c r="CR85" s="58"/>
    </row>
    <row r="86" spans="1:96" s="59" customFormat="1" ht="15" customHeight="1" x14ac:dyDescent="0.15">
      <c r="A86" s="56"/>
      <c r="AO86" s="57"/>
      <c r="AP86" s="57"/>
      <c r="AQ86" s="57"/>
      <c r="CR86" s="58"/>
    </row>
    <row r="87" spans="1:96" s="59" customFormat="1" ht="15" customHeight="1" x14ac:dyDescent="0.15">
      <c r="A87" s="56"/>
      <c r="AO87" s="57"/>
      <c r="AP87" s="57"/>
      <c r="AQ87" s="57"/>
      <c r="CR87" s="58"/>
    </row>
    <row r="88" spans="1:96" s="59" customFormat="1" ht="15" customHeight="1" x14ac:dyDescent="0.15">
      <c r="A88" s="56"/>
      <c r="AO88" s="57"/>
      <c r="AP88" s="57"/>
      <c r="AQ88" s="57"/>
      <c r="BK88" s="223"/>
      <c r="BL88" s="223"/>
      <c r="BM88" s="223"/>
      <c r="BN88" s="223"/>
      <c r="BO88" s="223"/>
      <c r="BP88" s="223"/>
      <c r="BQ88" s="223"/>
      <c r="BR88" s="223"/>
      <c r="BS88" s="223"/>
      <c r="BT88" s="223"/>
      <c r="BU88" s="223"/>
      <c r="BV88" s="223"/>
      <c r="BW88" s="223"/>
      <c r="BX88" s="223"/>
      <c r="BY88" s="223"/>
      <c r="BZ88" s="223"/>
      <c r="CA88" s="223"/>
      <c r="CB88" s="223"/>
      <c r="CC88" s="223"/>
      <c r="CD88" s="223"/>
      <c r="CE88" s="223"/>
      <c r="CF88" s="223"/>
      <c r="CG88" s="223"/>
      <c r="CH88" s="223"/>
      <c r="CI88" s="223"/>
      <c r="CR88" s="58"/>
    </row>
    <row r="89" spans="1:96" s="59" customFormat="1" ht="15" customHeight="1" x14ac:dyDescent="0.15">
      <c r="A89" s="56"/>
      <c r="BK89" s="223"/>
      <c r="BL89" s="223"/>
      <c r="BM89" s="223"/>
      <c r="BN89" s="223"/>
      <c r="BO89" s="223"/>
      <c r="BP89" s="223"/>
      <c r="BQ89" s="223"/>
      <c r="BR89" s="223"/>
      <c r="BS89" s="223"/>
      <c r="BT89" s="223"/>
      <c r="BU89" s="223"/>
      <c r="BV89" s="223"/>
      <c r="BW89" s="223"/>
      <c r="BX89" s="223"/>
      <c r="BY89" s="223"/>
      <c r="BZ89" s="223"/>
      <c r="CA89" s="223"/>
      <c r="CB89" s="223"/>
      <c r="CC89" s="223"/>
      <c r="CD89" s="223"/>
      <c r="CE89" s="223"/>
      <c r="CF89" s="223"/>
      <c r="CG89" s="223"/>
      <c r="CH89" s="223"/>
      <c r="CI89" s="223"/>
      <c r="CR89" s="58"/>
    </row>
    <row r="90" spans="1:96" s="59" customFormat="1" ht="15" customHeight="1" thickBot="1" x14ac:dyDescent="0.2">
      <c r="A90" s="60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  <c r="BV90" s="61"/>
      <c r="BW90" s="61"/>
      <c r="BX90" s="61"/>
      <c r="BY90" s="61"/>
      <c r="BZ90" s="61"/>
      <c r="CA90" s="61"/>
      <c r="CB90" s="61"/>
      <c r="CC90" s="61"/>
      <c r="CD90" s="61"/>
      <c r="CE90" s="61"/>
      <c r="CF90" s="61"/>
      <c r="CG90" s="61"/>
      <c r="CH90" s="61"/>
      <c r="CI90" s="61"/>
      <c r="CJ90" s="61"/>
      <c r="CK90" s="61"/>
      <c r="CL90" s="61"/>
      <c r="CM90" s="61"/>
      <c r="CN90" s="61"/>
      <c r="CO90" s="61"/>
      <c r="CP90" s="61"/>
      <c r="CQ90" s="61"/>
      <c r="CR90" s="62"/>
    </row>
  </sheetData>
  <mergeCells count="61">
    <mergeCell ref="A48:CR48"/>
    <mergeCell ref="BI38:CR38"/>
    <mergeCell ref="BI43:CR43"/>
    <mergeCell ref="A46:J46"/>
    <mergeCell ref="K46:AV46"/>
    <mergeCell ref="AW46:BH46"/>
    <mergeCell ref="A47:J47"/>
    <mergeCell ref="K47:AV47"/>
    <mergeCell ref="AW47:BH47"/>
    <mergeCell ref="A44:J44"/>
    <mergeCell ref="K44:AV44"/>
    <mergeCell ref="AW44:BH44"/>
    <mergeCell ref="A45:J45"/>
    <mergeCell ref="K45:AV45"/>
    <mergeCell ref="A41:J41"/>
    <mergeCell ref="K41:AV41"/>
    <mergeCell ref="AW41:BH41"/>
    <mergeCell ref="AW45:BH45"/>
    <mergeCell ref="A42:J42"/>
    <mergeCell ref="K42:AV42"/>
    <mergeCell ref="AW42:BH42"/>
    <mergeCell ref="A43:J43"/>
    <mergeCell ref="K43:AV43"/>
    <mergeCell ref="AW43:BH43"/>
    <mergeCell ref="A5:BH5"/>
    <mergeCell ref="BI3:BL3"/>
    <mergeCell ref="BI5:CR5"/>
    <mergeCell ref="BI12:CR12"/>
    <mergeCell ref="A38:BH38"/>
    <mergeCell ref="A4:H4"/>
    <mergeCell ref="I4:AK4"/>
    <mergeCell ref="AL4:AR4"/>
    <mergeCell ref="AS4:BH4"/>
    <mergeCell ref="BI4:BS4"/>
    <mergeCell ref="BT4:CR4"/>
    <mergeCell ref="A3:H3"/>
    <mergeCell ref="I3:AD3"/>
    <mergeCell ref="AL3:BH3"/>
    <mergeCell ref="BM3:CE3"/>
    <mergeCell ref="A40:J40"/>
    <mergeCell ref="K40:AV40"/>
    <mergeCell ref="AW40:BH40"/>
    <mergeCell ref="A39:J39"/>
    <mergeCell ref="K39:AV39"/>
    <mergeCell ref="AW39:BH39"/>
    <mergeCell ref="BW1:CE1"/>
    <mergeCell ref="CF1:CJ3"/>
    <mergeCell ref="CK1:CR3"/>
    <mergeCell ref="A2:H2"/>
    <mergeCell ref="I2:AD2"/>
    <mergeCell ref="AE2:AK3"/>
    <mergeCell ref="AL2:BH2"/>
    <mergeCell ref="BI2:BL2"/>
    <mergeCell ref="BM2:BV2"/>
    <mergeCell ref="BW2:CE2"/>
    <mergeCell ref="A1:H1"/>
    <mergeCell ref="I1:AD1"/>
    <mergeCell ref="AE1:AK1"/>
    <mergeCell ref="AL1:BH1"/>
    <mergeCell ref="BI1:BL1"/>
    <mergeCell ref="BM1:BV1"/>
  </mergeCells>
  <phoneticPr fontId="11"/>
  <pageMargins left="0.39370078740157483" right="0.16" top="0.78740157480314965" bottom="0.39370078740157483" header="0.59055118110236227" footer="0.19685039370078741"/>
  <pageSetup paperSize="9" scale="80" firstPageNumber="4" orientation="landscape" r:id="rId1"/>
  <headerFooter alignWithMargins="0">
    <oddFooter>&amp;C&amp;P　/　&amp;N&amp;R株式会社　京信システムサービス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タイトル</vt:lpstr>
      <vt:lpstr>改訂履歴</vt:lpstr>
      <vt:lpstr>機能概要・画面遷移図</vt:lpstr>
      <vt:lpstr>兼任・代理承認</vt:lpstr>
      <vt:lpstr>タイトル!Print_Area</vt:lpstr>
      <vt:lpstr>改訂履歴!Print_Titles</vt:lpstr>
      <vt:lpstr>機能概要・画面遷移図!Print_Titles</vt:lpstr>
      <vt:lpstr>兼任・代理承認!Print_Titles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川勝　恭子</dc:creator>
  <cp:lastModifiedBy>[協]木田 優</cp:lastModifiedBy>
  <cp:lastPrinted>2024-03-11T02:06:01Z</cp:lastPrinted>
  <dcterms:created xsi:type="dcterms:W3CDTF">2006-03-07T04:00:40Z</dcterms:created>
  <dcterms:modified xsi:type="dcterms:W3CDTF">2024-03-11T06:45:20Z</dcterms:modified>
</cp:coreProperties>
</file>
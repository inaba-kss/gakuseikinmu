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okubo0305\Desktop\"/>
    </mc:Choice>
  </mc:AlternateContent>
  <xr:revisionPtr revIDLastSave="0" documentId="13_ncr:1_{09EB0A18-0999-4A1B-B20A-319FB55041BF}" xr6:coauthVersionLast="47" xr6:coauthVersionMax="47" xr10:uidLastSave="{00000000-0000-0000-0000-000000000000}"/>
  <bookViews>
    <workbookView xWindow="-120" yWindow="-120" windowWidth="29040" windowHeight="15840" tabRatio="584" xr2:uid="{00000000-000D-0000-FFFF-FFFF00000000}"/>
  </bookViews>
  <sheets>
    <sheet name="タイトル" sheetId="266" r:id="rId1"/>
    <sheet name="改訂履歴" sheetId="6" r:id="rId2"/>
    <sheet name="機能概要" sheetId="270" r:id="rId3"/>
  </sheets>
  <definedNames>
    <definedName name="_Toc94971774" localSheetId="2">機能概要!#REF!</definedName>
    <definedName name="_Toc94971775" localSheetId="2">機能概要!#REF!</definedName>
    <definedName name="_xlnm.Print_Area" localSheetId="0">タイトル!$A$1:$AC$36</definedName>
    <definedName name="_xlnm.Print_Titles" localSheetId="1">改訂履歴!$1:$4</definedName>
    <definedName name="_xlnm.Print_Titles" localSheetId="2">機能概要!$1:$4</definedName>
  </definedNames>
  <calcPr calcId="191029"/>
</workbook>
</file>

<file path=xl/calcChain.xml><?xml version="1.0" encoding="utf-8"?>
<calcChain xmlns="http://schemas.openxmlformats.org/spreadsheetml/2006/main">
  <c r="BR5" i="6" l="1"/>
  <c r="I51" i="266"/>
  <c r="CK1" i="270" l="1"/>
  <c r="AS4" i="270" l="1"/>
  <c r="J5" i="6" l="1"/>
  <c r="AL2" i="270" l="1"/>
  <c r="I2" i="270"/>
  <c r="BW1" i="270"/>
  <c r="BM1" i="270"/>
  <c r="AL1" i="270"/>
  <c r="I1" i="270"/>
  <c r="G11" i="266" l="1"/>
  <c r="G14" i="266"/>
  <c r="G17" i="266"/>
  <c r="G20" i="266"/>
  <c r="J27" i="266"/>
  <c r="J29" i="26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TOBA Tetsuya</author>
  </authors>
  <commentList>
    <comment ref="AH3" authorId="0" shapeId="0" xr:uid="{00000000-0006-0000-0100-000001000000}">
      <text>
        <r>
          <rPr>
            <sz val="9"/>
            <color indexed="81"/>
            <rFont val="ＭＳ Ｐゴシック"/>
            <family val="3"/>
            <charset val="128"/>
          </rPr>
          <t>変更内容を簡潔に記述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TOBA Tetsuya</author>
  </authors>
  <commentList>
    <comment ref="A2" authorId="0" shapeId="0" xr:uid="{00000000-0006-0000-0200-000001000000}">
      <text>
        <r>
          <rPr>
            <sz val="9"/>
            <color indexed="81"/>
            <rFont val="ＭＳ Ｐゴシック"/>
            <family val="3"/>
            <charset val="128"/>
          </rPr>
          <t>人事システム
給与システム
システム基盤 等を書く</t>
        </r>
      </text>
    </comment>
  </commentList>
</comments>
</file>

<file path=xl/sharedStrings.xml><?xml version="1.0" encoding="utf-8"?>
<sst xmlns="http://schemas.openxmlformats.org/spreadsheetml/2006/main" count="71" uniqueCount="70">
  <si>
    <t>工　　　　程</t>
    <rPh sb="0" eb="1">
      <t>コウ</t>
    </rPh>
    <rPh sb="5" eb="6">
      <t>ホド</t>
    </rPh>
    <phoneticPr fontId="2"/>
  </si>
  <si>
    <t>システム名</t>
    <rPh sb="4" eb="5">
      <t>メイ</t>
    </rPh>
    <phoneticPr fontId="2"/>
  </si>
  <si>
    <t>改訂履歴</t>
    <rPh sb="0" eb="2">
      <t>カイテイ</t>
    </rPh>
    <rPh sb="2" eb="4">
      <t>リレキ</t>
    </rPh>
    <phoneticPr fontId="2"/>
  </si>
  <si>
    <t>区分</t>
    <rPh sb="0" eb="2">
      <t>クブン</t>
    </rPh>
    <phoneticPr fontId="2"/>
  </si>
  <si>
    <t>頁</t>
    <rPh sb="0" eb="1">
      <t>ページ</t>
    </rPh>
    <phoneticPr fontId="2"/>
  </si>
  <si>
    <t>新規／改訂日</t>
    <rPh sb="0" eb="2">
      <t>シンキ</t>
    </rPh>
    <rPh sb="3" eb="5">
      <t>カイテイ</t>
    </rPh>
    <rPh sb="5" eb="6">
      <t>ビ</t>
    </rPh>
    <phoneticPr fontId="2"/>
  </si>
  <si>
    <t>改訂箇所</t>
    <rPh sb="0" eb="2">
      <t>カイテイ</t>
    </rPh>
    <rPh sb="2" eb="4">
      <t>カショ</t>
    </rPh>
    <phoneticPr fontId="2"/>
  </si>
  <si>
    <t>改訂理由</t>
    <rPh sb="0" eb="2">
      <t>カイテイ</t>
    </rPh>
    <rPh sb="2" eb="4">
      <t>リユウ</t>
    </rPh>
    <phoneticPr fontId="2"/>
  </si>
  <si>
    <t>新規／改訂者</t>
    <rPh sb="0" eb="2">
      <t>シンキ</t>
    </rPh>
    <rPh sb="3" eb="5">
      <t>カイテイ</t>
    </rPh>
    <rPh sb="5" eb="6">
      <t>シャ</t>
    </rPh>
    <phoneticPr fontId="2"/>
  </si>
  <si>
    <t>　※ページ毎に個別入力</t>
    <rPh sb="5" eb="6">
      <t>ゴト</t>
    </rPh>
    <rPh sb="7" eb="9">
      <t>コベツ</t>
    </rPh>
    <rPh sb="9" eb="11">
      <t>ニュウリョク</t>
    </rPh>
    <phoneticPr fontId="2"/>
  </si>
  <si>
    <t>タイトル項目埋め込み内容</t>
    <rPh sb="4" eb="6">
      <t>コウモク</t>
    </rPh>
    <rPh sb="6" eb="7">
      <t>ウ</t>
    </rPh>
    <rPh sb="8" eb="9">
      <t>コ</t>
    </rPh>
    <rPh sb="10" eb="12">
      <t>ナイヨウ</t>
    </rPh>
    <phoneticPr fontId="2"/>
  </si>
  <si>
    <t>新規</t>
    <rPh sb="0" eb="2">
      <t>シンキ</t>
    </rPh>
    <phoneticPr fontId="2"/>
  </si>
  <si>
    <t>作　成</t>
    <rPh sb="0" eb="1">
      <t>サク</t>
    </rPh>
    <rPh sb="2" eb="3">
      <t>シゲル</t>
    </rPh>
    <phoneticPr fontId="2"/>
  </si>
  <si>
    <t>管理記号</t>
    <rPh sb="0" eb="2">
      <t>カンリ</t>
    </rPh>
    <rPh sb="2" eb="4">
      <t>キゴウ</t>
    </rPh>
    <phoneticPr fontId="2"/>
  </si>
  <si>
    <t>サブシステム名</t>
    <rPh sb="6" eb="7">
      <t>メイ</t>
    </rPh>
    <phoneticPr fontId="2"/>
  </si>
  <si>
    <t>改　訂</t>
    <rPh sb="0" eb="1">
      <t>アラタ</t>
    </rPh>
    <rPh sb="2" eb="3">
      <t>テイ</t>
    </rPh>
    <phoneticPr fontId="2"/>
  </si>
  <si>
    <t>No</t>
    <phoneticPr fontId="2"/>
  </si>
  <si>
    <t>Ver</t>
    <phoneticPr fontId="2"/>
  </si>
  <si>
    <t>新規作成</t>
    <rPh sb="0" eb="2">
      <t>シンキ</t>
    </rPh>
    <rPh sb="2" eb="4">
      <t>サクセイ</t>
    </rPh>
    <phoneticPr fontId="2"/>
  </si>
  <si>
    <t>見出し部タイトル制御テーブル</t>
    <rPh sb="0" eb="2">
      <t>ミダ</t>
    </rPh>
    <rPh sb="3" eb="4">
      <t>ブ</t>
    </rPh>
    <rPh sb="8" eb="10">
      <t>セイギョ</t>
    </rPh>
    <phoneticPr fontId="2"/>
  </si>
  <si>
    <t>タイトル項目</t>
    <rPh sb="4" eb="6">
      <t>コウモク</t>
    </rPh>
    <phoneticPr fontId="2"/>
  </si>
  <si>
    <t>　①システム名</t>
    <rPh sb="6" eb="7">
      <t>メイ</t>
    </rPh>
    <phoneticPr fontId="2"/>
  </si>
  <si>
    <t>　②サブシステム名</t>
    <rPh sb="8" eb="9">
      <t>メイ</t>
    </rPh>
    <phoneticPr fontId="2"/>
  </si>
  <si>
    <t>　③分類名</t>
    <rPh sb="2" eb="4">
      <t>ブンルイ</t>
    </rPh>
    <rPh sb="4" eb="5">
      <t>メイ</t>
    </rPh>
    <phoneticPr fontId="2"/>
  </si>
  <si>
    <t>　④作業工程名</t>
    <rPh sb="2" eb="4">
      <t>サギョウ</t>
    </rPh>
    <rPh sb="4" eb="6">
      <t>コウテイ</t>
    </rPh>
    <rPh sb="6" eb="7">
      <t>メイ</t>
    </rPh>
    <phoneticPr fontId="2"/>
  </si>
  <si>
    <t>　⑤ドキュメント代表名</t>
    <rPh sb="8" eb="10">
      <t>ダイヒョウ</t>
    </rPh>
    <rPh sb="10" eb="11">
      <t>メイ</t>
    </rPh>
    <phoneticPr fontId="2"/>
  </si>
  <si>
    <t>　⑥ドキュメント詳細名</t>
    <rPh sb="8" eb="10">
      <t>ショウサイ</t>
    </rPh>
    <rPh sb="10" eb="11">
      <t>メイ</t>
    </rPh>
    <phoneticPr fontId="2"/>
  </si>
  <si>
    <t>　⑦作成者</t>
    <rPh sb="2" eb="5">
      <t>サクセイシャ</t>
    </rPh>
    <phoneticPr fontId="2"/>
  </si>
  <si>
    <t>　⑧作成日</t>
    <rPh sb="2" eb="5">
      <t>サクセイビ</t>
    </rPh>
    <phoneticPr fontId="2"/>
  </si>
  <si>
    <t>　⑦改定者</t>
    <rPh sb="2" eb="4">
      <t>カイテイ</t>
    </rPh>
    <rPh sb="4" eb="5">
      <t>シャ</t>
    </rPh>
    <phoneticPr fontId="2"/>
  </si>
  <si>
    <t>　⑧改定日</t>
    <rPh sb="2" eb="4">
      <t>カイテイ</t>
    </rPh>
    <rPh sb="4" eb="5">
      <t>ビ</t>
    </rPh>
    <phoneticPr fontId="2"/>
  </si>
  <si>
    <t>　⑨管理記号</t>
    <rPh sb="2" eb="4">
      <t>カンリ</t>
    </rPh>
    <rPh sb="4" eb="6">
      <t>キゴウ</t>
    </rPh>
    <phoneticPr fontId="2"/>
  </si>
  <si>
    <t>ドキュメント</t>
    <phoneticPr fontId="2"/>
  </si>
  <si>
    <t xml:space="preserve">　 </t>
    <phoneticPr fontId="2"/>
  </si>
  <si>
    <t>　⑩Ｖｅｒ</t>
    <phoneticPr fontId="2"/>
  </si>
  <si>
    <t>　利用想定ユーザー</t>
    <rPh sb="1" eb="3">
      <t>リヨウ</t>
    </rPh>
    <rPh sb="3" eb="5">
      <t>ソウテイ</t>
    </rPh>
    <phoneticPr fontId="2"/>
  </si>
  <si>
    <t>　機能名称</t>
    <rPh sb="1" eb="3">
      <t>キノウ</t>
    </rPh>
    <rPh sb="3" eb="5">
      <t>メイショウ</t>
    </rPh>
    <phoneticPr fontId="2"/>
  </si>
  <si>
    <t>　機能ＩＤ</t>
    <rPh sb="1" eb="3">
      <t>キノウ</t>
    </rPh>
    <phoneticPr fontId="2"/>
  </si>
  <si>
    <t>　機能設計</t>
    <rPh sb="1" eb="3">
      <t>キノウ</t>
    </rPh>
    <rPh sb="3" eb="5">
      <t>セッケイ</t>
    </rPh>
    <phoneticPr fontId="2"/>
  </si>
  <si>
    <t>機　　能　　概　　要</t>
    <rPh sb="0" eb="1">
      <t>キ</t>
    </rPh>
    <rPh sb="3" eb="4">
      <t>ノウ</t>
    </rPh>
    <rPh sb="6" eb="7">
      <t>オオムネ</t>
    </rPh>
    <rPh sb="9" eb="10">
      <t>ヨウ</t>
    </rPh>
    <phoneticPr fontId="2"/>
  </si>
  <si>
    <t>　共通機能</t>
    <rPh sb="1" eb="3">
      <t>キョウツウ</t>
    </rPh>
    <rPh sb="3" eb="5">
      <t>キノウ</t>
    </rPh>
    <phoneticPr fontId="2"/>
  </si>
  <si>
    <t>DUC010</t>
    <phoneticPr fontId="2"/>
  </si>
  <si>
    <t>　学生勤務管理システム</t>
    <rPh sb="1" eb="3">
      <t>ガクセイ</t>
    </rPh>
    <rPh sb="3" eb="5">
      <t>キンム</t>
    </rPh>
    <rPh sb="5" eb="7">
      <t>カンリ</t>
    </rPh>
    <phoneticPr fontId="2"/>
  </si>
  <si>
    <t>機能</t>
    <rPh sb="0" eb="2">
      <t>キノウ</t>
    </rPh>
    <phoneticPr fontId="2"/>
  </si>
  <si>
    <t>大久保　梓沙</t>
    <rPh sb="0" eb="3">
      <t>オオクボ</t>
    </rPh>
    <rPh sb="4" eb="6">
      <t>アヅサ</t>
    </rPh>
    <phoneticPr fontId="2"/>
  </si>
  <si>
    <t xml:space="preserve"> </t>
    <phoneticPr fontId="2"/>
  </si>
  <si>
    <t>　バッチ処理</t>
    <rPh sb="4" eb="6">
      <t>ショリ</t>
    </rPh>
    <phoneticPr fontId="2"/>
  </si>
  <si>
    <t>-</t>
    <phoneticPr fontId="10"/>
  </si>
  <si>
    <t>C:\batch-scripts</t>
    <phoneticPr fontId="11"/>
  </si>
  <si>
    <t>※スケジューラに</t>
    <phoneticPr fontId="11"/>
  </si>
  <si>
    <t>　登録するバッチ</t>
    <rPh sb="1" eb="3">
      <t>トウロク</t>
    </rPh>
    <phoneticPr fontId="11"/>
  </si>
  <si>
    <t>　実行用ファイル</t>
    <rPh sb="1" eb="4">
      <t>ジッコウヨウ</t>
    </rPh>
    <phoneticPr fontId="11"/>
  </si>
  <si>
    <t>APサーバ</t>
    <phoneticPr fontId="11"/>
  </si>
  <si>
    <t>DBサーバ</t>
    <phoneticPr fontId="11"/>
  </si>
  <si>
    <t>※Javaプログラムを呼び出すbat</t>
    <rPh sb="11" eb="12">
      <t>ヨ</t>
    </rPh>
    <rPh sb="13" eb="14">
      <t>ダ</t>
    </rPh>
    <phoneticPr fontId="11"/>
  </si>
  <si>
    <t xml:space="preserve"> (内部でgo2.bat,go.js等を実行）</t>
    <rPh sb="2" eb="4">
      <t>ナイブ</t>
    </rPh>
    <rPh sb="18" eb="19">
      <t>ナド</t>
    </rPh>
    <rPh sb="20" eb="22">
      <t>ジッコウ</t>
    </rPh>
    <phoneticPr fontId="11"/>
  </si>
  <si>
    <t>タスクスケジューラ</t>
    <phoneticPr fontId="11"/>
  </si>
  <si>
    <t>参照や更新</t>
    <rPh sb="0" eb="2">
      <t>サンショウ</t>
    </rPh>
    <rPh sb="3" eb="5">
      <t>コウシン</t>
    </rPh>
    <phoneticPr fontId="11"/>
  </si>
  <si>
    <t>postgreSQL</t>
    <phoneticPr fontId="11"/>
  </si>
  <si>
    <t>C:\gakuseikinmu\…</t>
    <phoneticPr fontId="11"/>
  </si>
  <si>
    <t>バッチ処理</t>
    <rPh sb="3" eb="5">
      <t>ショリ</t>
    </rPh>
    <phoneticPr fontId="11"/>
  </si>
  <si>
    <t>バッチ処理実行用batファイル格納場所</t>
    <rPh sb="3" eb="5">
      <t>ショリ</t>
    </rPh>
    <rPh sb="5" eb="7">
      <t>ジッコウ</t>
    </rPh>
    <rPh sb="7" eb="8">
      <t>ヨウ</t>
    </rPh>
    <rPh sb="15" eb="17">
      <t>カクノウ</t>
    </rPh>
    <rPh sb="17" eb="19">
      <t>バショ</t>
    </rPh>
    <phoneticPr fontId="11"/>
  </si>
  <si>
    <t>学生勤務管理システムプログラム格納場所</t>
    <rPh sb="0" eb="6">
      <t>ガクセイキンムカンリ</t>
    </rPh>
    <rPh sb="15" eb="19">
      <t>カクノウバショ</t>
    </rPh>
    <phoneticPr fontId="11"/>
  </si>
  <si>
    <t>　&lt;機能ID&gt;_DAILY.bat</t>
    <rPh sb="2" eb="4">
      <t>キノウ</t>
    </rPh>
    <phoneticPr fontId="11"/>
  </si>
  <si>
    <t>ジョブスケジューラからバッチ処理プログラムを実行するには、バッチファイル(batファイル）を経由しての実行となる。</t>
    <rPh sb="14" eb="16">
      <t>ショリ</t>
    </rPh>
    <rPh sb="22" eb="24">
      <t>ジッコウ</t>
    </rPh>
    <rPh sb="46" eb="48">
      <t>ケイユ</t>
    </rPh>
    <rPh sb="51" eb="53">
      <t>ジッコウ</t>
    </rPh>
    <phoneticPr fontId="11"/>
  </si>
  <si>
    <t>\logs</t>
    <phoneticPr fontId="11"/>
  </si>
  <si>
    <t>ログ出力</t>
    <rPh sb="2" eb="4">
      <t>シュツリョク</t>
    </rPh>
    <phoneticPr fontId="11"/>
  </si>
  <si>
    <t>(ENVFILEを指定)</t>
    <rPh sb="9" eb="11">
      <t>シテイ</t>
    </rPh>
    <phoneticPr fontId="11"/>
  </si>
  <si>
    <t>設定ファイル</t>
    <rPh sb="0" eb="2">
      <t>セッテイ</t>
    </rPh>
    <phoneticPr fontId="11"/>
  </si>
  <si>
    <t>異常終了等の情報</t>
    <rPh sb="0" eb="4">
      <t>イジョウシュウリョウ</t>
    </rPh>
    <rPh sb="4" eb="5">
      <t>ナド</t>
    </rPh>
    <rPh sb="6" eb="8">
      <t>ジョウホウ</t>
    </rPh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</si>
</sst>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&quot;年&quot;m&quot;月&quot;d&quot;日&quot;;@"/>
    <numFmt numFmtId="177" formatCode="0.00_ "/>
  </numFmts>
  <fonts count="1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sz val="10"/>
      <name val="ＭＳ 明朝"/>
      <family val="1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20"/>
      <name val="ＭＳ ゴシック"/>
      <family val="3"/>
      <charset val="128"/>
    </font>
    <font>
      <sz val="14"/>
      <name val="ＭＳ 明朝"/>
      <family val="1"/>
      <charset val="128"/>
    </font>
    <font>
      <sz val="10"/>
      <name val="ＭＳ Ｐゴシック"/>
      <family val="3"/>
      <charset val="128"/>
    </font>
    <font>
      <sz val="6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b/>
      <sz val="10"/>
      <name val="ＭＳ ゴシック"/>
      <family val="3"/>
      <charset val="128"/>
    </font>
    <font>
      <sz val="11"/>
      <color theme="1"/>
      <name val="ＭＳ Ｐゴシック"/>
      <family val="2"/>
      <scheme val="minor"/>
    </font>
    <font>
      <u/>
      <sz val="11"/>
      <color theme="10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sz val="10"/>
      <color rgb="FFFF0000"/>
      <name val="ＭＳ 明朝"/>
      <family val="1"/>
      <charset val="128"/>
    </font>
    <font>
      <sz val="10"/>
      <color rgb="FF000000"/>
      <name val="ＭＳ ゴシック"/>
      <family val="3"/>
      <charset val="128"/>
    </font>
    <font>
      <sz val="9"/>
      <name val="ＭＳ 明朝"/>
      <family val="1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1" fillId="0" borderId="0"/>
    <xf numFmtId="0" fontId="13" fillId="0" borderId="0"/>
    <xf numFmtId="0" fontId="14" fillId="0" borderId="0" applyNumberFormat="0" applyFill="0" applyBorder="0" applyAlignment="0" applyProtection="0"/>
    <xf numFmtId="0" fontId="15" fillId="0" borderId="0">
      <alignment vertical="center"/>
    </xf>
  </cellStyleXfs>
  <cellXfs count="177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5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5" fillId="2" borderId="5" xfId="0" applyFont="1" applyFill="1" applyBorder="1"/>
    <xf numFmtId="0" fontId="5" fillId="2" borderId="0" xfId="0" applyFont="1" applyFill="1"/>
    <xf numFmtId="0" fontId="5" fillId="2" borderId="6" xfId="0" applyFont="1" applyFill="1" applyBorder="1"/>
    <xf numFmtId="0" fontId="5" fillId="2" borderId="7" xfId="0" applyFont="1" applyFill="1" applyBorder="1"/>
    <xf numFmtId="0" fontId="5" fillId="2" borderId="8" xfId="0" applyFont="1" applyFill="1" applyBorder="1"/>
    <xf numFmtId="0" fontId="4" fillId="0" borderId="0" xfId="0" applyFont="1"/>
    <xf numFmtId="49" fontId="1" fillId="0" borderId="0" xfId="0" applyNumberFormat="1" applyFont="1"/>
    <xf numFmtId="0" fontId="5" fillId="0" borderId="0" xfId="0" applyFont="1"/>
    <xf numFmtId="0" fontId="5" fillId="0" borderId="0" xfId="0" applyFont="1" applyAlignment="1">
      <alignment vertical="center"/>
    </xf>
    <xf numFmtId="0" fontId="9" fillId="0" borderId="0" xfId="0" applyFont="1"/>
    <xf numFmtId="0" fontId="4" fillId="0" borderId="0" xfId="0" applyFont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10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12" xfId="0" applyFont="1" applyBorder="1"/>
    <xf numFmtId="0" fontId="12" fillId="0" borderId="12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5" fillId="5" borderId="21" xfId="0" applyFont="1" applyFill="1" applyBorder="1" applyAlignment="1">
      <alignment vertical="center"/>
    </xf>
    <xf numFmtId="0" fontId="5" fillId="3" borderId="21" xfId="0" applyFont="1" applyFill="1" applyBorder="1" applyAlignment="1">
      <alignment horizontal="center" vertical="center"/>
    </xf>
    <xf numFmtId="14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5" fillId="0" borderId="21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4" fontId="5" fillId="0" borderId="21" xfId="0" applyNumberFormat="1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0" fontId="4" fillId="0" borderId="21" xfId="0" applyFont="1" applyBorder="1" applyAlignment="1">
      <alignment vertical="center"/>
    </xf>
    <xf numFmtId="0" fontId="4" fillId="0" borderId="21" xfId="0" applyFont="1" applyBorder="1" applyAlignment="1">
      <alignment vertical="center" wrapText="1"/>
    </xf>
    <xf numFmtId="0" fontId="4" fillId="0" borderId="21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/>
    </xf>
    <xf numFmtId="177" fontId="4" fillId="0" borderId="21" xfId="0" applyNumberFormat="1" applyFont="1" applyBorder="1" applyAlignment="1">
      <alignment horizontal="center" vertical="center"/>
    </xf>
    <xf numFmtId="31" fontId="4" fillId="0" borderId="21" xfId="0" applyNumberFormat="1" applyFont="1" applyBorder="1" applyAlignment="1">
      <alignment horizontal="center" vertical="center"/>
    </xf>
    <xf numFmtId="0" fontId="4" fillId="0" borderId="21" xfId="0" applyFont="1" applyBorder="1" applyAlignment="1">
      <alignment vertical="center" shrinkToFit="1"/>
    </xf>
    <xf numFmtId="0" fontId="6" fillId="4" borderId="21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vertical="center"/>
    </xf>
    <xf numFmtId="0" fontId="4" fillId="6" borderId="21" xfId="0" applyFont="1" applyFill="1" applyBorder="1" applyAlignment="1">
      <alignment horizontal="left" vertical="center"/>
    </xf>
    <xf numFmtId="0" fontId="4" fillId="6" borderId="19" xfId="0" applyFont="1" applyFill="1" applyBorder="1" applyAlignment="1">
      <alignment vertical="center"/>
    </xf>
    <xf numFmtId="0" fontId="4" fillId="6" borderId="15" xfId="0" applyFont="1" applyFill="1" applyBorder="1" applyAlignment="1">
      <alignment vertical="center"/>
    </xf>
    <xf numFmtId="0" fontId="4" fillId="6" borderId="16" xfId="0" applyFont="1" applyFill="1" applyBorder="1" applyAlignment="1">
      <alignment vertical="center"/>
    </xf>
    <xf numFmtId="0" fontId="4" fillId="6" borderId="20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176" fontId="4" fillId="6" borderId="19" xfId="0" applyNumberFormat="1" applyFont="1" applyFill="1" applyBorder="1" applyAlignment="1">
      <alignment horizontal="center" vertical="center"/>
    </xf>
    <xf numFmtId="176" fontId="4" fillId="6" borderId="15" xfId="0" applyNumberFormat="1" applyFont="1" applyFill="1" applyBorder="1" applyAlignment="1">
      <alignment horizontal="center" vertical="center"/>
    </xf>
    <xf numFmtId="176" fontId="4" fillId="6" borderId="16" xfId="0" applyNumberFormat="1" applyFont="1" applyFill="1" applyBorder="1" applyAlignment="1">
      <alignment horizontal="center" vertical="center"/>
    </xf>
    <xf numFmtId="49" fontId="6" fillId="4" borderId="1" xfId="0" applyNumberFormat="1" applyFont="1" applyFill="1" applyBorder="1" applyAlignment="1">
      <alignment horizontal="center" vertical="center"/>
    </xf>
    <xf numFmtId="49" fontId="6" fillId="4" borderId="2" xfId="0" applyNumberFormat="1" applyFont="1" applyFill="1" applyBorder="1" applyAlignment="1">
      <alignment horizontal="center" vertical="center"/>
    </xf>
    <xf numFmtId="49" fontId="6" fillId="4" borderId="3" xfId="0" applyNumberFormat="1" applyFont="1" applyFill="1" applyBorder="1" applyAlignment="1">
      <alignment horizontal="center" vertical="center"/>
    </xf>
    <xf numFmtId="49" fontId="6" fillId="4" borderId="6" xfId="0" applyNumberFormat="1" applyFont="1" applyFill="1" applyBorder="1" applyAlignment="1">
      <alignment horizontal="center" vertical="center"/>
    </xf>
    <xf numFmtId="49" fontId="6" fillId="4" borderId="7" xfId="0" applyNumberFormat="1" applyFont="1" applyFill="1" applyBorder="1" applyAlignment="1">
      <alignment horizontal="center" vertical="center"/>
    </xf>
    <xf numFmtId="49" fontId="6" fillId="4" borderId="8" xfId="0" applyNumberFormat="1" applyFont="1" applyFill="1" applyBorder="1" applyAlignment="1">
      <alignment horizontal="center" vertical="center"/>
    </xf>
    <xf numFmtId="177" fontId="4" fillId="6" borderId="19" xfId="0" applyNumberFormat="1" applyFont="1" applyFill="1" applyBorder="1" applyAlignment="1">
      <alignment horizontal="center" vertical="center"/>
    </xf>
    <xf numFmtId="177" fontId="4" fillId="6" borderId="15" xfId="0" applyNumberFormat="1" applyFont="1" applyFill="1" applyBorder="1" applyAlignment="1">
      <alignment horizontal="center" vertical="center"/>
    </xf>
    <xf numFmtId="177" fontId="4" fillId="6" borderId="16" xfId="0" applyNumberFormat="1" applyFont="1" applyFill="1" applyBorder="1" applyAlignment="1">
      <alignment horizontal="center" vertical="center"/>
    </xf>
    <xf numFmtId="0" fontId="5" fillId="4" borderId="33" xfId="1" applyFont="1" applyFill="1" applyBorder="1" applyAlignment="1">
      <alignment horizontal="center" vertical="center"/>
    </xf>
    <xf numFmtId="0" fontId="5" fillId="4" borderId="23" xfId="1" applyFont="1" applyFill="1" applyBorder="1" applyAlignment="1">
      <alignment horizontal="center" vertical="center"/>
    </xf>
    <xf numFmtId="0" fontId="5" fillId="4" borderId="34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/>
    </xf>
    <xf numFmtId="0" fontId="5" fillId="4" borderId="0" xfId="1" applyFont="1" applyFill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4" borderId="13" xfId="1" applyFont="1" applyFill="1" applyBorder="1" applyAlignment="1">
      <alignment horizontal="center" vertical="center"/>
    </xf>
    <xf numFmtId="0" fontId="5" fillId="4" borderId="12" xfId="1" applyFont="1" applyFill="1" applyBorder="1" applyAlignment="1">
      <alignment horizontal="center" vertical="center"/>
    </xf>
    <xf numFmtId="0" fontId="5" fillId="4" borderId="18" xfId="1" applyFont="1" applyFill="1" applyBorder="1" applyAlignment="1">
      <alignment horizontal="center" vertical="center"/>
    </xf>
    <xf numFmtId="0" fontId="5" fillId="0" borderId="33" xfId="1" applyFont="1" applyBorder="1" applyAlignment="1">
      <alignment horizontal="center" vertical="center"/>
    </xf>
    <xf numFmtId="0" fontId="5" fillId="0" borderId="23" xfId="1" applyFont="1" applyBorder="1" applyAlignment="1">
      <alignment horizontal="center" vertical="center"/>
    </xf>
    <xf numFmtId="0" fontId="5" fillId="0" borderId="24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5" fillId="4" borderId="17" xfId="1" applyFont="1" applyFill="1" applyBorder="1" applyAlignment="1">
      <alignment vertical="center"/>
    </xf>
    <xf numFmtId="0" fontId="5" fillId="4" borderId="15" xfId="1" applyFont="1" applyFill="1" applyBorder="1" applyAlignment="1">
      <alignment vertical="center"/>
    </xf>
    <xf numFmtId="0" fontId="5" fillId="4" borderId="16" xfId="1" applyFont="1" applyFill="1" applyBorder="1" applyAlignment="1">
      <alignment vertical="center"/>
    </xf>
    <xf numFmtId="0" fontId="5" fillId="0" borderId="19" xfId="1" applyFont="1" applyBorder="1" applyAlignment="1">
      <alignment vertical="center" wrapText="1"/>
    </xf>
    <xf numFmtId="0" fontId="5" fillId="0" borderId="15" xfId="1" applyFont="1" applyBorder="1" applyAlignment="1">
      <alignment vertical="center" wrapText="1"/>
    </xf>
    <xf numFmtId="0" fontId="5" fillId="0" borderId="16" xfId="1" applyFont="1" applyBorder="1" applyAlignment="1">
      <alignment vertical="center" wrapText="1"/>
    </xf>
    <xf numFmtId="0" fontId="5" fillId="4" borderId="1" xfId="1" applyFont="1" applyFill="1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center"/>
    </xf>
    <xf numFmtId="0" fontId="5" fillId="4" borderId="3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left" vertical="center"/>
    </xf>
    <xf numFmtId="0" fontId="5" fillId="0" borderId="2" xfId="1" applyFont="1" applyBorder="1" applyAlignment="1">
      <alignment horizontal="left" vertical="center"/>
    </xf>
    <xf numFmtId="0" fontId="5" fillId="0" borderId="3" xfId="1" applyFont="1" applyBorder="1" applyAlignment="1">
      <alignment horizontal="left" vertical="center"/>
    </xf>
    <xf numFmtId="0" fontId="5" fillId="4" borderId="19" xfId="1" applyFont="1" applyFill="1" applyBorder="1" applyAlignment="1">
      <alignment horizontal="center" vertical="center"/>
    </xf>
    <xf numFmtId="0" fontId="5" fillId="4" borderId="15" xfId="1" applyFont="1" applyFill="1" applyBorder="1" applyAlignment="1">
      <alignment horizontal="center" vertical="center"/>
    </xf>
    <xf numFmtId="0" fontId="5" fillId="4" borderId="16" xfId="1" applyFont="1" applyFill="1" applyBorder="1" applyAlignment="1">
      <alignment horizontal="center" vertical="center"/>
    </xf>
    <xf numFmtId="0" fontId="5" fillId="0" borderId="19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31" fontId="5" fillId="0" borderId="19" xfId="1" applyNumberFormat="1" applyFont="1" applyBorder="1" applyAlignment="1">
      <alignment horizontal="center" vertical="center"/>
    </xf>
    <xf numFmtId="31" fontId="5" fillId="0" borderId="15" xfId="1" applyNumberFormat="1" applyFont="1" applyBorder="1" applyAlignment="1">
      <alignment horizontal="center" vertical="center"/>
    </xf>
    <xf numFmtId="31" fontId="5" fillId="0" borderId="16" xfId="1" applyNumberFormat="1" applyFont="1" applyBorder="1" applyAlignment="1">
      <alignment horizontal="center" vertical="center"/>
    </xf>
    <xf numFmtId="0" fontId="5" fillId="4" borderId="28" xfId="1" applyFont="1" applyFill="1" applyBorder="1" applyAlignment="1">
      <alignment vertical="center"/>
    </xf>
    <xf numFmtId="0" fontId="5" fillId="4" borderId="26" xfId="1" applyFont="1" applyFill="1" applyBorder="1" applyAlignment="1">
      <alignment vertical="center"/>
    </xf>
    <xf numFmtId="0" fontId="5" fillId="4" borderId="27" xfId="1" applyFont="1" applyFill="1" applyBorder="1" applyAlignment="1">
      <alignment vertical="center"/>
    </xf>
    <xf numFmtId="0" fontId="5" fillId="0" borderId="25" xfId="1" applyFont="1" applyBorder="1" applyAlignment="1">
      <alignment vertical="center"/>
    </xf>
    <xf numFmtId="0" fontId="5" fillId="0" borderId="26" xfId="1" applyFont="1" applyBorder="1" applyAlignment="1">
      <alignment vertical="center"/>
    </xf>
    <xf numFmtId="0" fontId="5" fillId="0" borderId="27" xfId="1" applyFont="1" applyBorder="1" applyAlignment="1">
      <alignment vertical="center"/>
    </xf>
    <xf numFmtId="0" fontId="5" fillId="4" borderId="25" xfId="1" applyFont="1" applyFill="1" applyBorder="1" applyAlignment="1">
      <alignment horizontal="center" vertical="center"/>
    </xf>
    <xf numFmtId="0" fontId="5" fillId="4" borderId="26" xfId="1" applyFont="1" applyFill="1" applyBorder="1" applyAlignment="1">
      <alignment horizontal="center" vertical="center"/>
    </xf>
    <xf numFmtId="0" fontId="5" fillId="4" borderId="27" xfId="1" applyFont="1" applyFill="1" applyBorder="1" applyAlignment="1">
      <alignment horizontal="center" vertical="center"/>
    </xf>
    <xf numFmtId="0" fontId="5" fillId="0" borderId="25" xfId="1" applyFont="1" applyBorder="1" applyAlignment="1">
      <alignment horizontal="left" vertical="center"/>
    </xf>
    <xf numFmtId="0" fontId="5" fillId="0" borderId="26" xfId="1" applyFont="1" applyBorder="1" applyAlignment="1">
      <alignment horizontal="left" vertical="center"/>
    </xf>
    <xf numFmtId="0" fontId="5" fillId="0" borderId="27" xfId="1" applyFont="1" applyBorder="1" applyAlignment="1">
      <alignment horizontal="left" vertical="center"/>
    </xf>
    <xf numFmtId="0" fontId="5" fillId="0" borderId="25" xfId="1" applyFont="1" applyBorder="1" applyAlignment="1">
      <alignment horizontal="center" vertical="center"/>
    </xf>
    <xf numFmtId="0" fontId="5" fillId="0" borderId="26" xfId="1" applyFont="1" applyBorder="1" applyAlignment="1">
      <alignment horizontal="center" vertical="center"/>
    </xf>
    <xf numFmtId="0" fontId="5" fillId="0" borderId="27" xfId="1" applyFont="1" applyBorder="1" applyAlignment="1">
      <alignment horizontal="center" vertical="center"/>
    </xf>
    <xf numFmtId="0" fontId="5" fillId="4" borderId="29" xfId="1" applyFont="1" applyFill="1" applyBorder="1" applyAlignment="1">
      <alignment vertical="center"/>
    </xf>
    <xf numFmtId="0" fontId="5" fillId="4" borderId="30" xfId="1" applyFont="1" applyFill="1" applyBorder="1" applyAlignment="1">
      <alignment vertical="center"/>
    </xf>
    <xf numFmtId="0" fontId="5" fillId="4" borderId="31" xfId="1" applyFont="1" applyFill="1" applyBorder="1" applyAlignment="1">
      <alignment vertical="center"/>
    </xf>
    <xf numFmtId="0" fontId="5" fillId="0" borderId="32" xfId="1" applyFont="1" applyBorder="1" applyAlignment="1">
      <alignment vertical="center" wrapText="1"/>
    </xf>
    <xf numFmtId="0" fontId="5" fillId="0" borderId="30" xfId="1" applyFont="1" applyBorder="1" applyAlignment="1">
      <alignment vertical="center" wrapText="1"/>
    </xf>
    <xf numFmtId="0" fontId="5" fillId="0" borderId="31" xfId="1" applyFont="1" applyBorder="1" applyAlignment="1">
      <alignment vertical="center" wrapText="1"/>
    </xf>
    <xf numFmtId="0" fontId="5" fillId="0" borderId="13" xfId="1" applyFont="1" applyBorder="1" applyAlignment="1">
      <alignment horizontal="left" vertical="center"/>
    </xf>
    <xf numFmtId="0" fontId="5" fillId="0" borderId="12" xfId="1" applyFont="1" applyBorder="1" applyAlignment="1">
      <alignment horizontal="left" vertical="center"/>
    </xf>
    <xf numFmtId="0" fontId="5" fillId="0" borderId="18" xfId="1" applyFont="1" applyBorder="1" applyAlignment="1">
      <alignment horizontal="left" vertical="center"/>
    </xf>
    <xf numFmtId="0" fontId="5" fillId="4" borderId="32" xfId="1" applyFont="1" applyFill="1" applyBorder="1" applyAlignment="1">
      <alignment horizontal="center" vertical="center"/>
    </xf>
    <xf numFmtId="0" fontId="5" fillId="4" borderId="30" xfId="1" applyFont="1" applyFill="1" applyBorder="1" applyAlignment="1">
      <alignment horizontal="center" vertical="center"/>
    </xf>
    <xf numFmtId="0" fontId="5" fillId="4" borderId="31" xfId="1" applyFont="1" applyFill="1" applyBorder="1" applyAlignment="1">
      <alignment horizontal="center" vertical="center"/>
    </xf>
    <xf numFmtId="0" fontId="5" fillId="0" borderId="32" xfId="1" applyFont="1" applyBorder="1" applyAlignment="1">
      <alignment horizontal="left" vertical="center"/>
    </xf>
    <xf numFmtId="0" fontId="5" fillId="0" borderId="30" xfId="1" applyFont="1" applyBorder="1" applyAlignment="1">
      <alignment horizontal="left" vertical="center"/>
    </xf>
    <xf numFmtId="0" fontId="5" fillId="0" borderId="31" xfId="1" applyFont="1" applyBorder="1" applyAlignment="1">
      <alignment horizontal="left" vertical="center"/>
    </xf>
    <xf numFmtId="31" fontId="5" fillId="0" borderId="25" xfId="1" applyNumberFormat="1" applyFont="1" applyBorder="1" applyAlignment="1">
      <alignment horizontal="center" vertical="center"/>
    </xf>
    <xf numFmtId="31" fontId="5" fillId="0" borderId="26" xfId="1" applyNumberFormat="1" applyFont="1" applyBorder="1" applyAlignment="1">
      <alignment horizontal="center" vertical="center"/>
    </xf>
    <xf numFmtId="31" fontId="5" fillId="0" borderId="27" xfId="1" applyNumberFormat="1" applyFont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0" fontId="5" fillId="0" borderId="33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5" fillId="4" borderId="28" xfId="0" applyFont="1" applyFill="1" applyBorder="1" applyAlignment="1">
      <alignment vertical="center"/>
    </xf>
    <xf numFmtId="0" fontId="5" fillId="4" borderId="26" xfId="0" applyFont="1" applyFill="1" applyBorder="1" applyAlignment="1">
      <alignment vertical="center"/>
    </xf>
    <xf numFmtId="0" fontId="5" fillId="4" borderId="27" xfId="0" applyFont="1" applyFill="1" applyBorder="1" applyAlignment="1">
      <alignment vertical="center"/>
    </xf>
    <xf numFmtId="0" fontId="5" fillId="0" borderId="35" xfId="0" applyFont="1" applyBorder="1" applyAlignment="1">
      <alignment vertical="center"/>
    </xf>
    <xf numFmtId="0" fontId="5" fillId="4" borderId="35" xfId="0" applyFont="1" applyFill="1" applyBorder="1" applyAlignment="1">
      <alignment vertical="center"/>
    </xf>
    <xf numFmtId="0" fontId="5" fillId="0" borderId="35" xfId="0" applyFont="1" applyBorder="1" applyAlignment="1">
      <alignment horizontal="center" vertical="center"/>
    </xf>
    <xf numFmtId="0" fontId="5" fillId="4" borderId="33" xfId="0" applyFont="1" applyFill="1" applyBorder="1" applyAlignment="1">
      <alignment horizontal="left" vertical="center"/>
    </xf>
    <xf numFmtId="0" fontId="5" fillId="4" borderId="23" xfId="0" applyFont="1" applyFill="1" applyBorder="1" applyAlignment="1">
      <alignment horizontal="left" vertical="center"/>
    </xf>
    <xf numFmtId="0" fontId="4" fillId="0" borderId="0" xfId="0" applyFont="1" applyBorder="1" applyAlignment="1">
      <alignment vertical="center"/>
    </xf>
    <xf numFmtId="0" fontId="4" fillId="0" borderId="5" xfId="0" applyFont="1" applyBorder="1"/>
    <xf numFmtId="0" fontId="4" fillId="0" borderId="0" xfId="0" applyFont="1" applyBorder="1"/>
    <xf numFmtId="0" fontId="16" fillId="0" borderId="0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4" xfId="0" applyFont="1" applyBorder="1"/>
    <xf numFmtId="0" fontId="17" fillId="0" borderId="0" xfId="0" applyFont="1" applyAlignment="1">
      <alignment vertical="center"/>
    </xf>
    <xf numFmtId="0" fontId="18" fillId="0" borderId="0" xfId="0" applyFont="1" applyBorder="1" applyAlignment="1">
      <alignment vertical="center"/>
    </xf>
    <xf numFmtId="0" fontId="4" fillId="0" borderId="8" xfId="0" applyFont="1" applyBorder="1"/>
  </cellXfs>
  <cellStyles count="5">
    <cellStyle name="ハイパーリンク 2" xfId="3" xr:uid="{2D91FF51-3B6F-408C-BDC2-09226CC064DA}"/>
    <cellStyle name="標準" xfId="0" builtinId="0"/>
    <cellStyle name="標準 2" xfId="2" xr:uid="{AA562ABC-5F85-40DC-8AD0-360939B3DE29}"/>
    <cellStyle name="標準 2 2" xfId="4" xr:uid="{06C3950B-2B1C-416C-9259-9C12371A82BA}"/>
    <cellStyle name="標準_概念_要件定義書（原紙本文EAI-HUB用）_プライオリティ規約（修正版20020430_MQプライオリティ追加)" xfId="1" xr:uid="{00000000-0005-0000-0000-000002000000}"/>
  </cellStyles>
  <dxfs count="0"/>
  <tableStyles count="0" defaultTableStyle="TableStyleMedium9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svg"/><Relationship Id="rId1" Type="http://schemas.openxmlformats.org/officeDocument/2006/relationships/image" Target="../media/image2.png"/><Relationship Id="rId4" Type="http://schemas.openxmlformats.org/officeDocument/2006/relationships/image" Target="../media/image5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21</xdr:col>
      <xdr:colOff>0</xdr:colOff>
      <xdr:row>7</xdr:row>
      <xdr:rowOff>0</xdr:rowOff>
    </xdr:to>
    <xdr:sp macro="" textlink="">
      <xdr:nvSpPr>
        <xdr:cNvPr id="373761" name="Text Box 1">
          <a:extLst>
            <a:ext uri="{FF2B5EF4-FFF2-40B4-BE49-F238E27FC236}">
              <a16:creationId xmlns:a16="http://schemas.microsoft.com/office/drawing/2014/main" id="{00000000-0008-0000-0000-000001B40500}"/>
            </a:ext>
          </a:extLst>
        </xdr:cNvPr>
        <xdr:cNvSpPr txBox="1">
          <a:spLocks noChangeArrowheads="1"/>
        </xdr:cNvSpPr>
      </xdr:nvSpPr>
      <xdr:spPr bwMode="auto">
        <a:xfrm>
          <a:off x="2743200" y="171450"/>
          <a:ext cx="4457700" cy="1028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ja-JP" altLang="en-US" sz="2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同志社大学様</a:t>
          </a:r>
        </a:p>
      </xdr:txBody>
    </xdr:sp>
    <xdr:clientData/>
  </xdr:twoCellAnchor>
  <xdr:twoCellAnchor>
    <xdr:from>
      <xdr:col>8</xdr:col>
      <xdr:colOff>133350</xdr:colOff>
      <xdr:row>5</xdr:row>
      <xdr:rowOff>66675</xdr:rowOff>
    </xdr:from>
    <xdr:to>
      <xdr:col>19</xdr:col>
      <xdr:colOff>285750</xdr:colOff>
      <xdr:row>5</xdr:row>
      <xdr:rowOff>66675</xdr:rowOff>
    </xdr:to>
    <xdr:sp macro="" textlink="">
      <xdr:nvSpPr>
        <xdr:cNvPr id="373762" name="Line 2">
          <a:extLst>
            <a:ext uri="{FF2B5EF4-FFF2-40B4-BE49-F238E27FC236}">
              <a16:creationId xmlns:a16="http://schemas.microsoft.com/office/drawing/2014/main" id="{00000000-0008-0000-0000-000002B40500}"/>
            </a:ext>
          </a:extLst>
        </xdr:cNvPr>
        <xdr:cNvSpPr>
          <a:spLocks noChangeShapeType="1"/>
        </xdr:cNvSpPr>
      </xdr:nvSpPr>
      <xdr:spPr bwMode="auto">
        <a:xfrm flipV="1">
          <a:off x="2876550" y="923925"/>
          <a:ext cx="392430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10</xdr:col>
      <xdr:colOff>190500</xdr:colOff>
      <xdr:row>30</xdr:row>
      <xdr:rowOff>89647</xdr:rowOff>
    </xdr:from>
    <xdr:to>
      <xdr:col>18</xdr:col>
      <xdr:colOff>114789</xdr:colOff>
      <xdr:row>34</xdr:row>
      <xdr:rowOff>131668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7FD7D7F-7597-42AC-8526-A24AB0EA5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4324" y="5132294"/>
          <a:ext cx="2703347" cy="7143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57149</xdr:colOff>
      <xdr:row>12</xdr:row>
      <xdr:rowOff>66675</xdr:rowOff>
    </xdr:from>
    <xdr:to>
      <xdr:col>24</xdr:col>
      <xdr:colOff>123824</xdr:colOff>
      <xdr:row>17</xdr:row>
      <xdr:rowOff>152400</xdr:rowOff>
    </xdr:to>
    <xdr:pic>
      <xdr:nvPicPr>
        <xdr:cNvPr id="4" name="グラフィックス 3" descr="紙">
          <a:extLst>
            <a:ext uri="{FF2B5EF4-FFF2-40B4-BE49-F238E27FC236}">
              <a16:creationId xmlns:a16="http://schemas.microsoft.com/office/drawing/2014/main" id="{B70AAF0D-0FDC-7F7C-74FF-088B29368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57274" y="2162175"/>
          <a:ext cx="923925" cy="1038225"/>
        </a:xfrm>
        <a:prstGeom prst="rect">
          <a:avLst/>
        </a:prstGeom>
      </xdr:spPr>
    </xdr:pic>
    <xdr:clientData/>
  </xdr:twoCellAnchor>
  <xdr:twoCellAnchor>
    <xdr:from>
      <xdr:col>18</xdr:col>
      <xdr:colOff>66675</xdr:colOff>
      <xdr:row>16</xdr:row>
      <xdr:rowOff>0</xdr:rowOff>
    </xdr:from>
    <xdr:to>
      <xdr:col>24</xdr:col>
      <xdr:colOff>85725</xdr:colOff>
      <xdr:row>17</xdr:row>
      <xdr:rowOff>85725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5EDA9B8C-87BB-8911-24EF-8A0C3DB74972}"/>
            </a:ext>
          </a:extLst>
        </xdr:cNvPr>
        <xdr:cNvSpPr/>
      </xdr:nvSpPr>
      <xdr:spPr bwMode="auto">
        <a:xfrm>
          <a:off x="1066800" y="2857500"/>
          <a:ext cx="876300" cy="276225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>
            <a:rot lat="0" lon="0" rev="0"/>
          </a:camera>
          <a:lightRig rig="threePt" dir="t"/>
        </a:scene3d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50" b="1">
              <a:latin typeface="Arial Black" panose="020B0A04020102020204" pitchFamily="34" charset="0"/>
            </a:rPr>
            <a:t>実行用</a:t>
          </a:r>
          <a:r>
            <a:rPr kumimoji="1" lang="en-US" altLang="ja-JP" sz="1050" b="1">
              <a:latin typeface="Arial Black" panose="020B0A04020102020204" pitchFamily="34" charset="0"/>
            </a:rPr>
            <a:t>.bat</a:t>
          </a:r>
          <a:endParaRPr kumimoji="1" lang="ja-JP" altLang="en-US" sz="1050" b="1"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31</xdr:col>
      <xdr:colOff>123825</xdr:colOff>
      <xdr:row>12</xdr:row>
      <xdr:rowOff>57150</xdr:rowOff>
    </xdr:from>
    <xdr:to>
      <xdr:col>38</xdr:col>
      <xdr:colOff>47625</xdr:colOff>
      <xdr:row>17</xdr:row>
      <xdr:rowOff>142875</xdr:rowOff>
    </xdr:to>
    <xdr:pic>
      <xdr:nvPicPr>
        <xdr:cNvPr id="6" name="グラフィックス 5" descr="紙">
          <a:extLst>
            <a:ext uri="{FF2B5EF4-FFF2-40B4-BE49-F238E27FC236}">
              <a16:creationId xmlns:a16="http://schemas.microsoft.com/office/drawing/2014/main" id="{62317256-396D-4704-A8D4-679A049925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981325" y="2152650"/>
          <a:ext cx="923925" cy="1038225"/>
        </a:xfrm>
        <a:prstGeom prst="rect">
          <a:avLst/>
        </a:prstGeom>
      </xdr:spPr>
    </xdr:pic>
    <xdr:clientData/>
  </xdr:twoCellAnchor>
  <xdr:twoCellAnchor>
    <xdr:from>
      <xdr:col>29</xdr:col>
      <xdr:colOff>47625</xdr:colOff>
      <xdr:row>16</xdr:row>
      <xdr:rowOff>19049</xdr:rowOff>
    </xdr:from>
    <xdr:to>
      <xdr:col>40</xdr:col>
      <xdr:colOff>66675</xdr:colOff>
      <xdr:row>17</xdr:row>
      <xdr:rowOff>76200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601C4651-DB3F-4AAD-B517-F1EC631BE37D}"/>
            </a:ext>
          </a:extLst>
        </xdr:cNvPr>
        <xdr:cNvSpPr/>
      </xdr:nvSpPr>
      <xdr:spPr bwMode="auto">
        <a:xfrm>
          <a:off x="3762375" y="2876549"/>
          <a:ext cx="1590675" cy="247651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>
            <a:rot lat="0" lon="0" rev="0"/>
          </a:camera>
          <a:lightRig rig="threePt" dir="t"/>
        </a:scene3d>
      </xdr:spPr>
      <xdr:txBody>
        <a:bodyPr vertOverflow="clip" wrap="square" lIns="18288" tIns="0" rIns="0" bIns="0" rtlCol="0" anchor="t" upright="1"/>
        <a:lstStyle/>
        <a:p>
          <a:pPr algn="l"/>
          <a:r>
            <a:rPr kumimoji="1" lang="en-US" altLang="ja-JP" sz="1000" b="1">
              <a:latin typeface="Arial" panose="020B0604020202020204" pitchFamily="34" charset="0"/>
              <a:ea typeface="+mj-ea"/>
              <a:cs typeface="Arial" panose="020B0604020202020204" pitchFamily="34" charset="0"/>
            </a:rPr>
            <a:t>CC99999B_DAILY.bat</a:t>
          </a:r>
          <a:endParaRPr lang="ja-JP" altLang="ja-JP" sz="1000">
            <a:effectLst/>
            <a:latin typeface="Arial" panose="020B0604020202020204" pitchFamily="34" charset="0"/>
            <a:ea typeface="+mj-ea"/>
            <a:cs typeface="Arial" panose="020B0604020202020204" pitchFamily="34" charset="0"/>
          </a:endParaRPr>
        </a:p>
      </xdr:txBody>
    </xdr:sp>
    <xdr:clientData/>
  </xdr:twoCellAnchor>
  <xdr:twoCellAnchor>
    <xdr:from>
      <xdr:col>25</xdr:col>
      <xdr:colOff>9525</xdr:colOff>
      <xdr:row>15</xdr:row>
      <xdr:rowOff>14288</xdr:rowOff>
    </xdr:from>
    <xdr:to>
      <xdr:col>32</xdr:col>
      <xdr:colOff>95250</xdr:colOff>
      <xdr:row>15</xdr:row>
      <xdr:rowOff>14288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61C22EC1-BD88-2E58-7AD5-512759260C1E}"/>
            </a:ext>
          </a:extLst>
        </xdr:cNvPr>
        <xdr:cNvCxnSpPr/>
      </xdr:nvCxnSpPr>
      <xdr:spPr bwMode="auto">
        <a:xfrm>
          <a:off x="3152775" y="2681288"/>
          <a:ext cx="1085850" cy="0"/>
        </a:xfrm>
        <a:prstGeom prst="straightConnector1">
          <a:avLst/>
        </a:prstGeom>
        <a:solidFill>
          <a:srgbClr val="FFFFFF"/>
        </a:solidFill>
        <a:ln w="7620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38</xdr:col>
      <xdr:colOff>38100</xdr:colOff>
      <xdr:row>15</xdr:row>
      <xdr:rowOff>38100</xdr:rowOff>
    </xdr:from>
    <xdr:to>
      <xdr:col>50</xdr:col>
      <xdr:colOff>41849</xdr:colOff>
      <xdr:row>15</xdr:row>
      <xdr:rowOff>38100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id="{4591961F-16E7-4208-9D42-DC643C145E59}"/>
            </a:ext>
          </a:extLst>
        </xdr:cNvPr>
        <xdr:cNvCxnSpPr/>
      </xdr:nvCxnSpPr>
      <xdr:spPr bwMode="auto">
        <a:xfrm>
          <a:off x="5467350" y="2705100"/>
          <a:ext cx="1718249" cy="0"/>
        </a:xfrm>
        <a:prstGeom prst="straightConnector1">
          <a:avLst/>
        </a:prstGeom>
        <a:solidFill>
          <a:srgbClr val="FFFFFF"/>
        </a:solidFill>
        <a:ln w="7620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56</xdr:col>
      <xdr:colOff>104775</xdr:colOff>
      <xdr:row>29</xdr:row>
      <xdr:rowOff>133350</xdr:rowOff>
    </xdr:from>
    <xdr:to>
      <xdr:col>64</xdr:col>
      <xdr:colOff>57150</xdr:colOff>
      <xdr:row>33</xdr:row>
      <xdr:rowOff>142875</xdr:rowOff>
    </xdr:to>
    <xdr:sp macro="" textlink="">
      <xdr:nvSpPr>
        <xdr:cNvPr id="37" name="フローチャート: 磁気ディスク 36">
          <a:extLst>
            <a:ext uri="{FF2B5EF4-FFF2-40B4-BE49-F238E27FC236}">
              <a16:creationId xmlns:a16="http://schemas.microsoft.com/office/drawing/2014/main" id="{88BA9BD7-AA40-169F-1912-2BA3887F5D5F}"/>
            </a:ext>
          </a:extLst>
        </xdr:cNvPr>
        <xdr:cNvSpPr/>
      </xdr:nvSpPr>
      <xdr:spPr bwMode="auto">
        <a:xfrm>
          <a:off x="7391400" y="5657850"/>
          <a:ext cx="1095375" cy="771525"/>
        </a:xfrm>
        <a:prstGeom prst="flowChartMagneticDisk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>
            <a:rot lat="0" lon="0" rev="0"/>
          </a:camera>
          <a:lightRig rig="threePt" dir="t"/>
        </a:scene3d>
      </xdr:spPr>
      <xdr:txBody>
        <a:bodyPr vertOverflow="clip" wrap="square" lIns="18288" tIns="0" rIns="0" bIns="0" rtlCol="0" anchor="ctr" upright="1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57</xdr:col>
      <xdr:colOff>114300</xdr:colOff>
      <xdr:row>30</xdr:row>
      <xdr:rowOff>95250</xdr:rowOff>
    </xdr:from>
    <xdr:to>
      <xdr:col>65</xdr:col>
      <xdr:colOff>66675</xdr:colOff>
      <xdr:row>34</xdr:row>
      <xdr:rowOff>104775</xdr:rowOff>
    </xdr:to>
    <xdr:sp macro="" textlink="">
      <xdr:nvSpPr>
        <xdr:cNvPr id="38" name="フローチャート: 磁気ディスク 37">
          <a:extLst>
            <a:ext uri="{FF2B5EF4-FFF2-40B4-BE49-F238E27FC236}">
              <a16:creationId xmlns:a16="http://schemas.microsoft.com/office/drawing/2014/main" id="{D1C84252-6ABB-4363-9925-008C349C4D08}"/>
            </a:ext>
          </a:extLst>
        </xdr:cNvPr>
        <xdr:cNvSpPr/>
      </xdr:nvSpPr>
      <xdr:spPr bwMode="auto">
        <a:xfrm>
          <a:off x="7543800" y="5810250"/>
          <a:ext cx="1095375" cy="771525"/>
        </a:xfrm>
        <a:prstGeom prst="flowChartMagneticDisk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>
            <a:rot lat="0" lon="0" rev="0"/>
          </a:camera>
          <a:lightRig rig="threePt" dir="t"/>
        </a:scene3d>
      </xdr:spPr>
      <xdr:txBody>
        <a:bodyPr vertOverflow="clip" wrap="square" lIns="18288" tIns="0" rIns="0" bIns="0" rtlCol="0" anchor="ctr" upright="1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58</xdr:col>
      <xdr:colOff>123825</xdr:colOff>
      <xdr:row>31</xdr:row>
      <xdr:rowOff>57150</xdr:rowOff>
    </xdr:from>
    <xdr:to>
      <xdr:col>66</xdr:col>
      <xdr:colOff>76200</xdr:colOff>
      <xdr:row>35</xdr:row>
      <xdr:rowOff>66675</xdr:rowOff>
    </xdr:to>
    <xdr:sp macro="" textlink="">
      <xdr:nvSpPr>
        <xdr:cNvPr id="39" name="フローチャート: 磁気ディスク 38">
          <a:extLst>
            <a:ext uri="{FF2B5EF4-FFF2-40B4-BE49-F238E27FC236}">
              <a16:creationId xmlns:a16="http://schemas.microsoft.com/office/drawing/2014/main" id="{B9A0CE11-2CAE-42FC-B32B-3D051534AA04}"/>
            </a:ext>
          </a:extLst>
        </xdr:cNvPr>
        <xdr:cNvSpPr/>
      </xdr:nvSpPr>
      <xdr:spPr bwMode="auto">
        <a:xfrm>
          <a:off x="7696200" y="5962650"/>
          <a:ext cx="1095375" cy="771525"/>
        </a:xfrm>
        <a:prstGeom prst="flowChartMagneticDisk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>
            <a:rot lat="0" lon="0" rev="0"/>
          </a:camera>
          <a:lightRig rig="threePt" dir="t"/>
        </a:scene3d>
      </xdr:spPr>
      <xdr:txBody>
        <a:bodyPr vertOverflow="clip" wrap="square" lIns="18288" tIns="0" rIns="0" bIns="0" rtlCol="0" anchor="ctr" upright="1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59</xdr:col>
      <xdr:colOff>133350</xdr:colOff>
      <xdr:row>32</xdr:row>
      <xdr:rowOff>19050</xdr:rowOff>
    </xdr:from>
    <xdr:to>
      <xdr:col>67</xdr:col>
      <xdr:colOff>85725</xdr:colOff>
      <xdr:row>36</xdr:row>
      <xdr:rowOff>28575</xdr:rowOff>
    </xdr:to>
    <xdr:sp macro="" textlink="">
      <xdr:nvSpPr>
        <xdr:cNvPr id="40" name="フローチャート: 磁気ディスク 39">
          <a:extLst>
            <a:ext uri="{FF2B5EF4-FFF2-40B4-BE49-F238E27FC236}">
              <a16:creationId xmlns:a16="http://schemas.microsoft.com/office/drawing/2014/main" id="{19A32F74-277A-4220-8521-A4E22E57924A}"/>
            </a:ext>
          </a:extLst>
        </xdr:cNvPr>
        <xdr:cNvSpPr/>
      </xdr:nvSpPr>
      <xdr:spPr bwMode="auto">
        <a:xfrm>
          <a:off x="7848600" y="6115050"/>
          <a:ext cx="1095375" cy="771525"/>
        </a:xfrm>
        <a:prstGeom prst="flowChartMagneticDisk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>
            <a:rot lat="0" lon="0" rev="0"/>
          </a:camera>
          <a:lightRig rig="threePt" dir="t"/>
        </a:scene3d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/>
            <a:t>テーブル</a:t>
          </a:r>
        </a:p>
      </xdr:txBody>
    </xdr:sp>
    <xdr:clientData/>
  </xdr:twoCellAnchor>
  <xdr:twoCellAnchor>
    <xdr:from>
      <xdr:col>62</xdr:col>
      <xdr:colOff>28575</xdr:colOff>
      <xdr:row>16</xdr:row>
      <xdr:rowOff>123825</xdr:rowOff>
    </xdr:from>
    <xdr:to>
      <xdr:col>69</xdr:col>
      <xdr:colOff>47625</xdr:colOff>
      <xdr:row>30</xdr:row>
      <xdr:rowOff>95250</xdr:rowOff>
    </xdr:to>
    <xdr:cxnSp macro="">
      <xdr:nvCxnSpPr>
        <xdr:cNvPr id="41" name="直線矢印コネクタ 40">
          <a:extLst>
            <a:ext uri="{FF2B5EF4-FFF2-40B4-BE49-F238E27FC236}">
              <a16:creationId xmlns:a16="http://schemas.microsoft.com/office/drawing/2014/main" id="{113D0F43-74D3-4A94-AFBC-A8E6C9C7948D}"/>
            </a:ext>
          </a:extLst>
        </xdr:cNvPr>
        <xdr:cNvCxnSpPr/>
      </xdr:nvCxnSpPr>
      <xdr:spPr bwMode="auto">
        <a:xfrm flipH="1">
          <a:off x="8886825" y="3171825"/>
          <a:ext cx="1019175" cy="2638425"/>
        </a:xfrm>
        <a:prstGeom prst="straightConnector1">
          <a:avLst/>
        </a:prstGeom>
        <a:solidFill>
          <a:srgbClr val="FFFFFF"/>
        </a:solidFill>
        <a:ln w="7620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51</xdr:col>
      <xdr:colOff>0</xdr:colOff>
      <xdr:row>13</xdr:row>
      <xdr:rowOff>0</xdr:rowOff>
    </xdr:from>
    <xdr:to>
      <xdr:col>62</xdr:col>
      <xdr:colOff>19050</xdr:colOff>
      <xdr:row>16</xdr:row>
      <xdr:rowOff>28575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5D7E47B0-E84D-4798-A98B-3B87037A5413}"/>
            </a:ext>
          </a:extLst>
        </xdr:cNvPr>
        <xdr:cNvSpPr/>
      </xdr:nvSpPr>
      <xdr:spPr bwMode="auto">
        <a:xfrm>
          <a:off x="6858000" y="2286000"/>
          <a:ext cx="1590675" cy="600075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>
            <a:rot lat="0" lon="0" rev="0"/>
          </a:camera>
          <a:lightRig rig="threePt" dir="t"/>
        </a:scene3d>
      </xdr:spPr>
      <xdr:txBody>
        <a:bodyPr vertOverflow="clip" wrap="square" lIns="18288" tIns="0" rIns="0" bIns="0" rtlCol="0" anchor="t" upright="1"/>
        <a:lstStyle/>
        <a:p>
          <a:r>
            <a:rPr lang="en-US" altLang="ja-JP" sz="1100">
              <a:effectLst/>
              <a:latin typeface="+mn-lt"/>
              <a:ea typeface="+mn-ea"/>
              <a:cs typeface="+mn-cs"/>
            </a:rPr>
            <a:t>BatchDriver2.java</a:t>
          </a:r>
        </a:p>
        <a:p>
          <a:r>
            <a:rPr lang="ja-JP" altLang="en-US" sz="1100">
              <a:effectLst/>
              <a:latin typeface="+mn-lt"/>
              <a:ea typeface="+mn-ea"/>
              <a:cs typeface="+mn-cs"/>
            </a:rPr>
            <a:t>　バッチドライバ</a:t>
          </a:r>
          <a:endParaRPr lang="en-US" altLang="ja-JP" sz="1100"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62</xdr:col>
      <xdr:colOff>133350</xdr:colOff>
      <xdr:row>15</xdr:row>
      <xdr:rowOff>28575</xdr:rowOff>
    </xdr:from>
    <xdr:to>
      <xdr:col>67</xdr:col>
      <xdr:colOff>123825</xdr:colOff>
      <xdr:row>15</xdr:row>
      <xdr:rowOff>42862</xdr:rowOff>
    </xdr:to>
    <xdr:cxnSp macro="">
      <xdr:nvCxnSpPr>
        <xdr:cNvPr id="45" name="直線矢印コネクタ 44">
          <a:extLst>
            <a:ext uri="{FF2B5EF4-FFF2-40B4-BE49-F238E27FC236}">
              <a16:creationId xmlns:a16="http://schemas.microsoft.com/office/drawing/2014/main" id="{C07F0C30-30B1-49CC-9A1C-AF459312A536}"/>
            </a:ext>
          </a:extLst>
        </xdr:cNvPr>
        <xdr:cNvCxnSpPr/>
      </xdr:nvCxnSpPr>
      <xdr:spPr bwMode="auto">
        <a:xfrm>
          <a:off x="8991600" y="2695575"/>
          <a:ext cx="704850" cy="14287"/>
        </a:xfrm>
        <a:prstGeom prst="straightConnector1">
          <a:avLst/>
        </a:prstGeom>
        <a:solidFill>
          <a:srgbClr val="FFFFFF"/>
        </a:solidFill>
        <a:ln w="7620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69</xdr:col>
      <xdr:colOff>0</xdr:colOff>
      <xdr:row>13</xdr:row>
      <xdr:rowOff>9525</xdr:rowOff>
    </xdr:from>
    <xdr:to>
      <xdr:col>80</xdr:col>
      <xdr:colOff>19050</xdr:colOff>
      <xdr:row>16</xdr:row>
      <xdr:rowOff>38100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7ABE2A46-EF14-4436-9D08-F527F64CD384}"/>
            </a:ext>
          </a:extLst>
        </xdr:cNvPr>
        <xdr:cNvSpPr/>
      </xdr:nvSpPr>
      <xdr:spPr bwMode="auto">
        <a:xfrm>
          <a:off x="9858375" y="2295525"/>
          <a:ext cx="1590675" cy="600075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>
            <a:rot lat="0" lon="0" rev="0"/>
          </a:camera>
          <a:lightRig rig="threePt" dir="t"/>
        </a:scene3d>
      </xdr:spPr>
      <xdr:txBody>
        <a:bodyPr vertOverflow="clip" wrap="square" lIns="18288" tIns="0" rIns="0" bIns="0" rtlCol="0" anchor="t" upright="1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Cc99999bBatchImpl.java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バッチ処理</a:t>
          </a:r>
          <a:endParaRPr kumimoji="0" lang="en-US" altLang="ja-JP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4</xdr:col>
      <xdr:colOff>123825</xdr:colOff>
      <xdr:row>12</xdr:row>
      <xdr:rowOff>85725</xdr:rowOff>
    </xdr:from>
    <xdr:to>
      <xdr:col>11</xdr:col>
      <xdr:colOff>38100</xdr:colOff>
      <xdr:row>17</xdr:row>
      <xdr:rowOff>47625</xdr:rowOff>
    </xdr:to>
    <xdr:pic>
      <xdr:nvPicPr>
        <xdr:cNvPr id="53" name="グラフィックス 52" descr="時計">
          <a:extLst>
            <a:ext uri="{FF2B5EF4-FFF2-40B4-BE49-F238E27FC236}">
              <a16:creationId xmlns:a16="http://schemas.microsoft.com/office/drawing/2014/main" id="{A973B22C-2B9E-72D0-0A00-0DF76DC9B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5325" y="2181225"/>
          <a:ext cx="914400" cy="914400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</xdr:row>
      <xdr:rowOff>47625</xdr:rowOff>
    </xdr:from>
    <xdr:to>
      <xdr:col>18</xdr:col>
      <xdr:colOff>133350</xdr:colOff>
      <xdr:row>15</xdr:row>
      <xdr:rowOff>47625</xdr:rowOff>
    </xdr:to>
    <xdr:cxnSp macro="">
      <xdr:nvCxnSpPr>
        <xdr:cNvPr id="54" name="直線矢印コネクタ 53">
          <a:extLst>
            <a:ext uri="{FF2B5EF4-FFF2-40B4-BE49-F238E27FC236}">
              <a16:creationId xmlns:a16="http://schemas.microsoft.com/office/drawing/2014/main" id="{7281ED8E-EE61-472D-8120-BCE3048762F8}"/>
            </a:ext>
          </a:extLst>
        </xdr:cNvPr>
        <xdr:cNvCxnSpPr/>
      </xdr:nvCxnSpPr>
      <xdr:spPr bwMode="auto">
        <a:xfrm>
          <a:off x="1619250" y="2714625"/>
          <a:ext cx="1085850" cy="0"/>
        </a:xfrm>
        <a:prstGeom prst="straightConnector1">
          <a:avLst/>
        </a:prstGeom>
        <a:solidFill>
          <a:srgbClr val="FFFFFF"/>
        </a:solidFill>
        <a:ln w="7620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31</xdr:col>
      <xdr:colOff>0</xdr:colOff>
      <xdr:row>28</xdr:row>
      <xdr:rowOff>0</xdr:rowOff>
    </xdr:from>
    <xdr:to>
      <xdr:col>40</xdr:col>
      <xdr:colOff>9525</xdr:colOff>
      <xdr:row>30</xdr:row>
      <xdr:rowOff>161925</xdr:rowOff>
    </xdr:to>
    <xdr:sp macro="" textlink="">
      <xdr:nvSpPr>
        <xdr:cNvPr id="58" name="四角形: メモ 57">
          <a:extLst>
            <a:ext uri="{FF2B5EF4-FFF2-40B4-BE49-F238E27FC236}">
              <a16:creationId xmlns:a16="http://schemas.microsoft.com/office/drawing/2014/main" id="{38247678-C836-47CC-B567-085F6470BF17}"/>
            </a:ext>
          </a:extLst>
        </xdr:cNvPr>
        <xdr:cNvSpPr/>
      </xdr:nvSpPr>
      <xdr:spPr bwMode="auto">
        <a:xfrm>
          <a:off x="4429125" y="5334000"/>
          <a:ext cx="1295400" cy="542925"/>
        </a:xfrm>
        <a:prstGeom prst="foldedCorner">
          <a:avLst>
            <a:gd name="adj" fmla="val 34058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>
            <a:rot lat="0" lon="0" rev="0"/>
          </a:camera>
          <a:lightRig rig="threePt" dir="t"/>
        </a:scene3d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/>
            <a:t>CC9999B_DAILY</a:t>
          </a:r>
          <a:r>
            <a:rPr lang="en-US" altLang="ja-JP" sz="1100">
              <a:effectLst/>
              <a:latin typeface="+mn-lt"/>
              <a:ea typeface="+mn-ea"/>
              <a:cs typeface="+mn-cs"/>
            </a:rPr>
            <a:t>.YYYY-MM-DD.err</a:t>
          </a:r>
        </a:p>
      </xdr:txBody>
    </xdr:sp>
    <xdr:clientData/>
  </xdr:twoCellAnchor>
  <xdr:twoCellAnchor>
    <xdr:from>
      <xdr:col>35</xdr:col>
      <xdr:colOff>19049</xdr:colOff>
      <xdr:row>21</xdr:row>
      <xdr:rowOff>123825</xdr:rowOff>
    </xdr:from>
    <xdr:to>
      <xdr:col>35</xdr:col>
      <xdr:colOff>19049</xdr:colOff>
      <xdr:row>26</xdr:row>
      <xdr:rowOff>179325</xdr:rowOff>
    </xdr:to>
    <xdr:cxnSp macro="">
      <xdr:nvCxnSpPr>
        <xdr:cNvPr id="61" name="直線矢印コネクタ 60">
          <a:extLst>
            <a:ext uri="{FF2B5EF4-FFF2-40B4-BE49-F238E27FC236}">
              <a16:creationId xmlns:a16="http://schemas.microsoft.com/office/drawing/2014/main" id="{50854585-CE7D-49D7-B5BA-165BEEF17CB2}"/>
            </a:ext>
          </a:extLst>
        </xdr:cNvPr>
        <xdr:cNvCxnSpPr/>
      </xdr:nvCxnSpPr>
      <xdr:spPr bwMode="auto">
        <a:xfrm flipH="1">
          <a:off x="5019674" y="4124325"/>
          <a:ext cx="0" cy="1008000"/>
        </a:xfrm>
        <a:prstGeom prst="straightConnector1">
          <a:avLst/>
        </a:prstGeom>
        <a:solidFill>
          <a:srgbClr val="FFFFFF"/>
        </a:solidFill>
        <a:ln w="76200" cap="flat" cmpd="sng" algn="ctr">
          <a:solidFill>
            <a:schemeClr val="tx1">
              <a:lumMod val="50000"/>
              <a:lumOff val="50000"/>
            </a:schemeClr>
          </a:solidFill>
          <a:prstDash val="sysDot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18</xdr:col>
      <xdr:colOff>123825</xdr:colOff>
      <xdr:row>25</xdr:row>
      <xdr:rowOff>0</xdr:rowOff>
    </xdr:from>
    <xdr:to>
      <xdr:col>24</xdr:col>
      <xdr:colOff>66675</xdr:colOff>
      <xdr:row>27</xdr:row>
      <xdr:rowOff>161925</xdr:rowOff>
    </xdr:to>
    <xdr:sp macro="" textlink="">
      <xdr:nvSpPr>
        <xdr:cNvPr id="62" name="四角形: メモ 61">
          <a:extLst>
            <a:ext uri="{FF2B5EF4-FFF2-40B4-BE49-F238E27FC236}">
              <a16:creationId xmlns:a16="http://schemas.microsoft.com/office/drawing/2014/main" id="{95194AF4-687B-427C-874E-12201ACA6DF2}"/>
            </a:ext>
          </a:extLst>
        </xdr:cNvPr>
        <xdr:cNvSpPr/>
      </xdr:nvSpPr>
      <xdr:spPr bwMode="auto">
        <a:xfrm>
          <a:off x="2695575" y="4762500"/>
          <a:ext cx="800100" cy="542925"/>
        </a:xfrm>
        <a:prstGeom prst="foldedCorner">
          <a:avLst>
            <a:gd name="adj" fmla="val 34058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>
            <a:rot lat="0" lon="0" rev="0"/>
          </a:camera>
          <a:lightRig rig="threePt" dir="t"/>
        </a:scene3d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/>
            <a:t>ENV.txt</a:t>
          </a:r>
          <a:endParaRPr lang="en-US" altLang="ja-JP" sz="1100"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21</xdr:col>
      <xdr:colOff>57150</xdr:colOff>
      <xdr:row>22</xdr:row>
      <xdr:rowOff>47625</xdr:rowOff>
    </xdr:from>
    <xdr:to>
      <xdr:col>21</xdr:col>
      <xdr:colOff>57150</xdr:colOff>
      <xdr:row>24</xdr:row>
      <xdr:rowOff>142875</xdr:rowOff>
    </xdr:to>
    <xdr:cxnSp macro="">
      <xdr:nvCxnSpPr>
        <xdr:cNvPr id="63" name="直線矢印コネクタ 62">
          <a:extLst>
            <a:ext uri="{FF2B5EF4-FFF2-40B4-BE49-F238E27FC236}">
              <a16:creationId xmlns:a16="http://schemas.microsoft.com/office/drawing/2014/main" id="{830D3C21-1A54-4752-84AB-60841F4BE064}"/>
            </a:ext>
          </a:extLst>
        </xdr:cNvPr>
        <xdr:cNvCxnSpPr/>
      </xdr:nvCxnSpPr>
      <xdr:spPr bwMode="auto">
        <a:xfrm flipV="1">
          <a:off x="3057525" y="4238625"/>
          <a:ext cx="0" cy="476250"/>
        </a:xfrm>
        <a:prstGeom prst="straightConnector1">
          <a:avLst/>
        </a:prstGeom>
        <a:solidFill>
          <a:srgbClr val="FFFFFF"/>
        </a:solidFill>
        <a:ln w="76200" cap="flat" cmpd="sng" algn="ctr">
          <a:solidFill>
            <a:schemeClr val="tx1">
              <a:lumMod val="50000"/>
              <a:lumOff val="50000"/>
            </a:schemeClr>
          </a:solidFill>
          <a:prstDash val="sysDot"/>
          <a:round/>
          <a:headEnd type="none" w="med" len="med"/>
          <a:tailEnd type="triangle"/>
        </a:ln>
        <a:effectLst/>
      </xdr:spPr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>
            <a:rot lat="0" lon="0" rev="0"/>
          </a:camera>
          <a:lightRig rig="threePt" dir="t"/>
        </a:scene3d>
      </a:spPr>
      <a:bodyPr vertOverflow="clip" wrap="square" lIns="18288" tIns="0" rIns="0" bIns="0" rtlCol="0" anchor="ctr" upright="1"/>
      <a:lstStyle>
        <a:defPPr algn="ctr">
          <a:defRPr kumimoji="1" sz="1100"/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wrap="square" rtlCol="0" anchor="t"/>
      <a:lstStyle>
        <a:defPPr>
          <a:defRPr kumimoji="1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B10:AB51"/>
  <sheetViews>
    <sheetView tabSelected="1" zoomScale="85" zoomScaleNormal="85" workbookViewId="0"/>
  </sheetViews>
  <sheetFormatPr defaultRowHeight="13.5" x14ac:dyDescent="0.15"/>
  <cols>
    <col min="1" max="32" width="4.5" customWidth="1"/>
  </cols>
  <sheetData>
    <row r="10" spans="7:24" x14ac:dyDescent="0.15">
      <c r="G10" s="3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5"/>
    </row>
    <row r="11" spans="7:24" ht="13.5" customHeight="1" x14ac:dyDescent="0.15">
      <c r="G11" s="42" t="str">
        <f>I40</f>
        <v>　学生勤務管理システム</v>
      </c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6"/>
    </row>
    <row r="12" spans="7:24" ht="13.5" customHeight="1" x14ac:dyDescent="0.15">
      <c r="G12" s="42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6"/>
    </row>
    <row r="13" spans="7:24" x14ac:dyDescent="0.15">
      <c r="G13" s="7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6"/>
    </row>
    <row r="14" spans="7:24" ht="13.5" customHeight="1" x14ac:dyDescent="0.15">
      <c r="G14" s="42" t="str">
        <f>I44</f>
        <v>　バッチ処理</v>
      </c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6"/>
    </row>
    <row r="15" spans="7:24" ht="13.5" customHeight="1" x14ac:dyDescent="0.15">
      <c r="G15" s="42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6"/>
    </row>
    <row r="16" spans="7:24" x14ac:dyDescent="0.15">
      <c r="G16" s="7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6"/>
    </row>
    <row r="17" spans="7:24" ht="13.5" customHeight="1" x14ac:dyDescent="0.15">
      <c r="G17" s="42" t="str">
        <f>I42</f>
        <v xml:space="preserve">　 </v>
      </c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6"/>
    </row>
    <row r="18" spans="7:24" ht="13.5" customHeight="1" x14ac:dyDescent="0.15">
      <c r="G18" s="42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6"/>
    </row>
    <row r="19" spans="7:24" x14ac:dyDescent="0.15">
      <c r="G19" s="7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6"/>
    </row>
    <row r="20" spans="7:24" ht="13.5" customHeight="1" x14ac:dyDescent="0.15">
      <c r="G20" s="42" t="str">
        <f>I51</f>
        <v>【 Ver 1.00 】</v>
      </c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6"/>
    </row>
    <row r="21" spans="7:24" ht="13.5" customHeight="1" x14ac:dyDescent="0.15">
      <c r="G21" s="42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6"/>
    </row>
    <row r="22" spans="7:24" x14ac:dyDescent="0.15">
      <c r="G22" s="9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1"/>
    </row>
    <row r="27" spans="7:24" s="1" customFormat="1" x14ac:dyDescent="0.15">
      <c r="J27" s="38" t="str">
        <f>TEXT(I47,"yyyy年")&amp;IF(LEFT(TEXT(I47,"mm"),1)="0"," ","")&amp;TEXT(I47,"m月")&amp;IF(LEFT(TEXT(I47,"dd"),1)="0"," ","")&amp;TEXT(I47,"d日")&amp;"作成"</f>
        <v>2024年 2月 5日作成</v>
      </c>
      <c r="K27" s="39"/>
      <c r="L27" s="39"/>
      <c r="M27" s="39"/>
      <c r="N27" s="39"/>
      <c r="O27" s="39"/>
      <c r="P27" s="39"/>
      <c r="Q27" s="39"/>
      <c r="R27" s="39"/>
      <c r="S27" s="39"/>
      <c r="T27" s="39"/>
    </row>
    <row r="28" spans="7:24" s="1" customFormat="1" x14ac:dyDescent="0.15"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</row>
    <row r="29" spans="7:24" s="1" customFormat="1" x14ac:dyDescent="0.15">
      <c r="J29" s="38" t="str">
        <f>IF(I49="　※ページ毎に個別入力","    年  月  日改訂",TEXT(I49,"yyyy年")&amp;IF(LEFT(TEXT(I49,"mm"),1)="0"," ","")&amp;TEXT(I49,"m月")&amp;IF(LEFT(TEXT(I49,"dd"),1)="0"," ","")&amp;TEXT(I49,"d日")&amp;"改訂")</f>
        <v xml:space="preserve">   改訂</v>
      </c>
      <c r="K29" s="39"/>
      <c r="L29" s="39"/>
      <c r="M29" s="39"/>
      <c r="N29" s="39"/>
      <c r="O29" s="39"/>
      <c r="P29" s="39"/>
      <c r="Q29" s="39"/>
      <c r="R29" s="39"/>
      <c r="S29" s="39"/>
      <c r="T29" s="39"/>
    </row>
    <row r="30" spans="7:24" s="1" customFormat="1" x14ac:dyDescent="0.15"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</row>
    <row r="38" spans="2:28" ht="23.25" customHeight="1" x14ac:dyDescent="0.15">
      <c r="B38" s="41" t="s">
        <v>19</v>
      </c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</row>
    <row r="39" spans="2:28" ht="23.25" customHeight="1" x14ac:dyDescent="0.15">
      <c r="B39" s="37" t="s">
        <v>20</v>
      </c>
      <c r="C39" s="37"/>
      <c r="D39" s="37"/>
      <c r="E39" s="37"/>
      <c r="F39" s="37"/>
      <c r="G39" s="37"/>
      <c r="H39" s="37"/>
      <c r="I39" s="37" t="s">
        <v>10</v>
      </c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</row>
    <row r="40" spans="2:28" ht="23.25" customHeight="1" x14ac:dyDescent="0.15">
      <c r="B40" s="36" t="s">
        <v>21</v>
      </c>
      <c r="C40" s="36"/>
      <c r="D40" s="36"/>
      <c r="E40" s="36"/>
      <c r="F40" s="36"/>
      <c r="G40" s="36"/>
      <c r="H40" s="36"/>
      <c r="I40" s="40" t="s">
        <v>42</v>
      </c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</row>
    <row r="41" spans="2:28" ht="23.25" customHeight="1" x14ac:dyDescent="0.15">
      <c r="B41" s="36" t="s">
        <v>22</v>
      </c>
      <c r="C41" s="36"/>
      <c r="D41" s="36"/>
      <c r="E41" s="36"/>
      <c r="F41" s="36"/>
      <c r="G41" s="36"/>
      <c r="H41" s="36"/>
      <c r="I41" s="40" t="s">
        <v>40</v>
      </c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</row>
    <row r="42" spans="2:28" ht="23.25" customHeight="1" x14ac:dyDescent="0.15">
      <c r="B42" s="36" t="s">
        <v>23</v>
      </c>
      <c r="C42" s="36"/>
      <c r="D42" s="36"/>
      <c r="E42" s="36"/>
      <c r="F42" s="36"/>
      <c r="G42" s="36"/>
      <c r="H42" s="36"/>
      <c r="I42" s="40" t="s">
        <v>33</v>
      </c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</row>
    <row r="43" spans="2:28" ht="23.25" customHeight="1" x14ac:dyDescent="0.15">
      <c r="B43" s="36" t="s">
        <v>24</v>
      </c>
      <c r="C43" s="36"/>
      <c r="D43" s="36"/>
      <c r="E43" s="36"/>
      <c r="F43" s="36"/>
      <c r="G43" s="36"/>
      <c r="H43" s="36"/>
      <c r="I43" s="40" t="s">
        <v>38</v>
      </c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</row>
    <row r="44" spans="2:28" ht="23.25" customHeight="1" x14ac:dyDescent="0.15">
      <c r="B44" s="36" t="s">
        <v>25</v>
      </c>
      <c r="C44" s="36"/>
      <c r="D44" s="36"/>
      <c r="E44" s="36"/>
      <c r="F44" s="36"/>
      <c r="G44" s="36"/>
      <c r="H44" s="36"/>
      <c r="I44" s="40" t="s">
        <v>46</v>
      </c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</row>
    <row r="45" spans="2:28" ht="23.25" customHeight="1" x14ac:dyDescent="0.15">
      <c r="B45" s="36" t="s">
        <v>26</v>
      </c>
      <c r="C45" s="36"/>
      <c r="D45" s="36"/>
      <c r="E45" s="36"/>
      <c r="F45" s="36"/>
      <c r="G45" s="36"/>
      <c r="H45" s="36"/>
      <c r="I45" s="40" t="s">
        <v>9</v>
      </c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</row>
    <row r="46" spans="2:28" ht="23.25" customHeight="1" x14ac:dyDescent="0.15">
      <c r="B46" s="36" t="s">
        <v>27</v>
      </c>
      <c r="C46" s="36"/>
      <c r="D46" s="36"/>
      <c r="E46" s="36"/>
      <c r="F46" s="36"/>
      <c r="G46" s="36"/>
      <c r="H46" s="36"/>
      <c r="I46" s="40" t="s">
        <v>44</v>
      </c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</row>
    <row r="47" spans="2:28" ht="23.25" customHeight="1" x14ac:dyDescent="0.15">
      <c r="B47" s="36" t="s">
        <v>28</v>
      </c>
      <c r="C47" s="36"/>
      <c r="D47" s="36"/>
      <c r="E47" s="36"/>
      <c r="F47" s="36"/>
      <c r="G47" s="36"/>
      <c r="H47" s="36"/>
      <c r="I47" s="44">
        <v>45327</v>
      </c>
      <c r="J47" s="45"/>
      <c r="K47" s="45"/>
      <c r="L47" s="45"/>
      <c r="M47" s="45"/>
      <c r="N47" s="45"/>
      <c r="O47" s="45"/>
      <c r="P47" s="45"/>
      <c r="Q47" s="45"/>
      <c r="R47" s="45"/>
      <c r="S47" s="40"/>
      <c r="T47" s="40"/>
      <c r="U47" s="40"/>
      <c r="V47" s="40"/>
      <c r="W47" s="40"/>
      <c r="X47" s="40"/>
      <c r="Y47" s="40"/>
      <c r="Z47" s="40"/>
      <c r="AA47" s="40"/>
      <c r="AB47" s="40"/>
    </row>
    <row r="48" spans="2:28" ht="23.25" customHeight="1" x14ac:dyDescent="0.15">
      <c r="B48" s="36" t="s">
        <v>29</v>
      </c>
      <c r="C48" s="36"/>
      <c r="D48" s="36"/>
      <c r="E48" s="36"/>
      <c r="F48" s="36"/>
      <c r="G48" s="36"/>
      <c r="H48" s="36"/>
      <c r="I48" s="40" t="s">
        <v>9</v>
      </c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</row>
    <row r="49" spans="2:28" ht="23.25" customHeight="1" x14ac:dyDescent="0.15">
      <c r="B49" s="36" t="s">
        <v>30</v>
      </c>
      <c r="C49" s="36"/>
      <c r="D49" s="36"/>
      <c r="E49" s="36"/>
      <c r="F49" s="36"/>
      <c r="G49" s="36"/>
      <c r="H49" s="36"/>
      <c r="I49" s="40" t="s">
        <v>45</v>
      </c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</row>
    <row r="50" spans="2:28" ht="23.25" customHeight="1" x14ac:dyDescent="0.15">
      <c r="B50" s="36" t="s">
        <v>31</v>
      </c>
      <c r="C50" s="36"/>
      <c r="D50" s="36"/>
      <c r="E50" s="36"/>
      <c r="F50" s="36"/>
      <c r="G50" s="36"/>
      <c r="H50" s="36"/>
      <c r="I50" s="40" t="s">
        <v>41</v>
      </c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</row>
    <row r="51" spans="2:28" ht="23.25" customHeight="1" x14ac:dyDescent="0.15">
      <c r="B51" s="36" t="s">
        <v>34</v>
      </c>
      <c r="C51" s="36"/>
      <c r="D51" s="36"/>
      <c r="E51" s="36"/>
      <c r="F51" s="36"/>
      <c r="G51" s="36"/>
      <c r="H51" s="36"/>
      <c r="I51" s="40" t="str">
        <f>"【 Ver " &amp; TEXT(MAX(改訂履歴!E5:E990),"0.00") &amp; " 】"</f>
        <v>【 Ver 1.00 】</v>
      </c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</row>
  </sheetData>
  <mergeCells count="33">
    <mergeCell ref="B51:H51"/>
    <mergeCell ref="I51:AB51"/>
    <mergeCell ref="B49:H49"/>
    <mergeCell ref="I49:AB49"/>
    <mergeCell ref="B50:H50"/>
    <mergeCell ref="I50:AB50"/>
    <mergeCell ref="B48:H48"/>
    <mergeCell ref="I48:AB48"/>
    <mergeCell ref="B44:H44"/>
    <mergeCell ref="B45:H45"/>
    <mergeCell ref="B46:H46"/>
    <mergeCell ref="B47:H47"/>
    <mergeCell ref="I45:AB45"/>
    <mergeCell ref="I46:AB46"/>
    <mergeCell ref="I47:AB47"/>
    <mergeCell ref="I44:AB44"/>
    <mergeCell ref="G11:W12"/>
    <mergeCell ref="G14:W15"/>
    <mergeCell ref="G17:W18"/>
    <mergeCell ref="G20:W21"/>
    <mergeCell ref="I42:AB42"/>
    <mergeCell ref="B41:H41"/>
    <mergeCell ref="B42:H42"/>
    <mergeCell ref="B43:H43"/>
    <mergeCell ref="B39:H39"/>
    <mergeCell ref="J27:T28"/>
    <mergeCell ref="J29:T30"/>
    <mergeCell ref="I40:AB40"/>
    <mergeCell ref="I41:AB41"/>
    <mergeCell ref="I39:AB39"/>
    <mergeCell ref="B38:AB38"/>
    <mergeCell ref="B40:H40"/>
    <mergeCell ref="I43:AB43"/>
  </mergeCells>
  <phoneticPr fontId="2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X23"/>
  <sheetViews>
    <sheetView view="pageBreakPreview" zoomScale="85" zoomScaleNormal="85" zoomScaleSheetLayoutView="85" workbookViewId="0"/>
  </sheetViews>
  <sheetFormatPr defaultColWidth="1.875" defaultRowHeight="15" customHeight="1" x14ac:dyDescent="0.15"/>
  <cols>
    <col min="1" max="4" width="1.875" style="1" customWidth="1"/>
    <col min="5" max="9" width="1.875" style="13" customWidth="1"/>
    <col min="10" max="26" width="1.875" style="1" customWidth="1"/>
    <col min="27" max="33" width="2.375" style="1" customWidth="1"/>
    <col min="34" max="16384" width="1.875" style="1"/>
  </cols>
  <sheetData>
    <row r="1" spans="1:76" ht="15" customHeight="1" x14ac:dyDescent="0.15">
      <c r="A1" s="1" t="s">
        <v>2</v>
      </c>
    </row>
    <row r="3" spans="1:76" s="2" customFormat="1" ht="15" customHeight="1" x14ac:dyDescent="0.15">
      <c r="A3" s="53" t="s">
        <v>16</v>
      </c>
      <c r="B3" s="53"/>
      <c r="C3" s="53"/>
      <c r="D3" s="53"/>
      <c r="E3" s="72" t="s">
        <v>17</v>
      </c>
      <c r="F3" s="73"/>
      <c r="G3" s="73"/>
      <c r="H3" s="73"/>
      <c r="I3" s="74"/>
      <c r="J3" s="63" t="s">
        <v>5</v>
      </c>
      <c r="K3" s="64"/>
      <c r="L3" s="64"/>
      <c r="M3" s="64"/>
      <c r="N3" s="64"/>
      <c r="O3" s="64"/>
      <c r="P3" s="64"/>
      <c r="Q3" s="65"/>
      <c r="R3" s="53" t="s">
        <v>3</v>
      </c>
      <c r="S3" s="53"/>
      <c r="T3" s="53"/>
      <c r="U3" s="53"/>
      <c r="V3" s="53"/>
      <c r="W3" s="53" t="s">
        <v>6</v>
      </c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 t="s">
        <v>7</v>
      </c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  <c r="BM3" s="53"/>
      <c r="BN3" s="53"/>
      <c r="BO3" s="53"/>
      <c r="BP3" s="53"/>
      <c r="BQ3" s="53"/>
      <c r="BR3" s="53" t="s">
        <v>8</v>
      </c>
      <c r="BS3" s="53"/>
      <c r="BT3" s="53"/>
      <c r="BU3" s="53"/>
      <c r="BV3" s="53"/>
      <c r="BW3" s="53"/>
      <c r="BX3" s="53"/>
    </row>
    <row r="4" spans="1:76" s="2" customFormat="1" ht="15" customHeight="1" x14ac:dyDescent="0.15">
      <c r="A4" s="53"/>
      <c r="B4" s="53"/>
      <c r="C4" s="53"/>
      <c r="D4" s="53"/>
      <c r="E4" s="75"/>
      <c r="F4" s="76"/>
      <c r="G4" s="76"/>
      <c r="H4" s="76"/>
      <c r="I4" s="77"/>
      <c r="J4" s="66"/>
      <c r="K4" s="67"/>
      <c r="L4" s="67"/>
      <c r="M4" s="67"/>
      <c r="N4" s="67"/>
      <c r="O4" s="67"/>
      <c r="P4" s="67"/>
      <c r="Q4" s="68"/>
      <c r="R4" s="53"/>
      <c r="S4" s="53"/>
      <c r="T4" s="53"/>
      <c r="U4" s="53"/>
      <c r="V4" s="53"/>
      <c r="W4" s="53" t="s">
        <v>4</v>
      </c>
      <c r="X4" s="53"/>
      <c r="Y4" s="53"/>
      <c r="Z4" s="53"/>
      <c r="AA4" s="53" t="s">
        <v>43</v>
      </c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3"/>
      <c r="BL4" s="53"/>
      <c r="BM4" s="53"/>
      <c r="BN4" s="53"/>
      <c r="BO4" s="53"/>
      <c r="BP4" s="53"/>
      <c r="BQ4" s="53"/>
      <c r="BR4" s="53"/>
      <c r="BS4" s="53"/>
      <c r="BT4" s="53"/>
      <c r="BU4" s="53"/>
      <c r="BV4" s="53"/>
      <c r="BW4" s="53"/>
      <c r="BX4" s="53"/>
    </row>
    <row r="5" spans="1:76" ht="20.100000000000001" customHeight="1" x14ac:dyDescent="0.15">
      <c r="A5" s="59">
        <v>1</v>
      </c>
      <c r="B5" s="59"/>
      <c r="C5" s="59"/>
      <c r="D5" s="59"/>
      <c r="E5" s="78">
        <v>1</v>
      </c>
      <c r="F5" s="79"/>
      <c r="G5" s="79"/>
      <c r="H5" s="79"/>
      <c r="I5" s="80"/>
      <c r="J5" s="69">
        <f>タイトル!I47</f>
        <v>45327</v>
      </c>
      <c r="K5" s="70"/>
      <c r="L5" s="70"/>
      <c r="M5" s="70"/>
      <c r="N5" s="70"/>
      <c r="O5" s="70"/>
      <c r="P5" s="70"/>
      <c r="Q5" s="71"/>
      <c r="R5" s="60" t="s">
        <v>11</v>
      </c>
      <c r="S5" s="61"/>
      <c r="T5" s="61"/>
      <c r="U5" s="61"/>
      <c r="V5" s="62"/>
      <c r="W5" s="56"/>
      <c r="X5" s="57"/>
      <c r="Y5" s="57"/>
      <c r="Z5" s="58"/>
      <c r="AA5" s="56"/>
      <c r="AB5" s="57"/>
      <c r="AC5" s="57"/>
      <c r="AD5" s="57"/>
      <c r="AE5" s="57"/>
      <c r="AF5" s="57"/>
      <c r="AG5" s="58"/>
      <c r="AH5" s="54" t="s">
        <v>18</v>
      </c>
      <c r="AI5" s="54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4"/>
      <c r="AZ5" s="54"/>
      <c r="BA5" s="54"/>
      <c r="BB5" s="54"/>
      <c r="BC5" s="54"/>
      <c r="BD5" s="54"/>
      <c r="BE5" s="54"/>
      <c r="BF5" s="54"/>
      <c r="BG5" s="54"/>
      <c r="BH5" s="54"/>
      <c r="BI5" s="54"/>
      <c r="BJ5" s="54"/>
      <c r="BK5" s="54"/>
      <c r="BL5" s="54"/>
      <c r="BM5" s="54"/>
      <c r="BN5" s="54"/>
      <c r="BO5" s="54"/>
      <c r="BP5" s="54"/>
      <c r="BQ5" s="54"/>
      <c r="BR5" s="55" t="str">
        <f>タイトル!I46</f>
        <v>大久保　梓沙</v>
      </c>
      <c r="BS5" s="55"/>
      <c r="BT5" s="55"/>
      <c r="BU5" s="55"/>
      <c r="BV5" s="55"/>
      <c r="BW5" s="55"/>
      <c r="BX5" s="55"/>
    </row>
    <row r="6" spans="1:76" ht="20.100000000000001" customHeight="1" x14ac:dyDescent="0.15">
      <c r="A6" s="49"/>
      <c r="B6" s="49"/>
      <c r="C6" s="49"/>
      <c r="D6" s="49"/>
      <c r="E6" s="50"/>
      <c r="F6" s="50"/>
      <c r="G6" s="50"/>
      <c r="H6" s="50"/>
      <c r="I6" s="50"/>
      <c r="J6" s="51"/>
      <c r="K6" s="51"/>
      <c r="L6" s="51"/>
      <c r="M6" s="51"/>
      <c r="N6" s="51"/>
      <c r="O6" s="51"/>
      <c r="P6" s="51"/>
      <c r="Q6" s="51"/>
      <c r="R6" s="49"/>
      <c r="S6" s="49"/>
      <c r="T6" s="49"/>
      <c r="U6" s="49"/>
      <c r="V6" s="49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7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8"/>
      <c r="BS6" s="48"/>
      <c r="BT6" s="48"/>
      <c r="BU6" s="48"/>
      <c r="BV6" s="48"/>
      <c r="BW6" s="48"/>
      <c r="BX6" s="48"/>
    </row>
    <row r="7" spans="1:76" ht="20.100000000000001" customHeight="1" x14ac:dyDescent="0.15">
      <c r="A7" s="49"/>
      <c r="B7" s="49"/>
      <c r="C7" s="49"/>
      <c r="D7" s="49"/>
      <c r="E7" s="50"/>
      <c r="F7" s="50"/>
      <c r="G7" s="50"/>
      <c r="H7" s="50"/>
      <c r="I7" s="50"/>
      <c r="J7" s="51"/>
      <c r="K7" s="51"/>
      <c r="L7" s="51"/>
      <c r="M7" s="51"/>
      <c r="N7" s="51"/>
      <c r="O7" s="51"/>
      <c r="P7" s="51"/>
      <c r="Q7" s="51"/>
      <c r="R7" s="49"/>
      <c r="S7" s="49"/>
      <c r="T7" s="49"/>
      <c r="U7" s="49"/>
      <c r="V7" s="49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7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46"/>
      <c r="BJ7" s="46"/>
      <c r="BK7" s="46"/>
      <c r="BL7" s="46"/>
      <c r="BM7" s="46"/>
      <c r="BN7" s="46"/>
      <c r="BO7" s="46"/>
      <c r="BP7" s="46"/>
      <c r="BQ7" s="46"/>
      <c r="BR7" s="48"/>
      <c r="BS7" s="48"/>
      <c r="BT7" s="48"/>
      <c r="BU7" s="48"/>
      <c r="BV7" s="48"/>
      <c r="BW7" s="48"/>
      <c r="BX7" s="48"/>
    </row>
    <row r="8" spans="1:76" ht="20.100000000000001" customHeight="1" x14ac:dyDescent="0.15">
      <c r="A8" s="49"/>
      <c r="B8" s="49"/>
      <c r="C8" s="49"/>
      <c r="D8" s="49"/>
      <c r="E8" s="50"/>
      <c r="F8" s="50"/>
      <c r="G8" s="50"/>
      <c r="H8" s="50"/>
      <c r="I8" s="50"/>
      <c r="J8" s="51"/>
      <c r="K8" s="51"/>
      <c r="L8" s="51"/>
      <c r="M8" s="51"/>
      <c r="N8" s="51"/>
      <c r="O8" s="51"/>
      <c r="P8" s="51"/>
      <c r="Q8" s="51"/>
      <c r="R8" s="49"/>
      <c r="S8" s="49"/>
      <c r="T8" s="49"/>
      <c r="U8" s="49"/>
      <c r="V8" s="49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7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6"/>
      <c r="BF8" s="46"/>
      <c r="BG8" s="46"/>
      <c r="BH8" s="46"/>
      <c r="BI8" s="46"/>
      <c r="BJ8" s="46"/>
      <c r="BK8" s="46"/>
      <c r="BL8" s="46"/>
      <c r="BM8" s="46"/>
      <c r="BN8" s="46"/>
      <c r="BO8" s="46"/>
      <c r="BP8" s="46"/>
      <c r="BQ8" s="46"/>
      <c r="BR8" s="48"/>
      <c r="BS8" s="48"/>
      <c r="BT8" s="48"/>
      <c r="BU8" s="48"/>
      <c r="BV8" s="48"/>
      <c r="BW8" s="48"/>
      <c r="BX8" s="48"/>
    </row>
    <row r="9" spans="1:76" ht="20.100000000000001" customHeight="1" x14ac:dyDescent="0.15">
      <c r="A9" s="49"/>
      <c r="B9" s="49"/>
      <c r="C9" s="49"/>
      <c r="D9" s="49"/>
      <c r="E9" s="50"/>
      <c r="F9" s="50"/>
      <c r="G9" s="50"/>
      <c r="H9" s="50"/>
      <c r="I9" s="50"/>
      <c r="J9" s="51"/>
      <c r="K9" s="51"/>
      <c r="L9" s="51"/>
      <c r="M9" s="51"/>
      <c r="N9" s="51"/>
      <c r="O9" s="51"/>
      <c r="P9" s="51"/>
      <c r="Q9" s="51"/>
      <c r="R9" s="49"/>
      <c r="S9" s="49"/>
      <c r="T9" s="49"/>
      <c r="U9" s="49"/>
      <c r="V9" s="49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7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46"/>
      <c r="BP9" s="46"/>
      <c r="BQ9" s="46"/>
      <c r="BR9" s="48"/>
      <c r="BS9" s="48"/>
      <c r="BT9" s="48"/>
      <c r="BU9" s="48"/>
      <c r="BV9" s="48"/>
      <c r="BW9" s="48"/>
      <c r="BX9" s="48"/>
    </row>
    <row r="10" spans="1:76" ht="20.100000000000001" customHeight="1" x14ac:dyDescent="0.15">
      <c r="A10" s="49"/>
      <c r="B10" s="49"/>
      <c r="C10" s="49"/>
      <c r="D10" s="49"/>
      <c r="E10" s="50"/>
      <c r="F10" s="50"/>
      <c r="G10" s="50"/>
      <c r="H10" s="50"/>
      <c r="I10" s="50"/>
      <c r="J10" s="51"/>
      <c r="K10" s="51"/>
      <c r="L10" s="51"/>
      <c r="M10" s="51"/>
      <c r="N10" s="51"/>
      <c r="O10" s="51"/>
      <c r="P10" s="51"/>
      <c r="Q10" s="51"/>
      <c r="R10" s="49"/>
      <c r="S10" s="49"/>
      <c r="T10" s="49"/>
      <c r="U10" s="49"/>
      <c r="V10" s="49"/>
      <c r="W10" s="46"/>
      <c r="X10" s="46"/>
      <c r="Y10" s="46"/>
      <c r="Z10" s="46"/>
      <c r="AA10" s="47"/>
      <c r="AB10" s="46"/>
      <c r="AC10" s="46"/>
      <c r="AD10" s="46"/>
      <c r="AE10" s="46"/>
      <c r="AF10" s="46"/>
      <c r="AG10" s="46"/>
      <c r="AH10" s="47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8"/>
      <c r="BS10" s="48"/>
      <c r="BT10" s="48"/>
      <c r="BU10" s="48"/>
      <c r="BV10" s="48"/>
      <c r="BW10" s="48"/>
      <c r="BX10" s="48"/>
    </row>
    <row r="11" spans="1:76" ht="20.100000000000001" customHeight="1" x14ac:dyDescent="0.15">
      <c r="A11" s="49"/>
      <c r="B11" s="49"/>
      <c r="C11" s="49"/>
      <c r="D11" s="49"/>
      <c r="E11" s="50"/>
      <c r="F11" s="50"/>
      <c r="G11" s="50"/>
      <c r="H11" s="50"/>
      <c r="I11" s="50"/>
      <c r="J11" s="51"/>
      <c r="K11" s="51"/>
      <c r="L11" s="51"/>
      <c r="M11" s="51"/>
      <c r="N11" s="51"/>
      <c r="O11" s="51"/>
      <c r="P11" s="51"/>
      <c r="Q11" s="51"/>
      <c r="R11" s="49"/>
      <c r="S11" s="49"/>
      <c r="T11" s="49"/>
      <c r="U11" s="49"/>
      <c r="V11" s="49"/>
      <c r="W11" s="46"/>
      <c r="X11" s="46"/>
      <c r="Y11" s="46"/>
      <c r="Z11" s="46"/>
      <c r="AA11" s="47"/>
      <c r="AB11" s="46"/>
      <c r="AC11" s="46"/>
      <c r="AD11" s="46"/>
      <c r="AE11" s="46"/>
      <c r="AF11" s="46"/>
      <c r="AG11" s="46"/>
      <c r="AH11" s="47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8"/>
      <c r="BS11" s="48"/>
      <c r="BT11" s="48"/>
      <c r="BU11" s="48"/>
      <c r="BV11" s="48"/>
      <c r="BW11" s="48"/>
      <c r="BX11" s="48"/>
    </row>
    <row r="12" spans="1:76" ht="20.100000000000001" customHeight="1" x14ac:dyDescent="0.15">
      <c r="A12" s="49"/>
      <c r="B12" s="49"/>
      <c r="C12" s="49"/>
      <c r="D12" s="49"/>
      <c r="E12" s="50"/>
      <c r="F12" s="50"/>
      <c r="G12" s="50"/>
      <c r="H12" s="50"/>
      <c r="I12" s="50"/>
      <c r="J12" s="51"/>
      <c r="K12" s="51"/>
      <c r="L12" s="51"/>
      <c r="M12" s="51"/>
      <c r="N12" s="51"/>
      <c r="O12" s="51"/>
      <c r="P12" s="51"/>
      <c r="Q12" s="51"/>
      <c r="R12" s="49"/>
      <c r="S12" s="49"/>
      <c r="T12" s="49"/>
      <c r="U12" s="49"/>
      <c r="V12" s="49"/>
      <c r="W12" s="46"/>
      <c r="X12" s="46"/>
      <c r="Y12" s="46"/>
      <c r="Z12" s="46"/>
      <c r="AA12" s="47"/>
      <c r="AB12" s="46"/>
      <c r="AC12" s="46"/>
      <c r="AD12" s="46"/>
      <c r="AE12" s="46"/>
      <c r="AF12" s="46"/>
      <c r="AG12" s="46"/>
      <c r="AH12" s="47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8"/>
      <c r="BS12" s="48"/>
      <c r="BT12" s="48"/>
      <c r="BU12" s="48"/>
      <c r="BV12" s="48"/>
      <c r="BW12" s="48"/>
      <c r="BX12" s="48"/>
    </row>
    <row r="13" spans="1:76" ht="20.100000000000001" customHeight="1" x14ac:dyDescent="0.15">
      <c r="A13" s="49"/>
      <c r="B13" s="49"/>
      <c r="C13" s="49"/>
      <c r="D13" s="49"/>
      <c r="E13" s="50"/>
      <c r="F13" s="50"/>
      <c r="G13" s="50"/>
      <c r="H13" s="50"/>
      <c r="I13" s="50"/>
      <c r="J13" s="51"/>
      <c r="K13" s="51"/>
      <c r="L13" s="51"/>
      <c r="M13" s="51"/>
      <c r="N13" s="51"/>
      <c r="O13" s="51"/>
      <c r="P13" s="51"/>
      <c r="Q13" s="51"/>
      <c r="R13" s="49"/>
      <c r="S13" s="49"/>
      <c r="T13" s="49"/>
      <c r="U13" s="49"/>
      <c r="V13" s="49"/>
      <c r="W13" s="46"/>
      <c r="X13" s="46"/>
      <c r="Y13" s="46"/>
      <c r="Z13" s="46"/>
      <c r="AA13" s="47"/>
      <c r="AB13" s="46"/>
      <c r="AC13" s="46"/>
      <c r="AD13" s="46"/>
      <c r="AE13" s="46"/>
      <c r="AF13" s="46"/>
      <c r="AG13" s="46"/>
      <c r="AH13" s="47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8"/>
      <c r="BS13" s="48"/>
      <c r="BT13" s="48"/>
      <c r="BU13" s="48"/>
      <c r="BV13" s="48"/>
      <c r="BW13" s="48"/>
      <c r="BX13" s="48"/>
    </row>
    <row r="14" spans="1:76" ht="20.100000000000001" customHeight="1" x14ac:dyDescent="0.15">
      <c r="A14" s="49"/>
      <c r="B14" s="49"/>
      <c r="C14" s="49"/>
      <c r="D14" s="49"/>
      <c r="E14" s="50"/>
      <c r="F14" s="50"/>
      <c r="G14" s="50"/>
      <c r="H14" s="50"/>
      <c r="I14" s="50"/>
      <c r="J14" s="51"/>
      <c r="K14" s="51"/>
      <c r="L14" s="51"/>
      <c r="M14" s="51"/>
      <c r="N14" s="51"/>
      <c r="O14" s="51"/>
      <c r="P14" s="51"/>
      <c r="Q14" s="51"/>
      <c r="R14" s="49"/>
      <c r="S14" s="49"/>
      <c r="T14" s="49"/>
      <c r="U14" s="49"/>
      <c r="V14" s="49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7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8"/>
      <c r="BS14" s="48"/>
      <c r="BT14" s="48"/>
      <c r="BU14" s="48"/>
      <c r="BV14" s="48"/>
      <c r="BW14" s="48"/>
      <c r="BX14" s="48"/>
    </row>
    <row r="15" spans="1:76" ht="20.100000000000001" customHeight="1" x14ac:dyDescent="0.15">
      <c r="A15" s="49"/>
      <c r="B15" s="49"/>
      <c r="C15" s="49"/>
      <c r="D15" s="49"/>
      <c r="E15" s="50"/>
      <c r="F15" s="50"/>
      <c r="G15" s="50"/>
      <c r="H15" s="50"/>
      <c r="I15" s="50"/>
      <c r="J15" s="51"/>
      <c r="K15" s="51"/>
      <c r="L15" s="51"/>
      <c r="M15" s="51"/>
      <c r="N15" s="51"/>
      <c r="O15" s="51"/>
      <c r="P15" s="51"/>
      <c r="Q15" s="51"/>
      <c r="R15" s="49"/>
      <c r="S15" s="49"/>
      <c r="T15" s="49"/>
      <c r="U15" s="49"/>
      <c r="V15" s="49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7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8"/>
      <c r="BS15" s="48"/>
      <c r="BT15" s="48"/>
      <c r="BU15" s="48"/>
      <c r="BV15" s="48"/>
      <c r="BW15" s="48"/>
      <c r="BX15" s="48"/>
    </row>
    <row r="16" spans="1:76" ht="20.100000000000001" customHeight="1" x14ac:dyDescent="0.15">
      <c r="A16" s="49"/>
      <c r="B16" s="49"/>
      <c r="C16" s="49"/>
      <c r="D16" s="49"/>
      <c r="E16" s="50"/>
      <c r="F16" s="50"/>
      <c r="G16" s="50"/>
      <c r="H16" s="50"/>
      <c r="I16" s="50"/>
      <c r="J16" s="51"/>
      <c r="K16" s="51"/>
      <c r="L16" s="51"/>
      <c r="M16" s="51"/>
      <c r="N16" s="51"/>
      <c r="O16" s="51"/>
      <c r="P16" s="51"/>
      <c r="Q16" s="51"/>
      <c r="R16" s="49"/>
      <c r="S16" s="49"/>
      <c r="T16" s="49"/>
      <c r="U16" s="49"/>
      <c r="V16" s="49"/>
      <c r="W16" s="46"/>
      <c r="X16" s="46"/>
      <c r="Y16" s="46"/>
      <c r="Z16" s="46"/>
      <c r="AA16" s="52"/>
      <c r="AB16" s="52"/>
      <c r="AC16" s="52"/>
      <c r="AD16" s="52"/>
      <c r="AE16" s="52"/>
      <c r="AF16" s="52"/>
      <c r="AG16" s="52"/>
      <c r="AH16" s="47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8"/>
      <c r="BS16" s="48"/>
      <c r="BT16" s="48"/>
      <c r="BU16" s="48"/>
      <c r="BV16" s="48"/>
      <c r="BW16" s="48"/>
      <c r="BX16" s="48"/>
    </row>
    <row r="17" spans="1:76" ht="20.100000000000001" customHeight="1" x14ac:dyDescent="0.15">
      <c r="A17" s="49"/>
      <c r="B17" s="49"/>
      <c r="C17" s="49"/>
      <c r="D17" s="49"/>
      <c r="E17" s="50"/>
      <c r="F17" s="50"/>
      <c r="G17" s="50"/>
      <c r="H17" s="50"/>
      <c r="I17" s="50"/>
      <c r="J17" s="51"/>
      <c r="K17" s="51"/>
      <c r="L17" s="51"/>
      <c r="M17" s="51"/>
      <c r="N17" s="51"/>
      <c r="O17" s="51"/>
      <c r="P17" s="51"/>
      <c r="Q17" s="51"/>
      <c r="R17" s="49"/>
      <c r="S17" s="49"/>
      <c r="T17" s="49"/>
      <c r="U17" s="49"/>
      <c r="V17" s="49"/>
      <c r="W17" s="46"/>
      <c r="X17" s="46"/>
      <c r="Y17" s="46"/>
      <c r="Z17" s="46"/>
      <c r="AA17" s="52"/>
      <c r="AB17" s="52"/>
      <c r="AC17" s="52"/>
      <c r="AD17" s="52"/>
      <c r="AE17" s="52"/>
      <c r="AF17" s="52"/>
      <c r="AG17" s="52"/>
      <c r="AH17" s="47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8"/>
      <c r="BS17" s="48"/>
      <c r="BT17" s="48"/>
      <c r="BU17" s="48"/>
      <c r="BV17" s="48"/>
      <c r="BW17" s="48"/>
      <c r="BX17" s="48"/>
    </row>
    <row r="18" spans="1:76" ht="20.100000000000001" customHeight="1" x14ac:dyDescent="0.15">
      <c r="A18" s="49"/>
      <c r="B18" s="49"/>
      <c r="C18" s="49"/>
      <c r="D18" s="49"/>
      <c r="E18" s="50"/>
      <c r="F18" s="50"/>
      <c r="G18" s="50"/>
      <c r="H18" s="50"/>
      <c r="I18" s="50"/>
      <c r="J18" s="51"/>
      <c r="K18" s="51"/>
      <c r="L18" s="51"/>
      <c r="M18" s="51"/>
      <c r="N18" s="51"/>
      <c r="O18" s="51"/>
      <c r="P18" s="51"/>
      <c r="Q18" s="51"/>
      <c r="R18" s="49"/>
      <c r="S18" s="49"/>
      <c r="T18" s="49"/>
      <c r="U18" s="49"/>
      <c r="V18" s="49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7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  <c r="BR18" s="48"/>
      <c r="BS18" s="48"/>
      <c r="BT18" s="48"/>
      <c r="BU18" s="48"/>
      <c r="BV18" s="48"/>
      <c r="BW18" s="48"/>
      <c r="BX18" s="48"/>
    </row>
    <row r="19" spans="1:76" ht="20.100000000000001" customHeight="1" x14ac:dyDescent="0.15">
      <c r="A19" s="49"/>
      <c r="B19" s="49"/>
      <c r="C19" s="49"/>
      <c r="D19" s="49"/>
      <c r="E19" s="50"/>
      <c r="F19" s="50"/>
      <c r="G19" s="50"/>
      <c r="H19" s="50"/>
      <c r="I19" s="50"/>
      <c r="J19" s="51"/>
      <c r="K19" s="51"/>
      <c r="L19" s="51"/>
      <c r="M19" s="51"/>
      <c r="N19" s="51"/>
      <c r="O19" s="51"/>
      <c r="P19" s="51"/>
      <c r="Q19" s="51"/>
      <c r="R19" s="49"/>
      <c r="S19" s="49"/>
      <c r="T19" s="49"/>
      <c r="U19" s="49"/>
      <c r="V19" s="49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7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6"/>
      <c r="BR19" s="48"/>
      <c r="BS19" s="48"/>
      <c r="BT19" s="48"/>
      <c r="BU19" s="48"/>
      <c r="BV19" s="48"/>
      <c r="BW19" s="48"/>
      <c r="BX19" s="48"/>
    </row>
    <row r="20" spans="1:76" ht="20.100000000000001" customHeight="1" x14ac:dyDescent="0.15">
      <c r="A20" s="49"/>
      <c r="B20" s="49"/>
      <c r="C20" s="49"/>
      <c r="D20" s="49"/>
      <c r="E20" s="50"/>
      <c r="F20" s="50"/>
      <c r="G20" s="50"/>
      <c r="H20" s="50"/>
      <c r="I20" s="50"/>
      <c r="J20" s="51"/>
      <c r="K20" s="51"/>
      <c r="L20" s="51"/>
      <c r="M20" s="51"/>
      <c r="N20" s="51"/>
      <c r="O20" s="51"/>
      <c r="P20" s="51"/>
      <c r="Q20" s="51"/>
      <c r="R20" s="49"/>
      <c r="S20" s="49"/>
      <c r="T20" s="49"/>
      <c r="U20" s="49"/>
      <c r="V20" s="49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7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6"/>
      <c r="BQ20" s="46"/>
      <c r="BR20" s="48"/>
      <c r="BS20" s="48"/>
      <c r="BT20" s="48"/>
      <c r="BU20" s="48"/>
      <c r="BV20" s="48"/>
      <c r="BW20" s="48"/>
      <c r="BX20" s="48"/>
    </row>
    <row r="21" spans="1:76" ht="20.100000000000001" customHeight="1" x14ac:dyDescent="0.15">
      <c r="A21" s="49"/>
      <c r="B21" s="49"/>
      <c r="C21" s="49"/>
      <c r="D21" s="49"/>
      <c r="E21" s="50"/>
      <c r="F21" s="50"/>
      <c r="G21" s="50"/>
      <c r="H21" s="50"/>
      <c r="I21" s="50"/>
      <c r="J21" s="51"/>
      <c r="K21" s="51"/>
      <c r="L21" s="51"/>
      <c r="M21" s="51"/>
      <c r="N21" s="51"/>
      <c r="O21" s="51"/>
      <c r="P21" s="51"/>
      <c r="Q21" s="51"/>
      <c r="R21" s="49"/>
      <c r="S21" s="49"/>
      <c r="T21" s="49"/>
      <c r="U21" s="49"/>
      <c r="V21" s="49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7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6"/>
      <c r="BQ21" s="46"/>
      <c r="BR21" s="48"/>
      <c r="BS21" s="48"/>
      <c r="BT21" s="48"/>
      <c r="BU21" s="48"/>
      <c r="BV21" s="48"/>
      <c r="BW21" s="48"/>
      <c r="BX21" s="48"/>
    </row>
    <row r="22" spans="1:76" ht="20.100000000000001" customHeight="1" x14ac:dyDescent="0.15">
      <c r="A22" s="49"/>
      <c r="B22" s="49"/>
      <c r="C22" s="49"/>
      <c r="D22" s="49"/>
      <c r="E22" s="50"/>
      <c r="F22" s="50"/>
      <c r="G22" s="50"/>
      <c r="H22" s="50"/>
      <c r="I22" s="50"/>
      <c r="J22" s="51"/>
      <c r="K22" s="51"/>
      <c r="L22" s="51"/>
      <c r="M22" s="51"/>
      <c r="N22" s="51"/>
      <c r="O22" s="51"/>
      <c r="P22" s="51"/>
      <c r="Q22" s="51"/>
      <c r="R22" s="49"/>
      <c r="S22" s="49"/>
      <c r="T22" s="49"/>
      <c r="U22" s="49"/>
      <c r="V22" s="49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7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/>
      <c r="BP22" s="46"/>
      <c r="BQ22" s="46"/>
      <c r="BR22" s="48"/>
      <c r="BS22" s="48"/>
      <c r="BT22" s="48"/>
      <c r="BU22" s="48"/>
      <c r="BV22" s="48"/>
      <c r="BW22" s="48"/>
      <c r="BX22" s="48"/>
    </row>
    <row r="23" spans="1:76" ht="20.100000000000001" customHeight="1" x14ac:dyDescent="0.15">
      <c r="A23" s="49"/>
      <c r="B23" s="49"/>
      <c r="C23" s="49"/>
      <c r="D23" s="49"/>
      <c r="E23" s="50"/>
      <c r="F23" s="50"/>
      <c r="G23" s="50"/>
      <c r="H23" s="50"/>
      <c r="I23" s="50"/>
      <c r="J23" s="51"/>
      <c r="K23" s="51"/>
      <c r="L23" s="51"/>
      <c r="M23" s="51"/>
      <c r="N23" s="51"/>
      <c r="O23" s="51"/>
      <c r="P23" s="51"/>
      <c r="Q23" s="51"/>
      <c r="R23" s="49"/>
      <c r="S23" s="49"/>
      <c r="T23" s="49"/>
      <c r="U23" s="49"/>
      <c r="V23" s="49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7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6"/>
      <c r="BK23" s="46"/>
      <c r="BL23" s="46"/>
      <c r="BM23" s="46"/>
      <c r="BN23" s="46"/>
      <c r="BO23" s="46"/>
      <c r="BP23" s="46"/>
      <c r="BQ23" s="46"/>
      <c r="BR23" s="48"/>
      <c r="BS23" s="48"/>
      <c r="BT23" s="48"/>
      <c r="BU23" s="48"/>
      <c r="BV23" s="48"/>
      <c r="BW23" s="48"/>
      <c r="BX23" s="48"/>
    </row>
  </sheetData>
  <mergeCells count="161">
    <mergeCell ref="A10:D10"/>
    <mergeCell ref="E10:I10"/>
    <mergeCell ref="J10:Q10"/>
    <mergeCell ref="R10:V10"/>
    <mergeCell ref="AH9:BQ9"/>
    <mergeCell ref="BR9:BX9"/>
    <mergeCell ref="W12:Z12"/>
    <mergeCell ref="AA12:AG12"/>
    <mergeCell ref="AH12:BQ12"/>
    <mergeCell ref="BR12:BX12"/>
    <mergeCell ref="A12:D12"/>
    <mergeCell ref="E12:I12"/>
    <mergeCell ref="J12:Q12"/>
    <mergeCell ref="R12:V12"/>
    <mergeCell ref="AH11:BQ11"/>
    <mergeCell ref="BR11:BX11"/>
    <mergeCell ref="A11:D11"/>
    <mergeCell ref="E11:I11"/>
    <mergeCell ref="J11:Q11"/>
    <mergeCell ref="R11:V11"/>
    <mergeCell ref="W11:Z11"/>
    <mergeCell ref="AA11:AG11"/>
    <mergeCell ref="AH8:BQ8"/>
    <mergeCell ref="BR8:BX8"/>
    <mergeCell ref="AA8:AG8"/>
    <mergeCell ref="W8:Z8"/>
    <mergeCell ref="BR7:BX7"/>
    <mergeCell ref="AH7:BQ7"/>
    <mergeCell ref="R9:V9"/>
    <mergeCell ref="W10:Z10"/>
    <mergeCell ref="AA10:AG10"/>
    <mergeCell ref="AH10:BQ10"/>
    <mergeCell ref="BR10:BX10"/>
    <mergeCell ref="R7:V7"/>
    <mergeCell ref="J8:Q8"/>
    <mergeCell ref="R8:V8"/>
    <mergeCell ref="W9:Z9"/>
    <mergeCell ref="AA9:AG9"/>
    <mergeCell ref="A5:D5"/>
    <mergeCell ref="R5:V5"/>
    <mergeCell ref="W7:Z7"/>
    <mergeCell ref="AA7:AG7"/>
    <mergeCell ref="A3:D4"/>
    <mergeCell ref="J3:Q4"/>
    <mergeCell ref="A9:D9"/>
    <mergeCell ref="E9:I9"/>
    <mergeCell ref="J9:Q9"/>
    <mergeCell ref="A8:D8"/>
    <mergeCell ref="E8:I8"/>
    <mergeCell ref="A6:D6"/>
    <mergeCell ref="E6:I6"/>
    <mergeCell ref="J6:Q6"/>
    <mergeCell ref="J5:Q5"/>
    <mergeCell ref="E3:I4"/>
    <mergeCell ref="E5:I5"/>
    <mergeCell ref="A7:D7"/>
    <mergeCell ref="E7:I7"/>
    <mergeCell ref="J7:Q7"/>
    <mergeCell ref="R3:V4"/>
    <mergeCell ref="R6:V6"/>
    <mergeCell ref="BR3:BX4"/>
    <mergeCell ref="AH3:BQ4"/>
    <mergeCell ref="AH5:BQ5"/>
    <mergeCell ref="BR5:BX5"/>
    <mergeCell ref="W6:Z6"/>
    <mergeCell ref="AA6:AG6"/>
    <mergeCell ref="AH6:BQ6"/>
    <mergeCell ref="BR6:BX6"/>
    <mergeCell ref="AA4:AG4"/>
    <mergeCell ref="W3:AG3"/>
    <mergeCell ref="W4:Z4"/>
    <mergeCell ref="W5:Z5"/>
    <mergeCell ref="AA5:AG5"/>
    <mergeCell ref="AA13:AG13"/>
    <mergeCell ref="AH13:BQ13"/>
    <mergeCell ref="BR13:BX13"/>
    <mergeCell ref="A14:D14"/>
    <mergeCell ref="E14:I14"/>
    <mergeCell ref="J14:Q14"/>
    <mergeCell ref="R14:V14"/>
    <mergeCell ref="W14:Z14"/>
    <mergeCell ref="AA14:AG14"/>
    <mergeCell ref="AH14:BQ14"/>
    <mergeCell ref="BR14:BX14"/>
    <mergeCell ref="A13:D13"/>
    <mergeCell ref="E13:I13"/>
    <mergeCell ref="J13:Q13"/>
    <mergeCell ref="R13:V13"/>
    <mergeCell ref="W13:Z13"/>
    <mergeCell ref="AA16:AG16"/>
    <mergeCell ref="AH16:BQ16"/>
    <mergeCell ref="BR16:BX16"/>
    <mergeCell ref="A16:D16"/>
    <mergeCell ref="E16:I16"/>
    <mergeCell ref="J16:Q16"/>
    <mergeCell ref="R16:V16"/>
    <mergeCell ref="W16:Z16"/>
    <mergeCell ref="A15:D15"/>
    <mergeCell ref="E15:I15"/>
    <mergeCell ref="J15:Q15"/>
    <mergeCell ref="R15:V15"/>
    <mergeCell ref="W15:Z15"/>
    <mergeCell ref="AA15:AG15"/>
    <mergeCell ref="AH15:BQ15"/>
    <mergeCell ref="BR15:BX15"/>
    <mergeCell ref="AA17:AG17"/>
    <mergeCell ref="AH17:BQ17"/>
    <mergeCell ref="BR17:BX17"/>
    <mergeCell ref="A18:D18"/>
    <mergeCell ref="E18:I18"/>
    <mergeCell ref="J18:Q18"/>
    <mergeCell ref="R18:V18"/>
    <mergeCell ref="W18:Z18"/>
    <mergeCell ref="AA18:AG18"/>
    <mergeCell ref="AH18:BQ18"/>
    <mergeCell ref="BR18:BX18"/>
    <mergeCell ref="A17:D17"/>
    <mergeCell ref="E17:I17"/>
    <mergeCell ref="J17:Q17"/>
    <mergeCell ref="R17:V17"/>
    <mergeCell ref="W17:Z17"/>
    <mergeCell ref="AA19:AG19"/>
    <mergeCell ref="AH19:BQ19"/>
    <mergeCell ref="BR19:BX19"/>
    <mergeCell ref="A20:D20"/>
    <mergeCell ref="E20:I20"/>
    <mergeCell ref="J20:Q20"/>
    <mergeCell ref="R20:V20"/>
    <mergeCell ref="W20:Z20"/>
    <mergeCell ref="AA20:AG20"/>
    <mergeCell ref="AH20:BQ20"/>
    <mergeCell ref="BR20:BX20"/>
    <mergeCell ref="A19:D19"/>
    <mergeCell ref="E19:I19"/>
    <mergeCell ref="J19:Q19"/>
    <mergeCell ref="R19:V19"/>
    <mergeCell ref="W19:Z19"/>
    <mergeCell ref="AA23:AG23"/>
    <mergeCell ref="AH23:BQ23"/>
    <mergeCell ref="BR23:BX23"/>
    <mergeCell ref="A23:D23"/>
    <mergeCell ref="E23:I23"/>
    <mergeCell ref="J23:Q23"/>
    <mergeCell ref="R23:V23"/>
    <mergeCell ref="W23:Z23"/>
    <mergeCell ref="AA21:AG21"/>
    <mergeCell ref="AH21:BQ21"/>
    <mergeCell ref="BR21:BX21"/>
    <mergeCell ref="A22:D22"/>
    <mergeCell ref="E22:I22"/>
    <mergeCell ref="J22:Q22"/>
    <mergeCell ref="R22:V22"/>
    <mergeCell ref="W22:Z22"/>
    <mergeCell ref="AA22:AG22"/>
    <mergeCell ref="AH22:BQ22"/>
    <mergeCell ref="BR22:BX22"/>
    <mergeCell ref="A21:D21"/>
    <mergeCell ref="E21:I21"/>
    <mergeCell ref="J21:Q21"/>
    <mergeCell ref="R21:V21"/>
    <mergeCell ref="W21:Z21"/>
  </mergeCells>
  <phoneticPr fontId="2"/>
  <pageMargins left="0.21" right="0.2" top="0.78740157480314965" bottom="0.39370078740157483" header="0.59055118110236227" footer="0.19685039370078741"/>
  <pageSetup paperSize="9" orientation="landscape" r:id="rId1"/>
  <headerFooter alignWithMargins="0">
    <oddFooter>&amp;R&amp;9株式会社　京信システムサービス&amp;C&amp;11&amp;P　/　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/>
  <dimension ref="A1:CR47"/>
  <sheetViews>
    <sheetView zoomScaleNormal="100" workbookViewId="0">
      <pane ySplit="3" topLeftCell="A4" activePane="bottomLeft" state="frozen"/>
      <selection activeCell="J6" sqref="J6:Q6"/>
      <selection pane="bottomLeft" activeCell="A4" sqref="A4:H4"/>
    </sheetView>
  </sheetViews>
  <sheetFormatPr defaultColWidth="1.875" defaultRowHeight="15" customHeight="1" x14ac:dyDescent="0.15"/>
  <cols>
    <col min="1" max="16384" width="1.875" style="16"/>
  </cols>
  <sheetData>
    <row r="1" spans="1:96" s="14" customFormat="1" ht="15" customHeight="1" x14ac:dyDescent="0.15">
      <c r="A1" s="120" t="s">
        <v>1</v>
      </c>
      <c r="B1" s="121"/>
      <c r="C1" s="121"/>
      <c r="D1" s="121"/>
      <c r="E1" s="121"/>
      <c r="F1" s="121"/>
      <c r="G1" s="121"/>
      <c r="H1" s="122"/>
      <c r="I1" s="123" t="str">
        <f>タイトル!I40</f>
        <v>　学生勤務管理システム</v>
      </c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5"/>
      <c r="AE1" s="126" t="s">
        <v>0</v>
      </c>
      <c r="AF1" s="127"/>
      <c r="AG1" s="127"/>
      <c r="AH1" s="127"/>
      <c r="AI1" s="127"/>
      <c r="AJ1" s="127"/>
      <c r="AK1" s="128"/>
      <c r="AL1" s="129" t="str">
        <f>タイトル!I43</f>
        <v>　機能設計</v>
      </c>
      <c r="AM1" s="130"/>
      <c r="AN1" s="130"/>
      <c r="AO1" s="130"/>
      <c r="AP1" s="130"/>
      <c r="AQ1" s="130"/>
      <c r="AR1" s="130"/>
      <c r="AS1" s="130"/>
      <c r="AT1" s="130"/>
      <c r="AU1" s="130"/>
      <c r="AV1" s="130"/>
      <c r="AW1" s="130"/>
      <c r="AX1" s="130"/>
      <c r="AY1" s="130"/>
      <c r="AZ1" s="130"/>
      <c r="BA1" s="130"/>
      <c r="BB1" s="130"/>
      <c r="BC1" s="130"/>
      <c r="BD1" s="130"/>
      <c r="BE1" s="130"/>
      <c r="BF1" s="130"/>
      <c r="BG1" s="130"/>
      <c r="BH1" s="131"/>
      <c r="BI1" s="126" t="s">
        <v>12</v>
      </c>
      <c r="BJ1" s="127"/>
      <c r="BK1" s="127"/>
      <c r="BL1" s="128"/>
      <c r="BM1" s="132" t="str">
        <f>タイトル!I46</f>
        <v>大久保　梓沙</v>
      </c>
      <c r="BN1" s="133"/>
      <c r="BO1" s="133"/>
      <c r="BP1" s="133"/>
      <c r="BQ1" s="133"/>
      <c r="BR1" s="133"/>
      <c r="BS1" s="133"/>
      <c r="BT1" s="133"/>
      <c r="BU1" s="133"/>
      <c r="BV1" s="134"/>
      <c r="BW1" s="150">
        <f>タイトル!I47</f>
        <v>45327</v>
      </c>
      <c r="BX1" s="151"/>
      <c r="BY1" s="151"/>
      <c r="BZ1" s="151"/>
      <c r="CA1" s="151"/>
      <c r="CB1" s="151"/>
      <c r="CC1" s="151"/>
      <c r="CD1" s="151"/>
      <c r="CE1" s="152"/>
      <c r="CF1" s="81" t="s">
        <v>13</v>
      </c>
      <c r="CG1" s="82"/>
      <c r="CH1" s="82"/>
      <c r="CI1" s="82"/>
      <c r="CJ1" s="83"/>
      <c r="CK1" s="90" t="str">
        <f>タイトル!I50</f>
        <v>DUC010</v>
      </c>
      <c r="CL1" s="91"/>
      <c r="CM1" s="91"/>
      <c r="CN1" s="91"/>
      <c r="CO1" s="91"/>
      <c r="CP1" s="91"/>
      <c r="CQ1" s="91"/>
      <c r="CR1" s="92"/>
    </row>
    <row r="2" spans="1:96" s="14" customFormat="1" ht="15" customHeight="1" x14ac:dyDescent="0.15">
      <c r="A2" s="99" t="s">
        <v>14</v>
      </c>
      <c r="B2" s="100"/>
      <c r="C2" s="100"/>
      <c r="D2" s="100"/>
      <c r="E2" s="100"/>
      <c r="F2" s="100"/>
      <c r="G2" s="100"/>
      <c r="H2" s="101"/>
      <c r="I2" s="102" t="str">
        <f>タイトル!I41</f>
        <v>　共通機能</v>
      </c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4"/>
      <c r="AE2" s="105" t="s">
        <v>32</v>
      </c>
      <c r="AF2" s="106"/>
      <c r="AG2" s="106"/>
      <c r="AH2" s="106"/>
      <c r="AI2" s="106"/>
      <c r="AJ2" s="106"/>
      <c r="AK2" s="107"/>
      <c r="AL2" s="108" t="str">
        <f>タイトル!I44</f>
        <v>　バッチ処理</v>
      </c>
      <c r="AM2" s="109"/>
      <c r="AN2" s="109"/>
      <c r="AO2" s="109"/>
      <c r="AP2" s="109"/>
      <c r="AQ2" s="109"/>
      <c r="AR2" s="109"/>
      <c r="AS2" s="109"/>
      <c r="AT2" s="109"/>
      <c r="AU2" s="109"/>
      <c r="AV2" s="109"/>
      <c r="AW2" s="109"/>
      <c r="AX2" s="109"/>
      <c r="AY2" s="109"/>
      <c r="AZ2" s="109"/>
      <c r="BA2" s="109"/>
      <c r="BB2" s="109"/>
      <c r="BC2" s="109"/>
      <c r="BD2" s="109"/>
      <c r="BE2" s="109"/>
      <c r="BF2" s="109"/>
      <c r="BG2" s="109"/>
      <c r="BH2" s="110"/>
      <c r="BI2" s="111" t="s">
        <v>15</v>
      </c>
      <c r="BJ2" s="112"/>
      <c r="BK2" s="112"/>
      <c r="BL2" s="113"/>
      <c r="BM2" s="114"/>
      <c r="BN2" s="115"/>
      <c r="BO2" s="115"/>
      <c r="BP2" s="115"/>
      <c r="BQ2" s="115"/>
      <c r="BR2" s="115"/>
      <c r="BS2" s="115"/>
      <c r="BT2" s="115"/>
      <c r="BU2" s="115"/>
      <c r="BV2" s="116"/>
      <c r="BW2" s="117"/>
      <c r="BX2" s="118"/>
      <c r="BY2" s="118"/>
      <c r="BZ2" s="118"/>
      <c r="CA2" s="118"/>
      <c r="CB2" s="118"/>
      <c r="CC2" s="118"/>
      <c r="CD2" s="118"/>
      <c r="CE2" s="119"/>
      <c r="CF2" s="84"/>
      <c r="CG2" s="85"/>
      <c r="CH2" s="85"/>
      <c r="CI2" s="85"/>
      <c r="CJ2" s="86"/>
      <c r="CK2" s="93"/>
      <c r="CL2" s="94"/>
      <c r="CM2" s="94"/>
      <c r="CN2" s="94"/>
      <c r="CO2" s="94"/>
      <c r="CP2" s="94"/>
      <c r="CQ2" s="94"/>
      <c r="CR2" s="95"/>
    </row>
    <row r="3" spans="1:96" s="14" customFormat="1" ht="15" customHeight="1" thickBot="1" x14ac:dyDescent="0.2">
      <c r="A3" s="135"/>
      <c r="B3" s="136"/>
      <c r="C3" s="136"/>
      <c r="D3" s="136"/>
      <c r="E3" s="136"/>
      <c r="F3" s="136"/>
      <c r="G3" s="136"/>
      <c r="H3" s="137"/>
      <c r="I3" s="138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40"/>
      <c r="AE3" s="87"/>
      <c r="AF3" s="88"/>
      <c r="AG3" s="88"/>
      <c r="AH3" s="88"/>
      <c r="AI3" s="88"/>
      <c r="AJ3" s="88"/>
      <c r="AK3" s="89"/>
      <c r="AL3" s="141"/>
      <c r="AM3" s="142"/>
      <c r="AN3" s="142"/>
      <c r="AO3" s="142"/>
      <c r="AP3" s="142"/>
      <c r="AQ3" s="142"/>
      <c r="AR3" s="142"/>
      <c r="AS3" s="142"/>
      <c r="AT3" s="142"/>
      <c r="AU3" s="142"/>
      <c r="AV3" s="142"/>
      <c r="AW3" s="142"/>
      <c r="AX3" s="142"/>
      <c r="AY3" s="142"/>
      <c r="AZ3" s="142"/>
      <c r="BA3" s="142"/>
      <c r="BB3" s="142"/>
      <c r="BC3" s="142"/>
      <c r="BD3" s="142"/>
      <c r="BE3" s="142"/>
      <c r="BF3" s="142"/>
      <c r="BG3" s="142"/>
      <c r="BH3" s="143"/>
      <c r="BI3" s="144"/>
      <c r="BJ3" s="145"/>
      <c r="BK3" s="145"/>
      <c r="BL3" s="146"/>
      <c r="BM3" s="147"/>
      <c r="BN3" s="148"/>
      <c r="BO3" s="148"/>
      <c r="BP3" s="148"/>
      <c r="BQ3" s="148"/>
      <c r="BR3" s="148"/>
      <c r="BS3" s="148"/>
      <c r="BT3" s="148"/>
      <c r="BU3" s="148"/>
      <c r="BV3" s="148"/>
      <c r="BW3" s="148"/>
      <c r="BX3" s="148"/>
      <c r="BY3" s="148"/>
      <c r="BZ3" s="148"/>
      <c r="CA3" s="148"/>
      <c r="CB3" s="148"/>
      <c r="CC3" s="148"/>
      <c r="CD3" s="148"/>
      <c r="CE3" s="149"/>
      <c r="CF3" s="87"/>
      <c r="CG3" s="88"/>
      <c r="CH3" s="88"/>
      <c r="CI3" s="88"/>
      <c r="CJ3" s="89"/>
      <c r="CK3" s="96"/>
      <c r="CL3" s="97"/>
      <c r="CM3" s="97"/>
      <c r="CN3" s="97"/>
      <c r="CO3" s="97"/>
      <c r="CP3" s="97"/>
      <c r="CQ3" s="97"/>
      <c r="CR3" s="98"/>
    </row>
    <row r="4" spans="1:96" s="15" customFormat="1" ht="15" customHeight="1" x14ac:dyDescent="0.15">
      <c r="A4" s="159" t="s">
        <v>36</v>
      </c>
      <c r="B4" s="160"/>
      <c r="C4" s="160"/>
      <c r="D4" s="160"/>
      <c r="E4" s="160"/>
      <c r="F4" s="160"/>
      <c r="G4" s="160"/>
      <c r="H4" s="161"/>
      <c r="I4" s="162" t="s">
        <v>60</v>
      </c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2"/>
      <c r="Y4" s="162"/>
      <c r="Z4" s="162"/>
      <c r="AA4" s="162"/>
      <c r="AB4" s="162"/>
      <c r="AC4" s="162"/>
      <c r="AD4" s="162"/>
      <c r="AE4" s="162"/>
      <c r="AF4" s="162"/>
      <c r="AG4" s="162"/>
      <c r="AH4" s="162"/>
      <c r="AI4" s="162"/>
      <c r="AJ4" s="162"/>
      <c r="AK4" s="162"/>
      <c r="AL4" s="163" t="s">
        <v>37</v>
      </c>
      <c r="AM4" s="163"/>
      <c r="AN4" s="163"/>
      <c r="AO4" s="163"/>
      <c r="AP4" s="163"/>
      <c r="AQ4" s="163"/>
      <c r="AR4" s="163"/>
      <c r="AS4" s="164" t="str">
        <f>LEFT(タイトル!I44,7)</f>
        <v>　バッチ処理</v>
      </c>
      <c r="AT4" s="164"/>
      <c r="AU4" s="164"/>
      <c r="AV4" s="164"/>
      <c r="AW4" s="164"/>
      <c r="AX4" s="164"/>
      <c r="AY4" s="164"/>
      <c r="AZ4" s="164"/>
      <c r="BA4" s="164"/>
      <c r="BB4" s="164"/>
      <c r="BC4" s="164"/>
      <c r="BD4" s="164"/>
      <c r="BE4" s="164"/>
      <c r="BF4" s="164"/>
      <c r="BG4" s="164"/>
      <c r="BH4" s="164"/>
      <c r="BI4" s="165" t="s">
        <v>35</v>
      </c>
      <c r="BJ4" s="166"/>
      <c r="BK4" s="166"/>
      <c r="BL4" s="166"/>
      <c r="BM4" s="166"/>
      <c r="BN4" s="166"/>
      <c r="BO4" s="166"/>
      <c r="BP4" s="166"/>
      <c r="BQ4" s="166"/>
      <c r="BR4" s="166"/>
      <c r="BS4" s="166"/>
      <c r="BT4" s="156" t="s">
        <v>47</v>
      </c>
      <c r="BU4" s="157"/>
      <c r="BV4" s="157"/>
      <c r="BW4" s="157"/>
      <c r="BX4" s="157"/>
      <c r="BY4" s="157"/>
      <c r="BZ4" s="157"/>
      <c r="CA4" s="157"/>
      <c r="CB4" s="157"/>
      <c r="CC4" s="157"/>
      <c r="CD4" s="157"/>
      <c r="CE4" s="157"/>
      <c r="CF4" s="157"/>
      <c r="CG4" s="157"/>
      <c r="CH4" s="157"/>
      <c r="CI4" s="157"/>
      <c r="CJ4" s="157"/>
      <c r="CK4" s="157"/>
      <c r="CL4" s="157"/>
      <c r="CM4" s="157"/>
      <c r="CN4" s="157"/>
      <c r="CO4" s="157"/>
      <c r="CP4" s="157"/>
      <c r="CQ4" s="157"/>
      <c r="CR4" s="158"/>
    </row>
    <row r="5" spans="1:96" s="12" customFormat="1" ht="15" customHeight="1" x14ac:dyDescent="0.15">
      <c r="A5" s="153" t="s">
        <v>39</v>
      </c>
      <c r="B5" s="154"/>
      <c r="C5" s="154"/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54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54"/>
      <c r="AE5" s="154"/>
      <c r="AF5" s="154"/>
      <c r="AG5" s="154"/>
      <c r="AH5" s="154"/>
      <c r="AI5" s="154"/>
      <c r="AJ5" s="154"/>
      <c r="AK5" s="154"/>
      <c r="AL5" s="154"/>
      <c r="AM5" s="154"/>
      <c r="AN5" s="154"/>
      <c r="AO5" s="154"/>
      <c r="AP5" s="154"/>
      <c r="AQ5" s="154"/>
      <c r="AR5" s="154"/>
      <c r="AS5" s="154"/>
      <c r="AT5" s="154"/>
      <c r="AU5" s="154"/>
      <c r="AV5" s="154"/>
      <c r="AW5" s="154"/>
      <c r="AX5" s="154"/>
      <c r="AY5" s="154"/>
      <c r="AZ5" s="154"/>
      <c r="BA5" s="154"/>
      <c r="BB5" s="154"/>
      <c r="BC5" s="154"/>
      <c r="BD5" s="154"/>
      <c r="BE5" s="154"/>
      <c r="BF5" s="154"/>
      <c r="BG5" s="154"/>
      <c r="BH5" s="154"/>
      <c r="BI5" s="154"/>
      <c r="BJ5" s="154"/>
      <c r="BK5" s="154"/>
      <c r="BL5" s="154"/>
      <c r="BM5" s="154"/>
      <c r="BN5" s="154"/>
      <c r="BO5" s="154"/>
      <c r="BP5" s="154"/>
      <c r="BQ5" s="154"/>
      <c r="BR5" s="154"/>
      <c r="BS5" s="154"/>
      <c r="BT5" s="154"/>
      <c r="BU5" s="154"/>
      <c r="BV5" s="154"/>
      <c r="BW5" s="154"/>
      <c r="BX5" s="154"/>
      <c r="BY5" s="154"/>
      <c r="BZ5" s="154"/>
      <c r="CA5" s="154"/>
      <c r="CB5" s="154"/>
      <c r="CC5" s="154"/>
      <c r="CD5" s="154"/>
      <c r="CE5" s="154"/>
      <c r="CF5" s="154"/>
      <c r="CG5" s="154"/>
      <c r="CH5" s="154"/>
      <c r="CI5" s="154"/>
      <c r="CJ5" s="154"/>
      <c r="CK5" s="154"/>
      <c r="CL5" s="154"/>
      <c r="CM5" s="154"/>
      <c r="CN5" s="154"/>
      <c r="CO5" s="154"/>
      <c r="CP5" s="154"/>
      <c r="CQ5" s="154"/>
      <c r="CR5" s="155"/>
    </row>
    <row r="6" spans="1:96" s="12" customFormat="1" ht="15" customHeight="1" x14ac:dyDescent="0.15">
      <c r="A6" s="19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8"/>
    </row>
    <row r="7" spans="1:96" s="12" customFormat="1" ht="15" customHeight="1" x14ac:dyDescent="0.15">
      <c r="A7" s="19"/>
      <c r="B7" s="17" t="s">
        <v>64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8"/>
    </row>
    <row r="8" spans="1:96" s="12" customFormat="1" ht="15" customHeight="1" x14ac:dyDescent="0.15">
      <c r="A8" s="19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8"/>
    </row>
    <row r="9" spans="1:96" s="12" customFormat="1" ht="15" customHeight="1" x14ac:dyDescent="0.15">
      <c r="A9" s="19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8"/>
    </row>
    <row r="10" spans="1:96" s="12" customFormat="1" ht="15" customHeight="1" x14ac:dyDescent="0.15">
      <c r="A10" s="19"/>
      <c r="B10" s="17"/>
      <c r="C10" s="17"/>
      <c r="D10" s="28" t="s">
        <v>52</v>
      </c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30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8"/>
    </row>
    <row r="11" spans="1:96" s="12" customFormat="1" ht="15" customHeight="1" x14ac:dyDescent="0.15">
      <c r="A11" s="19"/>
      <c r="B11" s="17"/>
      <c r="C11" s="17"/>
      <c r="D11" s="34"/>
      <c r="E11" s="167"/>
      <c r="F11" s="169"/>
      <c r="G11" s="169"/>
      <c r="H11" s="169"/>
      <c r="I11" s="169"/>
      <c r="J11" s="169"/>
      <c r="K11" s="167"/>
      <c r="L11" s="169"/>
      <c r="M11" s="169"/>
      <c r="N11" s="167"/>
      <c r="O11" s="167"/>
      <c r="P11" s="167"/>
      <c r="Q11" s="167" t="s">
        <v>61</v>
      </c>
      <c r="R11" s="167"/>
      <c r="S11" s="167"/>
      <c r="T11" s="167"/>
      <c r="U11" s="167"/>
      <c r="V11" s="167"/>
      <c r="W11" s="167"/>
      <c r="X11" s="167"/>
      <c r="Y11" s="167"/>
      <c r="Z11" s="167"/>
      <c r="AA11" s="167"/>
      <c r="AB11" s="167"/>
      <c r="AC11" s="167"/>
      <c r="AD11" s="167"/>
      <c r="AE11" s="167"/>
      <c r="AF11" s="167"/>
      <c r="AG11" s="167"/>
      <c r="AH11" s="167"/>
      <c r="AI11" s="167"/>
      <c r="AJ11" s="167"/>
      <c r="AK11" s="167"/>
      <c r="AL11" s="167"/>
      <c r="AM11" s="167"/>
      <c r="AN11" s="167"/>
      <c r="AO11" s="167"/>
      <c r="AP11" s="167"/>
      <c r="AQ11" s="167"/>
      <c r="AR11" s="167"/>
      <c r="AS11" s="167"/>
      <c r="AT11" s="167"/>
      <c r="AU11" s="167"/>
      <c r="AV11" s="167"/>
      <c r="AW11" s="167"/>
      <c r="AX11" s="167" t="s">
        <v>62</v>
      </c>
      <c r="AY11" s="167"/>
      <c r="AZ11" s="167"/>
      <c r="BA11" s="167"/>
      <c r="BB11" s="167"/>
      <c r="BC11" s="167"/>
      <c r="BD11" s="167"/>
      <c r="BE11" s="167"/>
      <c r="BF11" s="167"/>
      <c r="BG11" s="167"/>
      <c r="BH11" s="167"/>
      <c r="BI11" s="167"/>
      <c r="BJ11" s="167"/>
      <c r="BK11" s="167"/>
      <c r="BL11" s="167"/>
      <c r="BM11" s="167"/>
      <c r="BN11" s="167"/>
      <c r="BO11" s="167"/>
      <c r="BP11" s="167"/>
      <c r="BQ11" s="167"/>
      <c r="BR11" s="167"/>
      <c r="BS11" s="167"/>
      <c r="BT11" s="167"/>
      <c r="BU11" s="167"/>
      <c r="BV11" s="167"/>
      <c r="BW11" s="167"/>
      <c r="BX11" s="167"/>
      <c r="BY11" s="167"/>
      <c r="BZ11" s="167"/>
      <c r="CA11" s="167"/>
      <c r="CB11" s="167"/>
      <c r="CC11" s="167"/>
      <c r="CD11" s="167"/>
      <c r="CE11" s="167"/>
      <c r="CF11" s="167"/>
      <c r="CG11" s="35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8"/>
    </row>
    <row r="12" spans="1:96" s="12" customFormat="1" ht="15" customHeight="1" x14ac:dyDescent="0.15">
      <c r="A12" s="19"/>
      <c r="B12" s="17"/>
      <c r="C12" s="17"/>
      <c r="D12" s="168"/>
      <c r="E12" s="169"/>
      <c r="F12" s="169"/>
      <c r="G12" s="169"/>
      <c r="H12" s="169"/>
      <c r="I12" s="169"/>
      <c r="J12" s="169"/>
      <c r="K12" s="169"/>
      <c r="L12" s="169"/>
      <c r="M12" s="169"/>
      <c r="N12" s="169"/>
      <c r="O12" s="169"/>
      <c r="P12" s="169"/>
      <c r="Q12" s="28" t="s">
        <v>48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30"/>
      <c r="AS12" s="167"/>
      <c r="AT12" s="167"/>
      <c r="AU12" s="167"/>
      <c r="AV12" s="167"/>
      <c r="AW12" s="167"/>
      <c r="AX12" s="28" t="s">
        <v>59</v>
      </c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30"/>
      <c r="CF12" s="167"/>
      <c r="CG12" s="35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8"/>
    </row>
    <row r="13" spans="1:96" s="12" customFormat="1" ht="15" customHeight="1" x14ac:dyDescent="0.15">
      <c r="A13" s="19"/>
      <c r="B13" s="17"/>
      <c r="C13" s="17"/>
      <c r="D13" s="168"/>
      <c r="E13" s="169"/>
      <c r="F13" s="169"/>
      <c r="G13" s="169"/>
      <c r="H13" s="169"/>
      <c r="I13" s="169"/>
      <c r="J13" s="169"/>
      <c r="K13" s="169"/>
      <c r="L13" s="169"/>
      <c r="M13" s="169"/>
      <c r="N13" s="169"/>
      <c r="O13" s="169"/>
      <c r="P13" s="169"/>
      <c r="Q13" s="34"/>
      <c r="R13" s="169"/>
      <c r="S13" s="169"/>
      <c r="T13" s="169"/>
      <c r="U13" s="167"/>
      <c r="V13" s="167"/>
      <c r="W13" s="167"/>
      <c r="X13" s="167"/>
      <c r="Y13" s="167"/>
      <c r="Z13" s="167"/>
      <c r="AA13" s="167"/>
      <c r="AB13" s="167"/>
      <c r="AC13" s="167"/>
      <c r="AD13" s="167"/>
      <c r="AE13" s="167"/>
      <c r="AF13" s="167"/>
      <c r="AG13" s="167"/>
      <c r="AH13" s="167"/>
      <c r="AI13" s="167"/>
      <c r="AJ13" s="167"/>
      <c r="AK13" s="167"/>
      <c r="AL13" s="167"/>
      <c r="AM13" s="167"/>
      <c r="AN13" s="167"/>
      <c r="AO13" s="167"/>
      <c r="AP13" s="167"/>
      <c r="AQ13" s="167"/>
      <c r="AR13" s="35"/>
      <c r="AS13" s="167"/>
      <c r="AT13" s="167"/>
      <c r="AU13" s="167"/>
      <c r="AV13" s="167"/>
      <c r="AW13" s="167"/>
      <c r="AX13" s="34"/>
      <c r="AY13" s="167"/>
      <c r="AZ13" s="167"/>
      <c r="BA13" s="167"/>
      <c r="BB13" s="167"/>
      <c r="BC13" s="167"/>
      <c r="BD13" s="167"/>
      <c r="BE13" s="167"/>
      <c r="BF13" s="167"/>
      <c r="BG13" s="167"/>
      <c r="BH13" s="167"/>
      <c r="BI13" s="167"/>
      <c r="BJ13" s="167"/>
      <c r="BK13" s="167"/>
      <c r="BL13" s="167"/>
      <c r="BM13" s="167"/>
      <c r="BN13" s="167"/>
      <c r="BO13" s="167"/>
      <c r="BP13" s="167"/>
      <c r="BQ13" s="167"/>
      <c r="BR13" s="167"/>
      <c r="BS13" s="167"/>
      <c r="BT13" s="167"/>
      <c r="BU13" s="167"/>
      <c r="BV13" s="167"/>
      <c r="BW13" s="167"/>
      <c r="BX13" s="167"/>
      <c r="BY13" s="167"/>
      <c r="BZ13" s="167"/>
      <c r="CA13" s="167"/>
      <c r="CB13" s="167"/>
      <c r="CC13" s="167"/>
      <c r="CD13" s="167"/>
      <c r="CE13" s="35"/>
      <c r="CF13" s="167"/>
      <c r="CG13" s="35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8"/>
    </row>
    <row r="14" spans="1:96" s="12" customFormat="1" ht="15" customHeight="1" x14ac:dyDescent="0.15">
      <c r="A14" s="19"/>
      <c r="B14" s="17"/>
      <c r="C14" s="17"/>
      <c r="D14" s="168"/>
      <c r="E14" s="169"/>
      <c r="F14" s="169"/>
      <c r="G14" s="169"/>
      <c r="H14" s="169"/>
      <c r="I14" s="169"/>
      <c r="J14" s="169"/>
      <c r="K14" s="169"/>
      <c r="L14" s="169"/>
      <c r="M14" s="169"/>
      <c r="N14" s="169"/>
      <c r="O14" s="169"/>
      <c r="P14" s="169"/>
      <c r="Q14" s="34"/>
      <c r="R14" s="169"/>
      <c r="S14" s="169"/>
      <c r="T14" s="169"/>
      <c r="U14" s="167"/>
      <c r="V14" s="167"/>
      <c r="W14" s="167"/>
      <c r="X14" s="167"/>
      <c r="Y14" s="167"/>
      <c r="Z14" s="167"/>
      <c r="AA14" s="167"/>
      <c r="AB14" s="167"/>
      <c r="AC14" s="167"/>
      <c r="AD14" s="167"/>
      <c r="AE14" s="167"/>
      <c r="AF14" s="167"/>
      <c r="AG14" s="167"/>
      <c r="AH14" s="167"/>
      <c r="AI14" s="167"/>
      <c r="AJ14" s="167"/>
      <c r="AK14" s="167"/>
      <c r="AL14" s="167"/>
      <c r="AM14" s="167"/>
      <c r="AN14" s="167"/>
      <c r="AO14" s="167"/>
      <c r="AP14" s="167"/>
      <c r="AQ14" s="167"/>
      <c r="AR14" s="35"/>
      <c r="AS14" s="167"/>
      <c r="AT14" s="167"/>
      <c r="AU14" s="167"/>
      <c r="AV14" s="167"/>
      <c r="AW14" s="167"/>
      <c r="AX14" s="34"/>
      <c r="AY14" s="167"/>
      <c r="AZ14" s="167"/>
      <c r="BA14" s="167"/>
      <c r="BB14" s="167"/>
      <c r="BC14" s="167"/>
      <c r="BD14" s="167"/>
      <c r="BE14" s="167"/>
      <c r="BF14" s="167"/>
      <c r="BG14" s="167"/>
      <c r="BH14" s="169"/>
      <c r="BI14" s="169"/>
      <c r="BJ14" s="169"/>
      <c r="BK14" s="169"/>
      <c r="BL14" s="169"/>
      <c r="BM14" s="169"/>
      <c r="BN14" s="169"/>
      <c r="BO14" s="169"/>
      <c r="BP14" s="169"/>
      <c r="BQ14" s="169"/>
      <c r="BR14" s="169"/>
      <c r="BS14" s="169"/>
      <c r="BT14" s="169"/>
      <c r="BU14" s="169"/>
      <c r="BV14" s="169"/>
      <c r="BW14" s="169"/>
      <c r="BX14" s="169"/>
      <c r="BY14" s="169"/>
      <c r="BZ14" s="169"/>
      <c r="CA14" s="169"/>
      <c r="CB14" s="167"/>
      <c r="CC14" s="167"/>
      <c r="CD14" s="167"/>
      <c r="CE14" s="35"/>
      <c r="CF14" s="167"/>
      <c r="CG14" s="35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8"/>
    </row>
    <row r="15" spans="1:96" s="12" customFormat="1" ht="15" customHeight="1" x14ac:dyDescent="0.15">
      <c r="A15" s="19"/>
      <c r="B15" s="17"/>
      <c r="C15" s="17"/>
      <c r="D15" s="168"/>
      <c r="E15" s="169"/>
      <c r="F15" s="169"/>
      <c r="G15" s="169"/>
      <c r="H15" s="169"/>
      <c r="I15" s="169"/>
      <c r="J15" s="169"/>
      <c r="K15" s="169"/>
      <c r="L15" s="169"/>
      <c r="M15" s="169"/>
      <c r="N15" s="169"/>
      <c r="O15" s="169"/>
      <c r="P15" s="169"/>
      <c r="Q15" s="34"/>
      <c r="R15" s="169"/>
      <c r="S15" s="169"/>
      <c r="T15" s="169"/>
      <c r="U15" s="167"/>
      <c r="V15" s="167"/>
      <c r="W15" s="167"/>
      <c r="X15" s="167"/>
      <c r="Y15" s="167"/>
      <c r="Z15" s="167"/>
      <c r="AA15" s="167"/>
      <c r="AB15" s="167"/>
      <c r="AC15" s="167"/>
      <c r="AD15" s="167"/>
      <c r="AE15" s="167"/>
      <c r="AF15" s="167"/>
      <c r="AG15" s="167"/>
      <c r="AH15" s="167"/>
      <c r="AI15" s="167"/>
      <c r="AJ15" s="167"/>
      <c r="AK15" s="167"/>
      <c r="AL15" s="167"/>
      <c r="AM15" s="167"/>
      <c r="AN15" s="167"/>
      <c r="AO15" s="167"/>
      <c r="AP15" s="167"/>
      <c r="AQ15" s="167"/>
      <c r="AR15" s="35"/>
      <c r="AS15" s="167"/>
      <c r="AT15" s="167"/>
      <c r="AU15" s="167"/>
      <c r="AV15" s="167"/>
      <c r="AW15" s="167"/>
      <c r="AX15" s="34"/>
      <c r="AY15" s="167"/>
      <c r="AZ15" s="167"/>
      <c r="BA15" s="167"/>
      <c r="BB15" s="167"/>
      <c r="BC15" s="167"/>
      <c r="BD15" s="167"/>
      <c r="BE15" s="167"/>
      <c r="BF15" s="167"/>
      <c r="BG15" s="167"/>
      <c r="BH15" s="169"/>
      <c r="BI15" s="169"/>
      <c r="BJ15" s="169"/>
      <c r="BK15" s="169"/>
      <c r="BL15" s="169"/>
      <c r="BM15" s="169"/>
      <c r="BN15" s="169"/>
      <c r="BO15" s="169"/>
      <c r="BP15" s="169"/>
      <c r="BQ15" s="169"/>
      <c r="BR15" s="169"/>
      <c r="BS15" s="169"/>
      <c r="BT15" s="169"/>
      <c r="BU15" s="169"/>
      <c r="BV15" s="169"/>
      <c r="BW15" s="169"/>
      <c r="BX15" s="169"/>
      <c r="BY15" s="169"/>
      <c r="BZ15" s="169"/>
      <c r="CA15" s="169"/>
      <c r="CB15" s="167"/>
      <c r="CC15" s="167"/>
      <c r="CD15" s="167"/>
      <c r="CE15" s="35"/>
      <c r="CF15" s="167"/>
      <c r="CG15" s="35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8"/>
    </row>
    <row r="16" spans="1:96" s="12" customFormat="1" ht="15" customHeight="1" x14ac:dyDescent="0.15">
      <c r="A16" s="19"/>
      <c r="B16" s="17"/>
      <c r="C16" s="17"/>
      <c r="D16" s="168"/>
      <c r="E16" s="169"/>
      <c r="F16" s="169"/>
      <c r="G16" s="169"/>
      <c r="H16" s="169"/>
      <c r="I16" s="169"/>
      <c r="J16" s="169"/>
      <c r="K16" s="169"/>
      <c r="L16" s="169"/>
      <c r="M16" s="169"/>
      <c r="N16" s="169"/>
      <c r="O16" s="169"/>
      <c r="P16" s="169"/>
      <c r="Q16" s="34"/>
      <c r="R16" s="169"/>
      <c r="S16" s="169"/>
      <c r="T16" s="169"/>
      <c r="U16" s="167"/>
      <c r="V16" s="167"/>
      <c r="W16" s="167"/>
      <c r="X16" s="167"/>
      <c r="Y16" s="167"/>
      <c r="Z16" s="167"/>
      <c r="AA16" s="167"/>
      <c r="AB16" s="167"/>
      <c r="AC16" s="167"/>
      <c r="AD16" s="167"/>
      <c r="AE16" s="167"/>
      <c r="AF16" s="167"/>
      <c r="AG16" s="167"/>
      <c r="AH16" s="167"/>
      <c r="AI16" s="167"/>
      <c r="AJ16" s="167"/>
      <c r="AK16" s="167"/>
      <c r="AL16" s="167"/>
      <c r="AM16" s="167"/>
      <c r="AN16" s="167"/>
      <c r="AO16" s="167"/>
      <c r="AP16" s="167"/>
      <c r="AQ16" s="167"/>
      <c r="AR16" s="35"/>
      <c r="AS16" s="167"/>
      <c r="AT16" s="167"/>
      <c r="AU16" s="167"/>
      <c r="AV16" s="167"/>
      <c r="AW16" s="167"/>
      <c r="AX16" s="34"/>
      <c r="AY16" s="167"/>
      <c r="AZ16" s="167"/>
      <c r="BA16" s="167"/>
      <c r="BB16" s="167"/>
      <c r="BC16" s="167"/>
      <c r="BD16" s="167"/>
      <c r="BE16" s="167"/>
      <c r="BF16" s="167"/>
      <c r="BG16" s="167"/>
      <c r="BH16" s="169"/>
      <c r="BI16" s="169"/>
      <c r="BJ16" s="169"/>
      <c r="BK16" s="169"/>
      <c r="BL16" s="169"/>
      <c r="BM16" s="169"/>
      <c r="BN16" s="169"/>
      <c r="BO16" s="169"/>
      <c r="BP16" s="169"/>
      <c r="BQ16" s="169"/>
      <c r="BR16" s="169"/>
      <c r="BS16" s="169"/>
      <c r="BT16" s="169"/>
      <c r="BU16" s="169"/>
      <c r="BV16" s="169"/>
      <c r="BW16" s="169"/>
      <c r="BX16" s="169"/>
      <c r="BY16" s="169"/>
      <c r="BZ16" s="169"/>
      <c r="CA16" s="169"/>
      <c r="CB16" s="167"/>
      <c r="CC16" s="167"/>
      <c r="CD16" s="167"/>
      <c r="CE16" s="35"/>
      <c r="CF16" s="167"/>
      <c r="CG16" s="35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8"/>
    </row>
    <row r="17" spans="1:96" s="12" customFormat="1" ht="15" customHeight="1" x14ac:dyDescent="0.15">
      <c r="A17" s="19"/>
      <c r="B17" s="17"/>
      <c r="C17" s="17"/>
      <c r="D17" s="168"/>
      <c r="E17" s="169"/>
      <c r="F17" s="169"/>
      <c r="G17" s="169"/>
      <c r="H17" s="169"/>
      <c r="I17" s="169"/>
      <c r="J17" s="169"/>
      <c r="K17" s="169"/>
      <c r="L17" s="169"/>
      <c r="M17" s="169"/>
      <c r="N17" s="169"/>
      <c r="O17" s="169"/>
      <c r="P17" s="169"/>
      <c r="Q17" s="34"/>
      <c r="R17" s="169"/>
      <c r="S17" s="169"/>
      <c r="T17" s="169"/>
      <c r="U17" s="167"/>
      <c r="V17" s="167"/>
      <c r="W17" s="167"/>
      <c r="X17" s="167"/>
      <c r="Y17" s="167"/>
      <c r="Z17" s="167"/>
      <c r="AA17" s="167"/>
      <c r="AB17" s="167"/>
      <c r="AC17" s="167"/>
      <c r="AD17" s="167"/>
      <c r="AE17" s="167"/>
      <c r="AF17" s="167"/>
      <c r="AG17" s="167"/>
      <c r="AH17" s="167"/>
      <c r="AI17" s="167"/>
      <c r="AJ17" s="167"/>
      <c r="AK17" s="167"/>
      <c r="AL17" s="167"/>
      <c r="AM17" s="167"/>
      <c r="AN17" s="167"/>
      <c r="AO17" s="167"/>
      <c r="AP17" s="167"/>
      <c r="AQ17" s="167"/>
      <c r="AR17" s="35"/>
      <c r="AS17" s="167"/>
      <c r="AT17" s="167"/>
      <c r="AU17" s="167"/>
      <c r="AV17" s="167"/>
      <c r="AW17" s="167"/>
      <c r="AX17" s="34"/>
      <c r="AY17" s="167"/>
      <c r="AZ17" s="167"/>
      <c r="BA17" s="167"/>
      <c r="BB17" s="167"/>
      <c r="BC17" s="167"/>
      <c r="BD17" s="167"/>
      <c r="BE17" s="167"/>
      <c r="BF17" s="167"/>
      <c r="BG17" s="167"/>
      <c r="BH17" s="169"/>
      <c r="BI17" s="169"/>
      <c r="BJ17" s="169"/>
      <c r="BK17" s="169"/>
      <c r="BL17" s="169"/>
      <c r="BM17" s="169"/>
      <c r="BN17" s="169"/>
      <c r="BO17" s="169"/>
      <c r="BP17" s="169"/>
      <c r="BQ17" s="169"/>
      <c r="BR17" s="169"/>
      <c r="BS17" s="169"/>
      <c r="BT17" s="169"/>
      <c r="BU17" s="169"/>
      <c r="BV17" s="169"/>
      <c r="BW17" s="169"/>
      <c r="BX17" s="169"/>
      <c r="BY17" s="169"/>
      <c r="BZ17" s="169"/>
      <c r="CA17" s="169"/>
      <c r="CB17" s="167"/>
      <c r="CC17" s="167"/>
      <c r="CD17" s="167"/>
      <c r="CE17" s="35"/>
      <c r="CF17" s="167"/>
      <c r="CG17" s="35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8"/>
    </row>
    <row r="18" spans="1:96" s="12" customFormat="1" ht="15" customHeight="1" x14ac:dyDescent="0.15">
      <c r="A18" s="19"/>
      <c r="B18" s="17"/>
      <c r="C18" s="17"/>
      <c r="D18" s="168"/>
      <c r="E18" s="169"/>
      <c r="F18" s="169" t="s">
        <v>56</v>
      </c>
      <c r="G18" s="169"/>
      <c r="H18" s="169"/>
      <c r="I18" s="169"/>
      <c r="J18" s="169"/>
      <c r="K18" s="169"/>
      <c r="L18" s="169"/>
      <c r="M18" s="169"/>
      <c r="N18" s="169"/>
      <c r="O18" s="169"/>
      <c r="P18" s="169"/>
      <c r="Q18" s="34"/>
      <c r="R18" s="169"/>
      <c r="S18" s="169"/>
      <c r="T18" s="169"/>
      <c r="U18" s="167"/>
      <c r="V18" s="167"/>
      <c r="W18" s="167"/>
      <c r="X18" s="167"/>
      <c r="Y18" s="167"/>
      <c r="Z18" s="167"/>
      <c r="AA18" s="167"/>
      <c r="AB18" s="167"/>
      <c r="AC18" s="167"/>
      <c r="AD18" s="167"/>
      <c r="AE18" s="167"/>
      <c r="AF18" s="167"/>
      <c r="AG18" s="167"/>
      <c r="AH18" s="167"/>
      <c r="AI18" s="167"/>
      <c r="AJ18" s="167"/>
      <c r="AK18" s="167"/>
      <c r="AL18" s="167"/>
      <c r="AM18" s="167"/>
      <c r="AN18" s="167"/>
      <c r="AO18" s="167"/>
      <c r="AP18" s="167"/>
      <c r="AQ18" s="167"/>
      <c r="AR18" s="35"/>
      <c r="AS18" s="167"/>
      <c r="AT18" s="167"/>
      <c r="AU18" s="167"/>
      <c r="AV18" s="167"/>
      <c r="AW18" s="167"/>
      <c r="AX18" s="34"/>
      <c r="AY18" s="167"/>
      <c r="AZ18" s="167"/>
      <c r="BA18" s="167"/>
      <c r="BB18" s="167"/>
      <c r="BC18" s="167"/>
      <c r="BD18" s="167"/>
      <c r="BE18" s="167"/>
      <c r="BF18" s="167"/>
      <c r="BG18" s="167"/>
      <c r="BH18" s="169"/>
      <c r="BI18" s="169"/>
      <c r="BJ18" s="169"/>
      <c r="BK18" s="169"/>
      <c r="BL18" s="169"/>
      <c r="BM18" s="169"/>
      <c r="BN18" s="169"/>
      <c r="BO18" s="169"/>
      <c r="BP18" s="169"/>
      <c r="BQ18" s="169"/>
      <c r="BR18" s="169"/>
      <c r="BS18" s="169"/>
      <c r="BT18" s="169"/>
      <c r="BU18" s="169"/>
      <c r="BV18" s="169"/>
      <c r="BW18" s="169"/>
      <c r="BX18" s="169"/>
      <c r="BY18" s="169"/>
      <c r="BZ18" s="169"/>
      <c r="CA18" s="169"/>
      <c r="CB18" s="167"/>
      <c r="CC18" s="167"/>
      <c r="CD18" s="167"/>
      <c r="CE18" s="35"/>
      <c r="CF18" s="167"/>
      <c r="CG18" s="35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8"/>
    </row>
    <row r="19" spans="1:96" s="12" customFormat="1" ht="15" customHeight="1" x14ac:dyDescent="0.15">
      <c r="A19" s="19"/>
      <c r="B19" s="17"/>
      <c r="C19" s="17"/>
      <c r="D19" s="168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34"/>
      <c r="R19" s="169"/>
      <c r="S19" s="170" t="s">
        <v>49</v>
      </c>
      <c r="T19" s="169"/>
      <c r="U19" s="169"/>
      <c r="V19" s="169"/>
      <c r="W19" s="169"/>
      <c r="X19" s="169"/>
      <c r="Y19" s="169"/>
      <c r="Z19" s="169"/>
      <c r="AA19" s="169"/>
      <c r="AB19" s="169"/>
      <c r="AC19" s="169"/>
      <c r="AD19" s="169" t="s">
        <v>54</v>
      </c>
      <c r="AE19" s="169"/>
      <c r="AF19" s="169"/>
      <c r="AG19" s="169"/>
      <c r="AH19" s="169"/>
      <c r="AI19" s="169"/>
      <c r="AJ19" s="169"/>
      <c r="AK19" s="169"/>
      <c r="AL19" s="169"/>
      <c r="AM19" s="169"/>
      <c r="AN19" s="169"/>
      <c r="AO19" s="169"/>
      <c r="AP19" s="169"/>
      <c r="AQ19" s="169"/>
      <c r="AR19" s="35"/>
      <c r="AS19" s="167"/>
      <c r="AT19" s="167"/>
      <c r="AU19" s="167"/>
      <c r="AV19" s="167"/>
      <c r="AW19" s="167"/>
      <c r="AX19" s="34"/>
      <c r="AY19" s="169"/>
      <c r="AZ19" s="167"/>
      <c r="BA19" s="167"/>
      <c r="BB19" s="167"/>
      <c r="BC19" s="167"/>
      <c r="BD19" s="167"/>
      <c r="BE19" s="167"/>
      <c r="BF19" s="167"/>
      <c r="BG19" s="167"/>
      <c r="BH19" s="169"/>
      <c r="BI19" s="169"/>
      <c r="BJ19" s="169"/>
      <c r="BK19" s="169"/>
      <c r="BL19" s="169"/>
      <c r="BM19" s="169"/>
      <c r="BN19" s="169"/>
      <c r="BO19" s="169"/>
      <c r="BP19" s="169"/>
      <c r="BQ19" s="169"/>
      <c r="BR19" s="169"/>
      <c r="BS19" s="169"/>
      <c r="BT19" s="169"/>
      <c r="BU19" s="169"/>
      <c r="BV19" s="169"/>
      <c r="BW19" s="169"/>
      <c r="BX19" s="169"/>
      <c r="BY19" s="169"/>
      <c r="BZ19" s="169"/>
      <c r="CA19" s="169"/>
      <c r="CB19" s="169"/>
      <c r="CC19" s="169"/>
      <c r="CD19" s="169"/>
      <c r="CE19" s="35"/>
      <c r="CF19" s="167"/>
      <c r="CG19" s="35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8"/>
    </row>
    <row r="20" spans="1:96" s="12" customFormat="1" ht="15" customHeight="1" x14ac:dyDescent="0.15">
      <c r="A20" s="19"/>
      <c r="B20" s="17"/>
      <c r="C20" s="17"/>
      <c r="D20" s="168"/>
      <c r="E20" s="169"/>
      <c r="F20" s="169"/>
      <c r="G20" s="169"/>
      <c r="H20" s="169"/>
      <c r="I20" s="169"/>
      <c r="J20" s="169"/>
      <c r="K20" s="169"/>
      <c r="L20" s="169"/>
      <c r="M20" s="169"/>
      <c r="N20" s="169"/>
      <c r="O20" s="169"/>
      <c r="P20" s="169"/>
      <c r="Q20" s="34"/>
      <c r="R20" s="169"/>
      <c r="S20" s="170" t="s">
        <v>50</v>
      </c>
      <c r="T20" s="169"/>
      <c r="U20" s="169"/>
      <c r="V20" s="169"/>
      <c r="W20" s="169"/>
      <c r="X20" s="169"/>
      <c r="Y20" s="169"/>
      <c r="Z20" s="169"/>
      <c r="AA20" s="169"/>
      <c r="AB20" s="169"/>
      <c r="AC20" s="169"/>
      <c r="AD20" s="169" t="s">
        <v>55</v>
      </c>
      <c r="AE20" s="169"/>
      <c r="AF20" s="169"/>
      <c r="AG20" s="169"/>
      <c r="AH20" s="169"/>
      <c r="AI20" s="169"/>
      <c r="AJ20" s="169"/>
      <c r="AK20" s="169"/>
      <c r="AL20" s="169"/>
      <c r="AM20" s="169"/>
      <c r="AN20" s="169"/>
      <c r="AO20" s="169"/>
      <c r="AP20" s="169"/>
      <c r="AQ20" s="169"/>
      <c r="AR20" s="35"/>
      <c r="AS20" s="167"/>
      <c r="AT20" s="167"/>
      <c r="AU20" s="167"/>
      <c r="AV20" s="167"/>
      <c r="AW20" s="167"/>
      <c r="AX20" s="34"/>
      <c r="AY20" s="169"/>
      <c r="AZ20" s="167"/>
      <c r="BA20" s="167"/>
      <c r="BB20" s="167"/>
      <c r="BC20" s="167"/>
      <c r="BD20" s="167"/>
      <c r="BE20" s="167"/>
      <c r="BF20" s="167"/>
      <c r="BG20" s="167"/>
      <c r="BH20" s="169"/>
      <c r="BI20" s="169"/>
      <c r="BJ20" s="169"/>
      <c r="BK20" s="169"/>
      <c r="BL20" s="169"/>
      <c r="BM20" s="169"/>
      <c r="BN20" s="169"/>
      <c r="BO20" s="169"/>
      <c r="BP20" s="169"/>
      <c r="BQ20" s="169"/>
      <c r="BR20" s="169" t="s">
        <v>57</v>
      </c>
      <c r="BS20" s="169"/>
      <c r="BT20" s="169"/>
      <c r="BU20" s="169"/>
      <c r="BV20" s="169"/>
      <c r="BW20" s="169"/>
      <c r="BX20" s="169"/>
      <c r="BY20" s="169"/>
      <c r="BZ20" s="169"/>
      <c r="CA20" s="169"/>
      <c r="CB20" s="169"/>
      <c r="CC20" s="169"/>
      <c r="CD20" s="169"/>
      <c r="CE20" s="35"/>
      <c r="CF20" s="167"/>
      <c r="CG20" s="35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8"/>
    </row>
    <row r="21" spans="1:96" s="12" customFormat="1" ht="15" customHeight="1" x14ac:dyDescent="0.15">
      <c r="A21" s="19"/>
      <c r="B21" s="17"/>
      <c r="C21" s="17"/>
      <c r="D21" s="168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69"/>
      <c r="Q21" s="34"/>
      <c r="R21" s="169"/>
      <c r="S21" s="170" t="s">
        <v>51</v>
      </c>
      <c r="T21" s="169"/>
      <c r="U21" s="169"/>
      <c r="V21" s="169"/>
      <c r="W21" s="169"/>
      <c r="X21" s="169"/>
      <c r="Y21" s="169"/>
      <c r="Z21" s="169"/>
      <c r="AA21" s="169"/>
      <c r="AB21" s="169"/>
      <c r="AC21" s="169"/>
      <c r="AD21" s="169" t="s">
        <v>63</v>
      </c>
      <c r="AE21" s="169"/>
      <c r="AF21" s="169"/>
      <c r="AG21" s="169"/>
      <c r="AH21" s="169"/>
      <c r="AI21" s="169"/>
      <c r="AJ21" s="169"/>
      <c r="AK21" s="169"/>
      <c r="AL21" s="169"/>
      <c r="AM21" s="169"/>
      <c r="AN21" s="169"/>
      <c r="AO21" s="169"/>
      <c r="AP21" s="169"/>
      <c r="AQ21" s="169"/>
      <c r="AR21" s="35"/>
      <c r="AS21" s="167"/>
      <c r="AT21" s="167"/>
      <c r="AU21" s="167"/>
      <c r="AV21" s="167"/>
      <c r="AW21" s="167"/>
      <c r="AX21" s="34"/>
      <c r="AY21" s="169"/>
      <c r="AZ21" s="167"/>
      <c r="BA21" s="167"/>
      <c r="BB21" s="167"/>
      <c r="BC21" s="167"/>
      <c r="BD21" s="167"/>
      <c r="BE21" s="167"/>
      <c r="BF21" s="167"/>
      <c r="BG21" s="167"/>
      <c r="BH21" s="169"/>
      <c r="BI21" s="169"/>
      <c r="BJ21" s="169"/>
      <c r="BK21" s="169"/>
      <c r="BL21" s="169"/>
      <c r="BM21" s="169"/>
      <c r="BN21" s="169"/>
      <c r="BO21" s="169"/>
      <c r="BP21" s="169"/>
      <c r="BQ21" s="169"/>
      <c r="BR21" s="169"/>
      <c r="BS21" s="169"/>
      <c r="BT21" s="169"/>
      <c r="BU21" s="169"/>
      <c r="BV21" s="169"/>
      <c r="BW21" s="169"/>
      <c r="BX21" s="169"/>
      <c r="BY21" s="169"/>
      <c r="BZ21" s="169"/>
      <c r="CA21" s="169"/>
      <c r="CB21" s="169"/>
      <c r="CC21" s="169"/>
      <c r="CD21" s="169"/>
      <c r="CE21" s="35"/>
      <c r="CF21" s="167"/>
      <c r="CG21" s="35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8"/>
    </row>
    <row r="22" spans="1:96" s="12" customFormat="1" ht="15" customHeight="1" x14ac:dyDescent="0.15">
      <c r="A22" s="19"/>
      <c r="B22" s="17"/>
      <c r="C22" s="17"/>
      <c r="D22" s="168"/>
      <c r="E22" s="169"/>
      <c r="F22" s="169"/>
      <c r="G22" s="169"/>
      <c r="H22" s="169"/>
      <c r="I22" s="169"/>
      <c r="J22" s="169"/>
      <c r="K22" s="169"/>
      <c r="L22" s="169"/>
      <c r="M22" s="169"/>
      <c r="N22" s="169"/>
      <c r="O22" s="169"/>
      <c r="P22" s="169"/>
      <c r="Q22" s="34"/>
      <c r="R22" s="167"/>
      <c r="S22" s="174" t="s">
        <v>67</v>
      </c>
      <c r="T22" s="167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  <c r="AI22" s="167"/>
      <c r="AJ22" s="167"/>
      <c r="AK22" s="167"/>
      <c r="AL22" s="167"/>
      <c r="AM22" s="167"/>
      <c r="AN22" s="167"/>
      <c r="AO22" s="167"/>
      <c r="AP22" s="167"/>
      <c r="AQ22" s="167"/>
      <c r="AR22" s="35"/>
      <c r="AS22" s="167"/>
      <c r="AT22" s="167"/>
      <c r="AU22" s="167"/>
      <c r="AV22" s="167"/>
      <c r="AW22" s="167"/>
      <c r="AX22" s="34"/>
      <c r="AY22" s="167"/>
      <c r="AZ22" s="167"/>
      <c r="BA22" s="167"/>
      <c r="BB22" s="167"/>
      <c r="BC22" s="167"/>
      <c r="BD22" s="167"/>
      <c r="BE22" s="167"/>
      <c r="BF22" s="167"/>
      <c r="BG22" s="167"/>
      <c r="BH22" s="167"/>
      <c r="BI22" s="167"/>
      <c r="BJ22" s="167"/>
      <c r="BK22" s="167"/>
      <c r="BL22" s="167"/>
      <c r="BM22" s="167"/>
      <c r="BN22" s="167"/>
      <c r="BO22" s="167"/>
      <c r="BP22" s="167"/>
      <c r="BQ22" s="167"/>
      <c r="BR22" s="167"/>
      <c r="BS22" s="167"/>
      <c r="BT22" s="167"/>
      <c r="BU22" s="167"/>
      <c r="BV22" s="167"/>
      <c r="BW22" s="167"/>
      <c r="BX22" s="167"/>
      <c r="BY22" s="167"/>
      <c r="BZ22" s="167"/>
      <c r="CA22" s="167"/>
      <c r="CB22" s="167"/>
      <c r="CC22" s="167"/>
      <c r="CD22" s="167"/>
      <c r="CE22" s="35"/>
      <c r="CF22" s="167"/>
      <c r="CG22" s="35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8"/>
    </row>
    <row r="23" spans="1:96" s="12" customFormat="1" ht="15" customHeight="1" x14ac:dyDescent="0.15">
      <c r="A23" s="19"/>
      <c r="B23" s="17"/>
      <c r="C23" s="17"/>
      <c r="D23" s="168"/>
      <c r="E23" s="169"/>
      <c r="F23" s="169"/>
      <c r="G23" s="169"/>
      <c r="H23" s="169"/>
      <c r="I23" s="169"/>
      <c r="J23" s="169"/>
      <c r="K23" s="169"/>
      <c r="L23" s="169"/>
      <c r="M23" s="169"/>
      <c r="N23" s="169"/>
      <c r="O23" s="169"/>
      <c r="P23" s="169"/>
      <c r="Q23" s="168"/>
      <c r="R23" s="169"/>
      <c r="S23" s="169"/>
      <c r="T23" s="169"/>
      <c r="U23" s="169"/>
      <c r="V23" s="169"/>
      <c r="W23" s="169"/>
      <c r="X23" s="169"/>
      <c r="Y23" s="169"/>
      <c r="Z23" s="169"/>
      <c r="AA23" s="169"/>
      <c r="AB23" s="169"/>
      <c r="AC23" s="169"/>
      <c r="AD23" s="169"/>
      <c r="AE23" s="169"/>
      <c r="AF23" s="169"/>
      <c r="AG23" s="169"/>
      <c r="AH23" s="169"/>
      <c r="AI23" s="169"/>
      <c r="AJ23" s="169"/>
      <c r="AK23" s="169"/>
      <c r="AL23" s="169"/>
      <c r="AM23" s="169"/>
      <c r="AN23" s="169"/>
      <c r="AO23" s="169"/>
      <c r="AP23" s="169"/>
      <c r="AQ23" s="169"/>
      <c r="AR23" s="173"/>
      <c r="AS23" s="167"/>
      <c r="AT23" s="167"/>
      <c r="AU23" s="167"/>
      <c r="AV23" s="167"/>
      <c r="AW23" s="167"/>
      <c r="AX23" s="31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3"/>
      <c r="CF23" s="167"/>
      <c r="CG23" s="35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8"/>
    </row>
    <row r="24" spans="1:96" s="12" customFormat="1" ht="15" customHeight="1" x14ac:dyDescent="0.15">
      <c r="A24" s="19"/>
      <c r="B24" s="17"/>
      <c r="C24" s="17"/>
      <c r="D24" s="168"/>
      <c r="E24" s="169"/>
      <c r="F24" s="169"/>
      <c r="G24" s="169"/>
      <c r="H24" s="169"/>
      <c r="I24" s="169"/>
      <c r="J24" s="169"/>
      <c r="K24" s="169"/>
      <c r="L24" s="169"/>
      <c r="M24" s="169"/>
      <c r="N24" s="169"/>
      <c r="O24" s="169"/>
      <c r="P24" s="169"/>
      <c r="Q24" s="168"/>
      <c r="Z24" s="169"/>
      <c r="AA24" s="169"/>
      <c r="AB24" s="169"/>
      <c r="AC24" s="169"/>
      <c r="AD24" s="169"/>
      <c r="AE24" s="169"/>
      <c r="AF24" s="169"/>
      <c r="AG24" s="169"/>
      <c r="AH24" s="169"/>
      <c r="AI24" s="169"/>
      <c r="AJ24" s="169"/>
      <c r="AK24" s="169" t="s">
        <v>66</v>
      </c>
      <c r="AL24" s="169"/>
      <c r="AM24" s="169"/>
      <c r="AN24" s="169"/>
      <c r="AO24" s="169"/>
      <c r="AP24" s="169"/>
      <c r="AQ24" s="169"/>
      <c r="AR24" s="173"/>
      <c r="AS24" s="169"/>
      <c r="AT24" s="169"/>
      <c r="AX24" s="167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3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8"/>
    </row>
    <row r="25" spans="1:96" s="12" customFormat="1" ht="15" customHeight="1" x14ac:dyDescent="0.15">
      <c r="A25" s="19"/>
      <c r="B25" s="17"/>
      <c r="C25" s="17"/>
      <c r="D25" s="34"/>
      <c r="E25" s="167"/>
      <c r="F25" s="167"/>
      <c r="G25" s="167"/>
      <c r="H25" s="167"/>
      <c r="I25" s="167"/>
      <c r="J25" s="167"/>
      <c r="K25" s="167"/>
      <c r="L25" s="167"/>
      <c r="M25" s="167"/>
      <c r="N25" s="167"/>
      <c r="O25" s="167"/>
      <c r="P25" s="167"/>
      <c r="Q25" s="34"/>
      <c r="R25" s="169"/>
      <c r="S25" s="169"/>
      <c r="T25" s="169"/>
      <c r="U25" s="169"/>
      <c r="V25" s="169"/>
      <c r="W25" s="169"/>
      <c r="X25" s="169"/>
      <c r="Y25" s="169"/>
      <c r="Z25" s="167"/>
      <c r="AA25" s="167"/>
      <c r="AB25" s="167"/>
      <c r="AC25" s="167"/>
      <c r="AD25" s="167"/>
      <c r="AE25" s="167"/>
      <c r="AF25" s="167"/>
      <c r="AG25" s="167"/>
      <c r="AH25" s="167"/>
      <c r="AI25" s="167"/>
      <c r="AJ25" s="167"/>
      <c r="AK25" s="175" t="s">
        <v>69</v>
      </c>
      <c r="AL25" s="167"/>
      <c r="AM25" s="167"/>
      <c r="AN25" s="167"/>
      <c r="AO25" s="167"/>
      <c r="AP25" s="167"/>
      <c r="AQ25" s="167"/>
      <c r="AR25" s="35"/>
      <c r="AS25" s="167"/>
      <c r="AT25" s="167"/>
      <c r="AV25" s="28"/>
      <c r="AW25" s="29"/>
      <c r="AX25" s="29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8"/>
    </row>
    <row r="26" spans="1:96" s="12" customFormat="1" ht="15" customHeight="1" x14ac:dyDescent="0.15">
      <c r="A26" s="19"/>
      <c r="B26" s="17"/>
      <c r="C26" s="17"/>
      <c r="D26" s="34"/>
      <c r="E26" s="167"/>
      <c r="F26" s="167"/>
      <c r="G26" s="167"/>
      <c r="H26" s="167"/>
      <c r="I26" s="167"/>
      <c r="J26" s="167"/>
      <c r="K26" s="167"/>
      <c r="L26" s="167"/>
      <c r="M26" s="167"/>
      <c r="N26" s="167"/>
      <c r="O26" s="167"/>
      <c r="P26" s="167"/>
      <c r="Q26" s="34"/>
      <c r="R26" s="167"/>
      <c r="S26" s="167"/>
      <c r="T26" s="167"/>
      <c r="U26" s="167"/>
      <c r="V26" s="167"/>
      <c r="W26" s="167"/>
      <c r="X26" s="167"/>
      <c r="Y26" s="167"/>
      <c r="Z26" s="167"/>
      <c r="AA26" s="167"/>
      <c r="AB26" s="167"/>
      <c r="AC26" s="167"/>
      <c r="AD26" s="167"/>
      <c r="AE26" s="167"/>
      <c r="AF26" s="167"/>
      <c r="AG26" s="167"/>
      <c r="AH26" s="167"/>
      <c r="AI26" s="167"/>
      <c r="AJ26" s="167"/>
      <c r="AK26" s="167"/>
      <c r="AL26" s="167"/>
      <c r="AM26" s="167"/>
      <c r="AN26" s="167"/>
      <c r="AO26" s="167"/>
      <c r="AP26" s="167"/>
      <c r="AQ26" s="167"/>
      <c r="AR26" s="35"/>
      <c r="AS26" s="167"/>
      <c r="AT26" s="167"/>
      <c r="AV26" s="34"/>
      <c r="AW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8"/>
    </row>
    <row r="27" spans="1:96" s="12" customFormat="1" ht="15" customHeight="1" x14ac:dyDescent="0.15">
      <c r="A27" s="19"/>
      <c r="B27" s="17"/>
      <c r="C27" s="17"/>
      <c r="D27" s="34"/>
      <c r="E27" s="167"/>
      <c r="F27" s="167"/>
      <c r="G27" s="167"/>
      <c r="H27" s="167"/>
      <c r="I27" s="167"/>
      <c r="J27" s="167"/>
      <c r="K27" s="167"/>
      <c r="L27" s="167"/>
      <c r="M27" s="167"/>
      <c r="N27" s="167"/>
      <c r="O27" s="167"/>
      <c r="P27" s="167"/>
      <c r="Q27" s="34"/>
      <c r="R27" s="167"/>
      <c r="S27" s="167"/>
      <c r="T27" s="167"/>
      <c r="U27" s="167"/>
      <c r="V27" s="167"/>
      <c r="W27" s="167"/>
      <c r="X27" s="167"/>
      <c r="Y27" s="167"/>
      <c r="Z27" s="167"/>
      <c r="AA27" s="167"/>
      <c r="AB27" s="167"/>
      <c r="AC27" s="167"/>
      <c r="AD27" s="167"/>
      <c r="AE27" s="28" t="s">
        <v>65</v>
      </c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30"/>
      <c r="AQ27" s="167"/>
      <c r="AR27" s="35"/>
      <c r="AS27" s="167"/>
      <c r="AT27" s="167"/>
      <c r="AV27" s="168"/>
      <c r="AZ27" s="28" t="s">
        <v>53</v>
      </c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/>
      <c r="CG27" s="30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8"/>
    </row>
    <row r="28" spans="1:96" s="12" customFormat="1" ht="15" customHeight="1" x14ac:dyDescent="0.15">
      <c r="A28" s="19"/>
      <c r="B28" s="17"/>
      <c r="C28" s="17"/>
      <c r="D28" s="34"/>
      <c r="E28" s="167"/>
      <c r="F28" s="167"/>
      <c r="G28" s="167"/>
      <c r="H28" s="167"/>
      <c r="I28" s="167"/>
      <c r="J28" s="167"/>
      <c r="K28" s="167"/>
      <c r="L28" s="167"/>
      <c r="M28" s="167"/>
      <c r="N28" s="167"/>
      <c r="O28" s="167"/>
      <c r="P28" s="167"/>
      <c r="Q28" s="34"/>
      <c r="R28" s="167"/>
      <c r="S28" s="167"/>
      <c r="T28" s="167"/>
      <c r="U28" s="167"/>
      <c r="V28" s="167"/>
      <c r="W28" s="167"/>
      <c r="X28" s="167"/>
      <c r="Y28" s="167"/>
      <c r="Z28" s="167"/>
      <c r="AA28" s="167"/>
      <c r="AB28" s="167"/>
      <c r="AC28" s="167"/>
      <c r="AD28" s="167"/>
      <c r="AE28" s="34"/>
      <c r="AF28" s="167"/>
      <c r="AG28" s="167"/>
      <c r="AH28" s="167"/>
      <c r="AI28" s="167"/>
      <c r="AJ28" s="167"/>
      <c r="AK28" s="167"/>
      <c r="AL28" s="167"/>
      <c r="AM28" s="167"/>
      <c r="AN28" s="167"/>
      <c r="AO28" s="167"/>
      <c r="AP28" s="35"/>
      <c r="AQ28" s="167"/>
      <c r="AR28" s="35"/>
      <c r="AS28" s="167"/>
      <c r="AT28" s="167"/>
      <c r="AV28" s="168"/>
      <c r="AZ28" s="34"/>
      <c r="BA28" s="167"/>
      <c r="BB28" s="167"/>
      <c r="BC28" s="167"/>
      <c r="BD28" s="167"/>
      <c r="BE28" s="167"/>
      <c r="BF28" s="167"/>
      <c r="BG28" s="167"/>
      <c r="BH28" s="167"/>
      <c r="BI28" s="167"/>
      <c r="BJ28" s="167"/>
      <c r="BK28" s="167"/>
      <c r="BL28" s="167"/>
      <c r="BM28" s="167"/>
      <c r="BN28" s="167"/>
      <c r="BO28" s="167"/>
      <c r="BP28" s="167"/>
      <c r="BQ28" s="167"/>
      <c r="BR28" s="167"/>
      <c r="BS28" s="167"/>
      <c r="BT28" s="167"/>
      <c r="BU28" s="167"/>
      <c r="BV28" s="167"/>
      <c r="BW28" s="167"/>
      <c r="BX28" s="167"/>
      <c r="BY28" s="167"/>
      <c r="BZ28" s="167"/>
      <c r="CA28" s="167"/>
      <c r="CB28" s="167"/>
      <c r="CC28" s="167"/>
      <c r="CD28" s="167"/>
      <c r="CE28" s="167"/>
      <c r="CF28" s="167"/>
      <c r="CG28" s="35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8"/>
    </row>
    <row r="29" spans="1:96" s="12" customFormat="1" ht="15" customHeight="1" x14ac:dyDescent="0.15">
      <c r="A29" s="19"/>
      <c r="B29" s="17"/>
      <c r="C29" s="17"/>
      <c r="D29" s="34"/>
      <c r="E29" s="167"/>
      <c r="F29" s="167"/>
      <c r="G29" s="167"/>
      <c r="H29" s="167"/>
      <c r="I29" s="167"/>
      <c r="J29" s="167"/>
      <c r="K29" s="167"/>
      <c r="L29" s="167"/>
      <c r="M29" s="167"/>
      <c r="N29" s="167"/>
      <c r="O29" s="167"/>
      <c r="P29" s="167"/>
      <c r="Q29" s="34"/>
      <c r="S29" s="167"/>
      <c r="T29" s="167" t="s">
        <v>68</v>
      </c>
      <c r="U29" s="167"/>
      <c r="V29" s="167"/>
      <c r="W29" s="167"/>
      <c r="X29" s="167"/>
      <c r="Y29" s="167"/>
      <c r="Z29" s="167"/>
      <c r="AA29" s="167"/>
      <c r="AB29" s="167"/>
      <c r="AC29" s="167"/>
      <c r="AD29" s="167"/>
      <c r="AE29" s="34"/>
      <c r="AF29" s="167"/>
      <c r="AG29" s="167"/>
      <c r="AH29" s="167"/>
      <c r="AI29" s="167"/>
      <c r="AJ29" s="167"/>
      <c r="AK29" s="167"/>
      <c r="AL29" s="167"/>
      <c r="AM29" s="167"/>
      <c r="AN29" s="167"/>
      <c r="AO29" s="167"/>
      <c r="AP29" s="35"/>
      <c r="AQ29" s="167"/>
      <c r="AR29" s="35"/>
      <c r="AS29" s="167"/>
      <c r="AT29" s="167"/>
      <c r="AV29" s="168"/>
      <c r="AZ29" s="34"/>
      <c r="BA29" s="167"/>
      <c r="BB29" s="28" t="s">
        <v>58</v>
      </c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30"/>
      <c r="BT29" s="167"/>
      <c r="BU29" s="167"/>
      <c r="BV29" s="167"/>
      <c r="BW29" s="167"/>
      <c r="BX29" s="167"/>
      <c r="BY29" s="167"/>
      <c r="BZ29" s="167"/>
      <c r="CA29" s="167"/>
      <c r="CB29" s="167"/>
      <c r="CC29" s="167"/>
      <c r="CD29" s="167"/>
      <c r="CE29" s="167"/>
      <c r="CF29" s="167"/>
      <c r="CG29" s="35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8"/>
    </row>
    <row r="30" spans="1:96" s="12" customFormat="1" ht="15" customHeight="1" x14ac:dyDescent="0.15">
      <c r="A30" s="19"/>
      <c r="B30" s="17"/>
      <c r="C30" s="17"/>
      <c r="D30" s="34"/>
      <c r="E30" s="167"/>
      <c r="F30" s="167"/>
      <c r="G30" s="167"/>
      <c r="H30" s="167"/>
      <c r="I30" s="167"/>
      <c r="J30" s="167"/>
      <c r="K30" s="167"/>
      <c r="L30" s="167"/>
      <c r="M30" s="167"/>
      <c r="N30" s="167"/>
      <c r="O30" s="167"/>
      <c r="P30" s="167"/>
      <c r="Q30" s="34"/>
      <c r="R30" s="167"/>
      <c r="S30" s="167"/>
      <c r="T30" s="167"/>
      <c r="U30" s="167"/>
      <c r="V30" s="167"/>
      <c r="W30" s="167"/>
      <c r="X30" s="167"/>
      <c r="Y30" s="167"/>
      <c r="Z30" s="167"/>
      <c r="AA30" s="167"/>
      <c r="AB30" s="167"/>
      <c r="AC30" s="167"/>
      <c r="AD30" s="167"/>
      <c r="AE30" s="34"/>
      <c r="AF30" s="167"/>
      <c r="AG30" s="167"/>
      <c r="AH30" s="167"/>
      <c r="AI30" s="167"/>
      <c r="AJ30" s="167"/>
      <c r="AK30" s="167"/>
      <c r="AL30" s="167"/>
      <c r="AM30" s="167"/>
      <c r="AN30" s="167"/>
      <c r="AO30" s="167"/>
      <c r="AP30" s="35"/>
      <c r="AQ30" s="167"/>
      <c r="AR30" s="35"/>
      <c r="AS30" s="167"/>
      <c r="AT30" s="167"/>
      <c r="AV30" s="168"/>
      <c r="AZ30" s="34"/>
      <c r="BA30" s="167"/>
      <c r="BB30" s="34"/>
      <c r="BC30" s="167"/>
      <c r="BD30" s="167"/>
      <c r="BE30" s="167"/>
      <c r="BF30" s="167"/>
      <c r="BG30" s="167"/>
      <c r="BH30" s="167"/>
      <c r="BI30" s="167"/>
      <c r="BJ30" s="167"/>
      <c r="BK30" s="167"/>
      <c r="BL30" s="167"/>
      <c r="BM30" s="167"/>
      <c r="BN30" s="167"/>
      <c r="BO30" s="167"/>
      <c r="BP30" s="167"/>
      <c r="BQ30" s="167"/>
      <c r="BR30" s="167"/>
      <c r="BS30" s="35"/>
      <c r="BT30" s="167"/>
      <c r="BU30" s="167"/>
      <c r="BV30" s="167"/>
      <c r="BW30" s="167"/>
      <c r="BX30" s="167"/>
      <c r="BY30" s="167"/>
      <c r="BZ30" s="167"/>
      <c r="CA30" s="167"/>
      <c r="CB30" s="167"/>
      <c r="CC30" s="167"/>
      <c r="CD30" s="167"/>
      <c r="CE30" s="167"/>
      <c r="CF30" s="167"/>
      <c r="CG30" s="35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8"/>
    </row>
    <row r="31" spans="1:96" s="12" customFormat="1" ht="15" customHeight="1" x14ac:dyDescent="0.15">
      <c r="A31" s="19"/>
      <c r="B31" s="17"/>
      <c r="C31" s="17"/>
      <c r="D31" s="34"/>
      <c r="E31" s="167"/>
      <c r="F31" s="167"/>
      <c r="G31" s="167"/>
      <c r="H31" s="167"/>
      <c r="I31" s="167"/>
      <c r="J31" s="167"/>
      <c r="K31" s="167"/>
      <c r="L31" s="167"/>
      <c r="M31" s="167"/>
      <c r="N31" s="167"/>
      <c r="O31" s="167"/>
      <c r="P31" s="167"/>
      <c r="Q31" s="34"/>
      <c r="R31" s="167"/>
      <c r="S31" s="167"/>
      <c r="T31" s="167"/>
      <c r="U31" s="167"/>
      <c r="V31" s="167"/>
      <c r="W31" s="167"/>
      <c r="X31" s="167"/>
      <c r="Y31" s="167"/>
      <c r="Z31" s="167"/>
      <c r="AA31" s="167"/>
      <c r="AB31" s="167"/>
      <c r="AC31" s="167"/>
      <c r="AD31" s="167"/>
      <c r="AE31" s="34"/>
      <c r="AF31" s="167"/>
      <c r="AG31" s="167"/>
      <c r="AH31" s="167"/>
      <c r="AI31" s="167"/>
      <c r="AJ31" s="167"/>
      <c r="AK31" s="167"/>
      <c r="AL31" s="167"/>
      <c r="AM31" s="167"/>
      <c r="AN31" s="167"/>
      <c r="AO31" s="167"/>
      <c r="AP31" s="35"/>
      <c r="AQ31" s="167"/>
      <c r="AR31" s="35"/>
      <c r="AS31" s="167"/>
      <c r="AT31" s="167"/>
      <c r="AV31" s="168"/>
      <c r="AZ31" s="34"/>
      <c r="BA31" s="167"/>
      <c r="BB31" s="34"/>
      <c r="BC31" s="167"/>
      <c r="BD31" s="167"/>
      <c r="BE31" s="167"/>
      <c r="BF31" s="167"/>
      <c r="BG31" s="167"/>
      <c r="BH31" s="167"/>
      <c r="BI31" s="167"/>
      <c r="BJ31" s="167"/>
      <c r="BK31" s="167"/>
      <c r="BL31" s="167"/>
      <c r="BM31" s="167"/>
      <c r="BN31" s="167"/>
      <c r="BO31" s="167"/>
      <c r="BP31" s="167"/>
      <c r="BQ31" s="167"/>
      <c r="BR31" s="167"/>
      <c r="BS31" s="35"/>
      <c r="BT31" s="167"/>
      <c r="BU31" s="167"/>
      <c r="BV31" s="167"/>
      <c r="BW31" s="167"/>
      <c r="BX31" s="167"/>
      <c r="BY31" s="167"/>
      <c r="BZ31" s="167"/>
      <c r="CA31" s="167"/>
      <c r="CB31" s="167"/>
      <c r="CC31" s="167"/>
      <c r="CD31" s="167"/>
      <c r="CE31" s="167"/>
      <c r="CF31" s="167"/>
      <c r="CG31" s="35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8"/>
    </row>
    <row r="32" spans="1:96" s="12" customFormat="1" ht="15" customHeight="1" x14ac:dyDescent="0.15">
      <c r="A32" s="19"/>
      <c r="B32" s="17"/>
      <c r="C32" s="17"/>
      <c r="D32" s="34"/>
      <c r="E32" s="167"/>
      <c r="F32" s="167"/>
      <c r="G32" s="167"/>
      <c r="H32" s="167"/>
      <c r="I32" s="167"/>
      <c r="J32" s="167"/>
      <c r="K32" s="167"/>
      <c r="L32" s="167"/>
      <c r="M32" s="167"/>
      <c r="N32" s="167"/>
      <c r="O32" s="167"/>
      <c r="P32" s="167"/>
      <c r="Q32" s="34"/>
      <c r="R32" s="167"/>
      <c r="S32" s="167"/>
      <c r="T32" s="167"/>
      <c r="U32" s="167"/>
      <c r="V32" s="167"/>
      <c r="W32" s="167"/>
      <c r="X32" s="167"/>
      <c r="Y32" s="167"/>
      <c r="Z32" s="167"/>
      <c r="AA32" s="167"/>
      <c r="AB32" s="167"/>
      <c r="AC32" s="167"/>
      <c r="AD32" s="167"/>
      <c r="AE32" s="31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3"/>
      <c r="AQ32" s="167"/>
      <c r="AR32" s="35"/>
      <c r="AS32" s="167"/>
      <c r="AT32" s="167"/>
      <c r="AV32" s="168"/>
      <c r="AZ32" s="34"/>
      <c r="BA32" s="167"/>
      <c r="BB32" s="34"/>
      <c r="BC32" s="167"/>
      <c r="BD32" s="167"/>
      <c r="BE32" s="167"/>
      <c r="BF32" s="167"/>
      <c r="BG32" s="167"/>
      <c r="BH32" s="167"/>
      <c r="BI32" s="167"/>
      <c r="BJ32" s="167"/>
      <c r="BK32" s="167"/>
      <c r="BL32" s="167"/>
      <c r="BM32" s="167"/>
      <c r="BN32" s="167"/>
      <c r="BO32" s="167"/>
      <c r="BP32" s="167"/>
      <c r="BQ32" s="167"/>
      <c r="BR32" s="167"/>
      <c r="BS32" s="35"/>
      <c r="BT32" s="167"/>
      <c r="BU32" s="167"/>
      <c r="BV32" s="167"/>
      <c r="BW32" s="167"/>
      <c r="BX32" s="167"/>
      <c r="BY32" s="167"/>
      <c r="BZ32" s="167"/>
      <c r="CA32" s="167"/>
      <c r="CB32" s="167"/>
      <c r="CC32" s="167"/>
      <c r="CD32" s="167"/>
      <c r="CE32" s="167"/>
      <c r="CF32" s="167"/>
      <c r="CG32" s="35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8"/>
    </row>
    <row r="33" spans="1:96" s="12" customFormat="1" ht="15" customHeight="1" x14ac:dyDescent="0.15">
      <c r="A33" s="19"/>
      <c r="B33" s="17"/>
      <c r="C33" s="17"/>
      <c r="D33" s="34"/>
      <c r="E33" s="167"/>
      <c r="F33" s="167"/>
      <c r="G33" s="167"/>
      <c r="H33" s="167"/>
      <c r="I33" s="167"/>
      <c r="J33" s="167"/>
      <c r="K33" s="167"/>
      <c r="L33" s="167"/>
      <c r="M33" s="167"/>
      <c r="N33" s="167"/>
      <c r="O33" s="167"/>
      <c r="P33" s="167"/>
      <c r="Q33" s="31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3"/>
      <c r="AS33" s="167"/>
      <c r="AT33" s="167"/>
      <c r="AV33" s="168"/>
      <c r="AZ33" s="34"/>
      <c r="BA33" s="167"/>
      <c r="BB33" s="34"/>
      <c r="BC33" s="167"/>
      <c r="BD33" s="167"/>
      <c r="BE33" s="167"/>
      <c r="BF33" s="167"/>
      <c r="BG33" s="167"/>
      <c r="BH33" s="167"/>
      <c r="BI33" s="167"/>
      <c r="BJ33" s="167"/>
      <c r="BK33" s="167"/>
      <c r="BL33" s="167"/>
      <c r="BM33" s="167"/>
      <c r="BN33" s="167"/>
      <c r="BO33" s="167"/>
      <c r="BP33" s="167"/>
      <c r="BQ33" s="167"/>
      <c r="BR33" s="167"/>
      <c r="BS33" s="35"/>
      <c r="BT33" s="167"/>
      <c r="BU33" s="167"/>
      <c r="BV33" s="167"/>
      <c r="BW33" s="167"/>
      <c r="BX33" s="167"/>
      <c r="BY33" s="167"/>
      <c r="BZ33" s="167"/>
      <c r="CA33" s="167"/>
      <c r="CB33" s="167"/>
      <c r="CC33" s="167"/>
      <c r="CD33" s="167"/>
      <c r="CE33" s="167"/>
      <c r="CF33" s="167"/>
      <c r="CG33" s="35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8"/>
    </row>
    <row r="34" spans="1:96" s="12" customFormat="1" ht="15" customHeight="1" x14ac:dyDescent="0.15">
      <c r="A34" s="19"/>
      <c r="B34" s="17"/>
      <c r="C34" s="17"/>
      <c r="D34" s="34"/>
      <c r="E34" s="167"/>
      <c r="F34" s="167"/>
      <c r="G34" s="167"/>
      <c r="H34" s="167"/>
      <c r="I34" s="167"/>
      <c r="J34" s="167"/>
      <c r="K34" s="167"/>
      <c r="L34" s="167"/>
      <c r="M34" s="167"/>
      <c r="N34" s="167"/>
      <c r="O34" s="167"/>
      <c r="P34" s="167"/>
      <c r="Q34" s="169"/>
      <c r="R34" s="169"/>
      <c r="S34" s="169"/>
      <c r="T34" s="169"/>
      <c r="U34" s="169"/>
      <c r="V34" s="169"/>
      <c r="W34" s="169"/>
      <c r="X34" s="169"/>
      <c r="Y34" s="169"/>
      <c r="Z34" s="169"/>
      <c r="AA34" s="169"/>
      <c r="AB34" s="169"/>
      <c r="AC34" s="169"/>
      <c r="AD34" s="169"/>
      <c r="AE34" s="169"/>
      <c r="AF34" s="169"/>
      <c r="AG34" s="169"/>
      <c r="AH34" s="169"/>
      <c r="AI34" s="169"/>
      <c r="AJ34" s="169"/>
      <c r="AK34" s="169"/>
      <c r="AL34" s="169"/>
      <c r="AM34" s="169"/>
      <c r="AN34" s="169"/>
      <c r="AO34" s="169"/>
      <c r="AP34" s="169"/>
      <c r="AQ34" s="169"/>
      <c r="AR34" s="169"/>
      <c r="AS34" s="167"/>
      <c r="AT34" s="167"/>
      <c r="AV34" s="168"/>
      <c r="AZ34" s="34"/>
      <c r="BA34" s="167"/>
      <c r="BB34" s="34"/>
      <c r="BC34" s="167"/>
      <c r="BD34" s="167"/>
      <c r="BE34" s="167"/>
      <c r="BF34" s="167"/>
      <c r="BG34" s="167"/>
      <c r="BH34" s="167"/>
      <c r="BI34" s="167"/>
      <c r="BJ34" s="167"/>
      <c r="BK34" s="167"/>
      <c r="BL34" s="167"/>
      <c r="BM34" s="167"/>
      <c r="BN34" s="167"/>
      <c r="BO34" s="167"/>
      <c r="BP34" s="167"/>
      <c r="BQ34" s="167"/>
      <c r="BR34" s="167"/>
      <c r="BS34" s="35"/>
      <c r="BT34" s="167"/>
      <c r="BU34" s="167"/>
      <c r="BV34" s="167"/>
      <c r="BW34" s="167"/>
      <c r="BX34" s="167"/>
      <c r="BY34" s="167"/>
      <c r="BZ34" s="167"/>
      <c r="CA34" s="167"/>
      <c r="CB34" s="167"/>
      <c r="CC34" s="167"/>
      <c r="CD34" s="167"/>
      <c r="CE34" s="167"/>
      <c r="CF34" s="167"/>
      <c r="CG34" s="35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8"/>
    </row>
    <row r="35" spans="1:96" s="12" customFormat="1" ht="15" customHeight="1" x14ac:dyDescent="0.15">
      <c r="A35" s="19"/>
      <c r="B35" s="17"/>
      <c r="C35" s="17"/>
      <c r="D35" s="34"/>
      <c r="E35" s="167"/>
      <c r="F35" s="167"/>
      <c r="G35" s="167"/>
      <c r="H35" s="167"/>
      <c r="I35" s="167"/>
      <c r="J35" s="167"/>
      <c r="K35" s="167"/>
      <c r="L35" s="167"/>
      <c r="M35" s="167"/>
      <c r="N35" s="167"/>
      <c r="O35" s="167"/>
      <c r="P35" s="167"/>
      <c r="Q35" s="169"/>
      <c r="R35" s="169"/>
      <c r="S35" s="169"/>
      <c r="T35" s="169"/>
      <c r="U35" s="169"/>
      <c r="V35" s="169"/>
      <c r="W35" s="169"/>
      <c r="X35" s="169"/>
      <c r="Y35" s="169"/>
      <c r="Z35" s="169"/>
      <c r="AA35" s="169"/>
      <c r="AB35" s="169"/>
      <c r="AC35" s="169"/>
      <c r="AD35" s="169"/>
      <c r="AE35" s="169"/>
      <c r="AF35" s="169"/>
      <c r="AG35" s="169"/>
      <c r="AH35" s="169"/>
      <c r="AI35" s="169"/>
      <c r="AJ35" s="169"/>
      <c r="AK35" s="169"/>
      <c r="AL35" s="169"/>
      <c r="AM35" s="169"/>
      <c r="AN35" s="169"/>
      <c r="AO35" s="169"/>
      <c r="AP35" s="169"/>
      <c r="AQ35" s="169"/>
      <c r="AR35" s="169"/>
      <c r="AS35" s="167"/>
      <c r="AT35" s="167"/>
      <c r="AV35" s="168"/>
      <c r="AZ35" s="34"/>
      <c r="BA35" s="167"/>
      <c r="BB35" s="34"/>
      <c r="BC35" s="167"/>
      <c r="BD35" s="167"/>
      <c r="BE35" s="167"/>
      <c r="BF35" s="167"/>
      <c r="BG35" s="167"/>
      <c r="BH35" s="167"/>
      <c r="BI35" s="167"/>
      <c r="BJ35" s="167"/>
      <c r="BK35" s="167"/>
      <c r="BL35" s="167"/>
      <c r="BM35" s="167"/>
      <c r="BN35" s="167"/>
      <c r="BO35" s="167"/>
      <c r="BP35" s="167"/>
      <c r="BQ35" s="167"/>
      <c r="BR35" s="167"/>
      <c r="BS35" s="35"/>
      <c r="BT35" s="167"/>
      <c r="BU35" s="167"/>
      <c r="BV35" s="167"/>
      <c r="BW35" s="167"/>
      <c r="BX35" s="167"/>
      <c r="BY35" s="167"/>
      <c r="BZ35" s="167"/>
      <c r="CA35" s="167"/>
      <c r="CB35" s="167"/>
      <c r="CC35" s="167"/>
      <c r="CD35" s="167"/>
      <c r="CE35" s="167"/>
      <c r="CF35" s="167"/>
      <c r="CG35" s="35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8"/>
    </row>
    <row r="36" spans="1:96" s="12" customFormat="1" ht="15" customHeight="1" x14ac:dyDescent="0.15">
      <c r="A36" s="19"/>
      <c r="B36" s="17"/>
      <c r="C36" s="17"/>
      <c r="D36" s="34"/>
      <c r="E36" s="167"/>
      <c r="F36" s="167"/>
      <c r="G36" s="167"/>
      <c r="H36" s="167"/>
      <c r="I36" s="167"/>
      <c r="J36" s="167"/>
      <c r="K36" s="167"/>
      <c r="L36" s="167"/>
      <c r="M36" s="167"/>
      <c r="N36" s="167"/>
      <c r="O36" s="167"/>
      <c r="P36" s="167"/>
      <c r="Q36" s="169"/>
      <c r="R36" s="169"/>
      <c r="S36" s="169"/>
      <c r="T36" s="169"/>
      <c r="U36" s="169"/>
      <c r="V36" s="169"/>
      <c r="W36" s="169"/>
      <c r="X36" s="169"/>
      <c r="Y36" s="169"/>
      <c r="Z36" s="169"/>
      <c r="AA36" s="169"/>
      <c r="AB36" s="169"/>
      <c r="AC36" s="169"/>
      <c r="AD36" s="169"/>
      <c r="AE36" s="169"/>
      <c r="AF36" s="169"/>
      <c r="AG36" s="169"/>
      <c r="AH36" s="169"/>
      <c r="AI36" s="169"/>
      <c r="AJ36" s="169"/>
      <c r="AK36" s="169"/>
      <c r="AL36" s="169"/>
      <c r="AM36" s="169"/>
      <c r="AN36" s="169"/>
      <c r="AO36" s="169"/>
      <c r="AP36" s="169"/>
      <c r="AQ36" s="169"/>
      <c r="AR36" s="169"/>
      <c r="AS36" s="167"/>
      <c r="AT36" s="167"/>
      <c r="AV36" s="168"/>
      <c r="AZ36" s="34"/>
      <c r="BA36" s="167"/>
      <c r="BB36" s="34"/>
      <c r="BC36" s="167"/>
      <c r="BD36" s="167"/>
      <c r="BE36" s="167"/>
      <c r="BF36" s="167"/>
      <c r="BG36" s="167"/>
      <c r="BH36" s="167"/>
      <c r="BI36" s="167"/>
      <c r="BJ36" s="167"/>
      <c r="BK36" s="167"/>
      <c r="BL36" s="167"/>
      <c r="BM36" s="167"/>
      <c r="BN36" s="167"/>
      <c r="BO36" s="167"/>
      <c r="BP36" s="167"/>
      <c r="BQ36" s="167"/>
      <c r="BR36" s="167"/>
      <c r="BS36" s="35"/>
      <c r="BT36" s="167"/>
      <c r="BU36" s="167"/>
      <c r="BV36" s="167"/>
      <c r="BW36" s="167"/>
      <c r="BX36" s="167"/>
      <c r="BY36" s="167"/>
      <c r="BZ36" s="167"/>
      <c r="CA36" s="167"/>
      <c r="CB36" s="167"/>
      <c r="CC36" s="167"/>
      <c r="CD36" s="167"/>
      <c r="CE36" s="167"/>
      <c r="CF36" s="167"/>
      <c r="CG36" s="35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8"/>
    </row>
    <row r="37" spans="1:96" s="12" customFormat="1" ht="15" customHeight="1" x14ac:dyDescent="0.15">
      <c r="A37" s="19"/>
      <c r="B37" s="17"/>
      <c r="C37" s="17"/>
      <c r="D37" s="34"/>
      <c r="E37" s="167"/>
      <c r="F37" s="167"/>
      <c r="G37" s="167"/>
      <c r="H37" s="167"/>
      <c r="I37" s="167"/>
      <c r="J37" s="167"/>
      <c r="K37" s="167"/>
      <c r="L37" s="167"/>
      <c r="M37" s="167"/>
      <c r="N37" s="167"/>
      <c r="O37" s="167"/>
      <c r="P37" s="167"/>
      <c r="Q37" s="169"/>
      <c r="R37" s="169"/>
      <c r="S37" s="169"/>
      <c r="T37" s="169"/>
      <c r="U37" s="169"/>
      <c r="V37" s="169"/>
      <c r="W37" s="169"/>
      <c r="X37" s="169"/>
      <c r="Y37" s="169"/>
      <c r="Z37" s="169"/>
      <c r="AA37" s="169"/>
      <c r="AB37" s="169"/>
      <c r="AC37" s="169"/>
      <c r="AD37" s="169"/>
      <c r="AE37" s="169"/>
      <c r="AF37" s="169"/>
      <c r="AG37" s="169"/>
      <c r="AH37" s="169"/>
      <c r="AI37" s="169"/>
      <c r="AJ37" s="169"/>
      <c r="AK37" s="169"/>
      <c r="AL37" s="169"/>
      <c r="AM37" s="169"/>
      <c r="AN37" s="169"/>
      <c r="AO37" s="169"/>
      <c r="AP37" s="169"/>
      <c r="AQ37" s="169"/>
      <c r="AR37" s="169"/>
      <c r="AS37" s="167"/>
      <c r="AT37" s="167"/>
      <c r="AV37" s="168"/>
      <c r="AZ37" s="34"/>
      <c r="BA37" s="167"/>
      <c r="BB37" s="31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3"/>
      <c r="BT37" s="167"/>
      <c r="BU37" s="167"/>
      <c r="BV37" s="167"/>
      <c r="BW37" s="167"/>
      <c r="BX37" s="167"/>
      <c r="BY37" s="167"/>
      <c r="BZ37" s="167"/>
      <c r="CA37" s="167"/>
      <c r="CB37" s="167"/>
      <c r="CC37" s="167"/>
      <c r="CD37" s="167"/>
      <c r="CE37" s="167"/>
      <c r="CF37" s="167"/>
      <c r="CG37" s="35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8"/>
    </row>
    <row r="38" spans="1:96" s="12" customFormat="1" ht="15" customHeight="1" x14ac:dyDescent="0.15">
      <c r="A38" s="19"/>
      <c r="B38" s="17"/>
      <c r="C38" s="17"/>
      <c r="D38" s="171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172"/>
      <c r="AS38" s="172"/>
      <c r="AT38" s="172"/>
      <c r="AU38" s="176"/>
      <c r="AV38" s="168"/>
      <c r="AZ38" s="31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3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8"/>
    </row>
    <row r="39" spans="1:96" s="12" customFormat="1" ht="15" customHeight="1" x14ac:dyDescent="0.15">
      <c r="A39" s="19"/>
      <c r="B39" s="17"/>
      <c r="C39" s="17"/>
      <c r="AT39" s="17"/>
      <c r="AU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8"/>
    </row>
    <row r="40" spans="1:96" s="12" customFormat="1" ht="15" customHeight="1" x14ac:dyDescent="0.15">
      <c r="A40" s="19"/>
      <c r="B40" s="17"/>
      <c r="C40" s="17"/>
      <c r="AT40" s="17"/>
      <c r="AU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8"/>
    </row>
    <row r="41" spans="1:96" s="12" customFormat="1" ht="15" customHeight="1" x14ac:dyDescent="0.15">
      <c r="A41" s="19"/>
      <c r="B41" s="17"/>
      <c r="C41" s="17"/>
      <c r="AT41" s="17"/>
      <c r="AU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8"/>
    </row>
    <row r="42" spans="1:96" s="12" customFormat="1" ht="15" customHeight="1" x14ac:dyDescent="0.15">
      <c r="A42" s="19"/>
      <c r="B42" s="17"/>
      <c r="C42" s="17"/>
      <c r="AT42" s="17"/>
      <c r="AU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8"/>
    </row>
    <row r="43" spans="1:96" s="12" customFormat="1" ht="15" customHeight="1" x14ac:dyDescent="0.15">
      <c r="A43" s="19"/>
      <c r="B43" s="17"/>
      <c r="C43" s="17"/>
      <c r="AT43" s="17"/>
      <c r="AU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8"/>
    </row>
    <row r="44" spans="1:96" s="12" customFormat="1" ht="15" customHeight="1" x14ac:dyDescent="0.15">
      <c r="A44" s="19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8"/>
    </row>
    <row r="45" spans="1:96" s="12" customFormat="1" ht="15" customHeight="1" x14ac:dyDescent="0.15">
      <c r="A45" s="19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8"/>
    </row>
    <row r="46" spans="1:96" s="12" customFormat="1" ht="15" customHeight="1" x14ac:dyDescent="0.15">
      <c r="A46" s="20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2"/>
    </row>
    <row r="47" spans="1:96" s="12" customFormat="1" ht="15" customHeight="1" thickBot="1" x14ac:dyDescent="0.2">
      <c r="A47" s="23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5"/>
      <c r="BL47" s="25"/>
      <c r="BM47" s="26"/>
      <c r="BN47" s="25"/>
      <c r="BO47" s="25"/>
      <c r="BP47" s="25"/>
      <c r="BQ47" s="25"/>
      <c r="BR47" s="25"/>
      <c r="BS47" s="25"/>
      <c r="BT47" s="25"/>
      <c r="BU47" s="25"/>
      <c r="BV47" s="25"/>
      <c r="BW47" s="25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  <c r="CL47" s="24"/>
      <c r="CM47" s="24"/>
      <c r="CN47" s="24"/>
      <c r="CO47" s="24"/>
      <c r="CP47" s="24"/>
      <c r="CQ47" s="24"/>
      <c r="CR47" s="27"/>
    </row>
  </sheetData>
  <mergeCells count="28">
    <mergeCell ref="A5:CR5"/>
    <mergeCell ref="BT4:CR4"/>
    <mergeCell ref="A4:H4"/>
    <mergeCell ref="I4:AK4"/>
    <mergeCell ref="AL4:AR4"/>
    <mergeCell ref="AS4:BH4"/>
    <mergeCell ref="BI4:BS4"/>
    <mergeCell ref="I3:AD3"/>
    <mergeCell ref="AL3:BH3"/>
    <mergeCell ref="BI3:BL3"/>
    <mergeCell ref="BM3:CE3"/>
    <mergeCell ref="BW1:CE1"/>
    <mergeCell ref="CF1:CJ3"/>
    <mergeCell ref="CK1:CR3"/>
    <mergeCell ref="A2:H2"/>
    <mergeCell ref="I2:AD2"/>
    <mergeCell ref="AE2:AK3"/>
    <mergeCell ref="AL2:BH2"/>
    <mergeCell ref="BI2:BL2"/>
    <mergeCell ref="BM2:BV2"/>
    <mergeCell ref="BW2:CE2"/>
    <mergeCell ref="A1:H1"/>
    <mergeCell ref="I1:AD1"/>
    <mergeCell ref="AE1:AK1"/>
    <mergeCell ref="AL1:BH1"/>
    <mergeCell ref="BI1:BL1"/>
    <mergeCell ref="BM1:BV1"/>
    <mergeCell ref="A3:H3"/>
  </mergeCells>
  <phoneticPr fontId="11"/>
  <pageMargins left="0.39370078740157483" right="0.16" top="0.78740157480314965" bottom="0.39370078740157483" header="0.59055118110236227" footer="0.19685039370078741"/>
  <pageSetup paperSize="9" scale="80" firstPageNumber="4" orientation="landscape" r:id="rId1"/>
  <headerFooter alignWithMargins="0">
    <oddFooter>&amp;C&amp;P　/　&amp;N&amp;R株式会社　京信システムサービス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タイトル</vt:lpstr>
      <vt:lpstr>改訂履歴</vt:lpstr>
      <vt:lpstr>機能概要</vt:lpstr>
      <vt:lpstr>タイトル!Print_Area</vt:lpstr>
      <vt:lpstr>改訂履歴!Print_Titles</vt:lpstr>
      <vt:lpstr>機能概要!Print_Titles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川勝　恭子</dc:creator>
  <cp:lastModifiedBy>大久保　梓沙</cp:lastModifiedBy>
  <cp:lastPrinted>2024-02-06T01:10:18Z</cp:lastPrinted>
  <dcterms:created xsi:type="dcterms:W3CDTF">2006-03-07T04:00:40Z</dcterms:created>
  <dcterms:modified xsi:type="dcterms:W3CDTF">2024-02-06T01:12:52Z</dcterms:modified>
</cp:coreProperties>
</file>
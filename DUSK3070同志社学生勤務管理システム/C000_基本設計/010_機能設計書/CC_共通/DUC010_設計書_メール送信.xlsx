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/>
  <mc:AlternateContent xmlns:mc="http://schemas.openxmlformats.org/markup-compatibility/2006">
    <mc:Choice Requires="x15">
      <x15ac:absPath xmlns:x15ac="http://schemas.microsoft.com/office/spreadsheetml/2010/11/ac" url="Z:\#開発2\DUSK_同志社大学\2023年度案件\DUSK3070：2023年度学生勤務管理システム\C000_基本設計\010_機能設計書\CC_共通\"/>
    </mc:Choice>
  </mc:AlternateContent>
  <xr:revisionPtr revIDLastSave="0" documentId="13_ncr:1_{F32BD271-2C64-4E74-9E9B-0B3487671920}" xr6:coauthVersionLast="47" xr6:coauthVersionMax="47" xr10:uidLastSave="{00000000-0000-0000-0000-000000000000}"/>
  <bookViews>
    <workbookView xWindow="-120" yWindow="-120" windowWidth="29040" windowHeight="15840" tabRatio="584" xr2:uid="{00000000-000D-0000-FFFF-FFFF00000000}"/>
  </bookViews>
  <sheets>
    <sheet name="タイトル" sheetId="266" r:id="rId1"/>
    <sheet name="改訂履歴" sheetId="6" r:id="rId2"/>
    <sheet name="機能概要" sheetId="270" r:id="rId3"/>
    <sheet name="メールヘッダ" sheetId="271" r:id="rId4"/>
  </sheets>
  <definedNames>
    <definedName name="_Toc94971774" localSheetId="3">メールヘッダ!#REF!</definedName>
    <definedName name="_Toc94971774" localSheetId="2">機能概要!#REF!</definedName>
    <definedName name="_Toc94971775" localSheetId="3">メールヘッダ!#REF!</definedName>
    <definedName name="_Toc94971775" localSheetId="2">機能概要!#REF!</definedName>
    <definedName name="_xlnm.Print_Area" localSheetId="0">タイトル!$A$1:$AC$36</definedName>
    <definedName name="_xlnm.Print_Titles" localSheetId="3">メールヘッダ!$1:$4</definedName>
    <definedName name="_xlnm.Print_Titles" localSheetId="1">改訂履歴!$1:$4</definedName>
    <definedName name="_xlnm.Print_Titles" localSheetId="2">機能概要!$1:$4</definedName>
  </definedNames>
  <calcPr calcId="191029"/>
</workbook>
</file>

<file path=xl/calcChain.xml><?xml version="1.0" encoding="utf-8"?>
<calcChain xmlns="http://schemas.openxmlformats.org/spreadsheetml/2006/main">
  <c r="AS4" i="271" l="1"/>
  <c r="AL2" i="271"/>
  <c r="I2" i="271"/>
  <c r="CK1" i="271"/>
  <c r="BW1" i="271"/>
  <c r="BM1" i="271"/>
  <c r="AL1" i="271"/>
  <c r="I1" i="271"/>
  <c r="BR5" i="6"/>
  <c r="I51" i="266"/>
  <c r="CK1" i="270" l="1"/>
  <c r="AS4" i="270" l="1"/>
  <c r="J5" i="6" l="1"/>
  <c r="AL2" i="270" l="1"/>
  <c r="I2" i="270"/>
  <c r="BW1" i="270"/>
  <c r="BM1" i="270"/>
  <c r="AL1" i="270"/>
  <c r="I1" i="270"/>
  <c r="G11" i="266" l="1"/>
  <c r="G14" i="266"/>
  <c r="G17" i="266"/>
  <c r="G20" i="266"/>
  <c r="J27" i="266"/>
  <c r="J29" i="26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TOBA Tetsuya</author>
  </authors>
  <commentList>
    <comment ref="AH3" authorId="0" shapeId="0" xr:uid="{00000000-0006-0000-0100-000001000000}">
      <text>
        <r>
          <rPr>
            <sz val="9"/>
            <color indexed="81"/>
            <rFont val="ＭＳ Ｐゴシック"/>
            <family val="3"/>
            <charset val="128"/>
          </rPr>
          <t>変更内容を簡潔に記述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TOBA Tetsuya</author>
  </authors>
  <commentList>
    <comment ref="A2" authorId="0" shapeId="0" xr:uid="{00000000-0006-0000-0200-000001000000}">
      <text>
        <r>
          <rPr>
            <sz val="9"/>
            <color indexed="81"/>
            <rFont val="ＭＳ Ｐゴシック"/>
            <family val="3"/>
            <charset val="128"/>
          </rPr>
          <t>人事システム
給与システム
システム基盤 等を書く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TOBA Tetsuya</author>
  </authors>
  <commentList>
    <comment ref="A2" authorId="0" shapeId="0" xr:uid="{B66EC15A-AABA-4126-981F-B9772599C22F}">
      <text>
        <r>
          <rPr>
            <sz val="9"/>
            <color indexed="81"/>
            <rFont val="ＭＳ Ｐゴシック"/>
            <family val="3"/>
            <charset val="128"/>
          </rPr>
          <t>人事システム
給与システム
システム基盤 等を書く</t>
        </r>
      </text>
    </comment>
  </commentList>
</comments>
</file>

<file path=xl/sharedStrings.xml><?xml version="1.0" encoding="utf-8"?>
<sst xmlns="http://schemas.openxmlformats.org/spreadsheetml/2006/main" count="147" uniqueCount="124">
  <si>
    <t>工　　　　程</t>
    <rPh sb="0" eb="1">
      <t>コウ</t>
    </rPh>
    <rPh sb="5" eb="6">
      <t>ホド</t>
    </rPh>
    <phoneticPr fontId="2"/>
  </si>
  <si>
    <t>システム名</t>
    <rPh sb="4" eb="5">
      <t>メイ</t>
    </rPh>
    <phoneticPr fontId="2"/>
  </si>
  <si>
    <t>改訂履歴</t>
    <rPh sb="0" eb="2">
      <t>カイテイ</t>
    </rPh>
    <rPh sb="2" eb="4">
      <t>リレキ</t>
    </rPh>
    <phoneticPr fontId="2"/>
  </si>
  <si>
    <t>区分</t>
    <rPh sb="0" eb="2">
      <t>クブン</t>
    </rPh>
    <phoneticPr fontId="2"/>
  </si>
  <si>
    <t>頁</t>
    <rPh sb="0" eb="1">
      <t>ページ</t>
    </rPh>
    <phoneticPr fontId="2"/>
  </si>
  <si>
    <t>新規／改訂日</t>
    <rPh sb="0" eb="2">
      <t>シンキ</t>
    </rPh>
    <rPh sb="3" eb="5">
      <t>カイテイ</t>
    </rPh>
    <rPh sb="5" eb="6">
      <t>ビ</t>
    </rPh>
    <phoneticPr fontId="2"/>
  </si>
  <si>
    <t>改訂箇所</t>
    <rPh sb="0" eb="2">
      <t>カイテイ</t>
    </rPh>
    <rPh sb="2" eb="4">
      <t>カショ</t>
    </rPh>
    <phoneticPr fontId="2"/>
  </si>
  <si>
    <t>改訂理由</t>
    <rPh sb="0" eb="2">
      <t>カイテイ</t>
    </rPh>
    <rPh sb="2" eb="4">
      <t>リユウ</t>
    </rPh>
    <phoneticPr fontId="2"/>
  </si>
  <si>
    <t>新規／改訂者</t>
    <rPh sb="0" eb="2">
      <t>シンキ</t>
    </rPh>
    <rPh sb="3" eb="5">
      <t>カイテイ</t>
    </rPh>
    <rPh sb="5" eb="6">
      <t>シャ</t>
    </rPh>
    <phoneticPr fontId="2"/>
  </si>
  <si>
    <t>　※ページ毎に個別入力</t>
    <rPh sb="5" eb="6">
      <t>ゴト</t>
    </rPh>
    <rPh sb="7" eb="9">
      <t>コベツ</t>
    </rPh>
    <rPh sb="9" eb="11">
      <t>ニュウリョク</t>
    </rPh>
    <phoneticPr fontId="2"/>
  </si>
  <si>
    <t>タイトル項目埋め込み内容</t>
    <rPh sb="4" eb="6">
      <t>コウモク</t>
    </rPh>
    <rPh sb="6" eb="7">
      <t>ウ</t>
    </rPh>
    <rPh sb="8" eb="9">
      <t>コ</t>
    </rPh>
    <rPh sb="10" eb="12">
      <t>ナイヨウ</t>
    </rPh>
    <phoneticPr fontId="2"/>
  </si>
  <si>
    <t>新規</t>
    <rPh sb="0" eb="2">
      <t>シンキ</t>
    </rPh>
    <phoneticPr fontId="2"/>
  </si>
  <si>
    <t>作　成</t>
    <rPh sb="0" eb="1">
      <t>サク</t>
    </rPh>
    <rPh sb="2" eb="3">
      <t>シゲル</t>
    </rPh>
    <phoneticPr fontId="2"/>
  </si>
  <si>
    <t>管理記号</t>
    <rPh sb="0" eb="2">
      <t>カンリ</t>
    </rPh>
    <rPh sb="2" eb="4">
      <t>キゴウ</t>
    </rPh>
    <phoneticPr fontId="2"/>
  </si>
  <si>
    <t>サブシステム名</t>
    <rPh sb="6" eb="7">
      <t>メイ</t>
    </rPh>
    <phoneticPr fontId="2"/>
  </si>
  <si>
    <t>改　訂</t>
    <rPh sb="0" eb="1">
      <t>アラタ</t>
    </rPh>
    <rPh sb="2" eb="3">
      <t>テイ</t>
    </rPh>
    <phoneticPr fontId="2"/>
  </si>
  <si>
    <t>No</t>
    <phoneticPr fontId="2"/>
  </si>
  <si>
    <t>Ver</t>
    <phoneticPr fontId="2"/>
  </si>
  <si>
    <t>新規作成</t>
    <rPh sb="0" eb="2">
      <t>シンキ</t>
    </rPh>
    <rPh sb="2" eb="4">
      <t>サクセイ</t>
    </rPh>
    <phoneticPr fontId="2"/>
  </si>
  <si>
    <t>見出し部タイトル制御テーブル</t>
    <rPh sb="0" eb="2">
      <t>ミダ</t>
    </rPh>
    <rPh sb="3" eb="4">
      <t>ブ</t>
    </rPh>
    <rPh sb="8" eb="10">
      <t>セイギョ</t>
    </rPh>
    <phoneticPr fontId="2"/>
  </si>
  <si>
    <t>タイトル項目</t>
    <rPh sb="4" eb="6">
      <t>コウモク</t>
    </rPh>
    <phoneticPr fontId="2"/>
  </si>
  <si>
    <t>　①システム名</t>
    <rPh sb="6" eb="7">
      <t>メイ</t>
    </rPh>
    <phoneticPr fontId="2"/>
  </si>
  <si>
    <t>　②サブシステム名</t>
    <rPh sb="8" eb="9">
      <t>メイ</t>
    </rPh>
    <phoneticPr fontId="2"/>
  </si>
  <si>
    <t>　③分類名</t>
    <rPh sb="2" eb="4">
      <t>ブンルイ</t>
    </rPh>
    <rPh sb="4" eb="5">
      <t>メイ</t>
    </rPh>
    <phoneticPr fontId="2"/>
  </si>
  <si>
    <t>　④作業工程名</t>
    <rPh sb="2" eb="4">
      <t>サギョウ</t>
    </rPh>
    <rPh sb="4" eb="6">
      <t>コウテイ</t>
    </rPh>
    <rPh sb="6" eb="7">
      <t>メイ</t>
    </rPh>
    <phoneticPr fontId="2"/>
  </si>
  <si>
    <t>　⑤ドキュメント代表名</t>
    <rPh sb="8" eb="10">
      <t>ダイヒョウ</t>
    </rPh>
    <rPh sb="10" eb="11">
      <t>メイ</t>
    </rPh>
    <phoneticPr fontId="2"/>
  </si>
  <si>
    <t>　⑥ドキュメント詳細名</t>
    <rPh sb="8" eb="10">
      <t>ショウサイ</t>
    </rPh>
    <rPh sb="10" eb="11">
      <t>メイ</t>
    </rPh>
    <phoneticPr fontId="2"/>
  </si>
  <si>
    <t>　⑦作成者</t>
    <rPh sb="2" eb="5">
      <t>サクセイシャ</t>
    </rPh>
    <phoneticPr fontId="2"/>
  </si>
  <si>
    <t>　⑧作成日</t>
    <rPh sb="2" eb="5">
      <t>サクセイビ</t>
    </rPh>
    <phoneticPr fontId="2"/>
  </si>
  <si>
    <t>　⑦改定者</t>
    <rPh sb="2" eb="4">
      <t>カイテイ</t>
    </rPh>
    <rPh sb="4" eb="5">
      <t>シャ</t>
    </rPh>
    <phoneticPr fontId="2"/>
  </si>
  <si>
    <t>　⑧改定日</t>
    <rPh sb="2" eb="4">
      <t>カイテイ</t>
    </rPh>
    <rPh sb="4" eb="5">
      <t>ビ</t>
    </rPh>
    <phoneticPr fontId="2"/>
  </si>
  <si>
    <t>　⑨管理記号</t>
    <rPh sb="2" eb="4">
      <t>カンリ</t>
    </rPh>
    <rPh sb="4" eb="6">
      <t>キゴウ</t>
    </rPh>
    <phoneticPr fontId="2"/>
  </si>
  <si>
    <t>ドキュメント</t>
    <phoneticPr fontId="2"/>
  </si>
  <si>
    <t xml:space="preserve">　 </t>
    <phoneticPr fontId="2"/>
  </si>
  <si>
    <t>　⑩Ｖｅｒ</t>
    <phoneticPr fontId="2"/>
  </si>
  <si>
    <t>　利用想定ユーザー</t>
    <rPh sb="1" eb="3">
      <t>リヨウ</t>
    </rPh>
    <rPh sb="3" eb="5">
      <t>ソウテイ</t>
    </rPh>
    <phoneticPr fontId="2"/>
  </si>
  <si>
    <t>　機能名称</t>
    <rPh sb="1" eb="3">
      <t>キノウ</t>
    </rPh>
    <rPh sb="3" eb="5">
      <t>メイショウ</t>
    </rPh>
    <phoneticPr fontId="2"/>
  </si>
  <si>
    <t>　機能ＩＤ</t>
    <rPh sb="1" eb="3">
      <t>キノウ</t>
    </rPh>
    <phoneticPr fontId="2"/>
  </si>
  <si>
    <t>　機能設計</t>
    <rPh sb="1" eb="3">
      <t>キノウ</t>
    </rPh>
    <rPh sb="3" eb="5">
      <t>セッケイ</t>
    </rPh>
    <phoneticPr fontId="2"/>
  </si>
  <si>
    <t>機　　能　　概　　要</t>
    <rPh sb="0" eb="1">
      <t>キ</t>
    </rPh>
    <rPh sb="3" eb="4">
      <t>ノウ</t>
    </rPh>
    <rPh sb="6" eb="7">
      <t>オオムネ</t>
    </rPh>
    <rPh sb="9" eb="10">
      <t>ヨウ</t>
    </rPh>
    <phoneticPr fontId="2"/>
  </si>
  <si>
    <t>　共通機能</t>
    <rPh sb="1" eb="3">
      <t>キョウツウ</t>
    </rPh>
    <rPh sb="3" eb="5">
      <t>キノウ</t>
    </rPh>
    <phoneticPr fontId="2"/>
  </si>
  <si>
    <t>DUC010</t>
    <phoneticPr fontId="2"/>
  </si>
  <si>
    <t>　学生勤務管理システム</t>
    <rPh sb="1" eb="3">
      <t>ガクセイ</t>
    </rPh>
    <rPh sb="3" eb="5">
      <t>キンム</t>
    </rPh>
    <rPh sb="5" eb="7">
      <t>カンリ</t>
    </rPh>
    <phoneticPr fontId="2"/>
  </si>
  <si>
    <t>機能</t>
    <rPh sb="0" eb="2">
      <t>キノウ</t>
    </rPh>
    <phoneticPr fontId="2"/>
  </si>
  <si>
    <t>大久保　梓沙</t>
    <rPh sb="0" eb="3">
      <t>オオクボ</t>
    </rPh>
    <rPh sb="4" eb="6">
      <t>アヅサ</t>
    </rPh>
    <phoneticPr fontId="2"/>
  </si>
  <si>
    <t xml:space="preserve"> </t>
    <phoneticPr fontId="2"/>
  </si>
  <si>
    <t>　メール送信</t>
    <rPh sb="4" eb="6">
      <t>ソウシン</t>
    </rPh>
    <phoneticPr fontId="2"/>
  </si>
  <si>
    <t>メール送信</t>
    <rPh sb="3" eb="5">
      <t>ソウシン</t>
    </rPh>
    <phoneticPr fontId="11"/>
  </si>
  <si>
    <t>登録</t>
    <rPh sb="0" eb="2">
      <t>トウロク</t>
    </rPh>
    <phoneticPr fontId="2"/>
  </si>
  <si>
    <t>メール送信機能は下記の通り分類される</t>
    <rPh sb="3" eb="5">
      <t>ソウシン</t>
    </rPh>
    <rPh sb="5" eb="7">
      <t>キノウ</t>
    </rPh>
    <rPh sb="8" eb="10">
      <t>カキ</t>
    </rPh>
    <rPh sb="11" eb="12">
      <t>トオ</t>
    </rPh>
    <rPh sb="13" eb="15">
      <t>ブンルイ</t>
    </rPh>
    <phoneticPr fontId="1"/>
  </si>
  <si>
    <t>2.自動送信：バッチ処理で自動送信するメール</t>
    <rPh sb="2" eb="4">
      <t>ジドウ</t>
    </rPh>
    <rPh sb="4" eb="6">
      <t>ソウシン</t>
    </rPh>
    <rPh sb="10" eb="12">
      <t>ショリ</t>
    </rPh>
    <rPh sb="13" eb="15">
      <t>ジドウ</t>
    </rPh>
    <rPh sb="15" eb="17">
      <t>ソウシン</t>
    </rPh>
    <phoneticPr fontId="11"/>
  </si>
  <si>
    <t>(１) メール送信処理概要</t>
    <phoneticPr fontId="11"/>
  </si>
  <si>
    <t>1.個別送信：画面でボタンを押した時に個別に送信するメール</t>
    <rPh sb="2" eb="4">
      <t>コベツ</t>
    </rPh>
    <rPh sb="4" eb="6">
      <t>ソウシン</t>
    </rPh>
    <rPh sb="7" eb="9">
      <t>ガメン</t>
    </rPh>
    <rPh sb="14" eb="15">
      <t>オ</t>
    </rPh>
    <rPh sb="17" eb="18">
      <t>トキ</t>
    </rPh>
    <rPh sb="19" eb="21">
      <t>コベツ</t>
    </rPh>
    <rPh sb="22" eb="24">
      <t>ソウシン</t>
    </rPh>
    <phoneticPr fontId="11"/>
  </si>
  <si>
    <t>1.個別送信：画面でボタンを押した時に個別に送信するメール</t>
    <phoneticPr fontId="11"/>
  </si>
  <si>
    <t>学生勤務管理システム</t>
    <rPh sb="0" eb="4">
      <t>ガクセイキンム</t>
    </rPh>
    <rPh sb="4" eb="6">
      <t>カンリ</t>
    </rPh>
    <phoneticPr fontId="2"/>
  </si>
  <si>
    <t>画面</t>
    <rPh sb="0" eb="2">
      <t>ガメン</t>
    </rPh>
    <phoneticPr fontId="11"/>
  </si>
  <si>
    <t>学生または教員</t>
    <rPh sb="0" eb="2">
      <t>ガクセイ</t>
    </rPh>
    <rPh sb="5" eb="7">
      <t>キョウイン</t>
    </rPh>
    <phoneticPr fontId="2"/>
  </si>
  <si>
    <t>登録処理後にメール送信</t>
    <phoneticPr fontId="11"/>
  </si>
  <si>
    <t>正常時</t>
    <rPh sb="0" eb="3">
      <t>セイジョウジ</t>
    </rPh>
    <phoneticPr fontId="11"/>
  </si>
  <si>
    <t>（別スレッドでメール送信を実行）</t>
    <rPh sb="1" eb="2">
      <t>ベツ</t>
    </rPh>
    <rPh sb="10" eb="12">
      <t>ソウシン</t>
    </rPh>
    <rPh sb="13" eb="15">
      <t>ジッコウ</t>
    </rPh>
    <phoneticPr fontId="11"/>
  </si>
  <si>
    <t>※メール送信に失敗しても、失敗したことの通知や</t>
    <rPh sb="4" eb="6">
      <t>ソウシン</t>
    </rPh>
    <rPh sb="7" eb="9">
      <t>シッパイ</t>
    </rPh>
    <rPh sb="13" eb="15">
      <t>シッパイ</t>
    </rPh>
    <rPh sb="20" eb="22">
      <t>ツウチ</t>
    </rPh>
    <phoneticPr fontId="11"/>
  </si>
  <si>
    <t>2.自動送信：バッチ処理で自動送信するメール</t>
    <rPh sb="2" eb="4">
      <t>ジドウ</t>
    </rPh>
    <rPh sb="4" eb="6">
      <t>ソウシン</t>
    </rPh>
    <rPh sb="10" eb="12">
      <t>ショリ</t>
    </rPh>
    <rPh sb="13" eb="15">
      <t>ジドウ</t>
    </rPh>
    <rPh sb="15" eb="17">
      <t>ソウシン</t>
    </rPh>
    <phoneticPr fontId="11"/>
  </si>
  <si>
    <t>督促メール送信</t>
    <rPh sb="0" eb="2">
      <t>トクソク</t>
    </rPh>
    <rPh sb="5" eb="7">
      <t>ソウシン</t>
    </rPh>
    <phoneticPr fontId="11"/>
  </si>
  <si>
    <t>各画面（変更登録、代行入力等）の操作にてメール送信を行うものは、即時送信を行う。</t>
  </si>
  <si>
    <t>※学生/教員が最後にログインした時の言語で</t>
    <rPh sb="1" eb="3">
      <t>ガクセイ</t>
    </rPh>
    <rPh sb="4" eb="6">
      <t>キョウイン</t>
    </rPh>
    <rPh sb="7" eb="9">
      <t>サイゴ</t>
    </rPh>
    <rPh sb="16" eb="17">
      <t>トキ</t>
    </rPh>
    <rPh sb="18" eb="20">
      <t>ゲンゴ</t>
    </rPh>
    <phoneticPr fontId="11"/>
  </si>
  <si>
    <t>※メールのテンプレートはメール管理マスタより取得する。</t>
    <rPh sb="15" eb="17">
      <t>カンリ</t>
    </rPh>
    <rPh sb="22" eb="24">
      <t>シュトク</t>
    </rPh>
    <phoneticPr fontId="11"/>
  </si>
  <si>
    <t>　（社員マスタ.言語区分）を基に</t>
    <rPh sb="2" eb="4">
      <t>シャイン</t>
    </rPh>
    <rPh sb="8" eb="12">
      <t>ゲンゴクブン</t>
    </rPh>
    <rPh sb="14" eb="15">
      <t>モト</t>
    </rPh>
    <phoneticPr fontId="11"/>
  </si>
  <si>
    <t>　日本語または英語で送信する。</t>
    <rPh sb="1" eb="4">
      <t>ニホンゴ</t>
    </rPh>
    <rPh sb="7" eb="9">
      <t>エイゴ</t>
    </rPh>
    <rPh sb="10" eb="12">
      <t>ソウシン</t>
    </rPh>
    <phoneticPr fontId="11"/>
  </si>
  <si>
    <t>異常時</t>
    <rPh sb="0" eb="3">
      <t>イジョウジ</t>
    </rPh>
    <phoneticPr fontId="11"/>
  </si>
  <si>
    <t>異常時（送信失敗等）</t>
    <rPh sb="0" eb="3">
      <t>イジョウジ</t>
    </rPh>
    <rPh sb="8" eb="9">
      <t>ナド</t>
    </rPh>
    <phoneticPr fontId="11"/>
  </si>
  <si>
    <t>※送信対象者テーブルに、メール情報を書き込む。</t>
    <rPh sb="1" eb="6">
      <t>ソウシンタイショウシャ</t>
    </rPh>
    <rPh sb="15" eb="17">
      <t>ジョウホウ</t>
    </rPh>
    <rPh sb="18" eb="19">
      <t>カ</t>
    </rPh>
    <rPh sb="20" eb="21">
      <t>コ</t>
    </rPh>
    <phoneticPr fontId="11"/>
  </si>
  <si>
    <t>　再送信処理は行われない。</t>
    <rPh sb="1" eb="6">
      <t>サイソウシンショリ</t>
    </rPh>
    <rPh sb="7" eb="8">
      <t>オコナ</t>
    </rPh>
    <phoneticPr fontId="11"/>
  </si>
  <si>
    <t>　送信失敗時も画面処理を継続可能（システムエラーにならない）</t>
    <rPh sb="1" eb="3">
      <t>ソウシン</t>
    </rPh>
    <rPh sb="3" eb="5">
      <t>シッパイ</t>
    </rPh>
    <rPh sb="5" eb="6">
      <t>ジ</t>
    </rPh>
    <rPh sb="7" eb="9">
      <t>ガメン</t>
    </rPh>
    <rPh sb="9" eb="11">
      <t>ショリ</t>
    </rPh>
    <rPh sb="12" eb="16">
      <t>ケイゾクカノウ</t>
    </rPh>
    <phoneticPr fontId="11"/>
  </si>
  <si>
    <t>※メール送信をするか否かの判断は画面処理にて行う。</t>
    <rPh sb="4" eb="6">
      <t>ソウシン</t>
    </rPh>
    <rPh sb="10" eb="11">
      <t>イナ</t>
    </rPh>
    <rPh sb="13" eb="15">
      <t>ハンダン</t>
    </rPh>
    <rPh sb="16" eb="18">
      <t>ガメン</t>
    </rPh>
    <rPh sb="18" eb="20">
      <t>ショリ</t>
    </rPh>
    <rPh sb="22" eb="23">
      <t>オコナ</t>
    </rPh>
    <phoneticPr fontId="11"/>
  </si>
  <si>
    <t>（本システムでBCCは使用しない）</t>
    <rPh sb="1" eb="2">
      <t>ホン</t>
    </rPh>
    <rPh sb="11" eb="13">
      <t>シヨウ</t>
    </rPh>
    <phoneticPr fontId="11"/>
  </si>
  <si>
    <t>バッチは、スケジューラで指定した日時に処理を実行しメール送信を行う。</t>
    <rPh sb="12" eb="14">
      <t>シテイ</t>
    </rPh>
    <rPh sb="16" eb="18">
      <t>ニチジ</t>
    </rPh>
    <rPh sb="19" eb="21">
      <t>ショリ</t>
    </rPh>
    <rPh sb="28" eb="30">
      <t>ソウシン</t>
    </rPh>
    <phoneticPr fontId="11"/>
  </si>
  <si>
    <t>(１) メールヘッダ</t>
    <phoneticPr fontId="11"/>
  </si>
  <si>
    <t>メールヘッダ</t>
    <phoneticPr fontId="2"/>
  </si>
  <si>
    <t>Content-Type</t>
    <phoneticPr fontId="2"/>
  </si>
  <si>
    <t>備考</t>
    <rPh sb="0" eb="2">
      <t>ビコウ</t>
    </rPh>
    <phoneticPr fontId="2"/>
  </si>
  <si>
    <t>ヘッダ</t>
    <phoneticPr fontId="2"/>
  </si>
  <si>
    <t>設定内容</t>
    <rPh sb="0" eb="4">
      <t>セッテイナイヨウ</t>
    </rPh>
    <phoneticPr fontId="2"/>
  </si>
  <si>
    <t>Message-Id</t>
    <phoneticPr fontId="2"/>
  </si>
  <si>
    <t>templateEncoding</t>
    <phoneticPr fontId="2"/>
  </si>
  <si>
    <t>テンプレートのエンコーディング</t>
    <phoneticPr fontId="2"/>
  </si>
  <si>
    <t>メールのエンコードに使用する文字コード</t>
    <phoneticPr fontId="2"/>
  </si>
  <si>
    <t>mailProperties.dicon</t>
    <phoneticPr fontId="2"/>
  </si>
  <si>
    <t>messageId</t>
    <phoneticPr fontId="2"/>
  </si>
  <si>
    <t>connectionTimeout</t>
    <phoneticPr fontId="2"/>
  </si>
  <si>
    <t>readTimeout</t>
    <phoneticPr fontId="2"/>
  </si>
  <si>
    <t>mailCharset</t>
    <phoneticPr fontId="2"/>
  </si>
  <si>
    <t>項目</t>
    <rPh sb="0" eb="2">
      <t>コウモク</t>
    </rPh>
    <phoneticPr fontId="2"/>
  </si>
  <si>
    <t>項目説明</t>
    <rPh sb="0" eb="4">
      <t>コウモクセツメイ</t>
    </rPh>
    <phoneticPr fontId="2"/>
  </si>
  <si>
    <t>SMTPサーバとの接続タイムアウト</t>
    <phoneticPr fontId="2"/>
  </si>
  <si>
    <t>SMTPサーバへの送受信時のタイムアウト</t>
    <phoneticPr fontId="2"/>
  </si>
  <si>
    <t>メールを特定する事ができる識別子</t>
    <phoneticPr fontId="2"/>
  </si>
  <si>
    <t>参考</t>
    <rPh sb="0" eb="2">
      <t>サンコウ</t>
    </rPh>
    <phoneticPr fontId="2"/>
  </si>
  <si>
    <t>https://www.ccjc-net.or.jp/~kouza/header/header33.html</t>
  </si>
  <si>
    <t>https://ml.seasar.org/archives/seasar-user/2011-October/021083.html</t>
    <phoneticPr fontId="2"/>
  </si>
  <si>
    <t>https://s2mai.sandbox.seasar.org/ja/guide1.html</t>
    <phoneticPr fontId="2"/>
  </si>
  <si>
    <t>https://s2mai.sandbox.seasar.org/ja/guide3.html</t>
    <phoneticPr fontId="2"/>
  </si>
  <si>
    <t>設定値</t>
    <rPh sb="0" eb="3">
      <t>セッテイチ</t>
    </rPh>
    <phoneticPr fontId="2"/>
  </si>
  <si>
    <t>work-man.doshisha.ac.jp</t>
    <phoneticPr fontId="2"/>
  </si>
  <si>
    <t>UTF-8</t>
    <phoneticPr fontId="2"/>
  </si>
  <si>
    <t>10000</t>
    <phoneticPr fontId="2"/>
  </si>
  <si>
    <t>ISO-2022-JP</t>
    <phoneticPr fontId="2"/>
  </si>
  <si>
    <t>Nullの場合はコンピュータ名になるので、ドメイン名を指定する</t>
    <rPh sb="5" eb="7">
      <t>バアイ</t>
    </rPh>
    <rPh sb="14" eb="15">
      <t>メイ</t>
    </rPh>
    <phoneticPr fontId="2"/>
  </si>
  <si>
    <t>SendMailMai_sendMessage.ftl</t>
    <phoneticPr fontId="2"/>
  </si>
  <si>
    <t>デフォルト値</t>
    <rPh sb="5" eb="6">
      <t>チ</t>
    </rPh>
    <phoneticPr fontId="2"/>
  </si>
  <si>
    <t>一連番号は電子メールの送信時に生成する文字列
送信したメールとそのメールに対して返信されてきたメールとの紐付け（スレッド）を行うために使用されたりする。</t>
    <rPh sb="0" eb="4">
      <t>イチレンバンゴウ</t>
    </rPh>
    <rPh sb="67" eb="69">
      <t>シヨウ</t>
    </rPh>
    <phoneticPr fontId="2"/>
  </si>
  <si>
    <t>(２) 実際のメールでの出力例</t>
    <rPh sb="4" eb="6">
      <t>ジッサイ</t>
    </rPh>
    <rPh sb="12" eb="14">
      <t>シュツリョク</t>
    </rPh>
    <rPh sb="14" eb="15">
      <t>レイ</t>
    </rPh>
    <phoneticPr fontId="11"/>
  </si>
  <si>
    <t>一連番号@ドメイン名
例)&lt;1710392136513.4294465108966902@work-man.doshisha.ac.jp&gt;</t>
    <phoneticPr fontId="2"/>
  </si>
  <si>
    <t>text/plain; charset=UTF-8</t>
    <phoneticPr fontId="2"/>
  </si>
  <si>
    <t>上記は、以下の設定ファイルで指定している。</t>
    <rPh sb="0" eb="2">
      <t>ジョウキ</t>
    </rPh>
    <rPh sb="4" eb="6">
      <t>イカ</t>
    </rPh>
    <rPh sb="7" eb="9">
      <t>セッテイ</t>
    </rPh>
    <rPh sb="14" eb="16">
      <t>シテイ</t>
    </rPh>
    <phoneticPr fontId="2"/>
  </si>
  <si>
    <t>メールの送信テスト（Junit等で期待値テキストファイルとテンプレートにセットした値を比較）で使用する。
学生勤務管理システムでは、テンプレート「SendMailMai_sendMessage.ftl」ファイルの文字コードを指定する。</t>
    <rPh sb="4" eb="6">
      <t>ソウシン</t>
    </rPh>
    <rPh sb="15" eb="16">
      <t>ナド</t>
    </rPh>
    <rPh sb="41" eb="42">
      <t>アタイ</t>
    </rPh>
    <rPh sb="43" eb="45">
      <t>ヒカク</t>
    </rPh>
    <rPh sb="47" eb="49">
      <t>シヨウ</t>
    </rPh>
    <rPh sb="53" eb="57">
      <t>ガクセイキンム</t>
    </rPh>
    <rPh sb="57" eb="59">
      <t>カンリ</t>
    </rPh>
    <rPh sb="106" eb="108">
      <t>モジ</t>
    </rPh>
    <rPh sb="112" eb="114">
      <t>シテイ</t>
    </rPh>
    <phoneticPr fontId="2"/>
  </si>
  <si>
    <t>https://ml.seasar.org/archives/seasar-user/2012-December/021537.html</t>
    <phoneticPr fontId="2"/>
  </si>
  <si>
    <t>class</t>
    <phoneticPr fontId="2"/>
  </si>
  <si>
    <t>charset</t>
    <phoneticPr fontId="2"/>
  </si>
  <si>
    <t>プロパティ</t>
    <phoneticPr fontId="2"/>
  </si>
  <si>
    <t>com.ozacc.mail.Mail</t>
    <phoneticPr fontId="2"/>
  </si>
  <si>
    <t>${data.honbun}</t>
    <phoneticPr fontId="2"/>
  </si>
  <si>
    <t>sendMailMai_sendMessage.dicon</t>
    <phoneticPr fontId="2"/>
  </si>
  <si>
    <t>メールのエンコードに使用する文字コード
「com.ozacc.mail.Mail」クラスのプロパティ『charset』がnullの場合に使用される。
学生勤務システムでは、「sendMailMai_sendMessage.dicon」で『charset』を指定しているため、そちらが優先される</t>
    <rPh sb="65" eb="67">
      <t>バアイ</t>
    </rPh>
    <rPh sb="68" eb="70">
      <t>シヨウ</t>
    </rPh>
    <rPh sb="75" eb="79">
      <t>ガクセイキンム</t>
    </rPh>
    <rPh sb="128" eb="130">
      <t>シテイ</t>
    </rPh>
    <rPh sb="141" eb="143">
      <t>ユウセン</t>
    </rPh>
    <phoneticPr fontId="2"/>
  </si>
  <si>
    <t>教員・学生</t>
    <rPh sb="0" eb="2">
      <t>キョウイン</t>
    </rPh>
    <rPh sb="3" eb="5">
      <t>ガクセイ</t>
    </rPh>
    <phoneticPr fontId="1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</si>
</sst>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&quot;年&quot;m&quot;月&quot;d&quot;日&quot;;@"/>
    <numFmt numFmtId="177" formatCode="0.00_ "/>
  </numFmts>
  <fonts count="19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color indexed="81"/>
      <name val="ＭＳ Ｐゴシック"/>
      <family val="3"/>
      <charset val="128"/>
    </font>
    <font>
      <sz val="10"/>
      <name val="ＭＳ 明朝"/>
      <family val="1"/>
      <charset val="128"/>
    </font>
    <font>
      <sz val="11"/>
      <name val="ＭＳ ゴシック"/>
      <family val="3"/>
      <charset val="128"/>
    </font>
    <font>
      <sz val="10"/>
      <name val="ＭＳ ゴシック"/>
      <family val="3"/>
      <charset val="128"/>
    </font>
    <font>
      <sz val="20"/>
      <name val="ＭＳ ゴシック"/>
      <family val="3"/>
      <charset val="128"/>
    </font>
    <font>
      <sz val="14"/>
      <name val="ＭＳ 明朝"/>
      <family val="1"/>
      <charset val="128"/>
    </font>
    <font>
      <sz val="10"/>
      <name val="ＭＳ Ｐゴシック"/>
      <family val="3"/>
      <charset val="128"/>
    </font>
    <font>
      <sz val="6"/>
      <name val="ＭＳ 明朝"/>
      <family val="1"/>
      <charset val="128"/>
    </font>
    <font>
      <sz val="6"/>
      <name val="ＭＳ Ｐゴシック"/>
      <family val="2"/>
      <charset val="128"/>
      <scheme val="minor"/>
    </font>
    <font>
      <b/>
      <sz val="10"/>
      <name val="ＭＳ ゴシック"/>
      <family val="3"/>
      <charset val="128"/>
    </font>
    <font>
      <sz val="11"/>
      <color theme="1"/>
      <name val="ＭＳ Ｐゴシック"/>
      <family val="2"/>
      <scheme val="minor"/>
    </font>
    <font>
      <u/>
      <sz val="11"/>
      <color theme="10"/>
      <name val="ＭＳ Ｐゴシック"/>
      <family val="2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明朝"/>
      <family val="1"/>
      <charset val="128"/>
    </font>
    <font>
      <b/>
      <sz val="10.5"/>
      <name val="ＭＳ 明朝"/>
      <family val="1"/>
      <charset val="128"/>
    </font>
    <font>
      <sz val="10"/>
      <color rgb="FFFF0000"/>
      <name val="ＭＳ 明朝"/>
      <family val="1"/>
      <charset val="128"/>
    </font>
  </fonts>
  <fills count="8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5">
    <xf numFmtId="0" fontId="0" fillId="0" borderId="0"/>
    <xf numFmtId="0" fontId="1" fillId="0" borderId="0"/>
    <xf numFmtId="0" fontId="13" fillId="0" borderId="0"/>
    <xf numFmtId="0" fontId="14" fillId="0" borderId="0" applyNumberFormat="0" applyFill="0" applyBorder="0" applyAlignment="0" applyProtection="0"/>
    <xf numFmtId="0" fontId="15" fillId="0" borderId="0">
      <alignment vertical="center"/>
    </xf>
  </cellStyleXfs>
  <cellXfs count="184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5" fillId="2" borderId="1" xfId="0" applyFont="1" applyFill="1" applyBorder="1"/>
    <xf numFmtId="0" fontId="5" fillId="2" borderId="2" xfId="0" applyFont="1" applyFill="1" applyBorder="1"/>
    <xf numFmtId="0" fontId="5" fillId="2" borderId="3" xfId="0" applyFont="1" applyFill="1" applyBorder="1"/>
    <xf numFmtId="0" fontId="5" fillId="2" borderId="4" xfId="0" applyFont="1" applyFill="1" applyBorder="1"/>
    <xf numFmtId="0" fontId="5" fillId="2" borderId="5" xfId="0" applyFont="1" applyFill="1" applyBorder="1"/>
    <xf numFmtId="0" fontId="5" fillId="2" borderId="0" xfId="0" applyFont="1" applyFill="1"/>
    <xf numFmtId="0" fontId="5" fillId="2" borderId="6" xfId="0" applyFont="1" applyFill="1" applyBorder="1"/>
    <xf numFmtId="0" fontId="5" fillId="2" borderId="7" xfId="0" applyFont="1" applyFill="1" applyBorder="1"/>
    <xf numFmtId="0" fontId="5" fillId="2" borderId="8" xfId="0" applyFont="1" applyFill="1" applyBorder="1"/>
    <xf numFmtId="0" fontId="4" fillId="0" borderId="0" xfId="0" applyFont="1"/>
    <xf numFmtId="49" fontId="1" fillId="0" borderId="0" xfId="0" applyNumberFormat="1" applyFont="1"/>
    <xf numFmtId="0" fontId="5" fillId="0" borderId="0" xfId="0" applyFont="1"/>
    <xf numFmtId="0" fontId="5" fillId="0" borderId="0" xfId="0" applyFont="1" applyAlignment="1">
      <alignment vertical="center"/>
    </xf>
    <xf numFmtId="0" fontId="9" fillId="0" borderId="0" xfId="0" applyFont="1"/>
    <xf numFmtId="0" fontId="4" fillId="0" borderId="0" xfId="0" applyFont="1" applyAlignment="1">
      <alignment vertical="center"/>
    </xf>
    <xf numFmtId="0" fontId="4" fillId="0" borderId="10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6" fillId="0" borderId="11" xfId="0" applyFont="1" applyBorder="1" applyAlignment="1">
      <alignment vertical="center"/>
    </xf>
    <xf numFmtId="0" fontId="6" fillId="0" borderId="12" xfId="0" applyFont="1" applyBorder="1" applyAlignment="1">
      <alignment vertical="center"/>
    </xf>
    <xf numFmtId="0" fontId="6" fillId="0" borderId="12" xfId="0" applyFont="1" applyBorder="1"/>
    <xf numFmtId="0" fontId="12" fillId="0" borderId="12" xfId="0" applyFont="1" applyBorder="1" applyAlignment="1">
      <alignment vertical="center"/>
    </xf>
    <xf numFmtId="0" fontId="6" fillId="0" borderId="14" xfId="0" applyFont="1" applyBorder="1" applyAlignment="1">
      <alignment vertical="center"/>
    </xf>
    <xf numFmtId="0" fontId="4" fillId="6" borderId="19" xfId="0" applyFont="1" applyFill="1" applyBorder="1" applyAlignment="1">
      <alignment vertical="center"/>
    </xf>
    <xf numFmtId="0" fontId="4" fillId="6" borderId="15" xfId="0" applyFont="1" applyFill="1" applyBorder="1" applyAlignment="1">
      <alignment vertical="center"/>
    </xf>
    <xf numFmtId="0" fontId="4" fillId="6" borderId="16" xfId="0" applyFont="1" applyFill="1" applyBorder="1" applyAlignment="1">
      <alignment vertical="center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4" fillId="6" borderId="1" xfId="0" applyFont="1" applyFill="1" applyBorder="1" applyAlignment="1">
      <alignment vertical="center"/>
    </xf>
    <xf numFmtId="0" fontId="4" fillId="6" borderId="2" xfId="0" applyFont="1" applyFill="1" applyBorder="1" applyAlignment="1">
      <alignment vertical="center"/>
    </xf>
    <xf numFmtId="0" fontId="4" fillId="6" borderId="3" xfId="0" applyFont="1" applyFill="1" applyBorder="1" applyAlignment="1">
      <alignment vertical="center"/>
    </xf>
    <xf numFmtId="0" fontId="4" fillId="6" borderId="5" xfId="0" applyFont="1" applyFill="1" applyBorder="1" applyAlignment="1">
      <alignment vertical="center"/>
    </xf>
    <xf numFmtId="0" fontId="4" fillId="6" borderId="0" xfId="0" applyFont="1" applyFill="1" applyAlignment="1">
      <alignment vertical="center"/>
    </xf>
    <xf numFmtId="0" fontId="4" fillId="6" borderId="4" xfId="0" applyFont="1" applyFill="1" applyBorder="1" applyAlignment="1">
      <alignment vertical="center"/>
    </xf>
    <xf numFmtId="0" fontId="4" fillId="6" borderId="0" xfId="0" applyFont="1" applyFill="1"/>
    <xf numFmtId="0" fontId="4" fillId="6" borderId="6" xfId="0" applyFont="1" applyFill="1" applyBorder="1" applyAlignment="1">
      <alignment vertical="center"/>
    </xf>
    <xf numFmtId="0" fontId="4" fillId="6" borderId="7" xfId="0" applyFont="1" applyFill="1" applyBorder="1" applyAlignment="1">
      <alignment vertical="center"/>
    </xf>
    <xf numFmtId="0" fontId="4" fillId="6" borderId="8" xfId="0" applyFont="1" applyFill="1" applyBorder="1" applyAlignment="1">
      <alignment vertical="center"/>
    </xf>
    <xf numFmtId="0" fontId="18" fillId="0" borderId="0" xfId="0" applyFont="1" applyAlignment="1">
      <alignment vertical="center"/>
    </xf>
    <xf numFmtId="0" fontId="5" fillId="5" borderId="21" xfId="0" applyFont="1" applyFill="1" applyBorder="1" applyAlignment="1">
      <alignment vertical="center"/>
    </xf>
    <xf numFmtId="0" fontId="5" fillId="0" borderId="21" xfId="0" applyFont="1" applyBorder="1" applyAlignment="1">
      <alignment vertical="center"/>
    </xf>
    <xf numFmtId="14" fontId="5" fillId="0" borderId="21" xfId="0" applyNumberFormat="1" applyFont="1" applyBorder="1" applyAlignment="1">
      <alignment horizontal="left" vertical="center"/>
    </xf>
    <xf numFmtId="0" fontId="5" fillId="0" borderId="21" xfId="0" applyFont="1" applyBorder="1" applyAlignment="1">
      <alignment horizontal="left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5" fillId="3" borderId="21" xfId="0" applyFont="1" applyFill="1" applyBorder="1" applyAlignment="1">
      <alignment horizontal="center" vertical="center"/>
    </xf>
    <xf numFmtId="14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5" fillId="0" borderId="7" xfId="0" applyFont="1" applyBorder="1" applyAlignment="1">
      <alignment vertical="center"/>
    </xf>
    <xf numFmtId="0" fontId="4" fillId="0" borderId="21" xfId="0" applyFont="1" applyBorder="1" applyAlignment="1">
      <alignment horizontal="center" vertical="center"/>
    </xf>
    <xf numFmtId="177" fontId="4" fillId="0" borderId="21" xfId="0" applyNumberFormat="1" applyFont="1" applyBorder="1" applyAlignment="1">
      <alignment horizontal="center" vertical="center"/>
    </xf>
    <xf numFmtId="31" fontId="4" fillId="0" borderId="21" xfId="0" applyNumberFormat="1" applyFont="1" applyBorder="1" applyAlignment="1">
      <alignment horizontal="center" vertical="center"/>
    </xf>
    <xf numFmtId="0" fontId="4" fillId="0" borderId="21" xfId="0" applyFont="1" applyBorder="1" applyAlignment="1">
      <alignment vertical="center" wrapText="1"/>
    </xf>
    <xf numFmtId="0" fontId="4" fillId="0" borderId="21" xfId="0" applyFont="1" applyBorder="1" applyAlignment="1">
      <alignment vertical="center"/>
    </xf>
    <xf numFmtId="0" fontId="4" fillId="0" borderId="21" xfId="0" applyFont="1" applyBorder="1" applyAlignment="1">
      <alignment horizontal="left" vertical="center"/>
    </xf>
    <xf numFmtId="0" fontId="4" fillId="6" borderId="20" xfId="0" applyFont="1" applyFill="1" applyBorder="1" applyAlignment="1">
      <alignment horizontal="center" vertical="center"/>
    </xf>
    <xf numFmtId="0" fontId="4" fillId="6" borderId="6" xfId="0" applyFont="1" applyFill="1" applyBorder="1" applyAlignment="1">
      <alignment horizontal="center" vertical="center"/>
    </xf>
    <xf numFmtId="0" fontId="4" fillId="6" borderId="7" xfId="0" applyFont="1" applyFill="1" applyBorder="1" applyAlignment="1">
      <alignment horizontal="center" vertical="center"/>
    </xf>
    <xf numFmtId="0" fontId="4" fillId="6" borderId="8" xfId="0" applyFont="1" applyFill="1" applyBorder="1" applyAlignment="1">
      <alignment horizontal="center" vertical="center"/>
    </xf>
    <xf numFmtId="0" fontId="6" fillId="4" borderId="2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/>
    </xf>
    <xf numFmtId="0" fontId="6" fillId="4" borderId="7" xfId="0" applyFont="1" applyFill="1" applyBorder="1" applyAlignment="1">
      <alignment horizontal="center" vertical="center"/>
    </xf>
    <xf numFmtId="0" fontId="6" fillId="4" borderId="8" xfId="0" applyFont="1" applyFill="1" applyBorder="1" applyAlignment="1">
      <alignment horizontal="center" vertical="center"/>
    </xf>
    <xf numFmtId="176" fontId="4" fillId="6" borderId="19" xfId="0" applyNumberFormat="1" applyFont="1" applyFill="1" applyBorder="1" applyAlignment="1">
      <alignment horizontal="center" vertical="center"/>
    </xf>
    <xf numFmtId="176" fontId="4" fillId="6" borderId="15" xfId="0" applyNumberFormat="1" applyFont="1" applyFill="1" applyBorder="1" applyAlignment="1">
      <alignment horizontal="center" vertical="center"/>
    </xf>
    <xf numFmtId="176" fontId="4" fillId="6" borderId="16" xfId="0" applyNumberFormat="1" applyFont="1" applyFill="1" applyBorder="1" applyAlignment="1">
      <alignment horizontal="center" vertical="center"/>
    </xf>
    <xf numFmtId="49" fontId="6" fillId="4" borderId="1" xfId="0" applyNumberFormat="1" applyFont="1" applyFill="1" applyBorder="1" applyAlignment="1">
      <alignment horizontal="center" vertical="center"/>
    </xf>
    <xf numFmtId="49" fontId="6" fillId="4" borderId="2" xfId="0" applyNumberFormat="1" applyFont="1" applyFill="1" applyBorder="1" applyAlignment="1">
      <alignment horizontal="center" vertical="center"/>
    </xf>
    <xf numFmtId="49" fontId="6" fillId="4" borderId="3" xfId="0" applyNumberFormat="1" applyFont="1" applyFill="1" applyBorder="1" applyAlignment="1">
      <alignment horizontal="center" vertical="center"/>
    </xf>
    <xf numFmtId="49" fontId="6" fillId="4" borderId="6" xfId="0" applyNumberFormat="1" applyFont="1" applyFill="1" applyBorder="1" applyAlignment="1">
      <alignment horizontal="center" vertical="center"/>
    </xf>
    <xf numFmtId="49" fontId="6" fillId="4" borderId="7" xfId="0" applyNumberFormat="1" applyFont="1" applyFill="1" applyBorder="1" applyAlignment="1">
      <alignment horizontal="center" vertical="center"/>
    </xf>
    <xf numFmtId="49" fontId="6" fillId="4" borderId="8" xfId="0" applyNumberFormat="1" applyFont="1" applyFill="1" applyBorder="1" applyAlignment="1">
      <alignment horizontal="center" vertical="center"/>
    </xf>
    <xf numFmtId="177" fontId="4" fillId="6" borderId="19" xfId="0" applyNumberFormat="1" applyFont="1" applyFill="1" applyBorder="1" applyAlignment="1">
      <alignment horizontal="center" vertical="center"/>
    </xf>
    <xf numFmtId="177" fontId="4" fillId="6" borderId="15" xfId="0" applyNumberFormat="1" applyFont="1" applyFill="1" applyBorder="1" applyAlignment="1">
      <alignment horizontal="center" vertical="center"/>
    </xf>
    <xf numFmtId="177" fontId="4" fillId="6" borderId="16" xfId="0" applyNumberFormat="1" applyFont="1" applyFill="1" applyBorder="1" applyAlignment="1">
      <alignment horizontal="center" vertical="center"/>
    </xf>
    <xf numFmtId="0" fontId="4" fillId="6" borderId="21" xfId="0" applyFont="1" applyFill="1" applyBorder="1" applyAlignment="1">
      <alignment vertical="center"/>
    </xf>
    <xf numFmtId="0" fontId="4" fillId="6" borderId="21" xfId="0" applyFont="1" applyFill="1" applyBorder="1" applyAlignment="1">
      <alignment horizontal="left" vertical="center"/>
    </xf>
    <xf numFmtId="0" fontId="4" fillId="6" borderId="19" xfId="0" applyFont="1" applyFill="1" applyBorder="1" applyAlignment="1">
      <alignment vertical="center"/>
    </xf>
    <xf numFmtId="0" fontId="4" fillId="6" borderId="15" xfId="0" applyFont="1" applyFill="1" applyBorder="1" applyAlignment="1">
      <alignment vertical="center"/>
    </xf>
    <xf numFmtId="0" fontId="4" fillId="6" borderId="16" xfId="0" applyFont="1" applyFill="1" applyBorder="1" applyAlignment="1">
      <alignment vertical="center"/>
    </xf>
    <xf numFmtId="0" fontId="4" fillId="0" borderId="21" xfId="0" applyFont="1" applyBorder="1" applyAlignment="1">
      <alignment vertical="center" shrinkToFit="1"/>
    </xf>
    <xf numFmtId="0" fontId="5" fillId="4" borderId="17" xfId="0" applyFont="1" applyFill="1" applyBorder="1" applyAlignment="1">
      <alignment horizontal="center" vertical="center"/>
    </xf>
    <xf numFmtId="0" fontId="5" fillId="4" borderId="15" xfId="0" applyFont="1" applyFill="1" applyBorder="1" applyAlignment="1">
      <alignment horizontal="center" vertical="center"/>
    </xf>
    <xf numFmtId="0" fontId="5" fillId="4" borderId="22" xfId="0" applyFont="1" applyFill="1" applyBorder="1" applyAlignment="1">
      <alignment horizontal="center" vertical="center"/>
    </xf>
    <xf numFmtId="0" fontId="5" fillId="0" borderId="33" xfId="0" applyFont="1" applyBorder="1" applyAlignment="1">
      <alignment horizontal="left" vertical="center"/>
    </xf>
    <xf numFmtId="0" fontId="5" fillId="0" borderId="23" xfId="0" applyFont="1" applyBorder="1" applyAlignment="1">
      <alignment horizontal="left" vertical="center"/>
    </xf>
    <xf numFmtId="0" fontId="5" fillId="0" borderId="24" xfId="0" applyFont="1" applyBorder="1" applyAlignment="1">
      <alignment horizontal="left" vertical="center"/>
    </xf>
    <xf numFmtId="0" fontId="5" fillId="4" borderId="28" xfId="0" applyFont="1" applyFill="1" applyBorder="1" applyAlignment="1">
      <alignment vertical="center"/>
    </xf>
    <xf numFmtId="0" fontId="5" fillId="4" borderId="26" xfId="0" applyFont="1" applyFill="1" applyBorder="1" applyAlignment="1">
      <alignment vertical="center"/>
    </xf>
    <xf numFmtId="0" fontId="5" fillId="4" borderId="27" xfId="0" applyFont="1" applyFill="1" applyBorder="1" applyAlignment="1">
      <alignment vertical="center"/>
    </xf>
    <xf numFmtId="0" fontId="5" fillId="0" borderId="35" xfId="0" applyFont="1" applyBorder="1" applyAlignment="1">
      <alignment vertical="center"/>
    </xf>
    <xf numFmtId="0" fontId="5" fillId="4" borderId="35" xfId="0" applyFont="1" applyFill="1" applyBorder="1" applyAlignment="1">
      <alignment vertical="center"/>
    </xf>
    <xf numFmtId="0" fontId="5" fillId="0" borderId="35" xfId="0" applyFont="1" applyBorder="1" applyAlignment="1">
      <alignment horizontal="center" vertical="center"/>
    </xf>
    <xf numFmtId="0" fontId="5" fillId="4" borderId="33" xfId="0" applyFont="1" applyFill="1" applyBorder="1" applyAlignment="1">
      <alignment horizontal="left" vertical="center"/>
    </xf>
    <xf numFmtId="0" fontId="5" fillId="4" borderId="23" xfId="0" applyFont="1" applyFill="1" applyBorder="1" applyAlignment="1">
      <alignment horizontal="left" vertical="center"/>
    </xf>
    <xf numFmtId="0" fontId="5" fillId="0" borderId="32" xfId="1" applyFont="1" applyBorder="1" applyAlignment="1">
      <alignment vertical="center" wrapText="1"/>
    </xf>
    <xf numFmtId="0" fontId="5" fillId="0" borderId="30" xfId="1" applyFont="1" applyBorder="1" applyAlignment="1">
      <alignment vertical="center" wrapText="1"/>
    </xf>
    <xf numFmtId="0" fontId="5" fillId="0" borderId="31" xfId="1" applyFont="1" applyBorder="1" applyAlignment="1">
      <alignment vertical="center" wrapText="1"/>
    </xf>
    <xf numFmtId="0" fontId="5" fillId="0" borderId="13" xfId="1" applyFont="1" applyBorder="1" applyAlignment="1">
      <alignment horizontal="left" vertical="center"/>
    </xf>
    <xf numFmtId="0" fontId="5" fillId="0" borderId="12" xfId="1" applyFont="1" applyBorder="1" applyAlignment="1">
      <alignment horizontal="left" vertical="center"/>
    </xf>
    <xf numFmtId="0" fontId="5" fillId="0" borderId="18" xfId="1" applyFont="1" applyBorder="1" applyAlignment="1">
      <alignment horizontal="left" vertical="center"/>
    </xf>
    <xf numFmtId="0" fontId="5" fillId="4" borderId="32" xfId="1" applyFont="1" applyFill="1" applyBorder="1" applyAlignment="1">
      <alignment horizontal="center" vertical="center"/>
    </xf>
    <xf numFmtId="0" fontId="5" fillId="4" borderId="30" xfId="1" applyFont="1" applyFill="1" applyBorder="1" applyAlignment="1">
      <alignment horizontal="center" vertical="center"/>
    </xf>
    <xf numFmtId="0" fontId="5" fillId="4" borderId="31" xfId="1" applyFont="1" applyFill="1" applyBorder="1" applyAlignment="1">
      <alignment horizontal="center" vertical="center"/>
    </xf>
    <xf numFmtId="0" fontId="5" fillId="0" borderId="32" xfId="1" applyFont="1" applyBorder="1" applyAlignment="1">
      <alignment horizontal="left" vertical="center"/>
    </xf>
    <xf numFmtId="0" fontId="5" fillId="0" borderId="30" xfId="1" applyFont="1" applyBorder="1" applyAlignment="1">
      <alignment horizontal="left" vertical="center"/>
    </xf>
    <xf numFmtId="0" fontId="5" fillId="0" borderId="31" xfId="1" applyFont="1" applyBorder="1" applyAlignment="1">
      <alignment horizontal="left" vertical="center"/>
    </xf>
    <xf numFmtId="31" fontId="5" fillId="0" borderId="25" xfId="1" applyNumberFormat="1" applyFont="1" applyBorder="1" applyAlignment="1">
      <alignment horizontal="center" vertical="center"/>
    </xf>
    <xf numFmtId="31" fontId="5" fillId="0" borderId="26" xfId="1" applyNumberFormat="1" applyFont="1" applyBorder="1" applyAlignment="1">
      <alignment horizontal="center" vertical="center"/>
    </xf>
    <xf numFmtId="31" fontId="5" fillId="0" borderId="27" xfId="1" applyNumberFormat="1" applyFont="1" applyBorder="1" applyAlignment="1">
      <alignment horizontal="center" vertical="center"/>
    </xf>
    <xf numFmtId="0" fontId="5" fillId="4" borderId="33" xfId="1" applyFont="1" applyFill="1" applyBorder="1" applyAlignment="1">
      <alignment horizontal="center" vertical="center"/>
    </xf>
    <xf numFmtId="0" fontId="5" fillId="4" borderId="23" xfId="1" applyFont="1" applyFill="1" applyBorder="1" applyAlignment="1">
      <alignment horizontal="center" vertical="center"/>
    </xf>
    <xf numFmtId="0" fontId="5" fillId="4" borderId="34" xfId="1" applyFont="1" applyFill="1" applyBorder="1" applyAlignment="1">
      <alignment horizontal="center" vertical="center"/>
    </xf>
    <xf numFmtId="0" fontId="5" fillId="4" borderId="5" xfId="1" applyFont="1" applyFill="1" applyBorder="1" applyAlignment="1">
      <alignment horizontal="center" vertical="center"/>
    </xf>
    <xf numFmtId="0" fontId="5" fillId="4" borderId="0" xfId="1" applyFont="1" applyFill="1" applyAlignment="1">
      <alignment horizontal="center" vertical="center"/>
    </xf>
    <xf numFmtId="0" fontId="5" fillId="4" borderId="4" xfId="1" applyFont="1" applyFill="1" applyBorder="1" applyAlignment="1">
      <alignment horizontal="center" vertical="center"/>
    </xf>
    <xf numFmtId="0" fontId="5" fillId="4" borderId="13" xfId="1" applyFont="1" applyFill="1" applyBorder="1" applyAlignment="1">
      <alignment horizontal="center" vertical="center"/>
    </xf>
    <xf numFmtId="0" fontId="5" fillId="4" borderId="12" xfId="1" applyFont="1" applyFill="1" applyBorder="1" applyAlignment="1">
      <alignment horizontal="center" vertical="center"/>
    </xf>
    <xf numFmtId="0" fontId="5" fillId="4" borderId="18" xfId="1" applyFont="1" applyFill="1" applyBorder="1" applyAlignment="1">
      <alignment horizontal="center" vertical="center"/>
    </xf>
    <xf numFmtId="0" fontId="5" fillId="0" borderId="33" xfId="1" applyFont="1" applyBorder="1" applyAlignment="1">
      <alignment horizontal="center" vertical="center"/>
    </xf>
    <xf numFmtId="0" fontId="5" fillId="0" borderId="23" xfId="1" applyFont="1" applyBorder="1" applyAlignment="1">
      <alignment horizontal="center" vertical="center"/>
    </xf>
    <xf numFmtId="0" fontId="5" fillId="0" borderId="24" xfId="1" applyFont="1" applyBorder="1" applyAlignment="1">
      <alignment horizontal="center" vertical="center"/>
    </xf>
    <xf numFmtId="0" fontId="5" fillId="0" borderId="5" xfId="1" applyFont="1" applyBorder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5" fillId="0" borderId="10" xfId="1" applyFont="1" applyBorder="1" applyAlignment="1">
      <alignment horizontal="center" vertical="center"/>
    </xf>
    <xf numFmtId="0" fontId="5" fillId="0" borderId="13" xfId="1" applyFont="1" applyBorder="1" applyAlignment="1">
      <alignment horizontal="center" vertical="center"/>
    </xf>
    <xf numFmtId="0" fontId="5" fillId="0" borderId="12" xfId="1" applyFont="1" applyBorder="1" applyAlignment="1">
      <alignment horizontal="center" vertical="center"/>
    </xf>
    <xf numFmtId="0" fontId="5" fillId="0" borderId="14" xfId="1" applyFont="1" applyBorder="1" applyAlignment="1">
      <alignment horizontal="center" vertical="center"/>
    </xf>
    <xf numFmtId="0" fontId="5" fillId="4" borderId="17" xfId="1" applyFont="1" applyFill="1" applyBorder="1" applyAlignment="1">
      <alignment vertical="center"/>
    </xf>
    <xf numFmtId="0" fontId="5" fillId="4" borderId="15" xfId="1" applyFont="1" applyFill="1" applyBorder="1" applyAlignment="1">
      <alignment vertical="center"/>
    </xf>
    <xf numFmtId="0" fontId="5" fillId="4" borderId="16" xfId="1" applyFont="1" applyFill="1" applyBorder="1" applyAlignment="1">
      <alignment vertical="center"/>
    </xf>
    <xf numFmtId="0" fontId="5" fillId="0" borderId="19" xfId="1" applyFont="1" applyBorder="1" applyAlignment="1">
      <alignment vertical="center" wrapText="1"/>
    </xf>
    <xf numFmtId="0" fontId="5" fillId="0" borderId="15" xfId="1" applyFont="1" applyBorder="1" applyAlignment="1">
      <alignment vertical="center" wrapText="1"/>
    </xf>
    <xf numFmtId="0" fontId="5" fillId="0" borderId="16" xfId="1" applyFont="1" applyBorder="1" applyAlignment="1">
      <alignment vertical="center" wrapText="1"/>
    </xf>
    <xf numFmtId="0" fontId="5" fillId="4" borderId="1" xfId="1" applyFont="1" applyFill="1" applyBorder="1" applyAlignment="1">
      <alignment horizontal="center" vertical="center"/>
    </xf>
    <xf numFmtId="0" fontId="5" fillId="4" borderId="2" xfId="1" applyFont="1" applyFill="1" applyBorder="1" applyAlignment="1">
      <alignment horizontal="center" vertical="center"/>
    </xf>
    <xf numFmtId="0" fontId="5" fillId="4" borderId="3" xfId="1" applyFont="1" applyFill="1" applyBorder="1" applyAlignment="1">
      <alignment horizontal="center" vertical="center"/>
    </xf>
    <xf numFmtId="0" fontId="5" fillId="0" borderId="1" xfId="1" applyFont="1" applyBorder="1" applyAlignment="1">
      <alignment horizontal="left" vertical="center"/>
    </xf>
    <xf numFmtId="0" fontId="5" fillId="0" borderId="2" xfId="1" applyFont="1" applyBorder="1" applyAlignment="1">
      <alignment horizontal="left" vertical="center"/>
    </xf>
    <xf numFmtId="0" fontId="5" fillId="0" borderId="3" xfId="1" applyFont="1" applyBorder="1" applyAlignment="1">
      <alignment horizontal="left" vertical="center"/>
    </xf>
    <xf numFmtId="0" fontId="5" fillId="4" borderId="19" xfId="1" applyFont="1" applyFill="1" applyBorder="1" applyAlignment="1">
      <alignment horizontal="center" vertical="center"/>
    </xf>
    <xf numFmtId="0" fontId="5" fillId="4" borderId="15" xfId="1" applyFont="1" applyFill="1" applyBorder="1" applyAlignment="1">
      <alignment horizontal="center" vertical="center"/>
    </xf>
    <xf numFmtId="0" fontId="5" fillId="4" borderId="16" xfId="1" applyFont="1" applyFill="1" applyBorder="1" applyAlignment="1">
      <alignment horizontal="center" vertical="center"/>
    </xf>
    <xf numFmtId="0" fontId="5" fillId="0" borderId="19" xfId="1" applyFont="1" applyBorder="1" applyAlignment="1">
      <alignment horizontal="center" vertical="center"/>
    </xf>
    <xf numFmtId="0" fontId="5" fillId="0" borderId="15" xfId="1" applyFont="1" applyBorder="1" applyAlignment="1">
      <alignment horizontal="center" vertical="center"/>
    </xf>
    <xf numFmtId="0" fontId="5" fillId="0" borderId="16" xfId="1" applyFont="1" applyBorder="1" applyAlignment="1">
      <alignment horizontal="center" vertical="center"/>
    </xf>
    <xf numFmtId="31" fontId="5" fillId="0" borderId="19" xfId="1" applyNumberFormat="1" applyFont="1" applyBorder="1" applyAlignment="1">
      <alignment horizontal="center" vertical="center"/>
    </xf>
    <xf numFmtId="31" fontId="5" fillId="0" borderId="15" xfId="1" applyNumberFormat="1" applyFont="1" applyBorder="1" applyAlignment="1">
      <alignment horizontal="center" vertical="center"/>
    </xf>
    <xf numFmtId="31" fontId="5" fillId="0" borderId="16" xfId="1" applyNumberFormat="1" applyFont="1" applyBorder="1" applyAlignment="1">
      <alignment horizontal="center" vertical="center"/>
    </xf>
    <xf numFmtId="0" fontId="5" fillId="4" borderId="28" xfId="1" applyFont="1" applyFill="1" applyBorder="1" applyAlignment="1">
      <alignment vertical="center"/>
    </xf>
    <xf numFmtId="0" fontId="5" fillId="4" borderId="26" xfId="1" applyFont="1" applyFill="1" applyBorder="1" applyAlignment="1">
      <alignment vertical="center"/>
    </xf>
    <xf numFmtId="0" fontId="5" fillId="4" borderId="27" xfId="1" applyFont="1" applyFill="1" applyBorder="1" applyAlignment="1">
      <alignment vertical="center"/>
    </xf>
    <xf numFmtId="0" fontId="5" fillId="0" borderId="25" xfId="1" applyFont="1" applyBorder="1" applyAlignment="1">
      <alignment vertical="center"/>
    </xf>
    <xf numFmtId="0" fontId="5" fillId="0" borderId="26" xfId="1" applyFont="1" applyBorder="1" applyAlignment="1">
      <alignment vertical="center"/>
    </xf>
    <xf numFmtId="0" fontId="5" fillId="0" borderId="27" xfId="1" applyFont="1" applyBorder="1" applyAlignment="1">
      <alignment vertical="center"/>
    </xf>
    <xf numFmtId="0" fontId="5" fillId="4" borderId="25" xfId="1" applyFont="1" applyFill="1" applyBorder="1" applyAlignment="1">
      <alignment horizontal="center" vertical="center"/>
    </xf>
    <xf numFmtId="0" fontId="5" fillId="4" borderId="26" xfId="1" applyFont="1" applyFill="1" applyBorder="1" applyAlignment="1">
      <alignment horizontal="center" vertical="center"/>
    </xf>
    <xf numFmtId="0" fontId="5" fillId="4" borderId="27" xfId="1" applyFont="1" applyFill="1" applyBorder="1" applyAlignment="1">
      <alignment horizontal="center" vertical="center"/>
    </xf>
    <xf numFmtId="0" fontId="5" fillId="0" borderId="25" xfId="1" applyFont="1" applyBorder="1" applyAlignment="1">
      <alignment horizontal="left" vertical="center"/>
    </xf>
    <xf numFmtId="0" fontId="5" fillId="0" borderId="26" xfId="1" applyFont="1" applyBorder="1" applyAlignment="1">
      <alignment horizontal="left" vertical="center"/>
    </xf>
    <xf numFmtId="0" fontId="5" fillId="0" borderId="27" xfId="1" applyFont="1" applyBorder="1" applyAlignment="1">
      <alignment horizontal="left" vertical="center"/>
    </xf>
    <xf numFmtId="0" fontId="5" fillId="0" borderId="25" xfId="1" applyFont="1" applyBorder="1" applyAlignment="1">
      <alignment horizontal="center" vertical="center"/>
    </xf>
    <xf numFmtId="0" fontId="5" fillId="0" borderId="26" xfId="1" applyFont="1" applyBorder="1" applyAlignment="1">
      <alignment horizontal="center" vertical="center"/>
    </xf>
    <xf numFmtId="0" fontId="5" fillId="0" borderId="27" xfId="1" applyFont="1" applyBorder="1" applyAlignment="1">
      <alignment horizontal="center" vertical="center"/>
    </xf>
    <xf numFmtId="0" fontId="5" fillId="4" borderId="29" xfId="1" applyFont="1" applyFill="1" applyBorder="1" applyAlignment="1">
      <alignment vertical="center"/>
    </xf>
    <xf numFmtId="0" fontId="5" fillId="4" borderId="30" xfId="1" applyFont="1" applyFill="1" applyBorder="1" applyAlignment="1">
      <alignment vertical="center"/>
    </xf>
    <xf numFmtId="0" fontId="5" fillId="4" borderId="31" xfId="1" applyFont="1" applyFill="1" applyBorder="1" applyAlignment="1">
      <alignment vertical="center"/>
    </xf>
    <xf numFmtId="0" fontId="4" fillId="7" borderId="21" xfId="0" applyFont="1" applyFill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 wrapText="1"/>
    </xf>
    <xf numFmtId="0" fontId="4" fillId="0" borderId="1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</cellXfs>
  <cellStyles count="5">
    <cellStyle name="ハイパーリンク 2" xfId="3" xr:uid="{2D91FF51-3B6F-408C-BDC2-09226CC064DA}"/>
    <cellStyle name="標準" xfId="0" builtinId="0"/>
    <cellStyle name="標準 2" xfId="2" xr:uid="{AA562ABC-5F85-40DC-8AD0-360939B3DE29}"/>
    <cellStyle name="標準 2 2" xfId="4" xr:uid="{06C3950B-2B1C-416C-9259-9C12371A82BA}"/>
    <cellStyle name="標準_概念_要件定義書（原紙本文EAI-HUB用）_プライオリティ規約（修正版20020430_MQプライオリティ追加)" xfId="1" xr:uid="{00000000-0005-0000-0000-000002000000}"/>
  </cellStyles>
  <dxfs count="0"/>
  <tableStyles count="0" defaultTableStyle="TableStyleMedium9" defaultPivotStyle="PivotStyleLight16"/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svg"/><Relationship Id="rId1" Type="http://schemas.openxmlformats.org/officeDocument/2006/relationships/image" Target="../media/image2.png"/><Relationship Id="rId4" Type="http://schemas.openxmlformats.org/officeDocument/2006/relationships/image" Target="../media/image5.sv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21</xdr:col>
      <xdr:colOff>0</xdr:colOff>
      <xdr:row>7</xdr:row>
      <xdr:rowOff>0</xdr:rowOff>
    </xdr:to>
    <xdr:sp macro="" textlink="">
      <xdr:nvSpPr>
        <xdr:cNvPr id="373761" name="Text Box 1">
          <a:extLst>
            <a:ext uri="{FF2B5EF4-FFF2-40B4-BE49-F238E27FC236}">
              <a16:creationId xmlns:a16="http://schemas.microsoft.com/office/drawing/2014/main" id="{00000000-0008-0000-0000-000001B40500}"/>
            </a:ext>
          </a:extLst>
        </xdr:cNvPr>
        <xdr:cNvSpPr txBox="1">
          <a:spLocks noChangeArrowheads="1"/>
        </xdr:cNvSpPr>
      </xdr:nvSpPr>
      <xdr:spPr bwMode="auto">
        <a:xfrm>
          <a:off x="2743200" y="171450"/>
          <a:ext cx="4457700" cy="1028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54864" tIns="32004" rIns="54864" bIns="32004" anchor="ctr" upright="1"/>
        <a:lstStyle/>
        <a:p>
          <a:pPr algn="ctr" rtl="0">
            <a:defRPr sz="1000"/>
          </a:pPr>
          <a:r>
            <a:rPr lang="ja-JP" altLang="en-US" sz="2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同志社大学様</a:t>
          </a:r>
        </a:p>
      </xdr:txBody>
    </xdr:sp>
    <xdr:clientData/>
  </xdr:twoCellAnchor>
  <xdr:twoCellAnchor>
    <xdr:from>
      <xdr:col>8</xdr:col>
      <xdr:colOff>133350</xdr:colOff>
      <xdr:row>5</xdr:row>
      <xdr:rowOff>66675</xdr:rowOff>
    </xdr:from>
    <xdr:to>
      <xdr:col>19</xdr:col>
      <xdr:colOff>285750</xdr:colOff>
      <xdr:row>5</xdr:row>
      <xdr:rowOff>66675</xdr:rowOff>
    </xdr:to>
    <xdr:sp macro="" textlink="">
      <xdr:nvSpPr>
        <xdr:cNvPr id="373762" name="Line 2">
          <a:extLst>
            <a:ext uri="{FF2B5EF4-FFF2-40B4-BE49-F238E27FC236}">
              <a16:creationId xmlns:a16="http://schemas.microsoft.com/office/drawing/2014/main" id="{00000000-0008-0000-0000-000002B40500}"/>
            </a:ext>
          </a:extLst>
        </xdr:cNvPr>
        <xdr:cNvSpPr>
          <a:spLocks noChangeShapeType="1"/>
        </xdr:cNvSpPr>
      </xdr:nvSpPr>
      <xdr:spPr bwMode="auto">
        <a:xfrm flipV="1">
          <a:off x="2876550" y="923925"/>
          <a:ext cx="3924300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10</xdr:col>
      <xdr:colOff>190500</xdr:colOff>
      <xdr:row>30</xdr:row>
      <xdr:rowOff>89647</xdr:rowOff>
    </xdr:from>
    <xdr:to>
      <xdr:col>18</xdr:col>
      <xdr:colOff>114789</xdr:colOff>
      <xdr:row>34</xdr:row>
      <xdr:rowOff>131668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D7FD7D7F-7597-42AC-8526-A24AB0EA5E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64324" y="5132294"/>
          <a:ext cx="2703347" cy="71437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56</xdr:col>
      <xdr:colOff>133350</xdr:colOff>
      <xdr:row>28</xdr:row>
      <xdr:rowOff>95250</xdr:rowOff>
    </xdr:from>
    <xdr:to>
      <xdr:col>63</xdr:col>
      <xdr:colOff>83484</xdr:colOff>
      <xdr:row>32</xdr:row>
      <xdr:rowOff>85725</xdr:rowOff>
    </xdr:to>
    <xdr:sp macro="" textlink="">
      <xdr:nvSpPr>
        <xdr:cNvPr id="78" name="フローチャート : 磁気ディスク 139">
          <a:extLst>
            <a:ext uri="{FF2B5EF4-FFF2-40B4-BE49-F238E27FC236}">
              <a16:creationId xmlns:a16="http://schemas.microsoft.com/office/drawing/2014/main" id="{660E5FF4-7F70-481F-A9EB-D5E373729B7C}"/>
            </a:ext>
          </a:extLst>
        </xdr:cNvPr>
        <xdr:cNvSpPr/>
      </xdr:nvSpPr>
      <xdr:spPr bwMode="auto">
        <a:xfrm>
          <a:off x="8134350" y="5429250"/>
          <a:ext cx="950259" cy="752475"/>
        </a:xfrm>
        <a:prstGeom prst="flowChartMagneticDisk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scene3d>
          <a:camera prst="orthographicFront">
            <a:rot lat="0" lon="0" rev="0"/>
          </a:camera>
          <a:lightRig rig="threePt" dir="t"/>
        </a:scene3d>
      </xdr:spPr>
      <xdr:txBody>
        <a:bodyPr vertOverflow="clip" horzOverflow="clip" wrap="square" lIns="18288" tIns="0" rIns="0" bIns="0" rtlCol="0" anchor="ctr" upright="1"/>
        <a:lstStyle/>
        <a:p>
          <a:r>
            <a:rPr lang="ja-JP" altLang="en-US" sz="1000">
              <a:effectLst/>
              <a:latin typeface="+mn-lt"/>
              <a:ea typeface="+mn-ea"/>
              <a:cs typeface="+mn-cs"/>
            </a:rPr>
            <a:t>メールＢＣＣ対象</a:t>
          </a:r>
        </a:p>
        <a:p>
          <a:pPr algn="ctr"/>
          <a:r>
            <a:rPr kumimoji="1" lang="ja-JP" altLang="en-US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テーブル</a:t>
          </a:r>
        </a:p>
      </xdr:txBody>
    </xdr:sp>
    <xdr:clientData/>
  </xdr:twoCellAnchor>
  <xdr:twoCellAnchor>
    <xdr:from>
      <xdr:col>55</xdr:col>
      <xdr:colOff>0</xdr:colOff>
      <xdr:row>16</xdr:row>
      <xdr:rowOff>0</xdr:rowOff>
    </xdr:from>
    <xdr:to>
      <xdr:col>58</xdr:col>
      <xdr:colOff>73556</xdr:colOff>
      <xdr:row>20</xdr:row>
      <xdr:rowOff>60960</xdr:rowOff>
    </xdr:to>
    <xdr:grpSp>
      <xdr:nvGrpSpPr>
        <xdr:cNvPr id="17" name="Group 40">
          <a:extLst>
            <a:ext uri="{FF2B5EF4-FFF2-40B4-BE49-F238E27FC236}">
              <a16:creationId xmlns:a16="http://schemas.microsoft.com/office/drawing/2014/main" id="{1FC3FD4D-A9AC-49E9-B4B3-936BA7085EFF}"/>
            </a:ext>
          </a:extLst>
        </xdr:cNvPr>
        <xdr:cNvGrpSpPr>
          <a:grpSpLocks noChangeAspect="1"/>
        </xdr:cNvGrpSpPr>
      </xdr:nvGrpSpPr>
      <xdr:grpSpPr bwMode="auto">
        <a:xfrm>
          <a:off x="7858125" y="3048000"/>
          <a:ext cx="502181" cy="822960"/>
          <a:chOff x="2112" y="1344"/>
          <a:chExt cx="864" cy="1440"/>
        </a:xfrm>
        <a:solidFill>
          <a:schemeClr val="accent1">
            <a:lumMod val="75000"/>
          </a:schemeClr>
        </a:solidFill>
      </xdr:grpSpPr>
      <xdr:sp macro="" textlink="">
        <xdr:nvSpPr>
          <xdr:cNvPr id="18" name="Oval 21">
            <a:extLst>
              <a:ext uri="{FF2B5EF4-FFF2-40B4-BE49-F238E27FC236}">
                <a16:creationId xmlns:a16="http://schemas.microsoft.com/office/drawing/2014/main" id="{DA02B809-41C2-0EA5-5DCB-1EDCC84DA8E7}"/>
              </a:ext>
            </a:extLst>
          </xdr:cNvPr>
          <xdr:cNvSpPr>
            <a:spLocks noChangeArrowheads="1"/>
          </xdr:cNvSpPr>
        </xdr:nvSpPr>
        <xdr:spPr bwMode="gray">
          <a:xfrm>
            <a:off x="2208" y="1344"/>
            <a:ext cx="672" cy="672"/>
          </a:xfrm>
          <a:prstGeom prst="ellipse">
            <a:avLst/>
          </a:prstGeom>
          <a:grpFill/>
          <a:ln>
            <a:noFill/>
          </a:ln>
          <a:effectLst/>
          <a:extLst>
            <a:ext uri="{91240B29-F687-4F45-9708-019B960494DF}">
              <a14:hiddenLine xmlns:a14="http://schemas.microsoft.com/office/drawing/2010/main" w="9525">
                <a:solidFill>
                  <a:schemeClr val="tx1"/>
                </a:solidFill>
                <a:round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ja-JP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umimoji="1" sz="2400" kern="1200">
                <a:solidFill>
                  <a:schemeClr val="tx1"/>
                </a:solidFill>
                <a:latin typeface="Times New Roman" charset="0"/>
                <a:ea typeface="ＭＳ Ｐゴシック" charset="-128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umimoji="1" sz="2400" kern="1200">
                <a:solidFill>
                  <a:schemeClr val="tx1"/>
                </a:solidFill>
                <a:latin typeface="Times New Roman" charset="0"/>
                <a:ea typeface="ＭＳ Ｐゴシック" charset="-128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umimoji="1" sz="2400" kern="1200">
                <a:solidFill>
                  <a:schemeClr val="tx1"/>
                </a:solidFill>
                <a:latin typeface="Times New Roman" charset="0"/>
                <a:ea typeface="ＭＳ Ｐゴシック" charset="-128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umimoji="1" sz="2400" kern="1200">
                <a:solidFill>
                  <a:schemeClr val="tx1"/>
                </a:solidFill>
                <a:latin typeface="Times New Roman" charset="0"/>
                <a:ea typeface="ＭＳ Ｐゴシック" charset="-128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umimoji="1" sz="2400" kern="1200">
                <a:solidFill>
                  <a:schemeClr val="tx1"/>
                </a:solidFill>
                <a:latin typeface="Times New Roman" charset="0"/>
                <a:ea typeface="ＭＳ Ｐゴシック" charset="-128"/>
                <a:cs typeface="+mn-cs"/>
              </a:defRPr>
            </a:lvl5pPr>
            <a:lvl6pPr marL="2286000" algn="l" defTabSz="914400" rtl="0" eaLnBrk="1" latinLnBrk="0" hangingPunct="1">
              <a:defRPr kumimoji="1" sz="2400" kern="1200">
                <a:solidFill>
                  <a:schemeClr val="tx1"/>
                </a:solidFill>
                <a:latin typeface="Times New Roman" charset="0"/>
                <a:ea typeface="ＭＳ Ｐゴシック" charset="-128"/>
                <a:cs typeface="+mn-cs"/>
              </a:defRPr>
            </a:lvl6pPr>
            <a:lvl7pPr marL="2743200" algn="l" defTabSz="914400" rtl="0" eaLnBrk="1" latinLnBrk="0" hangingPunct="1">
              <a:defRPr kumimoji="1" sz="2400" kern="1200">
                <a:solidFill>
                  <a:schemeClr val="tx1"/>
                </a:solidFill>
                <a:latin typeface="Times New Roman" charset="0"/>
                <a:ea typeface="ＭＳ Ｐゴシック" charset="-128"/>
                <a:cs typeface="+mn-cs"/>
              </a:defRPr>
            </a:lvl7pPr>
            <a:lvl8pPr marL="3200400" algn="l" defTabSz="914400" rtl="0" eaLnBrk="1" latinLnBrk="0" hangingPunct="1">
              <a:defRPr kumimoji="1" sz="2400" kern="1200">
                <a:solidFill>
                  <a:schemeClr val="tx1"/>
                </a:solidFill>
                <a:latin typeface="Times New Roman" charset="0"/>
                <a:ea typeface="ＭＳ Ｐゴシック" charset="-128"/>
                <a:cs typeface="+mn-cs"/>
              </a:defRPr>
            </a:lvl8pPr>
            <a:lvl9pPr marL="3657600" algn="l" defTabSz="914400" rtl="0" eaLnBrk="1" latinLnBrk="0" hangingPunct="1">
              <a:defRPr kumimoji="1" sz="2400" kern="1200">
                <a:solidFill>
                  <a:schemeClr val="tx1"/>
                </a:solidFill>
                <a:latin typeface="Times New Roman" charset="0"/>
                <a:ea typeface="ＭＳ Ｐゴシック" charset="-128"/>
                <a:cs typeface="+mn-cs"/>
              </a:defRPr>
            </a:lvl9pPr>
          </a:lstStyle>
          <a:p>
            <a:endParaRPr lang="ja-JP" altLang="en-US"/>
          </a:p>
        </xdr:txBody>
      </xdr:sp>
      <xdr:sp macro="" textlink="">
        <xdr:nvSpPr>
          <xdr:cNvPr id="19" name="Rectangle 22">
            <a:extLst>
              <a:ext uri="{FF2B5EF4-FFF2-40B4-BE49-F238E27FC236}">
                <a16:creationId xmlns:a16="http://schemas.microsoft.com/office/drawing/2014/main" id="{0363566C-3648-ADB6-2845-1783BAE5845C}"/>
              </a:ext>
            </a:extLst>
          </xdr:cNvPr>
          <xdr:cNvSpPr>
            <a:spLocks noChangeArrowheads="1"/>
          </xdr:cNvSpPr>
        </xdr:nvSpPr>
        <xdr:spPr bwMode="gray">
          <a:xfrm>
            <a:off x="2208" y="2400"/>
            <a:ext cx="672" cy="384"/>
          </a:xfrm>
          <a:prstGeom prst="rect">
            <a:avLst/>
          </a:prstGeom>
          <a:grpFill/>
          <a:ln>
            <a:noFill/>
          </a:ln>
          <a:effectLst/>
          <a:extLst>
            <a:ext uri="{91240B29-F687-4F45-9708-019B960494DF}">
              <a14:hiddenLine xmlns:a14="http://schemas.microsoft.com/office/drawing/2010/main" w="9525">
                <a:solidFill>
                  <a:schemeClr val="tx1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ja-JP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umimoji="1" sz="2400" kern="1200">
                <a:solidFill>
                  <a:schemeClr val="tx1"/>
                </a:solidFill>
                <a:latin typeface="Times New Roman" charset="0"/>
                <a:ea typeface="ＭＳ Ｐゴシック" charset="-128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umimoji="1" sz="2400" kern="1200">
                <a:solidFill>
                  <a:schemeClr val="tx1"/>
                </a:solidFill>
                <a:latin typeface="Times New Roman" charset="0"/>
                <a:ea typeface="ＭＳ Ｐゴシック" charset="-128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umimoji="1" sz="2400" kern="1200">
                <a:solidFill>
                  <a:schemeClr val="tx1"/>
                </a:solidFill>
                <a:latin typeface="Times New Roman" charset="0"/>
                <a:ea typeface="ＭＳ Ｐゴシック" charset="-128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umimoji="1" sz="2400" kern="1200">
                <a:solidFill>
                  <a:schemeClr val="tx1"/>
                </a:solidFill>
                <a:latin typeface="Times New Roman" charset="0"/>
                <a:ea typeface="ＭＳ Ｐゴシック" charset="-128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umimoji="1" sz="2400" kern="1200">
                <a:solidFill>
                  <a:schemeClr val="tx1"/>
                </a:solidFill>
                <a:latin typeface="Times New Roman" charset="0"/>
                <a:ea typeface="ＭＳ Ｐゴシック" charset="-128"/>
                <a:cs typeface="+mn-cs"/>
              </a:defRPr>
            </a:lvl5pPr>
            <a:lvl6pPr marL="2286000" algn="l" defTabSz="914400" rtl="0" eaLnBrk="1" latinLnBrk="0" hangingPunct="1">
              <a:defRPr kumimoji="1" sz="2400" kern="1200">
                <a:solidFill>
                  <a:schemeClr val="tx1"/>
                </a:solidFill>
                <a:latin typeface="Times New Roman" charset="0"/>
                <a:ea typeface="ＭＳ Ｐゴシック" charset="-128"/>
                <a:cs typeface="+mn-cs"/>
              </a:defRPr>
            </a:lvl6pPr>
            <a:lvl7pPr marL="2743200" algn="l" defTabSz="914400" rtl="0" eaLnBrk="1" latinLnBrk="0" hangingPunct="1">
              <a:defRPr kumimoji="1" sz="2400" kern="1200">
                <a:solidFill>
                  <a:schemeClr val="tx1"/>
                </a:solidFill>
                <a:latin typeface="Times New Roman" charset="0"/>
                <a:ea typeface="ＭＳ Ｐゴシック" charset="-128"/>
                <a:cs typeface="+mn-cs"/>
              </a:defRPr>
            </a:lvl7pPr>
            <a:lvl8pPr marL="3200400" algn="l" defTabSz="914400" rtl="0" eaLnBrk="1" latinLnBrk="0" hangingPunct="1">
              <a:defRPr kumimoji="1" sz="2400" kern="1200">
                <a:solidFill>
                  <a:schemeClr val="tx1"/>
                </a:solidFill>
                <a:latin typeface="Times New Roman" charset="0"/>
                <a:ea typeface="ＭＳ Ｐゴシック" charset="-128"/>
                <a:cs typeface="+mn-cs"/>
              </a:defRPr>
            </a:lvl8pPr>
            <a:lvl9pPr marL="3657600" algn="l" defTabSz="914400" rtl="0" eaLnBrk="1" latinLnBrk="0" hangingPunct="1">
              <a:defRPr kumimoji="1" sz="2400" kern="1200">
                <a:solidFill>
                  <a:schemeClr val="tx1"/>
                </a:solidFill>
                <a:latin typeface="Times New Roman" charset="0"/>
                <a:ea typeface="ＭＳ Ｐゴシック" charset="-128"/>
                <a:cs typeface="+mn-cs"/>
              </a:defRPr>
            </a:lvl9pPr>
          </a:lstStyle>
          <a:p>
            <a:endParaRPr lang="ja-JP" altLang="en-US"/>
          </a:p>
        </xdr:txBody>
      </xdr:sp>
      <xdr:sp macro="" textlink="">
        <xdr:nvSpPr>
          <xdr:cNvPr id="20" name="AutoShape 24">
            <a:extLst>
              <a:ext uri="{FF2B5EF4-FFF2-40B4-BE49-F238E27FC236}">
                <a16:creationId xmlns:a16="http://schemas.microsoft.com/office/drawing/2014/main" id="{C160AE18-6562-1DA0-E17C-748AAA130B02}"/>
              </a:ext>
            </a:extLst>
          </xdr:cNvPr>
          <xdr:cNvSpPr>
            <a:spLocks noChangeArrowheads="1"/>
          </xdr:cNvSpPr>
        </xdr:nvSpPr>
        <xdr:spPr bwMode="auto">
          <a:xfrm>
            <a:off x="2112" y="2016"/>
            <a:ext cx="864" cy="576"/>
          </a:xfrm>
          <a:prstGeom prst="roundRect">
            <a:avLst>
              <a:gd name="adj" fmla="val 16667"/>
            </a:avLst>
          </a:prstGeom>
          <a:grpFill/>
          <a:ln>
            <a:noFill/>
          </a:ln>
          <a:effectLst/>
          <a:extLst>
            <a:ext uri="{91240B29-F687-4F45-9708-019B960494DF}">
              <a14:hiddenLine xmlns:a14="http://schemas.microsoft.com/office/drawing/2010/main" w="9525">
                <a:solidFill>
                  <a:schemeClr val="tx1"/>
                </a:solidFill>
                <a:round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ja-JP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umimoji="1" sz="2400" kern="1200">
                <a:solidFill>
                  <a:schemeClr val="tx1"/>
                </a:solidFill>
                <a:latin typeface="Times New Roman" charset="0"/>
                <a:ea typeface="ＭＳ Ｐゴシック" charset="-128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umimoji="1" sz="2400" kern="1200">
                <a:solidFill>
                  <a:schemeClr val="tx1"/>
                </a:solidFill>
                <a:latin typeface="Times New Roman" charset="0"/>
                <a:ea typeface="ＭＳ Ｐゴシック" charset="-128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umimoji="1" sz="2400" kern="1200">
                <a:solidFill>
                  <a:schemeClr val="tx1"/>
                </a:solidFill>
                <a:latin typeface="Times New Roman" charset="0"/>
                <a:ea typeface="ＭＳ Ｐゴシック" charset="-128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umimoji="1" sz="2400" kern="1200">
                <a:solidFill>
                  <a:schemeClr val="tx1"/>
                </a:solidFill>
                <a:latin typeface="Times New Roman" charset="0"/>
                <a:ea typeface="ＭＳ Ｐゴシック" charset="-128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umimoji="1" sz="2400" kern="1200">
                <a:solidFill>
                  <a:schemeClr val="tx1"/>
                </a:solidFill>
                <a:latin typeface="Times New Roman" charset="0"/>
                <a:ea typeface="ＭＳ Ｐゴシック" charset="-128"/>
                <a:cs typeface="+mn-cs"/>
              </a:defRPr>
            </a:lvl5pPr>
            <a:lvl6pPr marL="2286000" algn="l" defTabSz="914400" rtl="0" eaLnBrk="1" latinLnBrk="0" hangingPunct="1">
              <a:defRPr kumimoji="1" sz="2400" kern="1200">
                <a:solidFill>
                  <a:schemeClr val="tx1"/>
                </a:solidFill>
                <a:latin typeface="Times New Roman" charset="0"/>
                <a:ea typeface="ＭＳ Ｐゴシック" charset="-128"/>
                <a:cs typeface="+mn-cs"/>
              </a:defRPr>
            </a:lvl6pPr>
            <a:lvl7pPr marL="2743200" algn="l" defTabSz="914400" rtl="0" eaLnBrk="1" latinLnBrk="0" hangingPunct="1">
              <a:defRPr kumimoji="1" sz="2400" kern="1200">
                <a:solidFill>
                  <a:schemeClr val="tx1"/>
                </a:solidFill>
                <a:latin typeface="Times New Roman" charset="0"/>
                <a:ea typeface="ＭＳ Ｐゴシック" charset="-128"/>
                <a:cs typeface="+mn-cs"/>
              </a:defRPr>
            </a:lvl7pPr>
            <a:lvl8pPr marL="3200400" algn="l" defTabSz="914400" rtl="0" eaLnBrk="1" latinLnBrk="0" hangingPunct="1">
              <a:defRPr kumimoji="1" sz="2400" kern="1200">
                <a:solidFill>
                  <a:schemeClr val="tx1"/>
                </a:solidFill>
                <a:latin typeface="Times New Roman" charset="0"/>
                <a:ea typeface="ＭＳ Ｐゴシック" charset="-128"/>
                <a:cs typeface="+mn-cs"/>
              </a:defRPr>
            </a:lvl8pPr>
            <a:lvl9pPr marL="3657600" algn="l" defTabSz="914400" rtl="0" eaLnBrk="1" latinLnBrk="0" hangingPunct="1">
              <a:defRPr kumimoji="1" sz="2400" kern="1200">
                <a:solidFill>
                  <a:schemeClr val="tx1"/>
                </a:solidFill>
                <a:latin typeface="Times New Roman" charset="0"/>
                <a:ea typeface="ＭＳ Ｐゴシック" charset="-128"/>
                <a:cs typeface="+mn-cs"/>
              </a:defRPr>
            </a:lvl9pPr>
          </a:lstStyle>
          <a:p>
            <a:endParaRPr lang="ja-JP" altLang="en-US"/>
          </a:p>
        </xdr:txBody>
      </xdr:sp>
      <xdr:sp macro="" textlink="">
        <xdr:nvSpPr>
          <xdr:cNvPr id="21" name="Line 25">
            <a:extLst>
              <a:ext uri="{FF2B5EF4-FFF2-40B4-BE49-F238E27FC236}">
                <a16:creationId xmlns:a16="http://schemas.microsoft.com/office/drawing/2014/main" id="{9BDF92A6-A387-204C-11FB-65395AA6C931}"/>
              </a:ext>
            </a:extLst>
          </xdr:cNvPr>
          <xdr:cNvSpPr>
            <a:spLocks noChangeShapeType="1"/>
          </xdr:cNvSpPr>
        </xdr:nvSpPr>
        <xdr:spPr bwMode="gray">
          <a:xfrm>
            <a:off x="2202" y="2352"/>
            <a:ext cx="0" cy="240"/>
          </a:xfrm>
          <a:prstGeom prst="line">
            <a:avLst/>
          </a:prstGeom>
          <a:grpFill/>
          <a:ln w="9525">
            <a:solidFill>
              <a:schemeClr val="bg1"/>
            </a:solidFill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/>
          <a:lstStyle>
            <a:defPPr>
              <a:defRPr lang="ja-JP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umimoji="1" sz="2400" kern="1200">
                <a:solidFill>
                  <a:schemeClr val="tx1"/>
                </a:solidFill>
                <a:latin typeface="Times New Roman" charset="0"/>
                <a:ea typeface="ＭＳ Ｐゴシック" charset="-128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umimoji="1" sz="2400" kern="1200">
                <a:solidFill>
                  <a:schemeClr val="tx1"/>
                </a:solidFill>
                <a:latin typeface="Times New Roman" charset="0"/>
                <a:ea typeface="ＭＳ Ｐゴシック" charset="-128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umimoji="1" sz="2400" kern="1200">
                <a:solidFill>
                  <a:schemeClr val="tx1"/>
                </a:solidFill>
                <a:latin typeface="Times New Roman" charset="0"/>
                <a:ea typeface="ＭＳ Ｐゴシック" charset="-128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umimoji="1" sz="2400" kern="1200">
                <a:solidFill>
                  <a:schemeClr val="tx1"/>
                </a:solidFill>
                <a:latin typeface="Times New Roman" charset="0"/>
                <a:ea typeface="ＭＳ Ｐゴシック" charset="-128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umimoji="1" sz="2400" kern="1200">
                <a:solidFill>
                  <a:schemeClr val="tx1"/>
                </a:solidFill>
                <a:latin typeface="Times New Roman" charset="0"/>
                <a:ea typeface="ＭＳ Ｐゴシック" charset="-128"/>
                <a:cs typeface="+mn-cs"/>
              </a:defRPr>
            </a:lvl5pPr>
            <a:lvl6pPr marL="2286000" algn="l" defTabSz="914400" rtl="0" eaLnBrk="1" latinLnBrk="0" hangingPunct="1">
              <a:defRPr kumimoji="1" sz="2400" kern="1200">
                <a:solidFill>
                  <a:schemeClr val="tx1"/>
                </a:solidFill>
                <a:latin typeface="Times New Roman" charset="0"/>
                <a:ea typeface="ＭＳ Ｐゴシック" charset="-128"/>
                <a:cs typeface="+mn-cs"/>
              </a:defRPr>
            </a:lvl6pPr>
            <a:lvl7pPr marL="2743200" algn="l" defTabSz="914400" rtl="0" eaLnBrk="1" latinLnBrk="0" hangingPunct="1">
              <a:defRPr kumimoji="1" sz="2400" kern="1200">
                <a:solidFill>
                  <a:schemeClr val="tx1"/>
                </a:solidFill>
                <a:latin typeface="Times New Roman" charset="0"/>
                <a:ea typeface="ＭＳ Ｐゴシック" charset="-128"/>
                <a:cs typeface="+mn-cs"/>
              </a:defRPr>
            </a:lvl7pPr>
            <a:lvl8pPr marL="3200400" algn="l" defTabSz="914400" rtl="0" eaLnBrk="1" latinLnBrk="0" hangingPunct="1">
              <a:defRPr kumimoji="1" sz="2400" kern="1200">
                <a:solidFill>
                  <a:schemeClr val="tx1"/>
                </a:solidFill>
                <a:latin typeface="Times New Roman" charset="0"/>
                <a:ea typeface="ＭＳ Ｐゴシック" charset="-128"/>
                <a:cs typeface="+mn-cs"/>
              </a:defRPr>
            </a:lvl8pPr>
            <a:lvl9pPr marL="3657600" algn="l" defTabSz="914400" rtl="0" eaLnBrk="1" latinLnBrk="0" hangingPunct="1">
              <a:defRPr kumimoji="1" sz="2400" kern="1200">
                <a:solidFill>
                  <a:schemeClr val="tx1"/>
                </a:solidFill>
                <a:latin typeface="Times New Roman" charset="0"/>
                <a:ea typeface="ＭＳ Ｐゴシック" charset="-128"/>
                <a:cs typeface="+mn-cs"/>
              </a:defRPr>
            </a:lvl9pPr>
          </a:lstStyle>
          <a:p>
            <a:endParaRPr lang="ja-JP" altLang="en-US"/>
          </a:p>
        </xdr:txBody>
      </xdr:sp>
      <xdr:sp macro="" textlink="">
        <xdr:nvSpPr>
          <xdr:cNvPr id="22" name="Line 26">
            <a:extLst>
              <a:ext uri="{FF2B5EF4-FFF2-40B4-BE49-F238E27FC236}">
                <a16:creationId xmlns:a16="http://schemas.microsoft.com/office/drawing/2014/main" id="{5DA9C6F2-7253-4F05-CFAA-272CE9D095F4}"/>
              </a:ext>
            </a:extLst>
          </xdr:cNvPr>
          <xdr:cNvSpPr>
            <a:spLocks noChangeShapeType="1"/>
          </xdr:cNvSpPr>
        </xdr:nvSpPr>
        <xdr:spPr bwMode="gray">
          <a:xfrm>
            <a:off x="2880" y="2352"/>
            <a:ext cx="0" cy="240"/>
          </a:xfrm>
          <a:prstGeom prst="line">
            <a:avLst/>
          </a:prstGeom>
          <a:grpFill/>
          <a:ln w="9525">
            <a:solidFill>
              <a:schemeClr val="bg1"/>
            </a:solidFill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/>
          <a:lstStyle>
            <a:defPPr>
              <a:defRPr lang="ja-JP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umimoji="1" sz="2400" kern="1200">
                <a:solidFill>
                  <a:schemeClr val="tx1"/>
                </a:solidFill>
                <a:latin typeface="Times New Roman" charset="0"/>
                <a:ea typeface="ＭＳ Ｐゴシック" charset="-128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umimoji="1" sz="2400" kern="1200">
                <a:solidFill>
                  <a:schemeClr val="tx1"/>
                </a:solidFill>
                <a:latin typeface="Times New Roman" charset="0"/>
                <a:ea typeface="ＭＳ Ｐゴシック" charset="-128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umimoji="1" sz="2400" kern="1200">
                <a:solidFill>
                  <a:schemeClr val="tx1"/>
                </a:solidFill>
                <a:latin typeface="Times New Roman" charset="0"/>
                <a:ea typeface="ＭＳ Ｐゴシック" charset="-128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umimoji="1" sz="2400" kern="1200">
                <a:solidFill>
                  <a:schemeClr val="tx1"/>
                </a:solidFill>
                <a:latin typeface="Times New Roman" charset="0"/>
                <a:ea typeface="ＭＳ Ｐゴシック" charset="-128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umimoji="1" sz="2400" kern="1200">
                <a:solidFill>
                  <a:schemeClr val="tx1"/>
                </a:solidFill>
                <a:latin typeface="Times New Roman" charset="0"/>
                <a:ea typeface="ＭＳ Ｐゴシック" charset="-128"/>
                <a:cs typeface="+mn-cs"/>
              </a:defRPr>
            </a:lvl5pPr>
            <a:lvl6pPr marL="2286000" algn="l" defTabSz="914400" rtl="0" eaLnBrk="1" latinLnBrk="0" hangingPunct="1">
              <a:defRPr kumimoji="1" sz="2400" kern="1200">
                <a:solidFill>
                  <a:schemeClr val="tx1"/>
                </a:solidFill>
                <a:latin typeface="Times New Roman" charset="0"/>
                <a:ea typeface="ＭＳ Ｐゴシック" charset="-128"/>
                <a:cs typeface="+mn-cs"/>
              </a:defRPr>
            </a:lvl6pPr>
            <a:lvl7pPr marL="2743200" algn="l" defTabSz="914400" rtl="0" eaLnBrk="1" latinLnBrk="0" hangingPunct="1">
              <a:defRPr kumimoji="1" sz="2400" kern="1200">
                <a:solidFill>
                  <a:schemeClr val="tx1"/>
                </a:solidFill>
                <a:latin typeface="Times New Roman" charset="0"/>
                <a:ea typeface="ＭＳ Ｐゴシック" charset="-128"/>
                <a:cs typeface="+mn-cs"/>
              </a:defRPr>
            </a:lvl7pPr>
            <a:lvl8pPr marL="3200400" algn="l" defTabSz="914400" rtl="0" eaLnBrk="1" latinLnBrk="0" hangingPunct="1">
              <a:defRPr kumimoji="1" sz="2400" kern="1200">
                <a:solidFill>
                  <a:schemeClr val="tx1"/>
                </a:solidFill>
                <a:latin typeface="Times New Roman" charset="0"/>
                <a:ea typeface="ＭＳ Ｐゴシック" charset="-128"/>
                <a:cs typeface="+mn-cs"/>
              </a:defRPr>
            </a:lvl8pPr>
            <a:lvl9pPr marL="3657600" algn="l" defTabSz="914400" rtl="0" eaLnBrk="1" latinLnBrk="0" hangingPunct="1">
              <a:defRPr kumimoji="1" sz="2400" kern="1200">
                <a:solidFill>
                  <a:schemeClr val="tx1"/>
                </a:solidFill>
                <a:latin typeface="Times New Roman" charset="0"/>
                <a:ea typeface="ＭＳ Ｐゴシック" charset="-128"/>
                <a:cs typeface="+mn-cs"/>
              </a:defRPr>
            </a:lvl9pPr>
          </a:lstStyle>
          <a:p>
            <a:endParaRPr lang="ja-JP" altLang="en-US"/>
          </a:p>
        </xdr:txBody>
      </xdr:sp>
    </xdr:grpSp>
    <xdr:clientData/>
  </xdr:twoCellAnchor>
  <xdr:twoCellAnchor>
    <xdr:from>
      <xdr:col>59</xdr:col>
      <xdr:colOff>106457</xdr:colOff>
      <xdr:row>16</xdr:row>
      <xdr:rowOff>0</xdr:rowOff>
    </xdr:from>
    <xdr:to>
      <xdr:col>63</xdr:col>
      <xdr:colOff>39939</xdr:colOff>
      <xdr:row>20</xdr:row>
      <xdr:rowOff>60960</xdr:rowOff>
    </xdr:to>
    <xdr:grpSp>
      <xdr:nvGrpSpPr>
        <xdr:cNvPr id="23" name="Group 42">
          <a:extLst>
            <a:ext uri="{FF2B5EF4-FFF2-40B4-BE49-F238E27FC236}">
              <a16:creationId xmlns:a16="http://schemas.microsoft.com/office/drawing/2014/main" id="{DC11C1BC-A97C-44C1-A0EB-53F71A00F2D6}"/>
            </a:ext>
          </a:extLst>
        </xdr:cNvPr>
        <xdr:cNvGrpSpPr>
          <a:grpSpLocks noChangeAspect="1"/>
        </xdr:cNvGrpSpPr>
      </xdr:nvGrpSpPr>
      <xdr:grpSpPr bwMode="auto">
        <a:xfrm>
          <a:off x="8536082" y="3048000"/>
          <a:ext cx="504982" cy="822960"/>
          <a:chOff x="4032" y="1344"/>
          <a:chExt cx="864" cy="1440"/>
        </a:xfrm>
      </xdr:grpSpPr>
      <xdr:sp macro="" textlink="">
        <xdr:nvSpPr>
          <xdr:cNvPr id="24" name="Oval 33">
            <a:extLst>
              <a:ext uri="{FF2B5EF4-FFF2-40B4-BE49-F238E27FC236}">
                <a16:creationId xmlns:a16="http://schemas.microsoft.com/office/drawing/2014/main" id="{5A50C7A0-D697-8F7D-EFEB-3C06BC97AC7D}"/>
              </a:ext>
            </a:extLst>
          </xdr:cNvPr>
          <xdr:cNvSpPr>
            <a:spLocks noChangeArrowheads="1"/>
          </xdr:cNvSpPr>
        </xdr:nvSpPr>
        <xdr:spPr bwMode="gray">
          <a:xfrm>
            <a:off x="4128" y="1344"/>
            <a:ext cx="672" cy="672"/>
          </a:xfrm>
          <a:prstGeom prst="ellipse">
            <a:avLst/>
          </a:prstGeom>
          <a:solidFill>
            <a:srgbClr val="009900"/>
          </a:solidFill>
          <a:ln>
            <a:noFill/>
          </a:ln>
          <a:effectLst/>
          <a:extLst>
            <a:ext uri="{91240B29-F687-4F45-9708-019B960494DF}">
              <a14:hiddenLine xmlns:a14="http://schemas.microsoft.com/office/drawing/2010/main" w="9525">
                <a:solidFill>
                  <a:schemeClr val="tx1"/>
                </a:solidFill>
                <a:round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ja-JP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umimoji="1" sz="2400" kern="1200">
                <a:solidFill>
                  <a:schemeClr val="tx1"/>
                </a:solidFill>
                <a:latin typeface="Times New Roman" charset="0"/>
                <a:ea typeface="ＭＳ Ｐゴシック" charset="-128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umimoji="1" sz="2400" kern="1200">
                <a:solidFill>
                  <a:schemeClr val="tx1"/>
                </a:solidFill>
                <a:latin typeface="Times New Roman" charset="0"/>
                <a:ea typeface="ＭＳ Ｐゴシック" charset="-128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umimoji="1" sz="2400" kern="1200">
                <a:solidFill>
                  <a:schemeClr val="tx1"/>
                </a:solidFill>
                <a:latin typeface="Times New Roman" charset="0"/>
                <a:ea typeface="ＭＳ Ｐゴシック" charset="-128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umimoji="1" sz="2400" kern="1200">
                <a:solidFill>
                  <a:schemeClr val="tx1"/>
                </a:solidFill>
                <a:latin typeface="Times New Roman" charset="0"/>
                <a:ea typeface="ＭＳ Ｐゴシック" charset="-128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umimoji="1" sz="2400" kern="1200">
                <a:solidFill>
                  <a:schemeClr val="tx1"/>
                </a:solidFill>
                <a:latin typeface="Times New Roman" charset="0"/>
                <a:ea typeface="ＭＳ Ｐゴシック" charset="-128"/>
                <a:cs typeface="+mn-cs"/>
              </a:defRPr>
            </a:lvl5pPr>
            <a:lvl6pPr marL="2286000" algn="l" defTabSz="914400" rtl="0" eaLnBrk="1" latinLnBrk="0" hangingPunct="1">
              <a:defRPr kumimoji="1" sz="2400" kern="1200">
                <a:solidFill>
                  <a:schemeClr val="tx1"/>
                </a:solidFill>
                <a:latin typeface="Times New Roman" charset="0"/>
                <a:ea typeface="ＭＳ Ｐゴシック" charset="-128"/>
                <a:cs typeface="+mn-cs"/>
              </a:defRPr>
            </a:lvl6pPr>
            <a:lvl7pPr marL="2743200" algn="l" defTabSz="914400" rtl="0" eaLnBrk="1" latinLnBrk="0" hangingPunct="1">
              <a:defRPr kumimoji="1" sz="2400" kern="1200">
                <a:solidFill>
                  <a:schemeClr val="tx1"/>
                </a:solidFill>
                <a:latin typeface="Times New Roman" charset="0"/>
                <a:ea typeface="ＭＳ Ｐゴシック" charset="-128"/>
                <a:cs typeface="+mn-cs"/>
              </a:defRPr>
            </a:lvl7pPr>
            <a:lvl8pPr marL="3200400" algn="l" defTabSz="914400" rtl="0" eaLnBrk="1" latinLnBrk="0" hangingPunct="1">
              <a:defRPr kumimoji="1" sz="2400" kern="1200">
                <a:solidFill>
                  <a:schemeClr val="tx1"/>
                </a:solidFill>
                <a:latin typeface="Times New Roman" charset="0"/>
                <a:ea typeface="ＭＳ Ｐゴシック" charset="-128"/>
                <a:cs typeface="+mn-cs"/>
              </a:defRPr>
            </a:lvl8pPr>
            <a:lvl9pPr marL="3657600" algn="l" defTabSz="914400" rtl="0" eaLnBrk="1" latinLnBrk="0" hangingPunct="1">
              <a:defRPr kumimoji="1" sz="2400" kern="1200">
                <a:solidFill>
                  <a:schemeClr val="tx1"/>
                </a:solidFill>
                <a:latin typeface="Times New Roman" charset="0"/>
                <a:ea typeface="ＭＳ Ｐゴシック" charset="-128"/>
                <a:cs typeface="+mn-cs"/>
              </a:defRPr>
            </a:lvl9pPr>
          </a:lstStyle>
          <a:p>
            <a:endParaRPr lang="ja-JP" altLang="en-US"/>
          </a:p>
        </xdr:txBody>
      </xdr:sp>
      <xdr:sp macro="" textlink="">
        <xdr:nvSpPr>
          <xdr:cNvPr id="25" name="Rectangle 34">
            <a:extLst>
              <a:ext uri="{FF2B5EF4-FFF2-40B4-BE49-F238E27FC236}">
                <a16:creationId xmlns:a16="http://schemas.microsoft.com/office/drawing/2014/main" id="{C908762F-54F8-F4FE-7F7F-E25D11BF099E}"/>
              </a:ext>
            </a:extLst>
          </xdr:cNvPr>
          <xdr:cNvSpPr>
            <a:spLocks noChangeArrowheads="1"/>
          </xdr:cNvSpPr>
        </xdr:nvSpPr>
        <xdr:spPr bwMode="gray">
          <a:xfrm>
            <a:off x="4128" y="2400"/>
            <a:ext cx="672" cy="384"/>
          </a:xfrm>
          <a:prstGeom prst="rect">
            <a:avLst/>
          </a:prstGeom>
          <a:solidFill>
            <a:srgbClr val="009900"/>
          </a:solidFill>
          <a:ln>
            <a:noFill/>
          </a:ln>
          <a:effectLst/>
          <a:extLst>
            <a:ext uri="{91240B29-F687-4F45-9708-019B960494DF}">
              <a14:hiddenLine xmlns:a14="http://schemas.microsoft.com/office/drawing/2010/main" w="9525">
                <a:solidFill>
                  <a:schemeClr val="tx1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ja-JP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umimoji="1" sz="2400" kern="1200">
                <a:solidFill>
                  <a:schemeClr val="tx1"/>
                </a:solidFill>
                <a:latin typeface="Times New Roman" charset="0"/>
                <a:ea typeface="ＭＳ Ｐゴシック" charset="-128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umimoji="1" sz="2400" kern="1200">
                <a:solidFill>
                  <a:schemeClr val="tx1"/>
                </a:solidFill>
                <a:latin typeface="Times New Roman" charset="0"/>
                <a:ea typeface="ＭＳ Ｐゴシック" charset="-128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umimoji="1" sz="2400" kern="1200">
                <a:solidFill>
                  <a:schemeClr val="tx1"/>
                </a:solidFill>
                <a:latin typeface="Times New Roman" charset="0"/>
                <a:ea typeface="ＭＳ Ｐゴシック" charset="-128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umimoji="1" sz="2400" kern="1200">
                <a:solidFill>
                  <a:schemeClr val="tx1"/>
                </a:solidFill>
                <a:latin typeface="Times New Roman" charset="0"/>
                <a:ea typeface="ＭＳ Ｐゴシック" charset="-128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umimoji="1" sz="2400" kern="1200">
                <a:solidFill>
                  <a:schemeClr val="tx1"/>
                </a:solidFill>
                <a:latin typeface="Times New Roman" charset="0"/>
                <a:ea typeface="ＭＳ Ｐゴシック" charset="-128"/>
                <a:cs typeface="+mn-cs"/>
              </a:defRPr>
            </a:lvl5pPr>
            <a:lvl6pPr marL="2286000" algn="l" defTabSz="914400" rtl="0" eaLnBrk="1" latinLnBrk="0" hangingPunct="1">
              <a:defRPr kumimoji="1" sz="2400" kern="1200">
                <a:solidFill>
                  <a:schemeClr val="tx1"/>
                </a:solidFill>
                <a:latin typeface="Times New Roman" charset="0"/>
                <a:ea typeface="ＭＳ Ｐゴシック" charset="-128"/>
                <a:cs typeface="+mn-cs"/>
              </a:defRPr>
            </a:lvl6pPr>
            <a:lvl7pPr marL="2743200" algn="l" defTabSz="914400" rtl="0" eaLnBrk="1" latinLnBrk="0" hangingPunct="1">
              <a:defRPr kumimoji="1" sz="2400" kern="1200">
                <a:solidFill>
                  <a:schemeClr val="tx1"/>
                </a:solidFill>
                <a:latin typeface="Times New Roman" charset="0"/>
                <a:ea typeface="ＭＳ Ｐゴシック" charset="-128"/>
                <a:cs typeface="+mn-cs"/>
              </a:defRPr>
            </a:lvl7pPr>
            <a:lvl8pPr marL="3200400" algn="l" defTabSz="914400" rtl="0" eaLnBrk="1" latinLnBrk="0" hangingPunct="1">
              <a:defRPr kumimoji="1" sz="2400" kern="1200">
                <a:solidFill>
                  <a:schemeClr val="tx1"/>
                </a:solidFill>
                <a:latin typeface="Times New Roman" charset="0"/>
                <a:ea typeface="ＭＳ Ｐゴシック" charset="-128"/>
                <a:cs typeface="+mn-cs"/>
              </a:defRPr>
            </a:lvl8pPr>
            <a:lvl9pPr marL="3657600" algn="l" defTabSz="914400" rtl="0" eaLnBrk="1" latinLnBrk="0" hangingPunct="1">
              <a:defRPr kumimoji="1" sz="2400" kern="1200">
                <a:solidFill>
                  <a:schemeClr val="tx1"/>
                </a:solidFill>
                <a:latin typeface="Times New Roman" charset="0"/>
                <a:ea typeface="ＭＳ Ｐゴシック" charset="-128"/>
                <a:cs typeface="+mn-cs"/>
              </a:defRPr>
            </a:lvl9pPr>
          </a:lstStyle>
          <a:p>
            <a:endParaRPr lang="ja-JP" altLang="en-US"/>
          </a:p>
        </xdr:txBody>
      </xdr:sp>
      <xdr:sp macro="" textlink="">
        <xdr:nvSpPr>
          <xdr:cNvPr id="26" name="AutoShape 36">
            <a:extLst>
              <a:ext uri="{FF2B5EF4-FFF2-40B4-BE49-F238E27FC236}">
                <a16:creationId xmlns:a16="http://schemas.microsoft.com/office/drawing/2014/main" id="{498583EF-A11C-EE81-BD45-9EE09A1963C5}"/>
              </a:ext>
            </a:extLst>
          </xdr:cNvPr>
          <xdr:cNvSpPr>
            <a:spLocks noChangeArrowheads="1"/>
          </xdr:cNvSpPr>
        </xdr:nvSpPr>
        <xdr:spPr bwMode="auto">
          <a:xfrm>
            <a:off x="4032" y="2016"/>
            <a:ext cx="864" cy="576"/>
          </a:xfrm>
          <a:prstGeom prst="roundRect">
            <a:avLst>
              <a:gd name="adj" fmla="val 16667"/>
            </a:avLst>
          </a:prstGeom>
          <a:solidFill>
            <a:srgbClr val="009900"/>
          </a:solidFill>
          <a:ln>
            <a:noFill/>
          </a:ln>
          <a:effectLst/>
          <a:extLst>
            <a:ext uri="{91240B29-F687-4F45-9708-019B960494DF}">
              <a14:hiddenLine xmlns:a14="http://schemas.microsoft.com/office/drawing/2010/main" w="9525">
                <a:solidFill>
                  <a:schemeClr val="tx1"/>
                </a:solidFill>
                <a:round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ja-JP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umimoji="1" sz="2400" kern="1200">
                <a:solidFill>
                  <a:schemeClr val="tx1"/>
                </a:solidFill>
                <a:latin typeface="Times New Roman" charset="0"/>
                <a:ea typeface="ＭＳ Ｐゴシック" charset="-128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umimoji="1" sz="2400" kern="1200">
                <a:solidFill>
                  <a:schemeClr val="tx1"/>
                </a:solidFill>
                <a:latin typeface="Times New Roman" charset="0"/>
                <a:ea typeface="ＭＳ Ｐゴシック" charset="-128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umimoji="1" sz="2400" kern="1200">
                <a:solidFill>
                  <a:schemeClr val="tx1"/>
                </a:solidFill>
                <a:latin typeface="Times New Roman" charset="0"/>
                <a:ea typeface="ＭＳ Ｐゴシック" charset="-128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umimoji="1" sz="2400" kern="1200">
                <a:solidFill>
                  <a:schemeClr val="tx1"/>
                </a:solidFill>
                <a:latin typeface="Times New Roman" charset="0"/>
                <a:ea typeface="ＭＳ Ｐゴシック" charset="-128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umimoji="1" sz="2400" kern="1200">
                <a:solidFill>
                  <a:schemeClr val="tx1"/>
                </a:solidFill>
                <a:latin typeface="Times New Roman" charset="0"/>
                <a:ea typeface="ＭＳ Ｐゴシック" charset="-128"/>
                <a:cs typeface="+mn-cs"/>
              </a:defRPr>
            </a:lvl5pPr>
            <a:lvl6pPr marL="2286000" algn="l" defTabSz="914400" rtl="0" eaLnBrk="1" latinLnBrk="0" hangingPunct="1">
              <a:defRPr kumimoji="1" sz="2400" kern="1200">
                <a:solidFill>
                  <a:schemeClr val="tx1"/>
                </a:solidFill>
                <a:latin typeface="Times New Roman" charset="0"/>
                <a:ea typeface="ＭＳ Ｐゴシック" charset="-128"/>
                <a:cs typeface="+mn-cs"/>
              </a:defRPr>
            </a:lvl6pPr>
            <a:lvl7pPr marL="2743200" algn="l" defTabSz="914400" rtl="0" eaLnBrk="1" latinLnBrk="0" hangingPunct="1">
              <a:defRPr kumimoji="1" sz="2400" kern="1200">
                <a:solidFill>
                  <a:schemeClr val="tx1"/>
                </a:solidFill>
                <a:latin typeface="Times New Roman" charset="0"/>
                <a:ea typeface="ＭＳ Ｐゴシック" charset="-128"/>
                <a:cs typeface="+mn-cs"/>
              </a:defRPr>
            </a:lvl7pPr>
            <a:lvl8pPr marL="3200400" algn="l" defTabSz="914400" rtl="0" eaLnBrk="1" latinLnBrk="0" hangingPunct="1">
              <a:defRPr kumimoji="1" sz="2400" kern="1200">
                <a:solidFill>
                  <a:schemeClr val="tx1"/>
                </a:solidFill>
                <a:latin typeface="Times New Roman" charset="0"/>
                <a:ea typeface="ＭＳ Ｐゴシック" charset="-128"/>
                <a:cs typeface="+mn-cs"/>
              </a:defRPr>
            </a:lvl8pPr>
            <a:lvl9pPr marL="3657600" algn="l" defTabSz="914400" rtl="0" eaLnBrk="1" latinLnBrk="0" hangingPunct="1">
              <a:defRPr kumimoji="1" sz="2400" kern="1200">
                <a:solidFill>
                  <a:schemeClr val="tx1"/>
                </a:solidFill>
                <a:latin typeface="Times New Roman" charset="0"/>
                <a:ea typeface="ＭＳ Ｐゴシック" charset="-128"/>
                <a:cs typeface="+mn-cs"/>
              </a:defRPr>
            </a:lvl9pPr>
          </a:lstStyle>
          <a:p>
            <a:endParaRPr lang="ja-JP" altLang="en-US"/>
          </a:p>
        </xdr:txBody>
      </xdr:sp>
      <xdr:sp macro="" textlink="">
        <xdr:nvSpPr>
          <xdr:cNvPr id="27" name="Line 37">
            <a:extLst>
              <a:ext uri="{FF2B5EF4-FFF2-40B4-BE49-F238E27FC236}">
                <a16:creationId xmlns:a16="http://schemas.microsoft.com/office/drawing/2014/main" id="{EE6C1C9B-D243-7788-A71B-70D27C48DF71}"/>
              </a:ext>
            </a:extLst>
          </xdr:cNvPr>
          <xdr:cNvSpPr>
            <a:spLocks noChangeShapeType="1"/>
          </xdr:cNvSpPr>
        </xdr:nvSpPr>
        <xdr:spPr bwMode="gray">
          <a:xfrm>
            <a:off x="4122" y="2352"/>
            <a:ext cx="0" cy="240"/>
          </a:xfrm>
          <a:prstGeom prst="line">
            <a:avLst/>
          </a:prstGeom>
          <a:noFill/>
          <a:ln w="9525">
            <a:solidFill>
              <a:schemeClr val="bg1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/>
          <a:lstStyle>
            <a:defPPr>
              <a:defRPr lang="ja-JP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umimoji="1" sz="2400" kern="1200">
                <a:solidFill>
                  <a:schemeClr val="tx1"/>
                </a:solidFill>
                <a:latin typeface="Times New Roman" charset="0"/>
                <a:ea typeface="ＭＳ Ｐゴシック" charset="-128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umimoji="1" sz="2400" kern="1200">
                <a:solidFill>
                  <a:schemeClr val="tx1"/>
                </a:solidFill>
                <a:latin typeface="Times New Roman" charset="0"/>
                <a:ea typeface="ＭＳ Ｐゴシック" charset="-128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umimoji="1" sz="2400" kern="1200">
                <a:solidFill>
                  <a:schemeClr val="tx1"/>
                </a:solidFill>
                <a:latin typeface="Times New Roman" charset="0"/>
                <a:ea typeface="ＭＳ Ｐゴシック" charset="-128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umimoji="1" sz="2400" kern="1200">
                <a:solidFill>
                  <a:schemeClr val="tx1"/>
                </a:solidFill>
                <a:latin typeface="Times New Roman" charset="0"/>
                <a:ea typeface="ＭＳ Ｐゴシック" charset="-128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umimoji="1" sz="2400" kern="1200">
                <a:solidFill>
                  <a:schemeClr val="tx1"/>
                </a:solidFill>
                <a:latin typeface="Times New Roman" charset="0"/>
                <a:ea typeface="ＭＳ Ｐゴシック" charset="-128"/>
                <a:cs typeface="+mn-cs"/>
              </a:defRPr>
            </a:lvl5pPr>
            <a:lvl6pPr marL="2286000" algn="l" defTabSz="914400" rtl="0" eaLnBrk="1" latinLnBrk="0" hangingPunct="1">
              <a:defRPr kumimoji="1" sz="2400" kern="1200">
                <a:solidFill>
                  <a:schemeClr val="tx1"/>
                </a:solidFill>
                <a:latin typeface="Times New Roman" charset="0"/>
                <a:ea typeface="ＭＳ Ｐゴシック" charset="-128"/>
                <a:cs typeface="+mn-cs"/>
              </a:defRPr>
            </a:lvl6pPr>
            <a:lvl7pPr marL="2743200" algn="l" defTabSz="914400" rtl="0" eaLnBrk="1" latinLnBrk="0" hangingPunct="1">
              <a:defRPr kumimoji="1" sz="2400" kern="1200">
                <a:solidFill>
                  <a:schemeClr val="tx1"/>
                </a:solidFill>
                <a:latin typeface="Times New Roman" charset="0"/>
                <a:ea typeface="ＭＳ Ｐゴシック" charset="-128"/>
                <a:cs typeface="+mn-cs"/>
              </a:defRPr>
            </a:lvl7pPr>
            <a:lvl8pPr marL="3200400" algn="l" defTabSz="914400" rtl="0" eaLnBrk="1" latinLnBrk="0" hangingPunct="1">
              <a:defRPr kumimoji="1" sz="2400" kern="1200">
                <a:solidFill>
                  <a:schemeClr val="tx1"/>
                </a:solidFill>
                <a:latin typeface="Times New Roman" charset="0"/>
                <a:ea typeface="ＭＳ Ｐゴシック" charset="-128"/>
                <a:cs typeface="+mn-cs"/>
              </a:defRPr>
            </a:lvl8pPr>
            <a:lvl9pPr marL="3657600" algn="l" defTabSz="914400" rtl="0" eaLnBrk="1" latinLnBrk="0" hangingPunct="1">
              <a:defRPr kumimoji="1" sz="2400" kern="1200">
                <a:solidFill>
                  <a:schemeClr val="tx1"/>
                </a:solidFill>
                <a:latin typeface="Times New Roman" charset="0"/>
                <a:ea typeface="ＭＳ Ｐゴシック" charset="-128"/>
                <a:cs typeface="+mn-cs"/>
              </a:defRPr>
            </a:lvl9pPr>
          </a:lstStyle>
          <a:p>
            <a:endParaRPr lang="ja-JP" altLang="en-US"/>
          </a:p>
        </xdr:txBody>
      </xdr:sp>
      <xdr:sp macro="" textlink="">
        <xdr:nvSpPr>
          <xdr:cNvPr id="28" name="Line 38">
            <a:extLst>
              <a:ext uri="{FF2B5EF4-FFF2-40B4-BE49-F238E27FC236}">
                <a16:creationId xmlns:a16="http://schemas.microsoft.com/office/drawing/2014/main" id="{868059EB-D375-2135-0476-4D30015A6CF0}"/>
              </a:ext>
            </a:extLst>
          </xdr:cNvPr>
          <xdr:cNvSpPr>
            <a:spLocks noChangeShapeType="1"/>
          </xdr:cNvSpPr>
        </xdr:nvSpPr>
        <xdr:spPr bwMode="gray">
          <a:xfrm>
            <a:off x="4800" y="2352"/>
            <a:ext cx="0" cy="240"/>
          </a:xfrm>
          <a:prstGeom prst="line">
            <a:avLst/>
          </a:prstGeom>
          <a:noFill/>
          <a:ln w="9525">
            <a:solidFill>
              <a:schemeClr val="bg1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/>
          <a:lstStyle>
            <a:defPPr>
              <a:defRPr lang="ja-JP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umimoji="1" sz="2400" kern="1200">
                <a:solidFill>
                  <a:schemeClr val="tx1"/>
                </a:solidFill>
                <a:latin typeface="Times New Roman" charset="0"/>
                <a:ea typeface="ＭＳ Ｐゴシック" charset="-128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umimoji="1" sz="2400" kern="1200">
                <a:solidFill>
                  <a:schemeClr val="tx1"/>
                </a:solidFill>
                <a:latin typeface="Times New Roman" charset="0"/>
                <a:ea typeface="ＭＳ Ｐゴシック" charset="-128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umimoji="1" sz="2400" kern="1200">
                <a:solidFill>
                  <a:schemeClr val="tx1"/>
                </a:solidFill>
                <a:latin typeface="Times New Roman" charset="0"/>
                <a:ea typeface="ＭＳ Ｐゴシック" charset="-128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umimoji="1" sz="2400" kern="1200">
                <a:solidFill>
                  <a:schemeClr val="tx1"/>
                </a:solidFill>
                <a:latin typeface="Times New Roman" charset="0"/>
                <a:ea typeface="ＭＳ Ｐゴシック" charset="-128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umimoji="1" sz="2400" kern="1200">
                <a:solidFill>
                  <a:schemeClr val="tx1"/>
                </a:solidFill>
                <a:latin typeface="Times New Roman" charset="0"/>
                <a:ea typeface="ＭＳ Ｐゴシック" charset="-128"/>
                <a:cs typeface="+mn-cs"/>
              </a:defRPr>
            </a:lvl5pPr>
            <a:lvl6pPr marL="2286000" algn="l" defTabSz="914400" rtl="0" eaLnBrk="1" latinLnBrk="0" hangingPunct="1">
              <a:defRPr kumimoji="1" sz="2400" kern="1200">
                <a:solidFill>
                  <a:schemeClr val="tx1"/>
                </a:solidFill>
                <a:latin typeface="Times New Roman" charset="0"/>
                <a:ea typeface="ＭＳ Ｐゴシック" charset="-128"/>
                <a:cs typeface="+mn-cs"/>
              </a:defRPr>
            </a:lvl6pPr>
            <a:lvl7pPr marL="2743200" algn="l" defTabSz="914400" rtl="0" eaLnBrk="1" latinLnBrk="0" hangingPunct="1">
              <a:defRPr kumimoji="1" sz="2400" kern="1200">
                <a:solidFill>
                  <a:schemeClr val="tx1"/>
                </a:solidFill>
                <a:latin typeface="Times New Roman" charset="0"/>
                <a:ea typeface="ＭＳ Ｐゴシック" charset="-128"/>
                <a:cs typeface="+mn-cs"/>
              </a:defRPr>
            </a:lvl7pPr>
            <a:lvl8pPr marL="3200400" algn="l" defTabSz="914400" rtl="0" eaLnBrk="1" latinLnBrk="0" hangingPunct="1">
              <a:defRPr kumimoji="1" sz="2400" kern="1200">
                <a:solidFill>
                  <a:schemeClr val="tx1"/>
                </a:solidFill>
                <a:latin typeface="Times New Roman" charset="0"/>
                <a:ea typeface="ＭＳ Ｐゴシック" charset="-128"/>
                <a:cs typeface="+mn-cs"/>
              </a:defRPr>
            </a:lvl8pPr>
            <a:lvl9pPr marL="3657600" algn="l" defTabSz="914400" rtl="0" eaLnBrk="1" latinLnBrk="0" hangingPunct="1">
              <a:defRPr kumimoji="1" sz="2400" kern="1200">
                <a:solidFill>
                  <a:schemeClr val="tx1"/>
                </a:solidFill>
                <a:latin typeface="Times New Roman" charset="0"/>
                <a:ea typeface="ＭＳ Ｐゴシック" charset="-128"/>
                <a:cs typeface="+mn-cs"/>
              </a:defRPr>
            </a:lvl9pPr>
          </a:lstStyle>
          <a:p>
            <a:endParaRPr lang="ja-JP" altLang="en-US"/>
          </a:p>
        </xdr:txBody>
      </xdr:sp>
    </xdr:grpSp>
    <xdr:clientData/>
  </xdr:twoCellAnchor>
  <xdr:twoCellAnchor editAs="oneCell">
    <xdr:from>
      <xdr:col>47</xdr:col>
      <xdr:colOff>38100</xdr:colOff>
      <xdr:row>16</xdr:row>
      <xdr:rowOff>85725</xdr:rowOff>
    </xdr:from>
    <xdr:to>
      <xdr:col>51</xdr:col>
      <xdr:colOff>38100</xdr:colOff>
      <xdr:row>19</xdr:row>
      <xdr:rowOff>85725</xdr:rowOff>
    </xdr:to>
    <xdr:pic>
      <xdr:nvPicPr>
        <xdr:cNvPr id="30" name="グラフィックス 29" descr="封筒">
          <a:extLst>
            <a:ext uri="{FF2B5EF4-FFF2-40B4-BE49-F238E27FC236}">
              <a16:creationId xmlns:a16="http://schemas.microsoft.com/office/drawing/2014/main" id="{61CD040E-DB55-483B-B034-50FD4B5800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324600" y="3324225"/>
          <a:ext cx="571500" cy="571500"/>
        </a:xfrm>
        <a:prstGeom prst="rect">
          <a:avLst/>
        </a:prstGeom>
      </xdr:spPr>
    </xdr:pic>
    <xdr:clientData/>
  </xdr:twoCellAnchor>
  <xdr:twoCellAnchor>
    <xdr:from>
      <xdr:col>40</xdr:col>
      <xdr:colOff>0</xdr:colOff>
      <xdr:row>19</xdr:row>
      <xdr:rowOff>57150</xdr:rowOff>
    </xdr:from>
    <xdr:to>
      <xdr:col>40</xdr:col>
      <xdr:colOff>0</xdr:colOff>
      <xdr:row>28</xdr:row>
      <xdr:rowOff>34650</xdr:rowOff>
    </xdr:to>
    <xdr:cxnSp macro="">
      <xdr:nvCxnSpPr>
        <xdr:cNvPr id="49" name="直線矢印コネクタ 48">
          <a:extLst>
            <a:ext uri="{FF2B5EF4-FFF2-40B4-BE49-F238E27FC236}">
              <a16:creationId xmlns:a16="http://schemas.microsoft.com/office/drawing/2014/main" id="{C93BB119-EC6E-424F-87AD-DF199BFE4D9E}"/>
            </a:ext>
          </a:extLst>
        </xdr:cNvPr>
        <xdr:cNvCxnSpPr/>
      </xdr:nvCxnSpPr>
      <xdr:spPr bwMode="auto">
        <a:xfrm flipH="1">
          <a:off x="5715000" y="3676650"/>
          <a:ext cx="0" cy="1692000"/>
        </a:xfrm>
        <a:prstGeom prst="straightConnector1">
          <a:avLst/>
        </a:prstGeom>
        <a:solidFill>
          <a:srgbClr val="FFFFFF"/>
        </a:solidFill>
        <a:ln w="762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15</xdr:col>
      <xdr:colOff>38100</xdr:colOff>
      <xdr:row>19</xdr:row>
      <xdr:rowOff>76200</xdr:rowOff>
    </xdr:from>
    <xdr:to>
      <xdr:col>53</xdr:col>
      <xdr:colOff>116850</xdr:colOff>
      <xdr:row>19</xdr:row>
      <xdr:rowOff>76200</xdr:rowOff>
    </xdr:to>
    <xdr:cxnSp macro="">
      <xdr:nvCxnSpPr>
        <xdr:cNvPr id="34" name="直線矢印コネクタ 33">
          <a:extLst>
            <a:ext uri="{FF2B5EF4-FFF2-40B4-BE49-F238E27FC236}">
              <a16:creationId xmlns:a16="http://schemas.microsoft.com/office/drawing/2014/main" id="{1A767104-836B-D1B4-07AD-30191A812C3B}"/>
            </a:ext>
          </a:extLst>
        </xdr:cNvPr>
        <xdr:cNvCxnSpPr/>
      </xdr:nvCxnSpPr>
      <xdr:spPr bwMode="auto">
        <a:xfrm>
          <a:off x="2181225" y="3505200"/>
          <a:ext cx="5508000" cy="0"/>
        </a:xfrm>
        <a:prstGeom prst="straightConnector1">
          <a:avLst/>
        </a:prstGeom>
        <a:solidFill>
          <a:srgbClr val="FFFFFF"/>
        </a:solidFill>
        <a:ln w="76200" cap="flat" cmpd="sng" algn="ctr">
          <a:solidFill>
            <a:srgbClr val="0070C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 editAs="oneCell">
    <xdr:from>
      <xdr:col>5</xdr:col>
      <xdr:colOff>0</xdr:colOff>
      <xdr:row>33</xdr:row>
      <xdr:rowOff>28575</xdr:rowOff>
    </xdr:from>
    <xdr:to>
      <xdr:col>8</xdr:col>
      <xdr:colOff>38101</xdr:colOff>
      <xdr:row>35</xdr:row>
      <xdr:rowOff>114301</xdr:rowOff>
    </xdr:to>
    <xdr:pic>
      <xdr:nvPicPr>
        <xdr:cNvPr id="53" name="グラフィックス 52" descr="時計">
          <a:extLst>
            <a:ext uri="{FF2B5EF4-FFF2-40B4-BE49-F238E27FC236}">
              <a16:creationId xmlns:a16="http://schemas.microsoft.com/office/drawing/2014/main" id="{E3B472F4-2D19-60B4-B6D2-6C4A2EE65F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714375" y="6124575"/>
          <a:ext cx="466726" cy="466726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37</xdr:row>
      <xdr:rowOff>114300</xdr:rowOff>
    </xdr:from>
    <xdr:to>
      <xdr:col>53</xdr:col>
      <xdr:colOff>94425</xdr:colOff>
      <xdr:row>37</xdr:row>
      <xdr:rowOff>114300</xdr:rowOff>
    </xdr:to>
    <xdr:cxnSp macro="">
      <xdr:nvCxnSpPr>
        <xdr:cNvPr id="54" name="直線矢印コネクタ 53">
          <a:extLst>
            <a:ext uri="{FF2B5EF4-FFF2-40B4-BE49-F238E27FC236}">
              <a16:creationId xmlns:a16="http://schemas.microsoft.com/office/drawing/2014/main" id="{01AB7448-D870-4B87-B37C-002E478D02BB}"/>
            </a:ext>
          </a:extLst>
        </xdr:cNvPr>
        <xdr:cNvCxnSpPr/>
      </xdr:nvCxnSpPr>
      <xdr:spPr bwMode="auto">
        <a:xfrm>
          <a:off x="2590800" y="6972300"/>
          <a:ext cx="5076000" cy="0"/>
        </a:xfrm>
        <a:prstGeom prst="straightConnector1">
          <a:avLst/>
        </a:prstGeom>
        <a:solidFill>
          <a:srgbClr val="FFFFFF"/>
        </a:solidFill>
        <a:ln w="76200" cap="flat" cmpd="sng" algn="ctr">
          <a:solidFill>
            <a:srgbClr val="0070C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54</xdr:col>
      <xdr:colOff>95250</xdr:colOff>
      <xdr:row>24</xdr:row>
      <xdr:rowOff>123825</xdr:rowOff>
    </xdr:from>
    <xdr:to>
      <xdr:col>61</xdr:col>
      <xdr:colOff>45384</xdr:colOff>
      <xdr:row>29</xdr:row>
      <xdr:rowOff>85725</xdr:rowOff>
    </xdr:to>
    <xdr:sp macro="" textlink="">
      <xdr:nvSpPr>
        <xdr:cNvPr id="59" name="フローチャート : 磁気ディスク 139">
          <a:extLst>
            <a:ext uri="{FF2B5EF4-FFF2-40B4-BE49-F238E27FC236}">
              <a16:creationId xmlns:a16="http://schemas.microsoft.com/office/drawing/2014/main" id="{38EA7EC8-D454-4EFD-989A-7932B535F3CB}"/>
            </a:ext>
          </a:extLst>
        </xdr:cNvPr>
        <xdr:cNvSpPr/>
      </xdr:nvSpPr>
      <xdr:spPr bwMode="auto">
        <a:xfrm>
          <a:off x="7810500" y="4695825"/>
          <a:ext cx="950259" cy="914400"/>
        </a:xfrm>
        <a:prstGeom prst="flowChartMagneticDisk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scene3d>
          <a:camera prst="orthographicFront">
            <a:rot lat="0" lon="0" rev="0"/>
          </a:camera>
          <a:lightRig rig="threePt" dir="t"/>
        </a:scene3d>
      </xdr:spPr>
      <xdr:txBody>
        <a:bodyPr vertOverflow="clip" horzOverflow="clip" wrap="square" lIns="18288" tIns="0" rIns="0" bIns="0" rtlCol="0" anchor="ctr" upright="1"/>
        <a:lstStyle/>
        <a:p>
          <a:pPr algn="ctr"/>
          <a:r>
            <a:rPr lang="ja-JP" altLang="en-US" sz="1000">
              <a:effectLst/>
              <a:latin typeface="+mn-lt"/>
              <a:ea typeface="+mn-ea"/>
              <a:cs typeface="+mn-cs"/>
            </a:rPr>
            <a:t>メール送信対象</a:t>
          </a:r>
          <a:r>
            <a:rPr kumimoji="1" lang="ja-JP" altLang="en-US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テーブル</a:t>
          </a:r>
        </a:p>
      </xdr:txBody>
    </xdr:sp>
    <xdr:clientData/>
  </xdr:twoCellAnchor>
  <xdr:twoCellAnchor>
    <xdr:from>
      <xdr:col>40</xdr:col>
      <xdr:colOff>0</xdr:colOff>
      <xdr:row>28</xdr:row>
      <xdr:rowOff>0</xdr:rowOff>
    </xdr:from>
    <xdr:to>
      <xdr:col>53</xdr:col>
      <xdr:colOff>122625</xdr:colOff>
      <xdr:row>28</xdr:row>
      <xdr:rowOff>0</xdr:rowOff>
    </xdr:to>
    <xdr:cxnSp macro="">
      <xdr:nvCxnSpPr>
        <xdr:cNvPr id="61" name="直線矢印コネクタ 60">
          <a:extLst>
            <a:ext uri="{FF2B5EF4-FFF2-40B4-BE49-F238E27FC236}">
              <a16:creationId xmlns:a16="http://schemas.microsoft.com/office/drawing/2014/main" id="{CDE90A9E-9ADF-4D08-979C-00CBB6571A4A}"/>
            </a:ext>
          </a:extLst>
        </xdr:cNvPr>
        <xdr:cNvCxnSpPr/>
      </xdr:nvCxnSpPr>
      <xdr:spPr bwMode="auto">
        <a:xfrm>
          <a:off x="5715000" y="5334000"/>
          <a:ext cx="1980000" cy="0"/>
        </a:xfrm>
        <a:prstGeom prst="straightConnector1">
          <a:avLst/>
        </a:prstGeom>
        <a:solidFill>
          <a:srgbClr val="FFFFFF"/>
        </a:solidFill>
        <a:ln w="76200" cap="flat" cmpd="sng" algn="ctr">
          <a:solidFill>
            <a:srgbClr val="FF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40</xdr:col>
      <xdr:colOff>0</xdr:colOff>
      <xdr:row>30</xdr:row>
      <xdr:rowOff>0</xdr:rowOff>
    </xdr:from>
    <xdr:to>
      <xdr:col>53</xdr:col>
      <xdr:colOff>122625</xdr:colOff>
      <xdr:row>30</xdr:row>
      <xdr:rowOff>0</xdr:rowOff>
    </xdr:to>
    <xdr:cxnSp macro="">
      <xdr:nvCxnSpPr>
        <xdr:cNvPr id="62" name="直線矢印コネクタ 61">
          <a:extLst>
            <a:ext uri="{FF2B5EF4-FFF2-40B4-BE49-F238E27FC236}">
              <a16:creationId xmlns:a16="http://schemas.microsoft.com/office/drawing/2014/main" id="{1A3C7657-3B20-4294-B049-D0E916FBB2FA}"/>
            </a:ext>
          </a:extLst>
        </xdr:cNvPr>
        <xdr:cNvCxnSpPr/>
      </xdr:nvCxnSpPr>
      <xdr:spPr bwMode="auto">
        <a:xfrm>
          <a:off x="5715000" y="5715000"/>
          <a:ext cx="1980000" cy="0"/>
        </a:xfrm>
        <a:prstGeom prst="straightConnector1">
          <a:avLst/>
        </a:prstGeom>
        <a:solidFill>
          <a:srgbClr val="FFFFFF"/>
        </a:solidFill>
        <a:ln w="76200" cap="flat" cmpd="sng" algn="ctr">
          <a:solidFill>
            <a:srgbClr val="FF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40</xdr:col>
      <xdr:colOff>0</xdr:colOff>
      <xdr:row>29</xdr:row>
      <xdr:rowOff>152400</xdr:rowOff>
    </xdr:from>
    <xdr:to>
      <xdr:col>40</xdr:col>
      <xdr:colOff>0</xdr:colOff>
      <xdr:row>37</xdr:row>
      <xdr:rowOff>104400</xdr:rowOff>
    </xdr:to>
    <xdr:cxnSp macro="">
      <xdr:nvCxnSpPr>
        <xdr:cNvPr id="63" name="直線矢印コネクタ 62">
          <a:extLst>
            <a:ext uri="{FF2B5EF4-FFF2-40B4-BE49-F238E27FC236}">
              <a16:creationId xmlns:a16="http://schemas.microsoft.com/office/drawing/2014/main" id="{5C9D7574-D18B-4E3A-B153-554400E53FF6}"/>
            </a:ext>
          </a:extLst>
        </xdr:cNvPr>
        <xdr:cNvCxnSpPr/>
      </xdr:nvCxnSpPr>
      <xdr:spPr bwMode="auto">
        <a:xfrm flipH="1">
          <a:off x="5715000" y="5676900"/>
          <a:ext cx="0" cy="1476000"/>
        </a:xfrm>
        <a:prstGeom prst="straightConnector1">
          <a:avLst/>
        </a:prstGeom>
        <a:solidFill>
          <a:srgbClr val="FFFFFF"/>
        </a:solidFill>
        <a:ln w="762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55</xdr:col>
      <xdr:colOff>0</xdr:colOff>
      <xdr:row>35</xdr:row>
      <xdr:rowOff>0</xdr:rowOff>
    </xdr:from>
    <xdr:to>
      <xdr:col>58</xdr:col>
      <xdr:colOff>73556</xdr:colOff>
      <xdr:row>39</xdr:row>
      <xdr:rowOff>60960</xdr:rowOff>
    </xdr:to>
    <xdr:grpSp>
      <xdr:nvGrpSpPr>
        <xdr:cNvPr id="64" name="Group 40">
          <a:extLst>
            <a:ext uri="{FF2B5EF4-FFF2-40B4-BE49-F238E27FC236}">
              <a16:creationId xmlns:a16="http://schemas.microsoft.com/office/drawing/2014/main" id="{9FE9D7B8-96EF-47B7-A638-5AED389AA721}"/>
            </a:ext>
          </a:extLst>
        </xdr:cNvPr>
        <xdr:cNvGrpSpPr>
          <a:grpSpLocks noChangeAspect="1"/>
        </xdr:cNvGrpSpPr>
      </xdr:nvGrpSpPr>
      <xdr:grpSpPr bwMode="auto">
        <a:xfrm>
          <a:off x="7858125" y="6667500"/>
          <a:ext cx="502181" cy="822960"/>
          <a:chOff x="2112" y="1344"/>
          <a:chExt cx="864" cy="1440"/>
        </a:xfrm>
        <a:solidFill>
          <a:schemeClr val="accent1">
            <a:lumMod val="75000"/>
          </a:schemeClr>
        </a:solidFill>
      </xdr:grpSpPr>
      <xdr:sp macro="" textlink="">
        <xdr:nvSpPr>
          <xdr:cNvPr id="65" name="Oval 21">
            <a:extLst>
              <a:ext uri="{FF2B5EF4-FFF2-40B4-BE49-F238E27FC236}">
                <a16:creationId xmlns:a16="http://schemas.microsoft.com/office/drawing/2014/main" id="{3D53A396-171B-9E46-AA6A-C5D76BAF43A0}"/>
              </a:ext>
            </a:extLst>
          </xdr:cNvPr>
          <xdr:cNvSpPr>
            <a:spLocks noChangeArrowheads="1"/>
          </xdr:cNvSpPr>
        </xdr:nvSpPr>
        <xdr:spPr bwMode="gray">
          <a:xfrm>
            <a:off x="2208" y="1344"/>
            <a:ext cx="672" cy="672"/>
          </a:xfrm>
          <a:prstGeom prst="ellipse">
            <a:avLst/>
          </a:prstGeom>
          <a:grpFill/>
          <a:ln>
            <a:noFill/>
          </a:ln>
          <a:effectLst/>
          <a:extLst>
            <a:ext uri="{91240B29-F687-4F45-9708-019B960494DF}">
              <a14:hiddenLine xmlns:a14="http://schemas.microsoft.com/office/drawing/2010/main" w="9525">
                <a:solidFill>
                  <a:schemeClr val="tx1"/>
                </a:solidFill>
                <a:round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ja-JP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umimoji="1" sz="2400" kern="1200">
                <a:solidFill>
                  <a:schemeClr val="tx1"/>
                </a:solidFill>
                <a:latin typeface="Times New Roman" charset="0"/>
                <a:ea typeface="ＭＳ Ｐゴシック" charset="-128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umimoji="1" sz="2400" kern="1200">
                <a:solidFill>
                  <a:schemeClr val="tx1"/>
                </a:solidFill>
                <a:latin typeface="Times New Roman" charset="0"/>
                <a:ea typeface="ＭＳ Ｐゴシック" charset="-128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umimoji="1" sz="2400" kern="1200">
                <a:solidFill>
                  <a:schemeClr val="tx1"/>
                </a:solidFill>
                <a:latin typeface="Times New Roman" charset="0"/>
                <a:ea typeface="ＭＳ Ｐゴシック" charset="-128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umimoji="1" sz="2400" kern="1200">
                <a:solidFill>
                  <a:schemeClr val="tx1"/>
                </a:solidFill>
                <a:latin typeface="Times New Roman" charset="0"/>
                <a:ea typeface="ＭＳ Ｐゴシック" charset="-128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umimoji="1" sz="2400" kern="1200">
                <a:solidFill>
                  <a:schemeClr val="tx1"/>
                </a:solidFill>
                <a:latin typeface="Times New Roman" charset="0"/>
                <a:ea typeface="ＭＳ Ｐゴシック" charset="-128"/>
                <a:cs typeface="+mn-cs"/>
              </a:defRPr>
            </a:lvl5pPr>
            <a:lvl6pPr marL="2286000" algn="l" defTabSz="914400" rtl="0" eaLnBrk="1" latinLnBrk="0" hangingPunct="1">
              <a:defRPr kumimoji="1" sz="2400" kern="1200">
                <a:solidFill>
                  <a:schemeClr val="tx1"/>
                </a:solidFill>
                <a:latin typeface="Times New Roman" charset="0"/>
                <a:ea typeface="ＭＳ Ｐゴシック" charset="-128"/>
                <a:cs typeface="+mn-cs"/>
              </a:defRPr>
            </a:lvl6pPr>
            <a:lvl7pPr marL="2743200" algn="l" defTabSz="914400" rtl="0" eaLnBrk="1" latinLnBrk="0" hangingPunct="1">
              <a:defRPr kumimoji="1" sz="2400" kern="1200">
                <a:solidFill>
                  <a:schemeClr val="tx1"/>
                </a:solidFill>
                <a:latin typeface="Times New Roman" charset="0"/>
                <a:ea typeface="ＭＳ Ｐゴシック" charset="-128"/>
                <a:cs typeface="+mn-cs"/>
              </a:defRPr>
            </a:lvl7pPr>
            <a:lvl8pPr marL="3200400" algn="l" defTabSz="914400" rtl="0" eaLnBrk="1" latinLnBrk="0" hangingPunct="1">
              <a:defRPr kumimoji="1" sz="2400" kern="1200">
                <a:solidFill>
                  <a:schemeClr val="tx1"/>
                </a:solidFill>
                <a:latin typeface="Times New Roman" charset="0"/>
                <a:ea typeface="ＭＳ Ｐゴシック" charset="-128"/>
                <a:cs typeface="+mn-cs"/>
              </a:defRPr>
            </a:lvl8pPr>
            <a:lvl9pPr marL="3657600" algn="l" defTabSz="914400" rtl="0" eaLnBrk="1" latinLnBrk="0" hangingPunct="1">
              <a:defRPr kumimoji="1" sz="2400" kern="1200">
                <a:solidFill>
                  <a:schemeClr val="tx1"/>
                </a:solidFill>
                <a:latin typeface="Times New Roman" charset="0"/>
                <a:ea typeface="ＭＳ Ｐゴシック" charset="-128"/>
                <a:cs typeface="+mn-cs"/>
              </a:defRPr>
            </a:lvl9pPr>
          </a:lstStyle>
          <a:p>
            <a:endParaRPr lang="ja-JP" altLang="en-US"/>
          </a:p>
        </xdr:txBody>
      </xdr:sp>
      <xdr:sp macro="" textlink="">
        <xdr:nvSpPr>
          <xdr:cNvPr id="66" name="Rectangle 22">
            <a:extLst>
              <a:ext uri="{FF2B5EF4-FFF2-40B4-BE49-F238E27FC236}">
                <a16:creationId xmlns:a16="http://schemas.microsoft.com/office/drawing/2014/main" id="{2C915F2D-3268-3375-8D58-92667952470E}"/>
              </a:ext>
            </a:extLst>
          </xdr:cNvPr>
          <xdr:cNvSpPr>
            <a:spLocks noChangeArrowheads="1"/>
          </xdr:cNvSpPr>
        </xdr:nvSpPr>
        <xdr:spPr bwMode="gray">
          <a:xfrm>
            <a:off x="2208" y="2400"/>
            <a:ext cx="672" cy="384"/>
          </a:xfrm>
          <a:prstGeom prst="rect">
            <a:avLst/>
          </a:prstGeom>
          <a:grpFill/>
          <a:ln>
            <a:noFill/>
          </a:ln>
          <a:effectLst/>
          <a:extLst>
            <a:ext uri="{91240B29-F687-4F45-9708-019B960494DF}">
              <a14:hiddenLine xmlns:a14="http://schemas.microsoft.com/office/drawing/2010/main" w="9525">
                <a:solidFill>
                  <a:schemeClr val="tx1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ja-JP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umimoji="1" sz="2400" kern="1200">
                <a:solidFill>
                  <a:schemeClr val="tx1"/>
                </a:solidFill>
                <a:latin typeface="Times New Roman" charset="0"/>
                <a:ea typeface="ＭＳ Ｐゴシック" charset="-128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umimoji="1" sz="2400" kern="1200">
                <a:solidFill>
                  <a:schemeClr val="tx1"/>
                </a:solidFill>
                <a:latin typeface="Times New Roman" charset="0"/>
                <a:ea typeface="ＭＳ Ｐゴシック" charset="-128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umimoji="1" sz="2400" kern="1200">
                <a:solidFill>
                  <a:schemeClr val="tx1"/>
                </a:solidFill>
                <a:latin typeface="Times New Roman" charset="0"/>
                <a:ea typeface="ＭＳ Ｐゴシック" charset="-128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umimoji="1" sz="2400" kern="1200">
                <a:solidFill>
                  <a:schemeClr val="tx1"/>
                </a:solidFill>
                <a:latin typeface="Times New Roman" charset="0"/>
                <a:ea typeface="ＭＳ Ｐゴシック" charset="-128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umimoji="1" sz="2400" kern="1200">
                <a:solidFill>
                  <a:schemeClr val="tx1"/>
                </a:solidFill>
                <a:latin typeface="Times New Roman" charset="0"/>
                <a:ea typeface="ＭＳ Ｐゴシック" charset="-128"/>
                <a:cs typeface="+mn-cs"/>
              </a:defRPr>
            </a:lvl5pPr>
            <a:lvl6pPr marL="2286000" algn="l" defTabSz="914400" rtl="0" eaLnBrk="1" latinLnBrk="0" hangingPunct="1">
              <a:defRPr kumimoji="1" sz="2400" kern="1200">
                <a:solidFill>
                  <a:schemeClr val="tx1"/>
                </a:solidFill>
                <a:latin typeface="Times New Roman" charset="0"/>
                <a:ea typeface="ＭＳ Ｐゴシック" charset="-128"/>
                <a:cs typeface="+mn-cs"/>
              </a:defRPr>
            </a:lvl6pPr>
            <a:lvl7pPr marL="2743200" algn="l" defTabSz="914400" rtl="0" eaLnBrk="1" latinLnBrk="0" hangingPunct="1">
              <a:defRPr kumimoji="1" sz="2400" kern="1200">
                <a:solidFill>
                  <a:schemeClr val="tx1"/>
                </a:solidFill>
                <a:latin typeface="Times New Roman" charset="0"/>
                <a:ea typeface="ＭＳ Ｐゴシック" charset="-128"/>
                <a:cs typeface="+mn-cs"/>
              </a:defRPr>
            </a:lvl7pPr>
            <a:lvl8pPr marL="3200400" algn="l" defTabSz="914400" rtl="0" eaLnBrk="1" latinLnBrk="0" hangingPunct="1">
              <a:defRPr kumimoji="1" sz="2400" kern="1200">
                <a:solidFill>
                  <a:schemeClr val="tx1"/>
                </a:solidFill>
                <a:latin typeface="Times New Roman" charset="0"/>
                <a:ea typeface="ＭＳ Ｐゴシック" charset="-128"/>
                <a:cs typeface="+mn-cs"/>
              </a:defRPr>
            </a:lvl8pPr>
            <a:lvl9pPr marL="3657600" algn="l" defTabSz="914400" rtl="0" eaLnBrk="1" latinLnBrk="0" hangingPunct="1">
              <a:defRPr kumimoji="1" sz="2400" kern="1200">
                <a:solidFill>
                  <a:schemeClr val="tx1"/>
                </a:solidFill>
                <a:latin typeface="Times New Roman" charset="0"/>
                <a:ea typeface="ＭＳ Ｐゴシック" charset="-128"/>
                <a:cs typeface="+mn-cs"/>
              </a:defRPr>
            </a:lvl9pPr>
          </a:lstStyle>
          <a:p>
            <a:endParaRPr lang="ja-JP" altLang="en-US"/>
          </a:p>
        </xdr:txBody>
      </xdr:sp>
      <xdr:sp macro="" textlink="">
        <xdr:nvSpPr>
          <xdr:cNvPr id="67" name="AutoShape 24">
            <a:extLst>
              <a:ext uri="{FF2B5EF4-FFF2-40B4-BE49-F238E27FC236}">
                <a16:creationId xmlns:a16="http://schemas.microsoft.com/office/drawing/2014/main" id="{A04F2E5B-C34E-15A7-592C-B02F1F44BE42}"/>
              </a:ext>
            </a:extLst>
          </xdr:cNvPr>
          <xdr:cNvSpPr>
            <a:spLocks noChangeArrowheads="1"/>
          </xdr:cNvSpPr>
        </xdr:nvSpPr>
        <xdr:spPr bwMode="auto">
          <a:xfrm>
            <a:off x="2112" y="2016"/>
            <a:ext cx="864" cy="576"/>
          </a:xfrm>
          <a:prstGeom prst="roundRect">
            <a:avLst>
              <a:gd name="adj" fmla="val 16667"/>
            </a:avLst>
          </a:prstGeom>
          <a:grpFill/>
          <a:ln>
            <a:noFill/>
          </a:ln>
          <a:effectLst/>
          <a:extLst>
            <a:ext uri="{91240B29-F687-4F45-9708-019B960494DF}">
              <a14:hiddenLine xmlns:a14="http://schemas.microsoft.com/office/drawing/2010/main" w="9525">
                <a:solidFill>
                  <a:schemeClr val="tx1"/>
                </a:solidFill>
                <a:round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ja-JP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umimoji="1" sz="2400" kern="1200">
                <a:solidFill>
                  <a:schemeClr val="tx1"/>
                </a:solidFill>
                <a:latin typeface="Times New Roman" charset="0"/>
                <a:ea typeface="ＭＳ Ｐゴシック" charset="-128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umimoji="1" sz="2400" kern="1200">
                <a:solidFill>
                  <a:schemeClr val="tx1"/>
                </a:solidFill>
                <a:latin typeface="Times New Roman" charset="0"/>
                <a:ea typeface="ＭＳ Ｐゴシック" charset="-128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umimoji="1" sz="2400" kern="1200">
                <a:solidFill>
                  <a:schemeClr val="tx1"/>
                </a:solidFill>
                <a:latin typeface="Times New Roman" charset="0"/>
                <a:ea typeface="ＭＳ Ｐゴシック" charset="-128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umimoji="1" sz="2400" kern="1200">
                <a:solidFill>
                  <a:schemeClr val="tx1"/>
                </a:solidFill>
                <a:latin typeface="Times New Roman" charset="0"/>
                <a:ea typeface="ＭＳ Ｐゴシック" charset="-128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umimoji="1" sz="2400" kern="1200">
                <a:solidFill>
                  <a:schemeClr val="tx1"/>
                </a:solidFill>
                <a:latin typeface="Times New Roman" charset="0"/>
                <a:ea typeface="ＭＳ Ｐゴシック" charset="-128"/>
                <a:cs typeface="+mn-cs"/>
              </a:defRPr>
            </a:lvl5pPr>
            <a:lvl6pPr marL="2286000" algn="l" defTabSz="914400" rtl="0" eaLnBrk="1" latinLnBrk="0" hangingPunct="1">
              <a:defRPr kumimoji="1" sz="2400" kern="1200">
                <a:solidFill>
                  <a:schemeClr val="tx1"/>
                </a:solidFill>
                <a:latin typeface="Times New Roman" charset="0"/>
                <a:ea typeface="ＭＳ Ｐゴシック" charset="-128"/>
                <a:cs typeface="+mn-cs"/>
              </a:defRPr>
            </a:lvl6pPr>
            <a:lvl7pPr marL="2743200" algn="l" defTabSz="914400" rtl="0" eaLnBrk="1" latinLnBrk="0" hangingPunct="1">
              <a:defRPr kumimoji="1" sz="2400" kern="1200">
                <a:solidFill>
                  <a:schemeClr val="tx1"/>
                </a:solidFill>
                <a:latin typeface="Times New Roman" charset="0"/>
                <a:ea typeface="ＭＳ Ｐゴシック" charset="-128"/>
                <a:cs typeface="+mn-cs"/>
              </a:defRPr>
            </a:lvl7pPr>
            <a:lvl8pPr marL="3200400" algn="l" defTabSz="914400" rtl="0" eaLnBrk="1" latinLnBrk="0" hangingPunct="1">
              <a:defRPr kumimoji="1" sz="2400" kern="1200">
                <a:solidFill>
                  <a:schemeClr val="tx1"/>
                </a:solidFill>
                <a:latin typeface="Times New Roman" charset="0"/>
                <a:ea typeface="ＭＳ Ｐゴシック" charset="-128"/>
                <a:cs typeface="+mn-cs"/>
              </a:defRPr>
            </a:lvl8pPr>
            <a:lvl9pPr marL="3657600" algn="l" defTabSz="914400" rtl="0" eaLnBrk="1" latinLnBrk="0" hangingPunct="1">
              <a:defRPr kumimoji="1" sz="2400" kern="1200">
                <a:solidFill>
                  <a:schemeClr val="tx1"/>
                </a:solidFill>
                <a:latin typeface="Times New Roman" charset="0"/>
                <a:ea typeface="ＭＳ Ｐゴシック" charset="-128"/>
                <a:cs typeface="+mn-cs"/>
              </a:defRPr>
            </a:lvl9pPr>
          </a:lstStyle>
          <a:p>
            <a:endParaRPr lang="ja-JP" altLang="en-US"/>
          </a:p>
        </xdr:txBody>
      </xdr:sp>
      <xdr:sp macro="" textlink="">
        <xdr:nvSpPr>
          <xdr:cNvPr id="68" name="Line 25">
            <a:extLst>
              <a:ext uri="{FF2B5EF4-FFF2-40B4-BE49-F238E27FC236}">
                <a16:creationId xmlns:a16="http://schemas.microsoft.com/office/drawing/2014/main" id="{D4AF3E12-4D1D-39C1-59E3-AADF0BDB378C}"/>
              </a:ext>
            </a:extLst>
          </xdr:cNvPr>
          <xdr:cNvSpPr>
            <a:spLocks noChangeShapeType="1"/>
          </xdr:cNvSpPr>
        </xdr:nvSpPr>
        <xdr:spPr bwMode="gray">
          <a:xfrm>
            <a:off x="2202" y="2352"/>
            <a:ext cx="0" cy="240"/>
          </a:xfrm>
          <a:prstGeom prst="line">
            <a:avLst/>
          </a:prstGeom>
          <a:grpFill/>
          <a:ln w="9525">
            <a:solidFill>
              <a:schemeClr val="bg1"/>
            </a:solidFill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/>
          <a:lstStyle>
            <a:defPPr>
              <a:defRPr lang="ja-JP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umimoji="1" sz="2400" kern="1200">
                <a:solidFill>
                  <a:schemeClr val="tx1"/>
                </a:solidFill>
                <a:latin typeface="Times New Roman" charset="0"/>
                <a:ea typeface="ＭＳ Ｐゴシック" charset="-128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umimoji="1" sz="2400" kern="1200">
                <a:solidFill>
                  <a:schemeClr val="tx1"/>
                </a:solidFill>
                <a:latin typeface="Times New Roman" charset="0"/>
                <a:ea typeface="ＭＳ Ｐゴシック" charset="-128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umimoji="1" sz="2400" kern="1200">
                <a:solidFill>
                  <a:schemeClr val="tx1"/>
                </a:solidFill>
                <a:latin typeface="Times New Roman" charset="0"/>
                <a:ea typeface="ＭＳ Ｐゴシック" charset="-128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umimoji="1" sz="2400" kern="1200">
                <a:solidFill>
                  <a:schemeClr val="tx1"/>
                </a:solidFill>
                <a:latin typeface="Times New Roman" charset="0"/>
                <a:ea typeface="ＭＳ Ｐゴシック" charset="-128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umimoji="1" sz="2400" kern="1200">
                <a:solidFill>
                  <a:schemeClr val="tx1"/>
                </a:solidFill>
                <a:latin typeface="Times New Roman" charset="0"/>
                <a:ea typeface="ＭＳ Ｐゴシック" charset="-128"/>
                <a:cs typeface="+mn-cs"/>
              </a:defRPr>
            </a:lvl5pPr>
            <a:lvl6pPr marL="2286000" algn="l" defTabSz="914400" rtl="0" eaLnBrk="1" latinLnBrk="0" hangingPunct="1">
              <a:defRPr kumimoji="1" sz="2400" kern="1200">
                <a:solidFill>
                  <a:schemeClr val="tx1"/>
                </a:solidFill>
                <a:latin typeface="Times New Roman" charset="0"/>
                <a:ea typeface="ＭＳ Ｐゴシック" charset="-128"/>
                <a:cs typeface="+mn-cs"/>
              </a:defRPr>
            </a:lvl6pPr>
            <a:lvl7pPr marL="2743200" algn="l" defTabSz="914400" rtl="0" eaLnBrk="1" latinLnBrk="0" hangingPunct="1">
              <a:defRPr kumimoji="1" sz="2400" kern="1200">
                <a:solidFill>
                  <a:schemeClr val="tx1"/>
                </a:solidFill>
                <a:latin typeface="Times New Roman" charset="0"/>
                <a:ea typeface="ＭＳ Ｐゴシック" charset="-128"/>
                <a:cs typeface="+mn-cs"/>
              </a:defRPr>
            </a:lvl7pPr>
            <a:lvl8pPr marL="3200400" algn="l" defTabSz="914400" rtl="0" eaLnBrk="1" latinLnBrk="0" hangingPunct="1">
              <a:defRPr kumimoji="1" sz="2400" kern="1200">
                <a:solidFill>
                  <a:schemeClr val="tx1"/>
                </a:solidFill>
                <a:latin typeface="Times New Roman" charset="0"/>
                <a:ea typeface="ＭＳ Ｐゴシック" charset="-128"/>
                <a:cs typeface="+mn-cs"/>
              </a:defRPr>
            </a:lvl8pPr>
            <a:lvl9pPr marL="3657600" algn="l" defTabSz="914400" rtl="0" eaLnBrk="1" latinLnBrk="0" hangingPunct="1">
              <a:defRPr kumimoji="1" sz="2400" kern="1200">
                <a:solidFill>
                  <a:schemeClr val="tx1"/>
                </a:solidFill>
                <a:latin typeface="Times New Roman" charset="0"/>
                <a:ea typeface="ＭＳ Ｐゴシック" charset="-128"/>
                <a:cs typeface="+mn-cs"/>
              </a:defRPr>
            </a:lvl9pPr>
          </a:lstStyle>
          <a:p>
            <a:endParaRPr lang="ja-JP" altLang="en-US"/>
          </a:p>
        </xdr:txBody>
      </xdr:sp>
      <xdr:sp macro="" textlink="">
        <xdr:nvSpPr>
          <xdr:cNvPr id="69" name="Line 26">
            <a:extLst>
              <a:ext uri="{FF2B5EF4-FFF2-40B4-BE49-F238E27FC236}">
                <a16:creationId xmlns:a16="http://schemas.microsoft.com/office/drawing/2014/main" id="{526D7FB5-8C48-3AFC-5BBC-DA4F318A1DF8}"/>
              </a:ext>
            </a:extLst>
          </xdr:cNvPr>
          <xdr:cNvSpPr>
            <a:spLocks noChangeShapeType="1"/>
          </xdr:cNvSpPr>
        </xdr:nvSpPr>
        <xdr:spPr bwMode="gray">
          <a:xfrm>
            <a:off x="2880" y="2352"/>
            <a:ext cx="0" cy="240"/>
          </a:xfrm>
          <a:prstGeom prst="line">
            <a:avLst/>
          </a:prstGeom>
          <a:grpFill/>
          <a:ln w="9525">
            <a:solidFill>
              <a:schemeClr val="bg1"/>
            </a:solidFill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/>
          <a:lstStyle>
            <a:defPPr>
              <a:defRPr lang="ja-JP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umimoji="1" sz="2400" kern="1200">
                <a:solidFill>
                  <a:schemeClr val="tx1"/>
                </a:solidFill>
                <a:latin typeface="Times New Roman" charset="0"/>
                <a:ea typeface="ＭＳ Ｐゴシック" charset="-128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umimoji="1" sz="2400" kern="1200">
                <a:solidFill>
                  <a:schemeClr val="tx1"/>
                </a:solidFill>
                <a:latin typeface="Times New Roman" charset="0"/>
                <a:ea typeface="ＭＳ Ｐゴシック" charset="-128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umimoji="1" sz="2400" kern="1200">
                <a:solidFill>
                  <a:schemeClr val="tx1"/>
                </a:solidFill>
                <a:latin typeface="Times New Roman" charset="0"/>
                <a:ea typeface="ＭＳ Ｐゴシック" charset="-128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umimoji="1" sz="2400" kern="1200">
                <a:solidFill>
                  <a:schemeClr val="tx1"/>
                </a:solidFill>
                <a:latin typeface="Times New Roman" charset="0"/>
                <a:ea typeface="ＭＳ Ｐゴシック" charset="-128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umimoji="1" sz="2400" kern="1200">
                <a:solidFill>
                  <a:schemeClr val="tx1"/>
                </a:solidFill>
                <a:latin typeface="Times New Roman" charset="0"/>
                <a:ea typeface="ＭＳ Ｐゴシック" charset="-128"/>
                <a:cs typeface="+mn-cs"/>
              </a:defRPr>
            </a:lvl5pPr>
            <a:lvl6pPr marL="2286000" algn="l" defTabSz="914400" rtl="0" eaLnBrk="1" latinLnBrk="0" hangingPunct="1">
              <a:defRPr kumimoji="1" sz="2400" kern="1200">
                <a:solidFill>
                  <a:schemeClr val="tx1"/>
                </a:solidFill>
                <a:latin typeface="Times New Roman" charset="0"/>
                <a:ea typeface="ＭＳ Ｐゴシック" charset="-128"/>
                <a:cs typeface="+mn-cs"/>
              </a:defRPr>
            </a:lvl6pPr>
            <a:lvl7pPr marL="2743200" algn="l" defTabSz="914400" rtl="0" eaLnBrk="1" latinLnBrk="0" hangingPunct="1">
              <a:defRPr kumimoji="1" sz="2400" kern="1200">
                <a:solidFill>
                  <a:schemeClr val="tx1"/>
                </a:solidFill>
                <a:latin typeface="Times New Roman" charset="0"/>
                <a:ea typeface="ＭＳ Ｐゴシック" charset="-128"/>
                <a:cs typeface="+mn-cs"/>
              </a:defRPr>
            </a:lvl7pPr>
            <a:lvl8pPr marL="3200400" algn="l" defTabSz="914400" rtl="0" eaLnBrk="1" latinLnBrk="0" hangingPunct="1">
              <a:defRPr kumimoji="1" sz="2400" kern="1200">
                <a:solidFill>
                  <a:schemeClr val="tx1"/>
                </a:solidFill>
                <a:latin typeface="Times New Roman" charset="0"/>
                <a:ea typeface="ＭＳ Ｐゴシック" charset="-128"/>
                <a:cs typeface="+mn-cs"/>
              </a:defRPr>
            </a:lvl8pPr>
            <a:lvl9pPr marL="3657600" algn="l" defTabSz="914400" rtl="0" eaLnBrk="1" latinLnBrk="0" hangingPunct="1">
              <a:defRPr kumimoji="1" sz="2400" kern="1200">
                <a:solidFill>
                  <a:schemeClr val="tx1"/>
                </a:solidFill>
                <a:latin typeface="Times New Roman" charset="0"/>
                <a:ea typeface="ＭＳ Ｐゴシック" charset="-128"/>
                <a:cs typeface="+mn-cs"/>
              </a:defRPr>
            </a:lvl9pPr>
          </a:lstStyle>
          <a:p>
            <a:endParaRPr lang="ja-JP" altLang="en-US"/>
          </a:p>
        </xdr:txBody>
      </xdr:sp>
    </xdr:grpSp>
    <xdr:clientData/>
  </xdr:twoCellAnchor>
  <xdr:twoCellAnchor>
    <xdr:from>
      <xdr:col>59</xdr:col>
      <xdr:colOff>106457</xdr:colOff>
      <xdr:row>35</xdr:row>
      <xdr:rowOff>0</xdr:rowOff>
    </xdr:from>
    <xdr:to>
      <xdr:col>63</xdr:col>
      <xdr:colOff>39939</xdr:colOff>
      <xdr:row>39</xdr:row>
      <xdr:rowOff>60960</xdr:rowOff>
    </xdr:to>
    <xdr:grpSp>
      <xdr:nvGrpSpPr>
        <xdr:cNvPr id="70" name="Group 42">
          <a:extLst>
            <a:ext uri="{FF2B5EF4-FFF2-40B4-BE49-F238E27FC236}">
              <a16:creationId xmlns:a16="http://schemas.microsoft.com/office/drawing/2014/main" id="{FA220A91-6AAC-46CD-BA6C-EFA1F99B7901}"/>
            </a:ext>
          </a:extLst>
        </xdr:cNvPr>
        <xdr:cNvGrpSpPr>
          <a:grpSpLocks noChangeAspect="1"/>
        </xdr:cNvGrpSpPr>
      </xdr:nvGrpSpPr>
      <xdr:grpSpPr bwMode="auto">
        <a:xfrm>
          <a:off x="8536082" y="6667500"/>
          <a:ext cx="504982" cy="822960"/>
          <a:chOff x="4032" y="1344"/>
          <a:chExt cx="864" cy="1440"/>
        </a:xfrm>
      </xdr:grpSpPr>
      <xdr:sp macro="" textlink="">
        <xdr:nvSpPr>
          <xdr:cNvPr id="71" name="Oval 33">
            <a:extLst>
              <a:ext uri="{FF2B5EF4-FFF2-40B4-BE49-F238E27FC236}">
                <a16:creationId xmlns:a16="http://schemas.microsoft.com/office/drawing/2014/main" id="{5E140C23-59BF-2E5F-A065-C4952469672C}"/>
              </a:ext>
            </a:extLst>
          </xdr:cNvPr>
          <xdr:cNvSpPr>
            <a:spLocks noChangeArrowheads="1"/>
          </xdr:cNvSpPr>
        </xdr:nvSpPr>
        <xdr:spPr bwMode="gray">
          <a:xfrm>
            <a:off x="4128" y="1344"/>
            <a:ext cx="672" cy="672"/>
          </a:xfrm>
          <a:prstGeom prst="ellipse">
            <a:avLst/>
          </a:prstGeom>
          <a:solidFill>
            <a:srgbClr val="009900"/>
          </a:solidFill>
          <a:ln>
            <a:noFill/>
          </a:ln>
          <a:effectLst/>
          <a:extLst>
            <a:ext uri="{91240B29-F687-4F45-9708-019B960494DF}">
              <a14:hiddenLine xmlns:a14="http://schemas.microsoft.com/office/drawing/2010/main" w="9525">
                <a:solidFill>
                  <a:schemeClr val="tx1"/>
                </a:solidFill>
                <a:round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ja-JP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umimoji="1" sz="2400" kern="1200">
                <a:solidFill>
                  <a:schemeClr val="tx1"/>
                </a:solidFill>
                <a:latin typeface="Times New Roman" charset="0"/>
                <a:ea typeface="ＭＳ Ｐゴシック" charset="-128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umimoji="1" sz="2400" kern="1200">
                <a:solidFill>
                  <a:schemeClr val="tx1"/>
                </a:solidFill>
                <a:latin typeface="Times New Roman" charset="0"/>
                <a:ea typeface="ＭＳ Ｐゴシック" charset="-128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umimoji="1" sz="2400" kern="1200">
                <a:solidFill>
                  <a:schemeClr val="tx1"/>
                </a:solidFill>
                <a:latin typeface="Times New Roman" charset="0"/>
                <a:ea typeface="ＭＳ Ｐゴシック" charset="-128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umimoji="1" sz="2400" kern="1200">
                <a:solidFill>
                  <a:schemeClr val="tx1"/>
                </a:solidFill>
                <a:latin typeface="Times New Roman" charset="0"/>
                <a:ea typeface="ＭＳ Ｐゴシック" charset="-128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umimoji="1" sz="2400" kern="1200">
                <a:solidFill>
                  <a:schemeClr val="tx1"/>
                </a:solidFill>
                <a:latin typeface="Times New Roman" charset="0"/>
                <a:ea typeface="ＭＳ Ｐゴシック" charset="-128"/>
                <a:cs typeface="+mn-cs"/>
              </a:defRPr>
            </a:lvl5pPr>
            <a:lvl6pPr marL="2286000" algn="l" defTabSz="914400" rtl="0" eaLnBrk="1" latinLnBrk="0" hangingPunct="1">
              <a:defRPr kumimoji="1" sz="2400" kern="1200">
                <a:solidFill>
                  <a:schemeClr val="tx1"/>
                </a:solidFill>
                <a:latin typeface="Times New Roman" charset="0"/>
                <a:ea typeface="ＭＳ Ｐゴシック" charset="-128"/>
                <a:cs typeface="+mn-cs"/>
              </a:defRPr>
            </a:lvl6pPr>
            <a:lvl7pPr marL="2743200" algn="l" defTabSz="914400" rtl="0" eaLnBrk="1" latinLnBrk="0" hangingPunct="1">
              <a:defRPr kumimoji="1" sz="2400" kern="1200">
                <a:solidFill>
                  <a:schemeClr val="tx1"/>
                </a:solidFill>
                <a:latin typeface="Times New Roman" charset="0"/>
                <a:ea typeface="ＭＳ Ｐゴシック" charset="-128"/>
                <a:cs typeface="+mn-cs"/>
              </a:defRPr>
            </a:lvl7pPr>
            <a:lvl8pPr marL="3200400" algn="l" defTabSz="914400" rtl="0" eaLnBrk="1" latinLnBrk="0" hangingPunct="1">
              <a:defRPr kumimoji="1" sz="2400" kern="1200">
                <a:solidFill>
                  <a:schemeClr val="tx1"/>
                </a:solidFill>
                <a:latin typeface="Times New Roman" charset="0"/>
                <a:ea typeface="ＭＳ Ｐゴシック" charset="-128"/>
                <a:cs typeface="+mn-cs"/>
              </a:defRPr>
            </a:lvl8pPr>
            <a:lvl9pPr marL="3657600" algn="l" defTabSz="914400" rtl="0" eaLnBrk="1" latinLnBrk="0" hangingPunct="1">
              <a:defRPr kumimoji="1" sz="2400" kern="1200">
                <a:solidFill>
                  <a:schemeClr val="tx1"/>
                </a:solidFill>
                <a:latin typeface="Times New Roman" charset="0"/>
                <a:ea typeface="ＭＳ Ｐゴシック" charset="-128"/>
                <a:cs typeface="+mn-cs"/>
              </a:defRPr>
            </a:lvl9pPr>
          </a:lstStyle>
          <a:p>
            <a:endParaRPr lang="ja-JP" altLang="en-US"/>
          </a:p>
        </xdr:txBody>
      </xdr:sp>
      <xdr:sp macro="" textlink="">
        <xdr:nvSpPr>
          <xdr:cNvPr id="72" name="Rectangle 34">
            <a:extLst>
              <a:ext uri="{FF2B5EF4-FFF2-40B4-BE49-F238E27FC236}">
                <a16:creationId xmlns:a16="http://schemas.microsoft.com/office/drawing/2014/main" id="{19638FA7-09D1-F8BD-84D6-06DD076FA6E9}"/>
              </a:ext>
            </a:extLst>
          </xdr:cNvPr>
          <xdr:cNvSpPr>
            <a:spLocks noChangeArrowheads="1"/>
          </xdr:cNvSpPr>
        </xdr:nvSpPr>
        <xdr:spPr bwMode="gray">
          <a:xfrm>
            <a:off x="4128" y="2400"/>
            <a:ext cx="672" cy="384"/>
          </a:xfrm>
          <a:prstGeom prst="rect">
            <a:avLst/>
          </a:prstGeom>
          <a:solidFill>
            <a:srgbClr val="009900"/>
          </a:solidFill>
          <a:ln>
            <a:noFill/>
          </a:ln>
          <a:effectLst/>
          <a:extLst>
            <a:ext uri="{91240B29-F687-4F45-9708-019B960494DF}">
              <a14:hiddenLine xmlns:a14="http://schemas.microsoft.com/office/drawing/2010/main" w="9525">
                <a:solidFill>
                  <a:schemeClr val="tx1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ja-JP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umimoji="1" sz="2400" kern="1200">
                <a:solidFill>
                  <a:schemeClr val="tx1"/>
                </a:solidFill>
                <a:latin typeface="Times New Roman" charset="0"/>
                <a:ea typeface="ＭＳ Ｐゴシック" charset="-128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umimoji="1" sz="2400" kern="1200">
                <a:solidFill>
                  <a:schemeClr val="tx1"/>
                </a:solidFill>
                <a:latin typeface="Times New Roman" charset="0"/>
                <a:ea typeface="ＭＳ Ｐゴシック" charset="-128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umimoji="1" sz="2400" kern="1200">
                <a:solidFill>
                  <a:schemeClr val="tx1"/>
                </a:solidFill>
                <a:latin typeface="Times New Roman" charset="0"/>
                <a:ea typeface="ＭＳ Ｐゴシック" charset="-128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umimoji="1" sz="2400" kern="1200">
                <a:solidFill>
                  <a:schemeClr val="tx1"/>
                </a:solidFill>
                <a:latin typeface="Times New Roman" charset="0"/>
                <a:ea typeface="ＭＳ Ｐゴシック" charset="-128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umimoji="1" sz="2400" kern="1200">
                <a:solidFill>
                  <a:schemeClr val="tx1"/>
                </a:solidFill>
                <a:latin typeface="Times New Roman" charset="0"/>
                <a:ea typeface="ＭＳ Ｐゴシック" charset="-128"/>
                <a:cs typeface="+mn-cs"/>
              </a:defRPr>
            </a:lvl5pPr>
            <a:lvl6pPr marL="2286000" algn="l" defTabSz="914400" rtl="0" eaLnBrk="1" latinLnBrk="0" hangingPunct="1">
              <a:defRPr kumimoji="1" sz="2400" kern="1200">
                <a:solidFill>
                  <a:schemeClr val="tx1"/>
                </a:solidFill>
                <a:latin typeface="Times New Roman" charset="0"/>
                <a:ea typeface="ＭＳ Ｐゴシック" charset="-128"/>
                <a:cs typeface="+mn-cs"/>
              </a:defRPr>
            </a:lvl6pPr>
            <a:lvl7pPr marL="2743200" algn="l" defTabSz="914400" rtl="0" eaLnBrk="1" latinLnBrk="0" hangingPunct="1">
              <a:defRPr kumimoji="1" sz="2400" kern="1200">
                <a:solidFill>
                  <a:schemeClr val="tx1"/>
                </a:solidFill>
                <a:latin typeface="Times New Roman" charset="0"/>
                <a:ea typeface="ＭＳ Ｐゴシック" charset="-128"/>
                <a:cs typeface="+mn-cs"/>
              </a:defRPr>
            </a:lvl7pPr>
            <a:lvl8pPr marL="3200400" algn="l" defTabSz="914400" rtl="0" eaLnBrk="1" latinLnBrk="0" hangingPunct="1">
              <a:defRPr kumimoji="1" sz="2400" kern="1200">
                <a:solidFill>
                  <a:schemeClr val="tx1"/>
                </a:solidFill>
                <a:latin typeface="Times New Roman" charset="0"/>
                <a:ea typeface="ＭＳ Ｐゴシック" charset="-128"/>
                <a:cs typeface="+mn-cs"/>
              </a:defRPr>
            </a:lvl8pPr>
            <a:lvl9pPr marL="3657600" algn="l" defTabSz="914400" rtl="0" eaLnBrk="1" latinLnBrk="0" hangingPunct="1">
              <a:defRPr kumimoji="1" sz="2400" kern="1200">
                <a:solidFill>
                  <a:schemeClr val="tx1"/>
                </a:solidFill>
                <a:latin typeface="Times New Roman" charset="0"/>
                <a:ea typeface="ＭＳ Ｐゴシック" charset="-128"/>
                <a:cs typeface="+mn-cs"/>
              </a:defRPr>
            </a:lvl9pPr>
          </a:lstStyle>
          <a:p>
            <a:endParaRPr lang="ja-JP" altLang="en-US"/>
          </a:p>
        </xdr:txBody>
      </xdr:sp>
      <xdr:sp macro="" textlink="">
        <xdr:nvSpPr>
          <xdr:cNvPr id="73" name="AutoShape 36">
            <a:extLst>
              <a:ext uri="{FF2B5EF4-FFF2-40B4-BE49-F238E27FC236}">
                <a16:creationId xmlns:a16="http://schemas.microsoft.com/office/drawing/2014/main" id="{004DF1AC-3DD5-AE52-59A7-F0ED1C0990BE}"/>
              </a:ext>
            </a:extLst>
          </xdr:cNvPr>
          <xdr:cNvSpPr>
            <a:spLocks noChangeArrowheads="1"/>
          </xdr:cNvSpPr>
        </xdr:nvSpPr>
        <xdr:spPr bwMode="auto">
          <a:xfrm>
            <a:off x="4032" y="2016"/>
            <a:ext cx="864" cy="576"/>
          </a:xfrm>
          <a:prstGeom prst="roundRect">
            <a:avLst>
              <a:gd name="adj" fmla="val 16667"/>
            </a:avLst>
          </a:prstGeom>
          <a:solidFill>
            <a:srgbClr val="009900"/>
          </a:solidFill>
          <a:ln>
            <a:noFill/>
          </a:ln>
          <a:effectLst/>
          <a:extLst>
            <a:ext uri="{91240B29-F687-4F45-9708-019B960494DF}">
              <a14:hiddenLine xmlns:a14="http://schemas.microsoft.com/office/drawing/2010/main" w="9525">
                <a:solidFill>
                  <a:schemeClr val="tx1"/>
                </a:solidFill>
                <a:round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ja-JP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umimoji="1" sz="2400" kern="1200">
                <a:solidFill>
                  <a:schemeClr val="tx1"/>
                </a:solidFill>
                <a:latin typeface="Times New Roman" charset="0"/>
                <a:ea typeface="ＭＳ Ｐゴシック" charset="-128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umimoji="1" sz="2400" kern="1200">
                <a:solidFill>
                  <a:schemeClr val="tx1"/>
                </a:solidFill>
                <a:latin typeface="Times New Roman" charset="0"/>
                <a:ea typeface="ＭＳ Ｐゴシック" charset="-128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umimoji="1" sz="2400" kern="1200">
                <a:solidFill>
                  <a:schemeClr val="tx1"/>
                </a:solidFill>
                <a:latin typeface="Times New Roman" charset="0"/>
                <a:ea typeface="ＭＳ Ｐゴシック" charset="-128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umimoji="1" sz="2400" kern="1200">
                <a:solidFill>
                  <a:schemeClr val="tx1"/>
                </a:solidFill>
                <a:latin typeface="Times New Roman" charset="0"/>
                <a:ea typeface="ＭＳ Ｐゴシック" charset="-128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umimoji="1" sz="2400" kern="1200">
                <a:solidFill>
                  <a:schemeClr val="tx1"/>
                </a:solidFill>
                <a:latin typeface="Times New Roman" charset="0"/>
                <a:ea typeface="ＭＳ Ｐゴシック" charset="-128"/>
                <a:cs typeface="+mn-cs"/>
              </a:defRPr>
            </a:lvl5pPr>
            <a:lvl6pPr marL="2286000" algn="l" defTabSz="914400" rtl="0" eaLnBrk="1" latinLnBrk="0" hangingPunct="1">
              <a:defRPr kumimoji="1" sz="2400" kern="1200">
                <a:solidFill>
                  <a:schemeClr val="tx1"/>
                </a:solidFill>
                <a:latin typeface="Times New Roman" charset="0"/>
                <a:ea typeface="ＭＳ Ｐゴシック" charset="-128"/>
                <a:cs typeface="+mn-cs"/>
              </a:defRPr>
            </a:lvl6pPr>
            <a:lvl7pPr marL="2743200" algn="l" defTabSz="914400" rtl="0" eaLnBrk="1" latinLnBrk="0" hangingPunct="1">
              <a:defRPr kumimoji="1" sz="2400" kern="1200">
                <a:solidFill>
                  <a:schemeClr val="tx1"/>
                </a:solidFill>
                <a:latin typeface="Times New Roman" charset="0"/>
                <a:ea typeface="ＭＳ Ｐゴシック" charset="-128"/>
                <a:cs typeface="+mn-cs"/>
              </a:defRPr>
            </a:lvl7pPr>
            <a:lvl8pPr marL="3200400" algn="l" defTabSz="914400" rtl="0" eaLnBrk="1" latinLnBrk="0" hangingPunct="1">
              <a:defRPr kumimoji="1" sz="2400" kern="1200">
                <a:solidFill>
                  <a:schemeClr val="tx1"/>
                </a:solidFill>
                <a:latin typeface="Times New Roman" charset="0"/>
                <a:ea typeface="ＭＳ Ｐゴシック" charset="-128"/>
                <a:cs typeface="+mn-cs"/>
              </a:defRPr>
            </a:lvl8pPr>
            <a:lvl9pPr marL="3657600" algn="l" defTabSz="914400" rtl="0" eaLnBrk="1" latinLnBrk="0" hangingPunct="1">
              <a:defRPr kumimoji="1" sz="2400" kern="1200">
                <a:solidFill>
                  <a:schemeClr val="tx1"/>
                </a:solidFill>
                <a:latin typeface="Times New Roman" charset="0"/>
                <a:ea typeface="ＭＳ Ｐゴシック" charset="-128"/>
                <a:cs typeface="+mn-cs"/>
              </a:defRPr>
            </a:lvl9pPr>
          </a:lstStyle>
          <a:p>
            <a:endParaRPr lang="ja-JP" altLang="en-US"/>
          </a:p>
        </xdr:txBody>
      </xdr:sp>
      <xdr:sp macro="" textlink="">
        <xdr:nvSpPr>
          <xdr:cNvPr id="74" name="Line 37">
            <a:extLst>
              <a:ext uri="{FF2B5EF4-FFF2-40B4-BE49-F238E27FC236}">
                <a16:creationId xmlns:a16="http://schemas.microsoft.com/office/drawing/2014/main" id="{9D2A3228-E0B1-DA5E-ECDC-F4B075D9F576}"/>
              </a:ext>
            </a:extLst>
          </xdr:cNvPr>
          <xdr:cNvSpPr>
            <a:spLocks noChangeShapeType="1"/>
          </xdr:cNvSpPr>
        </xdr:nvSpPr>
        <xdr:spPr bwMode="gray">
          <a:xfrm>
            <a:off x="4122" y="2352"/>
            <a:ext cx="0" cy="240"/>
          </a:xfrm>
          <a:prstGeom prst="line">
            <a:avLst/>
          </a:prstGeom>
          <a:noFill/>
          <a:ln w="9525">
            <a:solidFill>
              <a:schemeClr val="bg1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/>
          <a:lstStyle>
            <a:defPPr>
              <a:defRPr lang="ja-JP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umimoji="1" sz="2400" kern="1200">
                <a:solidFill>
                  <a:schemeClr val="tx1"/>
                </a:solidFill>
                <a:latin typeface="Times New Roman" charset="0"/>
                <a:ea typeface="ＭＳ Ｐゴシック" charset="-128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umimoji="1" sz="2400" kern="1200">
                <a:solidFill>
                  <a:schemeClr val="tx1"/>
                </a:solidFill>
                <a:latin typeface="Times New Roman" charset="0"/>
                <a:ea typeface="ＭＳ Ｐゴシック" charset="-128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umimoji="1" sz="2400" kern="1200">
                <a:solidFill>
                  <a:schemeClr val="tx1"/>
                </a:solidFill>
                <a:latin typeface="Times New Roman" charset="0"/>
                <a:ea typeface="ＭＳ Ｐゴシック" charset="-128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umimoji="1" sz="2400" kern="1200">
                <a:solidFill>
                  <a:schemeClr val="tx1"/>
                </a:solidFill>
                <a:latin typeface="Times New Roman" charset="0"/>
                <a:ea typeface="ＭＳ Ｐゴシック" charset="-128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umimoji="1" sz="2400" kern="1200">
                <a:solidFill>
                  <a:schemeClr val="tx1"/>
                </a:solidFill>
                <a:latin typeface="Times New Roman" charset="0"/>
                <a:ea typeface="ＭＳ Ｐゴシック" charset="-128"/>
                <a:cs typeface="+mn-cs"/>
              </a:defRPr>
            </a:lvl5pPr>
            <a:lvl6pPr marL="2286000" algn="l" defTabSz="914400" rtl="0" eaLnBrk="1" latinLnBrk="0" hangingPunct="1">
              <a:defRPr kumimoji="1" sz="2400" kern="1200">
                <a:solidFill>
                  <a:schemeClr val="tx1"/>
                </a:solidFill>
                <a:latin typeface="Times New Roman" charset="0"/>
                <a:ea typeface="ＭＳ Ｐゴシック" charset="-128"/>
                <a:cs typeface="+mn-cs"/>
              </a:defRPr>
            </a:lvl6pPr>
            <a:lvl7pPr marL="2743200" algn="l" defTabSz="914400" rtl="0" eaLnBrk="1" latinLnBrk="0" hangingPunct="1">
              <a:defRPr kumimoji="1" sz="2400" kern="1200">
                <a:solidFill>
                  <a:schemeClr val="tx1"/>
                </a:solidFill>
                <a:latin typeface="Times New Roman" charset="0"/>
                <a:ea typeface="ＭＳ Ｐゴシック" charset="-128"/>
                <a:cs typeface="+mn-cs"/>
              </a:defRPr>
            </a:lvl7pPr>
            <a:lvl8pPr marL="3200400" algn="l" defTabSz="914400" rtl="0" eaLnBrk="1" latinLnBrk="0" hangingPunct="1">
              <a:defRPr kumimoji="1" sz="2400" kern="1200">
                <a:solidFill>
                  <a:schemeClr val="tx1"/>
                </a:solidFill>
                <a:latin typeface="Times New Roman" charset="0"/>
                <a:ea typeface="ＭＳ Ｐゴシック" charset="-128"/>
                <a:cs typeface="+mn-cs"/>
              </a:defRPr>
            </a:lvl8pPr>
            <a:lvl9pPr marL="3657600" algn="l" defTabSz="914400" rtl="0" eaLnBrk="1" latinLnBrk="0" hangingPunct="1">
              <a:defRPr kumimoji="1" sz="2400" kern="1200">
                <a:solidFill>
                  <a:schemeClr val="tx1"/>
                </a:solidFill>
                <a:latin typeface="Times New Roman" charset="0"/>
                <a:ea typeface="ＭＳ Ｐゴシック" charset="-128"/>
                <a:cs typeface="+mn-cs"/>
              </a:defRPr>
            </a:lvl9pPr>
          </a:lstStyle>
          <a:p>
            <a:endParaRPr lang="ja-JP" altLang="en-US"/>
          </a:p>
        </xdr:txBody>
      </xdr:sp>
      <xdr:sp macro="" textlink="">
        <xdr:nvSpPr>
          <xdr:cNvPr id="75" name="Line 38">
            <a:extLst>
              <a:ext uri="{FF2B5EF4-FFF2-40B4-BE49-F238E27FC236}">
                <a16:creationId xmlns:a16="http://schemas.microsoft.com/office/drawing/2014/main" id="{AD211BFA-FCC7-3FE1-1E02-0DB3F39C3104}"/>
              </a:ext>
            </a:extLst>
          </xdr:cNvPr>
          <xdr:cNvSpPr>
            <a:spLocks noChangeShapeType="1"/>
          </xdr:cNvSpPr>
        </xdr:nvSpPr>
        <xdr:spPr bwMode="gray">
          <a:xfrm>
            <a:off x="4800" y="2352"/>
            <a:ext cx="0" cy="240"/>
          </a:xfrm>
          <a:prstGeom prst="line">
            <a:avLst/>
          </a:prstGeom>
          <a:noFill/>
          <a:ln w="9525">
            <a:solidFill>
              <a:schemeClr val="bg1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/>
          <a:lstStyle>
            <a:defPPr>
              <a:defRPr lang="ja-JP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umimoji="1" sz="2400" kern="1200">
                <a:solidFill>
                  <a:schemeClr val="tx1"/>
                </a:solidFill>
                <a:latin typeface="Times New Roman" charset="0"/>
                <a:ea typeface="ＭＳ Ｐゴシック" charset="-128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umimoji="1" sz="2400" kern="1200">
                <a:solidFill>
                  <a:schemeClr val="tx1"/>
                </a:solidFill>
                <a:latin typeface="Times New Roman" charset="0"/>
                <a:ea typeface="ＭＳ Ｐゴシック" charset="-128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umimoji="1" sz="2400" kern="1200">
                <a:solidFill>
                  <a:schemeClr val="tx1"/>
                </a:solidFill>
                <a:latin typeface="Times New Roman" charset="0"/>
                <a:ea typeface="ＭＳ Ｐゴシック" charset="-128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umimoji="1" sz="2400" kern="1200">
                <a:solidFill>
                  <a:schemeClr val="tx1"/>
                </a:solidFill>
                <a:latin typeface="Times New Roman" charset="0"/>
                <a:ea typeface="ＭＳ Ｐゴシック" charset="-128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umimoji="1" sz="2400" kern="1200">
                <a:solidFill>
                  <a:schemeClr val="tx1"/>
                </a:solidFill>
                <a:latin typeface="Times New Roman" charset="0"/>
                <a:ea typeface="ＭＳ Ｐゴシック" charset="-128"/>
                <a:cs typeface="+mn-cs"/>
              </a:defRPr>
            </a:lvl5pPr>
            <a:lvl6pPr marL="2286000" algn="l" defTabSz="914400" rtl="0" eaLnBrk="1" latinLnBrk="0" hangingPunct="1">
              <a:defRPr kumimoji="1" sz="2400" kern="1200">
                <a:solidFill>
                  <a:schemeClr val="tx1"/>
                </a:solidFill>
                <a:latin typeface="Times New Roman" charset="0"/>
                <a:ea typeface="ＭＳ Ｐゴシック" charset="-128"/>
                <a:cs typeface="+mn-cs"/>
              </a:defRPr>
            </a:lvl6pPr>
            <a:lvl7pPr marL="2743200" algn="l" defTabSz="914400" rtl="0" eaLnBrk="1" latinLnBrk="0" hangingPunct="1">
              <a:defRPr kumimoji="1" sz="2400" kern="1200">
                <a:solidFill>
                  <a:schemeClr val="tx1"/>
                </a:solidFill>
                <a:latin typeface="Times New Roman" charset="0"/>
                <a:ea typeface="ＭＳ Ｐゴシック" charset="-128"/>
                <a:cs typeface="+mn-cs"/>
              </a:defRPr>
            </a:lvl7pPr>
            <a:lvl8pPr marL="3200400" algn="l" defTabSz="914400" rtl="0" eaLnBrk="1" latinLnBrk="0" hangingPunct="1">
              <a:defRPr kumimoji="1" sz="2400" kern="1200">
                <a:solidFill>
                  <a:schemeClr val="tx1"/>
                </a:solidFill>
                <a:latin typeface="Times New Roman" charset="0"/>
                <a:ea typeface="ＭＳ Ｐゴシック" charset="-128"/>
                <a:cs typeface="+mn-cs"/>
              </a:defRPr>
            </a:lvl8pPr>
            <a:lvl9pPr marL="3657600" algn="l" defTabSz="914400" rtl="0" eaLnBrk="1" latinLnBrk="0" hangingPunct="1">
              <a:defRPr kumimoji="1" sz="2400" kern="1200">
                <a:solidFill>
                  <a:schemeClr val="tx1"/>
                </a:solidFill>
                <a:latin typeface="Times New Roman" charset="0"/>
                <a:ea typeface="ＭＳ Ｐゴシック" charset="-128"/>
                <a:cs typeface="+mn-cs"/>
              </a:defRPr>
            </a:lvl9pPr>
          </a:lstStyle>
          <a:p>
            <a:endParaRPr lang="ja-JP" altLang="en-US"/>
          </a:p>
        </xdr:txBody>
      </xdr:sp>
    </xdr:grpSp>
    <xdr:clientData/>
  </xdr:twoCellAnchor>
  <xdr:twoCellAnchor editAs="oneCell">
    <xdr:from>
      <xdr:col>47</xdr:col>
      <xdr:colOff>57150</xdr:colOff>
      <xdr:row>37</xdr:row>
      <xdr:rowOff>161925</xdr:rowOff>
    </xdr:from>
    <xdr:to>
      <xdr:col>51</xdr:col>
      <xdr:colOff>57150</xdr:colOff>
      <xdr:row>40</xdr:row>
      <xdr:rowOff>161925</xdr:rowOff>
    </xdr:to>
    <xdr:pic>
      <xdr:nvPicPr>
        <xdr:cNvPr id="76" name="グラフィックス 75" descr="封筒">
          <a:extLst>
            <a:ext uri="{FF2B5EF4-FFF2-40B4-BE49-F238E27FC236}">
              <a16:creationId xmlns:a16="http://schemas.microsoft.com/office/drawing/2014/main" id="{D16B576A-CDCB-4757-90AC-90257D7D10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772275" y="7210425"/>
          <a:ext cx="571500" cy="571500"/>
        </a:xfrm>
        <a:prstGeom prst="rect">
          <a:avLst/>
        </a:prstGeom>
      </xdr:spPr>
    </xdr:pic>
    <xdr:clientData/>
  </xdr:twoCellAnchor>
  <xdr:twoCellAnchor>
    <xdr:from>
      <xdr:col>55</xdr:col>
      <xdr:colOff>76200</xdr:colOff>
      <xdr:row>27</xdr:row>
      <xdr:rowOff>180975</xdr:rowOff>
    </xdr:from>
    <xdr:to>
      <xdr:col>64</xdr:col>
      <xdr:colOff>76200</xdr:colOff>
      <xdr:row>32</xdr:row>
      <xdr:rowOff>38100</xdr:rowOff>
    </xdr:to>
    <xdr:cxnSp macro="">
      <xdr:nvCxnSpPr>
        <xdr:cNvPr id="80" name="直線コネクタ 79">
          <a:extLst>
            <a:ext uri="{FF2B5EF4-FFF2-40B4-BE49-F238E27FC236}">
              <a16:creationId xmlns:a16="http://schemas.microsoft.com/office/drawing/2014/main" id="{CB29A3BC-45A3-38A0-3F27-BAEF3F464FD7}"/>
            </a:ext>
          </a:extLst>
        </xdr:cNvPr>
        <xdr:cNvCxnSpPr/>
      </xdr:nvCxnSpPr>
      <xdr:spPr bwMode="auto">
        <a:xfrm flipH="1">
          <a:off x="7934325" y="5324475"/>
          <a:ext cx="1285875" cy="809625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56</xdr:col>
      <xdr:colOff>95250</xdr:colOff>
      <xdr:row>29</xdr:row>
      <xdr:rowOff>133350</xdr:rowOff>
    </xdr:from>
    <xdr:to>
      <xdr:col>63</xdr:col>
      <xdr:colOff>133350</xdr:colOff>
      <xdr:row>32</xdr:row>
      <xdr:rowOff>85725</xdr:rowOff>
    </xdr:to>
    <xdr:cxnSp macro="">
      <xdr:nvCxnSpPr>
        <xdr:cNvPr id="81" name="直線コネクタ 80">
          <a:extLst>
            <a:ext uri="{FF2B5EF4-FFF2-40B4-BE49-F238E27FC236}">
              <a16:creationId xmlns:a16="http://schemas.microsoft.com/office/drawing/2014/main" id="{934BFAB8-4603-4790-979D-A6FAD3D5E42F}"/>
            </a:ext>
          </a:extLst>
        </xdr:cNvPr>
        <xdr:cNvCxnSpPr/>
      </xdr:nvCxnSpPr>
      <xdr:spPr bwMode="auto">
        <a:xfrm flipH="1" flipV="1">
          <a:off x="8096250" y="5657850"/>
          <a:ext cx="1038225" cy="523875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50</xdr:row>
      <xdr:rowOff>0</xdr:rowOff>
    </xdr:from>
    <xdr:to>
      <xdr:col>43</xdr:col>
      <xdr:colOff>8809</xdr:colOff>
      <xdr:row>63</xdr:row>
      <xdr:rowOff>142548</xdr:rowOff>
    </xdr:to>
    <xdr:pic>
      <xdr:nvPicPr>
        <xdr:cNvPr id="44" name="図 43">
          <a:extLst>
            <a:ext uri="{FF2B5EF4-FFF2-40B4-BE49-F238E27FC236}">
              <a16:creationId xmlns:a16="http://schemas.microsoft.com/office/drawing/2014/main" id="{D5FDE458-293A-92DC-5C54-349568F28B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9525000"/>
          <a:ext cx="5723809" cy="2619048"/>
        </a:xfrm>
        <a:prstGeom prst="rect">
          <a:avLst/>
        </a:prstGeom>
      </xdr:spPr>
    </xdr:pic>
    <xdr:clientData/>
  </xdr:twoCellAnchor>
  <xdr:twoCellAnchor>
    <xdr:from>
      <xdr:col>9</xdr:col>
      <xdr:colOff>104775</xdr:colOff>
      <xdr:row>54</xdr:row>
      <xdr:rowOff>47625</xdr:rowOff>
    </xdr:from>
    <xdr:to>
      <xdr:col>23</xdr:col>
      <xdr:colOff>123825</xdr:colOff>
      <xdr:row>55</xdr:row>
      <xdr:rowOff>38100</xdr:rowOff>
    </xdr:to>
    <xdr:sp macro="" textlink="">
      <xdr:nvSpPr>
        <xdr:cNvPr id="41" name="四角形: 角を丸くする 40">
          <a:extLst>
            <a:ext uri="{FF2B5EF4-FFF2-40B4-BE49-F238E27FC236}">
              <a16:creationId xmlns:a16="http://schemas.microsoft.com/office/drawing/2014/main" id="{7961AE5F-7370-7078-C9A3-705EF153FC87}"/>
            </a:ext>
          </a:extLst>
        </xdr:cNvPr>
        <xdr:cNvSpPr/>
      </xdr:nvSpPr>
      <xdr:spPr bwMode="auto">
        <a:xfrm>
          <a:off x="1390650" y="10334625"/>
          <a:ext cx="2019300" cy="180975"/>
        </a:xfrm>
        <a:prstGeom prst="roundRect">
          <a:avLst/>
        </a:prstGeom>
        <a:noFill/>
        <a:ln w="1905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  <a:scene3d>
          <a:camera prst="orthographicFront">
            <a:rot lat="0" lon="0" rev="0"/>
          </a:camera>
          <a:lightRig rig="threePt" dir="t"/>
        </a:scene3d>
      </xdr:spPr>
      <xdr:txBody>
        <a:bodyPr vertOverflow="clip" wrap="square" lIns="18288" tIns="0" rIns="0" bIns="0" rtlCol="0" anchor="ctr" upright="1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23</xdr:col>
      <xdr:colOff>123824</xdr:colOff>
      <xdr:row>52</xdr:row>
      <xdr:rowOff>47624</xdr:rowOff>
    </xdr:from>
    <xdr:to>
      <xdr:col>35</xdr:col>
      <xdr:colOff>19050</xdr:colOff>
      <xdr:row>52</xdr:row>
      <xdr:rowOff>190499</xdr:rowOff>
    </xdr:to>
    <xdr:sp macro="" textlink="">
      <xdr:nvSpPr>
        <xdr:cNvPr id="42" name="四角形: 角を丸くする 41">
          <a:extLst>
            <a:ext uri="{FF2B5EF4-FFF2-40B4-BE49-F238E27FC236}">
              <a16:creationId xmlns:a16="http://schemas.microsoft.com/office/drawing/2014/main" id="{787DD613-5F4F-4E7B-B9E3-DF4A407D94EA}"/>
            </a:ext>
          </a:extLst>
        </xdr:cNvPr>
        <xdr:cNvSpPr/>
      </xdr:nvSpPr>
      <xdr:spPr bwMode="auto">
        <a:xfrm>
          <a:off x="3409949" y="9953624"/>
          <a:ext cx="1609726" cy="142875"/>
        </a:xfrm>
        <a:prstGeom prst="roundRect">
          <a:avLst/>
        </a:prstGeom>
        <a:noFill/>
        <a:ln w="1905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  <a:scene3d>
          <a:camera prst="orthographicFront">
            <a:rot lat="0" lon="0" rev="0"/>
          </a:camera>
          <a:lightRig rig="threePt" dir="t"/>
        </a:scene3d>
      </xdr:spPr>
      <xdr:txBody>
        <a:bodyPr vertOverflow="clip" wrap="square" lIns="18288" tIns="0" rIns="0" bIns="0" rtlCol="0" anchor="ctr" upright="1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46</xdr:col>
      <xdr:colOff>57149</xdr:colOff>
      <xdr:row>51</xdr:row>
      <xdr:rowOff>171450</xdr:rowOff>
    </xdr:from>
    <xdr:to>
      <xdr:col>65</xdr:col>
      <xdr:colOff>114299</xdr:colOff>
      <xdr:row>54</xdr:row>
      <xdr:rowOff>9525</xdr:rowOff>
    </xdr:to>
    <xdr:sp macro="" textlink="">
      <xdr:nvSpPr>
        <xdr:cNvPr id="45" name="吹き出し: 線 44">
          <a:extLst>
            <a:ext uri="{FF2B5EF4-FFF2-40B4-BE49-F238E27FC236}">
              <a16:creationId xmlns:a16="http://schemas.microsoft.com/office/drawing/2014/main" id="{165788FA-B32B-2320-19F1-B6405D602A2E}"/>
            </a:ext>
          </a:extLst>
        </xdr:cNvPr>
        <xdr:cNvSpPr/>
      </xdr:nvSpPr>
      <xdr:spPr bwMode="auto">
        <a:xfrm>
          <a:off x="6629399" y="9886950"/>
          <a:ext cx="2771775" cy="409575"/>
        </a:xfrm>
        <a:prstGeom prst="borderCallout1">
          <a:avLst>
            <a:gd name="adj1" fmla="val 38750"/>
            <a:gd name="adj2" fmla="val -641"/>
            <a:gd name="adj3" fmla="val 31190"/>
            <a:gd name="adj4" fmla="val -57509"/>
          </a:avLst>
        </a:prstGeom>
        <a:solidFill>
          <a:srgbClr val="FFFFFF"/>
        </a:solidFill>
        <a:ln w="952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  <a:scene3d>
          <a:camera prst="orthographicFront">
            <a:rot lat="0" lon="0" rev="0"/>
          </a:camera>
          <a:lightRig rig="threePt" dir="t"/>
        </a:scene3d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en-US" altLang="ja-JP" sz="1100"/>
            <a:t>mailProperties.dicon</a:t>
          </a:r>
          <a:r>
            <a:rPr kumimoji="1" lang="ja-JP" altLang="en-US" sz="1100"/>
            <a:t>の</a:t>
          </a:r>
          <a:r>
            <a:rPr kumimoji="1" lang="en-US" altLang="ja-JP" sz="1100"/>
            <a:t>messageId</a:t>
          </a:r>
          <a:endParaRPr kumimoji="1" lang="ja-JP" altLang="en-US" sz="1100"/>
        </a:p>
      </xdr:txBody>
    </xdr:sp>
    <xdr:clientData/>
  </xdr:twoCellAnchor>
  <xdr:twoCellAnchor>
    <xdr:from>
      <xdr:col>46</xdr:col>
      <xdr:colOff>38100</xdr:colOff>
      <xdr:row>54</xdr:row>
      <xdr:rowOff>180975</xdr:rowOff>
    </xdr:from>
    <xdr:to>
      <xdr:col>65</xdr:col>
      <xdr:colOff>123825</xdr:colOff>
      <xdr:row>57</xdr:row>
      <xdr:rowOff>19050</xdr:rowOff>
    </xdr:to>
    <xdr:sp macro="" textlink="">
      <xdr:nvSpPr>
        <xdr:cNvPr id="46" name="吹き出し: 線 45">
          <a:extLst>
            <a:ext uri="{FF2B5EF4-FFF2-40B4-BE49-F238E27FC236}">
              <a16:creationId xmlns:a16="http://schemas.microsoft.com/office/drawing/2014/main" id="{224821B0-526D-4D50-A0BC-D4A43833C3C6}"/>
            </a:ext>
          </a:extLst>
        </xdr:cNvPr>
        <xdr:cNvSpPr/>
      </xdr:nvSpPr>
      <xdr:spPr bwMode="auto">
        <a:xfrm>
          <a:off x="6610350" y="10467975"/>
          <a:ext cx="2800350" cy="409575"/>
        </a:xfrm>
        <a:prstGeom prst="borderCallout1">
          <a:avLst>
            <a:gd name="adj1" fmla="val 38750"/>
            <a:gd name="adj2" fmla="val -641"/>
            <a:gd name="adj3" fmla="val -8345"/>
            <a:gd name="adj4" fmla="val -114079"/>
          </a:avLst>
        </a:prstGeom>
        <a:solidFill>
          <a:srgbClr val="FFFFFF"/>
        </a:solidFill>
        <a:ln w="952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  <a:scene3d>
          <a:camera prst="orthographicFront">
            <a:rot lat="0" lon="0" rev="0"/>
          </a:camera>
          <a:lightRig rig="threePt" dir="t"/>
        </a:scene3d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en-US" altLang="ja-JP" sz="1100"/>
            <a:t>sendMailMai_sendMessage.dicon</a:t>
          </a:r>
          <a:r>
            <a:rPr kumimoji="1" lang="ja-JP" altLang="en-US" sz="1100"/>
            <a:t>の</a:t>
          </a:r>
          <a:r>
            <a:rPr kumimoji="1" lang="en-US" altLang="ja-JP" sz="1100"/>
            <a:t>charset</a:t>
          </a:r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scene3d>
          <a:camera prst="orthographicFront">
            <a:rot lat="0" lon="0" rev="0"/>
          </a:camera>
          <a:lightRig rig="threePt" dir="t"/>
        </a:scene3d>
      </a:spPr>
      <a:bodyPr vertOverflow="clip" wrap="square" lIns="18288" tIns="0" rIns="0" bIns="0" rtlCol="0" anchor="ctr" upright="1"/>
      <a:lstStyle>
        <a:defPPr algn="ctr">
          <a:defRPr kumimoji="1" sz="1100"/>
        </a:defPPr>
      </a:lstStyle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  <a:txDef>
      <a:spPr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a:spPr>
      <a:bodyPr wrap="square" rtlCol="0" anchor="t"/>
      <a:lstStyle>
        <a:defPPr>
          <a:defRPr kumimoji="1" sz="1100"/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5"/>
  <dimension ref="B10:AB51"/>
  <sheetViews>
    <sheetView tabSelected="1" zoomScale="85" zoomScaleNormal="85" workbookViewId="0"/>
  </sheetViews>
  <sheetFormatPr defaultRowHeight="13.5"/>
  <cols>
    <col min="1" max="32" width="4.5" customWidth="1"/>
  </cols>
  <sheetData>
    <row r="10" spans="7:24">
      <c r="G10" s="3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5"/>
    </row>
    <row r="11" spans="7:24" ht="13.5" customHeight="1">
      <c r="G11" s="45" t="str">
        <f>I40</f>
        <v>　学生勤務管理システム</v>
      </c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6"/>
    </row>
    <row r="12" spans="7:24" ht="13.5" customHeight="1">
      <c r="G12" s="45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6"/>
    </row>
    <row r="13" spans="7:24">
      <c r="G13" s="7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6"/>
    </row>
    <row r="14" spans="7:24" ht="13.5" customHeight="1">
      <c r="G14" s="45" t="str">
        <f>I44</f>
        <v>　メール送信</v>
      </c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6"/>
    </row>
    <row r="15" spans="7:24" ht="13.5" customHeight="1">
      <c r="G15" s="45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6"/>
    </row>
    <row r="16" spans="7:24">
      <c r="G16" s="7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6"/>
    </row>
    <row r="17" spans="7:24" ht="13.5" customHeight="1">
      <c r="G17" s="45" t="str">
        <f>I42</f>
        <v xml:space="preserve">　 </v>
      </c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6"/>
    </row>
    <row r="18" spans="7:24" ht="13.5" customHeight="1">
      <c r="G18" s="45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6"/>
    </row>
    <row r="19" spans="7:24">
      <c r="G19" s="7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6"/>
    </row>
    <row r="20" spans="7:24" ht="13.5" customHeight="1">
      <c r="G20" s="45" t="str">
        <f>I51</f>
        <v>【 Ver 1.00 】</v>
      </c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6"/>
    </row>
    <row r="21" spans="7:24" ht="13.5" customHeight="1">
      <c r="G21" s="45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6"/>
    </row>
    <row r="22" spans="7:24">
      <c r="G22" s="9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1"/>
    </row>
    <row r="27" spans="7:24" s="1" customFormat="1">
      <c r="J27" s="48" t="str">
        <f>TEXT(I47,"yyyy年")&amp;IF(LEFT(TEXT(I47,"mm"),1)="0"," ","")&amp;TEXT(I47,"m月")&amp;IF(LEFT(TEXT(I47,"dd"),1)="0"," ","")&amp;TEXT(I47,"d日")&amp;"作成"</f>
        <v>2024年 2月 5日作成</v>
      </c>
      <c r="K27" s="49"/>
      <c r="L27" s="49"/>
      <c r="M27" s="49"/>
      <c r="N27" s="49"/>
      <c r="O27" s="49"/>
      <c r="P27" s="49"/>
      <c r="Q27" s="49"/>
      <c r="R27" s="49"/>
      <c r="S27" s="49"/>
      <c r="T27" s="49"/>
    </row>
    <row r="28" spans="7:24" s="1" customFormat="1"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</row>
    <row r="29" spans="7:24" s="1" customFormat="1">
      <c r="J29" s="48" t="str">
        <f>IF(I49="　※ページ毎に個別入力","    年  月  日改訂",TEXT(I49,"yyyy年")&amp;IF(LEFT(TEXT(I49,"mm"),1)="0"," ","")&amp;TEXT(I49,"m月")&amp;IF(LEFT(TEXT(I49,"dd"),1)="0"," ","")&amp;TEXT(I49,"d日")&amp;"改訂")</f>
        <v xml:space="preserve">   改訂</v>
      </c>
      <c r="K29" s="49"/>
      <c r="L29" s="49"/>
      <c r="M29" s="49"/>
      <c r="N29" s="49"/>
      <c r="O29" s="49"/>
      <c r="P29" s="49"/>
      <c r="Q29" s="49"/>
      <c r="R29" s="49"/>
      <c r="S29" s="49"/>
      <c r="T29" s="49"/>
    </row>
    <row r="30" spans="7:24" s="1" customFormat="1"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</row>
    <row r="38" spans="2:28" ht="23.25" customHeight="1">
      <c r="B38" s="50" t="s">
        <v>19</v>
      </c>
      <c r="C38" s="50"/>
      <c r="D38" s="50"/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  <c r="AA38" s="50"/>
      <c r="AB38" s="50"/>
    </row>
    <row r="39" spans="2:28" ht="23.25" customHeight="1">
      <c r="B39" s="47" t="s">
        <v>20</v>
      </c>
      <c r="C39" s="47"/>
      <c r="D39" s="47"/>
      <c r="E39" s="47"/>
      <c r="F39" s="47"/>
      <c r="G39" s="47"/>
      <c r="H39" s="47"/>
      <c r="I39" s="47" t="s">
        <v>10</v>
      </c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  <c r="AA39" s="47"/>
      <c r="AB39" s="47"/>
    </row>
    <row r="40" spans="2:28" ht="23.25" customHeight="1">
      <c r="B40" s="41" t="s">
        <v>21</v>
      </c>
      <c r="C40" s="41"/>
      <c r="D40" s="41"/>
      <c r="E40" s="41"/>
      <c r="F40" s="41"/>
      <c r="G40" s="41"/>
      <c r="H40" s="41"/>
      <c r="I40" s="42" t="s">
        <v>42</v>
      </c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</row>
    <row r="41" spans="2:28" ht="23.25" customHeight="1">
      <c r="B41" s="41" t="s">
        <v>22</v>
      </c>
      <c r="C41" s="41"/>
      <c r="D41" s="41"/>
      <c r="E41" s="41"/>
      <c r="F41" s="41"/>
      <c r="G41" s="41"/>
      <c r="H41" s="41"/>
      <c r="I41" s="42" t="s">
        <v>40</v>
      </c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</row>
    <row r="42" spans="2:28" ht="23.25" customHeight="1">
      <c r="B42" s="41" t="s">
        <v>23</v>
      </c>
      <c r="C42" s="41"/>
      <c r="D42" s="41"/>
      <c r="E42" s="41"/>
      <c r="F42" s="41"/>
      <c r="G42" s="41"/>
      <c r="H42" s="41"/>
      <c r="I42" s="42" t="s">
        <v>33</v>
      </c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</row>
    <row r="43" spans="2:28" ht="23.25" customHeight="1">
      <c r="B43" s="41" t="s">
        <v>24</v>
      </c>
      <c r="C43" s="41"/>
      <c r="D43" s="41"/>
      <c r="E43" s="41"/>
      <c r="F43" s="41"/>
      <c r="G43" s="41"/>
      <c r="H43" s="41"/>
      <c r="I43" s="42" t="s">
        <v>38</v>
      </c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</row>
    <row r="44" spans="2:28" ht="23.25" customHeight="1">
      <c r="B44" s="41" t="s">
        <v>25</v>
      </c>
      <c r="C44" s="41"/>
      <c r="D44" s="41"/>
      <c r="E44" s="41"/>
      <c r="F44" s="41"/>
      <c r="G44" s="41"/>
      <c r="H44" s="41"/>
      <c r="I44" s="42" t="s">
        <v>46</v>
      </c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</row>
    <row r="45" spans="2:28" ht="23.25" customHeight="1">
      <c r="B45" s="41" t="s">
        <v>26</v>
      </c>
      <c r="C45" s="41"/>
      <c r="D45" s="41"/>
      <c r="E45" s="41"/>
      <c r="F45" s="41"/>
      <c r="G45" s="41"/>
      <c r="H45" s="41"/>
      <c r="I45" s="42" t="s">
        <v>9</v>
      </c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</row>
    <row r="46" spans="2:28" ht="23.25" customHeight="1">
      <c r="B46" s="41" t="s">
        <v>27</v>
      </c>
      <c r="C46" s="41"/>
      <c r="D46" s="41"/>
      <c r="E46" s="41"/>
      <c r="F46" s="41"/>
      <c r="G46" s="41"/>
      <c r="H46" s="41"/>
      <c r="I46" s="42" t="s">
        <v>44</v>
      </c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</row>
    <row r="47" spans="2:28" ht="23.25" customHeight="1">
      <c r="B47" s="41" t="s">
        <v>28</v>
      </c>
      <c r="C47" s="41"/>
      <c r="D47" s="41"/>
      <c r="E47" s="41"/>
      <c r="F47" s="41"/>
      <c r="G47" s="41"/>
      <c r="H47" s="41"/>
      <c r="I47" s="43">
        <v>45327</v>
      </c>
      <c r="J47" s="44"/>
      <c r="K47" s="44"/>
      <c r="L47" s="44"/>
      <c r="M47" s="44"/>
      <c r="N47" s="44"/>
      <c r="O47" s="44"/>
      <c r="P47" s="44"/>
      <c r="Q47" s="44"/>
      <c r="R47" s="44"/>
      <c r="S47" s="42"/>
      <c r="T47" s="42"/>
      <c r="U47" s="42"/>
      <c r="V47" s="42"/>
      <c r="W47" s="42"/>
      <c r="X47" s="42"/>
      <c r="Y47" s="42"/>
      <c r="Z47" s="42"/>
      <c r="AA47" s="42"/>
      <c r="AB47" s="42"/>
    </row>
    <row r="48" spans="2:28" ht="23.25" customHeight="1">
      <c r="B48" s="41" t="s">
        <v>29</v>
      </c>
      <c r="C48" s="41"/>
      <c r="D48" s="41"/>
      <c r="E48" s="41"/>
      <c r="F48" s="41"/>
      <c r="G48" s="41"/>
      <c r="H48" s="41"/>
      <c r="I48" s="42" t="s">
        <v>9</v>
      </c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</row>
    <row r="49" spans="2:28" ht="23.25" customHeight="1">
      <c r="B49" s="41" t="s">
        <v>30</v>
      </c>
      <c r="C49" s="41"/>
      <c r="D49" s="41"/>
      <c r="E49" s="41"/>
      <c r="F49" s="41"/>
      <c r="G49" s="41"/>
      <c r="H49" s="41"/>
      <c r="I49" s="42" t="s">
        <v>45</v>
      </c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</row>
    <row r="50" spans="2:28" ht="23.25" customHeight="1">
      <c r="B50" s="41" t="s">
        <v>31</v>
      </c>
      <c r="C50" s="41"/>
      <c r="D50" s="41"/>
      <c r="E50" s="41"/>
      <c r="F50" s="41"/>
      <c r="G50" s="41"/>
      <c r="H50" s="41"/>
      <c r="I50" s="42" t="s">
        <v>41</v>
      </c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</row>
    <row r="51" spans="2:28" ht="23.25" customHeight="1">
      <c r="B51" s="41" t="s">
        <v>34</v>
      </c>
      <c r="C51" s="41"/>
      <c r="D51" s="41"/>
      <c r="E51" s="41"/>
      <c r="F51" s="41"/>
      <c r="G51" s="41"/>
      <c r="H51" s="41"/>
      <c r="I51" s="42" t="str">
        <f>"【 Ver " &amp; TEXT(MAX(改訂履歴!E5:E990),"0.00") &amp; " 】"</f>
        <v>【 Ver 1.00 】</v>
      </c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</row>
  </sheetData>
  <mergeCells count="33">
    <mergeCell ref="B43:H43"/>
    <mergeCell ref="B39:H39"/>
    <mergeCell ref="J27:T28"/>
    <mergeCell ref="J29:T30"/>
    <mergeCell ref="I40:AB40"/>
    <mergeCell ref="I41:AB41"/>
    <mergeCell ref="I39:AB39"/>
    <mergeCell ref="B38:AB38"/>
    <mergeCell ref="B40:H40"/>
    <mergeCell ref="I43:AB43"/>
    <mergeCell ref="G11:W12"/>
    <mergeCell ref="G14:W15"/>
    <mergeCell ref="G17:W18"/>
    <mergeCell ref="G20:W21"/>
    <mergeCell ref="I42:AB42"/>
    <mergeCell ref="B41:H41"/>
    <mergeCell ref="B42:H42"/>
    <mergeCell ref="B48:H48"/>
    <mergeCell ref="I48:AB48"/>
    <mergeCell ref="B44:H44"/>
    <mergeCell ref="B45:H45"/>
    <mergeCell ref="B46:H46"/>
    <mergeCell ref="B47:H47"/>
    <mergeCell ref="I45:AB45"/>
    <mergeCell ref="I46:AB46"/>
    <mergeCell ref="I47:AB47"/>
    <mergeCell ref="I44:AB44"/>
    <mergeCell ref="B51:H51"/>
    <mergeCell ref="I51:AB51"/>
    <mergeCell ref="B49:H49"/>
    <mergeCell ref="I49:AB49"/>
    <mergeCell ref="B50:H50"/>
    <mergeCell ref="I50:AB50"/>
  </mergeCells>
  <phoneticPr fontId="2"/>
  <pageMargins left="0.78740157480314965" right="0.78740157480314965" top="0.98425196850393704" bottom="0.98425196850393704" header="0.51181102362204722" footer="0.51181102362204722"/>
  <pageSetup paperSize="9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BX23"/>
  <sheetViews>
    <sheetView view="pageBreakPreview" zoomScale="85" zoomScaleNormal="85" zoomScaleSheetLayoutView="85" workbookViewId="0"/>
  </sheetViews>
  <sheetFormatPr defaultColWidth="1.875" defaultRowHeight="15" customHeight="1"/>
  <cols>
    <col min="1" max="4" width="1.875" style="1" customWidth="1"/>
    <col min="5" max="9" width="1.875" style="13" customWidth="1"/>
    <col min="10" max="26" width="1.875" style="1" customWidth="1"/>
    <col min="27" max="33" width="2.375" style="1" customWidth="1"/>
    <col min="34" max="16384" width="1.875" style="1"/>
  </cols>
  <sheetData>
    <row r="1" spans="1:76" ht="15" customHeight="1">
      <c r="A1" s="1" t="s">
        <v>2</v>
      </c>
    </row>
    <row r="3" spans="1:76" s="2" customFormat="1" ht="15" customHeight="1">
      <c r="A3" s="61" t="s">
        <v>16</v>
      </c>
      <c r="B3" s="61"/>
      <c r="C3" s="61"/>
      <c r="D3" s="61"/>
      <c r="E3" s="71" t="s">
        <v>17</v>
      </c>
      <c r="F3" s="72"/>
      <c r="G3" s="72"/>
      <c r="H3" s="72"/>
      <c r="I3" s="73"/>
      <c r="J3" s="62" t="s">
        <v>5</v>
      </c>
      <c r="K3" s="63"/>
      <c r="L3" s="63"/>
      <c r="M3" s="63"/>
      <c r="N3" s="63"/>
      <c r="O3" s="63"/>
      <c r="P3" s="63"/>
      <c r="Q3" s="64"/>
      <c r="R3" s="61" t="s">
        <v>3</v>
      </c>
      <c r="S3" s="61"/>
      <c r="T3" s="61"/>
      <c r="U3" s="61"/>
      <c r="V3" s="61"/>
      <c r="W3" s="61" t="s">
        <v>6</v>
      </c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 t="s">
        <v>7</v>
      </c>
      <c r="AI3" s="61"/>
      <c r="AJ3" s="61"/>
      <c r="AK3" s="61"/>
      <c r="AL3" s="61"/>
      <c r="AM3" s="61"/>
      <c r="AN3" s="61"/>
      <c r="AO3" s="61"/>
      <c r="AP3" s="61"/>
      <c r="AQ3" s="61"/>
      <c r="AR3" s="61"/>
      <c r="AS3" s="61"/>
      <c r="AT3" s="61"/>
      <c r="AU3" s="61"/>
      <c r="AV3" s="61"/>
      <c r="AW3" s="61"/>
      <c r="AX3" s="61"/>
      <c r="AY3" s="61"/>
      <c r="AZ3" s="61"/>
      <c r="BA3" s="61"/>
      <c r="BB3" s="61"/>
      <c r="BC3" s="61"/>
      <c r="BD3" s="61"/>
      <c r="BE3" s="61"/>
      <c r="BF3" s="61"/>
      <c r="BG3" s="61"/>
      <c r="BH3" s="61"/>
      <c r="BI3" s="61"/>
      <c r="BJ3" s="61"/>
      <c r="BK3" s="61"/>
      <c r="BL3" s="61"/>
      <c r="BM3" s="61"/>
      <c r="BN3" s="61"/>
      <c r="BO3" s="61"/>
      <c r="BP3" s="61"/>
      <c r="BQ3" s="61"/>
      <c r="BR3" s="61" t="s">
        <v>8</v>
      </c>
      <c r="BS3" s="61"/>
      <c r="BT3" s="61"/>
      <c r="BU3" s="61"/>
      <c r="BV3" s="61"/>
      <c r="BW3" s="61"/>
      <c r="BX3" s="61"/>
    </row>
    <row r="4" spans="1:76" s="2" customFormat="1" ht="15" customHeight="1">
      <c r="A4" s="61"/>
      <c r="B4" s="61"/>
      <c r="C4" s="61"/>
      <c r="D4" s="61"/>
      <c r="E4" s="74"/>
      <c r="F4" s="75"/>
      <c r="G4" s="75"/>
      <c r="H4" s="75"/>
      <c r="I4" s="76"/>
      <c r="J4" s="65"/>
      <c r="K4" s="66"/>
      <c r="L4" s="66"/>
      <c r="M4" s="66"/>
      <c r="N4" s="66"/>
      <c r="O4" s="66"/>
      <c r="P4" s="66"/>
      <c r="Q4" s="67"/>
      <c r="R4" s="61"/>
      <c r="S4" s="61"/>
      <c r="T4" s="61"/>
      <c r="U4" s="61"/>
      <c r="V4" s="61"/>
      <c r="W4" s="61" t="s">
        <v>4</v>
      </c>
      <c r="X4" s="61"/>
      <c r="Y4" s="61"/>
      <c r="Z4" s="61"/>
      <c r="AA4" s="61" t="s">
        <v>43</v>
      </c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1"/>
      <c r="AP4" s="61"/>
      <c r="AQ4" s="61"/>
      <c r="AR4" s="61"/>
      <c r="AS4" s="61"/>
      <c r="AT4" s="61"/>
      <c r="AU4" s="61"/>
      <c r="AV4" s="61"/>
      <c r="AW4" s="61"/>
      <c r="AX4" s="61"/>
      <c r="AY4" s="61"/>
      <c r="AZ4" s="61"/>
      <c r="BA4" s="61"/>
      <c r="BB4" s="61"/>
      <c r="BC4" s="61"/>
      <c r="BD4" s="61"/>
      <c r="BE4" s="61"/>
      <c r="BF4" s="61"/>
      <c r="BG4" s="61"/>
      <c r="BH4" s="61"/>
      <c r="BI4" s="61"/>
      <c r="BJ4" s="61"/>
      <c r="BK4" s="61"/>
      <c r="BL4" s="61"/>
      <c r="BM4" s="61"/>
      <c r="BN4" s="61"/>
      <c r="BO4" s="61"/>
      <c r="BP4" s="61"/>
      <c r="BQ4" s="61"/>
      <c r="BR4" s="61"/>
      <c r="BS4" s="61"/>
      <c r="BT4" s="61"/>
      <c r="BU4" s="61"/>
      <c r="BV4" s="61"/>
      <c r="BW4" s="61"/>
      <c r="BX4" s="61"/>
    </row>
    <row r="5" spans="1:76" ht="20.100000000000001" customHeight="1">
      <c r="A5" s="57">
        <v>1</v>
      </c>
      <c r="B5" s="57"/>
      <c r="C5" s="57"/>
      <c r="D5" s="57"/>
      <c r="E5" s="77">
        <v>1</v>
      </c>
      <c r="F5" s="78"/>
      <c r="G5" s="78"/>
      <c r="H5" s="78"/>
      <c r="I5" s="79"/>
      <c r="J5" s="68">
        <f>タイトル!I47</f>
        <v>45327</v>
      </c>
      <c r="K5" s="69"/>
      <c r="L5" s="69"/>
      <c r="M5" s="69"/>
      <c r="N5" s="69"/>
      <c r="O5" s="69"/>
      <c r="P5" s="69"/>
      <c r="Q5" s="70"/>
      <c r="R5" s="58" t="s">
        <v>11</v>
      </c>
      <c r="S5" s="59"/>
      <c r="T5" s="59"/>
      <c r="U5" s="59"/>
      <c r="V5" s="60"/>
      <c r="W5" s="82"/>
      <c r="X5" s="83"/>
      <c r="Y5" s="83"/>
      <c r="Z5" s="84"/>
      <c r="AA5" s="82"/>
      <c r="AB5" s="83"/>
      <c r="AC5" s="83"/>
      <c r="AD5" s="83"/>
      <c r="AE5" s="83"/>
      <c r="AF5" s="83"/>
      <c r="AG5" s="84"/>
      <c r="AH5" s="80" t="s">
        <v>18</v>
      </c>
      <c r="AI5" s="80"/>
      <c r="AJ5" s="80"/>
      <c r="AK5" s="80"/>
      <c r="AL5" s="80"/>
      <c r="AM5" s="80"/>
      <c r="AN5" s="80"/>
      <c r="AO5" s="80"/>
      <c r="AP5" s="80"/>
      <c r="AQ5" s="80"/>
      <c r="AR5" s="80"/>
      <c r="AS5" s="80"/>
      <c r="AT5" s="80"/>
      <c r="AU5" s="80"/>
      <c r="AV5" s="80"/>
      <c r="AW5" s="80"/>
      <c r="AX5" s="80"/>
      <c r="AY5" s="80"/>
      <c r="AZ5" s="80"/>
      <c r="BA5" s="80"/>
      <c r="BB5" s="80"/>
      <c r="BC5" s="80"/>
      <c r="BD5" s="80"/>
      <c r="BE5" s="80"/>
      <c r="BF5" s="80"/>
      <c r="BG5" s="80"/>
      <c r="BH5" s="80"/>
      <c r="BI5" s="80"/>
      <c r="BJ5" s="80"/>
      <c r="BK5" s="80"/>
      <c r="BL5" s="80"/>
      <c r="BM5" s="80"/>
      <c r="BN5" s="80"/>
      <c r="BO5" s="80"/>
      <c r="BP5" s="80"/>
      <c r="BQ5" s="80"/>
      <c r="BR5" s="81" t="str">
        <f>タイトル!I46</f>
        <v>大久保　梓沙</v>
      </c>
      <c r="BS5" s="81"/>
      <c r="BT5" s="81"/>
      <c r="BU5" s="81"/>
      <c r="BV5" s="81"/>
      <c r="BW5" s="81"/>
      <c r="BX5" s="81"/>
    </row>
    <row r="6" spans="1:76" ht="20.100000000000001" customHeight="1">
      <c r="A6" s="51"/>
      <c r="B6" s="51"/>
      <c r="C6" s="51"/>
      <c r="D6" s="51"/>
      <c r="E6" s="52"/>
      <c r="F6" s="52"/>
      <c r="G6" s="52"/>
      <c r="H6" s="52"/>
      <c r="I6" s="52"/>
      <c r="J6" s="53"/>
      <c r="K6" s="53"/>
      <c r="L6" s="53"/>
      <c r="M6" s="53"/>
      <c r="N6" s="53"/>
      <c r="O6" s="53"/>
      <c r="P6" s="53"/>
      <c r="Q6" s="53"/>
      <c r="R6" s="51"/>
      <c r="S6" s="51"/>
      <c r="T6" s="51"/>
      <c r="U6" s="51"/>
      <c r="V6" s="51"/>
      <c r="W6" s="55"/>
      <c r="X6" s="55"/>
      <c r="Y6" s="55"/>
      <c r="Z6" s="55"/>
      <c r="AA6" s="55"/>
      <c r="AB6" s="55"/>
      <c r="AC6" s="55"/>
      <c r="AD6" s="55"/>
      <c r="AE6" s="55"/>
      <c r="AF6" s="55"/>
      <c r="AG6" s="55"/>
      <c r="AH6" s="54"/>
      <c r="AI6" s="55"/>
      <c r="AJ6" s="55"/>
      <c r="AK6" s="55"/>
      <c r="AL6" s="55"/>
      <c r="AM6" s="55"/>
      <c r="AN6" s="55"/>
      <c r="AO6" s="55"/>
      <c r="AP6" s="55"/>
      <c r="AQ6" s="55"/>
      <c r="AR6" s="55"/>
      <c r="AS6" s="55"/>
      <c r="AT6" s="55"/>
      <c r="AU6" s="55"/>
      <c r="AV6" s="55"/>
      <c r="AW6" s="55"/>
      <c r="AX6" s="55"/>
      <c r="AY6" s="55"/>
      <c r="AZ6" s="55"/>
      <c r="BA6" s="55"/>
      <c r="BB6" s="55"/>
      <c r="BC6" s="55"/>
      <c r="BD6" s="55"/>
      <c r="BE6" s="55"/>
      <c r="BF6" s="55"/>
      <c r="BG6" s="55"/>
      <c r="BH6" s="55"/>
      <c r="BI6" s="55"/>
      <c r="BJ6" s="55"/>
      <c r="BK6" s="55"/>
      <c r="BL6" s="55"/>
      <c r="BM6" s="55"/>
      <c r="BN6" s="55"/>
      <c r="BO6" s="55"/>
      <c r="BP6" s="55"/>
      <c r="BQ6" s="55"/>
      <c r="BR6" s="56"/>
      <c r="BS6" s="56"/>
      <c r="BT6" s="56"/>
      <c r="BU6" s="56"/>
      <c r="BV6" s="56"/>
      <c r="BW6" s="56"/>
      <c r="BX6" s="56"/>
    </row>
    <row r="7" spans="1:76" ht="20.100000000000001" customHeight="1">
      <c r="A7" s="51"/>
      <c r="B7" s="51"/>
      <c r="C7" s="51"/>
      <c r="D7" s="51"/>
      <c r="E7" s="52"/>
      <c r="F7" s="52"/>
      <c r="G7" s="52"/>
      <c r="H7" s="52"/>
      <c r="I7" s="52"/>
      <c r="J7" s="53"/>
      <c r="K7" s="53"/>
      <c r="L7" s="53"/>
      <c r="M7" s="53"/>
      <c r="N7" s="53"/>
      <c r="O7" s="53"/>
      <c r="P7" s="53"/>
      <c r="Q7" s="53"/>
      <c r="R7" s="51"/>
      <c r="S7" s="51"/>
      <c r="T7" s="51"/>
      <c r="U7" s="51"/>
      <c r="V7" s="51"/>
      <c r="W7" s="55"/>
      <c r="X7" s="55"/>
      <c r="Y7" s="55"/>
      <c r="Z7" s="55"/>
      <c r="AA7" s="55"/>
      <c r="AB7" s="55"/>
      <c r="AC7" s="55"/>
      <c r="AD7" s="55"/>
      <c r="AE7" s="55"/>
      <c r="AF7" s="55"/>
      <c r="AG7" s="55"/>
      <c r="AH7" s="54"/>
      <c r="AI7" s="55"/>
      <c r="AJ7" s="55"/>
      <c r="AK7" s="55"/>
      <c r="AL7" s="55"/>
      <c r="AM7" s="55"/>
      <c r="AN7" s="55"/>
      <c r="AO7" s="55"/>
      <c r="AP7" s="55"/>
      <c r="AQ7" s="55"/>
      <c r="AR7" s="55"/>
      <c r="AS7" s="55"/>
      <c r="AT7" s="55"/>
      <c r="AU7" s="55"/>
      <c r="AV7" s="55"/>
      <c r="AW7" s="55"/>
      <c r="AX7" s="55"/>
      <c r="AY7" s="55"/>
      <c r="AZ7" s="55"/>
      <c r="BA7" s="55"/>
      <c r="BB7" s="55"/>
      <c r="BC7" s="55"/>
      <c r="BD7" s="55"/>
      <c r="BE7" s="55"/>
      <c r="BF7" s="55"/>
      <c r="BG7" s="55"/>
      <c r="BH7" s="55"/>
      <c r="BI7" s="55"/>
      <c r="BJ7" s="55"/>
      <c r="BK7" s="55"/>
      <c r="BL7" s="55"/>
      <c r="BM7" s="55"/>
      <c r="BN7" s="55"/>
      <c r="BO7" s="55"/>
      <c r="BP7" s="55"/>
      <c r="BQ7" s="55"/>
      <c r="BR7" s="56"/>
      <c r="BS7" s="56"/>
      <c r="BT7" s="56"/>
      <c r="BU7" s="56"/>
      <c r="BV7" s="56"/>
      <c r="BW7" s="56"/>
      <c r="BX7" s="56"/>
    </row>
    <row r="8" spans="1:76" ht="20.100000000000001" customHeight="1">
      <c r="A8" s="51"/>
      <c r="B8" s="51"/>
      <c r="C8" s="51"/>
      <c r="D8" s="51"/>
      <c r="E8" s="52"/>
      <c r="F8" s="52"/>
      <c r="G8" s="52"/>
      <c r="H8" s="52"/>
      <c r="I8" s="52"/>
      <c r="J8" s="53"/>
      <c r="K8" s="53"/>
      <c r="L8" s="53"/>
      <c r="M8" s="53"/>
      <c r="N8" s="53"/>
      <c r="O8" s="53"/>
      <c r="P8" s="53"/>
      <c r="Q8" s="53"/>
      <c r="R8" s="51"/>
      <c r="S8" s="51"/>
      <c r="T8" s="51"/>
      <c r="U8" s="51"/>
      <c r="V8" s="51"/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4"/>
      <c r="AI8" s="55"/>
      <c r="AJ8" s="55"/>
      <c r="AK8" s="55"/>
      <c r="AL8" s="55"/>
      <c r="AM8" s="55"/>
      <c r="AN8" s="55"/>
      <c r="AO8" s="55"/>
      <c r="AP8" s="55"/>
      <c r="AQ8" s="55"/>
      <c r="AR8" s="55"/>
      <c r="AS8" s="55"/>
      <c r="AT8" s="55"/>
      <c r="AU8" s="55"/>
      <c r="AV8" s="55"/>
      <c r="AW8" s="55"/>
      <c r="AX8" s="55"/>
      <c r="AY8" s="55"/>
      <c r="AZ8" s="55"/>
      <c r="BA8" s="55"/>
      <c r="BB8" s="55"/>
      <c r="BC8" s="55"/>
      <c r="BD8" s="55"/>
      <c r="BE8" s="55"/>
      <c r="BF8" s="55"/>
      <c r="BG8" s="55"/>
      <c r="BH8" s="55"/>
      <c r="BI8" s="55"/>
      <c r="BJ8" s="55"/>
      <c r="BK8" s="55"/>
      <c r="BL8" s="55"/>
      <c r="BM8" s="55"/>
      <c r="BN8" s="55"/>
      <c r="BO8" s="55"/>
      <c r="BP8" s="55"/>
      <c r="BQ8" s="55"/>
      <c r="BR8" s="56"/>
      <c r="BS8" s="56"/>
      <c r="BT8" s="56"/>
      <c r="BU8" s="56"/>
      <c r="BV8" s="56"/>
      <c r="BW8" s="56"/>
      <c r="BX8" s="56"/>
    </row>
    <row r="9" spans="1:76" ht="20.100000000000001" customHeight="1">
      <c r="A9" s="51"/>
      <c r="B9" s="51"/>
      <c r="C9" s="51"/>
      <c r="D9" s="51"/>
      <c r="E9" s="52"/>
      <c r="F9" s="52"/>
      <c r="G9" s="52"/>
      <c r="H9" s="52"/>
      <c r="I9" s="52"/>
      <c r="J9" s="53"/>
      <c r="K9" s="53"/>
      <c r="L9" s="53"/>
      <c r="M9" s="53"/>
      <c r="N9" s="53"/>
      <c r="O9" s="53"/>
      <c r="P9" s="53"/>
      <c r="Q9" s="53"/>
      <c r="R9" s="51"/>
      <c r="S9" s="51"/>
      <c r="T9" s="51"/>
      <c r="U9" s="51"/>
      <c r="V9" s="51"/>
      <c r="W9" s="55"/>
      <c r="X9" s="55"/>
      <c r="Y9" s="55"/>
      <c r="Z9" s="55"/>
      <c r="AA9" s="55"/>
      <c r="AB9" s="55"/>
      <c r="AC9" s="55"/>
      <c r="AD9" s="55"/>
      <c r="AE9" s="55"/>
      <c r="AF9" s="55"/>
      <c r="AG9" s="55"/>
      <c r="AH9" s="54"/>
      <c r="AI9" s="55"/>
      <c r="AJ9" s="55"/>
      <c r="AK9" s="55"/>
      <c r="AL9" s="55"/>
      <c r="AM9" s="55"/>
      <c r="AN9" s="55"/>
      <c r="AO9" s="55"/>
      <c r="AP9" s="55"/>
      <c r="AQ9" s="55"/>
      <c r="AR9" s="55"/>
      <c r="AS9" s="55"/>
      <c r="AT9" s="55"/>
      <c r="AU9" s="55"/>
      <c r="AV9" s="55"/>
      <c r="AW9" s="55"/>
      <c r="AX9" s="55"/>
      <c r="AY9" s="55"/>
      <c r="AZ9" s="55"/>
      <c r="BA9" s="55"/>
      <c r="BB9" s="55"/>
      <c r="BC9" s="55"/>
      <c r="BD9" s="55"/>
      <c r="BE9" s="55"/>
      <c r="BF9" s="55"/>
      <c r="BG9" s="55"/>
      <c r="BH9" s="55"/>
      <c r="BI9" s="55"/>
      <c r="BJ9" s="55"/>
      <c r="BK9" s="55"/>
      <c r="BL9" s="55"/>
      <c r="BM9" s="55"/>
      <c r="BN9" s="55"/>
      <c r="BO9" s="55"/>
      <c r="BP9" s="55"/>
      <c r="BQ9" s="55"/>
      <c r="BR9" s="56"/>
      <c r="BS9" s="56"/>
      <c r="BT9" s="56"/>
      <c r="BU9" s="56"/>
      <c r="BV9" s="56"/>
      <c r="BW9" s="56"/>
      <c r="BX9" s="56"/>
    </row>
    <row r="10" spans="1:76" ht="20.100000000000001" customHeight="1">
      <c r="A10" s="51"/>
      <c r="B10" s="51"/>
      <c r="C10" s="51"/>
      <c r="D10" s="51"/>
      <c r="E10" s="52"/>
      <c r="F10" s="52"/>
      <c r="G10" s="52"/>
      <c r="H10" s="52"/>
      <c r="I10" s="52"/>
      <c r="J10" s="53"/>
      <c r="K10" s="53"/>
      <c r="L10" s="53"/>
      <c r="M10" s="53"/>
      <c r="N10" s="53"/>
      <c r="O10" s="53"/>
      <c r="P10" s="53"/>
      <c r="Q10" s="53"/>
      <c r="R10" s="51"/>
      <c r="S10" s="51"/>
      <c r="T10" s="51"/>
      <c r="U10" s="51"/>
      <c r="V10" s="51"/>
      <c r="W10" s="55"/>
      <c r="X10" s="55"/>
      <c r="Y10" s="55"/>
      <c r="Z10" s="55"/>
      <c r="AA10" s="54"/>
      <c r="AB10" s="55"/>
      <c r="AC10" s="55"/>
      <c r="AD10" s="55"/>
      <c r="AE10" s="55"/>
      <c r="AF10" s="55"/>
      <c r="AG10" s="55"/>
      <c r="AH10" s="54"/>
      <c r="AI10" s="55"/>
      <c r="AJ10" s="55"/>
      <c r="AK10" s="55"/>
      <c r="AL10" s="55"/>
      <c r="AM10" s="55"/>
      <c r="AN10" s="55"/>
      <c r="AO10" s="55"/>
      <c r="AP10" s="55"/>
      <c r="AQ10" s="55"/>
      <c r="AR10" s="55"/>
      <c r="AS10" s="55"/>
      <c r="AT10" s="55"/>
      <c r="AU10" s="55"/>
      <c r="AV10" s="55"/>
      <c r="AW10" s="55"/>
      <c r="AX10" s="55"/>
      <c r="AY10" s="55"/>
      <c r="AZ10" s="55"/>
      <c r="BA10" s="55"/>
      <c r="BB10" s="55"/>
      <c r="BC10" s="55"/>
      <c r="BD10" s="55"/>
      <c r="BE10" s="55"/>
      <c r="BF10" s="55"/>
      <c r="BG10" s="55"/>
      <c r="BH10" s="55"/>
      <c r="BI10" s="55"/>
      <c r="BJ10" s="55"/>
      <c r="BK10" s="55"/>
      <c r="BL10" s="55"/>
      <c r="BM10" s="55"/>
      <c r="BN10" s="55"/>
      <c r="BO10" s="55"/>
      <c r="BP10" s="55"/>
      <c r="BQ10" s="55"/>
      <c r="BR10" s="56"/>
      <c r="BS10" s="56"/>
      <c r="BT10" s="56"/>
      <c r="BU10" s="56"/>
      <c r="BV10" s="56"/>
      <c r="BW10" s="56"/>
      <c r="BX10" s="56"/>
    </row>
    <row r="11" spans="1:76" ht="20.100000000000001" customHeight="1">
      <c r="A11" s="51"/>
      <c r="B11" s="51"/>
      <c r="C11" s="51"/>
      <c r="D11" s="51"/>
      <c r="E11" s="52"/>
      <c r="F11" s="52"/>
      <c r="G11" s="52"/>
      <c r="H11" s="52"/>
      <c r="I11" s="52"/>
      <c r="J11" s="53"/>
      <c r="K11" s="53"/>
      <c r="L11" s="53"/>
      <c r="M11" s="53"/>
      <c r="N11" s="53"/>
      <c r="O11" s="53"/>
      <c r="P11" s="53"/>
      <c r="Q11" s="53"/>
      <c r="R11" s="51"/>
      <c r="S11" s="51"/>
      <c r="T11" s="51"/>
      <c r="U11" s="51"/>
      <c r="V11" s="51"/>
      <c r="W11" s="55"/>
      <c r="X11" s="55"/>
      <c r="Y11" s="55"/>
      <c r="Z11" s="55"/>
      <c r="AA11" s="54"/>
      <c r="AB11" s="55"/>
      <c r="AC11" s="55"/>
      <c r="AD11" s="55"/>
      <c r="AE11" s="55"/>
      <c r="AF11" s="55"/>
      <c r="AG11" s="55"/>
      <c r="AH11" s="54"/>
      <c r="AI11" s="55"/>
      <c r="AJ11" s="55"/>
      <c r="AK11" s="55"/>
      <c r="AL11" s="55"/>
      <c r="AM11" s="55"/>
      <c r="AN11" s="55"/>
      <c r="AO11" s="55"/>
      <c r="AP11" s="55"/>
      <c r="AQ11" s="55"/>
      <c r="AR11" s="55"/>
      <c r="AS11" s="55"/>
      <c r="AT11" s="55"/>
      <c r="AU11" s="55"/>
      <c r="AV11" s="55"/>
      <c r="AW11" s="55"/>
      <c r="AX11" s="55"/>
      <c r="AY11" s="55"/>
      <c r="AZ11" s="55"/>
      <c r="BA11" s="55"/>
      <c r="BB11" s="55"/>
      <c r="BC11" s="55"/>
      <c r="BD11" s="55"/>
      <c r="BE11" s="55"/>
      <c r="BF11" s="55"/>
      <c r="BG11" s="55"/>
      <c r="BH11" s="55"/>
      <c r="BI11" s="55"/>
      <c r="BJ11" s="55"/>
      <c r="BK11" s="55"/>
      <c r="BL11" s="55"/>
      <c r="BM11" s="55"/>
      <c r="BN11" s="55"/>
      <c r="BO11" s="55"/>
      <c r="BP11" s="55"/>
      <c r="BQ11" s="55"/>
      <c r="BR11" s="56"/>
      <c r="BS11" s="56"/>
      <c r="BT11" s="56"/>
      <c r="BU11" s="56"/>
      <c r="BV11" s="56"/>
      <c r="BW11" s="56"/>
      <c r="BX11" s="56"/>
    </row>
    <row r="12" spans="1:76" ht="20.100000000000001" customHeight="1">
      <c r="A12" s="51"/>
      <c r="B12" s="51"/>
      <c r="C12" s="51"/>
      <c r="D12" s="51"/>
      <c r="E12" s="52"/>
      <c r="F12" s="52"/>
      <c r="G12" s="52"/>
      <c r="H12" s="52"/>
      <c r="I12" s="52"/>
      <c r="J12" s="53"/>
      <c r="K12" s="53"/>
      <c r="L12" s="53"/>
      <c r="M12" s="53"/>
      <c r="N12" s="53"/>
      <c r="O12" s="53"/>
      <c r="P12" s="53"/>
      <c r="Q12" s="53"/>
      <c r="R12" s="51"/>
      <c r="S12" s="51"/>
      <c r="T12" s="51"/>
      <c r="U12" s="51"/>
      <c r="V12" s="51"/>
      <c r="W12" s="55"/>
      <c r="X12" s="55"/>
      <c r="Y12" s="55"/>
      <c r="Z12" s="55"/>
      <c r="AA12" s="54"/>
      <c r="AB12" s="55"/>
      <c r="AC12" s="55"/>
      <c r="AD12" s="55"/>
      <c r="AE12" s="55"/>
      <c r="AF12" s="55"/>
      <c r="AG12" s="55"/>
      <c r="AH12" s="54"/>
      <c r="AI12" s="55"/>
      <c r="AJ12" s="55"/>
      <c r="AK12" s="55"/>
      <c r="AL12" s="55"/>
      <c r="AM12" s="55"/>
      <c r="AN12" s="55"/>
      <c r="AO12" s="55"/>
      <c r="AP12" s="55"/>
      <c r="AQ12" s="55"/>
      <c r="AR12" s="55"/>
      <c r="AS12" s="55"/>
      <c r="AT12" s="55"/>
      <c r="AU12" s="55"/>
      <c r="AV12" s="55"/>
      <c r="AW12" s="55"/>
      <c r="AX12" s="55"/>
      <c r="AY12" s="55"/>
      <c r="AZ12" s="55"/>
      <c r="BA12" s="55"/>
      <c r="BB12" s="55"/>
      <c r="BC12" s="55"/>
      <c r="BD12" s="55"/>
      <c r="BE12" s="55"/>
      <c r="BF12" s="55"/>
      <c r="BG12" s="55"/>
      <c r="BH12" s="55"/>
      <c r="BI12" s="55"/>
      <c r="BJ12" s="55"/>
      <c r="BK12" s="55"/>
      <c r="BL12" s="55"/>
      <c r="BM12" s="55"/>
      <c r="BN12" s="55"/>
      <c r="BO12" s="55"/>
      <c r="BP12" s="55"/>
      <c r="BQ12" s="55"/>
      <c r="BR12" s="56"/>
      <c r="BS12" s="56"/>
      <c r="BT12" s="56"/>
      <c r="BU12" s="56"/>
      <c r="BV12" s="56"/>
      <c r="BW12" s="56"/>
      <c r="BX12" s="56"/>
    </row>
    <row r="13" spans="1:76" ht="20.100000000000001" customHeight="1">
      <c r="A13" s="51"/>
      <c r="B13" s="51"/>
      <c r="C13" s="51"/>
      <c r="D13" s="51"/>
      <c r="E13" s="52"/>
      <c r="F13" s="52"/>
      <c r="G13" s="52"/>
      <c r="H13" s="52"/>
      <c r="I13" s="52"/>
      <c r="J13" s="53"/>
      <c r="K13" s="53"/>
      <c r="L13" s="53"/>
      <c r="M13" s="53"/>
      <c r="N13" s="53"/>
      <c r="O13" s="53"/>
      <c r="P13" s="53"/>
      <c r="Q13" s="53"/>
      <c r="R13" s="51"/>
      <c r="S13" s="51"/>
      <c r="T13" s="51"/>
      <c r="U13" s="51"/>
      <c r="V13" s="51"/>
      <c r="W13" s="55"/>
      <c r="X13" s="55"/>
      <c r="Y13" s="55"/>
      <c r="Z13" s="55"/>
      <c r="AA13" s="54"/>
      <c r="AB13" s="55"/>
      <c r="AC13" s="55"/>
      <c r="AD13" s="55"/>
      <c r="AE13" s="55"/>
      <c r="AF13" s="55"/>
      <c r="AG13" s="55"/>
      <c r="AH13" s="54"/>
      <c r="AI13" s="55"/>
      <c r="AJ13" s="55"/>
      <c r="AK13" s="55"/>
      <c r="AL13" s="55"/>
      <c r="AM13" s="55"/>
      <c r="AN13" s="55"/>
      <c r="AO13" s="55"/>
      <c r="AP13" s="55"/>
      <c r="AQ13" s="55"/>
      <c r="AR13" s="55"/>
      <c r="AS13" s="55"/>
      <c r="AT13" s="55"/>
      <c r="AU13" s="55"/>
      <c r="AV13" s="55"/>
      <c r="AW13" s="55"/>
      <c r="AX13" s="55"/>
      <c r="AY13" s="55"/>
      <c r="AZ13" s="55"/>
      <c r="BA13" s="55"/>
      <c r="BB13" s="55"/>
      <c r="BC13" s="55"/>
      <c r="BD13" s="55"/>
      <c r="BE13" s="55"/>
      <c r="BF13" s="55"/>
      <c r="BG13" s="55"/>
      <c r="BH13" s="55"/>
      <c r="BI13" s="55"/>
      <c r="BJ13" s="55"/>
      <c r="BK13" s="55"/>
      <c r="BL13" s="55"/>
      <c r="BM13" s="55"/>
      <c r="BN13" s="55"/>
      <c r="BO13" s="55"/>
      <c r="BP13" s="55"/>
      <c r="BQ13" s="55"/>
      <c r="BR13" s="56"/>
      <c r="BS13" s="56"/>
      <c r="BT13" s="56"/>
      <c r="BU13" s="56"/>
      <c r="BV13" s="56"/>
      <c r="BW13" s="56"/>
      <c r="BX13" s="56"/>
    </row>
    <row r="14" spans="1:76" ht="20.100000000000001" customHeight="1">
      <c r="A14" s="51"/>
      <c r="B14" s="51"/>
      <c r="C14" s="51"/>
      <c r="D14" s="51"/>
      <c r="E14" s="52"/>
      <c r="F14" s="52"/>
      <c r="G14" s="52"/>
      <c r="H14" s="52"/>
      <c r="I14" s="52"/>
      <c r="J14" s="53"/>
      <c r="K14" s="53"/>
      <c r="L14" s="53"/>
      <c r="M14" s="53"/>
      <c r="N14" s="53"/>
      <c r="O14" s="53"/>
      <c r="P14" s="53"/>
      <c r="Q14" s="53"/>
      <c r="R14" s="51"/>
      <c r="S14" s="51"/>
      <c r="T14" s="51"/>
      <c r="U14" s="51"/>
      <c r="V14" s="51"/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4"/>
      <c r="AI14" s="55"/>
      <c r="AJ14" s="55"/>
      <c r="AK14" s="55"/>
      <c r="AL14" s="55"/>
      <c r="AM14" s="55"/>
      <c r="AN14" s="55"/>
      <c r="AO14" s="55"/>
      <c r="AP14" s="55"/>
      <c r="AQ14" s="55"/>
      <c r="AR14" s="55"/>
      <c r="AS14" s="55"/>
      <c r="AT14" s="55"/>
      <c r="AU14" s="55"/>
      <c r="AV14" s="55"/>
      <c r="AW14" s="55"/>
      <c r="AX14" s="55"/>
      <c r="AY14" s="55"/>
      <c r="AZ14" s="55"/>
      <c r="BA14" s="55"/>
      <c r="BB14" s="55"/>
      <c r="BC14" s="55"/>
      <c r="BD14" s="55"/>
      <c r="BE14" s="55"/>
      <c r="BF14" s="55"/>
      <c r="BG14" s="55"/>
      <c r="BH14" s="55"/>
      <c r="BI14" s="55"/>
      <c r="BJ14" s="55"/>
      <c r="BK14" s="55"/>
      <c r="BL14" s="55"/>
      <c r="BM14" s="55"/>
      <c r="BN14" s="55"/>
      <c r="BO14" s="55"/>
      <c r="BP14" s="55"/>
      <c r="BQ14" s="55"/>
      <c r="BR14" s="56"/>
      <c r="BS14" s="56"/>
      <c r="BT14" s="56"/>
      <c r="BU14" s="56"/>
      <c r="BV14" s="56"/>
      <c r="BW14" s="56"/>
      <c r="BX14" s="56"/>
    </row>
    <row r="15" spans="1:76" ht="20.100000000000001" customHeight="1">
      <c r="A15" s="51"/>
      <c r="B15" s="51"/>
      <c r="C15" s="51"/>
      <c r="D15" s="51"/>
      <c r="E15" s="52"/>
      <c r="F15" s="52"/>
      <c r="G15" s="52"/>
      <c r="H15" s="52"/>
      <c r="I15" s="52"/>
      <c r="J15" s="53"/>
      <c r="K15" s="53"/>
      <c r="L15" s="53"/>
      <c r="M15" s="53"/>
      <c r="N15" s="53"/>
      <c r="O15" s="53"/>
      <c r="P15" s="53"/>
      <c r="Q15" s="53"/>
      <c r="R15" s="51"/>
      <c r="S15" s="51"/>
      <c r="T15" s="51"/>
      <c r="U15" s="51"/>
      <c r="V15" s="51"/>
      <c r="W15" s="55"/>
      <c r="X15" s="55"/>
      <c r="Y15" s="55"/>
      <c r="Z15" s="55"/>
      <c r="AA15" s="55"/>
      <c r="AB15" s="55"/>
      <c r="AC15" s="55"/>
      <c r="AD15" s="55"/>
      <c r="AE15" s="55"/>
      <c r="AF15" s="55"/>
      <c r="AG15" s="55"/>
      <c r="AH15" s="54"/>
      <c r="AI15" s="55"/>
      <c r="AJ15" s="55"/>
      <c r="AK15" s="55"/>
      <c r="AL15" s="55"/>
      <c r="AM15" s="55"/>
      <c r="AN15" s="55"/>
      <c r="AO15" s="55"/>
      <c r="AP15" s="55"/>
      <c r="AQ15" s="55"/>
      <c r="AR15" s="55"/>
      <c r="AS15" s="55"/>
      <c r="AT15" s="55"/>
      <c r="AU15" s="55"/>
      <c r="AV15" s="55"/>
      <c r="AW15" s="55"/>
      <c r="AX15" s="55"/>
      <c r="AY15" s="55"/>
      <c r="AZ15" s="55"/>
      <c r="BA15" s="55"/>
      <c r="BB15" s="55"/>
      <c r="BC15" s="55"/>
      <c r="BD15" s="55"/>
      <c r="BE15" s="55"/>
      <c r="BF15" s="55"/>
      <c r="BG15" s="55"/>
      <c r="BH15" s="55"/>
      <c r="BI15" s="55"/>
      <c r="BJ15" s="55"/>
      <c r="BK15" s="55"/>
      <c r="BL15" s="55"/>
      <c r="BM15" s="55"/>
      <c r="BN15" s="55"/>
      <c r="BO15" s="55"/>
      <c r="BP15" s="55"/>
      <c r="BQ15" s="55"/>
      <c r="BR15" s="56"/>
      <c r="BS15" s="56"/>
      <c r="BT15" s="56"/>
      <c r="BU15" s="56"/>
      <c r="BV15" s="56"/>
      <c r="BW15" s="56"/>
      <c r="BX15" s="56"/>
    </row>
    <row r="16" spans="1:76" ht="20.100000000000001" customHeight="1">
      <c r="A16" s="51"/>
      <c r="B16" s="51"/>
      <c r="C16" s="51"/>
      <c r="D16" s="51"/>
      <c r="E16" s="52"/>
      <c r="F16" s="52"/>
      <c r="G16" s="52"/>
      <c r="H16" s="52"/>
      <c r="I16" s="52"/>
      <c r="J16" s="53"/>
      <c r="K16" s="53"/>
      <c r="L16" s="53"/>
      <c r="M16" s="53"/>
      <c r="N16" s="53"/>
      <c r="O16" s="53"/>
      <c r="P16" s="53"/>
      <c r="Q16" s="53"/>
      <c r="R16" s="51"/>
      <c r="S16" s="51"/>
      <c r="T16" s="51"/>
      <c r="U16" s="51"/>
      <c r="V16" s="51"/>
      <c r="W16" s="55"/>
      <c r="X16" s="55"/>
      <c r="Y16" s="55"/>
      <c r="Z16" s="55"/>
      <c r="AA16" s="85"/>
      <c r="AB16" s="85"/>
      <c r="AC16" s="85"/>
      <c r="AD16" s="85"/>
      <c r="AE16" s="85"/>
      <c r="AF16" s="85"/>
      <c r="AG16" s="85"/>
      <c r="AH16" s="54"/>
      <c r="AI16" s="55"/>
      <c r="AJ16" s="55"/>
      <c r="AK16" s="55"/>
      <c r="AL16" s="55"/>
      <c r="AM16" s="55"/>
      <c r="AN16" s="55"/>
      <c r="AO16" s="55"/>
      <c r="AP16" s="55"/>
      <c r="AQ16" s="55"/>
      <c r="AR16" s="55"/>
      <c r="AS16" s="55"/>
      <c r="AT16" s="55"/>
      <c r="AU16" s="55"/>
      <c r="AV16" s="55"/>
      <c r="AW16" s="55"/>
      <c r="AX16" s="55"/>
      <c r="AY16" s="55"/>
      <c r="AZ16" s="55"/>
      <c r="BA16" s="55"/>
      <c r="BB16" s="55"/>
      <c r="BC16" s="55"/>
      <c r="BD16" s="55"/>
      <c r="BE16" s="55"/>
      <c r="BF16" s="55"/>
      <c r="BG16" s="55"/>
      <c r="BH16" s="55"/>
      <c r="BI16" s="55"/>
      <c r="BJ16" s="55"/>
      <c r="BK16" s="55"/>
      <c r="BL16" s="55"/>
      <c r="BM16" s="55"/>
      <c r="BN16" s="55"/>
      <c r="BO16" s="55"/>
      <c r="BP16" s="55"/>
      <c r="BQ16" s="55"/>
      <c r="BR16" s="56"/>
      <c r="BS16" s="56"/>
      <c r="BT16" s="56"/>
      <c r="BU16" s="56"/>
      <c r="BV16" s="56"/>
      <c r="BW16" s="56"/>
      <c r="BX16" s="56"/>
    </row>
    <row r="17" spans="1:76" ht="20.100000000000001" customHeight="1">
      <c r="A17" s="51"/>
      <c r="B17" s="51"/>
      <c r="C17" s="51"/>
      <c r="D17" s="51"/>
      <c r="E17" s="52"/>
      <c r="F17" s="52"/>
      <c r="G17" s="52"/>
      <c r="H17" s="52"/>
      <c r="I17" s="52"/>
      <c r="J17" s="53"/>
      <c r="K17" s="53"/>
      <c r="L17" s="53"/>
      <c r="M17" s="53"/>
      <c r="N17" s="53"/>
      <c r="O17" s="53"/>
      <c r="P17" s="53"/>
      <c r="Q17" s="53"/>
      <c r="R17" s="51"/>
      <c r="S17" s="51"/>
      <c r="T17" s="51"/>
      <c r="U17" s="51"/>
      <c r="V17" s="51"/>
      <c r="W17" s="55"/>
      <c r="X17" s="55"/>
      <c r="Y17" s="55"/>
      <c r="Z17" s="55"/>
      <c r="AA17" s="85"/>
      <c r="AB17" s="85"/>
      <c r="AC17" s="85"/>
      <c r="AD17" s="85"/>
      <c r="AE17" s="85"/>
      <c r="AF17" s="85"/>
      <c r="AG17" s="85"/>
      <c r="AH17" s="54"/>
      <c r="AI17" s="55"/>
      <c r="AJ17" s="55"/>
      <c r="AK17" s="55"/>
      <c r="AL17" s="55"/>
      <c r="AM17" s="55"/>
      <c r="AN17" s="55"/>
      <c r="AO17" s="55"/>
      <c r="AP17" s="55"/>
      <c r="AQ17" s="55"/>
      <c r="AR17" s="55"/>
      <c r="AS17" s="55"/>
      <c r="AT17" s="55"/>
      <c r="AU17" s="55"/>
      <c r="AV17" s="55"/>
      <c r="AW17" s="55"/>
      <c r="AX17" s="55"/>
      <c r="AY17" s="55"/>
      <c r="AZ17" s="55"/>
      <c r="BA17" s="55"/>
      <c r="BB17" s="55"/>
      <c r="BC17" s="55"/>
      <c r="BD17" s="55"/>
      <c r="BE17" s="55"/>
      <c r="BF17" s="55"/>
      <c r="BG17" s="55"/>
      <c r="BH17" s="55"/>
      <c r="BI17" s="55"/>
      <c r="BJ17" s="55"/>
      <c r="BK17" s="55"/>
      <c r="BL17" s="55"/>
      <c r="BM17" s="55"/>
      <c r="BN17" s="55"/>
      <c r="BO17" s="55"/>
      <c r="BP17" s="55"/>
      <c r="BQ17" s="55"/>
      <c r="BR17" s="56"/>
      <c r="BS17" s="56"/>
      <c r="BT17" s="56"/>
      <c r="BU17" s="56"/>
      <c r="BV17" s="56"/>
      <c r="BW17" s="56"/>
      <c r="BX17" s="56"/>
    </row>
    <row r="18" spans="1:76" ht="20.100000000000001" customHeight="1">
      <c r="A18" s="51"/>
      <c r="B18" s="51"/>
      <c r="C18" s="51"/>
      <c r="D18" s="51"/>
      <c r="E18" s="52"/>
      <c r="F18" s="52"/>
      <c r="G18" s="52"/>
      <c r="H18" s="52"/>
      <c r="I18" s="52"/>
      <c r="J18" s="53"/>
      <c r="K18" s="53"/>
      <c r="L18" s="53"/>
      <c r="M18" s="53"/>
      <c r="N18" s="53"/>
      <c r="O18" s="53"/>
      <c r="P18" s="53"/>
      <c r="Q18" s="53"/>
      <c r="R18" s="51"/>
      <c r="S18" s="51"/>
      <c r="T18" s="51"/>
      <c r="U18" s="51"/>
      <c r="V18" s="51"/>
      <c r="W18" s="55"/>
      <c r="X18" s="55"/>
      <c r="Y18" s="55"/>
      <c r="Z18" s="55"/>
      <c r="AA18" s="55"/>
      <c r="AB18" s="55"/>
      <c r="AC18" s="55"/>
      <c r="AD18" s="55"/>
      <c r="AE18" s="55"/>
      <c r="AF18" s="55"/>
      <c r="AG18" s="55"/>
      <c r="AH18" s="54"/>
      <c r="AI18" s="55"/>
      <c r="AJ18" s="55"/>
      <c r="AK18" s="55"/>
      <c r="AL18" s="55"/>
      <c r="AM18" s="55"/>
      <c r="AN18" s="55"/>
      <c r="AO18" s="55"/>
      <c r="AP18" s="55"/>
      <c r="AQ18" s="55"/>
      <c r="AR18" s="55"/>
      <c r="AS18" s="55"/>
      <c r="AT18" s="55"/>
      <c r="AU18" s="55"/>
      <c r="AV18" s="55"/>
      <c r="AW18" s="55"/>
      <c r="AX18" s="55"/>
      <c r="AY18" s="55"/>
      <c r="AZ18" s="55"/>
      <c r="BA18" s="55"/>
      <c r="BB18" s="55"/>
      <c r="BC18" s="55"/>
      <c r="BD18" s="55"/>
      <c r="BE18" s="55"/>
      <c r="BF18" s="55"/>
      <c r="BG18" s="55"/>
      <c r="BH18" s="55"/>
      <c r="BI18" s="55"/>
      <c r="BJ18" s="55"/>
      <c r="BK18" s="55"/>
      <c r="BL18" s="55"/>
      <c r="BM18" s="55"/>
      <c r="BN18" s="55"/>
      <c r="BO18" s="55"/>
      <c r="BP18" s="55"/>
      <c r="BQ18" s="55"/>
      <c r="BR18" s="56"/>
      <c r="BS18" s="56"/>
      <c r="BT18" s="56"/>
      <c r="BU18" s="56"/>
      <c r="BV18" s="56"/>
      <c r="BW18" s="56"/>
      <c r="BX18" s="56"/>
    </row>
    <row r="19" spans="1:76" ht="20.100000000000001" customHeight="1">
      <c r="A19" s="51"/>
      <c r="B19" s="51"/>
      <c r="C19" s="51"/>
      <c r="D19" s="51"/>
      <c r="E19" s="52"/>
      <c r="F19" s="52"/>
      <c r="G19" s="52"/>
      <c r="H19" s="52"/>
      <c r="I19" s="52"/>
      <c r="J19" s="53"/>
      <c r="K19" s="53"/>
      <c r="L19" s="53"/>
      <c r="M19" s="53"/>
      <c r="N19" s="53"/>
      <c r="O19" s="53"/>
      <c r="P19" s="53"/>
      <c r="Q19" s="53"/>
      <c r="R19" s="51"/>
      <c r="S19" s="51"/>
      <c r="T19" s="51"/>
      <c r="U19" s="51"/>
      <c r="V19" s="51"/>
      <c r="W19" s="55"/>
      <c r="X19" s="55"/>
      <c r="Y19" s="55"/>
      <c r="Z19" s="55"/>
      <c r="AA19" s="55"/>
      <c r="AB19" s="55"/>
      <c r="AC19" s="55"/>
      <c r="AD19" s="55"/>
      <c r="AE19" s="55"/>
      <c r="AF19" s="55"/>
      <c r="AG19" s="55"/>
      <c r="AH19" s="54"/>
      <c r="AI19" s="55"/>
      <c r="AJ19" s="55"/>
      <c r="AK19" s="55"/>
      <c r="AL19" s="55"/>
      <c r="AM19" s="55"/>
      <c r="AN19" s="55"/>
      <c r="AO19" s="55"/>
      <c r="AP19" s="55"/>
      <c r="AQ19" s="55"/>
      <c r="AR19" s="55"/>
      <c r="AS19" s="55"/>
      <c r="AT19" s="55"/>
      <c r="AU19" s="55"/>
      <c r="AV19" s="55"/>
      <c r="AW19" s="55"/>
      <c r="AX19" s="55"/>
      <c r="AY19" s="55"/>
      <c r="AZ19" s="55"/>
      <c r="BA19" s="55"/>
      <c r="BB19" s="55"/>
      <c r="BC19" s="55"/>
      <c r="BD19" s="55"/>
      <c r="BE19" s="55"/>
      <c r="BF19" s="55"/>
      <c r="BG19" s="55"/>
      <c r="BH19" s="55"/>
      <c r="BI19" s="55"/>
      <c r="BJ19" s="55"/>
      <c r="BK19" s="55"/>
      <c r="BL19" s="55"/>
      <c r="BM19" s="55"/>
      <c r="BN19" s="55"/>
      <c r="BO19" s="55"/>
      <c r="BP19" s="55"/>
      <c r="BQ19" s="55"/>
      <c r="BR19" s="56"/>
      <c r="BS19" s="56"/>
      <c r="BT19" s="56"/>
      <c r="BU19" s="56"/>
      <c r="BV19" s="56"/>
      <c r="BW19" s="56"/>
      <c r="BX19" s="56"/>
    </row>
    <row r="20" spans="1:76" ht="20.100000000000001" customHeight="1">
      <c r="A20" s="51"/>
      <c r="B20" s="51"/>
      <c r="C20" s="51"/>
      <c r="D20" s="51"/>
      <c r="E20" s="52"/>
      <c r="F20" s="52"/>
      <c r="G20" s="52"/>
      <c r="H20" s="52"/>
      <c r="I20" s="52"/>
      <c r="J20" s="53"/>
      <c r="K20" s="53"/>
      <c r="L20" s="53"/>
      <c r="M20" s="53"/>
      <c r="N20" s="53"/>
      <c r="O20" s="53"/>
      <c r="P20" s="53"/>
      <c r="Q20" s="53"/>
      <c r="R20" s="51"/>
      <c r="S20" s="51"/>
      <c r="T20" s="51"/>
      <c r="U20" s="51"/>
      <c r="V20" s="51"/>
      <c r="W20" s="55"/>
      <c r="X20" s="55"/>
      <c r="Y20" s="55"/>
      <c r="Z20" s="55"/>
      <c r="AA20" s="55"/>
      <c r="AB20" s="55"/>
      <c r="AC20" s="55"/>
      <c r="AD20" s="55"/>
      <c r="AE20" s="55"/>
      <c r="AF20" s="55"/>
      <c r="AG20" s="55"/>
      <c r="AH20" s="54"/>
      <c r="AI20" s="55"/>
      <c r="AJ20" s="55"/>
      <c r="AK20" s="55"/>
      <c r="AL20" s="55"/>
      <c r="AM20" s="55"/>
      <c r="AN20" s="55"/>
      <c r="AO20" s="55"/>
      <c r="AP20" s="55"/>
      <c r="AQ20" s="55"/>
      <c r="AR20" s="55"/>
      <c r="AS20" s="55"/>
      <c r="AT20" s="55"/>
      <c r="AU20" s="55"/>
      <c r="AV20" s="55"/>
      <c r="AW20" s="55"/>
      <c r="AX20" s="55"/>
      <c r="AY20" s="55"/>
      <c r="AZ20" s="55"/>
      <c r="BA20" s="55"/>
      <c r="BB20" s="55"/>
      <c r="BC20" s="55"/>
      <c r="BD20" s="55"/>
      <c r="BE20" s="55"/>
      <c r="BF20" s="55"/>
      <c r="BG20" s="55"/>
      <c r="BH20" s="55"/>
      <c r="BI20" s="55"/>
      <c r="BJ20" s="55"/>
      <c r="BK20" s="55"/>
      <c r="BL20" s="55"/>
      <c r="BM20" s="55"/>
      <c r="BN20" s="55"/>
      <c r="BO20" s="55"/>
      <c r="BP20" s="55"/>
      <c r="BQ20" s="55"/>
      <c r="BR20" s="56"/>
      <c r="BS20" s="56"/>
      <c r="BT20" s="56"/>
      <c r="BU20" s="56"/>
      <c r="BV20" s="56"/>
      <c r="BW20" s="56"/>
      <c r="BX20" s="56"/>
    </row>
    <row r="21" spans="1:76" ht="20.100000000000001" customHeight="1">
      <c r="A21" s="51"/>
      <c r="B21" s="51"/>
      <c r="C21" s="51"/>
      <c r="D21" s="51"/>
      <c r="E21" s="52"/>
      <c r="F21" s="52"/>
      <c r="G21" s="52"/>
      <c r="H21" s="52"/>
      <c r="I21" s="52"/>
      <c r="J21" s="53"/>
      <c r="K21" s="53"/>
      <c r="L21" s="53"/>
      <c r="M21" s="53"/>
      <c r="N21" s="53"/>
      <c r="O21" s="53"/>
      <c r="P21" s="53"/>
      <c r="Q21" s="53"/>
      <c r="R21" s="51"/>
      <c r="S21" s="51"/>
      <c r="T21" s="51"/>
      <c r="U21" s="51"/>
      <c r="V21" s="51"/>
      <c r="W21" s="55"/>
      <c r="X21" s="55"/>
      <c r="Y21" s="55"/>
      <c r="Z21" s="55"/>
      <c r="AA21" s="55"/>
      <c r="AB21" s="55"/>
      <c r="AC21" s="55"/>
      <c r="AD21" s="55"/>
      <c r="AE21" s="55"/>
      <c r="AF21" s="55"/>
      <c r="AG21" s="55"/>
      <c r="AH21" s="54"/>
      <c r="AI21" s="55"/>
      <c r="AJ21" s="55"/>
      <c r="AK21" s="55"/>
      <c r="AL21" s="55"/>
      <c r="AM21" s="55"/>
      <c r="AN21" s="55"/>
      <c r="AO21" s="55"/>
      <c r="AP21" s="55"/>
      <c r="AQ21" s="55"/>
      <c r="AR21" s="55"/>
      <c r="AS21" s="55"/>
      <c r="AT21" s="55"/>
      <c r="AU21" s="55"/>
      <c r="AV21" s="55"/>
      <c r="AW21" s="55"/>
      <c r="AX21" s="55"/>
      <c r="AY21" s="55"/>
      <c r="AZ21" s="55"/>
      <c r="BA21" s="55"/>
      <c r="BB21" s="55"/>
      <c r="BC21" s="55"/>
      <c r="BD21" s="55"/>
      <c r="BE21" s="55"/>
      <c r="BF21" s="55"/>
      <c r="BG21" s="55"/>
      <c r="BH21" s="55"/>
      <c r="BI21" s="55"/>
      <c r="BJ21" s="55"/>
      <c r="BK21" s="55"/>
      <c r="BL21" s="55"/>
      <c r="BM21" s="55"/>
      <c r="BN21" s="55"/>
      <c r="BO21" s="55"/>
      <c r="BP21" s="55"/>
      <c r="BQ21" s="55"/>
      <c r="BR21" s="56"/>
      <c r="BS21" s="56"/>
      <c r="BT21" s="56"/>
      <c r="BU21" s="56"/>
      <c r="BV21" s="56"/>
      <c r="BW21" s="56"/>
      <c r="BX21" s="56"/>
    </row>
    <row r="22" spans="1:76" ht="20.100000000000001" customHeight="1">
      <c r="A22" s="51"/>
      <c r="B22" s="51"/>
      <c r="C22" s="51"/>
      <c r="D22" s="51"/>
      <c r="E22" s="52"/>
      <c r="F22" s="52"/>
      <c r="G22" s="52"/>
      <c r="H22" s="52"/>
      <c r="I22" s="52"/>
      <c r="J22" s="53"/>
      <c r="K22" s="53"/>
      <c r="L22" s="53"/>
      <c r="M22" s="53"/>
      <c r="N22" s="53"/>
      <c r="O22" s="53"/>
      <c r="P22" s="53"/>
      <c r="Q22" s="53"/>
      <c r="R22" s="51"/>
      <c r="S22" s="51"/>
      <c r="T22" s="51"/>
      <c r="U22" s="51"/>
      <c r="V22" s="51"/>
      <c r="W22" s="55"/>
      <c r="X22" s="55"/>
      <c r="Y22" s="55"/>
      <c r="Z22" s="55"/>
      <c r="AA22" s="55"/>
      <c r="AB22" s="55"/>
      <c r="AC22" s="55"/>
      <c r="AD22" s="55"/>
      <c r="AE22" s="55"/>
      <c r="AF22" s="55"/>
      <c r="AG22" s="55"/>
      <c r="AH22" s="54"/>
      <c r="AI22" s="55"/>
      <c r="AJ22" s="55"/>
      <c r="AK22" s="55"/>
      <c r="AL22" s="55"/>
      <c r="AM22" s="55"/>
      <c r="AN22" s="55"/>
      <c r="AO22" s="55"/>
      <c r="AP22" s="55"/>
      <c r="AQ22" s="55"/>
      <c r="AR22" s="55"/>
      <c r="AS22" s="55"/>
      <c r="AT22" s="55"/>
      <c r="AU22" s="55"/>
      <c r="AV22" s="55"/>
      <c r="AW22" s="55"/>
      <c r="AX22" s="55"/>
      <c r="AY22" s="55"/>
      <c r="AZ22" s="55"/>
      <c r="BA22" s="55"/>
      <c r="BB22" s="55"/>
      <c r="BC22" s="55"/>
      <c r="BD22" s="55"/>
      <c r="BE22" s="55"/>
      <c r="BF22" s="55"/>
      <c r="BG22" s="55"/>
      <c r="BH22" s="55"/>
      <c r="BI22" s="55"/>
      <c r="BJ22" s="55"/>
      <c r="BK22" s="55"/>
      <c r="BL22" s="55"/>
      <c r="BM22" s="55"/>
      <c r="BN22" s="55"/>
      <c r="BO22" s="55"/>
      <c r="BP22" s="55"/>
      <c r="BQ22" s="55"/>
      <c r="BR22" s="56"/>
      <c r="BS22" s="56"/>
      <c r="BT22" s="56"/>
      <c r="BU22" s="56"/>
      <c r="BV22" s="56"/>
      <c r="BW22" s="56"/>
      <c r="BX22" s="56"/>
    </row>
    <row r="23" spans="1:76" ht="20.100000000000001" customHeight="1">
      <c r="A23" s="51"/>
      <c r="B23" s="51"/>
      <c r="C23" s="51"/>
      <c r="D23" s="51"/>
      <c r="E23" s="52"/>
      <c r="F23" s="52"/>
      <c r="G23" s="52"/>
      <c r="H23" s="52"/>
      <c r="I23" s="52"/>
      <c r="J23" s="53"/>
      <c r="K23" s="53"/>
      <c r="L23" s="53"/>
      <c r="M23" s="53"/>
      <c r="N23" s="53"/>
      <c r="O23" s="53"/>
      <c r="P23" s="53"/>
      <c r="Q23" s="53"/>
      <c r="R23" s="51"/>
      <c r="S23" s="51"/>
      <c r="T23" s="51"/>
      <c r="U23" s="51"/>
      <c r="V23" s="51"/>
      <c r="W23" s="55"/>
      <c r="X23" s="55"/>
      <c r="Y23" s="55"/>
      <c r="Z23" s="55"/>
      <c r="AA23" s="55"/>
      <c r="AB23" s="55"/>
      <c r="AC23" s="55"/>
      <c r="AD23" s="55"/>
      <c r="AE23" s="55"/>
      <c r="AF23" s="55"/>
      <c r="AG23" s="55"/>
      <c r="AH23" s="54"/>
      <c r="AI23" s="55"/>
      <c r="AJ23" s="55"/>
      <c r="AK23" s="55"/>
      <c r="AL23" s="55"/>
      <c r="AM23" s="55"/>
      <c r="AN23" s="55"/>
      <c r="AO23" s="55"/>
      <c r="AP23" s="55"/>
      <c r="AQ23" s="55"/>
      <c r="AR23" s="55"/>
      <c r="AS23" s="55"/>
      <c r="AT23" s="55"/>
      <c r="AU23" s="55"/>
      <c r="AV23" s="55"/>
      <c r="AW23" s="55"/>
      <c r="AX23" s="55"/>
      <c r="AY23" s="55"/>
      <c r="AZ23" s="55"/>
      <c r="BA23" s="55"/>
      <c r="BB23" s="55"/>
      <c r="BC23" s="55"/>
      <c r="BD23" s="55"/>
      <c r="BE23" s="55"/>
      <c r="BF23" s="55"/>
      <c r="BG23" s="55"/>
      <c r="BH23" s="55"/>
      <c r="BI23" s="55"/>
      <c r="BJ23" s="55"/>
      <c r="BK23" s="55"/>
      <c r="BL23" s="55"/>
      <c r="BM23" s="55"/>
      <c r="BN23" s="55"/>
      <c r="BO23" s="55"/>
      <c r="BP23" s="55"/>
      <c r="BQ23" s="55"/>
      <c r="BR23" s="56"/>
      <c r="BS23" s="56"/>
      <c r="BT23" s="56"/>
      <c r="BU23" s="56"/>
      <c r="BV23" s="56"/>
      <c r="BW23" s="56"/>
      <c r="BX23" s="56"/>
    </row>
  </sheetData>
  <mergeCells count="161">
    <mergeCell ref="AA23:AG23"/>
    <mergeCell ref="AH23:BQ23"/>
    <mergeCell ref="BR23:BX23"/>
    <mergeCell ref="A23:D23"/>
    <mergeCell ref="E23:I23"/>
    <mergeCell ref="J23:Q23"/>
    <mergeCell ref="R23:V23"/>
    <mergeCell ref="W23:Z23"/>
    <mergeCell ref="AA21:AG21"/>
    <mergeCell ref="AH21:BQ21"/>
    <mergeCell ref="BR21:BX21"/>
    <mergeCell ref="A22:D22"/>
    <mergeCell ref="E22:I22"/>
    <mergeCell ref="J22:Q22"/>
    <mergeCell ref="R22:V22"/>
    <mergeCell ref="W22:Z22"/>
    <mergeCell ref="AA22:AG22"/>
    <mergeCell ref="AH22:BQ22"/>
    <mergeCell ref="BR22:BX22"/>
    <mergeCell ref="A21:D21"/>
    <mergeCell ref="E21:I21"/>
    <mergeCell ref="J21:Q21"/>
    <mergeCell ref="R21:V21"/>
    <mergeCell ref="W21:Z21"/>
    <mergeCell ref="AA19:AG19"/>
    <mergeCell ref="AH19:BQ19"/>
    <mergeCell ref="BR19:BX19"/>
    <mergeCell ref="A20:D20"/>
    <mergeCell ref="E20:I20"/>
    <mergeCell ref="J20:Q20"/>
    <mergeCell ref="R20:V20"/>
    <mergeCell ref="W20:Z20"/>
    <mergeCell ref="AA20:AG20"/>
    <mergeCell ref="AH20:BQ20"/>
    <mergeCell ref="BR20:BX20"/>
    <mergeCell ref="A19:D19"/>
    <mergeCell ref="E19:I19"/>
    <mergeCell ref="J19:Q19"/>
    <mergeCell ref="R19:V19"/>
    <mergeCell ref="W19:Z19"/>
    <mergeCell ref="AA17:AG17"/>
    <mergeCell ref="AH17:BQ17"/>
    <mergeCell ref="BR17:BX17"/>
    <mergeCell ref="A18:D18"/>
    <mergeCell ref="E18:I18"/>
    <mergeCell ref="J18:Q18"/>
    <mergeCell ref="R18:V18"/>
    <mergeCell ref="W18:Z18"/>
    <mergeCell ref="AA18:AG18"/>
    <mergeCell ref="AH18:BQ18"/>
    <mergeCell ref="BR18:BX18"/>
    <mergeCell ref="A17:D17"/>
    <mergeCell ref="E17:I17"/>
    <mergeCell ref="J17:Q17"/>
    <mergeCell ref="R17:V17"/>
    <mergeCell ref="W17:Z17"/>
    <mergeCell ref="AA16:AG16"/>
    <mergeCell ref="AH16:BQ16"/>
    <mergeCell ref="BR16:BX16"/>
    <mergeCell ref="A16:D16"/>
    <mergeCell ref="E16:I16"/>
    <mergeCell ref="J16:Q16"/>
    <mergeCell ref="R16:V16"/>
    <mergeCell ref="W16:Z16"/>
    <mergeCell ref="A15:D15"/>
    <mergeCell ref="E15:I15"/>
    <mergeCell ref="J15:Q15"/>
    <mergeCell ref="R15:V15"/>
    <mergeCell ref="W15:Z15"/>
    <mergeCell ref="AA15:AG15"/>
    <mergeCell ref="AH15:BQ15"/>
    <mergeCell ref="BR15:BX15"/>
    <mergeCell ref="AA13:AG13"/>
    <mergeCell ref="AH13:BQ13"/>
    <mergeCell ref="BR13:BX13"/>
    <mergeCell ref="A14:D14"/>
    <mergeCell ref="E14:I14"/>
    <mergeCell ref="J14:Q14"/>
    <mergeCell ref="R14:V14"/>
    <mergeCell ref="W14:Z14"/>
    <mergeCell ref="AA14:AG14"/>
    <mergeCell ref="AH14:BQ14"/>
    <mergeCell ref="BR14:BX14"/>
    <mergeCell ref="A13:D13"/>
    <mergeCell ref="E13:I13"/>
    <mergeCell ref="J13:Q13"/>
    <mergeCell ref="R13:V13"/>
    <mergeCell ref="W13:Z13"/>
    <mergeCell ref="R3:V4"/>
    <mergeCell ref="R6:V6"/>
    <mergeCell ref="BR3:BX4"/>
    <mergeCell ref="AH3:BQ4"/>
    <mergeCell ref="AH5:BQ5"/>
    <mergeCell ref="BR5:BX5"/>
    <mergeCell ref="W6:Z6"/>
    <mergeCell ref="AA6:AG6"/>
    <mergeCell ref="AH6:BQ6"/>
    <mergeCell ref="BR6:BX6"/>
    <mergeCell ref="AA4:AG4"/>
    <mergeCell ref="W3:AG3"/>
    <mergeCell ref="W4:Z4"/>
    <mergeCell ref="W5:Z5"/>
    <mergeCell ref="AA5:AG5"/>
    <mergeCell ref="J8:Q8"/>
    <mergeCell ref="R8:V8"/>
    <mergeCell ref="W9:Z9"/>
    <mergeCell ref="AA9:AG9"/>
    <mergeCell ref="A5:D5"/>
    <mergeCell ref="R5:V5"/>
    <mergeCell ref="W7:Z7"/>
    <mergeCell ref="AA7:AG7"/>
    <mergeCell ref="A3:D4"/>
    <mergeCell ref="J3:Q4"/>
    <mergeCell ref="A9:D9"/>
    <mergeCell ref="E9:I9"/>
    <mergeCell ref="J9:Q9"/>
    <mergeCell ref="A8:D8"/>
    <mergeCell ref="E8:I8"/>
    <mergeCell ref="A6:D6"/>
    <mergeCell ref="E6:I6"/>
    <mergeCell ref="J6:Q6"/>
    <mergeCell ref="J5:Q5"/>
    <mergeCell ref="E3:I4"/>
    <mergeCell ref="E5:I5"/>
    <mergeCell ref="A7:D7"/>
    <mergeCell ref="E7:I7"/>
    <mergeCell ref="J7:Q7"/>
    <mergeCell ref="AH8:BQ8"/>
    <mergeCell ref="BR8:BX8"/>
    <mergeCell ref="AA8:AG8"/>
    <mergeCell ref="W8:Z8"/>
    <mergeCell ref="BR7:BX7"/>
    <mergeCell ref="AH7:BQ7"/>
    <mergeCell ref="R9:V9"/>
    <mergeCell ref="W10:Z10"/>
    <mergeCell ref="AA10:AG10"/>
    <mergeCell ref="AH10:BQ10"/>
    <mergeCell ref="BR10:BX10"/>
    <mergeCell ref="R7:V7"/>
    <mergeCell ref="A10:D10"/>
    <mergeCell ref="E10:I10"/>
    <mergeCell ref="J10:Q10"/>
    <mergeCell ref="R10:V10"/>
    <mergeCell ref="AH9:BQ9"/>
    <mergeCell ref="BR9:BX9"/>
    <mergeCell ref="W12:Z12"/>
    <mergeCell ref="AA12:AG12"/>
    <mergeCell ref="AH12:BQ12"/>
    <mergeCell ref="BR12:BX12"/>
    <mergeCell ref="A12:D12"/>
    <mergeCell ref="E12:I12"/>
    <mergeCell ref="J12:Q12"/>
    <mergeCell ref="R12:V12"/>
    <mergeCell ref="AH11:BQ11"/>
    <mergeCell ref="BR11:BX11"/>
    <mergeCell ref="A11:D11"/>
    <mergeCell ref="E11:I11"/>
    <mergeCell ref="J11:Q11"/>
    <mergeCell ref="R11:V11"/>
    <mergeCell ref="W11:Z11"/>
    <mergeCell ref="AA11:AG11"/>
  </mergeCells>
  <phoneticPr fontId="2"/>
  <pageMargins left="0.21" right="0.2" top="0.78740157480314965" bottom="0.39370078740157483" header="0.59055118110236227" footer="0.19685039370078741"/>
  <pageSetup paperSize="9" orientation="landscape" r:id="rId1"/>
  <headerFooter alignWithMargins="0">
    <oddFooter>&amp;R&amp;9株式会社　京信システムサービス&amp;C&amp;11&amp;P　/　&amp;N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7"/>
  <dimension ref="A1:CR47"/>
  <sheetViews>
    <sheetView zoomScaleNormal="100" workbookViewId="0">
      <pane ySplit="3" topLeftCell="A4" activePane="bottomLeft" state="frozen"/>
      <selection activeCell="J6" sqref="J6:Q6"/>
      <selection pane="bottomLeft" activeCell="A4" sqref="A4:H4"/>
    </sheetView>
  </sheetViews>
  <sheetFormatPr defaultColWidth="1.875" defaultRowHeight="15" customHeight="1"/>
  <cols>
    <col min="1" max="16384" width="1.875" style="16"/>
  </cols>
  <sheetData>
    <row r="1" spans="1:96" s="14" customFormat="1" ht="15" customHeight="1">
      <c r="A1" s="154" t="s">
        <v>1</v>
      </c>
      <c r="B1" s="155"/>
      <c r="C1" s="155"/>
      <c r="D1" s="155"/>
      <c r="E1" s="155"/>
      <c r="F1" s="155"/>
      <c r="G1" s="155"/>
      <c r="H1" s="156"/>
      <c r="I1" s="157" t="str">
        <f>タイトル!I40</f>
        <v>　学生勤務管理システム</v>
      </c>
      <c r="J1" s="158"/>
      <c r="K1" s="158"/>
      <c r="L1" s="158"/>
      <c r="M1" s="158"/>
      <c r="N1" s="158"/>
      <c r="O1" s="158"/>
      <c r="P1" s="158"/>
      <c r="Q1" s="158"/>
      <c r="R1" s="158"/>
      <c r="S1" s="158"/>
      <c r="T1" s="158"/>
      <c r="U1" s="158"/>
      <c r="V1" s="158"/>
      <c r="W1" s="158"/>
      <c r="X1" s="158"/>
      <c r="Y1" s="158"/>
      <c r="Z1" s="158"/>
      <c r="AA1" s="158"/>
      <c r="AB1" s="158"/>
      <c r="AC1" s="158"/>
      <c r="AD1" s="159"/>
      <c r="AE1" s="160" t="s">
        <v>0</v>
      </c>
      <c r="AF1" s="161"/>
      <c r="AG1" s="161"/>
      <c r="AH1" s="161"/>
      <c r="AI1" s="161"/>
      <c r="AJ1" s="161"/>
      <c r="AK1" s="162"/>
      <c r="AL1" s="163" t="str">
        <f>タイトル!I43</f>
        <v>　機能設計</v>
      </c>
      <c r="AM1" s="164"/>
      <c r="AN1" s="164"/>
      <c r="AO1" s="164"/>
      <c r="AP1" s="164"/>
      <c r="AQ1" s="164"/>
      <c r="AR1" s="164"/>
      <c r="AS1" s="164"/>
      <c r="AT1" s="164"/>
      <c r="AU1" s="164"/>
      <c r="AV1" s="164"/>
      <c r="AW1" s="164"/>
      <c r="AX1" s="164"/>
      <c r="AY1" s="164"/>
      <c r="AZ1" s="164"/>
      <c r="BA1" s="164"/>
      <c r="BB1" s="164"/>
      <c r="BC1" s="164"/>
      <c r="BD1" s="164"/>
      <c r="BE1" s="164"/>
      <c r="BF1" s="164"/>
      <c r="BG1" s="164"/>
      <c r="BH1" s="165"/>
      <c r="BI1" s="160" t="s">
        <v>12</v>
      </c>
      <c r="BJ1" s="161"/>
      <c r="BK1" s="161"/>
      <c r="BL1" s="162"/>
      <c r="BM1" s="166" t="str">
        <f>タイトル!I46</f>
        <v>大久保　梓沙</v>
      </c>
      <c r="BN1" s="167"/>
      <c r="BO1" s="167"/>
      <c r="BP1" s="167"/>
      <c r="BQ1" s="167"/>
      <c r="BR1" s="167"/>
      <c r="BS1" s="167"/>
      <c r="BT1" s="167"/>
      <c r="BU1" s="167"/>
      <c r="BV1" s="168"/>
      <c r="BW1" s="112">
        <f>タイトル!I47</f>
        <v>45327</v>
      </c>
      <c r="BX1" s="113"/>
      <c r="BY1" s="113"/>
      <c r="BZ1" s="113"/>
      <c r="CA1" s="113"/>
      <c r="CB1" s="113"/>
      <c r="CC1" s="113"/>
      <c r="CD1" s="113"/>
      <c r="CE1" s="114"/>
      <c r="CF1" s="115" t="s">
        <v>13</v>
      </c>
      <c r="CG1" s="116"/>
      <c r="CH1" s="116"/>
      <c r="CI1" s="116"/>
      <c r="CJ1" s="117"/>
      <c r="CK1" s="124" t="str">
        <f>タイトル!I50</f>
        <v>DUC010</v>
      </c>
      <c r="CL1" s="125"/>
      <c r="CM1" s="125"/>
      <c r="CN1" s="125"/>
      <c r="CO1" s="125"/>
      <c r="CP1" s="125"/>
      <c r="CQ1" s="125"/>
      <c r="CR1" s="126"/>
    </row>
    <row r="2" spans="1:96" s="14" customFormat="1" ht="15" customHeight="1">
      <c r="A2" s="133" t="s">
        <v>14</v>
      </c>
      <c r="B2" s="134"/>
      <c r="C2" s="134"/>
      <c r="D2" s="134"/>
      <c r="E2" s="134"/>
      <c r="F2" s="134"/>
      <c r="G2" s="134"/>
      <c r="H2" s="135"/>
      <c r="I2" s="136" t="str">
        <f>タイトル!I41</f>
        <v>　共通機能</v>
      </c>
      <c r="J2" s="137"/>
      <c r="K2" s="137"/>
      <c r="L2" s="137"/>
      <c r="M2" s="137"/>
      <c r="N2" s="137"/>
      <c r="O2" s="137"/>
      <c r="P2" s="137"/>
      <c r="Q2" s="137"/>
      <c r="R2" s="137"/>
      <c r="S2" s="137"/>
      <c r="T2" s="137"/>
      <c r="U2" s="137"/>
      <c r="V2" s="137"/>
      <c r="W2" s="137"/>
      <c r="X2" s="137"/>
      <c r="Y2" s="137"/>
      <c r="Z2" s="137"/>
      <c r="AA2" s="137"/>
      <c r="AB2" s="137"/>
      <c r="AC2" s="137"/>
      <c r="AD2" s="138"/>
      <c r="AE2" s="139" t="s">
        <v>32</v>
      </c>
      <c r="AF2" s="140"/>
      <c r="AG2" s="140"/>
      <c r="AH2" s="140"/>
      <c r="AI2" s="140"/>
      <c r="AJ2" s="140"/>
      <c r="AK2" s="141"/>
      <c r="AL2" s="142" t="str">
        <f>タイトル!I44</f>
        <v>　メール送信</v>
      </c>
      <c r="AM2" s="143"/>
      <c r="AN2" s="143"/>
      <c r="AO2" s="143"/>
      <c r="AP2" s="143"/>
      <c r="AQ2" s="143"/>
      <c r="AR2" s="143"/>
      <c r="AS2" s="143"/>
      <c r="AT2" s="143"/>
      <c r="AU2" s="143"/>
      <c r="AV2" s="143"/>
      <c r="AW2" s="143"/>
      <c r="AX2" s="143"/>
      <c r="AY2" s="143"/>
      <c r="AZ2" s="143"/>
      <c r="BA2" s="143"/>
      <c r="BB2" s="143"/>
      <c r="BC2" s="143"/>
      <c r="BD2" s="143"/>
      <c r="BE2" s="143"/>
      <c r="BF2" s="143"/>
      <c r="BG2" s="143"/>
      <c r="BH2" s="144"/>
      <c r="BI2" s="145" t="s">
        <v>15</v>
      </c>
      <c r="BJ2" s="146"/>
      <c r="BK2" s="146"/>
      <c r="BL2" s="147"/>
      <c r="BM2" s="148"/>
      <c r="BN2" s="149"/>
      <c r="BO2" s="149"/>
      <c r="BP2" s="149"/>
      <c r="BQ2" s="149"/>
      <c r="BR2" s="149"/>
      <c r="BS2" s="149"/>
      <c r="BT2" s="149"/>
      <c r="BU2" s="149"/>
      <c r="BV2" s="150"/>
      <c r="BW2" s="151"/>
      <c r="BX2" s="152"/>
      <c r="BY2" s="152"/>
      <c r="BZ2" s="152"/>
      <c r="CA2" s="152"/>
      <c r="CB2" s="152"/>
      <c r="CC2" s="152"/>
      <c r="CD2" s="152"/>
      <c r="CE2" s="153"/>
      <c r="CF2" s="118"/>
      <c r="CG2" s="119"/>
      <c r="CH2" s="119"/>
      <c r="CI2" s="119"/>
      <c r="CJ2" s="120"/>
      <c r="CK2" s="127"/>
      <c r="CL2" s="128"/>
      <c r="CM2" s="128"/>
      <c r="CN2" s="128"/>
      <c r="CO2" s="128"/>
      <c r="CP2" s="128"/>
      <c r="CQ2" s="128"/>
      <c r="CR2" s="129"/>
    </row>
    <row r="3" spans="1:96" s="14" customFormat="1" ht="15" customHeight="1" thickBot="1">
      <c r="A3" s="169"/>
      <c r="B3" s="170"/>
      <c r="C3" s="170"/>
      <c r="D3" s="170"/>
      <c r="E3" s="170"/>
      <c r="F3" s="170"/>
      <c r="G3" s="170"/>
      <c r="H3" s="171"/>
      <c r="I3" s="100"/>
      <c r="J3" s="101"/>
      <c r="K3" s="101"/>
      <c r="L3" s="101"/>
      <c r="M3" s="101"/>
      <c r="N3" s="101"/>
      <c r="O3" s="101"/>
      <c r="P3" s="101"/>
      <c r="Q3" s="101"/>
      <c r="R3" s="101"/>
      <c r="S3" s="101"/>
      <c r="T3" s="101"/>
      <c r="U3" s="101"/>
      <c r="V3" s="101"/>
      <c r="W3" s="101"/>
      <c r="X3" s="101"/>
      <c r="Y3" s="101"/>
      <c r="Z3" s="101"/>
      <c r="AA3" s="101"/>
      <c r="AB3" s="101"/>
      <c r="AC3" s="101"/>
      <c r="AD3" s="102"/>
      <c r="AE3" s="121"/>
      <c r="AF3" s="122"/>
      <c r="AG3" s="122"/>
      <c r="AH3" s="122"/>
      <c r="AI3" s="122"/>
      <c r="AJ3" s="122"/>
      <c r="AK3" s="123"/>
      <c r="AL3" s="103"/>
      <c r="AM3" s="104"/>
      <c r="AN3" s="104"/>
      <c r="AO3" s="104"/>
      <c r="AP3" s="104"/>
      <c r="AQ3" s="104"/>
      <c r="AR3" s="104"/>
      <c r="AS3" s="104"/>
      <c r="AT3" s="104"/>
      <c r="AU3" s="104"/>
      <c r="AV3" s="104"/>
      <c r="AW3" s="104"/>
      <c r="AX3" s="104"/>
      <c r="AY3" s="104"/>
      <c r="AZ3" s="104"/>
      <c r="BA3" s="104"/>
      <c r="BB3" s="104"/>
      <c r="BC3" s="104"/>
      <c r="BD3" s="104"/>
      <c r="BE3" s="104"/>
      <c r="BF3" s="104"/>
      <c r="BG3" s="104"/>
      <c r="BH3" s="105"/>
      <c r="BI3" s="106"/>
      <c r="BJ3" s="107"/>
      <c r="BK3" s="107"/>
      <c r="BL3" s="108"/>
      <c r="BM3" s="109"/>
      <c r="BN3" s="110"/>
      <c r="BO3" s="110"/>
      <c r="BP3" s="110"/>
      <c r="BQ3" s="110"/>
      <c r="BR3" s="110"/>
      <c r="BS3" s="110"/>
      <c r="BT3" s="110"/>
      <c r="BU3" s="110"/>
      <c r="BV3" s="110"/>
      <c r="BW3" s="110"/>
      <c r="BX3" s="110"/>
      <c r="BY3" s="110"/>
      <c r="BZ3" s="110"/>
      <c r="CA3" s="110"/>
      <c r="CB3" s="110"/>
      <c r="CC3" s="110"/>
      <c r="CD3" s="110"/>
      <c r="CE3" s="111"/>
      <c r="CF3" s="121"/>
      <c r="CG3" s="122"/>
      <c r="CH3" s="122"/>
      <c r="CI3" s="122"/>
      <c r="CJ3" s="123"/>
      <c r="CK3" s="130"/>
      <c r="CL3" s="131"/>
      <c r="CM3" s="131"/>
      <c r="CN3" s="131"/>
      <c r="CO3" s="131"/>
      <c r="CP3" s="131"/>
      <c r="CQ3" s="131"/>
      <c r="CR3" s="132"/>
    </row>
    <row r="4" spans="1:96" s="15" customFormat="1" ht="15" customHeight="1">
      <c r="A4" s="92" t="s">
        <v>36</v>
      </c>
      <c r="B4" s="93"/>
      <c r="C4" s="93"/>
      <c r="D4" s="93"/>
      <c r="E4" s="93"/>
      <c r="F4" s="93"/>
      <c r="G4" s="93"/>
      <c r="H4" s="94"/>
      <c r="I4" s="95" t="s">
        <v>47</v>
      </c>
      <c r="J4" s="95"/>
      <c r="K4" s="95"/>
      <c r="L4" s="95"/>
      <c r="M4" s="95"/>
      <c r="N4" s="95"/>
      <c r="O4" s="95"/>
      <c r="P4" s="95"/>
      <c r="Q4" s="95"/>
      <c r="R4" s="95"/>
      <c r="S4" s="95"/>
      <c r="T4" s="95"/>
      <c r="U4" s="95"/>
      <c r="V4" s="95"/>
      <c r="W4" s="95"/>
      <c r="X4" s="95"/>
      <c r="Y4" s="95"/>
      <c r="Z4" s="95"/>
      <c r="AA4" s="95"/>
      <c r="AB4" s="95"/>
      <c r="AC4" s="95"/>
      <c r="AD4" s="95"/>
      <c r="AE4" s="95"/>
      <c r="AF4" s="95"/>
      <c r="AG4" s="95"/>
      <c r="AH4" s="95"/>
      <c r="AI4" s="95"/>
      <c r="AJ4" s="95"/>
      <c r="AK4" s="95"/>
      <c r="AL4" s="96" t="s">
        <v>37</v>
      </c>
      <c r="AM4" s="96"/>
      <c r="AN4" s="96"/>
      <c r="AO4" s="96"/>
      <c r="AP4" s="96"/>
      <c r="AQ4" s="96"/>
      <c r="AR4" s="96"/>
      <c r="AS4" s="97" t="str">
        <f>LEFT(タイトル!I44,7)</f>
        <v>　メール送信</v>
      </c>
      <c r="AT4" s="97"/>
      <c r="AU4" s="97"/>
      <c r="AV4" s="97"/>
      <c r="AW4" s="97"/>
      <c r="AX4" s="97"/>
      <c r="AY4" s="97"/>
      <c r="AZ4" s="97"/>
      <c r="BA4" s="97"/>
      <c r="BB4" s="97"/>
      <c r="BC4" s="97"/>
      <c r="BD4" s="97"/>
      <c r="BE4" s="97"/>
      <c r="BF4" s="97"/>
      <c r="BG4" s="97"/>
      <c r="BH4" s="97"/>
      <c r="BI4" s="98" t="s">
        <v>35</v>
      </c>
      <c r="BJ4" s="99"/>
      <c r="BK4" s="99"/>
      <c r="BL4" s="99"/>
      <c r="BM4" s="99"/>
      <c r="BN4" s="99"/>
      <c r="BO4" s="99"/>
      <c r="BP4" s="99"/>
      <c r="BQ4" s="99"/>
      <c r="BR4" s="99"/>
      <c r="BS4" s="99"/>
      <c r="BT4" s="89" t="s">
        <v>123</v>
      </c>
      <c r="BU4" s="90"/>
      <c r="BV4" s="90"/>
      <c r="BW4" s="90"/>
      <c r="BX4" s="90"/>
      <c r="BY4" s="90"/>
      <c r="BZ4" s="90"/>
      <c r="CA4" s="90"/>
      <c r="CB4" s="90"/>
      <c r="CC4" s="90"/>
      <c r="CD4" s="90"/>
      <c r="CE4" s="90"/>
      <c r="CF4" s="90"/>
      <c r="CG4" s="90"/>
      <c r="CH4" s="90"/>
      <c r="CI4" s="90"/>
      <c r="CJ4" s="90"/>
      <c r="CK4" s="90"/>
      <c r="CL4" s="90"/>
      <c r="CM4" s="90"/>
      <c r="CN4" s="90"/>
      <c r="CO4" s="90"/>
      <c r="CP4" s="90"/>
      <c r="CQ4" s="90"/>
      <c r="CR4" s="91"/>
    </row>
    <row r="5" spans="1:96" s="12" customFormat="1" ht="15" customHeight="1">
      <c r="A5" s="86" t="s">
        <v>39</v>
      </c>
      <c r="B5" s="87"/>
      <c r="C5" s="87"/>
      <c r="D5" s="87"/>
      <c r="E5" s="87"/>
      <c r="F5" s="87"/>
      <c r="G5" s="87"/>
      <c r="H5" s="87"/>
      <c r="I5" s="87"/>
      <c r="J5" s="87"/>
      <c r="K5" s="87"/>
      <c r="L5" s="87"/>
      <c r="M5" s="87"/>
      <c r="N5" s="87"/>
      <c r="O5" s="87"/>
      <c r="P5" s="87"/>
      <c r="Q5" s="87"/>
      <c r="R5" s="87"/>
      <c r="S5" s="87"/>
      <c r="T5" s="87"/>
      <c r="U5" s="87"/>
      <c r="V5" s="87"/>
      <c r="W5" s="87"/>
      <c r="X5" s="87"/>
      <c r="Y5" s="87"/>
      <c r="Z5" s="87"/>
      <c r="AA5" s="87"/>
      <c r="AB5" s="87"/>
      <c r="AC5" s="87"/>
      <c r="AD5" s="87"/>
      <c r="AE5" s="87"/>
      <c r="AF5" s="87"/>
      <c r="AG5" s="87"/>
      <c r="AH5" s="87"/>
      <c r="AI5" s="87"/>
      <c r="AJ5" s="87"/>
      <c r="AK5" s="87"/>
      <c r="AL5" s="87"/>
      <c r="AM5" s="87"/>
      <c r="AN5" s="87"/>
      <c r="AO5" s="87"/>
      <c r="AP5" s="87"/>
      <c r="AQ5" s="87"/>
      <c r="AR5" s="87"/>
      <c r="AS5" s="87"/>
      <c r="AT5" s="87"/>
      <c r="AU5" s="87"/>
      <c r="AV5" s="87"/>
      <c r="AW5" s="87"/>
      <c r="AX5" s="87"/>
      <c r="AY5" s="87"/>
      <c r="AZ5" s="87"/>
      <c r="BA5" s="87"/>
      <c r="BB5" s="87"/>
      <c r="BC5" s="87"/>
      <c r="BD5" s="87"/>
      <c r="BE5" s="87"/>
      <c r="BF5" s="87"/>
      <c r="BG5" s="87"/>
      <c r="BH5" s="87"/>
      <c r="BI5" s="87"/>
      <c r="BJ5" s="87"/>
      <c r="BK5" s="87"/>
      <c r="BL5" s="87"/>
      <c r="BM5" s="87"/>
      <c r="BN5" s="87"/>
      <c r="BO5" s="87"/>
      <c r="BP5" s="87"/>
      <c r="BQ5" s="87"/>
      <c r="BR5" s="87"/>
      <c r="BS5" s="87"/>
      <c r="BT5" s="87"/>
      <c r="BU5" s="87"/>
      <c r="BV5" s="87"/>
      <c r="BW5" s="87"/>
      <c r="BX5" s="87"/>
      <c r="BY5" s="87"/>
      <c r="BZ5" s="87"/>
      <c r="CA5" s="87"/>
      <c r="CB5" s="87"/>
      <c r="CC5" s="87"/>
      <c r="CD5" s="87"/>
      <c r="CE5" s="87"/>
      <c r="CF5" s="87"/>
      <c r="CG5" s="87"/>
      <c r="CH5" s="87"/>
      <c r="CI5" s="87"/>
      <c r="CJ5" s="87"/>
      <c r="CK5" s="87"/>
      <c r="CL5" s="87"/>
      <c r="CM5" s="87"/>
      <c r="CN5" s="87"/>
      <c r="CO5" s="87"/>
      <c r="CP5" s="87"/>
      <c r="CQ5" s="87"/>
      <c r="CR5" s="88"/>
    </row>
    <row r="6" spans="1:96" s="12" customFormat="1" ht="15" customHeight="1">
      <c r="A6" s="19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8"/>
    </row>
    <row r="7" spans="1:96" s="12" customFormat="1" ht="15" customHeight="1">
      <c r="A7" s="19"/>
      <c r="B7" s="28" t="s">
        <v>51</v>
      </c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8"/>
    </row>
    <row r="8" spans="1:96" s="12" customFormat="1" ht="15" customHeight="1">
      <c r="A8" s="19"/>
      <c r="B8" s="17"/>
      <c r="C8" s="17" t="s">
        <v>49</v>
      </c>
      <c r="D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  <c r="BG8" s="17"/>
      <c r="BH8" s="17"/>
      <c r="BI8" s="17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8"/>
    </row>
    <row r="9" spans="1:96" s="12" customFormat="1" ht="15" customHeight="1">
      <c r="A9" s="19"/>
      <c r="B9" s="17"/>
      <c r="C9" s="17"/>
      <c r="D9" s="12" t="s">
        <v>52</v>
      </c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7"/>
      <c r="BG9" s="17"/>
      <c r="BH9" s="17"/>
      <c r="BI9" s="17"/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8"/>
    </row>
    <row r="10" spans="1:96" s="12" customFormat="1" ht="15" customHeight="1">
      <c r="A10" s="19"/>
      <c r="B10" s="17"/>
      <c r="C10" s="17"/>
      <c r="D10" s="12" t="s">
        <v>50</v>
      </c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7"/>
      <c r="BG10" s="17"/>
      <c r="BH10" s="17"/>
      <c r="BI10" s="17"/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8"/>
    </row>
    <row r="11" spans="1:96" s="12" customFormat="1" ht="15" customHeight="1">
      <c r="A11" s="19"/>
      <c r="B11" s="17"/>
      <c r="C11" s="17"/>
      <c r="D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7"/>
      <c r="BG11" s="17"/>
      <c r="BH11" s="17"/>
      <c r="BI11" s="17"/>
      <c r="BJ11" s="17"/>
      <c r="BK11" s="17"/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8"/>
    </row>
    <row r="12" spans="1:96" s="12" customFormat="1" ht="15" customHeight="1">
      <c r="A12" s="19"/>
      <c r="B12" s="17"/>
      <c r="C12" s="17"/>
      <c r="D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7"/>
      <c r="BG12" s="17"/>
      <c r="BH12" s="17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8"/>
    </row>
    <row r="13" spans="1:96" s="12" customFormat="1" ht="15" customHeight="1">
      <c r="A13" s="19"/>
      <c r="B13" s="17"/>
      <c r="C13" s="29" t="s">
        <v>53</v>
      </c>
      <c r="D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7"/>
      <c r="BG13" s="17"/>
      <c r="BH13" s="17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8"/>
    </row>
    <row r="14" spans="1:96" s="12" customFormat="1" ht="15" customHeight="1">
      <c r="A14" s="19"/>
      <c r="B14" s="17"/>
      <c r="C14" s="17"/>
      <c r="D14" s="17" t="s">
        <v>63</v>
      </c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  <c r="BG14" s="17"/>
      <c r="BH14" s="17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8"/>
    </row>
    <row r="15" spans="1:96" s="12" customFormat="1" ht="15" customHeight="1">
      <c r="A15" s="19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8"/>
    </row>
    <row r="16" spans="1:96" s="12" customFormat="1" ht="15" customHeight="1">
      <c r="A16" s="19"/>
      <c r="B16" s="17"/>
      <c r="C16" s="17"/>
      <c r="D16" s="17"/>
      <c r="E16" s="17"/>
      <c r="F16" s="30" t="s">
        <v>55</v>
      </c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2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/>
      <c r="BG16" s="17"/>
      <c r="BH16" s="17"/>
      <c r="BI16" s="17"/>
      <c r="BJ16" s="17"/>
      <c r="BK16" s="17"/>
      <c r="BL16" s="17"/>
      <c r="BM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8"/>
    </row>
    <row r="17" spans="1:96" s="12" customFormat="1" ht="15" customHeight="1">
      <c r="A17" s="19"/>
      <c r="B17" s="17"/>
      <c r="C17" s="17"/>
      <c r="D17" s="17"/>
      <c r="E17" s="17"/>
      <c r="F17" s="33"/>
      <c r="G17" s="34" t="s">
        <v>54</v>
      </c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5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7"/>
      <c r="BG17" s="17"/>
      <c r="BH17" s="17"/>
      <c r="BI17" s="17"/>
      <c r="BJ17" s="17"/>
      <c r="BK17" s="17"/>
      <c r="BL17" s="17"/>
      <c r="BM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8"/>
    </row>
    <row r="18" spans="1:96" s="12" customFormat="1" ht="15" customHeight="1">
      <c r="A18" s="19"/>
      <c r="B18" s="17"/>
      <c r="C18" s="17"/>
      <c r="D18" s="17"/>
      <c r="E18" s="17"/>
      <c r="F18" s="33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5"/>
      <c r="S18" s="17"/>
      <c r="U18" s="17"/>
      <c r="V18" s="17" t="s">
        <v>57</v>
      </c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7"/>
      <c r="BG18" s="17"/>
      <c r="BH18" s="17"/>
      <c r="BI18" s="17"/>
      <c r="BJ18" s="17"/>
      <c r="BK18" s="17"/>
      <c r="BL18" s="17"/>
      <c r="BM18" s="17"/>
      <c r="BN18" s="12" t="s">
        <v>58</v>
      </c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8"/>
    </row>
    <row r="19" spans="1:96" s="12" customFormat="1" ht="15" customHeight="1">
      <c r="A19" s="19"/>
      <c r="B19" s="17"/>
      <c r="C19" s="17"/>
      <c r="D19" s="17"/>
      <c r="E19" s="17"/>
      <c r="F19" s="33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5"/>
      <c r="S19" s="17"/>
      <c r="U19" s="12" t="s">
        <v>59</v>
      </c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N19" s="17"/>
      <c r="AO19" s="17"/>
      <c r="AP19" s="17" t="s">
        <v>58</v>
      </c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7"/>
      <c r="BG19" s="17"/>
      <c r="BH19" s="17"/>
      <c r="BI19" s="17"/>
      <c r="BJ19" s="17"/>
      <c r="BK19" s="17"/>
      <c r="BL19" s="17"/>
      <c r="BM19" s="17"/>
      <c r="BN19" s="17" t="s">
        <v>65</v>
      </c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8"/>
    </row>
    <row r="20" spans="1:96" s="12" customFormat="1" ht="15" customHeight="1">
      <c r="A20" s="19"/>
      <c r="B20" s="17"/>
      <c r="C20" s="17"/>
      <c r="D20" s="17"/>
      <c r="E20" s="17"/>
      <c r="F20" s="33"/>
      <c r="G20" s="34"/>
      <c r="H20" s="36"/>
      <c r="I20" s="36"/>
      <c r="J20" s="25"/>
      <c r="K20" s="26" t="s">
        <v>48</v>
      </c>
      <c r="L20" s="26"/>
      <c r="M20" s="27"/>
      <c r="N20" s="34"/>
      <c r="O20" s="34"/>
      <c r="P20" s="34"/>
      <c r="Q20" s="34"/>
      <c r="R20" s="35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2" t="s">
        <v>73</v>
      </c>
      <c r="BP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8"/>
    </row>
    <row r="21" spans="1:96" s="12" customFormat="1" ht="15" customHeight="1">
      <c r="A21" s="19"/>
      <c r="B21" s="17"/>
      <c r="C21" s="17"/>
      <c r="D21" s="17"/>
      <c r="E21" s="17"/>
      <c r="F21" s="37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9"/>
      <c r="S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N21" s="17"/>
      <c r="AO21" s="17"/>
      <c r="AP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17"/>
      <c r="BI21" s="17"/>
      <c r="BJ21" s="17"/>
      <c r="BK21" s="17"/>
      <c r="BL21" s="17"/>
      <c r="BM21" s="17"/>
      <c r="BN21" s="17" t="s">
        <v>64</v>
      </c>
      <c r="BO21" s="17"/>
      <c r="BP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8"/>
    </row>
    <row r="22" spans="1:96" s="12" customFormat="1" ht="15" customHeight="1">
      <c r="A22" s="19"/>
      <c r="B22" s="17"/>
      <c r="C22" s="17"/>
      <c r="D22" s="17"/>
      <c r="E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AF22" s="17"/>
      <c r="AG22" s="17"/>
      <c r="AH22" s="17"/>
      <c r="AI22" s="17"/>
      <c r="AJ22" s="17"/>
      <c r="AN22" s="17"/>
      <c r="AO22" s="17"/>
      <c r="AP22" s="17"/>
      <c r="AQ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 t="s">
        <v>56</v>
      </c>
      <c r="BE22" s="17"/>
      <c r="BF22" s="17"/>
      <c r="BG22" s="17"/>
      <c r="BH22" s="17"/>
      <c r="BI22" s="17"/>
      <c r="BJ22" s="17"/>
      <c r="BK22" s="17"/>
      <c r="BL22" s="17"/>
      <c r="BM22" s="17"/>
      <c r="BN22" s="17" t="s">
        <v>66</v>
      </c>
      <c r="BO22" s="17"/>
      <c r="BP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8"/>
    </row>
    <row r="23" spans="1:96" s="12" customFormat="1" ht="15" customHeight="1">
      <c r="A23" s="19"/>
      <c r="B23" s="17"/>
      <c r="C23" s="17"/>
      <c r="D23" s="17"/>
      <c r="E23" s="17"/>
      <c r="I23" s="17"/>
      <c r="J23" s="17"/>
      <c r="N23" s="17"/>
      <c r="O23" s="17"/>
      <c r="P23" s="17"/>
      <c r="Q23" s="17"/>
      <c r="R23" s="17"/>
      <c r="AF23" s="17"/>
      <c r="AG23" s="17"/>
      <c r="AH23" s="17"/>
      <c r="AI23" s="17"/>
      <c r="AJ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 t="s">
        <v>67</v>
      </c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8"/>
    </row>
    <row r="24" spans="1:96" s="12" customFormat="1" ht="15" customHeight="1">
      <c r="A24" s="19"/>
      <c r="B24" s="17"/>
      <c r="C24" s="17"/>
      <c r="D24" s="17"/>
      <c r="E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AF24" s="17"/>
      <c r="AG24" s="17"/>
      <c r="AH24" s="17"/>
      <c r="AI24" s="17"/>
      <c r="AJ24" s="17"/>
      <c r="AN24" s="17"/>
      <c r="AO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8"/>
    </row>
    <row r="25" spans="1:96" s="12" customFormat="1" ht="15" customHeight="1">
      <c r="A25" s="19"/>
      <c r="B25" s="17"/>
      <c r="C25" s="17"/>
      <c r="D25" s="17"/>
      <c r="E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AF25" s="17"/>
      <c r="AG25" s="17"/>
      <c r="AH25" s="17"/>
      <c r="AI25" s="17"/>
      <c r="AJ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8"/>
    </row>
    <row r="26" spans="1:96" s="12" customFormat="1" ht="15" customHeight="1">
      <c r="A26" s="19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AF26" s="17"/>
      <c r="AG26" s="17"/>
      <c r="AH26" s="17"/>
      <c r="AI26" s="17"/>
      <c r="AJ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  <c r="BG26" s="17"/>
      <c r="BH26" s="17"/>
      <c r="BI26" s="17"/>
      <c r="BJ26" s="17"/>
      <c r="BK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8"/>
    </row>
    <row r="27" spans="1:96" s="12" customFormat="1" ht="15" customHeight="1">
      <c r="A27" s="19"/>
      <c r="B27" s="17"/>
      <c r="C27" s="17"/>
      <c r="D27" s="17"/>
      <c r="E27" s="17"/>
      <c r="K27" s="17"/>
      <c r="L27" s="17"/>
      <c r="M27" s="17"/>
      <c r="N27" s="17"/>
      <c r="O27" s="17"/>
      <c r="P27" s="17"/>
      <c r="Q27" s="17"/>
      <c r="R27" s="17"/>
      <c r="AF27" s="17"/>
      <c r="AG27" s="17"/>
      <c r="AH27" s="17"/>
      <c r="AI27" s="17"/>
      <c r="AJ27" s="17"/>
      <c r="AN27" s="17"/>
      <c r="AO27" s="17"/>
      <c r="AP27" s="17" t="s">
        <v>69</v>
      </c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7"/>
      <c r="BG27" s="17"/>
      <c r="BH27" s="17"/>
      <c r="BI27" s="17"/>
      <c r="BJ27" s="17"/>
      <c r="BK27" s="17"/>
      <c r="BN27" s="17" t="s">
        <v>68</v>
      </c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8"/>
    </row>
    <row r="28" spans="1:96" s="12" customFormat="1" ht="15" customHeight="1">
      <c r="A28" s="19"/>
      <c r="B28" s="17"/>
      <c r="C28" s="17"/>
      <c r="D28" s="17"/>
      <c r="E28" s="17"/>
      <c r="K28" s="17"/>
      <c r="L28" s="17"/>
      <c r="M28" s="17"/>
      <c r="N28" s="17"/>
      <c r="O28" s="17"/>
      <c r="P28" s="17"/>
      <c r="Q28" s="17"/>
      <c r="R28" s="17"/>
      <c r="AF28" s="17"/>
      <c r="AG28" s="17"/>
      <c r="AH28" s="17"/>
      <c r="AI28" s="17"/>
      <c r="AJ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7"/>
      <c r="BI28" s="17"/>
      <c r="BJ28" s="17"/>
      <c r="BK28" s="17"/>
      <c r="BN28" s="17" t="s">
        <v>70</v>
      </c>
      <c r="BO28" s="17"/>
      <c r="BP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8"/>
    </row>
    <row r="29" spans="1:96" s="12" customFormat="1" ht="15" customHeight="1">
      <c r="A29" s="19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17"/>
      <c r="BG29" s="17"/>
      <c r="BH29" s="17"/>
      <c r="BI29" s="17"/>
      <c r="BJ29" s="17"/>
      <c r="BK29" s="17"/>
      <c r="BN29" s="17" t="s">
        <v>72</v>
      </c>
      <c r="BO29" s="17"/>
      <c r="BP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8"/>
    </row>
    <row r="30" spans="1:96" s="12" customFormat="1" ht="15" customHeight="1">
      <c r="A30" s="19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  <c r="BG30" s="17"/>
      <c r="BH30" s="17"/>
      <c r="BI30" s="17"/>
      <c r="BJ30" s="17"/>
      <c r="BK30" s="17"/>
      <c r="BO30" s="17" t="s">
        <v>74</v>
      </c>
      <c r="BP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8"/>
    </row>
    <row r="31" spans="1:96" s="12" customFormat="1" ht="15" customHeight="1">
      <c r="A31" s="19"/>
      <c r="B31" s="17"/>
      <c r="C31" s="29" t="s">
        <v>61</v>
      </c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  <c r="BG31" s="17"/>
      <c r="BH31" s="17"/>
      <c r="BI31" s="17"/>
      <c r="BJ31" s="17"/>
      <c r="BK31" s="17"/>
      <c r="BN31" s="40" t="s">
        <v>60</v>
      </c>
      <c r="BO31" s="17"/>
      <c r="BP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8"/>
    </row>
    <row r="32" spans="1:96" s="12" customFormat="1" ht="15" customHeight="1">
      <c r="A32" s="19"/>
      <c r="B32" s="17"/>
      <c r="C32" s="17"/>
      <c r="D32" s="17" t="s">
        <v>75</v>
      </c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 t="s">
        <v>69</v>
      </c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  <c r="BG32" s="17"/>
      <c r="BH32" s="17"/>
      <c r="BI32" s="17"/>
      <c r="BJ32" s="17"/>
      <c r="BK32" s="17"/>
      <c r="BL32" s="17"/>
      <c r="BM32" s="17"/>
      <c r="BN32" s="40" t="s">
        <v>71</v>
      </c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8"/>
    </row>
    <row r="33" spans="1:96" s="12" customFormat="1" ht="15" customHeight="1">
      <c r="A33" s="19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  <c r="BG33" s="17"/>
      <c r="BH33" s="17"/>
      <c r="BI33" s="17"/>
      <c r="BJ33" s="17"/>
      <c r="BK33" s="17"/>
      <c r="BL33" s="17"/>
      <c r="BM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8"/>
    </row>
    <row r="34" spans="1:96" s="12" customFormat="1" ht="15" customHeight="1">
      <c r="A34" s="19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  <c r="BG34" s="17"/>
      <c r="BH34" s="17"/>
      <c r="BI34" s="17"/>
      <c r="BJ34" s="17"/>
      <c r="BK34" s="17"/>
      <c r="BL34" s="17"/>
      <c r="BM34" s="17"/>
      <c r="BN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8"/>
    </row>
    <row r="35" spans="1:96" s="12" customFormat="1" ht="15" customHeight="1">
      <c r="A35" s="19"/>
      <c r="B35" s="17"/>
      <c r="C35" s="17"/>
      <c r="D35" s="17"/>
      <c r="E35" s="17"/>
      <c r="F35" s="17"/>
      <c r="G35" s="17"/>
      <c r="H35" s="30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2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  <c r="BD35" s="17"/>
      <c r="BE35" s="17"/>
      <c r="BF35" s="17"/>
      <c r="BG35" s="17"/>
      <c r="BH35" s="17"/>
      <c r="BI35" s="17"/>
      <c r="BJ35" s="17"/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8"/>
    </row>
    <row r="36" spans="1:96" s="12" customFormat="1" ht="15" customHeight="1">
      <c r="A36" s="19"/>
      <c r="B36" s="17"/>
      <c r="C36" s="17"/>
      <c r="D36" s="17"/>
      <c r="E36" s="17"/>
      <c r="F36" s="17"/>
      <c r="G36" s="17"/>
      <c r="H36" s="33"/>
      <c r="I36" s="34" t="s">
        <v>62</v>
      </c>
      <c r="J36" s="36"/>
      <c r="K36" s="34"/>
      <c r="L36" s="34"/>
      <c r="M36" s="34"/>
      <c r="N36" s="34"/>
      <c r="O36" s="34"/>
      <c r="P36" s="34"/>
      <c r="Q36" s="34"/>
      <c r="R36" s="34"/>
      <c r="S36" s="34"/>
      <c r="T36" s="35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  <c r="BG36" s="17"/>
      <c r="BH36" s="17"/>
      <c r="BI36" s="17"/>
      <c r="BJ36" s="17"/>
      <c r="BK36" s="17"/>
      <c r="BL36" s="17"/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8"/>
    </row>
    <row r="37" spans="1:96" s="12" customFormat="1" ht="15" customHeight="1">
      <c r="A37" s="19"/>
      <c r="B37" s="17"/>
      <c r="C37" s="17"/>
      <c r="D37" s="17"/>
      <c r="E37" s="17"/>
      <c r="F37" s="17"/>
      <c r="G37" s="17"/>
      <c r="H37" s="33"/>
      <c r="I37" s="34"/>
      <c r="J37" s="36"/>
      <c r="K37" s="34"/>
      <c r="L37" s="34"/>
      <c r="M37" s="34"/>
      <c r="N37" s="34"/>
      <c r="O37" s="34"/>
      <c r="P37" s="34"/>
      <c r="Q37" s="34"/>
      <c r="R37" s="34"/>
      <c r="S37" s="34"/>
      <c r="T37" s="35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  <c r="BG37" s="17"/>
      <c r="BH37" s="17"/>
      <c r="BI37" s="17"/>
      <c r="BJ37" s="17"/>
      <c r="BK37" s="17"/>
      <c r="BL37" s="17"/>
      <c r="BM37" s="17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8"/>
    </row>
    <row r="38" spans="1:96" s="12" customFormat="1" ht="15" customHeight="1">
      <c r="A38" s="19"/>
      <c r="B38" s="17"/>
      <c r="C38" s="17"/>
      <c r="D38" s="17"/>
      <c r="E38" s="17"/>
      <c r="F38" s="17"/>
      <c r="G38" s="17"/>
      <c r="H38" s="33"/>
      <c r="I38" s="34"/>
      <c r="J38" s="36"/>
      <c r="K38" s="34"/>
      <c r="L38" s="34"/>
      <c r="M38" s="34"/>
      <c r="N38" s="34"/>
      <c r="O38" s="34"/>
      <c r="P38" s="34"/>
      <c r="Q38" s="34"/>
      <c r="R38" s="34"/>
      <c r="S38" s="34"/>
      <c r="T38" s="35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  <c r="BG38" s="17"/>
      <c r="BH38" s="17"/>
      <c r="BI38" s="17"/>
      <c r="BJ38" s="17"/>
      <c r="BK38" s="17"/>
      <c r="BL38" s="17"/>
      <c r="BM38" s="17"/>
      <c r="BN38" s="17"/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8"/>
    </row>
    <row r="39" spans="1:96" s="12" customFormat="1" ht="15" customHeight="1">
      <c r="A39" s="19"/>
      <c r="B39" s="17"/>
      <c r="C39" s="17"/>
      <c r="D39" s="17"/>
      <c r="E39" s="17"/>
      <c r="F39" s="17"/>
      <c r="G39" s="17"/>
      <c r="H39" s="37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9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 t="s">
        <v>58</v>
      </c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  <c r="BG39" s="17"/>
      <c r="BH39" s="17"/>
      <c r="BI39" s="17"/>
      <c r="BJ39" s="17"/>
      <c r="BK39" s="17"/>
      <c r="BL39" s="17"/>
      <c r="BM39" s="17"/>
      <c r="BN39" s="17"/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8"/>
    </row>
    <row r="40" spans="1:96" s="12" customFormat="1" ht="15" customHeight="1">
      <c r="A40" s="19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  <c r="BG40" s="17"/>
      <c r="BH40" s="17"/>
      <c r="BI40" s="17"/>
      <c r="BJ40" s="17"/>
      <c r="BK40" s="17"/>
      <c r="BL40" s="17"/>
      <c r="BM40" s="17"/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8"/>
    </row>
    <row r="41" spans="1:96" s="12" customFormat="1" ht="15" customHeight="1">
      <c r="A41" s="19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 t="s">
        <v>56</v>
      </c>
      <c r="BE41" s="17"/>
      <c r="BF41" s="17"/>
      <c r="BG41" s="17"/>
      <c r="BH41" s="17"/>
      <c r="BI41" s="17"/>
      <c r="BJ41" s="17"/>
      <c r="BK41" s="17"/>
      <c r="BL41" s="17"/>
      <c r="BM41" s="17"/>
      <c r="BN41" s="17"/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8"/>
    </row>
    <row r="42" spans="1:96" s="12" customFormat="1" ht="15" customHeight="1">
      <c r="A42" s="19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  <c r="BG42" s="17"/>
      <c r="BH42" s="17"/>
      <c r="BI42" s="17"/>
      <c r="BJ42" s="17"/>
      <c r="BK42" s="17"/>
      <c r="BL42" s="17"/>
      <c r="BM42" s="17"/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8"/>
    </row>
    <row r="43" spans="1:96" s="12" customFormat="1" ht="15" customHeight="1">
      <c r="A43" s="19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/>
      <c r="BG43" s="17"/>
      <c r="BH43" s="17"/>
      <c r="BI43" s="17"/>
      <c r="BJ43" s="17"/>
      <c r="BK43" s="17"/>
      <c r="BL43" s="17"/>
      <c r="BM43" s="17"/>
      <c r="BN43" s="17"/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8"/>
    </row>
    <row r="44" spans="1:96" s="12" customFormat="1" ht="15" customHeight="1">
      <c r="A44" s="19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  <c r="BG44" s="17"/>
      <c r="BH44" s="17"/>
      <c r="BI44" s="17"/>
      <c r="BJ44" s="17"/>
      <c r="BK44" s="17"/>
      <c r="BL44" s="17"/>
      <c r="BM44" s="17"/>
      <c r="BN44" s="17"/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8"/>
    </row>
    <row r="45" spans="1:96" s="12" customFormat="1" ht="15" customHeight="1">
      <c r="A45" s="19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  <c r="BG45" s="17"/>
      <c r="BH45" s="17"/>
      <c r="BI45" s="17"/>
      <c r="BJ45" s="17"/>
      <c r="BK45" s="17"/>
      <c r="BL45" s="17"/>
      <c r="BM45" s="17"/>
      <c r="BN45" s="17"/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8"/>
    </row>
    <row r="46" spans="1:96" s="12" customFormat="1" ht="15" customHeight="1">
      <c r="A46" s="19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  <c r="BG46" s="17"/>
      <c r="BH46" s="17"/>
      <c r="BI46" s="17"/>
      <c r="BJ46" s="17"/>
      <c r="BK46" s="17"/>
      <c r="BL46" s="17"/>
      <c r="BM46" s="17"/>
      <c r="BN46" s="17"/>
      <c r="BO46" s="17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8"/>
    </row>
    <row r="47" spans="1:96" s="12" customFormat="1" ht="15" customHeight="1" thickBot="1">
      <c r="A47" s="20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1"/>
      <c r="BK47" s="22"/>
      <c r="BL47" s="22"/>
      <c r="BM47" s="23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1"/>
      <c r="BY47" s="21"/>
      <c r="BZ47" s="21"/>
      <c r="CA47" s="21"/>
      <c r="CB47" s="21"/>
      <c r="CC47" s="21"/>
      <c r="CD47" s="21"/>
      <c r="CE47" s="21"/>
      <c r="CF47" s="21"/>
      <c r="CG47" s="21"/>
      <c r="CH47" s="21"/>
      <c r="CI47" s="21"/>
      <c r="CJ47" s="21"/>
      <c r="CK47" s="21"/>
      <c r="CL47" s="21"/>
      <c r="CM47" s="21"/>
      <c r="CN47" s="21"/>
      <c r="CO47" s="21"/>
      <c r="CP47" s="21"/>
      <c r="CQ47" s="21"/>
      <c r="CR47" s="24"/>
    </row>
  </sheetData>
  <mergeCells count="28">
    <mergeCell ref="CF1:CJ3"/>
    <mergeCell ref="CK1:CR3"/>
    <mergeCell ref="A2:H2"/>
    <mergeCell ref="I2:AD2"/>
    <mergeCell ref="AE2:AK3"/>
    <mergeCell ref="AL2:BH2"/>
    <mergeCell ref="BI2:BL2"/>
    <mergeCell ref="BM2:BV2"/>
    <mergeCell ref="BW2:CE2"/>
    <mergeCell ref="A1:H1"/>
    <mergeCell ref="I1:AD1"/>
    <mergeCell ref="AE1:AK1"/>
    <mergeCell ref="AL1:BH1"/>
    <mergeCell ref="BI1:BL1"/>
    <mergeCell ref="BM1:BV1"/>
    <mergeCell ref="A3:H3"/>
    <mergeCell ref="I3:AD3"/>
    <mergeCell ref="AL3:BH3"/>
    <mergeCell ref="BI3:BL3"/>
    <mergeCell ref="BM3:CE3"/>
    <mergeCell ref="BW1:CE1"/>
    <mergeCell ref="A5:CR5"/>
    <mergeCell ref="BT4:CR4"/>
    <mergeCell ref="A4:H4"/>
    <mergeCell ref="I4:AK4"/>
    <mergeCell ref="AL4:AR4"/>
    <mergeCell ref="AS4:BH4"/>
    <mergeCell ref="BI4:BS4"/>
  </mergeCells>
  <phoneticPr fontId="11"/>
  <pageMargins left="0.39370078740157483" right="0.16" top="0.78740157480314965" bottom="0.39370078740157483" header="0.59055118110236227" footer="0.19685039370078741"/>
  <pageSetup paperSize="9" scale="80" firstPageNumber="4" orientation="landscape" r:id="rId1"/>
  <headerFooter alignWithMargins="0">
    <oddFooter>&amp;C&amp;P　/　&amp;N&amp;R株式会社　京信システムサービス</oddFooter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521B3-276A-4C85-BE0B-8C325B8F2332}">
  <dimension ref="A1:CR90"/>
  <sheetViews>
    <sheetView zoomScaleNormal="100" workbookViewId="0">
      <pane ySplit="3" topLeftCell="A4" activePane="bottomLeft" state="frozen"/>
      <selection activeCell="J6" sqref="J6:Q6"/>
      <selection pane="bottomLeft" activeCell="A4" sqref="A4:H4"/>
    </sheetView>
  </sheetViews>
  <sheetFormatPr defaultColWidth="1.875" defaultRowHeight="15" customHeight="1"/>
  <cols>
    <col min="1" max="16384" width="1.875" style="16"/>
  </cols>
  <sheetData>
    <row r="1" spans="1:96" s="14" customFormat="1" ht="15" customHeight="1">
      <c r="A1" s="154" t="s">
        <v>1</v>
      </c>
      <c r="B1" s="155"/>
      <c r="C1" s="155"/>
      <c r="D1" s="155"/>
      <c r="E1" s="155"/>
      <c r="F1" s="155"/>
      <c r="G1" s="155"/>
      <c r="H1" s="156"/>
      <c r="I1" s="157" t="str">
        <f>タイトル!I40</f>
        <v>　学生勤務管理システム</v>
      </c>
      <c r="J1" s="158"/>
      <c r="K1" s="158"/>
      <c r="L1" s="158"/>
      <c r="M1" s="158"/>
      <c r="N1" s="158"/>
      <c r="O1" s="158"/>
      <c r="P1" s="158"/>
      <c r="Q1" s="158"/>
      <c r="R1" s="158"/>
      <c r="S1" s="158"/>
      <c r="T1" s="158"/>
      <c r="U1" s="158"/>
      <c r="V1" s="158"/>
      <c r="W1" s="158"/>
      <c r="X1" s="158"/>
      <c r="Y1" s="158"/>
      <c r="Z1" s="158"/>
      <c r="AA1" s="158"/>
      <c r="AB1" s="158"/>
      <c r="AC1" s="158"/>
      <c r="AD1" s="159"/>
      <c r="AE1" s="160" t="s">
        <v>0</v>
      </c>
      <c r="AF1" s="161"/>
      <c r="AG1" s="161"/>
      <c r="AH1" s="161"/>
      <c r="AI1" s="161"/>
      <c r="AJ1" s="161"/>
      <c r="AK1" s="162"/>
      <c r="AL1" s="163" t="str">
        <f>タイトル!I43</f>
        <v>　機能設計</v>
      </c>
      <c r="AM1" s="164"/>
      <c r="AN1" s="164"/>
      <c r="AO1" s="164"/>
      <c r="AP1" s="164"/>
      <c r="AQ1" s="164"/>
      <c r="AR1" s="164"/>
      <c r="AS1" s="164"/>
      <c r="AT1" s="164"/>
      <c r="AU1" s="164"/>
      <c r="AV1" s="164"/>
      <c r="AW1" s="164"/>
      <c r="AX1" s="164"/>
      <c r="AY1" s="164"/>
      <c r="AZ1" s="164"/>
      <c r="BA1" s="164"/>
      <c r="BB1" s="164"/>
      <c r="BC1" s="164"/>
      <c r="BD1" s="164"/>
      <c r="BE1" s="164"/>
      <c r="BF1" s="164"/>
      <c r="BG1" s="164"/>
      <c r="BH1" s="165"/>
      <c r="BI1" s="160" t="s">
        <v>12</v>
      </c>
      <c r="BJ1" s="161"/>
      <c r="BK1" s="161"/>
      <c r="BL1" s="162"/>
      <c r="BM1" s="166" t="str">
        <f>タイトル!I46</f>
        <v>大久保　梓沙</v>
      </c>
      <c r="BN1" s="167"/>
      <c r="BO1" s="167"/>
      <c r="BP1" s="167"/>
      <c r="BQ1" s="167"/>
      <c r="BR1" s="167"/>
      <c r="BS1" s="167"/>
      <c r="BT1" s="167"/>
      <c r="BU1" s="167"/>
      <c r="BV1" s="168"/>
      <c r="BW1" s="112">
        <f>タイトル!I47</f>
        <v>45327</v>
      </c>
      <c r="BX1" s="113"/>
      <c r="BY1" s="113"/>
      <c r="BZ1" s="113"/>
      <c r="CA1" s="113"/>
      <c r="CB1" s="113"/>
      <c r="CC1" s="113"/>
      <c r="CD1" s="113"/>
      <c r="CE1" s="114"/>
      <c r="CF1" s="115" t="s">
        <v>13</v>
      </c>
      <c r="CG1" s="116"/>
      <c r="CH1" s="116"/>
      <c r="CI1" s="116"/>
      <c r="CJ1" s="117"/>
      <c r="CK1" s="124" t="str">
        <f>タイトル!I50</f>
        <v>DUC010</v>
      </c>
      <c r="CL1" s="125"/>
      <c r="CM1" s="125"/>
      <c r="CN1" s="125"/>
      <c r="CO1" s="125"/>
      <c r="CP1" s="125"/>
      <c r="CQ1" s="125"/>
      <c r="CR1" s="126"/>
    </row>
    <row r="2" spans="1:96" s="14" customFormat="1" ht="15" customHeight="1">
      <c r="A2" s="133" t="s">
        <v>14</v>
      </c>
      <c r="B2" s="134"/>
      <c r="C2" s="134"/>
      <c r="D2" s="134"/>
      <c r="E2" s="134"/>
      <c r="F2" s="134"/>
      <c r="G2" s="134"/>
      <c r="H2" s="135"/>
      <c r="I2" s="136" t="str">
        <f>タイトル!I41</f>
        <v>　共通機能</v>
      </c>
      <c r="J2" s="137"/>
      <c r="K2" s="137"/>
      <c r="L2" s="137"/>
      <c r="M2" s="137"/>
      <c r="N2" s="137"/>
      <c r="O2" s="137"/>
      <c r="P2" s="137"/>
      <c r="Q2" s="137"/>
      <c r="R2" s="137"/>
      <c r="S2" s="137"/>
      <c r="T2" s="137"/>
      <c r="U2" s="137"/>
      <c r="V2" s="137"/>
      <c r="W2" s="137"/>
      <c r="X2" s="137"/>
      <c r="Y2" s="137"/>
      <c r="Z2" s="137"/>
      <c r="AA2" s="137"/>
      <c r="AB2" s="137"/>
      <c r="AC2" s="137"/>
      <c r="AD2" s="138"/>
      <c r="AE2" s="139" t="s">
        <v>32</v>
      </c>
      <c r="AF2" s="140"/>
      <c r="AG2" s="140"/>
      <c r="AH2" s="140"/>
      <c r="AI2" s="140"/>
      <c r="AJ2" s="140"/>
      <c r="AK2" s="141"/>
      <c r="AL2" s="142" t="str">
        <f>タイトル!I44</f>
        <v>　メール送信</v>
      </c>
      <c r="AM2" s="143"/>
      <c r="AN2" s="143"/>
      <c r="AO2" s="143"/>
      <c r="AP2" s="143"/>
      <c r="AQ2" s="143"/>
      <c r="AR2" s="143"/>
      <c r="AS2" s="143"/>
      <c r="AT2" s="143"/>
      <c r="AU2" s="143"/>
      <c r="AV2" s="143"/>
      <c r="AW2" s="143"/>
      <c r="AX2" s="143"/>
      <c r="AY2" s="143"/>
      <c r="AZ2" s="143"/>
      <c r="BA2" s="143"/>
      <c r="BB2" s="143"/>
      <c r="BC2" s="143"/>
      <c r="BD2" s="143"/>
      <c r="BE2" s="143"/>
      <c r="BF2" s="143"/>
      <c r="BG2" s="143"/>
      <c r="BH2" s="144"/>
      <c r="BI2" s="145" t="s">
        <v>15</v>
      </c>
      <c r="BJ2" s="146"/>
      <c r="BK2" s="146"/>
      <c r="BL2" s="147"/>
      <c r="BM2" s="148"/>
      <c r="BN2" s="149"/>
      <c r="BO2" s="149"/>
      <c r="BP2" s="149"/>
      <c r="BQ2" s="149"/>
      <c r="BR2" s="149"/>
      <c r="BS2" s="149"/>
      <c r="BT2" s="149"/>
      <c r="BU2" s="149"/>
      <c r="BV2" s="150"/>
      <c r="BW2" s="151"/>
      <c r="BX2" s="152"/>
      <c r="BY2" s="152"/>
      <c r="BZ2" s="152"/>
      <c r="CA2" s="152"/>
      <c r="CB2" s="152"/>
      <c r="CC2" s="152"/>
      <c r="CD2" s="152"/>
      <c r="CE2" s="153"/>
      <c r="CF2" s="118"/>
      <c r="CG2" s="119"/>
      <c r="CH2" s="119"/>
      <c r="CI2" s="119"/>
      <c r="CJ2" s="120"/>
      <c r="CK2" s="127"/>
      <c r="CL2" s="128"/>
      <c r="CM2" s="128"/>
      <c r="CN2" s="128"/>
      <c r="CO2" s="128"/>
      <c r="CP2" s="128"/>
      <c r="CQ2" s="128"/>
      <c r="CR2" s="129"/>
    </row>
    <row r="3" spans="1:96" s="14" customFormat="1" ht="15" customHeight="1" thickBot="1">
      <c r="A3" s="169"/>
      <c r="B3" s="170"/>
      <c r="C3" s="170"/>
      <c r="D3" s="170"/>
      <c r="E3" s="170"/>
      <c r="F3" s="170"/>
      <c r="G3" s="170"/>
      <c r="H3" s="171"/>
      <c r="I3" s="100"/>
      <c r="J3" s="101"/>
      <c r="K3" s="101"/>
      <c r="L3" s="101"/>
      <c r="M3" s="101"/>
      <c r="N3" s="101"/>
      <c r="O3" s="101"/>
      <c r="P3" s="101"/>
      <c r="Q3" s="101"/>
      <c r="R3" s="101"/>
      <c r="S3" s="101"/>
      <c r="T3" s="101"/>
      <c r="U3" s="101"/>
      <c r="V3" s="101"/>
      <c r="W3" s="101"/>
      <c r="X3" s="101"/>
      <c r="Y3" s="101"/>
      <c r="Z3" s="101"/>
      <c r="AA3" s="101"/>
      <c r="AB3" s="101"/>
      <c r="AC3" s="101"/>
      <c r="AD3" s="102"/>
      <c r="AE3" s="121"/>
      <c r="AF3" s="122"/>
      <c r="AG3" s="122"/>
      <c r="AH3" s="122"/>
      <c r="AI3" s="122"/>
      <c r="AJ3" s="122"/>
      <c r="AK3" s="123"/>
      <c r="AL3" s="103"/>
      <c r="AM3" s="104"/>
      <c r="AN3" s="104"/>
      <c r="AO3" s="104"/>
      <c r="AP3" s="104"/>
      <c r="AQ3" s="104"/>
      <c r="AR3" s="104"/>
      <c r="AS3" s="104"/>
      <c r="AT3" s="104"/>
      <c r="AU3" s="104"/>
      <c r="AV3" s="104"/>
      <c r="AW3" s="104"/>
      <c r="AX3" s="104"/>
      <c r="AY3" s="104"/>
      <c r="AZ3" s="104"/>
      <c r="BA3" s="104"/>
      <c r="BB3" s="104"/>
      <c r="BC3" s="104"/>
      <c r="BD3" s="104"/>
      <c r="BE3" s="104"/>
      <c r="BF3" s="104"/>
      <c r="BG3" s="104"/>
      <c r="BH3" s="105"/>
      <c r="BI3" s="106"/>
      <c r="BJ3" s="107"/>
      <c r="BK3" s="107"/>
      <c r="BL3" s="108"/>
      <c r="BM3" s="109"/>
      <c r="BN3" s="110"/>
      <c r="BO3" s="110"/>
      <c r="BP3" s="110"/>
      <c r="BQ3" s="110"/>
      <c r="BR3" s="110"/>
      <c r="BS3" s="110"/>
      <c r="BT3" s="110"/>
      <c r="BU3" s="110"/>
      <c r="BV3" s="110"/>
      <c r="BW3" s="110"/>
      <c r="BX3" s="110"/>
      <c r="BY3" s="110"/>
      <c r="BZ3" s="110"/>
      <c r="CA3" s="110"/>
      <c r="CB3" s="110"/>
      <c r="CC3" s="110"/>
      <c r="CD3" s="110"/>
      <c r="CE3" s="111"/>
      <c r="CF3" s="121"/>
      <c r="CG3" s="122"/>
      <c r="CH3" s="122"/>
      <c r="CI3" s="122"/>
      <c r="CJ3" s="123"/>
      <c r="CK3" s="130"/>
      <c r="CL3" s="131"/>
      <c r="CM3" s="131"/>
      <c r="CN3" s="131"/>
      <c r="CO3" s="131"/>
      <c r="CP3" s="131"/>
      <c r="CQ3" s="131"/>
      <c r="CR3" s="132"/>
    </row>
    <row r="4" spans="1:96" s="15" customFormat="1" ht="15" customHeight="1">
      <c r="A4" s="92" t="s">
        <v>36</v>
      </c>
      <c r="B4" s="93"/>
      <c r="C4" s="93"/>
      <c r="D4" s="93"/>
      <c r="E4" s="93"/>
      <c r="F4" s="93"/>
      <c r="G4" s="93"/>
      <c r="H4" s="94"/>
      <c r="I4" s="95" t="s">
        <v>47</v>
      </c>
      <c r="J4" s="95"/>
      <c r="K4" s="95"/>
      <c r="L4" s="95"/>
      <c r="M4" s="95"/>
      <c r="N4" s="95"/>
      <c r="O4" s="95"/>
      <c r="P4" s="95"/>
      <c r="Q4" s="95"/>
      <c r="R4" s="95"/>
      <c r="S4" s="95"/>
      <c r="T4" s="95"/>
      <c r="U4" s="95"/>
      <c r="V4" s="95"/>
      <c r="W4" s="95"/>
      <c r="X4" s="95"/>
      <c r="Y4" s="95"/>
      <c r="Z4" s="95"/>
      <c r="AA4" s="95"/>
      <c r="AB4" s="95"/>
      <c r="AC4" s="95"/>
      <c r="AD4" s="95"/>
      <c r="AE4" s="95"/>
      <c r="AF4" s="95"/>
      <c r="AG4" s="95"/>
      <c r="AH4" s="95"/>
      <c r="AI4" s="95"/>
      <c r="AJ4" s="95"/>
      <c r="AK4" s="95"/>
      <c r="AL4" s="96" t="s">
        <v>37</v>
      </c>
      <c r="AM4" s="96"/>
      <c r="AN4" s="96"/>
      <c r="AO4" s="96"/>
      <c r="AP4" s="96"/>
      <c r="AQ4" s="96"/>
      <c r="AR4" s="96"/>
      <c r="AS4" s="97" t="str">
        <f>LEFT(タイトル!I44,7)</f>
        <v>　メール送信</v>
      </c>
      <c r="AT4" s="97"/>
      <c r="AU4" s="97"/>
      <c r="AV4" s="97"/>
      <c r="AW4" s="97"/>
      <c r="AX4" s="97"/>
      <c r="AY4" s="97"/>
      <c r="AZ4" s="97"/>
      <c r="BA4" s="97"/>
      <c r="BB4" s="97"/>
      <c r="BC4" s="97"/>
      <c r="BD4" s="97"/>
      <c r="BE4" s="97"/>
      <c r="BF4" s="97"/>
      <c r="BG4" s="97"/>
      <c r="BH4" s="97"/>
      <c r="BI4" s="98" t="s">
        <v>35</v>
      </c>
      <c r="BJ4" s="99"/>
      <c r="BK4" s="99"/>
      <c r="BL4" s="99"/>
      <c r="BM4" s="99"/>
      <c r="BN4" s="99"/>
      <c r="BO4" s="99"/>
      <c r="BP4" s="99"/>
      <c r="BQ4" s="99"/>
      <c r="BR4" s="99"/>
      <c r="BS4" s="99"/>
      <c r="BT4" s="89" t="s">
        <v>123</v>
      </c>
      <c r="BU4" s="90"/>
      <c r="BV4" s="90"/>
      <c r="BW4" s="90"/>
      <c r="BX4" s="90"/>
      <c r="BY4" s="90"/>
      <c r="BZ4" s="90"/>
      <c r="CA4" s="90"/>
      <c r="CB4" s="90"/>
      <c r="CC4" s="90"/>
      <c r="CD4" s="90"/>
      <c r="CE4" s="90"/>
      <c r="CF4" s="90"/>
      <c r="CG4" s="90"/>
      <c r="CH4" s="90"/>
      <c r="CI4" s="90"/>
      <c r="CJ4" s="90"/>
      <c r="CK4" s="90"/>
      <c r="CL4" s="90"/>
      <c r="CM4" s="90"/>
      <c r="CN4" s="90"/>
      <c r="CO4" s="90"/>
      <c r="CP4" s="90"/>
      <c r="CQ4" s="90"/>
      <c r="CR4" s="91"/>
    </row>
    <row r="5" spans="1:96" s="12" customFormat="1" ht="15" customHeight="1">
      <c r="A5" s="86" t="s">
        <v>77</v>
      </c>
      <c r="B5" s="87"/>
      <c r="C5" s="87"/>
      <c r="D5" s="87"/>
      <c r="E5" s="87"/>
      <c r="F5" s="87"/>
      <c r="G5" s="87"/>
      <c r="H5" s="87"/>
      <c r="I5" s="87"/>
      <c r="J5" s="87"/>
      <c r="K5" s="87"/>
      <c r="L5" s="87"/>
      <c r="M5" s="87"/>
      <c r="N5" s="87"/>
      <c r="O5" s="87"/>
      <c r="P5" s="87"/>
      <c r="Q5" s="87"/>
      <c r="R5" s="87"/>
      <c r="S5" s="87"/>
      <c r="T5" s="87"/>
      <c r="U5" s="87"/>
      <c r="V5" s="87"/>
      <c r="W5" s="87"/>
      <c r="X5" s="87"/>
      <c r="Y5" s="87"/>
      <c r="Z5" s="87"/>
      <c r="AA5" s="87"/>
      <c r="AB5" s="87"/>
      <c r="AC5" s="87"/>
      <c r="AD5" s="87"/>
      <c r="AE5" s="87"/>
      <c r="AF5" s="87"/>
      <c r="AG5" s="87"/>
      <c r="AH5" s="87"/>
      <c r="AI5" s="87"/>
      <c r="AJ5" s="87"/>
      <c r="AK5" s="87"/>
      <c r="AL5" s="87"/>
      <c r="AM5" s="87"/>
      <c r="AN5" s="87"/>
      <c r="AO5" s="87"/>
      <c r="AP5" s="87"/>
      <c r="AQ5" s="87"/>
      <c r="AR5" s="87"/>
      <c r="AS5" s="87"/>
      <c r="AT5" s="87"/>
      <c r="AU5" s="87"/>
      <c r="AV5" s="87"/>
      <c r="AW5" s="87"/>
      <c r="AX5" s="87"/>
      <c r="AY5" s="87"/>
      <c r="AZ5" s="87"/>
      <c r="BA5" s="87"/>
      <c r="BB5" s="87"/>
      <c r="BC5" s="87"/>
      <c r="BD5" s="87"/>
      <c r="BE5" s="87"/>
      <c r="BF5" s="87"/>
      <c r="BG5" s="87"/>
      <c r="BH5" s="87"/>
      <c r="BI5" s="87"/>
      <c r="BJ5" s="87"/>
      <c r="BK5" s="87"/>
      <c r="BL5" s="87"/>
      <c r="BM5" s="87"/>
      <c r="BN5" s="87"/>
      <c r="BO5" s="87"/>
      <c r="BP5" s="87"/>
      <c r="BQ5" s="87"/>
      <c r="BR5" s="87"/>
      <c r="BS5" s="87"/>
      <c r="BT5" s="87"/>
      <c r="BU5" s="87"/>
      <c r="BV5" s="87"/>
      <c r="BW5" s="87"/>
      <c r="BX5" s="87"/>
      <c r="BY5" s="87"/>
      <c r="BZ5" s="87"/>
      <c r="CA5" s="87"/>
      <c r="CB5" s="87"/>
      <c r="CC5" s="87"/>
      <c r="CD5" s="87"/>
      <c r="CE5" s="87"/>
      <c r="CF5" s="87"/>
      <c r="CG5" s="87"/>
      <c r="CH5" s="87"/>
      <c r="CI5" s="87"/>
      <c r="CJ5" s="87"/>
      <c r="CK5" s="87"/>
      <c r="CL5" s="87"/>
      <c r="CM5" s="87"/>
      <c r="CN5" s="87"/>
      <c r="CO5" s="87"/>
      <c r="CP5" s="87"/>
      <c r="CQ5" s="87"/>
      <c r="CR5" s="88"/>
    </row>
    <row r="6" spans="1:96" s="12" customFormat="1" ht="15" customHeight="1">
      <c r="A6" s="19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8"/>
    </row>
    <row r="7" spans="1:96" s="12" customFormat="1" ht="15" customHeight="1">
      <c r="A7" s="19"/>
      <c r="B7" s="28" t="s">
        <v>76</v>
      </c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8"/>
    </row>
    <row r="8" spans="1:96" s="12" customFormat="1" ht="15" customHeight="1">
      <c r="A8" s="19"/>
      <c r="B8" s="17"/>
      <c r="C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  <c r="BG8" s="17"/>
      <c r="BH8" s="17"/>
      <c r="BI8" s="17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8"/>
    </row>
    <row r="9" spans="1:96" s="12" customFormat="1" ht="15" customHeight="1">
      <c r="A9" s="19"/>
      <c r="B9" s="17"/>
      <c r="C9" s="17"/>
      <c r="D9" s="172" t="s">
        <v>80</v>
      </c>
      <c r="E9" s="172"/>
      <c r="F9" s="172"/>
      <c r="G9" s="172"/>
      <c r="H9" s="172"/>
      <c r="I9" s="172"/>
      <c r="J9" s="172"/>
      <c r="K9" s="172"/>
      <c r="L9" s="172"/>
      <c r="M9" s="172"/>
      <c r="N9" s="172"/>
      <c r="O9" s="172"/>
      <c r="P9" s="172" t="s">
        <v>81</v>
      </c>
      <c r="Q9" s="172"/>
      <c r="R9" s="172"/>
      <c r="S9" s="172"/>
      <c r="T9" s="172"/>
      <c r="U9" s="172"/>
      <c r="V9" s="172"/>
      <c r="W9" s="172"/>
      <c r="X9" s="172"/>
      <c r="Y9" s="172"/>
      <c r="Z9" s="172"/>
      <c r="AA9" s="172"/>
      <c r="AB9" s="172"/>
      <c r="AC9" s="172"/>
      <c r="AD9" s="172"/>
      <c r="AE9" s="172"/>
      <c r="AF9" s="172"/>
      <c r="AG9" s="172"/>
      <c r="AH9" s="172"/>
      <c r="AI9" s="172"/>
      <c r="AJ9" s="172"/>
      <c r="AK9" s="172"/>
      <c r="AL9" s="172"/>
      <c r="AM9" s="172"/>
      <c r="AN9" s="172"/>
      <c r="AO9" s="172"/>
      <c r="AP9" s="172"/>
      <c r="AQ9" s="172"/>
      <c r="AR9" s="172"/>
      <c r="AS9" s="172"/>
      <c r="AT9" s="172" t="s">
        <v>79</v>
      </c>
      <c r="AU9" s="172"/>
      <c r="AV9" s="172"/>
      <c r="AW9" s="172"/>
      <c r="AX9" s="172"/>
      <c r="AY9" s="172"/>
      <c r="AZ9" s="172"/>
      <c r="BA9" s="172"/>
      <c r="BB9" s="172"/>
      <c r="BC9" s="172"/>
      <c r="BD9" s="172"/>
      <c r="BE9" s="172"/>
      <c r="BF9" s="172"/>
      <c r="BG9" s="172"/>
      <c r="BH9" s="172"/>
      <c r="BI9" s="172"/>
      <c r="BJ9" s="172"/>
      <c r="BK9" s="172"/>
      <c r="BL9" s="172"/>
      <c r="BM9" s="172"/>
      <c r="BN9" s="172"/>
      <c r="BO9" s="172"/>
      <c r="BP9" s="172"/>
      <c r="BQ9" s="172"/>
      <c r="BR9" s="172"/>
      <c r="BS9" s="172"/>
      <c r="BT9" s="172"/>
      <c r="BU9" s="172"/>
      <c r="BV9" s="172"/>
      <c r="BW9" s="172"/>
      <c r="BX9" s="172"/>
      <c r="BY9" s="172"/>
      <c r="BZ9" s="172"/>
      <c r="CA9" s="172"/>
      <c r="CB9" s="172"/>
      <c r="CC9" s="172"/>
      <c r="CD9" s="172"/>
      <c r="CE9" s="172"/>
      <c r="CF9" s="172"/>
      <c r="CG9" s="172"/>
      <c r="CH9" s="172"/>
      <c r="CI9" s="172"/>
      <c r="CJ9" s="172"/>
      <c r="CK9" s="172"/>
      <c r="CL9" s="172"/>
      <c r="CM9" s="17"/>
      <c r="CN9" s="17"/>
      <c r="CO9" s="17"/>
      <c r="CP9" s="17"/>
      <c r="CQ9" s="17"/>
      <c r="CR9" s="18"/>
    </row>
    <row r="10" spans="1:96" s="12" customFormat="1" ht="15" customHeight="1">
      <c r="A10" s="19"/>
      <c r="B10" s="17"/>
      <c r="C10" s="17"/>
      <c r="D10" s="55" t="s">
        <v>82</v>
      </c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4" t="s">
        <v>111</v>
      </c>
      <c r="Q10" s="54"/>
      <c r="R10" s="54"/>
      <c r="S10" s="54"/>
      <c r="T10" s="54"/>
      <c r="U10" s="54"/>
      <c r="V10" s="54"/>
      <c r="W10" s="54"/>
      <c r="X10" s="54"/>
      <c r="Y10" s="54"/>
      <c r="Z10" s="54"/>
      <c r="AA10" s="54"/>
      <c r="AB10" s="54"/>
      <c r="AC10" s="54"/>
      <c r="AD10" s="54"/>
      <c r="AE10" s="54"/>
      <c r="AF10" s="54"/>
      <c r="AG10" s="54"/>
      <c r="AH10" s="54"/>
      <c r="AI10" s="54"/>
      <c r="AJ10" s="54"/>
      <c r="AK10" s="54"/>
      <c r="AL10" s="54"/>
      <c r="AM10" s="54"/>
      <c r="AN10" s="54"/>
      <c r="AO10" s="54"/>
      <c r="AP10" s="54"/>
      <c r="AQ10" s="54"/>
      <c r="AR10" s="54"/>
      <c r="AS10" s="54"/>
      <c r="AT10" s="54" t="s">
        <v>109</v>
      </c>
      <c r="AU10" s="54"/>
      <c r="AV10" s="54"/>
      <c r="AW10" s="54"/>
      <c r="AX10" s="54"/>
      <c r="AY10" s="54"/>
      <c r="AZ10" s="54"/>
      <c r="BA10" s="54"/>
      <c r="BB10" s="54"/>
      <c r="BC10" s="54"/>
      <c r="BD10" s="54"/>
      <c r="BE10" s="54"/>
      <c r="BF10" s="54"/>
      <c r="BG10" s="54"/>
      <c r="BH10" s="54"/>
      <c r="BI10" s="54"/>
      <c r="BJ10" s="54"/>
      <c r="BK10" s="54"/>
      <c r="BL10" s="54"/>
      <c r="BM10" s="54"/>
      <c r="BN10" s="54"/>
      <c r="BO10" s="54"/>
      <c r="BP10" s="54"/>
      <c r="BQ10" s="54"/>
      <c r="BR10" s="54"/>
      <c r="BS10" s="54"/>
      <c r="BT10" s="54"/>
      <c r="BU10" s="54"/>
      <c r="BV10" s="54"/>
      <c r="BW10" s="54"/>
      <c r="BX10" s="54"/>
      <c r="BY10" s="54"/>
      <c r="BZ10" s="54"/>
      <c r="CA10" s="54"/>
      <c r="CB10" s="54"/>
      <c r="CC10" s="54"/>
      <c r="CD10" s="54"/>
      <c r="CE10" s="54"/>
      <c r="CF10" s="54"/>
      <c r="CG10" s="54"/>
      <c r="CH10" s="54"/>
      <c r="CI10" s="54"/>
      <c r="CJ10" s="54"/>
      <c r="CK10" s="54"/>
      <c r="CL10" s="54"/>
      <c r="CM10" s="17"/>
      <c r="CN10" s="17"/>
      <c r="CO10" s="17"/>
      <c r="CP10" s="17"/>
      <c r="CQ10" s="17"/>
      <c r="CR10" s="18"/>
    </row>
    <row r="11" spans="1:96" s="12" customFormat="1" ht="15" customHeight="1">
      <c r="A11" s="19"/>
      <c r="B11" s="17"/>
      <c r="C11" s="17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  <c r="AA11" s="54"/>
      <c r="AB11" s="54"/>
      <c r="AC11" s="54"/>
      <c r="AD11" s="54"/>
      <c r="AE11" s="54"/>
      <c r="AF11" s="54"/>
      <c r="AG11" s="54"/>
      <c r="AH11" s="54"/>
      <c r="AI11" s="54"/>
      <c r="AJ11" s="54"/>
      <c r="AK11" s="54"/>
      <c r="AL11" s="54"/>
      <c r="AM11" s="54"/>
      <c r="AN11" s="54"/>
      <c r="AO11" s="54"/>
      <c r="AP11" s="54"/>
      <c r="AQ11" s="54"/>
      <c r="AR11" s="54"/>
      <c r="AS11" s="54"/>
      <c r="AT11" s="54"/>
      <c r="AU11" s="54"/>
      <c r="AV11" s="54"/>
      <c r="AW11" s="54"/>
      <c r="AX11" s="54"/>
      <c r="AY11" s="54"/>
      <c r="AZ11" s="54"/>
      <c r="BA11" s="54"/>
      <c r="BB11" s="54"/>
      <c r="BC11" s="54"/>
      <c r="BD11" s="54"/>
      <c r="BE11" s="54"/>
      <c r="BF11" s="54"/>
      <c r="BG11" s="54"/>
      <c r="BH11" s="54"/>
      <c r="BI11" s="54"/>
      <c r="BJ11" s="54"/>
      <c r="BK11" s="54"/>
      <c r="BL11" s="54"/>
      <c r="BM11" s="54"/>
      <c r="BN11" s="54"/>
      <c r="BO11" s="54"/>
      <c r="BP11" s="54"/>
      <c r="BQ11" s="54"/>
      <c r="BR11" s="54"/>
      <c r="BS11" s="54"/>
      <c r="BT11" s="54"/>
      <c r="BU11" s="54"/>
      <c r="BV11" s="54"/>
      <c r="BW11" s="54"/>
      <c r="BX11" s="54"/>
      <c r="BY11" s="54"/>
      <c r="BZ11" s="54"/>
      <c r="CA11" s="54"/>
      <c r="CB11" s="54"/>
      <c r="CC11" s="54"/>
      <c r="CD11" s="54"/>
      <c r="CE11" s="54"/>
      <c r="CF11" s="54"/>
      <c r="CG11" s="54"/>
      <c r="CH11" s="54"/>
      <c r="CI11" s="54"/>
      <c r="CJ11" s="54"/>
      <c r="CK11" s="54"/>
      <c r="CL11" s="54"/>
      <c r="CM11" s="17"/>
      <c r="CN11" s="17"/>
      <c r="CO11" s="17"/>
      <c r="CP11" s="17"/>
      <c r="CQ11" s="17"/>
      <c r="CR11" s="18"/>
    </row>
    <row r="12" spans="1:96" s="12" customFormat="1" ht="15" customHeight="1">
      <c r="A12" s="19"/>
      <c r="B12" s="17"/>
      <c r="C12" s="17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  <c r="AA12" s="54"/>
      <c r="AB12" s="54"/>
      <c r="AC12" s="54"/>
      <c r="AD12" s="54"/>
      <c r="AE12" s="54"/>
      <c r="AF12" s="54"/>
      <c r="AG12" s="54"/>
      <c r="AH12" s="54"/>
      <c r="AI12" s="54"/>
      <c r="AJ12" s="54"/>
      <c r="AK12" s="54"/>
      <c r="AL12" s="54"/>
      <c r="AM12" s="54"/>
      <c r="AN12" s="54"/>
      <c r="AO12" s="54"/>
      <c r="AP12" s="54"/>
      <c r="AQ12" s="54"/>
      <c r="AR12" s="54"/>
      <c r="AS12" s="54"/>
      <c r="AT12" s="54"/>
      <c r="AU12" s="54"/>
      <c r="AV12" s="54"/>
      <c r="AW12" s="54"/>
      <c r="AX12" s="54"/>
      <c r="AY12" s="54"/>
      <c r="AZ12" s="54"/>
      <c r="BA12" s="54"/>
      <c r="BB12" s="54"/>
      <c r="BC12" s="54"/>
      <c r="BD12" s="54"/>
      <c r="BE12" s="54"/>
      <c r="BF12" s="54"/>
      <c r="BG12" s="54"/>
      <c r="BH12" s="54"/>
      <c r="BI12" s="54"/>
      <c r="BJ12" s="54"/>
      <c r="BK12" s="54"/>
      <c r="BL12" s="54"/>
      <c r="BM12" s="54"/>
      <c r="BN12" s="54"/>
      <c r="BO12" s="54"/>
      <c r="BP12" s="54"/>
      <c r="BQ12" s="54"/>
      <c r="BR12" s="54"/>
      <c r="BS12" s="54"/>
      <c r="BT12" s="54"/>
      <c r="BU12" s="54"/>
      <c r="BV12" s="54"/>
      <c r="BW12" s="54"/>
      <c r="BX12" s="54"/>
      <c r="BY12" s="54"/>
      <c r="BZ12" s="54"/>
      <c r="CA12" s="54"/>
      <c r="CB12" s="54"/>
      <c r="CC12" s="54"/>
      <c r="CD12" s="54"/>
      <c r="CE12" s="54"/>
      <c r="CF12" s="54"/>
      <c r="CG12" s="54"/>
      <c r="CH12" s="54"/>
      <c r="CI12" s="54"/>
      <c r="CJ12" s="54"/>
      <c r="CK12" s="54"/>
      <c r="CL12" s="54"/>
      <c r="CM12" s="17"/>
      <c r="CN12" s="17"/>
      <c r="CO12" s="17"/>
      <c r="CP12" s="17"/>
      <c r="CQ12" s="17"/>
      <c r="CR12" s="18"/>
    </row>
    <row r="13" spans="1:96" s="12" customFormat="1" ht="15" customHeight="1">
      <c r="A13" s="19"/>
      <c r="B13" s="17"/>
      <c r="C13" s="17"/>
      <c r="D13" s="55" t="s">
        <v>78</v>
      </c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 t="s">
        <v>112</v>
      </c>
      <c r="Q13" s="55"/>
      <c r="R13" s="55"/>
      <c r="S13" s="55"/>
      <c r="T13" s="55"/>
      <c r="U13" s="55"/>
      <c r="V13" s="55"/>
      <c r="W13" s="55"/>
      <c r="X13" s="55"/>
      <c r="Y13" s="55"/>
      <c r="Z13" s="55"/>
      <c r="AA13" s="55"/>
      <c r="AB13" s="55"/>
      <c r="AC13" s="55"/>
      <c r="AD13" s="55"/>
      <c r="AE13" s="55"/>
      <c r="AF13" s="55"/>
      <c r="AG13" s="55"/>
      <c r="AH13" s="55"/>
      <c r="AI13" s="55"/>
      <c r="AJ13" s="55"/>
      <c r="AK13" s="55"/>
      <c r="AL13" s="55"/>
      <c r="AM13" s="55"/>
      <c r="AN13" s="55"/>
      <c r="AO13" s="55"/>
      <c r="AP13" s="55"/>
      <c r="AQ13" s="55"/>
      <c r="AR13" s="55"/>
      <c r="AS13" s="55"/>
      <c r="AT13" s="55" t="s">
        <v>85</v>
      </c>
      <c r="AU13" s="55"/>
      <c r="AV13" s="55"/>
      <c r="AW13" s="55"/>
      <c r="AX13" s="55"/>
      <c r="AY13" s="55"/>
      <c r="AZ13" s="55"/>
      <c r="BA13" s="55"/>
      <c r="BB13" s="55"/>
      <c r="BC13" s="55"/>
      <c r="BD13" s="55"/>
      <c r="BE13" s="55"/>
      <c r="BF13" s="55"/>
      <c r="BG13" s="55"/>
      <c r="BH13" s="55"/>
      <c r="BI13" s="55"/>
      <c r="BJ13" s="55"/>
      <c r="BK13" s="55"/>
      <c r="BL13" s="55"/>
      <c r="BM13" s="55"/>
      <c r="BN13" s="55"/>
      <c r="BO13" s="55"/>
      <c r="BP13" s="55"/>
      <c r="BQ13" s="55"/>
      <c r="BR13" s="55"/>
      <c r="BS13" s="55"/>
      <c r="BT13" s="55"/>
      <c r="BU13" s="55"/>
      <c r="BV13" s="55"/>
      <c r="BW13" s="55"/>
      <c r="BX13" s="55"/>
      <c r="BY13" s="55"/>
      <c r="BZ13" s="55"/>
      <c r="CA13" s="55"/>
      <c r="CB13" s="55"/>
      <c r="CC13" s="55"/>
      <c r="CD13" s="55"/>
      <c r="CE13" s="55"/>
      <c r="CF13" s="55"/>
      <c r="CG13" s="55"/>
      <c r="CH13" s="55"/>
      <c r="CI13" s="55"/>
      <c r="CJ13" s="55"/>
      <c r="CK13" s="55"/>
      <c r="CL13" s="55"/>
      <c r="CM13" s="17"/>
      <c r="CN13" s="17"/>
      <c r="CO13" s="17"/>
      <c r="CP13" s="17"/>
      <c r="CQ13" s="17"/>
      <c r="CR13" s="18"/>
    </row>
    <row r="14" spans="1:96" s="12" customFormat="1" ht="15" customHeight="1">
      <c r="A14" s="19"/>
      <c r="B14" s="17"/>
      <c r="C14" s="17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5"/>
      <c r="AI14" s="55"/>
      <c r="AJ14" s="55"/>
      <c r="AK14" s="55"/>
      <c r="AL14" s="55"/>
      <c r="AM14" s="55"/>
      <c r="AN14" s="55"/>
      <c r="AO14" s="55"/>
      <c r="AP14" s="55"/>
      <c r="AQ14" s="55"/>
      <c r="AR14" s="55"/>
      <c r="AS14" s="55"/>
      <c r="AT14" s="55"/>
      <c r="AU14" s="55"/>
      <c r="AV14" s="55"/>
      <c r="AW14" s="55"/>
      <c r="AX14" s="55"/>
      <c r="AY14" s="55"/>
      <c r="AZ14" s="55"/>
      <c r="BA14" s="55"/>
      <c r="BB14" s="55"/>
      <c r="BC14" s="55"/>
      <c r="BD14" s="55"/>
      <c r="BE14" s="55"/>
      <c r="BF14" s="55"/>
      <c r="BG14" s="55"/>
      <c r="BH14" s="55"/>
      <c r="BI14" s="55"/>
      <c r="BJ14" s="55"/>
      <c r="BK14" s="55"/>
      <c r="BL14" s="55"/>
      <c r="BM14" s="55"/>
      <c r="BN14" s="55"/>
      <c r="BO14" s="55"/>
      <c r="BP14" s="55"/>
      <c r="BQ14" s="55"/>
      <c r="BR14" s="55"/>
      <c r="BS14" s="55"/>
      <c r="BT14" s="55"/>
      <c r="BU14" s="55"/>
      <c r="BV14" s="55"/>
      <c r="BW14" s="55"/>
      <c r="BX14" s="55"/>
      <c r="BY14" s="55"/>
      <c r="BZ14" s="55"/>
      <c r="CA14" s="55"/>
      <c r="CB14" s="55"/>
      <c r="CC14" s="55"/>
      <c r="CD14" s="55"/>
      <c r="CE14" s="55"/>
      <c r="CF14" s="55"/>
      <c r="CG14" s="55"/>
      <c r="CH14" s="55"/>
      <c r="CI14" s="55"/>
      <c r="CJ14" s="55"/>
      <c r="CK14" s="55"/>
      <c r="CL14" s="55"/>
      <c r="CM14" s="17"/>
      <c r="CN14" s="17"/>
      <c r="CO14" s="17"/>
      <c r="CP14" s="17"/>
      <c r="CQ14" s="17"/>
      <c r="CR14" s="18"/>
    </row>
    <row r="15" spans="1:96" s="12" customFormat="1" ht="15" customHeight="1">
      <c r="A15" s="19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8"/>
    </row>
    <row r="16" spans="1:96" s="12" customFormat="1" ht="15" customHeight="1">
      <c r="A16" s="19"/>
      <c r="B16" s="17"/>
      <c r="C16" s="17"/>
      <c r="D16" s="17" t="s">
        <v>113</v>
      </c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/>
      <c r="BG16" s="17"/>
      <c r="BH16" s="17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8"/>
    </row>
    <row r="17" spans="1:96" s="12" customFormat="1" ht="15" customHeight="1">
      <c r="A17" s="19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7"/>
      <c r="BG17" s="17"/>
      <c r="BH17" s="17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8"/>
    </row>
    <row r="18" spans="1:96" s="12" customFormat="1" ht="15" customHeight="1">
      <c r="A18" s="19"/>
      <c r="B18" s="17"/>
      <c r="C18" s="17"/>
      <c r="D18" s="17" t="s">
        <v>86</v>
      </c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7"/>
      <c r="BG18" s="17"/>
      <c r="BH18" s="17"/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8"/>
    </row>
    <row r="19" spans="1:96" s="12" customFormat="1" ht="15" customHeight="1">
      <c r="A19" s="19"/>
      <c r="B19" s="17"/>
      <c r="C19" s="17"/>
      <c r="D19" s="172" t="s">
        <v>91</v>
      </c>
      <c r="E19" s="172"/>
      <c r="F19" s="172"/>
      <c r="G19" s="172"/>
      <c r="H19" s="172"/>
      <c r="I19" s="172"/>
      <c r="J19" s="172"/>
      <c r="K19" s="172"/>
      <c r="L19" s="172"/>
      <c r="M19" s="172"/>
      <c r="N19" s="172"/>
      <c r="O19" s="172"/>
      <c r="P19" s="172" t="s">
        <v>92</v>
      </c>
      <c r="Q19" s="172"/>
      <c r="R19" s="172"/>
      <c r="S19" s="172"/>
      <c r="T19" s="172"/>
      <c r="U19" s="172"/>
      <c r="V19" s="172"/>
      <c r="W19" s="172"/>
      <c r="X19" s="172"/>
      <c r="Y19" s="172"/>
      <c r="Z19" s="172"/>
      <c r="AA19" s="172"/>
      <c r="AB19" s="172"/>
      <c r="AC19" s="172"/>
      <c r="AD19" s="172"/>
      <c r="AE19" s="172"/>
      <c r="AF19" s="172"/>
      <c r="AG19" s="172"/>
      <c r="AH19" s="172"/>
      <c r="AI19" s="172" t="s">
        <v>101</v>
      </c>
      <c r="AJ19" s="172"/>
      <c r="AK19" s="172"/>
      <c r="AL19" s="172"/>
      <c r="AM19" s="172"/>
      <c r="AN19" s="172"/>
      <c r="AO19" s="172"/>
      <c r="AP19" s="172"/>
      <c r="AQ19" s="172"/>
      <c r="AR19" s="172"/>
      <c r="AS19" s="172"/>
      <c r="AT19" s="172"/>
      <c r="AU19" s="172"/>
      <c r="AV19" s="172"/>
      <c r="AW19" s="172"/>
      <c r="AX19" s="172"/>
      <c r="AY19" s="172" t="s">
        <v>79</v>
      </c>
      <c r="AZ19" s="172"/>
      <c r="BA19" s="172"/>
      <c r="BB19" s="172"/>
      <c r="BC19" s="172"/>
      <c r="BD19" s="172"/>
      <c r="BE19" s="172"/>
      <c r="BF19" s="172"/>
      <c r="BG19" s="172"/>
      <c r="BH19" s="172"/>
      <c r="BI19" s="172"/>
      <c r="BJ19" s="172"/>
      <c r="BK19" s="172"/>
      <c r="BL19" s="172"/>
      <c r="BM19" s="172"/>
      <c r="BN19" s="172"/>
      <c r="BO19" s="172"/>
      <c r="BP19" s="172"/>
      <c r="BQ19" s="172"/>
      <c r="BR19" s="172"/>
      <c r="BS19" s="172"/>
      <c r="BT19" s="172"/>
      <c r="BU19" s="172"/>
      <c r="BV19" s="172"/>
      <c r="BW19" s="172"/>
      <c r="BX19" s="172"/>
      <c r="BY19" s="172"/>
      <c r="BZ19" s="172"/>
      <c r="CA19" s="172"/>
      <c r="CB19" s="172"/>
      <c r="CC19" s="172"/>
      <c r="CD19" s="172"/>
      <c r="CE19" s="172"/>
      <c r="CF19" s="172"/>
      <c r="CG19" s="172"/>
      <c r="CH19" s="172"/>
      <c r="CI19" s="172"/>
      <c r="CJ19" s="172"/>
      <c r="CK19" s="172"/>
      <c r="CL19" s="172"/>
      <c r="CM19" s="17"/>
      <c r="CN19" s="17"/>
      <c r="CO19" s="17"/>
      <c r="CP19" s="17"/>
      <c r="CQ19" s="17"/>
      <c r="CR19" s="18"/>
    </row>
    <row r="20" spans="1:96" s="12" customFormat="1" ht="15" customHeight="1">
      <c r="A20" s="19"/>
      <c r="B20" s="17"/>
      <c r="C20" s="17"/>
      <c r="D20" s="55" t="s">
        <v>87</v>
      </c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 t="s">
        <v>95</v>
      </c>
      <c r="Q20" s="55"/>
      <c r="R20" s="55"/>
      <c r="S20" s="55"/>
      <c r="T20" s="55"/>
      <c r="U20" s="55"/>
      <c r="V20" s="55"/>
      <c r="W20" s="55"/>
      <c r="X20" s="55"/>
      <c r="Y20" s="55"/>
      <c r="Z20" s="55"/>
      <c r="AA20" s="55"/>
      <c r="AB20" s="55"/>
      <c r="AC20" s="55"/>
      <c r="AD20" s="55"/>
      <c r="AE20" s="55"/>
      <c r="AF20" s="55"/>
      <c r="AG20" s="55"/>
      <c r="AH20" s="55"/>
      <c r="AI20" s="55" t="s">
        <v>102</v>
      </c>
      <c r="AJ20" s="55"/>
      <c r="AK20" s="55"/>
      <c r="AL20" s="55"/>
      <c r="AM20" s="55"/>
      <c r="AN20" s="55"/>
      <c r="AO20" s="55"/>
      <c r="AP20" s="55"/>
      <c r="AQ20" s="55"/>
      <c r="AR20" s="55"/>
      <c r="AS20" s="55"/>
      <c r="AT20" s="55"/>
      <c r="AU20" s="55"/>
      <c r="AV20" s="55"/>
      <c r="AW20" s="55"/>
      <c r="AX20" s="55"/>
      <c r="AY20" s="55" t="s">
        <v>106</v>
      </c>
      <c r="AZ20" s="55"/>
      <c r="BA20" s="55"/>
      <c r="BB20" s="55"/>
      <c r="BC20" s="55"/>
      <c r="BD20" s="55"/>
      <c r="BE20" s="55"/>
      <c r="BF20" s="55"/>
      <c r="BG20" s="55"/>
      <c r="BH20" s="55"/>
      <c r="BI20" s="55"/>
      <c r="BJ20" s="55"/>
      <c r="BK20" s="55"/>
      <c r="BL20" s="55"/>
      <c r="BM20" s="55"/>
      <c r="BN20" s="55"/>
      <c r="BO20" s="55"/>
      <c r="BP20" s="55"/>
      <c r="BQ20" s="55"/>
      <c r="BR20" s="55"/>
      <c r="BS20" s="55"/>
      <c r="BT20" s="55"/>
      <c r="BU20" s="55"/>
      <c r="BV20" s="55"/>
      <c r="BW20" s="55"/>
      <c r="BX20" s="55"/>
      <c r="BY20" s="55"/>
      <c r="BZ20" s="55"/>
      <c r="CA20" s="55"/>
      <c r="CB20" s="55"/>
      <c r="CC20" s="55"/>
      <c r="CD20" s="55"/>
      <c r="CE20" s="55"/>
      <c r="CF20" s="55"/>
      <c r="CG20" s="55"/>
      <c r="CH20" s="55"/>
      <c r="CI20" s="55"/>
      <c r="CJ20" s="55"/>
      <c r="CK20" s="55"/>
      <c r="CL20" s="55"/>
      <c r="CM20" s="17"/>
      <c r="CN20" s="17"/>
      <c r="CO20" s="17"/>
      <c r="CP20" s="17"/>
      <c r="CQ20" s="17"/>
      <c r="CR20" s="18"/>
    </row>
    <row r="21" spans="1:96" s="12" customFormat="1" ht="15" customHeight="1">
      <c r="A21" s="19"/>
      <c r="B21" s="17"/>
      <c r="C21" s="17"/>
      <c r="D21" s="180" t="s">
        <v>83</v>
      </c>
      <c r="E21" s="173"/>
      <c r="F21" s="173"/>
      <c r="G21" s="173"/>
      <c r="H21" s="173"/>
      <c r="I21" s="173"/>
      <c r="J21" s="173"/>
      <c r="K21" s="173"/>
      <c r="L21" s="173"/>
      <c r="M21" s="173"/>
      <c r="N21" s="173"/>
      <c r="O21" s="177"/>
      <c r="P21" s="180" t="s">
        <v>84</v>
      </c>
      <c r="Q21" s="173"/>
      <c r="R21" s="173"/>
      <c r="S21" s="173"/>
      <c r="T21" s="173"/>
      <c r="U21" s="173"/>
      <c r="V21" s="173"/>
      <c r="W21" s="173"/>
      <c r="X21" s="173"/>
      <c r="Y21" s="173"/>
      <c r="Z21" s="173"/>
      <c r="AA21" s="173"/>
      <c r="AB21" s="173"/>
      <c r="AC21" s="173"/>
      <c r="AD21" s="173"/>
      <c r="AE21" s="173"/>
      <c r="AF21" s="173"/>
      <c r="AG21" s="173"/>
      <c r="AH21" s="177"/>
      <c r="AI21" s="180" t="s">
        <v>103</v>
      </c>
      <c r="AJ21" s="173"/>
      <c r="AK21" s="173"/>
      <c r="AL21" s="173"/>
      <c r="AM21" s="173"/>
      <c r="AN21" s="173"/>
      <c r="AO21" s="173"/>
      <c r="AP21" s="173"/>
      <c r="AQ21" s="173"/>
      <c r="AR21" s="173"/>
      <c r="AS21" s="173"/>
      <c r="AT21" s="173"/>
      <c r="AU21" s="173"/>
      <c r="AV21" s="173"/>
      <c r="AW21" s="173"/>
      <c r="AX21" s="177"/>
      <c r="AY21" s="54" t="s">
        <v>114</v>
      </c>
      <c r="AZ21" s="54"/>
      <c r="BA21" s="54"/>
      <c r="BB21" s="54"/>
      <c r="BC21" s="54"/>
      <c r="BD21" s="54"/>
      <c r="BE21" s="54"/>
      <c r="BF21" s="54"/>
      <c r="BG21" s="54"/>
      <c r="BH21" s="54"/>
      <c r="BI21" s="54"/>
      <c r="BJ21" s="54"/>
      <c r="BK21" s="54"/>
      <c r="BL21" s="54"/>
      <c r="BM21" s="54"/>
      <c r="BN21" s="54"/>
      <c r="BO21" s="54"/>
      <c r="BP21" s="54"/>
      <c r="BQ21" s="54"/>
      <c r="BR21" s="54"/>
      <c r="BS21" s="54"/>
      <c r="BT21" s="54"/>
      <c r="BU21" s="54"/>
      <c r="BV21" s="54"/>
      <c r="BW21" s="54"/>
      <c r="BX21" s="54"/>
      <c r="BY21" s="54"/>
      <c r="BZ21" s="54"/>
      <c r="CA21" s="54"/>
      <c r="CB21" s="54"/>
      <c r="CC21" s="54"/>
      <c r="CD21" s="54"/>
      <c r="CE21" s="54"/>
      <c r="CF21" s="54"/>
      <c r="CG21" s="54"/>
      <c r="CH21" s="54"/>
      <c r="CI21" s="54"/>
      <c r="CJ21" s="54"/>
      <c r="CK21" s="54"/>
      <c r="CL21" s="54"/>
      <c r="CM21" s="17"/>
      <c r="CN21" s="17"/>
      <c r="CO21" s="17"/>
      <c r="CP21" s="17"/>
      <c r="CQ21" s="17"/>
      <c r="CR21" s="18"/>
    </row>
    <row r="22" spans="1:96" s="12" customFormat="1" ht="15" customHeight="1">
      <c r="A22" s="19"/>
      <c r="B22" s="17"/>
      <c r="C22" s="17"/>
      <c r="D22" s="174"/>
      <c r="E22" s="175"/>
      <c r="F22" s="175"/>
      <c r="G22" s="175"/>
      <c r="H22" s="175"/>
      <c r="I22" s="175"/>
      <c r="J22" s="175"/>
      <c r="K22" s="175"/>
      <c r="L22" s="175"/>
      <c r="M22" s="175"/>
      <c r="N22" s="175"/>
      <c r="O22" s="176"/>
      <c r="P22" s="174"/>
      <c r="Q22" s="175"/>
      <c r="R22" s="175"/>
      <c r="S22" s="175"/>
      <c r="T22" s="175"/>
      <c r="U22" s="175"/>
      <c r="V22" s="175"/>
      <c r="W22" s="175"/>
      <c r="X22" s="175"/>
      <c r="Y22" s="175"/>
      <c r="Z22" s="175"/>
      <c r="AA22" s="175"/>
      <c r="AB22" s="175"/>
      <c r="AC22" s="175"/>
      <c r="AD22" s="175"/>
      <c r="AE22" s="175"/>
      <c r="AF22" s="175"/>
      <c r="AG22" s="175"/>
      <c r="AH22" s="176"/>
      <c r="AI22" s="174"/>
      <c r="AJ22" s="175"/>
      <c r="AK22" s="175"/>
      <c r="AL22" s="175"/>
      <c r="AM22" s="175"/>
      <c r="AN22" s="175"/>
      <c r="AO22" s="175"/>
      <c r="AP22" s="175"/>
      <c r="AQ22" s="175"/>
      <c r="AR22" s="175"/>
      <c r="AS22" s="175"/>
      <c r="AT22" s="175"/>
      <c r="AU22" s="175"/>
      <c r="AV22" s="175"/>
      <c r="AW22" s="175"/>
      <c r="AX22" s="176"/>
      <c r="AY22" s="54"/>
      <c r="AZ22" s="54"/>
      <c r="BA22" s="54"/>
      <c r="BB22" s="54"/>
      <c r="BC22" s="54"/>
      <c r="BD22" s="54"/>
      <c r="BE22" s="54"/>
      <c r="BF22" s="54"/>
      <c r="BG22" s="54"/>
      <c r="BH22" s="54"/>
      <c r="BI22" s="54"/>
      <c r="BJ22" s="54"/>
      <c r="BK22" s="54"/>
      <c r="BL22" s="54"/>
      <c r="BM22" s="54"/>
      <c r="BN22" s="54"/>
      <c r="BO22" s="54"/>
      <c r="BP22" s="54"/>
      <c r="BQ22" s="54"/>
      <c r="BR22" s="54"/>
      <c r="BS22" s="54"/>
      <c r="BT22" s="54"/>
      <c r="BU22" s="54"/>
      <c r="BV22" s="54"/>
      <c r="BW22" s="54"/>
      <c r="BX22" s="54"/>
      <c r="BY22" s="54"/>
      <c r="BZ22" s="54"/>
      <c r="CA22" s="54"/>
      <c r="CB22" s="54"/>
      <c r="CC22" s="54"/>
      <c r="CD22" s="54"/>
      <c r="CE22" s="54"/>
      <c r="CF22" s="54"/>
      <c r="CG22" s="54"/>
      <c r="CH22" s="54"/>
      <c r="CI22" s="54"/>
      <c r="CJ22" s="54"/>
      <c r="CK22" s="54"/>
      <c r="CL22" s="54"/>
      <c r="CM22" s="17"/>
      <c r="CN22" s="17"/>
      <c r="CO22" s="17"/>
      <c r="CP22" s="17"/>
      <c r="CQ22" s="17"/>
      <c r="CR22" s="18"/>
    </row>
    <row r="23" spans="1:96" s="12" customFormat="1" ht="15" customHeight="1">
      <c r="A23" s="19"/>
      <c r="B23" s="17"/>
      <c r="C23" s="17"/>
      <c r="D23" s="174"/>
      <c r="E23" s="175"/>
      <c r="F23" s="175"/>
      <c r="G23" s="175"/>
      <c r="H23" s="175"/>
      <c r="I23" s="175"/>
      <c r="J23" s="175"/>
      <c r="K23" s="175"/>
      <c r="L23" s="175"/>
      <c r="M23" s="175"/>
      <c r="N23" s="175"/>
      <c r="O23" s="176"/>
      <c r="P23" s="174"/>
      <c r="Q23" s="175"/>
      <c r="R23" s="175"/>
      <c r="S23" s="175"/>
      <c r="T23" s="175"/>
      <c r="U23" s="175"/>
      <c r="V23" s="175"/>
      <c r="W23" s="175"/>
      <c r="X23" s="175"/>
      <c r="Y23" s="175"/>
      <c r="Z23" s="175"/>
      <c r="AA23" s="175"/>
      <c r="AB23" s="175"/>
      <c r="AC23" s="175"/>
      <c r="AD23" s="175"/>
      <c r="AE23" s="175"/>
      <c r="AF23" s="175"/>
      <c r="AG23" s="175"/>
      <c r="AH23" s="176"/>
      <c r="AI23" s="174"/>
      <c r="AJ23" s="175"/>
      <c r="AK23" s="175"/>
      <c r="AL23" s="175"/>
      <c r="AM23" s="175"/>
      <c r="AN23" s="175"/>
      <c r="AO23" s="175"/>
      <c r="AP23" s="175"/>
      <c r="AQ23" s="175"/>
      <c r="AR23" s="175"/>
      <c r="AS23" s="175"/>
      <c r="AT23" s="175"/>
      <c r="AU23" s="175"/>
      <c r="AV23" s="175"/>
      <c r="AW23" s="175"/>
      <c r="AX23" s="176"/>
      <c r="AY23" s="54"/>
      <c r="AZ23" s="54"/>
      <c r="BA23" s="54"/>
      <c r="BB23" s="54"/>
      <c r="BC23" s="54"/>
      <c r="BD23" s="54"/>
      <c r="BE23" s="54"/>
      <c r="BF23" s="54"/>
      <c r="BG23" s="54"/>
      <c r="BH23" s="54"/>
      <c r="BI23" s="54"/>
      <c r="BJ23" s="54"/>
      <c r="BK23" s="54"/>
      <c r="BL23" s="54"/>
      <c r="BM23" s="54"/>
      <c r="BN23" s="54"/>
      <c r="BO23" s="54"/>
      <c r="BP23" s="54"/>
      <c r="BQ23" s="54"/>
      <c r="BR23" s="54"/>
      <c r="BS23" s="54"/>
      <c r="BT23" s="54"/>
      <c r="BU23" s="54"/>
      <c r="BV23" s="54"/>
      <c r="BW23" s="54"/>
      <c r="BX23" s="54"/>
      <c r="BY23" s="54"/>
      <c r="BZ23" s="54"/>
      <c r="CA23" s="54"/>
      <c r="CB23" s="54"/>
      <c r="CC23" s="54"/>
      <c r="CD23" s="54"/>
      <c r="CE23" s="54"/>
      <c r="CF23" s="54"/>
      <c r="CG23" s="54"/>
      <c r="CH23" s="54"/>
      <c r="CI23" s="54"/>
      <c r="CJ23" s="54"/>
      <c r="CK23" s="54"/>
      <c r="CL23" s="54"/>
      <c r="CM23" s="17"/>
      <c r="CN23" s="17"/>
      <c r="CO23" s="17"/>
      <c r="CP23" s="17"/>
      <c r="CQ23" s="17"/>
      <c r="CR23" s="18"/>
    </row>
    <row r="24" spans="1:96" s="12" customFormat="1" ht="15" customHeight="1">
      <c r="A24" s="19"/>
      <c r="B24" s="17"/>
      <c r="C24" s="17"/>
      <c r="D24" s="181"/>
      <c r="E24" s="182"/>
      <c r="F24" s="182"/>
      <c r="G24" s="182"/>
      <c r="H24" s="182"/>
      <c r="I24" s="182"/>
      <c r="J24" s="182"/>
      <c r="K24" s="182"/>
      <c r="L24" s="182"/>
      <c r="M24" s="182"/>
      <c r="N24" s="182"/>
      <c r="O24" s="183"/>
      <c r="P24" s="181"/>
      <c r="Q24" s="182"/>
      <c r="R24" s="182"/>
      <c r="S24" s="182"/>
      <c r="T24" s="182"/>
      <c r="U24" s="182"/>
      <c r="V24" s="182"/>
      <c r="W24" s="182"/>
      <c r="X24" s="182"/>
      <c r="Y24" s="182"/>
      <c r="Z24" s="182"/>
      <c r="AA24" s="182"/>
      <c r="AB24" s="182"/>
      <c r="AC24" s="182"/>
      <c r="AD24" s="182"/>
      <c r="AE24" s="182"/>
      <c r="AF24" s="182"/>
      <c r="AG24" s="182"/>
      <c r="AH24" s="183"/>
      <c r="AI24" s="181"/>
      <c r="AJ24" s="182"/>
      <c r="AK24" s="182"/>
      <c r="AL24" s="182"/>
      <c r="AM24" s="182"/>
      <c r="AN24" s="182"/>
      <c r="AO24" s="182"/>
      <c r="AP24" s="182"/>
      <c r="AQ24" s="182"/>
      <c r="AR24" s="182"/>
      <c r="AS24" s="182"/>
      <c r="AT24" s="182"/>
      <c r="AU24" s="182"/>
      <c r="AV24" s="182"/>
      <c r="AW24" s="182"/>
      <c r="AX24" s="183"/>
      <c r="AY24" s="54"/>
      <c r="AZ24" s="54"/>
      <c r="BA24" s="54"/>
      <c r="BB24" s="54"/>
      <c r="BC24" s="54"/>
      <c r="BD24" s="54"/>
      <c r="BE24" s="54"/>
      <c r="BF24" s="54"/>
      <c r="BG24" s="54"/>
      <c r="BH24" s="54"/>
      <c r="BI24" s="54"/>
      <c r="BJ24" s="54"/>
      <c r="BK24" s="54"/>
      <c r="BL24" s="54"/>
      <c r="BM24" s="54"/>
      <c r="BN24" s="54"/>
      <c r="BO24" s="54"/>
      <c r="BP24" s="54"/>
      <c r="BQ24" s="54"/>
      <c r="BR24" s="54"/>
      <c r="BS24" s="54"/>
      <c r="BT24" s="54"/>
      <c r="BU24" s="54"/>
      <c r="BV24" s="54"/>
      <c r="BW24" s="54"/>
      <c r="BX24" s="54"/>
      <c r="BY24" s="54"/>
      <c r="BZ24" s="54"/>
      <c r="CA24" s="54"/>
      <c r="CB24" s="54"/>
      <c r="CC24" s="54"/>
      <c r="CD24" s="54"/>
      <c r="CE24" s="54"/>
      <c r="CF24" s="54"/>
      <c r="CG24" s="54"/>
      <c r="CH24" s="54"/>
      <c r="CI24" s="54"/>
      <c r="CJ24" s="54"/>
      <c r="CK24" s="54"/>
      <c r="CL24" s="54"/>
      <c r="CM24" s="17"/>
      <c r="CN24" s="17"/>
      <c r="CO24" s="17"/>
      <c r="CP24" s="17"/>
      <c r="CQ24" s="17"/>
      <c r="CR24" s="18"/>
    </row>
    <row r="25" spans="1:96" s="12" customFormat="1" ht="15" customHeight="1">
      <c r="A25" s="19"/>
      <c r="B25" s="17"/>
      <c r="C25" s="17"/>
      <c r="D25" s="55" t="s">
        <v>88</v>
      </c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 t="s">
        <v>93</v>
      </c>
      <c r="Q25" s="55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5"/>
      <c r="AC25" s="55"/>
      <c r="AD25" s="55"/>
      <c r="AE25" s="55"/>
      <c r="AF25" s="55"/>
      <c r="AG25" s="55"/>
      <c r="AH25" s="55"/>
      <c r="AI25" s="55" t="s">
        <v>104</v>
      </c>
      <c r="AJ25" s="55"/>
      <c r="AK25" s="55"/>
      <c r="AL25" s="55"/>
      <c r="AM25" s="55"/>
      <c r="AN25" s="55"/>
      <c r="AO25" s="55"/>
      <c r="AP25" s="55"/>
      <c r="AQ25" s="55"/>
      <c r="AR25" s="55"/>
      <c r="AS25" s="55"/>
      <c r="AT25" s="55"/>
      <c r="AU25" s="55"/>
      <c r="AV25" s="55"/>
      <c r="AW25" s="55"/>
      <c r="AX25" s="55"/>
      <c r="AY25" s="55" t="s">
        <v>108</v>
      </c>
      <c r="AZ25" s="55"/>
      <c r="BA25" s="55"/>
      <c r="BB25" s="55"/>
      <c r="BC25" s="55"/>
      <c r="BD25" s="55"/>
      <c r="BE25" s="55"/>
      <c r="BF25" s="55"/>
      <c r="BG25" s="55"/>
      <c r="BH25" s="55"/>
      <c r="BI25" s="55"/>
      <c r="BJ25" s="55"/>
      <c r="BK25" s="55"/>
      <c r="BL25" s="55"/>
      <c r="BM25" s="55"/>
      <c r="BN25" s="55"/>
      <c r="BO25" s="55"/>
      <c r="BP25" s="55"/>
      <c r="BQ25" s="55"/>
      <c r="BR25" s="55"/>
      <c r="BS25" s="55"/>
      <c r="BT25" s="55"/>
      <c r="BU25" s="55"/>
      <c r="BV25" s="55"/>
      <c r="BW25" s="55"/>
      <c r="BX25" s="55"/>
      <c r="BY25" s="55"/>
      <c r="BZ25" s="55"/>
      <c r="CA25" s="55"/>
      <c r="CB25" s="55"/>
      <c r="CC25" s="55"/>
      <c r="CD25" s="55"/>
      <c r="CE25" s="55"/>
      <c r="CF25" s="55"/>
      <c r="CG25" s="55"/>
      <c r="CH25" s="55"/>
      <c r="CI25" s="55"/>
      <c r="CJ25" s="55"/>
      <c r="CK25" s="55"/>
      <c r="CL25" s="55"/>
      <c r="CM25" s="17"/>
      <c r="CN25" s="17"/>
      <c r="CO25" s="17"/>
      <c r="CP25" s="17"/>
      <c r="CQ25" s="17"/>
      <c r="CR25" s="18"/>
    </row>
    <row r="26" spans="1:96" s="12" customFormat="1" ht="15" customHeight="1">
      <c r="A26" s="19"/>
      <c r="B26" s="17"/>
      <c r="C26" s="17"/>
      <c r="D26" s="55" t="s">
        <v>89</v>
      </c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 t="s">
        <v>94</v>
      </c>
      <c r="Q26" s="55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5"/>
      <c r="AC26" s="55"/>
      <c r="AD26" s="55"/>
      <c r="AE26" s="55"/>
      <c r="AF26" s="55"/>
      <c r="AG26" s="55"/>
      <c r="AH26" s="55"/>
      <c r="AI26" s="55" t="s">
        <v>104</v>
      </c>
      <c r="AJ26" s="55"/>
      <c r="AK26" s="55"/>
      <c r="AL26" s="55"/>
      <c r="AM26" s="55"/>
      <c r="AN26" s="55"/>
      <c r="AO26" s="55"/>
      <c r="AP26" s="55"/>
      <c r="AQ26" s="55"/>
      <c r="AR26" s="55"/>
      <c r="AS26" s="55"/>
      <c r="AT26" s="55"/>
      <c r="AU26" s="55"/>
      <c r="AV26" s="55"/>
      <c r="AW26" s="55"/>
      <c r="AX26" s="55"/>
      <c r="AY26" s="55" t="s">
        <v>108</v>
      </c>
      <c r="AZ26" s="55"/>
      <c r="BA26" s="55"/>
      <c r="BB26" s="55"/>
      <c r="BC26" s="55"/>
      <c r="BD26" s="55"/>
      <c r="BE26" s="55"/>
      <c r="BF26" s="55"/>
      <c r="BG26" s="55"/>
      <c r="BH26" s="55"/>
      <c r="BI26" s="55"/>
      <c r="BJ26" s="55"/>
      <c r="BK26" s="55"/>
      <c r="BL26" s="55"/>
      <c r="BM26" s="55"/>
      <c r="BN26" s="55"/>
      <c r="BO26" s="55"/>
      <c r="BP26" s="55"/>
      <c r="BQ26" s="55"/>
      <c r="BR26" s="55"/>
      <c r="BS26" s="55"/>
      <c r="BT26" s="55"/>
      <c r="BU26" s="55"/>
      <c r="BV26" s="55"/>
      <c r="BW26" s="55"/>
      <c r="BX26" s="55"/>
      <c r="BY26" s="55"/>
      <c r="BZ26" s="55"/>
      <c r="CA26" s="55"/>
      <c r="CB26" s="55"/>
      <c r="CC26" s="55"/>
      <c r="CD26" s="55"/>
      <c r="CE26" s="55"/>
      <c r="CF26" s="55"/>
      <c r="CG26" s="55"/>
      <c r="CH26" s="55"/>
      <c r="CI26" s="55"/>
      <c r="CJ26" s="55"/>
      <c r="CK26" s="55"/>
      <c r="CL26" s="55"/>
      <c r="CM26" s="17"/>
      <c r="CN26" s="17"/>
      <c r="CO26" s="17"/>
      <c r="CP26" s="17"/>
      <c r="CQ26" s="17"/>
      <c r="CR26" s="18"/>
    </row>
    <row r="27" spans="1:96" s="12" customFormat="1" ht="15" customHeight="1">
      <c r="A27" s="19"/>
      <c r="B27" s="17"/>
      <c r="C27" s="17"/>
      <c r="D27" s="55" t="s">
        <v>90</v>
      </c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 t="s">
        <v>85</v>
      </c>
      <c r="Q27" s="55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5"/>
      <c r="AC27" s="55"/>
      <c r="AD27" s="55"/>
      <c r="AE27" s="55"/>
      <c r="AF27" s="55"/>
      <c r="AG27" s="55"/>
      <c r="AH27" s="55"/>
      <c r="AI27" s="55" t="s">
        <v>105</v>
      </c>
      <c r="AJ27" s="55"/>
      <c r="AK27" s="55"/>
      <c r="AL27" s="55"/>
      <c r="AM27" s="55"/>
      <c r="AN27" s="55"/>
      <c r="AO27" s="55"/>
      <c r="AP27" s="55"/>
      <c r="AQ27" s="55"/>
      <c r="AR27" s="55"/>
      <c r="AS27" s="55"/>
      <c r="AT27" s="55"/>
      <c r="AU27" s="55"/>
      <c r="AV27" s="55"/>
      <c r="AW27" s="55"/>
      <c r="AX27" s="55"/>
      <c r="AY27" s="54" t="s">
        <v>122</v>
      </c>
      <c r="AZ27" s="54"/>
      <c r="BA27" s="54"/>
      <c r="BB27" s="54"/>
      <c r="BC27" s="54"/>
      <c r="BD27" s="54"/>
      <c r="BE27" s="54"/>
      <c r="BF27" s="54"/>
      <c r="BG27" s="54"/>
      <c r="BH27" s="54"/>
      <c r="BI27" s="54"/>
      <c r="BJ27" s="54"/>
      <c r="BK27" s="54"/>
      <c r="BL27" s="54"/>
      <c r="BM27" s="54"/>
      <c r="BN27" s="54"/>
      <c r="BO27" s="54"/>
      <c r="BP27" s="54"/>
      <c r="BQ27" s="54"/>
      <c r="BR27" s="54"/>
      <c r="BS27" s="54"/>
      <c r="BT27" s="54"/>
      <c r="BU27" s="54"/>
      <c r="BV27" s="54"/>
      <c r="BW27" s="54"/>
      <c r="BX27" s="54"/>
      <c r="BY27" s="54"/>
      <c r="BZ27" s="54"/>
      <c r="CA27" s="54"/>
      <c r="CB27" s="54"/>
      <c r="CC27" s="54"/>
      <c r="CD27" s="54"/>
      <c r="CE27" s="54"/>
      <c r="CF27" s="54"/>
      <c r="CG27" s="54"/>
      <c r="CH27" s="54"/>
      <c r="CI27" s="54"/>
      <c r="CJ27" s="54"/>
      <c r="CK27" s="54"/>
      <c r="CL27" s="54"/>
      <c r="CM27" s="17"/>
      <c r="CN27" s="17"/>
      <c r="CO27" s="17"/>
      <c r="CP27" s="17"/>
      <c r="CQ27" s="17"/>
      <c r="CR27" s="18"/>
    </row>
    <row r="28" spans="1:96" s="12" customFormat="1" ht="15" customHeight="1">
      <c r="A28" s="19"/>
      <c r="B28" s="17"/>
      <c r="C28" s="17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5"/>
      <c r="AC28" s="55"/>
      <c r="AD28" s="55"/>
      <c r="AE28" s="55"/>
      <c r="AF28" s="55"/>
      <c r="AG28" s="55"/>
      <c r="AH28" s="55"/>
      <c r="AI28" s="55"/>
      <c r="AJ28" s="55"/>
      <c r="AK28" s="55"/>
      <c r="AL28" s="55"/>
      <c r="AM28" s="55"/>
      <c r="AN28" s="55"/>
      <c r="AO28" s="55"/>
      <c r="AP28" s="55"/>
      <c r="AQ28" s="55"/>
      <c r="AR28" s="55"/>
      <c r="AS28" s="55"/>
      <c r="AT28" s="55"/>
      <c r="AU28" s="55"/>
      <c r="AV28" s="55"/>
      <c r="AW28" s="55"/>
      <c r="AX28" s="55"/>
      <c r="AY28" s="54"/>
      <c r="AZ28" s="54"/>
      <c r="BA28" s="54"/>
      <c r="BB28" s="54"/>
      <c r="BC28" s="54"/>
      <c r="BD28" s="54"/>
      <c r="BE28" s="54"/>
      <c r="BF28" s="54"/>
      <c r="BG28" s="54"/>
      <c r="BH28" s="54"/>
      <c r="BI28" s="54"/>
      <c r="BJ28" s="54"/>
      <c r="BK28" s="54"/>
      <c r="BL28" s="54"/>
      <c r="BM28" s="54"/>
      <c r="BN28" s="54"/>
      <c r="BO28" s="54"/>
      <c r="BP28" s="54"/>
      <c r="BQ28" s="54"/>
      <c r="BR28" s="54"/>
      <c r="BS28" s="54"/>
      <c r="BT28" s="54"/>
      <c r="BU28" s="54"/>
      <c r="BV28" s="54"/>
      <c r="BW28" s="54"/>
      <c r="BX28" s="54"/>
      <c r="BY28" s="54"/>
      <c r="BZ28" s="54"/>
      <c r="CA28" s="54"/>
      <c r="CB28" s="54"/>
      <c r="CC28" s="54"/>
      <c r="CD28" s="54"/>
      <c r="CE28" s="54"/>
      <c r="CF28" s="54"/>
      <c r="CG28" s="54"/>
      <c r="CH28" s="54"/>
      <c r="CI28" s="54"/>
      <c r="CJ28" s="54"/>
      <c r="CK28" s="54"/>
      <c r="CL28" s="54"/>
      <c r="CM28" s="17"/>
      <c r="CN28" s="17"/>
      <c r="CO28" s="17"/>
      <c r="CP28" s="17"/>
      <c r="CQ28" s="17"/>
      <c r="CR28" s="18"/>
    </row>
    <row r="29" spans="1:96" s="12" customFormat="1" ht="15" customHeight="1">
      <c r="A29" s="19"/>
      <c r="B29" s="17"/>
      <c r="C29" s="17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5"/>
      <c r="AC29" s="55"/>
      <c r="AD29" s="55"/>
      <c r="AE29" s="55"/>
      <c r="AF29" s="55"/>
      <c r="AG29" s="55"/>
      <c r="AH29" s="55"/>
      <c r="AI29" s="55"/>
      <c r="AJ29" s="55"/>
      <c r="AK29" s="55"/>
      <c r="AL29" s="55"/>
      <c r="AM29" s="55"/>
      <c r="AN29" s="55"/>
      <c r="AO29" s="55"/>
      <c r="AP29" s="55"/>
      <c r="AQ29" s="55"/>
      <c r="AR29" s="55"/>
      <c r="AS29" s="55"/>
      <c r="AT29" s="55"/>
      <c r="AU29" s="55"/>
      <c r="AV29" s="55"/>
      <c r="AW29" s="55"/>
      <c r="AX29" s="55"/>
      <c r="AY29" s="54"/>
      <c r="AZ29" s="54"/>
      <c r="BA29" s="54"/>
      <c r="BB29" s="54"/>
      <c r="BC29" s="54"/>
      <c r="BD29" s="54"/>
      <c r="BE29" s="54"/>
      <c r="BF29" s="54"/>
      <c r="BG29" s="54"/>
      <c r="BH29" s="54"/>
      <c r="BI29" s="54"/>
      <c r="BJ29" s="54"/>
      <c r="BK29" s="54"/>
      <c r="BL29" s="54"/>
      <c r="BM29" s="54"/>
      <c r="BN29" s="54"/>
      <c r="BO29" s="54"/>
      <c r="BP29" s="54"/>
      <c r="BQ29" s="54"/>
      <c r="BR29" s="54"/>
      <c r="BS29" s="54"/>
      <c r="BT29" s="54"/>
      <c r="BU29" s="54"/>
      <c r="BV29" s="54"/>
      <c r="BW29" s="54"/>
      <c r="BX29" s="54"/>
      <c r="BY29" s="54"/>
      <c r="BZ29" s="54"/>
      <c r="CA29" s="54"/>
      <c r="CB29" s="54"/>
      <c r="CC29" s="54"/>
      <c r="CD29" s="54"/>
      <c r="CE29" s="54"/>
      <c r="CF29" s="54"/>
      <c r="CG29" s="54"/>
      <c r="CH29" s="54"/>
      <c r="CI29" s="54"/>
      <c r="CJ29" s="54"/>
      <c r="CK29" s="54"/>
      <c r="CL29" s="54"/>
      <c r="CM29" s="17"/>
      <c r="CN29" s="17"/>
      <c r="CO29" s="17"/>
      <c r="CP29" s="17"/>
      <c r="CQ29" s="17"/>
      <c r="CR29" s="18"/>
    </row>
    <row r="30" spans="1:96" s="12" customFormat="1" ht="15" customHeight="1">
      <c r="A30" s="19"/>
      <c r="B30" s="17"/>
      <c r="C30" s="17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55"/>
      <c r="AC30" s="55"/>
      <c r="AD30" s="55"/>
      <c r="AE30" s="55"/>
      <c r="AF30" s="55"/>
      <c r="AG30" s="55"/>
      <c r="AH30" s="55"/>
      <c r="AI30" s="55"/>
      <c r="AJ30" s="55"/>
      <c r="AK30" s="55"/>
      <c r="AL30" s="55"/>
      <c r="AM30" s="55"/>
      <c r="AN30" s="55"/>
      <c r="AO30" s="55"/>
      <c r="AP30" s="55"/>
      <c r="AQ30" s="55"/>
      <c r="AR30" s="55"/>
      <c r="AS30" s="55"/>
      <c r="AT30" s="55"/>
      <c r="AU30" s="55"/>
      <c r="AV30" s="55"/>
      <c r="AW30" s="55"/>
      <c r="AX30" s="55"/>
      <c r="AY30" s="54"/>
      <c r="AZ30" s="54"/>
      <c r="BA30" s="54"/>
      <c r="BB30" s="54"/>
      <c r="BC30" s="54"/>
      <c r="BD30" s="54"/>
      <c r="BE30" s="54"/>
      <c r="BF30" s="54"/>
      <c r="BG30" s="54"/>
      <c r="BH30" s="54"/>
      <c r="BI30" s="54"/>
      <c r="BJ30" s="54"/>
      <c r="BK30" s="54"/>
      <c r="BL30" s="54"/>
      <c r="BM30" s="54"/>
      <c r="BN30" s="54"/>
      <c r="BO30" s="54"/>
      <c r="BP30" s="54"/>
      <c r="BQ30" s="54"/>
      <c r="BR30" s="54"/>
      <c r="BS30" s="54"/>
      <c r="BT30" s="54"/>
      <c r="BU30" s="54"/>
      <c r="BV30" s="54"/>
      <c r="BW30" s="54"/>
      <c r="BX30" s="54"/>
      <c r="BY30" s="54"/>
      <c r="BZ30" s="54"/>
      <c r="CA30" s="54"/>
      <c r="CB30" s="54"/>
      <c r="CC30" s="54"/>
      <c r="CD30" s="54"/>
      <c r="CE30" s="54"/>
      <c r="CF30" s="54"/>
      <c r="CG30" s="54"/>
      <c r="CH30" s="54"/>
      <c r="CI30" s="54"/>
      <c r="CJ30" s="54"/>
      <c r="CK30" s="54"/>
      <c r="CL30" s="54"/>
      <c r="CM30" s="17"/>
      <c r="CN30" s="17"/>
      <c r="CO30" s="17"/>
      <c r="CP30" s="17"/>
      <c r="CQ30" s="17"/>
      <c r="CR30" s="18"/>
    </row>
    <row r="31" spans="1:96" s="12" customFormat="1" ht="15" customHeight="1">
      <c r="A31" s="19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  <c r="BG31" s="17"/>
      <c r="BH31" s="17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8"/>
    </row>
    <row r="32" spans="1:96" s="12" customFormat="1" ht="15" customHeight="1">
      <c r="A32" s="19"/>
      <c r="B32" s="17"/>
      <c r="C32" s="17"/>
      <c r="D32" s="17" t="s">
        <v>121</v>
      </c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  <c r="BG32" s="17"/>
      <c r="BH32" s="17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8"/>
    </row>
    <row r="33" spans="1:96" s="12" customFormat="1" ht="15" customHeight="1">
      <c r="A33" s="19"/>
      <c r="B33" s="17"/>
      <c r="C33" s="17"/>
      <c r="D33" s="172" t="s">
        <v>116</v>
      </c>
      <c r="E33" s="172"/>
      <c r="F33" s="172"/>
      <c r="G33" s="172"/>
      <c r="H33" s="172"/>
      <c r="I33" s="172"/>
      <c r="J33" s="172"/>
      <c r="K33" s="172"/>
      <c r="L33" s="172"/>
      <c r="M33" s="172"/>
      <c r="N33" s="172"/>
      <c r="O33" s="172"/>
      <c r="P33" s="172" t="s">
        <v>118</v>
      </c>
      <c r="Q33" s="172"/>
      <c r="R33" s="172"/>
      <c r="S33" s="172"/>
      <c r="T33" s="172"/>
      <c r="U33" s="172"/>
      <c r="V33" s="172"/>
      <c r="W33" s="172"/>
      <c r="X33" s="172"/>
      <c r="Y33" s="172"/>
      <c r="Z33" s="172"/>
      <c r="AA33" s="172"/>
      <c r="AB33" s="172"/>
      <c r="AC33" s="172"/>
      <c r="AD33" s="172"/>
      <c r="AE33" s="172"/>
      <c r="AF33" s="172"/>
      <c r="AG33" s="172"/>
      <c r="AH33" s="172"/>
      <c r="AI33" s="172" t="s">
        <v>101</v>
      </c>
      <c r="AJ33" s="172"/>
      <c r="AK33" s="172"/>
      <c r="AL33" s="172"/>
      <c r="AM33" s="172"/>
      <c r="AN33" s="172"/>
      <c r="AO33" s="172"/>
      <c r="AP33" s="172"/>
      <c r="AQ33" s="172"/>
      <c r="AR33" s="172"/>
      <c r="AS33" s="172"/>
      <c r="AT33" s="172"/>
      <c r="AU33" s="172"/>
      <c r="AV33" s="172"/>
      <c r="AW33" s="172"/>
      <c r="AX33" s="172"/>
      <c r="AY33" s="179"/>
      <c r="AZ33" s="178"/>
      <c r="BA33" s="178"/>
      <c r="BB33" s="178"/>
      <c r="BC33" s="178"/>
      <c r="BD33" s="178"/>
      <c r="BE33" s="178"/>
      <c r="BF33" s="178"/>
      <c r="BG33" s="178"/>
      <c r="BH33" s="178"/>
      <c r="BI33" s="178"/>
      <c r="BJ33" s="178"/>
      <c r="BK33" s="178"/>
      <c r="BL33" s="178"/>
      <c r="BM33" s="178"/>
      <c r="BN33" s="178"/>
      <c r="BO33" s="178"/>
      <c r="BP33" s="178"/>
      <c r="BQ33" s="178"/>
      <c r="BR33" s="178"/>
      <c r="BS33" s="178"/>
      <c r="BT33" s="178"/>
      <c r="BU33" s="178"/>
      <c r="BV33" s="178"/>
      <c r="BW33" s="178"/>
      <c r="BX33" s="178"/>
      <c r="BY33" s="178"/>
      <c r="BZ33" s="178"/>
      <c r="CA33" s="178"/>
      <c r="CB33" s="178"/>
      <c r="CC33" s="178"/>
      <c r="CD33" s="178"/>
      <c r="CE33" s="178"/>
      <c r="CF33" s="178"/>
      <c r="CG33" s="178"/>
      <c r="CH33" s="178"/>
      <c r="CI33" s="178"/>
      <c r="CJ33" s="178"/>
      <c r="CK33" s="17"/>
      <c r="CL33" s="17"/>
      <c r="CM33" s="17"/>
      <c r="CN33" s="17"/>
      <c r="CO33" s="17"/>
      <c r="CP33" s="17"/>
      <c r="CQ33" s="17"/>
      <c r="CR33" s="18"/>
    </row>
    <row r="34" spans="1:96" s="12" customFormat="1" ht="15" customHeight="1">
      <c r="A34" s="19"/>
      <c r="B34" s="17"/>
      <c r="C34" s="17"/>
      <c r="D34" s="55" t="s">
        <v>119</v>
      </c>
      <c r="E34" s="55"/>
      <c r="F34" s="55"/>
      <c r="G34" s="55"/>
      <c r="H34" s="55"/>
      <c r="I34" s="55"/>
      <c r="J34" s="55"/>
      <c r="K34" s="55"/>
      <c r="L34" s="55"/>
      <c r="M34" s="55"/>
      <c r="N34" s="55"/>
      <c r="O34" s="55"/>
      <c r="P34" s="55" t="s">
        <v>117</v>
      </c>
      <c r="Q34" s="55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5"/>
      <c r="AC34" s="55"/>
      <c r="AD34" s="55"/>
      <c r="AE34" s="55"/>
      <c r="AF34" s="55"/>
      <c r="AG34" s="55"/>
      <c r="AH34" s="55"/>
      <c r="AI34" s="55" t="s">
        <v>103</v>
      </c>
      <c r="AJ34" s="55"/>
      <c r="AK34" s="55"/>
      <c r="AL34" s="55"/>
      <c r="AM34" s="55"/>
      <c r="AN34" s="55"/>
      <c r="AO34" s="55"/>
      <c r="AP34" s="55"/>
      <c r="AQ34" s="55"/>
      <c r="AR34" s="55"/>
      <c r="AS34" s="55"/>
      <c r="AT34" s="55"/>
      <c r="AU34" s="55"/>
      <c r="AV34" s="55"/>
      <c r="AW34" s="55"/>
      <c r="AX34" s="55"/>
      <c r="AY34" s="179"/>
      <c r="AZ34" s="178"/>
      <c r="BA34" s="178"/>
      <c r="BB34" s="178"/>
      <c r="BC34" s="178"/>
      <c r="BD34" s="178"/>
      <c r="BE34" s="178"/>
      <c r="BF34" s="178"/>
      <c r="BG34" s="178"/>
      <c r="BH34" s="178"/>
      <c r="BI34" s="178"/>
      <c r="BJ34" s="178"/>
      <c r="BK34" s="178"/>
      <c r="BL34" s="178"/>
      <c r="BM34" s="178"/>
      <c r="BN34" s="178"/>
      <c r="BO34" s="178"/>
      <c r="BP34" s="178"/>
      <c r="BQ34" s="178"/>
      <c r="BR34" s="178"/>
      <c r="BS34" s="178"/>
      <c r="BT34" s="178"/>
      <c r="BU34" s="178"/>
      <c r="BV34" s="178"/>
      <c r="BW34" s="178"/>
      <c r="BX34" s="178"/>
      <c r="BY34" s="178"/>
      <c r="BZ34" s="178"/>
      <c r="CA34" s="178"/>
      <c r="CB34" s="178"/>
      <c r="CC34" s="178"/>
      <c r="CD34" s="178"/>
      <c r="CE34" s="178"/>
      <c r="CF34" s="178"/>
      <c r="CG34" s="178"/>
      <c r="CH34" s="178"/>
      <c r="CI34" s="178"/>
      <c r="CJ34" s="178"/>
      <c r="CK34" s="17"/>
      <c r="CL34" s="17"/>
      <c r="CM34" s="17"/>
      <c r="CN34" s="17"/>
      <c r="CO34" s="17"/>
      <c r="CP34" s="17"/>
      <c r="CQ34" s="17"/>
      <c r="CR34" s="18"/>
    </row>
    <row r="35" spans="1:96" s="12" customFormat="1" ht="15" customHeight="1">
      <c r="A35" s="19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  <c r="BD35" s="17"/>
      <c r="BE35" s="17"/>
      <c r="BF35" s="17"/>
      <c r="BG35" s="17"/>
      <c r="BH35" s="17"/>
      <c r="BI35" s="17"/>
      <c r="BJ35" s="17"/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8"/>
    </row>
    <row r="36" spans="1:96" s="12" customFormat="1" ht="15" customHeight="1">
      <c r="A36" s="19"/>
      <c r="B36" s="17"/>
      <c r="C36" s="17"/>
      <c r="D36" s="17" t="s">
        <v>107</v>
      </c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  <c r="BG36" s="17"/>
      <c r="BH36" s="17"/>
      <c r="BI36" s="17"/>
      <c r="BJ36" s="17"/>
      <c r="BK36" s="17"/>
      <c r="BL36" s="17"/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8"/>
    </row>
    <row r="37" spans="1:96" s="12" customFormat="1" ht="15" customHeight="1">
      <c r="A37" s="19"/>
      <c r="B37" s="17"/>
      <c r="C37" s="17"/>
      <c r="D37" s="55" t="s">
        <v>120</v>
      </c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  <c r="AA37" s="55"/>
      <c r="AB37" s="55"/>
      <c r="AC37" s="55"/>
      <c r="AD37" s="55"/>
      <c r="AE37" s="55"/>
      <c r="AF37" s="55"/>
      <c r="AG37" s="55"/>
      <c r="AH37" s="55"/>
      <c r="AI37" s="55"/>
      <c r="AJ37" s="55"/>
      <c r="AK37" s="55"/>
      <c r="AL37" s="55"/>
      <c r="AM37" s="55"/>
      <c r="AN37" s="55"/>
      <c r="AO37" s="55"/>
      <c r="AP37" s="55"/>
      <c r="AQ37" s="55"/>
      <c r="AR37" s="55"/>
      <c r="AS37" s="55"/>
      <c r="AT37" s="55"/>
      <c r="AU37" s="55"/>
      <c r="AV37" s="55"/>
      <c r="AW37" s="55"/>
      <c r="AX37" s="55"/>
      <c r="AY37" s="17"/>
      <c r="AZ37" s="17"/>
      <c r="BA37" s="17"/>
      <c r="BB37" s="17"/>
      <c r="BC37" s="17"/>
      <c r="BD37" s="17"/>
      <c r="BE37" s="17"/>
      <c r="BF37" s="17"/>
      <c r="BG37" s="17"/>
      <c r="BH37" s="17"/>
      <c r="BI37" s="17"/>
      <c r="BJ37" s="17"/>
      <c r="BK37" s="17"/>
      <c r="BL37" s="17"/>
      <c r="BM37" s="17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8"/>
    </row>
    <row r="38" spans="1:96" s="12" customFormat="1" ht="15" customHeight="1">
      <c r="A38" s="19"/>
      <c r="B38" s="17"/>
      <c r="C38" s="17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  <c r="AA38" s="55"/>
      <c r="AB38" s="55"/>
      <c r="AC38" s="55"/>
      <c r="AD38" s="55"/>
      <c r="AE38" s="55"/>
      <c r="AF38" s="55"/>
      <c r="AG38" s="55"/>
      <c r="AH38" s="55"/>
      <c r="AI38" s="55"/>
      <c r="AJ38" s="55"/>
      <c r="AK38" s="55"/>
      <c r="AL38" s="55"/>
      <c r="AM38" s="55"/>
      <c r="AN38" s="55"/>
      <c r="AO38" s="55"/>
      <c r="AP38" s="55"/>
      <c r="AQ38" s="55"/>
      <c r="AR38" s="55"/>
      <c r="AS38" s="55"/>
      <c r="AT38" s="55"/>
      <c r="AU38" s="55"/>
      <c r="AV38" s="55"/>
      <c r="AW38" s="55"/>
      <c r="AX38" s="55"/>
      <c r="AY38" s="17"/>
      <c r="AZ38" s="17"/>
      <c r="BA38" s="17"/>
      <c r="BB38" s="17"/>
      <c r="BC38" s="17"/>
      <c r="BD38" s="17"/>
      <c r="BE38" s="17"/>
      <c r="BF38" s="17"/>
      <c r="BG38" s="17"/>
      <c r="BH38" s="17"/>
      <c r="BI38" s="17"/>
      <c r="BJ38" s="17"/>
      <c r="BK38" s="17"/>
      <c r="BL38" s="17"/>
      <c r="BM38" s="17"/>
      <c r="BN38" s="17"/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8"/>
    </row>
    <row r="39" spans="1:96" s="12" customFormat="1" ht="15" customHeight="1">
      <c r="A39" s="19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  <c r="BG39" s="17"/>
      <c r="BH39" s="17"/>
      <c r="BI39" s="17"/>
      <c r="BJ39" s="17"/>
      <c r="BK39" s="17"/>
      <c r="BL39" s="17"/>
      <c r="BM39" s="17"/>
      <c r="BN39" s="17"/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8"/>
    </row>
    <row r="40" spans="1:96" s="12" customFormat="1" ht="15" customHeight="1">
      <c r="A40" s="19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  <c r="BG40" s="17"/>
      <c r="BH40" s="17"/>
      <c r="BI40" s="17"/>
      <c r="BJ40" s="17"/>
      <c r="BK40" s="17"/>
      <c r="BL40" s="17"/>
      <c r="BM40" s="17"/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8"/>
    </row>
    <row r="41" spans="1:96" s="12" customFormat="1" ht="15" customHeight="1">
      <c r="A41" s="19"/>
      <c r="B41" s="17"/>
      <c r="C41" s="17"/>
      <c r="D41" s="17" t="s">
        <v>96</v>
      </c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  <c r="BG41" s="17"/>
      <c r="BH41" s="17"/>
      <c r="BI41" s="17"/>
      <c r="BJ41" s="17"/>
      <c r="BK41" s="17"/>
      <c r="BL41" s="17"/>
      <c r="BM41" s="17"/>
      <c r="BN41" s="17"/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8"/>
    </row>
    <row r="42" spans="1:96" s="12" customFormat="1" ht="15" customHeight="1">
      <c r="A42" s="19"/>
      <c r="B42" s="17"/>
      <c r="C42" s="17"/>
      <c r="E42" s="17" t="s">
        <v>97</v>
      </c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  <c r="BG42" s="17"/>
      <c r="BH42" s="17"/>
      <c r="BI42" s="17"/>
      <c r="BJ42" s="17"/>
      <c r="BK42" s="17"/>
      <c r="BL42" s="17"/>
      <c r="BM42" s="17"/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8"/>
    </row>
    <row r="43" spans="1:96" s="12" customFormat="1" ht="15" customHeight="1">
      <c r="A43" s="19"/>
      <c r="B43" s="17"/>
      <c r="C43" s="17"/>
      <c r="E43" s="17" t="s">
        <v>99</v>
      </c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/>
      <c r="BG43" s="17"/>
      <c r="BH43" s="17"/>
      <c r="BI43" s="17"/>
      <c r="BJ43" s="17"/>
      <c r="BK43" s="17"/>
      <c r="BL43" s="17"/>
      <c r="BM43" s="17"/>
      <c r="BN43" s="17"/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8"/>
    </row>
    <row r="44" spans="1:96" s="12" customFormat="1" ht="15" customHeight="1">
      <c r="A44" s="19"/>
      <c r="B44" s="17"/>
      <c r="C44" s="17"/>
      <c r="E44" s="17" t="s">
        <v>100</v>
      </c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  <c r="BG44" s="17"/>
      <c r="BH44" s="17"/>
      <c r="BI44" s="17"/>
      <c r="BJ44" s="17"/>
      <c r="BK44" s="17"/>
      <c r="BL44" s="17"/>
      <c r="BM44" s="17"/>
      <c r="BN44" s="17"/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8"/>
    </row>
    <row r="45" spans="1:96" s="12" customFormat="1" ht="15" customHeight="1">
      <c r="A45" s="19"/>
      <c r="B45" s="17"/>
      <c r="C45" s="17"/>
      <c r="E45" s="17" t="s">
        <v>98</v>
      </c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  <c r="BG45" s="17"/>
      <c r="BH45" s="17"/>
      <c r="BI45" s="17"/>
      <c r="BJ45" s="17"/>
      <c r="BK45" s="17"/>
      <c r="BL45" s="17"/>
      <c r="BM45" s="17"/>
      <c r="BN45" s="17"/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8"/>
    </row>
    <row r="46" spans="1:96" s="12" customFormat="1" ht="15" customHeight="1">
      <c r="A46" s="19"/>
      <c r="B46" s="17"/>
      <c r="C46" s="17"/>
      <c r="E46" s="17" t="s">
        <v>115</v>
      </c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  <c r="BG46" s="17"/>
      <c r="BH46" s="17"/>
      <c r="BI46" s="17"/>
      <c r="BJ46" s="17"/>
      <c r="BK46" s="17"/>
      <c r="BL46" s="17"/>
      <c r="BM46" s="17"/>
      <c r="BN46" s="17"/>
      <c r="BO46" s="17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8"/>
    </row>
    <row r="47" spans="1:96" s="12" customFormat="1" ht="15" customHeight="1" thickBot="1">
      <c r="A47" s="20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1"/>
      <c r="BK47" s="22"/>
      <c r="BL47" s="22"/>
      <c r="BM47" s="23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1"/>
      <c r="BY47" s="21"/>
      <c r="BZ47" s="21"/>
      <c r="CA47" s="21"/>
      <c r="CB47" s="21"/>
      <c r="CC47" s="21"/>
      <c r="CD47" s="21"/>
      <c r="CE47" s="21"/>
      <c r="CF47" s="21"/>
      <c r="CG47" s="21"/>
      <c r="CH47" s="21"/>
      <c r="CI47" s="21"/>
      <c r="CJ47" s="21"/>
      <c r="CK47" s="21"/>
      <c r="CL47" s="21"/>
      <c r="CM47" s="21"/>
      <c r="CN47" s="21"/>
      <c r="CO47" s="21"/>
      <c r="CP47" s="21"/>
      <c r="CQ47" s="21"/>
      <c r="CR47" s="24"/>
    </row>
    <row r="48" spans="1:96" s="12" customFormat="1" ht="15" customHeight="1">
      <c r="A48" s="19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  <c r="BG48" s="17"/>
      <c r="BH48" s="17"/>
      <c r="BI48" s="17"/>
      <c r="BJ48" s="17"/>
      <c r="BK48" s="17"/>
      <c r="BL48" s="17"/>
      <c r="BM48" s="17"/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8"/>
    </row>
    <row r="49" spans="1:96" s="12" customFormat="1" ht="15" customHeight="1">
      <c r="A49" s="19"/>
      <c r="B49" s="28" t="s">
        <v>110</v>
      </c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  <c r="BG49" s="17"/>
      <c r="BH49" s="17"/>
      <c r="BI49" s="17"/>
      <c r="BJ49" s="17"/>
      <c r="BK49" s="17"/>
      <c r="BL49" s="17"/>
      <c r="BM49" s="17"/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8"/>
    </row>
    <row r="50" spans="1:96" s="12" customFormat="1" ht="15" customHeight="1">
      <c r="A50" s="19"/>
      <c r="B50" s="17"/>
      <c r="C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  <c r="BG50" s="17"/>
      <c r="BH50" s="17"/>
      <c r="BI50" s="17"/>
      <c r="BJ50" s="17"/>
      <c r="BK50" s="17"/>
      <c r="BL50" s="17"/>
      <c r="BM50" s="17"/>
      <c r="BN50" s="17"/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8"/>
    </row>
    <row r="51" spans="1:96" s="12" customFormat="1" ht="15" customHeight="1">
      <c r="A51" s="19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  <c r="BG51" s="17"/>
      <c r="BH51" s="17"/>
      <c r="BI51" s="17"/>
      <c r="BJ51" s="17"/>
      <c r="BK51" s="17"/>
      <c r="BL51" s="17"/>
      <c r="BM51" s="17"/>
      <c r="BN51" s="17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8"/>
    </row>
    <row r="52" spans="1:96" s="12" customFormat="1" ht="15" customHeight="1">
      <c r="A52" s="19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  <c r="AY52" s="17"/>
      <c r="AZ52" s="17"/>
      <c r="BA52" s="17"/>
      <c r="BB52" s="17"/>
      <c r="BC52" s="17"/>
      <c r="BD52" s="17"/>
      <c r="BE52" s="17"/>
      <c r="BF52" s="17"/>
      <c r="BG52" s="17"/>
      <c r="BH52" s="17"/>
      <c r="BI52" s="17"/>
      <c r="BJ52" s="17"/>
      <c r="BK52" s="17"/>
      <c r="BL52" s="17"/>
      <c r="BM52" s="17"/>
      <c r="BN52" s="17"/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8"/>
    </row>
    <row r="53" spans="1:96" s="12" customFormat="1" ht="15" customHeight="1">
      <c r="A53" s="19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  <c r="AY53" s="17"/>
      <c r="AZ53" s="17"/>
      <c r="BA53" s="17"/>
      <c r="BB53" s="17"/>
      <c r="BC53" s="17"/>
      <c r="BD53" s="17"/>
      <c r="BE53" s="17"/>
      <c r="BF53" s="17"/>
      <c r="BG53" s="17"/>
      <c r="BH53" s="17"/>
      <c r="BI53" s="17"/>
      <c r="BJ53" s="17"/>
      <c r="BK53" s="17"/>
      <c r="BL53" s="17"/>
      <c r="BM53" s="17"/>
      <c r="BN53" s="17"/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8"/>
    </row>
    <row r="54" spans="1:96" s="12" customFormat="1" ht="15" customHeight="1">
      <c r="A54" s="19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17"/>
      <c r="AZ54" s="17"/>
      <c r="BA54" s="17"/>
      <c r="BB54" s="17"/>
      <c r="BC54" s="17"/>
      <c r="BD54" s="17"/>
      <c r="BE54" s="17"/>
      <c r="BF54" s="17"/>
      <c r="BG54" s="17"/>
      <c r="BH54" s="17"/>
      <c r="BI54" s="17"/>
      <c r="BJ54" s="17"/>
      <c r="BK54" s="17"/>
      <c r="BL54" s="17"/>
      <c r="BM54" s="17"/>
      <c r="BN54" s="17"/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8"/>
    </row>
    <row r="55" spans="1:96" s="12" customFormat="1" ht="15" customHeight="1">
      <c r="A55" s="19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  <c r="BJ55" s="17"/>
      <c r="BK55" s="17"/>
      <c r="BL55" s="17"/>
      <c r="BM55" s="17"/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8"/>
    </row>
    <row r="56" spans="1:96" s="12" customFormat="1" ht="15" customHeight="1">
      <c r="A56" s="19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17"/>
      <c r="BA56" s="17"/>
      <c r="BB56" s="17"/>
      <c r="BC56" s="17"/>
      <c r="BD56" s="17"/>
      <c r="BE56" s="17"/>
      <c r="BF56" s="17"/>
      <c r="BG56" s="17"/>
      <c r="BH56" s="17"/>
      <c r="BI56" s="17"/>
      <c r="BJ56" s="17"/>
      <c r="BK56" s="17"/>
      <c r="BL56" s="17"/>
      <c r="BM56" s="17"/>
      <c r="BN56" s="17"/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8"/>
    </row>
    <row r="57" spans="1:96" s="12" customFormat="1" ht="15" customHeight="1">
      <c r="A57" s="19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  <c r="AY57" s="17"/>
      <c r="AZ57" s="17"/>
      <c r="BA57" s="17"/>
      <c r="BB57" s="17"/>
      <c r="BC57" s="17"/>
      <c r="BD57" s="17"/>
      <c r="BE57" s="17"/>
      <c r="BF57" s="17"/>
      <c r="BG57" s="17"/>
      <c r="BH57" s="17"/>
      <c r="BI57" s="17"/>
      <c r="BJ57" s="17"/>
      <c r="BK57" s="17"/>
      <c r="BL57" s="17"/>
      <c r="BM57" s="17"/>
      <c r="BN57" s="17"/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8"/>
    </row>
    <row r="58" spans="1:96" s="12" customFormat="1" ht="15" customHeight="1">
      <c r="A58" s="19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  <c r="BA58" s="17"/>
      <c r="BB58" s="17"/>
      <c r="BC58" s="17"/>
      <c r="BD58" s="17"/>
      <c r="BE58" s="17"/>
      <c r="BF58" s="17"/>
      <c r="BG58" s="17"/>
      <c r="BH58" s="17"/>
      <c r="BI58" s="17"/>
      <c r="BJ58" s="17"/>
      <c r="BK58" s="17"/>
      <c r="BL58" s="17"/>
      <c r="BM58" s="17"/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8"/>
    </row>
    <row r="59" spans="1:96" s="12" customFormat="1" ht="15" customHeight="1">
      <c r="A59" s="19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7"/>
      <c r="BC59" s="17"/>
      <c r="BD59" s="17"/>
      <c r="BE59" s="17"/>
      <c r="BF59" s="17"/>
      <c r="BG59" s="17"/>
      <c r="BH59" s="17"/>
      <c r="BI59" s="17"/>
      <c r="BJ59" s="17"/>
      <c r="BK59" s="17"/>
      <c r="BL59" s="17"/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8"/>
    </row>
    <row r="60" spans="1:96" s="12" customFormat="1" ht="15" customHeight="1">
      <c r="A60" s="19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17"/>
      <c r="BA60" s="17"/>
      <c r="BB60" s="17"/>
      <c r="BC60" s="17"/>
      <c r="BD60" s="17"/>
      <c r="BE60" s="17"/>
      <c r="BF60" s="17"/>
      <c r="BG60" s="17"/>
      <c r="BH60" s="17"/>
      <c r="BI60" s="17"/>
      <c r="BJ60" s="17"/>
      <c r="BK60" s="17"/>
      <c r="BL60" s="17"/>
      <c r="BM60" s="17"/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8"/>
    </row>
    <row r="61" spans="1:96" s="12" customFormat="1" ht="15" customHeight="1">
      <c r="A61" s="19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  <c r="BA61" s="17"/>
      <c r="BB61" s="17"/>
      <c r="BC61" s="17"/>
      <c r="BD61" s="17"/>
      <c r="BE61" s="17"/>
      <c r="BF61" s="17"/>
      <c r="BG61" s="17"/>
      <c r="BH61" s="17"/>
      <c r="BI61" s="17"/>
      <c r="BJ61" s="17"/>
      <c r="BK61" s="17"/>
      <c r="BL61" s="17"/>
      <c r="BM61" s="17"/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8"/>
    </row>
    <row r="62" spans="1:96" s="12" customFormat="1" ht="15" customHeight="1">
      <c r="A62" s="19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7"/>
      <c r="BB62" s="17"/>
      <c r="BC62" s="17"/>
      <c r="BD62" s="17"/>
      <c r="BE62" s="17"/>
      <c r="BF62" s="17"/>
      <c r="BG62" s="17"/>
      <c r="BH62" s="17"/>
      <c r="BI62" s="17"/>
      <c r="BJ62" s="17"/>
      <c r="BK62" s="17"/>
      <c r="BL62" s="17"/>
      <c r="BM62" s="17"/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8"/>
    </row>
    <row r="63" spans="1:96" s="12" customFormat="1" ht="15" customHeight="1">
      <c r="A63" s="19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  <c r="BA63" s="17"/>
      <c r="BB63" s="17"/>
      <c r="BC63" s="17"/>
      <c r="BD63" s="17"/>
      <c r="BE63" s="17"/>
      <c r="BF63" s="17"/>
      <c r="BG63" s="17"/>
      <c r="BH63" s="17"/>
      <c r="BI63" s="17"/>
      <c r="BJ63" s="17"/>
      <c r="BK63" s="17"/>
      <c r="BL63" s="17"/>
      <c r="BM63" s="17"/>
      <c r="BN63" s="17"/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8"/>
    </row>
    <row r="64" spans="1:96" s="12" customFormat="1" ht="15" customHeight="1">
      <c r="A64" s="19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7"/>
      <c r="BB64" s="17"/>
      <c r="BC64" s="17"/>
      <c r="BD64" s="17"/>
      <c r="BE64" s="17"/>
      <c r="BF64" s="17"/>
      <c r="BG64" s="17"/>
      <c r="BH64" s="17"/>
      <c r="BI64" s="17"/>
      <c r="BJ64" s="17"/>
      <c r="BK64" s="17"/>
      <c r="BL64" s="17"/>
      <c r="BM64" s="17"/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8"/>
    </row>
    <row r="65" spans="1:96" s="12" customFormat="1" ht="15" customHeight="1">
      <c r="A65" s="19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17"/>
      <c r="AZ65" s="17"/>
      <c r="BA65" s="17"/>
      <c r="BB65" s="17"/>
      <c r="BC65" s="17"/>
      <c r="BD65" s="17"/>
      <c r="BE65" s="17"/>
      <c r="BF65" s="17"/>
      <c r="BG65" s="17"/>
      <c r="BH65" s="17"/>
      <c r="BI65" s="17"/>
      <c r="BJ65" s="17"/>
      <c r="BK65" s="17"/>
      <c r="BL65" s="17"/>
      <c r="BM65" s="17"/>
      <c r="BN65" s="17"/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8"/>
    </row>
    <row r="66" spans="1:96" s="12" customFormat="1" ht="15" customHeight="1">
      <c r="A66" s="19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  <c r="BA66" s="17"/>
      <c r="BB66" s="17"/>
      <c r="BC66" s="17"/>
      <c r="BD66" s="17"/>
      <c r="BE66" s="17"/>
      <c r="BF66" s="17"/>
      <c r="BG66" s="17"/>
      <c r="BH66" s="17"/>
      <c r="BI66" s="17"/>
      <c r="BJ66" s="17"/>
      <c r="BK66" s="17"/>
      <c r="BL66" s="17"/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8"/>
    </row>
    <row r="67" spans="1:96" s="12" customFormat="1" ht="15" customHeight="1">
      <c r="A67" s="19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  <c r="AY67" s="17"/>
      <c r="AZ67" s="17"/>
      <c r="BA67" s="17"/>
      <c r="BB67" s="17"/>
      <c r="BC67" s="17"/>
      <c r="BD67" s="17"/>
      <c r="BE67" s="17"/>
      <c r="BF67" s="17"/>
      <c r="BG67" s="17"/>
      <c r="BH67" s="17"/>
      <c r="BI67" s="17"/>
      <c r="BJ67" s="17"/>
      <c r="BK67" s="17"/>
      <c r="BL67" s="17"/>
      <c r="BM67" s="17"/>
      <c r="BN67" s="17"/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8"/>
    </row>
    <row r="68" spans="1:96" s="12" customFormat="1" ht="15" customHeight="1">
      <c r="A68" s="19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  <c r="AY68" s="17"/>
      <c r="AZ68" s="17"/>
      <c r="BA68" s="17"/>
      <c r="BB68" s="17"/>
      <c r="BC68" s="17"/>
      <c r="BD68" s="17"/>
      <c r="BE68" s="17"/>
      <c r="BF68" s="17"/>
      <c r="BG68" s="17"/>
      <c r="BH68" s="17"/>
      <c r="BI68" s="17"/>
      <c r="BJ68" s="17"/>
      <c r="BK68" s="17"/>
      <c r="BL68" s="17"/>
      <c r="BM68" s="17"/>
      <c r="BN68" s="17"/>
      <c r="BO68" s="17"/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8"/>
    </row>
    <row r="69" spans="1:96" s="12" customFormat="1" ht="15" customHeight="1">
      <c r="A69" s="19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17"/>
      <c r="BA69" s="17"/>
      <c r="BB69" s="17"/>
      <c r="BC69" s="17"/>
      <c r="BD69" s="17"/>
      <c r="BE69" s="17"/>
      <c r="BF69" s="17"/>
      <c r="BG69" s="17"/>
      <c r="BH69" s="17"/>
      <c r="BI69" s="17"/>
      <c r="BJ69" s="17"/>
      <c r="BK69" s="17"/>
      <c r="BL69" s="17"/>
      <c r="BM69" s="17"/>
      <c r="BN69" s="17"/>
      <c r="BO69" s="17"/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8"/>
    </row>
    <row r="70" spans="1:96" s="12" customFormat="1" ht="15" customHeight="1">
      <c r="A70" s="19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17"/>
      <c r="AZ70" s="17"/>
      <c r="BA70" s="17"/>
      <c r="BB70" s="17"/>
      <c r="BC70" s="17"/>
      <c r="BD70" s="17"/>
      <c r="BE70" s="17"/>
      <c r="BF70" s="17"/>
      <c r="BG70" s="17"/>
      <c r="BH70" s="17"/>
      <c r="BI70" s="17"/>
      <c r="BJ70" s="17"/>
      <c r="BK70" s="17"/>
      <c r="BL70" s="17"/>
      <c r="BM70" s="17"/>
      <c r="BN70" s="17"/>
      <c r="BO70" s="17"/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8"/>
    </row>
    <row r="71" spans="1:96" s="12" customFormat="1" ht="15" customHeight="1">
      <c r="A71" s="19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  <c r="AY71" s="17"/>
      <c r="AZ71" s="17"/>
      <c r="BA71" s="17"/>
      <c r="BB71" s="17"/>
      <c r="BC71" s="17"/>
      <c r="BD71" s="17"/>
      <c r="BE71" s="17"/>
      <c r="BF71" s="17"/>
      <c r="BG71" s="17"/>
      <c r="BH71" s="17"/>
      <c r="BI71" s="17"/>
      <c r="BJ71" s="17"/>
      <c r="BK71" s="17"/>
      <c r="BL71" s="17"/>
      <c r="BM71" s="17"/>
      <c r="BN71" s="17"/>
      <c r="BO71" s="17"/>
      <c r="BP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8"/>
    </row>
    <row r="72" spans="1:96" s="12" customFormat="1" ht="15" customHeight="1">
      <c r="A72" s="19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  <c r="AY72" s="17"/>
      <c r="AZ72" s="17"/>
      <c r="BA72" s="17"/>
      <c r="BB72" s="17"/>
      <c r="BC72" s="17"/>
      <c r="BD72" s="17"/>
      <c r="BE72" s="17"/>
      <c r="BF72" s="17"/>
      <c r="BG72" s="17"/>
      <c r="BH72" s="17"/>
      <c r="BI72" s="17"/>
      <c r="BJ72" s="17"/>
      <c r="BK72" s="17"/>
      <c r="BL72" s="17"/>
      <c r="BM72" s="17"/>
      <c r="BN72" s="17"/>
      <c r="BO72" s="17"/>
      <c r="BP72" s="17"/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8"/>
    </row>
    <row r="73" spans="1:96" s="12" customFormat="1" ht="15" customHeight="1">
      <c r="A73" s="19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  <c r="AY73" s="17"/>
      <c r="AZ73" s="17"/>
      <c r="BA73" s="17"/>
      <c r="BB73" s="17"/>
      <c r="BC73" s="17"/>
      <c r="BD73" s="17"/>
      <c r="BE73" s="17"/>
      <c r="BF73" s="17"/>
      <c r="BG73" s="17"/>
      <c r="BH73" s="17"/>
      <c r="BI73" s="17"/>
      <c r="BJ73" s="17"/>
      <c r="BK73" s="17"/>
      <c r="BL73" s="17"/>
      <c r="BM73" s="17"/>
      <c r="BN73" s="17"/>
      <c r="BO73" s="17"/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8"/>
    </row>
    <row r="74" spans="1:96" s="12" customFormat="1" ht="15" customHeight="1">
      <c r="A74" s="19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  <c r="AY74" s="17"/>
      <c r="AZ74" s="17"/>
      <c r="BA74" s="17"/>
      <c r="BB74" s="17"/>
      <c r="BC74" s="17"/>
      <c r="BD74" s="17"/>
      <c r="BE74" s="17"/>
      <c r="BF74" s="17"/>
      <c r="BG74" s="17"/>
      <c r="BH74" s="17"/>
      <c r="BI74" s="17"/>
      <c r="BJ74" s="17"/>
      <c r="BK74" s="17"/>
      <c r="BL74" s="17"/>
      <c r="BM74" s="17"/>
      <c r="BN74" s="17"/>
      <c r="BO74" s="17"/>
      <c r="BP74" s="17"/>
      <c r="BQ74" s="17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8"/>
    </row>
    <row r="75" spans="1:96" s="12" customFormat="1" ht="15" customHeight="1">
      <c r="A75" s="19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  <c r="AY75" s="17"/>
      <c r="AZ75" s="17"/>
      <c r="BA75" s="17"/>
      <c r="BB75" s="17"/>
      <c r="BC75" s="17"/>
      <c r="BD75" s="17"/>
      <c r="BE75" s="17"/>
      <c r="BF75" s="17"/>
      <c r="BG75" s="17"/>
      <c r="BH75" s="17"/>
      <c r="BI75" s="17"/>
      <c r="BJ75" s="17"/>
      <c r="BK75" s="17"/>
      <c r="BL75" s="17"/>
      <c r="BM75" s="17"/>
      <c r="BN75" s="17"/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8"/>
    </row>
    <row r="76" spans="1:96" s="12" customFormat="1" ht="15" customHeight="1">
      <c r="A76" s="19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  <c r="AY76" s="17"/>
      <c r="AZ76" s="17"/>
      <c r="BA76" s="17"/>
      <c r="BB76" s="17"/>
      <c r="BC76" s="17"/>
      <c r="BD76" s="17"/>
      <c r="BE76" s="17"/>
      <c r="BF76" s="17"/>
      <c r="BG76" s="17"/>
      <c r="BH76" s="17"/>
      <c r="BI76" s="17"/>
      <c r="BJ76" s="17"/>
      <c r="BK76" s="17"/>
      <c r="BL76" s="17"/>
      <c r="BM76" s="17"/>
      <c r="BN76" s="17"/>
      <c r="BO76" s="17"/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8"/>
    </row>
    <row r="77" spans="1:96" s="12" customFormat="1" ht="15" customHeight="1">
      <c r="A77" s="19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  <c r="AY77" s="17"/>
      <c r="AZ77" s="17"/>
      <c r="BA77" s="17"/>
      <c r="BB77" s="17"/>
      <c r="BC77" s="17"/>
      <c r="BD77" s="17"/>
      <c r="BE77" s="17"/>
      <c r="BF77" s="17"/>
      <c r="BG77" s="17"/>
      <c r="BH77" s="17"/>
      <c r="BI77" s="17"/>
      <c r="BJ77" s="17"/>
      <c r="BK77" s="17"/>
      <c r="BL77" s="17"/>
      <c r="BM77" s="17"/>
      <c r="BN77" s="17"/>
      <c r="BO77" s="17"/>
      <c r="BP77" s="17"/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8"/>
    </row>
    <row r="78" spans="1:96" s="12" customFormat="1" ht="15" customHeight="1">
      <c r="A78" s="19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17"/>
      <c r="AZ78" s="17"/>
      <c r="BA78" s="17"/>
      <c r="BB78" s="17"/>
      <c r="BC78" s="17"/>
      <c r="BD78" s="17"/>
      <c r="BE78" s="17"/>
      <c r="BF78" s="17"/>
      <c r="BG78" s="17"/>
      <c r="BH78" s="17"/>
      <c r="BI78" s="17"/>
      <c r="BJ78" s="17"/>
      <c r="BK78" s="17"/>
      <c r="BL78" s="17"/>
      <c r="BM78" s="17"/>
      <c r="BN78" s="17"/>
      <c r="BO78" s="17"/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8"/>
    </row>
    <row r="79" spans="1:96" s="12" customFormat="1" ht="15" customHeight="1">
      <c r="A79" s="19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  <c r="AY79" s="17"/>
      <c r="AZ79" s="17"/>
      <c r="BA79" s="17"/>
      <c r="BB79" s="17"/>
      <c r="BC79" s="17"/>
      <c r="BD79" s="17"/>
      <c r="BE79" s="17"/>
      <c r="BF79" s="17"/>
      <c r="BG79" s="17"/>
      <c r="BH79" s="17"/>
      <c r="BI79" s="17"/>
      <c r="BJ79" s="17"/>
      <c r="BK79" s="17"/>
      <c r="BL79" s="17"/>
      <c r="BM79" s="17"/>
      <c r="BN79" s="17"/>
      <c r="BO79" s="17"/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8"/>
    </row>
    <row r="80" spans="1:96" s="12" customFormat="1" ht="15" customHeight="1">
      <c r="A80" s="19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  <c r="AY80" s="17"/>
      <c r="AZ80" s="17"/>
      <c r="BA80" s="17"/>
      <c r="BB80" s="17"/>
      <c r="BC80" s="17"/>
      <c r="BD80" s="17"/>
      <c r="BE80" s="17"/>
      <c r="BF80" s="17"/>
      <c r="BG80" s="17"/>
      <c r="BH80" s="17"/>
      <c r="BI80" s="17"/>
      <c r="BJ80" s="17"/>
      <c r="BK80" s="17"/>
      <c r="BL80" s="17"/>
      <c r="BM80" s="17"/>
      <c r="BN80" s="17"/>
      <c r="BO80" s="17"/>
      <c r="BP80" s="17"/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8"/>
    </row>
    <row r="81" spans="1:96" s="12" customFormat="1" ht="15" customHeight="1">
      <c r="A81" s="19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  <c r="AY81" s="17"/>
      <c r="AZ81" s="17"/>
      <c r="BA81" s="17"/>
      <c r="BB81" s="17"/>
      <c r="BC81" s="17"/>
      <c r="BD81" s="17"/>
      <c r="BE81" s="17"/>
      <c r="BF81" s="17"/>
      <c r="BG81" s="17"/>
      <c r="BH81" s="17"/>
      <c r="BI81" s="17"/>
      <c r="BJ81" s="17"/>
      <c r="BK81" s="17"/>
      <c r="BL81" s="17"/>
      <c r="BM81" s="17"/>
      <c r="BN81" s="17"/>
      <c r="BO81" s="17"/>
      <c r="BP81" s="17"/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8"/>
    </row>
    <row r="82" spans="1:96" s="12" customFormat="1" ht="15" customHeight="1">
      <c r="A82" s="19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  <c r="AY82" s="17"/>
      <c r="AZ82" s="17"/>
      <c r="BA82" s="17"/>
      <c r="BB82" s="17"/>
      <c r="BC82" s="17"/>
      <c r="BD82" s="17"/>
      <c r="BE82" s="17"/>
      <c r="BF82" s="17"/>
      <c r="BG82" s="17"/>
      <c r="BH82" s="17"/>
      <c r="BI82" s="17"/>
      <c r="BJ82" s="17"/>
      <c r="BK82" s="17"/>
      <c r="BL82" s="17"/>
      <c r="BM82" s="17"/>
      <c r="BN82" s="17"/>
      <c r="BO82" s="17"/>
      <c r="BP82" s="17"/>
      <c r="BQ82" s="17"/>
      <c r="BR82" s="17"/>
      <c r="BS82" s="17"/>
      <c r="BT82" s="17"/>
      <c r="BU82" s="17"/>
      <c r="BV82" s="17"/>
      <c r="BW82" s="17"/>
      <c r="BX82" s="17"/>
      <c r="BY82" s="17"/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8"/>
    </row>
    <row r="83" spans="1:96" s="12" customFormat="1" ht="15" customHeight="1">
      <c r="A83" s="19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17"/>
      <c r="BA83" s="17"/>
      <c r="BB83" s="17"/>
      <c r="BC83" s="17"/>
      <c r="BD83" s="17"/>
      <c r="BE83" s="17"/>
      <c r="BF83" s="17"/>
      <c r="BG83" s="17"/>
      <c r="BH83" s="17"/>
      <c r="BI83" s="17"/>
      <c r="BJ83" s="17"/>
      <c r="BK83" s="17"/>
      <c r="BL83" s="17"/>
      <c r="BM83" s="17"/>
      <c r="BN83" s="17"/>
      <c r="BO83" s="17"/>
      <c r="BP83" s="17"/>
      <c r="BQ83" s="17"/>
      <c r="BR83" s="17"/>
      <c r="BS83" s="17"/>
      <c r="BT83" s="17"/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8"/>
    </row>
    <row r="84" spans="1:96" s="12" customFormat="1" ht="15" customHeight="1">
      <c r="A84" s="19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  <c r="AY84" s="17"/>
      <c r="AZ84" s="17"/>
      <c r="BA84" s="17"/>
      <c r="BB84" s="17"/>
      <c r="BC84" s="17"/>
      <c r="BD84" s="17"/>
      <c r="BE84" s="17"/>
      <c r="BF84" s="17"/>
      <c r="BG84" s="17"/>
      <c r="BH84" s="17"/>
      <c r="BI84" s="17"/>
      <c r="BJ84" s="17"/>
      <c r="BK84" s="17"/>
      <c r="BL84" s="17"/>
      <c r="BM84" s="17"/>
      <c r="BN84" s="17"/>
      <c r="BO84" s="17"/>
      <c r="BP84" s="17"/>
      <c r="BQ84" s="17"/>
      <c r="BR84" s="17"/>
      <c r="BS84" s="17"/>
      <c r="BT84" s="17"/>
      <c r="BU84" s="17"/>
      <c r="BV84" s="17"/>
      <c r="BW84" s="17"/>
      <c r="BX84" s="17"/>
      <c r="BY84" s="17"/>
      <c r="BZ84" s="17"/>
      <c r="CA84" s="17"/>
      <c r="CB84" s="17"/>
      <c r="CC84" s="17"/>
      <c r="CD84" s="17"/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7"/>
      <c r="CP84" s="17"/>
      <c r="CQ84" s="17"/>
      <c r="CR84" s="18"/>
    </row>
    <row r="85" spans="1:96" s="12" customFormat="1" ht="15" customHeight="1">
      <c r="A85" s="19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  <c r="AY85" s="17"/>
      <c r="AZ85" s="17"/>
      <c r="BA85" s="17"/>
      <c r="BB85" s="17"/>
      <c r="BC85" s="17"/>
      <c r="BD85" s="17"/>
      <c r="BE85" s="17"/>
      <c r="BF85" s="17"/>
      <c r="BG85" s="17"/>
      <c r="BH85" s="17"/>
      <c r="BI85" s="17"/>
      <c r="BJ85" s="17"/>
      <c r="BK85" s="17"/>
      <c r="BL85" s="17"/>
      <c r="BM85" s="17"/>
      <c r="BN85" s="17"/>
      <c r="BO85" s="17"/>
      <c r="BP85" s="17"/>
      <c r="BQ85" s="17"/>
      <c r="BR85" s="17"/>
      <c r="BS85" s="17"/>
      <c r="BT85" s="17"/>
      <c r="BU85" s="17"/>
      <c r="BV85" s="17"/>
      <c r="BW85" s="17"/>
      <c r="BX85" s="17"/>
      <c r="BY85" s="17"/>
      <c r="BZ85" s="17"/>
      <c r="CA85" s="17"/>
      <c r="CB85" s="17"/>
      <c r="CC85" s="17"/>
      <c r="CD85" s="17"/>
      <c r="CE85" s="17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18"/>
    </row>
    <row r="86" spans="1:96" s="12" customFormat="1" ht="15" customHeight="1">
      <c r="A86" s="19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7"/>
      <c r="AN86" s="17"/>
      <c r="AO86" s="17"/>
      <c r="AP86" s="17"/>
      <c r="AQ86" s="17"/>
      <c r="AR86" s="17"/>
      <c r="AS86" s="17"/>
      <c r="AT86" s="17"/>
      <c r="AU86" s="17"/>
      <c r="AV86" s="17"/>
      <c r="AW86" s="17"/>
      <c r="AX86" s="17"/>
      <c r="AY86" s="17"/>
      <c r="AZ86" s="17"/>
      <c r="BA86" s="17"/>
      <c r="BB86" s="17"/>
      <c r="BC86" s="17"/>
      <c r="BD86" s="17"/>
      <c r="BE86" s="17"/>
      <c r="BF86" s="17"/>
      <c r="BG86" s="17"/>
      <c r="BH86" s="17"/>
      <c r="BI86" s="17"/>
      <c r="BJ86" s="17"/>
      <c r="BK86" s="17"/>
      <c r="BL86" s="17"/>
      <c r="BM86" s="17"/>
      <c r="BN86" s="17"/>
      <c r="BO86" s="17"/>
      <c r="BP86" s="17"/>
      <c r="BQ86" s="17"/>
      <c r="BR86" s="17"/>
      <c r="BS86" s="17"/>
      <c r="BT86" s="17"/>
      <c r="BU86" s="17"/>
      <c r="BV86" s="17"/>
      <c r="BW86" s="17"/>
      <c r="BX86" s="17"/>
      <c r="BY86" s="17"/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8"/>
    </row>
    <row r="87" spans="1:96" s="12" customFormat="1" ht="15" customHeight="1">
      <c r="A87" s="19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  <c r="BA87" s="17"/>
      <c r="BB87" s="17"/>
      <c r="BC87" s="17"/>
      <c r="BD87" s="17"/>
      <c r="BE87" s="17"/>
      <c r="BF87" s="17"/>
      <c r="BG87" s="17"/>
      <c r="BH87" s="17"/>
      <c r="BI87" s="17"/>
      <c r="BJ87" s="17"/>
      <c r="BK87" s="17"/>
      <c r="BL87" s="17"/>
      <c r="BM87" s="17"/>
      <c r="BN87" s="17"/>
      <c r="BO87" s="17"/>
      <c r="BP87" s="17"/>
      <c r="BQ87" s="17"/>
      <c r="BR87" s="17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8"/>
    </row>
    <row r="88" spans="1:96" s="12" customFormat="1" ht="15" customHeight="1">
      <c r="A88" s="19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/>
      <c r="AO88" s="17"/>
      <c r="AP88" s="17"/>
      <c r="AQ88" s="17"/>
      <c r="AR88" s="17"/>
      <c r="AS88" s="17"/>
      <c r="AT88" s="17"/>
      <c r="AU88" s="17"/>
      <c r="AV88" s="17"/>
      <c r="AW88" s="17"/>
      <c r="AX88" s="17"/>
      <c r="AY88" s="17"/>
      <c r="AZ88" s="17"/>
      <c r="BA88" s="17"/>
      <c r="BB88" s="17"/>
      <c r="BC88" s="17"/>
      <c r="BD88" s="17"/>
      <c r="BE88" s="17"/>
      <c r="BF88" s="17"/>
      <c r="BG88" s="17"/>
      <c r="BH88" s="17"/>
      <c r="BI88" s="17"/>
      <c r="BJ88" s="17"/>
      <c r="BK88" s="17"/>
      <c r="BL88" s="17"/>
      <c r="BM88" s="17"/>
      <c r="BN88" s="17"/>
      <c r="BO88" s="17"/>
      <c r="BP88" s="17"/>
      <c r="BQ88" s="17"/>
      <c r="BR88" s="17"/>
      <c r="BS88" s="17"/>
      <c r="BT88" s="17"/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8"/>
    </row>
    <row r="89" spans="1:96" s="12" customFormat="1" ht="15" customHeight="1">
      <c r="A89" s="19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/>
      <c r="AO89" s="17"/>
      <c r="AP89" s="17"/>
      <c r="AQ89" s="17"/>
      <c r="AR89" s="17"/>
      <c r="AS89" s="17"/>
      <c r="AT89" s="17"/>
      <c r="AU89" s="17"/>
      <c r="AV89" s="17"/>
      <c r="AW89" s="17"/>
      <c r="AX89" s="17"/>
      <c r="AY89" s="17"/>
      <c r="AZ89" s="17"/>
      <c r="BA89" s="17"/>
      <c r="BB89" s="17"/>
      <c r="BC89" s="17"/>
      <c r="BD89" s="17"/>
      <c r="BE89" s="17"/>
      <c r="BF89" s="17"/>
      <c r="BG89" s="17"/>
      <c r="BH89" s="17"/>
      <c r="BI89" s="17"/>
      <c r="BJ89" s="17"/>
      <c r="BK89" s="17"/>
      <c r="BL89" s="17"/>
      <c r="BM89" s="17"/>
      <c r="BN89" s="17"/>
      <c r="BO89" s="17"/>
      <c r="BP89" s="17"/>
      <c r="BQ89" s="17"/>
      <c r="BR89" s="17"/>
      <c r="BS89" s="17"/>
      <c r="BT89" s="17"/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8"/>
    </row>
    <row r="90" spans="1:96" s="12" customFormat="1" ht="15" customHeight="1" thickBot="1">
      <c r="A90" s="20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1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21"/>
      <c r="BG90" s="21"/>
      <c r="BH90" s="21"/>
      <c r="BI90" s="21"/>
      <c r="BJ90" s="21"/>
      <c r="BK90" s="22"/>
      <c r="BL90" s="22"/>
      <c r="BM90" s="23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1"/>
      <c r="BY90" s="21"/>
      <c r="BZ90" s="21"/>
      <c r="CA90" s="21"/>
      <c r="CB90" s="21"/>
      <c r="CC90" s="21"/>
      <c r="CD90" s="21"/>
      <c r="CE90" s="21"/>
      <c r="CF90" s="21"/>
      <c r="CG90" s="21"/>
      <c r="CH90" s="21"/>
      <c r="CI90" s="21"/>
      <c r="CJ90" s="21"/>
      <c r="CK90" s="21"/>
      <c r="CL90" s="21"/>
      <c r="CM90" s="21"/>
      <c r="CN90" s="21"/>
      <c r="CO90" s="21"/>
      <c r="CP90" s="21"/>
      <c r="CQ90" s="21"/>
      <c r="CR90" s="24"/>
    </row>
  </sheetData>
  <mergeCells count="68">
    <mergeCell ref="D37:AX38"/>
    <mergeCell ref="AY19:CL19"/>
    <mergeCell ref="AY20:CL20"/>
    <mergeCell ref="AY21:CL24"/>
    <mergeCell ref="AY25:CL25"/>
    <mergeCell ref="AY26:CL26"/>
    <mergeCell ref="AY27:CL30"/>
    <mergeCell ref="AI27:AX30"/>
    <mergeCell ref="D33:O33"/>
    <mergeCell ref="D34:O34"/>
    <mergeCell ref="AI33:AX33"/>
    <mergeCell ref="AI34:AX34"/>
    <mergeCell ref="P33:AH33"/>
    <mergeCell ref="P34:AH34"/>
    <mergeCell ref="AI21:AX24"/>
    <mergeCell ref="AT9:CL9"/>
    <mergeCell ref="AT10:CL12"/>
    <mergeCell ref="AT13:CL14"/>
    <mergeCell ref="P9:AS9"/>
    <mergeCell ref="P10:AS12"/>
    <mergeCell ref="AI26:AX26"/>
    <mergeCell ref="AI19:AX19"/>
    <mergeCell ref="AI20:AX20"/>
    <mergeCell ref="AI25:AX25"/>
    <mergeCell ref="D20:O20"/>
    <mergeCell ref="D25:O25"/>
    <mergeCell ref="D26:O26"/>
    <mergeCell ref="D21:O24"/>
    <mergeCell ref="P21:AH24"/>
    <mergeCell ref="D27:O30"/>
    <mergeCell ref="P27:AH30"/>
    <mergeCell ref="D19:O19"/>
    <mergeCell ref="P19:AH19"/>
    <mergeCell ref="P20:AH20"/>
    <mergeCell ref="P25:AH25"/>
    <mergeCell ref="P26:AH26"/>
    <mergeCell ref="D9:O9"/>
    <mergeCell ref="D10:O12"/>
    <mergeCell ref="D13:O14"/>
    <mergeCell ref="P13:AS14"/>
    <mergeCell ref="BT4:CR4"/>
    <mergeCell ref="A5:CR5"/>
    <mergeCell ref="A3:H3"/>
    <mergeCell ref="I3:AD3"/>
    <mergeCell ref="AL3:BH3"/>
    <mergeCell ref="BI3:BL3"/>
    <mergeCell ref="BM3:CE3"/>
    <mergeCell ref="A4:H4"/>
    <mergeCell ref="I4:AK4"/>
    <mergeCell ref="AL4:AR4"/>
    <mergeCell ref="AS4:BH4"/>
    <mergeCell ref="BI4:BS4"/>
    <mergeCell ref="BW1:CE1"/>
    <mergeCell ref="CF1:CJ3"/>
    <mergeCell ref="CK1:CR3"/>
    <mergeCell ref="A2:H2"/>
    <mergeCell ref="I2:AD2"/>
    <mergeCell ref="AE2:AK3"/>
    <mergeCell ref="AL2:BH2"/>
    <mergeCell ref="BI2:BL2"/>
    <mergeCell ref="BM2:BV2"/>
    <mergeCell ref="BW2:CE2"/>
    <mergeCell ref="A1:H1"/>
    <mergeCell ref="I1:AD1"/>
    <mergeCell ref="AE1:AK1"/>
    <mergeCell ref="AL1:BH1"/>
    <mergeCell ref="BI1:BL1"/>
    <mergeCell ref="BM1:BV1"/>
  </mergeCells>
  <phoneticPr fontId="2"/>
  <pageMargins left="0.39370078740157483" right="0.16" top="0.78740157480314965" bottom="0.39370078740157483" header="0.59055118110236227" footer="0.19685039370078741"/>
  <pageSetup paperSize="9" scale="80" firstPageNumber="4" orientation="landscape" r:id="rId1"/>
  <headerFooter alignWithMargins="0">
    <oddFooter>&amp;C&amp;P　/　&amp;N&amp;R株式会社　京信システムサービス</oddFoot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4</vt:i4>
      </vt:variant>
    </vt:vector>
  </HeadingPairs>
  <TitlesOfParts>
    <vt:vector size="8" baseType="lpstr">
      <vt:lpstr>タイトル</vt:lpstr>
      <vt:lpstr>改訂履歴</vt:lpstr>
      <vt:lpstr>機能概要</vt:lpstr>
      <vt:lpstr>メールヘッダ</vt:lpstr>
      <vt:lpstr>タイトル!Print_Area</vt:lpstr>
      <vt:lpstr>メールヘッダ!Print_Titles</vt:lpstr>
      <vt:lpstr>改訂履歴!Print_Titles</vt:lpstr>
      <vt:lpstr>機能概要!Print_Titles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川勝　恭子</dc:creator>
  <cp:lastModifiedBy>大久保　梓沙</cp:lastModifiedBy>
  <cp:lastPrinted>2024-03-14T04:33:17Z</cp:lastPrinted>
  <dcterms:created xsi:type="dcterms:W3CDTF">2006-03-07T04:00:40Z</dcterms:created>
  <dcterms:modified xsi:type="dcterms:W3CDTF">2024-03-14T05:26:44Z</dcterms:modified>
</cp:coreProperties>
</file>
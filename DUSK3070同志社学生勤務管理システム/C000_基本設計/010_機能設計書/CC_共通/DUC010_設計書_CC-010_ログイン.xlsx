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C000_基本設計\010_機能設計書\CC_共通\"/>
    </mc:Choice>
  </mc:AlternateContent>
  <xr:revisionPtr revIDLastSave="0" documentId="13_ncr:1_{A0A10306-FB75-4C92-8065-032F25CA142C}" xr6:coauthVersionLast="47" xr6:coauthVersionMax="47" xr10:uidLastSave="{00000000-0000-0000-0000-000000000000}"/>
  <bookViews>
    <workbookView xWindow="-120" yWindow="-120" windowWidth="29040" windowHeight="15840" tabRatio="584" xr2:uid="{00000000-000D-0000-FFFF-FFFF00000000}"/>
  </bookViews>
  <sheets>
    <sheet name="タイトル" sheetId="266" r:id="rId1"/>
    <sheet name="改訂履歴" sheetId="6" r:id="rId2"/>
    <sheet name="機能概要・画面遷移図" sheetId="270" r:id="rId3"/>
    <sheet name="ログイン" sheetId="271" r:id="rId4"/>
  </sheets>
  <definedNames>
    <definedName name="_Toc94971774" localSheetId="2">機能概要・画面遷移図!#REF!</definedName>
    <definedName name="_Toc94971775" localSheetId="2">機能概要・画面遷移図!#REF!</definedName>
    <definedName name="_xlnm.Print_Area" localSheetId="0">タイトル!$A$1:$AC$36</definedName>
    <definedName name="_xlnm.Print_Titles" localSheetId="3">ログイン!$1:$4</definedName>
    <definedName name="_xlnm.Print_Titles" localSheetId="1">改訂履歴!$1:$4</definedName>
    <definedName name="_xlnm.Print_Titles" localSheetId="2">機能概要・画面遷移図!$1:$4</definedName>
  </definedNames>
  <calcPr calcId="191029"/>
</workbook>
</file>

<file path=xl/calcChain.xml><?xml version="1.0" encoding="utf-8"?>
<calcChain xmlns="http://schemas.openxmlformats.org/spreadsheetml/2006/main">
  <c r="CK1" i="271" l="1"/>
  <c r="CK1" i="270"/>
  <c r="I1" i="271"/>
  <c r="I4" i="271"/>
  <c r="AL2" i="271"/>
  <c r="BW1" i="271"/>
  <c r="BM1" i="271"/>
  <c r="I51" i="266" l="1"/>
  <c r="AS4" i="270" l="1"/>
  <c r="I4" i="270"/>
  <c r="J5" i="6" l="1"/>
  <c r="I49" i="266" s="1"/>
  <c r="AL2" i="270" l="1"/>
  <c r="I2" i="270"/>
  <c r="BW1" i="270"/>
  <c r="BM1" i="270"/>
  <c r="AL1" i="270"/>
  <c r="I1" i="270"/>
  <c r="G11" i="266" l="1"/>
  <c r="G14" i="266"/>
  <c r="G17" i="266"/>
  <c r="G20" i="266"/>
  <c r="J27" i="266"/>
  <c r="J29" i="2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H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7EBBCFC8-3EE0-4683-A9CD-235C05BFA8D8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<sst xmlns="http://schemas.openxmlformats.org/spreadsheetml/2006/main" count="170" uniqueCount="137">
  <si>
    <t>工　　　　程</t>
    <rPh sb="0" eb="1">
      <t>コウ</t>
    </rPh>
    <rPh sb="5" eb="6">
      <t>ホド</t>
    </rPh>
    <phoneticPr fontId="2"/>
  </si>
  <si>
    <t>システム名</t>
    <rPh sb="4" eb="5">
      <t>メイ</t>
    </rPh>
    <phoneticPr fontId="2"/>
  </si>
  <si>
    <t>改訂履歴</t>
    <rPh sb="0" eb="2">
      <t>カイテイ</t>
    </rPh>
    <rPh sb="2" eb="4">
      <t>リレキ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</si>
  <si>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</si>
  <si>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</si>
  <si>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</si>
  <si>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</si>
  <si>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</si>
  <si>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</si>
  <si>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</si>
  <si>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</si>
  <si>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新規</t>
    <rPh sb="0" eb="2">
      <t>シンキ</t>
    </rPh>
    <phoneticPr fontId="2"/>
  </si>
  <si>
    <t>作　成</t>
    <rPh sb="0" eb="1">
      <t>サク</t>
    </rPh>
    <rPh sb="2" eb="3">
      <t>シゲル</t>
    </rPh>
    <phoneticPr fontId="2"/>
  </si>
  <si>
    <t>管理記号</t>
    <rPh sb="0" eb="2">
      <t>カンリ</t>
    </rPh>
    <rPh sb="2" eb="4">
      <t>キゴウ</t>
    </rPh>
    <phoneticPr fontId="2"/>
  </si>
  <si>
    <t>サブシステム名</t>
    <rPh sb="6" eb="7">
      <t>メイ</t>
    </rPh>
    <phoneticPr fontId="2"/>
  </si>
  <si>
    <t>改　訂</t>
    <rPh sb="0" eb="1">
      <t>アラタ</t>
    </rPh>
    <rPh sb="2" eb="3">
      <t>テイ</t>
    </rPh>
    <phoneticPr fontId="2"/>
  </si>
  <si>
    <t>No</t>
    <phoneticPr fontId="2"/>
  </si>
  <si>
    <t>Ver</t>
    <phoneticPr fontId="2"/>
  </si>
  <si>
    <t>新規作成</t>
    <rPh sb="0" eb="2">
      <t>シンキ</t>
    </rPh>
    <rPh sb="2" eb="4">
      <t>サクセイ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</si>
  <si>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</si>
  <si>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タイトル項目</t>
    <rPh sb="4" eb="6">
      <t>コウモク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</si>
  <si>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</si>
  <si>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</si>
  <si>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</si>
  <si>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</si>
  <si>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</si>
  <si>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</si>
  <si>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</si>
  <si>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</si>
  <si>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</si>
  <si>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</si>
  <si>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</si>
  <si>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ドキュメント</t>
    <phoneticPr fontId="2"/>
  </si>
  <si>
    <t xml:space="preserve">　 </t>
    <phoneticPr fontId="2"/>
  </si>
  <si>
    <t>　⑩Ｖｅｒ</t>
    <phoneticPr fontId="2"/>
  </si>
  <si>
    <t>　利用想定ユーザー</t>
    <rPh sb="1" eb="3">
      <t>リヨウ</t>
    </rPh>
    <rPh sb="3" eb="5">
      <t>ソウテイ</t>
    </rPh>
    <phoneticPr fontId="2"/>
  </si>
  <si>
    <t>　機能名称</t>
    <rPh sb="1" eb="3">
      <t>キノウ</t>
    </rPh>
    <rPh sb="3" eb="5">
      <t>メイショウ</t>
    </rPh>
    <phoneticPr fontId="2"/>
  </si>
  <si>
    <t>　機能ＩＤ</t>
    <rPh sb="1" eb="3">
      <t>キノウ</t>
    </rPh>
    <phoneticPr fontId="2"/>
  </si>
  <si>
    <t>　機能設計</t>
    <rPh sb="1" eb="3">
      <t>キノウ</t>
    </rPh>
    <rPh sb="3" eb="5">
      <t>セッケイ</t>
    </rPh>
    <phoneticPr fontId="2"/>
  </si>
  <si>
    <t>機　　能　　概　　要</t>
    <rPh sb="0" eb="1">
      <t>キ</t>
    </rPh>
    <rPh sb="3" eb="4">
      <t>ノウ</t>
    </rPh>
    <rPh sb="6" eb="7">
      <t>オオムネ</t>
    </rPh>
    <rPh sb="9" eb="10">
      <t>ヨウ</t>
    </rPh>
    <phoneticPr fontId="2"/>
  </si>
  <si>
    <t>画　　面　　遷　　移　　図</t>
    <rPh sb="0" eb="1">
      <t>ガ</t>
    </rPh>
    <rPh sb="3" eb="4">
      <t>メン</t>
    </rPh>
    <rPh sb="6" eb="7">
      <t>セン</t>
    </rPh>
    <rPh sb="9" eb="10">
      <t>ウツ</t>
    </rPh>
    <rPh sb="12" eb="13">
      <t>ズ</t>
    </rPh>
    <phoneticPr fontId="2"/>
  </si>
  <si>
    <t>　共通機能</t>
    <rPh sb="1" eb="3">
      <t>キョウツウ</t>
    </rPh>
    <rPh sb="3" eb="5">
      <t>キノウ</t>
    </rPh>
    <phoneticPr fontId="2"/>
  </si>
  <si>
    <t>DUC010</t>
    <phoneticPr fontId="2"/>
  </si>
  <si>
    <t>　学生勤務管理システム</t>
    <rPh sb="1" eb="3">
      <t>ガクセイ</t>
    </rPh>
    <rPh sb="3" eb="5">
      <t>キンム</t>
    </rPh>
    <rPh sb="5" eb="7">
      <t>カンリ</t>
    </rPh>
    <phoneticPr fontId="2"/>
  </si>
  <si>
    <t>木田　優</t>
    <rPh sb="0" eb="2">
      <t>キダ</t>
    </rPh>
    <rPh sb="3" eb="4">
      <t>マサル</t>
    </rPh>
    <phoneticPr fontId="2"/>
  </si>
  <si>
    <t>木田　優</t>
    <rPh sb="0" eb="2">
      <t>キダ</t>
    </rPh>
    <rPh sb="3" eb="4">
      <t>マサル</t>
    </rPh>
    <phoneticPr fontId="2"/>
  </si>
  <si>
    <t>　全ユーザー</t>
    <rPh sb="1" eb="2">
      <t>ゼン</t>
    </rPh>
    <phoneticPr fontId="10"/>
  </si>
  <si>
    <t>機能</t>
    <rPh sb="0" eb="2">
      <t>キノウ</t>
    </rPh>
    <phoneticPr fontId="2"/>
  </si>
  <si>
    <t>　機能設計</t>
  </si>
  <si>
    <t>　共通機能</t>
  </si>
  <si>
    <t>　画面名称</t>
    <rPh sb="1" eb="3">
      <t>ガメン</t>
    </rPh>
    <rPh sb="3" eb="5">
      <t>メイショウ</t>
    </rPh>
    <phoneticPr fontId="2"/>
  </si>
  <si>
    <t>　画面ＩＤ</t>
    <rPh sb="1" eb="3">
      <t>ガメン</t>
    </rPh>
    <phoneticPr fontId="2"/>
  </si>
  <si>
    <t>画面レイアウト</t>
    <rPh sb="0" eb="2">
      <t>ガメン</t>
    </rPh>
    <phoneticPr fontId="2"/>
  </si>
  <si>
    <t>機能概要</t>
    <rPh sb="0" eb="2">
      <t>キノウ</t>
    </rPh>
    <rPh sb="2" eb="4">
      <t>ガイヨウ</t>
    </rPh>
    <phoneticPr fontId="2"/>
  </si>
  <si>
    <t>・</t>
    <phoneticPr fontId="10"/>
  </si>
  <si>
    <t>画面説明　（処理内容・アクション等）</t>
    <rPh sb="0" eb="2">
      <t>ガメン</t>
    </rPh>
    <rPh sb="2" eb="4">
      <t>セツメイ</t>
    </rPh>
    <rPh sb="6" eb="8">
      <t>ショリ</t>
    </rPh>
    <rPh sb="8" eb="10">
      <t>ナイヨウ</t>
    </rPh>
    <rPh sb="16" eb="17">
      <t>トウ</t>
    </rPh>
    <phoneticPr fontId="2"/>
  </si>
  <si>
    <t>リストボックス</t>
    <phoneticPr fontId="2"/>
  </si>
  <si>
    <t>権限による画面制御</t>
    <rPh sb="0" eb="2">
      <t>ケンゲン</t>
    </rPh>
    <rPh sb="5" eb="7">
      <t>ガメン</t>
    </rPh>
    <rPh sb="7" eb="9">
      <t>セイギョ</t>
    </rPh>
    <phoneticPr fontId="10"/>
  </si>
  <si>
    <t>項目名</t>
    <rPh sb="0" eb="2">
      <t>コウモク</t>
    </rPh>
    <rPh sb="2" eb="3">
      <t>メイ</t>
    </rPh>
    <phoneticPr fontId="2"/>
  </si>
  <si>
    <t>内容</t>
    <rPh sb="0" eb="2">
      <t>ナイヨウ</t>
    </rPh>
    <phoneticPr fontId="10"/>
  </si>
  <si>
    <t>並び順</t>
    <rPh sb="0" eb="1">
      <t>ナラ</t>
    </rPh>
    <rPh sb="2" eb="3">
      <t>ジュン</t>
    </rPh>
    <phoneticPr fontId="10"/>
  </si>
  <si>
    <t>一覧の並び順</t>
    <rPh sb="0" eb="2">
      <t>イチラン</t>
    </rPh>
    <rPh sb="3" eb="4">
      <t>ナラ</t>
    </rPh>
    <rPh sb="5" eb="6">
      <t>ジュン</t>
    </rPh>
    <phoneticPr fontId="2"/>
  </si>
  <si>
    <t>画　面　補　足　説　明</t>
    <rPh sb="0" eb="1">
      <t>ガ</t>
    </rPh>
    <rPh sb="2" eb="3">
      <t>メン</t>
    </rPh>
    <rPh sb="4" eb="5">
      <t>タスク</t>
    </rPh>
    <rPh sb="6" eb="7">
      <t>アシ</t>
    </rPh>
    <rPh sb="8" eb="9">
      <t>セツ</t>
    </rPh>
    <rPh sb="10" eb="11">
      <t>メイ</t>
    </rPh>
    <phoneticPr fontId="2"/>
  </si>
  <si>
    <t>認証がエラーの場合、エラーメッセージが表示される。</t>
    <rPh sb="19" eb="21">
      <t>ヒョウジ</t>
    </rPh>
    <phoneticPr fontId="10"/>
  </si>
  <si>
    <t>　CC-010_ログイン</t>
    <phoneticPr fontId="2"/>
  </si>
  <si>
    <t>（CC-020-01G）</t>
    <phoneticPr fontId="2"/>
  </si>
  <si>
    <t>○ホーム画面（学生）</t>
    <rPh sb="4" eb="6">
      <t>ガメン</t>
    </rPh>
    <rPh sb="7" eb="9">
      <t>ガクセイ</t>
    </rPh>
    <phoneticPr fontId="2"/>
  </si>
  <si>
    <t>○ホーム画面（管理者）</t>
    <rPh sb="4" eb="6">
      <t>ガメン</t>
    </rPh>
    <rPh sb="7" eb="10">
      <t>カンリシャ</t>
    </rPh>
    <phoneticPr fontId="2"/>
  </si>
  <si>
    <t>なし</t>
    <phoneticPr fontId="11"/>
  </si>
  <si>
    <t>[ログインID]</t>
    <phoneticPr fontId="11"/>
  </si>
  <si>
    <t>1（学生）の場合</t>
    <rPh sb="2" eb="4">
      <t>ガクセイ</t>
    </rPh>
    <rPh sb="6" eb="8">
      <t>バアイ</t>
    </rPh>
    <phoneticPr fontId="11"/>
  </si>
  <si>
    <t>○ホーム画面（担当者）</t>
    <rPh sb="4" eb="6">
      <t>ガメン</t>
    </rPh>
    <rPh sb="7" eb="10">
      <t>タントウシャ</t>
    </rPh>
    <phoneticPr fontId="2"/>
  </si>
  <si>
    <t>〇SSO認証</t>
    <rPh sb="4" eb="6">
      <t>ニンショウ</t>
    </rPh>
    <phoneticPr fontId="2"/>
  </si>
  <si>
    <t>・</t>
    <phoneticPr fontId="2"/>
  </si>
  <si>
    <t>変更</t>
    <rPh sb="0" eb="2">
      <t>ヘンコウ</t>
    </rPh>
    <phoneticPr fontId="2"/>
  </si>
  <si>
    <t>ログイン処理で各ホーム画面を表示する条件の変更</t>
    <rPh sb="4" eb="6">
      <t>ショリ</t>
    </rPh>
    <rPh sb="7" eb="8">
      <t>カク</t>
    </rPh>
    <rPh sb="11" eb="13">
      <t>ガメン</t>
    </rPh>
    <rPh sb="14" eb="16">
      <t>ヒョウジ</t>
    </rPh>
    <rPh sb="18" eb="20">
      <t>ジョウケン</t>
    </rPh>
    <rPh sb="21" eb="23">
      <t>ヘンコウ</t>
    </rPh>
    <phoneticPr fontId="2"/>
  </si>
  <si>
    <t>3（担当者）の場合</t>
    <rPh sb="2" eb="5">
      <t>タントウシャ</t>
    </rPh>
    <rPh sb="7" eb="9">
      <t>バアイ</t>
    </rPh>
    <phoneticPr fontId="11"/>
  </si>
  <si>
    <t>4（管理者の場合</t>
    <rPh sb="2" eb="5">
      <t>カンリシャ</t>
    </rPh>
    <rPh sb="6" eb="8">
      <t>バアイ</t>
    </rPh>
    <phoneticPr fontId="11"/>
  </si>
  <si>
    <t>2（教員）の場合</t>
    <rPh sb="2" eb="4">
      <t>キョウイン</t>
    </rPh>
    <rPh sb="6" eb="8">
      <t>バアイ</t>
    </rPh>
    <phoneticPr fontId="11"/>
  </si>
  <si>
    <t>○ホーム画面（教員）</t>
    <rPh sb="4" eb="6">
      <t>ガメン</t>
    </rPh>
    <rPh sb="7" eb="9">
      <t>キョウイン</t>
    </rPh>
    <phoneticPr fontId="2"/>
  </si>
  <si>
    <t>承認者を教員に変更</t>
    <rPh sb="0" eb="3">
      <t>ショウニンシャ</t>
    </rPh>
    <rPh sb="4" eb="6">
      <t>キョウイン</t>
    </rPh>
    <rPh sb="7" eb="9">
      <t>ヘンコウ</t>
    </rPh>
    <phoneticPr fontId="2"/>
  </si>
  <si>
    <t>木田　優</t>
    <phoneticPr fontId="11"/>
  </si>
  <si>
    <t>機能概要・画面遷移図</t>
    <phoneticPr fontId="2"/>
  </si>
  <si>
    <t>〇学生、教員</t>
    <rPh sb="1" eb="3">
      <t>ガクセイ</t>
    </rPh>
    <rPh sb="4" eb="6">
      <t>キョウイン</t>
    </rPh>
    <phoneticPr fontId="11"/>
  </si>
  <si>
    <t>〇職員</t>
    <rPh sb="1" eb="3">
      <t>ショクイン</t>
    </rPh>
    <phoneticPr fontId="11"/>
  </si>
  <si>
    <t>社員マスタの</t>
    <rPh sb="0" eb="2">
      <t>シャイン</t>
    </rPh>
    <phoneticPr fontId="11"/>
  </si>
  <si>
    <t>ユーザ区分が</t>
    <phoneticPr fontId="11"/>
  </si>
  <si>
    <t>ログイン</t>
    <phoneticPr fontId="2"/>
  </si>
  <si>
    <t>木田　優</t>
    <phoneticPr fontId="2"/>
  </si>
  <si>
    <t>ALBを使用したAWS環境のイメージに変更</t>
    <rPh sb="4" eb="6">
      <t>シヨウ</t>
    </rPh>
    <rPh sb="11" eb="13">
      <t>カンキョウ</t>
    </rPh>
    <rPh sb="19" eb="21">
      <t>ヘンコウ</t>
    </rPh>
    <phoneticPr fontId="2"/>
  </si>
  <si>
    <t>POSTデータのログインIDと【社員マスタのログインID】が一致しない場合は、認証失敗とする。</t>
    <rPh sb="16" eb="18">
      <t>シャイン</t>
    </rPh>
    <rPh sb="30" eb="32">
      <t>イッチ</t>
    </rPh>
    <rPh sb="35" eb="37">
      <t>バアイ</t>
    </rPh>
    <rPh sb="39" eb="41">
      <t>ニンショウ</t>
    </rPh>
    <rPh sb="41" eb="43">
      <t>シッパイ</t>
    </rPh>
    <phoneticPr fontId="2"/>
  </si>
  <si>
    <t>アカウントロックの仕様を追記</t>
    <rPh sb="9" eb="11">
      <t>シヨウ</t>
    </rPh>
    <rPh sb="12" eb="14">
      <t>ツイキ</t>
    </rPh>
    <phoneticPr fontId="2"/>
  </si>
  <si>
    <t>ログイン画面はなし</t>
    <rPh sb="4" eb="6">
      <t>ガメン</t>
    </rPh>
    <phoneticPr fontId="2"/>
  </si>
  <si>
    <t>ローカルログイン機能の廃止に伴う改修</t>
    <rPh sb="8" eb="10">
      <t>キノウ</t>
    </rPh>
    <rPh sb="11" eb="13">
      <t>ハイシ</t>
    </rPh>
    <rPh sb="14" eb="15">
      <t>トモナ</t>
    </rPh>
    <rPh sb="16" eb="18">
      <t>カイシュウ</t>
    </rPh>
    <phoneticPr fontId="2"/>
  </si>
  <si>
    <t>ＳＳＯ認証のログイン処理を行う。</t>
    <rPh sb="3" eb="5">
      <t>ニンショウ</t>
    </rPh>
    <rPh sb="10" eb="12">
      <t>ショリ</t>
    </rPh>
    <rPh sb="13" eb="14">
      <t>オコナ</t>
    </rPh>
    <phoneticPr fontId="2"/>
  </si>
  <si>
    <t>PostされるユーザIDと社員マスタのユーザIDが一致していれば</t>
    <rPh sb="13" eb="15">
      <t>シャイン</t>
    </rPh>
    <rPh sb="25" eb="27">
      <t>イッチ</t>
    </rPh>
    <phoneticPr fontId="10"/>
  </si>
  <si>
    <t>認証成功とし、学生勤務管理システムのホーム画面が表示される。</t>
    <rPh sb="2" eb="4">
      <t>セイコウ</t>
    </rPh>
    <rPh sb="7" eb="9">
      <t>ガクセイ</t>
    </rPh>
    <rPh sb="9" eb="13">
      <t>キンムカンリ</t>
    </rPh>
    <rPh sb="21" eb="23">
      <t>ガメン</t>
    </rPh>
    <rPh sb="24" eb="26">
      <t>ヒョウジ</t>
    </rPh>
    <phoneticPr fontId="10"/>
  </si>
  <si>
    <t>〇遷移するホーム画面について</t>
    <rPh sb="1" eb="3">
      <t>センイ</t>
    </rPh>
    <rPh sb="8" eb="10">
      <t>ガメン</t>
    </rPh>
    <phoneticPr fontId="2"/>
  </si>
  <si>
    <t>・</t>
    <phoneticPr fontId="2"/>
  </si>
  <si>
    <t>社員マスタのユーザ区分によって、遷移するホーム画面を切り替える</t>
    <rPh sb="0" eb="2">
      <t>シャイン</t>
    </rPh>
    <rPh sb="9" eb="11">
      <t>クブン</t>
    </rPh>
    <rPh sb="16" eb="18">
      <t>センイ</t>
    </rPh>
    <rPh sb="23" eb="25">
      <t>ガメン</t>
    </rPh>
    <rPh sb="26" eb="27">
      <t>キ</t>
    </rPh>
    <rPh sb="28" eb="29">
      <t>カ</t>
    </rPh>
    <phoneticPr fontId="2"/>
  </si>
  <si>
    <t>ユーザ区分</t>
    <rPh sb="3" eb="5">
      <t>クブン</t>
    </rPh>
    <phoneticPr fontId="2"/>
  </si>
  <si>
    <t>遷移先ホーム画面</t>
    <rPh sb="0" eb="3">
      <t>センイサキ</t>
    </rPh>
    <rPh sb="6" eb="8">
      <t>ガメン</t>
    </rPh>
    <phoneticPr fontId="2"/>
  </si>
  <si>
    <t>１：学生</t>
    <rPh sb="2" eb="4">
      <t>ガクセイ</t>
    </rPh>
    <phoneticPr fontId="2"/>
  </si>
  <si>
    <t>２：教員</t>
    <rPh sb="2" eb="4">
      <t>キョウイン</t>
    </rPh>
    <phoneticPr fontId="2"/>
  </si>
  <si>
    <t>３：担当者</t>
    <rPh sb="2" eb="5">
      <t>タントウシャ</t>
    </rPh>
    <phoneticPr fontId="2"/>
  </si>
  <si>
    <t>４：管理者</t>
    <rPh sb="2" eb="5">
      <t>カンリシャ</t>
    </rPh>
    <phoneticPr fontId="2"/>
  </si>
  <si>
    <t>ホーム画面（学生）</t>
    <rPh sb="3" eb="5">
      <t>ガメン</t>
    </rPh>
    <rPh sb="6" eb="8">
      <t>ガクセイ</t>
    </rPh>
    <phoneticPr fontId="2"/>
  </si>
  <si>
    <t>ホーム画面（教員）</t>
    <rPh sb="3" eb="5">
      <t>ガメン</t>
    </rPh>
    <rPh sb="6" eb="8">
      <t>キョウイン</t>
    </rPh>
    <phoneticPr fontId="2"/>
  </si>
  <si>
    <t>ホーム画面（担当者）</t>
    <rPh sb="3" eb="5">
      <t>ガメン</t>
    </rPh>
    <rPh sb="6" eb="9">
      <t>タントウシャ</t>
    </rPh>
    <phoneticPr fontId="2"/>
  </si>
  <si>
    <t>ホーム画面（管理者）</t>
    <rPh sb="3" eb="5">
      <t>ガメン</t>
    </rPh>
    <rPh sb="6" eb="9">
      <t>カンリシャ</t>
    </rPh>
    <phoneticPr fontId="2"/>
  </si>
  <si>
    <t>CC-020-01G</t>
    <phoneticPr fontId="2"/>
  </si>
  <si>
    <t>遷移先のホーム画面でユーザ区分によって、表示するメニューを切り替わる。</t>
    <rPh sb="0" eb="2">
      <t>センイ</t>
    </rPh>
    <rPh sb="2" eb="3">
      <t>サキ</t>
    </rPh>
    <rPh sb="7" eb="9">
      <t>ガメン</t>
    </rPh>
    <rPh sb="13" eb="15">
      <t>クブン</t>
    </rPh>
    <rPh sb="20" eb="22">
      <t>ヒョウジ</t>
    </rPh>
    <rPh sb="29" eb="30">
      <t>キ</t>
    </rPh>
    <rPh sb="31" eb="32">
      <t>カ</t>
    </rPh>
    <phoneticPr fontId="2"/>
  </si>
  <si>
    <t>有効フラグの取り扱いを追記</t>
    <rPh sb="0" eb="2">
      <t>ユウコウ</t>
    </rPh>
    <rPh sb="6" eb="7">
      <t>ト</t>
    </rPh>
    <rPh sb="8" eb="9">
      <t>アツカ</t>
    </rPh>
    <rPh sb="11" eb="13">
      <t>ツイキ</t>
    </rPh>
    <phoneticPr fontId="2"/>
  </si>
  <si>
    <t>○認証エラー画面</t>
    <rPh sb="1" eb="3">
      <t>ニンショウ</t>
    </rPh>
    <rPh sb="6" eb="8">
      <t>ガメン</t>
    </rPh>
    <phoneticPr fontId="2"/>
  </si>
  <si>
    <t>（CC-999-98G）</t>
    <phoneticPr fontId="2"/>
  </si>
  <si>
    <t>認証NG</t>
    <rPh sb="0" eb="2">
      <t>ニンショウ</t>
    </rPh>
    <phoneticPr fontId="11"/>
  </si>
  <si>
    <t>認証OK</t>
    <rPh sb="0" eb="2">
      <t>ニンショウ</t>
    </rPh>
    <phoneticPr fontId="11"/>
  </si>
  <si>
    <t>※認証可能な社員マスタは有効フラグがTRUEにユーザーのみとする。</t>
    <rPh sb="1" eb="3">
      <t>ニンショウ</t>
    </rPh>
    <rPh sb="3" eb="5">
      <t>カノウ</t>
    </rPh>
    <rPh sb="6" eb="8">
      <t>シャイン</t>
    </rPh>
    <rPh sb="12" eb="14">
      <t>ユウコウ</t>
    </rPh>
    <phoneticPr fontId="2"/>
  </si>
  <si>
    <t>CC-010-90G</t>
    <phoneticPr fontId="2"/>
  </si>
  <si>
    <t>SSOタイル画面</t>
    <rPh sb="6" eb="8">
      <t>ガメン</t>
    </rPh>
    <phoneticPr fontId="11"/>
  </si>
  <si>
    <t>○ログイン画面（SSO認証）</t>
    <rPh sb="5" eb="7">
      <t>ガメン</t>
    </rPh>
    <rPh sb="11" eb="13">
      <t>ニンショウ</t>
    </rPh>
    <phoneticPr fontId="2"/>
  </si>
  <si>
    <t>（CC-010-90G）</t>
    <phoneticPr fontId="2"/>
  </si>
  <si>
    <t>GET</t>
    <phoneticPr fontId="11"/>
  </si>
  <si>
    <t xml:space="preserve">※認証がエラーになる場合は、社員マスタにログインIDが存在しない </t>
    <rPh sb="1" eb="3">
      <t>ニンショウ</t>
    </rPh>
    <rPh sb="10" eb="12">
      <t>バアイ</t>
    </rPh>
    <rPh sb="14" eb="16">
      <t>シャイン</t>
    </rPh>
    <rPh sb="27" eb="29">
      <t>ソンザイ</t>
    </rPh>
    <phoneticPr fontId="2"/>
  </si>
  <si>
    <t>もしくは有効フラグがOFFになっている場合</t>
    <rPh sb="19" eb="21">
      <t>バアイ</t>
    </rPh>
    <phoneticPr fontId="2"/>
  </si>
  <si>
    <t>※Shibbolethは、SAMLを実現するミドルウェア</t>
    <rPh sb="18" eb="20">
      <t>ジツゲン</t>
    </rPh>
    <phoneticPr fontId="11"/>
  </si>
  <si>
    <r>
      <t>SSO（</t>
    </r>
    <r>
      <rPr>
        <b/>
        <sz val="10"/>
        <rFont val="ＭＳ 明朝"/>
        <family val="1"/>
        <charset val="128"/>
      </rPr>
      <t>Shibboleth:SAML認証</t>
    </r>
    <r>
      <rPr>
        <sz val="10"/>
        <rFont val="ＭＳ 明朝"/>
        <family val="1"/>
        <charset val="128"/>
      </rPr>
      <t>）</t>
    </r>
    <phoneticPr fontId="11"/>
  </si>
  <si>
    <t>確認する。</t>
    <rPh sb="0" eb="2">
      <t>カクニン</t>
    </rPh>
    <phoneticPr fontId="11"/>
  </si>
  <si>
    <t>勤務管理システムのマスタに</t>
    <rPh sb="0" eb="4">
      <t>キンムカンリ</t>
    </rPh>
    <phoneticPr fontId="11"/>
  </si>
  <si>
    <t>該当ユーザが存在するか、</t>
    <rPh sb="0" eb="2">
      <t>ガイトウ</t>
    </rPh>
    <phoneticPr fontId="11"/>
  </si>
  <si>
    <t>ログイン可能なユーザかを</t>
    <rPh sb="4" eb="6">
      <t>カノウ</t>
    </rPh>
    <phoneticPr fontId="11"/>
  </si>
  <si>
    <t>SSOは、同志社様保有機器</t>
    <rPh sb="5" eb="9">
      <t>ドウシシャサマ</t>
    </rPh>
    <rPh sb="9" eb="11">
      <t>ホユウ</t>
    </rPh>
    <rPh sb="11" eb="13">
      <t>キキ</t>
    </rPh>
    <phoneticPr fontId="11"/>
  </si>
  <si>
    <t>学生勤務管理</t>
    <rPh sb="0" eb="2">
      <t>ガクセイ</t>
    </rPh>
    <rPh sb="2" eb="4">
      <t>キンム</t>
    </rPh>
    <rPh sb="4" eb="6">
      <t>カンリ</t>
    </rPh>
    <phoneticPr fontId="11"/>
  </si>
  <si>
    <t>システム</t>
    <phoneticPr fontId="11"/>
  </si>
  <si>
    <t>タイルを</t>
    <phoneticPr fontId="11"/>
  </si>
  <si>
    <t>クリック</t>
    <phoneticPr fontId="11"/>
  </si>
  <si>
    <t>学生勤務管理システム</t>
    <rPh sb="0" eb="2">
      <t>ガクセイ</t>
    </rPh>
    <rPh sb="2" eb="4">
      <t>キンム</t>
    </rPh>
    <rPh sb="4" eb="6">
      <t>カンリ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</si>
</sst>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0_ 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10"/>
      <color theme="0" tint="-0.499984740745262"/>
      <name val="ＭＳ ゴシック"/>
      <family val="3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b/>
      <sz val="10"/>
      <name val="ＭＳ 明朝"/>
      <family val="1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26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6" fillId="0" borderId="0" xfId="0" applyFont="1"/>
    <xf numFmtId="0" fontId="4" fillId="0" borderId="0" xfId="0" applyFont="1"/>
    <xf numFmtId="49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12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6" fillId="6" borderId="4" xfId="0" applyFont="1" applyFill="1" applyBorder="1"/>
    <xf numFmtId="0" fontId="6" fillId="6" borderId="6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12" fillId="6" borderId="7" xfId="0" applyFont="1" applyFill="1" applyBorder="1" applyAlignment="1">
      <alignment vertical="center"/>
    </xf>
    <xf numFmtId="0" fontId="6" fillId="6" borderId="7" xfId="0" applyFont="1" applyFill="1" applyBorder="1"/>
    <xf numFmtId="0" fontId="6" fillId="6" borderId="8" xfId="0" applyFont="1" applyFill="1" applyBorder="1"/>
    <xf numFmtId="0" fontId="14" fillId="0" borderId="9" xfId="0" applyFont="1" applyBorder="1" applyAlignment="1">
      <alignment vertical="center"/>
    </xf>
    <xf numFmtId="0" fontId="14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6" fillId="0" borderId="0" xfId="0" applyFont="1"/>
    <xf numFmtId="0" fontId="4" fillId="6" borderId="1" xfId="0" applyFont="1" applyFill="1" applyBorder="1"/>
    <xf numFmtId="0" fontId="4" fillId="6" borderId="2" xfId="0" applyFont="1" applyFill="1" applyBorder="1"/>
    <xf numFmtId="0" fontId="4" fillId="6" borderId="3" xfId="0" applyFont="1" applyFill="1" applyBorder="1"/>
    <xf numFmtId="0" fontId="4" fillId="6" borderId="5" xfId="0" applyFont="1" applyFill="1" applyBorder="1"/>
    <xf numFmtId="0" fontId="4" fillId="6" borderId="0" xfId="0" applyFont="1" applyFill="1"/>
    <xf numFmtId="0" fontId="4" fillId="6" borderId="4" xfId="0" applyFont="1" applyFill="1" applyBorder="1"/>
    <xf numFmtId="0" fontId="4" fillId="6" borderId="6" xfId="0" applyFont="1" applyFill="1" applyBorder="1"/>
    <xf numFmtId="0" fontId="4" fillId="6" borderId="7" xfId="0" applyFont="1" applyFill="1" applyBorder="1"/>
    <xf numFmtId="0" fontId="4" fillId="6" borderId="8" xfId="0" applyFont="1" applyFill="1" applyBorder="1"/>
    <xf numFmtId="0" fontId="6" fillId="6" borderId="1" xfId="0" applyFont="1" applyFill="1" applyBorder="1" applyAlignment="1">
      <alignment vertical="top"/>
    </xf>
    <xf numFmtId="0" fontId="6" fillId="6" borderId="2" xfId="0" applyFont="1" applyFill="1" applyBorder="1" applyAlignment="1">
      <alignment vertical="top"/>
    </xf>
    <xf numFmtId="0" fontId="6" fillId="6" borderId="5" xfId="0" applyFont="1" applyFill="1" applyBorder="1" applyAlignment="1">
      <alignment vertical="top"/>
    </xf>
    <xf numFmtId="0" fontId="6" fillId="6" borderId="3" xfId="0" applyFont="1" applyFill="1" applyBorder="1" applyAlignment="1">
      <alignment vertical="top"/>
    </xf>
    <xf numFmtId="0" fontId="6" fillId="6" borderId="4" xfId="0" applyFont="1" applyFill="1" applyBorder="1" applyAlignment="1">
      <alignment vertical="top"/>
    </xf>
    <xf numFmtId="0" fontId="6" fillId="6" borderId="6" xfId="0" applyFont="1" applyFill="1" applyBorder="1" applyAlignment="1">
      <alignment vertical="top"/>
    </xf>
    <xf numFmtId="0" fontId="6" fillId="6" borderId="7" xfId="0" applyFont="1" applyFill="1" applyBorder="1" applyAlignment="1">
      <alignment vertical="top"/>
    </xf>
    <xf numFmtId="0" fontId="6" fillId="6" borderId="8" xfId="0" applyFont="1" applyFill="1" applyBorder="1" applyAlignment="1">
      <alignment vertical="top"/>
    </xf>
    <xf numFmtId="0" fontId="4" fillId="8" borderId="0" xfId="0" applyFont="1" applyFill="1" applyAlignment="1">
      <alignment vertical="center"/>
    </xf>
    <xf numFmtId="0" fontId="4" fillId="6" borderId="52" xfId="0" applyFont="1" applyFill="1" applyBorder="1"/>
    <xf numFmtId="0" fontId="4" fillId="6" borderId="23" xfId="0" applyFont="1" applyFill="1" applyBorder="1"/>
    <xf numFmtId="0" fontId="4" fillId="6" borderId="24" xfId="0" applyFont="1" applyFill="1" applyBorder="1"/>
    <xf numFmtId="0" fontId="4" fillId="6" borderId="9" xfId="0" applyFont="1" applyFill="1" applyBorder="1"/>
    <xf numFmtId="0" fontId="4" fillId="6" borderId="10" xfId="0" applyFont="1" applyFill="1" applyBorder="1"/>
    <xf numFmtId="0" fontId="4" fillId="6" borderId="11" xfId="0" applyFont="1" applyFill="1" applyBorder="1"/>
    <xf numFmtId="0" fontId="4" fillId="6" borderId="12" xfId="0" applyFont="1" applyFill="1" applyBorder="1"/>
    <xf numFmtId="0" fontId="4" fillId="6" borderId="14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8" borderId="53" xfId="0" applyFont="1" applyFill="1" applyBorder="1" applyAlignment="1">
      <alignment vertical="center"/>
    </xf>
    <xf numFmtId="0" fontId="6" fillId="8" borderId="54" xfId="0" applyFont="1" applyFill="1" applyBorder="1" applyAlignment="1">
      <alignment vertical="center"/>
    </xf>
    <xf numFmtId="0" fontId="4" fillId="8" borderId="54" xfId="0" applyFont="1" applyFill="1" applyBorder="1"/>
    <xf numFmtId="0" fontId="6" fillId="8" borderId="55" xfId="0" applyFont="1" applyFill="1" applyBorder="1" applyAlignment="1">
      <alignment vertical="center"/>
    </xf>
    <xf numFmtId="0" fontId="4" fillId="8" borderId="56" xfId="0" applyFont="1" applyFill="1" applyBorder="1"/>
    <xf numFmtId="0" fontId="4" fillId="8" borderId="0" xfId="0" applyFont="1" applyFill="1"/>
    <xf numFmtId="0" fontId="6" fillId="8" borderId="0" xfId="0" applyFont="1" applyFill="1" applyAlignment="1">
      <alignment vertical="center"/>
    </xf>
    <xf numFmtId="0" fontId="4" fillId="8" borderId="57" xfId="0" applyFont="1" applyFill="1" applyBorder="1"/>
    <xf numFmtId="0" fontId="13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6" fillId="8" borderId="0" xfId="0" applyFont="1" applyFill="1"/>
    <xf numFmtId="0" fontId="6" fillId="6" borderId="0" xfId="0" applyFont="1" applyFill="1" applyAlignment="1">
      <alignment vertical="top"/>
    </xf>
    <xf numFmtId="0" fontId="15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6" fillId="8" borderId="58" xfId="0" applyFont="1" applyFill="1" applyBorder="1" applyAlignment="1">
      <alignment vertical="center"/>
    </xf>
    <xf numFmtId="0" fontId="6" fillId="8" borderId="59" xfId="0" applyFont="1" applyFill="1" applyBorder="1" applyAlignment="1">
      <alignment vertical="center"/>
    </xf>
    <xf numFmtId="0" fontId="6" fillId="8" borderId="59" xfId="0" applyFont="1" applyFill="1" applyBorder="1"/>
    <xf numFmtId="0" fontId="12" fillId="8" borderId="59" xfId="0" applyFont="1" applyFill="1" applyBorder="1" applyAlignment="1">
      <alignment vertical="center"/>
    </xf>
    <xf numFmtId="0" fontId="6" fillId="8" borderId="60" xfId="0" applyFont="1" applyFill="1" applyBorder="1" applyAlignment="1">
      <alignment vertical="center"/>
    </xf>
    <xf numFmtId="0" fontId="5" fillId="5" borderId="21" xfId="0" applyFont="1" applyFill="1" applyBorder="1" applyAlignment="1">
      <alignment vertical="center"/>
    </xf>
    <xf numFmtId="0" fontId="5" fillId="3" borderId="21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2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5" fillId="0" borderId="21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31" fontId="4" fillId="0" borderId="21" xfId="0" applyNumberFormat="1" applyFon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/>
    </xf>
    <xf numFmtId="0" fontId="4" fillId="6" borderId="21" xfId="0" applyFont="1" applyFill="1" applyBorder="1" applyAlignment="1">
      <alignment horizontal="left" vertical="center"/>
    </xf>
    <xf numFmtId="0" fontId="4" fillId="0" borderId="21" xfId="0" applyFont="1" applyBorder="1" applyAlignment="1">
      <alignment vertical="center" shrinkToFit="1"/>
    </xf>
    <xf numFmtId="14" fontId="4" fillId="0" borderId="21" xfId="0" applyNumberFormat="1" applyFont="1" applyBorder="1" applyAlignment="1">
      <alignment horizontal="left" vertical="center"/>
    </xf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76" fontId="4" fillId="6" borderId="19" xfId="0" applyNumberFormat="1" applyFont="1" applyFill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177" fontId="4" fillId="6" borderId="19" xfId="0" applyNumberFormat="1" applyFont="1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177" fontId="4" fillId="6" borderId="16" xfId="0" applyNumberFormat="1" applyFont="1" applyFill="1" applyBorder="1" applyAlignment="1">
      <alignment horizontal="center" vertical="center"/>
    </xf>
    <xf numFmtId="31" fontId="5" fillId="0" borderId="25" xfId="1" applyNumberFormat="1" applyFont="1" applyBorder="1" applyAlignment="1">
      <alignment horizontal="center" vertical="center"/>
    </xf>
    <xf numFmtId="31" fontId="5" fillId="0" borderId="26" xfId="1" applyNumberFormat="1" applyFont="1" applyBorder="1" applyAlignment="1">
      <alignment horizontal="center" vertical="center"/>
    </xf>
    <xf numFmtId="31" fontId="5" fillId="0" borderId="27" xfId="1" applyNumberFormat="1" applyFont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0" fontId="5" fillId="4" borderId="23" xfId="1" applyFont="1" applyFill="1" applyBorder="1" applyAlignment="1">
      <alignment horizontal="center" vertical="center"/>
    </xf>
    <xf numFmtId="0" fontId="5" fillId="4" borderId="3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4" borderId="17" xfId="1" applyFont="1" applyFill="1" applyBorder="1" applyAlignment="1">
      <alignment vertical="center"/>
    </xf>
    <xf numFmtId="0" fontId="5" fillId="4" borderId="15" xfId="1" applyFont="1" applyFill="1" applyBorder="1" applyAlignment="1">
      <alignment vertical="center"/>
    </xf>
    <xf numFmtId="0" fontId="5" fillId="4" borderId="16" xfId="1" applyFont="1" applyFill="1" applyBorder="1" applyAlignment="1">
      <alignment vertical="center"/>
    </xf>
    <xf numFmtId="0" fontId="5" fillId="0" borderId="19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31" fontId="5" fillId="0" borderId="19" xfId="1" applyNumberFormat="1" applyFont="1" applyBorder="1" applyAlignment="1">
      <alignment horizontal="center" vertical="center"/>
    </xf>
    <xf numFmtId="31" fontId="5" fillId="0" borderId="15" xfId="1" applyNumberFormat="1" applyFont="1" applyBorder="1" applyAlignment="1">
      <alignment horizontal="center" vertical="center"/>
    </xf>
    <xf numFmtId="31" fontId="5" fillId="0" borderId="16" xfId="1" applyNumberFormat="1" applyFont="1" applyBorder="1" applyAlignment="1">
      <alignment horizontal="center" vertical="center"/>
    </xf>
    <xf numFmtId="0" fontId="5" fillId="4" borderId="28" xfId="1" applyFont="1" applyFill="1" applyBorder="1" applyAlignment="1">
      <alignment vertical="center"/>
    </xf>
    <xf numFmtId="0" fontId="5" fillId="4" borderId="26" xfId="1" applyFont="1" applyFill="1" applyBorder="1" applyAlignment="1">
      <alignment vertical="center"/>
    </xf>
    <xf numFmtId="0" fontId="5" fillId="4" borderId="27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4" borderId="29" xfId="1" applyFont="1" applyFill="1" applyBorder="1" applyAlignment="1">
      <alignment vertical="center"/>
    </xf>
    <xf numFmtId="0" fontId="5" fillId="4" borderId="30" xfId="1" applyFont="1" applyFill="1" applyBorder="1" applyAlignment="1">
      <alignment vertical="center"/>
    </xf>
    <xf numFmtId="0" fontId="5" fillId="4" borderId="31" xfId="1" applyFont="1" applyFill="1" applyBorder="1" applyAlignment="1">
      <alignment vertical="center"/>
    </xf>
    <xf numFmtId="0" fontId="5" fillId="0" borderId="32" xfId="1" applyFont="1" applyBorder="1" applyAlignment="1">
      <alignment vertical="center" wrapText="1"/>
    </xf>
    <xf numFmtId="0" fontId="5" fillId="0" borderId="30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4" borderId="36" xfId="0" applyFont="1" applyFill="1" applyBorder="1" applyAlignment="1">
      <alignment vertical="center"/>
    </xf>
    <xf numFmtId="0" fontId="5" fillId="4" borderId="35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4" fillId="0" borderId="48" xfId="0" applyFont="1" applyBorder="1" applyAlignment="1">
      <alignment horizontal="left" vertical="center" shrinkToFit="1"/>
    </xf>
    <xf numFmtId="0" fontId="4" fillId="0" borderId="49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left" vertical="center" shrinkToFit="1"/>
    </xf>
    <xf numFmtId="0" fontId="4" fillId="0" borderId="51" xfId="0" applyFont="1" applyBorder="1" applyAlignment="1">
      <alignment horizontal="left" vertical="center" shrinkToFit="1"/>
    </xf>
    <xf numFmtId="0" fontId="4" fillId="0" borderId="44" xfId="0" applyFont="1" applyBorder="1" applyAlignment="1">
      <alignment horizontal="left" vertical="center" shrinkToFit="1"/>
    </xf>
    <xf numFmtId="0" fontId="4" fillId="0" borderId="45" xfId="0" applyFont="1" applyBorder="1" applyAlignment="1">
      <alignment horizontal="left" vertical="center" shrinkToFit="1"/>
    </xf>
    <xf numFmtId="0" fontId="4" fillId="0" borderId="46" xfId="0" applyFont="1" applyBorder="1" applyAlignment="1">
      <alignment horizontal="left" vertical="center" shrinkToFit="1"/>
    </xf>
    <xf numFmtId="0" fontId="4" fillId="0" borderId="47" xfId="0" applyFont="1" applyBorder="1" applyAlignment="1">
      <alignment horizontal="left" vertical="center" shrinkToFit="1"/>
    </xf>
    <xf numFmtId="0" fontId="5" fillId="4" borderId="19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left" vertical="center" shrinkToFit="1"/>
    </xf>
    <xf numFmtId="0" fontId="4" fillId="0" borderId="41" xfId="0" applyFont="1" applyBorder="1" applyAlignment="1">
      <alignment horizontal="left" vertical="center" shrinkToFit="1"/>
    </xf>
    <xf numFmtId="0" fontId="4" fillId="0" borderId="42" xfId="0" applyFont="1" applyBorder="1" applyAlignment="1">
      <alignment horizontal="left" vertical="center" shrinkToFit="1"/>
    </xf>
    <xf numFmtId="0" fontId="4" fillId="0" borderId="43" xfId="0" applyFont="1" applyBorder="1" applyAlignment="1">
      <alignment horizontal="left" vertical="center" shrinkToFit="1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/>
    </xf>
    <xf numFmtId="0" fontId="6" fillId="7" borderId="21" xfId="0" applyFont="1" applyFill="1" applyBorder="1" applyAlignment="1">
      <alignment horizontal="center" vertical="center"/>
    </xf>
    <xf numFmtId="0" fontId="6" fillId="0" borderId="21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4" fillId="0" borderId="0" xfId="0" applyFont="1" applyFill="1"/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</cellXfs>
  <cellStyles count="2">
    <cellStyle name="標準" xfId="0" builtinId="0"/>
    <cellStyle name="標準_概念_要件定義書（原紙本文EAI-HUB用）_プライオリティ規約（修正版20020430_MQプライオリティ追加)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373761" name="Text Box 1">
          <a:extLst>
            <a:ext uri="{FF2B5EF4-FFF2-40B4-BE49-F238E27FC236}">
              <a16:creationId xmlns:a16="http://schemas.microsoft.com/office/drawing/2014/main" id="{00000000-0008-0000-0000-000001B405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373762" name="Line 2">
          <a:extLst>
            <a:ext uri="{FF2B5EF4-FFF2-40B4-BE49-F238E27FC236}">
              <a16:creationId xmlns:a16="http://schemas.microsoft.com/office/drawing/2014/main" id="{00000000-0008-0000-0000-000002B405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168087</xdr:colOff>
      <xdr:row>30</xdr:row>
      <xdr:rowOff>100852</xdr:rowOff>
    </xdr:from>
    <xdr:to>
      <xdr:col>18</xdr:col>
      <xdr:colOff>92376</xdr:colOff>
      <xdr:row>34</xdr:row>
      <xdr:rowOff>142873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60044E6-6670-47D9-8539-D08B6267A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1911" y="5143499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19049</xdr:colOff>
      <xdr:row>17</xdr:row>
      <xdr:rowOff>56030</xdr:rowOff>
    </xdr:from>
    <xdr:to>
      <xdr:col>64</xdr:col>
      <xdr:colOff>0</xdr:colOff>
      <xdr:row>18</xdr:row>
      <xdr:rowOff>159124</xdr:rowOff>
    </xdr:to>
    <xdr:sp macro="" textlink="">
      <xdr:nvSpPr>
        <xdr:cNvPr id="3" name="右矢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 bwMode="auto">
        <a:xfrm>
          <a:off x="8020049" y="3294530"/>
          <a:ext cx="1180539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56</xdr:col>
      <xdr:colOff>0</xdr:colOff>
      <xdr:row>36</xdr:row>
      <xdr:rowOff>23938</xdr:rowOff>
    </xdr:from>
    <xdr:to>
      <xdr:col>64</xdr:col>
      <xdr:colOff>0</xdr:colOff>
      <xdr:row>37</xdr:row>
      <xdr:rowOff>127032</xdr:rowOff>
    </xdr:to>
    <xdr:sp macro="" textlink="">
      <xdr:nvSpPr>
        <xdr:cNvPr id="4" name="右矢印 2">
          <a:extLst>
            <a:ext uri="{FF2B5EF4-FFF2-40B4-BE49-F238E27FC236}">
              <a16:creationId xmlns:a16="http://schemas.microsoft.com/office/drawing/2014/main" id="{DC0B113F-90E1-44B2-AEFB-4E1A66D6A928}"/>
            </a:ext>
          </a:extLst>
        </xdr:cNvPr>
        <xdr:cNvSpPr/>
      </xdr:nvSpPr>
      <xdr:spPr bwMode="auto">
        <a:xfrm>
          <a:off x="8001000" y="6881938"/>
          <a:ext cx="1199590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50</xdr:col>
      <xdr:colOff>3922</xdr:colOff>
      <xdr:row>11</xdr:row>
      <xdr:rowOff>155762</xdr:rowOff>
    </xdr:from>
    <xdr:to>
      <xdr:col>54</xdr:col>
      <xdr:colOff>113180</xdr:colOff>
      <xdr:row>38</xdr:row>
      <xdr:rowOff>166968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281C65C6-C7D2-C080-8E0A-BB9DDE3CD430}"/>
            </a:ext>
          </a:extLst>
        </xdr:cNvPr>
        <xdr:cNvSpPr/>
      </xdr:nvSpPr>
      <xdr:spPr bwMode="auto">
        <a:xfrm>
          <a:off x="7147672" y="2251262"/>
          <a:ext cx="680758" cy="5154706"/>
        </a:xfrm>
        <a:prstGeom prst="roundRect">
          <a:avLst/>
        </a:prstGeom>
        <a:pattFill prst="pct90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vert="eaVert" wrap="square" lIns="18288" tIns="0" rIns="0" bIns="0" rtlCol="0" anchor="ctr" upright="1"/>
        <a:lstStyle/>
        <a:p>
          <a:pPr algn="ctr"/>
          <a:r>
            <a:rPr kumimoji="1" lang="ja-JP" altLang="en-US" sz="2400">
              <a:latin typeface="ＭＳ ゴシック" panose="020B0609070205080204" pitchFamily="49" charset="-128"/>
              <a:ea typeface="ＭＳ ゴシック" panose="020B0609070205080204" pitchFamily="49" charset="-128"/>
            </a:rPr>
            <a:t>ログイン処理</a:t>
          </a:r>
        </a:p>
      </xdr:txBody>
    </xdr:sp>
    <xdr:clientData/>
  </xdr:twoCellAnchor>
  <xdr:twoCellAnchor>
    <xdr:from>
      <xdr:col>46</xdr:col>
      <xdr:colOff>0</xdr:colOff>
      <xdr:row>19</xdr:row>
      <xdr:rowOff>40342</xdr:rowOff>
    </xdr:from>
    <xdr:to>
      <xdr:col>49</xdr:col>
      <xdr:colOff>85725</xdr:colOff>
      <xdr:row>20</xdr:row>
      <xdr:rowOff>143436</xdr:rowOff>
    </xdr:to>
    <xdr:sp macro="" textlink="">
      <xdr:nvSpPr>
        <xdr:cNvPr id="12" name="右矢印 2">
          <a:extLst>
            <a:ext uri="{FF2B5EF4-FFF2-40B4-BE49-F238E27FC236}">
              <a16:creationId xmlns:a16="http://schemas.microsoft.com/office/drawing/2014/main" id="{110F2BBF-5C8B-413D-BBCD-9C15A85851E7}"/>
            </a:ext>
          </a:extLst>
        </xdr:cNvPr>
        <xdr:cNvSpPr/>
      </xdr:nvSpPr>
      <xdr:spPr bwMode="auto">
        <a:xfrm>
          <a:off x="5987864" y="3088342"/>
          <a:ext cx="1098736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56</xdr:col>
      <xdr:colOff>9525</xdr:colOff>
      <xdr:row>23</xdr:row>
      <xdr:rowOff>44824</xdr:rowOff>
    </xdr:from>
    <xdr:to>
      <xdr:col>86</xdr:col>
      <xdr:colOff>78442</xdr:colOff>
      <xdr:row>27</xdr:row>
      <xdr:rowOff>22412</xdr:rowOff>
    </xdr:to>
    <xdr:sp macro="" textlink="">
      <xdr:nvSpPr>
        <xdr:cNvPr id="18" name="矢印: 折線 17">
          <a:extLst>
            <a:ext uri="{FF2B5EF4-FFF2-40B4-BE49-F238E27FC236}">
              <a16:creationId xmlns:a16="http://schemas.microsoft.com/office/drawing/2014/main" id="{FAB6F74B-6D1C-3C35-7425-828EFCA43AAA}"/>
            </a:ext>
          </a:extLst>
        </xdr:cNvPr>
        <xdr:cNvSpPr/>
      </xdr:nvSpPr>
      <xdr:spPr bwMode="auto">
        <a:xfrm rot="16200000" flipV="1">
          <a:off x="9889752" y="2547097"/>
          <a:ext cx="739588" cy="4498042"/>
        </a:xfrm>
        <a:prstGeom prst="bentArrow">
          <a:avLst>
            <a:gd name="adj1" fmla="val 19290"/>
            <a:gd name="adj2" fmla="val 28322"/>
            <a:gd name="adj3" fmla="val 32576"/>
            <a:gd name="adj4" fmla="val 24519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56</xdr:col>
      <xdr:colOff>0</xdr:colOff>
      <xdr:row>29</xdr:row>
      <xdr:rowOff>129988</xdr:rowOff>
    </xdr:from>
    <xdr:to>
      <xdr:col>86</xdr:col>
      <xdr:colOff>85165</xdr:colOff>
      <xdr:row>33</xdr:row>
      <xdr:rowOff>107576</xdr:rowOff>
    </xdr:to>
    <xdr:sp macro="" textlink="">
      <xdr:nvSpPr>
        <xdr:cNvPr id="22" name="矢印: 折線 21">
          <a:extLst>
            <a:ext uri="{FF2B5EF4-FFF2-40B4-BE49-F238E27FC236}">
              <a16:creationId xmlns:a16="http://schemas.microsoft.com/office/drawing/2014/main" id="{CD0CC649-752E-4B1F-AA3B-E7D678046BF8}"/>
            </a:ext>
          </a:extLst>
        </xdr:cNvPr>
        <xdr:cNvSpPr/>
      </xdr:nvSpPr>
      <xdr:spPr bwMode="auto">
        <a:xfrm rot="5400000">
          <a:off x="9888351" y="3767137"/>
          <a:ext cx="739588" cy="4514290"/>
        </a:xfrm>
        <a:prstGeom prst="bentArrow">
          <a:avLst>
            <a:gd name="adj1" fmla="val 19290"/>
            <a:gd name="adj2" fmla="val 28322"/>
            <a:gd name="adj3" fmla="val 32576"/>
            <a:gd name="adj4" fmla="val 24519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1</xdr:col>
      <xdr:colOff>56029</xdr:colOff>
      <xdr:row>15</xdr:row>
      <xdr:rowOff>89647</xdr:rowOff>
    </xdr:from>
    <xdr:to>
      <xdr:col>7</xdr:col>
      <xdr:colOff>40500</xdr:colOff>
      <xdr:row>19</xdr:row>
      <xdr:rowOff>186177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73DF833-6ACC-BA1C-134C-4BCC2634D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5" y="2566147"/>
          <a:ext cx="858530" cy="858530"/>
        </a:xfrm>
        <a:prstGeom prst="rect">
          <a:avLst/>
        </a:prstGeom>
      </xdr:spPr>
    </xdr:pic>
    <xdr:clientData/>
  </xdr:twoCellAnchor>
  <xdr:twoCellAnchor editAs="oneCell">
    <xdr:from>
      <xdr:col>1</xdr:col>
      <xdr:colOff>93970</xdr:colOff>
      <xdr:row>23</xdr:row>
      <xdr:rowOff>71558</xdr:rowOff>
    </xdr:from>
    <xdr:to>
      <xdr:col>7</xdr:col>
      <xdr:colOff>78441</xdr:colOff>
      <xdr:row>27</xdr:row>
      <xdr:rowOff>168088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A84D3AC-D025-5D4B-FABB-84BED4E31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646" y="4453058"/>
          <a:ext cx="858530" cy="858530"/>
        </a:xfrm>
        <a:prstGeom prst="rect">
          <a:avLst/>
        </a:prstGeom>
      </xdr:spPr>
    </xdr:pic>
    <xdr:clientData/>
  </xdr:twoCellAnchor>
  <xdr:twoCellAnchor>
    <xdr:from>
      <xdr:col>7</xdr:col>
      <xdr:colOff>85167</xdr:colOff>
      <xdr:row>17</xdr:row>
      <xdr:rowOff>45945</xdr:rowOff>
    </xdr:from>
    <xdr:to>
      <xdr:col>11</xdr:col>
      <xdr:colOff>19050</xdr:colOff>
      <xdr:row>18</xdr:row>
      <xdr:rowOff>149039</xdr:rowOff>
    </xdr:to>
    <xdr:sp macro="" textlink="">
      <xdr:nvSpPr>
        <xdr:cNvPr id="42" name="右矢印 2">
          <a:extLst>
            <a:ext uri="{FF2B5EF4-FFF2-40B4-BE49-F238E27FC236}">
              <a16:creationId xmlns:a16="http://schemas.microsoft.com/office/drawing/2014/main" id="{1FEF5397-0EB2-4552-A4E2-5B40B72A5375}"/>
            </a:ext>
          </a:extLst>
        </xdr:cNvPr>
        <xdr:cNvSpPr/>
      </xdr:nvSpPr>
      <xdr:spPr bwMode="auto">
        <a:xfrm>
          <a:off x="1085292" y="2903445"/>
          <a:ext cx="505383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47067</xdr:colOff>
      <xdr:row>18</xdr:row>
      <xdr:rowOff>64995</xdr:rowOff>
    </xdr:from>
    <xdr:to>
      <xdr:col>29</xdr:col>
      <xdr:colOff>114300</xdr:colOff>
      <xdr:row>19</xdr:row>
      <xdr:rowOff>168089</xdr:rowOff>
    </xdr:to>
    <xdr:sp macro="" textlink="">
      <xdr:nvSpPr>
        <xdr:cNvPr id="44" name="右矢印 2">
          <a:extLst>
            <a:ext uri="{FF2B5EF4-FFF2-40B4-BE49-F238E27FC236}">
              <a16:creationId xmlns:a16="http://schemas.microsoft.com/office/drawing/2014/main" id="{1A824154-789B-4455-B319-C913F072902D}"/>
            </a:ext>
          </a:extLst>
        </xdr:cNvPr>
        <xdr:cNvSpPr/>
      </xdr:nvSpPr>
      <xdr:spPr bwMode="auto">
        <a:xfrm>
          <a:off x="3190317" y="2922495"/>
          <a:ext cx="352983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85167</xdr:colOff>
      <xdr:row>24</xdr:row>
      <xdr:rowOff>141195</xdr:rowOff>
    </xdr:from>
    <xdr:to>
      <xdr:col>11</xdr:col>
      <xdr:colOff>19050</xdr:colOff>
      <xdr:row>26</xdr:row>
      <xdr:rowOff>53789</xdr:rowOff>
    </xdr:to>
    <xdr:sp macro="" textlink="">
      <xdr:nvSpPr>
        <xdr:cNvPr id="46" name="右矢印 2">
          <a:extLst>
            <a:ext uri="{FF2B5EF4-FFF2-40B4-BE49-F238E27FC236}">
              <a16:creationId xmlns:a16="http://schemas.microsoft.com/office/drawing/2014/main" id="{C8656EDD-C519-4DFC-B96F-BA7092B39690}"/>
            </a:ext>
          </a:extLst>
        </xdr:cNvPr>
        <xdr:cNvSpPr/>
      </xdr:nvSpPr>
      <xdr:spPr bwMode="auto">
        <a:xfrm>
          <a:off x="1085292" y="4713195"/>
          <a:ext cx="505383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44</xdr:col>
      <xdr:colOff>9525</xdr:colOff>
      <xdr:row>35</xdr:row>
      <xdr:rowOff>40342</xdr:rowOff>
    </xdr:from>
    <xdr:to>
      <xdr:col>49</xdr:col>
      <xdr:colOff>57150</xdr:colOff>
      <xdr:row>36</xdr:row>
      <xdr:rowOff>143436</xdr:rowOff>
    </xdr:to>
    <xdr:sp macro="" textlink="">
      <xdr:nvSpPr>
        <xdr:cNvPr id="2" name="右矢印 2">
          <a:extLst>
            <a:ext uri="{FF2B5EF4-FFF2-40B4-BE49-F238E27FC236}">
              <a16:creationId xmlns:a16="http://schemas.microsoft.com/office/drawing/2014/main" id="{1ACE364B-FA70-45F5-96EC-A1EE7A44B25A}"/>
            </a:ext>
          </a:extLst>
        </xdr:cNvPr>
        <xdr:cNvSpPr/>
      </xdr:nvSpPr>
      <xdr:spPr bwMode="auto">
        <a:xfrm flipH="1">
          <a:off x="6296025" y="6707842"/>
          <a:ext cx="762000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65</xdr:col>
      <xdr:colOff>0</xdr:colOff>
      <xdr:row>14</xdr:row>
      <xdr:rowOff>1</xdr:rowOff>
    </xdr:from>
    <xdr:to>
      <xdr:col>71</xdr:col>
      <xdr:colOff>21167</xdr:colOff>
      <xdr:row>22</xdr:row>
      <xdr:rowOff>97841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C968100-A248-4908-7247-F71E29067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30833" y="2667001"/>
          <a:ext cx="910167" cy="1621840"/>
        </a:xfrm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14</xdr:row>
      <xdr:rowOff>0</xdr:rowOff>
    </xdr:from>
    <xdr:to>
      <xdr:col>86</xdr:col>
      <xdr:colOff>44174</xdr:colOff>
      <xdr:row>22</xdr:row>
      <xdr:rowOff>127000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E036B62-B1FE-3264-0970-1BE316D9B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53333" y="2667000"/>
          <a:ext cx="933174" cy="1651000"/>
        </a:xfrm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36</xdr:row>
      <xdr:rowOff>0</xdr:rowOff>
    </xdr:from>
    <xdr:to>
      <xdr:col>78</xdr:col>
      <xdr:colOff>81642</xdr:colOff>
      <xdr:row>43</xdr:row>
      <xdr:rowOff>90257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8AB673B-BC21-8B1F-7631-E4970675B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29107" y="6858000"/>
          <a:ext cx="2027464" cy="1423757"/>
        </a:xfrm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36</xdr:row>
      <xdr:rowOff>0</xdr:rowOff>
    </xdr:from>
    <xdr:to>
      <xdr:col>93</xdr:col>
      <xdr:colOff>40822</xdr:colOff>
      <xdr:row>43</xdr:row>
      <xdr:rowOff>77776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4664BFA-A9AD-C325-2F19-DB5A26358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74286" y="6858000"/>
          <a:ext cx="1986643" cy="1411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0:AB51"/>
  <sheetViews>
    <sheetView tabSelected="1" zoomScale="85" zoomScaleNormal="85" workbookViewId="0"/>
  </sheetViews>
  <sheetFormatPr defaultRowHeight="13.5" x14ac:dyDescent="0.15"/>
  <cols>
    <col min="1" max="32" width="4.5" customWidth="1"/>
  </cols>
  <sheetData>
    <row r="10" spans="7:24" x14ac:dyDescent="0.15"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7:24" ht="13.5" customHeight="1" x14ac:dyDescent="0.15">
      <c r="G11" s="111" t="str">
        <f>I40</f>
        <v>　学生勤務管理システム</v>
      </c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6"/>
    </row>
    <row r="12" spans="7:24" ht="13.5" customHeight="1" x14ac:dyDescent="0.15">
      <c r="G12" s="111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6"/>
    </row>
    <row r="13" spans="7:24" x14ac:dyDescent="0.15"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</row>
    <row r="14" spans="7:24" ht="13.5" customHeight="1" x14ac:dyDescent="0.15">
      <c r="G14" s="111" t="str">
        <f>I44</f>
        <v>　CC-010_ログイン</v>
      </c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6"/>
    </row>
    <row r="15" spans="7:24" ht="13.5" customHeight="1" x14ac:dyDescent="0.15">
      <c r="G15" s="111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6"/>
    </row>
    <row r="16" spans="7:24" x14ac:dyDescent="0.15"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</row>
    <row r="17" spans="7:24" ht="13.5" customHeight="1" x14ac:dyDescent="0.15">
      <c r="G17" s="111" t="str">
        <f>I42</f>
        <v xml:space="preserve">　 </v>
      </c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6"/>
    </row>
    <row r="18" spans="7:24" ht="13.5" customHeight="1" x14ac:dyDescent="0.15">
      <c r="G18" s="111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6"/>
    </row>
    <row r="19" spans="7:24" x14ac:dyDescent="0.15"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6"/>
    </row>
    <row r="20" spans="7:24" ht="13.5" customHeight="1" x14ac:dyDescent="0.15">
      <c r="G20" s="111" t="str">
        <f>I51</f>
        <v>【 Ver 1.05 】</v>
      </c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6"/>
    </row>
    <row r="21" spans="7:24" ht="13.5" customHeight="1" x14ac:dyDescent="0.15">
      <c r="G21" s="111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6"/>
    </row>
    <row r="22" spans="7:24" x14ac:dyDescent="0.15"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7" spans="7:24" s="1" customFormat="1" x14ac:dyDescent="0.15">
      <c r="J27" s="107" t="str">
        <f>TEXT(I47,"yyyy年")&amp;IF(LEFT(TEXT(I47,"mm"),1)="0"," ","")&amp;TEXT(I47,"m月")&amp;IF(LEFT(TEXT(I47,"dd"),1)="0"," ","")&amp;TEXT(I47,"d日")&amp;"作成"</f>
        <v>2023年10月 3日作成</v>
      </c>
      <c r="K27" s="108"/>
      <c r="L27" s="108"/>
      <c r="M27" s="108"/>
      <c r="N27" s="108"/>
      <c r="O27" s="108"/>
      <c r="P27" s="108"/>
      <c r="Q27" s="108"/>
      <c r="R27" s="108"/>
      <c r="S27" s="108"/>
      <c r="T27" s="108"/>
    </row>
    <row r="28" spans="7:24" s="1" customFormat="1" x14ac:dyDescent="0.15"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</row>
    <row r="29" spans="7:24" s="1" customFormat="1" x14ac:dyDescent="0.15">
      <c r="J29" s="107" t="str">
        <f>IF(I49="　※ページ毎に個別入力","    年  月  日改訂",TEXT(I49,"yyyy年")&amp;IF(LEFT(TEXT(I49,"mm"),1)="0"," ","")&amp;TEXT(I49,"m月")&amp;IF(LEFT(TEXT(I49,"dd"),1)="0"," ","")&amp;TEXT(I49,"d日")&amp;"改訂")</f>
        <v>2024年 1月22日改訂</v>
      </c>
      <c r="K29" s="108"/>
      <c r="L29" s="108"/>
      <c r="M29" s="108"/>
      <c r="N29" s="108"/>
      <c r="O29" s="108"/>
      <c r="P29" s="108"/>
      <c r="Q29" s="108"/>
      <c r="R29" s="108"/>
      <c r="S29" s="108"/>
      <c r="T29" s="108"/>
    </row>
    <row r="30" spans="7:24" s="1" customFormat="1" x14ac:dyDescent="0.15"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</row>
    <row r="38" spans="2:28" ht="23.25" customHeight="1" x14ac:dyDescent="0.15">
      <c r="B38" s="110" t="s">
        <v>19</v>
      </c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</row>
    <row r="39" spans="2:28" ht="23.25" customHeight="1" x14ac:dyDescent="0.15">
      <c r="B39" s="106" t="s">
        <v>20</v>
      </c>
      <c r="C39" s="106"/>
      <c r="D39" s="106"/>
      <c r="E39" s="106"/>
      <c r="F39" s="106"/>
      <c r="G39" s="106"/>
      <c r="H39" s="106"/>
      <c r="I39" s="106" t="s">
        <v>10</v>
      </c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</row>
    <row r="40" spans="2:28" ht="23.25" customHeight="1" x14ac:dyDescent="0.15">
      <c r="B40" s="105" t="s">
        <v>21</v>
      </c>
      <c r="C40" s="105"/>
      <c r="D40" s="105"/>
      <c r="E40" s="105"/>
      <c r="F40" s="105"/>
      <c r="G40" s="105"/>
      <c r="H40" s="105"/>
      <c r="I40" s="109" t="s">
        <v>43</v>
      </c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</row>
    <row r="41" spans="2:28" ht="23.25" customHeight="1" x14ac:dyDescent="0.15">
      <c r="B41" s="105" t="s">
        <v>22</v>
      </c>
      <c r="C41" s="105"/>
      <c r="D41" s="105"/>
      <c r="E41" s="105"/>
      <c r="F41" s="105"/>
      <c r="G41" s="105"/>
      <c r="H41" s="105"/>
      <c r="I41" s="109" t="s">
        <v>41</v>
      </c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2:28" ht="23.25" customHeight="1" x14ac:dyDescent="0.15">
      <c r="B42" s="105" t="s">
        <v>23</v>
      </c>
      <c r="C42" s="105"/>
      <c r="D42" s="105"/>
      <c r="E42" s="105"/>
      <c r="F42" s="105"/>
      <c r="G42" s="105"/>
      <c r="H42" s="105"/>
      <c r="I42" s="109" t="s">
        <v>33</v>
      </c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2:28" ht="23.25" customHeight="1" x14ac:dyDescent="0.15">
      <c r="B43" s="105" t="s">
        <v>24</v>
      </c>
      <c r="C43" s="105"/>
      <c r="D43" s="105"/>
      <c r="E43" s="105"/>
      <c r="F43" s="105"/>
      <c r="G43" s="105"/>
      <c r="H43" s="105"/>
      <c r="I43" s="109" t="s">
        <v>38</v>
      </c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2:28" ht="23.25" customHeight="1" x14ac:dyDescent="0.15">
      <c r="B44" s="105" t="s">
        <v>25</v>
      </c>
      <c r="C44" s="105"/>
      <c r="D44" s="105"/>
      <c r="E44" s="105"/>
      <c r="F44" s="105"/>
      <c r="G44" s="105"/>
      <c r="H44" s="105"/>
      <c r="I44" s="109" t="s">
        <v>64</v>
      </c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2:28" ht="23.25" customHeight="1" x14ac:dyDescent="0.15">
      <c r="B45" s="105" t="s">
        <v>26</v>
      </c>
      <c r="C45" s="105"/>
      <c r="D45" s="105"/>
      <c r="E45" s="105"/>
      <c r="F45" s="105"/>
      <c r="G45" s="105"/>
      <c r="H45" s="105"/>
      <c r="I45" s="109" t="s">
        <v>9</v>
      </c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2:28" ht="23.25" customHeight="1" x14ac:dyDescent="0.15">
      <c r="B46" s="105" t="s">
        <v>27</v>
      </c>
      <c r="C46" s="105"/>
      <c r="D46" s="105"/>
      <c r="E46" s="105"/>
      <c r="F46" s="105"/>
      <c r="G46" s="105"/>
      <c r="H46" s="105"/>
      <c r="I46" s="109" t="s">
        <v>44</v>
      </c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2:28" ht="23.25" customHeight="1" x14ac:dyDescent="0.15">
      <c r="B47" s="105" t="s">
        <v>28</v>
      </c>
      <c r="C47" s="105"/>
      <c r="D47" s="105"/>
      <c r="E47" s="105"/>
      <c r="F47" s="105"/>
      <c r="G47" s="105"/>
      <c r="H47" s="105"/>
      <c r="I47" s="113">
        <v>45202</v>
      </c>
      <c r="J47" s="114"/>
      <c r="K47" s="114"/>
      <c r="L47" s="114"/>
      <c r="M47" s="114"/>
      <c r="N47" s="114"/>
      <c r="O47" s="114"/>
      <c r="P47" s="114"/>
      <c r="Q47" s="114"/>
      <c r="R47" s="114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2:28" ht="23.25" customHeight="1" x14ac:dyDescent="0.15">
      <c r="B48" s="105" t="s">
        <v>29</v>
      </c>
      <c r="C48" s="105"/>
      <c r="D48" s="105"/>
      <c r="E48" s="105"/>
      <c r="F48" s="105"/>
      <c r="G48" s="105"/>
      <c r="H48" s="105"/>
      <c r="I48" s="109" t="s">
        <v>9</v>
      </c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2:28" ht="23.25" customHeight="1" x14ac:dyDescent="0.15">
      <c r="B49" s="105" t="s">
        <v>30</v>
      </c>
      <c r="C49" s="105"/>
      <c r="D49" s="105"/>
      <c r="E49" s="105"/>
      <c r="F49" s="105"/>
      <c r="G49" s="105"/>
      <c r="H49" s="105"/>
      <c r="I49" s="109" t="str">
        <f>TEXT(MAX(改訂履歴!J5:J996),"yyyy/mm/dd")</f>
        <v>2024/01/22</v>
      </c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2:28" ht="23.25" customHeight="1" x14ac:dyDescent="0.15">
      <c r="B50" s="105" t="s">
        <v>31</v>
      </c>
      <c r="C50" s="105"/>
      <c r="D50" s="105"/>
      <c r="E50" s="105"/>
      <c r="F50" s="105"/>
      <c r="G50" s="105"/>
      <c r="H50" s="105"/>
      <c r="I50" s="109" t="s">
        <v>42</v>
      </c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</row>
    <row r="51" spans="2:28" ht="23.25" customHeight="1" x14ac:dyDescent="0.15">
      <c r="B51" s="105" t="s">
        <v>34</v>
      </c>
      <c r="C51" s="105"/>
      <c r="D51" s="105"/>
      <c r="E51" s="105"/>
      <c r="F51" s="105"/>
      <c r="G51" s="105"/>
      <c r="H51" s="105"/>
      <c r="I51" s="109" t="str">
        <f>"【 Ver " &amp; TEXT(MAX(改訂履歴!E5:E996),"0.00") &amp; " 】"</f>
        <v>【 Ver 1.05 】</v>
      </c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</row>
  </sheetData>
  <mergeCells count="33">
    <mergeCell ref="B51:H51"/>
    <mergeCell ref="I51:AB51"/>
    <mergeCell ref="B49:H49"/>
    <mergeCell ref="I49:AB49"/>
    <mergeCell ref="B50:H50"/>
    <mergeCell ref="I50:AB50"/>
    <mergeCell ref="B48:H48"/>
    <mergeCell ref="I48:AB48"/>
    <mergeCell ref="B44:H44"/>
    <mergeCell ref="B45:H45"/>
    <mergeCell ref="B46:H46"/>
    <mergeCell ref="B47:H47"/>
    <mergeCell ref="I45:AB45"/>
    <mergeCell ref="I46:AB46"/>
    <mergeCell ref="I47:AB47"/>
    <mergeCell ref="I44:AB44"/>
    <mergeCell ref="G11:W12"/>
    <mergeCell ref="G14:W15"/>
    <mergeCell ref="G17:W18"/>
    <mergeCell ref="G20:W21"/>
    <mergeCell ref="I42:AB42"/>
    <mergeCell ref="B41:H41"/>
    <mergeCell ref="B42:H42"/>
    <mergeCell ref="B43:H43"/>
    <mergeCell ref="B39:H39"/>
    <mergeCell ref="J27:T28"/>
    <mergeCell ref="J29:T30"/>
    <mergeCell ref="I40:AB40"/>
    <mergeCell ref="I41:AB41"/>
    <mergeCell ref="I39:AB39"/>
    <mergeCell ref="B38:AB38"/>
    <mergeCell ref="B40:H40"/>
    <mergeCell ref="I43:AB43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29"/>
  <sheetViews>
    <sheetView zoomScale="85" zoomScaleNormal="85" workbookViewId="0"/>
  </sheetViews>
  <sheetFormatPr defaultColWidth="1.875" defaultRowHeight="15" customHeight="1" x14ac:dyDescent="0.15"/>
  <cols>
    <col min="1" max="4" width="1.875" style="1" customWidth="1"/>
    <col min="5" max="9" width="1.875" style="14" customWidth="1"/>
    <col min="10" max="26" width="1.875" style="1" customWidth="1"/>
    <col min="27" max="33" width="2.375" style="1" customWidth="1"/>
    <col min="34" max="16384" width="1.875" style="1"/>
  </cols>
  <sheetData>
    <row r="1" spans="1:76" ht="15" customHeight="1" x14ac:dyDescent="0.15">
      <c r="A1" s="1" t="s">
        <v>2</v>
      </c>
    </row>
    <row r="3" spans="1:76" s="2" customFormat="1" ht="15" customHeight="1" x14ac:dyDescent="0.15">
      <c r="A3" s="121" t="s">
        <v>16</v>
      </c>
      <c r="B3" s="121"/>
      <c r="C3" s="121"/>
      <c r="D3" s="121"/>
      <c r="E3" s="142" t="s">
        <v>17</v>
      </c>
      <c r="F3" s="143"/>
      <c r="G3" s="143"/>
      <c r="H3" s="143"/>
      <c r="I3" s="144"/>
      <c r="J3" s="133" t="s">
        <v>5</v>
      </c>
      <c r="K3" s="134"/>
      <c r="L3" s="134"/>
      <c r="M3" s="134"/>
      <c r="N3" s="134"/>
      <c r="O3" s="134"/>
      <c r="P3" s="134"/>
      <c r="Q3" s="135"/>
      <c r="R3" s="121" t="s">
        <v>3</v>
      </c>
      <c r="S3" s="121"/>
      <c r="T3" s="121"/>
      <c r="U3" s="121"/>
      <c r="V3" s="121"/>
      <c r="W3" s="121" t="s">
        <v>6</v>
      </c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 t="s">
        <v>7</v>
      </c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 t="s">
        <v>8</v>
      </c>
      <c r="BS3" s="121"/>
      <c r="BT3" s="121"/>
      <c r="BU3" s="121"/>
      <c r="BV3" s="121"/>
      <c r="BW3" s="121"/>
      <c r="BX3" s="121"/>
    </row>
    <row r="4" spans="1:76" s="2" customFormat="1" ht="15" customHeight="1" x14ac:dyDescent="0.15">
      <c r="A4" s="121"/>
      <c r="B4" s="121"/>
      <c r="C4" s="121"/>
      <c r="D4" s="121"/>
      <c r="E4" s="145"/>
      <c r="F4" s="146"/>
      <c r="G4" s="146"/>
      <c r="H4" s="146"/>
      <c r="I4" s="147"/>
      <c r="J4" s="136"/>
      <c r="K4" s="137"/>
      <c r="L4" s="137"/>
      <c r="M4" s="137"/>
      <c r="N4" s="137"/>
      <c r="O4" s="137"/>
      <c r="P4" s="137"/>
      <c r="Q4" s="138"/>
      <c r="R4" s="121"/>
      <c r="S4" s="121"/>
      <c r="T4" s="121"/>
      <c r="U4" s="121"/>
      <c r="V4" s="121"/>
      <c r="W4" s="121" t="s">
        <v>4</v>
      </c>
      <c r="X4" s="121"/>
      <c r="Y4" s="121"/>
      <c r="Z4" s="121"/>
      <c r="AA4" s="121" t="s">
        <v>47</v>
      </c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</row>
    <row r="5" spans="1:76" ht="20.100000000000001" customHeight="1" x14ac:dyDescent="0.15">
      <c r="A5" s="129">
        <v>1</v>
      </c>
      <c r="B5" s="129"/>
      <c r="C5" s="129"/>
      <c r="D5" s="129"/>
      <c r="E5" s="148">
        <v>1</v>
      </c>
      <c r="F5" s="149"/>
      <c r="G5" s="149"/>
      <c r="H5" s="149"/>
      <c r="I5" s="150"/>
      <c r="J5" s="139">
        <f>タイトル!I47</f>
        <v>45202</v>
      </c>
      <c r="K5" s="140"/>
      <c r="L5" s="140"/>
      <c r="M5" s="140"/>
      <c r="N5" s="140"/>
      <c r="O5" s="140"/>
      <c r="P5" s="140"/>
      <c r="Q5" s="141"/>
      <c r="R5" s="130" t="s">
        <v>11</v>
      </c>
      <c r="S5" s="131"/>
      <c r="T5" s="131"/>
      <c r="U5" s="131"/>
      <c r="V5" s="132"/>
      <c r="W5" s="126"/>
      <c r="X5" s="127"/>
      <c r="Y5" s="127"/>
      <c r="Z5" s="128"/>
      <c r="AA5" s="126"/>
      <c r="AB5" s="127"/>
      <c r="AC5" s="127"/>
      <c r="AD5" s="127"/>
      <c r="AE5" s="127"/>
      <c r="AF5" s="127"/>
      <c r="AG5" s="128"/>
      <c r="AH5" s="122" t="s">
        <v>18</v>
      </c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3" t="s">
        <v>45</v>
      </c>
      <c r="BS5" s="123"/>
      <c r="BT5" s="123"/>
      <c r="BU5" s="123"/>
      <c r="BV5" s="123"/>
      <c r="BW5" s="123"/>
      <c r="BX5" s="123"/>
    </row>
    <row r="6" spans="1:76" ht="20.100000000000001" customHeight="1" x14ac:dyDescent="0.15">
      <c r="A6" s="118">
        <v>2</v>
      </c>
      <c r="B6" s="118"/>
      <c r="C6" s="118"/>
      <c r="D6" s="118"/>
      <c r="E6" s="119">
        <v>1.01</v>
      </c>
      <c r="F6" s="119"/>
      <c r="G6" s="119"/>
      <c r="H6" s="119"/>
      <c r="I6" s="119"/>
      <c r="J6" s="120">
        <v>45209</v>
      </c>
      <c r="K6" s="120"/>
      <c r="L6" s="120"/>
      <c r="M6" s="120"/>
      <c r="N6" s="120"/>
      <c r="O6" s="120"/>
      <c r="P6" s="120"/>
      <c r="Q6" s="120"/>
      <c r="R6" s="118" t="s">
        <v>74</v>
      </c>
      <c r="S6" s="118"/>
      <c r="T6" s="118"/>
      <c r="U6" s="118"/>
      <c r="V6" s="118"/>
      <c r="W6" s="115"/>
      <c r="X6" s="115"/>
      <c r="Y6" s="115"/>
      <c r="Z6" s="115"/>
      <c r="AA6" s="124" t="s">
        <v>82</v>
      </c>
      <c r="AB6" s="124"/>
      <c r="AC6" s="124"/>
      <c r="AD6" s="124"/>
      <c r="AE6" s="124"/>
      <c r="AF6" s="124"/>
      <c r="AG6" s="124"/>
      <c r="AH6" s="116" t="s">
        <v>75</v>
      </c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25" t="s">
        <v>44</v>
      </c>
      <c r="BS6" s="117"/>
      <c r="BT6" s="117"/>
      <c r="BU6" s="117"/>
      <c r="BV6" s="117"/>
      <c r="BW6" s="117"/>
      <c r="BX6" s="117"/>
    </row>
    <row r="7" spans="1:76" ht="20.100000000000001" customHeight="1" x14ac:dyDescent="0.15">
      <c r="A7" s="118">
        <v>3</v>
      </c>
      <c r="B7" s="118"/>
      <c r="C7" s="118"/>
      <c r="D7" s="118"/>
      <c r="E7" s="119">
        <v>1.02</v>
      </c>
      <c r="F7" s="119"/>
      <c r="G7" s="119"/>
      <c r="H7" s="119"/>
      <c r="I7" s="119"/>
      <c r="J7" s="120">
        <v>45215</v>
      </c>
      <c r="K7" s="120"/>
      <c r="L7" s="120"/>
      <c r="M7" s="120"/>
      <c r="N7" s="120"/>
      <c r="O7" s="120"/>
      <c r="P7" s="120"/>
      <c r="Q7" s="120"/>
      <c r="R7" s="118" t="s">
        <v>74</v>
      </c>
      <c r="S7" s="118"/>
      <c r="T7" s="118"/>
      <c r="U7" s="118"/>
      <c r="V7" s="118"/>
      <c r="W7" s="115"/>
      <c r="X7" s="115"/>
      <c r="Y7" s="115"/>
      <c r="Z7" s="115"/>
      <c r="AA7" s="124" t="s">
        <v>82</v>
      </c>
      <c r="AB7" s="124"/>
      <c r="AC7" s="124"/>
      <c r="AD7" s="124"/>
      <c r="AE7" s="124"/>
      <c r="AF7" s="124"/>
      <c r="AG7" s="124"/>
      <c r="AH7" s="116" t="s">
        <v>80</v>
      </c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125" t="s">
        <v>44</v>
      </c>
      <c r="BS7" s="117"/>
      <c r="BT7" s="117"/>
      <c r="BU7" s="117"/>
      <c r="BV7" s="117"/>
      <c r="BW7" s="117"/>
      <c r="BX7" s="117"/>
    </row>
    <row r="8" spans="1:76" ht="20.100000000000001" customHeight="1" x14ac:dyDescent="0.15">
      <c r="A8" s="118">
        <v>4</v>
      </c>
      <c r="B8" s="118"/>
      <c r="C8" s="118"/>
      <c r="D8" s="118"/>
      <c r="E8" s="119">
        <v>1.03</v>
      </c>
      <c r="F8" s="119"/>
      <c r="G8" s="119"/>
      <c r="H8" s="119"/>
      <c r="I8" s="119"/>
      <c r="J8" s="120">
        <v>45222</v>
      </c>
      <c r="K8" s="120"/>
      <c r="L8" s="120"/>
      <c r="M8" s="120"/>
      <c r="N8" s="120"/>
      <c r="O8" s="120"/>
      <c r="P8" s="120"/>
      <c r="Q8" s="120"/>
      <c r="R8" s="118" t="s">
        <v>74</v>
      </c>
      <c r="S8" s="118"/>
      <c r="T8" s="118"/>
      <c r="U8" s="118"/>
      <c r="V8" s="118"/>
      <c r="W8" s="115"/>
      <c r="X8" s="115"/>
      <c r="Y8" s="115"/>
      <c r="Z8" s="115"/>
      <c r="AA8" s="124" t="s">
        <v>82</v>
      </c>
      <c r="AB8" s="124"/>
      <c r="AC8" s="124"/>
      <c r="AD8" s="124"/>
      <c r="AE8" s="124"/>
      <c r="AF8" s="124"/>
      <c r="AG8" s="124"/>
      <c r="AH8" s="116" t="s">
        <v>89</v>
      </c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25" t="s">
        <v>44</v>
      </c>
      <c r="BS8" s="117"/>
      <c r="BT8" s="117"/>
      <c r="BU8" s="117"/>
      <c r="BV8" s="117"/>
      <c r="BW8" s="117"/>
      <c r="BX8" s="117"/>
    </row>
    <row r="9" spans="1:76" ht="20.100000000000001" customHeight="1" x14ac:dyDescent="0.15">
      <c r="A9" s="118">
        <v>5</v>
      </c>
      <c r="B9" s="118"/>
      <c r="C9" s="118"/>
      <c r="D9" s="118"/>
      <c r="E9" s="119"/>
      <c r="F9" s="119"/>
      <c r="G9" s="119"/>
      <c r="H9" s="119"/>
      <c r="I9" s="119"/>
      <c r="J9" s="120">
        <v>45222</v>
      </c>
      <c r="K9" s="120"/>
      <c r="L9" s="120"/>
      <c r="M9" s="120"/>
      <c r="N9" s="120"/>
      <c r="O9" s="120"/>
      <c r="P9" s="120"/>
      <c r="Q9" s="120"/>
      <c r="R9" s="118" t="s">
        <v>74</v>
      </c>
      <c r="S9" s="118"/>
      <c r="T9" s="118"/>
      <c r="U9" s="118"/>
      <c r="V9" s="118"/>
      <c r="W9" s="115"/>
      <c r="X9" s="115"/>
      <c r="Y9" s="115"/>
      <c r="Z9" s="115"/>
      <c r="AA9" s="115" t="s">
        <v>87</v>
      </c>
      <c r="AB9" s="115"/>
      <c r="AC9" s="115"/>
      <c r="AD9" s="115"/>
      <c r="AE9" s="115"/>
      <c r="AF9" s="115"/>
      <c r="AG9" s="115"/>
      <c r="AH9" s="116" t="s">
        <v>91</v>
      </c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25" t="s">
        <v>44</v>
      </c>
      <c r="BS9" s="117"/>
      <c r="BT9" s="117"/>
      <c r="BU9" s="117"/>
      <c r="BV9" s="117"/>
      <c r="BW9" s="117"/>
      <c r="BX9" s="117"/>
    </row>
    <row r="10" spans="1:76" ht="20.100000000000001" customHeight="1" x14ac:dyDescent="0.15">
      <c r="A10" s="118">
        <v>6</v>
      </c>
      <c r="B10" s="118"/>
      <c r="C10" s="118"/>
      <c r="D10" s="118"/>
      <c r="E10" s="119">
        <v>1.04</v>
      </c>
      <c r="F10" s="119"/>
      <c r="G10" s="119"/>
      <c r="H10" s="119"/>
      <c r="I10" s="119"/>
      <c r="J10" s="120">
        <v>45261</v>
      </c>
      <c r="K10" s="120"/>
      <c r="L10" s="120"/>
      <c r="M10" s="120"/>
      <c r="N10" s="120"/>
      <c r="O10" s="120"/>
      <c r="P10" s="120"/>
      <c r="Q10" s="120"/>
      <c r="R10" s="118" t="s">
        <v>74</v>
      </c>
      <c r="S10" s="118"/>
      <c r="T10" s="118"/>
      <c r="U10" s="118"/>
      <c r="V10" s="118"/>
      <c r="W10" s="115"/>
      <c r="X10" s="115"/>
      <c r="Y10" s="115"/>
      <c r="Z10" s="115"/>
      <c r="AA10" s="116" t="s">
        <v>87</v>
      </c>
      <c r="AB10" s="115"/>
      <c r="AC10" s="115"/>
      <c r="AD10" s="115"/>
      <c r="AE10" s="115"/>
      <c r="AF10" s="115"/>
      <c r="AG10" s="115"/>
      <c r="AH10" s="116" t="s">
        <v>93</v>
      </c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125" t="s">
        <v>44</v>
      </c>
      <c r="BS10" s="117"/>
      <c r="BT10" s="117"/>
      <c r="BU10" s="117"/>
      <c r="BV10" s="117"/>
      <c r="BW10" s="117"/>
      <c r="BX10" s="117"/>
    </row>
    <row r="11" spans="1:76" ht="20.100000000000001" customHeight="1" x14ac:dyDescent="0.15">
      <c r="A11" s="118">
        <v>7</v>
      </c>
      <c r="B11" s="118"/>
      <c r="C11" s="118"/>
      <c r="D11" s="118"/>
      <c r="E11" s="119">
        <v>1.05</v>
      </c>
      <c r="F11" s="119"/>
      <c r="G11" s="119"/>
      <c r="H11" s="119"/>
      <c r="I11" s="119"/>
      <c r="J11" s="120">
        <v>45313</v>
      </c>
      <c r="K11" s="120"/>
      <c r="L11" s="120"/>
      <c r="M11" s="120"/>
      <c r="N11" s="120"/>
      <c r="O11" s="120"/>
      <c r="P11" s="120"/>
      <c r="Q11" s="120"/>
      <c r="R11" s="118" t="s">
        <v>74</v>
      </c>
      <c r="S11" s="118"/>
      <c r="T11" s="118"/>
      <c r="U11" s="118"/>
      <c r="V11" s="118"/>
      <c r="W11" s="115"/>
      <c r="X11" s="115"/>
      <c r="Y11" s="115"/>
      <c r="Z11" s="115"/>
      <c r="AA11" s="116" t="s">
        <v>87</v>
      </c>
      <c r="AB11" s="115"/>
      <c r="AC11" s="115"/>
      <c r="AD11" s="115"/>
      <c r="AE11" s="115"/>
      <c r="AF11" s="115"/>
      <c r="AG11" s="115"/>
      <c r="AH11" s="116" t="s">
        <v>112</v>
      </c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25" t="s">
        <v>44</v>
      </c>
      <c r="BS11" s="117"/>
      <c r="BT11" s="117"/>
      <c r="BU11" s="117"/>
      <c r="BV11" s="117"/>
      <c r="BW11" s="117"/>
      <c r="BX11" s="117"/>
    </row>
    <row r="12" spans="1:76" ht="20.100000000000001" customHeight="1" x14ac:dyDescent="0.15">
      <c r="A12" s="118"/>
      <c r="B12" s="118"/>
      <c r="C12" s="118"/>
      <c r="D12" s="118"/>
      <c r="E12" s="119"/>
      <c r="F12" s="119"/>
      <c r="G12" s="119"/>
      <c r="H12" s="119"/>
      <c r="I12" s="119"/>
      <c r="J12" s="120"/>
      <c r="K12" s="120"/>
      <c r="L12" s="120"/>
      <c r="M12" s="120"/>
      <c r="N12" s="120"/>
      <c r="O12" s="120"/>
      <c r="P12" s="120"/>
      <c r="Q12" s="120"/>
      <c r="R12" s="118"/>
      <c r="S12" s="118"/>
      <c r="T12" s="118"/>
      <c r="U12" s="118"/>
      <c r="V12" s="118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6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7"/>
      <c r="BS12" s="117"/>
      <c r="BT12" s="117"/>
      <c r="BU12" s="117"/>
      <c r="BV12" s="117"/>
      <c r="BW12" s="117"/>
      <c r="BX12" s="117"/>
    </row>
    <row r="13" spans="1:76" ht="20.100000000000001" customHeight="1" x14ac:dyDescent="0.15">
      <c r="A13" s="118"/>
      <c r="B13" s="118"/>
      <c r="C13" s="118"/>
      <c r="D13" s="118"/>
      <c r="E13" s="119"/>
      <c r="F13" s="119"/>
      <c r="G13" s="119"/>
      <c r="H13" s="119"/>
      <c r="I13" s="119"/>
      <c r="J13" s="120"/>
      <c r="K13" s="120"/>
      <c r="L13" s="120"/>
      <c r="M13" s="120"/>
      <c r="N13" s="120"/>
      <c r="O13" s="120"/>
      <c r="P13" s="120"/>
      <c r="Q13" s="120"/>
      <c r="R13" s="118"/>
      <c r="S13" s="118"/>
      <c r="T13" s="118"/>
      <c r="U13" s="118"/>
      <c r="V13" s="118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6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7"/>
      <c r="BS13" s="117"/>
      <c r="BT13" s="117"/>
      <c r="BU13" s="117"/>
      <c r="BV13" s="117"/>
      <c r="BW13" s="117"/>
      <c r="BX13" s="117"/>
    </row>
    <row r="14" spans="1:76" ht="20.100000000000001" customHeight="1" x14ac:dyDescent="0.15">
      <c r="A14" s="118"/>
      <c r="B14" s="118"/>
      <c r="C14" s="118"/>
      <c r="D14" s="118"/>
      <c r="E14" s="119"/>
      <c r="F14" s="119"/>
      <c r="G14" s="119"/>
      <c r="H14" s="119"/>
      <c r="I14" s="119"/>
      <c r="J14" s="120"/>
      <c r="K14" s="120"/>
      <c r="L14" s="120"/>
      <c r="M14" s="120"/>
      <c r="N14" s="120"/>
      <c r="O14" s="120"/>
      <c r="P14" s="120"/>
      <c r="Q14" s="120"/>
      <c r="R14" s="118"/>
      <c r="S14" s="118"/>
      <c r="T14" s="118"/>
      <c r="U14" s="118"/>
      <c r="V14" s="118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6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7"/>
      <c r="BS14" s="117"/>
      <c r="BT14" s="117"/>
      <c r="BU14" s="117"/>
      <c r="BV14" s="117"/>
      <c r="BW14" s="117"/>
      <c r="BX14" s="117"/>
    </row>
    <row r="15" spans="1:76" ht="20.100000000000001" customHeight="1" x14ac:dyDescent="0.15">
      <c r="A15" s="118"/>
      <c r="B15" s="118"/>
      <c r="C15" s="118"/>
      <c r="D15" s="118"/>
      <c r="E15" s="119"/>
      <c r="F15" s="119"/>
      <c r="G15" s="119"/>
      <c r="H15" s="119"/>
      <c r="I15" s="119"/>
      <c r="J15" s="120"/>
      <c r="K15" s="120"/>
      <c r="L15" s="120"/>
      <c r="M15" s="120"/>
      <c r="N15" s="120"/>
      <c r="O15" s="120"/>
      <c r="P15" s="120"/>
      <c r="Q15" s="120"/>
      <c r="R15" s="118"/>
      <c r="S15" s="118"/>
      <c r="T15" s="118"/>
      <c r="U15" s="118"/>
      <c r="V15" s="118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6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115"/>
      <c r="BN15" s="115"/>
      <c r="BO15" s="115"/>
      <c r="BP15" s="115"/>
      <c r="BQ15" s="115"/>
      <c r="BR15" s="117"/>
      <c r="BS15" s="117"/>
      <c r="BT15" s="117"/>
      <c r="BU15" s="117"/>
      <c r="BV15" s="117"/>
      <c r="BW15" s="117"/>
      <c r="BX15" s="117"/>
    </row>
    <row r="16" spans="1:76" ht="20.100000000000001" customHeight="1" x14ac:dyDescent="0.15">
      <c r="A16" s="118"/>
      <c r="B16" s="118"/>
      <c r="C16" s="118"/>
      <c r="D16" s="118"/>
      <c r="E16" s="119"/>
      <c r="F16" s="119"/>
      <c r="G16" s="119"/>
      <c r="H16" s="119"/>
      <c r="I16" s="119"/>
      <c r="J16" s="120"/>
      <c r="K16" s="120"/>
      <c r="L16" s="120"/>
      <c r="M16" s="120"/>
      <c r="N16" s="120"/>
      <c r="O16" s="120"/>
      <c r="P16" s="120"/>
      <c r="Q16" s="120"/>
      <c r="R16" s="118"/>
      <c r="S16" s="118"/>
      <c r="T16" s="118"/>
      <c r="U16" s="118"/>
      <c r="V16" s="118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6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7"/>
      <c r="BS16" s="117"/>
      <c r="BT16" s="117"/>
      <c r="BU16" s="117"/>
      <c r="BV16" s="117"/>
      <c r="BW16" s="117"/>
      <c r="BX16" s="117"/>
    </row>
    <row r="17" spans="1:76" ht="20.100000000000001" customHeight="1" x14ac:dyDescent="0.15">
      <c r="A17" s="118"/>
      <c r="B17" s="118"/>
      <c r="C17" s="118"/>
      <c r="D17" s="118"/>
      <c r="E17" s="119"/>
      <c r="F17" s="119"/>
      <c r="G17" s="119"/>
      <c r="H17" s="119"/>
      <c r="I17" s="119"/>
      <c r="J17" s="120"/>
      <c r="K17" s="120"/>
      <c r="L17" s="120"/>
      <c r="M17" s="120"/>
      <c r="N17" s="120"/>
      <c r="O17" s="120"/>
      <c r="P17" s="120"/>
      <c r="Q17" s="120"/>
      <c r="R17" s="118"/>
      <c r="S17" s="118"/>
      <c r="T17" s="118"/>
      <c r="U17" s="118"/>
      <c r="V17" s="118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6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7"/>
      <c r="BS17" s="117"/>
      <c r="BT17" s="117"/>
      <c r="BU17" s="117"/>
      <c r="BV17" s="117"/>
      <c r="BW17" s="117"/>
      <c r="BX17" s="117"/>
    </row>
    <row r="18" spans="1:76" ht="20.100000000000001" customHeight="1" x14ac:dyDescent="0.15">
      <c r="A18" s="118"/>
      <c r="B18" s="118"/>
      <c r="C18" s="118"/>
      <c r="D18" s="118"/>
      <c r="E18" s="119"/>
      <c r="F18" s="119"/>
      <c r="G18" s="119"/>
      <c r="H18" s="119"/>
      <c r="I18" s="119"/>
      <c r="J18" s="120"/>
      <c r="K18" s="120"/>
      <c r="L18" s="120"/>
      <c r="M18" s="120"/>
      <c r="N18" s="120"/>
      <c r="O18" s="120"/>
      <c r="P18" s="120"/>
      <c r="Q18" s="120"/>
      <c r="R18" s="118"/>
      <c r="S18" s="118"/>
      <c r="T18" s="118"/>
      <c r="U18" s="118"/>
      <c r="V18" s="118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6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7"/>
      <c r="BS18" s="117"/>
      <c r="BT18" s="117"/>
      <c r="BU18" s="117"/>
      <c r="BV18" s="117"/>
      <c r="BW18" s="117"/>
      <c r="BX18" s="117"/>
    </row>
    <row r="19" spans="1:76" ht="20.100000000000001" customHeight="1" x14ac:dyDescent="0.15">
      <c r="A19" s="118"/>
      <c r="B19" s="118"/>
      <c r="C19" s="118"/>
      <c r="D19" s="118"/>
      <c r="E19" s="119"/>
      <c r="F19" s="119"/>
      <c r="G19" s="119"/>
      <c r="H19" s="119"/>
      <c r="I19" s="119"/>
      <c r="J19" s="120"/>
      <c r="K19" s="120"/>
      <c r="L19" s="120"/>
      <c r="M19" s="120"/>
      <c r="N19" s="120"/>
      <c r="O19" s="120"/>
      <c r="P19" s="120"/>
      <c r="Q19" s="120"/>
      <c r="R19" s="118"/>
      <c r="S19" s="118"/>
      <c r="T19" s="118"/>
      <c r="U19" s="118"/>
      <c r="V19" s="118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6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  <c r="BQ19" s="115"/>
      <c r="BR19" s="117"/>
      <c r="BS19" s="117"/>
      <c r="BT19" s="117"/>
      <c r="BU19" s="117"/>
      <c r="BV19" s="117"/>
      <c r="BW19" s="117"/>
      <c r="BX19" s="117"/>
    </row>
    <row r="20" spans="1:76" ht="20.100000000000001" customHeight="1" x14ac:dyDescent="0.15">
      <c r="A20" s="118"/>
      <c r="B20" s="118"/>
      <c r="C20" s="118"/>
      <c r="D20" s="118"/>
      <c r="E20" s="119"/>
      <c r="F20" s="119"/>
      <c r="G20" s="119"/>
      <c r="H20" s="119"/>
      <c r="I20" s="119"/>
      <c r="J20" s="120"/>
      <c r="K20" s="120"/>
      <c r="L20" s="120"/>
      <c r="M20" s="120"/>
      <c r="N20" s="120"/>
      <c r="O20" s="120"/>
      <c r="P20" s="120"/>
      <c r="Q20" s="120"/>
      <c r="R20" s="118"/>
      <c r="S20" s="118"/>
      <c r="T20" s="118"/>
      <c r="U20" s="118"/>
      <c r="V20" s="118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6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5"/>
      <c r="BN20" s="115"/>
      <c r="BO20" s="115"/>
      <c r="BP20" s="115"/>
      <c r="BQ20" s="115"/>
      <c r="BR20" s="117"/>
      <c r="BS20" s="117"/>
      <c r="BT20" s="117"/>
      <c r="BU20" s="117"/>
      <c r="BV20" s="117"/>
      <c r="BW20" s="117"/>
      <c r="BX20" s="117"/>
    </row>
    <row r="21" spans="1:76" ht="20.100000000000001" customHeight="1" x14ac:dyDescent="0.15">
      <c r="A21" s="118"/>
      <c r="B21" s="118"/>
      <c r="C21" s="118"/>
      <c r="D21" s="118"/>
      <c r="E21" s="119"/>
      <c r="F21" s="119"/>
      <c r="G21" s="119"/>
      <c r="H21" s="119"/>
      <c r="I21" s="119"/>
      <c r="J21" s="120"/>
      <c r="K21" s="120"/>
      <c r="L21" s="120"/>
      <c r="M21" s="120"/>
      <c r="N21" s="120"/>
      <c r="O21" s="120"/>
      <c r="P21" s="120"/>
      <c r="Q21" s="120"/>
      <c r="R21" s="118"/>
      <c r="S21" s="118"/>
      <c r="T21" s="118"/>
      <c r="U21" s="118"/>
      <c r="V21" s="118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6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  <c r="BQ21" s="115"/>
      <c r="BR21" s="117"/>
      <c r="BS21" s="117"/>
      <c r="BT21" s="117"/>
      <c r="BU21" s="117"/>
      <c r="BV21" s="117"/>
      <c r="BW21" s="117"/>
      <c r="BX21" s="117"/>
    </row>
    <row r="22" spans="1:76" ht="20.100000000000001" customHeight="1" x14ac:dyDescent="0.15">
      <c r="A22" s="118"/>
      <c r="B22" s="118"/>
      <c r="C22" s="118"/>
      <c r="D22" s="118"/>
      <c r="E22" s="119"/>
      <c r="F22" s="119"/>
      <c r="G22" s="119"/>
      <c r="H22" s="119"/>
      <c r="I22" s="119"/>
      <c r="J22" s="120"/>
      <c r="K22" s="120"/>
      <c r="L22" s="120"/>
      <c r="M22" s="120"/>
      <c r="N22" s="120"/>
      <c r="O22" s="120"/>
      <c r="P22" s="120"/>
      <c r="Q22" s="120"/>
      <c r="R22" s="118"/>
      <c r="S22" s="118"/>
      <c r="T22" s="118"/>
      <c r="U22" s="118"/>
      <c r="V22" s="118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6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7"/>
      <c r="BS22" s="117"/>
      <c r="BT22" s="117"/>
      <c r="BU22" s="117"/>
      <c r="BV22" s="117"/>
      <c r="BW22" s="117"/>
      <c r="BX22" s="117"/>
    </row>
    <row r="23" spans="1:76" ht="20.100000000000001" customHeight="1" x14ac:dyDescent="0.15">
      <c r="A23" s="118"/>
      <c r="B23" s="118"/>
      <c r="C23" s="118"/>
      <c r="D23" s="118"/>
      <c r="E23" s="119"/>
      <c r="F23" s="119"/>
      <c r="G23" s="119"/>
      <c r="H23" s="119"/>
      <c r="I23" s="119"/>
      <c r="J23" s="120"/>
      <c r="K23" s="120"/>
      <c r="L23" s="120"/>
      <c r="M23" s="120"/>
      <c r="N23" s="120"/>
      <c r="O23" s="120"/>
      <c r="P23" s="120"/>
      <c r="Q23" s="120"/>
      <c r="R23" s="118"/>
      <c r="S23" s="118"/>
      <c r="T23" s="118"/>
      <c r="U23" s="118"/>
      <c r="V23" s="118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6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  <c r="BQ23" s="115"/>
      <c r="BR23" s="117"/>
      <c r="BS23" s="117"/>
      <c r="BT23" s="117"/>
      <c r="BU23" s="117"/>
      <c r="BV23" s="117"/>
      <c r="BW23" s="117"/>
      <c r="BX23" s="117"/>
    </row>
    <row r="24" spans="1:76" ht="20.100000000000001" customHeight="1" x14ac:dyDescent="0.15">
      <c r="A24" s="118"/>
      <c r="B24" s="118"/>
      <c r="C24" s="118"/>
      <c r="D24" s="118"/>
      <c r="E24" s="119"/>
      <c r="F24" s="119"/>
      <c r="G24" s="119"/>
      <c r="H24" s="119"/>
      <c r="I24" s="119"/>
      <c r="J24" s="120"/>
      <c r="K24" s="120"/>
      <c r="L24" s="120"/>
      <c r="M24" s="120"/>
      <c r="N24" s="120"/>
      <c r="O24" s="120"/>
      <c r="P24" s="120"/>
      <c r="Q24" s="120"/>
      <c r="R24" s="118"/>
      <c r="S24" s="118"/>
      <c r="T24" s="118"/>
      <c r="U24" s="118"/>
      <c r="V24" s="118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6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7"/>
      <c r="BS24" s="117"/>
      <c r="BT24" s="117"/>
      <c r="BU24" s="117"/>
      <c r="BV24" s="117"/>
      <c r="BW24" s="117"/>
      <c r="BX24" s="117"/>
    </row>
    <row r="25" spans="1:76" ht="20.100000000000001" customHeight="1" x14ac:dyDescent="0.15">
      <c r="A25" s="118"/>
      <c r="B25" s="118"/>
      <c r="C25" s="118"/>
      <c r="D25" s="118"/>
      <c r="E25" s="119"/>
      <c r="F25" s="119"/>
      <c r="G25" s="119"/>
      <c r="H25" s="119"/>
      <c r="I25" s="119"/>
      <c r="J25" s="120"/>
      <c r="K25" s="120"/>
      <c r="L25" s="120"/>
      <c r="M25" s="120"/>
      <c r="N25" s="120"/>
      <c r="O25" s="120"/>
      <c r="P25" s="120"/>
      <c r="Q25" s="120"/>
      <c r="R25" s="118"/>
      <c r="S25" s="118"/>
      <c r="T25" s="118"/>
      <c r="U25" s="118"/>
      <c r="V25" s="118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6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117"/>
      <c r="BS25" s="117"/>
      <c r="BT25" s="117"/>
      <c r="BU25" s="117"/>
      <c r="BV25" s="117"/>
      <c r="BW25" s="117"/>
      <c r="BX25" s="117"/>
    </row>
    <row r="26" spans="1:76" ht="20.100000000000001" customHeight="1" x14ac:dyDescent="0.15">
      <c r="A26" s="118"/>
      <c r="B26" s="118"/>
      <c r="C26" s="118"/>
      <c r="D26" s="118"/>
      <c r="E26" s="119"/>
      <c r="F26" s="119"/>
      <c r="G26" s="119"/>
      <c r="H26" s="119"/>
      <c r="I26" s="119"/>
      <c r="J26" s="120"/>
      <c r="K26" s="120"/>
      <c r="L26" s="120"/>
      <c r="M26" s="120"/>
      <c r="N26" s="120"/>
      <c r="O26" s="120"/>
      <c r="P26" s="120"/>
      <c r="Q26" s="120"/>
      <c r="R26" s="118"/>
      <c r="S26" s="118"/>
      <c r="T26" s="118"/>
      <c r="U26" s="118"/>
      <c r="V26" s="118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6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  <c r="BQ26" s="115"/>
      <c r="BR26" s="117"/>
      <c r="BS26" s="117"/>
      <c r="BT26" s="117"/>
      <c r="BU26" s="117"/>
      <c r="BV26" s="117"/>
      <c r="BW26" s="117"/>
      <c r="BX26" s="117"/>
    </row>
    <row r="27" spans="1:76" ht="20.100000000000001" customHeight="1" x14ac:dyDescent="0.15">
      <c r="A27" s="118"/>
      <c r="B27" s="118"/>
      <c r="C27" s="118"/>
      <c r="D27" s="118"/>
      <c r="E27" s="119"/>
      <c r="F27" s="119"/>
      <c r="G27" s="119"/>
      <c r="H27" s="119"/>
      <c r="I27" s="119"/>
      <c r="J27" s="120"/>
      <c r="K27" s="120"/>
      <c r="L27" s="120"/>
      <c r="M27" s="120"/>
      <c r="N27" s="120"/>
      <c r="O27" s="120"/>
      <c r="P27" s="120"/>
      <c r="Q27" s="120"/>
      <c r="R27" s="118"/>
      <c r="S27" s="118"/>
      <c r="T27" s="118"/>
      <c r="U27" s="118"/>
      <c r="V27" s="118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6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7"/>
      <c r="BS27" s="117"/>
      <c r="BT27" s="117"/>
      <c r="BU27" s="117"/>
      <c r="BV27" s="117"/>
      <c r="BW27" s="117"/>
      <c r="BX27" s="117"/>
    </row>
    <row r="28" spans="1:76" ht="20.100000000000001" customHeight="1" x14ac:dyDescent="0.15">
      <c r="A28" s="118"/>
      <c r="B28" s="118"/>
      <c r="C28" s="118"/>
      <c r="D28" s="118"/>
      <c r="E28" s="119"/>
      <c r="F28" s="119"/>
      <c r="G28" s="119"/>
      <c r="H28" s="119"/>
      <c r="I28" s="119"/>
      <c r="J28" s="120"/>
      <c r="K28" s="120"/>
      <c r="L28" s="120"/>
      <c r="M28" s="120"/>
      <c r="N28" s="120"/>
      <c r="O28" s="120"/>
      <c r="P28" s="120"/>
      <c r="Q28" s="120"/>
      <c r="R28" s="118"/>
      <c r="S28" s="118"/>
      <c r="T28" s="118"/>
      <c r="U28" s="118"/>
      <c r="V28" s="118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6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  <c r="BQ28" s="115"/>
      <c r="BR28" s="117"/>
      <c r="BS28" s="117"/>
      <c r="BT28" s="117"/>
      <c r="BU28" s="117"/>
      <c r="BV28" s="117"/>
      <c r="BW28" s="117"/>
      <c r="BX28" s="117"/>
    </row>
    <row r="29" spans="1:76" ht="20.100000000000001" customHeight="1" x14ac:dyDescent="0.15">
      <c r="A29" s="118"/>
      <c r="B29" s="118"/>
      <c r="C29" s="118"/>
      <c r="D29" s="118"/>
      <c r="E29" s="119"/>
      <c r="F29" s="119"/>
      <c r="G29" s="119"/>
      <c r="H29" s="119"/>
      <c r="I29" s="119"/>
      <c r="J29" s="120"/>
      <c r="K29" s="120"/>
      <c r="L29" s="120"/>
      <c r="M29" s="120"/>
      <c r="N29" s="120"/>
      <c r="O29" s="120"/>
      <c r="P29" s="120"/>
      <c r="Q29" s="120"/>
      <c r="R29" s="118"/>
      <c r="S29" s="118"/>
      <c r="T29" s="118"/>
      <c r="U29" s="118"/>
      <c r="V29" s="118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6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7"/>
      <c r="BS29" s="117"/>
      <c r="BT29" s="117"/>
      <c r="BU29" s="117"/>
      <c r="BV29" s="117"/>
      <c r="BW29" s="117"/>
      <c r="BX29" s="117"/>
    </row>
  </sheetData>
  <mergeCells count="209">
    <mergeCell ref="A10:D10"/>
    <mergeCell ref="E10:I10"/>
    <mergeCell ref="J10:Q10"/>
    <mergeCell ref="R10:V10"/>
    <mergeCell ref="AH9:BQ9"/>
    <mergeCell ref="BR9:BX9"/>
    <mergeCell ref="W12:Z12"/>
    <mergeCell ref="AA12:AG12"/>
    <mergeCell ref="AH12:BQ12"/>
    <mergeCell ref="BR12:BX12"/>
    <mergeCell ref="A12:D12"/>
    <mergeCell ref="E12:I12"/>
    <mergeCell ref="J12:Q12"/>
    <mergeCell ref="R12:V12"/>
    <mergeCell ref="AH11:BQ11"/>
    <mergeCell ref="BR11:BX11"/>
    <mergeCell ref="A11:D11"/>
    <mergeCell ref="E11:I11"/>
    <mergeCell ref="J11:Q11"/>
    <mergeCell ref="R11:V11"/>
    <mergeCell ref="W11:Z11"/>
    <mergeCell ref="AA11:AG11"/>
    <mergeCell ref="AH8:BQ8"/>
    <mergeCell ref="BR8:BX8"/>
    <mergeCell ref="AA8:AG8"/>
    <mergeCell ref="W8:Z8"/>
    <mergeCell ref="BR7:BX7"/>
    <mergeCell ref="AH7:BQ7"/>
    <mergeCell ref="R9:V9"/>
    <mergeCell ref="W10:Z10"/>
    <mergeCell ref="AA10:AG10"/>
    <mergeCell ref="AH10:BQ10"/>
    <mergeCell ref="BR10:BX10"/>
    <mergeCell ref="R7:V7"/>
    <mergeCell ref="J8:Q8"/>
    <mergeCell ref="R8:V8"/>
    <mergeCell ref="W9:Z9"/>
    <mergeCell ref="AA9:AG9"/>
    <mergeCell ref="A5:D5"/>
    <mergeCell ref="R5:V5"/>
    <mergeCell ref="W7:Z7"/>
    <mergeCell ref="AA7:AG7"/>
    <mergeCell ref="A3:D4"/>
    <mergeCell ref="J3:Q4"/>
    <mergeCell ref="A9:D9"/>
    <mergeCell ref="E9:I9"/>
    <mergeCell ref="J9:Q9"/>
    <mergeCell ref="A8:D8"/>
    <mergeCell ref="E8:I8"/>
    <mergeCell ref="A6:D6"/>
    <mergeCell ref="E6:I6"/>
    <mergeCell ref="J6:Q6"/>
    <mergeCell ref="J5:Q5"/>
    <mergeCell ref="E3:I4"/>
    <mergeCell ref="E5:I5"/>
    <mergeCell ref="A7:D7"/>
    <mergeCell ref="E7:I7"/>
    <mergeCell ref="J7:Q7"/>
    <mergeCell ref="R3:V4"/>
    <mergeCell ref="R6:V6"/>
    <mergeCell ref="BR3:BX4"/>
    <mergeCell ref="AH3:BQ4"/>
    <mergeCell ref="AH5:BQ5"/>
    <mergeCell ref="BR5:BX5"/>
    <mergeCell ref="W6:Z6"/>
    <mergeCell ref="AA6:AG6"/>
    <mergeCell ref="AH6:BQ6"/>
    <mergeCell ref="BR6:BX6"/>
    <mergeCell ref="AA4:AG4"/>
    <mergeCell ref="W3:AG3"/>
    <mergeCell ref="W4:Z4"/>
    <mergeCell ref="W5:Z5"/>
    <mergeCell ref="AA5:AG5"/>
    <mergeCell ref="AA13:AG13"/>
    <mergeCell ref="AH13:BQ13"/>
    <mergeCell ref="BR13:BX13"/>
    <mergeCell ref="A14:D14"/>
    <mergeCell ref="E14:I14"/>
    <mergeCell ref="J14:Q14"/>
    <mergeCell ref="R14:V14"/>
    <mergeCell ref="W14:Z14"/>
    <mergeCell ref="AA14:AG14"/>
    <mergeCell ref="AH14:BQ14"/>
    <mergeCell ref="BR14:BX14"/>
    <mergeCell ref="A13:D13"/>
    <mergeCell ref="E13:I13"/>
    <mergeCell ref="J13:Q13"/>
    <mergeCell ref="R13:V13"/>
    <mergeCell ref="W13:Z13"/>
    <mergeCell ref="AA15:AG15"/>
    <mergeCell ref="AH15:BQ15"/>
    <mergeCell ref="BR15:BX15"/>
    <mergeCell ref="A16:D16"/>
    <mergeCell ref="E16:I16"/>
    <mergeCell ref="J16:Q16"/>
    <mergeCell ref="R16:V16"/>
    <mergeCell ref="W16:Z16"/>
    <mergeCell ref="AA16:AG16"/>
    <mergeCell ref="AH16:BQ16"/>
    <mergeCell ref="BR16:BX16"/>
    <mergeCell ref="A15:D15"/>
    <mergeCell ref="E15:I15"/>
    <mergeCell ref="J15:Q15"/>
    <mergeCell ref="R15:V15"/>
    <mergeCell ref="W15:Z15"/>
    <mergeCell ref="AA17:AG17"/>
    <mergeCell ref="AH17:BQ17"/>
    <mergeCell ref="BR17:BX17"/>
    <mergeCell ref="A18:D18"/>
    <mergeCell ref="E18:I18"/>
    <mergeCell ref="J18:Q18"/>
    <mergeCell ref="R18:V18"/>
    <mergeCell ref="W18:Z18"/>
    <mergeCell ref="AA18:AG18"/>
    <mergeCell ref="AH18:BQ18"/>
    <mergeCell ref="BR18:BX18"/>
    <mergeCell ref="A17:D17"/>
    <mergeCell ref="E17:I17"/>
    <mergeCell ref="J17:Q17"/>
    <mergeCell ref="R17:V17"/>
    <mergeCell ref="W17:Z17"/>
    <mergeCell ref="AA19:AG19"/>
    <mergeCell ref="AH19:BQ19"/>
    <mergeCell ref="BR19:BX19"/>
    <mergeCell ref="A20:D20"/>
    <mergeCell ref="E20:I20"/>
    <mergeCell ref="J20:Q20"/>
    <mergeCell ref="R20:V20"/>
    <mergeCell ref="W20:Z20"/>
    <mergeCell ref="AA20:AG20"/>
    <mergeCell ref="AH20:BQ20"/>
    <mergeCell ref="BR20:BX20"/>
    <mergeCell ref="A19:D19"/>
    <mergeCell ref="E19:I19"/>
    <mergeCell ref="J19:Q19"/>
    <mergeCell ref="R19:V19"/>
    <mergeCell ref="W19:Z19"/>
    <mergeCell ref="AA21:AG21"/>
    <mergeCell ref="AH21:BQ21"/>
    <mergeCell ref="BR21:BX21"/>
    <mergeCell ref="A22:D22"/>
    <mergeCell ref="E22:I22"/>
    <mergeCell ref="J22:Q22"/>
    <mergeCell ref="R22:V22"/>
    <mergeCell ref="W22:Z22"/>
    <mergeCell ref="AA22:AG22"/>
    <mergeCell ref="AH22:BQ22"/>
    <mergeCell ref="BR22:BX22"/>
    <mergeCell ref="A21:D21"/>
    <mergeCell ref="E21:I21"/>
    <mergeCell ref="J21:Q21"/>
    <mergeCell ref="R21:V21"/>
    <mergeCell ref="W21:Z21"/>
    <mergeCell ref="AA23:AG23"/>
    <mergeCell ref="AH23:BQ23"/>
    <mergeCell ref="BR23:BX23"/>
    <mergeCell ref="A24:D24"/>
    <mergeCell ref="E24:I24"/>
    <mergeCell ref="J24:Q24"/>
    <mergeCell ref="R24:V24"/>
    <mergeCell ref="W24:Z24"/>
    <mergeCell ref="AA24:AG24"/>
    <mergeCell ref="AH24:BQ24"/>
    <mergeCell ref="BR24:BX24"/>
    <mergeCell ref="A23:D23"/>
    <mergeCell ref="E23:I23"/>
    <mergeCell ref="J23:Q23"/>
    <mergeCell ref="R23:V23"/>
    <mergeCell ref="W23:Z23"/>
    <mergeCell ref="AA25:AG25"/>
    <mergeCell ref="AH25:BQ25"/>
    <mergeCell ref="BR25:BX25"/>
    <mergeCell ref="A26:D26"/>
    <mergeCell ref="E26:I26"/>
    <mergeCell ref="J26:Q26"/>
    <mergeCell ref="R26:V26"/>
    <mergeCell ref="W26:Z26"/>
    <mergeCell ref="AA26:AG26"/>
    <mergeCell ref="AH26:BQ26"/>
    <mergeCell ref="BR26:BX26"/>
    <mergeCell ref="A25:D25"/>
    <mergeCell ref="E25:I25"/>
    <mergeCell ref="J25:Q25"/>
    <mergeCell ref="R25:V25"/>
    <mergeCell ref="W25:Z25"/>
    <mergeCell ref="AA29:AG29"/>
    <mergeCell ref="AH29:BQ29"/>
    <mergeCell ref="BR29:BX29"/>
    <mergeCell ref="A29:D29"/>
    <mergeCell ref="E29:I29"/>
    <mergeCell ref="J29:Q29"/>
    <mergeCell ref="R29:V29"/>
    <mergeCell ref="W29:Z29"/>
    <mergeCell ref="AA27:AG27"/>
    <mergeCell ref="AH27:BQ27"/>
    <mergeCell ref="BR27:BX27"/>
    <mergeCell ref="A28:D28"/>
    <mergeCell ref="E28:I28"/>
    <mergeCell ref="J28:Q28"/>
    <mergeCell ref="R28:V28"/>
    <mergeCell ref="W28:Z28"/>
    <mergeCell ref="AA28:AG28"/>
    <mergeCell ref="AH28:BQ28"/>
    <mergeCell ref="BR28:BX28"/>
    <mergeCell ref="A27:D27"/>
    <mergeCell ref="E27:I27"/>
    <mergeCell ref="J27:Q27"/>
    <mergeCell ref="R27:V27"/>
    <mergeCell ref="W27:Z27"/>
  </mergeCells>
  <phoneticPr fontId="2"/>
  <pageMargins left="0.21" right="0.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EB47"/>
  <sheetViews>
    <sheetView zoomScaleNormal="100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75" defaultRowHeight="15" customHeight="1" x14ac:dyDescent="0.15"/>
  <cols>
    <col min="1" max="16384" width="1.875" style="17"/>
  </cols>
  <sheetData>
    <row r="1" spans="1:96" s="15" customFormat="1" ht="15" customHeight="1" x14ac:dyDescent="0.15">
      <c r="A1" s="193" t="s">
        <v>1</v>
      </c>
      <c r="B1" s="194"/>
      <c r="C1" s="194"/>
      <c r="D1" s="194"/>
      <c r="E1" s="194"/>
      <c r="F1" s="194"/>
      <c r="G1" s="194"/>
      <c r="H1" s="195"/>
      <c r="I1" s="196" t="str">
        <f>タイトル!I40</f>
        <v>　学生勤務管理システム</v>
      </c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8"/>
      <c r="AE1" s="199" t="s">
        <v>0</v>
      </c>
      <c r="AF1" s="200"/>
      <c r="AG1" s="200"/>
      <c r="AH1" s="200"/>
      <c r="AI1" s="200"/>
      <c r="AJ1" s="200"/>
      <c r="AK1" s="201"/>
      <c r="AL1" s="202" t="str">
        <f>タイトル!I43</f>
        <v>　機能設計</v>
      </c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4"/>
      <c r="BI1" s="199" t="s">
        <v>12</v>
      </c>
      <c r="BJ1" s="200"/>
      <c r="BK1" s="200"/>
      <c r="BL1" s="201"/>
      <c r="BM1" s="205" t="str">
        <f>タイトル!I46</f>
        <v>木田　優</v>
      </c>
      <c r="BN1" s="206"/>
      <c r="BO1" s="206"/>
      <c r="BP1" s="206"/>
      <c r="BQ1" s="206"/>
      <c r="BR1" s="206"/>
      <c r="BS1" s="206"/>
      <c r="BT1" s="206"/>
      <c r="BU1" s="206"/>
      <c r="BV1" s="207"/>
      <c r="BW1" s="151">
        <f>タイトル!I47</f>
        <v>45202</v>
      </c>
      <c r="BX1" s="152"/>
      <c r="BY1" s="152"/>
      <c r="BZ1" s="152"/>
      <c r="CA1" s="152"/>
      <c r="CB1" s="152"/>
      <c r="CC1" s="152"/>
      <c r="CD1" s="152"/>
      <c r="CE1" s="153"/>
      <c r="CF1" s="154" t="s">
        <v>13</v>
      </c>
      <c r="CG1" s="155"/>
      <c r="CH1" s="155"/>
      <c r="CI1" s="155"/>
      <c r="CJ1" s="156"/>
      <c r="CK1" s="163" t="str">
        <f>タイトル!I50</f>
        <v>DUC010</v>
      </c>
      <c r="CL1" s="164"/>
      <c r="CM1" s="164"/>
      <c r="CN1" s="164"/>
      <c r="CO1" s="164"/>
      <c r="CP1" s="164"/>
      <c r="CQ1" s="164"/>
      <c r="CR1" s="165"/>
    </row>
    <row r="2" spans="1:96" s="15" customFormat="1" ht="15" customHeight="1" x14ac:dyDescent="0.15">
      <c r="A2" s="172" t="s">
        <v>14</v>
      </c>
      <c r="B2" s="173"/>
      <c r="C2" s="173"/>
      <c r="D2" s="173"/>
      <c r="E2" s="173"/>
      <c r="F2" s="173"/>
      <c r="G2" s="173"/>
      <c r="H2" s="174"/>
      <c r="I2" s="175" t="str">
        <f>タイトル!I41</f>
        <v>　共通機能</v>
      </c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7"/>
      <c r="AE2" s="178" t="s">
        <v>32</v>
      </c>
      <c r="AF2" s="179"/>
      <c r="AG2" s="179"/>
      <c r="AH2" s="179"/>
      <c r="AI2" s="179"/>
      <c r="AJ2" s="179"/>
      <c r="AK2" s="180"/>
      <c r="AL2" s="181" t="str">
        <f>タイトル!I44</f>
        <v>　CC-010_ログイン</v>
      </c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3"/>
      <c r="BI2" s="184" t="s">
        <v>15</v>
      </c>
      <c r="BJ2" s="185"/>
      <c r="BK2" s="185"/>
      <c r="BL2" s="186"/>
      <c r="BM2" s="187" t="s">
        <v>81</v>
      </c>
      <c r="BN2" s="188"/>
      <c r="BO2" s="188"/>
      <c r="BP2" s="188"/>
      <c r="BQ2" s="188"/>
      <c r="BR2" s="188"/>
      <c r="BS2" s="188"/>
      <c r="BT2" s="188"/>
      <c r="BU2" s="188"/>
      <c r="BV2" s="189"/>
      <c r="BW2" s="190">
        <v>45216</v>
      </c>
      <c r="BX2" s="191"/>
      <c r="BY2" s="191"/>
      <c r="BZ2" s="191"/>
      <c r="CA2" s="191"/>
      <c r="CB2" s="191"/>
      <c r="CC2" s="191"/>
      <c r="CD2" s="191"/>
      <c r="CE2" s="192"/>
      <c r="CF2" s="157"/>
      <c r="CG2" s="158"/>
      <c r="CH2" s="158"/>
      <c r="CI2" s="158"/>
      <c r="CJ2" s="159"/>
      <c r="CK2" s="166"/>
      <c r="CL2" s="167"/>
      <c r="CM2" s="167"/>
      <c r="CN2" s="167"/>
      <c r="CO2" s="167"/>
      <c r="CP2" s="167"/>
      <c r="CQ2" s="167"/>
      <c r="CR2" s="168"/>
    </row>
    <row r="3" spans="1:96" s="15" customFormat="1" ht="15" customHeight="1" thickBot="1" x14ac:dyDescent="0.2">
      <c r="A3" s="208"/>
      <c r="B3" s="209"/>
      <c r="C3" s="209"/>
      <c r="D3" s="209"/>
      <c r="E3" s="209"/>
      <c r="F3" s="209"/>
      <c r="G3" s="209"/>
      <c r="H3" s="210"/>
      <c r="I3" s="211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3"/>
      <c r="AE3" s="160"/>
      <c r="AF3" s="161"/>
      <c r="AG3" s="161"/>
      <c r="AH3" s="161"/>
      <c r="AI3" s="161"/>
      <c r="AJ3" s="161"/>
      <c r="AK3" s="162"/>
      <c r="AL3" s="214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6"/>
      <c r="BI3" s="217"/>
      <c r="BJ3" s="218"/>
      <c r="BK3" s="218"/>
      <c r="BL3" s="219"/>
      <c r="BM3" s="220"/>
      <c r="BN3" s="221"/>
      <c r="BO3" s="221"/>
      <c r="BP3" s="221"/>
      <c r="BQ3" s="221"/>
      <c r="BR3" s="221"/>
      <c r="BS3" s="221"/>
      <c r="BT3" s="221"/>
      <c r="BU3" s="221"/>
      <c r="BV3" s="221"/>
      <c r="BW3" s="221"/>
      <c r="BX3" s="221"/>
      <c r="BY3" s="221"/>
      <c r="BZ3" s="221"/>
      <c r="CA3" s="221"/>
      <c r="CB3" s="221"/>
      <c r="CC3" s="221"/>
      <c r="CD3" s="221"/>
      <c r="CE3" s="222"/>
      <c r="CF3" s="160"/>
      <c r="CG3" s="161"/>
      <c r="CH3" s="161"/>
      <c r="CI3" s="161"/>
      <c r="CJ3" s="162"/>
      <c r="CK3" s="169"/>
      <c r="CL3" s="170"/>
      <c r="CM3" s="170"/>
      <c r="CN3" s="170"/>
      <c r="CO3" s="170"/>
      <c r="CP3" s="170"/>
      <c r="CQ3" s="170"/>
      <c r="CR3" s="171"/>
    </row>
    <row r="4" spans="1:96" s="16" customFormat="1" ht="15" customHeight="1" x14ac:dyDescent="0.15">
      <c r="A4" s="229" t="s">
        <v>36</v>
      </c>
      <c r="B4" s="230"/>
      <c r="C4" s="230"/>
      <c r="D4" s="230"/>
      <c r="E4" s="230"/>
      <c r="F4" s="230"/>
      <c r="G4" s="230"/>
      <c r="H4" s="230"/>
      <c r="I4" s="231" t="str">
        <f>"　" &amp; RIGHT(タイトル!I44,LEN(タイトル!I44)-8)</f>
        <v>　ログイン</v>
      </c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0" t="s">
        <v>37</v>
      </c>
      <c r="AM4" s="230"/>
      <c r="AN4" s="230"/>
      <c r="AO4" s="230"/>
      <c r="AP4" s="230"/>
      <c r="AQ4" s="230"/>
      <c r="AR4" s="230"/>
      <c r="AS4" s="232" t="str">
        <f>LEFT(タイトル!I44,7)</f>
        <v>　CC-010</v>
      </c>
      <c r="AT4" s="232"/>
      <c r="AU4" s="232"/>
      <c r="AV4" s="232"/>
      <c r="AW4" s="232"/>
      <c r="AX4" s="232"/>
      <c r="AY4" s="232"/>
      <c r="AZ4" s="232"/>
      <c r="BA4" s="232"/>
      <c r="BB4" s="232"/>
      <c r="BC4" s="232"/>
      <c r="BD4" s="232"/>
      <c r="BE4" s="232"/>
      <c r="BF4" s="232"/>
      <c r="BG4" s="232"/>
      <c r="BH4" s="232"/>
      <c r="BI4" s="233" t="s">
        <v>35</v>
      </c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26" t="s">
        <v>46</v>
      </c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8"/>
    </row>
    <row r="5" spans="1:96" s="13" customFormat="1" ht="15" customHeight="1" x14ac:dyDescent="0.15">
      <c r="A5" s="223" t="s">
        <v>39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24"/>
      <c r="BJ5" s="224"/>
      <c r="BK5" s="224"/>
      <c r="BL5" s="224"/>
      <c r="BM5" s="224"/>
      <c r="BN5" s="224"/>
      <c r="BO5" s="224"/>
      <c r="BP5" s="224"/>
      <c r="BQ5" s="224"/>
      <c r="BR5" s="224"/>
      <c r="BS5" s="224"/>
      <c r="BT5" s="224"/>
      <c r="BU5" s="224"/>
      <c r="BV5" s="224"/>
      <c r="BW5" s="224"/>
      <c r="BX5" s="224"/>
      <c r="BY5" s="224"/>
      <c r="BZ5" s="224"/>
      <c r="CA5" s="224"/>
      <c r="CB5" s="224"/>
      <c r="CC5" s="224"/>
      <c r="CD5" s="224"/>
      <c r="CE5" s="224"/>
      <c r="CF5" s="224"/>
      <c r="CG5" s="224"/>
      <c r="CH5" s="224"/>
      <c r="CI5" s="224"/>
      <c r="CJ5" s="224"/>
      <c r="CK5" s="224"/>
      <c r="CL5" s="224"/>
      <c r="CM5" s="224"/>
      <c r="CN5" s="224"/>
      <c r="CO5" s="224"/>
      <c r="CP5" s="224"/>
      <c r="CQ5" s="224"/>
      <c r="CR5" s="225"/>
    </row>
    <row r="6" spans="1:96" s="13" customFormat="1" ht="15" customHeight="1" x14ac:dyDescent="0.15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9"/>
    </row>
    <row r="7" spans="1:96" s="13" customFormat="1" ht="15" customHeight="1" x14ac:dyDescent="0.15">
      <c r="A7" s="20"/>
      <c r="B7" s="18" t="s">
        <v>94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20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20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2" customFormat="1" ht="15" customHeight="1" x14ac:dyDescent="0.15">
      <c r="A10" s="223" t="s">
        <v>40</v>
      </c>
      <c r="B10" s="224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/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4"/>
      <c r="BT10" s="224"/>
      <c r="BU10" s="224"/>
      <c r="BV10" s="224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224"/>
      <c r="CQ10" s="224"/>
      <c r="CR10" s="225"/>
    </row>
    <row r="11" spans="1:96" s="13" customFormat="1" ht="15" customHeight="1" x14ac:dyDescent="0.1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3"/>
    </row>
    <row r="12" spans="1:96" s="13" customFormat="1" ht="15" customHeight="1" x14ac:dyDescent="0.15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86" t="s">
        <v>136</v>
      </c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8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9"/>
      <c r="CR12" s="23"/>
    </row>
    <row r="13" spans="1:96" s="13" customFormat="1" ht="15" customHeight="1" x14ac:dyDescent="0.15">
      <c r="A13" s="21"/>
      <c r="AD13" s="90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2"/>
      <c r="AZ13" s="92"/>
      <c r="BA13" s="92"/>
      <c r="BB13" s="92"/>
      <c r="BC13" s="92"/>
      <c r="BD13" s="92" t="s">
        <v>116</v>
      </c>
      <c r="BE13" s="92"/>
      <c r="BF13" s="92"/>
      <c r="BG13" s="92"/>
      <c r="BH13" s="91"/>
      <c r="BI13" s="91"/>
      <c r="BJ13" s="91"/>
      <c r="BK13" s="91"/>
      <c r="BL13" s="91"/>
      <c r="BM13" s="29" t="s">
        <v>66</v>
      </c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1"/>
      <c r="CB13" s="29" t="s">
        <v>79</v>
      </c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1"/>
      <c r="CQ13" s="93"/>
      <c r="CR13" s="23"/>
    </row>
    <row r="14" spans="1:96" s="13" customFormat="1" ht="15" customHeight="1" x14ac:dyDescent="0.15">
      <c r="A14" s="21"/>
      <c r="AD14" s="90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32"/>
      <c r="BN14" s="94" t="s">
        <v>65</v>
      </c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95"/>
      <c r="BZ14" s="84"/>
      <c r="CA14" s="33"/>
      <c r="CB14" s="32"/>
      <c r="CC14" s="94" t="s">
        <v>65</v>
      </c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95"/>
      <c r="CO14" s="84"/>
      <c r="CP14" s="33"/>
      <c r="CQ14" s="93"/>
      <c r="CR14" s="23"/>
    </row>
    <row r="15" spans="1:96" s="13" customFormat="1" ht="15" customHeight="1" x14ac:dyDescent="0.15">
      <c r="A15" s="21"/>
      <c r="B15" s="22" t="s">
        <v>83</v>
      </c>
      <c r="M15" s="13" t="s">
        <v>126</v>
      </c>
      <c r="AD15" s="90"/>
      <c r="AE15" s="29" t="s">
        <v>120</v>
      </c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1"/>
      <c r="AU15" s="91"/>
      <c r="AV15" s="91"/>
      <c r="AW15" s="91"/>
      <c r="AX15" s="91"/>
      <c r="AY15" s="92"/>
      <c r="AZ15" s="96"/>
      <c r="BA15" s="91"/>
      <c r="BB15" s="91"/>
      <c r="BC15" s="91"/>
      <c r="BD15" s="91" t="s">
        <v>85</v>
      </c>
      <c r="BE15" s="91"/>
      <c r="BF15" s="91"/>
      <c r="BG15" s="91"/>
      <c r="BH15" s="91"/>
      <c r="BI15" s="91"/>
      <c r="BJ15" s="91"/>
      <c r="BK15" s="91"/>
      <c r="BL15" s="91"/>
      <c r="BM15" s="32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95"/>
      <c r="BZ15" s="84"/>
      <c r="CA15" s="33"/>
      <c r="CB15" s="32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95"/>
      <c r="CO15" s="84"/>
      <c r="CP15" s="33"/>
      <c r="CQ15" s="93"/>
      <c r="CR15" s="23"/>
    </row>
    <row r="16" spans="1:96" s="13" customFormat="1" ht="15" customHeight="1" x14ac:dyDescent="0.15">
      <c r="A16" s="21"/>
      <c r="B16" s="22"/>
      <c r="M16" s="58" t="s">
        <v>119</v>
      </c>
      <c r="N16" s="59"/>
      <c r="O16" s="59"/>
      <c r="P16" s="59"/>
      <c r="Q16" s="59"/>
      <c r="R16" s="59"/>
      <c r="S16" s="59"/>
      <c r="T16" s="59"/>
      <c r="U16" s="59"/>
      <c r="V16" s="60"/>
      <c r="AD16" s="90"/>
      <c r="AE16" s="32"/>
      <c r="AF16" s="94" t="s">
        <v>121</v>
      </c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33"/>
      <c r="AU16" s="91"/>
      <c r="AV16" s="91"/>
      <c r="AW16" s="91"/>
      <c r="AX16" s="92"/>
      <c r="AY16" s="96"/>
      <c r="AZ16" s="96"/>
      <c r="BA16" s="91"/>
      <c r="BB16" s="91"/>
      <c r="BC16" s="75"/>
      <c r="BD16" s="91" t="s">
        <v>86</v>
      </c>
      <c r="BE16" s="91"/>
      <c r="BF16" s="91"/>
      <c r="BG16" s="91"/>
      <c r="BH16" s="91"/>
      <c r="BI16" s="91"/>
      <c r="BJ16" s="91"/>
      <c r="BK16" s="91"/>
      <c r="BL16" s="91"/>
      <c r="BM16" s="32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33"/>
      <c r="CB16" s="32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33"/>
      <c r="CQ16" s="93"/>
      <c r="CR16" s="23"/>
    </row>
    <row r="17" spans="1:120" s="13" customFormat="1" ht="15" customHeight="1" x14ac:dyDescent="0.15">
      <c r="A17" s="21"/>
      <c r="B17" s="22"/>
      <c r="M17" s="61"/>
      <c r="N17" s="62"/>
      <c r="O17" s="62"/>
      <c r="P17" s="62"/>
      <c r="Q17" s="62"/>
      <c r="R17" s="62"/>
      <c r="S17" s="62"/>
      <c r="T17" s="62"/>
      <c r="U17" s="62"/>
      <c r="V17" s="63"/>
      <c r="X17" s="57" t="s">
        <v>122</v>
      </c>
      <c r="AD17" s="90"/>
      <c r="AE17" s="32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33"/>
      <c r="AU17" s="91"/>
      <c r="AV17" s="91"/>
      <c r="AW17" s="91"/>
      <c r="AX17" s="91"/>
      <c r="AY17" s="96"/>
      <c r="AZ17" s="96"/>
      <c r="BA17" s="91"/>
      <c r="BB17" s="91"/>
      <c r="BC17" s="92"/>
      <c r="BD17" s="91"/>
      <c r="BE17" s="75" t="s">
        <v>70</v>
      </c>
      <c r="BF17" s="91"/>
      <c r="BG17" s="91"/>
      <c r="BH17" s="91"/>
      <c r="BI17" s="91"/>
      <c r="BJ17" s="91"/>
      <c r="BK17" s="91"/>
      <c r="BL17" s="91"/>
      <c r="BM17" s="32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33"/>
      <c r="CB17" s="32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33"/>
      <c r="CQ17" s="93"/>
      <c r="CR17" s="23"/>
    </row>
    <row r="18" spans="1:120" s="13" customFormat="1" ht="15" customHeight="1" thickBot="1" x14ac:dyDescent="0.2">
      <c r="A18" s="21"/>
      <c r="B18" s="22"/>
      <c r="M18" s="61"/>
      <c r="N18" s="62"/>
      <c r="O18" s="62"/>
      <c r="P18" s="62"/>
      <c r="Q18" s="62"/>
      <c r="R18" s="62"/>
      <c r="S18" s="62"/>
      <c r="T18" s="62"/>
      <c r="U18" s="62"/>
      <c r="V18" s="63"/>
      <c r="X18" s="13" t="s">
        <v>69</v>
      </c>
      <c r="AC18" s="22"/>
      <c r="AD18" s="90"/>
      <c r="AE18" s="32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33"/>
      <c r="AU18" s="91"/>
      <c r="AV18" s="91"/>
      <c r="AW18" s="92"/>
      <c r="AX18" s="92"/>
      <c r="AY18" s="96"/>
      <c r="AZ18" s="96"/>
      <c r="BA18" s="91"/>
      <c r="BB18" s="91"/>
      <c r="BC18" s="92"/>
      <c r="BD18" s="92"/>
      <c r="BE18" s="92"/>
      <c r="BF18" s="92"/>
      <c r="BG18" s="92"/>
      <c r="BH18" s="91"/>
      <c r="BI18" s="91"/>
      <c r="BJ18" s="91"/>
      <c r="BK18" s="91"/>
      <c r="BL18" s="91"/>
      <c r="BM18" s="32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33"/>
      <c r="CB18" s="32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33"/>
      <c r="CQ18" s="93"/>
      <c r="CR18" s="23"/>
    </row>
    <row r="19" spans="1:120" s="13" customFormat="1" ht="15" customHeight="1" x14ac:dyDescent="0.15">
      <c r="A19" s="21"/>
      <c r="B19" s="22"/>
      <c r="M19" s="61"/>
      <c r="N19" s="76" t="s">
        <v>132</v>
      </c>
      <c r="O19" s="77"/>
      <c r="P19" s="77"/>
      <c r="Q19" s="77"/>
      <c r="R19" s="77"/>
      <c r="S19" s="77"/>
      <c r="T19" s="78"/>
      <c r="U19" s="62"/>
      <c r="V19" s="63"/>
      <c r="AC19" s="12"/>
      <c r="AD19" s="90"/>
      <c r="AE19" s="32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33"/>
      <c r="AU19" s="91"/>
      <c r="AV19" s="91"/>
      <c r="AW19" s="96"/>
      <c r="AX19" s="96"/>
      <c r="AY19" s="96"/>
      <c r="AZ19" s="96"/>
      <c r="BA19" s="91"/>
      <c r="BB19" s="91"/>
      <c r="BC19" s="92"/>
      <c r="BD19" s="92"/>
      <c r="BE19" s="92"/>
      <c r="BF19" s="92"/>
      <c r="BG19" s="92"/>
      <c r="BH19" s="91"/>
      <c r="BI19" s="91"/>
      <c r="BJ19" s="91"/>
      <c r="BK19" s="91"/>
      <c r="BL19" s="91"/>
      <c r="BM19" s="32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33"/>
      <c r="CB19" s="32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33"/>
      <c r="CQ19" s="93"/>
      <c r="CR19" s="23"/>
    </row>
    <row r="20" spans="1:120" s="13" customFormat="1" ht="15" customHeight="1" x14ac:dyDescent="0.15">
      <c r="A20" s="21"/>
      <c r="B20" s="22"/>
      <c r="M20" s="61"/>
      <c r="N20" s="79" t="s">
        <v>133</v>
      </c>
      <c r="O20" s="62"/>
      <c r="P20" s="62"/>
      <c r="Q20" s="62"/>
      <c r="R20" s="62"/>
      <c r="S20" s="62"/>
      <c r="T20" s="80"/>
      <c r="U20" s="62"/>
      <c r="V20" s="63"/>
      <c r="Z20" s="22"/>
      <c r="AA20" s="22"/>
      <c r="AB20" s="22"/>
      <c r="AC20" s="12"/>
      <c r="AD20" s="90"/>
      <c r="AE20" s="32"/>
      <c r="AF20" s="84"/>
      <c r="AG20" s="84"/>
      <c r="AH20" s="84"/>
      <c r="AI20" s="84"/>
      <c r="AJ20" s="84"/>
      <c r="AK20" s="84"/>
      <c r="AL20" s="84" t="s">
        <v>68</v>
      </c>
      <c r="AM20" s="84"/>
      <c r="AN20" s="84"/>
      <c r="AO20" s="84"/>
      <c r="AP20" s="84"/>
      <c r="AQ20" s="84"/>
      <c r="AR20" s="84"/>
      <c r="AS20" s="84"/>
      <c r="AT20" s="33"/>
      <c r="AU20" s="91"/>
      <c r="AV20" s="91"/>
      <c r="AW20" s="96"/>
      <c r="AX20" s="96"/>
      <c r="AY20" s="92"/>
      <c r="AZ20" s="92"/>
      <c r="BA20" s="91"/>
      <c r="BB20" s="91"/>
      <c r="BC20" s="92"/>
      <c r="BD20" s="92"/>
      <c r="BE20" s="92"/>
      <c r="BF20" s="92"/>
      <c r="BG20" s="92"/>
      <c r="BH20" s="91"/>
      <c r="BI20" s="91"/>
      <c r="BJ20" s="91"/>
      <c r="BK20" s="91"/>
      <c r="BL20" s="91"/>
      <c r="BM20" s="32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33"/>
      <c r="CB20" s="32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33"/>
      <c r="CQ20" s="93"/>
      <c r="CR20" s="23"/>
    </row>
    <row r="21" spans="1:120" s="13" customFormat="1" ht="15" customHeight="1" thickBot="1" x14ac:dyDescent="0.2">
      <c r="A21" s="21"/>
      <c r="B21" s="22"/>
      <c r="M21" s="61"/>
      <c r="N21" s="81"/>
      <c r="O21" s="82"/>
      <c r="P21" s="82"/>
      <c r="Q21" s="82"/>
      <c r="R21" s="82"/>
      <c r="S21" s="82"/>
      <c r="T21" s="83"/>
      <c r="U21" s="62"/>
      <c r="V21" s="63"/>
      <c r="X21" s="13" t="s">
        <v>134</v>
      </c>
      <c r="Z21" s="12"/>
      <c r="AB21" s="22"/>
      <c r="AC21" s="12"/>
      <c r="AD21" s="90"/>
      <c r="AE21" s="32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33"/>
      <c r="AU21" s="91"/>
      <c r="AV21" s="91"/>
      <c r="AW21" s="96"/>
      <c r="AX21" s="96"/>
      <c r="AY21" s="92"/>
      <c r="AZ21" s="92"/>
      <c r="BA21" s="91"/>
      <c r="BB21" s="91"/>
      <c r="BC21" s="92"/>
      <c r="BD21" s="92"/>
      <c r="BE21" s="92"/>
      <c r="BF21" s="92"/>
      <c r="BG21" s="92"/>
      <c r="BH21" s="91"/>
      <c r="BI21" s="91"/>
      <c r="BJ21" s="91"/>
      <c r="BK21" s="91"/>
      <c r="BL21" s="91"/>
      <c r="BM21" s="32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33"/>
      <c r="CB21" s="32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33"/>
      <c r="CQ21" s="93"/>
      <c r="CR21" s="23"/>
    </row>
    <row r="22" spans="1:120" s="13" customFormat="1" ht="15" customHeight="1" x14ac:dyDescent="0.15">
      <c r="A22" s="21"/>
      <c r="B22" s="22"/>
      <c r="M22" s="61"/>
      <c r="N22" s="62"/>
      <c r="O22" s="62"/>
      <c r="P22" s="62"/>
      <c r="Q22" s="62"/>
      <c r="R22" s="62"/>
      <c r="S22" s="62"/>
      <c r="T22" s="62"/>
      <c r="U22" s="62"/>
      <c r="V22" s="63"/>
      <c r="X22" s="13" t="s">
        <v>135</v>
      </c>
      <c r="Z22" s="22"/>
      <c r="AA22" s="22"/>
      <c r="AB22" s="22"/>
      <c r="AC22" s="12"/>
      <c r="AD22" s="90"/>
      <c r="AE22" s="32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33"/>
      <c r="AU22" s="91"/>
      <c r="AV22" s="91"/>
      <c r="AW22" s="96"/>
      <c r="AX22" s="96"/>
      <c r="AY22" s="96"/>
      <c r="AZ22" s="92"/>
      <c r="BA22" s="91"/>
      <c r="BB22" s="91"/>
      <c r="BC22" s="92"/>
      <c r="BD22" s="96"/>
      <c r="BE22" s="92"/>
      <c r="BF22" s="92"/>
      <c r="BG22" s="92"/>
      <c r="BH22" s="91"/>
      <c r="BI22" s="91"/>
      <c r="BJ22" s="91"/>
      <c r="BK22" s="91"/>
      <c r="BL22" s="91"/>
      <c r="BM22" s="32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5"/>
      <c r="BZ22" s="85"/>
      <c r="CA22" s="34"/>
      <c r="CB22" s="32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5"/>
      <c r="CO22" s="85"/>
      <c r="CP22" s="34"/>
      <c r="CQ22" s="93"/>
      <c r="CR22" s="23"/>
    </row>
    <row r="23" spans="1:120" s="13" customFormat="1" ht="15" customHeight="1" x14ac:dyDescent="0.15">
      <c r="A23" s="21"/>
      <c r="B23" s="22" t="s">
        <v>84</v>
      </c>
      <c r="M23" s="61"/>
      <c r="N23" s="62"/>
      <c r="O23" s="62"/>
      <c r="P23" s="62"/>
      <c r="Q23" s="62"/>
      <c r="R23" s="62"/>
      <c r="S23" s="62"/>
      <c r="T23" s="62"/>
      <c r="U23" s="62"/>
      <c r="V23" s="63"/>
      <c r="Z23" s="22"/>
      <c r="AA23" s="22"/>
      <c r="AB23" s="22"/>
      <c r="AC23" s="22"/>
      <c r="AD23" s="90"/>
      <c r="AE23" s="32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33"/>
      <c r="AU23" s="91"/>
      <c r="AV23" s="91"/>
      <c r="AW23" s="92"/>
      <c r="AX23" s="92"/>
      <c r="AY23" s="96"/>
      <c r="AZ23" s="92"/>
      <c r="BA23" s="91"/>
      <c r="BB23" s="91"/>
      <c r="BC23" s="92"/>
      <c r="BD23" s="92"/>
      <c r="BE23" s="92"/>
      <c r="BF23" s="92"/>
      <c r="BG23" s="92"/>
      <c r="BH23" s="91"/>
      <c r="BI23" s="91"/>
      <c r="BJ23" s="91"/>
      <c r="BK23" s="91"/>
      <c r="BL23" s="91"/>
      <c r="BM23" s="35"/>
      <c r="BN23" s="36"/>
      <c r="BO23" s="36"/>
      <c r="BP23" s="36"/>
      <c r="BQ23" s="37"/>
      <c r="BR23" s="36"/>
      <c r="BS23" s="36"/>
      <c r="BT23" s="36"/>
      <c r="BU23" s="36"/>
      <c r="BV23" s="36"/>
      <c r="BW23" s="36"/>
      <c r="BX23" s="36"/>
      <c r="BY23" s="38"/>
      <c r="BZ23" s="38"/>
      <c r="CA23" s="39"/>
      <c r="CB23" s="35"/>
      <c r="CC23" s="36"/>
      <c r="CD23" s="36"/>
      <c r="CE23" s="36"/>
      <c r="CF23" s="37"/>
      <c r="CG23" s="36"/>
      <c r="CH23" s="36"/>
      <c r="CI23" s="36"/>
      <c r="CJ23" s="36"/>
      <c r="CK23" s="36"/>
      <c r="CL23" s="36"/>
      <c r="CM23" s="36"/>
      <c r="CN23" s="38"/>
      <c r="CO23" s="38"/>
      <c r="CP23" s="39"/>
      <c r="CQ23" s="93"/>
      <c r="CR23" s="23"/>
    </row>
    <row r="24" spans="1:120" s="13" customFormat="1" ht="15" customHeight="1" x14ac:dyDescent="0.15">
      <c r="A24" s="21"/>
      <c r="B24" s="22"/>
      <c r="M24" s="64"/>
      <c r="N24" s="65"/>
      <c r="O24" s="65"/>
      <c r="P24" s="65"/>
      <c r="Q24" s="65"/>
      <c r="R24" s="65"/>
      <c r="S24" s="65"/>
      <c r="T24" s="65"/>
      <c r="U24" s="65"/>
      <c r="V24" s="66"/>
      <c r="AD24" s="90"/>
      <c r="AE24" s="32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5"/>
      <c r="AT24" s="34"/>
      <c r="AU24" s="91"/>
      <c r="AV24" s="91"/>
      <c r="AW24" s="92"/>
      <c r="AX24" s="92"/>
      <c r="AY24" s="96"/>
      <c r="AZ24" s="92"/>
      <c r="BA24" s="91"/>
      <c r="BB24" s="91"/>
      <c r="BC24" s="92"/>
      <c r="BD24" s="96"/>
      <c r="BE24" s="92"/>
      <c r="BF24" s="92"/>
      <c r="BG24" s="92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2"/>
      <c r="BZ24" s="92"/>
      <c r="CA24" s="96"/>
      <c r="CB24" s="96"/>
      <c r="CC24" s="96"/>
      <c r="CD24" s="92"/>
      <c r="CE24" s="92"/>
      <c r="CF24" s="92"/>
      <c r="CG24" s="92"/>
      <c r="CH24" s="92"/>
      <c r="CI24" s="92"/>
      <c r="CJ24" s="92"/>
      <c r="CK24" s="92"/>
      <c r="CL24" s="92"/>
      <c r="CM24" s="92"/>
      <c r="CN24" s="92"/>
      <c r="CO24" s="92"/>
      <c r="CP24" s="92"/>
      <c r="CQ24" s="93"/>
      <c r="CR24" s="23"/>
      <c r="DP24" s="12"/>
    </row>
    <row r="25" spans="1:120" s="13" customFormat="1" ht="15" customHeight="1" x14ac:dyDescent="0.15">
      <c r="A25" s="21"/>
      <c r="B25" s="22"/>
      <c r="AD25" s="90"/>
      <c r="AE25" s="35"/>
      <c r="AF25" s="36"/>
      <c r="AG25" s="36"/>
      <c r="AH25" s="36"/>
      <c r="AI25" s="37"/>
      <c r="AJ25" s="36"/>
      <c r="AK25" s="36"/>
      <c r="AL25" s="36"/>
      <c r="AM25" s="36"/>
      <c r="AN25" s="36"/>
      <c r="AO25" s="36"/>
      <c r="AP25" s="36"/>
      <c r="AQ25" s="36"/>
      <c r="AR25" s="36"/>
      <c r="AS25" s="38"/>
      <c r="AT25" s="39"/>
      <c r="AU25" s="91"/>
      <c r="AV25" s="91"/>
      <c r="AW25" s="96"/>
      <c r="AX25" s="96"/>
      <c r="AY25" s="96"/>
      <c r="AZ25" s="92"/>
      <c r="BA25" s="91"/>
      <c r="BB25" s="91"/>
      <c r="BC25" s="92"/>
      <c r="BD25" s="92"/>
      <c r="BE25" s="92"/>
      <c r="BF25" s="92"/>
      <c r="BG25" s="92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2"/>
      <c r="BZ25" s="92"/>
      <c r="CA25" s="96"/>
      <c r="CB25" s="96"/>
      <c r="CC25" s="96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3"/>
      <c r="CR25" s="23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12"/>
      <c r="DN25" s="12"/>
      <c r="DO25" s="12"/>
      <c r="DP25" s="12"/>
    </row>
    <row r="26" spans="1:120" s="13" customFormat="1" ht="15" customHeight="1" x14ac:dyDescent="0.15">
      <c r="A26" s="21"/>
      <c r="B26" s="22"/>
      <c r="Z26" s="12"/>
      <c r="AA26" s="12"/>
      <c r="AB26" s="12"/>
      <c r="AC26" s="12"/>
      <c r="AD26" s="90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6"/>
      <c r="AX26" s="96"/>
      <c r="AY26" s="96"/>
      <c r="AZ26" s="92"/>
      <c r="BA26" s="91"/>
      <c r="BB26" s="91"/>
      <c r="BC26" s="92"/>
      <c r="BD26" s="92"/>
      <c r="BE26" s="92"/>
      <c r="BF26" s="92"/>
      <c r="BG26" s="91" t="s">
        <v>78</v>
      </c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2"/>
      <c r="BZ26" s="92"/>
      <c r="CA26" s="96"/>
      <c r="CB26" s="96"/>
      <c r="CC26" s="96"/>
      <c r="CD26" s="92"/>
      <c r="CE26" s="92"/>
      <c r="CF26" s="92"/>
      <c r="CG26" s="92"/>
      <c r="CH26" s="92"/>
      <c r="CI26" s="92"/>
      <c r="CJ26" s="92"/>
      <c r="CK26" s="92"/>
      <c r="CL26" s="92"/>
      <c r="CM26" s="92"/>
      <c r="CN26" s="92"/>
      <c r="CO26" s="92"/>
      <c r="CP26" s="92"/>
      <c r="CQ26" s="93"/>
      <c r="CR26" s="23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12"/>
      <c r="DN26" s="12"/>
      <c r="DO26" s="12"/>
      <c r="DP26" s="12"/>
    </row>
    <row r="27" spans="1:120" s="13" customFormat="1" ht="15" customHeight="1" x14ac:dyDescent="0.15">
      <c r="A27" s="21"/>
      <c r="B27" s="22"/>
      <c r="AD27" s="90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6"/>
      <c r="AX27" s="96"/>
      <c r="AY27" s="96"/>
      <c r="AZ27" s="92"/>
      <c r="BA27" s="91"/>
      <c r="BB27" s="91"/>
      <c r="BC27" s="92"/>
      <c r="BD27" s="92"/>
      <c r="BE27" s="92"/>
      <c r="BF27" s="92"/>
      <c r="BG27" s="92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6"/>
      <c r="BZ27" s="96"/>
      <c r="CA27" s="96"/>
      <c r="CB27" s="96"/>
      <c r="CC27" s="96"/>
      <c r="CD27" s="92"/>
      <c r="CE27" s="92"/>
      <c r="CF27" s="92"/>
      <c r="CG27" s="92"/>
      <c r="CH27" s="92"/>
      <c r="CI27" s="92"/>
      <c r="CJ27" s="92"/>
      <c r="CK27" s="92"/>
      <c r="CL27" s="92"/>
      <c r="CM27" s="92"/>
      <c r="CN27" s="92"/>
      <c r="CO27" s="92"/>
      <c r="CP27" s="92"/>
      <c r="CQ27" s="93"/>
      <c r="CR27" s="23"/>
      <c r="CX27" s="22"/>
      <c r="CY27" s="22"/>
      <c r="CZ27" s="22"/>
      <c r="DA27" s="22"/>
      <c r="DB27" s="22"/>
      <c r="DC27" s="22"/>
      <c r="DE27" s="22"/>
      <c r="DG27" s="22"/>
      <c r="DH27" s="22"/>
      <c r="DI27" s="22"/>
      <c r="DJ27" s="22"/>
      <c r="DK27" s="22"/>
      <c r="DL27" s="22"/>
      <c r="DM27" s="12"/>
      <c r="DN27" s="12"/>
      <c r="DO27" s="12"/>
      <c r="DP27" s="12"/>
    </row>
    <row r="28" spans="1:120" s="13" customFormat="1" ht="15" customHeight="1" x14ac:dyDescent="0.15">
      <c r="A28" s="21"/>
      <c r="B28" s="22"/>
      <c r="AD28" s="90"/>
      <c r="AE28" s="91"/>
      <c r="AF28" s="91"/>
      <c r="AG28" s="91"/>
      <c r="AH28" s="92"/>
      <c r="AI28" s="92"/>
      <c r="AJ28" s="92"/>
      <c r="AK28" s="92"/>
      <c r="AL28" s="92"/>
      <c r="AM28" s="92"/>
      <c r="AN28" s="91"/>
      <c r="AO28" s="91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6"/>
      <c r="BZ28" s="96"/>
      <c r="CA28" s="96"/>
      <c r="CB28" s="96"/>
      <c r="CC28" s="96"/>
      <c r="CD28" s="92"/>
      <c r="CE28" s="92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92"/>
      <c r="CQ28" s="93"/>
      <c r="CR28" s="23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12"/>
      <c r="DN28" s="12"/>
      <c r="DO28" s="12"/>
      <c r="DP28" s="12"/>
    </row>
    <row r="29" spans="1:120" s="13" customFormat="1" ht="15" customHeight="1" x14ac:dyDescent="0.15">
      <c r="A29" s="21"/>
      <c r="B29" s="22"/>
      <c r="AD29" s="90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1" t="s">
        <v>77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93"/>
      <c r="CR29" s="23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</row>
    <row r="30" spans="1:120" s="13" customFormat="1" ht="15" customHeight="1" x14ac:dyDescent="0.15">
      <c r="A30" s="21"/>
      <c r="B30" s="22"/>
      <c r="AD30" s="90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2"/>
      <c r="BZ30" s="92"/>
      <c r="CA30" s="92"/>
      <c r="CB30" s="92"/>
      <c r="CC30" s="96"/>
      <c r="CD30" s="96"/>
      <c r="CE30" s="96"/>
      <c r="CF30" s="96"/>
      <c r="CG30" s="96"/>
      <c r="CH30" s="96"/>
      <c r="CI30" s="96"/>
      <c r="CJ30" s="96"/>
      <c r="CK30" s="96"/>
      <c r="CL30" s="96"/>
      <c r="CM30" s="96"/>
      <c r="CN30" s="96"/>
      <c r="CO30" s="96"/>
      <c r="CP30" s="96"/>
      <c r="CQ30" s="93"/>
      <c r="CR30" s="23"/>
      <c r="DP30" s="22"/>
    </row>
    <row r="31" spans="1:120" s="13" customFormat="1" ht="15" customHeight="1" x14ac:dyDescent="0.15">
      <c r="A31" s="21"/>
      <c r="B31" s="22"/>
      <c r="AD31" s="90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2"/>
      <c r="BZ31" s="92"/>
      <c r="CA31" s="96"/>
      <c r="CB31" s="96"/>
      <c r="CC31" s="96"/>
      <c r="CD31" s="92"/>
      <c r="CE31" s="92"/>
      <c r="CF31" s="92"/>
      <c r="CG31" s="92"/>
      <c r="CH31" s="92"/>
      <c r="CI31" s="92"/>
      <c r="CJ31" s="92"/>
      <c r="CK31" s="92"/>
      <c r="CL31" s="92"/>
      <c r="CM31" s="92"/>
      <c r="CN31" s="92"/>
      <c r="CO31" s="92"/>
      <c r="CP31" s="92"/>
      <c r="CQ31" s="93"/>
      <c r="CR31" s="23"/>
      <c r="DP31" s="22"/>
    </row>
    <row r="32" spans="1:120" s="13" customFormat="1" ht="15" customHeight="1" x14ac:dyDescent="0.15">
      <c r="A32" s="21"/>
      <c r="B32" s="22"/>
      <c r="AD32" s="90"/>
      <c r="AE32" s="91"/>
      <c r="AF32" s="67" t="s">
        <v>113</v>
      </c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70"/>
      <c r="AS32" s="91"/>
      <c r="AT32" s="91"/>
      <c r="AU32" s="91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2"/>
      <c r="BZ32" s="92"/>
      <c r="CA32" s="96"/>
      <c r="CB32" s="96"/>
      <c r="CC32" s="96"/>
      <c r="CD32" s="92"/>
      <c r="CE32" s="92"/>
      <c r="CF32" s="92"/>
      <c r="CG32" s="92"/>
      <c r="CH32" s="92"/>
      <c r="CI32" s="92"/>
      <c r="CJ32" s="92"/>
      <c r="CK32" s="92"/>
      <c r="CL32" s="92"/>
      <c r="CM32" s="92"/>
      <c r="CN32" s="92"/>
      <c r="CO32" s="92"/>
      <c r="CP32" s="92"/>
      <c r="CQ32" s="93"/>
      <c r="CR32" s="23"/>
      <c r="DP32" s="22"/>
    </row>
    <row r="33" spans="1:132" s="13" customFormat="1" ht="15" customHeight="1" x14ac:dyDescent="0.15">
      <c r="A33" s="21"/>
      <c r="B33" s="22"/>
      <c r="AD33" s="90"/>
      <c r="AE33" s="91"/>
      <c r="AF33" s="69"/>
      <c r="AG33" s="94" t="s">
        <v>114</v>
      </c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71"/>
      <c r="AS33" s="91"/>
      <c r="AT33" s="91"/>
      <c r="AU33" s="91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2"/>
      <c r="BZ33" s="92"/>
      <c r="CA33" s="96"/>
      <c r="CB33" s="96"/>
      <c r="CC33" s="96"/>
      <c r="CD33" s="92"/>
      <c r="CE33" s="92"/>
      <c r="CF33" s="92"/>
      <c r="CG33" s="92"/>
      <c r="CH33" s="92"/>
      <c r="CI33" s="92"/>
      <c r="CJ33" s="92"/>
      <c r="CK33" s="92"/>
      <c r="CL33" s="92"/>
      <c r="CM33" s="92"/>
      <c r="CN33" s="92"/>
      <c r="CO33" s="92"/>
      <c r="CP33" s="92"/>
      <c r="CQ33" s="93"/>
      <c r="CR33" s="23"/>
      <c r="DP33" s="22"/>
    </row>
    <row r="34" spans="1:132" s="13" customFormat="1" ht="15" customHeight="1" x14ac:dyDescent="0.15">
      <c r="A34" s="21"/>
      <c r="B34" s="22"/>
      <c r="D34" s="13" t="s">
        <v>125</v>
      </c>
      <c r="AD34" s="90"/>
      <c r="AE34" s="91"/>
      <c r="AF34" s="69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71"/>
      <c r="AS34" s="91"/>
      <c r="AT34" s="91" t="s">
        <v>115</v>
      </c>
      <c r="AU34" s="91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2"/>
      <c r="BZ34" s="92"/>
      <c r="CA34" s="96"/>
      <c r="CB34" s="96"/>
      <c r="CC34" s="96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3"/>
      <c r="CR34" s="23"/>
      <c r="DP34" s="22"/>
    </row>
    <row r="35" spans="1:132" s="13" customFormat="1" ht="15" customHeight="1" x14ac:dyDescent="0.15">
      <c r="A35" s="21"/>
      <c r="E35" s="13" t="s">
        <v>131</v>
      </c>
      <c r="AD35" s="90"/>
      <c r="AE35" s="91"/>
      <c r="AF35" s="69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71"/>
      <c r="AS35" s="91"/>
      <c r="AT35" s="91"/>
      <c r="AU35" s="91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1"/>
      <c r="BI35" s="91"/>
      <c r="BJ35" s="91"/>
      <c r="BK35" s="91"/>
      <c r="BL35" s="91"/>
      <c r="BM35" s="29" t="s">
        <v>71</v>
      </c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1"/>
      <c r="CB35" s="29" t="s">
        <v>67</v>
      </c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1"/>
      <c r="CQ35" s="93"/>
      <c r="CR35" s="23"/>
      <c r="DP35" s="22"/>
    </row>
    <row r="36" spans="1:132" s="13" customFormat="1" ht="15" customHeight="1" x14ac:dyDescent="0.15">
      <c r="A36" s="21"/>
      <c r="B36" s="22"/>
      <c r="AD36" s="90"/>
      <c r="AE36" s="91"/>
      <c r="AF36" s="69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71"/>
      <c r="AS36" s="91"/>
      <c r="AT36" s="91"/>
      <c r="AU36" s="91"/>
      <c r="AV36" s="92"/>
      <c r="AW36" s="92"/>
      <c r="AX36" s="92"/>
      <c r="AY36" s="92"/>
      <c r="AZ36" s="92"/>
      <c r="BA36" s="92"/>
      <c r="BB36" s="92"/>
      <c r="BC36" s="92"/>
      <c r="BD36" s="92"/>
      <c r="BE36" s="91" t="s">
        <v>76</v>
      </c>
      <c r="BF36" s="92"/>
      <c r="BG36" s="92"/>
      <c r="BH36" s="91"/>
      <c r="BI36" s="91"/>
      <c r="BJ36" s="91"/>
      <c r="BK36" s="91"/>
      <c r="BL36" s="91"/>
      <c r="BM36" s="32"/>
      <c r="BN36" s="94" t="s">
        <v>65</v>
      </c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95"/>
      <c r="BZ36" s="84"/>
      <c r="CA36" s="33"/>
      <c r="CB36" s="32"/>
      <c r="CC36" s="94" t="s">
        <v>65</v>
      </c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95"/>
      <c r="CO36" s="84"/>
      <c r="CP36" s="33"/>
      <c r="CQ36" s="93"/>
      <c r="CR36" s="23"/>
      <c r="DP36" s="22"/>
    </row>
    <row r="37" spans="1:132" s="13" customFormat="1" ht="15" customHeight="1" x14ac:dyDescent="0.15">
      <c r="A37" s="21"/>
      <c r="B37" s="22"/>
      <c r="AD37" s="90"/>
      <c r="AE37" s="91"/>
      <c r="AF37" s="69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71"/>
      <c r="AS37" s="91"/>
      <c r="AT37" s="91"/>
      <c r="AU37" s="91"/>
      <c r="AV37" s="92"/>
      <c r="AW37" s="92"/>
      <c r="AX37" s="92"/>
      <c r="AY37" s="92"/>
      <c r="AZ37" s="92"/>
      <c r="BA37" s="92"/>
      <c r="BB37" s="92"/>
      <c r="BC37" s="96"/>
      <c r="BD37" s="96"/>
      <c r="BE37" s="96"/>
      <c r="BF37" s="96"/>
      <c r="BG37" s="96"/>
      <c r="BH37" s="91"/>
      <c r="BI37" s="91"/>
      <c r="BJ37" s="91"/>
      <c r="BK37" s="91"/>
      <c r="BL37" s="91"/>
      <c r="BM37" s="32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95"/>
      <c r="BZ37" s="84"/>
      <c r="CA37" s="33"/>
      <c r="CB37" s="32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95"/>
      <c r="CO37" s="84"/>
      <c r="CP37" s="33"/>
      <c r="CQ37" s="93"/>
      <c r="CR37" s="23"/>
      <c r="DP37" s="22"/>
    </row>
    <row r="38" spans="1:132" s="13" customFormat="1" ht="15" customHeight="1" x14ac:dyDescent="0.15">
      <c r="A38" s="21"/>
      <c r="B38" s="22"/>
      <c r="AD38" s="90"/>
      <c r="AE38" s="91"/>
      <c r="AF38" s="69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71"/>
      <c r="AS38" s="91"/>
      <c r="AT38" s="91"/>
      <c r="AU38" s="91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1"/>
      <c r="BI38" s="91"/>
      <c r="BJ38" s="91"/>
      <c r="BK38" s="91"/>
      <c r="BL38" s="91"/>
      <c r="BM38" s="32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33"/>
      <c r="CB38" s="32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33"/>
      <c r="CQ38" s="93"/>
      <c r="CR38" s="23"/>
      <c r="DP38" s="22"/>
    </row>
    <row r="39" spans="1:132" s="13" customFormat="1" ht="15" customHeight="1" x14ac:dyDescent="0.15">
      <c r="A39" s="21"/>
      <c r="B39" s="22"/>
      <c r="AD39" s="90"/>
      <c r="AE39" s="91"/>
      <c r="AF39" s="69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71"/>
      <c r="AS39" s="91"/>
      <c r="AT39" s="91"/>
      <c r="AU39" s="91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1"/>
      <c r="BI39" s="91"/>
      <c r="BJ39" s="91"/>
      <c r="BK39" s="91"/>
      <c r="BL39" s="91"/>
      <c r="BM39" s="32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33"/>
      <c r="CB39" s="32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33"/>
      <c r="CQ39" s="93"/>
      <c r="CR39" s="23"/>
      <c r="DP39" s="22"/>
    </row>
    <row r="40" spans="1:132" s="13" customFormat="1" ht="15" customHeight="1" x14ac:dyDescent="0.15">
      <c r="A40" s="21"/>
      <c r="B40" s="22"/>
      <c r="AD40" s="90"/>
      <c r="AE40" s="91"/>
      <c r="AF40" s="72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4"/>
      <c r="AS40" s="91"/>
      <c r="AT40" s="91"/>
      <c r="AU40" s="91"/>
      <c r="AV40" s="92"/>
      <c r="AW40" s="92"/>
      <c r="AX40" s="98" t="s">
        <v>128</v>
      </c>
      <c r="AY40" s="99"/>
      <c r="AZ40" s="92"/>
      <c r="BA40" s="92"/>
      <c r="BB40" s="92"/>
      <c r="BC40" s="92"/>
      <c r="BD40" s="92"/>
      <c r="BE40" s="92"/>
      <c r="BF40" s="92"/>
      <c r="BG40" s="92"/>
      <c r="BH40" s="91"/>
      <c r="BI40" s="91"/>
      <c r="BJ40" s="91"/>
      <c r="BK40" s="91"/>
      <c r="BL40" s="91"/>
      <c r="BM40" s="32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33"/>
      <c r="CB40" s="32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33"/>
      <c r="CQ40" s="93"/>
      <c r="CR40" s="23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</row>
    <row r="41" spans="1:132" s="13" customFormat="1" ht="15" customHeight="1" x14ac:dyDescent="0.15">
      <c r="A41" s="21"/>
      <c r="B41" s="22"/>
      <c r="AD41" s="90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2"/>
      <c r="AW41" s="92"/>
      <c r="AX41" s="98" t="s">
        <v>129</v>
      </c>
      <c r="AY41" s="91"/>
      <c r="AZ41" s="92"/>
      <c r="BA41" s="92"/>
      <c r="BB41" s="92"/>
      <c r="BC41" s="92"/>
      <c r="BD41" s="92"/>
      <c r="BE41" s="92"/>
      <c r="BF41" s="92"/>
      <c r="BG41" s="92"/>
      <c r="BH41" s="91"/>
      <c r="BI41" s="91"/>
      <c r="BJ41" s="91"/>
      <c r="BK41" s="91"/>
      <c r="BL41" s="91"/>
      <c r="BM41" s="32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33"/>
      <c r="CB41" s="32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33"/>
      <c r="CQ41" s="93"/>
      <c r="CR41" s="23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</row>
    <row r="42" spans="1:132" s="13" customFormat="1" ht="15" customHeight="1" x14ac:dyDescent="0.15">
      <c r="A42" s="21"/>
      <c r="B42" s="22"/>
      <c r="AD42" s="90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2"/>
      <c r="AW42" s="92"/>
      <c r="AX42" s="98" t="s">
        <v>130</v>
      </c>
      <c r="AY42" s="92"/>
      <c r="AZ42" s="92"/>
      <c r="BA42" s="92"/>
      <c r="BB42" s="92"/>
      <c r="BC42" s="92"/>
      <c r="BD42" s="92"/>
      <c r="BE42" s="92"/>
      <c r="BF42" s="92"/>
      <c r="BG42" s="92"/>
      <c r="BH42" s="91"/>
      <c r="BI42" s="91"/>
      <c r="BJ42" s="91"/>
      <c r="BK42" s="91"/>
      <c r="BL42" s="91"/>
      <c r="BM42" s="32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33"/>
      <c r="CB42" s="32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33"/>
      <c r="CQ42" s="93"/>
      <c r="CR42" s="23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</row>
    <row r="43" spans="1:132" s="13" customFormat="1" ht="15" customHeight="1" x14ac:dyDescent="0.15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AD43" s="90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2"/>
      <c r="AW43" s="92"/>
      <c r="AX43" s="98" t="s">
        <v>127</v>
      </c>
      <c r="AY43" s="92"/>
      <c r="AZ43" s="92"/>
      <c r="BA43" s="92"/>
      <c r="BB43" s="92"/>
      <c r="BC43" s="92"/>
      <c r="BD43" s="92"/>
      <c r="BE43" s="92"/>
      <c r="BF43" s="92"/>
      <c r="BG43" s="92"/>
      <c r="BH43" s="91"/>
      <c r="BI43" s="91"/>
      <c r="BJ43" s="91"/>
      <c r="BK43" s="91"/>
      <c r="BL43" s="91"/>
      <c r="BM43" s="32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33"/>
      <c r="CB43" s="32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33"/>
      <c r="CQ43" s="93"/>
      <c r="CR43" s="23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</row>
    <row r="44" spans="1:132" s="13" customFormat="1" ht="15" customHeight="1" x14ac:dyDescent="0.1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AD44" s="90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1"/>
      <c r="BI44" s="91"/>
      <c r="BJ44" s="91"/>
      <c r="BK44" s="91"/>
      <c r="BL44" s="91"/>
      <c r="BM44" s="32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5"/>
      <c r="BZ44" s="85"/>
      <c r="CA44" s="34"/>
      <c r="CB44" s="32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5"/>
      <c r="CO44" s="85"/>
      <c r="CP44" s="34"/>
      <c r="CQ44" s="93"/>
      <c r="CR44" s="23"/>
    </row>
    <row r="45" spans="1:132" s="13" customFormat="1" ht="15" customHeight="1" x14ac:dyDescent="0.1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AD45" s="90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1"/>
      <c r="BI45" s="91"/>
      <c r="BJ45" s="91"/>
      <c r="BK45" s="91"/>
      <c r="BL45" s="91"/>
      <c r="BM45" s="35"/>
      <c r="BN45" s="36"/>
      <c r="BO45" s="36"/>
      <c r="BP45" s="36"/>
      <c r="BQ45" s="37"/>
      <c r="BR45" s="36"/>
      <c r="BS45" s="36"/>
      <c r="BT45" s="36"/>
      <c r="BU45" s="36"/>
      <c r="BV45" s="36"/>
      <c r="BW45" s="36"/>
      <c r="BX45" s="36"/>
      <c r="BY45" s="38"/>
      <c r="BZ45" s="38"/>
      <c r="CA45" s="39"/>
      <c r="CB45" s="35"/>
      <c r="CC45" s="36"/>
      <c r="CD45" s="36"/>
      <c r="CE45" s="36"/>
      <c r="CF45" s="37"/>
      <c r="CG45" s="36"/>
      <c r="CH45" s="36"/>
      <c r="CI45" s="36"/>
      <c r="CJ45" s="36"/>
      <c r="CK45" s="36"/>
      <c r="CL45" s="36"/>
      <c r="CM45" s="36"/>
      <c r="CN45" s="38"/>
      <c r="CO45" s="38"/>
      <c r="CP45" s="39"/>
      <c r="CQ45" s="93"/>
      <c r="CR45" s="23"/>
    </row>
    <row r="46" spans="1:132" s="13" customFormat="1" ht="15" customHeight="1" x14ac:dyDescent="0.15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100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  <c r="BN46" s="101"/>
      <c r="BO46" s="102"/>
      <c r="BP46" s="102"/>
      <c r="BQ46" s="103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1"/>
      <c r="CF46" s="101"/>
      <c r="CG46" s="101"/>
      <c r="CH46" s="101"/>
      <c r="CI46" s="101"/>
      <c r="CJ46" s="101"/>
      <c r="CK46" s="101"/>
      <c r="CL46" s="101"/>
      <c r="CM46" s="101"/>
      <c r="CN46" s="101"/>
      <c r="CO46" s="101"/>
      <c r="CP46" s="101"/>
      <c r="CQ46" s="104"/>
      <c r="CR46" s="23"/>
    </row>
    <row r="47" spans="1:132" s="13" customFormat="1" ht="15" customHeight="1" thickBot="1" x14ac:dyDescent="0.2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6"/>
      <c r="BL47" s="26"/>
      <c r="BM47" s="27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8"/>
    </row>
  </sheetData>
  <mergeCells count="29">
    <mergeCell ref="A5:CR5"/>
    <mergeCell ref="BT4:CR4"/>
    <mergeCell ref="A10:CR10"/>
    <mergeCell ref="A4:H4"/>
    <mergeCell ref="I4:AK4"/>
    <mergeCell ref="AL4:AR4"/>
    <mergeCell ref="AS4:BH4"/>
    <mergeCell ref="BI4:BS4"/>
    <mergeCell ref="A3:H3"/>
    <mergeCell ref="I3:AD3"/>
    <mergeCell ref="AL3:BH3"/>
    <mergeCell ref="BI3:BL3"/>
    <mergeCell ref="BM3:CE3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</mergeCells>
  <phoneticPr fontId="11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C16A-2D2B-4C61-AAAB-B9C0551E889B}">
  <dimension ref="A1:DS90"/>
  <sheetViews>
    <sheetView view="pageBreakPreview" zoomScale="85" zoomScaleNormal="85" zoomScaleSheetLayoutView="85" workbookViewId="0">
      <pane ySplit="3" topLeftCell="A4" activePane="bottomLeft" state="frozen"/>
      <selection activeCell="W7" sqref="W7:Z7"/>
      <selection pane="bottomLeft" activeCell="A4" sqref="A4:H4"/>
    </sheetView>
  </sheetViews>
  <sheetFormatPr defaultColWidth="1.875" defaultRowHeight="15" customHeight="1" x14ac:dyDescent="0.15"/>
  <cols>
    <col min="1" max="16384" width="1.875" style="17"/>
  </cols>
  <sheetData>
    <row r="1" spans="1:96" s="15" customFormat="1" ht="15" customHeight="1" x14ac:dyDescent="0.15">
      <c r="A1" s="193" t="s">
        <v>1</v>
      </c>
      <c r="B1" s="194"/>
      <c r="C1" s="194"/>
      <c r="D1" s="194"/>
      <c r="E1" s="194"/>
      <c r="F1" s="194"/>
      <c r="G1" s="194"/>
      <c r="H1" s="195"/>
      <c r="I1" s="196" t="str">
        <f>タイトル!I40</f>
        <v>　学生勤務管理システム</v>
      </c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8"/>
      <c r="AE1" s="199" t="s">
        <v>0</v>
      </c>
      <c r="AF1" s="200"/>
      <c r="AG1" s="200"/>
      <c r="AH1" s="200"/>
      <c r="AI1" s="200"/>
      <c r="AJ1" s="200"/>
      <c r="AK1" s="201"/>
      <c r="AL1" s="202" t="s">
        <v>48</v>
      </c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4"/>
      <c r="BI1" s="199" t="s">
        <v>12</v>
      </c>
      <c r="BJ1" s="200"/>
      <c r="BK1" s="200"/>
      <c r="BL1" s="201"/>
      <c r="BM1" s="205" t="str">
        <f>タイトル!I46</f>
        <v>木田　優</v>
      </c>
      <c r="BN1" s="206"/>
      <c r="BO1" s="206"/>
      <c r="BP1" s="206"/>
      <c r="BQ1" s="206"/>
      <c r="BR1" s="206"/>
      <c r="BS1" s="206"/>
      <c r="BT1" s="206"/>
      <c r="BU1" s="206"/>
      <c r="BV1" s="207"/>
      <c r="BW1" s="151">
        <f>タイトル!I47</f>
        <v>45202</v>
      </c>
      <c r="BX1" s="152"/>
      <c r="BY1" s="152"/>
      <c r="BZ1" s="152"/>
      <c r="CA1" s="152"/>
      <c r="CB1" s="152"/>
      <c r="CC1" s="152"/>
      <c r="CD1" s="152"/>
      <c r="CE1" s="153"/>
      <c r="CF1" s="154" t="s">
        <v>13</v>
      </c>
      <c r="CG1" s="155"/>
      <c r="CH1" s="155"/>
      <c r="CI1" s="155"/>
      <c r="CJ1" s="156"/>
      <c r="CK1" s="163" t="str">
        <f>タイトル!I50</f>
        <v>DUC010</v>
      </c>
      <c r="CL1" s="164"/>
      <c r="CM1" s="164"/>
      <c r="CN1" s="164"/>
      <c r="CO1" s="164"/>
      <c r="CP1" s="164"/>
      <c r="CQ1" s="164"/>
      <c r="CR1" s="165"/>
    </row>
    <row r="2" spans="1:96" s="15" customFormat="1" ht="15" customHeight="1" x14ac:dyDescent="0.15">
      <c r="A2" s="172" t="s">
        <v>14</v>
      </c>
      <c r="B2" s="173"/>
      <c r="C2" s="173"/>
      <c r="D2" s="173"/>
      <c r="E2" s="173"/>
      <c r="F2" s="173"/>
      <c r="G2" s="173"/>
      <c r="H2" s="174"/>
      <c r="I2" s="175" t="s">
        <v>49</v>
      </c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7"/>
      <c r="AE2" s="178" t="s">
        <v>32</v>
      </c>
      <c r="AF2" s="179"/>
      <c r="AG2" s="179"/>
      <c r="AH2" s="179"/>
      <c r="AI2" s="179"/>
      <c r="AJ2" s="179"/>
      <c r="AK2" s="180"/>
      <c r="AL2" s="181" t="str">
        <f>タイトル!I44</f>
        <v>　CC-010_ログイン</v>
      </c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3"/>
      <c r="BI2" s="184" t="s">
        <v>15</v>
      </c>
      <c r="BJ2" s="185"/>
      <c r="BK2" s="185"/>
      <c r="BL2" s="186"/>
      <c r="BM2" s="187" t="s">
        <v>88</v>
      </c>
      <c r="BN2" s="188"/>
      <c r="BO2" s="188"/>
      <c r="BP2" s="188"/>
      <c r="BQ2" s="188"/>
      <c r="BR2" s="188"/>
      <c r="BS2" s="188"/>
      <c r="BT2" s="188"/>
      <c r="BU2" s="188"/>
      <c r="BV2" s="189"/>
      <c r="BW2" s="190">
        <v>45313</v>
      </c>
      <c r="BX2" s="191"/>
      <c r="BY2" s="191"/>
      <c r="BZ2" s="191"/>
      <c r="CA2" s="191"/>
      <c r="CB2" s="191"/>
      <c r="CC2" s="191"/>
      <c r="CD2" s="191"/>
      <c r="CE2" s="192"/>
      <c r="CF2" s="157"/>
      <c r="CG2" s="158"/>
      <c r="CH2" s="158"/>
      <c r="CI2" s="158"/>
      <c r="CJ2" s="159"/>
      <c r="CK2" s="166"/>
      <c r="CL2" s="167"/>
      <c r="CM2" s="167"/>
      <c r="CN2" s="167"/>
      <c r="CO2" s="167"/>
      <c r="CP2" s="167"/>
      <c r="CQ2" s="167"/>
      <c r="CR2" s="168"/>
    </row>
    <row r="3" spans="1:96" s="15" customFormat="1" ht="15" customHeight="1" thickBot="1" x14ac:dyDescent="0.2">
      <c r="A3" s="208"/>
      <c r="B3" s="209"/>
      <c r="C3" s="209"/>
      <c r="D3" s="209"/>
      <c r="E3" s="209"/>
      <c r="F3" s="209"/>
      <c r="G3" s="209"/>
      <c r="H3" s="210"/>
      <c r="I3" s="211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3"/>
      <c r="AE3" s="160"/>
      <c r="AF3" s="161"/>
      <c r="AG3" s="161"/>
      <c r="AH3" s="161"/>
      <c r="AI3" s="161"/>
      <c r="AJ3" s="161"/>
      <c r="AK3" s="162"/>
      <c r="AL3" s="214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6"/>
      <c r="BI3" s="217"/>
      <c r="BJ3" s="218"/>
      <c r="BK3" s="218"/>
      <c r="BL3" s="219"/>
      <c r="BM3" s="220"/>
      <c r="BN3" s="221"/>
      <c r="BO3" s="221"/>
      <c r="BP3" s="221"/>
      <c r="BQ3" s="221"/>
      <c r="BR3" s="221"/>
      <c r="BS3" s="221"/>
      <c r="BT3" s="221"/>
      <c r="BU3" s="221"/>
      <c r="BV3" s="221"/>
      <c r="BW3" s="221"/>
      <c r="BX3" s="221"/>
      <c r="BY3" s="221"/>
      <c r="BZ3" s="221"/>
      <c r="CA3" s="221"/>
      <c r="CB3" s="221"/>
      <c r="CC3" s="221"/>
      <c r="CD3" s="221"/>
      <c r="CE3" s="222"/>
      <c r="CF3" s="160"/>
      <c r="CG3" s="161"/>
      <c r="CH3" s="161"/>
      <c r="CI3" s="161"/>
      <c r="CJ3" s="162"/>
      <c r="CK3" s="169"/>
      <c r="CL3" s="170"/>
      <c r="CM3" s="170"/>
      <c r="CN3" s="170"/>
      <c r="CO3" s="170"/>
      <c r="CP3" s="170"/>
      <c r="CQ3" s="170"/>
      <c r="CR3" s="171"/>
    </row>
    <row r="4" spans="1:96" s="16" customFormat="1" ht="15" customHeight="1" x14ac:dyDescent="0.15">
      <c r="A4" s="229" t="s">
        <v>50</v>
      </c>
      <c r="B4" s="230"/>
      <c r="C4" s="230"/>
      <c r="D4" s="230"/>
      <c r="E4" s="230"/>
      <c r="F4" s="230"/>
      <c r="G4" s="230"/>
      <c r="H4" s="230"/>
      <c r="I4" s="231" t="str">
        <f ca="1">"　" &amp; RIGHT(CELL("filename",A1),LEN(CELL("filename",A1))-FIND("]",CELL("filename",A1)))</f>
        <v>　ログイン</v>
      </c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0" t="s">
        <v>51</v>
      </c>
      <c r="AM4" s="230"/>
      <c r="AN4" s="230"/>
      <c r="AO4" s="230"/>
      <c r="AP4" s="230"/>
      <c r="AQ4" s="230"/>
      <c r="AR4" s="230"/>
      <c r="AS4" s="232" t="s">
        <v>118</v>
      </c>
      <c r="AT4" s="232"/>
      <c r="AU4" s="232"/>
      <c r="AV4" s="232"/>
      <c r="AW4" s="232"/>
      <c r="AX4" s="232"/>
      <c r="AY4" s="232"/>
      <c r="AZ4" s="232"/>
      <c r="BA4" s="232"/>
      <c r="BB4" s="232"/>
      <c r="BC4" s="232"/>
      <c r="BD4" s="232"/>
      <c r="BE4" s="232"/>
      <c r="BF4" s="232"/>
      <c r="BG4" s="232"/>
      <c r="BH4" s="232"/>
      <c r="BI4" s="254" t="s">
        <v>35</v>
      </c>
      <c r="BJ4" s="255"/>
      <c r="BK4" s="255"/>
      <c r="BL4" s="255"/>
      <c r="BM4" s="255"/>
      <c r="BN4" s="255"/>
      <c r="BO4" s="255"/>
      <c r="BP4" s="255"/>
      <c r="BQ4" s="255"/>
      <c r="BR4" s="255"/>
      <c r="BS4" s="255"/>
      <c r="BT4" s="249" t="s">
        <v>46</v>
      </c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1"/>
    </row>
    <row r="5" spans="1:96" s="12" customFormat="1" ht="15" customHeight="1" x14ac:dyDescent="0.15">
      <c r="A5" s="223" t="s">
        <v>52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52" t="s">
        <v>53</v>
      </c>
      <c r="BJ5" s="252"/>
      <c r="BK5" s="252"/>
      <c r="BL5" s="252"/>
      <c r="BM5" s="252"/>
      <c r="BN5" s="252"/>
      <c r="BO5" s="252"/>
      <c r="BP5" s="252"/>
      <c r="BQ5" s="252"/>
      <c r="BR5" s="252"/>
      <c r="BS5" s="252"/>
      <c r="BT5" s="252"/>
      <c r="BU5" s="252"/>
      <c r="BV5" s="252"/>
      <c r="BW5" s="252"/>
      <c r="BX5" s="252"/>
      <c r="BY5" s="252"/>
      <c r="BZ5" s="252"/>
      <c r="CA5" s="252"/>
      <c r="CB5" s="252"/>
      <c r="CC5" s="252"/>
      <c r="CD5" s="252"/>
      <c r="CE5" s="252"/>
      <c r="CF5" s="252"/>
      <c r="CG5" s="252"/>
      <c r="CH5" s="252"/>
      <c r="CI5" s="252"/>
      <c r="CJ5" s="252"/>
      <c r="CK5" s="252"/>
      <c r="CL5" s="252"/>
      <c r="CM5" s="252"/>
      <c r="CN5" s="252"/>
      <c r="CO5" s="252"/>
      <c r="CP5" s="252"/>
      <c r="CQ5" s="252"/>
      <c r="CR5" s="253"/>
    </row>
    <row r="6" spans="1:96" s="13" customFormat="1" ht="15" customHeight="1" x14ac:dyDescent="0.15">
      <c r="A6" s="40"/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18"/>
      <c r="BI6" s="43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5"/>
    </row>
    <row r="7" spans="1:96" s="13" customFormat="1" ht="15" customHeight="1" x14ac:dyDescent="0.15">
      <c r="A7" s="40"/>
      <c r="B7" s="18" t="s">
        <v>92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46"/>
      <c r="BJ7" s="18" t="s">
        <v>54</v>
      </c>
      <c r="BK7" s="18" t="s">
        <v>94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40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46"/>
      <c r="BJ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40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46"/>
      <c r="BJ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3" customFormat="1" ht="15" customHeight="1" x14ac:dyDescent="0.15">
      <c r="A10" s="40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46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9"/>
    </row>
    <row r="11" spans="1:96" s="13" customFormat="1" ht="15" customHeight="1" x14ac:dyDescent="0.15">
      <c r="A11" s="4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46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9"/>
    </row>
    <row r="12" spans="1:96" s="13" customFormat="1" ht="15" customHeight="1" x14ac:dyDescent="0.15">
      <c r="A12" s="40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243" t="s">
        <v>55</v>
      </c>
      <c r="BJ12" s="224"/>
      <c r="BK12" s="224"/>
      <c r="BL12" s="224"/>
      <c r="BM12" s="224"/>
      <c r="BN12" s="224"/>
      <c r="BO12" s="224"/>
      <c r="BP12" s="224"/>
      <c r="BQ12" s="224"/>
      <c r="BR12" s="224"/>
      <c r="BS12" s="224"/>
      <c r="BT12" s="224"/>
      <c r="BU12" s="224"/>
      <c r="BV12" s="224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24"/>
      <c r="CQ12" s="224"/>
      <c r="CR12" s="225"/>
    </row>
    <row r="13" spans="1:96" s="13" customFormat="1" ht="15" customHeight="1" x14ac:dyDescent="0.15">
      <c r="A13" s="40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46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9"/>
    </row>
    <row r="14" spans="1:96" s="13" customFormat="1" ht="15" customHeight="1" x14ac:dyDescent="0.15">
      <c r="A14" s="40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46"/>
      <c r="BJ14" s="18" t="s">
        <v>54</v>
      </c>
      <c r="BK14" s="18" t="s">
        <v>95</v>
      </c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9"/>
    </row>
    <row r="15" spans="1:96" s="13" customFormat="1" ht="15" customHeight="1" x14ac:dyDescent="0.15">
      <c r="A15" s="4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46"/>
      <c r="BJ15" s="18"/>
      <c r="BK15" s="18" t="s">
        <v>96</v>
      </c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9"/>
    </row>
    <row r="16" spans="1:96" s="13" customFormat="1" ht="15" customHeight="1" x14ac:dyDescent="0.15">
      <c r="A16" s="4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46"/>
      <c r="BJ16" s="18"/>
      <c r="BK16" s="18" t="s">
        <v>63</v>
      </c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9"/>
    </row>
    <row r="17" spans="1:123" s="13" customFormat="1" ht="15" customHeight="1" x14ac:dyDescent="0.15">
      <c r="A17" s="4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46"/>
      <c r="BJ17" s="18"/>
      <c r="BK17" s="259" t="s">
        <v>123</v>
      </c>
      <c r="BL17" s="260"/>
      <c r="BM17" s="260"/>
      <c r="BN17" s="260"/>
      <c r="BO17" s="260"/>
      <c r="BP17" s="260"/>
      <c r="BQ17" s="260"/>
      <c r="BR17" s="260"/>
      <c r="BS17" s="260"/>
      <c r="BT17" s="260"/>
      <c r="BU17" s="260"/>
      <c r="BV17" s="260"/>
      <c r="BW17" s="260"/>
      <c r="BX17" s="260"/>
      <c r="BY17" s="260"/>
      <c r="BZ17" s="260"/>
      <c r="CA17" s="260"/>
      <c r="CB17" s="260"/>
      <c r="CC17" s="260"/>
      <c r="CD17" s="260"/>
      <c r="CE17" s="260"/>
      <c r="CF17" s="260"/>
      <c r="CG17" s="260"/>
      <c r="CH17" s="260"/>
      <c r="CI17" s="260"/>
      <c r="CJ17" s="260"/>
      <c r="CK17" s="260"/>
      <c r="CL17" s="260"/>
      <c r="CM17" s="260"/>
      <c r="CN17" s="260"/>
      <c r="CO17" s="260"/>
      <c r="CP17" s="260"/>
      <c r="CQ17" s="260"/>
      <c r="CR17" s="19"/>
    </row>
    <row r="18" spans="1:123" s="13" customFormat="1" ht="15" customHeight="1" x14ac:dyDescent="0.15">
      <c r="A18" s="4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46"/>
      <c r="BJ18" s="18"/>
      <c r="BK18" s="260"/>
      <c r="BL18" s="260" t="s">
        <v>124</v>
      </c>
      <c r="BM18" s="260"/>
      <c r="BN18" s="260"/>
      <c r="BO18" s="260"/>
      <c r="BP18" s="260"/>
      <c r="BQ18" s="260"/>
      <c r="BR18" s="260"/>
      <c r="BS18" s="260"/>
      <c r="BT18" s="260"/>
      <c r="BU18" s="260"/>
      <c r="BV18" s="260"/>
      <c r="BW18" s="260"/>
      <c r="BX18" s="260"/>
      <c r="BY18" s="260"/>
      <c r="BZ18" s="260"/>
      <c r="CA18" s="260"/>
      <c r="CB18" s="260"/>
      <c r="CC18" s="260"/>
      <c r="CD18" s="260"/>
      <c r="CE18" s="260"/>
      <c r="CF18" s="260"/>
      <c r="CG18" s="260"/>
      <c r="CH18" s="260"/>
      <c r="CI18" s="260"/>
      <c r="CJ18" s="260"/>
      <c r="CK18" s="260"/>
      <c r="CL18" s="260"/>
      <c r="CM18" s="260"/>
      <c r="CN18" s="260"/>
      <c r="CO18" s="260"/>
      <c r="CP18" s="260"/>
      <c r="CQ18" s="260"/>
      <c r="CR18" s="19"/>
    </row>
    <row r="19" spans="1:123" s="13" customFormat="1" ht="15" customHeight="1" x14ac:dyDescent="0.15">
      <c r="A19" s="40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46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9"/>
    </row>
    <row r="20" spans="1:123" s="13" customFormat="1" ht="15" customHeight="1" x14ac:dyDescent="0.15">
      <c r="A20" s="40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46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9"/>
    </row>
    <row r="21" spans="1:123" s="13" customFormat="1" ht="15" customHeight="1" x14ac:dyDescent="0.15">
      <c r="A21" s="40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46"/>
      <c r="BJ21" s="18"/>
      <c r="BK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9"/>
    </row>
    <row r="22" spans="1:123" s="13" customFormat="1" ht="15" customHeight="1" x14ac:dyDescent="0.15">
      <c r="A22" s="4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46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9"/>
    </row>
    <row r="23" spans="1:123" s="13" customFormat="1" ht="15" customHeight="1" x14ac:dyDescent="0.15">
      <c r="A23" s="40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46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9"/>
    </row>
    <row r="24" spans="1:123" s="13" customFormat="1" ht="15" customHeight="1" x14ac:dyDescent="0.15">
      <c r="A24" s="40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46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9"/>
    </row>
    <row r="25" spans="1:123" s="13" customFormat="1" ht="15" customHeight="1" x14ac:dyDescent="0.15">
      <c r="A25" s="4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46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9"/>
    </row>
    <row r="26" spans="1:123" s="13" customFormat="1" ht="15" customHeight="1" x14ac:dyDescent="0.15">
      <c r="A26" s="4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46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9"/>
    </row>
    <row r="27" spans="1:123" s="13" customFormat="1" ht="15" customHeight="1" x14ac:dyDescent="0.15">
      <c r="A27" s="4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46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9"/>
      <c r="CV27" s="18"/>
    </row>
    <row r="28" spans="1:123" s="13" customFormat="1" ht="15" customHeight="1" x14ac:dyDescent="0.15">
      <c r="A28" s="4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46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9"/>
    </row>
    <row r="29" spans="1:123" s="13" customFormat="1" ht="15" customHeight="1" x14ac:dyDescent="0.15">
      <c r="A29" s="4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46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9"/>
    </row>
    <row r="30" spans="1:123" s="13" customFormat="1" ht="15" customHeight="1" x14ac:dyDescent="0.15">
      <c r="A30" s="4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46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9"/>
    </row>
    <row r="31" spans="1:123" s="13" customFormat="1" ht="15" customHeight="1" x14ac:dyDescent="0.15">
      <c r="A31" s="4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46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9"/>
    </row>
    <row r="32" spans="1:123" s="13" customFormat="1" ht="15" customHeight="1" x14ac:dyDescent="0.15">
      <c r="A32" s="4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46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9"/>
      <c r="DO32" s="18"/>
      <c r="DP32" s="18"/>
      <c r="DQ32" s="18"/>
      <c r="DR32" s="18"/>
      <c r="DS32" s="18"/>
    </row>
    <row r="33" spans="1:123" s="13" customFormat="1" ht="15" customHeight="1" x14ac:dyDescent="0.15">
      <c r="A33" s="4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46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9"/>
      <c r="DO33" s="18"/>
      <c r="DP33" s="18"/>
      <c r="DQ33" s="18"/>
      <c r="DR33" s="18"/>
      <c r="DS33" s="18"/>
    </row>
    <row r="34" spans="1:123" s="13" customFormat="1" ht="15" customHeight="1" x14ac:dyDescent="0.15">
      <c r="A34" s="4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46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9"/>
    </row>
    <row r="35" spans="1:123" s="13" customFormat="1" ht="15" customHeight="1" x14ac:dyDescent="0.15">
      <c r="A35" s="4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46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9"/>
    </row>
    <row r="36" spans="1:123" s="13" customFormat="1" ht="15" customHeight="1" x14ac:dyDescent="0.15">
      <c r="A36" s="4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46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9"/>
    </row>
    <row r="37" spans="1:123" s="13" customFormat="1" ht="15" customHeight="1" x14ac:dyDescent="0.15">
      <c r="A37" s="2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46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9"/>
    </row>
    <row r="38" spans="1:123" s="13" customFormat="1" ht="15" customHeight="1" x14ac:dyDescent="0.15">
      <c r="A38" s="223" t="s">
        <v>56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43" t="s">
        <v>57</v>
      </c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5"/>
    </row>
    <row r="39" spans="1:123" s="13" customFormat="1" ht="15" customHeight="1" x14ac:dyDescent="0.15">
      <c r="A39" s="223" t="s">
        <v>58</v>
      </c>
      <c r="B39" s="224"/>
      <c r="C39" s="224"/>
      <c r="D39" s="224"/>
      <c r="E39" s="224"/>
      <c r="F39" s="224"/>
      <c r="G39" s="224"/>
      <c r="H39" s="224"/>
      <c r="I39" s="224"/>
      <c r="J39" s="244"/>
      <c r="K39" s="243" t="s">
        <v>59</v>
      </c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44"/>
      <c r="AW39" s="243" t="s">
        <v>60</v>
      </c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44"/>
      <c r="BI39" s="46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9"/>
    </row>
    <row r="40" spans="1:123" s="13" customFormat="1" ht="15" customHeight="1" x14ac:dyDescent="0.15">
      <c r="A40" s="245"/>
      <c r="B40" s="246"/>
      <c r="C40" s="246"/>
      <c r="D40" s="246"/>
      <c r="E40" s="246"/>
      <c r="F40" s="246"/>
      <c r="G40" s="246"/>
      <c r="H40" s="246"/>
      <c r="I40" s="246"/>
      <c r="J40" s="247"/>
      <c r="K40" s="248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  <c r="AF40" s="246"/>
      <c r="AG40" s="246"/>
      <c r="AH40" s="246"/>
      <c r="AI40" s="246"/>
      <c r="AJ40" s="246"/>
      <c r="AK40" s="246"/>
      <c r="AL40" s="246"/>
      <c r="AM40" s="246"/>
      <c r="AN40" s="246"/>
      <c r="AO40" s="246"/>
      <c r="AP40" s="246"/>
      <c r="AQ40" s="246"/>
      <c r="AR40" s="246"/>
      <c r="AS40" s="246"/>
      <c r="AT40" s="246"/>
      <c r="AU40" s="246"/>
      <c r="AV40" s="247"/>
      <c r="AW40" s="248"/>
      <c r="AX40" s="246"/>
      <c r="AY40" s="246"/>
      <c r="AZ40" s="246"/>
      <c r="BA40" s="246"/>
      <c r="BB40" s="246"/>
      <c r="BC40" s="246"/>
      <c r="BD40" s="246"/>
      <c r="BE40" s="246"/>
      <c r="BF40" s="246"/>
      <c r="BG40" s="246"/>
      <c r="BH40" s="247"/>
      <c r="BI40" s="46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9"/>
    </row>
    <row r="41" spans="1:123" s="13" customFormat="1" ht="15" customHeight="1" x14ac:dyDescent="0.15">
      <c r="A41" s="239"/>
      <c r="B41" s="240"/>
      <c r="C41" s="240"/>
      <c r="D41" s="240"/>
      <c r="E41" s="240"/>
      <c r="F41" s="240"/>
      <c r="G41" s="240"/>
      <c r="H41" s="240"/>
      <c r="I41" s="240"/>
      <c r="J41" s="241"/>
      <c r="K41" s="242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  <c r="AI41" s="240"/>
      <c r="AJ41" s="240"/>
      <c r="AK41" s="240"/>
      <c r="AL41" s="240"/>
      <c r="AM41" s="240"/>
      <c r="AN41" s="240"/>
      <c r="AO41" s="240"/>
      <c r="AP41" s="240"/>
      <c r="AQ41" s="240"/>
      <c r="AR41" s="240"/>
      <c r="AS41" s="240"/>
      <c r="AT41" s="240"/>
      <c r="AU41" s="240"/>
      <c r="AV41" s="241"/>
      <c r="AW41" s="242"/>
      <c r="AX41" s="240"/>
      <c r="AY41" s="240"/>
      <c r="AZ41" s="240"/>
      <c r="BA41" s="240"/>
      <c r="BB41" s="240"/>
      <c r="BC41" s="240"/>
      <c r="BD41" s="240"/>
      <c r="BE41" s="240"/>
      <c r="BF41" s="240"/>
      <c r="BG41" s="240"/>
      <c r="BH41" s="241"/>
      <c r="BI41" s="46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9"/>
    </row>
    <row r="42" spans="1:123" s="13" customFormat="1" ht="15" customHeight="1" x14ac:dyDescent="0.15">
      <c r="A42" s="239"/>
      <c r="B42" s="240"/>
      <c r="C42" s="240"/>
      <c r="D42" s="240"/>
      <c r="E42" s="240"/>
      <c r="F42" s="240"/>
      <c r="G42" s="240"/>
      <c r="H42" s="240"/>
      <c r="I42" s="240"/>
      <c r="J42" s="241"/>
      <c r="K42" s="242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  <c r="AA42" s="240"/>
      <c r="AB42" s="240"/>
      <c r="AC42" s="240"/>
      <c r="AD42" s="240"/>
      <c r="AE42" s="240"/>
      <c r="AF42" s="240"/>
      <c r="AG42" s="240"/>
      <c r="AH42" s="240"/>
      <c r="AI42" s="240"/>
      <c r="AJ42" s="240"/>
      <c r="AK42" s="240"/>
      <c r="AL42" s="240"/>
      <c r="AM42" s="240"/>
      <c r="AN42" s="240"/>
      <c r="AO42" s="240"/>
      <c r="AP42" s="240"/>
      <c r="AQ42" s="240"/>
      <c r="AR42" s="240"/>
      <c r="AS42" s="240"/>
      <c r="AT42" s="240"/>
      <c r="AU42" s="240"/>
      <c r="AV42" s="241"/>
      <c r="AW42" s="242"/>
      <c r="AX42" s="240"/>
      <c r="AY42" s="240"/>
      <c r="AZ42" s="240"/>
      <c r="BA42" s="240"/>
      <c r="BB42" s="240"/>
      <c r="BC42" s="240"/>
      <c r="BD42" s="240"/>
      <c r="BE42" s="240"/>
      <c r="BF42" s="240"/>
      <c r="BG42" s="240"/>
      <c r="BH42" s="241"/>
      <c r="BI42" s="46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9"/>
    </row>
    <row r="43" spans="1:123" s="13" customFormat="1" ht="15" customHeight="1" x14ac:dyDescent="0.15">
      <c r="A43" s="239"/>
      <c r="B43" s="240"/>
      <c r="C43" s="240"/>
      <c r="D43" s="240"/>
      <c r="E43" s="240"/>
      <c r="F43" s="240"/>
      <c r="G43" s="240"/>
      <c r="H43" s="240"/>
      <c r="I43" s="240"/>
      <c r="J43" s="241"/>
      <c r="K43" s="242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1"/>
      <c r="AW43" s="242"/>
      <c r="AX43" s="240"/>
      <c r="AY43" s="240"/>
      <c r="AZ43" s="240"/>
      <c r="BA43" s="240"/>
      <c r="BB43" s="240"/>
      <c r="BC43" s="240"/>
      <c r="BD43" s="240"/>
      <c r="BE43" s="240"/>
      <c r="BF43" s="240"/>
      <c r="BG43" s="240"/>
      <c r="BH43" s="241"/>
      <c r="BI43" s="243" t="s">
        <v>61</v>
      </c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5"/>
    </row>
    <row r="44" spans="1:123" s="13" customFormat="1" ht="15" customHeight="1" x14ac:dyDescent="0.15">
      <c r="A44" s="239"/>
      <c r="B44" s="240"/>
      <c r="C44" s="240"/>
      <c r="D44" s="240"/>
      <c r="E44" s="240"/>
      <c r="F44" s="240"/>
      <c r="G44" s="240"/>
      <c r="H44" s="240"/>
      <c r="I44" s="240"/>
      <c r="J44" s="241"/>
      <c r="K44" s="242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  <c r="AB44" s="240"/>
      <c r="AC44" s="240"/>
      <c r="AD44" s="240"/>
      <c r="AE44" s="240"/>
      <c r="AF44" s="240"/>
      <c r="AG44" s="240"/>
      <c r="AH44" s="240"/>
      <c r="AI44" s="240"/>
      <c r="AJ44" s="240"/>
      <c r="AK44" s="240"/>
      <c r="AL44" s="240"/>
      <c r="AM44" s="240"/>
      <c r="AN44" s="240"/>
      <c r="AO44" s="240"/>
      <c r="AP44" s="240"/>
      <c r="AQ44" s="240"/>
      <c r="AR44" s="240"/>
      <c r="AS44" s="240"/>
      <c r="AT44" s="240"/>
      <c r="AU44" s="240"/>
      <c r="AV44" s="241"/>
      <c r="AW44" s="242"/>
      <c r="AX44" s="240"/>
      <c r="AY44" s="240"/>
      <c r="AZ44" s="240"/>
      <c r="BA44" s="240"/>
      <c r="BB44" s="240"/>
      <c r="BC44" s="240"/>
      <c r="BD44" s="240"/>
      <c r="BE44" s="240"/>
      <c r="BF44" s="240"/>
      <c r="BG44" s="240"/>
      <c r="BH44" s="241"/>
      <c r="BI44" s="46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9"/>
    </row>
    <row r="45" spans="1:123" s="13" customFormat="1" ht="15" customHeight="1" x14ac:dyDescent="0.15">
      <c r="A45" s="239"/>
      <c r="B45" s="240"/>
      <c r="C45" s="240"/>
      <c r="D45" s="240"/>
      <c r="E45" s="240"/>
      <c r="F45" s="240"/>
      <c r="G45" s="240"/>
      <c r="H45" s="240"/>
      <c r="I45" s="240"/>
      <c r="J45" s="241"/>
      <c r="K45" s="242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40"/>
      <c r="AC45" s="240"/>
      <c r="AD45" s="240"/>
      <c r="AE45" s="240"/>
      <c r="AF45" s="240"/>
      <c r="AG45" s="240"/>
      <c r="AH45" s="240"/>
      <c r="AI45" s="240"/>
      <c r="AJ45" s="240"/>
      <c r="AK45" s="240"/>
      <c r="AL45" s="240"/>
      <c r="AM45" s="240"/>
      <c r="AN45" s="240"/>
      <c r="AO45" s="240"/>
      <c r="AP45" s="240"/>
      <c r="AQ45" s="240"/>
      <c r="AR45" s="240"/>
      <c r="AS45" s="240"/>
      <c r="AT45" s="240"/>
      <c r="AU45" s="240"/>
      <c r="AV45" s="241"/>
      <c r="AW45" s="242"/>
      <c r="AX45" s="240"/>
      <c r="AY45" s="240"/>
      <c r="AZ45" s="240"/>
      <c r="BA45" s="240"/>
      <c r="BB45" s="240"/>
      <c r="BC45" s="240"/>
      <c r="BD45" s="240"/>
      <c r="BE45" s="240"/>
      <c r="BF45" s="240"/>
      <c r="BG45" s="240"/>
      <c r="BH45" s="241"/>
      <c r="BI45" s="46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9"/>
    </row>
    <row r="46" spans="1:123" s="13" customFormat="1" ht="15" customHeight="1" x14ac:dyDescent="0.15">
      <c r="A46" s="239"/>
      <c r="B46" s="240"/>
      <c r="C46" s="240"/>
      <c r="D46" s="240"/>
      <c r="E46" s="240"/>
      <c r="F46" s="240"/>
      <c r="G46" s="240"/>
      <c r="H46" s="240"/>
      <c r="I46" s="240"/>
      <c r="J46" s="241"/>
      <c r="K46" s="242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  <c r="AA46" s="240"/>
      <c r="AB46" s="240"/>
      <c r="AC46" s="240"/>
      <c r="AD46" s="240"/>
      <c r="AE46" s="240"/>
      <c r="AF46" s="240"/>
      <c r="AG46" s="240"/>
      <c r="AH46" s="240"/>
      <c r="AI46" s="240"/>
      <c r="AJ46" s="240"/>
      <c r="AK46" s="240"/>
      <c r="AL46" s="240"/>
      <c r="AM46" s="240"/>
      <c r="AN46" s="240"/>
      <c r="AO46" s="240"/>
      <c r="AP46" s="240"/>
      <c r="AQ46" s="240"/>
      <c r="AR46" s="240"/>
      <c r="AS46" s="240"/>
      <c r="AT46" s="240"/>
      <c r="AU46" s="240"/>
      <c r="AV46" s="241"/>
      <c r="AW46" s="242"/>
      <c r="AX46" s="240"/>
      <c r="AY46" s="240"/>
      <c r="AZ46" s="240"/>
      <c r="BA46" s="240"/>
      <c r="BB46" s="240"/>
      <c r="BC46" s="240"/>
      <c r="BD46" s="240"/>
      <c r="BE46" s="240"/>
      <c r="BF46" s="240"/>
      <c r="BG46" s="240"/>
      <c r="BH46" s="241"/>
      <c r="BI46" s="46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9"/>
    </row>
    <row r="47" spans="1:123" s="13" customFormat="1" ht="15" customHeight="1" thickBot="1" x14ac:dyDescent="0.2">
      <c r="A47" s="235"/>
      <c r="B47" s="236"/>
      <c r="C47" s="236"/>
      <c r="D47" s="236"/>
      <c r="E47" s="236"/>
      <c r="F47" s="236"/>
      <c r="G47" s="236"/>
      <c r="H47" s="236"/>
      <c r="I47" s="236"/>
      <c r="J47" s="237"/>
      <c r="K47" s="238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7"/>
      <c r="AW47" s="238"/>
      <c r="AX47" s="236"/>
      <c r="AY47" s="236"/>
      <c r="AZ47" s="236"/>
      <c r="BA47" s="236"/>
      <c r="BB47" s="236"/>
      <c r="BC47" s="236"/>
      <c r="BD47" s="236"/>
      <c r="BE47" s="236"/>
      <c r="BF47" s="236"/>
      <c r="BG47" s="236"/>
      <c r="BH47" s="237"/>
      <c r="BI47" s="47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9"/>
    </row>
    <row r="48" spans="1:123" s="12" customFormat="1" ht="15" customHeight="1" x14ac:dyDescent="0.15">
      <c r="A48" s="223" t="s">
        <v>62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  <c r="AD48" s="224"/>
      <c r="AE48" s="224"/>
      <c r="AF48" s="224"/>
      <c r="AG48" s="224"/>
      <c r="AH48" s="224"/>
      <c r="AI48" s="224"/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5"/>
    </row>
    <row r="49" spans="1:96" s="53" customFormat="1" ht="15" customHeight="1" x14ac:dyDescent="0.15">
      <c r="A49" s="50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2"/>
    </row>
    <row r="50" spans="1:96" s="53" customFormat="1" ht="15" customHeight="1" x14ac:dyDescent="0.15">
      <c r="A50" s="50"/>
      <c r="B50" s="51" t="s">
        <v>72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2"/>
    </row>
    <row r="51" spans="1:96" s="53" customFormat="1" ht="15" customHeight="1" x14ac:dyDescent="0.15">
      <c r="A51" s="50"/>
      <c r="B51" s="51"/>
      <c r="C51" s="5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  <c r="AA51" s="261"/>
      <c r="AB51" s="261"/>
      <c r="AC51" s="261"/>
      <c r="AD51" s="261"/>
      <c r="AE51" s="261"/>
      <c r="AF51" s="261"/>
      <c r="AG51" s="261"/>
      <c r="AH51" s="261"/>
      <c r="AI51" s="261"/>
      <c r="AJ51" s="261"/>
      <c r="AK51" s="261"/>
      <c r="AL51" s="261"/>
      <c r="AM51" s="261"/>
      <c r="AN51" s="261"/>
      <c r="AO51" s="261"/>
      <c r="AP51" s="261"/>
      <c r="AQ51" s="261"/>
      <c r="AR51" s="261"/>
      <c r="AS51" s="261"/>
      <c r="AT51" s="261"/>
      <c r="AU51" s="26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2"/>
    </row>
    <row r="52" spans="1:96" s="53" customFormat="1" ht="15" customHeight="1" x14ac:dyDescent="0.15">
      <c r="A52" s="50"/>
      <c r="B52" s="51"/>
      <c r="C52" s="51" t="s">
        <v>73</v>
      </c>
      <c r="D52" s="261" t="s">
        <v>90</v>
      </c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  <c r="AA52" s="261"/>
      <c r="AB52" s="261"/>
      <c r="AC52" s="261"/>
      <c r="AD52" s="261"/>
      <c r="AE52" s="261"/>
      <c r="AF52" s="261"/>
      <c r="AG52" s="261"/>
      <c r="AH52" s="261"/>
      <c r="AI52" s="261"/>
      <c r="AJ52" s="261"/>
      <c r="AK52" s="261"/>
      <c r="AL52" s="261"/>
      <c r="AM52" s="261"/>
      <c r="AN52" s="261"/>
      <c r="AO52" s="261"/>
      <c r="AP52" s="261"/>
      <c r="AQ52" s="261"/>
      <c r="AR52" s="261"/>
      <c r="AS52" s="261"/>
      <c r="AT52" s="261"/>
      <c r="AU52" s="26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Q52" s="51"/>
      <c r="CR52" s="52"/>
    </row>
    <row r="53" spans="1:96" s="53" customFormat="1" ht="15" customHeight="1" x14ac:dyDescent="0.15">
      <c r="A53" s="50"/>
      <c r="B53" s="51"/>
      <c r="C53" s="51"/>
      <c r="D53" s="261" t="s">
        <v>117</v>
      </c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61"/>
      <c r="AB53" s="261"/>
      <c r="AC53" s="261"/>
      <c r="AD53" s="261"/>
      <c r="AE53" s="261"/>
      <c r="AF53" s="261"/>
      <c r="AG53" s="261"/>
      <c r="AH53" s="261"/>
      <c r="AI53" s="261"/>
      <c r="AJ53" s="261"/>
      <c r="AK53" s="261"/>
      <c r="AL53" s="261"/>
      <c r="AM53" s="261"/>
      <c r="AN53" s="261"/>
      <c r="AO53" s="261"/>
      <c r="AP53" s="261"/>
      <c r="AQ53" s="261"/>
      <c r="AR53" s="261"/>
      <c r="AS53" s="261"/>
      <c r="AT53" s="261"/>
      <c r="AU53" s="26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Q53" s="51"/>
      <c r="CR53" s="52"/>
    </row>
    <row r="54" spans="1:96" s="53" customFormat="1" ht="15" customHeight="1" x14ac:dyDescent="0.15">
      <c r="A54" s="50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Q54" s="51"/>
      <c r="CR54" s="52"/>
    </row>
    <row r="55" spans="1:96" s="53" customFormat="1" ht="15" customHeight="1" x14ac:dyDescent="0.15">
      <c r="A55" s="50"/>
      <c r="B55" s="51" t="s">
        <v>97</v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Q55" s="51"/>
      <c r="CR55" s="52"/>
    </row>
    <row r="56" spans="1:96" s="53" customFormat="1" ht="15" customHeight="1" x14ac:dyDescent="0.15">
      <c r="A56" s="50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Q56" s="51"/>
      <c r="CR56" s="52"/>
    </row>
    <row r="57" spans="1:96" s="53" customFormat="1" ht="15" customHeight="1" x14ac:dyDescent="0.15">
      <c r="A57" s="50"/>
      <c r="B57" s="51"/>
      <c r="C57" s="51" t="s">
        <v>98</v>
      </c>
      <c r="D57" s="51" t="s">
        <v>99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Q57" s="51"/>
      <c r="CR57" s="52"/>
    </row>
    <row r="58" spans="1:96" s="53" customFormat="1" ht="15" customHeight="1" x14ac:dyDescent="0.15">
      <c r="A58" s="50"/>
      <c r="B58" s="51"/>
      <c r="C58" s="51"/>
      <c r="D58" s="51" t="s">
        <v>111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Q58" s="51"/>
      <c r="CR58" s="52"/>
    </row>
    <row r="59" spans="1:96" s="53" customFormat="1" ht="15" customHeight="1" x14ac:dyDescent="0.15">
      <c r="A59" s="50"/>
      <c r="B59" s="51"/>
      <c r="C59" s="51"/>
      <c r="D59" s="256" t="s">
        <v>100</v>
      </c>
      <c r="E59" s="256"/>
      <c r="F59" s="256"/>
      <c r="G59" s="256"/>
      <c r="H59" s="256"/>
      <c r="I59" s="256"/>
      <c r="J59" s="256" t="s">
        <v>101</v>
      </c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Q59" s="51"/>
      <c r="CR59" s="52"/>
    </row>
    <row r="60" spans="1:96" s="53" customFormat="1" ht="15" customHeight="1" x14ac:dyDescent="0.15">
      <c r="A60" s="50"/>
      <c r="B60" s="51"/>
      <c r="C60" s="51"/>
      <c r="D60" s="257" t="s">
        <v>102</v>
      </c>
      <c r="E60" s="257"/>
      <c r="F60" s="257"/>
      <c r="G60" s="257"/>
      <c r="H60" s="257"/>
      <c r="I60" s="257"/>
      <c r="J60" s="258" t="s">
        <v>110</v>
      </c>
      <c r="K60" s="258"/>
      <c r="L60" s="258"/>
      <c r="M60" s="258"/>
      <c r="N60" s="258"/>
      <c r="O60" s="258"/>
      <c r="P60" s="257" t="s">
        <v>106</v>
      </c>
      <c r="Q60" s="257"/>
      <c r="R60" s="257"/>
      <c r="S60" s="257"/>
      <c r="T60" s="257"/>
      <c r="U60" s="257"/>
      <c r="V60" s="257"/>
      <c r="W60" s="257"/>
      <c r="X60" s="257"/>
      <c r="Y60" s="257"/>
      <c r="Z60" s="257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Q60" s="51"/>
      <c r="CR60" s="52"/>
    </row>
    <row r="61" spans="1:96" s="53" customFormat="1" ht="15" customHeight="1" x14ac:dyDescent="0.15">
      <c r="A61" s="50"/>
      <c r="B61" s="51"/>
      <c r="C61" s="51"/>
      <c r="D61" s="257" t="s">
        <v>103</v>
      </c>
      <c r="E61" s="257"/>
      <c r="F61" s="257"/>
      <c r="G61" s="257"/>
      <c r="H61" s="257"/>
      <c r="I61" s="257"/>
      <c r="J61" s="258" t="s">
        <v>110</v>
      </c>
      <c r="K61" s="258"/>
      <c r="L61" s="258"/>
      <c r="M61" s="258"/>
      <c r="N61" s="258"/>
      <c r="O61" s="258"/>
      <c r="P61" s="257" t="s">
        <v>107</v>
      </c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Q61" s="51"/>
      <c r="CR61" s="52"/>
    </row>
    <row r="62" spans="1:96" s="53" customFormat="1" ht="15" customHeight="1" x14ac:dyDescent="0.15">
      <c r="A62" s="50"/>
      <c r="B62" s="51"/>
      <c r="C62" s="51"/>
      <c r="D62" s="257" t="s">
        <v>104</v>
      </c>
      <c r="E62" s="257"/>
      <c r="F62" s="257"/>
      <c r="G62" s="257"/>
      <c r="H62" s="257"/>
      <c r="I62" s="257"/>
      <c r="J62" s="258" t="s">
        <v>110</v>
      </c>
      <c r="K62" s="258"/>
      <c r="L62" s="258"/>
      <c r="M62" s="258"/>
      <c r="N62" s="258"/>
      <c r="O62" s="258"/>
      <c r="P62" s="257" t="s">
        <v>108</v>
      </c>
      <c r="Q62" s="257"/>
      <c r="R62" s="257"/>
      <c r="S62" s="257"/>
      <c r="T62" s="257"/>
      <c r="U62" s="257"/>
      <c r="V62" s="257"/>
      <c r="W62" s="257"/>
      <c r="X62" s="257"/>
      <c r="Y62" s="257"/>
      <c r="Z62" s="257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Q62" s="51"/>
      <c r="CR62" s="52"/>
    </row>
    <row r="63" spans="1:96" s="53" customFormat="1" ht="15" customHeight="1" x14ac:dyDescent="0.15">
      <c r="A63" s="50"/>
      <c r="B63" s="51"/>
      <c r="C63" s="51"/>
      <c r="D63" s="257" t="s">
        <v>105</v>
      </c>
      <c r="E63" s="257"/>
      <c r="F63" s="257"/>
      <c r="G63" s="257"/>
      <c r="H63" s="257"/>
      <c r="I63" s="257"/>
      <c r="J63" s="258" t="s">
        <v>110</v>
      </c>
      <c r="K63" s="258"/>
      <c r="L63" s="258"/>
      <c r="M63" s="258"/>
      <c r="N63" s="258"/>
      <c r="O63" s="258"/>
      <c r="P63" s="257" t="s">
        <v>109</v>
      </c>
      <c r="Q63" s="257"/>
      <c r="R63" s="257"/>
      <c r="S63" s="257"/>
      <c r="T63" s="257"/>
      <c r="U63" s="257"/>
      <c r="V63" s="257"/>
      <c r="W63" s="257"/>
      <c r="X63" s="257"/>
      <c r="Y63" s="257"/>
      <c r="Z63" s="257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Q63" s="51"/>
      <c r="CR63" s="52"/>
    </row>
    <row r="64" spans="1:96" s="53" customFormat="1" ht="15" customHeight="1" x14ac:dyDescent="0.15">
      <c r="A64" s="50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Q64" s="51"/>
      <c r="CR64" s="52"/>
    </row>
    <row r="65" spans="1:96" s="53" customFormat="1" ht="15" customHeight="1" x14ac:dyDescent="0.15">
      <c r="A65" s="50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Q65" s="51"/>
      <c r="CR65" s="52"/>
    </row>
    <row r="66" spans="1:96" s="53" customFormat="1" ht="15" customHeight="1" x14ac:dyDescent="0.15">
      <c r="A66" s="50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Q66" s="51"/>
      <c r="CR66" s="52"/>
    </row>
    <row r="67" spans="1:96" s="53" customFormat="1" ht="15" customHeight="1" x14ac:dyDescent="0.15">
      <c r="A67" s="50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Q67" s="51"/>
      <c r="CR67" s="52"/>
    </row>
    <row r="68" spans="1:96" s="53" customFormat="1" ht="15" customHeight="1" x14ac:dyDescent="0.15">
      <c r="A68" s="50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2"/>
    </row>
    <row r="69" spans="1:96" s="53" customFormat="1" ht="15" customHeight="1" x14ac:dyDescent="0.15">
      <c r="A69" s="50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2"/>
    </row>
    <row r="70" spans="1:96" s="53" customFormat="1" ht="15" customHeight="1" x14ac:dyDescent="0.15">
      <c r="A70" s="50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2"/>
    </row>
    <row r="71" spans="1:96" s="53" customFormat="1" ht="15" customHeight="1" x14ac:dyDescent="0.15">
      <c r="A71" s="50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2"/>
    </row>
    <row r="72" spans="1:96" s="53" customFormat="1" ht="15" customHeight="1" x14ac:dyDescent="0.15">
      <c r="A72" s="50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2"/>
    </row>
    <row r="73" spans="1:96" s="53" customFormat="1" ht="15" customHeight="1" x14ac:dyDescent="0.15">
      <c r="A73" s="50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2"/>
    </row>
    <row r="74" spans="1:96" s="53" customFormat="1" ht="15" customHeight="1" x14ac:dyDescent="0.15">
      <c r="A74" s="50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2"/>
    </row>
    <row r="75" spans="1:96" s="53" customFormat="1" ht="15" customHeight="1" x14ac:dyDescent="0.15">
      <c r="A75" s="50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2"/>
    </row>
    <row r="76" spans="1:96" s="53" customFormat="1" ht="15" customHeight="1" x14ac:dyDescent="0.15">
      <c r="A76" s="50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2"/>
    </row>
    <row r="77" spans="1:96" s="53" customFormat="1" ht="15" customHeight="1" x14ac:dyDescent="0.15">
      <c r="A77" s="50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2"/>
    </row>
    <row r="78" spans="1:96" s="53" customFormat="1" ht="15" customHeight="1" x14ac:dyDescent="0.15">
      <c r="A78" s="50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2"/>
    </row>
    <row r="79" spans="1:96" s="53" customFormat="1" ht="15" customHeight="1" x14ac:dyDescent="0.15">
      <c r="A79" s="50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2"/>
    </row>
    <row r="80" spans="1:96" s="53" customFormat="1" ht="15" customHeight="1" x14ac:dyDescent="0.15">
      <c r="A80" s="50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2"/>
    </row>
    <row r="81" spans="1:96" s="53" customFormat="1" ht="15" customHeight="1" x14ac:dyDescent="0.15">
      <c r="A81" s="50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2"/>
    </row>
    <row r="82" spans="1:96" s="53" customFormat="1" ht="15" customHeight="1" x14ac:dyDescent="0.15">
      <c r="A82" s="50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2"/>
    </row>
    <row r="83" spans="1:96" s="53" customFormat="1" ht="15" customHeight="1" x14ac:dyDescent="0.15">
      <c r="A83" s="50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2"/>
    </row>
    <row r="84" spans="1:96" s="53" customFormat="1" ht="15" customHeight="1" x14ac:dyDescent="0.15">
      <c r="A84" s="50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P84" s="51"/>
      <c r="CQ84" s="51"/>
      <c r="CR84" s="52"/>
    </row>
    <row r="85" spans="1:96" s="53" customFormat="1" ht="15" customHeight="1" x14ac:dyDescent="0.15">
      <c r="A85" s="50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P85" s="51"/>
      <c r="CQ85" s="51"/>
      <c r="CR85" s="52"/>
    </row>
    <row r="86" spans="1:96" s="53" customFormat="1" ht="15" customHeight="1" x14ac:dyDescent="0.15">
      <c r="A86" s="50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2"/>
    </row>
    <row r="87" spans="1:96" s="53" customFormat="1" ht="15" customHeight="1" x14ac:dyDescent="0.15">
      <c r="A87" s="50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2"/>
    </row>
    <row r="88" spans="1:96" s="53" customFormat="1" ht="15" customHeight="1" x14ac:dyDescent="0.15">
      <c r="A88" s="50"/>
      <c r="B88" s="22"/>
      <c r="C88" s="22"/>
      <c r="D88" s="22"/>
      <c r="E88" s="22"/>
      <c r="F88" s="22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2"/>
    </row>
    <row r="89" spans="1:96" s="53" customFormat="1" ht="15" customHeight="1" x14ac:dyDescent="0.15">
      <c r="A89" s="50"/>
      <c r="B89" s="22"/>
      <c r="C89" s="22"/>
      <c r="D89" s="22"/>
      <c r="E89" s="22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2"/>
    </row>
    <row r="90" spans="1:96" s="53" customFormat="1" ht="15" customHeight="1" thickBot="1" x14ac:dyDescent="0.2">
      <c r="A90" s="54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6"/>
    </row>
  </sheetData>
  <mergeCells count="75">
    <mergeCell ref="J59:Z59"/>
    <mergeCell ref="J61:O61"/>
    <mergeCell ref="J60:O60"/>
    <mergeCell ref="J62:O62"/>
    <mergeCell ref="J63:O63"/>
    <mergeCell ref="P60:Z60"/>
    <mergeCell ref="P61:Z61"/>
    <mergeCell ref="P62:Z62"/>
    <mergeCell ref="P63:Z63"/>
    <mergeCell ref="D59:I59"/>
    <mergeCell ref="D60:I60"/>
    <mergeCell ref="D61:I61"/>
    <mergeCell ref="D62:I62"/>
    <mergeCell ref="D63:I63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  <mergeCell ref="BT4:CR4"/>
    <mergeCell ref="A5:BH5"/>
    <mergeCell ref="BI5:CR5"/>
    <mergeCell ref="BI12:CR12"/>
    <mergeCell ref="A38:BH38"/>
    <mergeCell ref="BI38:CR38"/>
    <mergeCell ref="A4:H4"/>
    <mergeCell ref="I4:AK4"/>
    <mergeCell ref="AL4:AR4"/>
    <mergeCell ref="AS4:BH4"/>
    <mergeCell ref="BI4:BS4"/>
    <mergeCell ref="A39:J39"/>
    <mergeCell ref="K39:AV39"/>
    <mergeCell ref="AW39:BH39"/>
    <mergeCell ref="A40:J40"/>
    <mergeCell ref="K40:AV40"/>
    <mergeCell ref="AW40:BH40"/>
    <mergeCell ref="A41:J41"/>
    <mergeCell ref="K41:AV41"/>
    <mergeCell ref="AW41:BH41"/>
    <mergeCell ref="A42:J42"/>
    <mergeCell ref="K42:AV42"/>
    <mergeCell ref="AW42:BH42"/>
    <mergeCell ref="A43:J43"/>
    <mergeCell ref="K43:AV43"/>
    <mergeCell ref="AW43:BH43"/>
    <mergeCell ref="BI43:CR43"/>
    <mergeCell ref="A44:J44"/>
    <mergeCell ref="K44:AV44"/>
    <mergeCell ref="AW44:BH44"/>
    <mergeCell ref="A47:J47"/>
    <mergeCell ref="K47:AV47"/>
    <mergeCell ref="AW47:BH47"/>
    <mergeCell ref="A48:CR48"/>
    <mergeCell ref="A45:J45"/>
    <mergeCell ref="K45:AV45"/>
    <mergeCell ref="AW45:BH45"/>
    <mergeCell ref="A46:J46"/>
    <mergeCell ref="K46:AV46"/>
    <mergeCell ref="AW46:BH46"/>
  </mergeCells>
  <phoneticPr fontId="2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タイトル</vt:lpstr>
      <vt:lpstr>改訂履歴</vt:lpstr>
      <vt:lpstr>機能概要・画面遷移図</vt:lpstr>
      <vt:lpstr>ログイン</vt:lpstr>
      <vt:lpstr>タイトル!Print_Area</vt:lpstr>
      <vt:lpstr>ログイン!Print_Titles</vt:lpstr>
      <vt:lpstr>改訂履歴!Print_Titles</vt:lpstr>
      <vt:lpstr>機能概要・画面遷移図!Print_Titles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川勝　恭子</dc:creator>
  <cp:lastModifiedBy>[協]木田 優</cp:lastModifiedBy>
  <cp:lastPrinted>2024-03-08T00:31:08Z</cp:lastPrinted>
  <dcterms:created xsi:type="dcterms:W3CDTF">2006-03-07T04:00:40Z</dcterms:created>
  <dcterms:modified xsi:type="dcterms:W3CDTF">2024-03-08T01:44:30Z</dcterms:modified>
</cp:coreProperties>
</file>
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DUSK3070同志社学生勤務管理システム\C000_基本設計\010_機能設計書\CC_共通\"/>
    </mc:Choice>
  </mc:AlternateContent>
  <xr:revisionPtr revIDLastSave="0" documentId="13_ncr:1_{A708362C-4F98-42B9-A65A-702094C4B40B}" xr6:coauthVersionLast="47" xr6:coauthVersionMax="47" xr10:uidLastSave="{00000000-0000-0000-0000-000000000000}"/>
  <bookViews>
    <workbookView xWindow="1920" yWindow="1920" windowWidth="23310" windowHeight="12375" tabRatio="584" xr2:uid="{00000000-000D-0000-FFFF-FFFF00000000}"/>
  </bookViews>
  <sheets>
    <sheet name="タイトル" sheetId="266" r:id="rId1"/>
    <sheet name="改訂履歴" sheetId="6" r:id="rId2"/>
    <sheet name="機能概要・画面遷移図" sheetId="270" r:id="rId3"/>
    <sheet name="社員選択" sheetId="271" r:id="rId4"/>
    <sheet name="科目選択" sheetId="273" r:id="rId5"/>
  </sheets>
  <definedNames>
    <definedName name="_Toc94971774" localSheetId="2">機能概要・画面遷移図!#REF!</definedName>
    <definedName name="_Toc94971775" localSheetId="2">機能概要・画面遷移図!#REF!</definedName>
    <definedName name="_xlnm.Print_Area" localSheetId="0">タイトル!$A$1:$AC$36</definedName>
    <definedName name="_xlnm.Print_Area" localSheetId="3">社員選択!$A$1:$CR$90</definedName>
    <definedName name="_xlnm.Print_Titles" localSheetId="4">科目選択!$1:$4</definedName>
    <definedName name="_xlnm.Print_Titles" localSheetId="1">改訂履歴!$1:$4</definedName>
    <definedName name="_xlnm.Print_Titles" localSheetId="2">機能概要・画面遷移図!$1:$4</definedName>
    <definedName name="_xlnm.Print_Titles" localSheetId="3">社員選択!$1:$4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73" l="1"/>
  <c r="AL2" i="273"/>
  <c r="CK1" i="273"/>
  <c r="BW1" i="273"/>
  <c r="BM1" i="273"/>
  <c r="I1" i="273"/>
  <c r="CK1" i="271" l="1"/>
  <c r="CK1" i="270"/>
  <c r="I1" i="271"/>
  <c r="I4" i="271"/>
  <c r="AL2" i="271"/>
  <c r="BW1" i="271"/>
  <c r="BM1" i="271"/>
  <c r="I51" i="266" l="1"/>
  <c r="AS4" i="270" l="1"/>
  <c r="I4" i="270"/>
  <c r="J5" i="6" l="1"/>
  <c r="I49" i="266" s="1"/>
  <c r="AL2" i="270" l="1"/>
  <c r="I2" i="270"/>
  <c r="BW1" i="270"/>
  <c r="BM1" i="270"/>
  <c r="AL1" i="270"/>
  <c r="I1" i="270"/>
  <c r="G11" i="266" l="1"/>
  <c r="G14" i="266"/>
  <c r="G17" i="266"/>
  <c r="G20" i="266"/>
  <c r="J27" i="266"/>
  <c r="J29" i="2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H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7EBBCFC8-3EE0-4683-A9CD-235C05BFA8D8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69DCA475-F74A-4DD8-B595-92C77B3E421C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<sst xmlns="http://schemas.openxmlformats.org/spreadsheetml/2006/main" count="358" uniqueCount="225">
  <si>
    <t>工　　　　程</t>
    <rPh sb="0" eb="1">
      <t>コウ</t>
    </rPh>
    <rPh sb="5" eb="6">
      <t>ホド</t>
    </rPh>
    <phoneticPr fontId="2"/>
  </si>
  <si>
    <t>システム名</t>
    <rPh sb="4" eb="5">
      <t>メイ</t>
    </rPh>
    <phoneticPr fontId="2"/>
  </si>
  <si>
    <t>改訂履歴</t>
    <rPh sb="0" eb="2">
      <t>カイテイ</t>
    </rPh>
    <rPh sb="2" eb="4">
      <t>リレキ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</si>
  <si>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</si>
  <si>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</si>
  <si>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</si>
  <si>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</si>
  <si>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</si>
  <si>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</si>
  <si>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</si>
  <si>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</si>
  <si>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新規</t>
    <rPh sb="0" eb="2">
      <t>シンキ</t>
    </rPh>
    <phoneticPr fontId="2"/>
  </si>
  <si>
    <t>作　成</t>
    <rPh sb="0" eb="1">
      <t>サク</t>
    </rPh>
    <rPh sb="2" eb="3">
      <t>シゲル</t>
    </rPh>
    <phoneticPr fontId="2"/>
  </si>
  <si>
    <t>管理記号</t>
    <rPh sb="0" eb="2">
      <t>カンリ</t>
    </rPh>
    <rPh sb="2" eb="4">
      <t>キゴウ</t>
    </rPh>
    <phoneticPr fontId="2"/>
  </si>
  <si>
    <t>サブシステム名</t>
    <rPh sb="6" eb="7">
      <t>メイ</t>
    </rPh>
    <phoneticPr fontId="2"/>
  </si>
  <si>
    <t>改　訂</t>
    <rPh sb="0" eb="1">
      <t>アラタ</t>
    </rPh>
    <rPh sb="2" eb="3">
      <t>テイ</t>
    </rPh>
    <phoneticPr fontId="2"/>
  </si>
  <si>
    <t>No</t>
    <phoneticPr fontId="2"/>
  </si>
  <si>
    <t>Ver</t>
    <phoneticPr fontId="2"/>
  </si>
  <si>
    <t>新規作成</t>
    <rPh sb="0" eb="2">
      <t>シンキ</t>
    </rPh>
    <rPh sb="2" eb="4">
      <t>サクセイ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</si>
  <si>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</si>
  <si>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タイトル項目</t>
    <rPh sb="4" eb="6">
      <t>コウモク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</si>
  <si>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</si>
  <si>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</si>
  <si>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</si>
  <si>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</si>
  <si>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</si>
  <si>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</si>
  <si>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</si>
  <si>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</si>
  <si>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</si>
  <si>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</si>
  <si>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</si>
  <si>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ドキュメント</t>
    <phoneticPr fontId="2"/>
  </si>
  <si>
    <t xml:space="preserve">　 </t>
    <phoneticPr fontId="2"/>
  </si>
  <si>
    <t>　⑩Ｖｅｒ</t>
    <phoneticPr fontId="2"/>
  </si>
  <si>
    <t>　利用想定ユーザー</t>
    <rPh sb="1" eb="3">
      <t>リヨウ</t>
    </rPh>
    <rPh sb="3" eb="5">
      <t>ソウテイ</t>
    </rPh>
    <phoneticPr fontId="2"/>
  </si>
  <si>
    <t>　機能名称</t>
    <rPh sb="1" eb="3">
      <t>キノウ</t>
    </rPh>
    <rPh sb="3" eb="5">
      <t>メイショウ</t>
    </rPh>
    <phoneticPr fontId="2"/>
  </si>
  <si>
    <t>　機能ＩＤ</t>
    <rPh sb="1" eb="3">
      <t>キノウ</t>
    </rPh>
    <phoneticPr fontId="2"/>
  </si>
  <si>
    <t>　機能設計</t>
    <rPh sb="1" eb="3">
      <t>キノウ</t>
    </rPh>
    <rPh sb="3" eb="5">
      <t>セッケイ</t>
    </rPh>
    <phoneticPr fontId="2"/>
  </si>
  <si>
    <t>機　　能　　概　　要</t>
    <rPh sb="0" eb="1">
      <t>キ</t>
    </rPh>
    <rPh sb="3" eb="4">
      <t>ノウ</t>
    </rPh>
    <rPh sb="6" eb="7">
      <t>オオムネ</t>
    </rPh>
    <rPh sb="9" eb="10">
      <t>ヨウ</t>
    </rPh>
    <phoneticPr fontId="2"/>
  </si>
  <si>
    <t>画　　面　　遷　　移　　図</t>
    <rPh sb="0" eb="1">
      <t>ガ</t>
    </rPh>
    <rPh sb="3" eb="4">
      <t>メン</t>
    </rPh>
    <rPh sb="6" eb="7">
      <t>セン</t>
    </rPh>
    <rPh sb="9" eb="10">
      <t>ウツ</t>
    </rPh>
    <rPh sb="12" eb="13">
      <t>ズ</t>
    </rPh>
    <phoneticPr fontId="2"/>
  </si>
  <si>
    <t>　共通機能</t>
    <rPh sb="1" eb="3">
      <t>キョウツウ</t>
    </rPh>
    <rPh sb="3" eb="5">
      <t>キノウ</t>
    </rPh>
    <phoneticPr fontId="2"/>
  </si>
  <si>
    <t>DUC010</t>
    <phoneticPr fontId="2"/>
  </si>
  <si>
    <t>　学生勤務管理システム</t>
    <rPh sb="1" eb="3">
      <t>ガクセイ</t>
    </rPh>
    <rPh sb="3" eb="5">
      <t>キンム</t>
    </rPh>
    <rPh sb="5" eb="7">
      <t>カンリ</t>
    </rPh>
    <phoneticPr fontId="2"/>
  </si>
  <si>
    <t>木田　優</t>
    <rPh sb="0" eb="2">
      <t>キダ</t>
    </rPh>
    <rPh sb="3" eb="4">
      <t>マサル</t>
    </rPh>
    <phoneticPr fontId="2"/>
  </si>
  <si>
    <t>木田　優</t>
    <rPh sb="0" eb="2">
      <t>キダ</t>
    </rPh>
    <rPh sb="3" eb="4">
      <t>マサル</t>
    </rPh>
    <phoneticPr fontId="2"/>
  </si>
  <si>
    <t>　全ユーザー</t>
    <rPh sb="1" eb="2">
      <t>ゼン</t>
    </rPh>
    <phoneticPr fontId="10"/>
  </si>
  <si>
    <t>機能</t>
    <rPh sb="0" eb="2">
      <t>キノウ</t>
    </rPh>
    <phoneticPr fontId="2"/>
  </si>
  <si>
    <t>　機能設計</t>
  </si>
  <si>
    <t>　共通機能</t>
  </si>
  <si>
    <t>　画面名称</t>
    <rPh sb="1" eb="3">
      <t>ガメン</t>
    </rPh>
    <rPh sb="3" eb="5">
      <t>メイショウ</t>
    </rPh>
    <phoneticPr fontId="2"/>
  </si>
  <si>
    <t>　画面ＩＤ</t>
    <rPh sb="1" eb="3">
      <t>ガメン</t>
    </rPh>
    <phoneticPr fontId="2"/>
  </si>
  <si>
    <t>画面レイアウト</t>
    <rPh sb="0" eb="2">
      <t>ガメン</t>
    </rPh>
    <phoneticPr fontId="2"/>
  </si>
  <si>
    <t>機能概要</t>
    <rPh sb="0" eb="2">
      <t>キノウ</t>
    </rPh>
    <rPh sb="2" eb="4">
      <t>ガイヨウ</t>
    </rPh>
    <phoneticPr fontId="2"/>
  </si>
  <si>
    <t>・</t>
    <phoneticPr fontId="10"/>
  </si>
  <si>
    <t>画面説明　（処理内容・アクション等）</t>
    <rPh sb="0" eb="2">
      <t>ガメン</t>
    </rPh>
    <rPh sb="2" eb="4">
      <t>セツメイ</t>
    </rPh>
    <rPh sb="6" eb="8">
      <t>ショリ</t>
    </rPh>
    <rPh sb="8" eb="10">
      <t>ナイヨウ</t>
    </rPh>
    <rPh sb="16" eb="17">
      <t>トウ</t>
    </rPh>
    <phoneticPr fontId="2"/>
  </si>
  <si>
    <t>リストボックス</t>
    <phoneticPr fontId="2"/>
  </si>
  <si>
    <t>権限による画面制御</t>
    <rPh sb="0" eb="2">
      <t>ケンゲン</t>
    </rPh>
    <rPh sb="5" eb="7">
      <t>ガメン</t>
    </rPh>
    <rPh sb="7" eb="9">
      <t>セイギョ</t>
    </rPh>
    <phoneticPr fontId="10"/>
  </si>
  <si>
    <t>項目名</t>
    <rPh sb="0" eb="2">
      <t>コウモク</t>
    </rPh>
    <rPh sb="2" eb="3">
      <t>メイ</t>
    </rPh>
    <phoneticPr fontId="2"/>
  </si>
  <si>
    <t>内容</t>
    <rPh sb="0" eb="2">
      <t>ナイヨウ</t>
    </rPh>
    <phoneticPr fontId="10"/>
  </si>
  <si>
    <t>並び順</t>
    <rPh sb="0" eb="1">
      <t>ナラ</t>
    </rPh>
    <rPh sb="2" eb="3">
      <t>ジュン</t>
    </rPh>
    <phoneticPr fontId="10"/>
  </si>
  <si>
    <t>一覧の並び順</t>
    <rPh sb="0" eb="2">
      <t>イチラン</t>
    </rPh>
    <rPh sb="3" eb="4">
      <t>ナラ</t>
    </rPh>
    <rPh sb="5" eb="6">
      <t>ジュン</t>
    </rPh>
    <phoneticPr fontId="2"/>
  </si>
  <si>
    <t>画　面　補　足　説　明</t>
    <rPh sb="0" eb="1">
      <t>ガ</t>
    </rPh>
    <rPh sb="2" eb="3">
      <t>メン</t>
    </rPh>
    <rPh sb="4" eb="5">
      <t>タスク</t>
    </rPh>
    <rPh sb="6" eb="7">
      <t>アシ</t>
    </rPh>
    <rPh sb="8" eb="9">
      <t>セツ</t>
    </rPh>
    <rPh sb="10" eb="11">
      <t>メイ</t>
    </rPh>
    <phoneticPr fontId="2"/>
  </si>
  <si>
    <t>・</t>
    <phoneticPr fontId="2"/>
  </si>
  <si>
    <t>項目名</t>
    <rPh sb="0" eb="2">
      <t>コウモク</t>
    </rPh>
    <rPh sb="2" eb="3">
      <t>メイ</t>
    </rPh>
    <phoneticPr fontId="10"/>
  </si>
  <si>
    <t>入力必須</t>
    <rPh sb="0" eb="2">
      <t>ニュウリョク</t>
    </rPh>
    <rPh sb="2" eb="4">
      <t>ヒッス</t>
    </rPh>
    <phoneticPr fontId="10"/>
  </si>
  <si>
    <t>桁数</t>
    <rPh sb="0" eb="2">
      <t>ケタスウ</t>
    </rPh>
    <phoneticPr fontId="10"/>
  </si>
  <si>
    <t>　CC-800_ポップアップ</t>
    <phoneticPr fontId="2"/>
  </si>
  <si>
    <t>名称などの情報を選択するためのサポート画面。</t>
    <rPh sb="0" eb="2">
      <t>メイショウ</t>
    </rPh>
    <rPh sb="5" eb="7">
      <t>ジョウホウ</t>
    </rPh>
    <rPh sb="8" eb="10">
      <t>センタク</t>
    </rPh>
    <rPh sb="19" eb="21">
      <t>ガメン</t>
    </rPh>
    <phoneticPr fontId="2"/>
  </si>
  <si>
    <t>選択した結果の情報を呼び出し元画面に渡す。</t>
    <rPh sb="0" eb="2">
      <t>センタク</t>
    </rPh>
    <rPh sb="4" eb="6">
      <t>ケッカ</t>
    </rPh>
    <rPh sb="7" eb="9">
      <t>ジョウホウ</t>
    </rPh>
    <rPh sb="10" eb="11">
      <t>ヨ</t>
    </rPh>
    <rPh sb="12" eb="13">
      <t>ダ</t>
    </rPh>
    <rPh sb="14" eb="15">
      <t>モト</t>
    </rPh>
    <rPh sb="15" eb="17">
      <t>ガメン</t>
    </rPh>
    <rPh sb="18" eb="19">
      <t>ワタ</t>
    </rPh>
    <phoneticPr fontId="11"/>
  </si>
  <si>
    <t>○呼び出し元画面</t>
    <rPh sb="1" eb="2">
      <t>ヨ</t>
    </rPh>
    <rPh sb="3" eb="4">
      <t>ダ</t>
    </rPh>
    <rPh sb="5" eb="6">
      <t>モト</t>
    </rPh>
    <rPh sb="6" eb="8">
      <t>ガメン</t>
    </rPh>
    <phoneticPr fontId="2"/>
  </si>
  <si>
    <t>社員選択</t>
    <rPh sb="0" eb="2">
      <t>シャイン</t>
    </rPh>
    <rPh sb="2" eb="4">
      <t>センタク</t>
    </rPh>
    <phoneticPr fontId="11"/>
  </si>
  <si>
    <t>○ポップアップ</t>
    <phoneticPr fontId="2"/>
  </si>
  <si>
    <t>　管理者、担当者</t>
    <rPh sb="1" eb="4">
      <t>カンリシャ</t>
    </rPh>
    <rPh sb="5" eb="8">
      <t>タントウシャ</t>
    </rPh>
    <phoneticPr fontId="10"/>
  </si>
  <si>
    <t>社員（学生・教員・職員）を選択するための画面。</t>
    <rPh sb="0" eb="2">
      <t>シャイン</t>
    </rPh>
    <rPh sb="3" eb="5">
      <t>ガクセイ</t>
    </rPh>
    <rPh sb="6" eb="8">
      <t>キョウイン</t>
    </rPh>
    <rPh sb="9" eb="11">
      <t>ショクイン</t>
    </rPh>
    <rPh sb="13" eb="15">
      <t>センタク</t>
    </rPh>
    <rPh sb="20" eb="22">
      <t>ガメン</t>
    </rPh>
    <phoneticPr fontId="2"/>
  </si>
  <si>
    <t>学生、教員、職員区分をパラメータで受け取った場合は、画面の</t>
    <rPh sb="0" eb="2">
      <t>ガクセイ</t>
    </rPh>
    <rPh sb="3" eb="5">
      <t>キョウイン</t>
    </rPh>
    <rPh sb="6" eb="8">
      <t>ショクイン</t>
    </rPh>
    <rPh sb="8" eb="10">
      <t>クブン</t>
    </rPh>
    <rPh sb="17" eb="18">
      <t>ウ</t>
    </rPh>
    <rPh sb="19" eb="20">
      <t>ト</t>
    </rPh>
    <rPh sb="22" eb="24">
      <t>バアイ</t>
    </rPh>
    <rPh sb="26" eb="28">
      <t>ガメン</t>
    </rPh>
    <phoneticPr fontId="10"/>
  </si>
  <si>
    <t>検索結果の行は30行を最大とし、31行目以降はページング機能を使用して</t>
    <rPh sb="0" eb="2">
      <t>ケンサク</t>
    </rPh>
    <rPh sb="2" eb="4">
      <t>ケッカ</t>
    </rPh>
    <rPh sb="5" eb="6">
      <t>ギョウ</t>
    </rPh>
    <rPh sb="9" eb="10">
      <t>ギョウ</t>
    </rPh>
    <rPh sb="11" eb="13">
      <t>サイダイ</t>
    </rPh>
    <rPh sb="18" eb="20">
      <t>ギョウメ</t>
    </rPh>
    <rPh sb="20" eb="22">
      <t>イコウ</t>
    </rPh>
    <rPh sb="28" eb="30">
      <t>キノウ</t>
    </rPh>
    <rPh sb="31" eb="33">
      <t>シヨウ</t>
    </rPh>
    <phoneticPr fontId="2"/>
  </si>
  <si>
    <t>表示する行を切り替える。</t>
    <rPh sb="0" eb="2">
      <t>ヒョウジ</t>
    </rPh>
    <rPh sb="4" eb="5">
      <t>ギョウ</t>
    </rPh>
    <rPh sb="6" eb="7">
      <t>キ</t>
    </rPh>
    <rPh sb="8" eb="9">
      <t>カ</t>
    </rPh>
    <phoneticPr fontId="2"/>
  </si>
  <si>
    <t>昇順</t>
  </si>
  <si>
    <t>社員ＩＤ（昇順）</t>
    <rPh sb="0" eb="2">
      <t>シャイン</t>
    </rPh>
    <rPh sb="5" eb="7">
      <t>ショウジュン</t>
    </rPh>
    <phoneticPr fontId="2"/>
  </si>
  <si>
    <t>○入力項目（検索条件）</t>
    <rPh sb="1" eb="3">
      <t>ニュウリョク</t>
    </rPh>
    <rPh sb="3" eb="5">
      <t>コウモク</t>
    </rPh>
    <rPh sb="6" eb="8">
      <t>ケンサク</t>
    </rPh>
    <rPh sb="8" eb="10">
      <t>ジョウケン</t>
    </rPh>
    <phoneticPr fontId="10"/>
  </si>
  <si>
    <t>入力制限等</t>
    <rPh sb="0" eb="2">
      <t>ニュウリョク</t>
    </rPh>
    <rPh sb="2" eb="4">
      <t>セイゲン</t>
    </rPh>
    <rPh sb="4" eb="5">
      <t>トウ</t>
    </rPh>
    <phoneticPr fontId="10"/>
  </si>
  <si>
    <t>社員ＩＤ</t>
    <rPh sb="0" eb="2">
      <t>シャイン</t>
    </rPh>
    <phoneticPr fontId="10"/>
  </si>
  <si>
    <t>×</t>
    <phoneticPr fontId="10"/>
  </si>
  <si>
    <t>半角数字、前方一致</t>
    <rPh sb="0" eb="2">
      <t>ハンカク</t>
    </rPh>
    <rPh sb="2" eb="4">
      <t>スウジ</t>
    </rPh>
    <rPh sb="5" eb="7">
      <t>ゼンポウ</t>
    </rPh>
    <rPh sb="7" eb="9">
      <t>イッチ</t>
    </rPh>
    <phoneticPr fontId="2"/>
  </si>
  <si>
    <t>氏名</t>
    <rPh sb="0" eb="2">
      <t>シメイ</t>
    </rPh>
    <phoneticPr fontId="10"/>
  </si>
  <si>
    <t>課程</t>
    <rPh sb="0" eb="2">
      <t>カテイ</t>
    </rPh>
    <phoneticPr fontId="2"/>
  </si>
  <si>
    <t>－</t>
    <phoneticPr fontId="2"/>
  </si>
  <si>
    <t>半角数字</t>
    <rPh sb="0" eb="2">
      <t>ハンカク</t>
    </rPh>
    <rPh sb="2" eb="4">
      <t>スウジ</t>
    </rPh>
    <phoneticPr fontId="2"/>
  </si>
  <si>
    <t>▼</t>
  </si>
  <si>
    <t>↓</t>
    <phoneticPr fontId="2"/>
  </si>
  <si>
    <t>○出力項目</t>
    <rPh sb="1" eb="3">
      <t>シュツリョク</t>
    </rPh>
    <rPh sb="3" eb="5">
      <t>コウモク</t>
    </rPh>
    <phoneticPr fontId="2"/>
  </si>
  <si>
    <t>編集内容等</t>
    <rPh sb="0" eb="2">
      <t>ヘンシュウ</t>
    </rPh>
    <rPh sb="2" eb="4">
      <t>ナイヨウ</t>
    </rPh>
    <rPh sb="4" eb="5">
      <t>トウ</t>
    </rPh>
    <phoneticPr fontId="2"/>
  </si>
  <si>
    <t>社員ID</t>
    <rPh sb="0" eb="2">
      <t>シャイン</t>
    </rPh>
    <phoneticPr fontId="2"/>
  </si>
  <si>
    <t>氏名</t>
    <rPh sb="0" eb="2">
      <t>シメイ</t>
    </rPh>
    <phoneticPr fontId="2"/>
  </si>
  <si>
    <t>英字氏名</t>
    <rPh sb="0" eb="2">
      <t>エイジ</t>
    </rPh>
    <rPh sb="2" eb="4">
      <t>シメイ</t>
    </rPh>
    <phoneticPr fontId="2"/>
  </si>
  <si>
    <t>ユーザ区分</t>
    <rPh sb="3" eb="5">
      <t>クブン</t>
    </rPh>
    <phoneticPr fontId="2"/>
  </si>
  <si>
    <t>〇選択</t>
    <rPh sb="1" eb="3">
      <t>センタク</t>
    </rPh>
    <phoneticPr fontId="2"/>
  </si>
  <si>
    <t>選択すると、出力項目の内容をパラメータで呼び出し元画面に渡す。</t>
    <rPh sb="0" eb="2">
      <t>センタク</t>
    </rPh>
    <rPh sb="6" eb="8">
      <t>シュツリョク</t>
    </rPh>
    <rPh sb="8" eb="10">
      <t>コウモク</t>
    </rPh>
    <rPh sb="11" eb="13">
      <t>ナイヨウ</t>
    </rPh>
    <rPh sb="20" eb="21">
      <t>ヨ</t>
    </rPh>
    <rPh sb="22" eb="23">
      <t>ダ</t>
    </rPh>
    <rPh sb="24" eb="27">
      <t>モトガメン</t>
    </rPh>
    <rPh sb="28" eb="29">
      <t>ワタ</t>
    </rPh>
    <phoneticPr fontId="2"/>
  </si>
  <si>
    <t>ポップアップ一覧</t>
    <rPh sb="6" eb="8">
      <t>イチラン</t>
    </rPh>
    <phoneticPr fontId="11"/>
  </si>
  <si>
    <t>科目選択</t>
    <rPh sb="0" eb="2">
      <t>カモク</t>
    </rPh>
    <rPh sb="2" eb="4">
      <t>センタク</t>
    </rPh>
    <phoneticPr fontId="11"/>
  </si>
  <si>
    <t>部分一致</t>
    <rPh sb="0" eb="2">
      <t>ブブン</t>
    </rPh>
    <rPh sb="2" eb="4">
      <t>イッチ</t>
    </rPh>
    <phoneticPr fontId="2"/>
  </si>
  <si>
    <t>科目を選択するための画面。</t>
    <rPh sb="0" eb="2">
      <t>カモク</t>
    </rPh>
    <rPh sb="3" eb="5">
      <t>センタク</t>
    </rPh>
    <rPh sb="10" eb="12">
      <t>ガメン</t>
    </rPh>
    <phoneticPr fontId="2"/>
  </si>
  <si>
    <t>開講科目コード</t>
    <rPh sb="0" eb="2">
      <t>カイコウ</t>
    </rPh>
    <rPh sb="2" eb="4">
      <t>カモク</t>
    </rPh>
    <phoneticPr fontId="10"/>
  </si>
  <si>
    <t>クラスコード</t>
    <phoneticPr fontId="10"/>
  </si>
  <si>
    <t>科目名</t>
    <rPh sb="0" eb="3">
      <t>カモクメイ</t>
    </rPh>
    <phoneticPr fontId="10"/>
  </si>
  <si>
    <t>教員コード</t>
    <rPh sb="0" eb="2">
      <t>キョウイン</t>
    </rPh>
    <phoneticPr fontId="10"/>
  </si>
  <si>
    <t>教員氏名</t>
    <rPh sb="0" eb="2">
      <t>キョウイン</t>
    </rPh>
    <rPh sb="2" eb="4">
      <t>シメイ</t>
    </rPh>
    <phoneticPr fontId="10"/>
  </si>
  <si>
    <t>科目コード</t>
    <rPh sb="0" eb="2">
      <t>カモク</t>
    </rPh>
    <phoneticPr fontId="2"/>
  </si>
  <si>
    <t>科目名</t>
    <rPh sb="0" eb="3">
      <t>カモクメイ</t>
    </rPh>
    <phoneticPr fontId="2"/>
  </si>
  <si>
    <t>クラス</t>
    <phoneticPr fontId="2"/>
  </si>
  <si>
    <t>主担当者</t>
    <rPh sb="0" eb="1">
      <t>シュ</t>
    </rPh>
    <rPh sb="1" eb="3">
      <t>タントウ</t>
    </rPh>
    <rPh sb="3" eb="4">
      <t>シャ</t>
    </rPh>
    <phoneticPr fontId="2"/>
  </si>
  <si>
    <t>ユーザ区分に設定し、非活性とする。</t>
    <rPh sb="3" eb="5">
      <t>クブン</t>
    </rPh>
    <rPh sb="6" eb="8">
      <t>セッテイ</t>
    </rPh>
    <rPh sb="10" eb="11">
      <t>ヒ</t>
    </rPh>
    <rPh sb="11" eb="13">
      <t>カッセイ</t>
    </rPh>
    <phoneticPr fontId="10"/>
  </si>
  <si>
    <t>英字氏名、カナ含む部分一致検索</t>
    <rPh sb="0" eb="4">
      <t>エイジシメイ</t>
    </rPh>
    <rPh sb="7" eb="8">
      <t>フク</t>
    </rPh>
    <rPh sb="9" eb="13">
      <t>ブブンイッチ</t>
    </rPh>
    <rPh sb="13" eb="15">
      <t>ケンサク</t>
    </rPh>
    <phoneticPr fontId="2"/>
  </si>
  <si>
    <t>ユーザ区分</t>
    <rPh sb="3" eb="5">
      <t>クブン</t>
    </rPh>
    <phoneticPr fontId="10"/>
  </si>
  <si>
    <t>〇リストボックス</t>
    <phoneticPr fontId="2"/>
  </si>
  <si>
    <t>【ユーザ区分】</t>
    <rPh sb="4" eb="6">
      <t>クブン</t>
    </rPh>
    <phoneticPr fontId="3"/>
  </si>
  <si>
    <t>学生</t>
    <rPh sb="0" eb="2">
      <t>ガクセイ</t>
    </rPh>
    <phoneticPr fontId="3"/>
  </si>
  <si>
    <t>承認者</t>
    <rPh sb="0" eb="3">
      <t>ショウニンシャ</t>
    </rPh>
    <phoneticPr fontId="3"/>
  </si>
  <si>
    <t>担当者</t>
    <rPh sb="0" eb="3">
      <t>タントウシャ</t>
    </rPh>
    <phoneticPr fontId="3"/>
  </si>
  <si>
    <t>管理者</t>
    <rPh sb="0" eb="3">
      <t>カンリシャ</t>
    </rPh>
    <phoneticPr fontId="3"/>
  </si>
  <si>
    <t>社員所属</t>
    <rPh sb="0" eb="2">
      <t>シャイン</t>
    </rPh>
    <rPh sb="2" eb="4">
      <t>ショゾク</t>
    </rPh>
    <phoneticPr fontId="2"/>
  </si>
  <si>
    <t>社員役職</t>
    <rPh sb="0" eb="2">
      <t>シャイン</t>
    </rPh>
    <rPh sb="2" eb="4">
      <t>ヤクショク</t>
    </rPh>
    <phoneticPr fontId="2"/>
  </si>
  <si>
    <t>(1)学生、(2)教員、(3)担当者、(4)管理者</t>
    <rPh sb="3" eb="5">
      <t>ガクセイ</t>
    </rPh>
    <rPh sb="9" eb="11">
      <t>キョウイン</t>
    </rPh>
    <rPh sb="15" eb="18">
      <t>タントウシャ</t>
    </rPh>
    <rPh sb="22" eb="25">
      <t>カンリシャ</t>
    </rPh>
    <phoneticPr fontId="2"/>
  </si>
  <si>
    <t>雇用部課選択を削除</t>
    <rPh sb="0" eb="4">
      <t>コヨウブカ</t>
    </rPh>
    <rPh sb="4" eb="6">
      <t>センタク</t>
    </rPh>
    <rPh sb="7" eb="9">
      <t>サクジョ</t>
    </rPh>
    <phoneticPr fontId="2"/>
  </si>
  <si>
    <t>変更</t>
    <rPh sb="0" eb="2">
      <t>ヘンコウ</t>
    </rPh>
    <phoneticPr fontId="2"/>
  </si>
  <si>
    <t>CC-800-01S</t>
    <phoneticPr fontId="11"/>
  </si>
  <si>
    <t>CC-800-02S</t>
    <phoneticPr fontId="11"/>
  </si>
  <si>
    <t>CC-800-02S</t>
    <phoneticPr fontId="2"/>
  </si>
  <si>
    <t>CC-800-01S</t>
    <phoneticPr fontId="2"/>
  </si>
  <si>
    <t>ユーザ区分</t>
    <rPh sb="3" eb="5">
      <t>クブン</t>
    </rPh>
    <phoneticPr fontId="2"/>
  </si>
  <si>
    <t>学生</t>
    <rPh sb="0" eb="2">
      <t>ガクセイ</t>
    </rPh>
    <phoneticPr fontId="2"/>
  </si>
  <si>
    <t>検索条件</t>
    <rPh sb="0" eb="4">
      <t>ケンサクジョウケン</t>
    </rPh>
    <phoneticPr fontId="2"/>
  </si>
  <si>
    <t>学生所属</t>
    <rPh sb="0" eb="4">
      <t>ガクセイショゾク</t>
    </rPh>
    <phoneticPr fontId="2"/>
  </si>
  <si>
    <t>教員</t>
    <rPh sb="0" eb="2">
      <t>キョウイン</t>
    </rPh>
    <phoneticPr fontId="2"/>
  </si>
  <si>
    <t>職員</t>
    <rPh sb="0" eb="2">
      <t>ショクイン</t>
    </rPh>
    <phoneticPr fontId="2"/>
  </si>
  <si>
    <t>教員コード</t>
    <rPh sb="0" eb="2">
      <t>キョウイン</t>
    </rPh>
    <phoneticPr fontId="2"/>
  </si>
  <si>
    <t>表示</t>
    <rPh sb="0" eb="2">
      <t>ヒョウジ</t>
    </rPh>
    <phoneticPr fontId="2"/>
  </si>
  <si>
    <t>非表示</t>
    <rPh sb="0" eb="3">
      <t>ヒヒョウジ</t>
    </rPh>
    <phoneticPr fontId="2"/>
  </si>
  <si>
    <t>・</t>
    <phoneticPr fontId="2"/>
  </si>
  <si>
    <t>ユーザ区分によって、検索条件の表示、非表示を切り替える。</t>
    <rPh sb="15" eb="17">
      <t>ヒョウジ</t>
    </rPh>
    <rPh sb="18" eb="21">
      <t>ヒヒョウジ</t>
    </rPh>
    <rPh sb="22" eb="23">
      <t>キ</t>
    </rPh>
    <rPh sb="24" eb="25">
      <t>カ</t>
    </rPh>
    <phoneticPr fontId="2"/>
  </si>
  <si>
    <t>在籍区分</t>
    <rPh sb="0" eb="4">
      <t>ザイセキクブン</t>
    </rPh>
    <phoneticPr fontId="2"/>
  </si>
  <si>
    <t>学生所属</t>
    <rPh sb="0" eb="4">
      <t>ガクセイショゾク</t>
    </rPh>
    <phoneticPr fontId="2"/>
  </si>
  <si>
    <t>課程、学部・研究科、学科・専攻、コース・クラスター</t>
    <rPh sb="0" eb="2">
      <t>カテイ</t>
    </rPh>
    <rPh sb="3" eb="5">
      <t>ガクブ</t>
    </rPh>
    <rPh sb="6" eb="9">
      <t>ケンキュウカ</t>
    </rPh>
    <rPh sb="10" eb="12">
      <t>ガッカ</t>
    </rPh>
    <rPh sb="13" eb="15">
      <t>センコウ</t>
    </rPh>
    <phoneticPr fontId="2"/>
  </si>
  <si>
    <t>ユーザ区分による検索条件の表示・非表示切替あり</t>
    <rPh sb="3" eb="5">
      <t>クブン</t>
    </rPh>
    <rPh sb="8" eb="12">
      <t>ケンサクジョウケン</t>
    </rPh>
    <rPh sb="13" eb="15">
      <t>ヒョウジ</t>
    </rPh>
    <rPh sb="16" eb="21">
      <t>ヒヒョウジキリカエ</t>
    </rPh>
    <phoneticPr fontId="2"/>
  </si>
  <si>
    <t>〇</t>
    <phoneticPr fontId="10"/>
  </si>
  <si>
    <t>在籍区分</t>
    <rPh sb="0" eb="4">
      <t>ザイセキクブン</t>
    </rPh>
    <phoneticPr fontId="10"/>
  </si>
  <si>
    <t>リストボックス　初期値：籍あり</t>
    <rPh sb="8" eb="11">
      <t>ショキチ</t>
    </rPh>
    <rPh sb="12" eb="13">
      <t>セキ</t>
    </rPh>
    <phoneticPr fontId="2"/>
  </si>
  <si>
    <t>学生所属</t>
    <rPh sb="0" eb="2">
      <t>ガクセイ</t>
    </rPh>
    <rPh sb="2" eb="4">
      <t>ショゾク</t>
    </rPh>
    <phoneticPr fontId="10"/>
  </si>
  <si>
    <t>学部・研究科</t>
    <rPh sb="0" eb="2">
      <t>ガクブ</t>
    </rPh>
    <rPh sb="3" eb="6">
      <t>ケンキュウカ</t>
    </rPh>
    <phoneticPr fontId="2"/>
  </si>
  <si>
    <t>学科・専攻</t>
    <rPh sb="0" eb="2">
      <t>ガッカ</t>
    </rPh>
    <rPh sb="3" eb="5">
      <t>センコウ</t>
    </rPh>
    <phoneticPr fontId="2"/>
  </si>
  <si>
    <t>コース・クラスター</t>
    <phoneticPr fontId="2"/>
  </si>
  <si>
    <t>【在籍区分】</t>
    <rPh sb="1" eb="5">
      <t>ザイセキクブン</t>
    </rPh>
    <phoneticPr fontId="3"/>
  </si>
  <si>
    <t>籍あり</t>
    <rPh sb="0" eb="1">
      <t>セキ</t>
    </rPh>
    <phoneticPr fontId="3"/>
  </si>
  <si>
    <t>籍なし</t>
    <rPh sb="0" eb="1">
      <t>セキ</t>
    </rPh>
    <phoneticPr fontId="3"/>
  </si>
  <si>
    <t>学生所属</t>
    <rPh sb="0" eb="2">
      <t>ガクセイ</t>
    </rPh>
    <rPh sb="2" eb="4">
      <t>ショゾク</t>
    </rPh>
    <phoneticPr fontId="2"/>
  </si>
  <si>
    <t>学生所属の課程を選択すると</t>
    <rPh sb="5" eb="7">
      <t>カテイ</t>
    </rPh>
    <phoneticPr fontId="2"/>
  </si>
  <si>
    <t>学部・研究科を選択するリストボックスを表示する。</t>
    <rPh sb="0" eb="2">
      <t>ガクブ</t>
    </rPh>
    <rPh sb="3" eb="6">
      <t>ケンキュウカ</t>
    </rPh>
    <rPh sb="7" eb="9">
      <t>センタク</t>
    </rPh>
    <rPh sb="19" eb="21">
      <t>ヒョウジ</t>
    </rPh>
    <phoneticPr fontId="2"/>
  </si>
  <si>
    <t>1：学部</t>
    <rPh sb="2" eb="4">
      <t>ガクブ</t>
    </rPh>
    <phoneticPr fontId="2"/>
  </si>
  <si>
    <t>学部・研究科を選択すると</t>
    <rPh sb="0" eb="2">
      <t>ガクブ</t>
    </rPh>
    <rPh sb="3" eb="6">
      <t>ケンキュウカ</t>
    </rPh>
    <phoneticPr fontId="2"/>
  </si>
  <si>
    <t>学科・専攻を選択するリストボックスを表示する。</t>
    <rPh sb="0" eb="2">
      <t>ガッカ</t>
    </rPh>
    <rPh sb="3" eb="5">
      <t>センコウ</t>
    </rPh>
    <rPh sb="6" eb="8">
      <t>センタク</t>
    </rPh>
    <rPh sb="18" eb="20">
      <t>ヒョウジ</t>
    </rPh>
    <phoneticPr fontId="2"/>
  </si>
  <si>
    <t>02：文学部</t>
    <rPh sb="3" eb="6">
      <t>ブンガクブ</t>
    </rPh>
    <phoneticPr fontId="2"/>
  </si>
  <si>
    <t>【学生所属】</t>
    <rPh sb="1" eb="5">
      <t>ガクセイショゾク</t>
    </rPh>
    <phoneticPr fontId="2"/>
  </si>
  <si>
    <t>開講年度</t>
    <rPh sb="0" eb="4">
      <t>カイコウネンド</t>
    </rPh>
    <phoneticPr fontId="2"/>
  </si>
  <si>
    <t>開講マスタの開講年度</t>
    <rPh sb="0" eb="2">
      <t>カイコウ</t>
    </rPh>
    <rPh sb="6" eb="10">
      <t>カイコウネンド</t>
    </rPh>
    <phoneticPr fontId="2"/>
  </si>
  <si>
    <t>木田　優</t>
    <phoneticPr fontId="2"/>
  </si>
  <si>
    <t>降順</t>
    <rPh sb="0" eb="2">
      <t>コウジュン</t>
    </rPh>
    <phoneticPr fontId="2"/>
  </si>
  <si>
    <t>主設置所属</t>
    <rPh sb="0" eb="3">
      <t>シュセッチ</t>
    </rPh>
    <rPh sb="3" eb="5">
      <t>ショゾク</t>
    </rPh>
    <phoneticPr fontId="2"/>
  </si>
  <si>
    <t>課程コード</t>
    <rPh sb="0" eb="2">
      <t>カテイ</t>
    </rPh>
    <phoneticPr fontId="2"/>
  </si>
  <si>
    <t>昇順</t>
    <rPh sb="0" eb="2">
      <t>ショウジュン</t>
    </rPh>
    <phoneticPr fontId="2"/>
  </si>
  <si>
    <t>開講期間</t>
    <rPh sb="0" eb="4">
      <t>カイコウキカン</t>
    </rPh>
    <phoneticPr fontId="2"/>
  </si>
  <si>
    <t>曜日講時</t>
    <rPh sb="0" eb="2">
      <t>ヨウビ</t>
    </rPh>
    <rPh sb="2" eb="4">
      <t>コウジ</t>
    </rPh>
    <phoneticPr fontId="2"/>
  </si>
  <si>
    <t>曜日コード　、講時コード</t>
    <rPh sb="0" eb="2">
      <t>ヨウビ</t>
    </rPh>
    <rPh sb="7" eb="8">
      <t>コウ</t>
    </rPh>
    <rPh sb="8" eb="9">
      <t>ジ</t>
    </rPh>
    <phoneticPr fontId="2"/>
  </si>
  <si>
    <t>開講期間</t>
    <rPh sb="0" eb="2">
      <t>カイコウ</t>
    </rPh>
    <rPh sb="2" eb="4">
      <t>キカン</t>
    </rPh>
    <phoneticPr fontId="2"/>
  </si>
  <si>
    <t>科目コード（昇順）→クラスコード（昇順）</t>
    <rPh sb="0" eb="2">
      <t>カモク</t>
    </rPh>
    <rPh sb="6" eb="8">
      <t>ショウジュン</t>
    </rPh>
    <rPh sb="17" eb="19">
      <t>ショウジュン</t>
    </rPh>
    <phoneticPr fontId="2"/>
  </si>
  <si>
    <t>開講年度</t>
    <rPh sb="0" eb="2">
      <t>カイコウ</t>
    </rPh>
    <rPh sb="2" eb="4">
      <t>ネンド</t>
    </rPh>
    <phoneticPr fontId="10"/>
  </si>
  <si>
    <t>-</t>
    <phoneticPr fontId="2"/>
  </si>
  <si>
    <t>主設置所属</t>
    <rPh sb="0" eb="3">
      <t>シュセッチ</t>
    </rPh>
    <rPh sb="3" eb="5">
      <t>ショゾク</t>
    </rPh>
    <phoneticPr fontId="10"/>
  </si>
  <si>
    <t>開講期間</t>
    <rPh sb="0" eb="4">
      <t>カイコウキカン</t>
    </rPh>
    <phoneticPr fontId="10"/>
  </si>
  <si>
    <t>曜日講時</t>
    <rPh sb="0" eb="2">
      <t>ヨウビ</t>
    </rPh>
    <rPh sb="2" eb="4">
      <t>コウジ</t>
    </rPh>
    <phoneticPr fontId="10"/>
  </si>
  <si>
    <t>曜日</t>
    <rPh sb="0" eb="2">
      <t>ヨウビ</t>
    </rPh>
    <phoneticPr fontId="2"/>
  </si>
  <si>
    <t>講時</t>
    <rPh sb="0" eb="2">
      <t>コウジ</t>
    </rPh>
    <phoneticPr fontId="2"/>
  </si>
  <si>
    <t>【開講年度】</t>
    <rPh sb="1" eb="5">
      <t>カイコウネンド</t>
    </rPh>
    <phoneticPr fontId="3"/>
  </si>
  <si>
    <t>開講年度</t>
    <rPh sb="0" eb="4">
      <t>カイコウネンド</t>
    </rPh>
    <phoneticPr fontId="2"/>
  </si>
  <si>
    <t>2023</t>
    <phoneticPr fontId="3"/>
  </si>
  <si>
    <t>2022</t>
    <phoneticPr fontId="3"/>
  </si>
  <si>
    <t>2021</t>
    <phoneticPr fontId="3"/>
  </si>
  <si>
    <t>2020</t>
    <phoneticPr fontId="3"/>
  </si>
  <si>
    <t>【主設置所属】</t>
    <rPh sb="1" eb="6">
      <t>シュセッチショゾク</t>
    </rPh>
    <phoneticPr fontId="3"/>
  </si>
  <si>
    <t>主設置所属</t>
    <rPh sb="0" eb="5">
      <t>シュセッチショゾク</t>
    </rPh>
    <phoneticPr fontId="2"/>
  </si>
  <si>
    <t>1：学部</t>
    <rPh sb="1" eb="3">
      <t>ガクブ</t>
    </rPh>
    <phoneticPr fontId="3"/>
  </si>
  <si>
    <t>2：第２部</t>
    <rPh sb="1" eb="2">
      <t>ダイ</t>
    </rPh>
    <rPh sb="3" eb="4">
      <t>ブ</t>
    </rPh>
    <phoneticPr fontId="3"/>
  </si>
  <si>
    <t>3：博前・修士</t>
    <rPh sb="2" eb="3">
      <t>ヒロシ</t>
    </rPh>
    <rPh sb="3" eb="4">
      <t>ゼン</t>
    </rPh>
    <rPh sb="5" eb="7">
      <t>シュウシ</t>
    </rPh>
    <phoneticPr fontId="3"/>
  </si>
  <si>
    <t>4：博後</t>
    <rPh sb="1" eb="2">
      <t>ハク</t>
    </rPh>
    <rPh sb="2" eb="3">
      <t>ゴ</t>
    </rPh>
    <phoneticPr fontId="3"/>
  </si>
  <si>
    <t>【開講期間】</t>
    <rPh sb="1" eb="5">
      <t>カイコウキカン</t>
    </rPh>
    <phoneticPr fontId="3"/>
  </si>
  <si>
    <t>開講期間</t>
    <rPh sb="0" eb="4">
      <t>カイコウキカン</t>
    </rPh>
    <phoneticPr fontId="2"/>
  </si>
  <si>
    <t>通年</t>
    <rPh sb="0" eb="1">
      <t>ツウネン</t>
    </rPh>
    <phoneticPr fontId="3"/>
  </si>
  <si>
    <t>春</t>
    <rPh sb="0" eb="1">
      <t>ハル</t>
    </rPh>
    <phoneticPr fontId="3"/>
  </si>
  <si>
    <t>秋</t>
    <rPh sb="0" eb="1">
      <t>アキ</t>
    </rPh>
    <phoneticPr fontId="3"/>
  </si>
  <si>
    <t>春前</t>
    <rPh sb="0" eb="1">
      <t>ハルマエ</t>
    </rPh>
    <phoneticPr fontId="3"/>
  </si>
  <si>
    <t>【曜日講時】</t>
    <rPh sb="1" eb="3">
      <t>ヨウビ</t>
    </rPh>
    <rPh sb="3" eb="4">
      <t>コウ</t>
    </rPh>
    <rPh sb="4" eb="5">
      <t>ジ</t>
    </rPh>
    <phoneticPr fontId="3"/>
  </si>
  <si>
    <t>曜日講時</t>
    <rPh sb="0" eb="4">
      <t>ヨウビコウジ</t>
    </rPh>
    <phoneticPr fontId="2"/>
  </si>
  <si>
    <t>月曜日</t>
    <rPh sb="0" eb="2">
      <t>ゲツヨウビ</t>
    </rPh>
    <phoneticPr fontId="3"/>
  </si>
  <si>
    <t>火曜日</t>
    <rPh sb="0" eb="2">
      <t>カヨウビ</t>
    </rPh>
    <phoneticPr fontId="3"/>
  </si>
  <si>
    <t>水曜日</t>
    <rPh sb="0" eb="2">
      <t>スイヨウビ</t>
    </rPh>
    <phoneticPr fontId="3"/>
  </si>
  <si>
    <t>インターネット授業</t>
    <rPh sb="6" eb="8">
      <t>ジュギョウ</t>
    </rPh>
    <phoneticPr fontId="3"/>
  </si>
  <si>
    <t>時間制</t>
    <rPh sb="0" eb="2">
      <t>ジカンセイ</t>
    </rPh>
    <phoneticPr fontId="3"/>
  </si>
  <si>
    <t>1講時</t>
    <rPh sb="0" eb="2">
      <t>コウジ</t>
    </rPh>
    <phoneticPr fontId="3"/>
  </si>
  <si>
    <t>2講時</t>
    <rPh sb="0" eb="2">
      <t>コウジ</t>
    </rPh>
    <phoneticPr fontId="3"/>
  </si>
  <si>
    <t>3講時</t>
    <rPh sb="0" eb="2">
      <t>コウジ</t>
    </rPh>
    <phoneticPr fontId="3"/>
  </si>
  <si>
    <t>社員選択の検索条件を変更</t>
    <rPh sb="0" eb="4">
      <t>シャインセンタク</t>
    </rPh>
    <rPh sb="5" eb="9">
      <t>ケンサクジョウケン</t>
    </rPh>
    <rPh sb="10" eb="12">
      <t>ヘンコウ</t>
    </rPh>
    <phoneticPr fontId="2"/>
  </si>
  <si>
    <t>科目選択の検索条件を変更</t>
    <rPh sb="0" eb="4">
      <t>カモクセンタク</t>
    </rPh>
    <rPh sb="5" eb="9">
      <t>ケンサクジョウケン</t>
    </rPh>
    <rPh sb="10" eb="12">
      <t>ヘンコウ</t>
    </rPh>
    <phoneticPr fontId="2"/>
  </si>
  <si>
    <t>変更</t>
    <rPh sb="0" eb="2">
      <t>ヘンコウ</t>
    </rPh>
    <phoneticPr fontId="2"/>
  </si>
  <si>
    <t>社員選択の検索条件の「認証」を「認証区分」に変更</t>
    <rPh sb="0" eb="4">
      <t>シャインセンタク</t>
    </rPh>
    <rPh sb="5" eb="9">
      <t>ケンサクジョウケン</t>
    </rPh>
    <rPh sb="11" eb="13">
      <t>ニンショウ</t>
    </rPh>
    <rPh sb="16" eb="20">
      <t>ニンショウクブン</t>
    </rPh>
    <rPh sb="22" eb="24">
      <t>ヘンコウ</t>
    </rPh>
    <phoneticPr fontId="2"/>
  </si>
  <si>
    <t>木田　優</t>
    <phoneticPr fontId="2"/>
  </si>
  <si>
    <t>変更</t>
    <rPh sb="0" eb="2">
      <t>ヘンコウ</t>
    </rPh>
    <phoneticPr fontId="2"/>
  </si>
  <si>
    <t>検索条件を変更</t>
    <rPh sb="0" eb="4">
      <t>ケンサクジョウケン</t>
    </rPh>
    <rPh sb="5" eb="7">
      <t>ヘンコウ</t>
    </rPh>
    <phoneticPr fontId="2"/>
  </si>
  <si>
    <t>社員選択</t>
    <rPh sb="0" eb="4">
      <t>シャインセンタク</t>
    </rPh>
    <phoneticPr fontId="2"/>
  </si>
  <si>
    <t>（CC-800-01S）</t>
    <phoneticPr fontId="2"/>
  </si>
  <si>
    <t>（CC-800-02S）</t>
    <phoneticPr fontId="2"/>
  </si>
  <si>
    <t>検索アイコンクリック</t>
    <rPh sb="0" eb="2">
      <t>ケンサク</t>
    </rPh>
    <phoneticPr fontId="11"/>
  </si>
  <si>
    <t>・</t>
    <phoneticPr fontId="2"/>
  </si>
  <si>
    <t>社員マスタの有効フラグが無効の社員も検索対象に含める</t>
    <rPh sb="0" eb="2">
      <t>シャイン</t>
    </rPh>
    <rPh sb="6" eb="8">
      <t>ユウコウ</t>
    </rPh>
    <rPh sb="12" eb="14">
      <t>ムコウ</t>
    </rPh>
    <rPh sb="15" eb="17">
      <t>シャイン</t>
    </rPh>
    <rPh sb="18" eb="20">
      <t>ケンサク</t>
    </rPh>
    <rPh sb="20" eb="22">
      <t>タイショウ</t>
    </rPh>
    <rPh sb="23" eb="24">
      <t>フク</t>
    </rPh>
    <phoneticPr fontId="2"/>
  </si>
  <si>
    <t>有効フラグが無効の社員も検索対象にする
（2025年度保守）</t>
    <rPh sb="0" eb="2">
      <t>ユウコウ</t>
    </rPh>
    <rPh sb="6" eb="8">
      <t>ムコウ</t>
    </rPh>
    <rPh sb="9" eb="11">
      <t>シャイン</t>
    </rPh>
    <rPh sb="12" eb="14">
      <t>ケンサク</t>
    </rPh>
    <rPh sb="14" eb="16">
      <t>タイショウ</t>
    </rPh>
    <rPh sb="25" eb="27">
      <t>ネンド</t>
    </rPh>
    <rPh sb="27" eb="29">
      <t>ホシュ</t>
    </rPh>
    <phoneticPr fontId="2"/>
  </si>
  <si>
    <t>2025年度保守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</si>
</sst>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0_ 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10"/>
      <color theme="0" tint="-0.499984740745262"/>
      <name val="ＭＳ ゴシック"/>
      <family val="3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b/>
      <sz val="10"/>
      <name val="ＭＳ 明朝"/>
      <family val="1"/>
      <charset val="128"/>
    </font>
    <font>
      <sz val="9"/>
      <name val="メイリオ"/>
      <family val="3"/>
      <charset val="128"/>
    </font>
    <font>
      <sz val="10"/>
      <color theme="1"/>
      <name val="ＭＳ 明朝"/>
      <family val="1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0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6" fillId="0" borderId="0" xfId="0" applyFont="1"/>
    <xf numFmtId="0" fontId="4" fillId="0" borderId="0" xfId="0" applyFont="1"/>
    <xf numFmtId="49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12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6" fillId="6" borderId="4" xfId="0" applyFont="1" applyFill="1" applyBorder="1"/>
    <xf numFmtId="0" fontId="6" fillId="6" borderId="6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12" fillId="6" borderId="7" xfId="0" applyFont="1" applyFill="1" applyBorder="1" applyAlignment="1">
      <alignment vertical="center"/>
    </xf>
    <xf numFmtId="0" fontId="6" fillId="6" borderId="7" xfId="0" applyFont="1" applyFill="1" applyBorder="1"/>
    <xf numFmtId="0" fontId="6" fillId="6" borderId="8" xfId="0" applyFont="1" applyFill="1" applyBorder="1"/>
    <xf numFmtId="0" fontId="14" fillId="0" borderId="9" xfId="0" applyFont="1" applyBorder="1" applyAlignment="1">
      <alignment vertical="center"/>
    </xf>
    <xf numFmtId="0" fontId="14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4" fillId="0" borderId="10" xfId="0" applyFont="1" applyBorder="1"/>
    <xf numFmtId="0" fontId="13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6" fillId="6" borderId="0" xfId="0" applyFont="1" applyFill="1"/>
    <xf numFmtId="0" fontId="16" fillId="0" borderId="0" xfId="0" applyFont="1"/>
    <xf numFmtId="0" fontId="4" fillId="0" borderId="51" xfId="0" applyFont="1" applyBorder="1" applyAlignment="1">
      <alignment vertical="center"/>
    </xf>
    <xf numFmtId="0" fontId="6" fillId="7" borderId="19" xfId="0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0" fontId="4" fillId="0" borderId="9" xfId="0" applyFont="1" applyBorder="1"/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6" fillId="8" borderId="56" xfId="0" applyFont="1" applyFill="1" applyBorder="1" applyAlignment="1">
      <alignment horizontal="centerContinuous" vertical="center" shrinkToFit="1"/>
    </xf>
    <xf numFmtId="0" fontId="6" fillId="8" borderId="58" xfId="0" applyFont="1" applyFill="1" applyBorder="1" applyAlignment="1">
      <alignment horizontal="centerContinuous" vertical="center" shrinkToFit="1"/>
    </xf>
    <xf numFmtId="0" fontId="17" fillId="6" borderId="25" xfId="0" applyFont="1" applyFill="1" applyBorder="1" applyAlignment="1">
      <alignment vertical="center"/>
    </xf>
    <xf numFmtId="0" fontId="15" fillId="6" borderId="26" xfId="0" applyFont="1" applyFill="1" applyBorder="1" applyAlignment="1">
      <alignment vertical="center"/>
    </xf>
    <xf numFmtId="0" fontId="15" fillId="6" borderId="27" xfId="0" applyFont="1" applyFill="1" applyBorder="1" applyAlignment="1">
      <alignment vertical="center"/>
    </xf>
    <xf numFmtId="0" fontId="17" fillId="6" borderId="19" xfId="0" applyFont="1" applyFill="1" applyBorder="1" applyAlignment="1">
      <alignment vertical="center"/>
    </xf>
    <xf numFmtId="0" fontId="15" fillId="6" borderId="15" xfId="0" applyFont="1" applyFill="1" applyBorder="1" applyAlignment="1">
      <alignment vertical="center"/>
    </xf>
    <xf numFmtId="0" fontId="15" fillId="6" borderId="16" xfId="0" applyFont="1" applyFill="1" applyBorder="1" applyAlignment="1">
      <alignment vertical="center"/>
    </xf>
    <xf numFmtId="0" fontId="17" fillId="6" borderId="61" xfId="0" applyFont="1" applyFill="1" applyBorder="1" applyAlignment="1">
      <alignment vertical="center" shrinkToFit="1"/>
    </xf>
    <xf numFmtId="0" fontId="17" fillId="6" borderId="23" xfId="0" applyFont="1" applyFill="1" applyBorder="1" applyAlignment="1">
      <alignment vertical="center" shrinkToFit="1"/>
    </xf>
    <xf numFmtId="0" fontId="17" fillId="6" borderId="25" xfId="0" quotePrefix="1" applyFont="1" applyFill="1" applyBorder="1" applyAlignment="1">
      <alignment vertical="center"/>
    </xf>
    <xf numFmtId="0" fontId="17" fillId="6" borderId="19" xfId="0" quotePrefix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5" fillId="5" borderId="21" xfId="0" applyFont="1" applyFill="1" applyBorder="1" applyAlignment="1">
      <alignment vertical="center"/>
    </xf>
    <xf numFmtId="0" fontId="5" fillId="3" borderId="21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2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5" fillId="0" borderId="21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31" fontId="4" fillId="0" borderId="21" xfId="0" applyNumberFormat="1" applyFon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/>
    </xf>
    <xf numFmtId="0" fontId="4" fillId="6" borderId="21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76" fontId="4" fillId="6" borderId="19" xfId="0" applyNumberFormat="1" applyFont="1" applyFill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177" fontId="4" fillId="6" borderId="19" xfId="0" applyNumberFormat="1" applyFont="1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177" fontId="4" fillId="6" borderId="16" xfId="0" applyNumberFormat="1" applyFont="1" applyFill="1" applyBorder="1" applyAlignment="1">
      <alignment horizontal="center" vertical="center"/>
    </xf>
    <xf numFmtId="0" fontId="18" fillId="0" borderId="21" xfId="0" applyFont="1" applyBorder="1" applyAlignment="1">
      <alignment vertical="center" wrapText="1"/>
    </xf>
    <xf numFmtId="0" fontId="18" fillId="0" borderId="21" xfId="0" applyFont="1" applyBorder="1" applyAlignment="1">
      <alignment vertical="center"/>
    </xf>
    <xf numFmtId="0" fontId="18" fillId="0" borderId="21" xfId="0" applyFont="1" applyBorder="1" applyAlignment="1">
      <alignment horizontal="left" vertical="center"/>
    </xf>
    <xf numFmtId="0" fontId="18" fillId="0" borderId="21" xfId="0" applyFont="1" applyBorder="1" applyAlignment="1">
      <alignment horizontal="center" vertical="center"/>
    </xf>
    <xf numFmtId="177" fontId="18" fillId="0" borderId="21" xfId="0" applyNumberFormat="1" applyFont="1" applyBorder="1" applyAlignment="1">
      <alignment horizontal="center" vertical="center"/>
    </xf>
    <xf numFmtId="31" fontId="18" fillId="0" borderId="21" xfId="0" applyNumberFormat="1" applyFont="1" applyBorder="1" applyAlignment="1">
      <alignment horizontal="center" vertical="center"/>
    </xf>
    <xf numFmtId="31" fontId="5" fillId="0" borderId="25" xfId="1" applyNumberFormat="1" applyFont="1" applyBorder="1" applyAlignment="1">
      <alignment horizontal="center" vertical="center"/>
    </xf>
    <xf numFmtId="31" fontId="5" fillId="0" borderId="26" xfId="1" applyNumberFormat="1" applyFont="1" applyBorder="1" applyAlignment="1">
      <alignment horizontal="center" vertical="center"/>
    </xf>
    <xf numFmtId="31" fontId="5" fillId="0" borderId="27" xfId="1" applyNumberFormat="1" applyFont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0" fontId="5" fillId="4" borderId="23" xfId="1" applyFont="1" applyFill="1" applyBorder="1" applyAlignment="1">
      <alignment horizontal="center" vertical="center"/>
    </xf>
    <xf numFmtId="0" fontId="5" fillId="4" borderId="3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4" borderId="17" xfId="1" applyFont="1" applyFill="1" applyBorder="1" applyAlignment="1">
      <alignment vertical="center"/>
    </xf>
    <xf numFmtId="0" fontId="5" fillId="4" borderId="15" xfId="1" applyFont="1" applyFill="1" applyBorder="1" applyAlignment="1">
      <alignment vertical="center"/>
    </xf>
    <xf numFmtId="0" fontId="5" fillId="4" borderId="16" xfId="1" applyFont="1" applyFill="1" applyBorder="1" applyAlignment="1">
      <alignment vertical="center"/>
    </xf>
    <xf numFmtId="0" fontId="5" fillId="0" borderId="19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31" fontId="5" fillId="0" borderId="19" xfId="1" applyNumberFormat="1" applyFont="1" applyBorder="1" applyAlignment="1">
      <alignment horizontal="center" vertical="center"/>
    </xf>
    <xf numFmtId="31" fontId="5" fillId="0" borderId="15" xfId="1" applyNumberFormat="1" applyFont="1" applyBorder="1" applyAlignment="1">
      <alignment horizontal="center" vertical="center"/>
    </xf>
    <xf numFmtId="31" fontId="5" fillId="0" borderId="16" xfId="1" applyNumberFormat="1" applyFont="1" applyBorder="1" applyAlignment="1">
      <alignment horizontal="center" vertical="center"/>
    </xf>
    <xf numFmtId="0" fontId="5" fillId="4" borderId="28" xfId="1" applyFont="1" applyFill="1" applyBorder="1" applyAlignment="1">
      <alignment vertical="center"/>
    </xf>
    <xf numFmtId="0" fontId="5" fillId="4" borderId="26" xfId="1" applyFont="1" applyFill="1" applyBorder="1" applyAlignment="1">
      <alignment vertical="center"/>
    </xf>
    <xf numFmtId="0" fontId="5" fillId="4" borderId="27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4" borderId="29" xfId="1" applyFont="1" applyFill="1" applyBorder="1" applyAlignment="1">
      <alignment vertical="center"/>
    </xf>
    <xf numFmtId="0" fontId="5" fillId="4" borderId="30" xfId="1" applyFont="1" applyFill="1" applyBorder="1" applyAlignment="1">
      <alignment vertical="center"/>
    </xf>
    <xf numFmtId="0" fontId="5" fillId="4" borderId="31" xfId="1" applyFont="1" applyFill="1" applyBorder="1" applyAlignment="1">
      <alignment vertical="center"/>
    </xf>
    <xf numFmtId="0" fontId="5" fillId="0" borderId="32" xfId="1" applyFont="1" applyBorder="1" applyAlignment="1">
      <alignment vertical="center" wrapText="1"/>
    </xf>
    <xf numFmtId="0" fontId="5" fillId="0" borderId="30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vertical="center"/>
    </xf>
    <xf numFmtId="0" fontId="5" fillId="4" borderId="35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left" vertical="center" indent="1"/>
    </xf>
    <xf numFmtId="0" fontId="6" fillId="0" borderId="21" xfId="0" applyFont="1" applyBorder="1" applyAlignment="1">
      <alignment horizontal="center" vertical="center"/>
    </xf>
    <xf numFmtId="0" fontId="17" fillId="8" borderId="56" xfId="0" applyFont="1" applyFill="1" applyBorder="1" applyAlignment="1">
      <alignment horizontal="left" vertical="center" shrinkToFit="1"/>
    </xf>
    <xf numFmtId="0" fontId="17" fillId="8" borderId="57" xfId="0" applyFont="1" applyFill="1" applyBorder="1" applyAlignment="1">
      <alignment horizontal="left" vertical="center" shrinkToFit="1"/>
    </xf>
    <xf numFmtId="0" fontId="17" fillId="8" borderId="58" xfId="0" applyFont="1" applyFill="1" applyBorder="1" applyAlignment="1">
      <alignment horizontal="left" vertical="center" shrinkToFit="1"/>
    </xf>
    <xf numFmtId="0" fontId="6" fillId="0" borderId="56" xfId="0" applyFont="1" applyBorder="1" applyAlignment="1">
      <alignment horizontal="center" vertical="center" shrinkToFit="1"/>
    </xf>
    <xf numFmtId="0" fontId="6" fillId="0" borderId="57" xfId="0" applyFont="1" applyBorder="1" applyAlignment="1">
      <alignment horizontal="center" vertical="center" shrinkToFit="1"/>
    </xf>
    <xf numFmtId="0" fontId="6" fillId="0" borderId="58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4" fillId="7" borderId="21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left" vertical="center" shrinkToFit="1"/>
    </xf>
    <xf numFmtId="0" fontId="4" fillId="0" borderId="44" xfId="0" applyFont="1" applyBorder="1" applyAlignment="1">
      <alignment horizontal="left" vertical="center" shrinkToFit="1"/>
    </xf>
    <xf numFmtId="0" fontId="4" fillId="0" borderId="45" xfId="0" applyFont="1" applyBorder="1" applyAlignment="1">
      <alignment horizontal="left" vertical="center" shrinkToFit="1"/>
    </xf>
    <xf numFmtId="0" fontId="4" fillId="0" borderId="46" xfId="0" applyFont="1" applyBorder="1" applyAlignment="1">
      <alignment horizontal="left" vertical="center" shrinkToFit="1"/>
    </xf>
    <xf numFmtId="0" fontId="4" fillId="0" borderId="55" xfId="0" applyFont="1" applyBorder="1" applyAlignment="1">
      <alignment horizontal="left" vertical="center" shrinkToFit="1"/>
    </xf>
    <xf numFmtId="0" fontId="4" fillId="0" borderId="53" xfId="0" applyFont="1" applyBorder="1" applyAlignment="1">
      <alignment horizontal="left" vertical="center" shrinkToFit="1"/>
    </xf>
    <xf numFmtId="0" fontId="4" fillId="0" borderId="54" xfId="0" applyFont="1" applyBorder="1" applyAlignment="1">
      <alignment horizontal="left" vertical="center" shrinkToFit="1"/>
    </xf>
    <xf numFmtId="0" fontId="5" fillId="4" borderId="5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left" vertical="center" shrinkToFit="1"/>
    </xf>
    <xf numFmtId="0" fontId="4" fillId="0" borderId="48" xfId="0" applyFont="1" applyBorder="1" applyAlignment="1">
      <alignment horizontal="left" vertical="center" shrinkToFit="1"/>
    </xf>
    <xf numFmtId="0" fontId="4" fillId="0" borderId="49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left" vertical="center" shrinkToFit="1"/>
    </xf>
    <xf numFmtId="0" fontId="5" fillId="4" borderId="16" xfId="0" applyFont="1" applyFill="1" applyBorder="1" applyAlignment="1">
      <alignment horizontal="center" vertical="center"/>
    </xf>
    <xf numFmtId="0" fontId="4" fillId="0" borderId="5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4" fillId="0" borderId="3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/>
    </xf>
    <xf numFmtId="0" fontId="5" fillId="4" borderId="51" xfId="1" applyFont="1" applyFill="1" applyBorder="1" applyAlignment="1">
      <alignment vertical="center"/>
    </xf>
    <xf numFmtId="0" fontId="5" fillId="4" borderId="2" xfId="1" applyFont="1" applyFill="1" applyBorder="1" applyAlignment="1">
      <alignment vertical="center"/>
    </xf>
    <xf numFmtId="0" fontId="5" fillId="4" borderId="3" xfId="1" applyFont="1" applyFill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5" fillId="0" borderId="5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0" borderId="15" xfId="0" applyFont="1" applyBorder="1"/>
    <xf numFmtId="0" fontId="6" fillId="0" borderId="16" xfId="0" applyFont="1" applyBorder="1"/>
    <xf numFmtId="0" fontId="6" fillId="0" borderId="42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17" fillId="0" borderId="61" xfId="0" applyFont="1" applyBorder="1" applyAlignment="1">
      <alignment horizontal="center" vertic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4" xfId="0" applyFont="1" applyBorder="1" applyAlignment="1">
      <alignment horizontal="center" vertical="center" shrinkToFit="1"/>
    </xf>
    <xf numFmtId="0" fontId="6" fillId="7" borderId="2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4" fillId="0" borderId="52" xfId="0" applyFont="1" applyBorder="1" applyAlignment="1">
      <alignment horizontal="left" vertical="center" shrinkToFit="1"/>
    </xf>
    <xf numFmtId="0" fontId="4" fillId="6" borderId="46" xfId="0" applyFont="1" applyFill="1" applyBorder="1" applyAlignment="1">
      <alignment horizontal="left" vertical="center" shrinkToFit="1"/>
    </xf>
    <xf numFmtId="0" fontId="4" fillId="6" borderId="44" xfId="0" applyFont="1" applyFill="1" applyBorder="1" applyAlignment="1">
      <alignment horizontal="left" vertical="center" shrinkToFit="1"/>
    </xf>
    <xf numFmtId="0" fontId="4" fillId="6" borderId="45" xfId="0" applyFont="1" applyFill="1" applyBorder="1" applyAlignment="1">
      <alignment horizontal="left" vertical="center" shrinkToFit="1"/>
    </xf>
    <xf numFmtId="0" fontId="6" fillId="0" borderId="21" xfId="0" applyFont="1" applyBorder="1" applyAlignment="1">
      <alignment vertical="center"/>
    </xf>
  </cellXfs>
  <cellStyles count="2">
    <cellStyle name="標準" xfId="0" builtinId="0"/>
    <cellStyle name="標準_概念_要件定義書（原紙本文EAI-HUB用）_プライオリティ規約（修正版20020430_MQプライオリティ追加)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373761" name="Text Box 1">
          <a:extLst>
            <a:ext uri="{FF2B5EF4-FFF2-40B4-BE49-F238E27FC236}">
              <a16:creationId xmlns:a16="http://schemas.microsoft.com/office/drawing/2014/main" id="{00000000-0008-0000-0000-000001B405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373762" name="Line 2">
          <a:extLst>
            <a:ext uri="{FF2B5EF4-FFF2-40B4-BE49-F238E27FC236}">
              <a16:creationId xmlns:a16="http://schemas.microsoft.com/office/drawing/2014/main" id="{00000000-0008-0000-0000-000002B405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168087</xdr:colOff>
      <xdr:row>30</xdr:row>
      <xdr:rowOff>100852</xdr:rowOff>
    </xdr:from>
    <xdr:to>
      <xdr:col>18</xdr:col>
      <xdr:colOff>92376</xdr:colOff>
      <xdr:row>34</xdr:row>
      <xdr:rowOff>142873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60044E6-6670-47D9-8539-D08B6267A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1911" y="5143499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129988</xdr:colOff>
      <xdr:row>16</xdr:row>
      <xdr:rowOff>40342</xdr:rowOff>
    </xdr:from>
    <xdr:to>
      <xdr:col>35</xdr:col>
      <xdr:colOff>145676</xdr:colOff>
      <xdr:row>17</xdr:row>
      <xdr:rowOff>143436</xdr:rowOff>
    </xdr:to>
    <xdr:sp macro="" textlink="">
      <xdr:nvSpPr>
        <xdr:cNvPr id="12" name="右矢印 2">
          <a:extLst>
            <a:ext uri="{FF2B5EF4-FFF2-40B4-BE49-F238E27FC236}">
              <a16:creationId xmlns:a16="http://schemas.microsoft.com/office/drawing/2014/main" id="{110F2BBF-5C8B-413D-BBCD-9C15A85851E7}"/>
            </a:ext>
          </a:extLst>
        </xdr:cNvPr>
        <xdr:cNvSpPr/>
      </xdr:nvSpPr>
      <xdr:spPr bwMode="auto">
        <a:xfrm>
          <a:off x="3043517" y="3088342"/>
          <a:ext cx="2200835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19</xdr:col>
      <xdr:colOff>47625</xdr:colOff>
      <xdr:row>20</xdr:row>
      <xdr:rowOff>32719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E4D6137-77F0-DD41-B741-FB7727577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667000"/>
          <a:ext cx="2333625" cy="1175719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14</xdr:row>
      <xdr:rowOff>0</xdr:rowOff>
    </xdr:from>
    <xdr:to>
      <xdr:col>54</xdr:col>
      <xdr:colOff>80682</xdr:colOff>
      <xdr:row>22</xdr:row>
      <xdr:rowOff>28575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D5D6B88-63C8-8BFB-AF0D-BB7EEDA5C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0" y="2667000"/>
          <a:ext cx="2366682" cy="1552575"/>
        </a:xfrm>
        <a:prstGeom prst="rect">
          <a:avLst/>
        </a:prstGeom>
      </xdr:spPr>
    </xdr:pic>
    <xdr:clientData/>
  </xdr:twoCellAnchor>
  <xdr:twoCellAnchor editAs="oneCell">
    <xdr:from>
      <xdr:col>38</xdr:col>
      <xdr:colOff>1</xdr:colOff>
      <xdr:row>27</xdr:row>
      <xdr:rowOff>1</xdr:rowOff>
    </xdr:from>
    <xdr:to>
      <xdr:col>54</xdr:col>
      <xdr:colOff>85725</xdr:colOff>
      <xdr:row>35</xdr:row>
      <xdr:rowOff>14581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DC4FDBF-2A85-99C7-FC5A-8C537D32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9251" y="5143501"/>
          <a:ext cx="2371724" cy="15385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59</xdr:col>
      <xdr:colOff>692</xdr:colOff>
      <xdr:row>32</xdr:row>
      <xdr:rowOff>13111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13B576-C353-45D4-8E09-0E4923A45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6" y="1143000"/>
          <a:ext cx="8442532" cy="49642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6</xdr:row>
      <xdr:rowOff>1</xdr:rowOff>
    </xdr:from>
    <xdr:to>
      <xdr:col>58</xdr:col>
      <xdr:colOff>134472</xdr:colOff>
      <xdr:row>34</xdr:row>
      <xdr:rowOff>168119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489FB63-741B-A9F0-12C9-420D4FEB1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7" y="1143001"/>
          <a:ext cx="8438030" cy="5502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0:AB51"/>
  <sheetViews>
    <sheetView tabSelected="1" zoomScale="85" zoomScaleNormal="85" workbookViewId="0"/>
  </sheetViews>
  <sheetFormatPr defaultRowHeight="13.2" x14ac:dyDescent="0.2"/>
  <cols>
    <col min="1" max="32" width="4.44140625" customWidth="1"/>
  </cols>
  <sheetData>
    <row r="10" spans="7:24" x14ac:dyDescent="0.2"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7:24" ht="13.5" customHeight="1" x14ac:dyDescent="0.2">
      <c r="G11" s="90" t="str">
        <f>I40</f>
        <v>　学生勤務管理システム</v>
      </c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6"/>
    </row>
    <row r="12" spans="7:24" ht="13.5" customHeight="1" x14ac:dyDescent="0.2">
      <c r="G12" s="90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6"/>
    </row>
    <row r="13" spans="7:24" x14ac:dyDescent="0.2"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</row>
    <row r="14" spans="7:24" ht="13.5" customHeight="1" x14ac:dyDescent="0.2">
      <c r="G14" s="90" t="str">
        <f>I44</f>
        <v>　CC-800_ポップアップ</v>
      </c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6"/>
    </row>
    <row r="15" spans="7:24" ht="13.5" customHeight="1" x14ac:dyDescent="0.2">
      <c r="G15" s="90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6"/>
    </row>
    <row r="16" spans="7:24" x14ac:dyDescent="0.2"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</row>
    <row r="17" spans="7:24" ht="13.5" customHeight="1" x14ac:dyDescent="0.2">
      <c r="G17" s="90" t="str">
        <f>I42</f>
        <v xml:space="preserve">　 </v>
      </c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6"/>
    </row>
    <row r="18" spans="7:24" ht="13.5" customHeight="1" x14ac:dyDescent="0.2">
      <c r="G18" s="90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6"/>
    </row>
    <row r="19" spans="7:24" x14ac:dyDescent="0.2"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6"/>
    </row>
    <row r="20" spans="7:24" ht="13.5" customHeight="1" x14ac:dyDescent="0.2">
      <c r="G20" s="90" t="str">
        <f>I51</f>
        <v>【 Ver 1.03 】</v>
      </c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6"/>
    </row>
    <row r="21" spans="7:24" ht="13.5" customHeight="1" x14ac:dyDescent="0.2">
      <c r="G21" s="90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6"/>
    </row>
    <row r="22" spans="7:24" x14ac:dyDescent="0.2"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7" spans="7:24" s="1" customFormat="1" x14ac:dyDescent="0.2">
      <c r="J27" s="86" t="str">
        <f>TEXT(I47,"yyyy年")&amp;IF(LEFT(TEXT(I47,"mm"),1)="0"," ","")&amp;TEXT(I47,"m月")&amp;IF(LEFT(TEXT(I47,"dd"),1)="0"," ","")&amp;TEXT(I47,"d日")&amp;"作成"</f>
        <v>2023年10月 6日作成</v>
      </c>
      <c r="K27" s="87"/>
      <c r="L27" s="87"/>
      <c r="M27" s="87"/>
      <c r="N27" s="87"/>
      <c r="O27" s="87"/>
      <c r="P27" s="87"/>
      <c r="Q27" s="87"/>
      <c r="R27" s="87"/>
      <c r="S27" s="87"/>
      <c r="T27" s="87"/>
    </row>
    <row r="28" spans="7:24" s="1" customFormat="1" x14ac:dyDescent="0.2"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</row>
    <row r="29" spans="7:24" s="1" customFormat="1" x14ac:dyDescent="0.2">
      <c r="J29" s="86" t="str">
        <f>IF(I49="　※ページ毎に個別入力","    年  月  日改訂",TEXT(I49,"yyyy年")&amp;IF(LEFT(TEXT(I49,"mm"),1)="0"," ","")&amp;TEXT(I49,"m月")&amp;IF(LEFT(TEXT(I49,"dd"),1)="0"," ","")&amp;TEXT(I49,"d日")&amp;"改訂")</f>
        <v>2025年 6月12日改訂</v>
      </c>
      <c r="K29" s="87"/>
      <c r="L29" s="87"/>
      <c r="M29" s="87"/>
      <c r="N29" s="87"/>
      <c r="O29" s="87"/>
      <c r="P29" s="87"/>
      <c r="Q29" s="87"/>
      <c r="R29" s="87"/>
      <c r="S29" s="87"/>
      <c r="T29" s="87"/>
    </row>
    <row r="30" spans="7:24" s="1" customFormat="1" x14ac:dyDescent="0.2"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</row>
    <row r="38" spans="2:28" ht="23.25" customHeight="1" x14ac:dyDescent="0.2">
      <c r="B38" s="89" t="s">
        <v>19</v>
      </c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</row>
    <row r="39" spans="2:28" ht="23.25" customHeight="1" x14ac:dyDescent="0.2">
      <c r="B39" s="85" t="s">
        <v>20</v>
      </c>
      <c r="C39" s="85"/>
      <c r="D39" s="85"/>
      <c r="E39" s="85"/>
      <c r="F39" s="85"/>
      <c r="G39" s="85"/>
      <c r="H39" s="85"/>
      <c r="I39" s="85" t="s">
        <v>10</v>
      </c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</row>
    <row r="40" spans="2:28" ht="23.25" customHeight="1" x14ac:dyDescent="0.2">
      <c r="B40" s="84" t="s">
        <v>21</v>
      </c>
      <c r="C40" s="84"/>
      <c r="D40" s="84"/>
      <c r="E40" s="84"/>
      <c r="F40" s="84"/>
      <c r="G40" s="84"/>
      <c r="H40" s="84"/>
      <c r="I40" s="88" t="s">
        <v>43</v>
      </c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</row>
    <row r="41" spans="2:28" ht="23.25" customHeight="1" x14ac:dyDescent="0.2">
      <c r="B41" s="84" t="s">
        <v>22</v>
      </c>
      <c r="C41" s="84"/>
      <c r="D41" s="84"/>
      <c r="E41" s="84"/>
      <c r="F41" s="84"/>
      <c r="G41" s="84"/>
      <c r="H41" s="84"/>
      <c r="I41" s="88" t="s">
        <v>41</v>
      </c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</row>
    <row r="42" spans="2:28" ht="23.25" customHeight="1" x14ac:dyDescent="0.2">
      <c r="B42" s="84" t="s">
        <v>23</v>
      </c>
      <c r="C42" s="84"/>
      <c r="D42" s="84"/>
      <c r="E42" s="84"/>
      <c r="F42" s="84"/>
      <c r="G42" s="84"/>
      <c r="H42" s="84"/>
      <c r="I42" s="88" t="s">
        <v>33</v>
      </c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</row>
    <row r="43" spans="2:28" ht="23.25" customHeight="1" x14ac:dyDescent="0.2">
      <c r="B43" s="84" t="s">
        <v>24</v>
      </c>
      <c r="C43" s="84"/>
      <c r="D43" s="84"/>
      <c r="E43" s="84"/>
      <c r="F43" s="84"/>
      <c r="G43" s="84"/>
      <c r="H43" s="84"/>
      <c r="I43" s="88" t="s">
        <v>38</v>
      </c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</row>
    <row r="44" spans="2:28" ht="23.25" customHeight="1" x14ac:dyDescent="0.2">
      <c r="B44" s="84" t="s">
        <v>25</v>
      </c>
      <c r="C44" s="84"/>
      <c r="D44" s="84"/>
      <c r="E44" s="84"/>
      <c r="F44" s="84"/>
      <c r="G44" s="84"/>
      <c r="H44" s="84"/>
      <c r="I44" s="88" t="s">
        <v>67</v>
      </c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</row>
    <row r="45" spans="2:28" ht="23.25" customHeight="1" x14ac:dyDescent="0.2">
      <c r="B45" s="84" t="s">
        <v>26</v>
      </c>
      <c r="C45" s="84"/>
      <c r="D45" s="84"/>
      <c r="E45" s="84"/>
      <c r="F45" s="84"/>
      <c r="G45" s="84"/>
      <c r="H45" s="84"/>
      <c r="I45" s="88" t="s">
        <v>9</v>
      </c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</row>
    <row r="46" spans="2:28" ht="23.25" customHeight="1" x14ac:dyDescent="0.2">
      <c r="B46" s="84" t="s">
        <v>27</v>
      </c>
      <c r="C46" s="84"/>
      <c r="D46" s="84"/>
      <c r="E46" s="84"/>
      <c r="F46" s="84"/>
      <c r="G46" s="84"/>
      <c r="H46" s="84"/>
      <c r="I46" s="88" t="s">
        <v>44</v>
      </c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</row>
    <row r="47" spans="2:28" ht="23.25" customHeight="1" x14ac:dyDescent="0.2">
      <c r="B47" s="84" t="s">
        <v>28</v>
      </c>
      <c r="C47" s="84"/>
      <c r="D47" s="84"/>
      <c r="E47" s="84"/>
      <c r="F47" s="84"/>
      <c r="G47" s="84"/>
      <c r="H47" s="84"/>
      <c r="I47" s="92">
        <v>45205</v>
      </c>
      <c r="J47" s="93"/>
      <c r="K47" s="93"/>
      <c r="L47" s="93"/>
      <c r="M47" s="93"/>
      <c r="N47" s="93"/>
      <c r="O47" s="93"/>
      <c r="P47" s="93"/>
      <c r="Q47" s="93"/>
      <c r="R47" s="93"/>
      <c r="S47" s="88"/>
      <c r="T47" s="88"/>
      <c r="U47" s="88"/>
      <c r="V47" s="88"/>
      <c r="W47" s="88"/>
      <c r="X47" s="88"/>
      <c r="Y47" s="88"/>
      <c r="Z47" s="88"/>
      <c r="AA47" s="88"/>
      <c r="AB47" s="88"/>
    </row>
    <row r="48" spans="2:28" ht="23.25" customHeight="1" x14ac:dyDescent="0.2">
      <c r="B48" s="84" t="s">
        <v>29</v>
      </c>
      <c r="C48" s="84"/>
      <c r="D48" s="84"/>
      <c r="E48" s="84"/>
      <c r="F48" s="84"/>
      <c r="G48" s="84"/>
      <c r="H48" s="84"/>
      <c r="I48" s="88" t="s">
        <v>9</v>
      </c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</row>
    <row r="49" spans="2:28" ht="23.25" customHeight="1" x14ac:dyDescent="0.2">
      <c r="B49" s="84" t="s">
        <v>30</v>
      </c>
      <c r="C49" s="84"/>
      <c r="D49" s="84"/>
      <c r="E49" s="84"/>
      <c r="F49" s="84"/>
      <c r="G49" s="84"/>
      <c r="H49" s="84"/>
      <c r="I49" s="88" t="str">
        <f>TEXT(MAX(改訂履歴!J5:J996),"yyyy/mm/dd")</f>
        <v>2025/06/12</v>
      </c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</row>
    <row r="50" spans="2:28" ht="23.25" customHeight="1" x14ac:dyDescent="0.2">
      <c r="B50" s="84" t="s">
        <v>31</v>
      </c>
      <c r="C50" s="84"/>
      <c r="D50" s="84"/>
      <c r="E50" s="84"/>
      <c r="F50" s="84"/>
      <c r="G50" s="84"/>
      <c r="H50" s="84"/>
      <c r="I50" s="88" t="s">
        <v>42</v>
      </c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</row>
    <row r="51" spans="2:28" ht="23.25" customHeight="1" x14ac:dyDescent="0.2">
      <c r="B51" s="84" t="s">
        <v>34</v>
      </c>
      <c r="C51" s="84"/>
      <c r="D51" s="84"/>
      <c r="E51" s="84"/>
      <c r="F51" s="84"/>
      <c r="G51" s="84"/>
      <c r="H51" s="84"/>
      <c r="I51" s="88" t="str">
        <f>"【 Ver " &amp; TEXT(MAX(改訂履歴!E5:E996),"0.00") &amp; " 】"</f>
        <v>【 Ver 1.03 】</v>
      </c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</row>
  </sheetData>
  <mergeCells count="33">
    <mergeCell ref="B51:H51"/>
    <mergeCell ref="I51:AB51"/>
    <mergeCell ref="B49:H49"/>
    <mergeCell ref="I49:AB49"/>
    <mergeCell ref="B50:H50"/>
    <mergeCell ref="I50:AB50"/>
    <mergeCell ref="B48:H48"/>
    <mergeCell ref="I48:AB48"/>
    <mergeCell ref="B44:H44"/>
    <mergeCell ref="B45:H45"/>
    <mergeCell ref="B46:H46"/>
    <mergeCell ref="B47:H47"/>
    <mergeCell ref="I45:AB45"/>
    <mergeCell ref="I46:AB46"/>
    <mergeCell ref="I47:AB47"/>
    <mergeCell ref="I44:AB44"/>
    <mergeCell ref="G11:W12"/>
    <mergeCell ref="G14:W15"/>
    <mergeCell ref="G17:W18"/>
    <mergeCell ref="G20:W21"/>
    <mergeCell ref="I42:AB42"/>
    <mergeCell ref="B41:H41"/>
    <mergeCell ref="B42:H42"/>
    <mergeCell ref="B43:H43"/>
    <mergeCell ref="B39:H39"/>
    <mergeCell ref="J27:T28"/>
    <mergeCell ref="J29:T30"/>
    <mergeCell ref="I40:AB40"/>
    <mergeCell ref="I41:AB41"/>
    <mergeCell ref="I39:AB39"/>
    <mergeCell ref="B38:AB38"/>
    <mergeCell ref="B40:H40"/>
    <mergeCell ref="I43:AB43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29"/>
  <sheetViews>
    <sheetView view="pageBreakPreview" zoomScaleNormal="85" zoomScaleSheetLayoutView="100" workbookViewId="0"/>
  </sheetViews>
  <sheetFormatPr defaultColWidth="1.88671875" defaultRowHeight="15" customHeight="1" x14ac:dyDescent="0.2"/>
  <cols>
    <col min="1" max="4" width="1.88671875" style="1" customWidth="1"/>
    <col min="5" max="9" width="1.88671875" style="14" customWidth="1"/>
    <col min="10" max="26" width="1.88671875" style="1" customWidth="1"/>
    <col min="27" max="33" width="2.33203125" style="1" customWidth="1"/>
    <col min="34" max="16384" width="1.88671875" style="1"/>
  </cols>
  <sheetData>
    <row r="1" spans="1:76" ht="15" customHeight="1" x14ac:dyDescent="0.2">
      <c r="A1" t="s">
        <v>2</v>
      </c>
    </row>
    <row r="3" spans="1:76" s="2" customFormat="1" ht="15" customHeight="1" x14ac:dyDescent="0.2">
      <c r="A3" s="100" t="s">
        <v>16</v>
      </c>
      <c r="B3" s="100"/>
      <c r="C3" s="100"/>
      <c r="D3" s="100"/>
      <c r="E3" s="119" t="s">
        <v>17</v>
      </c>
      <c r="F3" s="120"/>
      <c r="G3" s="120"/>
      <c r="H3" s="120"/>
      <c r="I3" s="121"/>
      <c r="J3" s="110" t="s">
        <v>5</v>
      </c>
      <c r="K3" s="111"/>
      <c r="L3" s="111"/>
      <c r="M3" s="111"/>
      <c r="N3" s="111"/>
      <c r="O3" s="111"/>
      <c r="P3" s="111"/>
      <c r="Q3" s="112"/>
      <c r="R3" s="100" t="s">
        <v>3</v>
      </c>
      <c r="S3" s="100"/>
      <c r="T3" s="100"/>
      <c r="U3" s="100"/>
      <c r="V3" s="100"/>
      <c r="W3" s="100" t="s">
        <v>6</v>
      </c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 t="s">
        <v>7</v>
      </c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 t="s">
        <v>8</v>
      </c>
      <c r="BS3" s="100"/>
      <c r="BT3" s="100"/>
      <c r="BU3" s="100"/>
      <c r="BV3" s="100"/>
      <c r="BW3" s="100"/>
      <c r="BX3" s="100"/>
    </row>
    <row r="4" spans="1:76" s="2" customFormat="1" ht="15" customHeight="1" x14ac:dyDescent="0.2">
      <c r="A4" s="100"/>
      <c r="B4" s="100"/>
      <c r="C4" s="100"/>
      <c r="D4" s="100"/>
      <c r="E4" s="122"/>
      <c r="F4" s="123"/>
      <c r="G4" s="123"/>
      <c r="H4" s="123"/>
      <c r="I4" s="124"/>
      <c r="J4" s="113"/>
      <c r="K4" s="114"/>
      <c r="L4" s="114"/>
      <c r="M4" s="114"/>
      <c r="N4" s="114"/>
      <c r="O4" s="114"/>
      <c r="P4" s="114"/>
      <c r="Q4" s="115"/>
      <c r="R4" s="100"/>
      <c r="S4" s="100"/>
      <c r="T4" s="100"/>
      <c r="U4" s="100"/>
      <c r="V4" s="100"/>
      <c r="W4" s="100" t="s">
        <v>4</v>
      </c>
      <c r="X4" s="100"/>
      <c r="Y4" s="100"/>
      <c r="Z4" s="100"/>
      <c r="AA4" s="100" t="s">
        <v>47</v>
      </c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</row>
    <row r="5" spans="1:76" ht="20.100000000000001" customHeight="1" x14ac:dyDescent="0.2">
      <c r="A5" s="106">
        <v>1</v>
      </c>
      <c r="B5" s="106"/>
      <c r="C5" s="106"/>
      <c r="D5" s="106"/>
      <c r="E5" s="125">
        <v>1</v>
      </c>
      <c r="F5" s="126"/>
      <c r="G5" s="126"/>
      <c r="H5" s="126"/>
      <c r="I5" s="127"/>
      <c r="J5" s="116">
        <f>タイトル!I47</f>
        <v>45205</v>
      </c>
      <c r="K5" s="117"/>
      <c r="L5" s="117"/>
      <c r="M5" s="117"/>
      <c r="N5" s="117"/>
      <c r="O5" s="117"/>
      <c r="P5" s="117"/>
      <c r="Q5" s="118"/>
      <c r="R5" s="107" t="s">
        <v>11</v>
      </c>
      <c r="S5" s="108"/>
      <c r="T5" s="108"/>
      <c r="U5" s="108"/>
      <c r="V5" s="109"/>
      <c r="W5" s="103"/>
      <c r="X5" s="104"/>
      <c r="Y5" s="104"/>
      <c r="Z5" s="105"/>
      <c r="AA5" s="103"/>
      <c r="AB5" s="104"/>
      <c r="AC5" s="104"/>
      <c r="AD5" s="104"/>
      <c r="AE5" s="104"/>
      <c r="AF5" s="104"/>
      <c r="AG5" s="105"/>
      <c r="AH5" s="101" t="s">
        <v>18</v>
      </c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2" t="s">
        <v>45</v>
      </c>
      <c r="BS5" s="102"/>
      <c r="BT5" s="102"/>
      <c r="BU5" s="102"/>
      <c r="BV5" s="102"/>
      <c r="BW5" s="102"/>
      <c r="BX5" s="102"/>
    </row>
    <row r="6" spans="1:76" ht="20.100000000000001" customHeight="1" x14ac:dyDescent="0.2">
      <c r="A6" s="97">
        <v>2</v>
      </c>
      <c r="B6" s="97"/>
      <c r="C6" s="97"/>
      <c r="D6" s="97"/>
      <c r="E6" s="98">
        <v>1.01</v>
      </c>
      <c r="F6" s="98"/>
      <c r="G6" s="98"/>
      <c r="H6" s="98"/>
      <c r="I6" s="98"/>
      <c r="J6" s="99">
        <v>45222</v>
      </c>
      <c r="K6" s="99"/>
      <c r="L6" s="99"/>
      <c r="M6" s="99"/>
      <c r="N6" s="99"/>
      <c r="O6" s="99"/>
      <c r="P6" s="99"/>
      <c r="Q6" s="99"/>
      <c r="R6" s="97" t="s">
        <v>125</v>
      </c>
      <c r="S6" s="97"/>
      <c r="T6" s="97"/>
      <c r="U6" s="97"/>
      <c r="V6" s="97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5" t="s">
        <v>124</v>
      </c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6" t="s">
        <v>44</v>
      </c>
      <c r="BS6" s="96"/>
      <c r="BT6" s="96"/>
      <c r="BU6" s="96"/>
      <c r="BV6" s="96"/>
      <c r="BW6" s="96"/>
      <c r="BX6" s="96"/>
    </row>
    <row r="7" spans="1:76" ht="20.100000000000001" customHeight="1" x14ac:dyDescent="0.2">
      <c r="A7" s="97">
        <v>3</v>
      </c>
      <c r="B7" s="97"/>
      <c r="C7" s="97"/>
      <c r="D7" s="97"/>
      <c r="E7" s="98"/>
      <c r="F7" s="98"/>
      <c r="G7" s="98"/>
      <c r="H7" s="98"/>
      <c r="I7" s="98"/>
      <c r="J7" s="99">
        <v>45222</v>
      </c>
      <c r="K7" s="99"/>
      <c r="L7" s="99"/>
      <c r="M7" s="99"/>
      <c r="N7" s="99"/>
      <c r="O7" s="99"/>
      <c r="P7" s="99"/>
      <c r="Q7" s="99"/>
      <c r="R7" s="97" t="s">
        <v>125</v>
      </c>
      <c r="S7" s="97"/>
      <c r="T7" s="97"/>
      <c r="U7" s="97"/>
      <c r="V7" s="97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5" t="s">
        <v>210</v>
      </c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6" t="s">
        <v>44</v>
      </c>
      <c r="BS7" s="96"/>
      <c r="BT7" s="96"/>
      <c r="BU7" s="96"/>
      <c r="BV7" s="96"/>
      <c r="BW7" s="96"/>
      <c r="BX7" s="96"/>
    </row>
    <row r="8" spans="1:76" ht="20.100000000000001" customHeight="1" x14ac:dyDescent="0.2">
      <c r="A8" s="97">
        <v>4</v>
      </c>
      <c r="B8" s="97"/>
      <c r="C8" s="97"/>
      <c r="D8" s="97"/>
      <c r="E8" s="98"/>
      <c r="F8" s="98"/>
      <c r="G8" s="98"/>
      <c r="H8" s="98"/>
      <c r="I8" s="98"/>
      <c r="J8" s="99">
        <v>45222</v>
      </c>
      <c r="K8" s="99"/>
      <c r="L8" s="99"/>
      <c r="M8" s="99"/>
      <c r="N8" s="99"/>
      <c r="O8" s="99"/>
      <c r="P8" s="99"/>
      <c r="Q8" s="99"/>
      <c r="R8" s="97" t="s">
        <v>125</v>
      </c>
      <c r="S8" s="97"/>
      <c r="T8" s="97"/>
      <c r="U8" s="97"/>
      <c r="V8" s="97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5" t="s">
        <v>211</v>
      </c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6" t="s">
        <v>44</v>
      </c>
      <c r="BS8" s="96"/>
      <c r="BT8" s="96"/>
      <c r="BU8" s="96"/>
      <c r="BV8" s="96"/>
      <c r="BW8" s="96"/>
      <c r="BX8" s="96"/>
    </row>
    <row r="9" spans="1:76" ht="20.100000000000001" customHeight="1" x14ac:dyDescent="0.2">
      <c r="A9" s="97">
        <v>5</v>
      </c>
      <c r="B9" s="97"/>
      <c r="C9" s="97"/>
      <c r="D9" s="97"/>
      <c r="E9" s="98"/>
      <c r="F9" s="98"/>
      <c r="G9" s="98"/>
      <c r="H9" s="98"/>
      <c r="I9" s="98"/>
      <c r="J9" s="99">
        <v>45244</v>
      </c>
      <c r="K9" s="99"/>
      <c r="L9" s="99"/>
      <c r="M9" s="99"/>
      <c r="N9" s="99"/>
      <c r="O9" s="99"/>
      <c r="P9" s="99"/>
      <c r="Q9" s="99"/>
      <c r="R9" s="97" t="s">
        <v>212</v>
      </c>
      <c r="S9" s="97"/>
      <c r="T9" s="97"/>
      <c r="U9" s="97"/>
      <c r="V9" s="97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5" t="s">
        <v>213</v>
      </c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6" t="s">
        <v>44</v>
      </c>
      <c r="BS9" s="96"/>
      <c r="BT9" s="96"/>
      <c r="BU9" s="96"/>
      <c r="BV9" s="96"/>
      <c r="BW9" s="96"/>
      <c r="BX9" s="96"/>
    </row>
    <row r="10" spans="1:76" ht="20.100000000000001" customHeight="1" x14ac:dyDescent="0.2">
      <c r="A10" s="97">
        <v>6</v>
      </c>
      <c r="B10" s="97"/>
      <c r="C10" s="97"/>
      <c r="D10" s="97"/>
      <c r="E10" s="98">
        <v>1.02</v>
      </c>
      <c r="F10" s="98"/>
      <c r="G10" s="98"/>
      <c r="H10" s="98"/>
      <c r="I10" s="98"/>
      <c r="J10" s="99">
        <v>45313</v>
      </c>
      <c r="K10" s="99"/>
      <c r="L10" s="99"/>
      <c r="M10" s="99"/>
      <c r="N10" s="99"/>
      <c r="O10" s="99"/>
      <c r="P10" s="99"/>
      <c r="Q10" s="99"/>
      <c r="R10" s="97" t="s">
        <v>215</v>
      </c>
      <c r="S10" s="97"/>
      <c r="T10" s="97"/>
      <c r="U10" s="97"/>
      <c r="V10" s="97"/>
      <c r="W10" s="94"/>
      <c r="X10" s="94"/>
      <c r="Y10" s="94"/>
      <c r="Z10" s="94"/>
      <c r="AA10" s="95" t="s">
        <v>217</v>
      </c>
      <c r="AB10" s="94"/>
      <c r="AC10" s="94"/>
      <c r="AD10" s="94"/>
      <c r="AE10" s="94"/>
      <c r="AF10" s="94"/>
      <c r="AG10" s="94"/>
      <c r="AH10" s="95" t="s">
        <v>216</v>
      </c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6" t="s">
        <v>44</v>
      </c>
      <c r="BS10" s="96"/>
      <c r="BT10" s="96"/>
      <c r="BU10" s="96"/>
      <c r="BV10" s="96"/>
      <c r="BW10" s="96"/>
      <c r="BX10" s="96"/>
    </row>
    <row r="11" spans="1:76" ht="33" customHeight="1" x14ac:dyDescent="0.2">
      <c r="A11" s="131">
        <v>7</v>
      </c>
      <c r="B11" s="131"/>
      <c r="C11" s="131"/>
      <c r="D11" s="131"/>
      <c r="E11" s="132">
        <v>1.03</v>
      </c>
      <c r="F11" s="132"/>
      <c r="G11" s="132"/>
      <c r="H11" s="132"/>
      <c r="I11" s="132"/>
      <c r="J11" s="133">
        <v>45820</v>
      </c>
      <c r="K11" s="133"/>
      <c r="L11" s="133"/>
      <c r="M11" s="133"/>
      <c r="N11" s="133"/>
      <c r="O11" s="133"/>
      <c r="P11" s="133"/>
      <c r="Q11" s="133"/>
      <c r="R11" s="131" t="s">
        <v>125</v>
      </c>
      <c r="S11" s="131"/>
      <c r="T11" s="131"/>
      <c r="U11" s="131"/>
      <c r="V11" s="131"/>
      <c r="W11" s="129"/>
      <c r="X11" s="129"/>
      <c r="Y11" s="129"/>
      <c r="Z11" s="129"/>
      <c r="AA11" s="128" t="s">
        <v>217</v>
      </c>
      <c r="AB11" s="129"/>
      <c r="AC11" s="129"/>
      <c r="AD11" s="129"/>
      <c r="AE11" s="129"/>
      <c r="AF11" s="129"/>
      <c r="AG11" s="129"/>
      <c r="AH11" s="128" t="s">
        <v>223</v>
      </c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30" t="s">
        <v>44</v>
      </c>
      <c r="BS11" s="130"/>
      <c r="BT11" s="130"/>
      <c r="BU11" s="130"/>
      <c r="BV11" s="130"/>
      <c r="BW11" s="130"/>
      <c r="BX11" s="130"/>
    </row>
    <row r="12" spans="1:76" ht="20.100000000000001" customHeight="1" x14ac:dyDescent="0.2">
      <c r="A12" s="97"/>
      <c r="B12" s="97"/>
      <c r="C12" s="97"/>
      <c r="D12" s="97"/>
      <c r="E12" s="98"/>
      <c r="F12" s="98"/>
      <c r="G12" s="98"/>
      <c r="H12" s="98"/>
      <c r="I12" s="98"/>
      <c r="J12" s="99"/>
      <c r="K12" s="99"/>
      <c r="L12" s="99"/>
      <c r="M12" s="99"/>
      <c r="N12" s="99"/>
      <c r="O12" s="99"/>
      <c r="P12" s="99"/>
      <c r="Q12" s="99"/>
      <c r="R12" s="97"/>
      <c r="S12" s="97"/>
      <c r="T12" s="97"/>
      <c r="U12" s="97"/>
      <c r="V12" s="97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5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6"/>
      <c r="BS12" s="96"/>
      <c r="BT12" s="96"/>
      <c r="BU12" s="96"/>
      <c r="BV12" s="96"/>
      <c r="BW12" s="96"/>
      <c r="BX12" s="96"/>
    </row>
    <row r="13" spans="1:76" ht="20.100000000000001" customHeight="1" x14ac:dyDescent="0.2">
      <c r="A13" s="97"/>
      <c r="B13" s="97"/>
      <c r="C13" s="97"/>
      <c r="D13" s="97"/>
      <c r="E13" s="98"/>
      <c r="F13" s="98"/>
      <c r="G13" s="98"/>
      <c r="H13" s="98"/>
      <c r="I13" s="98"/>
      <c r="J13" s="99"/>
      <c r="K13" s="99"/>
      <c r="L13" s="99"/>
      <c r="M13" s="99"/>
      <c r="N13" s="99"/>
      <c r="O13" s="99"/>
      <c r="P13" s="99"/>
      <c r="Q13" s="99"/>
      <c r="R13" s="97"/>
      <c r="S13" s="97"/>
      <c r="T13" s="97"/>
      <c r="U13" s="97"/>
      <c r="V13" s="97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5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6"/>
      <c r="BS13" s="96"/>
      <c r="BT13" s="96"/>
      <c r="BU13" s="96"/>
      <c r="BV13" s="96"/>
      <c r="BW13" s="96"/>
      <c r="BX13" s="96"/>
    </row>
    <row r="14" spans="1:76" ht="20.100000000000001" customHeight="1" x14ac:dyDescent="0.2">
      <c r="A14" s="97"/>
      <c r="B14" s="97"/>
      <c r="C14" s="97"/>
      <c r="D14" s="97"/>
      <c r="E14" s="98"/>
      <c r="F14" s="98"/>
      <c r="G14" s="98"/>
      <c r="H14" s="98"/>
      <c r="I14" s="98"/>
      <c r="J14" s="99"/>
      <c r="K14" s="99"/>
      <c r="L14" s="99"/>
      <c r="M14" s="99"/>
      <c r="N14" s="99"/>
      <c r="O14" s="99"/>
      <c r="P14" s="99"/>
      <c r="Q14" s="99"/>
      <c r="R14" s="97"/>
      <c r="S14" s="97"/>
      <c r="T14" s="97"/>
      <c r="U14" s="97"/>
      <c r="V14" s="97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5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6"/>
      <c r="BS14" s="96"/>
      <c r="BT14" s="96"/>
      <c r="BU14" s="96"/>
      <c r="BV14" s="96"/>
      <c r="BW14" s="96"/>
      <c r="BX14" s="96"/>
    </row>
    <row r="15" spans="1:76" ht="20.100000000000001" customHeight="1" x14ac:dyDescent="0.2">
      <c r="A15" s="97"/>
      <c r="B15" s="97"/>
      <c r="C15" s="97"/>
      <c r="D15" s="97"/>
      <c r="E15" s="98"/>
      <c r="F15" s="98"/>
      <c r="G15" s="98"/>
      <c r="H15" s="98"/>
      <c r="I15" s="98"/>
      <c r="J15" s="99"/>
      <c r="K15" s="99"/>
      <c r="L15" s="99"/>
      <c r="M15" s="99"/>
      <c r="N15" s="99"/>
      <c r="O15" s="99"/>
      <c r="P15" s="99"/>
      <c r="Q15" s="99"/>
      <c r="R15" s="97"/>
      <c r="S15" s="97"/>
      <c r="T15" s="97"/>
      <c r="U15" s="97"/>
      <c r="V15" s="97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5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4"/>
      <c r="BQ15" s="94"/>
      <c r="BR15" s="96"/>
      <c r="BS15" s="96"/>
      <c r="BT15" s="96"/>
      <c r="BU15" s="96"/>
      <c r="BV15" s="96"/>
      <c r="BW15" s="96"/>
      <c r="BX15" s="96"/>
    </row>
    <row r="16" spans="1:76" ht="20.100000000000001" customHeight="1" x14ac:dyDescent="0.2">
      <c r="A16" s="97"/>
      <c r="B16" s="97"/>
      <c r="C16" s="97"/>
      <c r="D16" s="97"/>
      <c r="E16" s="98"/>
      <c r="F16" s="98"/>
      <c r="G16" s="98"/>
      <c r="H16" s="98"/>
      <c r="I16" s="98"/>
      <c r="J16" s="99"/>
      <c r="K16" s="99"/>
      <c r="L16" s="99"/>
      <c r="M16" s="99"/>
      <c r="N16" s="99"/>
      <c r="O16" s="99"/>
      <c r="P16" s="99"/>
      <c r="Q16" s="99"/>
      <c r="R16" s="97"/>
      <c r="S16" s="97"/>
      <c r="T16" s="97"/>
      <c r="U16" s="97"/>
      <c r="V16" s="97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5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6"/>
      <c r="BS16" s="96"/>
      <c r="BT16" s="96"/>
      <c r="BU16" s="96"/>
      <c r="BV16" s="96"/>
      <c r="BW16" s="96"/>
      <c r="BX16" s="96"/>
    </row>
    <row r="17" spans="1:76" ht="20.100000000000001" customHeight="1" x14ac:dyDescent="0.2">
      <c r="A17" s="97"/>
      <c r="B17" s="97"/>
      <c r="C17" s="97"/>
      <c r="D17" s="97"/>
      <c r="E17" s="98"/>
      <c r="F17" s="98"/>
      <c r="G17" s="98"/>
      <c r="H17" s="98"/>
      <c r="I17" s="98"/>
      <c r="J17" s="99"/>
      <c r="K17" s="99"/>
      <c r="L17" s="99"/>
      <c r="M17" s="99"/>
      <c r="N17" s="99"/>
      <c r="O17" s="99"/>
      <c r="P17" s="99"/>
      <c r="Q17" s="99"/>
      <c r="R17" s="97"/>
      <c r="S17" s="97"/>
      <c r="T17" s="97"/>
      <c r="U17" s="97"/>
      <c r="V17" s="97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5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6"/>
      <c r="BS17" s="96"/>
      <c r="BT17" s="96"/>
      <c r="BU17" s="96"/>
      <c r="BV17" s="96"/>
      <c r="BW17" s="96"/>
      <c r="BX17" s="96"/>
    </row>
    <row r="18" spans="1:76" ht="20.100000000000001" customHeight="1" x14ac:dyDescent="0.2">
      <c r="A18" s="97"/>
      <c r="B18" s="97"/>
      <c r="C18" s="97"/>
      <c r="D18" s="97"/>
      <c r="E18" s="98"/>
      <c r="F18" s="98"/>
      <c r="G18" s="98"/>
      <c r="H18" s="98"/>
      <c r="I18" s="98"/>
      <c r="J18" s="99"/>
      <c r="K18" s="99"/>
      <c r="L18" s="99"/>
      <c r="M18" s="99"/>
      <c r="N18" s="99"/>
      <c r="O18" s="99"/>
      <c r="P18" s="99"/>
      <c r="Q18" s="99"/>
      <c r="R18" s="97"/>
      <c r="S18" s="97"/>
      <c r="T18" s="97"/>
      <c r="U18" s="97"/>
      <c r="V18" s="97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5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6"/>
      <c r="BS18" s="96"/>
      <c r="BT18" s="96"/>
      <c r="BU18" s="96"/>
      <c r="BV18" s="96"/>
      <c r="BW18" s="96"/>
      <c r="BX18" s="96"/>
    </row>
    <row r="19" spans="1:76" ht="20.100000000000001" customHeight="1" x14ac:dyDescent="0.2">
      <c r="A19" s="97"/>
      <c r="B19" s="97"/>
      <c r="C19" s="97"/>
      <c r="D19" s="97"/>
      <c r="E19" s="98"/>
      <c r="F19" s="98"/>
      <c r="G19" s="98"/>
      <c r="H19" s="98"/>
      <c r="I19" s="98"/>
      <c r="J19" s="99"/>
      <c r="K19" s="99"/>
      <c r="L19" s="99"/>
      <c r="M19" s="99"/>
      <c r="N19" s="99"/>
      <c r="O19" s="99"/>
      <c r="P19" s="99"/>
      <c r="Q19" s="99"/>
      <c r="R19" s="97"/>
      <c r="S19" s="97"/>
      <c r="T19" s="97"/>
      <c r="U19" s="97"/>
      <c r="V19" s="97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5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6"/>
      <c r="BS19" s="96"/>
      <c r="BT19" s="96"/>
      <c r="BU19" s="96"/>
      <c r="BV19" s="96"/>
      <c r="BW19" s="96"/>
      <c r="BX19" s="96"/>
    </row>
    <row r="20" spans="1:76" ht="20.100000000000001" customHeight="1" x14ac:dyDescent="0.2">
      <c r="A20" s="97"/>
      <c r="B20" s="97"/>
      <c r="C20" s="97"/>
      <c r="D20" s="97"/>
      <c r="E20" s="98"/>
      <c r="F20" s="98"/>
      <c r="G20" s="98"/>
      <c r="H20" s="98"/>
      <c r="I20" s="98"/>
      <c r="J20" s="99"/>
      <c r="K20" s="99"/>
      <c r="L20" s="99"/>
      <c r="M20" s="99"/>
      <c r="N20" s="99"/>
      <c r="O20" s="99"/>
      <c r="P20" s="99"/>
      <c r="Q20" s="99"/>
      <c r="R20" s="97"/>
      <c r="S20" s="97"/>
      <c r="T20" s="97"/>
      <c r="U20" s="97"/>
      <c r="V20" s="97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5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6"/>
      <c r="BS20" s="96"/>
      <c r="BT20" s="96"/>
      <c r="BU20" s="96"/>
      <c r="BV20" s="96"/>
      <c r="BW20" s="96"/>
      <c r="BX20" s="96"/>
    </row>
    <row r="21" spans="1:76" ht="20.100000000000001" customHeight="1" x14ac:dyDescent="0.2">
      <c r="A21" s="97"/>
      <c r="B21" s="97"/>
      <c r="C21" s="97"/>
      <c r="D21" s="97"/>
      <c r="E21" s="98"/>
      <c r="F21" s="98"/>
      <c r="G21" s="98"/>
      <c r="H21" s="98"/>
      <c r="I21" s="98"/>
      <c r="J21" s="99"/>
      <c r="K21" s="99"/>
      <c r="L21" s="99"/>
      <c r="M21" s="99"/>
      <c r="N21" s="99"/>
      <c r="O21" s="99"/>
      <c r="P21" s="99"/>
      <c r="Q21" s="99"/>
      <c r="R21" s="97"/>
      <c r="S21" s="97"/>
      <c r="T21" s="97"/>
      <c r="U21" s="97"/>
      <c r="V21" s="97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5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6"/>
      <c r="BS21" s="96"/>
      <c r="BT21" s="96"/>
      <c r="BU21" s="96"/>
      <c r="BV21" s="96"/>
      <c r="BW21" s="96"/>
      <c r="BX21" s="96"/>
    </row>
    <row r="22" spans="1:76" ht="20.100000000000001" customHeight="1" x14ac:dyDescent="0.2">
      <c r="A22" s="97"/>
      <c r="B22" s="97"/>
      <c r="C22" s="97"/>
      <c r="D22" s="97"/>
      <c r="E22" s="98"/>
      <c r="F22" s="98"/>
      <c r="G22" s="98"/>
      <c r="H22" s="98"/>
      <c r="I22" s="98"/>
      <c r="J22" s="99"/>
      <c r="K22" s="99"/>
      <c r="L22" s="99"/>
      <c r="M22" s="99"/>
      <c r="N22" s="99"/>
      <c r="O22" s="99"/>
      <c r="P22" s="99"/>
      <c r="Q22" s="99"/>
      <c r="R22" s="97"/>
      <c r="S22" s="97"/>
      <c r="T22" s="97"/>
      <c r="U22" s="97"/>
      <c r="V22" s="97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5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6"/>
      <c r="BS22" s="96"/>
      <c r="BT22" s="96"/>
      <c r="BU22" s="96"/>
      <c r="BV22" s="96"/>
      <c r="BW22" s="96"/>
      <c r="BX22" s="96"/>
    </row>
    <row r="23" spans="1:76" ht="20.100000000000001" customHeight="1" x14ac:dyDescent="0.2">
      <c r="A23" s="97"/>
      <c r="B23" s="97"/>
      <c r="C23" s="97"/>
      <c r="D23" s="97"/>
      <c r="E23" s="98"/>
      <c r="F23" s="98"/>
      <c r="G23" s="98"/>
      <c r="H23" s="98"/>
      <c r="I23" s="98"/>
      <c r="J23" s="99"/>
      <c r="K23" s="99"/>
      <c r="L23" s="99"/>
      <c r="M23" s="99"/>
      <c r="N23" s="99"/>
      <c r="O23" s="99"/>
      <c r="P23" s="99"/>
      <c r="Q23" s="99"/>
      <c r="R23" s="97"/>
      <c r="S23" s="97"/>
      <c r="T23" s="97"/>
      <c r="U23" s="97"/>
      <c r="V23" s="97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5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6"/>
      <c r="BS23" s="96"/>
      <c r="BT23" s="96"/>
      <c r="BU23" s="96"/>
      <c r="BV23" s="96"/>
      <c r="BW23" s="96"/>
      <c r="BX23" s="96"/>
    </row>
    <row r="24" spans="1:76" ht="20.100000000000001" customHeight="1" x14ac:dyDescent="0.2">
      <c r="A24" s="97"/>
      <c r="B24" s="97"/>
      <c r="C24" s="97"/>
      <c r="D24" s="97"/>
      <c r="E24" s="98"/>
      <c r="F24" s="98"/>
      <c r="G24" s="98"/>
      <c r="H24" s="98"/>
      <c r="I24" s="98"/>
      <c r="J24" s="99"/>
      <c r="K24" s="99"/>
      <c r="L24" s="99"/>
      <c r="M24" s="99"/>
      <c r="N24" s="99"/>
      <c r="O24" s="99"/>
      <c r="P24" s="99"/>
      <c r="Q24" s="99"/>
      <c r="R24" s="97"/>
      <c r="S24" s="97"/>
      <c r="T24" s="97"/>
      <c r="U24" s="97"/>
      <c r="V24" s="97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5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6"/>
      <c r="BS24" s="96"/>
      <c r="BT24" s="96"/>
      <c r="BU24" s="96"/>
      <c r="BV24" s="96"/>
      <c r="BW24" s="96"/>
      <c r="BX24" s="96"/>
    </row>
    <row r="25" spans="1:76" ht="20.100000000000001" customHeight="1" x14ac:dyDescent="0.2">
      <c r="A25" s="97"/>
      <c r="B25" s="97"/>
      <c r="C25" s="97"/>
      <c r="D25" s="97"/>
      <c r="E25" s="98"/>
      <c r="F25" s="98"/>
      <c r="G25" s="98"/>
      <c r="H25" s="98"/>
      <c r="I25" s="98"/>
      <c r="J25" s="99"/>
      <c r="K25" s="99"/>
      <c r="L25" s="99"/>
      <c r="M25" s="99"/>
      <c r="N25" s="99"/>
      <c r="O25" s="99"/>
      <c r="P25" s="99"/>
      <c r="Q25" s="99"/>
      <c r="R25" s="97"/>
      <c r="S25" s="97"/>
      <c r="T25" s="97"/>
      <c r="U25" s="97"/>
      <c r="V25" s="97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5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6"/>
      <c r="BS25" s="96"/>
      <c r="BT25" s="96"/>
      <c r="BU25" s="96"/>
      <c r="BV25" s="96"/>
      <c r="BW25" s="96"/>
      <c r="BX25" s="96"/>
    </row>
    <row r="26" spans="1:76" ht="20.100000000000001" customHeight="1" x14ac:dyDescent="0.2">
      <c r="A26" s="97"/>
      <c r="B26" s="97"/>
      <c r="C26" s="97"/>
      <c r="D26" s="97"/>
      <c r="E26" s="98"/>
      <c r="F26" s="98"/>
      <c r="G26" s="98"/>
      <c r="H26" s="98"/>
      <c r="I26" s="98"/>
      <c r="J26" s="99"/>
      <c r="K26" s="99"/>
      <c r="L26" s="99"/>
      <c r="M26" s="99"/>
      <c r="N26" s="99"/>
      <c r="O26" s="99"/>
      <c r="P26" s="99"/>
      <c r="Q26" s="99"/>
      <c r="R26" s="97"/>
      <c r="S26" s="97"/>
      <c r="T26" s="97"/>
      <c r="U26" s="97"/>
      <c r="V26" s="97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5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6"/>
      <c r="BS26" s="96"/>
      <c r="BT26" s="96"/>
      <c r="BU26" s="96"/>
      <c r="BV26" s="96"/>
      <c r="BW26" s="96"/>
      <c r="BX26" s="96"/>
    </row>
    <row r="27" spans="1:76" ht="20.100000000000001" customHeight="1" x14ac:dyDescent="0.2">
      <c r="A27" s="97"/>
      <c r="B27" s="97"/>
      <c r="C27" s="97"/>
      <c r="D27" s="97"/>
      <c r="E27" s="98"/>
      <c r="F27" s="98"/>
      <c r="G27" s="98"/>
      <c r="H27" s="98"/>
      <c r="I27" s="98"/>
      <c r="J27" s="99"/>
      <c r="K27" s="99"/>
      <c r="L27" s="99"/>
      <c r="M27" s="99"/>
      <c r="N27" s="99"/>
      <c r="O27" s="99"/>
      <c r="P27" s="99"/>
      <c r="Q27" s="99"/>
      <c r="R27" s="97"/>
      <c r="S27" s="97"/>
      <c r="T27" s="97"/>
      <c r="U27" s="97"/>
      <c r="V27" s="97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5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6"/>
      <c r="BS27" s="96"/>
      <c r="BT27" s="96"/>
      <c r="BU27" s="96"/>
      <c r="BV27" s="96"/>
      <c r="BW27" s="96"/>
      <c r="BX27" s="96"/>
    </row>
    <row r="28" spans="1:76" ht="20.100000000000001" customHeight="1" x14ac:dyDescent="0.2">
      <c r="A28" s="97"/>
      <c r="B28" s="97"/>
      <c r="C28" s="97"/>
      <c r="D28" s="97"/>
      <c r="E28" s="98"/>
      <c r="F28" s="98"/>
      <c r="G28" s="98"/>
      <c r="H28" s="98"/>
      <c r="I28" s="98"/>
      <c r="J28" s="99"/>
      <c r="K28" s="99"/>
      <c r="L28" s="99"/>
      <c r="M28" s="99"/>
      <c r="N28" s="99"/>
      <c r="O28" s="99"/>
      <c r="P28" s="99"/>
      <c r="Q28" s="99"/>
      <c r="R28" s="97"/>
      <c r="S28" s="97"/>
      <c r="T28" s="97"/>
      <c r="U28" s="97"/>
      <c r="V28" s="97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5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6"/>
      <c r="BS28" s="96"/>
      <c r="BT28" s="96"/>
      <c r="BU28" s="96"/>
      <c r="BV28" s="96"/>
      <c r="BW28" s="96"/>
      <c r="BX28" s="96"/>
    </row>
    <row r="29" spans="1:76" ht="20.100000000000001" customHeight="1" x14ac:dyDescent="0.2">
      <c r="A29" s="97"/>
      <c r="B29" s="97"/>
      <c r="C29" s="97"/>
      <c r="D29" s="97"/>
      <c r="E29" s="98"/>
      <c r="F29" s="98"/>
      <c r="G29" s="98"/>
      <c r="H29" s="98"/>
      <c r="I29" s="98"/>
      <c r="J29" s="99"/>
      <c r="K29" s="99"/>
      <c r="L29" s="99"/>
      <c r="M29" s="99"/>
      <c r="N29" s="99"/>
      <c r="O29" s="99"/>
      <c r="P29" s="99"/>
      <c r="Q29" s="99"/>
      <c r="R29" s="97"/>
      <c r="S29" s="97"/>
      <c r="T29" s="97"/>
      <c r="U29" s="97"/>
      <c r="V29" s="97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5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6"/>
      <c r="BS29" s="96"/>
      <c r="BT29" s="96"/>
      <c r="BU29" s="96"/>
      <c r="BV29" s="96"/>
      <c r="BW29" s="96"/>
      <c r="BX29" s="96"/>
    </row>
  </sheetData>
  <mergeCells count="209">
    <mergeCell ref="A10:D10"/>
    <mergeCell ref="E10:I10"/>
    <mergeCell ref="J10:Q10"/>
    <mergeCell ref="R10:V10"/>
    <mergeCell ref="AH9:BQ9"/>
    <mergeCell ref="BR9:BX9"/>
    <mergeCell ref="W12:Z12"/>
    <mergeCell ref="AA12:AG12"/>
    <mergeCell ref="AH12:BQ12"/>
    <mergeCell ref="BR12:BX12"/>
    <mergeCell ref="A12:D12"/>
    <mergeCell ref="E12:I12"/>
    <mergeCell ref="J12:Q12"/>
    <mergeCell ref="R12:V12"/>
    <mergeCell ref="AH11:BQ11"/>
    <mergeCell ref="BR11:BX11"/>
    <mergeCell ref="A11:D11"/>
    <mergeCell ref="E11:I11"/>
    <mergeCell ref="J11:Q11"/>
    <mergeCell ref="R11:V11"/>
    <mergeCell ref="W11:Z11"/>
    <mergeCell ref="AA11:AG11"/>
    <mergeCell ref="AH8:BQ8"/>
    <mergeCell ref="BR8:BX8"/>
    <mergeCell ref="AA8:AG8"/>
    <mergeCell ref="W8:Z8"/>
    <mergeCell ref="BR7:BX7"/>
    <mergeCell ref="AH7:BQ7"/>
    <mergeCell ref="R9:V9"/>
    <mergeCell ref="W10:Z10"/>
    <mergeCell ref="AA10:AG10"/>
    <mergeCell ref="AH10:BQ10"/>
    <mergeCell ref="BR10:BX10"/>
    <mergeCell ref="R7:V7"/>
    <mergeCell ref="J8:Q8"/>
    <mergeCell ref="R8:V8"/>
    <mergeCell ref="W9:Z9"/>
    <mergeCell ref="AA9:AG9"/>
    <mergeCell ref="A5:D5"/>
    <mergeCell ref="R5:V5"/>
    <mergeCell ref="W7:Z7"/>
    <mergeCell ref="AA7:AG7"/>
    <mergeCell ref="A3:D4"/>
    <mergeCell ref="J3:Q4"/>
    <mergeCell ref="A9:D9"/>
    <mergeCell ref="E9:I9"/>
    <mergeCell ref="J9:Q9"/>
    <mergeCell ref="A8:D8"/>
    <mergeCell ref="E8:I8"/>
    <mergeCell ref="A6:D6"/>
    <mergeCell ref="E6:I6"/>
    <mergeCell ref="J6:Q6"/>
    <mergeCell ref="J5:Q5"/>
    <mergeCell ref="E3:I4"/>
    <mergeCell ref="E5:I5"/>
    <mergeCell ref="A7:D7"/>
    <mergeCell ref="E7:I7"/>
    <mergeCell ref="J7:Q7"/>
    <mergeCell ref="R3:V4"/>
    <mergeCell ref="R6:V6"/>
    <mergeCell ref="BR3:BX4"/>
    <mergeCell ref="AH3:BQ4"/>
    <mergeCell ref="AH5:BQ5"/>
    <mergeCell ref="BR5:BX5"/>
    <mergeCell ref="W6:Z6"/>
    <mergeCell ref="AA6:AG6"/>
    <mergeCell ref="AH6:BQ6"/>
    <mergeCell ref="BR6:BX6"/>
    <mergeCell ref="AA4:AG4"/>
    <mergeCell ref="W3:AG3"/>
    <mergeCell ref="W4:Z4"/>
    <mergeCell ref="W5:Z5"/>
    <mergeCell ref="AA5:AG5"/>
    <mergeCell ref="AA13:AG13"/>
    <mergeCell ref="AH13:BQ13"/>
    <mergeCell ref="BR13:BX13"/>
    <mergeCell ref="A14:D14"/>
    <mergeCell ref="E14:I14"/>
    <mergeCell ref="J14:Q14"/>
    <mergeCell ref="R14:V14"/>
    <mergeCell ref="W14:Z14"/>
    <mergeCell ref="AA14:AG14"/>
    <mergeCell ref="AH14:BQ14"/>
    <mergeCell ref="BR14:BX14"/>
    <mergeCell ref="A13:D13"/>
    <mergeCell ref="E13:I13"/>
    <mergeCell ref="J13:Q13"/>
    <mergeCell ref="R13:V13"/>
    <mergeCell ref="W13:Z13"/>
    <mergeCell ref="AA15:AG15"/>
    <mergeCell ref="AH15:BQ15"/>
    <mergeCell ref="BR15:BX15"/>
    <mergeCell ref="A16:D16"/>
    <mergeCell ref="E16:I16"/>
    <mergeCell ref="J16:Q16"/>
    <mergeCell ref="R16:V16"/>
    <mergeCell ref="W16:Z16"/>
    <mergeCell ref="AA16:AG16"/>
    <mergeCell ref="AH16:BQ16"/>
    <mergeCell ref="BR16:BX16"/>
    <mergeCell ref="A15:D15"/>
    <mergeCell ref="E15:I15"/>
    <mergeCell ref="J15:Q15"/>
    <mergeCell ref="R15:V15"/>
    <mergeCell ref="W15:Z15"/>
    <mergeCell ref="AA17:AG17"/>
    <mergeCell ref="AH17:BQ17"/>
    <mergeCell ref="BR17:BX17"/>
    <mergeCell ref="A18:D18"/>
    <mergeCell ref="E18:I18"/>
    <mergeCell ref="J18:Q18"/>
    <mergeCell ref="R18:V18"/>
    <mergeCell ref="W18:Z18"/>
    <mergeCell ref="AA18:AG18"/>
    <mergeCell ref="AH18:BQ18"/>
    <mergeCell ref="BR18:BX18"/>
    <mergeCell ref="A17:D17"/>
    <mergeCell ref="E17:I17"/>
    <mergeCell ref="J17:Q17"/>
    <mergeCell ref="R17:V17"/>
    <mergeCell ref="W17:Z17"/>
    <mergeCell ref="AA19:AG19"/>
    <mergeCell ref="AH19:BQ19"/>
    <mergeCell ref="BR19:BX19"/>
    <mergeCell ref="A20:D20"/>
    <mergeCell ref="E20:I20"/>
    <mergeCell ref="J20:Q20"/>
    <mergeCell ref="R20:V20"/>
    <mergeCell ref="W20:Z20"/>
    <mergeCell ref="AA20:AG20"/>
    <mergeCell ref="AH20:BQ20"/>
    <mergeCell ref="BR20:BX20"/>
    <mergeCell ref="A19:D19"/>
    <mergeCell ref="E19:I19"/>
    <mergeCell ref="J19:Q19"/>
    <mergeCell ref="R19:V19"/>
    <mergeCell ref="W19:Z19"/>
    <mergeCell ref="AA21:AG21"/>
    <mergeCell ref="AH21:BQ21"/>
    <mergeCell ref="BR21:BX21"/>
    <mergeCell ref="A22:D22"/>
    <mergeCell ref="E22:I22"/>
    <mergeCell ref="J22:Q22"/>
    <mergeCell ref="R22:V22"/>
    <mergeCell ref="W22:Z22"/>
    <mergeCell ref="AA22:AG22"/>
    <mergeCell ref="AH22:BQ22"/>
    <mergeCell ref="BR22:BX22"/>
    <mergeCell ref="A21:D21"/>
    <mergeCell ref="E21:I21"/>
    <mergeCell ref="J21:Q21"/>
    <mergeCell ref="R21:V21"/>
    <mergeCell ref="W21:Z21"/>
    <mergeCell ref="AA23:AG23"/>
    <mergeCell ref="AH23:BQ23"/>
    <mergeCell ref="BR23:BX23"/>
    <mergeCell ref="A23:D23"/>
    <mergeCell ref="E23:I23"/>
    <mergeCell ref="J23:Q23"/>
    <mergeCell ref="R23:V23"/>
    <mergeCell ref="W23:Z23"/>
    <mergeCell ref="A24:D24"/>
    <mergeCell ref="E24:I24"/>
    <mergeCell ref="J24:Q24"/>
    <mergeCell ref="R24:V24"/>
    <mergeCell ref="W24:Z24"/>
    <mergeCell ref="AA24:AG24"/>
    <mergeCell ref="AH24:BQ24"/>
    <mergeCell ref="BR24:BX24"/>
    <mergeCell ref="AA25:AG25"/>
    <mergeCell ref="AH25:BQ25"/>
    <mergeCell ref="BR25:BX25"/>
    <mergeCell ref="A26:D26"/>
    <mergeCell ref="E26:I26"/>
    <mergeCell ref="J26:Q26"/>
    <mergeCell ref="R26:V26"/>
    <mergeCell ref="W26:Z26"/>
    <mergeCell ref="AA26:AG26"/>
    <mergeCell ref="AH26:BQ26"/>
    <mergeCell ref="BR26:BX26"/>
    <mergeCell ref="A25:D25"/>
    <mergeCell ref="E25:I25"/>
    <mergeCell ref="J25:Q25"/>
    <mergeCell ref="R25:V25"/>
    <mergeCell ref="W25:Z25"/>
    <mergeCell ref="AA29:AG29"/>
    <mergeCell ref="AH29:BQ29"/>
    <mergeCell ref="BR29:BX29"/>
    <mergeCell ref="A29:D29"/>
    <mergeCell ref="E29:I29"/>
    <mergeCell ref="J29:Q29"/>
    <mergeCell ref="R29:V29"/>
    <mergeCell ref="W29:Z29"/>
    <mergeCell ref="AA27:AG27"/>
    <mergeCell ref="AH27:BQ27"/>
    <mergeCell ref="BR27:BX27"/>
    <mergeCell ref="A28:D28"/>
    <mergeCell ref="E28:I28"/>
    <mergeCell ref="J28:Q28"/>
    <mergeCell ref="R28:V28"/>
    <mergeCell ref="W28:Z28"/>
    <mergeCell ref="AA28:AG28"/>
    <mergeCell ref="AH28:BQ28"/>
    <mergeCell ref="BR28:BX28"/>
    <mergeCell ref="A27:D27"/>
    <mergeCell ref="E27:I27"/>
    <mergeCell ref="J27:Q27"/>
    <mergeCell ref="R27:V27"/>
    <mergeCell ref="W27:Z27"/>
  </mergeCells>
  <phoneticPr fontId="2"/>
  <pageMargins left="0.21" right="0.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CR47"/>
  <sheetViews>
    <sheetView zoomScale="85" zoomScaleNormal="85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8671875" defaultRowHeight="15" customHeight="1" x14ac:dyDescent="0.15"/>
  <cols>
    <col min="1" max="16384" width="1.88671875" style="17"/>
  </cols>
  <sheetData>
    <row r="1" spans="1:96" s="15" customFormat="1" ht="15" customHeight="1" x14ac:dyDescent="0.2">
      <c r="A1" s="176" t="s">
        <v>1</v>
      </c>
      <c r="B1" s="177"/>
      <c r="C1" s="177"/>
      <c r="D1" s="177"/>
      <c r="E1" s="177"/>
      <c r="F1" s="177"/>
      <c r="G1" s="177"/>
      <c r="H1" s="178"/>
      <c r="I1" s="179" t="str">
        <f>タイトル!I40</f>
        <v>　学生勤務管理システム</v>
      </c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1"/>
      <c r="AE1" s="182" t="s">
        <v>0</v>
      </c>
      <c r="AF1" s="183"/>
      <c r="AG1" s="183"/>
      <c r="AH1" s="183"/>
      <c r="AI1" s="183"/>
      <c r="AJ1" s="183"/>
      <c r="AK1" s="184"/>
      <c r="AL1" s="185" t="str">
        <f>タイトル!I43</f>
        <v>　機能設計</v>
      </c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7"/>
      <c r="BI1" s="182" t="s">
        <v>12</v>
      </c>
      <c r="BJ1" s="183"/>
      <c r="BK1" s="183"/>
      <c r="BL1" s="184"/>
      <c r="BM1" s="188" t="str">
        <f>タイトル!I46</f>
        <v>木田　優</v>
      </c>
      <c r="BN1" s="189"/>
      <c r="BO1" s="189"/>
      <c r="BP1" s="189"/>
      <c r="BQ1" s="189"/>
      <c r="BR1" s="189"/>
      <c r="BS1" s="189"/>
      <c r="BT1" s="189"/>
      <c r="BU1" s="189"/>
      <c r="BV1" s="190"/>
      <c r="BW1" s="134">
        <f>タイトル!I47</f>
        <v>45205</v>
      </c>
      <c r="BX1" s="135"/>
      <c r="BY1" s="135"/>
      <c r="BZ1" s="135"/>
      <c r="CA1" s="135"/>
      <c r="CB1" s="135"/>
      <c r="CC1" s="135"/>
      <c r="CD1" s="135"/>
      <c r="CE1" s="136"/>
      <c r="CF1" s="137" t="s">
        <v>13</v>
      </c>
      <c r="CG1" s="138"/>
      <c r="CH1" s="138"/>
      <c r="CI1" s="138"/>
      <c r="CJ1" s="139"/>
      <c r="CK1" s="146" t="str">
        <f>タイトル!I50</f>
        <v>DUC010</v>
      </c>
      <c r="CL1" s="147"/>
      <c r="CM1" s="147"/>
      <c r="CN1" s="147"/>
      <c r="CO1" s="147"/>
      <c r="CP1" s="147"/>
      <c r="CQ1" s="147"/>
      <c r="CR1" s="148"/>
    </row>
    <row r="2" spans="1:96" s="15" customFormat="1" ht="15" customHeight="1" x14ac:dyDescent="0.2">
      <c r="A2" s="155" t="s">
        <v>14</v>
      </c>
      <c r="B2" s="156"/>
      <c r="C2" s="156"/>
      <c r="D2" s="156"/>
      <c r="E2" s="156"/>
      <c r="F2" s="156"/>
      <c r="G2" s="156"/>
      <c r="H2" s="157"/>
      <c r="I2" s="158" t="str">
        <f>タイトル!I41</f>
        <v>　共通機能</v>
      </c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60"/>
      <c r="AE2" s="161" t="s">
        <v>32</v>
      </c>
      <c r="AF2" s="162"/>
      <c r="AG2" s="162"/>
      <c r="AH2" s="162"/>
      <c r="AI2" s="162"/>
      <c r="AJ2" s="162"/>
      <c r="AK2" s="163"/>
      <c r="AL2" s="164" t="str">
        <f>タイトル!I44</f>
        <v>　CC-800_ポップアップ</v>
      </c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6"/>
      <c r="BI2" s="167" t="s">
        <v>15</v>
      </c>
      <c r="BJ2" s="168"/>
      <c r="BK2" s="168"/>
      <c r="BL2" s="169"/>
      <c r="BM2" s="170"/>
      <c r="BN2" s="171"/>
      <c r="BO2" s="171"/>
      <c r="BP2" s="171"/>
      <c r="BQ2" s="171"/>
      <c r="BR2" s="171"/>
      <c r="BS2" s="171"/>
      <c r="BT2" s="171"/>
      <c r="BU2" s="171"/>
      <c r="BV2" s="172"/>
      <c r="BW2" s="173"/>
      <c r="BX2" s="174"/>
      <c r="BY2" s="174"/>
      <c r="BZ2" s="174"/>
      <c r="CA2" s="174"/>
      <c r="CB2" s="174"/>
      <c r="CC2" s="174"/>
      <c r="CD2" s="174"/>
      <c r="CE2" s="175"/>
      <c r="CF2" s="140"/>
      <c r="CG2" s="141"/>
      <c r="CH2" s="141"/>
      <c r="CI2" s="141"/>
      <c r="CJ2" s="142"/>
      <c r="CK2" s="149"/>
      <c r="CL2" s="150"/>
      <c r="CM2" s="150"/>
      <c r="CN2" s="150"/>
      <c r="CO2" s="150"/>
      <c r="CP2" s="150"/>
      <c r="CQ2" s="150"/>
      <c r="CR2" s="151"/>
    </row>
    <row r="3" spans="1:96" s="15" customFormat="1" ht="15" customHeight="1" thickBot="1" x14ac:dyDescent="0.25">
      <c r="A3" s="191"/>
      <c r="B3" s="192"/>
      <c r="C3" s="192"/>
      <c r="D3" s="192"/>
      <c r="E3" s="192"/>
      <c r="F3" s="192"/>
      <c r="G3" s="192"/>
      <c r="H3" s="193"/>
      <c r="I3" s="194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6"/>
      <c r="AE3" s="143"/>
      <c r="AF3" s="144"/>
      <c r="AG3" s="144"/>
      <c r="AH3" s="144"/>
      <c r="AI3" s="144"/>
      <c r="AJ3" s="144"/>
      <c r="AK3" s="145"/>
      <c r="AL3" s="197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9"/>
      <c r="BI3" s="200"/>
      <c r="BJ3" s="201"/>
      <c r="BK3" s="201"/>
      <c r="BL3" s="202"/>
      <c r="BM3" s="203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5"/>
      <c r="CF3" s="143"/>
      <c r="CG3" s="144"/>
      <c r="CH3" s="144"/>
      <c r="CI3" s="144"/>
      <c r="CJ3" s="145"/>
      <c r="CK3" s="152"/>
      <c r="CL3" s="153"/>
      <c r="CM3" s="153"/>
      <c r="CN3" s="153"/>
      <c r="CO3" s="153"/>
      <c r="CP3" s="153"/>
      <c r="CQ3" s="153"/>
      <c r="CR3" s="154"/>
    </row>
    <row r="4" spans="1:96" s="16" customFormat="1" ht="15" customHeight="1" x14ac:dyDescent="0.2">
      <c r="A4" s="212" t="s">
        <v>36</v>
      </c>
      <c r="B4" s="213"/>
      <c r="C4" s="213"/>
      <c r="D4" s="213"/>
      <c r="E4" s="213"/>
      <c r="F4" s="213"/>
      <c r="G4" s="213"/>
      <c r="H4" s="213"/>
      <c r="I4" s="214" t="str">
        <f>"　" &amp; RIGHT(タイトル!I44,LEN(タイトル!I44)-8)</f>
        <v>　ポップアップ</v>
      </c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3" t="s">
        <v>37</v>
      </c>
      <c r="AM4" s="213"/>
      <c r="AN4" s="213"/>
      <c r="AO4" s="213"/>
      <c r="AP4" s="213"/>
      <c r="AQ4" s="213"/>
      <c r="AR4" s="213"/>
      <c r="AS4" s="215" t="str">
        <f>LEFT(タイトル!I44,7)</f>
        <v>　CC-800</v>
      </c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6" t="s">
        <v>35</v>
      </c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06" t="s">
        <v>46</v>
      </c>
      <c r="BU4" s="207"/>
      <c r="BV4" s="207"/>
      <c r="BW4" s="207"/>
      <c r="BX4" s="207"/>
      <c r="BY4" s="207"/>
      <c r="BZ4" s="207"/>
      <c r="CA4" s="207"/>
      <c r="CB4" s="207"/>
      <c r="CC4" s="207"/>
      <c r="CD4" s="207"/>
      <c r="CE4" s="207"/>
      <c r="CF4" s="207"/>
      <c r="CG4" s="207"/>
      <c r="CH4" s="207"/>
      <c r="CI4" s="207"/>
      <c r="CJ4" s="207"/>
      <c r="CK4" s="207"/>
      <c r="CL4" s="207"/>
      <c r="CM4" s="207"/>
      <c r="CN4" s="207"/>
      <c r="CO4" s="207"/>
      <c r="CP4" s="207"/>
      <c r="CQ4" s="207"/>
      <c r="CR4" s="208"/>
    </row>
    <row r="5" spans="1:96" s="13" customFormat="1" ht="15" customHeight="1" x14ac:dyDescent="0.15">
      <c r="A5" s="209" t="s">
        <v>39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1"/>
    </row>
    <row r="6" spans="1:96" s="13" customFormat="1" ht="15" customHeight="1" x14ac:dyDescent="0.15">
      <c r="A6" s="63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5"/>
    </row>
    <row r="7" spans="1:96" s="13" customFormat="1" ht="15" customHeight="1" x14ac:dyDescent="0.15">
      <c r="A7" s="20"/>
      <c r="B7" s="18" t="s">
        <v>68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20"/>
      <c r="B8" s="18" t="s">
        <v>69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20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2" customFormat="1" ht="15" customHeight="1" x14ac:dyDescent="0.15">
      <c r="A10" s="209" t="s">
        <v>40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/>
      <c r="BJ10" s="210"/>
      <c r="BK10" s="210"/>
      <c r="BL10" s="210"/>
      <c r="BM10" s="210"/>
      <c r="BN10" s="210"/>
      <c r="BO10" s="210"/>
      <c r="BP10" s="210"/>
      <c r="BQ10" s="210"/>
      <c r="BR10" s="210"/>
      <c r="BS10" s="210"/>
      <c r="BT10" s="210"/>
      <c r="BU10" s="210"/>
      <c r="BV10" s="210"/>
      <c r="BW10" s="210"/>
      <c r="BX10" s="210"/>
      <c r="BY10" s="210"/>
      <c r="BZ10" s="210"/>
      <c r="CA10" s="210"/>
      <c r="CB10" s="210"/>
      <c r="CC10" s="210"/>
      <c r="CD10" s="210"/>
      <c r="CE10" s="210"/>
      <c r="CF10" s="210"/>
      <c r="CG10" s="210"/>
      <c r="CH10" s="210"/>
      <c r="CI10" s="210"/>
      <c r="CJ10" s="210"/>
      <c r="CK10" s="210"/>
      <c r="CL10" s="210"/>
      <c r="CM10" s="210"/>
      <c r="CN10" s="210"/>
      <c r="CO10" s="210"/>
      <c r="CP10" s="210"/>
      <c r="CQ10" s="210"/>
      <c r="CR10" s="211"/>
    </row>
    <row r="11" spans="1:96" s="13" customFormat="1" ht="15" customHeight="1" x14ac:dyDescent="0.1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3"/>
    </row>
    <row r="12" spans="1:96" s="13" customFormat="1" ht="15" customHeight="1" x14ac:dyDescent="0.15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3"/>
    </row>
    <row r="13" spans="1:96" s="13" customFormat="1" ht="15" customHeight="1" x14ac:dyDescent="0.15">
      <c r="A13" s="21"/>
      <c r="B13" s="22"/>
      <c r="C13" s="29" t="s">
        <v>70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1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12"/>
      <c r="AL13" s="29" t="s">
        <v>72</v>
      </c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1"/>
      <c r="BD13" s="22"/>
      <c r="BE13" s="22"/>
      <c r="BF13" s="22" t="s">
        <v>99</v>
      </c>
      <c r="BG13" s="22"/>
      <c r="CR13" s="57"/>
    </row>
    <row r="14" spans="1:96" s="13" customFormat="1" ht="15" customHeight="1" x14ac:dyDescent="0.15">
      <c r="A14" s="21"/>
      <c r="B14" s="22"/>
      <c r="C14" s="32"/>
      <c r="D14" s="58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60"/>
      <c r="S14" s="59"/>
      <c r="T14" s="33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12"/>
      <c r="AL14" s="32"/>
      <c r="AM14" s="58" t="s">
        <v>218</v>
      </c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60"/>
      <c r="BB14" s="59"/>
      <c r="BC14" s="33"/>
      <c r="BD14" s="22"/>
      <c r="BE14" s="22"/>
      <c r="BF14" s="219" t="s">
        <v>126</v>
      </c>
      <c r="BG14" s="219"/>
      <c r="BH14" s="219"/>
      <c r="BI14" s="219"/>
      <c r="BJ14" s="219"/>
      <c r="BK14" s="219"/>
      <c r="BL14" s="219"/>
      <c r="BM14" s="219"/>
      <c r="BN14" s="218" t="s">
        <v>71</v>
      </c>
      <c r="BO14" s="218"/>
      <c r="BP14" s="218"/>
      <c r="BQ14" s="218"/>
      <c r="BR14" s="218"/>
      <c r="BS14" s="218"/>
      <c r="BT14" s="218"/>
      <c r="BU14" s="218"/>
      <c r="BV14" s="218"/>
      <c r="BW14" s="218"/>
      <c r="BX14" s="218"/>
      <c r="BY14" s="218"/>
      <c r="BZ14" s="218"/>
      <c r="CA14" s="218"/>
      <c r="CR14" s="57"/>
    </row>
    <row r="15" spans="1:96" s="13" customFormat="1" ht="15" customHeight="1" x14ac:dyDescent="0.15">
      <c r="A15" s="21"/>
      <c r="B15" s="22"/>
      <c r="C15" s="32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1"/>
      <c r="R15" s="60"/>
      <c r="S15" s="59"/>
      <c r="T15" s="33"/>
      <c r="U15" s="22"/>
      <c r="V15" s="62" t="s">
        <v>220</v>
      </c>
      <c r="X15" s="22"/>
      <c r="Y15" s="22"/>
      <c r="Z15" s="22"/>
      <c r="AA15" s="22"/>
      <c r="AB15" s="22"/>
      <c r="AC15" s="22"/>
      <c r="AD15" s="22"/>
      <c r="AE15" s="12"/>
      <c r="AL15" s="32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61"/>
      <c r="BA15" s="60"/>
      <c r="BB15" s="59"/>
      <c r="BC15" s="33"/>
      <c r="BD15" s="22"/>
      <c r="BE15" s="22"/>
      <c r="BF15" s="219" t="s">
        <v>127</v>
      </c>
      <c r="BG15" s="219"/>
      <c r="BH15" s="219"/>
      <c r="BI15" s="219"/>
      <c r="BJ15" s="219"/>
      <c r="BK15" s="219"/>
      <c r="BL15" s="219"/>
      <c r="BM15" s="219"/>
      <c r="BN15" s="218" t="s">
        <v>100</v>
      </c>
      <c r="BO15" s="218"/>
      <c r="BP15" s="218"/>
      <c r="BQ15" s="218"/>
      <c r="BR15" s="218"/>
      <c r="BS15" s="218"/>
      <c r="BT15" s="218"/>
      <c r="BU15" s="218"/>
      <c r="BV15" s="218"/>
      <c r="BW15" s="218"/>
      <c r="BX15" s="218"/>
      <c r="BY15" s="218"/>
      <c r="BZ15" s="218"/>
      <c r="CA15" s="218"/>
      <c r="CR15" s="57"/>
    </row>
    <row r="16" spans="1:96" s="13" customFormat="1" ht="15" customHeight="1" x14ac:dyDescent="0.15">
      <c r="A16" s="21"/>
      <c r="B16" s="22"/>
      <c r="C16" s="32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33"/>
      <c r="U16" s="22"/>
      <c r="X16" s="22"/>
      <c r="Y16" s="12"/>
      <c r="Z16" s="12"/>
      <c r="AA16" s="12"/>
      <c r="AB16" s="12"/>
      <c r="AC16" s="12"/>
      <c r="AD16" s="12"/>
      <c r="AE16" s="12"/>
      <c r="AL16" s="32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33"/>
      <c r="BD16" s="22"/>
      <c r="BE16" s="22"/>
      <c r="CR16" s="57"/>
    </row>
    <row r="17" spans="1:96" s="13" customFormat="1" ht="15" customHeight="1" x14ac:dyDescent="0.15">
      <c r="A17" s="21"/>
      <c r="B17" s="22"/>
      <c r="C17" s="32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33"/>
      <c r="U17" s="22"/>
      <c r="V17" s="22"/>
      <c r="W17" s="22"/>
      <c r="X17" s="22"/>
      <c r="Y17" s="12"/>
      <c r="Z17" s="12"/>
      <c r="AA17" s="12"/>
      <c r="AB17" s="12"/>
      <c r="AC17" s="12"/>
      <c r="AD17" s="12"/>
      <c r="AE17" s="12"/>
      <c r="AL17" s="32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33"/>
      <c r="BD17" s="22"/>
      <c r="BE17" s="22"/>
      <c r="BF17" s="22"/>
      <c r="BG17" s="22"/>
      <c r="CR17" s="57"/>
    </row>
    <row r="18" spans="1:96" s="13" customFormat="1" ht="15" customHeight="1" x14ac:dyDescent="0.15">
      <c r="A18" s="21"/>
      <c r="B18" s="22"/>
      <c r="C18" s="32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33"/>
      <c r="U18" s="22"/>
      <c r="V18" s="12"/>
      <c r="X18" s="22"/>
      <c r="Y18" s="12"/>
      <c r="Z18" s="12"/>
      <c r="AA18" s="12"/>
      <c r="AB18" s="12"/>
      <c r="AC18" s="12"/>
      <c r="AD18" s="12"/>
      <c r="AE18" s="12"/>
      <c r="AL18" s="32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33"/>
      <c r="BD18" s="22"/>
      <c r="BE18" s="22"/>
      <c r="BF18" s="22"/>
      <c r="BG18" s="22"/>
      <c r="CR18" s="57"/>
    </row>
    <row r="19" spans="1:96" s="13" customFormat="1" ht="15" customHeight="1" x14ac:dyDescent="0.15">
      <c r="A19" s="21"/>
      <c r="B19" s="22"/>
      <c r="C19" s="32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33"/>
      <c r="U19" s="22"/>
      <c r="V19" s="22"/>
      <c r="W19" s="22"/>
      <c r="X19" s="22"/>
      <c r="Y19" s="12"/>
      <c r="Z19" s="12"/>
      <c r="AA19" s="12"/>
      <c r="AB19" s="12"/>
      <c r="AC19" s="12"/>
      <c r="AD19" s="12"/>
      <c r="AE19" s="12"/>
      <c r="AL19" s="32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33"/>
      <c r="BD19" s="22"/>
      <c r="BE19" s="22"/>
      <c r="BF19" s="22"/>
      <c r="BG19" s="22"/>
      <c r="CR19" s="57"/>
    </row>
    <row r="20" spans="1:96" s="13" customFormat="1" ht="15" customHeight="1" x14ac:dyDescent="0.15">
      <c r="A20" s="21"/>
      <c r="B20" s="22"/>
      <c r="C20" s="32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33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L20" s="32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33"/>
      <c r="BD20" s="22"/>
      <c r="BE20" s="22"/>
      <c r="BF20" s="22"/>
      <c r="BG20" s="22"/>
      <c r="CR20" s="57"/>
    </row>
    <row r="21" spans="1:96" s="13" customFormat="1" ht="15" customHeight="1" x14ac:dyDescent="0.15">
      <c r="A21" s="21"/>
      <c r="B21" s="22"/>
      <c r="C21" s="32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33"/>
      <c r="U21" s="22"/>
      <c r="Z21" s="22"/>
      <c r="AA21" s="22"/>
      <c r="AB21" s="22"/>
      <c r="AC21" s="22"/>
      <c r="AD21" s="22"/>
      <c r="AE21" s="22"/>
      <c r="AL21" s="32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33"/>
      <c r="BD21" s="22"/>
      <c r="BE21" s="22"/>
      <c r="BF21" s="22"/>
      <c r="BG21" s="22"/>
      <c r="CR21" s="57"/>
    </row>
    <row r="22" spans="1:96" s="13" customFormat="1" ht="15" customHeight="1" x14ac:dyDescent="0.15">
      <c r="A22" s="21"/>
      <c r="B22" s="22"/>
      <c r="C22" s="32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1"/>
      <c r="S22" s="61"/>
      <c r="T22" s="34"/>
      <c r="U22" s="12"/>
      <c r="Z22" s="12"/>
      <c r="AA22" s="12"/>
      <c r="AB22" s="12"/>
      <c r="AC22" s="12"/>
      <c r="AD22" s="12"/>
      <c r="AE22" s="22"/>
      <c r="AL22" s="32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61"/>
      <c r="BB22" s="61"/>
      <c r="BC22" s="34"/>
      <c r="BD22" s="22"/>
      <c r="BE22" s="22"/>
      <c r="BF22" s="22"/>
      <c r="BG22" s="22"/>
      <c r="CR22" s="57"/>
    </row>
    <row r="23" spans="1:96" s="13" customFormat="1" ht="15" customHeight="1" x14ac:dyDescent="0.15">
      <c r="A23" s="21"/>
      <c r="B23" s="22"/>
      <c r="C23" s="35"/>
      <c r="D23" s="36"/>
      <c r="E23" s="36"/>
      <c r="F23" s="36"/>
      <c r="G23" s="37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8"/>
      <c r="S23" s="38"/>
      <c r="T23" s="39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22"/>
      <c r="AL23" s="35"/>
      <c r="AM23" s="36"/>
      <c r="AN23" s="36"/>
      <c r="AO23" s="36"/>
      <c r="AP23" s="37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8"/>
      <c r="BB23" s="38"/>
      <c r="BC23" s="39"/>
      <c r="BD23" s="22"/>
      <c r="BE23" s="22"/>
      <c r="BF23" s="22"/>
      <c r="BG23" s="22"/>
      <c r="CR23" s="57"/>
    </row>
    <row r="24" spans="1:96" s="13" customFormat="1" ht="15" customHeight="1" x14ac:dyDescent="0.1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22"/>
      <c r="AH24" s="22"/>
      <c r="AJ24" s="22"/>
      <c r="AL24" s="22"/>
      <c r="AN24" s="22"/>
      <c r="AP24" s="22"/>
      <c r="AR24" s="22"/>
      <c r="AT24" s="22"/>
      <c r="AV24" s="22"/>
      <c r="AX24" s="22"/>
      <c r="AZ24" s="22"/>
      <c r="BB24" s="22"/>
      <c r="BD24" s="22"/>
      <c r="BF24" s="22"/>
      <c r="BH24" s="22"/>
      <c r="BJ24" s="22"/>
      <c r="CR24" s="57"/>
    </row>
    <row r="25" spans="1:96" s="13" customFormat="1" ht="15" customHeight="1" x14ac:dyDescent="0.1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12"/>
      <c r="S25" s="12"/>
      <c r="T25" s="12"/>
      <c r="U25" s="12"/>
      <c r="V25" s="12"/>
      <c r="W25" s="12"/>
      <c r="X25" s="12"/>
      <c r="Y25" s="12"/>
      <c r="Z25" s="12"/>
      <c r="AC25" s="12"/>
      <c r="AD25" s="12"/>
      <c r="AE25" s="22"/>
      <c r="AH25" s="22"/>
      <c r="AJ25" s="22"/>
      <c r="AL25" s="22"/>
      <c r="AN25" s="22"/>
      <c r="AP25" s="22"/>
      <c r="AR25" s="22"/>
      <c r="AT25" s="22"/>
      <c r="AV25" s="22"/>
      <c r="AX25" s="22"/>
      <c r="AZ25" s="22"/>
      <c r="BB25" s="22"/>
      <c r="BD25" s="22"/>
      <c r="BF25" s="22"/>
      <c r="BH25" s="22"/>
      <c r="BJ25" s="22"/>
      <c r="CR25" s="57"/>
    </row>
    <row r="26" spans="1:96" s="13" customFormat="1" ht="15" customHeight="1" x14ac:dyDescent="0.15">
      <c r="A26" s="21"/>
      <c r="B26" s="22"/>
      <c r="C26" s="22"/>
      <c r="D26" s="22"/>
      <c r="E26" s="22"/>
      <c r="F26" s="22"/>
      <c r="G26" s="22"/>
      <c r="H26" s="22"/>
      <c r="J26" s="22"/>
      <c r="L26" s="22"/>
      <c r="M26" s="22"/>
      <c r="N26" s="22"/>
      <c r="O26" s="22"/>
      <c r="P26" s="22"/>
      <c r="Q26" s="22"/>
      <c r="R26" s="12"/>
      <c r="S26" s="12"/>
      <c r="T26" s="12"/>
      <c r="U26" s="12"/>
      <c r="X26" s="12"/>
      <c r="Y26" s="12"/>
      <c r="Z26" s="12"/>
      <c r="AC26" s="12"/>
      <c r="AD26" s="12"/>
      <c r="AE26" s="22"/>
      <c r="AH26" s="22"/>
      <c r="AJ26" s="22"/>
      <c r="AL26" s="29" t="s">
        <v>72</v>
      </c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1"/>
      <c r="BD26" s="22"/>
      <c r="BF26" s="22"/>
      <c r="BH26" s="22"/>
      <c r="BJ26" s="22"/>
      <c r="CR26" s="57"/>
    </row>
    <row r="27" spans="1:96" s="13" customFormat="1" ht="15" customHeight="1" x14ac:dyDescent="0.1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12"/>
      <c r="S27" s="12"/>
      <c r="T27" s="12"/>
      <c r="U27" s="12"/>
      <c r="X27" s="12"/>
      <c r="Y27" s="12"/>
      <c r="Z27" s="12"/>
      <c r="AA27" s="12"/>
      <c r="AB27" s="12"/>
      <c r="AC27" s="12"/>
      <c r="AD27" s="12"/>
      <c r="AE27" s="22"/>
      <c r="AH27" s="22"/>
      <c r="AJ27" s="22"/>
      <c r="AL27" s="32"/>
      <c r="AM27" s="58" t="s">
        <v>219</v>
      </c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60"/>
      <c r="BB27" s="59"/>
      <c r="BC27" s="33"/>
      <c r="BD27" s="22"/>
      <c r="BF27" s="22"/>
      <c r="BH27" s="22"/>
      <c r="BJ27" s="22"/>
      <c r="CR27" s="57"/>
    </row>
    <row r="28" spans="1:96" s="13" customFormat="1" ht="15" customHeight="1" x14ac:dyDescent="0.1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J28" s="22"/>
      <c r="AL28" s="32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61"/>
      <c r="BA28" s="60"/>
      <c r="BB28" s="59"/>
      <c r="BC28" s="33"/>
      <c r="BD28" s="22"/>
      <c r="BF28" s="22"/>
      <c r="BH28" s="22"/>
      <c r="BJ28" s="22"/>
      <c r="CR28" s="57"/>
    </row>
    <row r="29" spans="1:96" s="13" customFormat="1" ht="15" customHeight="1" x14ac:dyDescent="0.15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J29" s="22"/>
      <c r="AL29" s="32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33"/>
      <c r="BD29" s="22"/>
      <c r="BF29" s="22"/>
      <c r="BH29" s="22"/>
      <c r="BJ29" s="2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23"/>
    </row>
    <row r="30" spans="1:96" s="13" customFormat="1" ht="15" customHeight="1" x14ac:dyDescent="0.15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J30" s="22"/>
      <c r="AL30" s="32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33"/>
      <c r="BD30" s="22"/>
      <c r="BF30" s="22"/>
      <c r="BH30" s="22"/>
      <c r="BJ30" s="22"/>
      <c r="BZ30" s="22"/>
      <c r="CA30" s="22"/>
      <c r="CB30" s="22"/>
      <c r="CC30" s="2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23"/>
    </row>
    <row r="31" spans="1:96" s="13" customFormat="1" ht="15" customHeight="1" x14ac:dyDescent="0.1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J31" s="22"/>
      <c r="AL31" s="32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33"/>
      <c r="BD31" s="22"/>
      <c r="BF31" s="22"/>
      <c r="BH31" s="22"/>
      <c r="BJ31" s="22"/>
      <c r="CR31" s="23"/>
    </row>
    <row r="32" spans="1:96" s="13" customFormat="1" ht="15" customHeight="1" x14ac:dyDescent="0.15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J32" s="22"/>
      <c r="AL32" s="32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33"/>
      <c r="BD32" s="22"/>
      <c r="BF32" s="22"/>
      <c r="BH32" s="22"/>
      <c r="BJ32" s="22"/>
      <c r="CR32" s="23"/>
    </row>
    <row r="33" spans="1:96" s="13" customFormat="1" ht="15" customHeight="1" x14ac:dyDescent="0.15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J33" s="22"/>
      <c r="AL33" s="32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33"/>
      <c r="BD33" s="22"/>
      <c r="BF33" s="22"/>
      <c r="BH33" s="22"/>
      <c r="BJ33" s="22"/>
      <c r="CR33" s="23"/>
    </row>
    <row r="34" spans="1:96" s="13" customFormat="1" ht="15" customHeight="1" x14ac:dyDescent="0.15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J34" s="22"/>
      <c r="AL34" s="32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33"/>
      <c r="BD34" s="22"/>
      <c r="BF34" s="22"/>
      <c r="BH34" s="22"/>
      <c r="BJ34" s="22"/>
      <c r="CR34" s="23"/>
    </row>
    <row r="35" spans="1:96" s="13" customFormat="1" ht="15" customHeight="1" x14ac:dyDescent="0.15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J35" s="22"/>
      <c r="AL35" s="32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61"/>
      <c r="BB35" s="61"/>
      <c r="BC35" s="34"/>
      <c r="BD35" s="22"/>
      <c r="BF35" s="22"/>
      <c r="BH35" s="22"/>
      <c r="BJ35" s="22"/>
      <c r="CR35" s="23"/>
    </row>
    <row r="36" spans="1:96" s="13" customFormat="1" ht="15" customHeight="1" x14ac:dyDescent="0.1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J36" s="22"/>
      <c r="AL36" s="35"/>
      <c r="AM36" s="36"/>
      <c r="AN36" s="36"/>
      <c r="AO36" s="36"/>
      <c r="AP36" s="37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8"/>
      <c r="BB36" s="38"/>
      <c r="BC36" s="39"/>
      <c r="BD36" s="22"/>
      <c r="BF36" s="22"/>
      <c r="BH36" s="22"/>
      <c r="BJ36" s="22"/>
      <c r="CR36" s="23"/>
    </row>
    <row r="37" spans="1:96" s="13" customFormat="1" ht="15" customHeight="1" x14ac:dyDescent="0.15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J37" s="22"/>
      <c r="AL37" s="22"/>
      <c r="AN37" s="22"/>
      <c r="AP37" s="22"/>
      <c r="AR37" s="22"/>
      <c r="AT37" s="22"/>
      <c r="AV37" s="22"/>
      <c r="AX37" s="22"/>
      <c r="AZ37" s="22"/>
      <c r="BB37" s="22"/>
      <c r="BD37" s="22"/>
      <c r="BF37" s="22"/>
      <c r="BH37" s="22"/>
      <c r="BJ37" s="22"/>
      <c r="CR37" s="23"/>
    </row>
    <row r="38" spans="1:96" s="13" customFormat="1" ht="15" customHeight="1" x14ac:dyDescent="0.15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J38" s="22"/>
      <c r="AL38" s="22"/>
      <c r="AN38" s="22"/>
      <c r="AP38" s="22"/>
      <c r="AR38" s="22"/>
      <c r="AT38" s="22"/>
      <c r="AV38" s="22"/>
      <c r="AX38" s="22"/>
      <c r="AZ38" s="22"/>
      <c r="BB38" s="22"/>
      <c r="BD38" s="22"/>
      <c r="BF38" s="22"/>
      <c r="BH38" s="22"/>
      <c r="BJ38" s="22"/>
      <c r="CR38" s="23"/>
    </row>
    <row r="39" spans="1:96" s="13" customFormat="1" ht="15" customHeight="1" x14ac:dyDescent="0.15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J39" s="22"/>
      <c r="AL39" s="22"/>
      <c r="AN39" s="22"/>
      <c r="AP39" s="22"/>
      <c r="AR39" s="22"/>
      <c r="AT39" s="22"/>
      <c r="AV39" s="22"/>
      <c r="AX39" s="22"/>
      <c r="AZ39" s="22"/>
      <c r="BB39" s="22"/>
      <c r="BD39" s="22"/>
      <c r="BF39" s="22"/>
      <c r="BH39" s="22"/>
      <c r="BJ39" s="22"/>
      <c r="CR39" s="23"/>
    </row>
    <row r="40" spans="1:96" s="13" customFormat="1" ht="15" customHeight="1" x14ac:dyDescent="0.1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J40" s="22"/>
      <c r="AL40" s="22"/>
      <c r="AN40" s="22"/>
      <c r="AP40" s="22"/>
      <c r="AR40" s="22"/>
      <c r="AT40" s="22"/>
      <c r="AV40" s="22"/>
      <c r="AX40" s="22"/>
      <c r="AZ40" s="22"/>
      <c r="BB40" s="22"/>
      <c r="BD40" s="22"/>
      <c r="BF40" s="22"/>
      <c r="BH40" s="22"/>
      <c r="BJ40" s="22"/>
      <c r="CR40" s="23"/>
    </row>
    <row r="41" spans="1:96" s="13" customFormat="1" ht="15" customHeight="1" x14ac:dyDescent="0.15">
      <c r="A41" s="21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J41" s="22"/>
      <c r="AL41" s="22"/>
      <c r="AN41" s="22"/>
      <c r="AP41" s="22"/>
      <c r="AR41" s="22"/>
      <c r="AT41" s="22"/>
      <c r="AV41" s="22"/>
      <c r="AX41" s="22"/>
      <c r="AZ41" s="22"/>
      <c r="BB41" s="22"/>
      <c r="BD41" s="22"/>
      <c r="BF41" s="22"/>
      <c r="BH41" s="22"/>
      <c r="BJ41" s="22"/>
      <c r="CR41" s="23"/>
    </row>
    <row r="42" spans="1:96" s="13" customFormat="1" ht="15" customHeight="1" x14ac:dyDescent="0.15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J42" s="22"/>
      <c r="AL42" s="22"/>
      <c r="AN42" s="22"/>
      <c r="AP42" s="22"/>
      <c r="AR42" s="22"/>
      <c r="AT42" s="22"/>
      <c r="AV42" s="22"/>
      <c r="AX42" s="22"/>
      <c r="AZ42" s="22"/>
      <c r="BB42" s="22"/>
      <c r="BD42" s="22"/>
      <c r="BF42" s="22"/>
      <c r="BH42" s="22"/>
      <c r="BJ42" s="22"/>
      <c r="CR42" s="23"/>
    </row>
    <row r="43" spans="1:96" s="13" customFormat="1" ht="15" customHeight="1" x14ac:dyDescent="0.15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J43" s="22"/>
      <c r="AL43" s="22"/>
      <c r="AN43" s="22"/>
      <c r="AP43" s="22"/>
      <c r="AR43" s="22"/>
      <c r="AT43" s="22"/>
      <c r="AV43" s="22"/>
      <c r="AX43" s="22"/>
      <c r="AZ43" s="22"/>
      <c r="BB43" s="22"/>
      <c r="BD43" s="22"/>
      <c r="BF43" s="22"/>
      <c r="BH43" s="22"/>
      <c r="BJ43" s="22"/>
      <c r="CR43" s="23"/>
    </row>
    <row r="44" spans="1:96" s="13" customFormat="1" ht="15" customHeight="1" x14ac:dyDescent="0.1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J44" s="22"/>
      <c r="AL44" s="22"/>
      <c r="AN44" s="22"/>
      <c r="AP44" s="22"/>
      <c r="AR44" s="22"/>
      <c r="AT44" s="22"/>
      <c r="AV44" s="22"/>
      <c r="AX44" s="22"/>
      <c r="AZ44" s="22"/>
      <c r="BB44" s="22"/>
      <c r="BD44" s="22"/>
      <c r="BF44" s="22"/>
      <c r="BH44" s="22"/>
      <c r="BJ44" s="22"/>
      <c r="CR44" s="23"/>
    </row>
    <row r="45" spans="1:96" s="13" customFormat="1" ht="15" customHeight="1" x14ac:dyDescent="0.1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J45" s="22"/>
      <c r="AL45" s="22"/>
      <c r="AN45" s="22"/>
      <c r="AP45" s="22"/>
      <c r="AR45" s="22"/>
      <c r="AT45" s="22"/>
      <c r="AV45" s="22"/>
      <c r="AX45" s="22"/>
      <c r="AZ45" s="22"/>
      <c r="BB45" s="22"/>
      <c r="BD45" s="22"/>
      <c r="BF45" s="22"/>
      <c r="BH45" s="22"/>
      <c r="BJ45" s="22"/>
      <c r="CR45" s="23"/>
    </row>
    <row r="46" spans="1:96" s="13" customFormat="1" ht="15" customHeight="1" x14ac:dyDescent="0.15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CR46" s="23"/>
    </row>
    <row r="47" spans="1:96" s="13" customFormat="1" ht="15" customHeight="1" thickBot="1" x14ac:dyDescent="0.2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6"/>
      <c r="BL47" s="26"/>
      <c r="BM47" s="27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8"/>
    </row>
  </sheetData>
  <mergeCells count="33">
    <mergeCell ref="BN14:CA14"/>
    <mergeCell ref="BF14:BM14"/>
    <mergeCell ref="BF15:BM15"/>
    <mergeCell ref="BN15:CA15"/>
    <mergeCell ref="A5:CR5"/>
    <mergeCell ref="BT4:CR4"/>
    <mergeCell ref="A10:CR10"/>
    <mergeCell ref="A4:H4"/>
    <mergeCell ref="I4:AK4"/>
    <mergeCell ref="AL4:AR4"/>
    <mergeCell ref="AS4:BH4"/>
    <mergeCell ref="BI4:BS4"/>
    <mergeCell ref="A3:H3"/>
    <mergeCell ref="I3:AD3"/>
    <mergeCell ref="AL3:BH3"/>
    <mergeCell ref="BI3:BL3"/>
    <mergeCell ref="BM3:CE3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</mergeCells>
  <phoneticPr fontId="11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C16A-2D2B-4C61-AAAB-B9C0551E889B}">
  <sheetPr codeName="Sheet1"/>
  <dimension ref="A1:DS90"/>
  <sheetViews>
    <sheetView view="pageBreakPreview" zoomScale="85" zoomScaleNormal="85" zoomScaleSheetLayoutView="85" workbookViewId="0">
      <pane ySplit="3" topLeftCell="A4" activePane="bottomLeft" state="frozen"/>
      <selection activeCell="W7" sqref="W7:Z7"/>
      <selection pane="bottomLeft" activeCell="A4" sqref="A4:H4"/>
    </sheetView>
  </sheetViews>
  <sheetFormatPr defaultColWidth="1.88671875" defaultRowHeight="15" customHeight="1" x14ac:dyDescent="0.15"/>
  <cols>
    <col min="1" max="16384" width="1.88671875" style="17"/>
  </cols>
  <sheetData>
    <row r="1" spans="1:96" s="15" customFormat="1" ht="15" customHeight="1" x14ac:dyDescent="0.2">
      <c r="A1" s="176" t="s">
        <v>1</v>
      </c>
      <c r="B1" s="177"/>
      <c r="C1" s="177"/>
      <c r="D1" s="177"/>
      <c r="E1" s="177"/>
      <c r="F1" s="177"/>
      <c r="G1" s="177"/>
      <c r="H1" s="178"/>
      <c r="I1" s="179" t="str">
        <f>タイトル!I40</f>
        <v>　学生勤務管理システム</v>
      </c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1"/>
      <c r="AE1" s="182" t="s">
        <v>0</v>
      </c>
      <c r="AF1" s="183"/>
      <c r="AG1" s="183"/>
      <c r="AH1" s="183"/>
      <c r="AI1" s="183"/>
      <c r="AJ1" s="183"/>
      <c r="AK1" s="184"/>
      <c r="AL1" s="185" t="s">
        <v>48</v>
      </c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7"/>
      <c r="BI1" s="182" t="s">
        <v>12</v>
      </c>
      <c r="BJ1" s="183"/>
      <c r="BK1" s="183"/>
      <c r="BL1" s="184"/>
      <c r="BM1" s="188" t="str">
        <f>タイトル!I46</f>
        <v>木田　優</v>
      </c>
      <c r="BN1" s="189"/>
      <c r="BO1" s="189"/>
      <c r="BP1" s="189"/>
      <c r="BQ1" s="189"/>
      <c r="BR1" s="189"/>
      <c r="BS1" s="189"/>
      <c r="BT1" s="189"/>
      <c r="BU1" s="189"/>
      <c r="BV1" s="190"/>
      <c r="BW1" s="134">
        <f>タイトル!I47</f>
        <v>45205</v>
      </c>
      <c r="BX1" s="135"/>
      <c r="BY1" s="135"/>
      <c r="BZ1" s="135"/>
      <c r="CA1" s="135"/>
      <c r="CB1" s="135"/>
      <c r="CC1" s="135"/>
      <c r="CD1" s="135"/>
      <c r="CE1" s="136"/>
      <c r="CF1" s="137" t="s">
        <v>13</v>
      </c>
      <c r="CG1" s="138"/>
      <c r="CH1" s="138"/>
      <c r="CI1" s="138"/>
      <c r="CJ1" s="139"/>
      <c r="CK1" s="146" t="str">
        <f>タイトル!I50</f>
        <v>DUC010</v>
      </c>
      <c r="CL1" s="147"/>
      <c r="CM1" s="147"/>
      <c r="CN1" s="147"/>
      <c r="CO1" s="147"/>
      <c r="CP1" s="147"/>
      <c r="CQ1" s="147"/>
      <c r="CR1" s="148"/>
    </row>
    <row r="2" spans="1:96" s="15" customFormat="1" ht="15" customHeight="1" x14ac:dyDescent="0.2">
      <c r="A2" s="155" t="s">
        <v>14</v>
      </c>
      <c r="B2" s="156"/>
      <c r="C2" s="156"/>
      <c r="D2" s="156"/>
      <c r="E2" s="156"/>
      <c r="F2" s="156"/>
      <c r="G2" s="156"/>
      <c r="H2" s="157"/>
      <c r="I2" s="158" t="s">
        <v>49</v>
      </c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60"/>
      <c r="AE2" s="161" t="s">
        <v>32</v>
      </c>
      <c r="AF2" s="162"/>
      <c r="AG2" s="162"/>
      <c r="AH2" s="162"/>
      <c r="AI2" s="162"/>
      <c r="AJ2" s="162"/>
      <c r="AK2" s="163"/>
      <c r="AL2" s="164" t="str">
        <f>タイトル!I44</f>
        <v>　CC-800_ポップアップ</v>
      </c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6"/>
      <c r="BI2" s="167" t="s">
        <v>15</v>
      </c>
      <c r="BJ2" s="168"/>
      <c r="BK2" s="168"/>
      <c r="BL2" s="169"/>
      <c r="BM2" s="170" t="s">
        <v>214</v>
      </c>
      <c r="BN2" s="171"/>
      <c r="BO2" s="171"/>
      <c r="BP2" s="171"/>
      <c r="BQ2" s="171"/>
      <c r="BR2" s="171"/>
      <c r="BS2" s="171"/>
      <c r="BT2" s="171"/>
      <c r="BU2" s="171"/>
      <c r="BV2" s="172"/>
      <c r="BW2" s="173">
        <v>45820</v>
      </c>
      <c r="BX2" s="174"/>
      <c r="BY2" s="174"/>
      <c r="BZ2" s="174"/>
      <c r="CA2" s="174"/>
      <c r="CB2" s="174"/>
      <c r="CC2" s="174"/>
      <c r="CD2" s="174"/>
      <c r="CE2" s="175"/>
      <c r="CF2" s="140"/>
      <c r="CG2" s="141"/>
      <c r="CH2" s="141"/>
      <c r="CI2" s="141"/>
      <c r="CJ2" s="142"/>
      <c r="CK2" s="149"/>
      <c r="CL2" s="150"/>
      <c r="CM2" s="150"/>
      <c r="CN2" s="150"/>
      <c r="CO2" s="150"/>
      <c r="CP2" s="150"/>
      <c r="CQ2" s="150"/>
      <c r="CR2" s="151"/>
    </row>
    <row r="3" spans="1:96" s="15" customFormat="1" ht="15" customHeight="1" thickBot="1" x14ac:dyDescent="0.25">
      <c r="A3" s="270"/>
      <c r="B3" s="271"/>
      <c r="C3" s="271"/>
      <c r="D3" s="271"/>
      <c r="E3" s="271"/>
      <c r="F3" s="271"/>
      <c r="G3" s="271"/>
      <c r="H3" s="272"/>
      <c r="I3" s="273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5"/>
      <c r="AE3" s="140"/>
      <c r="AF3" s="141"/>
      <c r="AG3" s="141"/>
      <c r="AH3" s="141"/>
      <c r="AI3" s="141"/>
      <c r="AJ3" s="141"/>
      <c r="AK3" s="142"/>
      <c r="AL3" s="276"/>
      <c r="AM3" s="277"/>
      <c r="AN3" s="277"/>
      <c r="AO3" s="277"/>
      <c r="AP3" s="277"/>
      <c r="AQ3" s="277"/>
      <c r="AR3" s="277"/>
      <c r="AS3" s="277"/>
      <c r="AT3" s="277"/>
      <c r="AU3" s="277"/>
      <c r="AV3" s="277"/>
      <c r="AW3" s="277"/>
      <c r="AX3" s="277"/>
      <c r="AY3" s="277"/>
      <c r="AZ3" s="277"/>
      <c r="BA3" s="277"/>
      <c r="BB3" s="277"/>
      <c r="BC3" s="277"/>
      <c r="BD3" s="277"/>
      <c r="BE3" s="277"/>
      <c r="BF3" s="277"/>
      <c r="BG3" s="277"/>
      <c r="BH3" s="278"/>
      <c r="BI3" s="161"/>
      <c r="BJ3" s="162"/>
      <c r="BK3" s="162"/>
      <c r="BL3" s="163"/>
      <c r="BM3" s="164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6"/>
      <c r="CF3" s="140"/>
      <c r="CG3" s="141"/>
      <c r="CH3" s="141"/>
      <c r="CI3" s="141"/>
      <c r="CJ3" s="142"/>
      <c r="CK3" s="149"/>
      <c r="CL3" s="150"/>
      <c r="CM3" s="150"/>
      <c r="CN3" s="150"/>
      <c r="CO3" s="150"/>
      <c r="CP3" s="150"/>
      <c r="CQ3" s="150"/>
      <c r="CR3" s="151"/>
    </row>
    <row r="4" spans="1:96" s="16" customFormat="1" ht="15" customHeight="1" x14ac:dyDescent="0.2">
      <c r="A4" s="212" t="s">
        <v>50</v>
      </c>
      <c r="B4" s="213"/>
      <c r="C4" s="213"/>
      <c r="D4" s="213"/>
      <c r="E4" s="213"/>
      <c r="F4" s="213"/>
      <c r="G4" s="213"/>
      <c r="H4" s="213"/>
      <c r="I4" s="214" t="str">
        <f ca="1">"　" &amp; RIGHT(CELL("filename",A1),LEN(CELL("filename",A1))-FIND("]",CELL("filename",A1)))</f>
        <v>　社員選択</v>
      </c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3" t="s">
        <v>51</v>
      </c>
      <c r="AM4" s="213"/>
      <c r="AN4" s="213"/>
      <c r="AO4" s="213"/>
      <c r="AP4" s="213"/>
      <c r="AQ4" s="213"/>
      <c r="AR4" s="213"/>
      <c r="AS4" s="215" t="s">
        <v>129</v>
      </c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68" t="s">
        <v>35</v>
      </c>
      <c r="BJ4" s="269"/>
      <c r="BK4" s="269"/>
      <c r="BL4" s="269"/>
      <c r="BM4" s="269"/>
      <c r="BN4" s="269"/>
      <c r="BO4" s="269"/>
      <c r="BP4" s="269"/>
      <c r="BQ4" s="269"/>
      <c r="BR4" s="269"/>
      <c r="BS4" s="269"/>
      <c r="BT4" s="263" t="s">
        <v>73</v>
      </c>
      <c r="BU4" s="264"/>
      <c r="BV4" s="264"/>
      <c r="BW4" s="264"/>
      <c r="BX4" s="264"/>
      <c r="BY4" s="264"/>
      <c r="BZ4" s="264"/>
      <c r="CA4" s="264"/>
      <c r="CB4" s="264"/>
      <c r="CC4" s="264"/>
      <c r="CD4" s="264"/>
      <c r="CE4" s="264"/>
      <c r="CF4" s="264"/>
      <c r="CG4" s="264"/>
      <c r="CH4" s="264"/>
      <c r="CI4" s="264"/>
      <c r="CJ4" s="264"/>
      <c r="CK4" s="264"/>
      <c r="CL4" s="264"/>
      <c r="CM4" s="264"/>
      <c r="CN4" s="264"/>
      <c r="CO4" s="264"/>
      <c r="CP4" s="264"/>
      <c r="CQ4" s="264"/>
      <c r="CR4" s="265"/>
    </row>
    <row r="5" spans="1:96" s="12" customFormat="1" ht="15" customHeight="1" x14ac:dyDescent="0.15">
      <c r="A5" s="209" t="s">
        <v>52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66" t="s">
        <v>53</v>
      </c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/>
      <c r="CF5" s="266"/>
      <c r="CG5" s="266"/>
      <c r="CH5" s="266"/>
      <c r="CI5" s="266"/>
      <c r="CJ5" s="266"/>
      <c r="CK5" s="266"/>
      <c r="CL5" s="266"/>
      <c r="CM5" s="266"/>
      <c r="CN5" s="266"/>
      <c r="CO5" s="266"/>
      <c r="CP5" s="266"/>
      <c r="CQ5" s="266"/>
      <c r="CR5" s="267"/>
    </row>
    <row r="6" spans="1:96" s="13" customFormat="1" ht="15" customHeight="1" x14ac:dyDescent="0.15">
      <c r="A6" s="40"/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18"/>
      <c r="BI6" s="43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5"/>
    </row>
    <row r="7" spans="1:96" s="13" customFormat="1" ht="15" customHeight="1" x14ac:dyDescent="0.15">
      <c r="A7" s="40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46"/>
      <c r="BJ7" s="18" t="s">
        <v>54</v>
      </c>
      <c r="BK7" s="18" t="s">
        <v>74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40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46"/>
      <c r="BJ8" s="18"/>
      <c r="BK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40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46"/>
      <c r="BJ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3" customFormat="1" ht="15" customHeight="1" x14ac:dyDescent="0.15">
      <c r="A10" s="40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46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9"/>
    </row>
    <row r="11" spans="1:96" s="13" customFormat="1" ht="15" customHeight="1" x14ac:dyDescent="0.15">
      <c r="A11" s="4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46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9"/>
    </row>
    <row r="12" spans="1:96" s="13" customFormat="1" ht="15" customHeight="1" x14ac:dyDescent="0.15">
      <c r="A12" s="40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243" t="s">
        <v>55</v>
      </c>
      <c r="BJ12" s="210"/>
      <c r="BK12" s="210"/>
      <c r="BL12" s="210"/>
      <c r="BM12" s="210"/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0"/>
      <c r="CA12" s="210"/>
      <c r="CB12" s="210"/>
      <c r="CC12" s="210"/>
      <c r="CD12" s="210"/>
      <c r="CE12" s="210"/>
      <c r="CF12" s="210"/>
      <c r="CG12" s="210"/>
      <c r="CH12" s="210"/>
      <c r="CI12" s="210"/>
      <c r="CJ12" s="210"/>
      <c r="CK12" s="210"/>
      <c r="CL12" s="210"/>
      <c r="CM12" s="210"/>
      <c r="CN12" s="210"/>
      <c r="CO12" s="210"/>
      <c r="CP12" s="210"/>
      <c r="CQ12" s="210"/>
      <c r="CR12" s="211"/>
    </row>
    <row r="13" spans="1:96" s="13" customFormat="1" ht="15" customHeight="1" x14ac:dyDescent="0.15">
      <c r="A13" s="40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46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9"/>
    </row>
    <row r="14" spans="1:96" s="13" customFormat="1" ht="15" customHeight="1" x14ac:dyDescent="0.15">
      <c r="A14" s="40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46"/>
      <c r="BJ14" s="18" t="s">
        <v>54</v>
      </c>
      <c r="BK14" s="18" t="s">
        <v>75</v>
      </c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9"/>
    </row>
    <row r="15" spans="1:96" s="13" customFormat="1" ht="15" customHeight="1" x14ac:dyDescent="0.15">
      <c r="A15" s="4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46"/>
      <c r="BJ15" s="18"/>
      <c r="BK15" s="18" t="s">
        <v>112</v>
      </c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9"/>
    </row>
    <row r="16" spans="1:96" s="13" customFormat="1" ht="15" customHeight="1" x14ac:dyDescent="0.15">
      <c r="A16" s="4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46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9"/>
    </row>
    <row r="17" spans="1:123" s="13" customFormat="1" ht="15" customHeight="1" x14ac:dyDescent="0.15">
      <c r="A17" s="4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46"/>
      <c r="BJ17" s="18" t="s">
        <v>63</v>
      </c>
      <c r="BK17" s="18" t="s">
        <v>76</v>
      </c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9"/>
    </row>
    <row r="18" spans="1:123" s="13" customFormat="1" ht="15" customHeight="1" x14ac:dyDescent="0.15">
      <c r="A18" s="4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46"/>
      <c r="BJ18" s="18"/>
      <c r="BK18" s="18" t="s">
        <v>77</v>
      </c>
      <c r="BL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9"/>
    </row>
    <row r="19" spans="1:123" s="13" customFormat="1" ht="15" customHeight="1" x14ac:dyDescent="0.15">
      <c r="A19" s="40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46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9"/>
    </row>
    <row r="20" spans="1:123" s="13" customFormat="1" ht="15" customHeight="1" x14ac:dyDescent="0.15">
      <c r="A20" s="40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46"/>
      <c r="BJ20" s="18" t="s">
        <v>139</v>
      </c>
      <c r="BK20" s="18" t="s">
        <v>140</v>
      </c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9"/>
    </row>
    <row r="21" spans="1:123" s="13" customFormat="1" ht="15" customHeight="1" x14ac:dyDescent="0.15">
      <c r="A21" s="40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46"/>
      <c r="BJ21" s="18"/>
      <c r="BK21" s="242" t="s">
        <v>132</v>
      </c>
      <c r="BL21" s="242"/>
      <c r="BM21" s="242"/>
      <c r="BN21" s="242"/>
      <c r="BO21" s="242"/>
      <c r="BP21" s="242"/>
      <c r="BQ21" s="242"/>
      <c r="BR21" s="242"/>
      <c r="BS21" s="242"/>
      <c r="BT21" s="242"/>
      <c r="BU21" s="242"/>
      <c r="BV21" s="242" t="s">
        <v>130</v>
      </c>
      <c r="BW21" s="242"/>
      <c r="BX21" s="242"/>
      <c r="BY21" s="242"/>
      <c r="BZ21" s="242"/>
      <c r="CA21" s="242"/>
      <c r="CB21" s="242"/>
      <c r="CC21" s="242"/>
      <c r="CD21" s="242"/>
      <c r="CE21" s="242"/>
      <c r="CF21" s="242"/>
      <c r="CG21" s="242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9"/>
    </row>
    <row r="22" spans="1:123" s="13" customFormat="1" ht="15" customHeight="1" x14ac:dyDescent="0.15">
      <c r="A22" s="4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46"/>
      <c r="BK22" s="242"/>
      <c r="BL22" s="242"/>
      <c r="BM22" s="242"/>
      <c r="BN22" s="242"/>
      <c r="BO22" s="242"/>
      <c r="BP22" s="242"/>
      <c r="BQ22" s="242"/>
      <c r="BR22" s="242"/>
      <c r="BS22" s="242"/>
      <c r="BT22" s="242"/>
      <c r="BU22" s="242"/>
      <c r="BV22" s="242" t="s">
        <v>131</v>
      </c>
      <c r="BW22" s="242"/>
      <c r="BX22" s="242"/>
      <c r="BY22" s="242"/>
      <c r="BZ22" s="242" t="s">
        <v>134</v>
      </c>
      <c r="CA22" s="242"/>
      <c r="CB22" s="242"/>
      <c r="CC22" s="242"/>
      <c r="CD22" s="242" t="s">
        <v>135</v>
      </c>
      <c r="CE22" s="242"/>
      <c r="CF22" s="242"/>
      <c r="CG22" s="242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9"/>
    </row>
    <row r="23" spans="1:123" s="13" customFormat="1" ht="15" customHeight="1" x14ac:dyDescent="0.15">
      <c r="A23" s="40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46"/>
      <c r="BK23" s="67" t="s">
        <v>133</v>
      </c>
      <c r="BL23" s="68"/>
      <c r="BM23" s="68"/>
      <c r="BN23" s="68"/>
      <c r="BO23" s="68"/>
      <c r="BP23" s="68"/>
      <c r="BQ23" s="68"/>
      <c r="BR23" s="68"/>
      <c r="BS23" s="68"/>
      <c r="BT23" s="68"/>
      <c r="BU23" s="69"/>
      <c r="BV23" s="97" t="s">
        <v>137</v>
      </c>
      <c r="BW23" s="97"/>
      <c r="BX23" s="97"/>
      <c r="BY23" s="97"/>
      <c r="BZ23" s="97" t="s">
        <v>138</v>
      </c>
      <c r="CA23" s="97"/>
      <c r="CB23" s="97"/>
      <c r="CC23" s="97"/>
      <c r="CD23" s="97" t="s">
        <v>138</v>
      </c>
      <c r="CE23" s="97"/>
      <c r="CF23" s="97"/>
      <c r="CG23" s="97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9"/>
    </row>
    <row r="24" spans="1:123" s="13" customFormat="1" ht="15" customHeight="1" x14ac:dyDescent="0.15">
      <c r="A24" s="40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46"/>
      <c r="BJ24" s="18"/>
      <c r="BK24" s="67" t="s">
        <v>136</v>
      </c>
      <c r="BL24" s="68"/>
      <c r="BM24" s="68"/>
      <c r="BN24" s="68"/>
      <c r="BO24" s="68"/>
      <c r="BP24" s="68"/>
      <c r="BQ24" s="68"/>
      <c r="BR24" s="68"/>
      <c r="BS24" s="68"/>
      <c r="BT24" s="68"/>
      <c r="BU24" s="69"/>
      <c r="BV24" s="97" t="s">
        <v>138</v>
      </c>
      <c r="BW24" s="97"/>
      <c r="BX24" s="97"/>
      <c r="BY24" s="97"/>
      <c r="BZ24" s="97" t="s">
        <v>137</v>
      </c>
      <c r="CA24" s="97"/>
      <c r="CB24" s="97"/>
      <c r="CC24" s="97"/>
      <c r="CD24" s="97" t="s">
        <v>137</v>
      </c>
      <c r="CE24" s="97"/>
      <c r="CF24" s="97"/>
      <c r="CG24" s="97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9"/>
    </row>
    <row r="25" spans="1:123" s="13" customFormat="1" ht="15" customHeight="1" x14ac:dyDescent="0.15">
      <c r="A25" s="4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46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9"/>
    </row>
    <row r="26" spans="1:123" s="13" customFormat="1" ht="15" customHeight="1" x14ac:dyDescent="0.15">
      <c r="A26" s="4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46"/>
      <c r="BJ26" s="82" t="s">
        <v>221</v>
      </c>
      <c r="BK26" s="82" t="s">
        <v>222</v>
      </c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19"/>
      <c r="CT26" s="83" t="s">
        <v>224</v>
      </c>
    </row>
    <row r="27" spans="1:123" s="13" customFormat="1" ht="15" customHeight="1" x14ac:dyDescent="0.15">
      <c r="A27" s="4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46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9"/>
      <c r="CV27" s="18"/>
    </row>
    <row r="28" spans="1:123" s="13" customFormat="1" ht="15" customHeight="1" x14ac:dyDescent="0.15">
      <c r="A28" s="4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46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9"/>
    </row>
    <row r="29" spans="1:123" s="13" customFormat="1" ht="15" customHeight="1" x14ac:dyDescent="0.15">
      <c r="A29" s="4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46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9"/>
    </row>
    <row r="30" spans="1:123" s="13" customFormat="1" ht="15" customHeight="1" x14ac:dyDescent="0.15">
      <c r="A30" s="66"/>
      <c r="BI30" s="46"/>
      <c r="BJ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9"/>
    </row>
    <row r="31" spans="1:123" s="13" customFormat="1" ht="15" customHeight="1" x14ac:dyDescent="0.15">
      <c r="A31" s="66"/>
      <c r="BI31" s="46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9"/>
    </row>
    <row r="32" spans="1:123" s="13" customFormat="1" ht="15" customHeight="1" x14ac:dyDescent="0.15">
      <c r="A32" s="66"/>
      <c r="BI32" s="46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9"/>
      <c r="DO32" s="18"/>
      <c r="DP32" s="18"/>
      <c r="DQ32" s="18"/>
      <c r="DR32" s="18"/>
      <c r="DS32" s="18"/>
    </row>
    <row r="33" spans="1:123" s="13" customFormat="1" ht="15" customHeight="1" x14ac:dyDescent="0.15">
      <c r="A33" s="66"/>
      <c r="BI33" s="46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9"/>
      <c r="DO33" s="18"/>
      <c r="DP33" s="18"/>
      <c r="DQ33" s="18"/>
      <c r="DR33" s="18"/>
      <c r="DS33" s="18"/>
    </row>
    <row r="34" spans="1:123" s="13" customFormat="1" ht="15" customHeight="1" x14ac:dyDescent="0.15">
      <c r="A34" s="4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46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9"/>
    </row>
    <row r="35" spans="1:123" s="13" customFormat="1" ht="15" customHeight="1" x14ac:dyDescent="0.15">
      <c r="A35" s="4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46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9"/>
    </row>
    <row r="36" spans="1:123" s="13" customFormat="1" ht="15" customHeight="1" x14ac:dyDescent="0.15">
      <c r="A36" s="66"/>
      <c r="BI36" s="46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9"/>
    </row>
    <row r="37" spans="1:123" s="13" customFormat="1" ht="15" customHeight="1" x14ac:dyDescent="0.15">
      <c r="A37" s="66"/>
      <c r="BI37" s="46"/>
      <c r="CR37" s="57"/>
    </row>
    <row r="38" spans="1:123" s="13" customFormat="1" ht="15" customHeight="1" x14ac:dyDescent="0.15">
      <c r="A38" s="209" t="s">
        <v>56</v>
      </c>
      <c r="B38" s="210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0"/>
      <c r="AU38" s="210"/>
      <c r="AV38" s="210"/>
      <c r="AW38" s="210"/>
      <c r="AX38" s="210"/>
      <c r="AY38" s="210"/>
      <c r="AZ38" s="210"/>
      <c r="BA38" s="210"/>
      <c r="BB38" s="210"/>
      <c r="BC38" s="210"/>
      <c r="BD38" s="210"/>
      <c r="BE38" s="210"/>
      <c r="BF38" s="210"/>
      <c r="BG38" s="210"/>
      <c r="BH38" s="210"/>
      <c r="BI38" s="243" t="s">
        <v>57</v>
      </c>
      <c r="BJ38" s="210"/>
      <c r="BK38" s="210"/>
      <c r="BL38" s="210"/>
      <c r="BM38" s="210"/>
      <c r="BN38" s="210"/>
      <c r="BO38" s="210"/>
      <c r="BP38" s="210"/>
      <c r="BQ38" s="210"/>
      <c r="BR38" s="210"/>
      <c r="BS38" s="210"/>
      <c r="BT38" s="210"/>
      <c r="BU38" s="210"/>
      <c r="BV38" s="210"/>
      <c r="BW38" s="210"/>
      <c r="BX38" s="210"/>
      <c r="BY38" s="210"/>
      <c r="BZ38" s="210"/>
      <c r="CA38" s="210"/>
      <c r="CB38" s="210"/>
      <c r="CC38" s="210"/>
      <c r="CD38" s="210"/>
      <c r="CE38" s="210"/>
      <c r="CF38" s="210"/>
      <c r="CG38" s="210"/>
      <c r="CH38" s="210"/>
      <c r="CI38" s="210"/>
      <c r="CJ38" s="210"/>
      <c r="CK38" s="210"/>
      <c r="CL38" s="210"/>
      <c r="CM38" s="210"/>
      <c r="CN38" s="210"/>
      <c r="CO38" s="210"/>
      <c r="CP38" s="210"/>
      <c r="CQ38" s="210"/>
      <c r="CR38" s="211"/>
    </row>
    <row r="39" spans="1:123" s="13" customFormat="1" ht="15" customHeight="1" x14ac:dyDescent="0.15">
      <c r="A39" s="209" t="s">
        <v>58</v>
      </c>
      <c r="B39" s="210"/>
      <c r="C39" s="210"/>
      <c r="D39" s="210"/>
      <c r="E39" s="210"/>
      <c r="F39" s="210"/>
      <c r="G39" s="210"/>
      <c r="H39" s="210"/>
      <c r="I39" s="210"/>
      <c r="J39" s="258"/>
      <c r="K39" s="243" t="s">
        <v>59</v>
      </c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0"/>
      <c r="AE39" s="210"/>
      <c r="AF39" s="210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0"/>
      <c r="AU39" s="210"/>
      <c r="AV39" s="258"/>
      <c r="AW39" s="243" t="s">
        <v>60</v>
      </c>
      <c r="AX39" s="210"/>
      <c r="AY39" s="210"/>
      <c r="AZ39" s="210"/>
      <c r="BA39" s="210"/>
      <c r="BB39" s="210"/>
      <c r="BC39" s="210"/>
      <c r="BD39" s="210"/>
      <c r="BE39" s="210"/>
      <c r="BF39" s="210"/>
      <c r="BG39" s="210"/>
      <c r="BH39" s="258"/>
      <c r="BI39" s="46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9"/>
    </row>
    <row r="40" spans="1:123" s="13" customFormat="1" ht="15" customHeight="1" x14ac:dyDescent="0.15">
      <c r="A40" s="259" t="s">
        <v>96</v>
      </c>
      <c r="B40" s="260"/>
      <c r="C40" s="260"/>
      <c r="D40" s="260"/>
      <c r="E40" s="260"/>
      <c r="F40" s="260"/>
      <c r="G40" s="260"/>
      <c r="H40" s="260"/>
      <c r="I40" s="260"/>
      <c r="J40" s="261"/>
      <c r="K40" s="262" t="s">
        <v>96</v>
      </c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  <c r="AA40" s="260"/>
      <c r="AB40" s="260"/>
      <c r="AC40" s="260"/>
      <c r="AD40" s="260"/>
      <c r="AE40" s="260"/>
      <c r="AF40" s="260"/>
      <c r="AG40" s="260"/>
      <c r="AH40" s="260"/>
      <c r="AI40" s="260"/>
      <c r="AJ40" s="260"/>
      <c r="AK40" s="260"/>
      <c r="AL40" s="260"/>
      <c r="AM40" s="260"/>
      <c r="AN40" s="260"/>
      <c r="AO40" s="260"/>
      <c r="AP40" s="260"/>
      <c r="AQ40" s="260"/>
      <c r="AR40" s="260"/>
      <c r="AS40" s="260"/>
      <c r="AT40" s="260"/>
      <c r="AU40" s="260"/>
      <c r="AV40" s="261"/>
      <c r="AW40" s="262" t="s">
        <v>78</v>
      </c>
      <c r="AX40" s="260"/>
      <c r="AY40" s="260"/>
      <c r="AZ40" s="260"/>
      <c r="BA40" s="260"/>
      <c r="BB40" s="260"/>
      <c r="BC40" s="260"/>
      <c r="BD40" s="260"/>
      <c r="BE40" s="260"/>
      <c r="BF40" s="260"/>
      <c r="BG40" s="260"/>
      <c r="BH40" s="261"/>
      <c r="BI40" s="46"/>
      <c r="BJ40" s="18" t="s">
        <v>144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9"/>
    </row>
    <row r="41" spans="1:123" s="13" customFormat="1" ht="15" customHeight="1" x14ac:dyDescent="0.15">
      <c r="A41" s="244" t="s">
        <v>141</v>
      </c>
      <c r="B41" s="245"/>
      <c r="C41" s="245"/>
      <c r="D41" s="245"/>
      <c r="E41" s="245"/>
      <c r="F41" s="245"/>
      <c r="G41" s="245"/>
      <c r="H41" s="245"/>
      <c r="I41" s="245"/>
      <c r="J41" s="246"/>
      <c r="K41" s="247" t="s">
        <v>141</v>
      </c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  <c r="AH41" s="245"/>
      <c r="AI41" s="245"/>
      <c r="AJ41" s="245"/>
      <c r="AK41" s="245"/>
      <c r="AL41" s="245"/>
      <c r="AM41" s="245"/>
      <c r="AN41" s="245"/>
      <c r="AO41" s="245"/>
      <c r="AP41" s="245"/>
      <c r="AQ41" s="245"/>
      <c r="AR41" s="245"/>
      <c r="AS41" s="245"/>
      <c r="AT41" s="245"/>
      <c r="AU41" s="245"/>
      <c r="AV41" s="246"/>
      <c r="AW41" s="247" t="s">
        <v>78</v>
      </c>
      <c r="AX41" s="245"/>
      <c r="AY41" s="245"/>
      <c r="AZ41" s="245"/>
      <c r="BA41" s="245"/>
      <c r="BB41" s="245"/>
      <c r="BC41" s="245"/>
      <c r="BD41" s="245"/>
      <c r="BE41" s="245"/>
      <c r="BF41" s="245"/>
      <c r="BG41" s="245"/>
      <c r="BH41" s="246"/>
      <c r="BI41" s="46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9"/>
    </row>
    <row r="42" spans="1:123" s="13" customFormat="1" ht="15" customHeight="1" x14ac:dyDescent="0.15">
      <c r="A42" s="244" t="s">
        <v>142</v>
      </c>
      <c r="B42" s="245"/>
      <c r="C42" s="245"/>
      <c r="D42" s="245"/>
      <c r="E42" s="245"/>
      <c r="F42" s="245"/>
      <c r="G42" s="245"/>
      <c r="H42" s="245"/>
      <c r="I42" s="245"/>
      <c r="J42" s="246"/>
      <c r="K42" s="247" t="s">
        <v>143</v>
      </c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  <c r="AB42" s="245"/>
      <c r="AC42" s="245"/>
      <c r="AD42" s="245"/>
      <c r="AE42" s="245"/>
      <c r="AF42" s="245"/>
      <c r="AG42" s="245"/>
      <c r="AH42" s="245"/>
      <c r="AI42" s="245"/>
      <c r="AJ42" s="245"/>
      <c r="AK42" s="245"/>
      <c r="AL42" s="245"/>
      <c r="AM42" s="245"/>
      <c r="AN42" s="245"/>
      <c r="AO42" s="245"/>
      <c r="AP42" s="245"/>
      <c r="AQ42" s="245"/>
      <c r="AR42" s="245"/>
      <c r="AS42" s="245"/>
      <c r="AT42" s="245"/>
      <c r="AU42" s="245"/>
      <c r="AV42" s="246"/>
      <c r="AW42" s="248" t="s">
        <v>78</v>
      </c>
      <c r="AX42" s="249"/>
      <c r="AY42" s="249"/>
      <c r="AZ42" s="249"/>
      <c r="BA42" s="249"/>
      <c r="BB42" s="249"/>
      <c r="BC42" s="249"/>
      <c r="BD42" s="249"/>
      <c r="BE42" s="249"/>
      <c r="BF42" s="249"/>
      <c r="BG42" s="249"/>
      <c r="BH42" s="250"/>
      <c r="BI42" s="46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9"/>
    </row>
    <row r="43" spans="1:123" s="13" customFormat="1" ht="15" customHeight="1" x14ac:dyDescent="0.15">
      <c r="A43" s="244"/>
      <c r="B43" s="245"/>
      <c r="C43" s="245"/>
      <c r="D43" s="245"/>
      <c r="E43" s="245"/>
      <c r="F43" s="245"/>
      <c r="G43" s="245"/>
      <c r="H43" s="245"/>
      <c r="I43" s="245"/>
      <c r="J43" s="246"/>
      <c r="K43" s="247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245"/>
      <c r="AP43" s="245"/>
      <c r="AQ43" s="245"/>
      <c r="AR43" s="245"/>
      <c r="AS43" s="245"/>
      <c r="AT43" s="245"/>
      <c r="AU43" s="245"/>
      <c r="AV43" s="246"/>
      <c r="AW43" s="248"/>
      <c r="AX43" s="249"/>
      <c r="AY43" s="249"/>
      <c r="AZ43" s="249"/>
      <c r="BA43" s="249"/>
      <c r="BB43" s="249"/>
      <c r="BC43" s="249"/>
      <c r="BD43" s="249"/>
      <c r="BE43" s="249"/>
      <c r="BF43" s="249"/>
      <c r="BG43" s="249"/>
      <c r="BH43" s="250"/>
      <c r="BI43" s="243" t="s">
        <v>61</v>
      </c>
      <c r="BJ43" s="210"/>
      <c r="BK43" s="210"/>
      <c r="BL43" s="210"/>
      <c r="BM43" s="210"/>
      <c r="BN43" s="210"/>
      <c r="BO43" s="210"/>
      <c r="BP43" s="210"/>
      <c r="BQ43" s="210"/>
      <c r="BR43" s="210"/>
      <c r="BS43" s="210"/>
      <c r="BT43" s="210"/>
      <c r="BU43" s="210"/>
      <c r="BV43" s="210"/>
      <c r="BW43" s="210"/>
      <c r="BX43" s="210"/>
      <c r="BY43" s="210"/>
      <c r="BZ43" s="210"/>
      <c r="CA43" s="210"/>
      <c r="CB43" s="210"/>
      <c r="CC43" s="210"/>
      <c r="CD43" s="210"/>
      <c r="CE43" s="210"/>
      <c r="CF43" s="210"/>
      <c r="CG43" s="210"/>
      <c r="CH43" s="210"/>
      <c r="CI43" s="210"/>
      <c r="CJ43" s="210"/>
      <c r="CK43" s="210"/>
      <c r="CL43" s="210"/>
      <c r="CM43" s="210"/>
      <c r="CN43" s="210"/>
      <c r="CO43" s="210"/>
      <c r="CP43" s="210"/>
      <c r="CQ43" s="210"/>
      <c r="CR43" s="211"/>
    </row>
    <row r="44" spans="1:123" s="13" customFormat="1" ht="15" customHeight="1" x14ac:dyDescent="0.15">
      <c r="A44" s="244"/>
      <c r="B44" s="245"/>
      <c r="C44" s="245"/>
      <c r="D44" s="245"/>
      <c r="E44" s="245"/>
      <c r="F44" s="245"/>
      <c r="G44" s="245"/>
      <c r="H44" s="245"/>
      <c r="I44" s="245"/>
      <c r="J44" s="246"/>
      <c r="K44" s="247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6"/>
      <c r="AW44" s="248"/>
      <c r="AX44" s="249"/>
      <c r="AY44" s="249"/>
      <c r="AZ44" s="249"/>
      <c r="BA44" s="249"/>
      <c r="BB44" s="249"/>
      <c r="BC44" s="249"/>
      <c r="BD44" s="249"/>
      <c r="BE44" s="249"/>
      <c r="BF44" s="249"/>
      <c r="BG44" s="249"/>
      <c r="BH44" s="250"/>
      <c r="BI44" s="46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9"/>
    </row>
    <row r="45" spans="1:123" s="13" customFormat="1" ht="15" customHeight="1" x14ac:dyDescent="0.15">
      <c r="A45" s="244"/>
      <c r="B45" s="245"/>
      <c r="C45" s="245"/>
      <c r="D45" s="245"/>
      <c r="E45" s="245"/>
      <c r="F45" s="245"/>
      <c r="G45" s="245"/>
      <c r="H45" s="245"/>
      <c r="I45" s="245"/>
      <c r="J45" s="246"/>
      <c r="K45" s="247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  <c r="AH45" s="245"/>
      <c r="AI45" s="245"/>
      <c r="AJ45" s="245"/>
      <c r="AK45" s="245"/>
      <c r="AL45" s="245"/>
      <c r="AM45" s="245"/>
      <c r="AN45" s="245"/>
      <c r="AO45" s="245"/>
      <c r="AP45" s="245"/>
      <c r="AQ45" s="245"/>
      <c r="AR45" s="245"/>
      <c r="AS45" s="245"/>
      <c r="AT45" s="245"/>
      <c r="AU45" s="245"/>
      <c r="AV45" s="246"/>
      <c r="AW45" s="248"/>
      <c r="AX45" s="249"/>
      <c r="AY45" s="249"/>
      <c r="AZ45" s="249"/>
      <c r="BA45" s="249"/>
      <c r="BB45" s="249"/>
      <c r="BC45" s="249"/>
      <c r="BD45" s="249"/>
      <c r="BE45" s="249"/>
      <c r="BF45" s="249"/>
      <c r="BG45" s="249"/>
      <c r="BH45" s="250"/>
      <c r="BI45" s="46"/>
      <c r="BJ45" s="18" t="s">
        <v>79</v>
      </c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9"/>
    </row>
    <row r="46" spans="1:123" s="13" customFormat="1" ht="15" customHeight="1" x14ac:dyDescent="0.15">
      <c r="A46" s="244"/>
      <c r="B46" s="245"/>
      <c r="C46" s="245"/>
      <c r="D46" s="245"/>
      <c r="E46" s="245"/>
      <c r="F46" s="245"/>
      <c r="G46" s="245"/>
      <c r="H46" s="245"/>
      <c r="I46" s="245"/>
      <c r="J46" s="246"/>
      <c r="K46" s="247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  <c r="AR46" s="245"/>
      <c r="AS46" s="245"/>
      <c r="AT46" s="245"/>
      <c r="AU46" s="245"/>
      <c r="AV46" s="246"/>
      <c r="AW46" s="248"/>
      <c r="AX46" s="249"/>
      <c r="AY46" s="249"/>
      <c r="AZ46" s="249"/>
      <c r="BA46" s="249"/>
      <c r="BB46" s="249"/>
      <c r="BC46" s="249"/>
      <c r="BD46" s="249"/>
      <c r="BE46" s="249"/>
      <c r="BF46" s="249"/>
      <c r="BG46" s="249"/>
      <c r="BH46" s="250"/>
      <c r="BI46" s="46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9"/>
    </row>
    <row r="47" spans="1:123" s="13" customFormat="1" ht="15" customHeight="1" thickBot="1" x14ac:dyDescent="0.2">
      <c r="A47" s="254"/>
      <c r="B47" s="255"/>
      <c r="C47" s="255"/>
      <c r="D47" s="255"/>
      <c r="E47" s="255"/>
      <c r="F47" s="255"/>
      <c r="G47" s="255"/>
      <c r="H47" s="255"/>
      <c r="I47" s="255"/>
      <c r="J47" s="256"/>
      <c r="K47" s="257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  <c r="AA47" s="255"/>
      <c r="AB47" s="255"/>
      <c r="AC47" s="255"/>
      <c r="AD47" s="255"/>
      <c r="AE47" s="255"/>
      <c r="AF47" s="255"/>
      <c r="AG47" s="255"/>
      <c r="AH47" s="255"/>
      <c r="AI47" s="255"/>
      <c r="AJ47" s="255"/>
      <c r="AK47" s="255"/>
      <c r="AL47" s="255"/>
      <c r="AM47" s="255"/>
      <c r="AN47" s="255"/>
      <c r="AO47" s="255"/>
      <c r="AP47" s="255"/>
      <c r="AQ47" s="255"/>
      <c r="AR47" s="255"/>
      <c r="AS47" s="255"/>
      <c r="AT47" s="255"/>
      <c r="AU47" s="255"/>
      <c r="AV47" s="256"/>
      <c r="AW47" s="257"/>
      <c r="AX47" s="255"/>
      <c r="AY47" s="255"/>
      <c r="AZ47" s="255"/>
      <c r="BA47" s="255"/>
      <c r="BB47" s="255"/>
      <c r="BC47" s="255"/>
      <c r="BD47" s="255"/>
      <c r="BE47" s="255"/>
      <c r="BF47" s="255"/>
      <c r="BG47" s="255"/>
      <c r="BH47" s="256"/>
      <c r="BI47" s="47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9"/>
    </row>
    <row r="48" spans="1:123" s="12" customFormat="1" ht="15" customHeight="1" x14ac:dyDescent="0.15">
      <c r="A48" s="251" t="s">
        <v>62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52"/>
      <c r="AL48" s="252"/>
      <c r="AM48" s="252"/>
      <c r="AN48" s="252"/>
      <c r="AO48" s="252"/>
      <c r="AP48" s="252"/>
      <c r="AQ48" s="252"/>
      <c r="AR48" s="252"/>
      <c r="AS48" s="252"/>
      <c r="AT48" s="252"/>
      <c r="AU48" s="252"/>
      <c r="AV48" s="252"/>
      <c r="AW48" s="252"/>
      <c r="AX48" s="252"/>
      <c r="AY48" s="252"/>
      <c r="AZ48" s="252"/>
      <c r="BA48" s="252"/>
      <c r="BB48" s="252"/>
      <c r="BC48" s="252"/>
      <c r="BD48" s="252"/>
      <c r="BE48" s="252"/>
      <c r="BF48" s="252"/>
      <c r="BG48" s="252"/>
      <c r="BH48" s="252"/>
      <c r="BI48" s="252"/>
      <c r="BJ48" s="252"/>
      <c r="BK48" s="252"/>
      <c r="BL48" s="252"/>
      <c r="BM48" s="252"/>
      <c r="BN48" s="252"/>
      <c r="BO48" s="252"/>
      <c r="BP48" s="252"/>
      <c r="BQ48" s="252"/>
      <c r="BR48" s="252"/>
      <c r="BS48" s="252"/>
      <c r="BT48" s="252"/>
      <c r="BU48" s="252"/>
      <c r="BV48" s="252"/>
      <c r="BW48" s="252"/>
      <c r="BX48" s="252"/>
      <c r="BY48" s="252"/>
      <c r="BZ48" s="252"/>
      <c r="CA48" s="252"/>
      <c r="CB48" s="252"/>
      <c r="CC48" s="252"/>
      <c r="CD48" s="252"/>
      <c r="CE48" s="252"/>
      <c r="CF48" s="252"/>
      <c r="CG48" s="252"/>
      <c r="CH48" s="252"/>
      <c r="CI48" s="252"/>
      <c r="CJ48" s="252"/>
      <c r="CK48" s="252"/>
      <c r="CL48" s="252"/>
      <c r="CM48" s="252"/>
      <c r="CN48" s="252"/>
      <c r="CO48" s="252"/>
      <c r="CP48" s="252"/>
      <c r="CQ48" s="252"/>
      <c r="CR48" s="253"/>
    </row>
    <row r="49" spans="1:96" s="53" customFormat="1" ht="15" customHeight="1" x14ac:dyDescent="0.2">
      <c r="A49" s="50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2"/>
    </row>
    <row r="50" spans="1:96" s="53" customFormat="1" ht="15" customHeight="1" x14ac:dyDescent="0.2">
      <c r="A50" s="50"/>
      <c r="B50" s="51" t="s">
        <v>80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3" t="s">
        <v>115</v>
      </c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2"/>
    </row>
    <row r="51" spans="1:96" s="53" customFormat="1" ht="15" customHeight="1" thickBot="1" x14ac:dyDescent="0.2">
      <c r="A51" s="50"/>
      <c r="B51" s="279" t="s">
        <v>64</v>
      </c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1"/>
      <c r="P51" s="279" t="s">
        <v>65</v>
      </c>
      <c r="Q51" s="280"/>
      <c r="R51" s="280"/>
      <c r="S51" s="280"/>
      <c r="T51" s="281"/>
      <c r="U51" s="279" t="s">
        <v>66</v>
      </c>
      <c r="V51" s="280"/>
      <c r="W51" s="281"/>
      <c r="X51" s="279" t="s">
        <v>81</v>
      </c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  <c r="AI51" s="282"/>
      <c r="AJ51" s="282"/>
      <c r="AK51" s="282"/>
      <c r="AL51" s="282"/>
      <c r="AM51" s="282"/>
      <c r="AN51" s="282"/>
      <c r="AO51" s="282"/>
      <c r="AP51" s="282"/>
      <c r="AQ51" s="282"/>
      <c r="AR51" s="282"/>
      <c r="AS51" s="282"/>
      <c r="AT51" s="282"/>
      <c r="AU51" s="282"/>
      <c r="AV51" s="283"/>
      <c r="AW51" s="51"/>
      <c r="AX51" s="51"/>
      <c r="AZ51" s="53" t="s">
        <v>116</v>
      </c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S51" s="53" t="s">
        <v>152</v>
      </c>
      <c r="CA51" s="51"/>
      <c r="CB51" s="51"/>
      <c r="CC51" s="51"/>
      <c r="CD51" s="51"/>
      <c r="CE51" s="51"/>
      <c r="CF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2"/>
    </row>
    <row r="52" spans="1:96" s="53" customFormat="1" ht="15" customHeight="1" thickBot="1" x14ac:dyDescent="0.25">
      <c r="A52" s="50"/>
      <c r="B52" s="226" t="s">
        <v>114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19" t="s">
        <v>145</v>
      </c>
      <c r="Q52" s="219"/>
      <c r="R52" s="219"/>
      <c r="S52" s="219"/>
      <c r="T52" s="219"/>
      <c r="U52" s="227" t="s">
        <v>87</v>
      </c>
      <c r="V52" s="228"/>
      <c r="W52" s="229"/>
      <c r="X52" s="226" t="s">
        <v>56</v>
      </c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  <c r="AI52" s="226"/>
      <c r="AJ52" s="226"/>
      <c r="AK52" s="226"/>
      <c r="AL52" s="226"/>
      <c r="AM52" s="226"/>
      <c r="AN52" s="226"/>
      <c r="AO52" s="226"/>
      <c r="AP52" s="226"/>
      <c r="AQ52" s="226"/>
      <c r="AR52" s="226"/>
      <c r="AS52" s="226"/>
      <c r="AT52" s="226"/>
      <c r="AU52" s="226"/>
      <c r="AV52" s="226"/>
      <c r="AW52" s="51"/>
      <c r="AX52" s="51"/>
      <c r="BA52" s="220" t="s">
        <v>96</v>
      </c>
      <c r="BB52" s="221"/>
      <c r="BC52" s="221"/>
      <c r="BD52" s="221"/>
      <c r="BE52" s="221"/>
      <c r="BF52" s="221"/>
      <c r="BG52" s="222"/>
      <c r="BH52" s="287"/>
      <c r="BI52" s="288"/>
      <c r="BJ52" s="288"/>
      <c r="BK52" s="288"/>
      <c r="BL52" s="288"/>
      <c r="BM52" s="288"/>
      <c r="BN52" s="288"/>
      <c r="BO52" s="289"/>
      <c r="BP52" s="70" t="s">
        <v>89</v>
      </c>
      <c r="BQ52" s="71"/>
      <c r="BT52" s="220" t="s">
        <v>141</v>
      </c>
      <c r="BU52" s="221"/>
      <c r="BV52" s="221"/>
      <c r="BW52" s="221"/>
      <c r="BX52" s="221"/>
      <c r="BY52" s="221"/>
      <c r="BZ52" s="222"/>
      <c r="CA52" s="78"/>
      <c r="CB52" s="79"/>
      <c r="CC52" s="79"/>
      <c r="CD52" s="79"/>
      <c r="CE52" s="70" t="s">
        <v>89</v>
      </c>
      <c r="CF52" s="71"/>
      <c r="CH52" s="51"/>
      <c r="CI52" s="51"/>
      <c r="CJ52" s="51"/>
      <c r="CK52" s="51"/>
      <c r="CL52" s="51"/>
      <c r="CQ52" s="51"/>
      <c r="CR52" s="52"/>
    </row>
    <row r="53" spans="1:96" s="53" customFormat="1" ht="15" customHeight="1" x14ac:dyDescent="0.2">
      <c r="A53" s="50"/>
      <c r="B53" s="226" t="s">
        <v>146</v>
      </c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19" t="s">
        <v>83</v>
      </c>
      <c r="Q53" s="219"/>
      <c r="R53" s="219"/>
      <c r="S53" s="219"/>
      <c r="T53" s="219"/>
      <c r="U53" s="227" t="s">
        <v>87</v>
      </c>
      <c r="V53" s="228"/>
      <c r="W53" s="229"/>
      <c r="X53" s="226" t="s">
        <v>147</v>
      </c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51"/>
      <c r="AX53" s="51"/>
      <c r="BF53" s="51"/>
      <c r="BG53" s="51"/>
      <c r="BH53" s="72" t="s">
        <v>117</v>
      </c>
      <c r="BI53" s="73"/>
      <c r="BJ53" s="73"/>
      <c r="BK53" s="73"/>
      <c r="BL53" s="73"/>
      <c r="BM53" s="73"/>
      <c r="BN53" s="73"/>
      <c r="BO53" s="74"/>
      <c r="BY53" s="51"/>
      <c r="BZ53" s="51"/>
      <c r="CA53" s="72" t="s">
        <v>153</v>
      </c>
      <c r="CB53" s="73"/>
      <c r="CC53" s="73"/>
      <c r="CD53" s="74"/>
      <c r="CH53" s="51"/>
      <c r="CI53" s="51"/>
      <c r="CJ53" s="51"/>
      <c r="CK53" s="51"/>
      <c r="CL53" s="51"/>
      <c r="CQ53" s="51"/>
      <c r="CR53" s="52"/>
    </row>
    <row r="54" spans="1:96" s="53" customFormat="1" ht="15" customHeight="1" x14ac:dyDescent="0.2">
      <c r="A54" s="50"/>
      <c r="B54" s="226" t="s">
        <v>82</v>
      </c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19" t="s">
        <v>83</v>
      </c>
      <c r="Q54" s="219"/>
      <c r="R54" s="219"/>
      <c r="S54" s="219"/>
      <c r="T54" s="219"/>
      <c r="U54" s="227">
        <v>11</v>
      </c>
      <c r="V54" s="228"/>
      <c r="W54" s="229"/>
      <c r="X54" s="226" t="s">
        <v>84</v>
      </c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26"/>
      <c r="AN54" s="226"/>
      <c r="AO54" s="226"/>
      <c r="AP54" s="226"/>
      <c r="AQ54" s="226"/>
      <c r="AR54" s="226"/>
      <c r="AS54" s="226"/>
      <c r="AT54" s="226"/>
      <c r="AU54" s="226"/>
      <c r="AV54" s="226"/>
      <c r="AW54" s="51"/>
      <c r="AX54" s="51"/>
      <c r="BF54" s="51"/>
      <c r="BG54" s="51"/>
      <c r="BH54" s="75" t="s">
        <v>118</v>
      </c>
      <c r="BI54" s="76"/>
      <c r="BJ54" s="76"/>
      <c r="BK54" s="76"/>
      <c r="BL54" s="76"/>
      <c r="BM54" s="76"/>
      <c r="BN54" s="76"/>
      <c r="BO54" s="77"/>
      <c r="BY54" s="51"/>
      <c r="BZ54" s="51"/>
      <c r="CA54" s="75" t="s">
        <v>154</v>
      </c>
      <c r="CB54" s="76"/>
      <c r="CC54" s="76"/>
      <c r="CD54" s="77"/>
      <c r="CH54" s="51"/>
      <c r="CI54" s="51"/>
      <c r="CJ54" s="51"/>
      <c r="CK54" s="51"/>
      <c r="CL54" s="51"/>
      <c r="CQ54" s="51"/>
      <c r="CR54" s="52"/>
    </row>
    <row r="55" spans="1:96" s="53" customFormat="1" ht="15" customHeight="1" x14ac:dyDescent="0.2">
      <c r="A55" s="50"/>
      <c r="B55" s="226" t="s">
        <v>85</v>
      </c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19" t="s">
        <v>83</v>
      </c>
      <c r="Q55" s="219"/>
      <c r="R55" s="219"/>
      <c r="S55" s="219"/>
      <c r="T55" s="219"/>
      <c r="U55" s="227">
        <v>100</v>
      </c>
      <c r="V55" s="228"/>
      <c r="W55" s="229"/>
      <c r="X55" s="226" t="s">
        <v>113</v>
      </c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/>
      <c r="AK55" s="226"/>
      <c r="AL55" s="226"/>
      <c r="AM55" s="226"/>
      <c r="AN55" s="226"/>
      <c r="AO55" s="226"/>
      <c r="AP55" s="226"/>
      <c r="AQ55" s="226"/>
      <c r="AR55" s="226"/>
      <c r="AS55" s="226"/>
      <c r="AT55" s="226"/>
      <c r="AU55" s="226"/>
      <c r="AV55" s="226"/>
      <c r="AW55" s="51"/>
      <c r="AX55" s="51"/>
      <c r="BF55" s="51"/>
      <c r="BG55" s="51"/>
      <c r="BH55" s="75" t="s">
        <v>119</v>
      </c>
      <c r="BI55" s="76"/>
      <c r="BJ55" s="76"/>
      <c r="BK55" s="76"/>
      <c r="BL55" s="76"/>
      <c r="BM55" s="76"/>
      <c r="BN55" s="76"/>
      <c r="BO55" s="77"/>
      <c r="CH55" s="51"/>
      <c r="CI55" s="51"/>
      <c r="CJ55" s="51"/>
      <c r="CK55" s="51"/>
      <c r="CL55" s="51"/>
      <c r="CQ55" s="51"/>
      <c r="CR55" s="52"/>
    </row>
    <row r="56" spans="1:96" s="53" customFormat="1" ht="15" customHeight="1" x14ac:dyDescent="0.2">
      <c r="A56" s="50"/>
      <c r="B56" s="230" t="s">
        <v>148</v>
      </c>
      <c r="C56" s="231"/>
      <c r="D56" s="231"/>
      <c r="E56" s="231"/>
      <c r="F56" s="232"/>
      <c r="G56" s="239" t="s">
        <v>86</v>
      </c>
      <c r="H56" s="240"/>
      <c r="I56" s="240"/>
      <c r="J56" s="240"/>
      <c r="K56" s="240"/>
      <c r="L56" s="240"/>
      <c r="M56" s="240"/>
      <c r="N56" s="240"/>
      <c r="O56" s="241"/>
      <c r="P56" s="219" t="s">
        <v>83</v>
      </c>
      <c r="Q56" s="219"/>
      <c r="R56" s="219"/>
      <c r="S56" s="219"/>
      <c r="T56" s="219"/>
      <c r="U56" s="227" t="s">
        <v>87</v>
      </c>
      <c r="V56" s="228"/>
      <c r="W56" s="229"/>
      <c r="X56" s="226" t="s">
        <v>56</v>
      </c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  <c r="AI56" s="226"/>
      <c r="AJ56" s="226"/>
      <c r="AK56" s="226"/>
      <c r="AL56" s="226"/>
      <c r="AM56" s="226"/>
      <c r="AN56" s="226"/>
      <c r="AO56" s="226"/>
      <c r="AP56" s="226"/>
      <c r="AQ56" s="226"/>
      <c r="AR56" s="226"/>
      <c r="AS56" s="226"/>
      <c r="AT56" s="226"/>
      <c r="AU56" s="226"/>
      <c r="AV56" s="226"/>
      <c r="AW56" s="51"/>
      <c r="AX56" s="51"/>
      <c r="BH56" s="75" t="s">
        <v>120</v>
      </c>
      <c r="BI56" s="76"/>
      <c r="BJ56" s="76"/>
      <c r="BK56" s="76"/>
      <c r="BL56" s="76"/>
      <c r="BM56" s="76"/>
      <c r="BN56" s="76"/>
      <c r="BO56" s="77"/>
      <c r="CH56" s="51"/>
      <c r="CI56" s="51"/>
      <c r="CJ56" s="51"/>
      <c r="CK56" s="51"/>
      <c r="CL56" s="51"/>
      <c r="CQ56" s="51"/>
      <c r="CR56" s="52"/>
    </row>
    <row r="57" spans="1:96" s="53" customFormat="1" ht="15" customHeight="1" x14ac:dyDescent="0.2">
      <c r="A57" s="50"/>
      <c r="B57" s="233"/>
      <c r="C57" s="234"/>
      <c r="D57" s="234"/>
      <c r="E57" s="234"/>
      <c r="F57" s="235"/>
      <c r="G57" s="239" t="s">
        <v>149</v>
      </c>
      <c r="H57" s="240"/>
      <c r="I57" s="240"/>
      <c r="J57" s="240"/>
      <c r="K57" s="240"/>
      <c r="L57" s="240"/>
      <c r="M57" s="240"/>
      <c r="N57" s="240"/>
      <c r="O57" s="241"/>
      <c r="P57" s="219" t="s">
        <v>83</v>
      </c>
      <c r="Q57" s="219"/>
      <c r="R57" s="219"/>
      <c r="S57" s="219"/>
      <c r="T57" s="219"/>
      <c r="U57" s="227" t="s">
        <v>87</v>
      </c>
      <c r="V57" s="228"/>
      <c r="W57" s="229"/>
      <c r="X57" s="226" t="s">
        <v>56</v>
      </c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26"/>
      <c r="AN57" s="226"/>
      <c r="AO57" s="226"/>
      <c r="AP57" s="226"/>
      <c r="AQ57" s="226"/>
      <c r="AR57" s="226"/>
      <c r="AS57" s="226"/>
      <c r="AT57" s="226"/>
      <c r="AU57" s="226"/>
      <c r="AV57" s="226"/>
      <c r="AW57" s="51"/>
      <c r="AX57" s="51"/>
      <c r="CH57" s="51"/>
      <c r="CI57" s="51"/>
      <c r="CJ57" s="51"/>
      <c r="CK57" s="51"/>
      <c r="CL57" s="51"/>
      <c r="CQ57" s="51"/>
      <c r="CR57" s="52"/>
    </row>
    <row r="58" spans="1:96" s="53" customFormat="1" ht="15" customHeight="1" x14ac:dyDescent="0.2">
      <c r="A58" s="50"/>
      <c r="B58" s="233"/>
      <c r="C58" s="234"/>
      <c r="D58" s="234"/>
      <c r="E58" s="234"/>
      <c r="F58" s="235"/>
      <c r="G58" s="239" t="s">
        <v>150</v>
      </c>
      <c r="H58" s="240"/>
      <c r="I58" s="240"/>
      <c r="J58" s="240"/>
      <c r="K58" s="240"/>
      <c r="L58" s="240"/>
      <c r="M58" s="240"/>
      <c r="N58" s="240"/>
      <c r="O58" s="241"/>
      <c r="P58" s="219" t="s">
        <v>83</v>
      </c>
      <c r="Q58" s="219"/>
      <c r="R58" s="219"/>
      <c r="S58" s="219"/>
      <c r="T58" s="219"/>
      <c r="U58" s="227" t="s">
        <v>87</v>
      </c>
      <c r="V58" s="228"/>
      <c r="W58" s="229"/>
      <c r="X58" s="226" t="s">
        <v>56</v>
      </c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26"/>
      <c r="AN58" s="226"/>
      <c r="AO58" s="226"/>
      <c r="AP58" s="226"/>
      <c r="AQ58" s="226"/>
      <c r="AR58" s="226"/>
      <c r="AS58" s="226"/>
      <c r="AT58" s="226"/>
      <c r="AU58" s="226"/>
      <c r="AV58" s="226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2"/>
    </row>
    <row r="59" spans="1:96" s="53" customFormat="1" ht="15" customHeight="1" thickBot="1" x14ac:dyDescent="0.25">
      <c r="A59" s="50"/>
      <c r="B59" s="236"/>
      <c r="C59" s="237"/>
      <c r="D59" s="237"/>
      <c r="E59" s="237"/>
      <c r="F59" s="238"/>
      <c r="G59" s="239" t="s">
        <v>151</v>
      </c>
      <c r="H59" s="240"/>
      <c r="I59" s="240"/>
      <c r="J59" s="240"/>
      <c r="K59" s="240"/>
      <c r="L59" s="240"/>
      <c r="M59" s="240"/>
      <c r="N59" s="240"/>
      <c r="O59" s="241"/>
      <c r="P59" s="219" t="s">
        <v>83</v>
      </c>
      <c r="Q59" s="219"/>
      <c r="R59" s="219"/>
      <c r="S59" s="219"/>
      <c r="T59" s="219"/>
      <c r="U59" s="227" t="s">
        <v>87</v>
      </c>
      <c r="V59" s="228"/>
      <c r="W59" s="229"/>
      <c r="X59" s="226" t="s">
        <v>56</v>
      </c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26"/>
      <c r="AN59" s="226"/>
      <c r="AO59" s="226"/>
      <c r="AP59" s="226"/>
      <c r="AQ59" s="226"/>
      <c r="AR59" s="226"/>
      <c r="AS59" s="226"/>
      <c r="AT59" s="226"/>
      <c r="AU59" s="226"/>
      <c r="AV59" s="226"/>
      <c r="AW59" s="51"/>
      <c r="AX59" s="51"/>
      <c r="AY59" s="51"/>
      <c r="AZ59" s="51" t="s">
        <v>162</v>
      </c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2"/>
    </row>
    <row r="60" spans="1:96" s="53" customFormat="1" ht="15" customHeight="1" thickBot="1" x14ac:dyDescent="0.25">
      <c r="A60" s="50"/>
      <c r="B60" s="226" t="s">
        <v>106</v>
      </c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19" t="s">
        <v>83</v>
      </c>
      <c r="Q60" s="219"/>
      <c r="R60" s="219"/>
      <c r="S60" s="219"/>
      <c r="T60" s="219"/>
      <c r="U60" s="227">
        <v>6</v>
      </c>
      <c r="V60" s="228"/>
      <c r="W60" s="229"/>
      <c r="X60" s="226" t="s">
        <v>88</v>
      </c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  <c r="AJ60" s="226"/>
      <c r="AK60" s="226"/>
      <c r="AL60" s="226"/>
      <c r="AM60" s="226"/>
      <c r="AN60" s="226"/>
      <c r="AO60" s="226"/>
      <c r="AP60" s="226"/>
      <c r="AQ60" s="226"/>
      <c r="AR60" s="226"/>
      <c r="AS60" s="226"/>
      <c r="AT60" s="226"/>
      <c r="AU60" s="226"/>
      <c r="AV60" s="226"/>
      <c r="AW60" s="51"/>
      <c r="AX60" s="51"/>
      <c r="AY60" s="51"/>
      <c r="AZ60" s="51"/>
      <c r="BA60" s="220" t="s">
        <v>155</v>
      </c>
      <c r="BB60" s="221"/>
      <c r="BC60" s="221"/>
      <c r="BD60" s="221"/>
      <c r="BE60" s="221"/>
      <c r="BF60" s="221"/>
      <c r="BG60" s="222"/>
      <c r="BH60" s="223"/>
      <c r="BI60" s="224"/>
      <c r="BJ60" s="224"/>
      <c r="BK60" s="224"/>
      <c r="BL60" s="224"/>
      <c r="BM60" s="224"/>
      <c r="BN60" s="225"/>
      <c r="BO60" s="70" t="s">
        <v>89</v>
      </c>
      <c r="BP60" s="7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2"/>
    </row>
    <row r="61" spans="1:96" s="53" customFormat="1" ht="15" customHeight="1" x14ac:dyDescent="0.2">
      <c r="A61" s="50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 t="s">
        <v>90</v>
      </c>
      <c r="BB61" s="51" t="s">
        <v>156</v>
      </c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2"/>
    </row>
    <row r="62" spans="1:96" s="53" customFormat="1" ht="15" customHeight="1" thickBot="1" x14ac:dyDescent="0.25">
      <c r="A62" s="50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3" t="s">
        <v>90</v>
      </c>
      <c r="BB62" s="22" t="s">
        <v>157</v>
      </c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2"/>
    </row>
    <row r="63" spans="1:96" s="53" customFormat="1" ht="15" customHeight="1" thickBot="1" x14ac:dyDescent="0.25">
      <c r="A63" s="50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Z63" s="51"/>
      <c r="BA63" s="220" t="s">
        <v>155</v>
      </c>
      <c r="BB63" s="221"/>
      <c r="BC63" s="221"/>
      <c r="BD63" s="221"/>
      <c r="BE63" s="221"/>
      <c r="BF63" s="221"/>
      <c r="BG63" s="222"/>
      <c r="BH63" s="223" t="s">
        <v>158</v>
      </c>
      <c r="BI63" s="224"/>
      <c r="BJ63" s="224"/>
      <c r="BK63" s="224"/>
      <c r="BL63" s="224"/>
      <c r="BM63" s="224"/>
      <c r="BN63" s="225"/>
      <c r="BO63" s="70" t="s">
        <v>89</v>
      </c>
      <c r="BP63" s="71"/>
      <c r="BQ63" s="223"/>
      <c r="BR63" s="224"/>
      <c r="BS63" s="224"/>
      <c r="BT63" s="224"/>
      <c r="BU63" s="224"/>
      <c r="BV63" s="224"/>
      <c r="BW63" s="225"/>
      <c r="BX63" s="70" t="s">
        <v>89</v>
      </c>
      <c r="BY63" s="7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2"/>
    </row>
    <row r="64" spans="1:96" s="53" customFormat="1" ht="15" customHeight="1" x14ac:dyDescent="0.2">
      <c r="A64" s="50"/>
      <c r="B64" s="51" t="s">
        <v>91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Z64" s="51"/>
      <c r="BA64" s="51" t="s">
        <v>90</v>
      </c>
      <c r="BB64" s="51" t="s">
        <v>159</v>
      </c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2"/>
    </row>
    <row r="65" spans="1:96" s="53" customFormat="1" ht="15" customHeight="1" thickBot="1" x14ac:dyDescent="0.25">
      <c r="A65" s="50"/>
      <c r="B65" s="64" t="s">
        <v>64</v>
      </c>
      <c r="C65" s="65"/>
      <c r="D65" s="65"/>
      <c r="E65" s="65"/>
      <c r="F65" s="65"/>
      <c r="G65" s="65"/>
      <c r="H65" s="65"/>
      <c r="I65" s="65"/>
      <c r="J65" s="65"/>
      <c r="K65" s="290" t="s">
        <v>92</v>
      </c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Y65" s="290"/>
      <c r="Z65" s="290"/>
      <c r="AA65" s="290"/>
      <c r="AB65" s="290"/>
      <c r="AC65" s="290"/>
      <c r="AD65" s="290"/>
      <c r="AE65" s="290"/>
      <c r="AF65" s="290"/>
      <c r="AG65" s="290"/>
      <c r="AH65" s="290"/>
      <c r="AI65" s="290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Z65" s="51"/>
      <c r="BA65" s="53" t="s">
        <v>90</v>
      </c>
      <c r="BB65" s="22" t="s">
        <v>160</v>
      </c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2"/>
    </row>
    <row r="66" spans="1:96" s="53" customFormat="1" ht="15" customHeight="1" thickBot="1" x14ac:dyDescent="0.25">
      <c r="A66" s="50"/>
      <c r="B66" s="291" t="s">
        <v>93</v>
      </c>
      <c r="C66" s="292"/>
      <c r="D66" s="292"/>
      <c r="E66" s="292"/>
      <c r="F66" s="292"/>
      <c r="G66" s="292"/>
      <c r="H66" s="292"/>
      <c r="I66" s="292"/>
      <c r="J66" s="293"/>
      <c r="K66" s="294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  <c r="Z66" s="295"/>
      <c r="AA66" s="295"/>
      <c r="AB66" s="295"/>
      <c r="AC66" s="295"/>
      <c r="AD66" s="295"/>
      <c r="AE66" s="295"/>
      <c r="AF66" s="295"/>
      <c r="AG66" s="295"/>
      <c r="AH66" s="295"/>
      <c r="AI66" s="296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Z66" s="51"/>
      <c r="BA66" s="220" t="s">
        <v>155</v>
      </c>
      <c r="BB66" s="221"/>
      <c r="BC66" s="221"/>
      <c r="BD66" s="221"/>
      <c r="BE66" s="221"/>
      <c r="BF66" s="221"/>
      <c r="BG66" s="222"/>
      <c r="BH66" s="223" t="s">
        <v>158</v>
      </c>
      <c r="BI66" s="224"/>
      <c r="BJ66" s="224"/>
      <c r="BK66" s="224"/>
      <c r="BL66" s="224"/>
      <c r="BM66" s="224"/>
      <c r="BN66" s="225"/>
      <c r="BO66" s="70" t="s">
        <v>89</v>
      </c>
      <c r="BP66" s="71"/>
      <c r="BQ66" s="223" t="s">
        <v>161</v>
      </c>
      <c r="BR66" s="224"/>
      <c r="BS66" s="224"/>
      <c r="BT66" s="224"/>
      <c r="BU66" s="224"/>
      <c r="BV66" s="224"/>
      <c r="BW66" s="225"/>
      <c r="BX66" s="70" t="s">
        <v>89</v>
      </c>
      <c r="BY66" s="71"/>
      <c r="BZ66" s="223"/>
      <c r="CA66" s="224"/>
      <c r="CB66" s="224"/>
      <c r="CC66" s="224"/>
      <c r="CD66" s="224"/>
      <c r="CE66" s="224"/>
      <c r="CF66" s="225"/>
      <c r="CG66" s="70" t="s">
        <v>89</v>
      </c>
      <c r="CH66" s="71"/>
      <c r="CI66" s="51"/>
      <c r="CJ66" s="51"/>
      <c r="CK66" s="51"/>
      <c r="CL66" s="51"/>
      <c r="CM66" s="51"/>
      <c r="CN66" s="51"/>
      <c r="CO66" s="51"/>
      <c r="CP66" s="51"/>
      <c r="CQ66" s="51"/>
      <c r="CR66" s="52"/>
    </row>
    <row r="67" spans="1:96" s="53" customFormat="1" ht="15" customHeight="1" x14ac:dyDescent="0.2">
      <c r="A67" s="50"/>
      <c r="B67" s="291" t="s">
        <v>94</v>
      </c>
      <c r="C67" s="292"/>
      <c r="D67" s="292"/>
      <c r="E67" s="292"/>
      <c r="F67" s="292"/>
      <c r="G67" s="292"/>
      <c r="H67" s="292"/>
      <c r="I67" s="292"/>
      <c r="J67" s="293"/>
      <c r="K67" s="294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  <c r="Y67" s="295"/>
      <c r="Z67" s="295"/>
      <c r="AA67" s="295"/>
      <c r="AB67" s="295"/>
      <c r="AC67" s="295"/>
      <c r="AD67" s="295"/>
      <c r="AE67" s="295"/>
      <c r="AF67" s="295"/>
      <c r="AG67" s="295"/>
      <c r="AH67" s="295"/>
      <c r="AI67" s="296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2"/>
    </row>
    <row r="68" spans="1:96" s="53" customFormat="1" ht="15" customHeight="1" x14ac:dyDescent="0.2">
      <c r="A68" s="50"/>
      <c r="B68" s="291" t="s">
        <v>95</v>
      </c>
      <c r="C68" s="292"/>
      <c r="D68" s="292"/>
      <c r="E68" s="292"/>
      <c r="F68" s="292"/>
      <c r="G68" s="292"/>
      <c r="H68" s="292"/>
      <c r="I68" s="292"/>
      <c r="J68" s="293"/>
      <c r="K68" s="294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  <c r="Z68" s="295"/>
      <c r="AA68" s="295"/>
      <c r="AB68" s="295"/>
      <c r="AC68" s="295"/>
      <c r="AD68" s="295"/>
      <c r="AE68" s="295"/>
      <c r="AF68" s="295"/>
      <c r="AG68" s="295"/>
      <c r="AH68" s="295"/>
      <c r="AI68" s="296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2"/>
    </row>
    <row r="69" spans="1:96" s="53" customFormat="1" ht="15" customHeight="1" x14ac:dyDescent="0.2">
      <c r="A69" s="50"/>
      <c r="B69" s="297" t="s">
        <v>96</v>
      </c>
      <c r="C69" s="298"/>
      <c r="D69" s="298"/>
      <c r="E69" s="298"/>
      <c r="F69" s="298"/>
      <c r="G69" s="298"/>
      <c r="H69" s="298"/>
      <c r="I69" s="298"/>
      <c r="J69" s="299"/>
      <c r="K69" s="284" t="s">
        <v>123</v>
      </c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85"/>
      <c r="AB69" s="285"/>
      <c r="AC69" s="285"/>
      <c r="AD69" s="285"/>
      <c r="AE69" s="285"/>
      <c r="AF69" s="285"/>
      <c r="AG69" s="285"/>
      <c r="AH69" s="285"/>
      <c r="AI69" s="286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2"/>
    </row>
    <row r="70" spans="1:96" s="53" customFormat="1" ht="15" customHeight="1" x14ac:dyDescent="0.2">
      <c r="A70" s="50"/>
      <c r="B70" s="291" t="s">
        <v>121</v>
      </c>
      <c r="C70" s="292"/>
      <c r="D70" s="292"/>
      <c r="E70" s="292"/>
      <c r="F70" s="292"/>
      <c r="G70" s="292"/>
      <c r="H70" s="292"/>
      <c r="I70" s="292"/>
      <c r="J70" s="293"/>
      <c r="K70" s="294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  <c r="AE70" s="295"/>
      <c r="AF70" s="295"/>
      <c r="AG70" s="295"/>
      <c r="AH70" s="295"/>
      <c r="AI70" s="296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2"/>
    </row>
    <row r="71" spans="1:96" s="53" customFormat="1" ht="15" customHeight="1" x14ac:dyDescent="0.2">
      <c r="A71" s="50"/>
      <c r="B71" s="239" t="s">
        <v>122</v>
      </c>
      <c r="C71" s="240"/>
      <c r="D71" s="240"/>
      <c r="E71" s="240"/>
      <c r="F71" s="240"/>
      <c r="G71" s="240"/>
      <c r="H71" s="240"/>
      <c r="I71" s="240"/>
      <c r="J71" s="241"/>
      <c r="K71" s="239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  <c r="AI71" s="24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2"/>
    </row>
    <row r="72" spans="1:96" s="53" customFormat="1" ht="15" customHeight="1" x14ac:dyDescent="0.2">
      <c r="A72" s="50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2"/>
    </row>
    <row r="73" spans="1:96" s="53" customFormat="1" ht="15" customHeight="1" x14ac:dyDescent="0.2">
      <c r="A73" s="50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2"/>
    </row>
    <row r="74" spans="1:96" s="53" customFormat="1" ht="15" customHeight="1" x14ac:dyDescent="0.2">
      <c r="A74" s="5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2"/>
    </row>
    <row r="75" spans="1:96" s="53" customFormat="1" ht="15" customHeight="1" x14ac:dyDescent="0.2">
      <c r="A75" s="50"/>
      <c r="B75" s="51" t="s">
        <v>97</v>
      </c>
      <c r="C75" s="51"/>
      <c r="D75" s="51"/>
      <c r="E75" s="51"/>
      <c r="F75" s="51"/>
      <c r="AJ75" s="22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2"/>
    </row>
    <row r="76" spans="1:96" s="53" customFormat="1" ht="15" customHeight="1" x14ac:dyDescent="0.2">
      <c r="A76" s="50"/>
      <c r="B76" s="51"/>
      <c r="C76" s="51" t="s">
        <v>98</v>
      </c>
      <c r="D76" s="51"/>
      <c r="E76" s="51"/>
      <c r="F76" s="51"/>
      <c r="AJ76" s="22"/>
      <c r="CL76" s="51"/>
      <c r="CM76" s="51"/>
      <c r="CN76" s="51"/>
      <c r="CO76" s="51"/>
      <c r="CP76" s="51"/>
      <c r="CQ76" s="51"/>
      <c r="CR76" s="52"/>
    </row>
    <row r="77" spans="1:96" s="53" customFormat="1" ht="15" customHeight="1" x14ac:dyDescent="0.2">
      <c r="A77" s="50"/>
      <c r="AJ77" s="51"/>
      <c r="CL77" s="51"/>
      <c r="CM77" s="51"/>
      <c r="CN77" s="51"/>
      <c r="CO77" s="51"/>
      <c r="CP77" s="51"/>
      <c r="CQ77" s="51"/>
      <c r="CR77" s="52"/>
    </row>
    <row r="78" spans="1:96" s="53" customFormat="1" ht="15" customHeight="1" x14ac:dyDescent="0.2">
      <c r="A78" s="50"/>
      <c r="B78" s="51"/>
      <c r="CL78" s="51"/>
      <c r="CM78" s="51"/>
      <c r="CN78" s="51"/>
      <c r="CQ78" s="51"/>
      <c r="CR78" s="52"/>
    </row>
    <row r="79" spans="1:96" s="53" customFormat="1" ht="15" customHeight="1" x14ac:dyDescent="0.2">
      <c r="A79" s="50"/>
      <c r="CQ79" s="51"/>
      <c r="CR79" s="52"/>
    </row>
    <row r="80" spans="1:96" s="53" customFormat="1" ht="15" customHeight="1" x14ac:dyDescent="0.2">
      <c r="A80" s="50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I80" s="51"/>
      <c r="CO80" s="51"/>
      <c r="CP80" s="51"/>
      <c r="CQ80" s="51"/>
      <c r="CR80" s="52"/>
    </row>
    <row r="81" spans="1:96" s="53" customFormat="1" ht="15" customHeight="1" x14ac:dyDescent="0.2">
      <c r="A81" s="50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Q81" s="51"/>
      <c r="CR81" s="52"/>
    </row>
    <row r="82" spans="1:96" s="53" customFormat="1" ht="15" customHeight="1" x14ac:dyDescent="0.2">
      <c r="A82" s="50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Q82" s="51"/>
      <c r="CR82" s="52"/>
    </row>
    <row r="83" spans="1:96" s="53" customFormat="1" ht="15" customHeight="1" x14ac:dyDescent="0.2">
      <c r="A83" s="50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Q83" s="51"/>
      <c r="CR83" s="52"/>
    </row>
    <row r="84" spans="1:96" s="53" customFormat="1" ht="15" customHeight="1" x14ac:dyDescent="0.2">
      <c r="A84" s="50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Q84" s="51"/>
      <c r="CR84" s="52"/>
    </row>
    <row r="85" spans="1:96" s="53" customFormat="1" ht="15" customHeight="1" x14ac:dyDescent="0.2">
      <c r="A85" s="50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P85" s="51"/>
      <c r="CQ85" s="51"/>
      <c r="CR85" s="52"/>
    </row>
    <row r="86" spans="1:96" s="53" customFormat="1" ht="15" customHeight="1" x14ac:dyDescent="0.2">
      <c r="A86" s="50"/>
      <c r="BG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2"/>
    </row>
    <row r="87" spans="1:96" s="53" customFormat="1" ht="15" customHeight="1" x14ac:dyDescent="0.2">
      <c r="A87" s="50"/>
      <c r="AZ87" s="51"/>
      <c r="BA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2"/>
    </row>
    <row r="88" spans="1:96" s="53" customFormat="1" ht="15" customHeight="1" x14ac:dyDescent="0.2">
      <c r="A88" s="50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2"/>
    </row>
    <row r="89" spans="1:96" s="53" customFormat="1" ht="15" customHeight="1" x14ac:dyDescent="0.2">
      <c r="A89" s="50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2"/>
    </row>
    <row r="90" spans="1:96" s="53" customFormat="1" ht="15" customHeight="1" thickBot="1" x14ac:dyDescent="0.25">
      <c r="A90" s="54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6"/>
    </row>
  </sheetData>
  <mergeCells count="138">
    <mergeCell ref="BQ66:BW66"/>
    <mergeCell ref="BZ66:CF66"/>
    <mergeCell ref="B68:J68"/>
    <mergeCell ref="K68:AI68"/>
    <mergeCell ref="B70:J70"/>
    <mergeCell ref="K70:AI70"/>
    <mergeCell ref="B69:J69"/>
    <mergeCell ref="B71:J71"/>
    <mergeCell ref="K71:AI71"/>
    <mergeCell ref="G59:O59"/>
    <mergeCell ref="P59:T59"/>
    <mergeCell ref="U59:W59"/>
    <mergeCell ref="X59:AV59"/>
    <mergeCell ref="K69:AI69"/>
    <mergeCell ref="BH52:BO52"/>
    <mergeCell ref="B60:O60"/>
    <mergeCell ref="P60:T60"/>
    <mergeCell ref="U60:W60"/>
    <mergeCell ref="X60:AV60"/>
    <mergeCell ref="K65:AI65"/>
    <mergeCell ref="B66:J66"/>
    <mergeCell ref="K66:AI66"/>
    <mergeCell ref="B67:J67"/>
    <mergeCell ref="K67:AI67"/>
    <mergeCell ref="BA66:BG66"/>
    <mergeCell ref="BH66:BN66"/>
    <mergeCell ref="B51:O51"/>
    <mergeCell ref="P51:T51"/>
    <mergeCell ref="U51:W51"/>
    <mergeCell ref="X51:AV51"/>
    <mergeCell ref="B54:O54"/>
    <mergeCell ref="P54:T54"/>
    <mergeCell ref="U54:W54"/>
    <mergeCell ref="X54:AV54"/>
    <mergeCell ref="B53:O53"/>
    <mergeCell ref="P53:T53"/>
    <mergeCell ref="U53:W53"/>
    <mergeCell ref="X53:AV53"/>
    <mergeCell ref="B52:O52"/>
    <mergeCell ref="P52:T52"/>
    <mergeCell ref="U52:W52"/>
    <mergeCell ref="X52:AV52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  <mergeCell ref="BT4:CR4"/>
    <mergeCell ref="A5:BH5"/>
    <mergeCell ref="BI5:CR5"/>
    <mergeCell ref="BI12:CR12"/>
    <mergeCell ref="A4:H4"/>
    <mergeCell ref="I4:AK4"/>
    <mergeCell ref="AL4:AR4"/>
    <mergeCell ref="AS4:BH4"/>
    <mergeCell ref="BI4:BS4"/>
    <mergeCell ref="A38:BH38"/>
    <mergeCell ref="BI38:CR38"/>
    <mergeCell ref="A39:J39"/>
    <mergeCell ref="K39:AV39"/>
    <mergeCell ref="AW39:BH39"/>
    <mergeCell ref="A40:J40"/>
    <mergeCell ref="K40:AV40"/>
    <mergeCell ref="AW40:BH40"/>
    <mergeCell ref="A41:J41"/>
    <mergeCell ref="K41:AV41"/>
    <mergeCell ref="AW41:BH41"/>
    <mergeCell ref="BI43:CR43"/>
    <mergeCell ref="A45:J45"/>
    <mergeCell ref="K45:AV45"/>
    <mergeCell ref="AW45:BH45"/>
    <mergeCell ref="A48:CR48"/>
    <mergeCell ref="A47:J47"/>
    <mergeCell ref="K47:AV47"/>
    <mergeCell ref="AW47:BH47"/>
    <mergeCell ref="A42:J42"/>
    <mergeCell ref="K42:AV42"/>
    <mergeCell ref="AW42:BH42"/>
    <mergeCell ref="A46:J46"/>
    <mergeCell ref="K46:AV46"/>
    <mergeCell ref="AW46:BH46"/>
    <mergeCell ref="A43:J43"/>
    <mergeCell ref="K43:AV43"/>
    <mergeCell ref="AW43:BH43"/>
    <mergeCell ref="A44:J44"/>
    <mergeCell ref="K44:AV44"/>
    <mergeCell ref="AW44:BH44"/>
    <mergeCell ref="BV24:BY24"/>
    <mergeCell ref="BZ24:CC24"/>
    <mergeCell ref="CD24:CG24"/>
    <mergeCell ref="CD22:CG22"/>
    <mergeCell ref="BZ22:CC22"/>
    <mergeCell ref="BV22:BY22"/>
    <mergeCell ref="BV21:CG21"/>
    <mergeCell ref="BK21:BU22"/>
    <mergeCell ref="CD23:CG23"/>
    <mergeCell ref="BZ23:CC23"/>
    <mergeCell ref="BV23:BY23"/>
    <mergeCell ref="BT52:BZ52"/>
    <mergeCell ref="BA60:BG60"/>
    <mergeCell ref="BH60:BN60"/>
    <mergeCell ref="BA63:BG63"/>
    <mergeCell ref="BH63:BN63"/>
    <mergeCell ref="BQ63:BW63"/>
    <mergeCell ref="B55:O55"/>
    <mergeCell ref="P55:T55"/>
    <mergeCell ref="U55:W55"/>
    <mergeCell ref="X55:AV55"/>
    <mergeCell ref="P56:T56"/>
    <mergeCell ref="U56:W56"/>
    <mergeCell ref="X56:AV56"/>
    <mergeCell ref="B56:F59"/>
    <mergeCell ref="G56:O56"/>
    <mergeCell ref="G57:O57"/>
    <mergeCell ref="P57:T57"/>
    <mergeCell ref="U57:W57"/>
    <mergeCell ref="X57:AV57"/>
    <mergeCell ref="G58:O58"/>
    <mergeCell ref="P58:T58"/>
    <mergeCell ref="U58:W58"/>
    <mergeCell ref="X58:AV58"/>
    <mergeCell ref="BA52:BG52"/>
  </mergeCells>
  <phoneticPr fontId="2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E3B0-4266-497E-8885-6B67549BF42E}">
  <sheetPr codeName="Sheet2"/>
  <dimension ref="A1:DS90"/>
  <sheetViews>
    <sheetView view="pageBreakPreview" zoomScale="85" zoomScaleNormal="85" zoomScaleSheetLayoutView="85" workbookViewId="0">
      <pane ySplit="3" topLeftCell="A4" activePane="bottomLeft" state="frozen"/>
      <selection activeCell="W7" sqref="W7:Z7"/>
      <selection pane="bottomLeft" activeCell="A4" sqref="A4:H4"/>
    </sheetView>
  </sheetViews>
  <sheetFormatPr defaultColWidth="1.88671875" defaultRowHeight="15" customHeight="1" x14ac:dyDescent="0.15"/>
  <cols>
    <col min="1" max="16384" width="1.88671875" style="17"/>
  </cols>
  <sheetData>
    <row r="1" spans="1:96" s="15" customFormat="1" ht="15" customHeight="1" x14ac:dyDescent="0.2">
      <c r="A1" s="176" t="s">
        <v>1</v>
      </c>
      <c r="B1" s="177"/>
      <c r="C1" s="177"/>
      <c r="D1" s="177"/>
      <c r="E1" s="177"/>
      <c r="F1" s="177"/>
      <c r="G1" s="177"/>
      <c r="H1" s="178"/>
      <c r="I1" s="179" t="str">
        <f>タイトル!I40</f>
        <v>　学生勤務管理システム</v>
      </c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1"/>
      <c r="AE1" s="182" t="s">
        <v>0</v>
      </c>
      <c r="AF1" s="183"/>
      <c r="AG1" s="183"/>
      <c r="AH1" s="183"/>
      <c r="AI1" s="183"/>
      <c r="AJ1" s="183"/>
      <c r="AK1" s="184"/>
      <c r="AL1" s="185" t="s">
        <v>48</v>
      </c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7"/>
      <c r="BI1" s="182" t="s">
        <v>12</v>
      </c>
      <c r="BJ1" s="183"/>
      <c r="BK1" s="183"/>
      <c r="BL1" s="184"/>
      <c r="BM1" s="188" t="str">
        <f>タイトル!I46</f>
        <v>木田　優</v>
      </c>
      <c r="BN1" s="189"/>
      <c r="BO1" s="189"/>
      <c r="BP1" s="189"/>
      <c r="BQ1" s="189"/>
      <c r="BR1" s="189"/>
      <c r="BS1" s="189"/>
      <c r="BT1" s="189"/>
      <c r="BU1" s="189"/>
      <c r="BV1" s="190"/>
      <c r="BW1" s="134">
        <f>タイトル!I47</f>
        <v>45205</v>
      </c>
      <c r="BX1" s="135"/>
      <c r="BY1" s="135"/>
      <c r="BZ1" s="135"/>
      <c r="CA1" s="135"/>
      <c r="CB1" s="135"/>
      <c r="CC1" s="135"/>
      <c r="CD1" s="135"/>
      <c r="CE1" s="136"/>
      <c r="CF1" s="137" t="s">
        <v>13</v>
      </c>
      <c r="CG1" s="138"/>
      <c r="CH1" s="138"/>
      <c r="CI1" s="138"/>
      <c r="CJ1" s="139"/>
      <c r="CK1" s="146" t="str">
        <f>タイトル!I50</f>
        <v>DUC010</v>
      </c>
      <c r="CL1" s="147"/>
      <c r="CM1" s="147"/>
      <c r="CN1" s="147"/>
      <c r="CO1" s="147"/>
      <c r="CP1" s="147"/>
      <c r="CQ1" s="147"/>
      <c r="CR1" s="148"/>
    </row>
    <row r="2" spans="1:96" s="15" customFormat="1" ht="15" customHeight="1" x14ac:dyDescent="0.2">
      <c r="A2" s="155" t="s">
        <v>14</v>
      </c>
      <c r="B2" s="156"/>
      <c r="C2" s="156"/>
      <c r="D2" s="156"/>
      <c r="E2" s="156"/>
      <c r="F2" s="156"/>
      <c r="G2" s="156"/>
      <c r="H2" s="157"/>
      <c r="I2" s="158" t="s">
        <v>49</v>
      </c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60"/>
      <c r="AE2" s="161" t="s">
        <v>32</v>
      </c>
      <c r="AF2" s="162"/>
      <c r="AG2" s="162"/>
      <c r="AH2" s="162"/>
      <c r="AI2" s="162"/>
      <c r="AJ2" s="162"/>
      <c r="AK2" s="163"/>
      <c r="AL2" s="164" t="str">
        <f>タイトル!I44</f>
        <v>　CC-800_ポップアップ</v>
      </c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6"/>
      <c r="BI2" s="167" t="s">
        <v>15</v>
      </c>
      <c r="BJ2" s="168"/>
      <c r="BK2" s="168"/>
      <c r="BL2" s="169"/>
      <c r="BM2" s="170" t="s">
        <v>165</v>
      </c>
      <c r="BN2" s="171"/>
      <c r="BO2" s="171"/>
      <c r="BP2" s="171"/>
      <c r="BQ2" s="171"/>
      <c r="BR2" s="171"/>
      <c r="BS2" s="171"/>
      <c r="BT2" s="171"/>
      <c r="BU2" s="171"/>
      <c r="BV2" s="172"/>
      <c r="BW2" s="173">
        <v>45222</v>
      </c>
      <c r="BX2" s="174"/>
      <c r="BY2" s="174"/>
      <c r="BZ2" s="174"/>
      <c r="CA2" s="174"/>
      <c r="CB2" s="174"/>
      <c r="CC2" s="174"/>
      <c r="CD2" s="174"/>
      <c r="CE2" s="175"/>
      <c r="CF2" s="140"/>
      <c r="CG2" s="141"/>
      <c r="CH2" s="141"/>
      <c r="CI2" s="141"/>
      <c r="CJ2" s="142"/>
      <c r="CK2" s="149"/>
      <c r="CL2" s="150"/>
      <c r="CM2" s="150"/>
      <c r="CN2" s="150"/>
      <c r="CO2" s="150"/>
      <c r="CP2" s="150"/>
      <c r="CQ2" s="150"/>
      <c r="CR2" s="151"/>
    </row>
    <row r="3" spans="1:96" s="15" customFormat="1" ht="15" customHeight="1" thickBot="1" x14ac:dyDescent="0.25">
      <c r="A3" s="191"/>
      <c r="B3" s="192"/>
      <c r="C3" s="192"/>
      <c r="D3" s="192"/>
      <c r="E3" s="192"/>
      <c r="F3" s="192"/>
      <c r="G3" s="192"/>
      <c r="H3" s="193"/>
      <c r="I3" s="194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6"/>
      <c r="AE3" s="143"/>
      <c r="AF3" s="144"/>
      <c r="AG3" s="144"/>
      <c r="AH3" s="144"/>
      <c r="AI3" s="144"/>
      <c r="AJ3" s="144"/>
      <c r="AK3" s="145"/>
      <c r="AL3" s="197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9"/>
      <c r="BI3" s="200"/>
      <c r="BJ3" s="201"/>
      <c r="BK3" s="201"/>
      <c r="BL3" s="202"/>
      <c r="BM3" s="203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5"/>
      <c r="CF3" s="143"/>
      <c r="CG3" s="144"/>
      <c r="CH3" s="144"/>
      <c r="CI3" s="144"/>
      <c r="CJ3" s="145"/>
      <c r="CK3" s="152"/>
      <c r="CL3" s="153"/>
      <c r="CM3" s="153"/>
      <c r="CN3" s="153"/>
      <c r="CO3" s="153"/>
      <c r="CP3" s="153"/>
      <c r="CQ3" s="153"/>
      <c r="CR3" s="154"/>
    </row>
    <row r="4" spans="1:96" s="16" customFormat="1" ht="15" customHeight="1" x14ac:dyDescent="0.2">
      <c r="A4" s="212" t="s">
        <v>50</v>
      </c>
      <c r="B4" s="213"/>
      <c r="C4" s="213"/>
      <c r="D4" s="213"/>
      <c r="E4" s="213"/>
      <c r="F4" s="213"/>
      <c r="G4" s="213"/>
      <c r="H4" s="213"/>
      <c r="I4" s="214" t="str">
        <f ca="1">"　" &amp; RIGHT(CELL("filename",A1),LEN(CELL("filename",A1))-FIND("]",CELL("filename",A1)))</f>
        <v>　科目選択</v>
      </c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3" t="s">
        <v>51</v>
      </c>
      <c r="AM4" s="213"/>
      <c r="AN4" s="213"/>
      <c r="AO4" s="213"/>
      <c r="AP4" s="213"/>
      <c r="AQ4" s="213"/>
      <c r="AR4" s="213"/>
      <c r="AS4" s="215" t="s">
        <v>128</v>
      </c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68" t="s">
        <v>35</v>
      </c>
      <c r="BJ4" s="269"/>
      <c r="BK4" s="269"/>
      <c r="BL4" s="269"/>
      <c r="BM4" s="269"/>
      <c r="BN4" s="269"/>
      <c r="BO4" s="269"/>
      <c r="BP4" s="269"/>
      <c r="BQ4" s="269"/>
      <c r="BR4" s="269"/>
      <c r="BS4" s="269"/>
      <c r="BT4" s="263" t="s">
        <v>73</v>
      </c>
      <c r="BU4" s="264"/>
      <c r="BV4" s="264"/>
      <c r="BW4" s="264"/>
      <c r="BX4" s="264"/>
      <c r="BY4" s="264"/>
      <c r="BZ4" s="264"/>
      <c r="CA4" s="264"/>
      <c r="CB4" s="264"/>
      <c r="CC4" s="264"/>
      <c r="CD4" s="264"/>
      <c r="CE4" s="264"/>
      <c r="CF4" s="264"/>
      <c r="CG4" s="264"/>
      <c r="CH4" s="264"/>
      <c r="CI4" s="264"/>
      <c r="CJ4" s="264"/>
      <c r="CK4" s="264"/>
      <c r="CL4" s="264"/>
      <c r="CM4" s="264"/>
      <c r="CN4" s="264"/>
      <c r="CO4" s="264"/>
      <c r="CP4" s="264"/>
      <c r="CQ4" s="264"/>
      <c r="CR4" s="265"/>
    </row>
    <row r="5" spans="1:96" s="12" customFormat="1" ht="15" customHeight="1" x14ac:dyDescent="0.15">
      <c r="A5" s="209" t="s">
        <v>52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66" t="s">
        <v>53</v>
      </c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/>
      <c r="CF5" s="266"/>
      <c r="CG5" s="266"/>
      <c r="CH5" s="266"/>
      <c r="CI5" s="266"/>
      <c r="CJ5" s="266"/>
      <c r="CK5" s="266"/>
      <c r="CL5" s="266"/>
      <c r="CM5" s="266"/>
      <c r="CN5" s="266"/>
      <c r="CO5" s="266"/>
      <c r="CP5" s="266"/>
      <c r="CQ5" s="266"/>
      <c r="CR5" s="267"/>
    </row>
    <row r="6" spans="1:96" s="13" customFormat="1" ht="15" customHeight="1" x14ac:dyDescent="0.15">
      <c r="A6" s="40"/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18"/>
      <c r="BI6" s="43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5"/>
    </row>
    <row r="7" spans="1:96" s="13" customFormat="1" ht="15" customHeight="1" x14ac:dyDescent="0.15">
      <c r="A7" s="40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46"/>
      <c r="BJ7" s="18" t="s">
        <v>54</v>
      </c>
      <c r="BK7" s="18" t="s">
        <v>102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40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46"/>
      <c r="BJ8" s="18"/>
      <c r="BK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40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46"/>
      <c r="BJ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3" customFormat="1" ht="15" customHeight="1" x14ac:dyDescent="0.15">
      <c r="A10" s="40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46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9"/>
    </row>
    <row r="11" spans="1:96" s="13" customFormat="1" ht="15" customHeight="1" x14ac:dyDescent="0.15">
      <c r="A11" s="4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46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9"/>
    </row>
    <row r="12" spans="1:96" s="13" customFormat="1" ht="15" customHeight="1" x14ac:dyDescent="0.15">
      <c r="A12" s="40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243" t="s">
        <v>55</v>
      </c>
      <c r="BJ12" s="210"/>
      <c r="BK12" s="210"/>
      <c r="BL12" s="210"/>
      <c r="BM12" s="210"/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0"/>
      <c r="CA12" s="210"/>
      <c r="CB12" s="210"/>
      <c r="CC12" s="210"/>
      <c r="CD12" s="210"/>
      <c r="CE12" s="210"/>
      <c r="CF12" s="210"/>
      <c r="CG12" s="210"/>
      <c r="CH12" s="210"/>
      <c r="CI12" s="210"/>
      <c r="CJ12" s="210"/>
      <c r="CK12" s="210"/>
      <c r="CL12" s="210"/>
      <c r="CM12" s="210"/>
      <c r="CN12" s="210"/>
      <c r="CO12" s="210"/>
      <c r="CP12" s="210"/>
      <c r="CQ12" s="210"/>
      <c r="CR12" s="211"/>
    </row>
    <row r="13" spans="1:96" s="13" customFormat="1" ht="15" customHeight="1" x14ac:dyDescent="0.15">
      <c r="A13" s="40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46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9"/>
    </row>
    <row r="14" spans="1:96" s="13" customFormat="1" ht="15" customHeight="1" x14ac:dyDescent="0.15">
      <c r="A14" s="40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46"/>
      <c r="BJ14" s="18" t="s">
        <v>54</v>
      </c>
      <c r="BK14" s="18" t="s">
        <v>76</v>
      </c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9"/>
    </row>
    <row r="15" spans="1:96" s="13" customFormat="1" ht="15" customHeight="1" x14ac:dyDescent="0.15">
      <c r="A15" s="4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46"/>
      <c r="BJ15" s="18"/>
      <c r="BK15" s="18" t="s">
        <v>77</v>
      </c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9"/>
    </row>
    <row r="16" spans="1:96" s="13" customFormat="1" ht="15" customHeight="1" x14ac:dyDescent="0.15">
      <c r="A16" s="4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46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9"/>
    </row>
    <row r="17" spans="1:123" s="13" customFormat="1" ht="15" customHeight="1" x14ac:dyDescent="0.15">
      <c r="A17" s="4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46"/>
      <c r="BJ17" s="18"/>
      <c r="BK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9"/>
    </row>
    <row r="18" spans="1:123" s="13" customFormat="1" ht="15" customHeight="1" x14ac:dyDescent="0.15">
      <c r="A18" s="4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46"/>
      <c r="BJ18" s="18"/>
      <c r="BK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9"/>
    </row>
    <row r="19" spans="1:123" s="13" customFormat="1" ht="15" customHeight="1" x14ac:dyDescent="0.15">
      <c r="A19" s="40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46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9"/>
    </row>
    <row r="20" spans="1:123" s="13" customFormat="1" ht="15" customHeight="1" x14ac:dyDescent="0.15">
      <c r="A20" s="40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46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9"/>
    </row>
    <row r="21" spans="1:123" s="13" customFormat="1" ht="15" customHeight="1" x14ac:dyDescent="0.15">
      <c r="A21" s="40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46"/>
      <c r="BJ21" s="18"/>
      <c r="BK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9"/>
    </row>
    <row r="22" spans="1:123" s="13" customFormat="1" ht="15" customHeight="1" x14ac:dyDescent="0.15">
      <c r="A22" s="4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46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9"/>
    </row>
    <row r="23" spans="1:123" s="13" customFormat="1" ht="15" customHeight="1" x14ac:dyDescent="0.15">
      <c r="A23" s="40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46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9"/>
    </row>
    <row r="24" spans="1:123" s="13" customFormat="1" ht="15" customHeight="1" x14ac:dyDescent="0.15">
      <c r="A24" s="40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46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9"/>
    </row>
    <row r="25" spans="1:123" s="13" customFormat="1" ht="15" customHeight="1" x14ac:dyDescent="0.15">
      <c r="A25" s="4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46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9"/>
    </row>
    <row r="26" spans="1:123" s="13" customFormat="1" ht="15" customHeight="1" x14ac:dyDescent="0.15">
      <c r="A26" s="4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46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9"/>
    </row>
    <row r="27" spans="1:123" s="13" customFormat="1" ht="15" customHeight="1" x14ac:dyDescent="0.15">
      <c r="A27" s="4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46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9"/>
      <c r="CV27" s="18"/>
    </row>
    <row r="28" spans="1:123" s="13" customFormat="1" ht="15" customHeight="1" x14ac:dyDescent="0.15">
      <c r="A28" s="4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46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9"/>
    </row>
    <row r="29" spans="1:123" s="13" customFormat="1" ht="15" customHeight="1" x14ac:dyDescent="0.15">
      <c r="A29" s="4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46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9"/>
    </row>
    <row r="30" spans="1:123" s="13" customFormat="1" ht="15" customHeight="1" x14ac:dyDescent="0.15">
      <c r="A30" s="4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46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9"/>
    </row>
    <row r="31" spans="1:123" s="13" customFormat="1" ht="15" customHeight="1" x14ac:dyDescent="0.15">
      <c r="A31" s="4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46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9"/>
    </row>
    <row r="32" spans="1:123" s="13" customFormat="1" ht="15" customHeight="1" x14ac:dyDescent="0.15">
      <c r="A32" s="4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46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9"/>
      <c r="DO32" s="18"/>
      <c r="DP32" s="18"/>
      <c r="DQ32" s="18"/>
      <c r="DR32" s="18"/>
      <c r="DS32" s="18"/>
    </row>
    <row r="33" spans="1:123" s="13" customFormat="1" ht="15" customHeight="1" x14ac:dyDescent="0.15">
      <c r="A33" s="4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46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9"/>
      <c r="DO33" s="18"/>
      <c r="DP33" s="18"/>
      <c r="DQ33" s="18"/>
      <c r="DR33" s="18"/>
      <c r="DS33" s="18"/>
    </row>
    <row r="34" spans="1:123" s="13" customFormat="1" ht="15" customHeight="1" x14ac:dyDescent="0.15">
      <c r="A34" s="4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46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9"/>
    </row>
    <row r="35" spans="1:123" s="13" customFormat="1" ht="15" customHeight="1" x14ac:dyDescent="0.15">
      <c r="A35" s="4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46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9"/>
    </row>
    <row r="36" spans="1:123" s="13" customFormat="1" ht="15" customHeight="1" x14ac:dyDescent="0.15">
      <c r="A36" s="4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46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9"/>
    </row>
    <row r="37" spans="1:123" s="13" customFormat="1" ht="15" customHeight="1" x14ac:dyDescent="0.15">
      <c r="A37" s="66"/>
      <c r="BG37" s="18"/>
      <c r="BH37" s="18"/>
      <c r="BI37" s="46"/>
      <c r="BJ37" s="18"/>
      <c r="CR37" s="57"/>
    </row>
    <row r="38" spans="1:123" s="13" customFormat="1" ht="15" customHeight="1" x14ac:dyDescent="0.15">
      <c r="A38" s="209" t="s">
        <v>56</v>
      </c>
      <c r="B38" s="210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0"/>
      <c r="AU38" s="210"/>
      <c r="AV38" s="210"/>
      <c r="AW38" s="210"/>
      <c r="AX38" s="210"/>
      <c r="AY38" s="210"/>
      <c r="AZ38" s="210"/>
      <c r="BA38" s="210"/>
      <c r="BB38" s="210"/>
      <c r="BC38" s="210"/>
      <c r="BD38" s="210"/>
      <c r="BE38" s="210"/>
      <c r="BF38" s="210"/>
      <c r="BG38" s="210"/>
      <c r="BH38" s="210"/>
      <c r="BI38" s="243" t="s">
        <v>57</v>
      </c>
      <c r="BJ38" s="210"/>
      <c r="BK38" s="210"/>
      <c r="BL38" s="210"/>
      <c r="BM38" s="210"/>
      <c r="BN38" s="210"/>
      <c r="BO38" s="210"/>
      <c r="BP38" s="210"/>
      <c r="BQ38" s="210"/>
      <c r="BR38" s="210"/>
      <c r="BS38" s="210"/>
      <c r="BT38" s="210"/>
      <c r="BU38" s="210"/>
      <c r="BV38" s="210"/>
      <c r="BW38" s="210"/>
      <c r="BX38" s="210"/>
      <c r="BY38" s="210"/>
      <c r="BZ38" s="210"/>
      <c r="CA38" s="210"/>
      <c r="CB38" s="210"/>
      <c r="CC38" s="210"/>
      <c r="CD38" s="210"/>
      <c r="CE38" s="210"/>
      <c r="CF38" s="210"/>
      <c r="CG38" s="210"/>
      <c r="CH38" s="210"/>
      <c r="CI38" s="210"/>
      <c r="CJ38" s="210"/>
      <c r="CK38" s="210"/>
      <c r="CL38" s="210"/>
      <c r="CM38" s="210"/>
      <c r="CN38" s="210"/>
      <c r="CO38" s="210"/>
      <c r="CP38" s="210"/>
      <c r="CQ38" s="210"/>
      <c r="CR38" s="211"/>
    </row>
    <row r="39" spans="1:123" s="13" customFormat="1" ht="15" customHeight="1" x14ac:dyDescent="0.15">
      <c r="A39" s="209" t="s">
        <v>58</v>
      </c>
      <c r="B39" s="210"/>
      <c r="C39" s="210"/>
      <c r="D39" s="210"/>
      <c r="E39" s="210"/>
      <c r="F39" s="210"/>
      <c r="G39" s="210"/>
      <c r="H39" s="210"/>
      <c r="I39" s="210"/>
      <c r="J39" s="258"/>
      <c r="K39" s="243" t="s">
        <v>59</v>
      </c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0"/>
      <c r="AE39" s="210"/>
      <c r="AF39" s="210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0"/>
      <c r="AU39" s="210"/>
      <c r="AV39" s="258"/>
      <c r="AW39" s="243" t="s">
        <v>60</v>
      </c>
      <c r="AX39" s="210"/>
      <c r="AY39" s="210"/>
      <c r="AZ39" s="210"/>
      <c r="BA39" s="210"/>
      <c r="BB39" s="210"/>
      <c r="BC39" s="210"/>
      <c r="BD39" s="210"/>
      <c r="BE39" s="210"/>
      <c r="BF39" s="210"/>
      <c r="BG39" s="210"/>
      <c r="BH39" s="258"/>
      <c r="BI39" s="46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9"/>
    </row>
    <row r="40" spans="1:123" s="13" customFormat="1" ht="15" customHeight="1" x14ac:dyDescent="0.15">
      <c r="A40" s="244" t="s">
        <v>163</v>
      </c>
      <c r="B40" s="245"/>
      <c r="C40" s="245"/>
      <c r="D40" s="245"/>
      <c r="E40" s="245"/>
      <c r="F40" s="245"/>
      <c r="G40" s="245"/>
      <c r="H40" s="245"/>
      <c r="I40" s="245"/>
      <c r="J40" s="246"/>
      <c r="K40" s="247" t="s">
        <v>164</v>
      </c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  <c r="AH40" s="245"/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/>
      <c r="AV40" s="246"/>
      <c r="AW40" s="247" t="s">
        <v>166</v>
      </c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6"/>
      <c r="BI40" s="46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9"/>
    </row>
    <row r="41" spans="1:123" s="13" customFormat="1" ht="15" customHeight="1" x14ac:dyDescent="0.15">
      <c r="A41" s="300" t="s">
        <v>167</v>
      </c>
      <c r="B41" s="249"/>
      <c r="C41" s="249"/>
      <c r="D41" s="249"/>
      <c r="E41" s="249"/>
      <c r="F41" s="249"/>
      <c r="G41" s="249"/>
      <c r="H41" s="249"/>
      <c r="I41" s="249"/>
      <c r="J41" s="250"/>
      <c r="K41" s="248" t="s">
        <v>168</v>
      </c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50"/>
      <c r="AW41" s="248" t="s">
        <v>169</v>
      </c>
      <c r="AX41" s="249"/>
      <c r="AY41" s="249"/>
      <c r="AZ41" s="249"/>
      <c r="BA41" s="249"/>
      <c r="BB41" s="249"/>
      <c r="BC41" s="249"/>
      <c r="BD41" s="249"/>
      <c r="BE41" s="249"/>
      <c r="BF41" s="249"/>
      <c r="BG41" s="249"/>
      <c r="BH41" s="250"/>
      <c r="BI41" s="46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9"/>
    </row>
    <row r="42" spans="1:123" s="13" customFormat="1" ht="15" customHeight="1" x14ac:dyDescent="0.15">
      <c r="A42" s="300" t="s">
        <v>170</v>
      </c>
      <c r="B42" s="249"/>
      <c r="C42" s="249"/>
      <c r="D42" s="249"/>
      <c r="E42" s="249"/>
      <c r="F42" s="249"/>
      <c r="G42" s="249"/>
      <c r="H42" s="249"/>
      <c r="I42" s="249"/>
      <c r="J42" s="250"/>
      <c r="K42" s="248" t="s">
        <v>173</v>
      </c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50"/>
      <c r="AW42" s="248" t="s">
        <v>169</v>
      </c>
      <c r="AX42" s="249"/>
      <c r="AY42" s="249"/>
      <c r="AZ42" s="249"/>
      <c r="BA42" s="249"/>
      <c r="BB42" s="249"/>
      <c r="BC42" s="249"/>
      <c r="BD42" s="249"/>
      <c r="BE42" s="249"/>
      <c r="BF42" s="249"/>
      <c r="BG42" s="249"/>
      <c r="BH42" s="250"/>
      <c r="BI42" s="46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9"/>
    </row>
    <row r="43" spans="1:123" s="13" customFormat="1" ht="15" customHeight="1" x14ac:dyDescent="0.15">
      <c r="A43" s="244" t="s">
        <v>171</v>
      </c>
      <c r="B43" s="245"/>
      <c r="C43" s="245"/>
      <c r="D43" s="245"/>
      <c r="E43" s="245"/>
      <c r="F43" s="245"/>
      <c r="G43" s="245"/>
      <c r="H43" s="245"/>
      <c r="I43" s="245"/>
      <c r="J43" s="246"/>
      <c r="K43" s="247" t="s">
        <v>172</v>
      </c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245"/>
      <c r="AP43" s="245"/>
      <c r="AQ43" s="245"/>
      <c r="AR43" s="245"/>
      <c r="AS43" s="245"/>
      <c r="AT43" s="245"/>
      <c r="AU43" s="245"/>
      <c r="AV43" s="246"/>
      <c r="AW43" s="248" t="s">
        <v>169</v>
      </c>
      <c r="AX43" s="249"/>
      <c r="AY43" s="249"/>
      <c r="AZ43" s="249"/>
      <c r="BA43" s="249"/>
      <c r="BB43" s="249"/>
      <c r="BC43" s="249"/>
      <c r="BD43" s="249"/>
      <c r="BE43" s="249"/>
      <c r="BF43" s="249"/>
      <c r="BG43" s="249"/>
      <c r="BH43" s="250"/>
      <c r="BI43" s="243" t="s">
        <v>61</v>
      </c>
      <c r="BJ43" s="210"/>
      <c r="BK43" s="210"/>
      <c r="BL43" s="210"/>
      <c r="BM43" s="210"/>
      <c r="BN43" s="210"/>
      <c r="BO43" s="210"/>
      <c r="BP43" s="210"/>
      <c r="BQ43" s="210"/>
      <c r="BR43" s="210"/>
      <c r="BS43" s="210"/>
      <c r="BT43" s="210"/>
      <c r="BU43" s="210"/>
      <c r="BV43" s="210"/>
      <c r="BW43" s="210"/>
      <c r="BX43" s="210"/>
      <c r="BY43" s="210"/>
      <c r="BZ43" s="210"/>
      <c r="CA43" s="210"/>
      <c r="CB43" s="210"/>
      <c r="CC43" s="210"/>
      <c r="CD43" s="210"/>
      <c r="CE43" s="210"/>
      <c r="CF43" s="210"/>
      <c r="CG43" s="210"/>
      <c r="CH43" s="210"/>
      <c r="CI43" s="210"/>
      <c r="CJ43" s="210"/>
      <c r="CK43" s="210"/>
      <c r="CL43" s="210"/>
      <c r="CM43" s="210"/>
      <c r="CN43" s="210"/>
      <c r="CO43" s="210"/>
      <c r="CP43" s="210"/>
      <c r="CQ43" s="210"/>
      <c r="CR43" s="211"/>
    </row>
    <row r="44" spans="1:123" s="13" customFormat="1" ht="15" customHeight="1" x14ac:dyDescent="0.15">
      <c r="A44" s="244"/>
      <c r="B44" s="245"/>
      <c r="C44" s="245"/>
      <c r="D44" s="245"/>
      <c r="E44" s="245"/>
      <c r="F44" s="245"/>
      <c r="G44" s="245"/>
      <c r="H44" s="245"/>
      <c r="I44" s="245"/>
      <c r="J44" s="246"/>
      <c r="K44" s="247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6"/>
      <c r="AW44" s="248"/>
      <c r="AX44" s="249"/>
      <c r="AY44" s="249"/>
      <c r="AZ44" s="249"/>
      <c r="BA44" s="249"/>
      <c r="BB44" s="249"/>
      <c r="BC44" s="249"/>
      <c r="BD44" s="249"/>
      <c r="BE44" s="249"/>
      <c r="BF44" s="249"/>
      <c r="BG44" s="249"/>
      <c r="BH44" s="250"/>
      <c r="BI44" s="46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9"/>
    </row>
    <row r="45" spans="1:123" s="13" customFormat="1" ht="15" customHeight="1" x14ac:dyDescent="0.15">
      <c r="A45" s="244"/>
      <c r="B45" s="245"/>
      <c r="C45" s="245"/>
      <c r="D45" s="245"/>
      <c r="E45" s="245"/>
      <c r="F45" s="245"/>
      <c r="G45" s="245"/>
      <c r="H45" s="245"/>
      <c r="I45" s="245"/>
      <c r="J45" s="246"/>
      <c r="K45" s="301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302"/>
      <c r="AU45" s="302"/>
      <c r="AV45" s="303"/>
      <c r="AW45" s="248"/>
      <c r="AX45" s="249"/>
      <c r="AY45" s="249"/>
      <c r="AZ45" s="249"/>
      <c r="BA45" s="249"/>
      <c r="BB45" s="249"/>
      <c r="BC45" s="249"/>
      <c r="BD45" s="249"/>
      <c r="BE45" s="249"/>
      <c r="BF45" s="249"/>
      <c r="BG45" s="249"/>
      <c r="BH45" s="250"/>
      <c r="BI45" s="46"/>
      <c r="BJ45" s="18" t="s">
        <v>174</v>
      </c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9"/>
    </row>
    <row r="46" spans="1:123" s="13" customFormat="1" ht="15" customHeight="1" x14ac:dyDescent="0.15">
      <c r="A46" s="244"/>
      <c r="B46" s="245"/>
      <c r="C46" s="245"/>
      <c r="D46" s="245"/>
      <c r="E46" s="245"/>
      <c r="F46" s="245"/>
      <c r="G46" s="245"/>
      <c r="H46" s="245"/>
      <c r="I46" s="245"/>
      <c r="J46" s="246"/>
      <c r="K46" s="247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  <c r="AR46" s="245"/>
      <c r="AS46" s="245"/>
      <c r="AT46" s="245"/>
      <c r="AU46" s="245"/>
      <c r="AV46" s="246"/>
      <c r="AW46" s="248"/>
      <c r="AX46" s="249"/>
      <c r="AY46" s="249"/>
      <c r="AZ46" s="249"/>
      <c r="BA46" s="249"/>
      <c r="BB46" s="249"/>
      <c r="BC46" s="249"/>
      <c r="BD46" s="249"/>
      <c r="BE46" s="249"/>
      <c r="BF46" s="249"/>
      <c r="BG46" s="249"/>
      <c r="BH46" s="250"/>
      <c r="BI46" s="46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9"/>
    </row>
    <row r="47" spans="1:123" s="13" customFormat="1" ht="15" customHeight="1" thickBot="1" x14ac:dyDescent="0.2">
      <c r="A47" s="254"/>
      <c r="B47" s="255"/>
      <c r="C47" s="255"/>
      <c r="D47" s="255"/>
      <c r="E47" s="255"/>
      <c r="F47" s="255"/>
      <c r="G47" s="255"/>
      <c r="H47" s="255"/>
      <c r="I47" s="255"/>
      <c r="J47" s="256"/>
      <c r="K47" s="257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  <c r="AA47" s="255"/>
      <c r="AB47" s="255"/>
      <c r="AC47" s="255"/>
      <c r="AD47" s="255"/>
      <c r="AE47" s="255"/>
      <c r="AF47" s="255"/>
      <c r="AG47" s="255"/>
      <c r="AH47" s="255"/>
      <c r="AI47" s="255"/>
      <c r="AJ47" s="255"/>
      <c r="AK47" s="255"/>
      <c r="AL47" s="255"/>
      <c r="AM47" s="255"/>
      <c r="AN47" s="255"/>
      <c r="AO47" s="255"/>
      <c r="AP47" s="255"/>
      <c r="AQ47" s="255"/>
      <c r="AR47" s="255"/>
      <c r="AS47" s="255"/>
      <c r="AT47" s="255"/>
      <c r="AU47" s="255"/>
      <c r="AV47" s="256"/>
      <c r="AW47" s="257"/>
      <c r="AX47" s="255"/>
      <c r="AY47" s="255"/>
      <c r="AZ47" s="255"/>
      <c r="BA47" s="255"/>
      <c r="BB47" s="255"/>
      <c r="BC47" s="255"/>
      <c r="BD47" s="255"/>
      <c r="BE47" s="255"/>
      <c r="BF47" s="255"/>
      <c r="BG47" s="255"/>
      <c r="BH47" s="256"/>
      <c r="BI47" s="47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9"/>
    </row>
    <row r="48" spans="1:123" s="12" customFormat="1" ht="15" customHeight="1" x14ac:dyDescent="0.15">
      <c r="A48" s="209" t="s">
        <v>62</v>
      </c>
      <c r="B48" s="210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0"/>
      <c r="AU48" s="210"/>
      <c r="AV48" s="210"/>
      <c r="AW48" s="210"/>
      <c r="AX48" s="210"/>
      <c r="AY48" s="210"/>
      <c r="AZ48" s="210"/>
      <c r="BA48" s="210"/>
      <c r="BB48" s="210"/>
      <c r="BC48" s="210"/>
      <c r="BD48" s="210"/>
      <c r="BE48" s="210"/>
      <c r="BF48" s="210"/>
      <c r="BG48" s="210"/>
      <c r="BH48" s="210"/>
      <c r="BI48" s="210"/>
      <c r="BJ48" s="210"/>
      <c r="BK48" s="210"/>
      <c r="BL48" s="210"/>
      <c r="BM48" s="210"/>
      <c r="BN48" s="210"/>
      <c r="BO48" s="210"/>
      <c r="BP48" s="210"/>
      <c r="BQ48" s="210"/>
      <c r="BR48" s="210"/>
      <c r="BS48" s="210"/>
      <c r="BT48" s="210"/>
      <c r="BU48" s="210"/>
      <c r="BV48" s="210"/>
      <c r="BW48" s="210"/>
      <c r="BX48" s="210"/>
      <c r="BY48" s="210"/>
      <c r="BZ48" s="210"/>
      <c r="CA48" s="210"/>
      <c r="CB48" s="210"/>
      <c r="CC48" s="210"/>
      <c r="CD48" s="210"/>
      <c r="CE48" s="210"/>
      <c r="CF48" s="210"/>
      <c r="CG48" s="210"/>
      <c r="CH48" s="210"/>
      <c r="CI48" s="210"/>
      <c r="CJ48" s="210"/>
      <c r="CK48" s="210"/>
      <c r="CL48" s="210"/>
      <c r="CM48" s="210"/>
      <c r="CN48" s="210"/>
      <c r="CO48" s="210"/>
      <c r="CP48" s="210"/>
      <c r="CQ48" s="210"/>
      <c r="CR48" s="211"/>
    </row>
    <row r="49" spans="1:96" s="53" customFormat="1" ht="15" customHeight="1" x14ac:dyDescent="0.2">
      <c r="A49" s="50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2"/>
    </row>
    <row r="50" spans="1:96" s="53" customFormat="1" ht="15" customHeight="1" x14ac:dyDescent="0.2">
      <c r="A50" s="50"/>
      <c r="B50" s="51" t="s">
        <v>80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BA50" s="53" t="s">
        <v>115</v>
      </c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2"/>
    </row>
    <row r="51" spans="1:96" s="53" customFormat="1" ht="15" customHeight="1" thickBot="1" x14ac:dyDescent="0.2">
      <c r="A51" s="50"/>
      <c r="B51" s="279" t="s">
        <v>64</v>
      </c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1"/>
      <c r="P51" s="279" t="s">
        <v>65</v>
      </c>
      <c r="Q51" s="280"/>
      <c r="R51" s="280"/>
      <c r="S51" s="280"/>
      <c r="T51" s="281"/>
      <c r="U51" s="279" t="s">
        <v>66</v>
      </c>
      <c r="V51" s="280"/>
      <c r="W51" s="281"/>
      <c r="X51" s="279" t="s">
        <v>81</v>
      </c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  <c r="AI51" s="282"/>
      <c r="AJ51" s="282"/>
      <c r="AK51" s="282"/>
      <c r="AL51" s="282"/>
      <c r="AM51" s="282"/>
      <c r="AN51" s="282"/>
      <c r="AO51" s="282"/>
      <c r="AP51" s="282"/>
      <c r="AQ51" s="282"/>
      <c r="AR51" s="282"/>
      <c r="AS51" s="282"/>
      <c r="AT51" s="282"/>
      <c r="AU51" s="282"/>
      <c r="AV51" s="283"/>
      <c r="AW51" s="51"/>
      <c r="AX51" s="51"/>
      <c r="BB51" s="53" t="s">
        <v>182</v>
      </c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2"/>
    </row>
    <row r="52" spans="1:96" s="53" customFormat="1" ht="15" customHeight="1" thickBot="1" x14ac:dyDescent="0.25">
      <c r="A52" s="50"/>
      <c r="B52" s="226" t="s">
        <v>175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19" t="s">
        <v>145</v>
      </c>
      <c r="Q52" s="219"/>
      <c r="R52" s="219"/>
      <c r="S52" s="219"/>
      <c r="T52" s="219"/>
      <c r="U52" s="227" t="s">
        <v>176</v>
      </c>
      <c r="V52" s="228"/>
      <c r="W52" s="229"/>
      <c r="X52" s="226" t="s">
        <v>56</v>
      </c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  <c r="AI52" s="226"/>
      <c r="AJ52" s="226"/>
      <c r="AK52" s="226"/>
      <c r="AL52" s="226"/>
      <c r="AM52" s="226"/>
      <c r="AN52" s="226"/>
      <c r="AO52" s="226"/>
      <c r="AP52" s="226"/>
      <c r="AQ52" s="226"/>
      <c r="AR52" s="226"/>
      <c r="AS52" s="226"/>
      <c r="AT52" s="226"/>
      <c r="AU52" s="226"/>
      <c r="AV52" s="226"/>
      <c r="AW52" s="51"/>
      <c r="AX52" s="51"/>
      <c r="BC52" s="220" t="s">
        <v>183</v>
      </c>
      <c r="BD52" s="221"/>
      <c r="BE52" s="221"/>
      <c r="BF52" s="221"/>
      <c r="BG52" s="221"/>
      <c r="BH52" s="221"/>
      <c r="BI52" s="222"/>
      <c r="BJ52" s="287"/>
      <c r="BK52" s="288"/>
      <c r="BL52" s="288"/>
      <c r="BM52" s="288"/>
      <c r="BN52" s="288"/>
      <c r="BO52" s="288"/>
      <c r="BP52" s="288"/>
      <c r="BQ52" s="289"/>
      <c r="BR52" s="70" t="s">
        <v>89</v>
      </c>
      <c r="BS52" s="71"/>
      <c r="CG52" s="51"/>
      <c r="CH52" s="51"/>
      <c r="CI52" s="51"/>
      <c r="CJ52" s="51"/>
      <c r="CK52" s="51"/>
      <c r="CL52" s="51"/>
      <c r="CQ52" s="51"/>
      <c r="CR52" s="52"/>
    </row>
    <row r="53" spans="1:96" s="53" customFormat="1" ht="15" customHeight="1" x14ac:dyDescent="0.2">
      <c r="A53" s="50"/>
      <c r="B53" s="226" t="s">
        <v>177</v>
      </c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19" t="s">
        <v>83</v>
      </c>
      <c r="Q53" s="219"/>
      <c r="R53" s="219"/>
      <c r="S53" s="219"/>
      <c r="T53" s="219"/>
      <c r="U53" s="227" t="s">
        <v>176</v>
      </c>
      <c r="V53" s="228"/>
      <c r="W53" s="229"/>
      <c r="X53" s="226" t="s">
        <v>56</v>
      </c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51"/>
      <c r="AX53" s="51"/>
      <c r="BH53" s="51"/>
      <c r="BI53" s="51"/>
      <c r="BJ53" s="80" t="s">
        <v>184</v>
      </c>
      <c r="BK53" s="73"/>
      <c r="BL53" s="73"/>
      <c r="BM53" s="73"/>
      <c r="BN53" s="73"/>
      <c r="BO53" s="73"/>
      <c r="BP53" s="73"/>
      <c r="BQ53" s="74"/>
      <c r="CG53" s="51"/>
      <c r="CH53" s="51"/>
      <c r="CI53" s="51"/>
      <c r="CJ53" s="51"/>
      <c r="CK53" s="51"/>
      <c r="CL53" s="51"/>
      <c r="CQ53" s="51"/>
      <c r="CR53" s="52"/>
    </row>
    <row r="54" spans="1:96" s="53" customFormat="1" ht="15" customHeight="1" x14ac:dyDescent="0.2">
      <c r="A54" s="50"/>
      <c r="B54" s="226" t="s">
        <v>103</v>
      </c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19" t="s">
        <v>83</v>
      </c>
      <c r="Q54" s="219"/>
      <c r="R54" s="219"/>
      <c r="S54" s="219"/>
      <c r="T54" s="219"/>
      <c r="U54" s="227">
        <v>8</v>
      </c>
      <c r="V54" s="228"/>
      <c r="W54" s="229"/>
      <c r="X54" s="226" t="s">
        <v>84</v>
      </c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26"/>
      <c r="AN54" s="226"/>
      <c r="AO54" s="226"/>
      <c r="AP54" s="226"/>
      <c r="AQ54" s="226"/>
      <c r="AR54" s="226"/>
      <c r="AS54" s="226"/>
      <c r="AT54" s="226"/>
      <c r="AU54" s="226"/>
      <c r="AV54" s="226"/>
      <c r="AW54" s="51"/>
      <c r="AX54" s="51"/>
      <c r="BH54" s="51"/>
      <c r="BI54" s="51"/>
      <c r="BJ54" s="81" t="s">
        <v>185</v>
      </c>
      <c r="BK54" s="76"/>
      <c r="BL54" s="76"/>
      <c r="BM54" s="76"/>
      <c r="BN54" s="76"/>
      <c r="BO54" s="76"/>
      <c r="BP54" s="76"/>
      <c r="BQ54" s="77"/>
      <c r="CG54" s="51"/>
      <c r="CH54" s="51"/>
      <c r="CI54" s="51"/>
      <c r="CJ54" s="51"/>
      <c r="CK54" s="51"/>
      <c r="CL54" s="51"/>
      <c r="CQ54" s="51"/>
      <c r="CR54" s="52"/>
    </row>
    <row r="55" spans="1:96" s="53" customFormat="1" ht="15" customHeight="1" x14ac:dyDescent="0.2">
      <c r="A55" s="50"/>
      <c r="B55" s="226" t="s">
        <v>104</v>
      </c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19" t="s">
        <v>83</v>
      </c>
      <c r="Q55" s="219"/>
      <c r="R55" s="219"/>
      <c r="S55" s="219"/>
      <c r="T55" s="219"/>
      <c r="U55" s="227">
        <v>3</v>
      </c>
      <c r="V55" s="228"/>
      <c r="W55" s="229"/>
      <c r="X55" s="226" t="s">
        <v>88</v>
      </c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/>
      <c r="AK55" s="226"/>
      <c r="AL55" s="226"/>
      <c r="AM55" s="226"/>
      <c r="AN55" s="226"/>
      <c r="AO55" s="226"/>
      <c r="AP55" s="226"/>
      <c r="AQ55" s="226"/>
      <c r="AR55" s="226"/>
      <c r="AS55" s="226"/>
      <c r="AT55" s="226"/>
      <c r="AU55" s="226"/>
      <c r="AV55" s="226"/>
      <c r="AW55" s="51"/>
      <c r="AX55" s="51"/>
      <c r="BH55" s="51"/>
      <c r="BI55" s="51"/>
      <c r="BJ55" s="81" t="s">
        <v>186</v>
      </c>
      <c r="BK55" s="76"/>
      <c r="BL55" s="76"/>
      <c r="BM55" s="76"/>
      <c r="BN55" s="76"/>
      <c r="BO55" s="76"/>
      <c r="BP55" s="76"/>
      <c r="BQ55" s="77"/>
      <c r="CG55" s="51"/>
      <c r="CH55" s="51"/>
      <c r="CI55" s="51"/>
      <c r="CJ55" s="51"/>
      <c r="CK55" s="51"/>
      <c r="CL55" s="51"/>
      <c r="CQ55" s="51"/>
      <c r="CR55" s="52"/>
    </row>
    <row r="56" spans="1:96" s="53" customFormat="1" ht="15" customHeight="1" x14ac:dyDescent="0.2">
      <c r="A56" s="50"/>
      <c r="B56" s="226" t="s">
        <v>105</v>
      </c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19" t="s">
        <v>83</v>
      </c>
      <c r="Q56" s="219"/>
      <c r="R56" s="219"/>
      <c r="S56" s="219"/>
      <c r="T56" s="219"/>
      <c r="U56" s="227">
        <v>100</v>
      </c>
      <c r="V56" s="228"/>
      <c r="W56" s="229"/>
      <c r="X56" s="226" t="s">
        <v>101</v>
      </c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  <c r="AI56" s="226"/>
      <c r="AJ56" s="226"/>
      <c r="AK56" s="226"/>
      <c r="AL56" s="226"/>
      <c r="AM56" s="226"/>
      <c r="AN56" s="226"/>
      <c r="AO56" s="226"/>
      <c r="AP56" s="226"/>
      <c r="AQ56" s="226"/>
      <c r="AR56" s="226"/>
      <c r="AS56" s="226"/>
      <c r="AT56" s="226"/>
      <c r="AU56" s="226"/>
      <c r="AV56" s="226"/>
      <c r="AW56" s="51"/>
      <c r="AX56" s="51"/>
      <c r="BJ56" s="81" t="s">
        <v>187</v>
      </c>
      <c r="BK56" s="76"/>
      <c r="BL56" s="76"/>
      <c r="BM56" s="76"/>
      <c r="BN56" s="76"/>
      <c r="BO56" s="76"/>
      <c r="BP56" s="76"/>
      <c r="BQ56" s="77"/>
      <c r="CG56" s="51"/>
      <c r="CH56" s="51"/>
      <c r="CI56" s="51"/>
      <c r="CJ56" s="51"/>
      <c r="CK56" s="51"/>
      <c r="CL56" s="51"/>
      <c r="CQ56" s="51"/>
      <c r="CR56" s="52"/>
    </row>
    <row r="57" spans="1:96" s="53" customFormat="1" ht="15" customHeight="1" x14ac:dyDescent="0.2">
      <c r="A57" s="50"/>
      <c r="B57" s="226" t="s">
        <v>178</v>
      </c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19" t="s">
        <v>83</v>
      </c>
      <c r="Q57" s="219"/>
      <c r="R57" s="219"/>
      <c r="S57" s="219"/>
      <c r="T57" s="219"/>
      <c r="U57" s="227" t="s">
        <v>176</v>
      </c>
      <c r="V57" s="228"/>
      <c r="W57" s="229"/>
      <c r="X57" s="226" t="s">
        <v>56</v>
      </c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26"/>
      <c r="AN57" s="226"/>
      <c r="AO57" s="226"/>
      <c r="AP57" s="226"/>
      <c r="AQ57" s="226"/>
      <c r="AR57" s="226"/>
      <c r="AS57" s="226"/>
      <c r="AT57" s="226"/>
      <c r="AU57" s="226"/>
      <c r="AV57" s="226"/>
      <c r="AW57" s="51"/>
      <c r="AX57" s="51"/>
      <c r="CG57" s="51"/>
      <c r="CH57" s="51"/>
      <c r="CI57" s="51"/>
      <c r="CJ57" s="51"/>
      <c r="CK57" s="51"/>
      <c r="CL57" s="51"/>
      <c r="CQ57" s="51"/>
      <c r="CR57" s="52"/>
    </row>
    <row r="58" spans="1:96" s="53" customFormat="1" ht="15" customHeight="1" x14ac:dyDescent="0.2">
      <c r="A58" s="50"/>
      <c r="B58" s="230" t="s">
        <v>179</v>
      </c>
      <c r="C58" s="231"/>
      <c r="D58" s="231"/>
      <c r="E58" s="231"/>
      <c r="F58" s="231"/>
      <c r="G58" s="232"/>
      <c r="H58" s="239" t="s">
        <v>180</v>
      </c>
      <c r="I58" s="240"/>
      <c r="J58" s="240"/>
      <c r="K58" s="240"/>
      <c r="L58" s="240"/>
      <c r="M58" s="240"/>
      <c r="N58" s="240"/>
      <c r="O58" s="241"/>
      <c r="P58" s="219" t="s">
        <v>83</v>
      </c>
      <c r="Q58" s="219"/>
      <c r="R58" s="219"/>
      <c r="S58" s="219"/>
      <c r="T58" s="219"/>
      <c r="U58" s="227" t="s">
        <v>176</v>
      </c>
      <c r="V58" s="228"/>
      <c r="W58" s="229"/>
      <c r="X58" s="226" t="s">
        <v>56</v>
      </c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26"/>
      <c r="AN58" s="226"/>
      <c r="AO58" s="226"/>
      <c r="AP58" s="226"/>
      <c r="AQ58" s="226"/>
      <c r="AR58" s="226"/>
      <c r="AS58" s="226"/>
      <c r="AT58" s="226"/>
      <c r="AU58" s="226"/>
      <c r="AV58" s="226"/>
      <c r="AW58" s="51"/>
      <c r="AX58" s="51"/>
      <c r="CG58" s="51"/>
      <c r="CH58" s="51"/>
      <c r="CI58" s="51"/>
      <c r="CJ58" s="51"/>
      <c r="CK58" s="51"/>
      <c r="CL58" s="51"/>
      <c r="CQ58" s="51"/>
      <c r="CR58" s="52"/>
    </row>
    <row r="59" spans="1:96" s="53" customFormat="1" ht="15" customHeight="1" thickBot="1" x14ac:dyDescent="0.25">
      <c r="A59" s="50"/>
      <c r="B59" s="236"/>
      <c r="C59" s="237"/>
      <c r="D59" s="237"/>
      <c r="E59" s="237"/>
      <c r="F59" s="237"/>
      <c r="G59" s="238"/>
      <c r="H59" s="239" t="s">
        <v>181</v>
      </c>
      <c r="I59" s="240"/>
      <c r="J59" s="240"/>
      <c r="K59" s="240"/>
      <c r="L59" s="240"/>
      <c r="M59" s="240"/>
      <c r="N59" s="240"/>
      <c r="O59" s="241"/>
      <c r="P59" s="219" t="s">
        <v>83</v>
      </c>
      <c r="Q59" s="219"/>
      <c r="R59" s="219"/>
      <c r="S59" s="219"/>
      <c r="T59" s="219"/>
      <c r="U59" s="227" t="s">
        <v>176</v>
      </c>
      <c r="V59" s="228"/>
      <c r="W59" s="229"/>
      <c r="X59" s="226" t="s">
        <v>56</v>
      </c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26"/>
      <c r="AN59" s="226"/>
      <c r="AO59" s="226"/>
      <c r="AP59" s="226"/>
      <c r="AQ59" s="226"/>
      <c r="AR59" s="226"/>
      <c r="AS59" s="226"/>
      <c r="AT59" s="226"/>
      <c r="AU59" s="226"/>
      <c r="AV59" s="226"/>
      <c r="AW59" s="51"/>
      <c r="AX59" s="51"/>
      <c r="BB59" s="53" t="s">
        <v>188</v>
      </c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CG59" s="51"/>
      <c r="CH59" s="51"/>
      <c r="CI59" s="51"/>
      <c r="CJ59" s="51"/>
      <c r="CK59" s="51"/>
      <c r="CL59" s="51"/>
      <c r="CQ59" s="51"/>
      <c r="CR59" s="52"/>
    </row>
    <row r="60" spans="1:96" s="53" customFormat="1" ht="15" customHeight="1" thickBot="1" x14ac:dyDescent="0.25">
      <c r="A60" s="50"/>
      <c r="B60" s="226" t="s">
        <v>106</v>
      </c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19" t="s">
        <v>83</v>
      </c>
      <c r="Q60" s="219"/>
      <c r="R60" s="219"/>
      <c r="S60" s="219"/>
      <c r="T60" s="219"/>
      <c r="U60" s="227">
        <v>6</v>
      </c>
      <c r="V60" s="228"/>
      <c r="W60" s="229"/>
      <c r="X60" s="226" t="s">
        <v>84</v>
      </c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  <c r="AJ60" s="226"/>
      <c r="AK60" s="226"/>
      <c r="AL60" s="226"/>
      <c r="AM60" s="226"/>
      <c r="AN60" s="226"/>
      <c r="AO60" s="226"/>
      <c r="AP60" s="226"/>
      <c r="AQ60" s="226"/>
      <c r="AR60" s="226"/>
      <c r="AS60" s="226"/>
      <c r="AT60" s="226"/>
      <c r="AU60" s="226"/>
      <c r="AV60" s="226"/>
      <c r="AW60" s="51"/>
      <c r="AX60" s="51"/>
      <c r="AY60" s="51"/>
      <c r="AZ60" s="51"/>
      <c r="BA60" s="51"/>
      <c r="BC60" s="220" t="s">
        <v>189</v>
      </c>
      <c r="BD60" s="221"/>
      <c r="BE60" s="221"/>
      <c r="BF60" s="221"/>
      <c r="BG60" s="221"/>
      <c r="BH60" s="221"/>
      <c r="BI60" s="222"/>
      <c r="BJ60" s="287"/>
      <c r="BK60" s="288"/>
      <c r="BL60" s="288"/>
      <c r="BM60" s="288"/>
      <c r="BN60" s="288"/>
      <c r="BO60" s="288"/>
      <c r="BP60" s="288"/>
      <c r="BQ60" s="289"/>
      <c r="BR60" s="70" t="s">
        <v>89</v>
      </c>
      <c r="BS60" s="7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Q60" s="51"/>
      <c r="CR60" s="52"/>
    </row>
    <row r="61" spans="1:96" s="53" customFormat="1" ht="15" customHeight="1" x14ac:dyDescent="0.2">
      <c r="A61" s="50"/>
      <c r="B61" s="226" t="s">
        <v>107</v>
      </c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19" t="s">
        <v>83</v>
      </c>
      <c r="Q61" s="219"/>
      <c r="R61" s="219"/>
      <c r="S61" s="219"/>
      <c r="T61" s="219"/>
      <c r="U61" s="227">
        <v>100</v>
      </c>
      <c r="V61" s="228"/>
      <c r="W61" s="229"/>
      <c r="X61" s="226" t="s">
        <v>101</v>
      </c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26"/>
      <c r="AN61" s="226"/>
      <c r="AO61" s="226"/>
      <c r="AP61" s="226"/>
      <c r="AQ61" s="226"/>
      <c r="AR61" s="226"/>
      <c r="AS61" s="226"/>
      <c r="AT61" s="226"/>
      <c r="AU61" s="226"/>
      <c r="AV61" s="226"/>
      <c r="AW61" s="51"/>
      <c r="AX61" s="51"/>
      <c r="AY61" s="51"/>
      <c r="AZ61" s="51"/>
      <c r="BA61" s="51"/>
      <c r="BH61" s="51"/>
      <c r="BI61" s="51"/>
      <c r="BJ61" s="80" t="s">
        <v>190</v>
      </c>
      <c r="BK61" s="73"/>
      <c r="BL61" s="73"/>
      <c r="BM61" s="73"/>
      <c r="BN61" s="73"/>
      <c r="BO61" s="73"/>
      <c r="BP61" s="73"/>
      <c r="BQ61" s="74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Q61" s="51"/>
      <c r="CR61" s="52"/>
    </row>
    <row r="62" spans="1:96" s="53" customFormat="1" ht="15" customHeight="1" x14ac:dyDescent="0.2">
      <c r="A62" s="50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H62" s="51"/>
      <c r="BI62" s="51"/>
      <c r="BJ62" s="81" t="s">
        <v>191</v>
      </c>
      <c r="BK62" s="76"/>
      <c r="BL62" s="76"/>
      <c r="BM62" s="76"/>
      <c r="BN62" s="76"/>
      <c r="BO62" s="76"/>
      <c r="BP62" s="76"/>
      <c r="BQ62" s="77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Q62" s="51"/>
      <c r="CR62" s="52"/>
    </row>
    <row r="63" spans="1:96" s="53" customFormat="1" ht="15" customHeight="1" x14ac:dyDescent="0.2">
      <c r="A63" s="50"/>
      <c r="B63" s="51" t="s">
        <v>91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T63" s="51"/>
      <c r="AU63" s="51"/>
      <c r="AV63" s="51"/>
      <c r="AW63" s="51"/>
      <c r="AX63" s="51"/>
      <c r="AY63" s="51"/>
      <c r="AZ63" s="51"/>
      <c r="BA63" s="51"/>
      <c r="BH63" s="51"/>
      <c r="BI63" s="51"/>
      <c r="BJ63" s="81" t="s">
        <v>192</v>
      </c>
      <c r="BK63" s="76"/>
      <c r="BL63" s="76"/>
      <c r="BM63" s="76"/>
      <c r="BN63" s="76"/>
      <c r="BO63" s="76"/>
      <c r="BP63" s="76"/>
      <c r="BQ63" s="77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Q63" s="51"/>
      <c r="CR63" s="52"/>
    </row>
    <row r="64" spans="1:96" s="53" customFormat="1" ht="15" customHeight="1" x14ac:dyDescent="0.2">
      <c r="A64" s="50"/>
      <c r="B64" s="64" t="s">
        <v>64</v>
      </c>
      <c r="C64" s="65"/>
      <c r="D64" s="65"/>
      <c r="E64" s="65"/>
      <c r="F64" s="65"/>
      <c r="G64" s="65"/>
      <c r="H64" s="65"/>
      <c r="I64" s="65"/>
      <c r="J64" s="65"/>
      <c r="K64" s="290" t="s">
        <v>92</v>
      </c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90"/>
      <c r="AB64" s="290"/>
      <c r="AC64" s="290"/>
      <c r="AD64" s="290"/>
      <c r="AE64" s="290"/>
      <c r="AF64" s="290"/>
      <c r="AG64" s="290"/>
      <c r="AH64" s="290"/>
      <c r="AI64" s="290"/>
      <c r="AT64" s="51"/>
      <c r="AU64" s="51"/>
      <c r="AV64" s="51"/>
      <c r="AW64" s="51"/>
      <c r="AX64" s="51"/>
      <c r="AY64" s="51"/>
      <c r="AZ64" s="51"/>
      <c r="BA64" s="51"/>
      <c r="BJ64" s="81" t="s">
        <v>193</v>
      </c>
      <c r="BK64" s="76"/>
      <c r="BL64" s="76"/>
      <c r="BM64" s="76"/>
      <c r="BN64" s="76"/>
      <c r="BO64" s="76"/>
      <c r="BP64" s="76"/>
      <c r="BQ64" s="77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Q64" s="51"/>
      <c r="CR64" s="52"/>
    </row>
    <row r="65" spans="1:96" s="53" customFormat="1" ht="15" customHeight="1" x14ac:dyDescent="0.2">
      <c r="A65" s="50"/>
      <c r="B65" s="291" t="s">
        <v>108</v>
      </c>
      <c r="C65" s="292"/>
      <c r="D65" s="292"/>
      <c r="E65" s="292"/>
      <c r="F65" s="292"/>
      <c r="G65" s="292"/>
      <c r="H65" s="292"/>
      <c r="I65" s="292"/>
      <c r="J65" s="293"/>
      <c r="K65" s="294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  <c r="Z65" s="295"/>
      <c r="AA65" s="295"/>
      <c r="AB65" s="295"/>
      <c r="AC65" s="295"/>
      <c r="AD65" s="295"/>
      <c r="AE65" s="295"/>
      <c r="AF65" s="295"/>
      <c r="AG65" s="295"/>
      <c r="AH65" s="295"/>
      <c r="AI65" s="296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Q65" s="51"/>
      <c r="CR65" s="52"/>
    </row>
    <row r="66" spans="1:96" s="53" customFormat="1" ht="15" customHeight="1" x14ac:dyDescent="0.2">
      <c r="A66" s="50"/>
      <c r="B66" s="291" t="s">
        <v>109</v>
      </c>
      <c r="C66" s="292"/>
      <c r="D66" s="292"/>
      <c r="E66" s="292"/>
      <c r="F66" s="292"/>
      <c r="G66" s="292"/>
      <c r="H66" s="292"/>
      <c r="I66" s="292"/>
      <c r="J66" s="293"/>
      <c r="K66" s="294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  <c r="Z66" s="295"/>
      <c r="AA66" s="295"/>
      <c r="AB66" s="295"/>
      <c r="AC66" s="295"/>
      <c r="AD66" s="295"/>
      <c r="AE66" s="295"/>
      <c r="AF66" s="295"/>
      <c r="AG66" s="295"/>
      <c r="AH66" s="295"/>
      <c r="AI66" s="296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Q66" s="51"/>
      <c r="CR66" s="52"/>
    </row>
    <row r="67" spans="1:96" s="53" customFormat="1" ht="15" customHeight="1" thickBot="1" x14ac:dyDescent="0.25">
      <c r="A67" s="50"/>
      <c r="B67" s="304" t="s">
        <v>110</v>
      </c>
      <c r="C67" s="304"/>
      <c r="D67" s="304"/>
      <c r="E67" s="304"/>
      <c r="F67" s="304"/>
      <c r="G67" s="304"/>
      <c r="H67" s="304"/>
      <c r="I67" s="304"/>
      <c r="J67" s="304"/>
      <c r="K67" s="304"/>
      <c r="L67" s="304"/>
      <c r="M67" s="304"/>
      <c r="N67" s="304"/>
      <c r="O67" s="304"/>
      <c r="P67" s="304"/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304"/>
      <c r="AB67" s="304"/>
      <c r="AC67" s="304"/>
      <c r="AD67" s="304"/>
      <c r="AE67" s="304"/>
      <c r="AF67" s="304"/>
      <c r="AG67" s="304"/>
      <c r="AH67" s="304"/>
      <c r="AI67" s="304"/>
      <c r="AT67" s="51"/>
      <c r="AU67" s="51"/>
      <c r="AV67" s="51"/>
      <c r="AW67" s="51"/>
      <c r="AX67" s="51"/>
      <c r="AY67" s="51"/>
      <c r="AZ67" s="51"/>
      <c r="BA67" s="51"/>
      <c r="BB67" s="53" t="s">
        <v>194</v>
      </c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Q67" s="51"/>
      <c r="CR67" s="52"/>
    </row>
    <row r="68" spans="1:96" s="53" customFormat="1" ht="15" customHeight="1" thickBot="1" x14ac:dyDescent="0.25">
      <c r="A68" s="50"/>
      <c r="B68" s="304" t="s">
        <v>111</v>
      </c>
      <c r="C68" s="304"/>
      <c r="D68" s="304"/>
      <c r="E68" s="304"/>
      <c r="F68" s="304"/>
      <c r="G68" s="304"/>
      <c r="H68" s="304"/>
      <c r="I68" s="304"/>
      <c r="J68" s="304"/>
      <c r="K68" s="304"/>
      <c r="L68" s="304"/>
      <c r="M68" s="304"/>
      <c r="N68" s="304"/>
      <c r="O68" s="304"/>
      <c r="P68" s="304"/>
      <c r="Q68" s="304"/>
      <c r="R68" s="304"/>
      <c r="S68" s="304"/>
      <c r="T68" s="304"/>
      <c r="U68" s="304"/>
      <c r="V68" s="304"/>
      <c r="W68" s="304"/>
      <c r="X68" s="304"/>
      <c r="Y68" s="304"/>
      <c r="Z68" s="304"/>
      <c r="AA68" s="304"/>
      <c r="AB68" s="304"/>
      <c r="AC68" s="304"/>
      <c r="AD68" s="304"/>
      <c r="AE68" s="304"/>
      <c r="AF68" s="304"/>
      <c r="AG68" s="304"/>
      <c r="AH68" s="304"/>
      <c r="AI68" s="304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C68" s="220" t="s">
        <v>195</v>
      </c>
      <c r="BD68" s="221"/>
      <c r="BE68" s="221"/>
      <c r="BF68" s="221"/>
      <c r="BG68" s="221"/>
      <c r="BH68" s="221"/>
      <c r="BI68" s="222"/>
      <c r="BJ68" s="287"/>
      <c r="BK68" s="288"/>
      <c r="BL68" s="288"/>
      <c r="BM68" s="288"/>
      <c r="BN68" s="288"/>
      <c r="BO68" s="288"/>
      <c r="BP68" s="288"/>
      <c r="BQ68" s="289"/>
      <c r="BR68" s="70" t="s">
        <v>89</v>
      </c>
      <c r="BS68" s="7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Q68" s="51"/>
      <c r="CR68" s="52"/>
    </row>
    <row r="69" spans="1:96" s="53" customFormat="1" ht="15" customHeight="1" x14ac:dyDescent="0.2">
      <c r="A69" s="50"/>
      <c r="B69" s="304" t="s">
        <v>201</v>
      </c>
      <c r="C69" s="304"/>
      <c r="D69" s="304"/>
      <c r="E69" s="304"/>
      <c r="F69" s="304"/>
      <c r="G69" s="304"/>
      <c r="H69" s="304"/>
      <c r="I69" s="304"/>
      <c r="J69" s="304"/>
      <c r="K69" s="304"/>
      <c r="L69" s="304"/>
      <c r="M69" s="304"/>
      <c r="N69" s="304"/>
      <c r="O69" s="304"/>
      <c r="P69" s="304"/>
      <c r="Q69" s="304"/>
      <c r="R69" s="304"/>
      <c r="S69" s="304"/>
      <c r="T69" s="304"/>
      <c r="U69" s="304"/>
      <c r="V69" s="304"/>
      <c r="W69" s="304"/>
      <c r="X69" s="304"/>
      <c r="Y69" s="304"/>
      <c r="Z69" s="304"/>
      <c r="AA69" s="304"/>
      <c r="AB69" s="304"/>
      <c r="AC69" s="304"/>
      <c r="AD69" s="304"/>
      <c r="AE69" s="304"/>
      <c r="AF69" s="304"/>
      <c r="AG69" s="304"/>
      <c r="AH69" s="304"/>
      <c r="AI69" s="304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H69" s="51"/>
      <c r="BI69" s="51"/>
      <c r="BJ69" s="80" t="s">
        <v>196</v>
      </c>
      <c r="BK69" s="73"/>
      <c r="BL69" s="73"/>
      <c r="BM69" s="73"/>
      <c r="BN69" s="73"/>
      <c r="BO69" s="73"/>
      <c r="BP69" s="73"/>
      <c r="BQ69" s="74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Q69" s="51"/>
      <c r="CR69" s="52"/>
    </row>
    <row r="70" spans="1:96" s="53" customFormat="1" ht="15" customHeight="1" x14ac:dyDescent="0.2">
      <c r="A70" s="50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H70" s="51"/>
      <c r="BI70" s="51"/>
      <c r="BJ70" s="81" t="s">
        <v>197</v>
      </c>
      <c r="BK70" s="76"/>
      <c r="BL70" s="76"/>
      <c r="BM70" s="76"/>
      <c r="BN70" s="76"/>
      <c r="BO70" s="76"/>
      <c r="BP70" s="76"/>
      <c r="BQ70" s="77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Q70" s="51"/>
      <c r="CR70" s="52"/>
    </row>
    <row r="71" spans="1:96" s="53" customFormat="1" ht="15" customHeight="1" x14ac:dyDescent="0.2">
      <c r="A71" s="50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H71" s="51"/>
      <c r="BI71" s="51"/>
      <c r="BJ71" s="81" t="s">
        <v>198</v>
      </c>
      <c r="BK71" s="76"/>
      <c r="BL71" s="76"/>
      <c r="BM71" s="76"/>
      <c r="BN71" s="76"/>
      <c r="BO71" s="76"/>
      <c r="BP71" s="76"/>
      <c r="BQ71" s="77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Q71" s="51"/>
      <c r="CR71" s="52"/>
    </row>
    <row r="72" spans="1:96" s="53" customFormat="1" ht="15" customHeight="1" x14ac:dyDescent="0.2">
      <c r="A72" s="50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BJ72" s="81" t="s">
        <v>199</v>
      </c>
      <c r="BK72" s="76"/>
      <c r="BL72" s="76"/>
      <c r="BM72" s="76"/>
      <c r="BN72" s="76"/>
      <c r="BO72" s="76"/>
      <c r="BP72" s="76"/>
      <c r="BQ72" s="77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Q72" s="51"/>
      <c r="CR72" s="52"/>
    </row>
    <row r="73" spans="1:96" s="53" customFormat="1" ht="15" customHeight="1" x14ac:dyDescent="0.2">
      <c r="A73" s="50"/>
      <c r="B73" s="51" t="s">
        <v>97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2"/>
    </row>
    <row r="74" spans="1:96" s="53" customFormat="1" ht="15" customHeight="1" x14ac:dyDescent="0.2">
      <c r="A74" s="50"/>
      <c r="B74" s="51"/>
      <c r="C74" s="51" t="s">
        <v>98</v>
      </c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2"/>
    </row>
    <row r="75" spans="1:96" s="53" customFormat="1" ht="15" customHeight="1" thickBot="1" x14ac:dyDescent="0.25">
      <c r="A75" s="50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3" t="s">
        <v>200</v>
      </c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2"/>
    </row>
    <row r="76" spans="1:96" s="53" customFormat="1" ht="15" customHeight="1" thickBot="1" x14ac:dyDescent="0.25">
      <c r="A76" s="50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C76" s="220" t="s">
        <v>201</v>
      </c>
      <c r="BD76" s="221"/>
      <c r="BE76" s="221"/>
      <c r="BF76" s="221"/>
      <c r="BG76" s="221"/>
      <c r="BH76" s="221"/>
      <c r="BI76" s="222"/>
      <c r="BJ76" s="287"/>
      <c r="BK76" s="288"/>
      <c r="BL76" s="288"/>
      <c r="BM76" s="288"/>
      <c r="BN76" s="288"/>
      <c r="BO76" s="288"/>
      <c r="BP76" s="288"/>
      <c r="BQ76" s="289"/>
      <c r="BR76" s="70" t="s">
        <v>89</v>
      </c>
      <c r="BS76" s="71"/>
      <c r="BT76" s="287"/>
      <c r="BU76" s="288"/>
      <c r="BV76" s="288"/>
      <c r="BW76" s="288"/>
      <c r="BX76" s="288"/>
      <c r="BY76" s="288"/>
      <c r="BZ76" s="288"/>
      <c r="CA76" s="289"/>
      <c r="CB76" s="70" t="s">
        <v>89</v>
      </c>
      <c r="CC76" s="7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2"/>
    </row>
    <row r="77" spans="1:96" s="53" customFormat="1" ht="15" customHeight="1" x14ac:dyDescent="0.2">
      <c r="A77" s="50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H77" s="51"/>
      <c r="BI77" s="51"/>
      <c r="BJ77" s="80" t="s">
        <v>205</v>
      </c>
      <c r="BK77" s="73"/>
      <c r="BL77" s="73"/>
      <c r="BM77" s="73"/>
      <c r="BN77" s="73"/>
      <c r="BO77" s="73"/>
      <c r="BP77" s="73"/>
      <c r="BQ77" s="74"/>
      <c r="BT77" s="80" t="s">
        <v>206</v>
      </c>
      <c r="BU77" s="73"/>
      <c r="BV77" s="73"/>
      <c r="BW77" s="73"/>
      <c r="BX77" s="73"/>
      <c r="BY77" s="73"/>
      <c r="BZ77" s="73"/>
      <c r="CA77" s="74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2"/>
    </row>
    <row r="78" spans="1:96" s="53" customFormat="1" ht="15" customHeight="1" x14ac:dyDescent="0.2">
      <c r="A78" s="50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H78" s="51"/>
      <c r="BI78" s="51"/>
      <c r="BJ78" s="81" t="s">
        <v>202</v>
      </c>
      <c r="BK78" s="76"/>
      <c r="BL78" s="76"/>
      <c r="BM78" s="76"/>
      <c r="BN78" s="76"/>
      <c r="BO78" s="76"/>
      <c r="BP78" s="76"/>
      <c r="BQ78" s="77"/>
      <c r="BT78" s="81" t="s">
        <v>207</v>
      </c>
      <c r="BU78" s="76"/>
      <c r="BV78" s="76"/>
      <c r="BW78" s="76"/>
      <c r="BX78" s="76"/>
      <c r="BY78" s="76"/>
      <c r="BZ78" s="76"/>
      <c r="CA78" s="77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2"/>
    </row>
    <row r="79" spans="1:96" s="53" customFormat="1" ht="15" customHeight="1" x14ac:dyDescent="0.2">
      <c r="A79" s="50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H79" s="51"/>
      <c r="BI79" s="51"/>
      <c r="BJ79" s="81" t="s">
        <v>203</v>
      </c>
      <c r="BK79" s="76"/>
      <c r="BL79" s="76"/>
      <c r="BM79" s="76"/>
      <c r="BN79" s="76"/>
      <c r="BO79" s="76"/>
      <c r="BP79" s="76"/>
      <c r="BQ79" s="77"/>
      <c r="BT79" s="81" t="s">
        <v>208</v>
      </c>
      <c r="BU79" s="76"/>
      <c r="BV79" s="76"/>
      <c r="BW79" s="76"/>
      <c r="BX79" s="76"/>
      <c r="BY79" s="76"/>
      <c r="BZ79" s="76"/>
      <c r="CA79" s="77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2"/>
    </row>
    <row r="80" spans="1:96" s="53" customFormat="1" ht="15" customHeight="1" x14ac:dyDescent="0.2">
      <c r="A80" s="50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J80" s="81" t="s">
        <v>204</v>
      </c>
      <c r="BK80" s="76"/>
      <c r="BL80" s="76"/>
      <c r="BM80" s="76"/>
      <c r="BN80" s="76"/>
      <c r="BO80" s="76"/>
      <c r="BP80" s="76"/>
      <c r="BQ80" s="77"/>
      <c r="BT80" s="81" t="s">
        <v>209</v>
      </c>
      <c r="BU80" s="76"/>
      <c r="BV80" s="76"/>
      <c r="BW80" s="76"/>
      <c r="BX80" s="76"/>
      <c r="BY80" s="76"/>
      <c r="BZ80" s="76"/>
      <c r="CA80" s="77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2"/>
    </row>
    <row r="81" spans="1:96" s="53" customFormat="1" ht="15" customHeight="1" x14ac:dyDescent="0.2">
      <c r="A81" s="50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2"/>
    </row>
    <row r="82" spans="1:96" s="53" customFormat="1" ht="15" customHeight="1" x14ac:dyDescent="0.2">
      <c r="A82" s="50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2"/>
    </row>
    <row r="83" spans="1:96" s="53" customFormat="1" ht="15" customHeight="1" x14ac:dyDescent="0.2">
      <c r="A83" s="50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2"/>
    </row>
    <row r="84" spans="1:96" s="53" customFormat="1" ht="15" customHeight="1" x14ac:dyDescent="0.2">
      <c r="A84" s="50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P84" s="51"/>
      <c r="CQ84" s="51"/>
      <c r="CR84" s="52"/>
    </row>
    <row r="85" spans="1:96" s="53" customFormat="1" ht="15" customHeight="1" x14ac:dyDescent="0.2">
      <c r="A85" s="50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P85" s="51"/>
      <c r="CQ85" s="51"/>
      <c r="CR85" s="52"/>
    </row>
    <row r="86" spans="1:96" s="53" customFormat="1" ht="15" customHeight="1" x14ac:dyDescent="0.2">
      <c r="A86" s="50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2"/>
    </row>
    <row r="87" spans="1:96" s="53" customFormat="1" ht="15" customHeight="1" x14ac:dyDescent="0.2">
      <c r="A87" s="50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2"/>
    </row>
    <row r="88" spans="1:96" s="53" customFormat="1" ht="15" customHeight="1" x14ac:dyDescent="0.2">
      <c r="A88" s="50"/>
      <c r="B88" s="22"/>
      <c r="C88" s="22"/>
      <c r="D88" s="22"/>
      <c r="E88" s="22"/>
      <c r="F88" s="22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2"/>
    </row>
    <row r="89" spans="1:96" s="53" customFormat="1" ht="15" customHeight="1" x14ac:dyDescent="0.2">
      <c r="A89" s="50"/>
      <c r="B89" s="22"/>
      <c r="C89" s="22"/>
      <c r="D89" s="22"/>
      <c r="E89" s="22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2"/>
    </row>
    <row r="90" spans="1:96" s="53" customFormat="1" ht="15" customHeight="1" thickBot="1" x14ac:dyDescent="0.25">
      <c r="A90" s="54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6"/>
    </row>
  </sheetData>
  <mergeCells count="126">
    <mergeCell ref="B68:J68"/>
    <mergeCell ref="K68:AI68"/>
    <mergeCell ref="B69:J69"/>
    <mergeCell ref="K69:AI69"/>
    <mergeCell ref="B66:J66"/>
    <mergeCell ref="K66:AI66"/>
    <mergeCell ref="B67:J67"/>
    <mergeCell ref="K67:AI67"/>
    <mergeCell ref="B60:O60"/>
    <mergeCell ref="P60:T60"/>
    <mergeCell ref="U60:W60"/>
    <mergeCell ref="X60:AV60"/>
    <mergeCell ref="B61:O61"/>
    <mergeCell ref="P61:T61"/>
    <mergeCell ref="B65:J65"/>
    <mergeCell ref="K65:AI65"/>
    <mergeCell ref="K64:AI64"/>
    <mergeCell ref="U61:W61"/>
    <mergeCell ref="X61:AV61"/>
    <mergeCell ref="P59:T59"/>
    <mergeCell ref="U59:W59"/>
    <mergeCell ref="X59:AV59"/>
    <mergeCell ref="A48:CR48"/>
    <mergeCell ref="B51:O51"/>
    <mergeCell ref="P51:T51"/>
    <mergeCell ref="U51:W51"/>
    <mergeCell ref="X51:AV51"/>
    <mergeCell ref="B54:O54"/>
    <mergeCell ref="P54:T54"/>
    <mergeCell ref="U54:W54"/>
    <mergeCell ref="X54:AV54"/>
    <mergeCell ref="P58:T58"/>
    <mergeCell ref="U58:W58"/>
    <mergeCell ref="X58:AV58"/>
    <mergeCell ref="B58:G59"/>
    <mergeCell ref="H59:O59"/>
    <mergeCell ref="H58:O58"/>
    <mergeCell ref="B52:O52"/>
    <mergeCell ref="P52:T52"/>
    <mergeCell ref="B56:O56"/>
    <mergeCell ref="U52:W52"/>
    <mergeCell ref="X52:AV52"/>
    <mergeCell ref="B53:O53"/>
    <mergeCell ref="A45:J45"/>
    <mergeCell ref="K45:AV45"/>
    <mergeCell ref="AW45:BH45"/>
    <mergeCell ref="A46:J46"/>
    <mergeCell ref="K46:AV46"/>
    <mergeCell ref="AW46:BH46"/>
    <mergeCell ref="A47:J47"/>
    <mergeCell ref="K47:AV47"/>
    <mergeCell ref="AW47:BH47"/>
    <mergeCell ref="A42:J42"/>
    <mergeCell ref="K42:AV42"/>
    <mergeCell ref="AW42:BH42"/>
    <mergeCell ref="A43:J43"/>
    <mergeCell ref="K43:AV43"/>
    <mergeCell ref="AW43:BH43"/>
    <mergeCell ref="BI43:CR43"/>
    <mergeCell ref="A44:J44"/>
    <mergeCell ref="K44:AV44"/>
    <mergeCell ref="AW44:BH44"/>
    <mergeCell ref="A39:J39"/>
    <mergeCell ref="K39:AV39"/>
    <mergeCell ref="AW39:BH39"/>
    <mergeCell ref="A40:J40"/>
    <mergeCell ref="K40:AV40"/>
    <mergeCell ref="AW40:BH40"/>
    <mergeCell ref="A41:J41"/>
    <mergeCell ref="K41:AV41"/>
    <mergeCell ref="AW41:BH41"/>
    <mergeCell ref="A5:BH5"/>
    <mergeCell ref="BI5:CR5"/>
    <mergeCell ref="BI12:CR12"/>
    <mergeCell ref="A38:BH38"/>
    <mergeCell ref="BI38:CR38"/>
    <mergeCell ref="A4:H4"/>
    <mergeCell ref="I4:AK4"/>
    <mergeCell ref="AL4:AR4"/>
    <mergeCell ref="AS4:BH4"/>
    <mergeCell ref="BI4:BS4"/>
    <mergeCell ref="BT4:CR4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  <mergeCell ref="BC76:BI76"/>
    <mergeCell ref="BJ76:BQ76"/>
    <mergeCell ref="BT76:CA76"/>
    <mergeCell ref="BC52:BI52"/>
    <mergeCell ref="BJ52:BQ52"/>
    <mergeCell ref="BC60:BI60"/>
    <mergeCell ref="BJ60:BQ60"/>
    <mergeCell ref="BC68:BI68"/>
    <mergeCell ref="BJ68:BQ68"/>
    <mergeCell ref="P53:T53"/>
    <mergeCell ref="U53:W53"/>
    <mergeCell ref="X53:AV53"/>
    <mergeCell ref="B55:O55"/>
    <mergeCell ref="P55:T55"/>
    <mergeCell ref="U55:W55"/>
    <mergeCell ref="X55:AV55"/>
    <mergeCell ref="B57:O57"/>
    <mergeCell ref="P56:T56"/>
    <mergeCell ref="U56:W56"/>
    <mergeCell ref="X56:AV56"/>
    <mergeCell ref="P57:T57"/>
    <mergeCell ref="U57:W57"/>
    <mergeCell ref="X57:AV57"/>
  </mergeCells>
  <phoneticPr fontId="2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タイトル</vt:lpstr>
      <vt:lpstr>改訂履歴</vt:lpstr>
      <vt:lpstr>機能概要・画面遷移図</vt:lpstr>
      <vt:lpstr>社員選択</vt:lpstr>
      <vt:lpstr>科目選択</vt:lpstr>
      <vt:lpstr>タイトル!Print_Area</vt:lpstr>
      <vt:lpstr>社員選択!Print_Area</vt:lpstr>
      <vt:lpstr>科目選択!Print_Titles</vt:lpstr>
      <vt:lpstr>改訂履歴!Print_Titles</vt:lpstr>
      <vt:lpstr>機能概要・画面遷移図!Print_Titles</vt:lpstr>
      <vt:lpstr>社員選択!Print_Titles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川勝　恭子</dc:creator>
  <cp:lastModifiedBy>明石　 啓吾</cp:lastModifiedBy>
  <cp:lastPrinted>2024-03-08T02:25:33Z</cp:lastPrinted>
  <dcterms:created xsi:type="dcterms:W3CDTF">2006-03-07T04:00:40Z</dcterms:created>
  <dcterms:modified xsi:type="dcterms:W3CDTF">2025-10-21T05:25:25Z</dcterms:modified>
</cp:coreProperties>
</file>
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okubo0305\Desktop\"/>
    </mc:Choice>
  </mc:AlternateContent>
  <xr:revisionPtr revIDLastSave="0" documentId="13_ncr:1_{96A643C1-E1DF-4C3E-9F0C-88497A788F21}" xr6:coauthVersionLast="47" xr6:coauthVersionMax="47" xr10:uidLastSave="{00000000-0000-0000-0000-000000000000}"/>
  <bookViews>
    <workbookView xWindow="-120" yWindow="-120" windowWidth="29040" windowHeight="15840" tabRatio="584" xr2:uid="{00000000-000D-0000-FFFF-FFFF00000000}"/>
  </bookViews>
  <sheets>
    <sheet name="タイトル" sheetId="266" r:id="rId1"/>
    <sheet name="改訂履歴" sheetId="6" r:id="rId2"/>
    <sheet name="機能概要" sheetId="270" r:id="rId3"/>
  </sheets>
  <definedNames>
    <definedName name="_Toc94971774" localSheetId="2">機能概要!#REF!</definedName>
    <definedName name="_Toc94971775" localSheetId="2">機能概要!#REF!</definedName>
    <definedName name="_xlnm.Print_Area" localSheetId="0">タイトル!$A$1:$AC$36</definedName>
    <definedName name="_xlnm.Print_Titles" localSheetId="1">改訂履歴!$1:$4</definedName>
    <definedName name="_xlnm.Print_Titles" localSheetId="2">機能概要!$1:$4</definedName>
  </definedNames>
  <calcPr calcId="191029"/>
  <fileRecoveryPr repairLoad="1"/>
</workbook>
</file>

<file path=xl/calcChain.xml><?xml version="1.0" encoding="utf-8"?>
<calcChain xmlns="http://schemas.openxmlformats.org/spreadsheetml/2006/main">
  <c r="BR5" i="6" l="1"/>
  <c r="I51" i="266"/>
  <c r="CK1" i="270" l="1"/>
  <c r="AS4" i="270" l="1"/>
  <c r="J5" i="6" l="1"/>
  <c r="AL2" i="270" l="1"/>
  <c r="I2" i="270"/>
  <c r="BW1" i="270"/>
  <c r="BM1" i="270"/>
  <c r="AL1" i="270"/>
  <c r="I1" i="270"/>
  <c r="G11" i="266" l="1"/>
  <c r="G14" i="266"/>
  <c r="G17" i="266"/>
  <c r="G20" i="266"/>
  <c r="J27" i="266"/>
  <c r="J29" i="26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TOBA Tetsuya</author>
  </authors>
  <commentList>
    <comment ref="AH3" authorId="0" shapeId="0" xr:uid="{00000000-0006-0000-0100-000001000000}">
      <text>
        <r>
          <rPr>
            <sz val="9"/>
            <color indexed="81"/>
            <rFont val="ＭＳ Ｐゴシック"/>
            <family val="3"/>
            <charset val="128"/>
          </rPr>
          <t>変更内容を簡潔に記述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TOBA Tetsuya</author>
  </authors>
  <commentList>
    <comment ref="A2" authorId="0" shapeId="0" xr:uid="{00000000-0006-0000-0200-000001000000}">
      <text>
        <r>
          <rPr>
            <sz val="9"/>
            <color indexed="81"/>
            <rFont val="ＭＳ Ｐゴシック"/>
            <family val="3"/>
            <charset val="128"/>
          </rPr>
          <t>人事システム
給与システム
システム基盤 等を書く</t>
        </r>
      </text>
    </comment>
  </commentList>
</comments>
</file>

<file path=xl/sharedStrings.xml><?xml version="1.0" encoding="utf-8"?>
<sst xmlns="http://schemas.openxmlformats.org/spreadsheetml/2006/main" count="142" uniqueCount="134">
  <si>
    <t>工　　　　程</t>
    <rPh sb="0" eb="1">
      <t>コウ</t>
    </rPh>
    <rPh sb="5" eb="6">
      <t>ホド</t>
    </rPh>
    <phoneticPr fontId="2"/>
  </si>
  <si>
    <t>システム名</t>
    <rPh sb="4" eb="5">
      <t>メイ</t>
    </rPh>
    <phoneticPr fontId="2"/>
  </si>
  <si>
    <t>改訂履歴</t>
    <rPh sb="0" eb="2">
      <t>カイテイ</t>
    </rPh>
    <rPh sb="2" eb="4">
      <t>リレキ</t>
    </rPh>
    <phoneticPr fontId="2"/>
  </si>
  <si>
    <t>区分</t>
    <rPh sb="0" eb="2">
      <t>クブン</t>
    </rPh>
    <phoneticPr fontId="2"/>
  </si>
  <si>
    <t>頁</t>
    <rPh sb="0" eb="1">
      <t>ページ</t>
    </rPh>
    <phoneticPr fontId="2"/>
  </si>
  <si>
    <t>新規／改訂日</t>
    <rPh sb="0" eb="2">
      <t>シンキ</t>
    </rPh>
    <rPh sb="3" eb="5">
      <t>カイテイ</t>
    </rPh>
    <rPh sb="5" eb="6">
      <t>ビ</t>
    </rPh>
    <phoneticPr fontId="2"/>
  </si>
  <si>
    <t>改訂箇所</t>
    <rPh sb="0" eb="2">
      <t>カイテイ</t>
    </rPh>
    <rPh sb="2" eb="4">
      <t>カショ</t>
    </rPh>
    <phoneticPr fontId="2"/>
  </si>
  <si>
    <t>改訂理由</t>
    <rPh sb="0" eb="2">
      <t>カイテイ</t>
    </rPh>
    <rPh sb="2" eb="4">
      <t>リユウ</t>
    </rPh>
    <phoneticPr fontId="2"/>
  </si>
  <si>
    <t>新規／改訂者</t>
    <rPh sb="0" eb="2">
      <t>シンキ</t>
    </rPh>
    <rPh sb="3" eb="5">
      <t>カイテイ</t>
    </rPh>
    <rPh sb="5" eb="6">
      <t>シャ</t>
    </rPh>
    <phoneticPr fontId="2"/>
  </si>
  <si>
    <t>　※ページ毎に個別入力</t>
    <rPh sb="5" eb="6">
      <t>ゴト</t>
    </rPh>
    <rPh sb="7" eb="9">
      <t>コベツ</t>
    </rPh>
    <rPh sb="9" eb="11">
      <t>ニュウリョク</t>
    </rPh>
    <phoneticPr fontId="2"/>
  </si>
  <si>
    <t>タイトル項目埋め込み内容</t>
    <rPh sb="4" eb="6">
      <t>コウモク</t>
    </rPh>
    <rPh sb="6" eb="7">
      <t>ウ</t>
    </rPh>
    <rPh sb="8" eb="9">
      <t>コ</t>
    </rPh>
    <rPh sb="10" eb="12">
      <t>ナイヨウ</t>
    </rPh>
    <phoneticPr fontId="2"/>
  </si>
  <si>
    <t>新規</t>
    <rPh sb="0" eb="2">
      <t>シンキ</t>
    </rPh>
    <phoneticPr fontId="2"/>
  </si>
  <si>
    <t>作　成</t>
    <rPh sb="0" eb="1">
      <t>サク</t>
    </rPh>
    <rPh sb="2" eb="3">
      <t>シゲル</t>
    </rPh>
    <phoneticPr fontId="2"/>
  </si>
  <si>
    <t>管理記号</t>
    <rPh sb="0" eb="2">
      <t>カンリ</t>
    </rPh>
    <rPh sb="2" eb="4">
      <t>キゴウ</t>
    </rPh>
    <phoneticPr fontId="2"/>
  </si>
  <si>
    <t>サブシステム名</t>
    <rPh sb="6" eb="7">
      <t>メイ</t>
    </rPh>
    <phoneticPr fontId="2"/>
  </si>
  <si>
    <t>改　訂</t>
    <rPh sb="0" eb="1">
      <t>アラタ</t>
    </rPh>
    <rPh sb="2" eb="3">
      <t>テイ</t>
    </rPh>
    <phoneticPr fontId="2"/>
  </si>
  <si>
    <t>No</t>
    <phoneticPr fontId="2"/>
  </si>
  <si>
    <t>Ver</t>
    <phoneticPr fontId="2"/>
  </si>
  <si>
    <t>新規作成</t>
    <rPh sb="0" eb="2">
      <t>シンキ</t>
    </rPh>
    <rPh sb="2" eb="4">
      <t>サクセイ</t>
    </rPh>
    <phoneticPr fontId="2"/>
  </si>
  <si>
    <t>見出し部タイトル制御テーブル</t>
    <rPh sb="0" eb="2">
      <t>ミダ</t>
    </rPh>
    <rPh sb="3" eb="4">
      <t>ブ</t>
    </rPh>
    <rPh sb="8" eb="10">
      <t>セイギョ</t>
    </rPh>
    <phoneticPr fontId="2"/>
  </si>
  <si>
    <t>タイトル項目</t>
    <rPh sb="4" eb="6">
      <t>コウモク</t>
    </rPh>
    <phoneticPr fontId="2"/>
  </si>
  <si>
    <t>　①システム名</t>
    <rPh sb="6" eb="7">
      <t>メイ</t>
    </rPh>
    <phoneticPr fontId="2"/>
  </si>
  <si>
    <t>　②サブシステム名</t>
    <rPh sb="8" eb="9">
      <t>メイ</t>
    </rPh>
    <phoneticPr fontId="2"/>
  </si>
  <si>
    <t>　③分類名</t>
    <rPh sb="2" eb="4">
      <t>ブンルイ</t>
    </rPh>
    <rPh sb="4" eb="5">
      <t>メイ</t>
    </rPh>
    <phoneticPr fontId="2"/>
  </si>
  <si>
    <t>　④作業工程名</t>
    <rPh sb="2" eb="4">
      <t>サギョウ</t>
    </rPh>
    <rPh sb="4" eb="6">
      <t>コウテイ</t>
    </rPh>
    <rPh sb="6" eb="7">
      <t>メイ</t>
    </rPh>
    <phoneticPr fontId="2"/>
  </si>
  <si>
    <t>　⑤ドキュメント代表名</t>
    <rPh sb="8" eb="10">
      <t>ダイヒョウ</t>
    </rPh>
    <rPh sb="10" eb="11">
      <t>メイ</t>
    </rPh>
    <phoneticPr fontId="2"/>
  </si>
  <si>
    <t>　⑥ドキュメント詳細名</t>
    <rPh sb="8" eb="10">
      <t>ショウサイ</t>
    </rPh>
    <rPh sb="10" eb="11">
      <t>メイ</t>
    </rPh>
    <phoneticPr fontId="2"/>
  </si>
  <si>
    <t>　⑦作成者</t>
    <rPh sb="2" eb="5">
      <t>サクセイシャ</t>
    </rPh>
    <phoneticPr fontId="2"/>
  </si>
  <si>
    <t>　⑧作成日</t>
    <rPh sb="2" eb="5">
      <t>サクセイビ</t>
    </rPh>
    <phoneticPr fontId="2"/>
  </si>
  <si>
    <t>　⑦改定者</t>
    <rPh sb="2" eb="4">
      <t>カイテイ</t>
    </rPh>
    <rPh sb="4" eb="5">
      <t>シャ</t>
    </rPh>
    <phoneticPr fontId="2"/>
  </si>
  <si>
    <t>　⑧改定日</t>
    <rPh sb="2" eb="4">
      <t>カイテイ</t>
    </rPh>
    <rPh sb="4" eb="5">
      <t>ビ</t>
    </rPh>
    <phoneticPr fontId="2"/>
  </si>
  <si>
    <t>　⑨管理記号</t>
    <rPh sb="2" eb="4">
      <t>カンリ</t>
    </rPh>
    <rPh sb="4" eb="6">
      <t>キゴウ</t>
    </rPh>
    <phoneticPr fontId="2"/>
  </si>
  <si>
    <t>ドキュメント</t>
    <phoneticPr fontId="2"/>
  </si>
  <si>
    <t xml:space="preserve">　 </t>
    <phoneticPr fontId="2"/>
  </si>
  <si>
    <t>　⑩Ｖｅｒ</t>
    <phoneticPr fontId="2"/>
  </si>
  <si>
    <t>　利用想定ユーザー</t>
    <rPh sb="1" eb="3">
      <t>リヨウ</t>
    </rPh>
    <rPh sb="3" eb="5">
      <t>ソウテイ</t>
    </rPh>
    <phoneticPr fontId="2"/>
  </si>
  <si>
    <t>　機能名称</t>
    <rPh sb="1" eb="3">
      <t>キノウ</t>
    </rPh>
    <rPh sb="3" eb="5">
      <t>メイショウ</t>
    </rPh>
    <phoneticPr fontId="2"/>
  </si>
  <si>
    <t>　機能ＩＤ</t>
    <rPh sb="1" eb="3">
      <t>キノウ</t>
    </rPh>
    <phoneticPr fontId="2"/>
  </si>
  <si>
    <t>　機能設計</t>
    <rPh sb="1" eb="3">
      <t>キノウ</t>
    </rPh>
    <rPh sb="3" eb="5">
      <t>セッケイ</t>
    </rPh>
    <phoneticPr fontId="2"/>
  </si>
  <si>
    <t>機　　能　　概　　要</t>
    <rPh sb="0" eb="1">
      <t>キ</t>
    </rPh>
    <rPh sb="3" eb="4">
      <t>ノウ</t>
    </rPh>
    <rPh sb="6" eb="7">
      <t>オオムネ</t>
    </rPh>
    <rPh sb="9" eb="10">
      <t>ヨウ</t>
    </rPh>
    <phoneticPr fontId="2"/>
  </si>
  <si>
    <t>　共通機能</t>
    <rPh sb="1" eb="3">
      <t>キョウツウ</t>
    </rPh>
    <rPh sb="3" eb="5">
      <t>キノウ</t>
    </rPh>
    <phoneticPr fontId="2"/>
  </si>
  <si>
    <t>DUC010</t>
    <phoneticPr fontId="2"/>
  </si>
  <si>
    <t>　学生勤務管理システム</t>
    <rPh sb="1" eb="3">
      <t>ガクセイ</t>
    </rPh>
    <rPh sb="3" eb="5">
      <t>キンム</t>
    </rPh>
    <rPh sb="5" eb="7">
      <t>カンリ</t>
    </rPh>
    <phoneticPr fontId="2"/>
  </si>
  <si>
    <t>機能</t>
    <rPh sb="0" eb="2">
      <t>キノウ</t>
    </rPh>
    <phoneticPr fontId="2"/>
  </si>
  <si>
    <t>大久保　梓沙</t>
    <rPh sb="0" eb="3">
      <t>オオクボ</t>
    </rPh>
    <rPh sb="4" eb="6">
      <t>アヅサ</t>
    </rPh>
    <phoneticPr fontId="2"/>
  </si>
  <si>
    <t xml:space="preserve"> </t>
    <phoneticPr fontId="2"/>
  </si>
  <si>
    <t>　AOP</t>
    <phoneticPr fontId="2"/>
  </si>
  <si>
    <t>AOP</t>
    <phoneticPr fontId="11"/>
  </si>
  <si>
    <t>１．</t>
    <phoneticPr fontId="11"/>
  </si>
  <si>
    <t>リクエスト</t>
    <phoneticPr fontId="10"/>
  </si>
  <si>
    <t>レスポンス</t>
    <phoneticPr fontId="11"/>
  </si>
  <si>
    <t>1</t>
    <phoneticPr fontId="2"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</si>
  <si>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</si>
  <si>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</si>
  <si>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</si>
  <si>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</si>
  <si>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</si>
  <si>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</si>
  <si>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</si>
  <si>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</si>
  <si>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</si>
  <si>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</si>
  <si>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</si>
  <si>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独自例外処理インターセプターの処理の流れ</t>
    <rPh sb="0" eb="2">
      <t>ドクジ</t>
    </rPh>
    <rPh sb="2" eb="4">
      <t>レイガイ</t>
    </rPh>
    <rPh sb="4" eb="6">
      <t>ショリ</t>
    </rPh>
    <rPh sb="15" eb="17">
      <t>ショリ</t>
    </rPh>
    <rPh sb="18" eb="19">
      <t>ナガ</t>
    </rPh>
    <phoneticPr fontId="2"/>
  </si>
  <si>
    <t>２．</t>
    <phoneticPr fontId="11"/>
  </si>
  <si>
    <t>インターセプター処理概要と処理順序</t>
    <rPh sb="8" eb="10">
      <t>ショリ</t>
    </rPh>
    <rPh sb="10" eb="12">
      <t>ガイヨウ</t>
    </rPh>
    <rPh sb="13" eb="17">
      <t>ショリジュンジョ</t>
    </rPh>
    <phoneticPr fontId="2"/>
  </si>
  <si>
    <t>インターセプター</t>
    <phoneticPr fontId="11"/>
  </si>
  <si>
    <t>順序</t>
    <rPh sb="0" eb="2">
      <t>ジュンジョ</t>
    </rPh>
    <phoneticPr fontId="11"/>
  </si>
  <si>
    <t>概要</t>
    <rPh sb="0" eb="2">
      <t>ガイヨウ</t>
    </rPh>
    <phoneticPr fontId="11"/>
  </si>
  <si>
    <t>SyncSessionInterceptor</t>
    <phoneticPr fontId="11"/>
  </si>
  <si>
    <t>NoCacheInterceptor</t>
    <phoneticPr fontId="11"/>
  </si>
  <si>
    <t>LocaleInterceptor</t>
    <phoneticPr fontId="11"/>
  </si>
  <si>
    <t>RollbackInterceptor</t>
    <phoneticPr fontId="11"/>
  </si>
  <si>
    <t>ConstraintInterceptor</t>
    <phoneticPr fontId="11"/>
  </si>
  <si>
    <t>DuplicateInsertInterceptor</t>
    <phoneticPr fontId="11"/>
  </si>
  <si>
    <t>HaitaMessageInterceptor</t>
    <phoneticPr fontId="11"/>
  </si>
  <si>
    <t>KisyuIzonMoziInterceptor</t>
    <phoneticPr fontId="11"/>
  </si>
  <si>
    <t>KssTraceThrowsInterceptor</t>
    <phoneticPr fontId="11"/>
  </si>
  <si>
    <t>KssTraceInterceptor</t>
    <phoneticPr fontId="11"/>
  </si>
  <si>
    <t>（１）</t>
    <phoneticPr fontId="11"/>
  </si>
  <si>
    <t>（2）</t>
    <phoneticPr fontId="11"/>
  </si>
  <si>
    <t>WEBアプリケーション（AOP）のインターセプター</t>
    <phoneticPr fontId="11"/>
  </si>
  <si>
    <t>PostMethodCheckInterceptor</t>
    <phoneticPr fontId="11"/>
  </si>
  <si>
    <t>FileSizeLimitExceededInterceptor</t>
    <phoneticPr fontId="11"/>
  </si>
  <si>
    <t>13</t>
  </si>
  <si>
    <t>14</t>
  </si>
  <si>
    <t>15</t>
  </si>
  <si>
    <t>16</t>
  </si>
  <si>
    <t>AccessLogInterceptor</t>
    <phoneticPr fontId="11"/>
  </si>
  <si>
    <t>s2mai.XAResourceSortInterceptor</t>
    <phoneticPr fontId="11"/>
  </si>
  <si>
    <t>j2ee.requiredTx</t>
    <phoneticPr fontId="11"/>
  </si>
  <si>
    <t>17</t>
  </si>
  <si>
    <t>18</t>
  </si>
  <si>
    <t>19</t>
  </si>
  <si>
    <t>20</t>
  </si>
  <si>
    <t>21</t>
  </si>
  <si>
    <t>22</t>
  </si>
  <si>
    <t>23</t>
  </si>
  <si>
    <t>DisplayServerInterceptor</t>
    <phoneticPr fontId="11"/>
  </si>
  <si>
    <t>GuidanceClearInterceptor</t>
    <phoneticPr fontId="11"/>
  </si>
  <si>
    <t>PageSeniCheckInterceptor</t>
    <phoneticPr fontId="11"/>
  </si>
  <si>
    <t>NavigationInterceptor</t>
    <phoneticPr fontId="11"/>
  </si>
  <si>
    <t>ExpirationInterceptor</t>
    <phoneticPr fontId="11"/>
  </si>
  <si>
    <t>LoginCertifyInterceptor</t>
    <phoneticPr fontId="11"/>
  </si>
  <si>
    <t>SecureTokenInterceptor</t>
    <phoneticPr fontId="11"/>
  </si>
  <si>
    <t>UnderConstructionInterceptor</t>
    <phoneticPr fontId="11"/>
  </si>
  <si>
    <t>AJAXのインターセプター</t>
    <phoneticPr fontId="11"/>
  </si>
  <si>
    <t>LoginCertifyForAjaxInterceptor</t>
    <phoneticPr fontId="11"/>
  </si>
  <si>
    <t>Requiredのトランザクション属性を有効にするためのカスタマイザ（Seasar標準機能）</t>
    <phoneticPr fontId="11"/>
  </si>
  <si>
    <t>ログイン認証とユーザ権限チェックを行う。</t>
    <phoneticPr fontId="11"/>
  </si>
  <si>
    <t>1)画面遷移、戻り先検索処理。 (2)セッション情報のクリア。</t>
    <phoneticPr fontId="11"/>
  </si>
  <si>
    <t>学生、承認者、担当者、管理者</t>
    <rPh sb="0" eb="2">
      <t>ガクセイ</t>
    </rPh>
    <rPh sb="3" eb="6">
      <t>ショウニンシャ</t>
    </rPh>
    <rPh sb="7" eb="10">
      <t>タントウシャ</t>
    </rPh>
    <rPh sb="11" eb="14">
      <t>カンリシャ</t>
    </rPh>
    <phoneticPr fontId="10"/>
  </si>
  <si>
    <t>・・・</t>
    <phoneticPr fontId="11"/>
  </si>
  <si>
    <t>例外が発生した場合にセッションを無効化する。</t>
    <rPh sb="16" eb="19">
      <t>ムコウカ</t>
    </rPh>
    <phoneticPr fontId="11"/>
  </si>
  <si>
    <t>戻るボタン対策。
キャッシュしないように、レスポンスのHTTPヘッダに
　Cache-Control: no-cache
　Cache-Control: no-store
　Expires: -1
　Pragma: no-cache
をセットして返す。</t>
    <phoneticPr fontId="11"/>
  </si>
  <si>
    <t>画面共通Beanの英語モードを元に、ロケールを切り替える。
ユーザ区分が1：学生または2：承認者の場合、Cookie「englishMode」があれば、画面共通Beanの英語モードを上書きする。</t>
    <rPh sb="0" eb="2">
      <t>ガメン</t>
    </rPh>
    <rPh sb="2" eb="4">
      <t>キョウツウ</t>
    </rPh>
    <rPh sb="9" eb="11">
      <t>エイゴ</t>
    </rPh>
    <rPh sb="15" eb="16">
      <t>モト</t>
    </rPh>
    <rPh sb="23" eb="24">
      <t>キ</t>
    </rPh>
    <rPh sb="25" eb="26">
      <t>カ</t>
    </rPh>
    <rPh sb="33" eb="35">
      <t>クブン</t>
    </rPh>
    <rPh sb="38" eb="40">
      <t>ガクセイ</t>
    </rPh>
    <rPh sb="45" eb="48">
      <t>ショウニンシャ</t>
    </rPh>
    <rPh sb="49" eb="51">
      <t>バアイ</t>
    </rPh>
    <phoneticPr fontId="11"/>
  </si>
  <si>
    <t>ロールバックが発生した時、例外として処理しない。</t>
    <rPh sb="13" eb="15">
      <t>レイガイ</t>
    </rPh>
    <rPh sb="18" eb="20">
      <t>ショリ</t>
    </rPh>
    <phoneticPr fontId="11"/>
  </si>
  <si>
    <t>参照整合性制約例外が発生した時、ガイダンスにメッセージ（E0061）を表示する。</t>
    <rPh sb="35" eb="37">
      <t>ヒョウジ</t>
    </rPh>
    <phoneticPr fontId="11"/>
  </si>
  <si>
    <t>インサートで重複例外が発生した時、ガイダンスにメッセージ（E0016）を表示する。</t>
    <rPh sb="36" eb="38">
      <t>ヒョウジ</t>
    </rPh>
    <phoneticPr fontId="11"/>
  </si>
  <si>
    <t>排他例外が発生した時、ガイダンスにメッセージ（E0061）を表示する。</t>
    <rPh sb="30" eb="32">
      <t>ヒョウジ</t>
    </rPh>
    <phoneticPr fontId="11"/>
  </si>
  <si>
    <t>機種依存文字が入力された時、ガイダンスにメッセージ（E0009）を表示する。</t>
    <phoneticPr fontId="11"/>
  </si>
  <si>
    <t>デバックモードの時、ログにトレース出力を行う。</t>
    <rPh sb="8" eb="9">
      <t>トキ</t>
    </rPh>
    <rPh sb="20" eb="21">
      <t>オコナ</t>
    </rPh>
    <phoneticPr fontId="11"/>
  </si>
  <si>
    <t>@PermitGetMethodが指定されていない画面の場合、POST以外のメソッドであれば、認証エラーとする。</t>
    <rPh sb="17" eb="19">
      <t>シテイ</t>
    </rPh>
    <rPh sb="25" eb="27">
      <t>ガメン</t>
    </rPh>
    <rPh sb="28" eb="30">
      <t>バアイ</t>
    </rPh>
    <rPh sb="47" eb="49">
      <t>ニンショウ</t>
    </rPh>
    <phoneticPr fontId="11"/>
  </si>
  <si>
    <t>アップロードしたファイルサイズ上限を超過した場合、ガイダンスにメッセージ（E0086）を表示する。</t>
    <rPh sb="22" eb="24">
      <t>バアイ</t>
    </rPh>
    <rPh sb="44" eb="46">
      <t>ヒョウジ</t>
    </rPh>
    <phoneticPr fontId="11"/>
  </si>
  <si>
    <t>アクション実行前に、アクセス情報をAccessLogテーブルに登録する。</t>
    <rPh sb="14" eb="16">
      <t>ジョウホウ</t>
    </rPh>
    <rPh sb="31" eb="33">
      <t>トウロク</t>
    </rPh>
    <phoneticPr fontId="11"/>
  </si>
  <si>
    <t>サーバー表示を行う。</t>
    <phoneticPr fontId="11"/>
  </si>
  <si>
    <t>画面共通Beanのガイダンスメッセージをクリアする。</t>
    <phoneticPr fontId="11"/>
  </si>
  <si>
    <t>戻るボタン対策。
ページ遷移チェック。想定外の遷移を行っていないかチェックする。</t>
    <rPh sb="26" eb="27">
      <t>オコナ</t>
    </rPh>
    <phoneticPr fontId="11"/>
  </si>
  <si>
    <t>有効期限切れチェック</t>
    <phoneticPr fontId="11"/>
  </si>
  <si>
    <t>CSRF対策</t>
    <phoneticPr fontId="11"/>
  </si>
  <si>
    <t>まだ画面が作成されていない場合にガイダンスにメッセージ（W0001）を表示する。</t>
    <rPh sb="35" eb="37">
      <t>ヒョウジ</t>
    </rPh>
    <phoneticPr fontId="11"/>
  </si>
  <si>
    <t>例外をトレース（ログにログインIDとエラー内容を吐き出す）する。</t>
    <phoneticPr fontId="11"/>
  </si>
  <si>
    <t>AJAX用ログイン認証。ログイン認証チェックを行う。</t>
    <phoneticPr fontId="11"/>
  </si>
  <si>
    <t>ソートのためのカスタマイザ（Seasar標準機能）</t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</si>
</sst>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年&quot;m&quot;月&quot;d&quot;日&quot;;@"/>
    <numFmt numFmtId="177" formatCode="0.00_ "/>
  </numFmts>
  <fonts count="17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sz val="10"/>
      <name val="ＭＳ 明朝"/>
      <family val="1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20"/>
      <name val="ＭＳ ゴシック"/>
      <family val="3"/>
      <charset val="128"/>
    </font>
    <font>
      <sz val="14"/>
      <name val="ＭＳ 明朝"/>
      <family val="1"/>
      <charset val="128"/>
    </font>
    <font>
      <sz val="10"/>
      <name val="ＭＳ Ｐゴシック"/>
      <family val="3"/>
      <charset val="128"/>
    </font>
    <font>
      <sz val="6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b/>
      <sz val="10"/>
      <name val="ＭＳ ゴシック"/>
      <family val="3"/>
      <charset val="128"/>
    </font>
    <font>
      <sz val="11"/>
      <color theme="1"/>
      <name val="ＭＳ Ｐゴシック"/>
      <family val="2"/>
      <scheme val="minor"/>
    </font>
    <font>
      <u/>
      <sz val="11"/>
      <color theme="10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明朝"/>
      <family val="1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0" fontId="1" fillId="0" borderId="0"/>
    <xf numFmtId="0" fontId="13" fillId="0" borderId="0"/>
    <xf numFmtId="0" fontId="14" fillId="0" borderId="0" applyNumberFormat="0" applyFill="0" applyBorder="0" applyAlignment="0" applyProtection="0"/>
    <xf numFmtId="0" fontId="15" fillId="0" borderId="0">
      <alignment vertical="center"/>
    </xf>
    <xf numFmtId="0" fontId="1" fillId="0" borderId="0"/>
  </cellStyleXfs>
  <cellXfs count="177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5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5" fillId="2" borderId="5" xfId="0" applyFont="1" applyFill="1" applyBorder="1"/>
    <xf numFmtId="0" fontId="5" fillId="2" borderId="0" xfId="0" applyFont="1" applyFill="1"/>
    <xf numFmtId="0" fontId="5" fillId="2" borderId="6" xfId="0" applyFont="1" applyFill="1" applyBorder="1"/>
    <xf numFmtId="0" fontId="5" fillId="2" borderId="7" xfId="0" applyFont="1" applyFill="1" applyBorder="1"/>
    <xf numFmtId="0" fontId="5" fillId="2" borderId="8" xfId="0" applyFont="1" applyFill="1" applyBorder="1"/>
    <xf numFmtId="0" fontId="4" fillId="0" borderId="0" xfId="0" applyFont="1"/>
    <xf numFmtId="49" fontId="1" fillId="0" borderId="0" xfId="0" applyNumberFormat="1" applyFont="1"/>
    <xf numFmtId="0" fontId="5" fillId="0" borderId="0" xfId="0" applyFont="1"/>
    <xf numFmtId="0" fontId="5" fillId="0" borderId="0" xfId="0" applyFont="1" applyAlignment="1">
      <alignment vertical="center"/>
    </xf>
    <xf numFmtId="0" fontId="9" fillId="0" borderId="0" xfId="0" applyFont="1"/>
    <xf numFmtId="0" fontId="4" fillId="0" borderId="0" xfId="0" applyFont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12" xfId="0" applyFont="1" applyBorder="1"/>
    <xf numFmtId="0" fontId="12" fillId="0" borderId="12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4" fillId="0" borderId="0" xfId="0" quotePrefix="1" applyFont="1" applyAlignment="1">
      <alignment vertical="center"/>
    </xf>
    <xf numFmtId="0" fontId="16" fillId="0" borderId="0" xfId="0" quotePrefix="1" applyFont="1" applyAlignment="1">
      <alignment vertical="center"/>
    </xf>
    <xf numFmtId="0" fontId="16" fillId="0" borderId="0" xfId="0" applyFont="1" applyAlignment="1">
      <alignment vertical="center"/>
    </xf>
    <xf numFmtId="0" fontId="5" fillId="5" borderId="21" xfId="0" applyFont="1" applyFill="1" applyBorder="1" applyAlignment="1">
      <alignment vertical="center"/>
    </xf>
    <xf numFmtId="0" fontId="5" fillId="3" borderId="21" xfId="0" applyFont="1" applyFill="1" applyBorder="1" applyAlignment="1">
      <alignment horizontal="center" vertical="center"/>
    </xf>
    <xf numFmtId="1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0" borderId="21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4" fontId="5" fillId="0" borderId="21" xfId="0" applyNumberFormat="1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vertical="center"/>
    </xf>
    <xf numFmtId="0" fontId="4" fillId="0" borderId="21" xfId="0" applyFont="1" applyBorder="1" applyAlignment="1">
      <alignment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/>
    </xf>
    <xf numFmtId="177" fontId="4" fillId="0" borderId="21" xfId="0" applyNumberFormat="1" applyFont="1" applyBorder="1" applyAlignment="1">
      <alignment horizontal="center" vertical="center"/>
    </xf>
    <xf numFmtId="31" fontId="4" fillId="0" borderId="21" xfId="0" applyNumberFormat="1" applyFont="1" applyBorder="1" applyAlignment="1">
      <alignment horizontal="center" vertical="center"/>
    </xf>
    <xf numFmtId="0" fontId="4" fillId="0" borderId="21" xfId="0" applyFont="1" applyBorder="1" applyAlignment="1">
      <alignment vertical="center" shrinkToFit="1"/>
    </xf>
    <xf numFmtId="0" fontId="6" fillId="4" borderId="21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vertical="center"/>
    </xf>
    <xf numFmtId="0" fontId="4" fillId="6" borderId="21" xfId="0" applyFont="1" applyFill="1" applyBorder="1" applyAlignment="1">
      <alignment horizontal="left" vertical="center"/>
    </xf>
    <xf numFmtId="0" fontId="4" fillId="6" borderId="19" xfId="0" applyFont="1" applyFill="1" applyBorder="1" applyAlignment="1">
      <alignment vertical="center"/>
    </xf>
    <xf numFmtId="0" fontId="4" fillId="6" borderId="15" xfId="0" applyFont="1" applyFill="1" applyBorder="1" applyAlignment="1">
      <alignment vertical="center"/>
    </xf>
    <xf numFmtId="0" fontId="4" fillId="6" borderId="16" xfId="0" applyFont="1" applyFill="1" applyBorder="1" applyAlignment="1">
      <alignment vertical="center"/>
    </xf>
    <xf numFmtId="0" fontId="4" fillId="6" borderId="20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176" fontId="4" fillId="6" borderId="19" xfId="0" applyNumberFormat="1" applyFont="1" applyFill="1" applyBorder="1" applyAlignment="1">
      <alignment horizontal="center" vertical="center"/>
    </xf>
    <xf numFmtId="176" fontId="4" fillId="6" borderId="15" xfId="0" applyNumberFormat="1" applyFont="1" applyFill="1" applyBorder="1" applyAlignment="1">
      <alignment horizontal="center" vertical="center"/>
    </xf>
    <xf numFmtId="176" fontId="4" fillId="6" borderId="16" xfId="0" applyNumberFormat="1" applyFont="1" applyFill="1" applyBorder="1" applyAlignment="1">
      <alignment horizontal="center" vertical="center"/>
    </xf>
    <xf numFmtId="49" fontId="6" fillId="4" borderId="1" xfId="0" applyNumberFormat="1" applyFont="1" applyFill="1" applyBorder="1" applyAlignment="1">
      <alignment horizontal="center" vertical="center"/>
    </xf>
    <xf numFmtId="49" fontId="6" fillId="4" borderId="2" xfId="0" applyNumberFormat="1" applyFont="1" applyFill="1" applyBorder="1" applyAlignment="1">
      <alignment horizontal="center" vertical="center"/>
    </xf>
    <xf numFmtId="49" fontId="6" fillId="4" borderId="3" xfId="0" applyNumberFormat="1" applyFont="1" applyFill="1" applyBorder="1" applyAlignment="1">
      <alignment horizontal="center" vertical="center"/>
    </xf>
    <xf numFmtId="49" fontId="6" fillId="4" borderId="6" xfId="0" applyNumberFormat="1" applyFont="1" applyFill="1" applyBorder="1" applyAlignment="1">
      <alignment horizontal="center" vertical="center"/>
    </xf>
    <xf numFmtId="49" fontId="6" fillId="4" borderId="7" xfId="0" applyNumberFormat="1" applyFont="1" applyFill="1" applyBorder="1" applyAlignment="1">
      <alignment horizontal="center" vertical="center"/>
    </xf>
    <xf numFmtId="49" fontId="6" fillId="4" borderId="8" xfId="0" applyNumberFormat="1" applyFont="1" applyFill="1" applyBorder="1" applyAlignment="1">
      <alignment horizontal="center" vertical="center"/>
    </xf>
    <xf numFmtId="177" fontId="4" fillId="6" borderId="19" xfId="0" applyNumberFormat="1" applyFont="1" applyFill="1" applyBorder="1" applyAlignment="1">
      <alignment horizontal="center" vertical="center"/>
    </xf>
    <xf numFmtId="177" fontId="4" fillId="6" borderId="15" xfId="0" applyNumberFormat="1" applyFont="1" applyFill="1" applyBorder="1" applyAlignment="1">
      <alignment horizontal="center" vertical="center"/>
    </xf>
    <xf numFmtId="177" fontId="4" fillId="6" borderId="16" xfId="0" applyNumberFormat="1" applyFont="1" applyFill="1" applyBorder="1" applyAlignment="1">
      <alignment horizontal="center" vertical="center"/>
    </xf>
    <xf numFmtId="49" fontId="6" fillId="6" borderId="19" xfId="5" applyNumberFormat="1" applyFont="1" applyFill="1" applyBorder="1"/>
    <xf numFmtId="49" fontId="6" fillId="6" borderId="15" xfId="5" applyNumberFormat="1" applyFont="1" applyFill="1" applyBorder="1"/>
    <xf numFmtId="49" fontId="6" fillId="6" borderId="16" xfId="5" applyNumberFormat="1" applyFont="1" applyFill="1" applyBorder="1"/>
    <xf numFmtId="0" fontId="4" fillId="7" borderId="21" xfId="0" applyFont="1" applyFill="1" applyBorder="1" applyAlignment="1">
      <alignment vertical="center"/>
    </xf>
    <xf numFmtId="0" fontId="5" fillId="4" borderId="33" xfId="1" applyFont="1" applyFill="1" applyBorder="1" applyAlignment="1">
      <alignment horizontal="center" vertical="center"/>
    </xf>
    <xf numFmtId="0" fontId="5" fillId="4" borderId="23" xfId="1" applyFont="1" applyFill="1" applyBorder="1" applyAlignment="1">
      <alignment horizontal="center" vertical="center"/>
    </xf>
    <xf numFmtId="0" fontId="5" fillId="4" borderId="34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0" xfId="1" applyFont="1" applyFill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13" xfId="1" applyFont="1" applyFill="1" applyBorder="1" applyAlignment="1">
      <alignment horizontal="center" vertical="center"/>
    </xf>
    <xf numFmtId="0" fontId="5" fillId="4" borderId="12" xfId="1" applyFont="1" applyFill="1" applyBorder="1" applyAlignment="1">
      <alignment horizontal="center" vertical="center"/>
    </xf>
    <xf numFmtId="0" fontId="5" fillId="4" borderId="18" xfId="1" applyFont="1" applyFill="1" applyBorder="1" applyAlignment="1">
      <alignment horizontal="center" vertical="center"/>
    </xf>
    <xf numFmtId="0" fontId="5" fillId="0" borderId="33" xfId="1" applyFont="1" applyBorder="1" applyAlignment="1">
      <alignment horizontal="center" vertical="center"/>
    </xf>
    <xf numFmtId="0" fontId="5" fillId="0" borderId="23" xfId="1" applyFont="1" applyBorder="1" applyAlignment="1">
      <alignment horizontal="center" vertical="center"/>
    </xf>
    <xf numFmtId="0" fontId="5" fillId="0" borderId="24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4" borderId="17" xfId="1" applyFont="1" applyFill="1" applyBorder="1" applyAlignment="1">
      <alignment vertical="center"/>
    </xf>
    <xf numFmtId="0" fontId="5" fillId="4" borderId="15" xfId="1" applyFont="1" applyFill="1" applyBorder="1" applyAlignment="1">
      <alignment vertical="center"/>
    </xf>
    <xf numFmtId="0" fontId="5" fillId="4" borderId="16" xfId="1" applyFont="1" applyFill="1" applyBorder="1" applyAlignment="1">
      <alignment vertical="center"/>
    </xf>
    <xf numFmtId="0" fontId="5" fillId="0" borderId="19" xfId="1" applyFont="1" applyBorder="1" applyAlignment="1">
      <alignment vertical="center" wrapText="1"/>
    </xf>
    <xf numFmtId="0" fontId="5" fillId="0" borderId="15" xfId="1" applyFont="1" applyBorder="1" applyAlignment="1">
      <alignment vertical="center" wrapText="1"/>
    </xf>
    <xf numFmtId="0" fontId="5" fillId="0" borderId="16" xfId="1" applyFont="1" applyBorder="1" applyAlignment="1">
      <alignment vertical="center" wrapText="1"/>
    </xf>
    <xf numFmtId="0" fontId="5" fillId="4" borderId="1" xfId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0" fontId="5" fillId="4" borderId="3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left" vertical="center"/>
    </xf>
    <xf numFmtId="0" fontId="5" fillId="0" borderId="2" xfId="1" applyFont="1" applyBorder="1" applyAlignment="1">
      <alignment horizontal="left" vertical="center"/>
    </xf>
    <xf numFmtId="0" fontId="5" fillId="0" borderId="3" xfId="1" applyFont="1" applyBorder="1" applyAlignment="1">
      <alignment horizontal="left" vertical="center"/>
    </xf>
    <xf numFmtId="0" fontId="5" fillId="4" borderId="19" xfId="1" applyFont="1" applyFill="1" applyBorder="1" applyAlignment="1">
      <alignment horizontal="center" vertical="center"/>
    </xf>
    <xf numFmtId="0" fontId="5" fillId="4" borderId="15" xfId="1" applyFont="1" applyFill="1" applyBorder="1" applyAlignment="1">
      <alignment horizontal="center" vertical="center"/>
    </xf>
    <xf numFmtId="0" fontId="5" fillId="4" borderId="16" xfId="1" applyFont="1" applyFill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31" fontId="5" fillId="0" borderId="19" xfId="1" applyNumberFormat="1" applyFont="1" applyBorder="1" applyAlignment="1">
      <alignment horizontal="center" vertical="center"/>
    </xf>
    <xf numFmtId="31" fontId="5" fillId="0" borderId="15" xfId="1" applyNumberFormat="1" applyFont="1" applyBorder="1" applyAlignment="1">
      <alignment horizontal="center" vertical="center"/>
    </xf>
    <xf numFmtId="31" fontId="5" fillId="0" borderId="16" xfId="1" applyNumberFormat="1" applyFont="1" applyBorder="1" applyAlignment="1">
      <alignment horizontal="center" vertical="center"/>
    </xf>
    <xf numFmtId="0" fontId="5" fillId="4" borderId="28" xfId="1" applyFont="1" applyFill="1" applyBorder="1" applyAlignment="1">
      <alignment vertical="center"/>
    </xf>
    <xf numFmtId="0" fontId="5" fillId="4" borderId="26" xfId="1" applyFont="1" applyFill="1" applyBorder="1" applyAlignment="1">
      <alignment vertical="center"/>
    </xf>
    <xf numFmtId="0" fontId="5" fillId="4" borderId="27" xfId="1" applyFont="1" applyFill="1" applyBorder="1" applyAlignment="1">
      <alignment vertical="center"/>
    </xf>
    <xf numFmtId="0" fontId="5" fillId="0" borderId="25" xfId="1" applyFont="1" applyBorder="1" applyAlignment="1">
      <alignment vertical="center"/>
    </xf>
    <xf numFmtId="0" fontId="5" fillId="0" borderId="26" xfId="1" applyFont="1" applyBorder="1" applyAlignment="1">
      <alignment vertical="center"/>
    </xf>
    <xf numFmtId="0" fontId="5" fillId="0" borderId="27" xfId="1" applyFont="1" applyBorder="1" applyAlignment="1">
      <alignment vertical="center"/>
    </xf>
    <xf numFmtId="0" fontId="5" fillId="4" borderId="25" xfId="1" applyFont="1" applyFill="1" applyBorder="1" applyAlignment="1">
      <alignment horizontal="center" vertical="center"/>
    </xf>
    <xf numFmtId="0" fontId="5" fillId="4" borderId="26" xfId="1" applyFont="1" applyFill="1" applyBorder="1" applyAlignment="1">
      <alignment horizontal="center" vertical="center"/>
    </xf>
    <xf numFmtId="0" fontId="5" fillId="4" borderId="27" xfId="1" applyFont="1" applyFill="1" applyBorder="1" applyAlignment="1">
      <alignment horizontal="center" vertical="center"/>
    </xf>
    <xf numFmtId="0" fontId="5" fillId="0" borderId="25" xfId="1" applyFont="1" applyBorder="1" applyAlignment="1">
      <alignment horizontal="left" vertical="center"/>
    </xf>
    <xf numFmtId="0" fontId="5" fillId="0" borderId="26" xfId="1" applyFont="1" applyBorder="1" applyAlignment="1">
      <alignment horizontal="left" vertical="center"/>
    </xf>
    <xf numFmtId="0" fontId="5" fillId="0" borderId="27" xfId="1" applyFont="1" applyBorder="1" applyAlignment="1">
      <alignment horizontal="left" vertical="center"/>
    </xf>
    <xf numFmtId="0" fontId="5" fillId="0" borderId="25" xfId="1" applyFont="1" applyBorder="1" applyAlignment="1">
      <alignment horizontal="center" vertical="center"/>
    </xf>
    <xf numFmtId="0" fontId="5" fillId="0" borderId="26" xfId="1" applyFont="1" applyBorder="1" applyAlignment="1">
      <alignment horizontal="center" vertical="center"/>
    </xf>
    <xf numFmtId="0" fontId="5" fillId="0" borderId="27" xfId="1" applyFont="1" applyBorder="1" applyAlignment="1">
      <alignment horizontal="center" vertical="center"/>
    </xf>
    <xf numFmtId="0" fontId="5" fillId="4" borderId="29" xfId="1" applyFont="1" applyFill="1" applyBorder="1" applyAlignment="1">
      <alignment vertical="center"/>
    </xf>
    <xf numFmtId="0" fontId="5" fillId="4" borderId="30" xfId="1" applyFont="1" applyFill="1" applyBorder="1" applyAlignment="1">
      <alignment vertical="center"/>
    </xf>
    <xf numFmtId="0" fontId="5" fillId="4" borderId="31" xfId="1" applyFont="1" applyFill="1" applyBorder="1" applyAlignment="1">
      <alignment vertical="center"/>
    </xf>
    <xf numFmtId="0" fontId="5" fillId="0" borderId="32" xfId="1" applyFont="1" applyBorder="1" applyAlignment="1">
      <alignment vertical="center" wrapText="1"/>
    </xf>
    <xf numFmtId="0" fontId="5" fillId="0" borderId="30" xfId="1" applyFont="1" applyBorder="1" applyAlignment="1">
      <alignment vertical="center" wrapText="1"/>
    </xf>
    <xf numFmtId="0" fontId="5" fillId="0" borderId="31" xfId="1" applyFont="1" applyBorder="1" applyAlignment="1">
      <alignment vertical="center" wrapText="1"/>
    </xf>
    <xf numFmtId="0" fontId="5" fillId="0" borderId="13" xfId="1" applyFont="1" applyBorder="1" applyAlignment="1">
      <alignment horizontal="left" vertical="center"/>
    </xf>
    <xf numFmtId="0" fontId="5" fillId="0" borderId="12" xfId="1" applyFont="1" applyBorder="1" applyAlignment="1">
      <alignment horizontal="left" vertical="center"/>
    </xf>
    <xf numFmtId="0" fontId="5" fillId="0" borderId="18" xfId="1" applyFont="1" applyBorder="1" applyAlignment="1">
      <alignment horizontal="left" vertical="center"/>
    </xf>
    <xf numFmtId="0" fontId="5" fillId="4" borderId="32" xfId="1" applyFont="1" applyFill="1" applyBorder="1" applyAlignment="1">
      <alignment horizontal="center" vertical="center"/>
    </xf>
    <xf numFmtId="0" fontId="5" fillId="4" borderId="30" xfId="1" applyFont="1" applyFill="1" applyBorder="1" applyAlignment="1">
      <alignment horizontal="center" vertical="center"/>
    </xf>
    <xf numFmtId="0" fontId="5" fillId="4" borderId="31" xfId="1" applyFont="1" applyFill="1" applyBorder="1" applyAlignment="1">
      <alignment horizontal="center" vertical="center"/>
    </xf>
    <xf numFmtId="0" fontId="5" fillId="0" borderId="32" xfId="1" applyFont="1" applyBorder="1" applyAlignment="1">
      <alignment horizontal="left" vertical="center"/>
    </xf>
    <xf numFmtId="0" fontId="5" fillId="0" borderId="30" xfId="1" applyFont="1" applyBorder="1" applyAlignment="1">
      <alignment horizontal="left" vertical="center"/>
    </xf>
    <xf numFmtId="0" fontId="5" fillId="0" borderId="31" xfId="1" applyFont="1" applyBorder="1" applyAlignment="1">
      <alignment horizontal="left" vertical="center"/>
    </xf>
    <xf numFmtId="31" fontId="5" fillId="0" borderId="25" xfId="1" applyNumberFormat="1" applyFont="1" applyBorder="1" applyAlignment="1">
      <alignment horizontal="center" vertical="center"/>
    </xf>
    <xf numFmtId="31" fontId="5" fillId="0" borderId="26" xfId="1" applyNumberFormat="1" applyFont="1" applyBorder="1" applyAlignment="1">
      <alignment horizontal="center" vertical="center"/>
    </xf>
    <xf numFmtId="31" fontId="5" fillId="0" borderId="27" xfId="1" applyNumberFormat="1" applyFont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0" fontId="5" fillId="0" borderId="33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5" fillId="4" borderId="28" xfId="0" applyFont="1" applyFill="1" applyBorder="1" applyAlignment="1">
      <alignment vertical="center"/>
    </xf>
    <xf numFmtId="0" fontId="5" fillId="4" borderId="26" xfId="0" applyFont="1" applyFill="1" applyBorder="1" applyAlignment="1">
      <alignment vertical="center"/>
    </xf>
    <xf numFmtId="0" fontId="5" fillId="4" borderId="27" xfId="0" applyFont="1" applyFill="1" applyBorder="1" applyAlignment="1">
      <alignment vertical="center"/>
    </xf>
    <xf numFmtId="0" fontId="5" fillId="0" borderId="35" xfId="0" applyFont="1" applyBorder="1" applyAlignment="1">
      <alignment vertical="center"/>
    </xf>
    <xf numFmtId="0" fontId="5" fillId="4" borderId="35" xfId="0" applyFont="1" applyFill="1" applyBorder="1" applyAlignment="1">
      <alignment vertical="center"/>
    </xf>
    <xf numFmtId="0" fontId="5" fillId="0" borderId="35" xfId="0" applyFont="1" applyBorder="1" applyAlignment="1">
      <alignment horizontal="center" vertical="center"/>
    </xf>
    <xf numFmtId="0" fontId="5" fillId="4" borderId="33" xfId="0" applyFont="1" applyFill="1" applyBorder="1" applyAlignment="1">
      <alignment horizontal="left" vertical="center"/>
    </xf>
    <xf numFmtId="0" fontId="5" fillId="4" borderId="23" xfId="0" applyFont="1" applyFill="1" applyBorder="1" applyAlignment="1">
      <alignment horizontal="left" vertical="center"/>
    </xf>
    <xf numFmtId="49" fontId="6" fillId="6" borderId="19" xfId="5" applyNumberFormat="1" applyFont="1" applyFill="1" applyBorder="1" applyAlignment="1">
      <alignment vertical="center"/>
    </xf>
    <xf numFmtId="49" fontId="6" fillId="6" borderId="15" xfId="5" applyNumberFormat="1" applyFont="1" applyFill="1" applyBorder="1" applyAlignment="1">
      <alignment vertical="center"/>
    </xf>
    <xf numFmtId="49" fontId="6" fillId="6" borderId="16" xfId="5" applyNumberFormat="1" applyFont="1" applyFill="1" applyBorder="1" applyAlignment="1">
      <alignment vertical="center"/>
    </xf>
    <xf numFmtId="49" fontId="6" fillId="6" borderId="19" xfId="5" applyNumberFormat="1" applyFont="1" applyFill="1" applyBorder="1" applyAlignment="1">
      <alignment vertical="center" wrapText="1"/>
    </xf>
    <xf numFmtId="49" fontId="6" fillId="6" borderId="19" xfId="5" quotePrefix="1" applyNumberFormat="1" applyFont="1" applyFill="1" applyBorder="1" applyAlignment="1">
      <alignment vertical="center"/>
    </xf>
    <xf numFmtId="49" fontId="6" fillId="8" borderId="19" xfId="5" applyNumberFormat="1" applyFont="1" applyFill="1" applyBorder="1" applyAlignment="1">
      <alignment vertical="center"/>
    </xf>
    <xf numFmtId="49" fontId="6" fillId="8" borderId="15" xfId="5" applyNumberFormat="1" applyFont="1" applyFill="1" applyBorder="1" applyAlignment="1">
      <alignment vertical="center"/>
    </xf>
    <xf numFmtId="49" fontId="6" fillId="8" borderId="16" xfId="5" applyNumberFormat="1" applyFont="1" applyFill="1" applyBorder="1" applyAlignment="1">
      <alignment vertical="center"/>
    </xf>
    <xf numFmtId="49" fontId="6" fillId="0" borderId="19" xfId="5" applyNumberFormat="1" applyFont="1" applyFill="1" applyBorder="1" applyAlignment="1">
      <alignment vertical="center"/>
    </xf>
    <xf numFmtId="49" fontId="6" fillId="0" borderId="15" xfId="5" applyNumberFormat="1" applyFont="1" applyFill="1" applyBorder="1" applyAlignment="1">
      <alignment vertical="center"/>
    </xf>
    <xf numFmtId="49" fontId="6" fillId="0" borderId="16" xfId="5" applyNumberFormat="1" applyFont="1" applyFill="1" applyBorder="1" applyAlignment="1">
      <alignment vertical="center"/>
    </xf>
  </cellXfs>
  <cellStyles count="6">
    <cellStyle name="ハイパーリンク 2" xfId="3" xr:uid="{2D91FF51-3B6F-408C-BDC2-09226CC064DA}"/>
    <cellStyle name="標準" xfId="0" builtinId="0"/>
    <cellStyle name="標準 2" xfId="2" xr:uid="{AA562ABC-5F85-40DC-8AD0-360939B3DE29}"/>
    <cellStyle name="標準 2 2" xfId="4" xr:uid="{06C3950B-2B1C-416C-9259-9C12371A82BA}"/>
    <cellStyle name="標準_2BSD9999フレームワーク使用手引き" xfId="5" xr:uid="{B884979B-FDF1-4313-9229-E6A2ADB66175}"/>
    <cellStyle name="標準_概念_要件定義書（原紙本文EAI-HUB用）_プライオリティ規約（修正版20020430_MQプライオリティ追加)" xfId="1" xr:uid="{00000000-0005-0000-0000-000002000000}"/>
  </cellStyles>
  <dxfs count="0"/>
  <tableStyles count="0" defaultTableStyle="TableStyleMedium9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21</xdr:col>
      <xdr:colOff>0</xdr:colOff>
      <xdr:row>7</xdr:row>
      <xdr:rowOff>0</xdr:rowOff>
    </xdr:to>
    <xdr:sp macro="" textlink="">
      <xdr:nvSpPr>
        <xdr:cNvPr id="373761" name="Text Box 1">
          <a:extLst>
            <a:ext uri="{FF2B5EF4-FFF2-40B4-BE49-F238E27FC236}">
              <a16:creationId xmlns:a16="http://schemas.microsoft.com/office/drawing/2014/main" id="{00000000-0008-0000-0000-000001B40500}"/>
            </a:ext>
          </a:extLst>
        </xdr:cNvPr>
        <xdr:cNvSpPr txBox="1">
          <a:spLocks noChangeArrowheads="1"/>
        </xdr:cNvSpPr>
      </xdr:nvSpPr>
      <xdr:spPr bwMode="auto">
        <a:xfrm>
          <a:off x="2743200" y="171450"/>
          <a:ext cx="4457700" cy="1028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ja-JP" altLang="en-US" sz="2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同志社大学様</a:t>
          </a:r>
        </a:p>
      </xdr:txBody>
    </xdr:sp>
    <xdr:clientData/>
  </xdr:twoCellAnchor>
  <xdr:twoCellAnchor>
    <xdr:from>
      <xdr:col>8</xdr:col>
      <xdr:colOff>133350</xdr:colOff>
      <xdr:row>5</xdr:row>
      <xdr:rowOff>66675</xdr:rowOff>
    </xdr:from>
    <xdr:to>
      <xdr:col>19</xdr:col>
      <xdr:colOff>285750</xdr:colOff>
      <xdr:row>5</xdr:row>
      <xdr:rowOff>66675</xdr:rowOff>
    </xdr:to>
    <xdr:sp macro="" textlink="">
      <xdr:nvSpPr>
        <xdr:cNvPr id="373762" name="Line 2">
          <a:extLst>
            <a:ext uri="{FF2B5EF4-FFF2-40B4-BE49-F238E27FC236}">
              <a16:creationId xmlns:a16="http://schemas.microsoft.com/office/drawing/2014/main" id="{00000000-0008-0000-0000-000002B40500}"/>
            </a:ext>
          </a:extLst>
        </xdr:cNvPr>
        <xdr:cNvSpPr>
          <a:spLocks noChangeShapeType="1"/>
        </xdr:cNvSpPr>
      </xdr:nvSpPr>
      <xdr:spPr bwMode="auto">
        <a:xfrm flipV="1">
          <a:off x="2876550" y="923925"/>
          <a:ext cx="392430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10</xdr:col>
      <xdr:colOff>190500</xdr:colOff>
      <xdr:row>30</xdr:row>
      <xdr:rowOff>89647</xdr:rowOff>
    </xdr:from>
    <xdr:to>
      <xdr:col>18</xdr:col>
      <xdr:colOff>114789</xdr:colOff>
      <xdr:row>34</xdr:row>
      <xdr:rowOff>131668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7FD7D7F-7597-42AC-8526-A24AB0EA5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4324" y="5132294"/>
          <a:ext cx="2703347" cy="7143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0</xdr:colOff>
      <xdr:row>13</xdr:row>
      <xdr:rowOff>0</xdr:rowOff>
    </xdr:from>
    <xdr:to>
      <xdr:col>49</xdr:col>
      <xdr:colOff>133350</xdr:colOff>
      <xdr:row>28</xdr:row>
      <xdr:rowOff>180900</xdr:rowOff>
    </xdr:to>
    <xdr:sp macro="" textlink="">
      <xdr:nvSpPr>
        <xdr:cNvPr id="4" name="Oval 6">
          <a:extLst>
            <a:ext uri="{FF2B5EF4-FFF2-40B4-BE49-F238E27FC236}">
              <a16:creationId xmlns:a16="http://schemas.microsoft.com/office/drawing/2014/main" id="{1295EF12-F3A7-487A-A058-96550A625215}"/>
            </a:ext>
          </a:extLst>
        </xdr:cNvPr>
        <xdr:cNvSpPr>
          <a:spLocks noChangeArrowheads="1"/>
        </xdr:cNvSpPr>
      </xdr:nvSpPr>
      <xdr:spPr bwMode="auto">
        <a:xfrm>
          <a:off x="6286500" y="2476500"/>
          <a:ext cx="847725" cy="303840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="wordArtVertRtl" anchor="ctr"/>
        <a:lstStyle/>
        <a:p>
          <a:pPr algn="ctr"/>
          <a:r>
            <a:rPr lang="ja-JP" altLang="en-US" sz="1200" b="1"/>
            <a:t>インターセプター</a:t>
          </a:r>
          <a:r>
            <a:rPr lang="en-US" altLang="ja-JP" sz="1200" b="1"/>
            <a:t>n</a:t>
          </a:r>
          <a:endParaRPr lang="ja-JP" altLang="en-US" sz="1200" b="1"/>
        </a:p>
      </xdr:txBody>
    </xdr:sp>
    <xdr:clientData/>
  </xdr:twoCellAnchor>
  <xdr:twoCellAnchor>
    <xdr:from>
      <xdr:col>54</xdr:col>
      <xdr:colOff>0</xdr:colOff>
      <xdr:row>10</xdr:row>
      <xdr:rowOff>0</xdr:rowOff>
    </xdr:from>
    <xdr:to>
      <xdr:col>87</xdr:col>
      <xdr:colOff>19051</xdr:colOff>
      <xdr:row>28</xdr:row>
      <xdr:rowOff>171450</xdr:rowOff>
    </xdr:to>
    <xdr:sp macro="" textlink="">
      <xdr:nvSpPr>
        <xdr:cNvPr id="380954" name="Oval 6">
          <a:extLst>
            <a:ext uri="{FF2B5EF4-FFF2-40B4-BE49-F238E27FC236}">
              <a16:creationId xmlns:a16="http://schemas.microsoft.com/office/drawing/2014/main" id="{5DE0D292-DC8F-4875-88BB-514893050F50}"/>
            </a:ext>
          </a:extLst>
        </xdr:cNvPr>
        <xdr:cNvSpPr>
          <a:spLocks noChangeArrowheads="1"/>
        </xdr:cNvSpPr>
      </xdr:nvSpPr>
      <xdr:spPr bwMode="auto">
        <a:xfrm>
          <a:off x="7715250" y="9525000"/>
          <a:ext cx="4733926" cy="3600450"/>
        </a:xfrm>
        <a:prstGeom prst="round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="horz" anchor="t"/>
        <a:lstStyle/>
        <a:p>
          <a:pPr algn="ctr"/>
          <a:r>
            <a:rPr lang="ja-JP" altLang="en-US" sz="1200" b="1"/>
            <a:t>業務</a:t>
          </a:r>
          <a:r>
            <a:rPr lang="en-US" altLang="ja-JP" sz="1200" b="1"/>
            <a:t>Action</a:t>
          </a:r>
          <a:endParaRPr lang="ja-JP" altLang="en-US" sz="1200" b="1"/>
        </a:p>
      </xdr:txBody>
    </xdr:sp>
    <xdr:clientData/>
  </xdr:twoCellAnchor>
  <xdr:oneCellAnchor>
    <xdr:from>
      <xdr:col>4</xdr:col>
      <xdr:colOff>66675</xdr:colOff>
      <xdr:row>17</xdr:row>
      <xdr:rowOff>104775</xdr:rowOff>
    </xdr:from>
    <xdr:ext cx="670560" cy="670560"/>
    <xdr:pic>
      <xdr:nvPicPr>
        <xdr:cNvPr id="380955" name="図 380954">
          <a:extLst>
            <a:ext uri="{FF2B5EF4-FFF2-40B4-BE49-F238E27FC236}">
              <a16:creationId xmlns:a16="http://schemas.microsoft.com/office/drawing/2014/main" id="{27D3DB3D-3C4A-492F-B7AC-7D63F87AB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963275"/>
          <a:ext cx="670560" cy="670560"/>
        </a:xfrm>
        <a:prstGeom prst="rect">
          <a:avLst/>
        </a:prstGeom>
      </xdr:spPr>
    </xdr:pic>
    <xdr:clientData/>
  </xdr:oneCellAnchor>
  <xdr:oneCellAnchor>
    <xdr:from>
      <xdr:col>4</xdr:col>
      <xdr:colOff>57150</xdr:colOff>
      <xdr:row>13</xdr:row>
      <xdr:rowOff>152400</xdr:rowOff>
    </xdr:from>
    <xdr:ext cx="670560" cy="670560"/>
    <xdr:pic>
      <xdr:nvPicPr>
        <xdr:cNvPr id="380956" name="図 380955">
          <a:extLst>
            <a:ext uri="{FF2B5EF4-FFF2-40B4-BE49-F238E27FC236}">
              <a16:creationId xmlns:a16="http://schemas.microsoft.com/office/drawing/2014/main" id="{DCF187B1-A8DD-4B02-823A-1950887D9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10248900"/>
          <a:ext cx="670560" cy="670560"/>
        </a:xfrm>
        <a:prstGeom prst="rect">
          <a:avLst/>
        </a:prstGeom>
      </xdr:spPr>
    </xdr:pic>
    <xdr:clientData/>
  </xdr:oneCellAnchor>
  <xdr:twoCellAnchor>
    <xdr:from>
      <xdr:col>19</xdr:col>
      <xdr:colOff>0</xdr:colOff>
      <xdr:row>12</xdr:row>
      <xdr:rowOff>190499</xdr:rowOff>
    </xdr:from>
    <xdr:to>
      <xdr:col>24</xdr:col>
      <xdr:colOff>133350</xdr:colOff>
      <xdr:row>28</xdr:row>
      <xdr:rowOff>180974</xdr:rowOff>
    </xdr:to>
    <xdr:sp macro="" textlink="">
      <xdr:nvSpPr>
        <xdr:cNvPr id="380957" name="Oval 6">
          <a:extLst>
            <a:ext uri="{FF2B5EF4-FFF2-40B4-BE49-F238E27FC236}">
              <a16:creationId xmlns:a16="http://schemas.microsoft.com/office/drawing/2014/main" id="{3E310619-7926-450C-9C1E-60E6C8804A9D}"/>
            </a:ext>
          </a:extLst>
        </xdr:cNvPr>
        <xdr:cNvSpPr>
          <a:spLocks noChangeArrowheads="1"/>
        </xdr:cNvSpPr>
      </xdr:nvSpPr>
      <xdr:spPr bwMode="auto">
        <a:xfrm>
          <a:off x="2714625" y="2476499"/>
          <a:ext cx="847725" cy="3038475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="wordArtVertRtl" anchor="ctr"/>
        <a:lstStyle/>
        <a:p>
          <a:pPr algn="ctr"/>
          <a:r>
            <a:rPr lang="ja-JP" altLang="en-US" sz="1200" b="1"/>
            <a:t>インターセプター</a:t>
          </a:r>
          <a:r>
            <a:rPr lang="en-US" altLang="ja-JP" sz="1200" b="1"/>
            <a:t>1</a:t>
          </a:r>
          <a:endParaRPr lang="ja-JP" altLang="en-US" sz="1200" b="1"/>
        </a:p>
      </xdr:txBody>
    </xdr:sp>
    <xdr:clientData/>
  </xdr:twoCellAnchor>
  <xdr:twoCellAnchor>
    <xdr:from>
      <xdr:col>27</xdr:col>
      <xdr:colOff>0</xdr:colOff>
      <xdr:row>13</xdr:row>
      <xdr:rowOff>0</xdr:rowOff>
    </xdr:from>
    <xdr:to>
      <xdr:col>32</xdr:col>
      <xdr:colOff>133350</xdr:colOff>
      <xdr:row>28</xdr:row>
      <xdr:rowOff>180900</xdr:rowOff>
    </xdr:to>
    <xdr:sp macro="" textlink="">
      <xdr:nvSpPr>
        <xdr:cNvPr id="380958" name="Oval 6">
          <a:extLst>
            <a:ext uri="{FF2B5EF4-FFF2-40B4-BE49-F238E27FC236}">
              <a16:creationId xmlns:a16="http://schemas.microsoft.com/office/drawing/2014/main" id="{F56876F1-5C24-4123-9AD3-5E64E01E64C2}"/>
            </a:ext>
          </a:extLst>
        </xdr:cNvPr>
        <xdr:cNvSpPr>
          <a:spLocks noChangeArrowheads="1"/>
        </xdr:cNvSpPr>
      </xdr:nvSpPr>
      <xdr:spPr bwMode="auto">
        <a:xfrm>
          <a:off x="3857625" y="2476500"/>
          <a:ext cx="847725" cy="303840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="wordArtVertRtl" anchor="ctr"/>
        <a:lstStyle/>
        <a:p>
          <a:pPr algn="ctr"/>
          <a:r>
            <a:rPr lang="ja-JP" altLang="en-US" sz="1200" b="1"/>
            <a:t>インターセプター</a:t>
          </a:r>
          <a:r>
            <a:rPr lang="en-US" altLang="ja-JP" sz="1200" b="1"/>
            <a:t>2</a:t>
          </a:r>
          <a:endParaRPr lang="ja-JP" altLang="en-US" sz="1200" b="1"/>
        </a:p>
      </xdr:txBody>
    </xdr:sp>
    <xdr:clientData/>
  </xdr:twoCellAnchor>
  <xdr:twoCellAnchor>
    <xdr:from>
      <xdr:col>34</xdr:col>
      <xdr:colOff>0</xdr:colOff>
      <xdr:row>13</xdr:row>
      <xdr:rowOff>0</xdr:rowOff>
    </xdr:from>
    <xdr:to>
      <xdr:col>39</xdr:col>
      <xdr:colOff>133350</xdr:colOff>
      <xdr:row>28</xdr:row>
      <xdr:rowOff>180900</xdr:rowOff>
    </xdr:to>
    <xdr:sp macro="" textlink="">
      <xdr:nvSpPr>
        <xdr:cNvPr id="380959" name="Oval 6">
          <a:extLst>
            <a:ext uri="{FF2B5EF4-FFF2-40B4-BE49-F238E27FC236}">
              <a16:creationId xmlns:a16="http://schemas.microsoft.com/office/drawing/2014/main" id="{994B1769-664F-4D9D-9143-86467339D481}"/>
            </a:ext>
          </a:extLst>
        </xdr:cNvPr>
        <xdr:cNvSpPr>
          <a:spLocks noChangeArrowheads="1"/>
        </xdr:cNvSpPr>
      </xdr:nvSpPr>
      <xdr:spPr bwMode="auto">
        <a:xfrm>
          <a:off x="4857750" y="2476500"/>
          <a:ext cx="847725" cy="303840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="wordArtVertRtl" anchor="ctr"/>
        <a:lstStyle/>
        <a:p>
          <a:pPr algn="ctr"/>
          <a:r>
            <a:rPr lang="ja-JP" altLang="en-US" sz="1200" b="1"/>
            <a:t>インターセプター</a:t>
          </a:r>
          <a:r>
            <a:rPr lang="en-US" altLang="ja-JP" sz="1200" b="1"/>
            <a:t>3</a:t>
          </a:r>
          <a:endParaRPr lang="ja-JP" altLang="en-US" sz="1200" b="1"/>
        </a:p>
      </xdr:txBody>
    </xdr:sp>
    <xdr:clientData/>
  </xdr:twoCellAnchor>
  <xdr:twoCellAnchor>
    <xdr:from>
      <xdr:col>9</xdr:col>
      <xdr:colOff>133350</xdr:colOff>
      <xdr:row>31</xdr:row>
      <xdr:rowOff>8965</xdr:rowOff>
    </xdr:from>
    <xdr:to>
      <xdr:col>51</xdr:col>
      <xdr:colOff>0</xdr:colOff>
      <xdr:row>33</xdr:row>
      <xdr:rowOff>161925</xdr:rowOff>
    </xdr:to>
    <xdr:sp macro="" textlink="">
      <xdr:nvSpPr>
        <xdr:cNvPr id="380961" name="Text Box 7">
          <a:extLst>
            <a:ext uri="{FF2B5EF4-FFF2-40B4-BE49-F238E27FC236}">
              <a16:creationId xmlns:a16="http://schemas.microsoft.com/office/drawing/2014/main" id="{4C5D64F7-8406-4B14-9910-B7F774FF7F68}"/>
            </a:ext>
          </a:extLst>
        </xdr:cNvPr>
        <xdr:cNvSpPr txBox="1">
          <a:spLocks noChangeArrowheads="1"/>
        </xdr:cNvSpPr>
      </xdr:nvSpPr>
      <xdr:spPr bwMode="auto">
        <a:xfrm>
          <a:off x="1419225" y="5914465"/>
          <a:ext cx="5867400" cy="5339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prstDash val="dash"/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独自定義インターセプター前処理～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Action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以降の処理～独自定義インターセプター後処理までの一連の処理の流れ</a:t>
          </a:r>
        </a:p>
      </xdr:txBody>
    </xdr:sp>
    <xdr:clientData/>
  </xdr:twoCellAnchor>
  <xdr:twoCellAnchor>
    <xdr:from>
      <xdr:col>62</xdr:col>
      <xdr:colOff>28575</xdr:colOff>
      <xdr:row>12</xdr:row>
      <xdr:rowOff>152400</xdr:rowOff>
    </xdr:from>
    <xdr:to>
      <xdr:col>68</xdr:col>
      <xdr:colOff>19050</xdr:colOff>
      <xdr:row>17</xdr:row>
      <xdr:rowOff>104775</xdr:rowOff>
    </xdr:to>
    <xdr:sp macro="" textlink="">
      <xdr:nvSpPr>
        <xdr:cNvPr id="380962" name="Oval 6">
          <a:extLst>
            <a:ext uri="{FF2B5EF4-FFF2-40B4-BE49-F238E27FC236}">
              <a16:creationId xmlns:a16="http://schemas.microsoft.com/office/drawing/2014/main" id="{2C200BB3-414A-47BB-B757-D9EC2D800484}"/>
            </a:ext>
          </a:extLst>
        </xdr:cNvPr>
        <xdr:cNvSpPr>
          <a:spLocks noChangeArrowheads="1"/>
        </xdr:cNvSpPr>
      </xdr:nvSpPr>
      <xdr:spPr bwMode="auto">
        <a:xfrm>
          <a:off x="8886825" y="10058400"/>
          <a:ext cx="847725" cy="904875"/>
        </a:xfrm>
        <a:prstGeom prst="round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="horz" anchor="ctr"/>
        <a:lstStyle/>
        <a:p>
          <a:pPr algn="ctr"/>
          <a:r>
            <a:rPr lang="en-US" altLang="ja-JP" sz="1200" b="1"/>
            <a:t>Action</a:t>
          </a:r>
          <a:endParaRPr lang="ja-JP" altLang="en-US" sz="1200" b="1"/>
        </a:p>
      </xdr:txBody>
    </xdr:sp>
    <xdr:clientData/>
  </xdr:twoCellAnchor>
  <xdr:twoCellAnchor>
    <xdr:from>
      <xdr:col>63</xdr:col>
      <xdr:colOff>9525</xdr:colOff>
      <xdr:row>20</xdr:row>
      <xdr:rowOff>142875</xdr:rowOff>
    </xdr:from>
    <xdr:to>
      <xdr:col>69</xdr:col>
      <xdr:colOff>0</xdr:colOff>
      <xdr:row>24</xdr:row>
      <xdr:rowOff>161924</xdr:rowOff>
    </xdr:to>
    <xdr:sp macro="" textlink="">
      <xdr:nvSpPr>
        <xdr:cNvPr id="380963" name="Oval 6">
          <a:extLst>
            <a:ext uri="{FF2B5EF4-FFF2-40B4-BE49-F238E27FC236}">
              <a16:creationId xmlns:a16="http://schemas.microsoft.com/office/drawing/2014/main" id="{172F30F8-FFA3-4757-B146-B8DDF965B7B1}"/>
            </a:ext>
          </a:extLst>
        </xdr:cNvPr>
        <xdr:cNvSpPr>
          <a:spLocks noChangeArrowheads="1"/>
        </xdr:cNvSpPr>
      </xdr:nvSpPr>
      <xdr:spPr bwMode="auto">
        <a:xfrm>
          <a:off x="9010650" y="11572875"/>
          <a:ext cx="847725" cy="781049"/>
        </a:xfrm>
        <a:prstGeom prst="hexagon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="horz" anchor="ctr"/>
        <a:lstStyle/>
        <a:p>
          <a:pPr algn="ctr"/>
          <a:r>
            <a:rPr lang="en-US" altLang="ja-JP" sz="1200" b="1"/>
            <a:t>Logic</a:t>
          </a:r>
          <a:endParaRPr lang="ja-JP" altLang="en-US" sz="1200" b="1"/>
        </a:p>
      </xdr:txBody>
    </xdr:sp>
    <xdr:clientData/>
  </xdr:twoCellAnchor>
  <xdr:twoCellAnchor>
    <xdr:from>
      <xdr:col>56</xdr:col>
      <xdr:colOff>19050</xdr:colOff>
      <xdr:row>20</xdr:row>
      <xdr:rowOff>152400</xdr:rowOff>
    </xdr:from>
    <xdr:to>
      <xdr:col>62</xdr:col>
      <xdr:colOff>9525</xdr:colOff>
      <xdr:row>24</xdr:row>
      <xdr:rowOff>171449</xdr:rowOff>
    </xdr:to>
    <xdr:sp macro="" textlink="">
      <xdr:nvSpPr>
        <xdr:cNvPr id="380964" name="Oval 6">
          <a:extLst>
            <a:ext uri="{FF2B5EF4-FFF2-40B4-BE49-F238E27FC236}">
              <a16:creationId xmlns:a16="http://schemas.microsoft.com/office/drawing/2014/main" id="{19B4A119-25E8-430C-A118-C0E37F20A844}"/>
            </a:ext>
          </a:extLst>
        </xdr:cNvPr>
        <xdr:cNvSpPr>
          <a:spLocks noChangeArrowheads="1"/>
        </xdr:cNvSpPr>
      </xdr:nvSpPr>
      <xdr:spPr bwMode="auto">
        <a:xfrm>
          <a:off x="8020050" y="11582400"/>
          <a:ext cx="847725" cy="781049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="horz" anchor="ctr"/>
        <a:lstStyle/>
        <a:p>
          <a:pPr algn="ctr"/>
          <a:r>
            <a:rPr lang="en-US" altLang="ja-JP" sz="1200" b="1"/>
            <a:t>Bean/Dto</a:t>
          </a:r>
          <a:endParaRPr lang="ja-JP" altLang="en-US" sz="1200" b="1"/>
        </a:p>
      </xdr:txBody>
    </xdr:sp>
    <xdr:clientData/>
  </xdr:twoCellAnchor>
  <xdr:twoCellAnchor>
    <xdr:from>
      <xdr:col>60</xdr:col>
      <xdr:colOff>76200</xdr:colOff>
      <xdr:row>18</xdr:row>
      <xdr:rowOff>9525</xdr:rowOff>
    </xdr:from>
    <xdr:to>
      <xdr:col>63</xdr:col>
      <xdr:colOff>114300</xdr:colOff>
      <xdr:row>20</xdr:row>
      <xdr:rowOff>85725</xdr:rowOff>
    </xdr:to>
    <xdr:cxnSp macro="">
      <xdr:nvCxnSpPr>
        <xdr:cNvPr id="380965" name="直線コネクタ 380964">
          <a:extLst>
            <a:ext uri="{FF2B5EF4-FFF2-40B4-BE49-F238E27FC236}">
              <a16:creationId xmlns:a16="http://schemas.microsoft.com/office/drawing/2014/main" id="{3C8CF57E-9FB5-48E1-9F82-56DAD316925E}"/>
            </a:ext>
          </a:extLst>
        </xdr:cNvPr>
        <xdr:cNvCxnSpPr/>
      </xdr:nvCxnSpPr>
      <xdr:spPr bwMode="auto">
        <a:xfrm flipH="1">
          <a:off x="8648700" y="11058525"/>
          <a:ext cx="466725" cy="45720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76200</xdr:colOff>
      <xdr:row>17</xdr:row>
      <xdr:rowOff>161925</xdr:rowOff>
    </xdr:from>
    <xdr:to>
      <xdr:col>65</xdr:col>
      <xdr:colOff>76200</xdr:colOff>
      <xdr:row>20</xdr:row>
      <xdr:rowOff>114300</xdr:rowOff>
    </xdr:to>
    <xdr:cxnSp macro="">
      <xdr:nvCxnSpPr>
        <xdr:cNvPr id="380966" name="直線コネクタ 380965">
          <a:extLst>
            <a:ext uri="{FF2B5EF4-FFF2-40B4-BE49-F238E27FC236}">
              <a16:creationId xmlns:a16="http://schemas.microsoft.com/office/drawing/2014/main" id="{C16813FF-119A-46CF-8252-5D5499EA49CD}"/>
            </a:ext>
          </a:extLst>
        </xdr:cNvPr>
        <xdr:cNvCxnSpPr/>
      </xdr:nvCxnSpPr>
      <xdr:spPr bwMode="auto">
        <a:xfrm flipH="1">
          <a:off x="9363075" y="11020425"/>
          <a:ext cx="0" cy="523875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133350</xdr:colOff>
      <xdr:row>20</xdr:row>
      <xdr:rowOff>95250</xdr:rowOff>
    </xdr:from>
    <xdr:to>
      <xdr:col>75</xdr:col>
      <xdr:colOff>123825</xdr:colOff>
      <xdr:row>24</xdr:row>
      <xdr:rowOff>114299</xdr:rowOff>
    </xdr:to>
    <xdr:sp macro="" textlink="">
      <xdr:nvSpPr>
        <xdr:cNvPr id="380967" name="Oval 6">
          <a:extLst>
            <a:ext uri="{FF2B5EF4-FFF2-40B4-BE49-F238E27FC236}">
              <a16:creationId xmlns:a16="http://schemas.microsoft.com/office/drawing/2014/main" id="{F7A99C7F-922A-469F-8CB2-51000A2E898C}"/>
            </a:ext>
          </a:extLst>
        </xdr:cNvPr>
        <xdr:cNvSpPr>
          <a:spLocks noChangeArrowheads="1"/>
        </xdr:cNvSpPr>
      </xdr:nvSpPr>
      <xdr:spPr bwMode="auto">
        <a:xfrm>
          <a:off x="9991725" y="11525250"/>
          <a:ext cx="847725" cy="781049"/>
        </a:xfrm>
        <a:prstGeom prst="pentagon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="horz" anchor="ctr"/>
        <a:lstStyle/>
        <a:p>
          <a:pPr algn="ctr"/>
          <a:r>
            <a:rPr lang="en-US" altLang="ja-JP" sz="1200" b="1"/>
            <a:t>Dao</a:t>
          </a:r>
          <a:endParaRPr lang="ja-JP" altLang="en-US" sz="1200" b="1"/>
        </a:p>
      </xdr:txBody>
    </xdr:sp>
    <xdr:clientData/>
  </xdr:twoCellAnchor>
  <xdr:twoCellAnchor>
    <xdr:from>
      <xdr:col>66</xdr:col>
      <xdr:colOff>85725</xdr:colOff>
      <xdr:row>18</xdr:row>
      <xdr:rowOff>9525</xdr:rowOff>
    </xdr:from>
    <xdr:to>
      <xdr:col>71</xdr:col>
      <xdr:colOff>0</xdr:colOff>
      <xdr:row>21</xdr:row>
      <xdr:rowOff>0</xdr:rowOff>
    </xdr:to>
    <xdr:cxnSp macro="">
      <xdr:nvCxnSpPr>
        <xdr:cNvPr id="380968" name="直線コネクタ 380967">
          <a:extLst>
            <a:ext uri="{FF2B5EF4-FFF2-40B4-BE49-F238E27FC236}">
              <a16:creationId xmlns:a16="http://schemas.microsoft.com/office/drawing/2014/main" id="{99B77485-C2C9-495D-BD16-09A17B492951}"/>
            </a:ext>
          </a:extLst>
        </xdr:cNvPr>
        <xdr:cNvCxnSpPr/>
      </xdr:nvCxnSpPr>
      <xdr:spPr bwMode="auto">
        <a:xfrm>
          <a:off x="9515475" y="11058525"/>
          <a:ext cx="628650" cy="561975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104775</xdr:colOff>
      <xdr:row>24</xdr:row>
      <xdr:rowOff>95251</xdr:rowOff>
    </xdr:from>
    <xdr:to>
      <xdr:col>84</xdr:col>
      <xdr:colOff>95250</xdr:colOff>
      <xdr:row>27</xdr:row>
      <xdr:rowOff>95251</xdr:rowOff>
    </xdr:to>
    <xdr:sp macro="" textlink="">
      <xdr:nvSpPr>
        <xdr:cNvPr id="380969" name="Oval 6">
          <a:extLst>
            <a:ext uri="{FF2B5EF4-FFF2-40B4-BE49-F238E27FC236}">
              <a16:creationId xmlns:a16="http://schemas.microsoft.com/office/drawing/2014/main" id="{CD8474B2-3400-4FFB-A68A-FE94C3416E02}"/>
            </a:ext>
          </a:extLst>
        </xdr:cNvPr>
        <xdr:cNvSpPr>
          <a:spLocks noChangeArrowheads="1"/>
        </xdr:cNvSpPr>
      </xdr:nvSpPr>
      <xdr:spPr bwMode="auto">
        <a:xfrm>
          <a:off x="11249025" y="12287251"/>
          <a:ext cx="847725" cy="57150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="horz" anchor="ctr"/>
        <a:lstStyle/>
        <a:p>
          <a:pPr algn="ctr"/>
          <a:r>
            <a:rPr lang="en-US" altLang="ja-JP" sz="1200" b="1"/>
            <a:t>Dto</a:t>
          </a:r>
          <a:endParaRPr lang="ja-JP" altLang="en-US" sz="1200" b="1"/>
        </a:p>
      </xdr:txBody>
    </xdr:sp>
    <xdr:clientData/>
  </xdr:twoCellAnchor>
  <xdr:twoCellAnchor>
    <xdr:from>
      <xdr:col>75</xdr:col>
      <xdr:colOff>123824</xdr:colOff>
      <xdr:row>22</xdr:row>
      <xdr:rowOff>12583</xdr:rowOff>
    </xdr:from>
    <xdr:to>
      <xdr:col>79</xdr:col>
      <xdr:colOff>86046</xdr:colOff>
      <xdr:row>24</xdr:row>
      <xdr:rowOff>178945</xdr:rowOff>
    </xdr:to>
    <xdr:cxnSp macro="">
      <xdr:nvCxnSpPr>
        <xdr:cNvPr id="380970" name="直線コネクタ 380969">
          <a:extLst>
            <a:ext uri="{FF2B5EF4-FFF2-40B4-BE49-F238E27FC236}">
              <a16:creationId xmlns:a16="http://schemas.microsoft.com/office/drawing/2014/main" id="{A4F2A184-BAD9-4288-A9C9-8CCC8D2F1D8F}"/>
            </a:ext>
          </a:extLst>
        </xdr:cNvPr>
        <xdr:cNvCxnSpPr>
          <a:stCxn id="380967" idx="5"/>
          <a:endCxn id="380969" idx="1"/>
        </xdr:cNvCxnSpPr>
      </xdr:nvCxnSpPr>
      <xdr:spPr bwMode="auto">
        <a:xfrm>
          <a:off x="10839449" y="11823583"/>
          <a:ext cx="533722" cy="547362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123825</xdr:colOff>
      <xdr:row>20</xdr:row>
      <xdr:rowOff>171450</xdr:rowOff>
    </xdr:from>
    <xdr:to>
      <xdr:col>84</xdr:col>
      <xdr:colOff>114300</xdr:colOff>
      <xdr:row>23</xdr:row>
      <xdr:rowOff>171450</xdr:rowOff>
    </xdr:to>
    <xdr:sp macro="" textlink="">
      <xdr:nvSpPr>
        <xdr:cNvPr id="380971" name="Oval 6">
          <a:extLst>
            <a:ext uri="{FF2B5EF4-FFF2-40B4-BE49-F238E27FC236}">
              <a16:creationId xmlns:a16="http://schemas.microsoft.com/office/drawing/2014/main" id="{3440C23E-5687-4CC4-8706-8BF015462ECD}"/>
            </a:ext>
          </a:extLst>
        </xdr:cNvPr>
        <xdr:cNvSpPr>
          <a:spLocks noChangeArrowheads="1"/>
        </xdr:cNvSpPr>
      </xdr:nvSpPr>
      <xdr:spPr bwMode="auto">
        <a:xfrm>
          <a:off x="11268075" y="11601450"/>
          <a:ext cx="847725" cy="57150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="horz" anchor="ctr"/>
        <a:lstStyle/>
        <a:p>
          <a:pPr algn="ctr"/>
          <a:r>
            <a:rPr lang="en-US" altLang="ja-JP" sz="1200" b="1"/>
            <a:t>SQL</a:t>
          </a:r>
          <a:endParaRPr lang="ja-JP" altLang="en-US" sz="1200" b="1"/>
        </a:p>
      </xdr:txBody>
    </xdr:sp>
    <xdr:clientData/>
  </xdr:twoCellAnchor>
  <xdr:twoCellAnchor>
    <xdr:from>
      <xdr:col>75</xdr:col>
      <xdr:colOff>123824</xdr:colOff>
      <xdr:row>22</xdr:row>
      <xdr:rowOff>12583</xdr:rowOff>
    </xdr:from>
    <xdr:to>
      <xdr:col>78</xdr:col>
      <xdr:colOff>123825</xdr:colOff>
      <xdr:row>22</xdr:row>
      <xdr:rowOff>76200</xdr:rowOff>
    </xdr:to>
    <xdr:cxnSp macro="">
      <xdr:nvCxnSpPr>
        <xdr:cNvPr id="380972" name="直線コネクタ 380971">
          <a:extLst>
            <a:ext uri="{FF2B5EF4-FFF2-40B4-BE49-F238E27FC236}">
              <a16:creationId xmlns:a16="http://schemas.microsoft.com/office/drawing/2014/main" id="{09159C5D-6196-487A-B6EE-B999ACDA25F7}"/>
            </a:ext>
          </a:extLst>
        </xdr:cNvPr>
        <xdr:cNvCxnSpPr>
          <a:stCxn id="380967" idx="5"/>
          <a:endCxn id="380971" idx="2"/>
        </xdr:cNvCxnSpPr>
      </xdr:nvCxnSpPr>
      <xdr:spPr bwMode="auto">
        <a:xfrm>
          <a:off x="10839449" y="11823583"/>
          <a:ext cx="428626" cy="63617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123825</xdr:colOff>
      <xdr:row>16</xdr:row>
      <xdr:rowOff>76200</xdr:rowOff>
    </xdr:from>
    <xdr:to>
      <xdr:col>61</xdr:col>
      <xdr:colOff>74325</xdr:colOff>
      <xdr:row>16</xdr:row>
      <xdr:rowOff>76200</xdr:rowOff>
    </xdr:to>
    <xdr:cxnSp macro="">
      <xdr:nvCxnSpPr>
        <xdr:cNvPr id="380973" name="直線矢印コネクタ 380972">
          <a:extLst>
            <a:ext uri="{FF2B5EF4-FFF2-40B4-BE49-F238E27FC236}">
              <a16:creationId xmlns:a16="http://schemas.microsoft.com/office/drawing/2014/main" id="{4697437A-1BD2-49FF-8C05-2D0458E0B6ED}"/>
            </a:ext>
          </a:extLst>
        </xdr:cNvPr>
        <xdr:cNvCxnSpPr/>
      </xdr:nvCxnSpPr>
      <xdr:spPr bwMode="auto">
        <a:xfrm flipH="1">
          <a:off x="1409700" y="3124200"/>
          <a:ext cx="7380000" cy="0"/>
        </a:xfrm>
        <a:prstGeom prst="straightConnector1">
          <a:avLst/>
        </a:prstGeom>
        <a:solidFill>
          <a:srgbClr val="FFFFFF"/>
        </a:solidFill>
        <a:ln w="57150" cap="flat" cmpd="sng" algn="ctr">
          <a:solidFill>
            <a:srgbClr val="00B05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10</xdr:col>
      <xdr:colOff>9525</xdr:colOff>
      <xdr:row>15</xdr:row>
      <xdr:rowOff>38100</xdr:rowOff>
    </xdr:from>
    <xdr:to>
      <xdr:col>61</xdr:col>
      <xdr:colOff>102900</xdr:colOff>
      <xdr:row>15</xdr:row>
      <xdr:rowOff>38100</xdr:rowOff>
    </xdr:to>
    <xdr:cxnSp macro="">
      <xdr:nvCxnSpPr>
        <xdr:cNvPr id="380974" name="直線矢印コネクタ 380973">
          <a:extLst>
            <a:ext uri="{FF2B5EF4-FFF2-40B4-BE49-F238E27FC236}">
              <a16:creationId xmlns:a16="http://schemas.microsoft.com/office/drawing/2014/main" id="{8B1D789C-365B-4929-B589-E372B020EC5B}"/>
            </a:ext>
          </a:extLst>
        </xdr:cNvPr>
        <xdr:cNvCxnSpPr/>
      </xdr:nvCxnSpPr>
      <xdr:spPr bwMode="auto">
        <a:xfrm>
          <a:off x="1438275" y="2895600"/>
          <a:ext cx="7380000" cy="0"/>
        </a:xfrm>
        <a:prstGeom prst="straightConnector1">
          <a:avLst/>
        </a:prstGeom>
        <a:solidFill>
          <a:srgbClr val="FFFFFF"/>
        </a:solidFill>
        <a:ln w="57150" cap="flat" cmpd="sng" algn="ctr">
          <a:solidFill>
            <a:srgbClr val="0070C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>
            <a:rot lat="0" lon="0" rev="0"/>
          </a:camera>
          <a:lightRig rig="threePt" dir="t"/>
        </a:scene3d>
      </a:spPr>
      <a:bodyPr vertOverflow="clip" wrap="square" lIns="18288" tIns="0" rIns="0" bIns="0" rtlCol="0" anchor="ctr" upright="1"/>
      <a:lstStyle>
        <a:defPPr algn="ctr">
          <a:defRPr kumimoji="1" sz="1100"/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wrap="square" rtlCol="0" anchor="t"/>
      <a:lstStyle>
        <a:defPPr>
          <a:defRPr kumimoji="1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B10:AB51"/>
  <sheetViews>
    <sheetView tabSelected="1" zoomScale="85" zoomScaleNormal="85" workbookViewId="0"/>
  </sheetViews>
  <sheetFormatPr defaultRowHeight="13.5" x14ac:dyDescent="0.15"/>
  <cols>
    <col min="1" max="32" width="4.5" customWidth="1"/>
  </cols>
  <sheetData>
    <row r="10" spans="7:24" x14ac:dyDescent="0.15">
      <c r="G10" s="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5"/>
    </row>
    <row r="11" spans="7:24" ht="13.5" customHeight="1" x14ac:dyDescent="0.15">
      <c r="G11" s="37" t="str">
        <f>I40</f>
        <v>　学生勤務管理システム</v>
      </c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6"/>
    </row>
    <row r="12" spans="7:24" ht="13.5" customHeight="1" x14ac:dyDescent="0.15">
      <c r="G12" s="37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6"/>
    </row>
    <row r="13" spans="7:24" x14ac:dyDescent="0.15">
      <c r="G13" s="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6"/>
    </row>
    <row r="14" spans="7:24" ht="13.5" customHeight="1" x14ac:dyDescent="0.15">
      <c r="G14" s="37" t="str">
        <f>I44</f>
        <v>　AOP</v>
      </c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6"/>
    </row>
    <row r="15" spans="7:24" ht="13.5" customHeight="1" x14ac:dyDescent="0.15">
      <c r="G15" s="37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6"/>
    </row>
    <row r="16" spans="7:24" x14ac:dyDescent="0.15">
      <c r="G16" s="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6"/>
    </row>
    <row r="17" spans="7:24" ht="13.5" customHeight="1" x14ac:dyDescent="0.15">
      <c r="G17" s="37" t="str">
        <f>I42</f>
        <v xml:space="preserve">　 </v>
      </c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6"/>
    </row>
    <row r="18" spans="7:24" ht="13.5" customHeight="1" x14ac:dyDescent="0.15">
      <c r="G18" s="37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6"/>
    </row>
    <row r="19" spans="7:24" x14ac:dyDescent="0.15">
      <c r="G19" s="7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6"/>
    </row>
    <row r="20" spans="7:24" ht="13.5" customHeight="1" x14ac:dyDescent="0.15">
      <c r="G20" s="37" t="str">
        <f>I51</f>
        <v>【 Ver 1.00 】</v>
      </c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6"/>
    </row>
    <row r="21" spans="7:24" ht="13.5" customHeight="1" x14ac:dyDescent="0.15">
      <c r="G21" s="37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6"/>
    </row>
    <row r="22" spans="7:24" x14ac:dyDescent="0.15">
      <c r="G22" s="9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1"/>
    </row>
    <row r="27" spans="7:24" s="1" customFormat="1" x14ac:dyDescent="0.15">
      <c r="J27" s="33" t="str">
        <f>TEXT(I47,"yyyy年")&amp;IF(LEFT(TEXT(I47,"mm"),1)="0"," ","")&amp;TEXT(I47,"m月")&amp;IF(LEFT(TEXT(I47,"dd"),1)="0"," ","")&amp;TEXT(I47,"d日")&amp;"作成"</f>
        <v>2024年 2月 7日作成</v>
      </c>
      <c r="K27" s="34"/>
      <c r="L27" s="34"/>
      <c r="M27" s="34"/>
      <c r="N27" s="34"/>
      <c r="O27" s="34"/>
      <c r="P27" s="34"/>
      <c r="Q27" s="34"/>
      <c r="R27" s="34"/>
      <c r="S27" s="34"/>
      <c r="T27" s="34"/>
    </row>
    <row r="28" spans="7:24" s="1" customFormat="1" x14ac:dyDescent="0.15"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</row>
    <row r="29" spans="7:24" s="1" customFormat="1" x14ac:dyDescent="0.15">
      <c r="J29" s="33" t="str">
        <f>IF(I49="　※ページ毎に個別入力","    年  月  日改訂",TEXT(I49,"yyyy年")&amp;IF(LEFT(TEXT(I49,"mm"),1)="0"," ","")&amp;TEXT(I49,"m月")&amp;IF(LEFT(TEXT(I49,"dd"),1)="0"," ","")&amp;TEXT(I49,"d日")&amp;"改訂")</f>
        <v xml:space="preserve">   改訂</v>
      </c>
      <c r="K29" s="34"/>
      <c r="L29" s="34"/>
      <c r="M29" s="34"/>
      <c r="N29" s="34"/>
      <c r="O29" s="34"/>
      <c r="P29" s="34"/>
      <c r="Q29" s="34"/>
      <c r="R29" s="34"/>
      <c r="S29" s="34"/>
      <c r="T29" s="34"/>
    </row>
    <row r="30" spans="7:24" s="1" customFormat="1" x14ac:dyDescent="0.15"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</row>
    <row r="38" spans="2:28" ht="23.25" customHeight="1" x14ac:dyDescent="0.15">
      <c r="B38" s="36" t="s">
        <v>19</v>
      </c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</row>
    <row r="39" spans="2:28" ht="23.25" customHeight="1" x14ac:dyDescent="0.15">
      <c r="B39" s="32" t="s">
        <v>20</v>
      </c>
      <c r="C39" s="32"/>
      <c r="D39" s="32"/>
      <c r="E39" s="32"/>
      <c r="F39" s="32"/>
      <c r="G39" s="32"/>
      <c r="H39" s="32"/>
      <c r="I39" s="32" t="s">
        <v>10</v>
      </c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</row>
    <row r="40" spans="2:28" ht="23.25" customHeight="1" x14ac:dyDescent="0.15">
      <c r="B40" s="31" t="s">
        <v>21</v>
      </c>
      <c r="C40" s="31"/>
      <c r="D40" s="31"/>
      <c r="E40" s="31"/>
      <c r="F40" s="31"/>
      <c r="G40" s="31"/>
      <c r="H40" s="31"/>
      <c r="I40" s="35" t="s">
        <v>42</v>
      </c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 ht="23.25" customHeight="1" x14ac:dyDescent="0.15">
      <c r="B41" s="31" t="s">
        <v>22</v>
      </c>
      <c r="C41" s="31"/>
      <c r="D41" s="31"/>
      <c r="E41" s="31"/>
      <c r="F41" s="31"/>
      <c r="G41" s="31"/>
      <c r="H41" s="31"/>
      <c r="I41" s="35" t="s">
        <v>40</v>
      </c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spans="2:28" ht="23.25" customHeight="1" x14ac:dyDescent="0.15">
      <c r="B42" s="31" t="s">
        <v>23</v>
      </c>
      <c r="C42" s="31"/>
      <c r="D42" s="31"/>
      <c r="E42" s="31"/>
      <c r="F42" s="31"/>
      <c r="G42" s="31"/>
      <c r="H42" s="31"/>
      <c r="I42" s="35" t="s">
        <v>33</v>
      </c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</row>
    <row r="43" spans="2:28" ht="23.25" customHeight="1" x14ac:dyDescent="0.15">
      <c r="B43" s="31" t="s">
        <v>24</v>
      </c>
      <c r="C43" s="31"/>
      <c r="D43" s="31"/>
      <c r="E43" s="31"/>
      <c r="F43" s="31"/>
      <c r="G43" s="31"/>
      <c r="H43" s="31"/>
      <c r="I43" s="35" t="s">
        <v>38</v>
      </c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</row>
    <row r="44" spans="2:28" ht="23.25" customHeight="1" x14ac:dyDescent="0.15">
      <c r="B44" s="31" t="s">
        <v>25</v>
      </c>
      <c r="C44" s="31"/>
      <c r="D44" s="31"/>
      <c r="E44" s="31"/>
      <c r="F44" s="31"/>
      <c r="G44" s="31"/>
      <c r="H44" s="31"/>
      <c r="I44" s="35" t="s">
        <v>46</v>
      </c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spans="2:28" ht="23.25" customHeight="1" x14ac:dyDescent="0.15">
      <c r="B45" s="31" t="s">
        <v>26</v>
      </c>
      <c r="C45" s="31"/>
      <c r="D45" s="31"/>
      <c r="E45" s="31"/>
      <c r="F45" s="31"/>
      <c r="G45" s="31"/>
      <c r="H45" s="31"/>
      <c r="I45" s="35" t="s">
        <v>9</v>
      </c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 ht="23.25" customHeight="1" x14ac:dyDescent="0.15">
      <c r="B46" s="31" t="s">
        <v>27</v>
      </c>
      <c r="C46" s="31"/>
      <c r="D46" s="31"/>
      <c r="E46" s="31"/>
      <c r="F46" s="31"/>
      <c r="G46" s="31"/>
      <c r="H46" s="31"/>
      <c r="I46" s="35" t="s">
        <v>44</v>
      </c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</row>
    <row r="47" spans="2:28" ht="23.25" customHeight="1" x14ac:dyDescent="0.15">
      <c r="B47" s="31" t="s">
        <v>28</v>
      </c>
      <c r="C47" s="31"/>
      <c r="D47" s="31"/>
      <c r="E47" s="31"/>
      <c r="F47" s="31"/>
      <c r="G47" s="31"/>
      <c r="H47" s="31"/>
      <c r="I47" s="39">
        <v>45329</v>
      </c>
      <c r="J47" s="40"/>
      <c r="K47" s="40"/>
      <c r="L47" s="40"/>
      <c r="M47" s="40"/>
      <c r="N47" s="40"/>
      <c r="O47" s="40"/>
      <c r="P47" s="40"/>
      <c r="Q47" s="40"/>
      <c r="R47" s="40"/>
      <c r="S47" s="35"/>
      <c r="T47" s="35"/>
      <c r="U47" s="35"/>
      <c r="V47" s="35"/>
      <c r="W47" s="35"/>
      <c r="X47" s="35"/>
      <c r="Y47" s="35"/>
      <c r="Z47" s="35"/>
      <c r="AA47" s="35"/>
      <c r="AB47" s="35"/>
    </row>
    <row r="48" spans="2:28" ht="23.25" customHeight="1" x14ac:dyDescent="0.15">
      <c r="B48" s="31" t="s">
        <v>29</v>
      </c>
      <c r="C48" s="31"/>
      <c r="D48" s="31"/>
      <c r="E48" s="31"/>
      <c r="F48" s="31"/>
      <c r="G48" s="31"/>
      <c r="H48" s="31"/>
      <c r="I48" s="35" t="s">
        <v>9</v>
      </c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 ht="23.25" customHeight="1" x14ac:dyDescent="0.15">
      <c r="B49" s="31" t="s">
        <v>30</v>
      </c>
      <c r="C49" s="31"/>
      <c r="D49" s="31"/>
      <c r="E49" s="31"/>
      <c r="F49" s="31"/>
      <c r="G49" s="31"/>
      <c r="H49" s="31"/>
      <c r="I49" s="35" t="s">
        <v>45</v>
      </c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 ht="23.25" customHeight="1" x14ac:dyDescent="0.15">
      <c r="B50" s="31" t="s">
        <v>31</v>
      </c>
      <c r="C50" s="31"/>
      <c r="D50" s="31"/>
      <c r="E50" s="31"/>
      <c r="F50" s="31"/>
      <c r="G50" s="31"/>
      <c r="H50" s="31"/>
      <c r="I50" s="35" t="s">
        <v>41</v>
      </c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</row>
    <row r="51" spans="2:28" ht="23.25" customHeight="1" x14ac:dyDescent="0.15">
      <c r="B51" s="31" t="s">
        <v>34</v>
      </c>
      <c r="C51" s="31"/>
      <c r="D51" s="31"/>
      <c r="E51" s="31"/>
      <c r="F51" s="31"/>
      <c r="G51" s="31"/>
      <c r="H51" s="31"/>
      <c r="I51" s="35" t="str">
        <f>"【 Ver " &amp; TEXT(MAX(改訂履歴!E5:E990),"0.00") &amp; " 】"</f>
        <v>【 Ver 1.00 】</v>
      </c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</row>
  </sheetData>
  <mergeCells count="33">
    <mergeCell ref="B51:H51"/>
    <mergeCell ref="I51:AB51"/>
    <mergeCell ref="B49:H49"/>
    <mergeCell ref="I49:AB49"/>
    <mergeCell ref="B50:H50"/>
    <mergeCell ref="I50:AB50"/>
    <mergeCell ref="B48:H48"/>
    <mergeCell ref="I48:AB48"/>
    <mergeCell ref="B44:H44"/>
    <mergeCell ref="B45:H45"/>
    <mergeCell ref="B46:H46"/>
    <mergeCell ref="B47:H47"/>
    <mergeCell ref="I45:AB45"/>
    <mergeCell ref="I46:AB46"/>
    <mergeCell ref="I47:AB47"/>
    <mergeCell ref="I44:AB44"/>
    <mergeCell ref="G11:W12"/>
    <mergeCell ref="G14:W15"/>
    <mergeCell ref="G17:W18"/>
    <mergeCell ref="G20:W21"/>
    <mergeCell ref="I42:AB42"/>
    <mergeCell ref="B41:H41"/>
    <mergeCell ref="B42:H42"/>
    <mergeCell ref="B43:H43"/>
    <mergeCell ref="B39:H39"/>
    <mergeCell ref="J27:T28"/>
    <mergeCell ref="J29:T30"/>
    <mergeCell ref="I40:AB40"/>
    <mergeCell ref="I41:AB41"/>
    <mergeCell ref="I39:AB39"/>
    <mergeCell ref="B38:AB38"/>
    <mergeCell ref="B40:H40"/>
    <mergeCell ref="I43:AB43"/>
  </mergeCells>
  <phoneticPr fontId="2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X23"/>
  <sheetViews>
    <sheetView view="pageBreakPreview" zoomScale="85" zoomScaleNormal="85" zoomScaleSheetLayoutView="85" workbookViewId="0"/>
  </sheetViews>
  <sheetFormatPr defaultColWidth="1.875" defaultRowHeight="15" customHeight="1" x14ac:dyDescent="0.15"/>
  <cols>
    <col min="1" max="4" width="1.875" style="1" customWidth="1"/>
    <col min="5" max="9" width="1.875" style="13" customWidth="1"/>
    <col min="10" max="26" width="1.875" style="1" customWidth="1"/>
    <col min="27" max="33" width="2.375" style="1" customWidth="1"/>
    <col min="34" max="16384" width="1.875" style="1"/>
  </cols>
  <sheetData>
    <row r="1" spans="1:76" ht="15" customHeight="1" x14ac:dyDescent="0.15">
      <c r="A1" s="1" t="s">
        <v>2</v>
      </c>
    </row>
    <row r="3" spans="1:76" s="2" customFormat="1" ht="15" customHeight="1" x14ac:dyDescent="0.15">
      <c r="A3" s="48" t="s">
        <v>16</v>
      </c>
      <c r="B3" s="48"/>
      <c r="C3" s="48"/>
      <c r="D3" s="48"/>
      <c r="E3" s="67" t="s">
        <v>17</v>
      </c>
      <c r="F3" s="68"/>
      <c r="G3" s="68"/>
      <c r="H3" s="68"/>
      <c r="I3" s="69"/>
      <c r="J3" s="58" t="s">
        <v>5</v>
      </c>
      <c r="K3" s="59"/>
      <c r="L3" s="59"/>
      <c r="M3" s="59"/>
      <c r="N3" s="59"/>
      <c r="O3" s="59"/>
      <c r="P3" s="59"/>
      <c r="Q3" s="60"/>
      <c r="R3" s="48" t="s">
        <v>3</v>
      </c>
      <c r="S3" s="48"/>
      <c r="T3" s="48"/>
      <c r="U3" s="48"/>
      <c r="V3" s="48"/>
      <c r="W3" s="48" t="s">
        <v>6</v>
      </c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 t="s">
        <v>7</v>
      </c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 t="s">
        <v>8</v>
      </c>
      <c r="BS3" s="48"/>
      <c r="BT3" s="48"/>
      <c r="BU3" s="48"/>
      <c r="BV3" s="48"/>
      <c r="BW3" s="48"/>
      <c r="BX3" s="48"/>
    </row>
    <row r="4" spans="1:76" s="2" customFormat="1" ht="15" customHeight="1" x14ac:dyDescent="0.15">
      <c r="A4" s="48"/>
      <c r="B4" s="48"/>
      <c r="C4" s="48"/>
      <c r="D4" s="48"/>
      <c r="E4" s="70"/>
      <c r="F4" s="71"/>
      <c r="G4" s="71"/>
      <c r="H4" s="71"/>
      <c r="I4" s="72"/>
      <c r="J4" s="61"/>
      <c r="K4" s="62"/>
      <c r="L4" s="62"/>
      <c r="M4" s="62"/>
      <c r="N4" s="62"/>
      <c r="O4" s="62"/>
      <c r="P4" s="62"/>
      <c r="Q4" s="63"/>
      <c r="R4" s="48"/>
      <c r="S4" s="48"/>
      <c r="T4" s="48"/>
      <c r="U4" s="48"/>
      <c r="V4" s="48"/>
      <c r="W4" s="48" t="s">
        <v>4</v>
      </c>
      <c r="X4" s="48"/>
      <c r="Y4" s="48"/>
      <c r="Z4" s="48"/>
      <c r="AA4" s="48" t="s">
        <v>43</v>
      </c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</row>
    <row r="5" spans="1:76" ht="20.100000000000001" customHeight="1" x14ac:dyDescent="0.15">
      <c r="A5" s="54">
        <v>1</v>
      </c>
      <c r="B5" s="54"/>
      <c r="C5" s="54"/>
      <c r="D5" s="54"/>
      <c r="E5" s="73">
        <v>1</v>
      </c>
      <c r="F5" s="74"/>
      <c r="G5" s="74"/>
      <c r="H5" s="74"/>
      <c r="I5" s="75"/>
      <c r="J5" s="64">
        <f>タイトル!I47</f>
        <v>45329</v>
      </c>
      <c r="K5" s="65"/>
      <c r="L5" s="65"/>
      <c r="M5" s="65"/>
      <c r="N5" s="65"/>
      <c r="O5" s="65"/>
      <c r="P5" s="65"/>
      <c r="Q5" s="66"/>
      <c r="R5" s="55" t="s">
        <v>11</v>
      </c>
      <c r="S5" s="56"/>
      <c r="T5" s="56"/>
      <c r="U5" s="56"/>
      <c r="V5" s="57"/>
      <c r="W5" s="51"/>
      <c r="X5" s="52"/>
      <c r="Y5" s="52"/>
      <c r="Z5" s="53"/>
      <c r="AA5" s="51"/>
      <c r="AB5" s="52"/>
      <c r="AC5" s="52"/>
      <c r="AD5" s="52"/>
      <c r="AE5" s="52"/>
      <c r="AF5" s="52"/>
      <c r="AG5" s="53"/>
      <c r="AH5" s="49" t="s">
        <v>18</v>
      </c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50" t="str">
        <f>タイトル!I46</f>
        <v>大久保　梓沙</v>
      </c>
      <c r="BS5" s="50"/>
      <c r="BT5" s="50"/>
      <c r="BU5" s="50"/>
      <c r="BV5" s="50"/>
      <c r="BW5" s="50"/>
      <c r="BX5" s="50"/>
    </row>
    <row r="6" spans="1:76" ht="20.100000000000001" customHeight="1" x14ac:dyDescent="0.15">
      <c r="A6" s="44"/>
      <c r="B6" s="44"/>
      <c r="C6" s="44"/>
      <c r="D6" s="44"/>
      <c r="E6" s="45"/>
      <c r="F6" s="45"/>
      <c r="G6" s="45"/>
      <c r="H6" s="45"/>
      <c r="I6" s="45"/>
      <c r="J6" s="46"/>
      <c r="K6" s="46"/>
      <c r="L6" s="46"/>
      <c r="M6" s="46"/>
      <c r="N6" s="46"/>
      <c r="O6" s="46"/>
      <c r="P6" s="46"/>
      <c r="Q6" s="46"/>
      <c r="R6" s="44"/>
      <c r="S6" s="44"/>
      <c r="T6" s="44"/>
      <c r="U6" s="44"/>
      <c r="V6" s="44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2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3"/>
      <c r="BS6" s="43"/>
      <c r="BT6" s="43"/>
      <c r="BU6" s="43"/>
      <c r="BV6" s="43"/>
      <c r="BW6" s="43"/>
      <c r="BX6" s="43"/>
    </row>
    <row r="7" spans="1:76" ht="20.100000000000001" customHeight="1" x14ac:dyDescent="0.15">
      <c r="A7" s="44"/>
      <c r="B7" s="44"/>
      <c r="C7" s="44"/>
      <c r="D7" s="44"/>
      <c r="E7" s="45"/>
      <c r="F7" s="45"/>
      <c r="G7" s="45"/>
      <c r="H7" s="45"/>
      <c r="I7" s="45"/>
      <c r="J7" s="46"/>
      <c r="K7" s="46"/>
      <c r="L7" s="46"/>
      <c r="M7" s="46"/>
      <c r="N7" s="46"/>
      <c r="O7" s="46"/>
      <c r="P7" s="46"/>
      <c r="Q7" s="46"/>
      <c r="R7" s="44"/>
      <c r="S7" s="44"/>
      <c r="T7" s="44"/>
      <c r="U7" s="44"/>
      <c r="V7" s="44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2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3"/>
      <c r="BS7" s="43"/>
      <c r="BT7" s="43"/>
      <c r="BU7" s="43"/>
      <c r="BV7" s="43"/>
      <c r="BW7" s="43"/>
      <c r="BX7" s="43"/>
    </row>
    <row r="8" spans="1:76" ht="20.100000000000001" customHeight="1" x14ac:dyDescent="0.15">
      <c r="A8" s="44"/>
      <c r="B8" s="44"/>
      <c r="C8" s="44"/>
      <c r="D8" s="44"/>
      <c r="E8" s="45"/>
      <c r="F8" s="45"/>
      <c r="G8" s="45"/>
      <c r="H8" s="45"/>
      <c r="I8" s="45"/>
      <c r="J8" s="46"/>
      <c r="K8" s="46"/>
      <c r="L8" s="46"/>
      <c r="M8" s="46"/>
      <c r="N8" s="46"/>
      <c r="O8" s="46"/>
      <c r="P8" s="46"/>
      <c r="Q8" s="46"/>
      <c r="R8" s="44"/>
      <c r="S8" s="44"/>
      <c r="T8" s="44"/>
      <c r="U8" s="44"/>
      <c r="V8" s="44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2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3"/>
      <c r="BS8" s="43"/>
      <c r="BT8" s="43"/>
      <c r="BU8" s="43"/>
      <c r="BV8" s="43"/>
      <c r="BW8" s="43"/>
      <c r="BX8" s="43"/>
    </row>
    <row r="9" spans="1:76" ht="20.100000000000001" customHeight="1" x14ac:dyDescent="0.15">
      <c r="A9" s="44"/>
      <c r="B9" s="44"/>
      <c r="C9" s="44"/>
      <c r="D9" s="44"/>
      <c r="E9" s="45"/>
      <c r="F9" s="45"/>
      <c r="G9" s="45"/>
      <c r="H9" s="45"/>
      <c r="I9" s="45"/>
      <c r="J9" s="46"/>
      <c r="K9" s="46"/>
      <c r="L9" s="46"/>
      <c r="M9" s="46"/>
      <c r="N9" s="46"/>
      <c r="O9" s="46"/>
      <c r="P9" s="46"/>
      <c r="Q9" s="46"/>
      <c r="R9" s="44"/>
      <c r="S9" s="44"/>
      <c r="T9" s="44"/>
      <c r="U9" s="44"/>
      <c r="V9" s="44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2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3"/>
      <c r="BS9" s="43"/>
      <c r="BT9" s="43"/>
      <c r="BU9" s="43"/>
      <c r="BV9" s="43"/>
      <c r="BW9" s="43"/>
      <c r="BX9" s="43"/>
    </row>
    <row r="10" spans="1:76" ht="20.100000000000001" customHeight="1" x14ac:dyDescent="0.15">
      <c r="A10" s="44"/>
      <c r="B10" s="44"/>
      <c r="C10" s="44"/>
      <c r="D10" s="44"/>
      <c r="E10" s="45"/>
      <c r="F10" s="45"/>
      <c r="G10" s="45"/>
      <c r="H10" s="45"/>
      <c r="I10" s="45"/>
      <c r="J10" s="46"/>
      <c r="K10" s="46"/>
      <c r="L10" s="46"/>
      <c r="M10" s="46"/>
      <c r="N10" s="46"/>
      <c r="O10" s="46"/>
      <c r="P10" s="46"/>
      <c r="Q10" s="46"/>
      <c r="R10" s="44"/>
      <c r="S10" s="44"/>
      <c r="T10" s="44"/>
      <c r="U10" s="44"/>
      <c r="V10" s="44"/>
      <c r="W10" s="41"/>
      <c r="X10" s="41"/>
      <c r="Y10" s="41"/>
      <c r="Z10" s="41"/>
      <c r="AA10" s="42"/>
      <c r="AB10" s="41"/>
      <c r="AC10" s="41"/>
      <c r="AD10" s="41"/>
      <c r="AE10" s="41"/>
      <c r="AF10" s="41"/>
      <c r="AG10" s="41"/>
      <c r="AH10" s="42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3"/>
      <c r="BS10" s="43"/>
      <c r="BT10" s="43"/>
      <c r="BU10" s="43"/>
      <c r="BV10" s="43"/>
      <c r="BW10" s="43"/>
      <c r="BX10" s="43"/>
    </row>
    <row r="11" spans="1:76" ht="20.100000000000001" customHeight="1" x14ac:dyDescent="0.15">
      <c r="A11" s="44"/>
      <c r="B11" s="44"/>
      <c r="C11" s="44"/>
      <c r="D11" s="44"/>
      <c r="E11" s="45"/>
      <c r="F11" s="45"/>
      <c r="G11" s="45"/>
      <c r="H11" s="45"/>
      <c r="I11" s="45"/>
      <c r="J11" s="46"/>
      <c r="K11" s="46"/>
      <c r="L11" s="46"/>
      <c r="M11" s="46"/>
      <c r="N11" s="46"/>
      <c r="O11" s="46"/>
      <c r="P11" s="46"/>
      <c r="Q11" s="46"/>
      <c r="R11" s="44"/>
      <c r="S11" s="44"/>
      <c r="T11" s="44"/>
      <c r="U11" s="44"/>
      <c r="V11" s="44"/>
      <c r="W11" s="41"/>
      <c r="X11" s="41"/>
      <c r="Y11" s="41"/>
      <c r="Z11" s="41"/>
      <c r="AA11" s="42"/>
      <c r="AB11" s="41"/>
      <c r="AC11" s="41"/>
      <c r="AD11" s="41"/>
      <c r="AE11" s="41"/>
      <c r="AF11" s="41"/>
      <c r="AG11" s="41"/>
      <c r="AH11" s="42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3"/>
      <c r="BS11" s="43"/>
      <c r="BT11" s="43"/>
      <c r="BU11" s="43"/>
      <c r="BV11" s="43"/>
      <c r="BW11" s="43"/>
      <c r="BX11" s="43"/>
    </row>
    <row r="12" spans="1:76" ht="20.100000000000001" customHeight="1" x14ac:dyDescent="0.15">
      <c r="A12" s="44"/>
      <c r="B12" s="44"/>
      <c r="C12" s="44"/>
      <c r="D12" s="44"/>
      <c r="E12" s="45"/>
      <c r="F12" s="45"/>
      <c r="G12" s="45"/>
      <c r="H12" s="45"/>
      <c r="I12" s="45"/>
      <c r="J12" s="46"/>
      <c r="K12" s="46"/>
      <c r="L12" s="46"/>
      <c r="M12" s="46"/>
      <c r="N12" s="46"/>
      <c r="O12" s="46"/>
      <c r="P12" s="46"/>
      <c r="Q12" s="46"/>
      <c r="R12" s="44"/>
      <c r="S12" s="44"/>
      <c r="T12" s="44"/>
      <c r="U12" s="44"/>
      <c r="V12" s="44"/>
      <c r="W12" s="41"/>
      <c r="X12" s="41"/>
      <c r="Y12" s="41"/>
      <c r="Z12" s="41"/>
      <c r="AA12" s="42"/>
      <c r="AB12" s="41"/>
      <c r="AC12" s="41"/>
      <c r="AD12" s="41"/>
      <c r="AE12" s="41"/>
      <c r="AF12" s="41"/>
      <c r="AG12" s="41"/>
      <c r="AH12" s="42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3"/>
      <c r="BS12" s="43"/>
      <c r="BT12" s="43"/>
      <c r="BU12" s="43"/>
      <c r="BV12" s="43"/>
      <c r="BW12" s="43"/>
      <c r="BX12" s="43"/>
    </row>
    <row r="13" spans="1:76" ht="20.100000000000001" customHeight="1" x14ac:dyDescent="0.15">
      <c r="A13" s="44"/>
      <c r="B13" s="44"/>
      <c r="C13" s="44"/>
      <c r="D13" s="44"/>
      <c r="E13" s="45"/>
      <c r="F13" s="45"/>
      <c r="G13" s="45"/>
      <c r="H13" s="45"/>
      <c r="I13" s="45"/>
      <c r="J13" s="46"/>
      <c r="K13" s="46"/>
      <c r="L13" s="46"/>
      <c r="M13" s="46"/>
      <c r="N13" s="46"/>
      <c r="O13" s="46"/>
      <c r="P13" s="46"/>
      <c r="Q13" s="46"/>
      <c r="R13" s="44"/>
      <c r="S13" s="44"/>
      <c r="T13" s="44"/>
      <c r="U13" s="44"/>
      <c r="V13" s="44"/>
      <c r="W13" s="41"/>
      <c r="X13" s="41"/>
      <c r="Y13" s="41"/>
      <c r="Z13" s="41"/>
      <c r="AA13" s="42"/>
      <c r="AB13" s="41"/>
      <c r="AC13" s="41"/>
      <c r="AD13" s="41"/>
      <c r="AE13" s="41"/>
      <c r="AF13" s="41"/>
      <c r="AG13" s="41"/>
      <c r="AH13" s="42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3"/>
      <c r="BS13" s="43"/>
      <c r="BT13" s="43"/>
      <c r="BU13" s="43"/>
      <c r="BV13" s="43"/>
      <c r="BW13" s="43"/>
      <c r="BX13" s="43"/>
    </row>
    <row r="14" spans="1:76" ht="20.100000000000001" customHeight="1" x14ac:dyDescent="0.15">
      <c r="A14" s="44"/>
      <c r="B14" s="44"/>
      <c r="C14" s="44"/>
      <c r="D14" s="44"/>
      <c r="E14" s="45"/>
      <c r="F14" s="45"/>
      <c r="G14" s="45"/>
      <c r="H14" s="45"/>
      <c r="I14" s="45"/>
      <c r="J14" s="46"/>
      <c r="K14" s="46"/>
      <c r="L14" s="46"/>
      <c r="M14" s="46"/>
      <c r="N14" s="46"/>
      <c r="O14" s="46"/>
      <c r="P14" s="46"/>
      <c r="Q14" s="46"/>
      <c r="R14" s="44"/>
      <c r="S14" s="44"/>
      <c r="T14" s="44"/>
      <c r="U14" s="44"/>
      <c r="V14" s="44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2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3"/>
      <c r="BS14" s="43"/>
      <c r="BT14" s="43"/>
      <c r="BU14" s="43"/>
      <c r="BV14" s="43"/>
      <c r="BW14" s="43"/>
      <c r="BX14" s="43"/>
    </row>
    <row r="15" spans="1:76" ht="20.100000000000001" customHeight="1" x14ac:dyDescent="0.15">
      <c r="A15" s="44"/>
      <c r="B15" s="44"/>
      <c r="C15" s="44"/>
      <c r="D15" s="44"/>
      <c r="E15" s="45"/>
      <c r="F15" s="45"/>
      <c r="G15" s="45"/>
      <c r="H15" s="45"/>
      <c r="I15" s="45"/>
      <c r="J15" s="46"/>
      <c r="K15" s="46"/>
      <c r="L15" s="46"/>
      <c r="M15" s="46"/>
      <c r="N15" s="46"/>
      <c r="O15" s="46"/>
      <c r="P15" s="46"/>
      <c r="Q15" s="46"/>
      <c r="R15" s="44"/>
      <c r="S15" s="44"/>
      <c r="T15" s="44"/>
      <c r="U15" s="44"/>
      <c r="V15" s="44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2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3"/>
      <c r="BS15" s="43"/>
      <c r="BT15" s="43"/>
      <c r="BU15" s="43"/>
      <c r="BV15" s="43"/>
      <c r="BW15" s="43"/>
      <c r="BX15" s="43"/>
    </row>
    <row r="16" spans="1:76" ht="20.100000000000001" customHeight="1" x14ac:dyDescent="0.15">
      <c r="A16" s="44"/>
      <c r="B16" s="44"/>
      <c r="C16" s="44"/>
      <c r="D16" s="44"/>
      <c r="E16" s="45"/>
      <c r="F16" s="45"/>
      <c r="G16" s="45"/>
      <c r="H16" s="45"/>
      <c r="I16" s="45"/>
      <c r="J16" s="46"/>
      <c r="K16" s="46"/>
      <c r="L16" s="46"/>
      <c r="M16" s="46"/>
      <c r="N16" s="46"/>
      <c r="O16" s="46"/>
      <c r="P16" s="46"/>
      <c r="Q16" s="46"/>
      <c r="R16" s="44"/>
      <c r="S16" s="44"/>
      <c r="T16" s="44"/>
      <c r="U16" s="44"/>
      <c r="V16" s="44"/>
      <c r="W16" s="41"/>
      <c r="X16" s="41"/>
      <c r="Y16" s="41"/>
      <c r="Z16" s="41"/>
      <c r="AA16" s="47"/>
      <c r="AB16" s="47"/>
      <c r="AC16" s="47"/>
      <c r="AD16" s="47"/>
      <c r="AE16" s="47"/>
      <c r="AF16" s="47"/>
      <c r="AG16" s="47"/>
      <c r="AH16" s="42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3"/>
      <c r="BS16" s="43"/>
      <c r="BT16" s="43"/>
      <c r="BU16" s="43"/>
      <c r="BV16" s="43"/>
      <c r="BW16" s="43"/>
      <c r="BX16" s="43"/>
    </row>
    <row r="17" spans="1:76" ht="20.100000000000001" customHeight="1" x14ac:dyDescent="0.15">
      <c r="A17" s="44"/>
      <c r="B17" s="44"/>
      <c r="C17" s="44"/>
      <c r="D17" s="44"/>
      <c r="E17" s="45"/>
      <c r="F17" s="45"/>
      <c r="G17" s="45"/>
      <c r="H17" s="45"/>
      <c r="I17" s="45"/>
      <c r="J17" s="46"/>
      <c r="K17" s="46"/>
      <c r="L17" s="46"/>
      <c r="M17" s="46"/>
      <c r="N17" s="46"/>
      <c r="O17" s="46"/>
      <c r="P17" s="46"/>
      <c r="Q17" s="46"/>
      <c r="R17" s="44"/>
      <c r="S17" s="44"/>
      <c r="T17" s="44"/>
      <c r="U17" s="44"/>
      <c r="V17" s="44"/>
      <c r="W17" s="41"/>
      <c r="X17" s="41"/>
      <c r="Y17" s="41"/>
      <c r="Z17" s="41"/>
      <c r="AA17" s="47"/>
      <c r="AB17" s="47"/>
      <c r="AC17" s="47"/>
      <c r="AD17" s="47"/>
      <c r="AE17" s="47"/>
      <c r="AF17" s="47"/>
      <c r="AG17" s="47"/>
      <c r="AH17" s="42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3"/>
      <c r="BS17" s="43"/>
      <c r="BT17" s="43"/>
      <c r="BU17" s="43"/>
      <c r="BV17" s="43"/>
      <c r="BW17" s="43"/>
      <c r="BX17" s="43"/>
    </row>
    <row r="18" spans="1:76" ht="20.100000000000001" customHeight="1" x14ac:dyDescent="0.15">
      <c r="A18" s="44"/>
      <c r="B18" s="44"/>
      <c r="C18" s="44"/>
      <c r="D18" s="44"/>
      <c r="E18" s="45"/>
      <c r="F18" s="45"/>
      <c r="G18" s="45"/>
      <c r="H18" s="45"/>
      <c r="I18" s="45"/>
      <c r="J18" s="46"/>
      <c r="K18" s="46"/>
      <c r="L18" s="46"/>
      <c r="M18" s="46"/>
      <c r="N18" s="46"/>
      <c r="O18" s="46"/>
      <c r="P18" s="46"/>
      <c r="Q18" s="46"/>
      <c r="R18" s="44"/>
      <c r="S18" s="44"/>
      <c r="T18" s="44"/>
      <c r="U18" s="44"/>
      <c r="V18" s="44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2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41"/>
      <c r="BR18" s="43"/>
      <c r="BS18" s="43"/>
      <c r="BT18" s="43"/>
      <c r="BU18" s="43"/>
      <c r="BV18" s="43"/>
      <c r="BW18" s="43"/>
      <c r="BX18" s="43"/>
    </row>
    <row r="19" spans="1:76" ht="20.100000000000001" customHeight="1" x14ac:dyDescent="0.15">
      <c r="A19" s="44"/>
      <c r="B19" s="44"/>
      <c r="C19" s="44"/>
      <c r="D19" s="44"/>
      <c r="E19" s="45"/>
      <c r="F19" s="45"/>
      <c r="G19" s="45"/>
      <c r="H19" s="45"/>
      <c r="I19" s="45"/>
      <c r="J19" s="46"/>
      <c r="K19" s="46"/>
      <c r="L19" s="46"/>
      <c r="M19" s="46"/>
      <c r="N19" s="46"/>
      <c r="O19" s="46"/>
      <c r="P19" s="46"/>
      <c r="Q19" s="46"/>
      <c r="R19" s="44"/>
      <c r="S19" s="44"/>
      <c r="T19" s="44"/>
      <c r="U19" s="44"/>
      <c r="V19" s="44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2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3"/>
      <c r="BS19" s="43"/>
      <c r="BT19" s="43"/>
      <c r="BU19" s="43"/>
      <c r="BV19" s="43"/>
      <c r="BW19" s="43"/>
      <c r="BX19" s="43"/>
    </row>
    <row r="20" spans="1:76" ht="20.100000000000001" customHeight="1" x14ac:dyDescent="0.15">
      <c r="A20" s="44"/>
      <c r="B20" s="44"/>
      <c r="C20" s="44"/>
      <c r="D20" s="44"/>
      <c r="E20" s="45"/>
      <c r="F20" s="45"/>
      <c r="G20" s="45"/>
      <c r="H20" s="45"/>
      <c r="I20" s="45"/>
      <c r="J20" s="46"/>
      <c r="K20" s="46"/>
      <c r="L20" s="46"/>
      <c r="M20" s="46"/>
      <c r="N20" s="46"/>
      <c r="O20" s="46"/>
      <c r="P20" s="46"/>
      <c r="Q20" s="46"/>
      <c r="R20" s="44"/>
      <c r="S20" s="44"/>
      <c r="T20" s="44"/>
      <c r="U20" s="44"/>
      <c r="V20" s="44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2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41"/>
      <c r="BK20" s="41"/>
      <c r="BL20" s="41"/>
      <c r="BM20" s="41"/>
      <c r="BN20" s="41"/>
      <c r="BO20" s="41"/>
      <c r="BP20" s="41"/>
      <c r="BQ20" s="41"/>
      <c r="BR20" s="43"/>
      <c r="BS20" s="43"/>
      <c r="BT20" s="43"/>
      <c r="BU20" s="43"/>
      <c r="BV20" s="43"/>
      <c r="BW20" s="43"/>
      <c r="BX20" s="43"/>
    </row>
    <row r="21" spans="1:76" ht="20.100000000000001" customHeight="1" x14ac:dyDescent="0.15">
      <c r="A21" s="44"/>
      <c r="B21" s="44"/>
      <c r="C21" s="44"/>
      <c r="D21" s="44"/>
      <c r="E21" s="45"/>
      <c r="F21" s="45"/>
      <c r="G21" s="45"/>
      <c r="H21" s="45"/>
      <c r="I21" s="45"/>
      <c r="J21" s="46"/>
      <c r="K21" s="46"/>
      <c r="L21" s="46"/>
      <c r="M21" s="46"/>
      <c r="N21" s="46"/>
      <c r="O21" s="46"/>
      <c r="P21" s="46"/>
      <c r="Q21" s="46"/>
      <c r="R21" s="44"/>
      <c r="S21" s="44"/>
      <c r="T21" s="44"/>
      <c r="U21" s="44"/>
      <c r="V21" s="44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2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3"/>
      <c r="BS21" s="43"/>
      <c r="BT21" s="43"/>
      <c r="BU21" s="43"/>
      <c r="BV21" s="43"/>
      <c r="BW21" s="43"/>
      <c r="BX21" s="43"/>
    </row>
    <row r="22" spans="1:76" ht="20.100000000000001" customHeight="1" x14ac:dyDescent="0.15">
      <c r="A22" s="44"/>
      <c r="B22" s="44"/>
      <c r="C22" s="44"/>
      <c r="D22" s="44"/>
      <c r="E22" s="45"/>
      <c r="F22" s="45"/>
      <c r="G22" s="45"/>
      <c r="H22" s="45"/>
      <c r="I22" s="45"/>
      <c r="J22" s="46"/>
      <c r="K22" s="46"/>
      <c r="L22" s="46"/>
      <c r="M22" s="46"/>
      <c r="N22" s="46"/>
      <c r="O22" s="46"/>
      <c r="P22" s="46"/>
      <c r="Q22" s="46"/>
      <c r="R22" s="44"/>
      <c r="S22" s="44"/>
      <c r="T22" s="44"/>
      <c r="U22" s="44"/>
      <c r="V22" s="44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2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1"/>
      <c r="BK22" s="41"/>
      <c r="BL22" s="41"/>
      <c r="BM22" s="41"/>
      <c r="BN22" s="41"/>
      <c r="BO22" s="41"/>
      <c r="BP22" s="41"/>
      <c r="BQ22" s="41"/>
      <c r="BR22" s="43"/>
      <c r="BS22" s="43"/>
      <c r="BT22" s="43"/>
      <c r="BU22" s="43"/>
      <c r="BV22" s="43"/>
      <c r="BW22" s="43"/>
      <c r="BX22" s="43"/>
    </row>
    <row r="23" spans="1:76" ht="20.100000000000001" customHeight="1" x14ac:dyDescent="0.15">
      <c r="A23" s="44"/>
      <c r="B23" s="44"/>
      <c r="C23" s="44"/>
      <c r="D23" s="44"/>
      <c r="E23" s="45"/>
      <c r="F23" s="45"/>
      <c r="G23" s="45"/>
      <c r="H23" s="45"/>
      <c r="I23" s="45"/>
      <c r="J23" s="46"/>
      <c r="K23" s="46"/>
      <c r="L23" s="46"/>
      <c r="M23" s="46"/>
      <c r="N23" s="46"/>
      <c r="O23" s="46"/>
      <c r="P23" s="46"/>
      <c r="Q23" s="46"/>
      <c r="R23" s="44"/>
      <c r="S23" s="44"/>
      <c r="T23" s="44"/>
      <c r="U23" s="44"/>
      <c r="V23" s="44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2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41"/>
      <c r="BR23" s="43"/>
      <c r="BS23" s="43"/>
      <c r="BT23" s="43"/>
      <c r="BU23" s="43"/>
      <c r="BV23" s="43"/>
      <c r="BW23" s="43"/>
      <c r="BX23" s="43"/>
    </row>
  </sheetData>
  <mergeCells count="161">
    <mergeCell ref="A10:D10"/>
    <mergeCell ref="E10:I10"/>
    <mergeCell ref="J10:Q10"/>
    <mergeCell ref="R10:V10"/>
    <mergeCell ref="AH9:BQ9"/>
    <mergeCell ref="BR9:BX9"/>
    <mergeCell ref="W12:Z12"/>
    <mergeCell ref="AA12:AG12"/>
    <mergeCell ref="AH12:BQ12"/>
    <mergeCell ref="BR12:BX12"/>
    <mergeCell ref="A12:D12"/>
    <mergeCell ref="E12:I12"/>
    <mergeCell ref="J12:Q12"/>
    <mergeCell ref="R12:V12"/>
    <mergeCell ref="AH11:BQ11"/>
    <mergeCell ref="BR11:BX11"/>
    <mergeCell ref="A11:D11"/>
    <mergeCell ref="E11:I11"/>
    <mergeCell ref="J11:Q11"/>
    <mergeCell ref="R11:V11"/>
    <mergeCell ref="W11:Z11"/>
    <mergeCell ref="AA11:AG11"/>
    <mergeCell ref="AH8:BQ8"/>
    <mergeCell ref="BR8:BX8"/>
    <mergeCell ref="AA8:AG8"/>
    <mergeCell ref="W8:Z8"/>
    <mergeCell ref="BR7:BX7"/>
    <mergeCell ref="AH7:BQ7"/>
    <mergeCell ref="R9:V9"/>
    <mergeCell ref="W10:Z10"/>
    <mergeCell ref="AA10:AG10"/>
    <mergeCell ref="AH10:BQ10"/>
    <mergeCell ref="BR10:BX10"/>
    <mergeCell ref="R7:V7"/>
    <mergeCell ref="J8:Q8"/>
    <mergeCell ref="R8:V8"/>
    <mergeCell ref="W9:Z9"/>
    <mergeCell ref="AA9:AG9"/>
    <mergeCell ref="A5:D5"/>
    <mergeCell ref="R5:V5"/>
    <mergeCell ref="W7:Z7"/>
    <mergeCell ref="AA7:AG7"/>
    <mergeCell ref="A3:D4"/>
    <mergeCell ref="J3:Q4"/>
    <mergeCell ref="A9:D9"/>
    <mergeCell ref="E9:I9"/>
    <mergeCell ref="J9:Q9"/>
    <mergeCell ref="A8:D8"/>
    <mergeCell ref="E8:I8"/>
    <mergeCell ref="A6:D6"/>
    <mergeCell ref="E6:I6"/>
    <mergeCell ref="J6:Q6"/>
    <mergeCell ref="J5:Q5"/>
    <mergeCell ref="E3:I4"/>
    <mergeCell ref="E5:I5"/>
    <mergeCell ref="A7:D7"/>
    <mergeCell ref="E7:I7"/>
    <mergeCell ref="J7:Q7"/>
    <mergeCell ref="R3:V4"/>
    <mergeCell ref="R6:V6"/>
    <mergeCell ref="BR3:BX4"/>
    <mergeCell ref="AH3:BQ4"/>
    <mergeCell ref="AH5:BQ5"/>
    <mergeCell ref="BR5:BX5"/>
    <mergeCell ref="W6:Z6"/>
    <mergeCell ref="AA6:AG6"/>
    <mergeCell ref="AH6:BQ6"/>
    <mergeCell ref="BR6:BX6"/>
    <mergeCell ref="AA4:AG4"/>
    <mergeCell ref="W3:AG3"/>
    <mergeCell ref="W4:Z4"/>
    <mergeCell ref="W5:Z5"/>
    <mergeCell ref="AA5:AG5"/>
    <mergeCell ref="AA13:AG13"/>
    <mergeCell ref="AH13:BQ13"/>
    <mergeCell ref="BR13:BX13"/>
    <mergeCell ref="A14:D14"/>
    <mergeCell ref="E14:I14"/>
    <mergeCell ref="J14:Q14"/>
    <mergeCell ref="R14:V14"/>
    <mergeCell ref="W14:Z14"/>
    <mergeCell ref="AA14:AG14"/>
    <mergeCell ref="AH14:BQ14"/>
    <mergeCell ref="BR14:BX14"/>
    <mergeCell ref="A13:D13"/>
    <mergeCell ref="E13:I13"/>
    <mergeCell ref="J13:Q13"/>
    <mergeCell ref="R13:V13"/>
    <mergeCell ref="W13:Z13"/>
    <mergeCell ref="AA16:AG16"/>
    <mergeCell ref="AH16:BQ16"/>
    <mergeCell ref="BR16:BX16"/>
    <mergeCell ref="A16:D16"/>
    <mergeCell ref="E16:I16"/>
    <mergeCell ref="J16:Q16"/>
    <mergeCell ref="R16:V16"/>
    <mergeCell ref="W16:Z16"/>
    <mergeCell ref="A15:D15"/>
    <mergeCell ref="E15:I15"/>
    <mergeCell ref="J15:Q15"/>
    <mergeCell ref="R15:V15"/>
    <mergeCell ref="W15:Z15"/>
    <mergeCell ref="AA15:AG15"/>
    <mergeCell ref="AH15:BQ15"/>
    <mergeCell ref="BR15:BX15"/>
    <mergeCell ref="AA17:AG17"/>
    <mergeCell ref="AH17:BQ17"/>
    <mergeCell ref="BR17:BX17"/>
    <mergeCell ref="A18:D18"/>
    <mergeCell ref="E18:I18"/>
    <mergeCell ref="J18:Q18"/>
    <mergeCell ref="R18:V18"/>
    <mergeCell ref="W18:Z18"/>
    <mergeCell ref="AA18:AG18"/>
    <mergeCell ref="AH18:BQ18"/>
    <mergeCell ref="BR18:BX18"/>
    <mergeCell ref="A17:D17"/>
    <mergeCell ref="E17:I17"/>
    <mergeCell ref="J17:Q17"/>
    <mergeCell ref="R17:V17"/>
    <mergeCell ref="W17:Z17"/>
    <mergeCell ref="AA19:AG19"/>
    <mergeCell ref="AH19:BQ19"/>
    <mergeCell ref="BR19:BX19"/>
    <mergeCell ref="A20:D20"/>
    <mergeCell ref="E20:I20"/>
    <mergeCell ref="J20:Q20"/>
    <mergeCell ref="R20:V20"/>
    <mergeCell ref="W20:Z20"/>
    <mergeCell ref="AA20:AG20"/>
    <mergeCell ref="AH20:BQ20"/>
    <mergeCell ref="BR20:BX20"/>
    <mergeCell ref="A19:D19"/>
    <mergeCell ref="E19:I19"/>
    <mergeCell ref="J19:Q19"/>
    <mergeCell ref="R19:V19"/>
    <mergeCell ref="W19:Z19"/>
    <mergeCell ref="AA23:AG23"/>
    <mergeCell ref="AH23:BQ23"/>
    <mergeCell ref="BR23:BX23"/>
    <mergeCell ref="A23:D23"/>
    <mergeCell ref="E23:I23"/>
    <mergeCell ref="J23:Q23"/>
    <mergeCell ref="R23:V23"/>
    <mergeCell ref="W23:Z23"/>
    <mergeCell ref="AA21:AG21"/>
    <mergeCell ref="AH21:BQ21"/>
    <mergeCell ref="BR21:BX21"/>
    <mergeCell ref="A22:D22"/>
    <mergeCell ref="E22:I22"/>
    <mergeCell ref="J22:Q22"/>
    <mergeCell ref="R22:V22"/>
    <mergeCell ref="W22:Z22"/>
    <mergeCell ref="AA22:AG22"/>
    <mergeCell ref="AH22:BQ22"/>
    <mergeCell ref="BR22:BX22"/>
    <mergeCell ref="A21:D21"/>
    <mergeCell ref="E21:I21"/>
    <mergeCell ref="J21:Q21"/>
    <mergeCell ref="R21:V21"/>
    <mergeCell ref="W21:Z21"/>
  </mergeCells>
  <phoneticPr fontId="2"/>
  <pageMargins left="0.21" right="0.2" top="0.78740157480314965" bottom="0.39370078740157483" header="0.59055118110236227" footer="0.19685039370078741"/>
  <pageSetup paperSize="9" orientation="landscape" r:id="rId1"/>
  <headerFooter alignWithMargins="0">
    <oddFooter>&amp;R&amp;9株式会社　京信システムサービス&amp;C&amp;11&amp;P　/　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/>
  <dimension ref="A1:CR83"/>
  <sheetViews>
    <sheetView view="pageBreakPreview" zoomScaleNormal="100" zoomScaleSheetLayoutView="100" workbookViewId="0">
      <pane ySplit="3" topLeftCell="A4" activePane="bottomLeft" state="frozen"/>
      <selection activeCell="J6" sqref="J6:Q6"/>
      <selection pane="bottomLeft" activeCell="A4" sqref="A4:H4"/>
    </sheetView>
  </sheetViews>
  <sheetFormatPr defaultColWidth="1.875" defaultRowHeight="15" customHeight="1" x14ac:dyDescent="0.15"/>
  <cols>
    <col min="1" max="16384" width="1.875" style="16"/>
  </cols>
  <sheetData>
    <row r="1" spans="1:96" s="14" customFormat="1" ht="15" customHeight="1" x14ac:dyDescent="0.15">
      <c r="A1" s="119" t="s">
        <v>1</v>
      </c>
      <c r="B1" s="120"/>
      <c r="C1" s="120"/>
      <c r="D1" s="120"/>
      <c r="E1" s="120"/>
      <c r="F1" s="120"/>
      <c r="G1" s="120"/>
      <c r="H1" s="121"/>
      <c r="I1" s="122" t="str">
        <f>タイトル!I40</f>
        <v>　学生勤務管理システム</v>
      </c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123"/>
      <c r="AD1" s="124"/>
      <c r="AE1" s="125" t="s">
        <v>0</v>
      </c>
      <c r="AF1" s="126"/>
      <c r="AG1" s="126"/>
      <c r="AH1" s="126"/>
      <c r="AI1" s="126"/>
      <c r="AJ1" s="126"/>
      <c r="AK1" s="127"/>
      <c r="AL1" s="128" t="str">
        <f>タイトル!I43</f>
        <v>　機能設計</v>
      </c>
      <c r="AM1" s="129"/>
      <c r="AN1" s="129"/>
      <c r="AO1" s="129"/>
      <c r="AP1" s="129"/>
      <c r="AQ1" s="129"/>
      <c r="AR1" s="129"/>
      <c r="AS1" s="129"/>
      <c r="AT1" s="129"/>
      <c r="AU1" s="129"/>
      <c r="AV1" s="129"/>
      <c r="AW1" s="129"/>
      <c r="AX1" s="129"/>
      <c r="AY1" s="129"/>
      <c r="AZ1" s="129"/>
      <c r="BA1" s="129"/>
      <c r="BB1" s="129"/>
      <c r="BC1" s="129"/>
      <c r="BD1" s="129"/>
      <c r="BE1" s="129"/>
      <c r="BF1" s="129"/>
      <c r="BG1" s="129"/>
      <c r="BH1" s="130"/>
      <c r="BI1" s="125" t="s">
        <v>12</v>
      </c>
      <c r="BJ1" s="126"/>
      <c r="BK1" s="126"/>
      <c r="BL1" s="127"/>
      <c r="BM1" s="131" t="str">
        <f>タイトル!I46</f>
        <v>大久保　梓沙</v>
      </c>
      <c r="BN1" s="132"/>
      <c r="BO1" s="132"/>
      <c r="BP1" s="132"/>
      <c r="BQ1" s="132"/>
      <c r="BR1" s="132"/>
      <c r="BS1" s="132"/>
      <c r="BT1" s="132"/>
      <c r="BU1" s="132"/>
      <c r="BV1" s="133"/>
      <c r="BW1" s="149">
        <f>タイトル!I47</f>
        <v>45329</v>
      </c>
      <c r="BX1" s="150"/>
      <c r="BY1" s="150"/>
      <c r="BZ1" s="150"/>
      <c r="CA1" s="150"/>
      <c r="CB1" s="150"/>
      <c r="CC1" s="150"/>
      <c r="CD1" s="150"/>
      <c r="CE1" s="151"/>
      <c r="CF1" s="80" t="s">
        <v>13</v>
      </c>
      <c r="CG1" s="81"/>
      <c r="CH1" s="81"/>
      <c r="CI1" s="81"/>
      <c r="CJ1" s="82"/>
      <c r="CK1" s="89" t="str">
        <f>タイトル!I50</f>
        <v>DUC010</v>
      </c>
      <c r="CL1" s="90"/>
      <c r="CM1" s="90"/>
      <c r="CN1" s="90"/>
      <c r="CO1" s="90"/>
      <c r="CP1" s="90"/>
      <c r="CQ1" s="90"/>
      <c r="CR1" s="91"/>
    </row>
    <row r="2" spans="1:96" s="14" customFormat="1" ht="15" customHeight="1" x14ac:dyDescent="0.15">
      <c r="A2" s="98" t="s">
        <v>14</v>
      </c>
      <c r="B2" s="99"/>
      <c r="C2" s="99"/>
      <c r="D2" s="99"/>
      <c r="E2" s="99"/>
      <c r="F2" s="99"/>
      <c r="G2" s="99"/>
      <c r="H2" s="100"/>
      <c r="I2" s="101" t="str">
        <f>タイトル!I41</f>
        <v>　共通機能</v>
      </c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3"/>
      <c r="AE2" s="104" t="s">
        <v>32</v>
      </c>
      <c r="AF2" s="105"/>
      <c r="AG2" s="105"/>
      <c r="AH2" s="105"/>
      <c r="AI2" s="105"/>
      <c r="AJ2" s="105"/>
      <c r="AK2" s="106"/>
      <c r="AL2" s="107" t="str">
        <f>タイトル!I44</f>
        <v>　AOP</v>
      </c>
      <c r="AM2" s="108"/>
      <c r="AN2" s="108"/>
      <c r="AO2" s="108"/>
      <c r="AP2" s="108"/>
      <c r="AQ2" s="108"/>
      <c r="AR2" s="108"/>
      <c r="AS2" s="108"/>
      <c r="AT2" s="108"/>
      <c r="AU2" s="108"/>
      <c r="AV2" s="108"/>
      <c r="AW2" s="108"/>
      <c r="AX2" s="108"/>
      <c r="AY2" s="108"/>
      <c r="AZ2" s="108"/>
      <c r="BA2" s="108"/>
      <c r="BB2" s="108"/>
      <c r="BC2" s="108"/>
      <c r="BD2" s="108"/>
      <c r="BE2" s="108"/>
      <c r="BF2" s="108"/>
      <c r="BG2" s="108"/>
      <c r="BH2" s="109"/>
      <c r="BI2" s="110" t="s">
        <v>15</v>
      </c>
      <c r="BJ2" s="111"/>
      <c r="BK2" s="111"/>
      <c r="BL2" s="112"/>
      <c r="BM2" s="113"/>
      <c r="BN2" s="114"/>
      <c r="BO2" s="114"/>
      <c r="BP2" s="114"/>
      <c r="BQ2" s="114"/>
      <c r="BR2" s="114"/>
      <c r="BS2" s="114"/>
      <c r="BT2" s="114"/>
      <c r="BU2" s="114"/>
      <c r="BV2" s="115"/>
      <c r="BW2" s="116"/>
      <c r="BX2" s="117"/>
      <c r="BY2" s="117"/>
      <c r="BZ2" s="117"/>
      <c r="CA2" s="117"/>
      <c r="CB2" s="117"/>
      <c r="CC2" s="117"/>
      <c r="CD2" s="117"/>
      <c r="CE2" s="118"/>
      <c r="CF2" s="83"/>
      <c r="CG2" s="84"/>
      <c r="CH2" s="84"/>
      <c r="CI2" s="84"/>
      <c r="CJ2" s="85"/>
      <c r="CK2" s="92"/>
      <c r="CL2" s="93"/>
      <c r="CM2" s="93"/>
      <c r="CN2" s="93"/>
      <c r="CO2" s="93"/>
      <c r="CP2" s="93"/>
      <c r="CQ2" s="93"/>
      <c r="CR2" s="94"/>
    </row>
    <row r="3" spans="1:96" s="14" customFormat="1" ht="15" customHeight="1" thickBot="1" x14ac:dyDescent="0.2">
      <c r="A3" s="134"/>
      <c r="B3" s="135"/>
      <c r="C3" s="135"/>
      <c r="D3" s="135"/>
      <c r="E3" s="135"/>
      <c r="F3" s="135"/>
      <c r="G3" s="135"/>
      <c r="H3" s="136"/>
      <c r="I3" s="137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9"/>
      <c r="AE3" s="86"/>
      <c r="AF3" s="87"/>
      <c r="AG3" s="87"/>
      <c r="AH3" s="87"/>
      <c r="AI3" s="87"/>
      <c r="AJ3" s="87"/>
      <c r="AK3" s="88"/>
      <c r="AL3" s="140"/>
      <c r="AM3" s="141"/>
      <c r="AN3" s="141"/>
      <c r="AO3" s="141"/>
      <c r="AP3" s="141"/>
      <c r="AQ3" s="141"/>
      <c r="AR3" s="141"/>
      <c r="AS3" s="141"/>
      <c r="AT3" s="141"/>
      <c r="AU3" s="141"/>
      <c r="AV3" s="141"/>
      <c r="AW3" s="141"/>
      <c r="AX3" s="141"/>
      <c r="AY3" s="141"/>
      <c r="AZ3" s="141"/>
      <c r="BA3" s="141"/>
      <c r="BB3" s="141"/>
      <c r="BC3" s="141"/>
      <c r="BD3" s="141"/>
      <c r="BE3" s="141"/>
      <c r="BF3" s="141"/>
      <c r="BG3" s="141"/>
      <c r="BH3" s="142"/>
      <c r="BI3" s="143"/>
      <c r="BJ3" s="144"/>
      <c r="BK3" s="144"/>
      <c r="BL3" s="145"/>
      <c r="BM3" s="146"/>
      <c r="BN3" s="147"/>
      <c r="BO3" s="147"/>
      <c r="BP3" s="147"/>
      <c r="BQ3" s="147"/>
      <c r="BR3" s="147"/>
      <c r="BS3" s="147"/>
      <c r="BT3" s="147"/>
      <c r="BU3" s="147"/>
      <c r="BV3" s="147"/>
      <c r="BW3" s="147"/>
      <c r="BX3" s="147"/>
      <c r="BY3" s="147"/>
      <c r="BZ3" s="147"/>
      <c r="CA3" s="147"/>
      <c r="CB3" s="147"/>
      <c r="CC3" s="147"/>
      <c r="CD3" s="147"/>
      <c r="CE3" s="148"/>
      <c r="CF3" s="86"/>
      <c r="CG3" s="87"/>
      <c r="CH3" s="87"/>
      <c r="CI3" s="87"/>
      <c r="CJ3" s="88"/>
      <c r="CK3" s="95"/>
      <c r="CL3" s="96"/>
      <c r="CM3" s="96"/>
      <c r="CN3" s="96"/>
      <c r="CO3" s="96"/>
      <c r="CP3" s="96"/>
      <c r="CQ3" s="96"/>
      <c r="CR3" s="97"/>
    </row>
    <row r="4" spans="1:96" s="15" customFormat="1" ht="15" customHeight="1" x14ac:dyDescent="0.15">
      <c r="A4" s="158" t="s">
        <v>36</v>
      </c>
      <c r="B4" s="159"/>
      <c r="C4" s="159"/>
      <c r="D4" s="159"/>
      <c r="E4" s="159"/>
      <c r="F4" s="159"/>
      <c r="G4" s="159"/>
      <c r="H4" s="160"/>
      <c r="I4" s="161" t="s">
        <v>47</v>
      </c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1"/>
      <c r="V4" s="161"/>
      <c r="W4" s="161"/>
      <c r="X4" s="161"/>
      <c r="Y4" s="161"/>
      <c r="Z4" s="161"/>
      <c r="AA4" s="161"/>
      <c r="AB4" s="161"/>
      <c r="AC4" s="161"/>
      <c r="AD4" s="161"/>
      <c r="AE4" s="161"/>
      <c r="AF4" s="161"/>
      <c r="AG4" s="161"/>
      <c r="AH4" s="161"/>
      <c r="AI4" s="161"/>
      <c r="AJ4" s="161"/>
      <c r="AK4" s="161"/>
      <c r="AL4" s="162" t="s">
        <v>37</v>
      </c>
      <c r="AM4" s="162"/>
      <c r="AN4" s="162"/>
      <c r="AO4" s="162"/>
      <c r="AP4" s="162"/>
      <c r="AQ4" s="162"/>
      <c r="AR4" s="162"/>
      <c r="AS4" s="163" t="str">
        <f>LEFT(タイトル!I44,7)</f>
        <v>　AOP</v>
      </c>
      <c r="AT4" s="163"/>
      <c r="AU4" s="163"/>
      <c r="AV4" s="163"/>
      <c r="AW4" s="163"/>
      <c r="AX4" s="163"/>
      <c r="AY4" s="163"/>
      <c r="AZ4" s="163"/>
      <c r="BA4" s="163"/>
      <c r="BB4" s="163"/>
      <c r="BC4" s="163"/>
      <c r="BD4" s="163"/>
      <c r="BE4" s="163"/>
      <c r="BF4" s="163"/>
      <c r="BG4" s="163"/>
      <c r="BH4" s="163"/>
      <c r="BI4" s="164" t="s">
        <v>35</v>
      </c>
      <c r="BJ4" s="165"/>
      <c r="BK4" s="165"/>
      <c r="BL4" s="165"/>
      <c r="BM4" s="165"/>
      <c r="BN4" s="165"/>
      <c r="BO4" s="165"/>
      <c r="BP4" s="165"/>
      <c r="BQ4" s="165"/>
      <c r="BR4" s="165"/>
      <c r="BS4" s="165"/>
      <c r="BT4" s="155" t="s">
        <v>111</v>
      </c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6"/>
      <c r="CL4" s="156"/>
      <c r="CM4" s="156"/>
      <c r="CN4" s="156"/>
      <c r="CO4" s="156"/>
      <c r="CP4" s="156"/>
      <c r="CQ4" s="156"/>
      <c r="CR4" s="157"/>
    </row>
    <row r="5" spans="1:96" s="12" customFormat="1" ht="15" customHeight="1" x14ac:dyDescent="0.15">
      <c r="A5" s="152" t="s">
        <v>39</v>
      </c>
      <c r="B5" s="153"/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  <c r="AB5" s="153"/>
      <c r="AC5" s="153"/>
      <c r="AD5" s="153"/>
      <c r="AE5" s="153"/>
      <c r="AF5" s="153"/>
      <c r="AG5" s="153"/>
      <c r="AH5" s="153"/>
      <c r="AI5" s="153"/>
      <c r="AJ5" s="153"/>
      <c r="AK5" s="153"/>
      <c r="AL5" s="153"/>
      <c r="AM5" s="153"/>
      <c r="AN5" s="153"/>
      <c r="AO5" s="153"/>
      <c r="AP5" s="153"/>
      <c r="AQ5" s="153"/>
      <c r="AR5" s="153"/>
      <c r="AS5" s="153"/>
      <c r="AT5" s="153"/>
      <c r="AU5" s="153"/>
      <c r="AV5" s="153"/>
      <c r="AW5" s="153"/>
      <c r="AX5" s="153"/>
      <c r="AY5" s="153"/>
      <c r="AZ5" s="153"/>
      <c r="BA5" s="153"/>
      <c r="BB5" s="153"/>
      <c r="BC5" s="153"/>
      <c r="BD5" s="153"/>
      <c r="BE5" s="153"/>
      <c r="BF5" s="153"/>
      <c r="BG5" s="153"/>
      <c r="BH5" s="153"/>
      <c r="BI5" s="153"/>
      <c r="BJ5" s="153"/>
      <c r="BK5" s="153"/>
      <c r="BL5" s="153"/>
      <c r="BM5" s="153"/>
      <c r="BN5" s="153"/>
      <c r="BO5" s="153"/>
      <c r="BP5" s="153"/>
      <c r="BQ5" s="153"/>
      <c r="BR5" s="153"/>
      <c r="BS5" s="153"/>
      <c r="BT5" s="153"/>
      <c r="BU5" s="153"/>
      <c r="BV5" s="153"/>
      <c r="BW5" s="153"/>
      <c r="BX5" s="153"/>
      <c r="BY5" s="153"/>
      <c r="BZ5" s="153"/>
      <c r="CA5" s="153"/>
      <c r="CB5" s="153"/>
      <c r="CC5" s="153"/>
      <c r="CD5" s="153"/>
      <c r="CE5" s="153"/>
      <c r="CF5" s="153"/>
      <c r="CG5" s="153"/>
      <c r="CH5" s="153"/>
      <c r="CI5" s="153"/>
      <c r="CJ5" s="153"/>
      <c r="CK5" s="153"/>
      <c r="CL5" s="153"/>
      <c r="CM5" s="153"/>
      <c r="CN5" s="153"/>
      <c r="CO5" s="153"/>
      <c r="CP5" s="153"/>
      <c r="CQ5" s="153"/>
      <c r="CR5" s="154"/>
    </row>
    <row r="6" spans="1:96" s="12" customFormat="1" ht="15" customHeight="1" x14ac:dyDescent="0.15">
      <c r="A6" s="19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8"/>
    </row>
    <row r="7" spans="1:96" s="12" customFormat="1" ht="15" customHeight="1" x14ac:dyDescent="0.15">
      <c r="A7" s="19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8"/>
    </row>
    <row r="8" spans="1:96" s="12" customFormat="1" ht="15" customHeight="1" x14ac:dyDescent="0.15">
      <c r="A8" s="19"/>
      <c r="B8" s="29" t="s">
        <v>79</v>
      </c>
      <c r="C8" s="30"/>
      <c r="E8" s="30" t="s">
        <v>63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8"/>
    </row>
    <row r="9" spans="1:96" s="12" customFormat="1" ht="15" customHeight="1" x14ac:dyDescent="0.15">
      <c r="A9" s="19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8"/>
    </row>
    <row r="10" spans="1:96" s="12" customFormat="1" ht="15" customHeight="1" x14ac:dyDescent="0.15">
      <c r="A10" s="19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8"/>
    </row>
    <row r="11" spans="1:96" s="12" customFormat="1" ht="15" customHeight="1" x14ac:dyDescent="0.15">
      <c r="A11" s="19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8"/>
    </row>
    <row r="12" spans="1:96" s="12" customFormat="1" ht="15" customHeight="1" x14ac:dyDescent="0.15">
      <c r="A12" s="19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8"/>
    </row>
    <row r="13" spans="1:96" s="12" customFormat="1" ht="15" customHeight="1" x14ac:dyDescent="0.15">
      <c r="A13" s="19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8"/>
    </row>
    <row r="14" spans="1:96" s="12" customFormat="1" ht="15" customHeight="1" x14ac:dyDescent="0.15">
      <c r="A14" s="19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8"/>
    </row>
    <row r="15" spans="1:96" s="12" customFormat="1" ht="15" customHeight="1" x14ac:dyDescent="0.15">
      <c r="A15" s="19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 t="s">
        <v>49</v>
      </c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8"/>
    </row>
    <row r="16" spans="1:96" s="12" customFormat="1" ht="15" customHeight="1" x14ac:dyDescent="0.15">
      <c r="A16" s="19"/>
      <c r="B16" s="17"/>
      <c r="C16" s="17"/>
      <c r="D16" s="17"/>
      <c r="E16" s="17"/>
      <c r="F16" s="17"/>
      <c r="G16" s="17"/>
      <c r="H16" s="17"/>
      <c r="I16" s="17"/>
      <c r="J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8"/>
    </row>
    <row r="17" spans="1:96" s="12" customFormat="1" ht="15" customHeight="1" x14ac:dyDescent="0.15">
      <c r="A17" s="19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8"/>
    </row>
    <row r="18" spans="1:96" s="12" customFormat="1" ht="15" customHeight="1" x14ac:dyDescent="0.15">
      <c r="A18" s="19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 t="s">
        <v>50</v>
      </c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8"/>
    </row>
    <row r="19" spans="1:96" s="12" customFormat="1" ht="15" customHeight="1" x14ac:dyDescent="0.15">
      <c r="A19" s="19"/>
      <c r="B19" s="17"/>
      <c r="C19" s="17"/>
      <c r="D19" s="17"/>
      <c r="E19" s="17"/>
      <c r="F19" s="17"/>
      <c r="G19" s="17"/>
      <c r="H19" s="17"/>
      <c r="I19" s="17"/>
      <c r="J19" s="17"/>
      <c r="K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8"/>
    </row>
    <row r="20" spans="1:96" s="12" customFormat="1" ht="15" customHeight="1" x14ac:dyDescent="0.15">
      <c r="A20" s="19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8"/>
    </row>
    <row r="21" spans="1:96" s="12" customFormat="1" ht="15" customHeight="1" x14ac:dyDescent="0.15">
      <c r="A21" s="19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8"/>
    </row>
    <row r="22" spans="1:96" s="12" customFormat="1" ht="15" customHeight="1" x14ac:dyDescent="0.15">
      <c r="A22" s="19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8"/>
    </row>
    <row r="23" spans="1:96" s="12" customFormat="1" ht="15" customHeight="1" x14ac:dyDescent="0.15">
      <c r="A23" s="19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8"/>
    </row>
    <row r="24" spans="1:96" s="12" customFormat="1" ht="15" customHeight="1" x14ac:dyDescent="0.15">
      <c r="A24" s="19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8"/>
    </row>
    <row r="25" spans="1:96" s="12" customFormat="1" ht="15" customHeight="1" x14ac:dyDescent="0.15">
      <c r="A25" s="19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 t="s">
        <v>112</v>
      </c>
      <c r="AP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8"/>
    </row>
    <row r="26" spans="1:96" s="12" customFormat="1" ht="15" customHeight="1" x14ac:dyDescent="0.15">
      <c r="A26" s="19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8"/>
    </row>
    <row r="27" spans="1:96" s="12" customFormat="1" ht="15" customHeight="1" x14ac:dyDescent="0.15">
      <c r="A27" s="19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8"/>
    </row>
    <row r="28" spans="1:96" s="12" customFormat="1" ht="15" customHeight="1" x14ac:dyDescent="0.15">
      <c r="A28" s="19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8"/>
    </row>
    <row r="29" spans="1:96" s="12" customFormat="1" ht="15" customHeight="1" x14ac:dyDescent="0.15">
      <c r="A29" s="19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8"/>
    </row>
    <row r="30" spans="1:96" s="12" customFormat="1" ht="15" customHeight="1" x14ac:dyDescent="0.15">
      <c r="A30" s="19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8"/>
    </row>
    <row r="31" spans="1:96" s="12" customFormat="1" ht="15" customHeight="1" x14ac:dyDescent="0.15">
      <c r="A31" s="19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8"/>
    </row>
    <row r="32" spans="1:96" s="12" customFormat="1" ht="15" customHeight="1" x14ac:dyDescent="0.15">
      <c r="A32" s="19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8"/>
    </row>
    <row r="33" spans="1:96" s="12" customFormat="1" ht="15" customHeight="1" x14ac:dyDescent="0.15">
      <c r="A33" s="19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8"/>
    </row>
    <row r="34" spans="1:96" s="12" customFormat="1" ht="15" customHeight="1" x14ac:dyDescent="0.15">
      <c r="A34" s="19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8"/>
    </row>
    <row r="35" spans="1:96" s="12" customFormat="1" ht="15" customHeight="1" x14ac:dyDescent="0.15">
      <c r="A35" s="19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8"/>
    </row>
    <row r="36" spans="1:96" s="12" customFormat="1" ht="15" customHeight="1" x14ac:dyDescent="0.15">
      <c r="A36" s="19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8"/>
    </row>
    <row r="37" spans="1:96" s="12" customFormat="1" ht="15" customHeight="1" x14ac:dyDescent="0.15">
      <c r="A37" s="19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8"/>
    </row>
    <row r="38" spans="1:96" s="12" customFormat="1" ht="15" customHeight="1" x14ac:dyDescent="0.15">
      <c r="A38" s="19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8"/>
    </row>
    <row r="39" spans="1:96" s="12" customFormat="1" ht="15" customHeight="1" x14ac:dyDescent="0.15">
      <c r="A39" s="19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8"/>
    </row>
    <row r="40" spans="1:96" s="12" customFormat="1" ht="15" customHeight="1" x14ac:dyDescent="0.15">
      <c r="A40" s="19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8"/>
    </row>
    <row r="41" spans="1:96" s="12" customFormat="1" ht="15" customHeight="1" x14ac:dyDescent="0.15">
      <c r="A41" s="19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8"/>
    </row>
    <row r="42" spans="1:96" s="12" customFormat="1" ht="15" customHeight="1" x14ac:dyDescent="0.15">
      <c r="A42" s="19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8"/>
    </row>
    <row r="43" spans="1:96" s="12" customFormat="1" ht="15" customHeight="1" x14ac:dyDescent="0.15">
      <c r="A43" s="19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8"/>
    </row>
    <row r="44" spans="1:96" s="12" customFormat="1" ht="15" customHeight="1" x14ac:dyDescent="0.15">
      <c r="A44" s="19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8"/>
    </row>
    <row r="45" spans="1:96" s="12" customFormat="1" ht="15" customHeight="1" x14ac:dyDescent="0.15">
      <c r="A45" s="19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8"/>
    </row>
    <row r="46" spans="1:96" s="12" customFormat="1" ht="15" customHeight="1" x14ac:dyDescent="0.15">
      <c r="A46" s="20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2"/>
    </row>
    <row r="47" spans="1:96" s="12" customFormat="1" ht="15" customHeight="1" thickBot="1" x14ac:dyDescent="0.2">
      <c r="A47" s="23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5"/>
      <c r="BL47" s="25"/>
      <c r="BM47" s="26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24"/>
      <c r="CR47" s="27"/>
    </row>
    <row r="48" spans="1:96" s="12" customFormat="1" ht="15" customHeight="1" x14ac:dyDescent="0.15">
      <c r="A48" s="19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8"/>
    </row>
    <row r="49" spans="1:96" s="12" customFormat="1" ht="15" customHeight="1" x14ac:dyDescent="0.15">
      <c r="A49" s="19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8"/>
    </row>
    <row r="50" spans="1:96" s="12" customFormat="1" ht="15" customHeight="1" x14ac:dyDescent="0.15">
      <c r="A50" s="19"/>
      <c r="B50" s="29" t="s">
        <v>80</v>
      </c>
      <c r="C50" s="30"/>
      <c r="E50" s="30" t="s">
        <v>65</v>
      </c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8"/>
    </row>
    <row r="51" spans="1:96" s="12" customFormat="1" ht="15" customHeight="1" x14ac:dyDescent="0.15">
      <c r="A51" s="19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8"/>
    </row>
    <row r="52" spans="1:96" s="12" customFormat="1" ht="15" customHeight="1" x14ac:dyDescent="0.15">
      <c r="A52" s="19"/>
      <c r="B52" s="17"/>
      <c r="C52" s="17"/>
      <c r="D52" s="28" t="s">
        <v>48</v>
      </c>
      <c r="E52" s="17"/>
      <c r="F52" s="17"/>
      <c r="G52" s="17" t="s">
        <v>81</v>
      </c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8"/>
    </row>
    <row r="53" spans="1:96" s="12" customFormat="1" ht="15" customHeight="1" x14ac:dyDescent="0.15">
      <c r="A53" s="19"/>
      <c r="B53" s="17"/>
      <c r="C53" s="17"/>
      <c r="D53" s="17"/>
      <c r="E53" s="79" t="s">
        <v>67</v>
      </c>
      <c r="F53" s="79"/>
      <c r="G53" s="79"/>
      <c r="H53" s="79" t="s">
        <v>66</v>
      </c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 t="s">
        <v>68</v>
      </c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  <c r="AM53" s="79"/>
      <c r="AN53" s="79"/>
      <c r="AO53" s="79"/>
      <c r="AP53" s="79"/>
      <c r="AQ53" s="79"/>
      <c r="AR53" s="79"/>
      <c r="AS53" s="79"/>
      <c r="AT53" s="79"/>
      <c r="AU53" s="79"/>
      <c r="AV53" s="79"/>
      <c r="AW53" s="79"/>
      <c r="AX53" s="79"/>
      <c r="AY53" s="79"/>
      <c r="AZ53" s="79"/>
      <c r="BA53" s="79"/>
      <c r="BB53" s="79"/>
      <c r="BC53" s="79"/>
      <c r="BD53" s="79"/>
      <c r="BE53" s="79"/>
      <c r="BF53" s="79"/>
      <c r="BG53" s="79"/>
      <c r="BH53" s="79"/>
      <c r="BI53" s="79"/>
      <c r="BJ53" s="79"/>
      <c r="BK53" s="79"/>
      <c r="BL53" s="79"/>
      <c r="BM53" s="79"/>
      <c r="BN53" s="79"/>
      <c r="BO53" s="79"/>
      <c r="BP53" s="79"/>
      <c r="BQ53" s="79"/>
      <c r="BR53" s="79"/>
      <c r="BS53" s="79"/>
      <c r="BT53" s="79"/>
      <c r="BU53" s="79"/>
      <c r="BV53" s="79"/>
      <c r="BW53" s="79"/>
      <c r="BX53" s="79"/>
      <c r="BY53" s="79"/>
      <c r="BZ53" s="79"/>
      <c r="CA53" s="79"/>
      <c r="CB53" s="79"/>
      <c r="CC53" s="79"/>
      <c r="CD53" s="79"/>
      <c r="CE53" s="79"/>
      <c r="CF53" s="79"/>
      <c r="CG53" s="79"/>
      <c r="CH53" s="79"/>
      <c r="CI53" s="79"/>
      <c r="CJ53" s="17"/>
      <c r="CK53" s="17"/>
      <c r="CL53" s="17"/>
      <c r="CM53" s="17"/>
      <c r="CN53" s="17"/>
      <c r="CO53" s="17"/>
      <c r="CP53" s="17"/>
      <c r="CQ53" s="17"/>
      <c r="CR53" s="18"/>
    </row>
    <row r="54" spans="1:96" s="12" customFormat="1" ht="15" customHeight="1" x14ac:dyDescent="0.15">
      <c r="A54" s="19"/>
      <c r="B54" s="17"/>
      <c r="C54" s="17"/>
      <c r="D54" s="17"/>
      <c r="E54" s="166" t="s">
        <v>51</v>
      </c>
      <c r="F54" s="167"/>
      <c r="G54" s="168"/>
      <c r="H54" s="166" t="s">
        <v>69</v>
      </c>
      <c r="I54" s="167"/>
      <c r="J54" s="167"/>
      <c r="K54" s="167"/>
      <c r="L54" s="167"/>
      <c r="M54" s="167"/>
      <c r="N54" s="167"/>
      <c r="O54" s="167"/>
      <c r="P54" s="167"/>
      <c r="Q54" s="167"/>
      <c r="R54" s="167"/>
      <c r="S54" s="167"/>
      <c r="T54" s="167"/>
      <c r="U54" s="167"/>
      <c r="V54" s="167"/>
      <c r="W54" s="167"/>
      <c r="X54" s="168"/>
      <c r="Y54" s="166" t="s">
        <v>113</v>
      </c>
      <c r="Z54" s="167"/>
      <c r="AA54" s="167"/>
      <c r="AB54" s="167"/>
      <c r="AC54" s="167"/>
      <c r="AD54" s="167"/>
      <c r="AE54" s="167"/>
      <c r="AF54" s="167"/>
      <c r="AG54" s="167"/>
      <c r="AH54" s="167"/>
      <c r="AI54" s="167"/>
      <c r="AJ54" s="167"/>
      <c r="AK54" s="167"/>
      <c r="AL54" s="167"/>
      <c r="AM54" s="167"/>
      <c r="AN54" s="167"/>
      <c r="AO54" s="167"/>
      <c r="AP54" s="167"/>
      <c r="AQ54" s="167"/>
      <c r="AR54" s="167"/>
      <c r="AS54" s="167"/>
      <c r="AT54" s="167"/>
      <c r="AU54" s="167"/>
      <c r="AV54" s="167"/>
      <c r="AW54" s="167"/>
      <c r="AX54" s="167"/>
      <c r="AY54" s="167"/>
      <c r="AZ54" s="167"/>
      <c r="BA54" s="167"/>
      <c r="BB54" s="167"/>
      <c r="BC54" s="167"/>
      <c r="BD54" s="167"/>
      <c r="BE54" s="167"/>
      <c r="BF54" s="167"/>
      <c r="BG54" s="167"/>
      <c r="BH54" s="167"/>
      <c r="BI54" s="167"/>
      <c r="BJ54" s="167"/>
      <c r="BK54" s="167"/>
      <c r="BL54" s="167"/>
      <c r="BM54" s="167"/>
      <c r="BN54" s="167"/>
      <c r="BO54" s="167"/>
      <c r="BP54" s="167"/>
      <c r="BQ54" s="167"/>
      <c r="BR54" s="167"/>
      <c r="BS54" s="167"/>
      <c r="BT54" s="167"/>
      <c r="BU54" s="167"/>
      <c r="BV54" s="167"/>
      <c r="BW54" s="167"/>
      <c r="BX54" s="167"/>
      <c r="BY54" s="167"/>
      <c r="BZ54" s="167"/>
      <c r="CA54" s="167"/>
      <c r="CB54" s="167"/>
      <c r="CC54" s="167"/>
      <c r="CD54" s="167"/>
      <c r="CE54" s="167"/>
      <c r="CF54" s="167"/>
      <c r="CG54" s="167"/>
      <c r="CH54" s="167"/>
      <c r="CI54" s="168"/>
      <c r="CJ54" s="17"/>
      <c r="CK54" s="17"/>
      <c r="CL54" s="17"/>
      <c r="CM54" s="17"/>
      <c r="CN54" s="17"/>
      <c r="CO54" s="17"/>
      <c r="CP54" s="17"/>
      <c r="CQ54" s="17"/>
      <c r="CR54" s="18"/>
    </row>
    <row r="55" spans="1:96" s="12" customFormat="1" ht="90" customHeight="1" x14ac:dyDescent="0.15">
      <c r="A55" s="19"/>
      <c r="B55" s="17"/>
      <c r="C55" s="17"/>
      <c r="D55" s="17"/>
      <c r="E55" s="166" t="s">
        <v>52</v>
      </c>
      <c r="F55" s="167"/>
      <c r="G55" s="168"/>
      <c r="H55" s="166" t="s">
        <v>70</v>
      </c>
      <c r="I55" s="167"/>
      <c r="J55" s="167"/>
      <c r="K55" s="167"/>
      <c r="L55" s="167"/>
      <c r="M55" s="167"/>
      <c r="N55" s="167"/>
      <c r="O55" s="167"/>
      <c r="P55" s="167"/>
      <c r="Q55" s="167"/>
      <c r="R55" s="167"/>
      <c r="S55" s="167"/>
      <c r="T55" s="167"/>
      <c r="U55" s="167"/>
      <c r="V55" s="167"/>
      <c r="W55" s="167"/>
      <c r="X55" s="168"/>
      <c r="Y55" s="169" t="s">
        <v>114</v>
      </c>
      <c r="Z55" s="167"/>
      <c r="AA55" s="167"/>
      <c r="AB55" s="167"/>
      <c r="AC55" s="167"/>
      <c r="AD55" s="167"/>
      <c r="AE55" s="167"/>
      <c r="AF55" s="167"/>
      <c r="AG55" s="167"/>
      <c r="AH55" s="167"/>
      <c r="AI55" s="167"/>
      <c r="AJ55" s="167"/>
      <c r="AK55" s="167"/>
      <c r="AL55" s="167"/>
      <c r="AM55" s="167"/>
      <c r="AN55" s="167"/>
      <c r="AO55" s="167"/>
      <c r="AP55" s="167"/>
      <c r="AQ55" s="167"/>
      <c r="AR55" s="167"/>
      <c r="AS55" s="167"/>
      <c r="AT55" s="167"/>
      <c r="AU55" s="167"/>
      <c r="AV55" s="167"/>
      <c r="AW55" s="167"/>
      <c r="AX55" s="167"/>
      <c r="AY55" s="167"/>
      <c r="AZ55" s="167"/>
      <c r="BA55" s="167"/>
      <c r="BB55" s="167"/>
      <c r="BC55" s="167"/>
      <c r="BD55" s="167"/>
      <c r="BE55" s="167"/>
      <c r="BF55" s="167"/>
      <c r="BG55" s="167"/>
      <c r="BH55" s="167"/>
      <c r="BI55" s="167"/>
      <c r="BJ55" s="167"/>
      <c r="BK55" s="167"/>
      <c r="BL55" s="167"/>
      <c r="BM55" s="167"/>
      <c r="BN55" s="167"/>
      <c r="BO55" s="167"/>
      <c r="BP55" s="167"/>
      <c r="BQ55" s="167"/>
      <c r="BR55" s="167"/>
      <c r="BS55" s="167"/>
      <c r="BT55" s="167"/>
      <c r="BU55" s="167"/>
      <c r="BV55" s="167"/>
      <c r="BW55" s="167"/>
      <c r="BX55" s="167"/>
      <c r="BY55" s="167"/>
      <c r="BZ55" s="167"/>
      <c r="CA55" s="167"/>
      <c r="CB55" s="167"/>
      <c r="CC55" s="167"/>
      <c r="CD55" s="167"/>
      <c r="CE55" s="167"/>
      <c r="CF55" s="167"/>
      <c r="CG55" s="167"/>
      <c r="CH55" s="167"/>
      <c r="CI55" s="168"/>
      <c r="CJ55" s="17"/>
      <c r="CK55" s="17"/>
      <c r="CL55" s="17"/>
      <c r="CM55" s="17"/>
      <c r="CN55" s="17"/>
      <c r="CO55" s="17"/>
      <c r="CP55" s="17"/>
      <c r="CQ55" s="17"/>
      <c r="CR55" s="18"/>
    </row>
    <row r="56" spans="1:96" s="12" customFormat="1" ht="30" customHeight="1" x14ac:dyDescent="0.15">
      <c r="A56" s="19"/>
      <c r="B56" s="17"/>
      <c r="C56" s="17"/>
      <c r="D56" s="17"/>
      <c r="E56" s="166" t="s">
        <v>53</v>
      </c>
      <c r="F56" s="167"/>
      <c r="G56" s="168"/>
      <c r="H56" s="166" t="s">
        <v>71</v>
      </c>
      <c r="I56" s="167"/>
      <c r="J56" s="167"/>
      <c r="K56" s="167"/>
      <c r="L56" s="167"/>
      <c r="M56" s="167"/>
      <c r="N56" s="167"/>
      <c r="O56" s="167"/>
      <c r="P56" s="167"/>
      <c r="Q56" s="167"/>
      <c r="R56" s="167"/>
      <c r="S56" s="167"/>
      <c r="T56" s="167"/>
      <c r="U56" s="167"/>
      <c r="V56" s="167"/>
      <c r="W56" s="167"/>
      <c r="X56" s="168"/>
      <c r="Y56" s="169" t="s">
        <v>115</v>
      </c>
      <c r="Z56" s="167"/>
      <c r="AA56" s="167"/>
      <c r="AB56" s="167"/>
      <c r="AC56" s="167"/>
      <c r="AD56" s="167"/>
      <c r="AE56" s="167"/>
      <c r="AF56" s="167"/>
      <c r="AG56" s="167"/>
      <c r="AH56" s="167"/>
      <c r="AI56" s="167"/>
      <c r="AJ56" s="167"/>
      <c r="AK56" s="167"/>
      <c r="AL56" s="167"/>
      <c r="AM56" s="167"/>
      <c r="AN56" s="167"/>
      <c r="AO56" s="167"/>
      <c r="AP56" s="167"/>
      <c r="AQ56" s="167"/>
      <c r="AR56" s="167"/>
      <c r="AS56" s="167"/>
      <c r="AT56" s="167"/>
      <c r="AU56" s="167"/>
      <c r="AV56" s="167"/>
      <c r="AW56" s="167"/>
      <c r="AX56" s="167"/>
      <c r="AY56" s="167"/>
      <c r="AZ56" s="167"/>
      <c r="BA56" s="167"/>
      <c r="BB56" s="167"/>
      <c r="BC56" s="167"/>
      <c r="BD56" s="167"/>
      <c r="BE56" s="167"/>
      <c r="BF56" s="167"/>
      <c r="BG56" s="167"/>
      <c r="BH56" s="167"/>
      <c r="BI56" s="167"/>
      <c r="BJ56" s="167"/>
      <c r="BK56" s="167"/>
      <c r="BL56" s="167"/>
      <c r="BM56" s="167"/>
      <c r="BN56" s="167"/>
      <c r="BO56" s="167"/>
      <c r="BP56" s="167"/>
      <c r="BQ56" s="167"/>
      <c r="BR56" s="167"/>
      <c r="BS56" s="167"/>
      <c r="BT56" s="167"/>
      <c r="BU56" s="167"/>
      <c r="BV56" s="167"/>
      <c r="BW56" s="167"/>
      <c r="BX56" s="167"/>
      <c r="BY56" s="167"/>
      <c r="BZ56" s="167"/>
      <c r="CA56" s="167"/>
      <c r="CB56" s="167"/>
      <c r="CC56" s="167"/>
      <c r="CD56" s="167"/>
      <c r="CE56" s="167"/>
      <c r="CF56" s="167"/>
      <c r="CG56" s="167"/>
      <c r="CH56" s="167"/>
      <c r="CI56" s="168"/>
      <c r="CJ56" s="17"/>
      <c r="CK56" s="17"/>
      <c r="CL56" s="17"/>
      <c r="CM56" s="17"/>
      <c r="CN56" s="17"/>
      <c r="CO56" s="17"/>
      <c r="CP56" s="17"/>
      <c r="CQ56" s="17"/>
      <c r="CR56" s="18"/>
    </row>
    <row r="57" spans="1:96" s="12" customFormat="1" ht="15" customHeight="1" x14ac:dyDescent="0.15">
      <c r="A57" s="19"/>
      <c r="B57" s="17"/>
      <c r="C57" s="17"/>
      <c r="D57" s="17"/>
      <c r="E57" s="166" t="s">
        <v>54</v>
      </c>
      <c r="F57" s="167"/>
      <c r="G57" s="168"/>
      <c r="H57" s="166" t="s">
        <v>72</v>
      </c>
      <c r="I57" s="167"/>
      <c r="J57" s="167"/>
      <c r="K57" s="167"/>
      <c r="L57" s="167"/>
      <c r="M57" s="167"/>
      <c r="N57" s="167"/>
      <c r="O57" s="167"/>
      <c r="P57" s="167"/>
      <c r="Q57" s="167"/>
      <c r="R57" s="167"/>
      <c r="S57" s="167"/>
      <c r="T57" s="167"/>
      <c r="U57" s="167"/>
      <c r="V57" s="167"/>
      <c r="W57" s="167"/>
      <c r="X57" s="168"/>
      <c r="Y57" s="166" t="s">
        <v>116</v>
      </c>
      <c r="Z57" s="167"/>
      <c r="AA57" s="167"/>
      <c r="AB57" s="167"/>
      <c r="AC57" s="167"/>
      <c r="AD57" s="167"/>
      <c r="AE57" s="167"/>
      <c r="AF57" s="167"/>
      <c r="AG57" s="167"/>
      <c r="AH57" s="167"/>
      <c r="AI57" s="167"/>
      <c r="AJ57" s="167"/>
      <c r="AK57" s="167"/>
      <c r="AL57" s="167"/>
      <c r="AM57" s="167"/>
      <c r="AN57" s="167"/>
      <c r="AO57" s="167"/>
      <c r="AP57" s="167"/>
      <c r="AQ57" s="167"/>
      <c r="AR57" s="167"/>
      <c r="AS57" s="167"/>
      <c r="AT57" s="167"/>
      <c r="AU57" s="167"/>
      <c r="AV57" s="167"/>
      <c r="AW57" s="167"/>
      <c r="AX57" s="167"/>
      <c r="AY57" s="167"/>
      <c r="AZ57" s="167"/>
      <c r="BA57" s="167"/>
      <c r="BB57" s="167"/>
      <c r="BC57" s="167"/>
      <c r="BD57" s="167"/>
      <c r="BE57" s="167"/>
      <c r="BF57" s="167"/>
      <c r="BG57" s="167"/>
      <c r="BH57" s="167"/>
      <c r="BI57" s="167"/>
      <c r="BJ57" s="167"/>
      <c r="BK57" s="167"/>
      <c r="BL57" s="167"/>
      <c r="BM57" s="167"/>
      <c r="BN57" s="167"/>
      <c r="BO57" s="167"/>
      <c r="BP57" s="167"/>
      <c r="BQ57" s="167"/>
      <c r="BR57" s="167"/>
      <c r="BS57" s="167"/>
      <c r="BT57" s="167"/>
      <c r="BU57" s="167"/>
      <c r="BV57" s="167"/>
      <c r="BW57" s="167"/>
      <c r="BX57" s="167"/>
      <c r="BY57" s="167"/>
      <c r="BZ57" s="167"/>
      <c r="CA57" s="167"/>
      <c r="CB57" s="167"/>
      <c r="CC57" s="167"/>
      <c r="CD57" s="167"/>
      <c r="CE57" s="167"/>
      <c r="CF57" s="167"/>
      <c r="CG57" s="167"/>
      <c r="CH57" s="167"/>
      <c r="CI57" s="168"/>
      <c r="CJ57" s="17"/>
      <c r="CK57" s="17"/>
      <c r="CL57" s="17"/>
      <c r="CM57" s="17"/>
      <c r="CN57" s="17"/>
      <c r="CO57" s="17"/>
      <c r="CP57" s="17"/>
      <c r="CQ57" s="17"/>
      <c r="CR57" s="18"/>
    </row>
    <row r="58" spans="1:96" s="12" customFormat="1" ht="15" customHeight="1" x14ac:dyDescent="0.15">
      <c r="A58" s="19"/>
      <c r="B58" s="17"/>
      <c r="C58" s="17"/>
      <c r="D58" s="17"/>
      <c r="E58" s="166" t="s">
        <v>55</v>
      </c>
      <c r="F58" s="167"/>
      <c r="G58" s="168"/>
      <c r="H58" s="166" t="s">
        <v>73</v>
      </c>
      <c r="I58" s="167"/>
      <c r="J58" s="167"/>
      <c r="K58" s="167"/>
      <c r="L58" s="167"/>
      <c r="M58" s="167"/>
      <c r="N58" s="167"/>
      <c r="O58" s="167"/>
      <c r="P58" s="167"/>
      <c r="Q58" s="167"/>
      <c r="R58" s="167"/>
      <c r="S58" s="167"/>
      <c r="T58" s="167"/>
      <c r="U58" s="167"/>
      <c r="V58" s="167"/>
      <c r="W58" s="167"/>
      <c r="X58" s="168"/>
      <c r="Y58" s="166" t="s">
        <v>117</v>
      </c>
      <c r="Z58" s="167"/>
      <c r="AA58" s="167"/>
      <c r="AB58" s="167"/>
      <c r="AC58" s="167"/>
      <c r="AD58" s="167"/>
      <c r="AE58" s="167"/>
      <c r="AF58" s="167"/>
      <c r="AG58" s="167"/>
      <c r="AH58" s="167"/>
      <c r="AI58" s="167"/>
      <c r="AJ58" s="167"/>
      <c r="AK58" s="167"/>
      <c r="AL58" s="167"/>
      <c r="AM58" s="167"/>
      <c r="AN58" s="167"/>
      <c r="AO58" s="167"/>
      <c r="AP58" s="167"/>
      <c r="AQ58" s="167"/>
      <c r="AR58" s="167"/>
      <c r="AS58" s="167"/>
      <c r="AT58" s="167"/>
      <c r="AU58" s="167"/>
      <c r="AV58" s="167"/>
      <c r="AW58" s="167"/>
      <c r="AX58" s="167"/>
      <c r="AY58" s="167"/>
      <c r="AZ58" s="167"/>
      <c r="BA58" s="167"/>
      <c r="BB58" s="167"/>
      <c r="BC58" s="167"/>
      <c r="BD58" s="167"/>
      <c r="BE58" s="167"/>
      <c r="BF58" s="167"/>
      <c r="BG58" s="167"/>
      <c r="BH58" s="167"/>
      <c r="BI58" s="167"/>
      <c r="BJ58" s="167"/>
      <c r="BK58" s="167"/>
      <c r="BL58" s="167"/>
      <c r="BM58" s="167"/>
      <c r="BN58" s="167"/>
      <c r="BO58" s="167"/>
      <c r="BP58" s="167"/>
      <c r="BQ58" s="167"/>
      <c r="BR58" s="167"/>
      <c r="BS58" s="167"/>
      <c r="BT58" s="167"/>
      <c r="BU58" s="167"/>
      <c r="BV58" s="167"/>
      <c r="BW58" s="167"/>
      <c r="BX58" s="167"/>
      <c r="BY58" s="167"/>
      <c r="BZ58" s="167"/>
      <c r="CA58" s="167"/>
      <c r="CB58" s="167"/>
      <c r="CC58" s="167"/>
      <c r="CD58" s="167"/>
      <c r="CE58" s="167"/>
      <c r="CF58" s="167"/>
      <c r="CG58" s="167"/>
      <c r="CH58" s="167"/>
      <c r="CI58" s="168"/>
      <c r="CJ58" s="17"/>
      <c r="CK58" s="17"/>
      <c r="CL58" s="17"/>
      <c r="CM58" s="17"/>
      <c r="CN58" s="17"/>
      <c r="CO58" s="17"/>
      <c r="CP58" s="17"/>
      <c r="CQ58" s="17"/>
      <c r="CR58" s="18"/>
    </row>
    <row r="59" spans="1:96" s="12" customFormat="1" ht="15" customHeight="1" x14ac:dyDescent="0.15">
      <c r="A59" s="19"/>
      <c r="B59" s="17"/>
      <c r="C59" s="17"/>
      <c r="D59" s="17"/>
      <c r="E59" s="166" t="s">
        <v>56</v>
      </c>
      <c r="F59" s="167"/>
      <c r="G59" s="168"/>
      <c r="H59" s="166" t="s">
        <v>74</v>
      </c>
      <c r="I59" s="167"/>
      <c r="J59" s="167"/>
      <c r="K59" s="167"/>
      <c r="L59" s="167"/>
      <c r="M59" s="167"/>
      <c r="N59" s="167"/>
      <c r="O59" s="167"/>
      <c r="P59" s="167"/>
      <c r="Q59" s="167"/>
      <c r="R59" s="167"/>
      <c r="S59" s="167"/>
      <c r="T59" s="167"/>
      <c r="U59" s="167"/>
      <c r="V59" s="167"/>
      <c r="W59" s="167"/>
      <c r="X59" s="168"/>
      <c r="Y59" s="166" t="s">
        <v>118</v>
      </c>
      <c r="Z59" s="167"/>
      <c r="AA59" s="167"/>
      <c r="AB59" s="167"/>
      <c r="AC59" s="167"/>
      <c r="AD59" s="167"/>
      <c r="AE59" s="167"/>
      <c r="AF59" s="167"/>
      <c r="AG59" s="167"/>
      <c r="AH59" s="167"/>
      <c r="AI59" s="167"/>
      <c r="AJ59" s="167"/>
      <c r="AK59" s="167"/>
      <c r="AL59" s="167"/>
      <c r="AM59" s="167"/>
      <c r="AN59" s="167"/>
      <c r="AO59" s="167"/>
      <c r="AP59" s="167"/>
      <c r="AQ59" s="167"/>
      <c r="AR59" s="167"/>
      <c r="AS59" s="167"/>
      <c r="AT59" s="167"/>
      <c r="AU59" s="167"/>
      <c r="AV59" s="167"/>
      <c r="AW59" s="167"/>
      <c r="AX59" s="167"/>
      <c r="AY59" s="167"/>
      <c r="AZ59" s="167"/>
      <c r="BA59" s="167"/>
      <c r="BB59" s="167"/>
      <c r="BC59" s="167"/>
      <c r="BD59" s="167"/>
      <c r="BE59" s="167"/>
      <c r="BF59" s="167"/>
      <c r="BG59" s="167"/>
      <c r="BH59" s="167"/>
      <c r="BI59" s="167"/>
      <c r="BJ59" s="167"/>
      <c r="BK59" s="167"/>
      <c r="BL59" s="167"/>
      <c r="BM59" s="167"/>
      <c r="BN59" s="167"/>
      <c r="BO59" s="167"/>
      <c r="BP59" s="167"/>
      <c r="BQ59" s="167"/>
      <c r="BR59" s="167"/>
      <c r="BS59" s="167"/>
      <c r="BT59" s="167"/>
      <c r="BU59" s="167"/>
      <c r="BV59" s="167"/>
      <c r="BW59" s="167"/>
      <c r="BX59" s="167"/>
      <c r="BY59" s="167"/>
      <c r="BZ59" s="167"/>
      <c r="CA59" s="167"/>
      <c r="CB59" s="167"/>
      <c r="CC59" s="167"/>
      <c r="CD59" s="167"/>
      <c r="CE59" s="167"/>
      <c r="CF59" s="167"/>
      <c r="CG59" s="167"/>
      <c r="CH59" s="167"/>
      <c r="CI59" s="168"/>
      <c r="CJ59" s="17"/>
      <c r="CK59" s="17"/>
      <c r="CL59" s="17"/>
      <c r="CM59" s="17"/>
      <c r="CN59" s="17"/>
      <c r="CO59" s="17"/>
      <c r="CP59" s="17"/>
      <c r="CQ59" s="17"/>
      <c r="CR59" s="18"/>
    </row>
    <row r="60" spans="1:96" s="12" customFormat="1" ht="15" customHeight="1" x14ac:dyDescent="0.15">
      <c r="A60" s="19"/>
      <c r="B60" s="17"/>
      <c r="C60" s="17"/>
      <c r="D60" s="17"/>
      <c r="E60" s="166" t="s">
        <v>57</v>
      </c>
      <c r="F60" s="167"/>
      <c r="G60" s="168"/>
      <c r="H60" s="166" t="s">
        <v>75</v>
      </c>
      <c r="I60" s="167"/>
      <c r="J60" s="167"/>
      <c r="K60" s="167"/>
      <c r="L60" s="167"/>
      <c r="M60" s="167"/>
      <c r="N60" s="167"/>
      <c r="O60" s="167"/>
      <c r="P60" s="167"/>
      <c r="Q60" s="167"/>
      <c r="R60" s="167"/>
      <c r="S60" s="167"/>
      <c r="T60" s="167"/>
      <c r="U60" s="167"/>
      <c r="V60" s="167"/>
      <c r="W60" s="167"/>
      <c r="X60" s="168"/>
      <c r="Y60" s="166" t="s">
        <v>119</v>
      </c>
      <c r="Z60" s="167"/>
      <c r="AA60" s="167"/>
      <c r="AB60" s="167"/>
      <c r="AC60" s="167"/>
      <c r="AD60" s="167"/>
      <c r="AE60" s="167"/>
      <c r="AF60" s="167"/>
      <c r="AG60" s="167"/>
      <c r="AH60" s="167"/>
      <c r="AI60" s="167"/>
      <c r="AJ60" s="167"/>
      <c r="AK60" s="167"/>
      <c r="AL60" s="167"/>
      <c r="AM60" s="167"/>
      <c r="AN60" s="167"/>
      <c r="AO60" s="167"/>
      <c r="AP60" s="167"/>
      <c r="AQ60" s="167"/>
      <c r="AR60" s="167"/>
      <c r="AS60" s="167"/>
      <c r="AT60" s="167"/>
      <c r="AU60" s="167"/>
      <c r="AV60" s="167"/>
      <c r="AW60" s="167"/>
      <c r="AX60" s="167"/>
      <c r="AY60" s="167"/>
      <c r="AZ60" s="167"/>
      <c r="BA60" s="167"/>
      <c r="BB60" s="167"/>
      <c r="BC60" s="167"/>
      <c r="BD60" s="167"/>
      <c r="BE60" s="167"/>
      <c r="BF60" s="167"/>
      <c r="BG60" s="167"/>
      <c r="BH60" s="167"/>
      <c r="BI60" s="167"/>
      <c r="BJ60" s="167"/>
      <c r="BK60" s="167"/>
      <c r="BL60" s="167"/>
      <c r="BM60" s="167"/>
      <c r="BN60" s="167"/>
      <c r="BO60" s="167"/>
      <c r="BP60" s="167"/>
      <c r="BQ60" s="167"/>
      <c r="BR60" s="167"/>
      <c r="BS60" s="167"/>
      <c r="BT60" s="167"/>
      <c r="BU60" s="167"/>
      <c r="BV60" s="167"/>
      <c r="BW60" s="167"/>
      <c r="BX60" s="167"/>
      <c r="BY60" s="167"/>
      <c r="BZ60" s="167"/>
      <c r="CA60" s="167"/>
      <c r="CB60" s="167"/>
      <c r="CC60" s="167"/>
      <c r="CD60" s="167"/>
      <c r="CE60" s="167"/>
      <c r="CF60" s="167"/>
      <c r="CG60" s="167"/>
      <c r="CH60" s="167"/>
      <c r="CI60" s="168"/>
      <c r="CJ60" s="17"/>
      <c r="CK60" s="17"/>
      <c r="CL60" s="17"/>
      <c r="CM60" s="17"/>
      <c r="CN60" s="17"/>
      <c r="CO60" s="17"/>
      <c r="CP60" s="17"/>
      <c r="CQ60" s="17"/>
      <c r="CR60" s="18"/>
    </row>
    <row r="61" spans="1:96" s="12" customFormat="1" ht="15" customHeight="1" x14ac:dyDescent="0.15">
      <c r="A61" s="19"/>
      <c r="B61" s="17"/>
      <c r="C61" s="17"/>
      <c r="D61" s="17"/>
      <c r="E61" s="166" t="s">
        <v>58</v>
      </c>
      <c r="F61" s="167"/>
      <c r="G61" s="168"/>
      <c r="H61" s="166" t="s">
        <v>76</v>
      </c>
      <c r="I61" s="167"/>
      <c r="J61" s="167"/>
      <c r="K61" s="167"/>
      <c r="L61" s="167"/>
      <c r="M61" s="167"/>
      <c r="N61" s="167"/>
      <c r="O61" s="167"/>
      <c r="P61" s="167"/>
      <c r="Q61" s="167"/>
      <c r="R61" s="167"/>
      <c r="S61" s="167"/>
      <c r="T61" s="167"/>
      <c r="U61" s="167"/>
      <c r="V61" s="167"/>
      <c r="W61" s="167"/>
      <c r="X61" s="168"/>
      <c r="Y61" s="166" t="s">
        <v>120</v>
      </c>
      <c r="Z61" s="167"/>
      <c r="AA61" s="167"/>
      <c r="AB61" s="167"/>
      <c r="AC61" s="167"/>
      <c r="AD61" s="167"/>
      <c r="AE61" s="167"/>
      <c r="AF61" s="167"/>
      <c r="AG61" s="167"/>
      <c r="AH61" s="167"/>
      <c r="AI61" s="167"/>
      <c r="AJ61" s="167"/>
      <c r="AK61" s="167"/>
      <c r="AL61" s="167"/>
      <c r="AM61" s="167"/>
      <c r="AN61" s="167"/>
      <c r="AO61" s="167"/>
      <c r="AP61" s="167"/>
      <c r="AQ61" s="167"/>
      <c r="AR61" s="167"/>
      <c r="AS61" s="167"/>
      <c r="AT61" s="167"/>
      <c r="AU61" s="167"/>
      <c r="AV61" s="167"/>
      <c r="AW61" s="167"/>
      <c r="AX61" s="167"/>
      <c r="AY61" s="167"/>
      <c r="AZ61" s="167"/>
      <c r="BA61" s="167"/>
      <c r="BB61" s="167"/>
      <c r="BC61" s="167"/>
      <c r="BD61" s="167"/>
      <c r="BE61" s="167"/>
      <c r="BF61" s="167"/>
      <c r="BG61" s="167"/>
      <c r="BH61" s="167"/>
      <c r="BI61" s="167"/>
      <c r="BJ61" s="167"/>
      <c r="BK61" s="167"/>
      <c r="BL61" s="167"/>
      <c r="BM61" s="167"/>
      <c r="BN61" s="167"/>
      <c r="BO61" s="167"/>
      <c r="BP61" s="167"/>
      <c r="BQ61" s="167"/>
      <c r="BR61" s="167"/>
      <c r="BS61" s="167"/>
      <c r="BT61" s="167"/>
      <c r="BU61" s="167"/>
      <c r="BV61" s="167"/>
      <c r="BW61" s="167"/>
      <c r="BX61" s="167"/>
      <c r="BY61" s="167"/>
      <c r="BZ61" s="167"/>
      <c r="CA61" s="167"/>
      <c r="CB61" s="167"/>
      <c r="CC61" s="167"/>
      <c r="CD61" s="167"/>
      <c r="CE61" s="167"/>
      <c r="CF61" s="167"/>
      <c r="CG61" s="167"/>
      <c r="CH61" s="167"/>
      <c r="CI61" s="168"/>
      <c r="CJ61" s="17"/>
      <c r="CK61" s="17"/>
      <c r="CL61" s="17"/>
      <c r="CM61" s="17"/>
      <c r="CN61" s="17"/>
      <c r="CO61" s="17"/>
      <c r="CP61" s="17"/>
      <c r="CQ61" s="17"/>
      <c r="CR61" s="18"/>
    </row>
    <row r="62" spans="1:96" s="12" customFormat="1" ht="15" customHeight="1" x14ac:dyDescent="0.15">
      <c r="A62" s="19"/>
      <c r="B62" s="17"/>
      <c r="C62" s="17"/>
      <c r="D62" s="17"/>
      <c r="E62" s="166" t="s">
        <v>59</v>
      </c>
      <c r="F62" s="167"/>
      <c r="G62" s="168"/>
      <c r="H62" s="166" t="s">
        <v>77</v>
      </c>
      <c r="I62" s="167"/>
      <c r="J62" s="167"/>
      <c r="K62" s="167"/>
      <c r="L62" s="167"/>
      <c r="M62" s="167"/>
      <c r="N62" s="167"/>
      <c r="O62" s="167"/>
      <c r="P62" s="167"/>
      <c r="Q62" s="167"/>
      <c r="R62" s="167"/>
      <c r="S62" s="167"/>
      <c r="T62" s="167"/>
      <c r="U62" s="167"/>
      <c r="V62" s="167"/>
      <c r="W62" s="167"/>
      <c r="X62" s="168"/>
      <c r="Y62" s="166" t="s">
        <v>131</v>
      </c>
      <c r="Z62" s="167"/>
      <c r="AA62" s="167"/>
      <c r="AB62" s="167"/>
      <c r="AC62" s="167"/>
      <c r="AD62" s="167"/>
      <c r="AE62" s="167"/>
      <c r="AF62" s="167"/>
      <c r="AG62" s="167"/>
      <c r="AH62" s="167"/>
      <c r="AI62" s="167"/>
      <c r="AJ62" s="167"/>
      <c r="AK62" s="167"/>
      <c r="AL62" s="167"/>
      <c r="AM62" s="167"/>
      <c r="AN62" s="167"/>
      <c r="AO62" s="167"/>
      <c r="AP62" s="167"/>
      <c r="AQ62" s="167"/>
      <c r="AR62" s="167"/>
      <c r="AS62" s="167"/>
      <c r="AT62" s="167"/>
      <c r="AU62" s="167"/>
      <c r="AV62" s="167"/>
      <c r="AW62" s="167"/>
      <c r="AX62" s="167"/>
      <c r="AY62" s="167"/>
      <c r="AZ62" s="167"/>
      <c r="BA62" s="167"/>
      <c r="BB62" s="167"/>
      <c r="BC62" s="167"/>
      <c r="BD62" s="167"/>
      <c r="BE62" s="167"/>
      <c r="BF62" s="167"/>
      <c r="BG62" s="167"/>
      <c r="BH62" s="167"/>
      <c r="BI62" s="167"/>
      <c r="BJ62" s="167"/>
      <c r="BK62" s="167"/>
      <c r="BL62" s="167"/>
      <c r="BM62" s="167"/>
      <c r="BN62" s="167"/>
      <c r="BO62" s="167"/>
      <c r="BP62" s="167"/>
      <c r="BQ62" s="167"/>
      <c r="BR62" s="167"/>
      <c r="BS62" s="167"/>
      <c r="BT62" s="167"/>
      <c r="BU62" s="167"/>
      <c r="BV62" s="167"/>
      <c r="BW62" s="167"/>
      <c r="BX62" s="167"/>
      <c r="BY62" s="167"/>
      <c r="BZ62" s="167"/>
      <c r="CA62" s="167"/>
      <c r="CB62" s="167"/>
      <c r="CC62" s="167"/>
      <c r="CD62" s="167"/>
      <c r="CE62" s="167"/>
      <c r="CF62" s="167"/>
      <c r="CG62" s="167"/>
      <c r="CH62" s="167"/>
      <c r="CI62" s="168"/>
      <c r="CJ62" s="17"/>
      <c r="CK62" s="17"/>
      <c r="CL62" s="17"/>
      <c r="CM62" s="17"/>
      <c r="CN62" s="17"/>
      <c r="CO62" s="17"/>
      <c r="CP62" s="17"/>
      <c r="CQ62" s="17"/>
      <c r="CR62" s="18"/>
    </row>
    <row r="63" spans="1:96" s="12" customFormat="1" ht="15" customHeight="1" x14ac:dyDescent="0.15">
      <c r="A63" s="19"/>
      <c r="B63" s="17"/>
      <c r="C63" s="17"/>
      <c r="D63" s="17"/>
      <c r="E63" s="166" t="s">
        <v>60</v>
      </c>
      <c r="F63" s="167"/>
      <c r="G63" s="168"/>
      <c r="H63" s="166" t="s">
        <v>78</v>
      </c>
      <c r="I63" s="167"/>
      <c r="J63" s="167"/>
      <c r="K63" s="167"/>
      <c r="L63" s="167"/>
      <c r="M63" s="167"/>
      <c r="N63" s="167"/>
      <c r="O63" s="167"/>
      <c r="P63" s="167"/>
      <c r="Q63" s="167"/>
      <c r="R63" s="167"/>
      <c r="S63" s="167"/>
      <c r="T63" s="167"/>
      <c r="U63" s="167"/>
      <c r="V63" s="167"/>
      <c r="W63" s="167"/>
      <c r="X63" s="168"/>
      <c r="Y63" s="166" t="s">
        <v>121</v>
      </c>
      <c r="Z63" s="167"/>
      <c r="AA63" s="167"/>
      <c r="AB63" s="167"/>
      <c r="AC63" s="167"/>
      <c r="AD63" s="167"/>
      <c r="AE63" s="167"/>
      <c r="AF63" s="167"/>
      <c r="AG63" s="167"/>
      <c r="AH63" s="167"/>
      <c r="AI63" s="167"/>
      <c r="AJ63" s="167"/>
      <c r="AK63" s="167"/>
      <c r="AL63" s="167"/>
      <c r="AM63" s="167"/>
      <c r="AN63" s="167"/>
      <c r="AO63" s="167"/>
      <c r="AP63" s="167"/>
      <c r="AQ63" s="167"/>
      <c r="AR63" s="167"/>
      <c r="AS63" s="167"/>
      <c r="AT63" s="167"/>
      <c r="AU63" s="167"/>
      <c r="AV63" s="167"/>
      <c r="AW63" s="167"/>
      <c r="AX63" s="167"/>
      <c r="AY63" s="167"/>
      <c r="AZ63" s="167"/>
      <c r="BA63" s="167"/>
      <c r="BB63" s="167"/>
      <c r="BC63" s="167"/>
      <c r="BD63" s="167"/>
      <c r="BE63" s="167"/>
      <c r="BF63" s="167"/>
      <c r="BG63" s="167"/>
      <c r="BH63" s="167"/>
      <c r="BI63" s="167"/>
      <c r="BJ63" s="167"/>
      <c r="BK63" s="167"/>
      <c r="BL63" s="167"/>
      <c r="BM63" s="167"/>
      <c r="BN63" s="167"/>
      <c r="BO63" s="167"/>
      <c r="BP63" s="167"/>
      <c r="BQ63" s="167"/>
      <c r="BR63" s="167"/>
      <c r="BS63" s="167"/>
      <c r="BT63" s="167"/>
      <c r="BU63" s="167"/>
      <c r="BV63" s="167"/>
      <c r="BW63" s="167"/>
      <c r="BX63" s="167"/>
      <c r="BY63" s="167"/>
      <c r="BZ63" s="167"/>
      <c r="CA63" s="167"/>
      <c r="CB63" s="167"/>
      <c r="CC63" s="167"/>
      <c r="CD63" s="167"/>
      <c r="CE63" s="167"/>
      <c r="CF63" s="167"/>
      <c r="CG63" s="167"/>
      <c r="CH63" s="167"/>
      <c r="CI63" s="168"/>
      <c r="CJ63" s="17"/>
      <c r="CK63" s="17"/>
      <c r="CL63" s="17"/>
      <c r="CM63" s="17"/>
      <c r="CN63" s="17"/>
      <c r="CO63" s="17"/>
      <c r="CP63" s="17"/>
      <c r="CQ63" s="17"/>
      <c r="CR63" s="18"/>
    </row>
    <row r="64" spans="1:96" s="12" customFormat="1" ht="15" customHeight="1" x14ac:dyDescent="0.15">
      <c r="A64" s="19"/>
      <c r="B64" s="17"/>
      <c r="C64" s="17"/>
      <c r="E64" s="166" t="s">
        <v>61</v>
      </c>
      <c r="F64" s="167"/>
      <c r="G64" s="168"/>
      <c r="H64" s="166" t="s">
        <v>82</v>
      </c>
      <c r="I64" s="167"/>
      <c r="J64" s="167"/>
      <c r="K64" s="167"/>
      <c r="L64" s="167"/>
      <c r="M64" s="167"/>
      <c r="N64" s="167"/>
      <c r="O64" s="167"/>
      <c r="P64" s="167"/>
      <c r="Q64" s="167"/>
      <c r="R64" s="167"/>
      <c r="S64" s="167"/>
      <c r="T64" s="167"/>
      <c r="U64" s="167"/>
      <c r="V64" s="167"/>
      <c r="W64" s="167"/>
      <c r="X64" s="168"/>
      <c r="Y64" s="170" t="s">
        <v>122</v>
      </c>
      <c r="Z64" s="167"/>
      <c r="AA64" s="167"/>
      <c r="AB64" s="167"/>
      <c r="AC64" s="167"/>
      <c r="AD64" s="167"/>
      <c r="AE64" s="167"/>
      <c r="AF64" s="167"/>
      <c r="AG64" s="167"/>
      <c r="AH64" s="167"/>
      <c r="AI64" s="167"/>
      <c r="AJ64" s="167"/>
      <c r="AK64" s="167"/>
      <c r="AL64" s="167"/>
      <c r="AM64" s="167"/>
      <c r="AN64" s="167"/>
      <c r="AO64" s="167"/>
      <c r="AP64" s="167"/>
      <c r="AQ64" s="167"/>
      <c r="AR64" s="167"/>
      <c r="AS64" s="167"/>
      <c r="AT64" s="167"/>
      <c r="AU64" s="167"/>
      <c r="AV64" s="167"/>
      <c r="AW64" s="167"/>
      <c r="AX64" s="167"/>
      <c r="AY64" s="167"/>
      <c r="AZ64" s="167"/>
      <c r="BA64" s="167"/>
      <c r="BB64" s="167"/>
      <c r="BC64" s="167"/>
      <c r="BD64" s="167"/>
      <c r="BE64" s="167"/>
      <c r="BF64" s="167"/>
      <c r="BG64" s="167"/>
      <c r="BH64" s="167"/>
      <c r="BI64" s="167"/>
      <c r="BJ64" s="167"/>
      <c r="BK64" s="167"/>
      <c r="BL64" s="167"/>
      <c r="BM64" s="167"/>
      <c r="BN64" s="167"/>
      <c r="BO64" s="167"/>
      <c r="BP64" s="167"/>
      <c r="BQ64" s="167"/>
      <c r="BR64" s="167"/>
      <c r="BS64" s="167"/>
      <c r="BT64" s="167"/>
      <c r="BU64" s="167"/>
      <c r="BV64" s="167"/>
      <c r="BW64" s="167"/>
      <c r="BX64" s="167"/>
      <c r="BY64" s="167"/>
      <c r="BZ64" s="167"/>
      <c r="CA64" s="167"/>
      <c r="CB64" s="167"/>
      <c r="CC64" s="167"/>
      <c r="CD64" s="167"/>
      <c r="CE64" s="167"/>
      <c r="CF64" s="167"/>
      <c r="CG64" s="167"/>
      <c r="CH64" s="167"/>
      <c r="CI64" s="168"/>
      <c r="CJ64" s="17"/>
      <c r="CK64" s="17"/>
      <c r="CL64" s="17"/>
      <c r="CM64" s="17"/>
      <c r="CN64" s="17"/>
      <c r="CO64" s="17"/>
      <c r="CP64" s="17"/>
      <c r="CQ64" s="17"/>
      <c r="CR64" s="18"/>
    </row>
    <row r="65" spans="1:96" s="12" customFormat="1" ht="15" customHeight="1" x14ac:dyDescent="0.15">
      <c r="A65" s="19"/>
      <c r="B65" s="17"/>
      <c r="C65" s="17"/>
      <c r="E65" s="166" t="s">
        <v>62</v>
      </c>
      <c r="F65" s="167"/>
      <c r="G65" s="168"/>
      <c r="H65" s="166" t="s">
        <v>83</v>
      </c>
      <c r="I65" s="167"/>
      <c r="J65" s="167"/>
      <c r="K65" s="167"/>
      <c r="L65" s="167"/>
      <c r="M65" s="167"/>
      <c r="N65" s="167"/>
      <c r="O65" s="167"/>
      <c r="P65" s="167"/>
      <c r="Q65" s="167"/>
      <c r="R65" s="167"/>
      <c r="S65" s="167"/>
      <c r="T65" s="167"/>
      <c r="U65" s="167"/>
      <c r="V65" s="167"/>
      <c r="W65" s="167"/>
      <c r="X65" s="168"/>
      <c r="Y65" s="166" t="s">
        <v>123</v>
      </c>
      <c r="Z65" s="167"/>
      <c r="AA65" s="167"/>
      <c r="AB65" s="167"/>
      <c r="AC65" s="167"/>
      <c r="AD65" s="167"/>
      <c r="AE65" s="167"/>
      <c r="AF65" s="167"/>
      <c r="AG65" s="167"/>
      <c r="AH65" s="167"/>
      <c r="AI65" s="167"/>
      <c r="AJ65" s="167"/>
      <c r="AK65" s="167"/>
      <c r="AL65" s="167"/>
      <c r="AM65" s="167"/>
      <c r="AN65" s="167"/>
      <c r="AO65" s="167"/>
      <c r="AP65" s="167"/>
      <c r="AQ65" s="167"/>
      <c r="AR65" s="167"/>
      <c r="AS65" s="167"/>
      <c r="AT65" s="167"/>
      <c r="AU65" s="167"/>
      <c r="AV65" s="167"/>
      <c r="AW65" s="167"/>
      <c r="AX65" s="167"/>
      <c r="AY65" s="167"/>
      <c r="AZ65" s="167"/>
      <c r="BA65" s="167"/>
      <c r="BB65" s="167"/>
      <c r="BC65" s="167"/>
      <c r="BD65" s="167"/>
      <c r="BE65" s="167"/>
      <c r="BF65" s="167"/>
      <c r="BG65" s="167"/>
      <c r="BH65" s="167"/>
      <c r="BI65" s="167"/>
      <c r="BJ65" s="167"/>
      <c r="BK65" s="167"/>
      <c r="BL65" s="167"/>
      <c r="BM65" s="167"/>
      <c r="BN65" s="167"/>
      <c r="BO65" s="167"/>
      <c r="BP65" s="167"/>
      <c r="BQ65" s="167"/>
      <c r="BR65" s="167"/>
      <c r="BS65" s="167"/>
      <c r="BT65" s="167"/>
      <c r="BU65" s="167"/>
      <c r="BV65" s="167"/>
      <c r="BW65" s="167"/>
      <c r="BX65" s="167"/>
      <c r="BY65" s="167"/>
      <c r="BZ65" s="167"/>
      <c r="CA65" s="167"/>
      <c r="CB65" s="167"/>
      <c r="CC65" s="167"/>
      <c r="CD65" s="167"/>
      <c r="CE65" s="167"/>
      <c r="CF65" s="167"/>
      <c r="CG65" s="167"/>
      <c r="CH65" s="167"/>
      <c r="CI65" s="168"/>
      <c r="CJ65" s="17"/>
      <c r="CK65" s="17"/>
      <c r="CL65" s="17"/>
      <c r="CM65" s="17"/>
      <c r="CN65" s="17"/>
      <c r="CO65" s="17"/>
      <c r="CP65" s="17"/>
      <c r="CQ65" s="17"/>
      <c r="CR65" s="18"/>
    </row>
    <row r="66" spans="1:96" s="12" customFormat="1" ht="15" customHeight="1" x14ac:dyDescent="0.15">
      <c r="A66" s="19"/>
      <c r="B66" s="29"/>
      <c r="C66" s="30"/>
      <c r="E66" s="166" t="s">
        <v>84</v>
      </c>
      <c r="F66" s="167"/>
      <c r="G66" s="168"/>
      <c r="H66" s="166" t="s">
        <v>88</v>
      </c>
      <c r="I66" s="167"/>
      <c r="J66" s="167"/>
      <c r="K66" s="167"/>
      <c r="L66" s="167"/>
      <c r="M66" s="167"/>
      <c r="N66" s="167"/>
      <c r="O66" s="167"/>
      <c r="P66" s="167"/>
      <c r="Q66" s="167"/>
      <c r="R66" s="167"/>
      <c r="S66" s="167"/>
      <c r="T66" s="167"/>
      <c r="U66" s="167"/>
      <c r="V66" s="167"/>
      <c r="W66" s="167"/>
      <c r="X66" s="168"/>
      <c r="Y66" s="166" t="s">
        <v>124</v>
      </c>
      <c r="Z66" s="167"/>
      <c r="AA66" s="167"/>
      <c r="AB66" s="167"/>
      <c r="AC66" s="167"/>
      <c r="AD66" s="167"/>
      <c r="AE66" s="167"/>
      <c r="AF66" s="167"/>
      <c r="AG66" s="167"/>
      <c r="AH66" s="167"/>
      <c r="AI66" s="167"/>
      <c r="AJ66" s="167"/>
      <c r="AK66" s="167"/>
      <c r="AL66" s="167"/>
      <c r="AM66" s="167"/>
      <c r="AN66" s="167"/>
      <c r="AO66" s="167"/>
      <c r="AP66" s="167"/>
      <c r="AQ66" s="167"/>
      <c r="AR66" s="167"/>
      <c r="AS66" s="167"/>
      <c r="AT66" s="167"/>
      <c r="AU66" s="167"/>
      <c r="AV66" s="167"/>
      <c r="AW66" s="167"/>
      <c r="AX66" s="167"/>
      <c r="AY66" s="167"/>
      <c r="AZ66" s="167"/>
      <c r="BA66" s="167"/>
      <c r="BB66" s="167"/>
      <c r="BC66" s="167"/>
      <c r="BD66" s="167"/>
      <c r="BE66" s="167"/>
      <c r="BF66" s="167"/>
      <c r="BG66" s="167"/>
      <c r="BH66" s="167"/>
      <c r="BI66" s="167"/>
      <c r="BJ66" s="167"/>
      <c r="BK66" s="167"/>
      <c r="BL66" s="167"/>
      <c r="BM66" s="167"/>
      <c r="BN66" s="167"/>
      <c r="BO66" s="167"/>
      <c r="BP66" s="167"/>
      <c r="BQ66" s="167"/>
      <c r="BR66" s="167"/>
      <c r="BS66" s="167"/>
      <c r="BT66" s="167"/>
      <c r="BU66" s="167"/>
      <c r="BV66" s="167"/>
      <c r="BW66" s="167"/>
      <c r="BX66" s="167"/>
      <c r="BY66" s="167"/>
      <c r="BZ66" s="167"/>
      <c r="CA66" s="167"/>
      <c r="CB66" s="167"/>
      <c r="CC66" s="167"/>
      <c r="CD66" s="167"/>
      <c r="CE66" s="167"/>
      <c r="CF66" s="167"/>
      <c r="CG66" s="167"/>
      <c r="CH66" s="167"/>
      <c r="CI66" s="168"/>
      <c r="CJ66" s="17"/>
      <c r="CK66" s="17"/>
      <c r="CL66" s="17"/>
      <c r="CM66" s="17"/>
      <c r="CN66" s="17"/>
      <c r="CO66" s="17"/>
      <c r="CP66" s="17"/>
      <c r="CQ66" s="17"/>
      <c r="CR66" s="18"/>
    </row>
    <row r="67" spans="1:96" s="12" customFormat="1" ht="15" customHeight="1" x14ac:dyDescent="0.15">
      <c r="A67" s="19"/>
      <c r="B67" s="29"/>
      <c r="C67" s="30"/>
      <c r="E67" s="166" t="s">
        <v>85</v>
      </c>
      <c r="F67" s="167"/>
      <c r="G67" s="168"/>
      <c r="H67" s="174" t="s">
        <v>89</v>
      </c>
      <c r="I67" s="175"/>
      <c r="J67" s="175"/>
      <c r="K67" s="175"/>
      <c r="L67" s="175"/>
      <c r="M67" s="175"/>
      <c r="N67" s="175"/>
      <c r="O67" s="175"/>
      <c r="P67" s="175"/>
      <c r="Q67" s="175"/>
      <c r="R67" s="175"/>
      <c r="S67" s="175"/>
      <c r="T67" s="175"/>
      <c r="U67" s="175"/>
      <c r="V67" s="175"/>
      <c r="W67" s="175"/>
      <c r="X67" s="176"/>
      <c r="Y67" s="166" t="s">
        <v>133</v>
      </c>
      <c r="Z67" s="167"/>
      <c r="AA67" s="167"/>
      <c r="AB67" s="167"/>
      <c r="AC67" s="167"/>
      <c r="AD67" s="167"/>
      <c r="AE67" s="167"/>
      <c r="AF67" s="167"/>
      <c r="AG67" s="167"/>
      <c r="AH67" s="167"/>
      <c r="AI67" s="167"/>
      <c r="AJ67" s="167"/>
      <c r="AK67" s="167"/>
      <c r="AL67" s="167"/>
      <c r="AM67" s="167"/>
      <c r="AN67" s="167"/>
      <c r="AO67" s="167"/>
      <c r="AP67" s="167"/>
      <c r="AQ67" s="167"/>
      <c r="AR67" s="167"/>
      <c r="AS67" s="167"/>
      <c r="AT67" s="167"/>
      <c r="AU67" s="167"/>
      <c r="AV67" s="167"/>
      <c r="AW67" s="167"/>
      <c r="AX67" s="167"/>
      <c r="AY67" s="167"/>
      <c r="AZ67" s="167"/>
      <c r="BA67" s="167"/>
      <c r="BB67" s="167"/>
      <c r="BC67" s="167"/>
      <c r="BD67" s="167"/>
      <c r="BE67" s="167"/>
      <c r="BF67" s="167"/>
      <c r="BG67" s="167"/>
      <c r="BH67" s="167"/>
      <c r="BI67" s="167"/>
      <c r="BJ67" s="167"/>
      <c r="BK67" s="167"/>
      <c r="BL67" s="167"/>
      <c r="BM67" s="167"/>
      <c r="BN67" s="167"/>
      <c r="BO67" s="167"/>
      <c r="BP67" s="167"/>
      <c r="BQ67" s="167"/>
      <c r="BR67" s="167"/>
      <c r="BS67" s="167"/>
      <c r="BT67" s="167"/>
      <c r="BU67" s="167"/>
      <c r="BV67" s="167"/>
      <c r="BW67" s="167"/>
      <c r="BX67" s="167"/>
      <c r="BY67" s="167"/>
      <c r="BZ67" s="167"/>
      <c r="CA67" s="167"/>
      <c r="CB67" s="167"/>
      <c r="CC67" s="167"/>
      <c r="CD67" s="167"/>
      <c r="CE67" s="167"/>
      <c r="CF67" s="167"/>
      <c r="CG67" s="167"/>
      <c r="CH67" s="167"/>
      <c r="CI67" s="168"/>
      <c r="CJ67" s="17"/>
      <c r="CK67" s="17"/>
      <c r="CL67" s="17"/>
      <c r="CM67" s="17"/>
      <c r="CN67" s="17"/>
      <c r="CO67" s="17"/>
      <c r="CP67" s="17"/>
      <c r="CQ67" s="17"/>
      <c r="CR67" s="18"/>
    </row>
    <row r="68" spans="1:96" s="12" customFormat="1" ht="15" customHeight="1" x14ac:dyDescent="0.15">
      <c r="A68" s="19"/>
      <c r="B68" s="29"/>
      <c r="C68" s="30"/>
      <c r="E68" s="166" t="s">
        <v>86</v>
      </c>
      <c r="F68" s="167"/>
      <c r="G68" s="168"/>
      <c r="H68" s="166" t="s">
        <v>90</v>
      </c>
      <c r="I68" s="167"/>
      <c r="J68" s="167"/>
      <c r="K68" s="167"/>
      <c r="L68" s="167"/>
      <c r="M68" s="167"/>
      <c r="N68" s="167"/>
      <c r="O68" s="167"/>
      <c r="P68" s="167"/>
      <c r="Q68" s="167"/>
      <c r="R68" s="167"/>
      <c r="S68" s="167"/>
      <c r="T68" s="167"/>
      <c r="U68" s="167"/>
      <c r="V68" s="167"/>
      <c r="W68" s="167"/>
      <c r="X68" s="168"/>
      <c r="Y68" s="166" t="s">
        <v>108</v>
      </c>
      <c r="Z68" s="167"/>
      <c r="AA68" s="167"/>
      <c r="AB68" s="167"/>
      <c r="AC68" s="167"/>
      <c r="AD68" s="167"/>
      <c r="AE68" s="167"/>
      <c r="AF68" s="167"/>
      <c r="AG68" s="167"/>
      <c r="AH68" s="167"/>
      <c r="AI68" s="167"/>
      <c r="AJ68" s="167"/>
      <c r="AK68" s="167"/>
      <c r="AL68" s="167"/>
      <c r="AM68" s="167"/>
      <c r="AN68" s="167"/>
      <c r="AO68" s="167"/>
      <c r="AP68" s="167"/>
      <c r="AQ68" s="167"/>
      <c r="AR68" s="167"/>
      <c r="AS68" s="167"/>
      <c r="AT68" s="167"/>
      <c r="AU68" s="167"/>
      <c r="AV68" s="167"/>
      <c r="AW68" s="167"/>
      <c r="AX68" s="167"/>
      <c r="AY68" s="167"/>
      <c r="AZ68" s="167"/>
      <c r="BA68" s="167"/>
      <c r="BB68" s="167"/>
      <c r="BC68" s="167"/>
      <c r="BD68" s="167"/>
      <c r="BE68" s="167"/>
      <c r="BF68" s="167"/>
      <c r="BG68" s="167"/>
      <c r="BH68" s="167"/>
      <c r="BI68" s="167"/>
      <c r="BJ68" s="167"/>
      <c r="BK68" s="167"/>
      <c r="BL68" s="167"/>
      <c r="BM68" s="167"/>
      <c r="BN68" s="167"/>
      <c r="BO68" s="167"/>
      <c r="BP68" s="167"/>
      <c r="BQ68" s="167"/>
      <c r="BR68" s="167"/>
      <c r="BS68" s="167"/>
      <c r="BT68" s="167"/>
      <c r="BU68" s="167"/>
      <c r="BV68" s="167"/>
      <c r="BW68" s="167"/>
      <c r="BX68" s="167"/>
      <c r="BY68" s="167"/>
      <c r="BZ68" s="167"/>
      <c r="CA68" s="167"/>
      <c r="CB68" s="167"/>
      <c r="CC68" s="167"/>
      <c r="CD68" s="167"/>
      <c r="CE68" s="167"/>
      <c r="CF68" s="167"/>
      <c r="CG68" s="167"/>
      <c r="CH68" s="167"/>
      <c r="CI68" s="168"/>
      <c r="CJ68" s="17"/>
      <c r="CK68" s="17"/>
      <c r="CL68" s="17"/>
      <c r="CM68" s="17"/>
      <c r="CN68" s="17"/>
      <c r="CO68" s="17"/>
      <c r="CP68" s="17"/>
      <c r="CQ68" s="17"/>
      <c r="CR68" s="18"/>
    </row>
    <row r="69" spans="1:96" s="12" customFormat="1" ht="15" customHeight="1" x14ac:dyDescent="0.15">
      <c r="A69" s="19"/>
      <c r="B69" s="29"/>
      <c r="C69" s="30"/>
      <c r="E69" s="166" t="s">
        <v>87</v>
      </c>
      <c r="F69" s="167"/>
      <c r="G69" s="168"/>
      <c r="H69" s="166" t="s">
        <v>98</v>
      </c>
      <c r="I69" s="167"/>
      <c r="J69" s="167"/>
      <c r="K69" s="167"/>
      <c r="L69" s="167"/>
      <c r="M69" s="167"/>
      <c r="N69" s="167"/>
      <c r="O69" s="167"/>
      <c r="P69" s="167"/>
      <c r="Q69" s="167"/>
      <c r="R69" s="167"/>
      <c r="S69" s="167"/>
      <c r="T69" s="167"/>
      <c r="U69" s="167"/>
      <c r="V69" s="167"/>
      <c r="W69" s="167"/>
      <c r="X69" s="168"/>
      <c r="Y69" s="166" t="s">
        <v>125</v>
      </c>
      <c r="Z69" s="167"/>
      <c r="AA69" s="167"/>
      <c r="AB69" s="167"/>
      <c r="AC69" s="167"/>
      <c r="AD69" s="167"/>
      <c r="AE69" s="167"/>
      <c r="AF69" s="167"/>
      <c r="AG69" s="167"/>
      <c r="AH69" s="167"/>
      <c r="AI69" s="167"/>
      <c r="AJ69" s="167"/>
      <c r="AK69" s="167"/>
      <c r="AL69" s="167"/>
      <c r="AM69" s="167"/>
      <c r="AN69" s="167"/>
      <c r="AO69" s="167"/>
      <c r="AP69" s="167"/>
      <c r="AQ69" s="167"/>
      <c r="AR69" s="167"/>
      <c r="AS69" s="167"/>
      <c r="AT69" s="167"/>
      <c r="AU69" s="167"/>
      <c r="AV69" s="167"/>
      <c r="AW69" s="167"/>
      <c r="AX69" s="167"/>
      <c r="AY69" s="167"/>
      <c r="AZ69" s="167"/>
      <c r="BA69" s="167"/>
      <c r="BB69" s="167"/>
      <c r="BC69" s="167"/>
      <c r="BD69" s="167"/>
      <c r="BE69" s="167"/>
      <c r="BF69" s="167"/>
      <c r="BG69" s="167"/>
      <c r="BH69" s="167"/>
      <c r="BI69" s="167"/>
      <c r="BJ69" s="167"/>
      <c r="BK69" s="167"/>
      <c r="BL69" s="167"/>
      <c r="BM69" s="167"/>
      <c r="BN69" s="167"/>
      <c r="BO69" s="167"/>
      <c r="BP69" s="167"/>
      <c r="BQ69" s="167"/>
      <c r="BR69" s="167"/>
      <c r="BS69" s="167"/>
      <c r="BT69" s="167"/>
      <c r="BU69" s="167"/>
      <c r="BV69" s="167"/>
      <c r="BW69" s="167"/>
      <c r="BX69" s="167"/>
      <c r="BY69" s="167"/>
      <c r="BZ69" s="167"/>
      <c r="CA69" s="167"/>
      <c r="CB69" s="167"/>
      <c r="CC69" s="167"/>
      <c r="CD69" s="167"/>
      <c r="CE69" s="167"/>
      <c r="CF69" s="167"/>
      <c r="CG69" s="167"/>
      <c r="CH69" s="167"/>
      <c r="CI69" s="168"/>
      <c r="CJ69" s="17"/>
      <c r="CK69" s="17"/>
      <c r="CL69" s="17"/>
      <c r="CM69" s="17"/>
      <c r="CN69" s="17"/>
      <c r="CO69" s="17"/>
      <c r="CP69" s="17"/>
      <c r="CQ69" s="17"/>
      <c r="CR69" s="18"/>
    </row>
    <row r="70" spans="1:96" s="12" customFormat="1" ht="15" customHeight="1" x14ac:dyDescent="0.15">
      <c r="A70" s="19"/>
      <c r="B70" s="17"/>
      <c r="C70" s="17"/>
      <c r="D70" s="17"/>
      <c r="E70" s="166" t="s">
        <v>91</v>
      </c>
      <c r="F70" s="167"/>
      <c r="G70" s="168"/>
      <c r="H70" s="166" t="s">
        <v>99</v>
      </c>
      <c r="I70" s="167"/>
      <c r="J70" s="167"/>
      <c r="K70" s="167"/>
      <c r="L70" s="167"/>
      <c r="M70" s="167"/>
      <c r="N70" s="167"/>
      <c r="O70" s="167"/>
      <c r="P70" s="167"/>
      <c r="Q70" s="167"/>
      <c r="R70" s="167"/>
      <c r="S70" s="167"/>
      <c r="T70" s="167"/>
      <c r="U70" s="167"/>
      <c r="V70" s="167"/>
      <c r="W70" s="167"/>
      <c r="X70" s="168"/>
      <c r="Y70" s="166" t="s">
        <v>126</v>
      </c>
      <c r="Z70" s="167"/>
      <c r="AA70" s="167"/>
      <c r="AB70" s="167"/>
      <c r="AC70" s="167"/>
      <c r="AD70" s="167"/>
      <c r="AE70" s="167"/>
      <c r="AF70" s="167"/>
      <c r="AG70" s="167"/>
      <c r="AH70" s="167"/>
      <c r="AI70" s="167"/>
      <c r="AJ70" s="167"/>
      <c r="AK70" s="167"/>
      <c r="AL70" s="167"/>
      <c r="AM70" s="167"/>
      <c r="AN70" s="167"/>
      <c r="AO70" s="167"/>
      <c r="AP70" s="167"/>
      <c r="AQ70" s="167"/>
      <c r="AR70" s="167"/>
      <c r="AS70" s="167"/>
      <c r="AT70" s="167"/>
      <c r="AU70" s="167"/>
      <c r="AV70" s="167"/>
      <c r="AW70" s="167"/>
      <c r="AX70" s="167"/>
      <c r="AY70" s="167"/>
      <c r="AZ70" s="167"/>
      <c r="BA70" s="167"/>
      <c r="BB70" s="167"/>
      <c r="BC70" s="167"/>
      <c r="BD70" s="167"/>
      <c r="BE70" s="167"/>
      <c r="BF70" s="167"/>
      <c r="BG70" s="167"/>
      <c r="BH70" s="167"/>
      <c r="BI70" s="167"/>
      <c r="BJ70" s="167"/>
      <c r="BK70" s="167"/>
      <c r="BL70" s="167"/>
      <c r="BM70" s="167"/>
      <c r="BN70" s="167"/>
      <c r="BO70" s="167"/>
      <c r="BP70" s="167"/>
      <c r="BQ70" s="167"/>
      <c r="BR70" s="167"/>
      <c r="BS70" s="167"/>
      <c r="BT70" s="167"/>
      <c r="BU70" s="167"/>
      <c r="BV70" s="167"/>
      <c r="BW70" s="167"/>
      <c r="BX70" s="167"/>
      <c r="BY70" s="167"/>
      <c r="BZ70" s="167"/>
      <c r="CA70" s="167"/>
      <c r="CB70" s="167"/>
      <c r="CC70" s="167"/>
      <c r="CD70" s="167"/>
      <c r="CE70" s="167"/>
      <c r="CF70" s="167"/>
      <c r="CG70" s="167"/>
      <c r="CH70" s="167"/>
      <c r="CI70" s="168"/>
      <c r="CJ70" s="17"/>
      <c r="CK70" s="17"/>
      <c r="CL70" s="17"/>
      <c r="CM70" s="17"/>
      <c r="CN70" s="17"/>
      <c r="CO70" s="17"/>
      <c r="CP70" s="17"/>
      <c r="CQ70" s="17"/>
      <c r="CR70" s="18"/>
    </row>
    <row r="71" spans="1:96" s="12" customFormat="1" ht="30.75" customHeight="1" x14ac:dyDescent="0.15">
      <c r="A71" s="19"/>
      <c r="B71" s="17"/>
      <c r="C71" s="17"/>
      <c r="D71" s="17"/>
      <c r="E71" s="166" t="s">
        <v>92</v>
      </c>
      <c r="F71" s="167"/>
      <c r="G71" s="168"/>
      <c r="H71" s="166" t="s">
        <v>100</v>
      </c>
      <c r="I71" s="167"/>
      <c r="J71" s="167"/>
      <c r="K71" s="167"/>
      <c r="L71" s="167"/>
      <c r="M71" s="167"/>
      <c r="N71" s="167"/>
      <c r="O71" s="167"/>
      <c r="P71" s="167"/>
      <c r="Q71" s="167"/>
      <c r="R71" s="167"/>
      <c r="S71" s="167"/>
      <c r="T71" s="167"/>
      <c r="U71" s="167"/>
      <c r="V71" s="167"/>
      <c r="W71" s="167"/>
      <c r="X71" s="168"/>
      <c r="Y71" s="169" t="s">
        <v>127</v>
      </c>
      <c r="Z71" s="167"/>
      <c r="AA71" s="167"/>
      <c r="AB71" s="167"/>
      <c r="AC71" s="167"/>
      <c r="AD71" s="167"/>
      <c r="AE71" s="167"/>
      <c r="AF71" s="167"/>
      <c r="AG71" s="167"/>
      <c r="AH71" s="167"/>
      <c r="AI71" s="167"/>
      <c r="AJ71" s="167"/>
      <c r="AK71" s="167"/>
      <c r="AL71" s="167"/>
      <c r="AM71" s="167"/>
      <c r="AN71" s="167"/>
      <c r="AO71" s="167"/>
      <c r="AP71" s="167"/>
      <c r="AQ71" s="167"/>
      <c r="AR71" s="167"/>
      <c r="AS71" s="167"/>
      <c r="AT71" s="167"/>
      <c r="AU71" s="167"/>
      <c r="AV71" s="167"/>
      <c r="AW71" s="167"/>
      <c r="AX71" s="167"/>
      <c r="AY71" s="167"/>
      <c r="AZ71" s="167"/>
      <c r="BA71" s="167"/>
      <c r="BB71" s="167"/>
      <c r="BC71" s="167"/>
      <c r="BD71" s="167"/>
      <c r="BE71" s="167"/>
      <c r="BF71" s="167"/>
      <c r="BG71" s="167"/>
      <c r="BH71" s="167"/>
      <c r="BI71" s="167"/>
      <c r="BJ71" s="167"/>
      <c r="BK71" s="167"/>
      <c r="BL71" s="167"/>
      <c r="BM71" s="167"/>
      <c r="BN71" s="167"/>
      <c r="BO71" s="167"/>
      <c r="BP71" s="167"/>
      <c r="BQ71" s="167"/>
      <c r="BR71" s="167"/>
      <c r="BS71" s="167"/>
      <c r="BT71" s="167"/>
      <c r="BU71" s="167"/>
      <c r="BV71" s="167"/>
      <c r="BW71" s="167"/>
      <c r="BX71" s="167"/>
      <c r="BY71" s="167"/>
      <c r="BZ71" s="167"/>
      <c r="CA71" s="167"/>
      <c r="CB71" s="167"/>
      <c r="CC71" s="167"/>
      <c r="CD71" s="167"/>
      <c r="CE71" s="167"/>
      <c r="CF71" s="167"/>
      <c r="CG71" s="167"/>
      <c r="CH71" s="167"/>
      <c r="CI71" s="168"/>
      <c r="CJ71" s="17"/>
      <c r="CK71" s="17"/>
      <c r="CL71" s="17"/>
      <c r="CM71" s="17"/>
      <c r="CN71" s="17"/>
      <c r="CO71" s="17"/>
      <c r="CP71" s="17"/>
      <c r="CQ71" s="17"/>
      <c r="CR71" s="18"/>
    </row>
    <row r="72" spans="1:96" s="12" customFormat="1" ht="15" customHeight="1" x14ac:dyDescent="0.15">
      <c r="A72" s="19"/>
      <c r="B72" s="17"/>
      <c r="C72" s="17"/>
      <c r="D72" s="17"/>
      <c r="E72" s="166" t="s">
        <v>93</v>
      </c>
      <c r="F72" s="167"/>
      <c r="G72" s="168"/>
      <c r="H72" s="166" t="s">
        <v>101</v>
      </c>
      <c r="I72" s="167"/>
      <c r="J72" s="167"/>
      <c r="K72" s="167"/>
      <c r="L72" s="167"/>
      <c r="M72" s="167"/>
      <c r="N72" s="167"/>
      <c r="O72" s="167"/>
      <c r="P72" s="167"/>
      <c r="Q72" s="167"/>
      <c r="R72" s="167"/>
      <c r="S72" s="167"/>
      <c r="T72" s="167"/>
      <c r="U72" s="167"/>
      <c r="V72" s="167"/>
      <c r="W72" s="167"/>
      <c r="X72" s="168"/>
      <c r="Y72" s="166" t="s">
        <v>110</v>
      </c>
      <c r="Z72" s="167"/>
      <c r="AA72" s="167"/>
      <c r="AB72" s="167"/>
      <c r="AC72" s="167"/>
      <c r="AD72" s="167"/>
      <c r="AE72" s="167"/>
      <c r="AF72" s="167"/>
      <c r="AG72" s="167"/>
      <c r="AH72" s="167"/>
      <c r="AI72" s="167"/>
      <c r="AJ72" s="167"/>
      <c r="AK72" s="167"/>
      <c r="AL72" s="167"/>
      <c r="AM72" s="167"/>
      <c r="AN72" s="167"/>
      <c r="AO72" s="167"/>
      <c r="AP72" s="167"/>
      <c r="AQ72" s="167"/>
      <c r="AR72" s="167"/>
      <c r="AS72" s="167"/>
      <c r="AT72" s="167"/>
      <c r="AU72" s="167"/>
      <c r="AV72" s="167"/>
      <c r="AW72" s="167"/>
      <c r="AX72" s="167"/>
      <c r="AY72" s="167"/>
      <c r="AZ72" s="167"/>
      <c r="BA72" s="167"/>
      <c r="BB72" s="167"/>
      <c r="BC72" s="167"/>
      <c r="BD72" s="167"/>
      <c r="BE72" s="167"/>
      <c r="BF72" s="167"/>
      <c r="BG72" s="167"/>
      <c r="BH72" s="167"/>
      <c r="BI72" s="167"/>
      <c r="BJ72" s="167"/>
      <c r="BK72" s="167"/>
      <c r="BL72" s="167"/>
      <c r="BM72" s="167"/>
      <c r="BN72" s="167"/>
      <c r="BO72" s="167"/>
      <c r="BP72" s="167"/>
      <c r="BQ72" s="167"/>
      <c r="BR72" s="167"/>
      <c r="BS72" s="167"/>
      <c r="BT72" s="167"/>
      <c r="BU72" s="167"/>
      <c r="BV72" s="167"/>
      <c r="BW72" s="167"/>
      <c r="BX72" s="167"/>
      <c r="BY72" s="167"/>
      <c r="BZ72" s="167"/>
      <c r="CA72" s="167"/>
      <c r="CB72" s="167"/>
      <c r="CC72" s="167"/>
      <c r="CD72" s="167"/>
      <c r="CE72" s="167"/>
      <c r="CF72" s="167"/>
      <c r="CG72" s="167"/>
      <c r="CH72" s="167"/>
      <c r="CI72" s="168"/>
      <c r="CJ72" s="17"/>
      <c r="CK72" s="17"/>
      <c r="CL72" s="17"/>
      <c r="CM72" s="17"/>
      <c r="CN72" s="17"/>
      <c r="CO72" s="17"/>
      <c r="CP72" s="17"/>
      <c r="CQ72" s="17"/>
      <c r="CR72" s="18"/>
    </row>
    <row r="73" spans="1:96" s="12" customFormat="1" ht="15" customHeight="1" x14ac:dyDescent="0.15">
      <c r="A73" s="19"/>
      <c r="B73" s="17"/>
      <c r="C73" s="17"/>
      <c r="D73" s="17"/>
      <c r="E73" s="166" t="s">
        <v>94</v>
      </c>
      <c r="F73" s="167"/>
      <c r="G73" s="168"/>
      <c r="H73" s="171" t="s">
        <v>102</v>
      </c>
      <c r="I73" s="172"/>
      <c r="J73" s="172"/>
      <c r="K73" s="172"/>
      <c r="L73" s="172"/>
      <c r="M73" s="172"/>
      <c r="N73" s="172"/>
      <c r="O73" s="172"/>
      <c r="P73" s="172"/>
      <c r="Q73" s="172"/>
      <c r="R73" s="172"/>
      <c r="S73" s="172"/>
      <c r="T73" s="172"/>
      <c r="U73" s="172"/>
      <c r="V73" s="172"/>
      <c r="W73" s="172"/>
      <c r="X73" s="173"/>
      <c r="Y73" s="171" t="s">
        <v>128</v>
      </c>
      <c r="Z73" s="172"/>
      <c r="AA73" s="172"/>
      <c r="AB73" s="172"/>
      <c r="AC73" s="172"/>
      <c r="AD73" s="172"/>
      <c r="AE73" s="172"/>
      <c r="AF73" s="172"/>
      <c r="AG73" s="172"/>
      <c r="AH73" s="172"/>
      <c r="AI73" s="172"/>
      <c r="AJ73" s="172"/>
      <c r="AK73" s="172"/>
      <c r="AL73" s="172"/>
      <c r="AM73" s="172"/>
      <c r="AN73" s="172"/>
      <c r="AO73" s="172"/>
      <c r="AP73" s="172"/>
      <c r="AQ73" s="172"/>
      <c r="AR73" s="172"/>
      <c r="AS73" s="172"/>
      <c r="AT73" s="172"/>
      <c r="AU73" s="172"/>
      <c r="AV73" s="172"/>
      <c r="AW73" s="172"/>
      <c r="AX73" s="172"/>
      <c r="AY73" s="172"/>
      <c r="AZ73" s="172"/>
      <c r="BA73" s="172"/>
      <c r="BB73" s="172"/>
      <c r="BC73" s="172"/>
      <c r="BD73" s="172"/>
      <c r="BE73" s="172"/>
      <c r="BF73" s="172"/>
      <c r="BG73" s="172"/>
      <c r="BH73" s="172"/>
      <c r="BI73" s="172"/>
      <c r="BJ73" s="172"/>
      <c r="BK73" s="172"/>
      <c r="BL73" s="172"/>
      <c r="BM73" s="172"/>
      <c r="BN73" s="172"/>
      <c r="BO73" s="172"/>
      <c r="BP73" s="172"/>
      <c r="BQ73" s="172"/>
      <c r="BR73" s="172"/>
      <c r="BS73" s="172"/>
      <c r="BT73" s="172"/>
      <c r="BU73" s="172"/>
      <c r="BV73" s="172"/>
      <c r="BW73" s="172"/>
      <c r="BX73" s="172"/>
      <c r="BY73" s="172"/>
      <c r="BZ73" s="172"/>
      <c r="CA73" s="172"/>
      <c r="CB73" s="172"/>
      <c r="CC73" s="172"/>
      <c r="CD73" s="172"/>
      <c r="CE73" s="172"/>
      <c r="CF73" s="172"/>
      <c r="CG73" s="172"/>
      <c r="CH73" s="172"/>
      <c r="CI73" s="173"/>
      <c r="CJ73" s="17"/>
      <c r="CK73" s="17"/>
      <c r="CL73" s="17"/>
      <c r="CM73" s="17"/>
      <c r="CN73" s="17"/>
      <c r="CO73" s="17"/>
      <c r="CP73" s="17"/>
      <c r="CQ73" s="17"/>
      <c r="CR73" s="18"/>
    </row>
    <row r="74" spans="1:96" s="12" customFormat="1" ht="15" customHeight="1" x14ac:dyDescent="0.15">
      <c r="A74" s="19"/>
      <c r="B74" s="17"/>
      <c r="C74" s="17"/>
      <c r="D74" s="17"/>
      <c r="E74" s="166" t="s">
        <v>95</v>
      </c>
      <c r="F74" s="167"/>
      <c r="G74" s="168"/>
      <c r="H74" s="166" t="s">
        <v>103</v>
      </c>
      <c r="I74" s="167"/>
      <c r="J74" s="167"/>
      <c r="K74" s="167"/>
      <c r="L74" s="167"/>
      <c r="M74" s="167"/>
      <c r="N74" s="167"/>
      <c r="O74" s="167"/>
      <c r="P74" s="167"/>
      <c r="Q74" s="167"/>
      <c r="R74" s="167"/>
      <c r="S74" s="167"/>
      <c r="T74" s="167"/>
      <c r="U74" s="167"/>
      <c r="V74" s="167"/>
      <c r="W74" s="167"/>
      <c r="X74" s="168"/>
      <c r="Y74" s="166" t="s">
        <v>109</v>
      </c>
      <c r="Z74" s="167"/>
      <c r="AA74" s="167"/>
      <c r="AB74" s="167"/>
      <c r="AC74" s="167"/>
      <c r="AD74" s="167"/>
      <c r="AE74" s="167"/>
      <c r="AF74" s="167"/>
      <c r="AG74" s="167"/>
      <c r="AH74" s="167"/>
      <c r="AI74" s="167"/>
      <c r="AJ74" s="167"/>
      <c r="AK74" s="167"/>
      <c r="AL74" s="167"/>
      <c r="AM74" s="167"/>
      <c r="AN74" s="167"/>
      <c r="AO74" s="167"/>
      <c r="AP74" s="167"/>
      <c r="AQ74" s="167"/>
      <c r="AR74" s="167"/>
      <c r="AS74" s="167"/>
      <c r="AT74" s="167"/>
      <c r="AU74" s="167"/>
      <c r="AV74" s="167"/>
      <c r="AW74" s="167"/>
      <c r="AX74" s="167"/>
      <c r="AY74" s="167"/>
      <c r="AZ74" s="167"/>
      <c r="BA74" s="167"/>
      <c r="BB74" s="167"/>
      <c r="BC74" s="167"/>
      <c r="BD74" s="167"/>
      <c r="BE74" s="167"/>
      <c r="BF74" s="167"/>
      <c r="BG74" s="167"/>
      <c r="BH74" s="167"/>
      <c r="BI74" s="167"/>
      <c r="BJ74" s="167"/>
      <c r="BK74" s="167"/>
      <c r="BL74" s="167"/>
      <c r="BM74" s="167"/>
      <c r="BN74" s="167"/>
      <c r="BO74" s="167"/>
      <c r="BP74" s="167"/>
      <c r="BQ74" s="167"/>
      <c r="BR74" s="167"/>
      <c r="BS74" s="167"/>
      <c r="BT74" s="167"/>
      <c r="BU74" s="167"/>
      <c r="BV74" s="167"/>
      <c r="BW74" s="167"/>
      <c r="BX74" s="167"/>
      <c r="BY74" s="167"/>
      <c r="BZ74" s="167"/>
      <c r="CA74" s="167"/>
      <c r="CB74" s="167"/>
      <c r="CC74" s="167"/>
      <c r="CD74" s="167"/>
      <c r="CE74" s="167"/>
      <c r="CF74" s="167"/>
      <c r="CG74" s="167"/>
      <c r="CH74" s="167"/>
      <c r="CI74" s="168"/>
      <c r="CJ74" s="17"/>
      <c r="CK74" s="17"/>
      <c r="CL74" s="17"/>
      <c r="CM74" s="17"/>
      <c r="CN74" s="17"/>
      <c r="CO74" s="17"/>
      <c r="CP74" s="17"/>
      <c r="CQ74" s="17"/>
      <c r="CR74" s="18"/>
    </row>
    <row r="75" spans="1:96" s="12" customFormat="1" ht="15" customHeight="1" x14ac:dyDescent="0.15">
      <c r="A75" s="19"/>
      <c r="B75" s="17"/>
      <c r="C75" s="17"/>
      <c r="D75" s="17"/>
      <c r="E75" s="166" t="s">
        <v>96</v>
      </c>
      <c r="F75" s="167"/>
      <c r="G75" s="168"/>
      <c r="H75" s="166" t="s">
        <v>104</v>
      </c>
      <c r="I75" s="167"/>
      <c r="J75" s="167"/>
      <c r="K75" s="167"/>
      <c r="L75" s="167"/>
      <c r="M75" s="167"/>
      <c r="N75" s="167"/>
      <c r="O75" s="167"/>
      <c r="P75" s="167"/>
      <c r="Q75" s="167"/>
      <c r="R75" s="167"/>
      <c r="S75" s="167"/>
      <c r="T75" s="167"/>
      <c r="U75" s="167"/>
      <c r="V75" s="167"/>
      <c r="W75" s="167"/>
      <c r="X75" s="168"/>
      <c r="Y75" s="166" t="s">
        <v>129</v>
      </c>
      <c r="Z75" s="167"/>
      <c r="AA75" s="167"/>
      <c r="AB75" s="167"/>
      <c r="AC75" s="167"/>
      <c r="AD75" s="167"/>
      <c r="AE75" s="167"/>
      <c r="AF75" s="167"/>
      <c r="AG75" s="167"/>
      <c r="AH75" s="167"/>
      <c r="AI75" s="167"/>
      <c r="AJ75" s="167"/>
      <c r="AK75" s="167"/>
      <c r="AL75" s="167"/>
      <c r="AM75" s="167"/>
      <c r="AN75" s="167"/>
      <c r="AO75" s="167"/>
      <c r="AP75" s="167"/>
      <c r="AQ75" s="167"/>
      <c r="AR75" s="167"/>
      <c r="AS75" s="167"/>
      <c r="AT75" s="167"/>
      <c r="AU75" s="167"/>
      <c r="AV75" s="167"/>
      <c r="AW75" s="167"/>
      <c r="AX75" s="167"/>
      <c r="AY75" s="167"/>
      <c r="AZ75" s="167"/>
      <c r="BA75" s="167"/>
      <c r="BB75" s="167"/>
      <c r="BC75" s="167"/>
      <c r="BD75" s="167"/>
      <c r="BE75" s="167"/>
      <c r="BF75" s="167"/>
      <c r="BG75" s="167"/>
      <c r="BH75" s="167"/>
      <c r="BI75" s="167"/>
      <c r="BJ75" s="167"/>
      <c r="BK75" s="167"/>
      <c r="BL75" s="167"/>
      <c r="BM75" s="167"/>
      <c r="BN75" s="167"/>
      <c r="BO75" s="167"/>
      <c r="BP75" s="167"/>
      <c r="BQ75" s="167"/>
      <c r="BR75" s="167"/>
      <c r="BS75" s="167"/>
      <c r="BT75" s="167"/>
      <c r="BU75" s="167"/>
      <c r="BV75" s="167"/>
      <c r="BW75" s="167"/>
      <c r="BX75" s="167"/>
      <c r="BY75" s="167"/>
      <c r="BZ75" s="167"/>
      <c r="CA75" s="167"/>
      <c r="CB75" s="167"/>
      <c r="CC75" s="167"/>
      <c r="CD75" s="167"/>
      <c r="CE75" s="167"/>
      <c r="CF75" s="167"/>
      <c r="CG75" s="167"/>
      <c r="CH75" s="167"/>
      <c r="CI75" s="168"/>
      <c r="CJ75" s="17"/>
      <c r="CK75" s="17"/>
      <c r="CL75" s="17"/>
      <c r="CM75" s="17"/>
      <c r="CN75" s="17"/>
      <c r="CO75" s="17"/>
      <c r="CP75" s="17"/>
      <c r="CQ75" s="17"/>
      <c r="CR75" s="18"/>
    </row>
    <row r="76" spans="1:96" s="12" customFormat="1" ht="15" customHeight="1" x14ac:dyDescent="0.15">
      <c r="A76" s="19"/>
      <c r="B76" s="17"/>
      <c r="C76" s="17"/>
      <c r="D76" s="17"/>
      <c r="E76" s="166" t="s">
        <v>97</v>
      </c>
      <c r="F76" s="167"/>
      <c r="G76" s="168"/>
      <c r="H76" s="166" t="s">
        <v>105</v>
      </c>
      <c r="I76" s="167"/>
      <c r="J76" s="167"/>
      <c r="K76" s="167"/>
      <c r="L76" s="167"/>
      <c r="M76" s="167"/>
      <c r="N76" s="167"/>
      <c r="O76" s="167"/>
      <c r="P76" s="167"/>
      <c r="Q76" s="167"/>
      <c r="R76" s="167"/>
      <c r="S76" s="167"/>
      <c r="T76" s="167"/>
      <c r="U76" s="167"/>
      <c r="V76" s="167"/>
      <c r="W76" s="167"/>
      <c r="X76" s="168"/>
      <c r="Y76" s="166" t="s">
        <v>130</v>
      </c>
      <c r="Z76" s="167"/>
      <c r="AA76" s="167"/>
      <c r="AB76" s="167"/>
      <c r="AC76" s="167"/>
      <c r="AD76" s="167"/>
      <c r="AE76" s="167"/>
      <c r="AF76" s="167"/>
      <c r="AG76" s="167"/>
      <c r="AH76" s="167"/>
      <c r="AI76" s="167"/>
      <c r="AJ76" s="167"/>
      <c r="AK76" s="167"/>
      <c r="AL76" s="167"/>
      <c r="AM76" s="167"/>
      <c r="AN76" s="167"/>
      <c r="AO76" s="167"/>
      <c r="AP76" s="167"/>
      <c r="AQ76" s="167"/>
      <c r="AR76" s="167"/>
      <c r="AS76" s="167"/>
      <c r="AT76" s="167"/>
      <c r="AU76" s="167"/>
      <c r="AV76" s="167"/>
      <c r="AW76" s="167"/>
      <c r="AX76" s="167"/>
      <c r="AY76" s="167"/>
      <c r="AZ76" s="167"/>
      <c r="BA76" s="167"/>
      <c r="BB76" s="167"/>
      <c r="BC76" s="167"/>
      <c r="BD76" s="167"/>
      <c r="BE76" s="167"/>
      <c r="BF76" s="167"/>
      <c r="BG76" s="167"/>
      <c r="BH76" s="167"/>
      <c r="BI76" s="167"/>
      <c r="BJ76" s="167"/>
      <c r="BK76" s="167"/>
      <c r="BL76" s="167"/>
      <c r="BM76" s="167"/>
      <c r="BN76" s="167"/>
      <c r="BO76" s="167"/>
      <c r="BP76" s="167"/>
      <c r="BQ76" s="167"/>
      <c r="BR76" s="167"/>
      <c r="BS76" s="167"/>
      <c r="BT76" s="167"/>
      <c r="BU76" s="167"/>
      <c r="BV76" s="167"/>
      <c r="BW76" s="167"/>
      <c r="BX76" s="167"/>
      <c r="BY76" s="167"/>
      <c r="BZ76" s="167"/>
      <c r="CA76" s="167"/>
      <c r="CB76" s="167"/>
      <c r="CC76" s="167"/>
      <c r="CD76" s="167"/>
      <c r="CE76" s="167"/>
      <c r="CF76" s="167"/>
      <c r="CG76" s="167"/>
      <c r="CH76" s="167"/>
      <c r="CI76" s="168"/>
      <c r="CJ76" s="17"/>
      <c r="CK76" s="17"/>
      <c r="CL76" s="17"/>
      <c r="CM76" s="17"/>
      <c r="CN76" s="17"/>
      <c r="CO76" s="17"/>
      <c r="CP76" s="17"/>
      <c r="CQ76" s="17"/>
      <c r="CR76" s="18"/>
    </row>
    <row r="77" spans="1:96" s="12" customFormat="1" ht="15" customHeight="1" x14ac:dyDescent="0.15">
      <c r="A77" s="19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8"/>
    </row>
    <row r="78" spans="1:96" s="12" customFormat="1" ht="15" customHeight="1" x14ac:dyDescent="0.15">
      <c r="A78" s="19"/>
      <c r="B78" s="17"/>
      <c r="C78" s="17"/>
      <c r="D78" s="28" t="s">
        <v>64</v>
      </c>
      <c r="E78" s="17"/>
      <c r="F78" s="17"/>
      <c r="G78" s="17" t="s">
        <v>106</v>
      </c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8"/>
    </row>
    <row r="79" spans="1:96" s="12" customFormat="1" ht="15" customHeight="1" x14ac:dyDescent="0.15">
      <c r="A79" s="19"/>
      <c r="B79" s="17"/>
      <c r="C79" s="17"/>
      <c r="D79" s="17"/>
      <c r="E79" s="79" t="s">
        <v>67</v>
      </c>
      <c r="F79" s="79"/>
      <c r="G79" s="79"/>
      <c r="H79" s="79" t="s">
        <v>66</v>
      </c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 t="s">
        <v>68</v>
      </c>
      <c r="Z79" s="79"/>
      <c r="AA79" s="79"/>
      <c r="AB79" s="79"/>
      <c r="AC79" s="79"/>
      <c r="AD79" s="79"/>
      <c r="AE79" s="79"/>
      <c r="AF79" s="79"/>
      <c r="AG79" s="79"/>
      <c r="AH79" s="79"/>
      <c r="AI79" s="79"/>
      <c r="AJ79" s="79"/>
      <c r="AK79" s="79"/>
      <c r="AL79" s="79"/>
      <c r="AM79" s="79"/>
      <c r="AN79" s="79"/>
      <c r="AO79" s="79"/>
      <c r="AP79" s="79"/>
      <c r="AQ79" s="79"/>
      <c r="AR79" s="79"/>
      <c r="AS79" s="79"/>
      <c r="AT79" s="79"/>
      <c r="AU79" s="79"/>
      <c r="AV79" s="79"/>
      <c r="AW79" s="79"/>
      <c r="AX79" s="79"/>
      <c r="AY79" s="79"/>
      <c r="AZ79" s="79"/>
      <c r="BA79" s="79"/>
      <c r="BB79" s="79"/>
      <c r="BC79" s="79"/>
      <c r="BD79" s="79"/>
      <c r="BE79" s="79"/>
      <c r="BF79" s="79"/>
      <c r="BG79" s="79"/>
      <c r="BH79" s="79"/>
      <c r="BI79" s="79"/>
      <c r="BJ79" s="79"/>
      <c r="BK79" s="79"/>
      <c r="BL79" s="79"/>
      <c r="BM79" s="79"/>
      <c r="BN79" s="79"/>
      <c r="BO79" s="79"/>
      <c r="BP79" s="79"/>
      <c r="BQ79" s="79"/>
      <c r="BR79" s="79"/>
      <c r="BS79" s="79"/>
      <c r="BT79" s="79"/>
      <c r="BU79" s="79"/>
      <c r="BV79" s="79"/>
      <c r="BW79" s="79"/>
      <c r="BX79" s="79"/>
      <c r="BY79" s="79"/>
      <c r="BZ79" s="79"/>
      <c r="CA79" s="79"/>
      <c r="CB79" s="79"/>
      <c r="CC79" s="79"/>
      <c r="CD79" s="79"/>
      <c r="CE79" s="79"/>
      <c r="CF79" s="79"/>
      <c r="CG79" s="79"/>
      <c r="CH79" s="79"/>
      <c r="CI79" s="79"/>
      <c r="CJ79" s="17"/>
      <c r="CK79" s="17"/>
      <c r="CL79" s="17"/>
      <c r="CM79" s="17"/>
      <c r="CN79" s="17"/>
      <c r="CO79" s="17"/>
      <c r="CP79" s="17"/>
      <c r="CQ79" s="17"/>
      <c r="CR79" s="18"/>
    </row>
    <row r="80" spans="1:96" s="12" customFormat="1" ht="15" customHeight="1" x14ac:dyDescent="0.15">
      <c r="A80" s="19"/>
      <c r="B80" s="17"/>
      <c r="C80" s="17"/>
      <c r="D80" s="17"/>
      <c r="E80" s="76" t="s">
        <v>51</v>
      </c>
      <c r="F80" s="77"/>
      <c r="G80" s="78"/>
      <c r="H80" s="76" t="s">
        <v>78</v>
      </c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8"/>
      <c r="Y80" s="166" t="s">
        <v>121</v>
      </c>
      <c r="Z80" s="167"/>
      <c r="AA80" s="167"/>
      <c r="AB80" s="167"/>
      <c r="AC80" s="167"/>
      <c r="AD80" s="167"/>
      <c r="AE80" s="167"/>
      <c r="AF80" s="167"/>
      <c r="AG80" s="167"/>
      <c r="AH80" s="167"/>
      <c r="AI80" s="167"/>
      <c r="AJ80" s="167"/>
      <c r="AK80" s="167"/>
      <c r="AL80" s="167"/>
      <c r="AM80" s="167"/>
      <c r="AN80" s="167"/>
      <c r="AO80" s="167"/>
      <c r="AP80" s="167"/>
      <c r="AQ80" s="167"/>
      <c r="AR80" s="167"/>
      <c r="AS80" s="167"/>
      <c r="AT80" s="167"/>
      <c r="AU80" s="167"/>
      <c r="AV80" s="167"/>
      <c r="AW80" s="167"/>
      <c r="AX80" s="167"/>
      <c r="AY80" s="167"/>
      <c r="AZ80" s="167"/>
      <c r="BA80" s="167"/>
      <c r="BB80" s="167"/>
      <c r="BC80" s="167"/>
      <c r="BD80" s="167"/>
      <c r="BE80" s="167"/>
      <c r="BF80" s="167"/>
      <c r="BG80" s="167"/>
      <c r="BH80" s="167"/>
      <c r="BI80" s="167"/>
      <c r="BJ80" s="167"/>
      <c r="BK80" s="167"/>
      <c r="BL80" s="167"/>
      <c r="BM80" s="167"/>
      <c r="BN80" s="167"/>
      <c r="BO80" s="167"/>
      <c r="BP80" s="167"/>
      <c r="BQ80" s="167"/>
      <c r="BR80" s="167"/>
      <c r="BS80" s="167"/>
      <c r="BT80" s="167"/>
      <c r="BU80" s="167"/>
      <c r="BV80" s="167"/>
      <c r="BW80" s="167"/>
      <c r="BX80" s="167"/>
      <c r="BY80" s="167"/>
      <c r="BZ80" s="167"/>
      <c r="CA80" s="167"/>
      <c r="CB80" s="167"/>
      <c r="CC80" s="167"/>
      <c r="CD80" s="167"/>
      <c r="CE80" s="167"/>
      <c r="CF80" s="167"/>
      <c r="CG80" s="167"/>
      <c r="CH80" s="167"/>
      <c r="CI80" s="168"/>
      <c r="CJ80" s="17"/>
      <c r="CK80" s="17"/>
      <c r="CL80" s="17"/>
      <c r="CM80" s="17"/>
      <c r="CN80" s="17"/>
      <c r="CO80" s="17"/>
      <c r="CP80" s="17"/>
      <c r="CQ80" s="17"/>
      <c r="CR80" s="18"/>
    </row>
    <row r="81" spans="1:96" s="12" customFormat="1" ht="15" customHeight="1" x14ac:dyDescent="0.15">
      <c r="A81" s="19"/>
      <c r="B81" s="17"/>
      <c r="C81" s="17"/>
      <c r="D81" s="17"/>
      <c r="E81" s="76" t="s">
        <v>52</v>
      </c>
      <c r="F81" s="77"/>
      <c r="G81" s="78"/>
      <c r="H81" s="76" t="s">
        <v>107</v>
      </c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8"/>
      <c r="Y81" s="76" t="s">
        <v>132</v>
      </c>
      <c r="Z81" s="77"/>
      <c r="AA81" s="77"/>
      <c r="AB81" s="77"/>
      <c r="AC81" s="77"/>
      <c r="AD81" s="77"/>
      <c r="AE81" s="77"/>
      <c r="AF81" s="77"/>
      <c r="AG81" s="77"/>
      <c r="AH81" s="77"/>
      <c r="AI81" s="77"/>
      <c r="AJ81" s="77"/>
      <c r="AK81" s="77"/>
      <c r="AL81" s="77"/>
      <c r="AM81" s="77"/>
      <c r="AN81" s="77"/>
      <c r="AO81" s="77"/>
      <c r="AP81" s="77"/>
      <c r="AQ81" s="77"/>
      <c r="AR81" s="77"/>
      <c r="AS81" s="77"/>
      <c r="AT81" s="77"/>
      <c r="AU81" s="77"/>
      <c r="AV81" s="77"/>
      <c r="AW81" s="77"/>
      <c r="AX81" s="77"/>
      <c r="AY81" s="77"/>
      <c r="AZ81" s="77"/>
      <c r="BA81" s="77"/>
      <c r="BB81" s="77"/>
      <c r="BC81" s="77"/>
      <c r="BD81" s="77"/>
      <c r="BE81" s="77"/>
      <c r="BF81" s="77"/>
      <c r="BG81" s="77"/>
      <c r="BH81" s="77"/>
      <c r="BI81" s="77"/>
      <c r="BJ81" s="77"/>
      <c r="BK81" s="77"/>
      <c r="BL81" s="77"/>
      <c r="BM81" s="77"/>
      <c r="BN81" s="77"/>
      <c r="BO81" s="77"/>
      <c r="BP81" s="77"/>
      <c r="BQ81" s="77"/>
      <c r="BR81" s="77"/>
      <c r="BS81" s="77"/>
      <c r="BT81" s="77"/>
      <c r="BU81" s="77"/>
      <c r="BV81" s="77"/>
      <c r="BW81" s="77"/>
      <c r="BX81" s="77"/>
      <c r="BY81" s="77"/>
      <c r="BZ81" s="77"/>
      <c r="CA81" s="77"/>
      <c r="CB81" s="77"/>
      <c r="CC81" s="77"/>
      <c r="CD81" s="77"/>
      <c r="CE81" s="77"/>
      <c r="CF81" s="77"/>
      <c r="CG81" s="77"/>
      <c r="CH81" s="77"/>
      <c r="CI81" s="78"/>
      <c r="CJ81" s="17"/>
      <c r="CK81" s="17"/>
      <c r="CL81" s="17"/>
      <c r="CM81" s="17"/>
      <c r="CN81" s="17"/>
      <c r="CO81" s="17"/>
      <c r="CP81" s="17"/>
      <c r="CQ81" s="17"/>
      <c r="CR81" s="18"/>
    </row>
    <row r="82" spans="1:96" s="12" customFormat="1" ht="15" customHeight="1" x14ac:dyDescent="0.15">
      <c r="A82" s="20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2"/>
    </row>
    <row r="83" spans="1:96" s="12" customFormat="1" ht="15" customHeight="1" thickBot="1" x14ac:dyDescent="0.2">
      <c r="A83" s="23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5"/>
      <c r="BL83" s="25"/>
      <c r="BM83" s="26"/>
      <c r="BN83" s="25"/>
      <c r="BO83" s="25"/>
      <c r="BP83" s="25"/>
      <c r="BQ83" s="25"/>
      <c r="BR83" s="25"/>
      <c r="BS83" s="25"/>
      <c r="BT83" s="25"/>
      <c r="BU83" s="25"/>
      <c r="BV83" s="25"/>
      <c r="BW83" s="25"/>
      <c r="BX83" s="24"/>
      <c r="BY83" s="24"/>
      <c r="BZ83" s="24"/>
      <c r="CA83" s="24"/>
      <c r="CB83" s="24"/>
      <c r="CC83" s="24"/>
      <c r="CD83" s="24"/>
      <c r="CE83" s="24"/>
      <c r="CF83" s="24"/>
      <c r="CG83" s="24"/>
      <c r="CH83" s="24"/>
      <c r="CI83" s="24"/>
      <c r="CJ83" s="24"/>
      <c r="CK83" s="24"/>
      <c r="CL83" s="24"/>
      <c r="CM83" s="24"/>
      <c r="CN83" s="24"/>
      <c r="CO83" s="24"/>
      <c r="CP83" s="24"/>
      <c r="CQ83" s="24"/>
      <c r="CR83" s="27"/>
    </row>
  </sheetData>
  <mergeCells count="109">
    <mergeCell ref="A5:CR5"/>
    <mergeCell ref="BT4:CR4"/>
    <mergeCell ref="A4:H4"/>
    <mergeCell ref="I4:AK4"/>
    <mergeCell ref="AL4:AR4"/>
    <mergeCell ref="AS4:BH4"/>
    <mergeCell ref="BI4:BS4"/>
    <mergeCell ref="CF1:CJ3"/>
    <mergeCell ref="CK1:CR3"/>
    <mergeCell ref="A2:H2"/>
    <mergeCell ref="I2:AD2"/>
    <mergeCell ref="AE2:AK3"/>
    <mergeCell ref="AL2:BH2"/>
    <mergeCell ref="BI2:BL2"/>
    <mergeCell ref="BM2:BV2"/>
    <mergeCell ref="BW2:CE2"/>
    <mergeCell ref="A1:H1"/>
    <mergeCell ref="I1:AD1"/>
    <mergeCell ref="AE1:AK1"/>
    <mergeCell ref="AL1:BH1"/>
    <mergeCell ref="BI1:BL1"/>
    <mergeCell ref="BM1:BV1"/>
    <mergeCell ref="A3:H3"/>
    <mergeCell ref="I3:AD3"/>
    <mergeCell ref="AL3:BH3"/>
    <mergeCell ref="BI3:BL3"/>
    <mergeCell ref="BM3:CE3"/>
    <mergeCell ref="BW1:CE1"/>
    <mergeCell ref="E53:G53"/>
    <mergeCell ref="H53:X53"/>
    <mergeCell ref="Y53:CI53"/>
    <mergeCell ref="E54:G54"/>
    <mergeCell ref="E55:G55"/>
    <mergeCell ref="H54:X54"/>
    <mergeCell ref="H55:X55"/>
    <mergeCell ref="Y54:CI54"/>
    <mergeCell ref="Y55:CI55"/>
    <mergeCell ref="E61:G61"/>
    <mergeCell ref="E62:G62"/>
    <mergeCell ref="E63:G63"/>
    <mergeCell ref="E64:G64"/>
    <mergeCell ref="E65:G65"/>
    <mergeCell ref="E56:G56"/>
    <mergeCell ref="E57:G57"/>
    <mergeCell ref="E58:G58"/>
    <mergeCell ref="E59:G59"/>
    <mergeCell ref="E60:G60"/>
    <mergeCell ref="H61:X61"/>
    <mergeCell ref="H62:X62"/>
    <mergeCell ref="H63:X63"/>
    <mergeCell ref="H64:X64"/>
    <mergeCell ref="H65:X65"/>
    <mergeCell ref="H56:X56"/>
    <mergeCell ref="H57:X57"/>
    <mergeCell ref="H58:X58"/>
    <mergeCell ref="H59:X59"/>
    <mergeCell ref="H60:X60"/>
    <mergeCell ref="Y61:CI61"/>
    <mergeCell ref="Y62:CI62"/>
    <mergeCell ref="Y63:CI63"/>
    <mergeCell ref="Y64:CI64"/>
    <mergeCell ref="Y65:CI65"/>
    <mergeCell ref="Y56:CI56"/>
    <mergeCell ref="Y57:CI57"/>
    <mergeCell ref="Y58:CI58"/>
    <mergeCell ref="Y59:CI59"/>
    <mergeCell ref="Y60:CI60"/>
    <mergeCell ref="E67:G67"/>
    <mergeCell ref="H67:X67"/>
    <mergeCell ref="Y67:CI67"/>
    <mergeCell ref="E68:G68"/>
    <mergeCell ref="H68:X68"/>
    <mergeCell ref="Y68:CI68"/>
    <mergeCell ref="E66:G66"/>
    <mergeCell ref="H66:X66"/>
    <mergeCell ref="Y66:CI66"/>
    <mergeCell ref="E71:G71"/>
    <mergeCell ref="H71:X71"/>
    <mergeCell ref="Y71:CI71"/>
    <mergeCell ref="E72:G72"/>
    <mergeCell ref="H72:X72"/>
    <mergeCell ref="Y72:CI72"/>
    <mergeCell ref="E69:G69"/>
    <mergeCell ref="H69:X69"/>
    <mergeCell ref="Y69:CI69"/>
    <mergeCell ref="E70:G70"/>
    <mergeCell ref="H70:X70"/>
    <mergeCell ref="Y70:CI70"/>
    <mergeCell ref="E75:G75"/>
    <mergeCell ref="H75:X75"/>
    <mergeCell ref="Y75:CI75"/>
    <mergeCell ref="E76:G76"/>
    <mergeCell ref="H76:X76"/>
    <mergeCell ref="Y76:CI76"/>
    <mergeCell ref="E73:G73"/>
    <mergeCell ref="H73:X73"/>
    <mergeCell ref="Y73:CI73"/>
    <mergeCell ref="E74:G74"/>
    <mergeCell ref="H74:X74"/>
    <mergeCell ref="Y74:CI74"/>
    <mergeCell ref="E81:G81"/>
    <mergeCell ref="H81:X81"/>
    <mergeCell ref="Y81:CI81"/>
    <mergeCell ref="E79:G79"/>
    <mergeCell ref="H79:X79"/>
    <mergeCell ref="Y79:CI79"/>
    <mergeCell ref="E80:G80"/>
    <mergeCell ref="H80:X80"/>
    <mergeCell ref="Y80:CI80"/>
  </mergeCells>
  <phoneticPr fontId="11"/>
  <pageMargins left="0.39370078740157483" right="0.16" top="0.78740157480314965" bottom="0.39370078740157483" header="0.59055118110236227" footer="0.19685039370078741"/>
  <pageSetup paperSize="9" scale="80" firstPageNumber="4" orientation="landscape" r:id="rId1"/>
  <headerFooter alignWithMargins="0">
    <oddFooter>&amp;C&amp;P　/　&amp;N&amp;R株式会社　京信システムサービス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タイトル</vt:lpstr>
      <vt:lpstr>改訂履歴</vt:lpstr>
      <vt:lpstr>機能概要</vt:lpstr>
      <vt:lpstr>タイトル!Print_Area</vt:lpstr>
      <vt:lpstr>改訂履歴!Print_Titles</vt:lpstr>
      <vt:lpstr>機能概要!Print_Titles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川勝　恭子</dc:creator>
  <cp:lastModifiedBy>大久保　梓沙</cp:lastModifiedBy>
  <cp:lastPrinted>2024-02-06T01:10:18Z</cp:lastPrinted>
  <dcterms:created xsi:type="dcterms:W3CDTF">2006-03-07T04:00:40Z</dcterms:created>
  <dcterms:modified xsi:type="dcterms:W3CDTF">2024-02-13T08:04:16Z</dcterms:modified>
</cp:coreProperties>
</file>
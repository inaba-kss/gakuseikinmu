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Z:\#開発2\DUSK_同志社大学\DUSK3070同志社学生勤務管理システム\C000_基本設計\010_機能設計書\CZ_マスタ\"/>
    </mc:Choice>
  </mc:AlternateContent>
  <xr:revisionPtr revIDLastSave="0" documentId="13_ncr:1_{19C45FD6-CBE3-4AFA-A799-96748C420ADE}" xr6:coauthVersionLast="47" xr6:coauthVersionMax="47" xr10:uidLastSave="{00000000-0000-0000-0000-000000000000}"/>
  <bookViews>
    <workbookView xWindow="1725" yWindow="2445" windowWidth="23310" windowHeight="12375" tabRatio="584" xr2:uid="{00000000-000D-0000-FFFF-FFFF00000000}"/>
  </bookViews>
  <sheets>
    <sheet name="タイトル" sheetId="266" r:id="rId1"/>
    <sheet name="改訂履歴" sheetId="6" r:id="rId2"/>
    <sheet name="機能概要・画面遷移図" sheetId="270" r:id="rId3"/>
    <sheet name="給与支給日マスタ" sheetId="271" r:id="rId4"/>
  </sheets>
  <definedNames>
    <definedName name="_Toc94971774" localSheetId="2">機能概要・画面遷移図!#REF!</definedName>
    <definedName name="_Toc94971775" localSheetId="2">機能概要・画面遷移図!#REF!</definedName>
    <definedName name="_xlnm.Print_Area" localSheetId="0">タイトル!$A$1:$AC$36</definedName>
    <definedName name="_xlnm.Print_Titles" localSheetId="1">改訂履歴!$1:$4</definedName>
    <definedName name="_xlnm.Print_Titles" localSheetId="2">機能概要・画面遷移図!$1:$4</definedName>
    <definedName name="_xlnm.Print_Titles" localSheetId="3">給与支給日マスタ!$1:$4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1" i="271" l="1"/>
  <c r="CK1" i="270"/>
  <c r="AL2" i="271" l="1"/>
  <c r="BW1" i="271"/>
  <c r="BM1" i="271"/>
  <c r="I1" i="271"/>
  <c r="I4" i="271"/>
  <c r="I51" i="266" l="1"/>
  <c r="AS4" i="270" l="1"/>
  <c r="I4" i="270"/>
  <c r="J5" i="6" l="1"/>
  <c r="I49" i="266" s="1"/>
  <c r="AL2" i="270" l="1"/>
  <c r="I2" i="270"/>
  <c r="BW1" i="270"/>
  <c r="BM1" i="270"/>
  <c r="AL1" i="270"/>
  <c r="I1" i="270"/>
  <c r="G11" i="266" l="1"/>
  <c r="G14" i="266"/>
  <c r="G17" i="266"/>
  <c r="G20" i="266"/>
  <c r="J27" i="266"/>
  <c r="J29" i="2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H3" authorId="0" shapeId="0" xr:uid="{00000000-0006-0000-0100-000001000000}">
      <text>
        <r>
          <rPr>
            <sz val="9"/>
            <color indexed="81"/>
            <rFont val="ＭＳ Ｐゴシック"/>
            <family val="3"/>
            <charset val="128"/>
          </rPr>
          <t>変更内容を簡潔に記述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200-000001000000}">
      <text>
        <r>
          <rPr>
            <sz val="9"/>
            <color indexed="81"/>
            <rFont val="ＭＳ Ｐゴシック"/>
            <family val="3"/>
            <charset val="128"/>
          </rPr>
          <t>人事システム
給与システム
システム基盤 等を書く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42EDE27D-51FB-4CCB-A81B-AC3D91623D8B}">
      <text>
        <r>
          <rPr>
            <sz val="9"/>
            <color indexed="81"/>
            <rFont val="ＭＳ Ｐゴシック"/>
            <family val="3"/>
            <charset val="128"/>
          </rPr>
          <t>人事システム
給与システム
システム基盤 等を書く</t>
        </r>
      </text>
    </comment>
  </commentList>
</comments>
</file>

<file path=xl/sharedStrings.xml><?xml version="1.0" encoding="utf-8"?>
<sst xmlns="http://schemas.openxmlformats.org/spreadsheetml/2006/main" count="207" uniqueCount="156">
  <si>
    <t>工　　　　程</t>
    <rPh sb="0" eb="1">
      <t>コウ</t>
    </rPh>
    <rPh sb="5" eb="6">
      <t>ホド</t>
    </rPh>
    <phoneticPr fontId="2"/>
  </si>
  <si>
    <t>システム名</t>
    <rPh sb="4" eb="5">
      <t>メイ</t>
    </rPh>
    <phoneticPr fontId="2"/>
  </si>
  <si>
    <t>改訂履歴</t>
    <rPh sb="0" eb="2">
      <t>カイテイ</t>
    </rPh>
    <rPh sb="2" eb="4">
      <t>リレキ</t>
    </rPh>
    <phoneticPr fontId="2"/>
  </si>
  <si>
    <t>区分</t>
    <rPh sb="0" eb="2">
      <t>クブン</t>
    </rPh>
    <phoneticPr fontId="2"/>
  </si>
  <si>
    <t>頁</t>
    <rPh sb="0" eb="1">
      <t>ページ</t>
    </rPh>
    <phoneticPr fontId="2"/>
  </si>
  <si>
    <t>新規／改訂日</t>
    <rPh sb="0" eb="2">
      <t>シンキ</t>
    </rPh>
    <rPh sb="3" eb="5">
      <t>カイテイ</t>
    </rPh>
    <rPh sb="5" eb="6">
      <t>ビ</t>
    </rPh>
    <phoneticPr fontId="2"/>
  </si>
  <si>
    <t>改訂箇所</t>
    <rPh sb="0" eb="2">
      <t>カイテイ</t>
    </rPh>
    <rPh sb="2" eb="4">
      <t>カショ</t>
    </rPh>
    <phoneticPr fontId="2"/>
  </si>
  <si>
    <t>改訂理由</t>
    <rPh sb="0" eb="2">
      <t>カイテイ</t>
    </rPh>
    <rPh sb="2" eb="4">
      <t>リユウ</t>
    </rPh>
    <phoneticPr fontId="2"/>
  </si>
  <si>
    <t>新規／改訂者</t>
    <rPh sb="0" eb="2">
      <t>シンキ</t>
    </rPh>
    <rPh sb="3" eb="5">
      <t>カイテイ</t>
    </rPh>
    <rPh sb="5" eb="6">
      <t>シャ</t>
    </rPh>
    <phoneticPr fontId="2"/>
  </si>
  <si>
    <t>　※ページ毎に個別入力</t>
    <rPh sb="5" eb="6">
      <t>ゴト</t>
    </rPh>
    <rPh sb="7" eb="9">
      <t>コベツ</t>
    </rPh>
    <rPh sb="9" eb="11">
      <t>ニュウリョク</t>
    </rPh>
    <phoneticPr fontId="2"/>
  </si>
  <si>
    <t>タイトル項目埋め込み内容</t>
    <rPh sb="4" eb="6">
      <t>コウモク</t>
    </rPh>
    <rPh sb="6" eb="7">
      <t>ウ</t>
    </rPh>
    <rPh sb="8" eb="9">
      <t>コ</t>
    </rPh>
    <rPh sb="10" eb="12">
      <t>ナイヨウ</t>
    </rPh>
    <phoneticPr fontId="2"/>
  </si>
  <si>
    <t>新規</t>
    <rPh sb="0" eb="2">
      <t>シンキ</t>
    </rPh>
    <phoneticPr fontId="2"/>
  </si>
  <si>
    <t>作　成</t>
    <rPh sb="0" eb="1">
      <t>サク</t>
    </rPh>
    <rPh sb="2" eb="3">
      <t>シゲル</t>
    </rPh>
    <phoneticPr fontId="2"/>
  </si>
  <si>
    <t>管理記号</t>
    <rPh sb="0" eb="2">
      <t>カンリ</t>
    </rPh>
    <rPh sb="2" eb="4">
      <t>キゴウ</t>
    </rPh>
    <phoneticPr fontId="2"/>
  </si>
  <si>
    <t>サブシステム名</t>
    <rPh sb="6" eb="7">
      <t>メイ</t>
    </rPh>
    <phoneticPr fontId="2"/>
  </si>
  <si>
    <t>改　訂</t>
    <rPh sb="0" eb="1">
      <t>アラタ</t>
    </rPh>
    <rPh sb="2" eb="3">
      <t>テイ</t>
    </rPh>
    <phoneticPr fontId="2"/>
  </si>
  <si>
    <t>No</t>
    <phoneticPr fontId="2"/>
  </si>
  <si>
    <t>Ver</t>
    <phoneticPr fontId="2"/>
  </si>
  <si>
    <t>新規作成</t>
    <rPh sb="0" eb="2">
      <t>シンキ</t>
    </rPh>
    <rPh sb="2" eb="4">
      <t>サクセイ</t>
    </rPh>
    <phoneticPr fontId="2"/>
  </si>
  <si>
    <t>見出し部タイトル制御テーブル</t>
    <rPh sb="0" eb="2">
      <t>ミダ</t>
    </rPh>
    <rPh sb="3" eb="4">
      <t>ブ</t>
    </rPh>
    <rPh sb="8" eb="10">
      <t>セイギョ</t>
    </rPh>
    <phoneticPr fontId="2"/>
  </si>
  <si>
    <t>タイトル項目</t>
    <rPh sb="4" eb="6">
      <t>コウモク</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</si>
  <si>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</si>
  <si>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</si>
  <si>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</si>
  <si>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</si>
  <si>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</si>
  <si>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</si>
  <si>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</si>
  <si>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</si>
  <si>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</si>
  <si>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</si>
  <si>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</si>
  <si>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ドキュメント</t>
    <phoneticPr fontId="2"/>
  </si>
  <si>
    <t xml:space="preserve">　 </t>
    <phoneticPr fontId="2"/>
  </si>
  <si>
    <t>　⑩Ｖｅｒ</t>
    <phoneticPr fontId="2"/>
  </si>
  <si>
    <t>　利用想定ユーザー</t>
    <rPh sb="1" eb="3">
      <t>リヨウ</t>
    </rPh>
    <rPh sb="3" eb="5">
      <t>ソウテイ</t>
    </rPh>
    <phoneticPr fontId="2"/>
  </si>
  <si>
    <t>　機能名称</t>
    <rPh sb="1" eb="3">
      <t>キノウ</t>
    </rPh>
    <rPh sb="3" eb="5">
      <t>メイショウ</t>
    </rPh>
    <phoneticPr fontId="2"/>
  </si>
  <si>
    <t>　機能ＩＤ</t>
    <rPh sb="1" eb="3">
      <t>キノウ</t>
    </rPh>
    <phoneticPr fontId="2"/>
  </si>
  <si>
    <t>　機能設計</t>
    <rPh sb="1" eb="3">
      <t>キノウ</t>
    </rPh>
    <rPh sb="3" eb="5">
      <t>セッケイ</t>
    </rPh>
    <phoneticPr fontId="2"/>
  </si>
  <si>
    <t>機　　能　　概　　要</t>
    <rPh sb="0" eb="1">
      <t>キ</t>
    </rPh>
    <rPh sb="3" eb="4">
      <t>ノウ</t>
    </rPh>
    <rPh sb="6" eb="7">
      <t>オオムネ</t>
    </rPh>
    <rPh sb="9" eb="10">
      <t>ヨウ</t>
    </rPh>
    <phoneticPr fontId="2"/>
  </si>
  <si>
    <t>画　　面　　遷　　移　　図</t>
    <rPh sb="0" eb="1">
      <t>ガ</t>
    </rPh>
    <rPh sb="3" eb="4">
      <t>メン</t>
    </rPh>
    <rPh sb="6" eb="7">
      <t>セン</t>
    </rPh>
    <rPh sb="9" eb="10">
      <t>ウツ</t>
    </rPh>
    <rPh sb="12" eb="13">
      <t>ズ</t>
    </rPh>
    <phoneticPr fontId="2"/>
  </si>
  <si>
    <t>　共通機能</t>
    <rPh sb="1" eb="3">
      <t>キョウツウ</t>
    </rPh>
    <rPh sb="3" eb="5">
      <t>キノウ</t>
    </rPh>
    <phoneticPr fontId="2"/>
  </si>
  <si>
    <t>○ホーム画面</t>
    <rPh sb="4" eb="6">
      <t>ガメン</t>
    </rPh>
    <phoneticPr fontId="2"/>
  </si>
  <si>
    <t>DUC010</t>
    <phoneticPr fontId="2"/>
  </si>
  <si>
    <t>　学生勤務管理システム</t>
    <rPh sb="1" eb="3">
      <t>ガクセイ</t>
    </rPh>
    <rPh sb="3" eb="5">
      <t>キンム</t>
    </rPh>
    <rPh sb="5" eb="7">
      <t>カンリ</t>
    </rPh>
    <phoneticPr fontId="2"/>
  </si>
  <si>
    <t>木田　優</t>
    <rPh sb="0" eb="2">
      <t>キダ</t>
    </rPh>
    <rPh sb="3" eb="4">
      <t>マサル</t>
    </rPh>
    <phoneticPr fontId="2"/>
  </si>
  <si>
    <t>木田　優</t>
    <rPh sb="0" eb="2">
      <t>キダ</t>
    </rPh>
    <rPh sb="3" eb="4">
      <t>マサル</t>
    </rPh>
    <phoneticPr fontId="2"/>
  </si>
  <si>
    <t>機能</t>
    <rPh sb="0" eb="2">
      <t>キノウ</t>
    </rPh>
    <phoneticPr fontId="2"/>
  </si>
  <si>
    <t>　管理者</t>
    <rPh sb="1" eb="4">
      <t>カンリシャ</t>
    </rPh>
    <phoneticPr fontId="10"/>
  </si>
  <si>
    <t>　機能設計</t>
  </si>
  <si>
    <t>　共通機能</t>
  </si>
  <si>
    <t>　画面名称</t>
    <rPh sb="1" eb="3">
      <t>ガメン</t>
    </rPh>
    <rPh sb="3" eb="5">
      <t>メイショウ</t>
    </rPh>
    <phoneticPr fontId="2"/>
  </si>
  <si>
    <t>　画面ＩＤ</t>
    <rPh sb="1" eb="3">
      <t>ガメン</t>
    </rPh>
    <phoneticPr fontId="2"/>
  </si>
  <si>
    <t>画面レイアウト</t>
    <rPh sb="0" eb="2">
      <t>ガメン</t>
    </rPh>
    <phoneticPr fontId="2"/>
  </si>
  <si>
    <t>機能概要</t>
    <rPh sb="0" eb="2">
      <t>キノウ</t>
    </rPh>
    <rPh sb="2" eb="4">
      <t>ガイヨウ</t>
    </rPh>
    <phoneticPr fontId="2"/>
  </si>
  <si>
    <t>・</t>
    <phoneticPr fontId="10"/>
  </si>
  <si>
    <t>画面説明　（処理内容・アクション等）</t>
    <rPh sb="0" eb="2">
      <t>ガメン</t>
    </rPh>
    <rPh sb="2" eb="4">
      <t>セツメイ</t>
    </rPh>
    <rPh sb="6" eb="8">
      <t>ショリ</t>
    </rPh>
    <rPh sb="8" eb="10">
      <t>ナイヨウ</t>
    </rPh>
    <rPh sb="16" eb="17">
      <t>トウ</t>
    </rPh>
    <phoneticPr fontId="2"/>
  </si>
  <si>
    <t>・</t>
    <phoneticPr fontId="2"/>
  </si>
  <si>
    <t>リストボックス</t>
    <phoneticPr fontId="2"/>
  </si>
  <si>
    <t>権限による画面制御</t>
    <rPh sb="0" eb="2">
      <t>ケンゲン</t>
    </rPh>
    <rPh sb="5" eb="7">
      <t>ガメン</t>
    </rPh>
    <rPh sb="7" eb="9">
      <t>セイギョ</t>
    </rPh>
    <phoneticPr fontId="10"/>
  </si>
  <si>
    <t>項目名</t>
    <rPh sb="0" eb="2">
      <t>コウモク</t>
    </rPh>
    <rPh sb="2" eb="3">
      <t>メイ</t>
    </rPh>
    <phoneticPr fontId="2"/>
  </si>
  <si>
    <t>内容</t>
    <rPh sb="0" eb="2">
      <t>ナイヨウ</t>
    </rPh>
    <phoneticPr fontId="10"/>
  </si>
  <si>
    <t>並び順</t>
    <rPh sb="0" eb="1">
      <t>ナラ</t>
    </rPh>
    <rPh sb="2" eb="3">
      <t>ジュン</t>
    </rPh>
    <phoneticPr fontId="10"/>
  </si>
  <si>
    <t>一覧の並び順</t>
    <rPh sb="0" eb="2">
      <t>イチラン</t>
    </rPh>
    <rPh sb="3" eb="4">
      <t>ナラ</t>
    </rPh>
    <rPh sb="5" eb="6">
      <t>ジュン</t>
    </rPh>
    <phoneticPr fontId="2"/>
  </si>
  <si>
    <t>画　面　補　足　説　明</t>
    <rPh sb="0" eb="1">
      <t>ガ</t>
    </rPh>
    <rPh sb="2" eb="3">
      <t>メン</t>
    </rPh>
    <rPh sb="4" eb="5">
      <t>タスク</t>
    </rPh>
    <rPh sb="6" eb="7">
      <t>アシ</t>
    </rPh>
    <rPh sb="8" eb="9">
      <t>セツ</t>
    </rPh>
    <rPh sb="10" eb="11">
      <t>メイ</t>
    </rPh>
    <phoneticPr fontId="2"/>
  </si>
  <si>
    <t>雇用年度</t>
    <rPh sb="0" eb="2">
      <t>コヨウ</t>
    </rPh>
    <rPh sb="2" eb="4">
      <t>ネンド</t>
    </rPh>
    <phoneticPr fontId="2"/>
  </si>
  <si>
    <t>（CC-020-01G）</t>
    <phoneticPr fontId="2"/>
  </si>
  <si>
    <t>（CZ-030-01G）</t>
    <phoneticPr fontId="2"/>
  </si>
  <si>
    <t>支払給与月マスタボタン</t>
    <rPh sb="0" eb="2">
      <t>シハライ</t>
    </rPh>
    <rPh sb="2" eb="4">
      <t>キュウヨ</t>
    </rPh>
    <rPh sb="4" eb="5">
      <t>ツキ</t>
    </rPh>
    <phoneticPr fontId="11"/>
  </si>
  <si>
    <t>・</t>
    <phoneticPr fontId="2"/>
  </si>
  <si>
    <t>翌年度作成ボタンを押下すると、表示されている雇用年度の翌年分の</t>
    <rPh sb="0" eb="3">
      <t>ヨクネンド</t>
    </rPh>
    <rPh sb="3" eb="5">
      <t>サクセイ</t>
    </rPh>
    <rPh sb="9" eb="11">
      <t>オウカ</t>
    </rPh>
    <rPh sb="15" eb="17">
      <t>ヒョウジ</t>
    </rPh>
    <rPh sb="22" eb="24">
      <t>コヨウ</t>
    </rPh>
    <rPh sb="24" eb="26">
      <t>ネンド</t>
    </rPh>
    <rPh sb="27" eb="29">
      <t>ヨクトシ</t>
    </rPh>
    <rPh sb="29" eb="30">
      <t>ブン</t>
    </rPh>
    <phoneticPr fontId="2"/>
  </si>
  <si>
    <t>○入力項目（検索条件）</t>
    <rPh sb="1" eb="3">
      <t>ニュウリョク</t>
    </rPh>
    <rPh sb="3" eb="5">
      <t>コウモク</t>
    </rPh>
    <rPh sb="6" eb="8">
      <t>ケンサク</t>
    </rPh>
    <rPh sb="8" eb="10">
      <t>ジョウケン</t>
    </rPh>
    <phoneticPr fontId="10"/>
  </si>
  <si>
    <t>項目名</t>
    <rPh sb="0" eb="2">
      <t>コウモク</t>
    </rPh>
    <rPh sb="2" eb="3">
      <t>メイ</t>
    </rPh>
    <phoneticPr fontId="10"/>
  </si>
  <si>
    <t>入力必須</t>
    <rPh sb="0" eb="2">
      <t>ニュウリョク</t>
    </rPh>
    <rPh sb="2" eb="4">
      <t>ヒッス</t>
    </rPh>
    <phoneticPr fontId="10"/>
  </si>
  <si>
    <t>桁数</t>
    <rPh sb="0" eb="2">
      <t>ケタスウ</t>
    </rPh>
    <phoneticPr fontId="10"/>
  </si>
  <si>
    <t>入力制限等</t>
    <rPh sb="0" eb="2">
      <t>ニュウリョク</t>
    </rPh>
    <rPh sb="2" eb="4">
      <t>セイゲン</t>
    </rPh>
    <rPh sb="4" eb="5">
      <t>トウ</t>
    </rPh>
    <phoneticPr fontId="10"/>
  </si>
  <si>
    <t>雇用年度</t>
    <rPh sb="0" eb="2">
      <t>コヨウ</t>
    </rPh>
    <rPh sb="2" eb="4">
      <t>ネンド</t>
    </rPh>
    <phoneticPr fontId="10"/>
  </si>
  <si>
    <t>〇</t>
    <phoneticPr fontId="10"/>
  </si>
  <si>
    <t>-</t>
    <phoneticPr fontId="2"/>
  </si>
  <si>
    <t>雇用年度は画面初期表示時に処理日に該当する雇用年度を初期表示する。</t>
    <rPh sb="0" eb="2">
      <t>コヨウ</t>
    </rPh>
    <rPh sb="2" eb="4">
      <t>ネンド</t>
    </rPh>
    <rPh sb="5" eb="7">
      <t>ガメン</t>
    </rPh>
    <rPh sb="7" eb="9">
      <t>ショキ</t>
    </rPh>
    <rPh sb="9" eb="11">
      <t>ヒョウジ</t>
    </rPh>
    <rPh sb="11" eb="12">
      <t>ジ</t>
    </rPh>
    <rPh sb="13" eb="15">
      <t>ショリ</t>
    </rPh>
    <rPh sb="15" eb="16">
      <t>ビ</t>
    </rPh>
    <rPh sb="17" eb="19">
      <t>ガイトウ</t>
    </rPh>
    <rPh sb="21" eb="23">
      <t>コヨウ</t>
    </rPh>
    <rPh sb="23" eb="25">
      <t>ネンド</t>
    </rPh>
    <rPh sb="26" eb="28">
      <t>ショキ</t>
    </rPh>
    <rPh sb="28" eb="30">
      <t>ヒョウジ</t>
    </rPh>
    <phoneticPr fontId="2"/>
  </si>
  <si>
    <t>例として、処理日が2023/9/29の場合には雇用年度は「2023」を表示する。</t>
    <rPh sb="0" eb="1">
      <t>レイ</t>
    </rPh>
    <rPh sb="5" eb="7">
      <t>ショリ</t>
    </rPh>
    <rPh sb="7" eb="8">
      <t>ビ</t>
    </rPh>
    <rPh sb="19" eb="21">
      <t>バアイ</t>
    </rPh>
    <rPh sb="23" eb="25">
      <t>コヨウ</t>
    </rPh>
    <rPh sb="25" eb="27">
      <t>ネンド</t>
    </rPh>
    <rPh sb="35" eb="37">
      <t>ヒョウジ</t>
    </rPh>
    <phoneticPr fontId="2"/>
  </si>
  <si>
    <t>○出力項目</t>
    <rPh sb="1" eb="3">
      <t>シュツリョク</t>
    </rPh>
    <rPh sb="3" eb="5">
      <t>コウモク</t>
    </rPh>
    <phoneticPr fontId="2"/>
  </si>
  <si>
    <t>編集内容等</t>
    <rPh sb="0" eb="2">
      <t>ヘンシュウ</t>
    </rPh>
    <rPh sb="2" eb="4">
      <t>ナイヨウ</t>
    </rPh>
    <rPh sb="4" eb="5">
      <t>トウ</t>
    </rPh>
    <phoneticPr fontId="2"/>
  </si>
  <si>
    <t>○入力項目</t>
    <rPh sb="1" eb="3">
      <t>ニュウリョク</t>
    </rPh>
    <rPh sb="3" eb="5">
      <t>コウモク</t>
    </rPh>
    <phoneticPr fontId="10"/>
  </si>
  <si>
    <t>○リストボックス</t>
    <phoneticPr fontId="2"/>
  </si>
  <si>
    <t>▼</t>
    <phoneticPr fontId="2"/>
  </si>
  <si>
    <t>2023</t>
    <phoneticPr fontId="2"/>
  </si>
  <si>
    <t>2022</t>
    <phoneticPr fontId="2"/>
  </si>
  <si>
    <t>2021</t>
    <phoneticPr fontId="2"/>
  </si>
  <si>
    <t>【雇用年度】</t>
    <rPh sb="1" eb="3">
      <t>コヨウ</t>
    </rPh>
    <rPh sb="3" eb="5">
      <t>ネンド</t>
    </rPh>
    <phoneticPr fontId="2"/>
  </si>
  <si>
    <t>初期表示時に雇用年度を基に検索処理を行い、一覧を表示する。</t>
    <rPh sb="0" eb="2">
      <t>ショキ</t>
    </rPh>
    <rPh sb="2" eb="4">
      <t>ヒョウジ</t>
    </rPh>
    <rPh sb="4" eb="5">
      <t>ジ</t>
    </rPh>
    <rPh sb="6" eb="8">
      <t>コヨウ</t>
    </rPh>
    <rPh sb="8" eb="10">
      <t>ネンド</t>
    </rPh>
    <rPh sb="11" eb="12">
      <t>モト</t>
    </rPh>
    <rPh sb="13" eb="15">
      <t>ケンサク</t>
    </rPh>
    <rPh sb="15" eb="17">
      <t>ショリ</t>
    </rPh>
    <rPh sb="18" eb="19">
      <t>オコナ</t>
    </rPh>
    <rPh sb="21" eb="23">
      <t>イチラン</t>
    </rPh>
    <rPh sb="24" eb="26">
      <t>ヒョウジ</t>
    </rPh>
    <phoneticPr fontId="2"/>
  </si>
  <si>
    <t>雇用年度を変更した時に、検索処理を行い、結果を一覧に表示する。</t>
    <rPh sb="0" eb="2">
      <t>コヨウ</t>
    </rPh>
    <rPh sb="2" eb="4">
      <t>ネンド</t>
    </rPh>
    <rPh sb="5" eb="7">
      <t>ヘンコウ</t>
    </rPh>
    <rPh sb="9" eb="10">
      <t>トキ</t>
    </rPh>
    <rPh sb="12" eb="14">
      <t>ケンサク</t>
    </rPh>
    <rPh sb="14" eb="16">
      <t>ショリ</t>
    </rPh>
    <rPh sb="17" eb="18">
      <t>オコナ</t>
    </rPh>
    <rPh sb="20" eb="22">
      <t>ケッカ</t>
    </rPh>
    <rPh sb="23" eb="25">
      <t>イチラン</t>
    </rPh>
    <rPh sb="26" eb="28">
      <t>ヒョウジ</t>
    </rPh>
    <phoneticPr fontId="2"/>
  </si>
  <si>
    <t>CZ-030-01G</t>
    <phoneticPr fontId="2"/>
  </si>
  <si>
    <t>　CZ-030_給与支給日マスタ</t>
    <rPh sb="8" eb="13">
      <t>キュウヨシキュウビ</t>
    </rPh>
    <phoneticPr fontId="2"/>
  </si>
  <si>
    <t>変更</t>
    <rPh sb="0" eb="2">
      <t>ヘンコウ</t>
    </rPh>
    <phoneticPr fontId="2"/>
  </si>
  <si>
    <t>タイトルや項目名の変更</t>
    <rPh sb="5" eb="8">
      <t>コウモクメイ</t>
    </rPh>
    <rPh sb="9" eb="11">
      <t>ヘンコウ</t>
    </rPh>
    <phoneticPr fontId="2"/>
  </si>
  <si>
    <t>○給与支給日マスタ画面</t>
    <rPh sb="1" eb="6">
      <t>キュウヨシキュウヒ</t>
    </rPh>
    <rPh sb="9" eb="11">
      <t>ガメン</t>
    </rPh>
    <phoneticPr fontId="2"/>
  </si>
  <si>
    <t>給与支給日と給与計算処理予定日を編集する時に使用する。</t>
    <rPh sb="0" eb="5">
      <t>キュウヨシキュウヒ</t>
    </rPh>
    <rPh sb="6" eb="8">
      <t>キュウヨ</t>
    </rPh>
    <rPh sb="8" eb="10">
      <t>ケイサン</t>
    </rPh>
    <rPh sb="10" eb="12">
      <t>ショリ</t>
    </rPh>
    <rPh sb="12" eb="14">
      <t>ヨテイ</t>
    </rPh>
    <rPh sb="14" eb="15">
      <t>ビ</t>
    </rPh>
    <rPh sb="16" eb="18">
      <t>ヘンシュウ</t>
    </rPh>
    <rPh sb="20" eb="21">
      <t>トキ</t>
    </rPh>
    <rPh sb="22" eb="24">
      <t>シヨウ</t>
    </rPh>
    <phoneticPr fontId="2"/>
  </si>
  <si>
    <t>木田　優</t>
    <phoneticPr fontId="11"/>
  </si>
  <si>
    <t>木田　優</t>
    <phoneticPr fontId="2"/>
  </si>
  <si>
    <t>選択ボタンを押下すると、対象の勤務月と給与支給日、</t>
    <rPh sb="0" eb="2">
      <t>センタク</t>
    </rPh>
    <rPh sb="6" eb="8">
      <t>オウカ</t>
    </rPh>
    <rPh sb="12" eb="14">
      <t>タイショウ</t>
    </rPh>
    <rPh sb="15" eb="18">
      <t>キンムツキ</t>
    </rPh>
    <rPh sb="19" eb="24">
      <t>キュウヨシキュウビ</t>
    </rPh>
    <phoneticPr fontId="2"/>
  </si>
  <si>
    <t>給与計算処理予定日を下部に表示する。</t>
    <rPh sb="0" eb="4">
      <t>キュウヨケイサン</t>
    </rPh>
    <phoneticPr fontId="2"/>
  </si>
  <si>
    <t>※勤務月は非活性項目とする。</t>
    <rPh sb="1" eb="4">
      <t>キンムツキ</t>
    </rPh>
    <phoneticPr fontId="2"/>
  </si>
  <si>
    <t>給与支給日のカレンダーを押下すると、カレンダーを表示する。</t>
    <rPh sb="0" eb="5">
      <t>キュウヨシキュウビ</t>
    </rPh>
    <rPh sb="12" eb="14">
      <t>オウカ</t>
    </rPh>
    <rPh sb="24" eb="26">
      <t>ヒョウジ</t>
    </rPh>
    <phoneticPr fontId="2"/>
  </si>
  <si>
    <t>給与計算処理予定日のカレンダーを押下すると、カレンダーを表示する。</t>
    <rPh sb="0" eb="4">
      <t>キュウヨケイサン</t>
    </rPh>
    <rPh sb="4" eb="9">
      <t>ショリヨテイビ</t>
    </rPh>
    <rPh sb="16" eb="18">
      <t>オウカ</t>
    </rPh>
    <rPh sb="28" eb="30">
      <t>ヒョウジ</t>
    </rPh>
    <phoneticPr fontId="2"/>
  </si>
  <si>
    <t>更新ボタンを押下すると、対象の勤務月に対して、給与支給日と</t>
    <rPh sb="0" eb="2">
      <t>コウシン</t>
    </rPh>
    <rPh sb="6" eb="8">
      <t>オウカ</t>
    </rPh>
    <rPh sb="12" eb="14">
      <t>タイショウ</t>
    </rPh>
    <rPh sb="15" eb="18">
      <t>キンムツキ</t>
    </rPh>
    <rPh sb="19" eb="20">
      <t>タイ</t>
    </rPh>
    <rPh sb="23" eb="28">
      <t>キュウヨシキュウビ</t>
    </rPh>
    <phoneticPr fontId="2"/>
  </si>
  <si>
    <t>給与計算処理予定日の更新を行う。</t>
    <rPh sb="0" eb="4">
      <t>キュウヨケイサン</t>
    </rPh>
    <rPh sb="10" eb="12">
      <t>コウシン</t>
    </rPh>
    <rPh sb="13" eb="14">
      <t>オコナ</t>
    </rPh>
    <phoneticPr fontId="2"/>
  </si>
  <si>
    <t>給与支給日マスタ（4月～3月までの1年分）を作成する。</t>
    <rPh sb="0" eb="5">
      <t>キュウヨシキュウビ</t>
    </rPh>
    <rPh sb="10" eb="11">
      <t>ガツ</t>
    </rPh>
    <rPh sb="13" eb="14">
      <t>ガツ</t>
    </rPh>
    <rPh sb="18" eb="20">
      <t>ネンブン</t>
    </rPh>
    <rPh sb="22" eb="24">
      <t>サクセイ</t>
    </rPh>
    <phoneticPr fontId="2"/>
  </si>
  <si>
    <t>降順</t>
    <rPh sb="0" eb="2">
      <t>コウジュン</t>
    </rPh>
    <phoneticPr fontId="2"/>
  </si>
  <si>
    <t>勤務月</t>
    <rPh sb="0" eb="3">
      <t>キンムツキ</t>
    </rPh>
    <phoneticPr fontId="2"/>
  </si>
  <si>
    <t>給与支給日</t>
    <rPh sb="0" eb="5">
      <t>キュウヨシキュウビ</t>
    </rPh>
    <phoneticPr fontId="2"/>
  </si>
  <si>
    <t>給与計算処理予定日</t>
    <rPh sb="0" eb="4">
      <t>キュウヨケイサン</t>
    </rPh>
    <rPh sb="4" eb="9">
      <t>ショリヨテイビ</t>
    </rPh>
    <phoneticPr fontId="2"/>
  </si>
  <si>
    <t>勤務月</t>
    <rPh sb="0" eb="3">
      <t>キンムツキ</t>
    </rPh>
    <phoneticPr fontId="10"/>
  </si>
  <si>
    <t>給与支給日</t>
    <rPh sb="0" eb="5">
      <t>キュウヨシキュウビ</t>
    </rPh>
    <phoneticPr fontId="10"/>
  </si>
  <si>
    <t>給与計算処理予定日</t>
    <rPh sb="0" eb="4">
      <t>キュウヨケイサン</t>
    </rPh>
    <rPh sb="4" eb="6">
      <t>ショリ</t>
    </rPh>
    <rPh sb="6" eb="8">
      <t>ヨテイ</t>
    </rPh>
    <rPh sb="8" eb="9">
      <t>ビ</t>
    </rPh>
    <phoneticPr fontId="10"/>
  </si>
  <si>
    <t>給与支給日マスタ</t>
    <phoneticPr fontId="2"/>
  </si>
  <si>
    <t>給与支給日マスタに登録されている雇用年度</t>
    <rPh sb="0" eb="5">
      <t>キュウヨシキュウビ</t>
    </rPh>
    <rPh sb="9" eb="11">
      <t>トウロク</t>
    </rPh>
    <rPh sb="16" eb="18">
      <t>コヨウ</t>
    </rPh>
    <rPh sb="18" eb="20">
      <t>ネンド</t>
    </rPh>
    <phoneticPr fontId="2"/>
  </si>
  <si>
    <t>　設定する。</t>
    <phoneticPr fontId="2"/>
  </si>
  <si>
    <t>※祝日はユーザーコードマスタの種別：祝日を参照し、給与支給日、</t>
    <phoneticPr fontId="2"/>
  </si>
  <si>
    <r>
      <t>給与支給日：月度の翌25日</t>
    </r>
    <r>
      <rPr>
        <sz val="9"/>
        <rFont val="ＭＳ 明朝"/>
        <family val="1"/>
        <charset val="128"/>
      </rPr>
      <t>(土日祝の場合、前倒しし、平日を設定)</t>
    </r>
    <rPh sb="0" eb="5">
      <t>キュウヨシキュウビ</t>
    </rPh>
    <rPh sb="6" eb="8">
      <t>ゲツド</t>
    </rPh>
    <rPh sb="9" eb="10">
      <t>ヨク</t>
    </rPh>
    <rPh sb="12" eb="13">
      <t>ヒ</t>
    </rPh>
    <rPh sb="14" eb="17">
      <t>ドニチシュク</t>
    </rPh>
    <rPh sb="18" eb="20">
      <t>バアイ</t>
    </rPh>
    <rPh sb="21" eb="23">
      <t>マエダオ</t>
    </rPh>
    <rPh sb="26" eb="28">
      <t>ヘイジツ</t>
    </rPh>
    <rPh sb="29" eb="31">
      <t>セッテイ</t>
    </rPh>
    <phoneticPr fontId="2"/>
  </si>
  <si>
    <r>
      <t>給与計算処理予定日：月度の翌10日(</t>
    </r>
    <r>
      <rPr>
        <sz val="9"/>
        <rFont val="ＭＳ 明朝"/>
        <family val="1"/>
        <charset val="128"/>
      </rPr>
      <t>土日祝の場合、前倒しし、平日を設定)</t>
    </r>
    <rPh sb="0" eb="2">
      <t>キュウヨ</t>
    </rPh>
    <rPh sb="2" eb="4">
      <t>ケイサン</t>
    </rPh>
    <rPh sb="4" eb="9">
      <t>ショリヨテイビ</t>
    </rPh>
    <rPh sb="10" eb="12">
      <t>ゲツド</t>
    </rPh>
    <rPh sb="13" eb="14">
      <t>ヨク</t>
    </rPh>
    <rPh sb="16" eb="17">
      <t>ヒ</t>
    </rPh>
    <phoneticPr fontId="2"/>
  </si>
  <si>
    <t>※土日は共通関数から取得し、土日の場合、前倒し、平日を設定する。</t>
    <rPh sb="1" eb="3">
      <t>ドニチ</t>
    </rPh>
    <rPh sb="4" eb="8">
      <t>キョウツウカンスウ</t>
    </rPh>
    <rPh sb="10" eb="12">
      <t>シュトク</t>
    </rPh>
    <rPh sb="14" eb="16">
      <t>ドニチ</t>
    </rPh>
    <rPh sb="17" eb="19">
      <t>バアイ</t>
    </rPh>
    <rPh sb="20" eb="22">
      <t>マエダオ</t>
    </rPh>
    <rPh sb="24" eb="26">
      <t>ヘイジツ</t>
    </rPh>
    <rPh sb="27" eb="29">
      <t>セッテイ</t>
    </rPh>
    <phoneticPr fontId="2"/>
  </si>
  <si>
    <t>　給与計算処理予定日が祝日に該当する場合、前倒し、平日を</t>
    <rPh sb="11" eb="13">
      <t>シュクジツ</t>
    </rPh>
    <phoneticPr fontId="2"/>
  </si>
  <si>
    <t>勤務月（昇順）</t>
    <rPh sb="0" eb="3">
      <t>キンムツキ</t>
    </rPh>
    <rPh sb="4" eb="6">
      <t>ショウジュン</t>
    </rPh>
    <phoneticPr fontId="2"/>
  </si>
  <si>
    <t>ホーム(学生)表示文言</t>
    <rPh sb="4" eb="6">
      <t>ガクセイ</t>
    </rPh>
    <rPh sb="7" eb="11">
      <t>ヒョウジモンゴン</t>
    </rPh>
    <phoneticPr fontId="2"/>
  </si>
  <si>
    <t>表示文言</t>
    <rPh sb="0" eb="4">
      <t>ヒョウジモンゴン</t>
    </rPh>
    <phoneticPr fontId="10"/>
  </si>
  <si>
    <t>×</t>
    <phoneticPr fontId="10"/>
  </si>
  <si>
    <t>一覧の並び順の項目名称を変更
ホーム（学生）表示文言を追加</t>
    <rPh sb="0" eb="2">
      <t>イチラン</t>
    </rPh>
    <rPh sb="3" eb="4">
      <t>ナラ</t>
    </rPh>
    <rPh sb="5" eb="6">
      <t>ジュン</t>
    </rPh>
    <rPh sb="7" eb="11">
      <t>コウモクメイショウ</t>
    </rPh>
    <rPh sb="12" eb="14">
      <t>ヘンコウ</t>
    </rPh>
    <rPh sb="19" eb="21">
      <t>ガクセイ</t>
    </rPh>
    <rPh sb="22" eb="26">
      <t>ヒョウジモンゴン</t>
    </rPh>
    <rPh sb="27" eb="29">
      <t>ツイカ</t>
    </rPh>
    <phoneticPr fontId="2"/>
  </si>
  <si>
    <t>画面遷移図</t>
    <rPh sb="0" eb="5">
      <t>ガメンセンイズ</t>
    </rPh>
    <phoneticPr fontId="2"/>
  </si>
  <si>
    <t>戻るボタンの廃止</t>
    <rPh sb="0" eb="1">
      <t>モド</t>
    </rPh>
    <rPh sb="6" eb="8">
      <t>ハイシ</t>
    </rPh>
    <phoneticPr fontId="2"/>
  </si>
  <si>
    <t>表示項目 yyyy/m</t>
    <rPh sb="0" eb="2">
      <t>ヒョウジ</t>
    </rPh>
    <rPh sb="2" eb="4">
      <t>コウモク</t>
    </rPh>
    <phoneticPr fontId="2"/>
  </si>
  <si>
    <t>西暦日付 yyyy/m/d</t>
    <rPh sb="0" eb="2">
      <t>セイレキ</t>
    </rPh>
    <rPh sb="2" eb="4">
      <t>ヒヅケ</t>
    </rPh>
    <phoneticPr fontId="2"/>
  </si>
  <si>
    <t>yyyy/m</t>
    <phoneticPr fontId="2"/>
  </si>
  <si>
    <t>yyyy/m/d(aaa)</t>
    <phoneticPr fontId="2"/>
  </si>
  <si>
    <t>給与改定日</t>
    <rPh sb="0" eb="5">
      <t>キュウヨカイテイビ</t>
    </rPh>
    <phoneticPr fontId="2"/>
  </si>
  <si>
    <t>☑</t>
    <phoneticPr fontId="2"/>
  </si>
  <si>
    <t>給与改定日の追加
（2024年度改修_項番5）</t>
    <rPh sb="0" eb="5">
      <t>キュウヨカイテイビ</t>
    </rPh>
    <rPh sb="6" eb="8">
      <t>ツイカ</t>
    </rPh>
    <rPh sb="14" eb="18">
      <t>ネンドカイシュウ</t>
    </rPh>
    <rPh sb="19" eb="21">
      <t>コウバン</t>
    </rPh>
    <phoneticPr fontId="2"/>
  </si>
  <si>
    <t>給与改定日</t>
    <rPh sb="0" eb="5">
      <t>キュウヨカイテイビ</t>
    </rPh>
    <phoneticPr fontId="2"/>
  </si>
  <si>
    <t>給与改定日</t>
    <rPh sb="0" eb="5">
      <t>キュウヨカイテイビ</t>
    </rPh>
    <phoneticPr fontId="10"/>
  </si>
  <si>
    <t>給与改定フラグ</t>
    <rPh sb="0" eb="2">
      <t>キュウヨ</t>
    </rPh>
    <rPh sb="2" eb="4">
      <t>カイテイ</t>
    </rPh>
    <phoneticPr fontId="10"/>
  </si>
  <si>
    <t>チェックボックス</t>
    <phoneticPr fontId="2"/>
  </si>
  <si>
    <t>〇エラーチェックについて</t>
    <phoneticPr fontId="2"/>
  </si>
  <si>
    <t>エラーメッセージ：</t>
    <phoneticPr fontId="2"/>
  </si>
  <si>
    <t>2024年度改修_項番5</t>
    <rPh sb="4" eb="8">
      <t>ネンドカイシュウ</t>
    </rPh>
    <rPh sb="9" eb="11">
      <t>コウバン</t>
    </rPh>
    <phoneticPr fontId="2"/>
  </si>
  <si>
    <t>有効</t>
    <rPh sb="0" eb="2">
      <t>ユウコウ</t>
    </rPh>
    <phoneticPr fontId="2"/>
  </si>
  <si>
    <t>無効</t>
    <rPh sb="0" eb="2">
      <t>ムコウ</t>
    </rPh>
    <phoneticPr fontId="2"/>
  </si>
  <si>
    <t>2024/4/1(月)</t>
    <rPh sb="9" eb="10">
      <t>ゲツ</t>
    </rPh>
    <phoneticPr fontId="2"/>
  </si>
  <si>
    <t>2024/5/1(水)</t>
    <rPh sb="9" eb="10">
      <t>スイ</t>
    </rPh>
    <phoneticPr fontId="2"/>
  </si>
  <si>
    <t>給与改定フラグ</t>
    <rPh sb="0" eb="2">
      <t>キュウヨ</t>
    </rPh>
    <rPh sb="2" eb="4">
      <t>カイテイ</t>
    </rPh>
    <phoneticPr fontId="2"/>
  </si>
  <si>
    <t>ON:有効、OFF：無効</t>
    <rPh sb="3" eb="5">
      <t>ユウコウ</t>
    </rPh>
    <rPh sb="10" eb="12">
      <t>ムコウ</t>
    </rPh>
    <phoneticPr fontId="2"/>
  </si>
  <si>
    <t>給与改定日が勤務月内でない場合、エラーとする。</t>
    <rPh sb="0" eb="5">
      <t>キュウヨカイテイビ</t>
    </rPh>
    <rPh sb="6" eb="9">
      <t>キンムツキ</t>
    </rPh>
    <rPh sb="9" eb="10">
      <t>ナイ</t>
    </rPh>
    <rPh sb="13" eb="15">
      <t>バアイ</t>
    </rPh>
    <phoneticPr fontId="2"/>
  </si>
  <si>
    <t>※雇用年度内に有効な給与改定日が複数存在する場合、一番後の日付を給与改定日とする</t>
    <rPh sb="1" eb="6">
      <t>コヨウネンドナイ</t>
    </rPh>
    <rPh sb="7" eb="9">
      <t>ユウコウ</t>
    </rPh>
    <rPh sb="10" eb="15">
      <t>キュウヨカイテイビ</t>
    </rPh>
    <rPh sb="16" eb="18">
      <t>フクスウ</t>
    </rPh>
    <rPh sb="18" eb="20">
      <t>ソンザイ</t>
    </rPh>
    <rPh sb="22" eb="24">
      <t>バアイ</t>
    </rPh>
    <rPh sb="25" eb="27">
      <t>イチバン</t>
    </rPh>
    <rPh sb="27" eb="28">
      <t>アト</t>
    </rPh>
    <rPh sb="29" eb="31">
      <t>ヒヅケ</t>
    </rPh>
    <rPh sb="32" eb="34">
      <t>キュウヨ</t>
    </rPh>
    <rPh sb="34" eb="36">
      <t>カイテイ</t>
    </rPh>
    <rPh sb="36" eb="37">
      <t>ビ</t>
    </rPh>
    <phoneticPr fontId="2"/>
  </si>
  <si>
    <t>西暦日付 yyyy/m/d
給与改定フラグがONの場合、非活性</t>
    <rPh sb="0" eb="2">
      <t>セイレキ</t>
    </rPh>
    <rPh sb="2" eb="4">
      <t>ヒヅケ</t>
    </rPh>
    <rPh sb="14" eb="18">
      <t>キュウヨカイテイ</t>
    </rPh>
    <rPh sb="25" eb="27">
      <t>バアイ</t>
    </rPh>
    <rPh sb="28" eb="31">
      <t>ヒカッセイ</t>
    </rPh>
    <phoneticPr fontId="2"/>
  </si>
  <si>
    <t>給与改定フラグがONの場合で、給与改定日が空白の場合、エラーとする。</t>
    <rPh sb="0" eb="4">
      <t>キュウヨカイテイ</t>
    </rPh>
    <rPh sb="11" eb="13">
      <t>バアイ</t>
    </rPh>
    <rPh sb="15" eb="20">
      <t>キュウヨカイテイビ</t>
    </rPh>
    <rPh sb="21" eb="23">
      <t>クウハク</t>
    </rPh>
    <rPh sb="24" eb="26">
      <t>バアイ</t>
    </rPh>
    <phoneticPr fontId="2"/>
  </si>
  <si>
    <t>給与改定日は勤務月内の日付を入力してください。</t>
    <rPh sb="0" eb="5">
      <t>キュウヨカイテイビ</t>
    </rPh>
    <rPh sb="6" eb="9">
      <t>キンムツキ</t>
    </rPh>
    <rPh sb="9" eb="10">
      <t>ナイ</t>
    </rPh>
    <rPh sb="11" eb="13">
      <t>ヒヅケ</t>
    </rPh>
    <rPh sb="14" eb="16">
      <t>ニュウリョク</t>
    </rPh>
    <phoneticPr fontId="2"/>
  </si>
  <si>
    <t>給与改定日を入力してください。</t>
    <rPh sb="0" eb="5">
      <t>キュウヨカイテイビ</t>
    </rPh>
    <rPh sb="6" eb="8">
      <t>ニュウリョク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</si>
</sst>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
    <numFmt numFmtId="177" formatCode="0.00_ "/>
  </numFmts>
  <fonts count="23"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20"/>
      <name val="ＭＳ ゴシック"/>
      <family val="3"/>
      <charset val="128"/>
    </font>
    <font>
      <sz val="14"/>
      <name val="ＭＳ 明朝"/>
      <family val="1"/>
      <charset val="128"/>
    </font>
    <font>
      <sz val="10"/>
      <name val="ＭＳ Ｐゴシック"/>
      <family val="3"/>
      <charset val="128"/>
    </font>
    <font>
      <sz val="6"/>
      <name val="ＭＳ 明朝"/>
      <family val="1"/>
      <charset val="128"/>
    </font>
    <font>
      <sz val="6"/>
      <name val="ＭＳ Ｐゴシック"/>
      <family val="2"/>
      <charset val="128"/>
      <scheme val="minor"/>
    </font>
    <font>
      <b/>
      <sz val="10"/>
      <name val="ＭＳ ゴシック"/>
      <family val="3"/>
      <charset val="128"/>
    </font>
    <font>
      <sz val="10"/>
      <color theme="0" tint="-0.499984740745262"/>
      <name val="ＭＳ ゴシック"/>
      <family val="3"/>
      <charset val="128"/>
    </font>
    <font>
      <sz val="9"/>
      <name val="ＭＳ 明朝"/>
      <family val="1"/>
      <charset val="128"/>
    </font>
    <font>
      <sz val="10"/>
      <color rgb="FFFF0000"/>
      <name val="ＭＳ 明朝"/>
      <family val="1"/>
      <charset val="128"/>
    </font>
    <font>
      <sz val="9"/>
      <name val="ＭＳ ゴシック"/>
      <family val="3"/>
      <charset val="128"/>
    </font>
    <font>
      <sz val="10"/>
      <name val="Meiryo UI"/>
      <family val="3"/>
      <charset val="128"/>
    </font>
    <font>
      <sz val="20"/>
      <name val="ＭＳ 明朝"/>
      <family val="1"/>
      <charset val="128"/>
    </font>
    <font>
      <sz val="12"/>
      <name val="Meiryo UI"/>
      <family val="3"/>
      <charset val="128"/>
    </font>
    <font>
      <sz val="10"/>
      <color theme="1"/>
      <name val="ＭＳ 明朝"/>
      <family val="1"/>
      <charset val="128"/>
    </font>
    <font>
      <sz val="10"/>
      <color theme="1"/>
      <name val="ＭＳ ゴシック"/>
      <family val="3"/>
      <charset val="128"/>
    </font>
    <font>
      <sz val="9"/>
      <color theme="1"/>
      <name val="ＭＳ ゴシック"/>
      <family val="3"/>
      <charset val="128"/>
    </font>
  </fonts>
  <fills count="10">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theme="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0.249977111117893"/>
        <bgColor indexed="64"/>
      </patternFill>
    </fill>
  </fills>
  <borders count="7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1" tint="0.499984740745262"/>
      </left>
      <right style="thin">
        <color indexed="64"/>
      </right>
      <top style="thin">
        <color theme="1" tint="0.499984740745262"/>
      </top>
      <bottom style="thin">
        <color indexed="64"/>
      </bottom>
      <diagonal/>
    </border>
    <border>
      <left style="thin">
        <color indexed="64"/>
      </left>
      <right style="thin">
        <color indexed="64"/>
      </right>
      <top style="thin">
        <color theme="1" tint="0.499984740745262"/>
      </top>
      <bottom style="thin">
        <color indexed="64"/>
      </bottom>
      <diagonal/>
    </border>
    <border>
      <left style="thin">
        <color indexed="64"/>
      </left>
      <right style="thin">
        <color theme="1" tint="0.499984740745262"/>
      </right>
      <top style="thin">
        <color theme="1" tint="0.499984740745262"/>
      </top>
      <bottom style="thin">
        <color indexed="64"/>
      </bottom>
      <diagonal/>
    </border>
    <border>
      <left style="thin">
        <color theme="1" tint="0.499984740745262"/>
      </left>
      <right style="thin">
        <color indexed="64"/>
      </right>
      <top style="thin">
        <color indexed="64"/>
      </top>
      <bottom style="thin">
        <color theme="1" tint="0.499984740745262"/>
      </bottom>
      <diagonal/>
    </border>
    <border>
      <left style="thin">
        <color indexed="64"/>
      </left>
      <right style="thin">
        <color indexed="64"/>
      </right>
      <top style="thin">
        <color indexed="64"/>
      </top>
      <bottom style="thin">
        <color theme="1" tint="0.499984740745262"/>
      </bottom>
      <diagonal/>
    </border>
    <border>
      <left style="thin">
        <color indexed="64"/>
      </left>
      <right style="thin">
        <color theme="1" tint="0.499984740745262"/>
      </right>
      <top style="thin">
        <color indexed="64"/>
      </top>
      <bottom style="thin">
        <color theme="1" tint="0.499984740745262"/>
      </bottom>
      <diagonal/>
    </border>
    <border>
      <left/>
      <right style="thin">
        <color indexed="64"/>
      </right>
      <top style="thin">
        <color theme="1" tint="0.499984740745262"/>
      </top>
      <bottom style="thin">
        <color indexed="64"/>
      </bottom>
      <diagonal/>
    </border>
    <border>
      <left/>
      <right style="thin">
        <color indexed="64"/>
      </right>
      <top style="thin">
        <color indexed="64"/>
      </top>
      <bottom style="thin">
        <color theme="1" tint="0.499984740745262"/>
      </bottom>
      <diagonal/>
    </border>
  </borders>
  <cellStyleXfs count="2">
    <xf numFmtId="0" fontId="0" fillId="0" borderId="0"/>
    <xf numFmtId="0" fontId="1" fillId="0" borderId="0"/>
  </cellStyleXfs>
  <cellXfs count="292">
    <xf numFmtId="0" fontId="0" fillId="0" borderId="0" xfId="0"/>
    <xf numFmtId="0" fontId="1" fillId="0" borderId="0" xfId="0" applyFont="1"/>
    <xf numFmtId="0" fontId="1" fillId="0" borderId="0" xfId="0" applyFont="1" applyAlignment="1">
      <alignment vertical="center"/>
    </xf>
    <xf numFmtId="0" fontId="5"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5" fillId="2" borderId="5" xfId="0" applyFont="1" applyFill="1" applyBorder="1"/>
    <xf numFmtId="0" fontId="5" fillId="2" borderId="0" xfId="0" applyFont="1" applyFill="1"/>
    <xf numFmtId="0" fontId="5" fillId="2" borderId="6" xfId="0" applyFont="1" applyFill="1" applyBorder="1"/>
    <xf numFmtId="0" fontId="5" fillId="2" borderId="7" xfId="0" applyFont="1" applyFill="1" applyBorder="1"/>
    <xf numFmtId="0" fontId="5" fillId="2" borderId="8" xfId="0" applyFont="1" applyFill="1" applyBorder="1"/>
    <xf numFmtId="0" fontId="6" fillId="0" borderId="0" xfId="0" applyFont="1"/>
    <xf numFmtId="0" fontId="4" fillId="0" borderId="0" xfId="0" applyFont="1"/>
    <xf numFmtId="49" fontId="1" fillId="0" borderId="0" xfId="0" applyNumberFormat="1" applyFont="1"/>
    <xf numFmtId="0" fontId="5" fillId="0" borderId="0" xfId="0" applyFont="1"/>
    <xf numFmtId="0" fontId="5" fillId="0" borderId="0" xfId="0" applyFont="1" applyAlignment="1">
      <alignment vertical="center"/>
    </xf>
    <xf numFmtId="0" fontId="9" fillId="0" borderId="0" xfId="0" applyFont="1"/>
    <xf numFmtId="0" fontId="4" fillId="0" borderId="0" xfId="0" applyFont="1" applyAlignment="1">
      <alignment vertical="center"/>
    </xf>
    <xf numFmtId="0" fontId="4" fillId="0" borderId="10" xfId="0" applyFont="1" applyBorder="1" applyAlignment="1">
      <alignment vertical="center"/>
    </xf>
    <xf numFmtId="0" fontId="4" fillId="0" borderId="9" xfId="0" applyFont="1" applyBorder="1" applyAlignment="1">
      <alignment vertical="center"/>
    </xf>
    <xf numFmtId="0" fontId="12" fillId="0" borderId="0" xfId="0" applyFont="1"/>
    <xf numFmtId="0" fontId="6" fillId="0" borderId="9" xfId="0" applyFont="1" applyBorder="1" applyAlignment="1">
      <alignment vertical="center"/>
    </xf>
    <xf numFmtId="0" fontId="6" fillId="0" borderId="0" xfId="0" applyFont="1" applyAlignment="1">
      <alignment vertical="center"/>
    </xf>
    <xf numFmtId="0" fontId="6" fillId="0" borderId="10" xfId="0" applyFont="1" applyBorder="1" applyAlignment="1">
      <alignment vertical="center"/>
    </xf>
    <xf numFmtId="0" fontId="12" fillId="0" borderId="0" xfId="0" applyFont="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12" xfId="0" applyFont="1" applyBorder="1"/>
    <xf numFmtId="0" fontId="12" fillId="0" borderId="12" xfId="0" applyFont="1" applyBorder="1" applyAlignment="1">
      <alignment vertical="center"/>
    </xf>
    <xf numFmtId="0" fontId="6" fillId="0" borderId="14" xfId="0" applyFont="1" applyBorder="1" applyAlignment="1">
      <alignment vertical="center"/>
    </xf>
    <xf numFmtId="0" fontId="6" fillId="6" borderId="1" xfId="0" applyFont="1" applyFill="1" applyBorder="1" applyAlignment="1">
      <alignment vertical="center"/>
    </xf>
    <xf numFmtId="0" fontId="6" fillId="6" borderId="2" xfId="0" applyFont="1" applyFill="1" applyBorder="1" applyAlignment="1">
      <alignment vertical="center"/>
    </xf>
    <xf numFmtId="0" fontId="6" fillId="6" borderId="3" xfId="0" applyFont="1" applyFill="1" applyBorder="1" applyAlignment="1">
      <alignment vertical="center"/>
    </xf>
    <xf numFmtId="0" fontId="6" fillId="6" borderId="5" xfId="0" applyFont="1" applyFill="1" applyBorder="1" applyAlignment="1">
      <alignment vertical="center"/>
    </xf>
    <xf numFmtId="0" fontId="13" fillId="6" borderId="0" xfId="0" applyFont="1" applyFill="1" applyAlignment="1">
      <alignment vertical="center"/>
    </xf>
    <xf numFmtId="0" fontId="6" fillId="6" borderId="0" xfId="0" applyFont="1" applyFill="1" applyAlignment="1">
      <alignment vertical="center"/>
    </xf>
    <xf numFmtId="0" fontId="12" fillId="6" borderId="0" xfId="0" applyFont="1" applyFill="1" applyAlignment="1">
      <alignment vertical="center"/>
    </xf>
    <xf numFmtId="0" fontId="6" fillId="6" borderId="4" xfId="0" applyFont="1" applyFill="1" applyBorder="1" applyAlignment="1">
      <alignment vertical="center"/>
    </xf>
    <xf numFmtId="0" fontId="6" fillId="6" borderId="0" xfId="0" applyFont="1" applyFill="1"/>
    <xf numFmtId="0" fontId="6" fillId="6" borderId="4" xfId="0" applyFont="1" applyFill="1" applyBorder="1"/>
    <xf numFmtId="0" fontId="6" fillId="6" borderId="6" xfId="0" applyFont="1" applyFill="1" applyBorder="1" applyAlignment="1">
      <alignment vertical="center"/>
    </xf>
    <xf numFmtId="0" fontId="6" fillId="6" borderId="7" xfId="0" applyFont="1" applyFill="1" applyBorder="1" applyAlignment="1">
      <alignment vertical="center"/>
    </xf>
    <xf numFmtId="0" fontId="12" fillId="6" borderId="7" xfId="0" applyFont="1" applyFill="1" applyBorder="1" applyAlignment="1">
      <alignment vertical="center"/>
    </xf>
    <xf numFmtId="0" fontId="6" fillId="6" borderId="7" xfId="0" applyFont="1" applyFill="1" applyBorder="1"/>
    <xf numFmtId="0" fontId="6" fillId="6" borderId="8" xfId="0" applyFont="1" applyFill="1" applyBorder="1"/>
    <xf numFmtId="0" fontId="13" fillId="0" borderId="0" xfId="0" applyFont="1" applyAlignment="1">
      <alignment vertical="center"/>
    </xf>
    <xf numFmtId="0" fontId="14" fillId="0" borderId="9" xfId="0" applyFont="1" applyBorder="1" applyAlignment="1">
      <alignment vertical="center"/>
    </xf>
    <xf numFmtId="0" fontId="14" fillId="0" borderId="0" xfId="0" quotePrefix="1" applyFont="1" applyAlignment="1">
      <alignment vertical="center"/>
    </xf>
    <xf numFmtId="0" fontId="1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9" xfId="0" applyFont="1" applyBorder="1" applyAlignment="1">
      <alignment vertical="center"/>
    </xf>
    <xf numFmtId="0" fontId="4" fillId="0" borderId="5" xfId="0" applyFont="1" applyBorder="1" applyAlignment="1">
      <alignment vertical="center"/>
    </xf>
    <xf numFmtId="0" fontId="15" fillId="0" borderId="0" xfId="0" applyFont="1" applyAlignment="1">
      <alignment vertical="center"/>
    </xf>
    <xf numFmtId="0" fontId="4" fillId="0" borderId="13" xfId="0" applyFont="1" applyBorder="1" applyAlignment="1">
      <alignment vertical="center"/>
    </xf>
    <xf numFmtId="0" fontId="4" fillId="0" borderId="12" xfId="0" applyFont="1" applyBorder="1" applyAlignment="1">
      <alignment vertical="center"/>
    </xf>
    <xf numFmtId="0" fontId="4" fillId="0" borderId="14" xfId="0" applyFont="1" applyBorder="1" applyAlignment="1">
      <alignment vertical="center"/>
    </xf>
    <xf numFmtId="0" fontId="6" fillId="0" borderId="9" xfId="0" applyFont="1" applyBorder="1" applyAlignment="1">
      <alignment horizontal="left" vertical="center"/>
    </xf>
    <xf numFmtId="0" fontId="6" fillId="0" borderId="0" xfId="0" applyFont="1" applyAlignment="1">
      <alignment horizontal="left" vertical="center"/>
    </xf>
    <xf numFmtId="0" fontId="6" fillId="0" borderId="10" xfId="0" applyFont="1" applyBorder="1" applyAlignment="1">
      <alignment horizontal="left" vertical="center"/>
    </xf>
    <xf numFmtId="0" fontId="16" fillId="0" borderId="0" xfId="0" applyFont="1" applyAlignment="1">
      <alignmen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4" xfId="0" applyFont="1" applyBorder="1" applyAlignment="1">
      <alignment horizontal="left" vertical="center"/>
    </xf>
    <xf numFmtId="0" fontId="6" fillId="8" borderId="52" xfId="0" applyFont="1" applyFill="1" applyBorder="1" applyAlignment="1">
      <alignment horizontal="left" vertical="center"/>
    </xf>
    <xf numFmtId="0" fontId="6" fillId="8" borderId="53" xfId="0" applyFont="1" applyFill="1" applyBorder="1" applyAlignment="1">
      <alignment horizontal="left" vertical="center"/>
    </xf>
    <xf numFmtId="0" fontId="6" fillId="8" borderId="54" xfId="0" applyFont="1" applyFill="1" applyBorder="1" applyAlignment="1">
      <alignment horizontal="left" vertical="center"/>
    </xf>
    <xf numFmtId="0" fontId="6" fillId="6" borderId="52" xfId="0" applyFont="1" applyFill="1" applyBorder="1" applyAlignment="1">
      <alignment horizontal="left" vertical="center"/>
    </xf>
    <xf numFmtId="0" fontId="6" fillId="6" borderId="53" xfId="0" applyFont="1" applyFill="1" applyBorder="1" applyAlignment="1">
      <alignment horizontal="left" vertical="center"/>
    </xf>
    <xf numFmtId="0" fontId="6" fillId="6" borderId="54" xfId="0" applyFont="1" applyFill="1" applyBorder="1" applyAlignment="1">
      <alignment horizontal="left" vertical="center"/>
    </xf>
    <xf numFmtId="49" fontId="6" fillId="6" borderId="25" xfId="0" quotePrefix="1" applyNumberFormat="1" applyFont="1" applyFill="1" applyBorder="1" applyAlignment="1">
      <alignment horizontal="left" vertical="center"/>
    </xf>
    <xf numFmtId="0" fontId="6" fillId="6" borderId="26" xfId="0" applyFont="1" applyFill="1" applyBorder="1" applyAlignment="1">
      <alignment horizontal="left" vertical="center"/>
    </xf>
    <xf numFmtId="0" fontId="6" fillId="6" borderId="27" xfId="0" applyFont="1" applyFill="1" applyBorder="1" applyAlignment="1">
      <alignment horizontal="left" vertical="center"/>
    </xf>
    <xf numFmtId="49" fontId="6" fillId="6" borderId="19" xfId="0" quotePrefix="1" applyNumberFormat="1" applyFont="1" applyFill="1" applyBorder="1" applyAlignment="1">
      <alignment horizontal="left" vertical="center"/>
    </xf>
    <xf numFmtId="0" fontId="6" fillId="6" borderId="15" xfId="0" applyFont="1" applyFill="1" applyBorder="1" applyAlignment="1">
      <alignment horizontal="left" vertical="center"/>
    </xf>
    <xf numFmtId="0" fontId="6" fillId="6" borderId="16" xfId="0" applyFont="1" applyFill="1" applyBorder="1" applyAlignment="1">
      <alignment horizontal="left" vertical="center"/>
    </xf>
    <xf numFmtId="0" fontId="21" fillId="0" borderId="0" xfId="0" applyFont="1" applyAlignment="1">
      <alignment horizontal="left" vertical="center"/>
    </xf>
    <xf numFmtId="0" fontId="21" fillId="0" borderId="0" xfId="0" applyFont="1" applyAlignment="1">
      <alignment vertical="center"/>
    </xf>
    <xf numFmtId="0" fontId="22" fillId="0" borderId="0" xfId="0" applyFont="1" applyAlignment="1">
      <alignment vertical="center"/>
    </xf>
    <xf numFmtId="0" fontId="5" fillId="5" borderId="21" xfId="0" applyFont="1" applyFill="1" applyBorder="1" applyAlignment="1">
      <alignment vertical="center"/>
    </xf>
    <xf numFmtId="0" fontId="5" fillId="0" borderId="21" xfId="0" applyFont="1" applyBorder="1" applyAlignment="1">
      <alignment vertical="center"/>
    </xf>
    <xf numFmtId="14" fontId="5" fillId="0" borderId="21" xfId="0" applyNumberFormat="1" applyFont="1" applyBorder="1" applyAlignment="1">
      <alignment horizontal="left" vertical="center"/>
    </xf>
    <xf numFmtId="0" fontId="5" fillId="0" borderId="21" xfId="0" applyFont="1" applyBorder="1" applyAlignment="1">
      <alignment horizontal="left" vertical="center"/>
    </xf>
    <xf numFmtId="0" fontId="7" fillId="2" borderId="5" xfId="0" applyFont="1" applyFill="1" applyBorder="1" applyAlignment="1">
      <alignment horizontal="center" vertical="center"/>
    </xf>
    <xf numFmtId="0" fontId="7" fillId="2" borderId="0" xfId="0" applyFont="1" applyFill="1" applyAlignment="1">
      <alignment horizontal="center" vertical="center"/>
    </xf>
    <xf numFmtId="0" fontId="5" fillId="3" borderId="21" xfId="0" applyFont="1" applyFill="1" applyBorder="1" applyAlignment="1">
      <alignment horizontal="center" vertical="center"/>
    </xf>
    <xf numFmtId="14" fontId="8" fillId="0" borderId="0" xfId="0" applyNumberFormat="1" applyFont="1" applyAlignment="1">
      <alignment horizontal="center"/>
    </xf>
    <xf numFmtId="0" fontId="8" fillId="0" borderId="0" xfId="0" applyFont="1" applyAlignment="1">
      <alignment horizontal="center"/>
    </xf>
    <xf numFmtId="0" fontId="5" fillId="0" borderId="7" xfId="0" applyFont="1" applyBorder="1" applyAlignment="1">
      <alignment vertical="center"/>
    </xf>
    <xf numFmtId="0" fontId="4" fillId="0" borderId="21" xfId="0" applyFont="1" applyBorder="1" applyAlignment="1">
      <alignment horizontal="center" vertical="center"/>
    </xf>
    <xf numFmtId="177" fontId="4" fillId="0" borderId="21" xfId="0" applyNumberFormat="1" applyFont="1" applyBorder="1" applyAlignment="1">
      <alignment horizontal="center" vertical="center"/>
    </xf>
    <xf numFmtId="31" fontId="4" fillId="0" borderId="21" xfId="0" applyNumberFormat="1" applyFont="1" applyBorder="1" applyAlignment="1">
      <alignment horizontal="center" vertical="center"/>
    </xf>
    <xf numFmtId="0" fontId="20" fillId="0" borderId="21" xfId="0" applyFont="1" applyBorder="1" applyAlignment="1">
      <alignment vertical="center" wrapText="1"/>
    </xf>
    <xf numFmtId="0" fontId="20" fillId="0" borderId="21" xfId="0" applyFont="1" applyBorder="1" applyAlignment="1">
      <alignment vertical="center"/>
    </xf>
    <xf numFmtId="0" fontId="20" fillId="0" borderId="21" xfId="0" applyFont="1" applyBorder="1" applyAlignment="1">
      <alignment horizontal="left" vertical="center"/>
    </xf>
    <xf numFmtId="0" fontId="4" fillId="0" borderId="21" xfId="0" applyFont="1" applyBorder="1" applyAlignment="1">
      <alignment vertical="center"/>
    </xf>
    <xf numFmtId="0" fontId="4" fillId="0" borderId="21" xfId="0" applyFont="1" applyBorder="1" applyAlignment="1">
      <alignment vertical="center" wrapText="1"/>
    </xf>
    <xf numFmtId="0" fontId="4" fillId="0" borderId="21" xfId="0" applyFont="1" applyBorder="1" applyAlignment="1">
      <alignment horizontal="left" vertical="center"/>
    </xf>
    <xf numFmtId="0" fontId="20" fillId="0" borderId="21" xfId="0" applyFont="1" applyBorder="1" applyAlignment="1">
      <alignment horizontal="center" vertical="center"/>
    </xf>
    <xf numFmtId="0" fontId="4" fillId="6" borderId="20"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177" fontId="20" fillId="0" borderId="21" xfId="0" applyNumberFormat="1" applyFont="1" applyBorder="1" applyAlignment="1">
      <alignment horizontal="center" vertical="center"/>
    </xf>
    <xf numFmtId="31" fontId="20" fillId="0" borderId="21" xfId="0" applyNumberFormat="1" applyFont="1" applyBorder="1" applyAlignment="1">
      <alignment horizontal="center" vertical="center"/>
    </xf>
    <xf numFmtId="176" fontId="4" fillId="6" borderId="19" xfId="0" applyNumberFormat="1" applyFont="1" applyFill="1" applyBorder="1" applyAlignment="1">
      <alignment horizontal="center" vertical="center"/>
    </xf>
    <xf numFmtId="176" fontId="4" fillId="6" borderId="15" xfId="0" applyNumberFormat="1" applyFont="1" applyFill="1" applyBorder="1" applyAlignment="1">
      <alignment horizontal="center" vertical="center"/>
    </xf>
    <xf numFmtId="176" fontId="4" fillId="6" borderId="16"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177" fontId="4" fillId="6" borderId="19" xfId="0" applyNumberFormat="1" applyFont="1" applyFill="1" applyBorder="1" applyAlignment="1">
      <alignment horizontal="center" vertical="center"/>
    </xf>
    <xf numFmtId="177" fontId="4" fillId="6" borderId="15" xfId="0" applyNumberFormat="1" applyFont="1" applyFill="1" applyBorder="1" applyAlignment="1">
      <alignment horizontal="center" vertical="center"/>
    </xf>
    <xf numFmtId="177" fontId="4" fillId="6" borderId="16" xfId="0" applyNumberFormat="1" applyFont="1" applyFill="1" applyBorder="1" applyAlignment="1">
      <alignment horizontal="center" vertical="center"/>
    </xf>
    <xf numFmtId="0" fontId="4" fillId="6" borderId="21" xfId="0" applyFont="1" applyFill="1" applyBorder="1" applyAlignment="1">
      <alignment vertical="center"/>
    </xf>
    <xf numFmtId="0" fontId="4" fillId="6" borderId="21" xfId="0" applyFont="1" applyFill="1" applyBorder="1" applyAlignment="1">
      <alignment horizontal="left" vertical="center"/>
    </xf>
    <xf numFmtId="0" fontId="4" fillId="6" borderId="19" xfId="0" applyFont="1" applyFill="1" applyBorder="1" applyAlignment="1">
      <alignment vertical="center"/>
    </xf>
    <xf numFmtId="0" fontId="4" fillId="6" borderId="15" xfId="0" applyFont="1" applyFill="1" applyBorder="1" applyAlignment="1">
      <alignment vertical="center"/>
    </xf>
    <xf numFmtId="0" fontId="4" fillId="6" borderId="16" xfId="0" applyFont="1" applyFill="1" applyBorder="1" applyAlignment="1">
      <alignment vertical="center"/>
    </xf>
    <xf numFmtId="0" fontId="5" fillId="4" borderId="17"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22" xfId="0" applyFont="1" applyFill="1" applyBorder="1" applyAlignment="1">
      <alignment horizontal="center" vertical="center"/>
    </xf>
    <xf numFmtId="0" fontId="5" fillId="0" borderId="33" xfId="0" applyFont="1" applyBorder="1" applyAlignment="1">
      <alignment horizontal="left" vertical="center"/>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4" borderId="36" xfId="0" applyFont="1" applyFill="1" applyBorder="1" applyAlignment="1">
      <alignment vertical="center"/>
    </xf>
    <xf numFmtId="0" fontId="5" fillId="4" borderId="35" xfId="0" applyFont="1" applyFill="1" applyBorder="1" applyAlignment="1">
      <alignment vertical="center"/>
    </xf>
    <xf numFmtId="0" fontId="5" fillId="0" borderId="35" xfId="0" applyFont="1" applyBorder="1" applyAlignment="1">
      <alignment vertical="center"/>
    </xf>
    <xf numFmtId="0" fontId="5" fillId="0" borderId="35" xfId="0" applyFont="1" applyBorder="1" applyAlignment="1">
      <alignment horizontal="center" vertical="center"/>
    </xf>
    <xf numFmtId="0" fontId="5" fillId="4" borderId="33" xfId="0" applyFont="1" applyFill="1" applyBorder="1" applyAlignment="1">
      <alignment horizontal="left" vertical="center"/>
    </xf>
    <xf numFmtId="0" fontId="5" fillId="4" borderId="23" xfId="0" applyFont="1" applyFill="1" applyBorder="1" applyAlignment="1">
      <alignment horizontal="left" vertical="center"/>
    </xf>
    <xf numFmtId="0" fontId="5" fillId="4" borderId="29" xfId="1" applyFont="1" applyFill="1" applyBorder="1" applyAlignment="1">
      <alignment vertical="center"/>
    </xf>
    <xf numFmtId="0" fontId="5" fillId="4" borderId="30" xfId="1" applyFont="1" applyFill="1" applyBorder="1" applyAlignment="1">
      <alignment vertical="center"/>
    </xf>
    <xf numFmtId="0" fontId="5" fillId="4" borderId="31" xfId="1" applyFont="1" applyFill="1" applyBorder="1" applyAlignment="1">
      <alignment vertical="center"/>
    </xf>
    <xf numFmtId="0" fontId="5" fillId="0" borderId="32" xfId="1" applyFont="1" applyBorder="1" applyAlignment="1">
      <alignment vertical="center" wrapText="1"/>
    </xf>
    <xf numFmtId="0" fontId="5" fillId="0" borderId="30" xfId="1" applyFont="1" applyBorder="1" applyAlignment="1">
      <alignment vertical="center" wrapText="1"/>
    </xf>
    <xf numFmtId="0" fontId="5" fillId="0" borderId="31" xfId="1" applyFont="1" applyBorder="1" applyAlignment="1">
      <alignment vertical="center" wrapText="1"/>
    </xf>
    <xf numFmtId="0" fontId="5" fillId="0" borderId="13" xfId="1" applyFont="1" applyBorder="1" applyAlignment="1">
      <alignment horizontal="left" vertical="center"/>
    </xf>
    <xf numFmtId="0" fontId="5" fillId="0" borderId="12" xfId="1" applyFont="1" applyBorder="1" applyAlignment="1">
      <alignment horizontal="left" vertical="center"/>
    </xf>
    <xf numFmtId="0" fontId="5" fillId="0" borderId="18" xfId="1" applyFont="1" applyBorder="1" applyAlignment="1">
      <alignment horizontal="left" vertical="center"/>
    </xf>
    <xf numFmtId="0" fontId="5" fillId="4" borderId="32" xfId="1" applyFont="1" applyFill="1" applyBorder="1" applyAlignment="1">
      <alignment horizontal="center" vertical="center"/>
    </xf>
    <xf numFmtId="0" fontId="5" fillId="4" borderId="30" xfId="1" applyFont="1" applyFill="1" applyBorder="1" applyAlignment="1">
      <alignment horizontal="center" vertical="center"/>
    </xf>
    <xf numFmtId="0" fontId="5" fillId="4" borderId="31" xfId="1" applyFont="1" applyFill="1" applyBorder="1" applyAlignment="1">
      <alignment horizontal="center" vertical="center"/>
    </xf>
    <xf numFmtId="0" fontId="5" fillId="0" borderId="32" xfId="1" applyFont="1" applyBorder="1" applyAlignment="1">
      <alignment horizontal="left" vertical="center"/>
    </xf>
    <xf numFmtId="0" fontId="5" fillId="0" borderId="30" xfId="1" applyFont="1" applyBorder="1" applyAlignment="1">
      <alignment horizontal="left" vertical="center"/>
    </xf>
    <xf numFmtId="0" fontId="5" fillId="0" borderId="31" xfId="1" applyFont="1" applyBorder="1" applyAlignment="1">
      <alignment horizontal="left" vertical="center"/>
    </xf>
    <xf numFmtId="31" fontId="5" fillId="0" borderId="25" xfId="1" applyNumberFormat="1" applyFont="1" applyBorder="1" applyAlignment="1">
      <alignment horizontal="center" vertical="center"/>
    </xf>
    <xf numFmtId="31" fontId="5" fillId="0" borderId="26" xfId="1" applyNumberFormat="1" applyFont="1" applyBorder="1" applyAlignment="1">
      <alignment horizontal="center" vertical="center"/>
    </xf>
    <xf numFmtId="31" fontId="5" fillId="0" borderId="27" xfId="1" applyNumberFormat="1" applyFont="1" applyBorder="1" applyAlignment="1">
      <alignment horizontal="center" vertical="center"/>
    </xf>
    <xf numFmtId="0" fontId="5" fillId="4" borderId="33" xfId="1" applyFont="1" applyFill="1" applyBorder="1" applyAlignment="1">
      <alignment horizontal="center" vertical="center"/>
    </xf>
    <xf numFmtId="0" fontId="5" fillId="4" borderId="23" xfId="1" applyFont="1" applyFill="1" applyBorder="1" applyAlignment="1">
      <alignment horizontal="center" vertical="center"/>
    </xf>
    <xf numFmtId="0" fontId="5" fillId="4" borderId="34" xfId="1" applyFont="1" applyFill="1" applyBorder="1" applyAlignment="1">
      <alignment horizontal="center" vertical="center"/>
    </xf>
    <xf numFmtId="0" fontId="5" fillId="4" borderId="5" xfId="1" applyFont="1" applyFill="1" applyBorder="1" applyAlignment="1">
      <alignment horizontal="center" vertical="center"/>
    </xf>
    <xf numFmtId="0" fontId="5" fillId="4" borderId="0" xfId="1" applyFont="1" applyFill="1" applyAlignment="1">
      <alignment horizontal="center" vertical="center"/>
    </xf>
    <xf numFmtId="0" fontId="5" fillId="4" borderId="4" xfId="1" applyFont="1" applyFill="1" applyBorder="1" applyAlignment="1">
      <alignment horizontal="center" vertical="center"/>
    </xf>
    <xf numFmtId="0" fontId="5" fillId="4" borderId="13" xfId="1" applyFont="1" applyFill="1" applyBorder="1" applyAlignment="1">
      <alignment horizontal="center" vertical="center"/>
    </xf>
    <xf numFmtId="0" fontId="5" fillId="4" borderId="12" xfId="1" applyFont="1" applyFill="1" applyBorder="1" applyAlignment="1">
      <alignment horizontal="center" vertical="center"/>
    </xf>
    <xf numFmtId="0" fontId="5" fillId="4" borderId="18" xfId="1" applyFont="1" applyFill="1" applyBorder="1" applyAlignment="1">
      <alignment horizontal="center" vertical="center"/>
    </xf>
    <xf numFmtId="0" fontId="5" fillId="0" borderId="33" xfId="1" applyFont="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5" xfId="1" applyFont="1" applyBorder="1" applyAlignment="1">
      <alignment horizontal="center" vertical="center"/>
    </xf>
    <xf numFmtId="0" fontId="5" fillId="0" borderId="0" xfId="1" applyFont="1" applyAlignment="1">
      <alignment horizontal="center" vertical="center"/>
    </xf>
    <xf numFmtId="0" fontId="5" fillId="0" borderId="10" xfId="1" applyFont="1" applyBorder="1" applyAlignment="1">
      <alignment horizontal="center" vertical="center"/>
    </xf>
    <xf numFmtId="0" fontId="5" fillId="0" borderId="13" xfId="1" applyFont="1" applyBorder="1" applyAlignment="1">
      <alignment horizontal="center" vertical="center"/>
    </xf>
    <xf numFmtId="0" fontId="5" fillId="0" borderId="12" xfId="1" applyFont="1" applyBorder="1" applyAlignment="1">
      <alignment horizontal="center" vertical="center"/>
    </xf>
    <xf numFmtId="0" fontId="5" fillId="0" borderId="14" xfId="1" applyFont="1" applyBorder="1" applyAlignment="1">
      <alignment horizontal="center" vertical="center"/>
    </xf>
    <xf numFmtId="0" fontId="5" fillId="4" borderId="17" xfId="1" applyFont="1" applyFill="1" applyBorder="1" applyAlignment="1">
      <alignment vertical="center"/>
    </xf>
    <xf numFmtId="0" fontId="5" fillId="4" borderId="15" xfId="1" applyFont="1" applyFill="1" applyBorder="1" applyAlignment="1">
      <alignment vertical="center"/>
    </xf>
    <xf numFmtId="0" fontId="5" fillId="4" borderId="16" xfId="1" applyFont="1" applyFill="1" applyBorder="1" applyAlignment="1">
      <alignment vertical="center"/>
    </xf>
    <xf numFmtId="0" fontId="5" fillId="0" borderId="19" xfId="1" applyFont="1" applyBorder="1" applyAlignment="1">
      <alignment vertical="center" wrapText="1"/>
    </xf>
    <xf numFmtId="0" fontId="5" fillId="0" borderId="15" xfId="1" applyFont="1" applyBorder="1" applyAlignment="1">
      <alignment vertical="center" wrapText="1"/>
    </xf>
    <xf numFmtId="0" fontId="5" fillId="0" borderId="16" xfId="1" applyFont="1" applyBorder="1" applyAlignment="1">
      <alignment vertical="center" wrapText="1"/>
    </xf>
    <xf numFmtId="0" fontId="5" fillId="4" borderId="1" xfId="1" applyFont="1" applyFill="1" applyBorder="1" applyAlignment="1">
      <alignment horizontal="center" vertical="center"/>
    </xf>
    <xf numFmtId="0" fontId="5" fillId="4" borderId="2" xfId="1" applyFont="1" applyFill="1" applyBorder="1" applyAlignment="1">
      <alignment horizontal="center" vertical="center"/>
    </xf>
    <xf numFmtId="0" fontId="5" fillId="4" borderId="3" xfId="1" applyFont="1" applyFill="1" applyBorder="1" applyAlignment="1">
      <alignment horizontal="center" vertical="center"/>
    </xf>
    <xf numFmtId="0" fontId="5" fillId="0" borderId="1" xfId="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5" fillId="4" borderId="19" xfId="1" applyFont="1" applyFill="1" applyBorder="1" applyAlignment="1">
      <alignment horizontal="center" vertical="center"/>
    </xf>
    <xf numFmtId="0" fontId="5" fillId="4" borderId="15" xfId="1" applyFont="1" applyFill="1" applyBorder="1" applyAlignment="1">
      <alignment horizontal="center" vertical="center"/>
    </xf>
    <xf numFmtId="0" fontId="5" fillId="4" borderId="16" xfId="1" applyFont="1" applyFill="1" applyBorder="1" applyAlignment="1">
      <alignment horizontal="center" vertical="center"/>
    </xf>
    <xf numFmtId="0" fontId="5" fillId="0" borderId="19"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31" fontId="5" fillId="0" borderId="19" xfId="1" applyNumberFormat="1" applyFont="1" applyBorder="1" applyAlignment="1">
      <alignment horizontal="center" vertical="center"/>
    </xf>
    <xf numFmtId="31" fontId="5" fillId="0" borderId="15" xfId="1" applyNumberFormat="1" applyFont="1" applyBorder="1" applyAlignment="1">
      <alignment horizontal="center" vertical="center"/>
    </xf>
    <xf numFmtId="31" fontId="5" fillId="0" borderId="16" xfId="1" applyNumberFormat="1" applyFont="1" applyBorder="1" applyAlignment="1">
      <alignment horizontal="center" vertical="center"/>
    </xf>
    <xf numFmtId="0" fontId="5" fillId="4" borderId="28" xfId="1" applyFont="1" applyFill="1" applyBorder="1" applyAlignment="1">
      <alignment vertical="center"/>
    </xf>
    <xf numFmtId="0" fontId="5" fillId="4" borderId="26" xfId="1" applyFont="1" applyFill="1" applyBorder="1" applyAlignment="1">
      <alignment vertical="center"/>
    </xf>
    <xf numFmtId="0" fontId="5" fillId="4" borderId="27" xfId="1" applyFont="1" applyFill="1" applyBorder="1" applyAlignment="1">
      <alignment vertical="center"/>
    </xf>
    <xf numFmtId="0" fontId="5" fillId="0" borderId="25" xfId="1" applyFont="1" applyBorder="1" applyAlignment="1">
      <alignment vertical="center"/>
    </xf>
    <xf numFmtId="0" fontId="5" fillId="0" borderId="26" xfId="1" applyFont="1" applyBorder="1" applyAlignment="1">
      <alignment vertical="center"/>
    </xf>
    <xf numFmtId="0" fontId="5" fillId="0" borderId="27" xfId="1" applyFont="1" applyBorder="1" applyAlignment="1">
      <alignment vertical="center"/>
    </xf>
    <xf numFmtId="0" fontId="5" fillId="4" borderId="25" xfId="1" applyFont="1" applyFill="1" applyBorder="1" applyAlignment="1">
      <alignment horizontal="center" vertical="center"/>
    </xf>
    <xf numFmtId="0" fontId="5" fillId="4" borderId="26" xfId="1" applyFont="1" applyFill="1" applyBorder="1" applyAlignment="1">
      <alignment horizontal="center" vertical="center"/>
    </xf>
    <xf numFmtId="0" fontId="5" fillId="4" borderId="27" xfId="1" applyFont="1" applyFill="1" applyBorder="1" applyAlignment="1">
      <alignment horizontal="center" vertical="center"/>
    </xf>
    <xf numFmtId="0" fontId="5" fillId="0" borderId="25" xfId="1" applyFont="1" applyBorder="1" applyAlignment="1">
      <alignment horizontal="left" vertical="center"/>
    </xf>
    <xf numFmtId="0" fontId="5" fillId="0" borderId="26" xfId="1" applyFont="1" applyBorder="1" applyAlignment="1">
      <alignment horizontal="left" vertical="center"/>
    </xf>
    <xf numFmtId="0" fontId="5" fillId="0" borderId="27" xfId="1" applyFont="1" applyBorder="1" applyAlignment="1">
      <alignment horizontal="lef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19" fillId="0" borderId="65" xfId="0" applyFont="1" applyBorder="1" applyAlignment="1">
      <alignment horizontal="center" vertical="center"/>
    </xf>
    <xf numFmtId="0" fontId="19" fillId="0" borderId="66" xfId="0" applyFont="1" applyBorder="1" applyAlignment="1">
      <alignment horizontal="center" vertical="center"/>
    </xf>
    <xf numFmtId="0" fontId="19" fillId="0" borderId="67" xfId="0" applyFont="1" applyBorder="1" applyAlignment="1">
      <alignment horizontal="center" vertical="center"/>
    </xf>
    <xf numFmtId="0" fontId="19" fillId="0" borderId="68" xfId="0" applyFont="1" applyBorder="1" applyAlignment="1">
      <alignment horizontal="center" vertical="center"/>
    </xf>
    <xf numFmtId="0" fontId="19" fillId="0" borderId="69" xfId="0" applyFont="1" applyBorder="1" applyAlignment="1">
      <alignment horizontal="center" vertical="center"/>
    </xf>
    <xf numFmtId="0" fontId="19" fillId="0" borderId="70" xfId="0" applyFont="1" applyBorder="1" applyAlignment="1">
      <alignment horizontal="center" vertical="center"/>
    </xf>
    <xf numFmtId="0" fontId="17" fillId="9" borderId="65" xfId="0" applyFont="1" applyFill="1" applyBorder="1" applyAlignment="1">
      <alignment horizontal="center" vertical="center"/>
    </xf>
    <xf numFmtId="0" fontId="17" fillId="9" borderId="66" xfId="0" applyFont="1" applyFill="1" applyBorder="1" applyAlignment="1">
      <alignment horizontal="center" vertical="center"/>
    </xf>
    <xf numFmtId="0" fontId="17" fillId="9" borderId="67" xfId="0" applyFont="1" applyFill="1" applyBorder="1" applyAlignment="1">
      <alignment horizontal="center" vertical="center"/>
    </xf>
    <xf numFmtId="0" fontId="17" fillId="9" borderId="68" xfId="0" applyFont="1" applyFill="1" applyBorder="1" applyAlignment="1">
      <alignment horizontal="center" vertical="center"/>
    </xf>
    <xf numFmtId="0" fontId="17" fillId="9" borderId="69" xfId="0" applyFont="1" applyFill="1" applyBorder="1" applyAlignment="1">
      <alignment horizontal="center" vertical="center"/>
    </xf>
    <xf numFmtId="0" fontId="17" fillId="9" borderId="70" xfId="0" applyFont="1" applyFill="1" applyBorder="1" applyAlignment="1">
      <alignment horizontal="center" vertical="center"/>
    </xf>
    <xf numFmtId="0" fontId="19" fillId="6" borderId="71" xfId="0" applyFont="1" applyFill="1" applyBorder="1" applyAlignment="1">
      <alignment horizontal="center" vertical="center"/>
    </xf>
    <xf numFmtId="0" fontId="19" fillId="6" borderId="66" xfId="0" applyFont="1" applyFill="1" applyBorder="1" applyAlignment="1">
      <alignment horizontal="center" vertical="center"/>
    </xf>
    <xf numFmtId="0" fontId="19" fillId="6" borderId="67" xfId="0" applyFont="1" applyFill="1" applyBorder="1" applyAlignment="1">
      <alignment horizontal="center" vertical="center"/>
    </xf>
    <xf numFmtId="0" fontId="19" fillId="6" borderId="72" xfId="0" applyFont="1" applyFill="1" applyBorder="1" applyAlignment="1">
      <alignment horizontal="center" vertical="center"/>
    </xf>
    <xf numFmtId="0" fontId="19" fillId="6" borderId="69" xfId="0" applyFont="1" applyFill="1" applyBorder="1" applyAlignment="1">
      <alignment horizontal="center" vertical="center"/>
    </xf>
    <xf numFmtId="0" fontId="19" fillId="6" borderId="70" xfId="0" applyFont="1" applyFill="1" applyBorder="1" applyAlignment="1">
      <alignment horizontal="center" vertical="center"/>
    </xf>
    <xf numFmtId="0" fontId="6" fillId="0" borderId="21" xfId="0" applyFont="1" applyBorder="1" applyAlignment="1">
      <alignment horizontal="left" vertical="center"/>
    </xf>
    <xf numFmtId="0" fontId="6" fillId="0" borderId="21" xfId="0" applyFont="1" applyBorder="1" applyAlignment="1">
      <alignment horizontal="center" vertical="center"/>
    </xf>
    <xf numFmtId="0" fontId="6" fillId="0" borderId="19"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7" borderId="19" xfId="0" applyFont="1" applyFill="1" applyBorder="1" applyAlignment="1">
      <alignment horizontal="center" vertical="center"/>
    </xf>
    <xf numFmtId="0" fontId="6" fillId="7" borderId="15" xfId="0" applyFont="1" applyFill="1" applyBorder="1" applyAlignment="1">
      <alignment horizontal="center" vertical="center"/>
    </xf>
    <xf numFmtId="0" fontId="6" fillId="7" borderId="16" xfId="0" applyFont="1" applyFill="1" applyBorder="1" applyAlignment="1">
      <alignment horizontal="center" vertical="center"/>
    </xf>
    <xf numFmtId="0" fontId="6" fillId="0" borderId="15" xfId="0" applyFont="1" applyBorder="1"/>
    <xf numFmtId="0" fontId="6" fillId="0" borderId="16" xfId="0" applyFont="1" applyBorder="1"/>
    <xf numFmtId="0" fontId="5" fillId="4" borderId="16" xfId="0" applyFont="1" applyFill="1" applyBorder="1" applyAlignment="1">
      <alignment horizontal="center" vertical="center"/>
    </xf>
    <xf numFmtId="0" fontId="5" fillId="4" borderId="19" xfId="0" applyFont="1" applyFill="1" applyBorder="1" applyAlignment="1">
      <alignment horizontal="center" vertical="center"/>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43" xfId="0" applyFont="1" applyBorder="1" applyAlignment="1">
      <alignment horizontal="left" vertical="center" shrinkToFit="1"/>
    </xf>
    <xf numFmtId="0" fontId="4" fillId="0" borderId="44" xfId="0" applyFont="1" applyBorder="1" applyAlignment="1">
      <alignment horizontal="left" vertical="center" shrinkToFit="1"/>
    </xf>
    <xf numFmtId="0" fontId="4" fillId="0" borderId="45" xfId="0" applyFont="1" applyBorder="1" applyAlignment="1">
      <alignment horizontal="left" vertical="center" shrinkToFit="1"/>
    </xf>
    <xf numFmtId="0" fontId="4" fillId="0" borderId="46" xfId="0" applyFont="1" applyBorder="1" applyAlignment="1">
      <alignment horizontal="left" vertical="center" shrinkToFit="1"/>
    </xf>
    <xf numFmtId="0" fontId="4" fillId="0" borderId="47" xfId="0" applyFont="1" applyBorder="1" applyAlignment="1">
      <alignment horizontal="left" vertical="center" shrinkToFit="1"/>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37" xfId="0" applyFont="1" applyBorder="1" applyAlignment="1">
      <alignment horizontal="left" vertical="center"/>
    </xf>
    <xf numFmtId="0" fontId="5" fillId="4" borderId="21"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25" xfId="0" applyFont="1" applyFill="1" applyBorder="1" applyAlignment="1">
      <alignment horizontal="left" vertical="center"/>
    </xf>
    <xf numFmtId="0" fontId="5" fillId="4" borderId="26" xfId="0" applyFont="1" applyFill="1" applyBorder="1" applyAlignment="1">
      <alignment horizontal="left" vertical="center"/>
    </xf>
    <xf numFmtId="0" fontId="6" fillId="0" borderId="21" xfId="0" applyFont="1" applyBorder="1" applyAlignment="1">
      <alignment vertical="center"/>
    </xf>
    <xf numFmtId="0" fontId="4" fillId="0" borderId="48" xfId="0" applyFont="1" applyBorder="1" applyAlignment="1">
      <alignment horizontal="left" vertical="center" shrinkToFit="1"/>
    </xf>
    <xf numFmtId="0" fontId="4" fillId="0" borderId="49" xfId="0" applyFont="1" applyBorder="1" applyAlignment="1">
      <alignment horizontal="left" vertical="center" shrinkToFit="1"/>
    </xf>
    <xf numFmtId="0" fontId="4" fillId="0" borderId="50" xfId="0" applyFont="1" applyBorder="1" applyAlignment="1">
      <alignment horizontal="left" vertical="center" shrinkToFit="1"/>
    </xf>
    <xf numFmtId="0" fontId="4" fillId="0" borderId="51" xfId="0" applyFont="1" applyBorder="1" applyAlignment="1">
      <alignment horizontal="left" vertical="center" shrinkToFit="1"/>
    </xf>
    <xf numFmtId="14" fontId="19" fillId="0" borderId="64" xfId="0" applyNumberFormat="1" applyFont="1" applyBorder="1" applyAlignment="1">
      <alignment horizontal="center" vertical="center"/>
    </xf>
    <xf numFmtId="0" fontId="19" fillId="0" borderId="64" xfId="0" applyFont="1" applyBorder="1" applyAlignment="1">
      <alignment horizontal="center" vertical="center"/>
    </xf>
    <xf numFmtId="0" fontId="19" fillId="0" borderId="63" xfId="0" applyFont="1" applyBorder="1" applyAlignment="1">
      <alignment horizontal="center" vertical="center"/>
    </xf>
    <xf numFmtId="0" fontId="19" fillId="0" borderId="56" xfId="0" applyFont="1" applyBorder="1" applyAlignment="1">
      <alignment horizontal="center" vertical="center"/>
    </xf>
    <xf numFmtId="0" fontId="19" fillId="0" borderId="60" xfId="0" applyFont="1" applyBorder="1" applyAlignment="1">
      <alignment horizontal="center" vertical="center"/>
    </xf>
    <xf numFmtId="0" fontId="17" fillId="9" borderId="57" xfId="0" applyFont="1" applyFill="1" applyBorder="1" applyAlignment="1">
      <alignment horizontal="center" vertical="center"/>
    </xf>
    <xf numFmtId="0" fontId="17" fillId="9" borderId="58" xfId="0" applyFont="1" applyFill="1" applyBorder="1" applyAlignment="1">
      <alignment horizontal="center" vertical="center"/>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7" fillId="9" borderId="61" xfId="0" applyFont="1" applyFill="1" applyBorder="1" applyAlignment="1">
      <alignment horizontal="center" vertical="center"/>
    </xf>
    <xf numFmtId="0" fontId="17" fillId="9" borderId="62" xfId="0" applyFont="1" applyFill="1" applyBorder="1" applyAlignment="1">
      <alignment horizontal="center" vertical="center"/>
    </xf>
    <xf numFmtId="0" fontId="6" fillId="7" borderId="21" xfId="0" applyFont="1" applyFill="1" applyBorder="1" applyAlignment="1">
      <alignment horizontal="center" vertical="center"/>
    </xf>
    <xf numFmtId="0" fontId="18" fillId="0" borderId="55" xfId="0" applyFont="1" applyBorder="1" applyAlignment="1">
      <alignment horizontal="center" vertical="center"/>
    </xf>
    <xf numFmtId="0" fontId="18" fillId="0" borderId="57" xfId="0" applyFont="1" applyBorder="1" applyAlignment="1">
      <alignment horizontal="center" vertical="center"/>
    </xf>
    <xf numFmtId="0" fontId="18" fillId="0" borderId="56" xfId="0" applyFont="1" applyBorder="1" applyAlignment="1">
      <alignment horizontal="center" vertical="center"/>
    </xf>
    <xf numFmtId="0" fontId="18" fillId="0" borderId="60" xfId="0" applyFont="1" applyBorder="1" applyAlignment="1">
      <alignment horizontal="center" vertical="center"/>
    </xf>
    <xf numFmtId="14" fontId="19" fillId="0" borderId="55" xfId="0" applyNumberFormat="1" applyFont="1" applyBorder="1" applyAlignment="1">
      <alignment horizontal="center" vertical="center"/>
    </xf>
    <xf numFmtId="0" fontId="19" fillId="0" borderId="55" xfId="0" applyFont="1" applyBorder="1" applyAlignment="1">
      <alignment horizontal="center" vertical="center"/>
    </xf>
    <xf numFmtId="0" fontId="6" fillId="8" borderId="52" xfId="0" applyFont="1" applyFill="1" applyBorder="1" applyAlignment="1">
      <alignment horizontal="center" vertical="center"/>
    </xf>
    <xf numFmtId="0" fontId="6" fillId="8" borderId="54" xfId="0" applyFont="1" applyFill="1" applyBorder="1" applyAlignment="1">
      <alignment horizontal="center" vertical="center"/>
    </xf>
    <xf numFmtId="0" fontId="21" fillId="0" borderId="21" xfId="0" applyFont="1" applyBorder="1" applyAlignment="1">
      <alignment vertical="center"/>
    </xf>
    <xf numFmtId="0" fontId="21" fillId="0" borderId="21" xfId="0" applyFont="1" applyBorder="1" applyAlignment="1">
      <alignment horizontal="left" vertical="center"/>
    </xf>
    <xf numFmtId="0" fontId="21" fillId="0" borderId="21" xfId="0" applyFont="1" applyBorder="1" applyAlignment="1">
      <alignment vertical="center" wrapText="1"/>
    </xf>
    <xf numFmtId="0" fontId="21" fillId="0" borderId="21" xfId="0" applyFont="1" applyBorder="1" applyAlignment="1">
      <alignment horizontal="center" vertical="center"/>
    </xf>
    <xf numFmtId="0" fontId="21" fillId="0" borderId="19" xfId="0" applyFont="1" applyBorder="1" applyAlignment="1">
      <alignment horizontal="center" vertical="center"/>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16" fillId="0" borderId="21" xfId="0" applyFont="1" applyBorder="1" applyAlignment="1">
      <alignment vertical="center"/>
    </xf>
  </cellXfs>
  <cellStyles count="2">
    <cellStyle name="標準" xfId="0" builtinId="0"/>
    <cellStyle name="標準_概念_要件定義書（原紙本文EAI-HUB用）_プライオリティ規約（修正版20020430_MQプライオリティ追加)"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21</xdr:col>
      <xdr:colOff>0</xdr:colOff>
      <xdr:row>7</xdr:row>
      <xdr:rowOff>0</xdr:rowOff>
    </xdr:to>
    <xdr:sp macro="" textlink="">
      <xdr:nvSpPr>
        <xdr:cNvPr id="373761" name="Text Box 1">
          <a:extLst>
            <a:ext uri="{FF2B5EF4-FFF2-40B4-BE49-F238E27FC236}">
              <a16:creationId xmlns:a16="http://schemas.microsoft.com/office/drawing/2014/main" id="{00000000-0008-0000-0000-000001B40500}"/>
            </a:ext>
          </a:extLst>
        </xdr:cNvPr>
        <xdr:cNvSpPr txBox="1">
          <a:spLocks noChangeArrowheads="1"/>
        </xdr:cNvSpPr>
      </xdr:nvSpPr>
      <xdr:spPr bwMode="auto">
        <a:xfrm>
          <a:off x="2743200" y="171450"/>
          <a:ext cx="4457700" cy="102870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8</xdr:col>
      <xdr:colOff>133350</xdr:colOff>
      <xdr:row>5</xdr:row>
      <xdr:rowOff>66675</xdr:rowOff>
    </xdr:from>
    <xdr:to>
      <xdr:col>19</xdr:col>
      <xdr:colOff>285750</xdr:colOff>
      <xdr:row>5</xdr:row>
      <xdr:rowOff>66675</xdr:rowOff>
    </xdr:to>
    <xdr:sp macro="" textlink="">
      <xdr:nvSpPr>
        <xdr:cNvPr id="373762" name="Line 2">
          <a:extLst>
            <a:ext uri="{FF2B5EF4-FFF2-40B4-BE49-F238E27FC236}">
              <a16:creationId xmlns:a16="http://schemas.microsoft.com/office/drawing/2014/main" id="{00000000-0008-0000-0000-000002B40500}"/>
            </a:ext>
          </a:extLst>
        </xdr:cNvPr>
        <xdr:cNvSpPr>
          <a:spLocks noChangeShapeType="1"/>
        </xdr:cNvSpPr>
      </xdr:nvSpPr>
      <xdr:spPr bwMode="auto">
        <a:xfrm flipV="1">
          <a:off x="2876550" y="923925"/>
          <a:ext cx="3924300" cy="0"/>
        </a:xfrm>
        <a:prstGeom prst="line">
          <a:avLst/>
        </a:prstGeom>
        <a:noFill/>
        <a:ln w="28575">
          <a:solidFill>
            <a:srgbClr val="000000"/>
          </a:solidFill>
          <a:round/>
          <a:headEnd/>
          <a:tailEnd/>
        </a:ln>
      </xdr:spPr>
    </xdr:sp>
    <xdr:clientData/>
  </xdr:twoCellAnchor>
  <xdr:twoCellAnchor editAs="oneCell">
    <xdr:from>
      <xdr:col>10</xdr:col>
      <xdr:colOff>246529</xdr:colOff>
      <xdr:row>30</xdr:row>
      <xdr:rowOff>44823</xdr:rowOff>
    </xdr:from>
    <xdr:to>
      <xdr:col>18</xdr:col>
      <xdr:colOff>170818</xdr:colOff>
      <xdr:row>34</xdr:row>
      <xdr:rowOff>86844</xdr:rowOff>
    </xdr:to>
    <xdr:pic>
      <xdr:nvPicPr>
        <xdr:cNvPr id="2" name="図 1">
          <a:extLst>
            <a:ext uri="{FF2B5EF4-FFF2-40B4-BE49-F238E27FC236}">
              <a16:creationId xmlns:a16="http://schemas.microsoft.com/office/drawing/2014/main" id="{FB528FA5-0A4A-4D3F-8C64-E9C38A03A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0353" y="508747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19050</xdr:colOff>
      <xdr:row>16</xdr:row>
      <xdr:rowOff>11206</xdr:rowOff>
    </xdr:from>
    <xdr:to>
      <xdr:col>33</xdr:col>
      <xdr:colOff>19050</xdr:colOff>
      <xdr:row>17</xdr:row>
      <xdr:rowOff>114300</xdr:rowOff>
    </xdr:to>
    <xdr:sp macro="" textlink="">
      <xdr:nvSpPr>
        <xdr:cNvPr id="3" name="右矢印 2">
          <a:extLst>
            <a:ext uri="{FF2B5EF4-FFF2-40B4-BE49-F238E27FC236}">
              <a16:creationId xmlns:a16="http://schemas.microsoft.com/office/drawing/2014/main" id="{00000000-0008-0000-0200-000003000000}"/>
            </a:ext>
          </a:extLst>
        </xdr:cNvPr>
        <xdr:cNvSpPr/>
      </xdr:nvSpPr>
      <xdr:spPr bwMode="auto">
        <a:xfrm>
          <a:off x="3019425" y="3059206"/>
          <a:ext cx="1714500"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editAs="oneCell">
    <xdr:from>
      <xdr:col>3</xdr:col>
      <xdr:colOff>0</xdr:colOff>
      <xdr:row>14</xdr:row>
      <xdr:rowOff>0</xdr:rowOff>
    </xdr:from>
    <xdr:to>
      <xdr:col>19</xdr:col>
      <xdr:colOff>48545</xdr:colOff>
      <xdr:row>19</xdr:row>
      <xdr:rowOff>62753</xdr:rowOff>
    </xdr:to>
    <xdr:pic>
      <xdr:nvPicPr>
        <xdr:cNvPr id="4" name="図 3">
          <a:extLst>
            <a:ext uri="{FF2B5EF4-FFF2-40B4-BE49-F238E27FC236}">
              <a16:creationId xmlns:a16="http://schemas.microsoft.com/office/drawing/2014/main" id="{9EA2499B-FE48-4311-9CAE-01E80E0C7823}"/>
            </a:ext>
          </a:extLst>
        </xdr:cNvPr>
        <xdr:cNvPicPr>
          <a:picLocks noChangeAspect="1"/>
        </xdr:cNvPicPr>
      </xdr:nvPicPr>
      <xdr:blipFill>
        <a:blip xmlns:r="http://schemas.openxmlformats.org/officeDocument/2006/relationships" r:embed="rId1"/>
        <a:stretch>
          <a:fillRect/>
        </a:stretch>
      </xdr:blipFill>
      <xdr:spPr>
        <a:xfrm>
          <a:off x="376518" y="2635624"/>
          <a:ext cx="2056639" cy="1004047"/>
        </a:xfrm>
        <a:prstGeom prst="rect">
          <a:avLst/>
        </a:prstGeom>
      </xdr:spPr>
    </xdr:pic>
    <xdr:clientData/>
  </xdr:twoCellAnchor>
  <xdr:twoCellAnchor editAs="oneCell">
    <xdr:from>
      <xdr:col>35</xdr:col>
      <xdr:colOff>0</xdr:colOff>
      <xdr:row>14</xdr:row>
      <xdr:rowOff>0</xdr:rowOff>
    </xdr:from>
    <xdr:to>
      <xdr:col>51</xdr:col>
      <xdr:colOff>32032</xdr:colOff>
      <xdr:row>19</xdr:row>
      <xdr:rowOff>35858</xdr:rowOff>
    </xdr:to>
    <xdr:pic>
      <xdr:nvPicPr>
        <xdr:cNvPr id="5" name="図 4">
          <a:extLst>
            <a:ext uri="{FF2B5EF4-FFF2-40B4-BE49-F238E27FC236}">
              <a16:creationId xmlns:a16="http://schemas.microsoft.com/office/drawing/2014/main" id="{3C87DE5A-FCC2-4313-A041-EDBE7A6E1D6E}"/>
            </a:ext>
          </a:extLst>
        </xdr:cNvPr>
        <xdr:cNvPicPr>
          <a:picLocks noChangeAspect="1"/>
        </xdr:cNvPicPr>
      </xdr:nvPicPr>
      <xdr:blipFill>
        <a:blip xmlns:r="http://schemas.openxmlformats.org/officeDocument/2006/relationships" r:embed="rId2"/>
        <a:stretch>
          <a:fillRect/>
        </a:stretch>
      </xdr:blipFill>
      <xdr:spPr>
        <a:xfrm>
          <a:off x="4392706" y="2635624"/>
          <a:ext cx="2040126" cy="9771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53788</xdr:colOff>
      <xdr:row>6</xdr:row>
      <xdr:rowOff>188258</xdr:rowOff>
    </xdr:from>
    <xdr:to>
      <xdr:col>58</xdr:col>
      <xdr:colOff>93306</xdr:colOff>
      <xdr:row>34</xdr:row>
      <xdr:rowOff>135030</xdr:rowOff>
    </xdr:to>
    <xdr:pic>
      <xdr:nvPicPr>
        <xdr:cNvPr id="6" name="図 5">
          <a:extLst>
            <a:ext uri="{FF2B5EF4-FFF2-40B4-BE49-F238E27FC236}">
              <a16:creationId xmlns:a16="http://schemas.microsoft.com/office/drawing/2014/main" id="{F1F9A166-BC3B-0FDE-2869-45211158F8E4}"/>
            </a:ext>
          </a:extLst>
        </xdr:cNvPr>
        <xdr:cNvPicPr>
          <a:picLocks noChangeAspect="1"/>
        </xdr:cNvPicPr>
      </xdr:nvPicPr>
      <xdr:blipFill rotWithShape="1">
        <a:blip xmlns:r="http://schemas.openxmlformats.org/officeDocument/2006/relationships" r:embed="rId1"/>
        <a:srcRect t="7255"/>
        <a:stretch/>
      </xdr:blipFill>
      <xdr:spPr>
        <a:xfrm>
          <a:off x="53788" y="1317811"/>
          <a:ext cx="7322669" cy="520849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0:AB51"/>
  <sheetViews>
    <sheetView tabSelected="1" zoomScale="85" zoomScaleNormal="85" workbookViewId="0"/>
  </sheetViews>
  <sheetFormatPr defaultRowHeight="13.2" x14ac:dyDescent="0.2"/>
  <cols>
    <col min="1" max="32" width="4.44140625" customWidth="1"/>
  </cols>
  <sheetData>
    <row r="10" spans="7:24" x14ac:dyDescent="0.2">
      <c r="G10" s="3"/>
      <c r="H10" s="4"/>
      <c r="I10" s="4"/>
      <c r="J10" s="4"/>
      <c r="K10" s="4"/>
      <c r="L10" s="4"/>
      <c r="M10" s="4"/>
      <c r="N10" s="4"/>
      <c r="O10" s="4"/>
      <c r="P10" s="4"/>
      <c r="Q10" s="4"/>
      <c r="R10" s="4"/>
      <c r="S10" s="4"/>
      <c r="T10" s="4"/>
      <c r="U10" s="4"/>
      <c r="V10" s="4"/>
      <c r="W10" s="4"/>
      <c r="X10" s="5"/>
    </row>
    <row r="11" spans="7:24" ht="13.5" customHeight="1" x14ac:dyDescent="0.2">
      <c r="G11" s="84" t="str">
        <f>I40</f>
        <v>　学生勤務管理システム</v>
      </c>
      <c r="H11" s="85"/>
      <c r="I11" s="85"/>
      <c r="J11" s="85"/>
      <c r="K11" s="85"/>
      <c r="L11" s="85"/>
      <c r="M11" s="85"/>
      <c r="N11" s="85"/>
      <c r="O11" s="85"/>
      <c r="P11" s="85"/>
      <c r="Q11" s="85"/>
      <c r="R11" s="85"/>
      <c r="S11" s="85"/>
      <c r="T11" s="85"/>
      <c r="U11" s="85"/>
      <c r="V11" s="85"/>
      <c r="W11" s="85"/>
      <c r="X11" s="6"/>
    </row>
    <row r="12" spans="7:24" ht="13.5" customHeight="1" x14ac:dyDescent="0.2">
      <c r="G12" s="84"/>
      <c r="H12" s="85"/>
      <c r="I12" s="85"/>
      <c r="J12" s="85"/>
      <c r="K12" s="85"/>
      <c r="L12" s="85"/>
      <c r="M12" s="85"/>
      <c r="N12" s="85"/>
      <c r="O12" s="85"/>
      <c r="P12" s="85"/>
      <c r="Q12" s="85"/>
      <c r="R12" s="85"/>
      <c r="S12" s="85"/>
      <c r="T12" s="85"/>
      <c r="U12" s="85"/>
      <c r="V12" s="85"/>
      <c r="W12" s="85"/>
      <c r="X12" s="6"/>
    </row>
    <row r="13" spans="7:24" x14ac:dyDescent="0.2">
      <c r="G13" s="7"/>
      <c r="H13" s="8"/>
      <c r="I13" s="8"/>
      <c r="J13" s="8"/>
      <c r="K13" s="8"/>
      <c r="L13" s="8"/>
      <c r="M13" s="8"/>
      <c r="N13" s="8"/>
      <c r="O13" s="8"/>
      <c r="P13" s="8"/>
      <c r="Q13" s="8"/>
      <c r="R13" s="8"/>
      <c r="S13" s="8"/>
      <c r="T13" s="8"/>
      <c r="U13" s="8"/>
      <c r="V13" s="8"/>
      <c r="W13" s="8"/>
      <c r="X13" s="6"/>
    </row>
    <row r="14" spans="7:24" ht="13.5" customHeight="1" x14ac:dyDescent="0.2">
      <c r="G14" s="84" t="str">
        <f>I44</f>
        <v>　CZ-030_給与支給日マスタ</v>
      </c>
      <c r="H14" s="85"/>
      <c r="I14" s="85"/>
      <c r="J14" s="85"/>
      <c r="K14" s="85"/>
      <c r="L14" s="85"/>
      <c r="M14" s="85"/>
      <c r="N14" s="85"/>
      <c r="O14" s="85"/>
      <c r="P14" s="85"/>
      <c r="Q14" s="85"/>
      <c r="R14" s="85"/>
      <c r="S14" s="85"/>
      <c r="T14" s="85"/>
      <c r="U14" s="85"/>
      <c r="V14" s="85"/>
      <c r="W14" s="85"/>
      <c r="X14" s="6"/>
    </row>
    <row r="15" spans="7:24" ht="13.5" customHeight="1" x14ac:dyDescent="0.2">
      <c r="G15" s="84"/>
      <c r="H15" s="85"/>
      <c r="I15" s="85"/>
      <c r="J15" s="85"/>
      <c r="K15" s="85"/>
      <c r="L15" s="85"/>
      <c r="M15" s="85"/>
      <c r="N15" s="85"/>
      <c r="O15" s="85"/>
      <c r="P15" s="85"/>
      <c r="Q15" s="85"/>
      <c r="R15" s="85"/>
      <c r="S15" s="85"/>
      <c r="T15" s="85"/>
      <c r="U15" s="85"/>
      <c r="V15" s="85"/>
      <c r="W15" s="85"/>
      <c r="X15" s="6"/>
    </row>
    <row r="16" spans="7:24" x14ac:dyDescent="0.2">
      <c r="G16" s="7"/>
      <c r="H16" s="8"/>
      <c r="I16" s="8"/>
      <c r="J16" s="8"/>
      <c r="K16" s="8"/>
      <c r="L16" s="8"/>
      <c r="M16" s="8"/>
      <c r="N16" s="8"/>
      <c r="O16" s="8"/>
      <c r="P16" s="8"/>
      <c r="Q16" s="8"/>
      <c r="R16" s="8"/>
      <c r="S16" s="8"/>
      <c r="T16" s="8"/>
      <c r="U16" s="8"/>
      <c r="V16" s="8"/>
      <c r="W16" s="8"/>
      <c r="X16" s="6"/>
    </row>
    <row r="17" spans="7:24" ht="13.5" customHeight="1" x14ac:dyDescent="0.2">
      <c r="G17" s="84" t="str">
        <f>I42</f>
        <v xml:space="preserve">　 </v>
      </c>
      <c r="H17" s="85"/>
      <c r="I17" s="85"/>
      <c r="J17" s="85"/>
      <c r="K17" s="85"/>
      <c r="L17" s="85"/>
      <c r="M17" s="85"/>
      <c r="N17" s="85"/>
      <c r="O17" s="85"/>
      <c r="P17" s="85"/>
      <c r="Q17" s="85"/>
      <c r="R17" s="85"/>
      <c r="S17" s="85"/>
      <c r="T17" s="85"/>
      <c r="U17" s="85"/>
      <c r="V17" s="85"/>
      <c r="W17" s="85"/>
      <c r="X17" s="6"/>
    </row>
    <row r="18" spans="7:24" ht="13.5" customHeight="1" x14ac:dyDescent="0.2">
      <c r="G18" s="84"/>
      <c r="H18" s="85"/>
      <c r="I18" s="85"/>
      <c r="J18" s="85"/>
      <c r="K18" s="85"/>
      <c r="L18" s="85"/>
      <c r="M18" s="85"/>
      <c r="N18" s="85"/>
      <c r="O18" s="85"/>
      <c r="P18" s="85"/>
      <c r="Q18" s="85"/>
      <c r="R18" s="85"/>
      <c r="S18" s="85"/>
      <c r="T18" s="85"/>
      <c r="U18" s="85"/>
      <c r="V18" s="85"/>
      <c r="W18" s="85"/>
      <c r="X18" s="6"/>
    </row>
    <row r="19" spans="7:24" x14ac:dyDescent="0.2">
      <c r="G19" s="7"/>
      <c r="H19" s="8"/>
      <c r="I19" s="8"/>
      <c r="J19" s="8"/>
      <c r="K19" s="8"/>
      <c r="L19" s="8"/>
      <c r="M19" s="8"/>
      <c r="N19" s="8"/>
      <c r="O19" s="8"/>
      <c r="P19" s="8"/>
      <c r="Q19" s="8"/>
      <c r="R19" s="8"/>
      <c r="S19" s="8"/>
      <c r="T19" s="8"/>
      <c r="U19" s="8"/>
      <c r="V19" s="8"/>
      <c r="W19" s="8"/>
      <c r="X19" s="6"/>
    </row>
    <row r="20" spans="7:24" ht="13.5" customHeight="1" x14ac:dyDescent="0.2">
      <c r="G20" s="84" t="str">
        <f>I51</f>
        <v>【 Ver 1.04 】</v>
      </c>
      <c r="H20" s="85"/>
      <c r="I20" s="85"/>
      <c r="J20" s="85"/>
      <c r="K20" s="85"/>
      <c r="L20" s="85"/>
      <c r="M20" s="85"/>
      <c r="N20" s="85"/>
      <c r="O20" s="85"/>
      <c r="P20" s="85"/>
      <c r="Q20" s="85"/>
      <c r="R20" s="85"/>
      <c r="S20" s="85"/>
      <c r="T20" s="85"/>
      <c r="U20" s="85"/>
      <c r="V20" s="85"/>
      <c r="W20" s="85"/>
      <c r="X20" s="6"/>
    </row>
    <row r="21" spans="7:24" ht="13.5" customHeight="1" x14ac:dyDescent="0.2">
      <c r="G21" s="84"/>
      <c r="H21" s="85"/>
      <c r="I21" s="85"/>
      <c r="J21" s="85"/>
      <c r="K21" s="85"/>
      <c r="L21" s="85"/>
      <c r="M21" s="85"/>
      <c r="N21" s="85"/>
      <c r="O21" s="85"/>
      <c r="P21" s="85"/>
      <c r="Q21" s="85"/>
      <c r="R21" s="85"/>
      <c r="S21" s="85"/>
      <c r="T21" s="85"/>
      <c r="U21" s="85"/>
      <c r="V21" s="85"/>
      <c r="W21" s="85"/>
      <c r="X21" s="6"/>
    </row>
    <row r="22" spans="7:24" x14ac:dyDescent="0.2">
      <c r="G22" s="9"/>
      <c r="H22" s="10"/>
      <c r="I22" s="10"/>
      <c r="J22" s="10"/>
      <c r="K22" s="10"/>
      <c r="L22" s="10"/>
      <c r="M22" s="10"/>
      <c r="N22" s="10"/>
      <c r="O22" s="10"/>
      <c r="P22" s="10"/>
      <c r="Q22" s="10"/>
      <c r="R22" s="10"/>
      <c r="S22" s="10"/>
      <c r="T22" s="10"/>
      <c r="U22" s="10"/>
      <c r="V22" s="10"/>
      <c r="W22" s="10"/>
      <c r="X22" s="11"/>
    </row>
    <row r="27" spans="7:24" s="1" customFormat="1" x14ac:dyDescent="0.2">
      <c r="J27" s="87" t="str">
        <f>TEXT(I47,"yyyy年")&amp;IF(LEFT(TEXT(I47,"mm"),1)="0"," ","")&amp;TEXT(I47,"m月")&amp;IF(LEFT(TEXT(I47,"dd"),1)="0"," ","")&amp;TEXT(I47,"d日")&amp;"作成"</f>
        <v>2023年 9月29日作成</v>
      </c>
      <c r="K27" s="88"/>
      <c r="L27" s="88"/>
      <c r="M27" s="88"/>
      <c r="N27" s="88"/>
      <c r="O27" s="88"/>
      <c r="P27" s="88"/>
      <c r="Q27" s="88"/>
      <c r="R27" s="88"/>
      <c r="S27" s="88"/>
      <c r="T27" s="88"/>
    </row>
    <row r="28" spans="7:24" s="1" customFormat="1" x14ac:dyDescent="0.2">
      <c r="J28" s="88"/>
      <c r="K28" s="88"/>
      <c r="L28" s="88"/>
      <c r="M28" s="88"/>
      <c r="N28" s="88"/>
      <c r="O28" s="88"/>
      <c r="P28" s="88"/>
      <c r="Q28" s="88"/>
      <c r="R28" s="88"/>
      <c r="S28" s="88"/>
      <c r="T28" s="88"/>
    </row>
    <row r="29" spans="7:24" s="1" customFormat="1" x14ac:dyDescent="0.2">
      <c r="J29" s="87" t="str">
        <f>IF(I49="　※ページ毎に個別入力","    年  月  日改訂",TEXT(I49,"yyyy年")&amp;IF(LEFT(TEXT(I49,"mm"),1)="0"," ","")&amp;TEXT(I49,"m月")&amp;IF(LEFT(TEXT(I49,"dd"),1)="0"," ","")&amp;TEXT(I49,"d日")&amp;"改訂")</f>
        <v>2024年12月16日改訂</v>
      </c>
      <c r="K29" s="88"/>
      <c r="L29" s="88"/>
      <c r="M29" s="88"/>
      <c r="N29" s="88"/>
      <c r="O29" s="88"/>
      <c r="P29" s="88"/>
      <c r="Q29" s="88"/>
      <c r="R29" s="88"/>
      <c r="S29" s="88"/>
      <c r="T29" s="88"/>
    </row>
    <row r="30" spans="7:24" s="1" customFormat="1" x14ac:dyDescent="0.2">
      <c r="J30" s="88"/>
      <c r="K30" s="88"/>
      <c r="L30" s="88"/>
      <c r="M30" s="88"/>
      <c r="N30" s="88"/>
      <c r="O30" s="88"/>
      <c r="P30" s="88"/>
      <c r="Q30" s="88"/>
      <c r="R30" s="88"/>
      <c r="S30" s="88"/>
      <c r="T30" s="88"/>
    </row>
    <row r="38" spans="2:28" ht="23.25" customHeight="1" x14ac:dyDescent="0.2">
      <c r="B38" s="89" t="s">
        <v>19</v>
      </c>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row>
    <row r="39" spans="2:28" ht="23.25" customHeight="1" x14ac:dyDescent="0.2">
      <c r="B39" s="86" t="s">
        <v>20</v>
      </c>
      <c r="C39" s="86"/>
      <c r="D39" s="86"/>
      <c r="E39" s="86"/>
      <c r="F39" s="86"/>
      <c r="G39" s="86"/>
      <c r="H39" s="86"/>
      <c r="I39" s="86" t="s">
        <v>10</v>
      </c>
      <c r="J39" s="86"/>
      <c r="K39" s="86"/>
      <c r="L39" s="86"/>
      <c r="M39" s="86"/>
      <c r="N39" s="86"/>
      <c r="O39" s="86"/>
      <c r="P39" s="86"/>
      <c r="Q39" s="86"/>
      <c r="R39" s="86"/>
      <c r="S39" s="86"/>
      <c r="T39" s="86"/>
      <c r="U39" s="86"/>
      <c r="V39" s="86"/>
      <c r="W39" s="86"/>
      <c r="X39" s="86"/>
      <c r="Y39" s="86"/>
      <c r="Z39" s="86"/>
      <c r="AA39" s="86"/>
      <c r="AB39" s="86"/>
    </row>
    <row r="40" spans="2:28" ht="23.25" customHeight="1" x14ac:dyDescent="0.2">
      <c r="B40" s="80" t="s">
        <v>21</v>
      </c>
      <c r="C40" s="80"/>
      <c r="D40" s="80"/>
      <c r="E40" s="80"/>
      <c r="F40" s="80"/>
      <c r="G40" s="80"/>
      <c r="H40" s="80"/>
      <c r="I40" s="81" t="s">
        <v>44</v>
      </c>
      <c r="J40" s="81"/>
      <c r="K40" s="81"/>
      <c r="L40" s="81"/>
      <c r="M40" s="81"/>
      <c r="N40" s="81"/>
      <c r="O40" s="81"/>
      <c r="P40" s="81"/>
      <c r="Q40" s="81"/>
      <c r="R40" s="81"/>
      <c r="S40" s="81"/>
      <c r="T40" s="81"/>
      <c r="U40" s="81"/>
      <c r="V40" s="81"/>
      <c r="W40" s="81"/>
      <c r="X40" s="81"/>
      <c r="Y40" s="81"/>
      <c r="Z40" s="81"/>
      <c r="AA40" s="81"/>
      <c r="AB40" s="81"/>
    </row>
    <row r="41" spans="2:28" ht="23.25" customHeight="1" x14ac:dyDescent="0.2">
      <c r="B41" s="80" t="s">
        <v>22</v>
      </c>
      <c r="C41" s="80"/>
      <c r="D41" s="80"/>
      <c r="E41" s="80"/>
      <c r="F41" s="80"/>
      <c r="G41" s="80"/>
      <c r="H41" s="80"/>
      <c r="I41" s="81" t="s">
        <v>41</v>
      </c>
      <c r="J41" s="81"/>
      <c r="K41" s="81"/>
      <c r="L41" s="81"/>
      <c r="M41" s="81"/>
      <c r="N41" s="81"/>
      <c r="O41" s="81"/>
      <c r="P41" s="81"/>
      <c r="Q41" s="81"/>
      <c r="R41" s="81"/>
      <c r="S41" s="81"/>
      <c r="T41" s="81"/>
      <c r="U41" s="81"/>
      <c r="V41" s="81"/>
      <c r="W41" s="81"/>
      <c r="X41" s="81"/>
      <c r="Y41" s="81"/>
      <c r="Z41" s="81"/>
      <c r="AA41" s="81"/>
      <c r="AB41" s="81"/>
    </row>
    <row r="42" spans="2:28" ht="23.25" customHeight="1" x14ac:dyDescent="0.2">
      <c r="B42" s="80" t="s">
        <v>23</v>
      </c>
      <c r="C42" s="80"/>
      <c r="D42" s="80"/>
      <c r="E42" s="80"/>
      <c r="F42" s="80"/>
      <c r="G42" s="80"/>
      <c r="H42" s="80"/>
      <c r="I42" s="81" t="s">
        <v>33</v>
      </c>
      <c r="J42" s="81"/>
      <c r="K42" s="81"/>
      <c r="L42" s="81"/>
      <c r="M42" s="81"/>
      <c r="N42" s="81"/>
      <c r="O42" s="81"/>
      <c r="P42" s="81"/>
      <c r="Q42" s="81"/>
      <c r="R42" s="81"/>
      <c r="S42" s="81"/>
      <c r="T42" s="81"/>
      <c r="U42" s="81"/>
      <c r="V42" s="81"/>
      <c r="W42" s="81"/>
      <c r="X42" s="81"/>
      <c r="Y42" s="81"/>
      <c r="Z42" s="81"/>
      <c r="AA42" s="81"/>
      <c r="AB42" s="81"/>
    </row>
    <row r="43" spans="2:28" ht="23.25" customHeight="1" x14ac:dyDescent="0.2">
      <c r="B43" s="80" t="s">
        <v>24</v>
      </c>
      <c r="C43" s="80"/>
      <c r="D43" s="80"/>
      <c r="E43" s="80"/>
      <c r="F43" s="80"/>
      <c r="G43" s="80"/>
      <c r="H43" s="80"/>
      <c r="I43" s="81" t="s">
        <v>38</v>
      </c>
      <c r="J43" s="81"/>
      <c r="K43" s="81"/>
      <c r="L43" s="81"/>
      <c r="M43" s="81"/>
      <c r="N43" s="81"/>
      <c r="O43" s="81"/>
      <c r="P43" s="81"/>
      <c r="Q43" s="81"/>
      <c r="R43" s="81"/>
      <c r="S43" s="81"/>
      <c r="T43" s="81"/>
      <c r="U43" s="81"/>
      <c r="V43" s="81"/>
      <c r="W43" s="81"/>
      <c r="X43" s="81"/>
      <c r="Y43" s="81"/>
      <c r="Z43" s="81"/>
      <c r="AA43" s="81"/>
      <c r="AB43" s="81"/>
    </row>
    <row r="44" spans="2:28" ht="23.25" customHeight="1" x14ac:dyDescent="0.2">
      <c r="B44" s="80" t="s">
        <v>25</v>
      </c>
      <c r="C44" s="80"/>
      <c r="D44" s="80"/>
      <c r="E44" s="80"/>
      <c r="F44" s="80"/>
      <c r="G44" s="80"/>
      <c r="H44" s="80"/>
      <c r="I44" s="81" t="s">
        <v>93</v>
      </c>
      <c r="J44" s="81"/>
      <c r="K44" s="81"/>
      <c r="L44" s="81"/>
      <c r="M44" s="81"/>
      <c r="N44" s="81"/>
      <c r="O44" s="81"/>
      <c r="P44" s="81"/>
      <c r="Q44" s="81"/>
      <c r="R44" s="81"/>
      <c r="S44" s="81"/>
      <c r="T44" s="81"/>
      <c r="U44" s="81"/>
      <c r="V44" s="81"/>
      <c r="W44" s="81"/>
      <c r="X44" s="81"/>
      <c r="Y44" s="81"/>
      <c r="Z44" s="81"/>
      <c r="AA44" s="81"/>
      <c r="AB44" s="81"/>
    </row>
    <row r="45" spans="2:28" ht="23.25" customHeight="1" x14ac:dyDescent="0.2">
      <c r="B45" s="80" t="s">
        <v>26</v>
      </c>
      <c r="C45" s="80"/>
      <c r="D45" s="80"/>
      <c r="E45" s="80"/>
      <c r="F45" s="80"/>
      <c r="G45" s="80"/>
      <c r="H45" s="80"/>
      <c r="I45" s="81" t="s">
        <v>9</v>
      </c>
      <c r="J45" s="81"/>
      <c r="K45" s="81"/>
      <c r="L45" s="81"/>
      <c r="M45" s="81"/>
      <c r="N45" s="81"/>
      <c r="O45" s="81"/>
      <c r="P45" s="81"/>
      <c r="Q45" s="81"/>
      <c r="R45" s="81"/>
      <c r="S45" s="81"/>
      <c r="T45" s="81"/>
      <c r="U45" s="81"/>
      <c r="V45" s="81"/>
      <c r="W45" s="81"/>
      <c r="X45" s="81"/>
      <c r="Y45" s="81"/>
      <c r="Z45" s="81"/>
      <c r="AA45" s="81"/>
      <c r="AB45" s="81"/>
    </row>
    <row r="46" spans="2:28" ht="23.25" customHeight="1" x14ac:dyDescent="0.2">
      <c r="B46" s="80" t="s">
        <v>27</v>
      </c>
      <c r="C46" s="80"/>
      <c r="D46" s="80"/>
      <c r="E46" s="80"/>
      <c r="F46" s="80"/>
      <c r="G46" s="80"/>
      <c r="H46" s="80"/>
      <c r="I46" s="81" t="s">
        <v>45</v>
      </c>
      <c r="J46" s="81"/>
      <c r="K46" s="81"/>
      <c r="L46" s="81"/>
      <c r="M46" s="81"/>
      <c r="N46" s="81"/>
      <c r="O46" s="81"/>
      <c r="P46" s="81"/>
      <c r="Q46" s="81"/>
      <c r="R46" s="81"/>
      <c r="S46" s="81"/>
      <c r="T46" s="81"/>
      <c r="U46" s="81"/>
      <c r="V46" s="81"/>
      <c r="W46" s="81"/>
      <c r="X46" s="81"/>
      <c r="Y46" s="81"/>
      <c r="Z46" s="81"/>
      <c r="AA46" s="81"/>
      <c r="AB46" s="81"/>
    </row>
    <row r="47" spans="2:28" ht="23.25" customHeight="1" x14ac:dyDescent="0.2">
      <c r="B47" s="80" t="s">
        <v>28</v>
      </c>
      <c r="C47" s="80"/>
      <c r="D47" s="80"/>
      <c r="E47" s="80"/>
      <c r="F47" s="80"/>
      <c r="G47" s="80"/>
      <c r="H47" s="80"/>
      <c r="I47" s="82">
        <v>45198</v>
      </c>
      <c r="J47" s="83"/>
      <c r="K47" s="83"/>
      <c r="L47" s="83"/>
      <c r="M47" s="83"/>
      <c r="N47" s="83"/>
      <c r="O47" s="83"/>
      <c r="P47" s="83"/>
      <c r="Q47" s="83"/>
      <c r="R47" s="83"/>
      <c r="S47" s="81"/>
      <c r="T47" s="81"/>
      <c r="U47" s="81"/>
      <c r="V47" s="81"/>
      <c r="W47" s="81"/>
      <c r="X47" s="81"/>
      <c r="Y47" s="81"/>
      <c r="Z47" s="81"/>
      <c r="AA47" s="81"/>
      <c r="AB47" s="81"/>
    </row>
    <row r="48" spans="2:28" ht="23.25" customHeight="1" x14ac:dyDescent="0.2">
      <c r="B48" s="80" t="s">
        <v>29</v>
      </c>
      <c r="C48" s="80"/>
      <c r="D48" s="80"/>
      <c r="E48" s="80"/>
      <c r="F48" s="80"/>
      <c r="G48" s="80"/>
      <c r="H48" s="80"/>
      <c r="I48" s="81" t="s">
        <v>9</v>
      </c>
      <c r="J48" s="81"/>
      <c r="K48" s="81"/>
      <c r="L48" s="81"/>
      <c r="M48" s="81"/>
      <c r="N48" s="81"/>
      <c r="O48" s="81"/>
      <c r="P48" s="81"/>
      <c r="Q48" s="81"/>
      <c r="R48" s="81"/>
      <c r="S48" s="81"/>
      <c r="T48" s="81"/>
      <c r="U48" s="81"/>
      <c r="V48" s="81"/>
      <c r="W48" s="81"/>
      <c r="X48" s="81"/>
      <c r="Y48" s="81"/>
      <c r="Z48" s="81"/>
      <c r="AA48" s="81"/>
      <c r="AB48" s="81"/>
    </row>
    <row r="49" spans="2:28" ht="23.25" customHeight="1" x14ac:dyDescent="0.2">
      <c r="B49" s="80" t="s">
        <v>30</v>
      </c>
      <c r="C49" s="80"/>
      <c r="D49" s="80"/>
      <c r="E49" s="80"/>
      <c r="F49" s="80"/>
      <c r="G49" s="80"/>
      <c r="H49" s="80"/>
      <c r="I49" s="81" t="str">
        <f>TEXT(MAX(改訂履歴!J5:J995),"yyyy/mm/dd")</f>
        <v>2024/12/16</v>
      </c>
      <c r="J49" s="81"/>
      <c r="K49" s="81"/>
      <c r="L49" s="81"/>
      <c r="M49" s="81"/>
      <c r="N49" s="81"/>
      <c r="O49" s="81"/>
      <c r="P49" s="81"/>
      <c r="Q49" s="81"/>
      <c r="R49" s="81"/>
      <c r="S49" s="81"/>
      <c r="T49" s="81"/>
      <c r="U49" s="81"/>
      <c r="V49" s="81"/>
      <c r="W49" s="81"/>
      <c r="X49" s="81"/>
      <c r="Y49" s="81"/>
      <c r="Z49" s="81"/>
      <c r="AA49" s="81"/>
      <c r="AB49" s="81"/>
    </row>
    <row r="50" spans="2:28" ht="23.25" customHeight="1" x14ac:dyDescent="0.2">
      <c r="B50" s="80" t="s">
        <v>31</v>
      </c>
      <c r="C50" s="80"/>
      <c r="D50" s="80"/>
      <c r="E50" s="80"/>
      <c r="F50" s="80"/>
      <c r="G50" s="80"/>
      <c r="H50" s="80"/>
      <c r="I50" s="81" t="s">
        <v>43</v>
      </c>
      <c r="J50" s="81"/>
      <c r="K50" s="81"/>
      <c r="L50" s="81"/>
      <c r="M50" s="81"/>
      <c r="N50" s="81"/>
      <c r="O50" s="81"/>
      <c r="P50" s="81"/>
      <c r="Q50" s="81"/>
      <c r="R50" s="81"/>
      <c r="S50" s="81"/>
      <c r="T50" s="81"/>
      <c r="U50" s="81"/>
      <c r="V50" s="81"/>
      <c r="W50" s="81"/>
      <c r="X50" s="81"/>
      <c r="Y50" s="81"/>
      <c r="Z50" s="81"/>
      <c r="AA50" s="81"/>
      <c r="AB50" s="81"/>
    </row>
    <row r="51" spans="2:28" ht="23.25" customHeight="1" x14ac:dyDescent="0.2">
      <c r="B51" s="80" t="s">
        <v>34</v>
      </c>
      <c r="C51" s="80"/>
      <c r="D51" s="80"/>
      <c r="E51" s="80"/>
      <c r="F51" s="80"/>
      <c r="G51" s="80"/>
      <c r="H51" s="80"/>
      <c r="I51" s="81" t="str">
        <f>"【 Ver " &amp; TEXT(MAX(改訂履歴!E5:E995),"0.00") &amp; " 】"</f>
        <v>【 Ver 1.04 】</v>
      </c>
      <c r="J51" s="81"/>
      <c r="K51" s="81"/>
      <c r="L51" s="81"/>
      <c r="M51" s="81"/>
      <c r="N51" s="81"/>
      <c r="O51" s="81"/>
      <c r="P51" s="81"/>
      <c r="Q51" s="81"/>
      <c r="R51" s="81"/>
      <c r="S51" s="81"/>
      <c r="T51" s="81"/>
      <c r="U51" s="81"/>
      <c r="V51" s="81"/>
      <c r="W51" s="81"/>
      <c r="X51" s="81"/>
      <c r="Y51" s="81"/>
      <c r="Z51" s="81"/>
      <c r="AA51" s="81"/>
      <c r="AB51" s="81"/>
    </row>
  </sheetData>
  <mergeCells count="33">
    <mergeCell ref="B43:H43"/>
    <mergeCell ref="B39:H39"/>
    <mergeCell ref="J27:T28"/>
    <mergeCell ref="J29:T30"/>
    <mergeCell ref="I40:AB40"/>
    <mergeCell ref="I41:AB41"/>
    <mergeCell ref="I39:AB39"/>
    <mergeCell ref="B38:AB38"/>
    <mergeCell ref="B40:H40"/>
    <mergeCell ref="I43:AB43"/>
    <mergeCell ref="G11:W12"/>
    <mergeCell ref="G14:W15"/>
    <mergeCell ref="G17:W18"/>
    <mergeCell ref="G20:W21"/>
    <mergeCell ref="I42:AB42"/>
    <mergeCell ref="B41:H41"/>
    <mergeCell ref="B42:H42"/>
    <mergeCell ref="B48:H48"/>
    <mergeCell ref="I48:AB48"/>
    <mergeCell ref="B44:H44"/>
    <mergeCell ref="B45:H45"/>
    <mergeCell ref="B46:H46"/>
    <mergeCell ref="B47:H47"/>
    <mergeCell ref="I45:AB45"/>
    <mergeCell ref="I46:AB46"/>
    <mergeCell ref="I47:AB47"/>
    <mergeCell ref="I44:AB44"/>
    <mergeCell ref="B51:H51"/>
    <mergeCell ref="I51:AB51"/>
    <mergeCell ref="B49:H49"/>
    <mergeCell ref="I49:AB49"/>
    <mergeCell ref="B50:H50"/>
    <mergeCell ref="I50:AB50"/>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8"/>
  <sheetViews>
    <sheetView zoomScale="85" zoomScaleNormal="85" workbookViewId="0"/>
  </sheetViews>
  <sheetFormatPr defaultColWidth="1.88671875" defaultRowHeight="15" customHeight="1" x14ac:dyDescent="0.2"/>
  <cols>
    <col min="1" max="4" width="1.88671875" style="1" customWidth="1"/>
    <col min="5" max="9" width="1.88671875" style="14" customWidth="1"/>
    <col min="10" max="26" width="1.88671875" style="1" customWidth="1"/>
    <col min="27" max="33" width="2.33203125" style="1" customWidth="1"/>
    <col min="34" max="16384" width="1.88671875" style="1"/>
  </cols>
  <sheetData>
    <row r="1" spans="1:76" ht="15" customHeight="1" x14ac:dyDescent="0.2">
      <c r="A1" s="1" t="s">
        <v>2</v>
      </c>
    </row>
    <row r="3" spans="1:76" s="2" customFormat="1" ht="15" customHeight="1" x14ac:dyDescent="0.2">
      <c r="A3" s="104" t="s">
        <v>16</v>
      </c>
      <c r="B3" s="104"/>
      <c r="C3" s="104"/>
      <c r="D3" s="104"/>
      <c r="E3" s="116" t="s">
        <v>17</v>
      </c>
      <c r="F3" s="117"/>
      <c r="G3" s="117"/>
      <c r="H3" s="117"/>
      <c r="I3" s="118"/>
      <c r="J3" s="105" t="s">
        <v>5</v>
      </c>
      <c r="K3" s="106"/>
      <c r="L3" s="106"/>
      <c r="M3" s="106"/>
      <c r="N3" s="106"/>
      <c r="O3" s="106"/>
      <c r="P3" s="106"/>
      <c r="Q3" s="107"/>
      <c r="R3" s="104" t="s">
        <v>3</v>
      </c>
      <c r="S3" s="104"/>
      <c r="T3" s="104"/>
      <c r="U3" s="104"/>
      <c r="V3" s="104"/>
      <c r="W3" s="104" t="s">
        <v>6</v>
      </c>
      <c r="X3" s="104"/>
      <c r="Y3" s="104"/>
      <c r="Z3" s="104"/>
      <c r="AA3" s="104"/>
      <c r="AB3" s="104"/>
      <c r="AC3" s="104"/>
      <c r="AD3" s="104"/>
      <c r="AE3" s="104"/>
      <c r="AF3" s="104"/>
      <c r="AG3" s="104"/>
      <c r="AH3" s="104" t="s">
        <v>7</v>
      </c>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t="s">
        <v>8</v>
      </c>
      <c r="BS3" s="104"/>
      <c r="BT3" s="104"/>
      <c r="BU3" s="104"/>
      <c r="BV3" s="104"/>
      <c r="BW3" s="104"/>
      <c r="BX3" s="104"/>
    </row>
    <row r="4" spans="1:76" s="2" customFormat="1" ht="15" customHeight="1" x14ac:dyDescent="0.2">
      <c r="A4" s="104"/>
      <c r="B4" s="104"/>
      <c r="C4" s="104"/>
      <c r="D4" s="104"/>
      <c r="E4" s="119"/>
      <c r="F4" s="120"/>
      <c r="G4" s="120"/>
      <c r="H4" s="120"/>
      <c r="I4" s="121"/>
      <c r="J4" s="108"/>
      <c r="K4" s="109"/>
      <c r="L4" s="109"/>
      <c r="M4" s="109"/>
      <c r="N4" s="109"/>
      <c r="O4" s="109"/>
      <c r="P4" s="109"/>
      <c r="Q4" s="110"/>
      <c r="R4" s="104"/>
      <c r="S4" s="104"/>
      <c r="T4" s="104"/>
      <c r="U4" s="104"/>
      <c r="V4" s="104"/>
      <c r="W4" s="104" t="s">
        <v>4</v>
      </c>
      <c r="X4" s="104"/>
      <c r="Y4" s="104"/>
      <c r="Z4" s="104"/>
      <c r="AA4" s="104" t="s">
        <v>47</v>
      </c>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row>
    <row r="5" spans="1:76" ht="20.100000000000001" customHeight="1" x14ac:dyDescent="0.2">
      <c r="A5" s="100">
        <v>1</v>
      </c>
      <c r="B5" s="100"/>
      <c r="C5" s="100"/>
      <c r="D5" s="100"/>
      <c r="E5" s="122">
        <v>1</v>
      </c>
      <c r="F5" s="123"/>
      <c r="G5" s="123"/>
      <c r="H5" s="123"/>
      <c r="I5" s="124"/>
      <c r="J5" s="113">
        <f>タイトル!I47</f>
        <v>45198</v>
      </c>
      <c r="K5" s="114"/>
      <c r="L5" s="114"/>
      <c r="M5" s="114"/>
      <c r="N5" s="114"/>
      <c r="O5" s="114"/>
      <c r="P5" s="114"/>
      <c r="Q5" s="115"/>
      <c r="R5" s="101" t="s">
        <v>11</v>
      </c>
      <c r="S5" s="102"/>
      <c r="T5" s="102"/>
      <c r="U5" s="102"/>
      <c r="V5" s="103"/>
      <c r="W5" s="127"/>
      <c r="X5" s="128"/>
      <c r="Y5" s="128"/>
      <c r="Z5" s="129"/>
      <c r="AA5" s="127"/>
      <c r="AB5" s="128"/>
      <c r="AC5" s="128"/>
      <c r="AD5" s="128"/>
      <c r="AE5" s="128"/>
      <c r="AF5" s="128"/>
      <c r="AG5" s="129"/>
      <c r="AH5" s="125" t="s">
        <v>18</v>
      </c>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6" t="s">
        <v>46</v>
      </c>
      <c r="BS5" s="126"/>
      <c r="BT5" s="126"/>
      <c r="BU5" s="126"/>
      <c r="BV5" s="126"/>
      <c r="BW5" s="126"/>
      <c r="BX5" s="126"/>
    </row>
    <row r="6" spans="1:76" ht="20.100000000000001" customHeight="1" x14ac:dyDescent="0.2">
      <c r="A6" s="90">
        <v>2</v>
      </c>
      <c r="B6" s="90"/>
      <c r="C6" s="90"/>
      <c r="D6" s="90"/>
      <c r="E6" s="91">
        <v>1.01</v>
      </c>
      <c r="F6" s="91"/>
      <c r="G6" s="91"/>
      <c r="H6" s="91"/>
      <c r="I6" s="91"/>
      <c r="J6" s="92">
        <v>45216</v>
      </c>
      <c r="K6" s="92"/>
      <c r="L6" s="92"/>
      <c r="M6" s="92"/>
      <c r="N6" s="92"/>
      <c r="O6" s="92"/>
      <c r="P6" s="92"/>
      <c r="Q6" s="92"/>
      <c r="R6" s="90" t="s">
        <v>94</v>
      </c>
      <c r="S6" s="90"/>
      <c r="T6" s="90"/>
      <c r="U6" s="90"/>
      <c r="V6" s="90"/>
      <c r="W6" s="96"/>
      <c r="X6" s="96"/>
      <c r="Y6" s="96"/>
      <c r="Z6" s="96"/>
      <c r="AA6" s="97" t="s">
        <v>115</v>
      </c>
      <c r="AB6" s="96"/>
      <c r="AC6" s="96"/>
      <c r="AD6" s="96"/>
      <c r="AE6" s="96"/>
      <c r="AF6" s="96"/>
      <c r="AG6" s="96"/>
      <c r="AH6" s="97" t="s">
        <v>95</v>
      </c>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96"/>
      <c r="BQ6" s="96"/>
      <c r="BR6" s="98" t="s">
        <v>45</v>
      </c>
      <c r="BS6" s="98"/>
      <c r="BT6" s="98"/>
      <c r="BU6" s="98"/>
      <c r="BV6" s="98"/>
      <c r="BW6" s="98"/>
      <c r="BX6" s="98"/>
    </row>
    <row r="7" spans="1:76" ht="30" customHeight="1" x14ac:dyDescent="0.2">
      <c r="A7" s="90">
        <v>3</v>
      </c>
      <c r="B7" s="90"/>
      <c r="C7" s="90"/>
      <c r="D7" s="90"/>
      <c r="E7" s="91">
        <v>1.02</v>
      </c>
      <c r="F7" s="91"/>
      <c r="G7" s="91"/>
      <c r="H7" s="91"/>
      <c r="I7" s="91"/>
      <c r="J7" s="92">
        <v>45238</v>
      </c>
      <c r="K7" s="92"/>
      <c r="L7" s="92"/>
      <c r="M7" s="92"/>
      <c r="N7" s="92"/>
      <c r="O7" s="92"/>
      <c r="P7" s="92"/>
      <c r="Q7" s="92"/>
      <c r="R7" s="90" t="s">
        <v>94</v>
      </c>
      <c r="S7" s="90"/>
      <c r="T7" s="90"/>
      <c r="U7" s="90"/>
      <c r="V7" s="90"/>
      <c r="W7" s="96"/>
      <c r="X7" s="96"/>
      <c r="Y7" s="96"/>
      <c r="Z7" s="96"/>
      <c r="AA7" s="97" t="s">
        <v>115</v>
      </c>
      <c r="AB7" s="96"/>
      <c r="AC7" s="96"/>
      <c r="AD7" s="96"/>
      <c r="AE7" s="96"/>
      <c r="AF7" s="96"/>
      <c r="AG7" s="96"/>
      <c r="AH7" s="97" t="s">
        <v>127</v>
      </c>
      <c r="AI7" s="96"/>
      <c r="AJ7" s="96"/>
      <c r="AK7" s="96"/>
      <c r="AL7" s="96"/>
      <c r="AM7" s="96"/>
      <c r="AN7" s="96"/>
      <c r="AO7" s="96"/>
      <c r="AP7" s="96"/>
      <c r="AQ7" s="96"/>
      <c r="AR7" s="96"/>
      <c r="AS7" s="96"/>
      <c r="AT7" s="96"/>
      <c r="AU7" s="96"/>
      <c r="AV7" s="96"/>
      <c r="AW7" s="96"/>
      <c r="AX7" s="96"/>
      <c r="AY7" s="96"/>
      <c r="AZ7" s="96"/>
      <c r="BA7" s="96"/>
      <c r="BB7" s="96"/>
      <c r="BC7" s="96"/>
      <c r="BD7" s="96"/>
      <c r="BE7" s="96"/>
      <c r="BF7" s="96"/>
      <c r="BG7" s="96"/>
      <c r="BH7" s="96"/>
      <c r="BI7" s="96"/>
      <c r="BJ7" s="96"/>
      <c r="BK7" s="96"/>
      <c r="BL7" s="96"/>
      <c r="BM7" s="96"/>
      <c r="BN7" s="96"/>
      <c r="BO7" s="96"/>
      <c r="BP7" s="96"/>
      <c r="BQ7" s="96"/>
      <c r="BR7" s="98" t="s">
        <v>45</v>
      </c>
      <c r="BS7" s="98"/>
      <c r="BT7" s="98"/>
      <c r="BU7" s="98"/>
      <c r="BV7" s="98"/>
      <c r="BW7" s="98"/>
      <c r="BX7" s="98"/>
    </row>
    <row r="8" spans="1:76" ht="20.100000000000001" customHeight="1" x14ac:dyDescent="0.2">
      <c r="A8" s="90">
        <v>4</v>
      </c>
      <c r="B8" s="90"/>
      <c r="C8" s="90"/>
      <c r="D8" s="90"/>
      <c r="E8" s="91">
        <v>1.03</v>
      </c>
      <c r="F8" s="91"/>
      <c r="G8" s="91"/>
      <c r="H8" s="91"/>
      <c r="I8" s="91"/>
      <c r="J8" s="92">
        <v>45315</v>
      </c>
      <c r="K8" s="92"/>
      <c r="L8" s="92"/>
      <c r="M8" s="92"/>
      <c r="N8" s="92"/>
      <c r="O8" s="92"/>
      <c r="P8" s="92"/>
      <c r="Q8" s="92"/>
      <c r="R8" s="90" t="s">
        <v>94</v>
      </c>
      <c r="S8" s="90"/>
      <c r="T8" s="90"/>
      <c r="U8" s="90"/>
      <c r="V8" s="90"/>
      <c r="W8" s="96"/>
      <c r="X8" s="96"/>
      <c r="Y8" s="96"/>
      <c r="Z8" s="96"/>
      <c r="AA8" s="97" t="s">
        <v>128</v>
      </c>
      <c r="AB8" s="96"/>
      <c r="AC8" s="96"/>
      <c r="AD8" s="96"/>
      <c r="AE8" s="96"/>
      <c r="AF8" s="96"/>
      <c r="AG8" s="96"/>
      <c r="AH8" s="97" t="s">
        <v>129</v>
      </c>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6"/>
      <c r="BK8" s="96"/>
      <c r="BL8" s="96"/>
      <c r="BM8" s="96"/>
      <c r="BN8" s="96"/>
      <c r="BO8" s="96"/>
      <c r="BP8" s="96"/>
      <c r="BQ8" s="96"/>
      <c r="BR8" s="98" t="s">
        <v>45</v>
      </c>
      <c r="BS8" s="98"/>
      <c r="BT8" s="98"/>
      <c r="BU8" s="98"/>
      <c r="BV8" s="98"/>
      <c r="BW8" s="98"/>
      <c r="BX8" s="98"/>
    </row>
    <row r="9" spans="1:76" ht="33" customHeight="1" x14ac:dyDescent="0.2">
      <c r="A9" s="99">
        <v>5</v>
      </c>
      <c r="B9" s="99"/>
      <c r="C9" s="99"/>
      <c r="D9" s="99"/>
      <c r="E9" s="111">
        <v>1.04</v>
      </c>
      <c r="F9" s="111"/>
      <c r="G9" s="111"/>
      <c r="H9" s="111"/>
      <c r="I9" s="111"/>
      <c r="J9" s="112">
        <v>45642</v>
      </c>
      <c r="K9" s="112"/>
      <c r="L9" s="112"/>
      <c r="M9" s="112"/>
      <c r="N9" s="112"/>
      <c r="O9" s="112"/>
      <c r="P9" s="112"/>
      <c r="Q9" s="112"/>
      <c r="R9" s="99" t="s">
        <v>94</v>
      </c>
      <c r="S9" s="99"/>
      <c r="T9" s="99"/>
      <c r="U9" s="99"/>
      <c r="V9" s="99"/>
      <c r="W9" s="94"/>
      <c r="X9" s="94"/>
      <c r="Y9" s="94"/>
      <c r="Z9" s="94"/>
      <c r="AA9" s="93" t="s">
        <v>115</v>
      </c>
      <c r="AB9" s="94"/>
      <c r="AC9" s="94"/>
      <c r="AD9" s="94"/>
      <c r="AE9" s="94"/>
      <c r="AF9" s="94"/>
      <c r="AG9" s="94"/>
      <c r="AH9" s="93" t="s">
        <v>136</v>
      </c>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5" t="s">
        <v>45</v>
      </c>
      <c r="BS9" s="95"/>
      <c r="BT9" s="95"/>
      <c r="BU9" s="95"/>
      <c r="BV9" s="95"/>
      <c r="BW9" s="95"/>
      <c r="BX9" s="95"/>
    </row>
    <row r="10" spans="1:76" ht="20.100000000000001" customHeight="1" x14ac:dyDescent="0.2">
      <c r="A10" s="90"/>
      <c r="B10" s="90"/>
      <c r="C10" s="90"/>
      <c r="D10" s="90"/>
      <c r="E10" s="91"/>
      <c r="F10" s="91"/>
      <c r="G10" s="91"/>
      <c r="H10" s="91"/>
      <c r="I10" s="91"/>
      <c r="J10" s="92"/>
      <c r="K10" s="92"/>
      <c r="L10" s="92"/>
      <c r="M10" s="92"/>
      <c r="N10" s="92"/>
      <c r="O10" s="92"/>
      <c r="P10" s="92"/>
      <c r="Q10" s="92"/>
      <c r="R10" s="90"/>
      <c r="S10" s="90"/>
      <c r="T10" s="90"/>
      <c r="U10" s="90"/>
      <c r="V10" s="90"/>
      <c r="W10" s="96"/>
      <c r="X10" s="96"/>
      <c r="Y10" s="96"/>
      <c r="Z10" s="96"/>
      <c r="AA10" s="97"/>
      <c r="AB10" s="96"/>
      <c r="AC10" s="96"/>
      <c r="AD10" s="96"/>
      <c r="AE10" s="96"/>
      <c r="AF10" s="96"/>
      <c r="AG10" s="96"/>
      <c r="AH10" s="97"/>
      <c r="AI10" s="96"/>
      <c r="AJ10" s="96"/>
      <c r="AK10" s="96"/>
      <c r="AL10" s="96"/>
      <c r="AM10" s="96"/>
      <c r="AN10" s="96"/>
      <c r="AO10" s="96"/>
      <c r="AP10" s="96"/>
      <c r="AQ10" s="96"/>
      <c r="AR10" s="96"/>
      <c r="AS10" s="96"/>
      <c r="AT10" s="96"/>
      <c r="AU10" s="96"/>
      <c r="AV10" s="96"/>
      <c r="AW10" s="96"/>
      <c r="AX10" s="96"/>
      <c r="AY10" s="96"/>
      <c r="AZ10" s="96"/>
      <c r="BA10" s="96"/>
      <c r="BB10" s="96"/>
      <c r="BC10" s="96"/>
      <c r="BD10" s="96"/>
      <c r="BE10" s="96"/>
      <c r="BF10" s="96"/>
      <c r="BG10" s="96"/>
      <c r="BH10" s="96"/>
      <c r="BI10" s="96"/>
      <c r="BJ10" s="96"/>
      <c r="BK10" s="96"/>
      <c r="BL10" s="96"/>
      <c r="BM10" s="96"/>
      <c r="BN10" s="96"/>
      <c r="BO10" s="96"/>
      <c r="BP10" s="96"/>
      <c r="BQ10" s="96"/>
      <c r="BR10" s="98"/>
      <c r="BS10" s="98"/>
      <c r="BT10" s="98"/>
      <c r="BU10" s="98"/>
      <c r="BV10" s="98"/>
      <c r="BW10" s="98"/>
      <c r="BX10" s="98"/>
    </row>
    <row r="11" spans="1:76" ht="20.100000000000001" customHeight="1" x14ac:dyDescent="0.2">
      <c r="A11" s="90"/>
      <c r="B11" s="90"/>
      <c r="C11" s="90"/>
      <c r="D11" s="90"/>
      <c r="E11" s="91"/>
      <c r="F11" s="91"/>
      <c r="G11" s="91"/>
      <c r="H11" s="91"/>
      <c r="I11" s="91"/>
      <c r="J11" s="92"/>
      <c r="K11" s="92"/>
      <c r="L11" s="92"/>
      <c r="M11" s="92"/>
      <c r="N11" s="92"/>
      <c r="O11" s="92"/>
      <c r="P11" s="92"/>
      <c r="Q11" s="92"/>
      <c r="R11" s="90"/>
      <c r="S11" s="90"/>
      <c r="T11" s="90"/>
      <c r="U11" s="90"/>
      <c r="V11" s="90"/>
      <c r="W11" s="96"/>
      <c r="X11" s="96"/>
      <c r="Y11" s="96"/>
      <c r="Z11" s="96"/>
      <c r="AA11" s="97"/>
      <c r="AB11" s="96"/>
      <c r="AC11" s="96"/>
      <c r="AD11" s="96"/>
      <c r="AE11" s="96"/>
      <c r="AF11" s="96"/>
      <c r="AG11" s="96"/>
      <c r="AH11" s="97"/>
      <c r="AI11" s="96"/>
      <c r="AJ11" s="96"/>
      <c r="AK11" s="96"/>
      <c r="AL11" s="96"/>
      <c r="AM11" s="96"/>
      <c r="AN11" s="96"/>
      <c r="AO11" s="96"/>
      <c r="AP11" s="96"/>
      <c r="AQ11" s="96"/>
      <c r="AR11" s="96"/>
      <c r="AS11" s="96"/>
      <c r="AT11" s="96"/>
      <c r="AU11" s="96"/>
      <c r="AV11" s="96"/>
      <c r="AW11" s="96"/>
      <c r="AX11" s="96"/>
      <c r="AY11" s="96"/>
      <c r="AZ11" s="96"/>
      <c r="BA11" s="96"/>
      <c r="BB11" s="96"/>
      <c r="BC11" s="96"/>
      <c r="BD11" s="96"/>
      <c r="BE11" s="96"/>
      <c r="BF11" s="96"/>
      <c r="BG11" s="96"/>
      <c r="BH11" s="96"/>
      <c r="BI11" s="96"/>
      <c r="BJ11" s="96"/>
      <c r="BK11" s="96"/>
      <c r="BL11" s="96"/>
      <c r="BM11" s="96"/>
      <c r="BN11" s="96"/>
      <c r="BO11" s="96"/>
      <c r="BP11" s="96"/>
      <c r="BQ11" s="96"/>
      <c r="BR11" s="98"/>
      <c r="BS11" s="98"/>
      <c r="BT11" s="98"/>
      <c r="BU11" s="98"/>
      <c r="BV11" s="98"/>
      <c r="BW11" s="98"/>
      <c r="BX11" s="98"/>
    </row>
    <row r="12" spans="1:76" ht="20.100000000000001" customHeight="1" x14ac:dyDescent="0.2">
      <c r="A12" s="90"/>
      <c r="B12" s="90"/>
      <c r="C12" s="90"/>
      <c r="D12" s="90"/>
      <c r="E12" s="91"/>
      <c r="F12" s="91"/>
      <c r="G12" s="91"/>
      <c r="H12" s="91"/>
      <c r="I12" s="91"/>
      <c r="J12" s="92"/>
      <c r="K12" s="92"/>
      <c r="L12" s="92"/>
      <c r="M12" s="92"/>
      <c r="N12" s="92"/>
      <c r="O12" s="92"/>
      <c r="P12" s="92"/>
      <c r="Q12" s="92"/>
      <c r="R12" s="90"/>
      <c r="S12" s="90"/>
      <c r="T12" s="90"/>
      <c r="U12" s="90"/>
      <c r="V12" s="90"/>
      <c r="W12" s="96"/>
      <c r="X12" s="96"/>
      <c r="Y12" s="96"/>
      <c r="Z12" s="96"/>
      <c r="AA12" s="96"/>
      <c r="AB12" s="96"/>
      <c r="AC12" s="96"/>
      <c r="AD12" s="96"/>
      <c r="AE12" s="96"/>
      <c r="AF12" s="96"/>
      <c r="AG12" s="96"/>
      <c r="AH12" s="97"/>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6"/>
      <c r="BG12" s="96"/>
      <c r="BH12" s="96"/>
      <c r="BI12" s="96"/>
      <c r="BJ12" s="96"/>
      <c r="BK12" s="96"/>
      <c r="BL12" s="96"/>
      <c r="BM12" s="96"/>
      <c r="BN12" s="96"/>
      <c r="BO12" s="96"/>
      <c r="BP12" s="96"/>
      <c r="BQ12" s="96"/>
      <c r="BR12" s="98"/>
      <c r="BS12" s="98"/>
      <c r="BT12" s="98"/>
      <c r="BU12" s="98"/>
      <c r="BV12" s="98"/>
      <c r="BW12" s="98"/>
      <c r="BX12" s="98"/>
    </row>
    <row r="13" spans="1:76" ht="20.100000000000001" customHeight="1" x14ac:dyDescent="0.2">
      <c r="A13" s="90"/>
      <c r="B13" s="90"/>
      <c r="C13" s="90"/>
      <c r="D13" s="90"/>
      <c r="E13" s="91"/>
      <c r="F13" s="91"/>
      <c r="G13" s="91"/>
      <c r="H13" s="91"/>
      <c r="I13" s="91"/>
      <c r="J13" s="92"/>
      <c r="K13" s="92"/>
      <c r="L13" s="92"/>
      <c r="M13" s="92"/>
      <c r="N13" s="92"/>
      <c r="O13" s="92"/>
      <c r="P13" s="92"/>
      <c r="Q13" s="92"/>
      <c r="R13" s="90"/>
      <c r="S13" s="90"/>
      <c r="T13" s="90"/>
      <c r="U13" s="90"/>
      <c r="V13" s="90"/>
      <c r="W13" s="96"/>
      <c r="X13" s="96"/>
      <c r="Y13" s="96"/>
      <c r="Z13" s="96"/>
      <c r="AA13" s="96"/>
      <c r="AB13" s="96"/>
      <c r="AC13" s="96"/>
      <c r="AD13" s="96"/>
      <c r="AE13" s="96"/>
      <c r="AF13" s="96"/>
      <c r="AG13" s="96"/>
      <c r="AH13" s="97"/>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8"/>
      <c r="BS13" s="98"/>
      <c r="BT13" s="98"/>
      <c r="BU13" s="98"/>
      <c r="BV13" s="98"/>
      <c r="BW13" s="98"/>
      <c r="BX13" s="98"/>
    </row>
    <row r="14" spans="1:76" ht="20.100000000000001" customHeight="1" x14ac:dyDescent="0.2">
      <c r="A14" s="90"/>
      <c r="B14" s="90"/>
      <c r="C14" s="90"/>
      <c r="D14" s="90"/>
      <c r="E14" s="91"/>
      <c r="F14" s="91"/>
      <c r="G14" s="91"/>
      <c r="H14" s="91"/>
      <c r="I14" s="91"/>
      <c r="J14" s="92"/>
      <c r="K14" s="92"/>
      <c r="L14" s="92"/>
      <c r="M14" s="92"/>
      <c r="N14" s="92"/>
      <c r="O14" s="92"/>
      <c r="P14" s="92"/>
      <c r="Q14" s="92"/>
      <c r="R14" s="90"/>
      <c r="S14" s="90"/>
      <c r="T14" s="90"/>
      <c r="U14" s="90"/>
      <c r="V14" s="90"/>
      <c r="W14" s="96"/>
      <c r="X14" s="96"/>
      <c r="Y14" s="96"/>
      <c r="Z14" s="96"/>
      <c r="AA14" s="96"/>
      <c r="AB14" s="96"/>
      <c r="AC14" s="96"/>
      <c r="AD14" s="96"/>
      <c r="AE14" s="96"/>
      <c r="AF14" s="96"/>
      <c r="AG14" s="96"/>
      <c r="AH14" s="97"/>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8"/>
      <c r="BS14" s="98"/>
      <c r="BT14" s="98"/>
      <c r="BU14" s="98"/>
      <c r="BV14" s="98"/>
      <c r="BW14" s="98"/>
      <c r="BX14" s="98"/>
    </row>
    <row r="15" spans="1:76" ht="20.100000000000001" customHeight="1" x14ac:dyDescent="0.2">
      <c r="A15" s="90"/>
      <c r="B15" s="90"/>
      <c r="C15" s="90"/>
      <c r="D15" s="90"/>
      <c r="E15" s="91"/>
      <c r="F15" s="91"/>
      <c r="G15" s="91"/>
      <c r="H15" s="91"/>
      <c r="I15" s="91"/>
      <c r="J15" s="92"/>
      <c r="K15" s="92"/>
      <c r="L15" s="92"/>
      <c r="M15" s="92"/>
      <c r="N15" s="92"/>
      <c r="O15" s="92"/>
      <c r="P15" s="92"/>
      <c r="Q15" s="92"/>
      <c r="R15" s="90"/>
      <c r="S15" s="90"/>
      <c r="T15" s="90"/>
      <c r="U15" s="90"/>
      <c r="V15" s="90"/>
      <c r="W15" s="96"/>
      <c r="X15" s="96"/>
      <c r="Y15" s="96"/>
      <c r="Z15" s="96"/>
      <c r="AA15" s="96"/>
      <c r="AB15" s="96"/>
      <c r="AC15" s="96"/>
      <c r="AD15" s="96"/>
      <c r="AE15" s="96"/>
      <c r="AF15" s="96"/>
      <c r="AG15" s="96"/>
      <c r="AH15" s="97"/>
      <c r="AI15" s="96"/>
      <c r="AJ15" s="96"/>
      <c r="AK15" s="96"/>
      <c r="AL15" s="96"/>
      <c r="AM15" s="96"/>
      <c r="AN15" s="96"/>
      <c r="AO15" s="96"/>
      <c r="AP15" s="96"/>
      <c r="AQ15" s="96"/>
      <c r="AR15" s="96"/>
      <c r="AS15" s="96"/>
      <c r="AT15" s="96"/>
      <c r="AU15" s="96"/>
      <c r="AV15" s="96"/>
      <c r="AW15" s="96"/>
      <c r="AX15" s="96"/>
      <c r="AY15" s="96"/>
      <c r="AZ15" s="96"/>
      <c r="BA15" s="96"/>
      <c r="BB15" s="96"/>
      <c r="BC15" s="96"/>
      <c r="BD15" s="96"/>
      <c r="BE15" s="96"/>
      <c r="BF15" s="96"/>
      <c r="BG15" s="96"/>
      <c r="BH15" s="96"/>
      <c r="BI15" s="96"/>
      <c r="BJ15" s="96"/>
      <c r="BK15" s="96"/>
      <c r="BL15" s="96"/>
      <c r="BM15" s="96"/>
      <c r="BN15" s="96"/>
      <c r="BO15" s="96"/>
      <c r="BP15" s="96"/>
      <c r="BQ15" s="96"/>
      <c r="BR15" s="98"/>
      <c r="BS15" s="98"/>
      <c r="BT15" s="98"/>
      <c r="BU15" s="98"/>
      <c r="BV15" s="98"/>
      <c r="BW15" s="98"/>
      <c r="BX15" s="98"/>
    </row>
    <row r="16" spans="1:76" ht="20.100000000000001" customHeight="1" x14ac:dyDescent="0.2">
      <c r="A16" s="90"/>
      <c r="B16" s="90"/>
      <c r="C16" s="90"/>
      <c r="D16" s="90"/>
      <c r="E16" s="91"/>
      <c r="F16" s="91"/>
      <c r="G16" s="91"/>
      <c r="H16" s="91"/>
      <c r="I16" s="91"/>
      <c r="J16" s="92"/>
      <c r="K16" s="92"/>
      <c r="L16" s="92"/>
      <c r="M16" s="92"/>
      <c r="N16" s="92"/>
      <c r="O16" s="92"/>
      <c r="P16" s="92"/>
      <c r="Q16" s="92"/>
      <c r="R16" s="90"/>
      <c r="S16" s="90"/>
      <c r="T16" s="90"/>
      <c r="U16" s="90"/>
      <c r="V16" s="90"/>
      <c r="W16" s="96"/>
      <c r="X16" s="96"/>
      <c r="Y16" s="96"/>
      <c r="Z16" s="96"/>
      <c r="AA16" s="96"/>
      <c r="AB16" s="96"/>
      <c r="AC16" s="96"/>
      <c r="AD16" s="96"/>
      <c r="AE16" s="96"/>
      <c r="AF16" s="96"/>
      <c r="AG16" s="96"/>
      <c r="AH16" s="97"/>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96"/>
      <c r="BL16" s="96"/>
      <c r="BM16" s="96"/>
      <c r="BN16" s="96"/>
      <c r="BO16" s="96"/>
      <c r="BP16" s="96"/>
      <c r="BQ16" s="96"/>
      <c r="BR16" s="98"/>
      <c r="BS16" s="98"/>
      <c r="BT16" s="98"/>
      <c r="BU16" s="98"/>
      <c r="BV16" s="98"/>
      <c r="BW16" s="98"/>
      <c r="BX16" s="98"/>
    </row>
    <row r="17" spans="1:76" ht="20.100000000000001" customHeight="1" x14ac:dyDescent="0.2">
      <c r="A17" s="90"/>
      <c r="B17" s="90"/>
      <c r="C17" s="90"/>
      <c r="D17" s="90"/>
      <c r="E17" s="91"/>
      <c r="F17" s="91"/>
      <c r="G17" s="91"/>
      <c r="H17" s="91"/>
      <c r="I17" s="91"/>
      <c r="J17" s="92"/>
      <c r="K17" s="92"/>
      <c r="L17" s="92"/>
      <c r="M17" s="92"/>
      <c r="N17" s="92"/>
      <c r="O17" s="92"/>
      <c r="P17" s="92"/>
      <c r="Q17" s="92"/>
      <c r="R17" s="90"/>
      <c r="S17" s="90"/>
      <c r="T17" s="90"/>
      <c r="U17" s="90"/>
      <c r="V17" s="90"/>
      <c r="W17" s="96"/>
      <c r="X17" s="96"/>
      <c r="Y17" s="96"/>
      <c r="Z17" s="96"/>
      <c r="AA17" s="96"/>
      <c r="AB17" s="96"/>
      <c r="AC17" s="96"/>
      <c r="AD17" s="96"/>
      <c r="AE17" s="96"/>
      <c r="AF17" s="96"/>
      <c r="AG17" s="96"/>
      <c r="AH17" s="97"/>
      <c r="AI17" s="96"/>
      <c r="AJ17" s="96"/>
      <c r="AK17" s="96"/>
      <c r="AL17" s="96"/>
      <c r="AM17" s="96"/>
      <c r="AN17" s="96"/>
      <c r="AO17" s="96"/>
      <c r="AP17" s="96"/>
      <c r="AQ17" s="96"/>
      <c r="AR17" s="96"/>
      <c r="AS17" s="96"/>
      <c r="AT17" s="96"/>
      <c r="AU17" s="96"/>
      <c r="AV17" s="96"/>
      <c r="AW17" s="96"/>
      <c r="AX17" s="96"/>
      <c r="AY17" s="96"/>
      <c r="AZ17" s="96"/>
      <c r="BA17" s="96"/>
      <c r="BB17" s="96"/>
      <c r="BC17" s="96"/>
      <c r="BD17" s="96"/>
      <c r="BE17" s="96"/>
      <c r="BF17" s="96"/>
      <c r="BG17" s="96"/>
      <c r="BH17" s="96"/>
      <c r="BI17" s="96"/>
      <c r="BJ17" s="96"/>
      <c r="BK17" s="96"/>
      <c r="BL17" s="96"/>
      <c r="BM17" s="96"/>
      <c r="BN17" s="96"/>
      <c r="BO17" s="96"/>
      <c r="BP17" s="96"/>
      <c r="BQ17" s="96"/>
      <c r="BR17" s="98"/>
      <c r="BS17" s="98"/>
      <c r="BT17" s="98"/>
      <c r="BU17" s="98"/>
      <c r="BV17" s="98"/>
      <c r="BW17" s="98"/>
      <c r="BX17" s="98"/>
    </row>
    <row r="18" spans="1:76" ht="20.100000000000001" customHeight="1" x14ac:dyDescent="0.2">
      <c r="A18" s="90"/>
      <c r="B18" s="90"/>
      <c r="C18" s="90"/>
      <c r="D18" s="90"/>
      <c r="E18" s="91"/>
      <c r="F18" s="91"/>
      <c r="G18" s="91"/>
      <c r="H18" s="91"/>
      <c r="I18" s="91"/>
      <c r="J18" s="92"/>
      <c r="K18" s="92"/>
      <c r="L18" s="92"/>
      <c r="M18" s="92"/>
      <c r="N18" s="92"/>
      <c r="O18" s="92"/>
      <c r="P18" s="92"/>
      <c r="Q18" s="92"/>
      <c r="R18" s="90"/>
      <c r="S18" s="90"/>
      <c r="T18" s="90"/>
      <c r="U18" s="90"/>
      <c r="V18" s="90"/>
      <c r="W18" s="96"/>
      <c r="X18" s="96"/>
      <c r="Y18" s="96"/>
      <c r="Z18" s="96"/>
      <c r="AA18" s="96"/>
      <c r="AB18" s="96"/>
      <c r="AC18" s="96"/>
      <c r="AD18" s="96"/>
      <c r="AE18" s="96"/>
      <c r="AF18" s="96"/>
      <c r="AG18" s="96"/>
      <c r="AH18" s="97"/>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8"/>
      <c r="BS18" s="98"/>
      <c r="BT18" s="98"/>
      <c r="BU18" s="98"/>
      <c r="BV18" s="98"/>
      <c r="BW18" s="98"/>
      <c r="BX18" s="98"/>
    </row>
    <row r="19" spans="1:76" ht="20.100000000000001" customHeight="1" x14ac:dyDescent="0.2">
      <c r="A19" s="90"/>
      <c r="B19" s="90"/>
      <c r="C19" s="90"/>
      <c r="D19" s="90"/>
      <c r="E19" s="91"/>
      <c r="F19" s="91"/>
      <c r="G19" s="91"/>
      <c r="H19" s="91"/>
      <c r="I19" s="91"/>
      <c r="J19" s="92"/>
      <c r="K19" s="92"/>
      <c r="L19" s="92"/>
      <c r="M19" s="92"/>
      <c r="N19" s="92"/>
      <c r="O19" s="92"/>
      <c r="P19" s="92"/>
      <c r="Q19" s="92"/>
      <c r="R19" s="90"/>
      <c r="S19" s="90"/>
      <c r="T19" s="90"/>
      <c r="U19" s="90"/>
      <c r="V19" s="90"/>
      <c r="W19" s="96"/>
      <c r="X19" s="96"/>
      <c r="Y19" s="96"/>
      <c r="Z19" s="96"/>
      <c r="AA19" s="96"/>
      <c r="AB19" s="96"/>
      <c r="AC19" s="96"/>
      <c r="AD19" s="96"/>
      <c r="AE19" s="96"/>
      <c r="AF19" s="96"/>
      <c r="AG19" s="96"/>
      <c r="AH19" s="97"/>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6"/>
      <c r="BH19" s="96"/>
      <c r="BI19" s="96"/>
      <c r="BJ19" s="96"/>
      <c r="BK19" s="96"/>
      <c r="BL19" s="96"/>
      <c r="BM19" s="96"/>
      <c r="BN19" s="96"/>
      <c r="BO19" s="96"/>
      <c r="BP19" s="96"/>
      <c r="BQ19" s="96"/>
      <c r="BR19" s="98"/>
      <c r="BS19" s="98"/>
      <c r="BT19" s="98"/>
      <c r="BU19" s="98"/>
      <c r="BV19" s="98"/>
      <c r="BW19" s="98"/>
      <c r="BX19" s="98"/>
    </row>
    <row r="20" spans="1:76" ht="20.100000000000001" customHeight="1" x14ac:dyDescent="0.2">
      <c r="A20" s="90"/>
      <c r="B20" s="90"/>
      <c r="C20" s="90"/>
      <c r="D20" s="90"/>
      <c r="E20" s="91"/>
      <c r="F20" s="91"/>
      <c r="G20" s="91"/>
      <c r="H20" s="91"/>
      <c r="I20" s="91"/>
      <c r="J20" s="92"/>
      <c r="K20" s="92"/>
      <c r="L20" s="92"/>
      <c r="M20" s="92"/>
      <c r="N20" s="92"/>
      <c r="O20" s="92"/>
      <c r="P20" s="92"/>
      <c r="Q20" s="92"/>
      <c r="R20" s="90"/>
      <c r="S20" s="90"/>
      <c r="T20" s="90"/>
      <c r="U20" s="90"/>
      <c r="V20" s="90"/>
      <c r="W20" s="96"/>
      <c r="X20" s="96"/>
      <c r="Y20" s="96"/>
      <c r="Z20" s="96"/>
      <c r="AA20" s="96"/>
      <c r="AB20" s="96"/>
      <c r="AC20" s="96"/>
      <c r="AD20" s="96"/>
      <c r="AE20" s="96"/>
      <c r="AF20" s="96"/>
      <c r="AG20" s="96"/>
      <c r="AH20" s="97"/>
      <c r="AI20" s="96"/>
      <c r="AJ20" s="96"/>
      <c r="AK20" s="96"/>
      <c r="AL20" s="96"/>
      <c r="AM20" s="96"/>
      <c r="AN20" s="96"/>
      <c r="AO20" s="96"/>
      <c r="AP20" s="96"/>
      <c r="AQ20" s="96"/>
      <c r="AR20" s="96"/>
      <c r="AS20" s="96"/>
      <c r="AT20" s="96"/>
      <c r="AU20" s="96"/>
      <c r="AV20" s="96"/>
      <c r="AW20" s="96"/>
      <c r="AX20" s="96"/>
      <c r="AY20" s="96"/>
      <c r="AZ20" s="96"/>
      <c r="BA20" s="96"/>
      <c r="BB20" s="96"/>
      <c r="BC20" s="96"/>
      <c r="BD20" s="96"/>
      <c r="BE20" s="96"/>
      <c r="BF20" s="96"/>
      <c r="BG20" s="96"/>
      <c r="BH20" s="96"/>
      <c r="BI20" s="96"/>
      <c r="BJ20" s="96"/>
      <c r="BK20" s="96"/>
      <c r="BL20" s="96"/>
      <c r="BM20" s="96"/>
      <c r="BN20" s="96"/>
      <c r="BO20" s="96"/>
      <c r="BP20" s="96"/>
      <c r="BQ20" s="96"/>
      <c r="BR20" s="98"/>
      <c r="BS20" s="98"/>
      <c r="BT20" s="98"/>
      <c r="BU20" s="98"/>
      <c r="BV20" s="98"/>
      <c r="BW20" s="98"/>
      <c r="BX20" s="98"/>
    </row>
    <row r="21" spans="1:76" ht="20.100000000000001" customHeight="1" x14ac:dyDescent="0.2">
      <c r="A21" s="90"/>
      <c r="B21" s="90"/>
      <c r="C21" s="90"/>
      <c r="D21" s="90"/>
      <c r="E21" s="91"/>
      <c r="F21" s="91"/>
      <c r="G21" s="91"/>
      <c r="H21" s="91"/>
      <c r="I21" s="91"/>
      <c r="J21" s="92"/>
      <c r="K21" s="92"/>
      <c r="L21" s="92"/>
      <c r="M21" s="92"/>
      <c r="N21" s="92"/>
      <c r="O21" s="92"/>
      <c r="P21" s="92"/>
      <c r="Q21" s="92"/>
      <c r="R21" s="90"/>
      <c r="S21" s="90"/>
      <c r="T21" s="90"/>
      <c r="U21" s="90"/>
      <c r="V21" s="90"/>
      <c r="W21" s="96"/>
      <c r="X21" s="96"/>
      <c r="Y21" s="96"/>
      <c r="Z21" s="96"/>
      <c r="AA21" s="96"/>
      <c r="AB21" s="96"/>
      <c r="AC21" s="96"/>
      <c r="AD21" s="96"/>
      <c r="AE21" s="96"/>
      <c r="AF21" s="96"/>
      <c r="AG21" s="96"/>
      <c r="AH21" s="97"/>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c r="BQ21" s="96"/>
      <c r="BR21" s="98"/>
      <c r="BS21" s="98"/>
      <c r="BT21" s="98"/>
      <c r="BU21" s="98"/>
      <c r="BV21" s="98"/>
      <c r="BW21" s="98"/>
      <c r="BX21" s="98"/>
    </row>
    <row r="22" spans="1:76" ht="20.100000000000001" customHeight="1" x14ac:dyDescent="0.2">
      <c r="A22" s="90"/>
      <c r="B22" s="90"/>
      <c r="C22" s="90"/>
      <c r="D22" s="90"/>
      <c r="E22" s="91"/>
      <c r="F22" s="91"/>
      <c r="G22" s="91"/>
      <c r="H22" s="91"/>
      <c r="I22" s="91"/>
      <c r="J22" s="92"/>
      <c r="K22" s="92"/>
      <c r="L22" s="92"/>
      <c r="M22" s="92"/>
      <c r="N22" s="92"/>
      <c r="O22" s="92"/>
      <c r="P22" s="92"/>
      <c r="Q22" s="92"/>
      <c r="R22" s="90"/>
      <c r="S22" s="90"/>
      <c r="T22" s="90"/>
      <c r="U22" s="90"/>
      <c r="V22" s="90"/>
      <c r="W22" s="96"/>
      <c r="X22" s="96"/>
      <c r="Y22" s="96"/>
      <c r="Z22" s="96"/>
      <c r="AA22" s="96"/>
      <c r="AB22" s="96"/>
      <c r="AC22" s="96"/>
      <c r="AD22" s="96"/>
      <c r="AE22" s="96"/>
      <c r="AF22" s="96"/>
      <c r="AG22" s="96"/>
      <c r="AH22" s="97"/>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6"/>
      <c r="BK22" s="96"/>
      <c r="BL22" s="96"/>
      <c r="BM22" s="96"/>
      <c r="BN22" s="96"/>
      <c r="BO22" s="96"/>
      <c r="BP22" s="96"/>
      <c r="BQ22" s="96"/>
      <c r="BR22" s="98"/>
      <c r="BS22" s="98"/>
      <c r="BT22" s="98"/>
      <c r="BU22" s="98"/>
      <c r="BV22" s="98"/>
      <c r="BW22" s="98"/>
      <c r="BX22" s="98"/>
    </row>
    <row r="23" spans="1:76" ht="20.100000000000001" customHeight="1" x14ac:dyDescent="0.2">
      <c r="A23" s="90"/>
      <c r="B23" s="90"/>
      <c r="C23" s="90"/>
      <c r="D23" s="90"/>
      <c r="E23" s="91"/>
      <c r="F23" s="91"/>
      <c r="G23" s="91"/>
      <c r="H23" s="91"/>
      <c r="I23" s="91"/>
      <c r="J23" s="92"/>
      <c r="K23" s="92"/>
      <c r="L23" s="92"/>
      <c r="M23" s="92"/>
      <c r="N23" s="92"/>
      <c r="O23" s="92"/>
      <c r="P23" s="92"/>
      <c r="Q23" s="92"/>
      <c r="R23" s="90"/>
      <c r="S23" s="90"/>
      <c r="T23" s="90"/>
      <c r="U23" s="90"/>
      <c r="V23" s="90"/>
      <c r="W23" s="96"/>
      <c r="X23" s="96"/>
      <c r="Y23" s="96"/>
      <c r="Z23" s="96"/>
      <c r="AA23" s="96"/>
      <c r="AB23" s="96"/>
      <c r="AC23" s="96"/>
      <c r="AD23" s="96"/>
      <c r="AE23" s="96"/>
      <c r="AF23" s="96"/>
      <c r="AG23" s="96"/>
      <c r="AH23" s="97"/>
      <c r="AI23" s="96"/>
      <c r="AJ23" s="96"/>
      <c r="AK23" s="96"/>
      <c r="AL23" s="96"/>
      <c r="AM23" s="96"/>
      <c r="AN23" s="96"/>
      <c r="AO23" s="96"/>
      <c r="AP23" s="96"/>
      <c r="AQ23" s="96"/>
      <c r="AR23" s="96"/>
      <c r="AS23" s="96"/>
      <c r="AT23" s="96"/>
      <c r="AU23" s="96"/>
      <c r="AV23" s="96"/>
      <c r="AW23" s="96"/>
      <c r="AX23" s="96"/>
      <c r="AY23" s="96"/>
      <c r="AZ23" s="96"/>
      <c r="BA23" s="96"/>
      <c r="BB23" s="96"/>
      <c r="BC23" s="96"/>
      <c r="BD23" s="96"/>
      <c r="BE23" s="96"/>
      <c r="BF23" s="96"/>
      <c r="BG23" s="96"/>
      <c r="BH23" s="96"/>
      <c r="BI23" s="96"/>
      <c r="BJ23" s="96"/>
      <c r="BK23" s="96"/>
      <c r="BL23" s="96"/>
      <c r="BM23" s="96"/>
      <c r="BN23" s="96"/>
      <c r="BO23" s="96"/>
      <c r="BP23" s="96"/>
      <c r="BQ23" s="96"/>
      <c r="BR23" s="98"/>
      <c r="BS23" s="98"/>
      <c r="BT23" s="98"/>
      <c r="BU23" s="98"/>
      <c r="BV23" s="98"/>
      <c r="BW23" s="98"/>
      <c r="BX23" s="98"/>
    </row>
    <row r="24" spans="1:76" ht="20.100000000000001" customHeight="1" x14ac:dyDescent="0.2">
      <c r="A24" s="90"/>
      <c r="B24" s="90"/>
      <c r="C24" s="90"/>
      <c r="D24" s="90"/>
      <c r="E24" s="91"/>
      <c r="F24" s="91"/>
      <c r="G24" s="91"/>
      <c r="H24" s="91"/>
      <c r="I24" s="91"/>
      <c r="J24" s="92"/>
      <c r="K24" s="92"/>
      <c r="L24" s="92"/>
      <c r="M24" s="92"/>
      <c r="N24" s="92"/>
      <c r="O24" s="92"/>
      <c r="P24" s="92"/>
      <c r="Q24" s="92"/>
      <c r="R24" s="90"/>
      <c r="S24" s="90"/>
      <c r="T24" s="90"/>
      <c r="U24" s="90"/>
      <c r="V24" s="90"/>
      <c r="W24" s="96"/>
      <c r="X24" s="96"/>
      <c r="Y24" s="96"/>
      <c r="Z24" s="96"/>
      <c r="AA24" s="96"/>
      <c r="AB24" s="96"/>
      <c r="AC24" s="96"/>
      <c r="AD24" s="96"/>
      <c r="AE24" s="96"/>
      <c r="AF24" s="96"/>
      <c r="AG24" s="96"/>
      <c r="AH24" s="97"/>
      <c r="AI24" s="96"/>
      <c r="AJ24" s="96"/>
      <c r="AK24" s="96"/>
      <c r="AL24" s="96"/>
      <c r="AM24" s="96"/>
      <c r="AN24" s="96"/>
      <c r="AO24" s="96"/>
      <c r="AP24" s="96"/>
      <c r="AQ24" s="96"/>
      <c r="AR24" s="96"/>
      <c r="AS24" s="96"/>
      <c r="AT24" s="96"/>
      <c r="AU24" s="96"/>
      <c r="AV24" s="96"/>
      <c r="AW24" s="96"/>
      <c r="AX24" s="96"/>
      <c r="AY24" s="96"/>
      <c r="AZ24" s="96"/>
      <c r="BA24" s="96"/>
      <c r="BB24" s="96"/>
      <c r="BC24" s="96"/>
      <c r="BD24" s="96"/>
      <c r="BE24" s="96"/>
      <c r="BF24" s="96"/>
      <c r="BG24" s="96"/>
      <c r="BH24" s="96"/>
      <c r="BI24" s="96"/>
      <c r="BJ24" s="96"/>
      <c r="BK24" s="96"/>
      <c r="BL24" s="96"/>
      <c r="BM24" s="96"/>
      <c r="BN24" s="96"/>
      <c r="BO24" s="96"/>
      <c r="BP24" s="96"/>
      <c r="BQ24" s="96"/>
      <c r="BR24" s="98"/>
      <c r="BS24" s="98"/>
      <c r="BT24" s="98"/>
      <c r="BU24" s="98"/>
      <c r="BV24" s="98"/>
      <c r="BW24" s="98"/>
      <c r="BX24" s="98"/>
    </row>
    <row r="25" spans="1:76" ht="20.100000000000001" customHeight="1" x14ac:dyDescent="0.2">
      <c r="A25" s="90"/>
      <c r="B25" s="90"/>
      <c r="C25" s="90"/>
      <c r="D25" s="90"/>
      <c r="E25" s="91"/>
      <c r="F25" s="91"/>
      <c r="G25" s="91"/>
      <c r="H25" s="91"/>
      <c r="I25" s="91"/>
      <c r="J25" s="92"/>
      <c r="K25" s="92"/>
      <c r="L25" s="92"/>
      <c r="M25" s="92"/>
      <c r="N25" s="92"/>
      <c r="O25" s="92"/>
      <c r="P25" s="92"/>
      <c r="Q25" s="92"/>
      <c r="R25" s="90"/>
      <c r="S25" s="90"/>
      <c r="T25" s="90"/>
      <c r="U25" s="90"/>
      <c r="V25" s="90"/>
      <c r="W25" s="96"/>
      <c r="X25" s="96"/>
      <c r="Y25" s="96"/>
      <c r="Z25" s="96"/>
      <c r="AA25" s="96"/>
      <c r="AB25" s="96"/>
      <c r="AC25" s="96"/>
      <c r="AD25" s="96"/>
      <c r="AE25" s="96"/>
      <c r="AF25" s="96"/>
      <c r="AG25" s="96"/>
      <c r="AH25" s="97"/>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8"/>
      <c r="BS25" s="98"/>
      <c r="BT25" s="98"/>
      <c r="BU25" s="98"/>
      <c r="BV25" s="98"/>
      <c r="BW25" s="98"/>
      <c r="BX25" s="98"/>
    </row>
    <row r="26" spans="1:76" ht="20.100000000000001" customHeight="1" x14ac:dyDescent="0.2">
      <c r="A26" s="90"/>
      <c r="B26" s="90"/>
      <c r="C26" s="90"/>
      <c r="D26" s="90"/>
      <c r="E26" s="91"/>
      <c r="F26" s="91"/>
      <c r="G26" s="91"/>
      <c r="H26" s="91"/>
      <c r="I26" s="91"/>
      <c r="J26" s="92"/>
      <c r="K26" s="92"/>
      <c r="L26" s="92"/>
      <c r="M26" s="92"/>
      <c r="N26" s="92"/>
      <c r="O26" s="92"/>
      <c r="P26" s="92"/>
      <c r="Q26" s="92"/>
      <c r="R26" s="90"/>
      <c r="S26" s="90"/>
      <c r="T26" s="90"/>
      <c r="U26" s="90"/>
      <c r="V26" s="90"/>
      <c r="W26" s="96"/>
      <c r="X26" s="96"/>
      <c r="Y26" s="96"/>
      <c r="Z26" s="96"/>
      <c r="AA26" s="96"/>
      <c r="AB26" s="96"/>
      <c r="AC26" s="96"/>
      <c r="AD26" s="96"/>
      <c r="AE26" s="96"/>
      <c r="AF26" s="96"/>
      <c r="AG26" s="96"/>
      <c r="AH26" s="97"/>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c r="BM26" s="96"/>
      <c r="BN26" s="96"/>
      <c r="BO26" s="96"/>
      <c r="BP26" s="96"/>
      <c r="BQ26" s="96"/>
      <c r="BR26" s="98"/>
      <c r="BS26" s="98"/>
      <c r="BT26" s="98"/>
      <c r="BU26" s="98"/>
      <c r="BV26" s="98"/>
      <c r="BW26" s="98"/>
      <c r="BX26" s="98"/>
    </row>
    <row r="27" spans="1:76" ht="20.100000000000001" customHeight="1" x14ac:dyDescent="0.2">
      <c r="A27" s="90"/>
      <c r="B27" s="90"/>
      <c r="C27" s="90"/>
      <c r="D27" s="90"/>
      <c r="E27" s="91"/>
      <c r="F27" s="91"/>
      <c r="G27" s="91"/>
      <c r="H27" s="91"/>
      <c r="I27" s="91"/>
      <c r="J27" s="92"/>
      <c r="K27" s="92"/>
      <c r="L27" s="92"/>
      <c r="M27" s="92"/>
      <c r="N27" s="92"/>
      <c r="O27" s="92"/>
      <c r="P27" s="92"/>
      <c r="Q27" s="92"/>
      <c r="R27" s="90"/>
      <c r="S27" s="90"/>
      <c r="T27" s="90"/>
      <c r="U27" s="90"/>
      <c r="V27" s="90"/>
      <c r="W27" s="96"/>
      <c r="X27" s="96"/>
      <c r="Y27" s="96"/>
      <c r="Z27" s="96"/>
      <c r="AA27" s="96"/>
      <c r="AB27" s="96"/>
      <c r="AC27" s="96"/>
      <c r="AD27" s="96"/>
      <c r="AE27" s="96"/>
      <c r="AF27" s="96"/>
      <c r="AG27" s="96"/>
      <c r="AH27" s="97"/>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8"/>
      <c r="BS27" s="98"/>
      <c r="BT27" s="98"/>
      <c r="BU27" s="98"/>
      <c r="BV27" s="98"/>
      <c r="BW27" s="98"/>
      <c r="BX27" s="98"/>
    </row>
    <row r="28" spans="1:76" ht="20.100000000000001" customHeight="1" x14ac:dyDescent="0.2">
      <c r="A28" s="90"/>
      <c r="B28" s="90"/>
      <c r="C28" s="90"/>
      <c r="D28" s="90"/>
      <c r="E28" s="91"/>
      <c r="F28" s="91"/>
      <c r="G28" s="91"/>
      <c r="H28" s="91"/>
      <c r="I28" s="91"/>
      <c r="J28" s="92"/>
      <c r="K28" s="92"/>
      <c r="L28" s="92"/>
      <c r="M28" s="92"/>
      <c r="N28" s="92"/>
      <c r="O28" s="92"/>
      <c r="P28" s="92"/>
      <c r="Q28" s="92"/>
      <c r="R28" s="90"/>
      <c r="S28" s="90"/>
      <c r="T28" s="90"/>
      <c r="U28" s="90"/>
      <c r="V28" s="90"/>
      <c r="W28" s="96"/>
      <c r="X28" s="96"/>
      <c r="Y28" s="96"/>
      <c r="Z28" s="96"/>
      <c r="AA28" s="96"/>
      <c r="AB28" s="96"/>
      <c r="AC28" s="96"/>
      <c r="AD28" s="96"/>
      <c r="AE28" s="96"/>
      <c r="AF28" s="96"/>
      <c r="AG28" s="96"/>
      <c r="AH28" s="97"/>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8"/>
      <c r="BS28" s="98"/>
      <c r="BT28" s="98"/>
      <c r="BU28" s="98"/>
      <c r="BV28" s="98"/>
      <c r="BW28" s="98"/>
      <c r="BX28" s="98"/>
    </row>
  </sheetData>
  <mergeCells count="201">
    <mergeCell ref="AA28:AG28"/>
    <mergeCell ref="AH28:BQ28"/>
    <mergeCell ref="BR28:BX28"/>
    <mergeCell ref="A28:D28"/>
    <mergeCell ref="E28:I28"/>
    <mergeCell ref="J28:Q28"/>
    <mergeCell ref="R28:V28"/>
    <mergeCell ref="W28:Z28"/>
    <mergeCell ref="AA26:AG26"/>
    <mergeCell ref="AH26:BQ26"/>
    <mergeCell ref="BR26:BX26"/>
    <mergeCell ref="A27:D27"/>
    <mergeCell ref="E27:I27"/>
    <mergeCell ref="J27:Q27"/>
    <mergeCell ref="R27:V27"/>
    <mergeCell ref="W27:Z27"/>
    <mergeCell ref="AA27:AG27"/>
    <mergeCell ref="AH27:BQ27"/>
    <mergeCell ref="BR27:BX27"/>
    <mergeCell ref="A26:D26"/>
    <mergeCell ref="E26:I26"/>
    <mergeCell ref="J26:Q26"/>
    <mergeCell ref="R26:V26"/>
    <mergeCell ref="W26:Z26"/>
    <mergeCell ref="AA24:AG24"/>
    <mergeCell ref="AH24:BQ24"/>
    <mergeCell ref="BR24:BX24"/>
    <mergeCell ref="A25:D25"/>
    <mergeCell ref="E25:I25"/>
    <mergeCell ref="J25:Q25"/>
    <mergeCell ref="R25:V25"/>
    <mergeCell ref="W25:Z25"/>
    <mergeCell ref="AA25:AG25"/>
    <mergeCell ref="AH25:BQ25"/>
    <mergeCell ref="BR25:BX25"/>
    <mergeCell ref="A24:D24"/>
    <mergeCell ref="E24:I24"/>
    <mergeCell ref="J24:Q24"/>
    <mergeCell ref="R24:V24"/>
    <mergeCell ref="W24:Z24"/>
    <mergeCell ref="AA22:AG22"/>
    <mergeCell ref="AH22:BQ22"/>
    <mergeCell ref="BR22:BX22"/>
    <mergeCell ref="A23:D23"/>
    <mergeCell ref="E23:I23"/>
    <mergeCell ref="J23:Q23"/>
    <mergeCell ref="R23:V23"/>
    <mergeCell ref="W23:Z23"/>
    <mergeCell ref="AA23:AG23"/>
    <mergeCell ref="AH23:BQ23"/>
    <mergeCell ref="BR23:BX23"/>
    <mergeCell ref="A22:D22"/>
    <mergeCell ref="E22:I22"/>
    <mergeCell ref="J22:Q22"/>
    <mergeCell ref="R22:V22"/>
    <mergeCell ref="W22:Z22"/>
    <mergeCell ref="A21:D21"/>
    <mergeCell ref="E21:I21"/>
    <mergeCell ref="J21:Q21"/>
    <mergeCell ref="R21:V21"/>
    <mergeCell ref="W21:Z21"/>
    <mergeCell ref="AA21:AG21"/>
    <mergeCell ref="AH21:BQ21"/>
    <mergeCell ref="BR21:BX21"/>
    <mergeCell ref="A20:D20"/>
    <mergeCell ref="E20:I20"/>
    <mergeCell ref="J20:Q20"/>
    <mergeCell ref="R20:V20"/>
    <mergeCell ref="W20:Z20"/>
    <mergeCell ref="AA19:AG19"/>
    <mergeCell ref="AH19:BQ19"/>
    <mergeCell ref="BR19:BX19"/>
    <mergeCell ref="A19:D19"/>
    <mergeCell ref="E19:I19"/>
    <mergeCell ref="J19:Q19"/>
    <mergeCell ref="R19:V19"/>
    <mergeCell ref="W19:Z19"/>
    <mergeCell ref="AA20:AG20"/>
    <mergeCell ref="AH20:BQ20"/>
    <mergeCell ref="BR20:BX20"/>
    <mergeCell ref="AA17:AG17"/>
    <mergeCell ref="AH17:BQ17"/>
    <mergeCell ref="BR17:BX17"/>
    <mergeCell ref="A18:D18"/>
    <mergeCell ref="E18:I18"/>
    <mergeCell ref="J18:Q18"/>
    <mergeCell ref="R18:V18"/>
    <mergeCell ref="W18:Z18"/>
    <mergeCell ref="AA18:AG18"/>
    <mergeCell ref="AH18:BQ18"/>
    <mergeCell ref="BR18:BX18"/>
    <mergeCell ref="A17:D17"/>
    <mergeCell ref="E17:I17"/>
    <mergeCell ref="J17:Q17"/>
    <mergeCell ref="R17:V17"/>
    <mergeCell ref="W17:Z17"/>
    <mergeCell ref="AA15:AG15"/>
    <mergeCell ref="AH15:BQ15"/>
    <mergeCell ref="BR15:BX15"/>
    <mergeCell ref="A16:D16"/>
    <mergeCell ref="E16:I16"/>
    <mergeCell ref="J16:Q16"/>
    <mergeCell ref="R16:V16"/>
    <mergeCell ref="W16:Z16"/>
    <mergeCell ref="AA16:AG16"/>
    <mergeCell ref="AH16:BQ16"/>
    <mergeCell ref="BR16:BX16"/>
    <mergeCell ref="A15:D15"/>
    <mergeCell ref="E15:I15"/>
    <mergeCell ref="J15:Q15"/>
    <mergeCell ref="R15:V15"/>
    <mergeCell ref="W15:Z15"/>
    <mergeCell ref="AA13:AG13"/>
    <mergeCell ref="AH13:BQ13"/>
    <mergeCell ref="BR13:BX13"/>
    <mergeCell ref="A14:D14"/>
    <mergeCell ref="E14:I14"/>
    <mergeCell ref="J14:Q14"/>
    <mergeCell ref="R14:V14"/>
    <mergeCell ref="W14:Z14"/>
    <mergeCell ref="AA14:AG14"/>
    <mergeCell ref="AH14:BQ14"/>
    <mergeCell ref="BR14:BX14"/>
    <mergeCell ref="A13:D13"/>
    <mergeCell ref="E13:I13"/>
    <mergeCell ref="J13:Q13"/>
    <mergeCell ref="R13:V13"/>
    <mergeCell ref="W13:Z13"/>
    <mergeCell ref="R3:V4"/>
    <mergeCell ref="R6:V6"/>
    <mergeCell ref="BR3:BX4"/>
    <mergeCell ref="AH3:BQ4"/>
    <mergeCell ref="AH5:BQ5"/>
    <mergeCell ref="BR5:BX5"/>
    <mergeCell ref="W6:Z6"/>
    <mergeCell ref="AA6:AG6"/>
    <mergeCell ref="AH6:BQ6"/>
    <mergeCell ref="BR6:BX6"/>
    <mergeCell ref="AA4:AG4"/>
    <mergeCell ref="W3:AG3"/>
    <mergeCell ref="W4:Z4"/>
    <mergeCell ref="W5:Z5"/>
    <mergeCell ref="AA5:AG5"/>
    <mergeCell ref="J8:Q8"/>
    <mergeCell ref="R8:V8"/>
    <mergeCell ref="W9:Z9"/>
    <mergeCell ref="AA9:AG9"/>
    <mergeCell ref="A5:D5"/>
    <mergeCell ref="R5:V5"/>
    <mergeCell ref="W7:Z7"/>
    <mergeCell ref="AA7:AG7"/>
    <mergeCell ref="A3:D4"/>
    <mergeCell ref="J3:Q4"/>
    <mergeCell ref="A9:D9"/>
    <mergeCell ref="E9:I9"/>
    <mergeCell ref="J9:Q9"/>
    <mergeCell ref="A8:D8"/>
    <mergeCell ref="E8:I8"/>
    <mergeCell ref="A6:D6"/>
    <mergeCell ref="E6:I6"/>
    <mergeCell ref="J6:Q6"/>
    <mergeCell ref="J5:Q5"/>
    <mergeCell ref="E3:I4"/>
    <mergeCell ref="E5:I5"/>
    <mergeCell ref="A7:D7"/>
    <mergeCell ref="E7:I7"/>
    <mergeCell ref="J7:Q7"/>
    <mergeCell ref="AH8:BQ8"/>
    <mergeCell ref="BR8:BX8"/>
    <mergeCell ref="AA8:AG8"/>
    <mergeCell ref="W8:Z8"/>
    <mergeCell ref="BR7:BX7"/>
    <mergeCell ref="AH7:BQ7"/>
    <mergeCell ref="R9:V9"/>
    <mergeCell ref="W10:Z10"/>
    <mergeCell ref="AA10:AG10"/>
    <mergeCell ref="AH10:BQ10"/>
    <mergeCell ref="BR10:BX10"/>
    <mergeCell ref="R7:V7"/>
    <mergeCell ref="A10:D10"/>
    <mergeCell ref="E10:I10"/>
    <mergeCell ref="J10:Q10"/>
    <mergeCell ref="R10:V10"/>
    <mergeCell ref="AH9:BQ9"/>
    <mergeCell ref="BR9:BX9"/>
    <mergeCell ref="W12:Z12"/>
    <mergeCell ref="AA12:AG12"/>
    <mergeCell ref="AH12:BQ12"/>
    <mergeCell ref="BR12:BX12"/>
    <mergeCell ref="A12:D12"/>
    <mergeCell ref="E12:I12"/>
    <mergeCell ref="J12:Q12"/>
    <mergeCell ref="R12:V12"/>
    <mergeCell ref="AH11:BQ11"/>
    <mergeCell ref="BR11:BX11"/>
    <mergeCell ref="A11:D11"/>
    <mergeCell ref="E11:I11"/>
    <mergeCell ref="J11:Q11"/>
    <mergeCell ref="R11:V11"/>
    <mergeCell ref="W11:Z11"/>
    <mergeCell ref="AA11:AG11"/>
  </mergeCells>
  <phoneticPr fontId="2"/>
  <pageMargins left="0.21" right="0.2"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CR47"/>
  <sheetViews>
    <sheetView zoomScale="85" zoomScaleNormal="85" workbookViewId="0">
      <pane ySplit="3" topLeftCell="A4" activePane="bottomLeft" state="frozen"/>
      <selection activeCell="J6" sqref="J6:Q6"/>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199" t="s">
        <v>1</v>
      </c>
      <c r="B1" s="200"/>
      <c r="C1" s="200"/>
      <c r="D1" s="200"/>
      <c r="E1" s="200"/>
      <c r="F1" s="200"/>
      <c r="G1" s="200"/>
      <c r="H1" s="201"/>
      <c r="I1" s="202" t="str">
        <f>タイトル!I40</f>
        <v>　学生勤務管理システム</v>
      </c>
      <c r="J1" s="203"/>
      <c r="K1" s="203"/>
      <c r="L1" s="203"/>
      <c r="M1" s="203"/>
      <c r="N1" s="203"/>
      <c r="O1" s="203"/>
      <c r="P1" s="203"/>
      <c r="Q1" s="203"/>
      <c r="R1" s="203"/>
      <c r="S1" s="203"/>
      <c r="T1" s="203"/>
      <c r="U1" s="203"/>
      <c r="V1" s="203"/>
      <c r="W1" s="203"/>
      <c r="X1" s="203"/>
      <c r="Y1" s="203"/>
      <c r="Z1" s="203"/>
      <c r="AA1" s="203"/>
      <c r="AB1" s="203"/>
      <c r="AC1" s="203"/>
      <c r="AD1" s="204"/>
      <c r="AE1" s="205" t="s">
        <v>0</v>
      </c>
      <c r="AF1" s="206"/>
      <c r="AG1" s="206"/>
      <c r="AH1" s="206"/>
      <c r="AI1" s="206"/>
      <c r="AJ1" s="206"/>
      <c r="AK1" s="207"/>
      <c r="AL1" s="208" t="str">
        <f>タイトル!I43</f>
        <v>　機能設計</v>
      </c>
      <c r="AM1" s="209"/>
      <c r="AN1" s="209"/>
      <c r="AO1" s="209"/>
      <c r="AP1" s="209"/>
      <c r="AQ1" s="209"/>
      <c r="AR1" s="209"/>
      <c r="AS1" s="209"/>
      <c r="AT1" s="209"/>
      <c r="AU1" s="209"/>
      <c r="AV1" s="209"/>
      <c r="AW1" s="209"/>
      <c r="AX1" s="209"/>
      <c r="AY1" s="209"/>
      <c r="AZ1" s="209"/>
      <c r="BA1" s="209"/>
      <c r="BB1" s="209"/>
      <c r="BC1" s="209"/>
      <c r="BD1" s="209"/>
      <c r="BE1" s="209"/>
      <c r="BF1" s="209"/>
      <c r="BG1" s="209"/>
      <c r="BH1" s="210"/>
      <c r="BI1" s="205" t="s">
        <v>12</v>
      </c>
      <c r="BJ1" s="206"/>
      <c r="BK1" s="206"/>
      <c r="BL1" s="207"/>
      <c r="BM1" s="211" t="str">
        <f>タイトル!I46</f>
        <v>木田　優</v>
      </c>
      <c r="BN1" s="212"/>
      <c r="BO1" s="212"/>
      <c r="BP1" s="212"/>
      <c r="BQ1" s="212"/>
      <c r="BR1" s="212"/>
      <c r="BS1" s="212"/>
      <c r="BT1" s="212"/>
      <c r="BU1" s="212"/>
      <c r="BV1" s="213"/>
      <c r="BW1" s="157">
        <f>タイトル!I47</f>
        <v>45198</v>
      </c>
      <c r="BX1" s="158"/>
      <c r="BY1" s="158"/>
      <c r="BZ1" s="158"/>
      <c r="CA1" s="158"/>
      <c r="CB1" s="158"/>
      <c r="CC1" s="158"/>
      <c r="CD1" s="158"/>
      <c r="CE1" s="159"/>
      <c r="CF1" s="160" t="s">
        <v>13</v>
      </c>
      <c r="CG1" s="161"/>
      <c r="CH1" s="161"/>
      <c r="CI1" s="161"/>
      <c r="CJ1" s="162"/>
      <c r="CK1" s="169" t="str">
        <f>タイトル!I50</f>
        <v>DUC010</v>
      </c>
      <c r="CL1" s="170"/>
      <c r="CM1" s="170"/>
      <c r="CN1" s="170"/>
      <c r="CO1" s="170"/>
      <c r="CP1" s="170"/>
      <c r="CQ1" s="170"/>
      <c r="CR1" s="171"/>
    </row>
    <row r="2" spans="1:96" s="15" customFormat="1" ht="15" customHeight="1" x14ac:dyDescent="0.2">
      <c r="A2" s="178" t="s">
        <v>14</v>
      </c>
      <c r="B2" s="179"/>
      <c r="C2" s="179"/>
      <c r="D2" s="179"/>
      <c r="E2" s="179"/>
      <c r="F2" s="179"/>
      <c r="G2" s="179"/>
      <c r="H2" s="180"/>
      <c r="I2" s="181" t="str">
        <f>タイトル!I41</f>
        <v>　共通機能</v>
      </c>
      <c r="J2" s="182"/>
      <c r="K2" s="182"/>
      <c r="L2" s="182"/>
      <c r="M2" s="182"/>
      <c r="N2" s="182"/>
      <c r="O2" s="182"/>
      <c r="P2" s="182"/>
      <c r="Q2" s="182"/>
      <c r="R2" s="182"/>
      <c r="S2" s="182"/>
      <c r="T2" s="182"/>
      <c r="U2" s="182"/>
      <c r="V2" s="182"/>
      <c r="W2" s="182"/>
      <c r="X2" s="182"/>
      <c r="Y2" s="182"/>
      <c r="Z2" s="182"/>
      <c r="AA2" s="182"/>
      <c r="AB2" s="182"/>
      <c r="AC2" s="182"/>
      <c r="AD2" s="183"/>
      <c r="AE2" s="184" t="s">
        <v>32</v>
      </c>
      <c r="AF2" s="185"/>
      <c r="AG2" s="185"/>
      <c r="AH2" s="185"/>
      <c r="AI2" s="185"/>
      <c r="AJ2" s="185"/>
      <c r="AK2" s="186"/>
      <c r="AL2" s="187" t="str">
        <f>タイトル!I44</f>
        <v>　CZ-030_給与支給日マスタ</v>
      </c>
      <c r="AM2" s="188"/>
      <c r="AN2" s="188"/>
      <c r="AO2" s="188"/>
      <c r="AP2" s="188"/>
      <c r="AQ2" s="188"/>
      <c r="AR2" s="188"/>
      <c r="AS2" s="188"/>
      <c r="AT2" s="188"/>
      <c r="AU2" s="188"/>
      <c r="AV2" s="188"/>
      <c r="AW2" s="188"/>
      <c r="AX2" s="188"/>
      <c r="AY2" s="188"/>
      <c r="AZ2" s="188"/>
      <c r="BA2" s="188"/>
      <c r="BB2" s="188"/>
      <c r="BC2" s="188"/>
      <c r="BD2" s="188"/>
      <c r="BE2" s="188"/>
      <c r="BF2" s="188"/>
      <c r="BG2" s="188"/>
      <c r="BH2" s="189"/>
      <c r="BI2" s="190" t="s">
        <v>15</v>
      </c>
      <c r="BJ2" s="191"/>
      <c r="BK2" s="191"/>
      <c r="BL2" s="192"/>
      <c r="BM2" s="193" t="s">
        <v>98</v>
      </c>
      <c r="BN2" s="194"/>
      <c r="BO2" s="194"/>
      <c r="BP2" s="194"/>
      <c r="BQ2" s="194"/>
      <c r="BR2" s="194"/>
      <c r="BS2" s="194"/>
      <c r="BT2" s="194"/>
      <c r="BU2" s="194"/>
      <c r="BV2" s="195"/>
      <c r="BW2" s="196">
        <v>45315</v>
      </c>
      <c r="BX2" s="197"/>
      <c r="BY2" s="197"/>
      <c r="BZ2" s="197"/>
      <c r="CA2" s="197"/>
      <c r="CB2" s="197"/>
      <c r="CC2" s="197"/>
      <c r="CD2" s="197"/>
      <c r="CE2" s="198"/>
      <c r="CF2" s="163"/>
      <c r="CG2" s="164"/>
      <c r="CH2" s="164"/>
      <c r="CI2" s="164"/>
      <c r="CJ2" s="165"/>
      <c r="CK2" s="172"/>
      <c r="CL2" s="173"/>
      <c r="CM2" s="173"/>
      <c r="CN2" s="173"/>
      <c r="CO2" s="173"/>
      <c r="CP2" s="173"/>
      <c r="CQ2" s="173"/>
      <c r="CR2" s="174"/>
    </row>
    <row r="3" spans="1:96" s="15" customFormat="1" ht="15" customHeight="1" thickBot="1" x14ac:dyDescent="0.25">
      <c r="A3" s="142"/>
      <c r="B3" s="143"/>
      <c r="C3" s="143"/>
      <c r="D3" s="143"/>
      <c r="E3" s="143"/>
      <c r="F3" s="143"/>
      <c r="G3" s="143"/>
      <c r="H3" s="144"/>
      <c r="I3" s="145"/>
      <c r="J3" s="146"/>
      <c r="K3" s="146"/>
      <c r="L3" s="146"/>
      <c r="M3" s="146"/>
      <c r="N3" s="146"/>
      <c r="O3" s="146"/>
      <c r="P3" s="146"/>
      <c r="Q3" s="146"/>
      <c r="R3" s="146"/>
      <c r="S3" s="146"/>
      <c r="T3" s="146"/>
      <c r="U3" s="146"/>
      <c r="V3" s="146"/>
      <c r="W3" s="146"/>
      <c r="X3" s="146"/>
      <c r="Y3" s="146"/>
      <c r="Z3" s="146"/>
      <c r="AA3" s="146"/>
      <c r="AB3" s="146"/>
      <c r="AC3" s="146"/>
      <c r="AD3" s="147"/>
      <c r="AE3" s="166"/>
      <c r="AF3" s="167"/>
      <c r="AG3" s="167"/>
      <c r="AH3" s="167"/>
      <c r="AI3" s="167"/>
      <c r="AJ3" s="167"/>
      <c r="AK3" s="168"/>
      <c r="AL3" s="148"/>
      <c r="AM3" s="149"/>
      <c r="AN3" s="149"/>
      <c r="AO3" s="149"/>
      <c r="AP3" s="149"/>
      <c r="AQ3" s="149"/>
      <c r="AR3" s="149"/>
      <c r="AS3" s="149"/>
      <c r="AT3" s="149"/>
      <c r="AU3" s="149"/>
      <c r="AV3" s="149"/>
      <c r="AW3" s="149"/>
      <c r="AX3" s="149"/>
      <c r="AY3" s="149"/>
      <c r="AZ3" s="149"/>
      <c r="BA3" s="149"/>
      <c r="BB3" s="149"/>
      <c r="BC3" s="149"/>
      <c r="BD3" s="149"/>
      <c r="BE3" s="149"/>
      <c r="BF3" s="149"/>
      <c r="BG3" s="149"/>
      <c r="BH3" s="150"/>
      <c r="BI3" s="151"/>
      <c r="BJ3" s="152"/>
      <c r="BK3" s="152"/>
      <c r="BL3" s="153"/>
      <c r="BM3" s="154"/>
      <c r="BN3" s="155"/>
      <c r="BO3" s="155"/>
      <c r="BP3" s="155"/>
      <c r="BQ3" s="155"/>
      <c r="BR3" s="155"/>
      <c r="BS3" s="155"/>
      <c r="BT3" s="155"/>
      <c r="BU3" s="155"/>
      <c r="BV3" s="155"/>
      <c r="BW3" s="155"/>
      <c r="BX3" s="155"/>
      <c r="BY3" s="155"/>
      <c r="BZ3" s="155"/>
      <c r="CA3" s="155"/>
      <c r="CB3" s="155"/>
      <c r="CC3" s="155"/>
      <c r="CD3" s="155"/>
      <c r="CE3" s="156"/>
      <c r="CF3" s="166"/>
      <c r="CG3" s="167"/>
      <c r="CH3" s="167"/>
      <c r="CI3" s="167"/>
      <c r="CJ3" s="168"/>
      <c r="CK3" s="175"/>
      <c r="CL3" s="176"/>
      <c r="CM3" s="176"/>
      <c r="CN3" s="176"/>
      <c r="CO3" s="176"/>
      <c r="CP3" s="176"/>
      <c r="CQ3" s="176"/>
      <c r="CR3" s="177"/>
    </row>
    <row r="4" spans="1:96" s="16" customFormat="1" ht="15" customHeight="1" x14ac:dyDescent="0.2">
      <c r="A4" s="136" t="s">
        <v>36</v>
      </c>
      <c r="B4" s="137"/>
      <c r="C4" s="137"/>
      <c r="D4" s="137"/>
      <c r="E4" s="137"/>
      <c r="F4" s="137"/>
      <c r="G4" s="137"/>
      <c r="H4" s="137"/>
      <c r="I4" s="138" t="str">
        <f>"　" &amp; RIGHT(タイトル!I44,LEN(タイトル!I44)-8)</f>
        <v>　給与支給日マスタ</v>
      </c>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7" t="s">
        <v>37</v>
      </c>
      <c r="AM4" s="137"/>
      <c r="AN4" s="137"/>
      <c r="AO4" s="137"/>
      <c r="AP4" s="137"/>
      <c r="AQ4" s="137"/>
      <c r="AR4" s="137"/>
      <c r="AS4" s="139" t="str">
        <f>LEFT(タイトル!I44,7)</f>
        <v>　CZ-030</v>
      </c>
      <c r="AT4" s="139"/>
      <c r="AU4" s="139"/>
      <c r="AV4" s="139"/>
      <c r="AW4" s="139"/>
      <c r="AX4" s="139"/>
      <c r="AY4" s="139"/>
      <c r="AZ4" s="139"/>
      <c r="BA4" s="139"/>
      <c r="BB4" s="139"/>
      <c r="BC4" s="139"/>
      <c r="BD4" s="139"/>
      <c r="BE4" s="139"/>
      <c r="BF4" s="139"/>
      <c r="BG4" s="139"/>
      <c r="BH4" s="139"/>
      <c r="BI4" s="140" t="s">
        <v>35</v>
      </c>
      <c r="BJ4" s="141"/>
      <c r="BK4" s="141"/>
      <c r="BL4" s="141"/>
      <c r="BM4" s="141"/>
      <c r="BN4" s="141"/>
      <c r="BO4" s="141"/>
      <c r="BP4" s="141"/>
      <c r="BQ4" s="141"/>
      <c r="BR4" s="141"/>
      <c r="BS4" s="141"/>
      <c r="BT4" s="133" t="s">
        <v>48</v>
      </c>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5"/>
    </row>
    <row r="5" spans="1:96" s="13" customFormat="1" ht="15" customHeight="1" x14ac:dyDescent="0.15">
      <c r="A5" s="130" t="s">
        <v>39</v>
      </c>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c r="BC5" s="131"/>
      <c r="BD5" s="131"/>
      <c r="BE5" s="131"/>
      <c r="BF5" s="131"/>
      <c r="BG5" s="131"/>
      <c r="BH5" s="131"/>
      <c r="BI5" s="131"/>
      <c r="BJ5" s="131"/>
      <c r="BK5" s="131"/>
      <c r="BL5" s="131"/>
      <c r="BM5" s="131"/>
      <c r="BN5" s="131"/>
      <c r="BO5" s="131"/>
      <c r="BP5" s="131"/>
      <c r="BQ5" s="131"/>
      <c r="BR5" s="131"/>
      <c r="BS5" s="131"/>
      <c r="BT5" s="131"/>
      <c r="BU5" s="131"/>
      <c r="BV5" s="131"/>
      <c r="BW5" s="131"/>
      <c r="BX5" s="131"/>
      <c r="BY5" s="131"/>
      <c r="BZ5" s="131"/>
      <c r="CA5" s="131"/>
      <c r="CB5" s="131"/>
      <c r="CC5" s="131"/>
      <c r="CD5" s="131"/>
      <c r="CE5" s="131"/>
      <c r="CF5" s="131"/>
      <c r="CG5" s="131"/>
      <c r="CH5" s="131"/>
      <c r="CI5" s="131"/>
      <c r="CJ5" s="131"/>
      <c r="CK5" s="131"/>
      <c r="CL5" s="131"/>
      <c r="CM5" s="131"/>
      <c r="CN5" s="131"/>
      <c r="CO5" s="131"/>
      <c r="CP5" s="131"/>
      <c r="CQ5" s="131"/>
      <c r="CR5" s="132"/>
    </row>
    <row r="6" spans="1:96" s="13" customFormat="1" ht="15" customHeight="1" x14ac:dyDescent="0.15">
      <c r="A6" s="20"/>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9"/>
    </row>
    <row r="7" spans="1:96" s="13" customFormat="1" ht="15" customHeight="1" x14ac:dyDescent="0.15">
      <c r="A7" s="20"/>
      <c r="B7" s="18" t="s">
        <v>97</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20"/>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20"/>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2" customFormat="1" ht="15" customHeight="1" x14ac:dyDescent="0.15">
      <c r="A10" s="130" t="s">
        <v>40</v>
      </c>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c r="BP10" s="131"/>
      <c r="BQ10" s="131"/>
      <c r="BR10" s="131"/>
      <c r="BS10" s="131"/>
      <c r="BT10" s="131"/>
      <c r="BU10" s="131"/>
      <c r="BV10" s="131"/>
      <c r="BW10" s="131"/>
      <c r="BX10" s="131"/>
      <c r="BY10" s="131"/>
      <c r="BZ10" s="131"/>
      <c r="CA10" s="131"/>
      <c r="CB10" s="131"/>
      <c r="CC10" s="131"/>
      <c r="CD10" s="131"/>
      <c r="CE10" s="131"/>
      <c r="CF10" s="131"/>
      <c r="CG10" s="131"/>
      <c r="CH10" s="131"/>
      <c r="CI10" s="131"/>
      <c r="CJ10" s="131"/>
      <c r="CK10" s="131"/>
      <c r="CL10" s="131"/>
      <c r="CM10" s="131"/>
      <c r="CN10" s="131"/>
      <c r="CO10" s="131"/>
      <c r="CP10" s="131"/>
      <c r="CQ10" s="131"/>
      <c r="CR10" s="132"/>
    </row>
    <row r="11" spans="1:96" s="13" customFormat="1" ht="15" customHeight="1" x14ac:dyDescent="0.1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4"/>
    </row>
    <row r="12" spans="1:96" s="13" customFormat="1" ht="15" customHeight="1" x14ac:dyDescent="0.1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4"/>
    </row>
    <row r="13" spans="1:96" s="13" customFormat="1" ht="15" customHeight="1" x14ac:dyDescent="0.15">
      <c r="A13" s="22"/>
      <c r="B13" s="23"/>
      <c r="C13" s="31" t="s">
        <v>42</v>
      </c>
      <c r="D13" s="32"/>
      <c r="E13" s="32"/>
      <c r="F13" s="32"/>
      <c r="G13" s="32"/>
      <c r="H13" s="32"/>
      <c r="I13" s="32"/>
      <c r="J13" s="32"/>
      <c r="K13" s="32"/>
      <c r="L13" s="32"/>
      <c r="M13" s="32"/>
      <c r="N13" s="32"/>
      <c r="O13" s="32"/>
      <c r="P13" s="32"/>
      <c r="Q13" s="32"/>
      <c r="R13" s="32"/>
      <c r="S13" s="32"/>
      <c r="T13" s="33"/>
      <c r="U13" s="23"/>
      <c r="V13" s="23"/>
      <c r="W13" s="23"/>
      <c r="X13" s="23"/>
      <c r="Y13" s="23"/>
      <c r="Z13" s="23"/>
      <c r="AA13" s="23"/>
      <c r="AB13" s="23"/>
      <c r="AC13" s="23"/>
      <c r="AD13" s="23"/>
      <c r="AE13" s="12"/>
      <c r="AI13" s="31" t="s">
        <v>96</v>
      </c>
      <c r="AJ13" s="32"/>
      <c r="AK13" s="32"/>
      <c r="AL13" s="32"/>
      <c r="AM13" s="32"/>
      <c r="AN13" s="32"/>
      <c r="AO13" s="32"/>
      <c r="AP13" s="32"/>
      <c r="AQ13" s="32"/>
      <c r="AR13" s="32"/>
      <c r="AS13" s="32"/>
      <c r="AT13" s="32"/>
      <c r="AU13" s="32"/>
      <c r="AV13" s="32"/>
      <c r="AW13" s="32"/>
      <c r="AX13" s="32"/>
      <c r="AY13" s="32"/>
      <c r="AZ13" s="3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4"/>
    </row>
    <row r="14" spans="1:96" s="13" customFormat="1" ht="15" customHeight="1" x14ac:dyDescent="0.15">
      <c r="A14" s="22"/>
      <c r="B14" s="23"/>
      <c r="C14" s="34"/>
      <c r="D14" s="35" t="s">
        <v>66</v>
      </c>
      <c r="E14" s="36"/>
      <c r="F14" s="36"/>
      <c r="G14" s="36"/>
      <c r="H14" s="36"/>
      <c r="I14" s="36"/>
      <c r="J14" s="36"/>
      <c r="K14" s="36"/>
      <c r="L14" s="36"/>
      <c r="M14" s="36"/>
      <c r="N14" s="36"/>
      <c r="O14" s="36"/>
      <c r="P14" s="36"/>
      <c r="Q14" s="36"/>
      <c r="R14" s="37"/>
      <c r="S14" s="36"/>
      <c r="T14" s="38"/>
      <c r="U14" s="23"/>
      <c r="V14" s="23"/>
      <c r="W14" s="23"/>
      <c r="X14" s="23"/>
      <c r="Y14" s="23"/>
      <c r="Z14" s="23"/>
      <c r="AA14" s="23"/>
      <c r="AB14" s="23"/>
      <c r="AC14" s="23"/>
      <c r="AD14" s="23"/>
      <c r="AE14" s="12"/>
      <c r="AI14" s="34"/>
      <c r="AJ14" s="35" t="s">
        <v>67</v>
      </c>
      <c r="AK14" s="36"/>
      <c r="AL14" s="36"/>
      <c r="AM14" s="36"/>
      <c r="AN14" s="36"/>
      <c r="AO14" s="36"/>
      <c r="AP14" s="36"/>
      <c r="AQ14" s="36"/>
      <c r="AR14" s="36"/>
      <c r="AS14" s="36"/>
      <c r="AT14" s="36"/>
      <c r="AU14" s="36"/>
      <c r="AV14" s="36"/>
      <c r="AW14" s="36"/>
      <c r="AX14" s="37"/>
      <c r="AY14" s="36"/>
      <c r="AZ14" s="38"/>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4"/>
    </row>
    <row r="15" spans="1:96" s="13" customFormat="1" ht="15" customHeight="1" x14ac:dyDescent="0.15">
      <c r="A15" s="22"/>
      <c r="B15" s="23"/>
      <c r="C15" s="34"/>
      <c r="D15" s="36"/>
      <c r="E15" s="36"/>
      <c r="F15" s="36"/>
      <c r="G15" s="36"/>
      <c r="H15" s="36"/>
      <c r="I15" s="36"/>
      <c r="J15" s="36"/>
      <c r="K15" s="36"/>
      <c r="L15" s="36"/>
      <c r="M15" s="36"/>
      <c r="N15" s="36"/>
      <c r="O15" s="36"/>
      <c r="P15" s="36"/>
      <c r="Q15" s="39"/>
      <c r="R15" s="37"/>
      <c r="S15" s="36"/>
      <c r="T15" s="38"/>
      <c r="U15" s="23"/>
      <c r="V15" s="21" t="s">
        <v>68</v>
      </c>
      <c r="W15" s="23"/>
      <c r="X15" s="23"/>
      <c r="Y15" s="23"/>
      <c r="Z15" s="23"/>
      <c r="AA15" s="23"/>
      <c r="AB15" s="23"/>
      <c r="AC15" s="23"/>
      <c r="AD15" s="23"/>
      <c r="AE15" s="12"/>
      <c r="AI15" s="34"/>
      <c r="AJ15" s="36"/>
      <c r="AK15" s="36"/>
      <c r="AL15" s="36"/>
      <c r="AM15" s="36"/>
      <c r="AN15" s="36"/>
      <c r="AO15" s="36"/>
      <c r="AP15" s="36"/>
      <c r="AQ15" s="36"/>
      <c r="AR15" s="36"/>
      <c r="AS15" s="36"/>
      <c r="AT15" s="36"/>
      <c r="AU15" s="36"/>
      <c r="AV15" s="36"/>
      <c r="AW15" s="39"/>
      <c r="AX15" s="37"/>
      <c r="AY15" s="36"/>
      <c r="AZ15" s="38"/>
      <c r="BA15" s="21"/>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4"/>
    </row>
    <row r="16" spans="1:96" s="13" customFormat="1" ht="15" customHeight="1" x14ac:dyDescent="0.15">
      <c r="A16" s="22"/>
      <c r="B16" s="23"/>
      <c r="C16" s="34"/>
      <c r="D16" s="36"/>
      <c r="E16" s="36"/>
      <c r="F16" s="36"/>
      <c r="G16" s="36"/>
      <c r="H16" s="36"/>
      <c r="I16" s="36"/>
      <c r="J16" s="36"/>
      <c r="K16" s="36"/>
      <c r="L16" s="36"/>
      <c r="M16" s="36"/>
      <c r="N16" s="36"/>
      <c r="O16" s="36"/>
      <c r="P16" s="36"/>
      <c r="Q16" s="36"/>
      <c r="R16" s="36"/>
      <c r="S16" s="36"/>
      <c r="T16" s="38"/>
      <c r="U16" s="23"/>
      <c r="V16" s="23"/>
      <c r="W16" s="23"/>
      <c r="X16" s="23"/>
      <c r="Y16" s="12"/>
      <c r="Z16" s="12"/>
      <c r="AA16" s="12"/>
      <c r="AB16" s="12"/>
      <c r="AC16" s="12"/>
      <c r="AD16" s="12"/>
      <c r="AE16" s="12"/>
      <c r="AI16" s="34"/>
      <c r="AJ16" s="36"/>
      <c r="AK16" s="36"/>
      <c r="AL16" s="36"/>
      <c r="AM16" s="36"/>
      <c r="AN16" s="36"/>
      <c r="AO16" s="36"/>
      <c r="AP16" s="36"/>
      <c r="AQ16" s="36"/>
      <c r="AR16" s="36"/>
      <c r="AS16" s="36"/>
      <c r="AT16" s="36"/>
      <c r="AU16" s="36"/>
      <c r="AV16" s="36"/>
      <c r="AW16" s="36"/>
      <c r="AX16" s="36"/>
      <c r="AY16" s="36"/>
      <c r="AZ16" s="38"/>
      <c r="BA16" s="25"/>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4"/>
    </row>
    <row r="17" spans="1:96" s="13" customFormat="1" ht="15" customHeight="1" x14ac:dyDescent="0.15">
      <c r="A17" s="22"/>
      <c r="B17" s="23"/>
      <c r="C17" s="34"/>
      <c r="D17" s="36"/>
      <c r="E17" s="36"/>
      <c r="F17" s="36"/>
      <c r="G17" s="36"/>
      <c r="H17" s="36"/>
      <c r="I17" s="36"/>
      <c r="J17" s="36"/>
      <c r="K17" s="36"/>
      <c r="L17" s="36"/>
      <c r="M17" s="36"/>
      <c r="N17" s="36"/>
      <c r="O17" s="36"/>
      <c r="P17" s="36"/>
      <c r="Q17" s="36"/>
      <c r="R17" s="36"/>
      <c r="S17" s="36"/>
      <c r="T17" s="38"/>
      <c r="U17" s="23"/>
      <c r="V17" s="23"/>
      <c r="W17" s="23"/>
      <c r="X17" s="23"/>
      <c r="Y17" s="12"/>
      <c r="Z17" s="12"/>
      <c r="AA17" s="12"/>
      <c r="AB17" s="12"/>
      <c r="AC17" s="12"/>
      <c r="AD17" s="12"/>
      <c r="AE17" s="12"/>
      <c r="AI17" s="34"/>
      <c r="AJ17" s="36"/>
      <c r="AK17" s="36"/>
      <c r="AL17" s="36"/>
      <c r="AM17" s="36"/>
      <c r="AN17" s="36"/>
      <c r="AO17" s="36"/>
      <c r="AP17" s="36"/>
      <c r="AQ17" s="36"/>
      <c r="AR17" s="36"/>
      <c r="AS17" s="36"/>
      <c r="AT17" s="36"/>
      <c r="AU17" s="36"/>
      <c r="AV17" s="36"/>
      <c r="AW17" s="36"/>
      <c r="AX17" s="36"/>
      <c r="AY17" s="36"/>
      <c r="AZ17" s="38"/>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4"/>
    </row>
    <row r="18" spans="1:96" s="13" customFormat="1" ht="15" customHeight="1" x14ac:dyDescent="0.15">
      <c r="A18" s="22"/>
      <c r="B18" s="23"/>
      <c r="C18" s="34"/>
      <c r="D18" s="36"/>
      <c r="E18" s="36"/>
      <c r="F18" s="36"/>
      <c r="G18" s="36"/>
      <c r="H18" s="36"/>
      <c r="I18" s="36"/>
      <c r="J18" s="36"/>
      <c r="K18" s="36"/>
      <c r="L18" s="36"/>
      <c r="M18" s="36"/>
      <c r="N18" s="36"/>
      <c r="O18" s="36"/>
      <c r="P18" s="36"/>
      <c r="Q18" s="36"/>
      <c r="R18" s="36"/>
      <c r="S18" s="36"/>
      <c r="T18" s="38"/>
      <c r="U18" s="23"/>
      <c r="V18" s="12"/>
      <c r="X18" s="23"/>
      <c r="Y18" s="12"/>
      <c r="Z18" s="12"/>
      <c r="AA18" s="12"/>
      <c r="AB18" s="12"/>
      <c r="AC18" s="12"/>
      <c r="AD18" s="12"/>
      <c r="AE18" s="12"/>
      <c r="AI18" s="34"/>
      <c r="AJ18" s="36"/>
      <c r="AK18" s="36"/>
      <c r="AL18" s="36"/>
      <c r="AM18" s="36"/>
      <c r="AN18" s="36"/>
      <c r="AO18" s="36"/>
      <c r="AP18" s="36"/>
      <c r="AQ18" s="36"/>
      <c r="AR18" s="36"/>
      <c r="AS18" s="36"/>
      <c r="AT18" s="36"/>
      <c r="AU18" s="36"/>
      <c r="AV18" s="36"/>
      <c r="AW18" s="36"/>
      <c r="AX18" s="36"/>
      <c r="AY18" s="36"/>
      <c r="AZ18" s="38"/>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4"/>
    </row>
    <row r="19" spans="1:96" s="13" customFormat="1" ht="15" customHeight="1" x14ac:dyDescent="0.15">
      <c r="A19" s="22"/>
      <c r="B19" s="23"/>
      <c r="C19" s="34"/>
      <c r="D19" s="36"/>
      <c r="E19" s="36"/>
      <c r="F19" s="36"/>
      <c r="G19" s="36"/>
      <c r="H19" s="36"/>
      <c r="I19" s="36"/>
      <c r="J19" s="36"/>
      <c r="K19" s="36"/>
      <c r="L19" s="36"/>
      <c r="M19" s="36"/>
      <c r="N19" s="36"/>
      <c r="O19" s="36"/>
      <c r="P19" s="36"/>
      <c r="Q19" s="36"/>
      <c r="R19" s="36"/>
      <c r="S19" s="36"/>
      <c r="T19" s="38"/>
      <c r="U19" s="23"/>
      <c r="V19" s="23"/>
      <c r="W19" s="23"/>
      <c r="X19" s="23"/>
      <c r="Y19" s="12"/>
      <c r="Z19" s="12"/>
      <c r="AA19" s="12"/>
      <c r="AB19" s="12"/>
      <c r="AC19" s="12"/>
      <c r="AD19" s="12"/>
      <c r="AE19" s="12"/>
      <c r="AI19" s="34"/>
      <c r="AJ19" s="36"/>
      <c r="AK19" s="36"/>
      <c r="AL19" s="36"/>
      <c r="AM19" s="36"/>
      <c r="AN19" s="36"/>
      <c r="AO19" s="36"/>
      <c r="AP19" s="36"/>
      <c r="AQ19" s="36"/>
      <c r="AR19" s="36"/>
      <c r="AS19" s="36"/>
      <c r="AT19" s="36"/>
      <c r="AU19" s="36"/>
      <c r="AV19" s="36"/>
      <c r="AW19" s="36"/>
      <c r="AX19" s="36"/>
      <c r="AY19" s="36"/>
      <c r="AZ19" s="38"/>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4"/>
    </row>
    <row r="20" spans="1:96" s="13" customFormat="1" ht="15" customHeight="1" x14ac:dyDescent="0.15">
      <c r="A20" s="22"/>
      <c r="B20" s="23"/>
      <c r="C20" s="34"/>
      <c r="D20" s="36"/>
      <c r="E20" s="36"/>
      <c r="F20" s="36"/>
      <c r="G20" s="36"/>
      <c r="H20" s="36"/>
      <c r="I20" s="36"/>
      <c r="J20" s="36"/>
      <c r="K20" s="36"/>
      <c r="L20" s="36"/>
      <c r="M20" s="36"/>
      <c r="N20" s="36"/>
      <c r="O20" s="36"/>
      <c r="P20" s="36"/>
      <c r="Q20" s="36"/>
      <c r="R20" s="36"/>
      <c r="S20" s="36"/>
      <c r="T20" s="38"/>
      <c r="U20" s="23"/>
      <c r="V20" s="21"/>
      <c r="W20" s="23"/>
      <c r="X20" s="23"/>
      <c r="Y20" s="23"/>
      <c r="Z20" s="23"/>
      <c r="AA20" s="23"/>
      <c r="AB20" s="23"/>
      <c r="AC20" s="23"/>
      <c r="AD20" s="23"/>
      <c r="AE20" s="23"/>
      <c r="AI20" s="34"/>
      <c r="AJ20" s="36"/>
      <c r="AK20" s="36"/>
      <c r="AL20" s="36"/>
      <c r="AM20" s="36"/>
      <c r="AN20" s="36"/>
      <c r="AO20" s="36"/>
      <c r="AP20" s="36"/>
      <c r="AQ20" s="36"/>
      <c r="AR20" s="36"/>
      <c r="AS20" s="36"/>
      <c r="AT20" s="36"/>
      <c r="AU20" s="36"/>
      <c r="AV20" s="36"/>
      <c r="AW20" s="36"/>
      <c r="AX20" s="36"/>
      <c r="AY20" s="36"/>
      <c r="AZ20" s="38"/>
      <c r="BA20" s="21"/>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12"/>
      <c r="CH20" s="12"/>
      <c r="CI20" s="12"/>
      <c r="CJ20" s="12"/>
      <c r="CK20" s="12"/>
      <c r="CL20" s="12"/>
      <c r="CM20" s="12"/>
      <c r="CN20" s="12"/>
      <c r="CO20" s="12"/>
      <c r="CP20" s="12"/>
      <c r="CQ20" s="12"/>
      <c r="CR20" s="24"/>
    </row>
    <row r="21" spans="1:96" s="13" customFormat="1" ht="15" customHeight="1" x14ac:dyDescent="0.15">
      <c r="A21" s="22"/>
      <c r="B21" s="23"/>
      <c r="C21" s="34"/>
      <c r="D21" s="36"/>
      <c r="E21" s="36"/>
      <c r="F21" s="36"/>
      <c r="G21" s="36"/>
      <c r="H21" s="36"/>
      <c r="I21" s="36"/>
      <c r="J21" s="36"/>
      <c r="K21" s="36"/>
      <c r="L21" s="36"/>
      <c r="M21" s="36"/>
      <c r="N21" s="36"/>
      <c r="O21" s="36"/>
      <c r="P21" s="36"/>
      <c r="Q21" s="36"/>
      <c r="R21" s="36"/>
      <c r="S21" s="36"/>
      <c r="T21" s="38"/>
      <c r="U21" s="23"/>
      <c r="X21" s="23"/>
      <c r="Y21" s="23"/>
      <c r="Z21" s="23"/>
      <c r="AA21" s="23"/>
      <c r="AB21" s="23"/>
      <c r="AC21" s="23"/>
      <c r="AD21" s="23"/>
      <c r="AE21" s="23"/>
      <c r="AI21" s="34"/>
      <c r="AJ21" s="36"/>
      <c r="AK21" s="36"/>
      <c r="AL21" s="36"/>
      <c r="AM21" s="36"/>
      <c r="AN21" s="36"/>
      <c r="AO21" s="36"/>
      <c r="AP21" s="36"/>
      <c r="AQ21" s="36"/>
      <c r="AR21" s="36"/>
      <c r="AS21" s="36"/>
      <c r="AT21" s="36"/>
      <c r="AU21" s="36"/>
      <c r="AV21" s="36"/>
      <c r="AW21" s="36"/>
      <c r="AX21" s="36"/>
      <c r="AY21" s="36"/>
      <c r="AZ21" s="38"/>
      <c r="BA21" s="21"/>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12"/>
      <c r="CH21" s="12"/>
      <c r="CI21" s="12"/>
      <c r="CJ21" s="12"/>
      <c r="CK21" s="12"/>
      <c r="CL21" s="12"/>
      <c r="CM21" s="12"/>
      <c r="CN21" s="12"/>
      <c r="CO21" s="12"/>
      <c r="CP21" s="12"/>
      <c r="CQ21" s="12"/>
      <c r="CR21" s="24"/>
    </row>
    <row r="22" spans="1:96" s="13" customFormat="1" ht="15" customHeight="1" x14ac:dyDescent="0.15">
      <c r="A22" s="22"/>
      <c r="B22" s="23"/>
      <c r="C22" s="34"/>
      <c r="D22" s="36"/>
      <c r="E22" s="36"/>
      <c r="F22" s="36"/>
      <c r="G22" s="36"/>
      <c r="H22" s="36"/>
      <c r="I22" s="36"/>
      <c r="J22" s="36"/>
      <c r="K22" s="36"/>
      <c r="L22" s="36"/>
      <c r="M22" s="36"/>
      <c r="N22" s="36"/>
      <c r="O22" s="36"/>
      <c r="P22" s="36"/>
      <c r="Q22" s="36"/>
      <c r="R22" s="39"/>
      <c r="S22" s="39"/>
      <c r="T22" s="40"/>
      <c r="U22" s="12"/>
      <c r="Y22" s="12"/>
      <c r="Z22" s="12"/>
      <c r="AA22" s="12"/>
      <c r="AB22" s="12"/>
      <c r="AC22" s="12"/>
      <c r="AD22" s="12"/>
      <c r="AE22" s="23"/>
      <c r="AI22" s="34"/>
      <c r="AJ22" s="36"/>
      <c r="AK22" s="36"/>
      <c r="AL22" s="36"/>
      <c r="AM22" s="36"/>
      <c r="AN22" s="36"/>
      <c r="AO22" s="36"/>
      <c r="AP22" s="36"/>
      <c r="AQ22" s="36"/>
      <c r="AR22" s="36"/>
      <c r="AS22" s="36"/>
      <c r="AT22" s="36"/>
      <c r="AU22" s="36"/>
      <c r="AV22" s="36"/>
      <c r="AW22" s="36"/>
      <c r="AX22" s="39"/>
      <c r="AY22" s="39"/>
      <c r="AZ22" s="40"/>
      <c r="BA22" s="23"/>
      <c r="BB22" s="12"/>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4"/>
    </row>
    <row r="23" spans="1:96" s="13" customFormat="1" ht="15" customHeight="1" x14ac:dyDescent="0.15">
      <c r="A23" s="22"/>
      <c r="B23" s="23"/>
      <c r="C23" s="41"/>
      <c r="D23" s="42"/>
      <c r="E23" s="42"/>
      <c r="F23" s="42"/>
      <c r="G23" s="43"/>
      <c r="H23" s="42"/>
      <c r="I23" s="42"/>
      <c r="J23" s="42"/>
      <c r="K23" s="42"/>
      <c r="L23" s="42"/>
      <c r="M23" s="42"/>
      <c r="N23" s="42"/>
      <c r="O23" s="42"/>
      <c r="P23" s="42"/>
      <c r="Q23" s="42"/>
      <c r="R23" s="44"/>
      <c r="S23" s="44"/>
      <c r="T23" s="45"/>
      <c r="U23" s="12"/>
      <c r="V23" s="12"/>
      <c r="W23" s="12"/>
      <c r="X23" s="12"/>
      <c r="Y23" s="12"/>
      <c r="Z23" s="12"/>
      <c r="AA23" s="12"/>
      <c r="AB23" s="12"/>
      <c r="AC23" s="12"/>
      <c r="AD23" s="12"/>
      <c r="AE23" s="23"/>
      <c r="AI23" s="41"/>
      <c r="AJ23" s="42"/>
      <c r="AK23" s="42"/>
      <c r="AL23" s="42"/>
      <c r="AM23" s="43"/>
      <c r="AN23" s="42"/>
      <c r="AO23" s="42"/>
      <c r="AP23" s="42"/>
      <c r="AQ23" s="42"/>
      <c r="AR23" s="42"/>
      <c r="AS23" s="42"/>
      <c r="AT23" s="42"/>
      <c r="AU23" s="42"/>
      <c r="AV23" s="42"/>
      <c r="AW23" s="42"/>
      <c r="AX23" s="44"/>
      <c r="AY23" s="44"/>
      <c r="AZ23" s="45"/>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4"/>
    </row>
    <row r="24" spans="1:96" s="13" customFormat="1" ht="15" customHeight="1" x14ac:dyDescent="0.15">
      <c r="A24" s="22"/>
      <c r="B24" s="23"/>
      <c r="C24" s="23"/>
      <c r="D24" s="23"/>
      <c r="E24" s="23"/>
      <c r="F24" s="23"/>
      <c r="G24" s="23"/>
      <c r="H24" s="23"/>
      <c r="I24" s="23"/>
      <c r="J24" s="23"/>
      <c r="K24" s="23"/>
      <c r="L24" s="23"/>
      <c r="M24" s="23"/>
      <c r="N24" s="23"/>
      <c r="O24" s="23"/>
      <c r="P24" s="23"/>
      <c r="Q24" s="23"/>
      <c r="R24" s="12"/>
      <c r="S24" s="12"/>
      <c r="T24" s="12"/>
      <c r="U24" s="12"/>
      <c r="V24" s="12"/>
      <c r="W24" s="12"/>
      <c r="X24" s="12"/>
      <c r="Y24" s="12"/>
      <c r="Z24" s="12"/>
      <c r="AA24" s="12"/>
      <c r="AB24" s="12"/>
      <c r="AC24" s="12"/>
      <c r="AD24" s="12"/>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1"/>
      <c r="BC24" s="23"/>
      <c r="BD24" s="23"/>
      <c r="BE24" s="23"/>
      <c r="BF24" s="23"/>
      <c r="BG24" s="23"/>
      <c r="BH24" s="23"/>
      <c r="BI24" s="23"/>
      <c r="BJ24" s="12"/>
      <c r="BK24" s="12"/>
      <c r="BL24" s="12"/>
      <c r="BM24" s="12"/>
      <c r="BN24" s="12"/>
      <c r="BO24" s="12"/>
      <c r="BP24" s="12"/>
      <c r="BQ24" s="12"/>
      <c r="BR24" s="12"/>
      <c r="BS24" s="12"/>
      <c r="BT24" s="12"/>
      <c r="BU24" s="12"/>
      <c r="BV24" s="12"/>
      <c r="BW24" s="12"/>
      <c r="BX24" s="12"/>
      <c r="BY24" s="12"/>
      <c r="BZ24" s="12"/>
      <c r="CA24" s="12"/>
      <c r="CB24" s="12"/>
      <c r="CC24" s="12"/>
      <c r="CD24" s="12"/>
      <c r="CE24" s="23"/>
      <c r="CF24" s="23"/>
      <c r="CG24" s="23"/>
      <c r="CH24" s="23"/>
      <c r="CI24" s="23"/>
      <c r="CJ24" s="23"/>
      <c r="CK24" s="23"/>
      <c r="CL24" s="23"/>
      <c r="CM24" s="23"/>
      <c r="CN24" s="23"/>
      <c r="CO24" s="23"/>
      <c r="CP24" s="23"/>
      <c r="CQ24" s="23"/>
      <c r="CR24" s="24"/>
    </row>
    <row r="25" spans="1:96" s="13" customFormat="1" ht="15" customHeight="1" x14ac:dyDescent="0.15">
      <c r="A25" s="22"/>
      <c r="B25" s="23"/>
      <c r="C25" s="23"/>
      <c r="D25" s="23"/>
      <c r="E25" s="23"/>
      <c r="F25" s="23"/>
      <c r="G25" s="23"/>
      <c r="H25" s="23"/>
      <c r="I25" s="23"/>
      <c r="J25" s="23"/>
      <c r="K25" s="23"/>
      <c r="L25" s="23"/>
      <c r="M25" s="23"/>
      <c r="N25" s="12"/>
      <c r="O25" s="12"/>
      <c r="P25" s="12"/>
      <c r="Q25" s="12"/>
      <c r="R25" s="21"/>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23"/>
      <c r="CF25" s="23"/>
      <c r="CG25" s="23"/>
      <c r="CH25" s="23"/>
      <c r="CI25" s="23"/>
      <c r="CJ25" s="23"/>
      <c r="CK25" s="23"/>
      <c r="CL25" s="23"/>
      <c r="CM25" s="23"/>
      <c r="CN25" s="23"/>
      <c r="CO25" s="23"/>
      <c r="CP25" s="23"/>
      <c r="CQ25" s="23"/>
      <c r="CR25" s="24"/>
    </row>
    <row r="26" spans="1:96" s="13" customFormat="1" ht="15" customHeight="1" x14ac:dyDescent="0.15">
      <c r="A26" s="22"/>
      <c r="B26" s="23"/>
      <c r="C26" s="23"/>
      <c r="D26" s="23"/>
      <c r="E26" s="23"/>
      <c r="F26" s="23"/>
      <c r="G26" s="23"/>
      <c r="H26" s="23"/>
      <c r="I26" s="23"/>
      <c r="J26" s="23"/>
      <c r="K26" s="23"/>
      <c r="L26" s="23"/>
      <c r="M26" s="23"/>
      <c r="N26" s="12"/>
      <c r="O26" s="12"/>
      <c r="P26" s="12"/>
      <c r="Q26" s="12"/>
      <c r="R26" s="12"/>
      <c r="S26" s="46"/>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21"/>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23"/>
      <c r="CF26" s="23"/>
      <c r="CG26" s="23"/>
      <c r="CH26" s="23"/>
      <c r="CI26" s="23"/>
      <c r="CJ26" s="23"/>
      <c r="CK26" s="23"/>
      <c r="CL26" s="23"/>
      <c r="CM26" s="23"/>
      <c r="CN26" s="23"/>
      <c r="CO26" s="23"/>
      <c r="CP26" s="23"/>
      <c r="CQ26" s="23"/>
      <c r="CR26" s="24"/>
    </row>
    <row r="27" spans="1:96" s="13" customFormat="1" ht="15" customHeight="1" x14ac:dyDescent="0.15">
      <c r="A27" s="22"/>
      <c r="B27" s="23"/>
      <c r="C27" s="23"/>
      <c r="D27" s="23"/>
      <c r="E27" s="23"/>
      <c r="F27" s="23"/>
      <c r="G27" s="23"/>
      <c r="H27" s="23"/>
      <c r="I27" s="23"/>
      <c r="J27" s="23"/>
      <c r="K27" s="23"/>
      <c r="L27" s="23"/>
      <c r="M27" s="23"/>
      <c r="N27" s="12"/>
      <c r="O27" s="12"/>
      <c r="P27" s="12"/>
      <c r="Q27" s="12"/>
      <c r="R27" s="12"/>
      <c r="S27" s="12"/>
      <c r="T27" s="12"/>
      <c r="U27" s="12"/>
      <c r="V27" s="12"/>
      <c r="W27" s="12"/>
      <c r="X27" s="12"/>
      <c r="Y27" s="12"/>
      <c r="Z27" s="12"/>
      <c r="AA27" s="12"/>
      <c r="AB27" s="12"/>
      <c r="AC27" s="12"/>
      <c r="AD27" s="12"/>
      <c r="AE27" s="12"/>
      <c r="AF27" s="12"/>
      <c r="AG27" s="21"/>
      <c r="AH27" s="12"/>
      <c r="AI27" s="12"/>
      <c r="AJ27" s="12"/>
      <c r="AK27" s="12"/>
      <c r="AL27" s="12"/>
      <c r="AM27" s="12"/>
      <c r="AN27" s="12"/>
      <c r="AO27" s="12"/>
      <c r="AP27" s="12"/>
      <c r="AQ27" s="12"/>
      <c r="AR27" s="12"/>
      <c r="AS27" s="12"/>
      <c r="AT27" s="12"/>
      <c r="AU27" s="12"/>
      <c r="AV27" s="21"/>
      <c r="AW27" s="12"/>
      <c r="AX27" s="12"/>
      <c r="AY27" s="12"/>
      <c r="AZ27" s="12"/>
      <c r="BA27" s="12"/>
      <c r="BB27" s="12"/>
      <c r="BC27" s="12"/>
      <c r="BD27" s="12"/>
      <c r="BE27" s="12"/>
      <c r="BF27" s="12"/>
      <c r="BG27" s="12"/>
      <c r="BH27" s="12"/>
      <c r="BI27" s="12"/>
      <c r="BJ27" s="21"/>
      <c r="BK27" s="12"/>
      <c r="BL27" s="12"/>
      <c r="BM27" s="12"/>
      <c r="BN27" s="12"/>
      <c r="BO27" s="12"/>
      <c r="BP27" s="12"/>
      <c r="BQ27" s="12"/>
      <c r="BR27" s="12"/>
      <c r="BS27" s="12"/>
      <c r="BT27" s="12"/>
      <c r="BU27" s="12"/>
      <c r="BV27" s="12"/>
      <c r="BW27" s="12"/>
      <c r="BX27" s="12"/>
      <c r="BY27" s="12"/>
      <c r="BZ27" s="21"/>
      <c r="CA27" s="12"/>
      <c r="CB27" s="12"/>
      <c r="CC27" s="12"/>
      <c r="CD27" s="12"/>
      <c r="CE27" s="23"/>
      <c r="CF27" s="23"/>
      <c r="CG27" s="23"/>
      <c r="CH27" s="23"/>
      <c r="CI27" s="23"/>
      <c r="CJ27" s="23"/>
      <c r="CK27" s="23"/>
      <c r="CL27" s="23"/>
      <c r="CM27" s="23"/>
      <c r="CN27" s="23"/>
      <c r="CO27" s="23"/>
      <c r="CP27" s="23"/>
      <c r="CQ27" s="23"/>
      <c r="CR27" s="24"/>
    </row>
    <row r="28" spans="1:96" s="13" customFormat="1" ht="15" customHeight="1" x14ac:dyDescent="0.15">
      <c r="A28" s="22"/>
      <c r="B28" s="23"/>
      <c r="C28" s="23"/>
      <c r="D28" s="23"/>
      <c r="E28" s="23"/>
      <c r="F28" s="23"/>
      <c r="G28" s="23"/>
      <c r="H28" s="23"/>
      <c r="I28" s="23"/>
      <c r="J28" s="23"/>
      <c r="K28" s="23"/>
      <c r="L28" s="23"/>
      <c r="M28" s="23"/>
      <c r="N28" s="12"/>
      <c r="O28" s="12"/>
      <c r="P28" s="12"/>
      <c r="Q28" s="12"/>
      <c r="R28" s="12"/>
      <c r="S28" s="12"/>
      <c r="T28" s="12"/>
      <c r="U28" s="12"/>
      <c r="V28" s="12"/>
      <c r="W28" s="12"/>
      <c r="X28" s="12"/>
      <c r="Y28" s="12"/>
      <c r="Z28" s="12"/>
      <c r="AA28" s="12"/>
      <c r="AB28" s="12"/>
      <c r="AC28" s="12"/>
      <c r="AD28" s="12"/>
      <c r="AE28" s="12"/>
      <c r="AF28" s="12"/>
      <c r="AG28" s="12"/>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4"/>
    </row>
    <row r="29" spans="1:96" s="13" customFormat="1" ht="15" customHeight="1" x14ac:dyDescent="0.15">
      <c r="A29" s="22"/>
      <c r="B29" s="23"/>
      <c r="C29" s="23"/>
      <c r="D29" s="23"/>
      <c r="E29" s="23"/>
      <c r="F29" s="23"/>
      <c r="G29" s="23"/>
      <c r="H29" s="23"/>
      <c r="I29" s="23"/>
      <c r="J29" s="23"/>
      <c r="K29" s="23"/>
      <c r="L29" s="23"/>
      <c r="M29" s="23"/>
      <c r="N29" s="12"/>
      <c r="O29" s="12"/>
      <c r="P29" s="12"/>
      <c r="Q29" s="12"/>
      <c r="R29" s="12"/>
      <c r="S29" s="12"/>
      <c r="T29" s="12"/>
      <c r="U29" s="12"/>
      <c r="V29" s="12"/>
      <c r="W29" s="12"/>
      <c r="X29" s="12"/>
      <c r="Y29" s="12"/>
      <c r="Z29" s="12"/>
      <c r="AA29" s="12"/>
      <c r="AB29" s="12"/>
      <c r="AC29" s="12"/>
      <c r="AD29" s="12"/>
      <c r="AE29" s="12"/>
      <c r="AF29" s="12"/>
      <c r="AG29" s="12"/>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12"/>
      <c r="CP29" s="12"/>
      <c r="CQ29" s="12"/>
      <c r="CR29" s="24"/>
    </row>
    <row r="30" spans="1:96" s="13" customFormat="1" ht="15" customHeight="1" x14ac:dyDescent="0.15">
      <c r="A30" s="22"/>
      <c r="B30" s="23"/>
      <c r="C30" s="23"/>
      <c r="D30" s="23"/>
      <c r="E30" s="23"/>
      <c r="F30" s="23"/>
      <c r="G30" s="23"/>
      <c r="H30" s="23"/>
      <c r="I30" s="23"/>
      <c r="J30" s="23"/>
      <c r="K30" s="23"/>
      <c r="L30" s="23"/>
      <c r="M30" s="23"/>
      <c r="N30" s="12"/>
      <c r="O30" s="12"/>
      <c r="P30" s="12"/>
      <c r="Q30" s="12"/>
      <c r="R30" s="12"/>
      <c r="S30" s="12"/>
      <c r="T30" s="12"/>
      <c r="U30" s="12"/>
      <c r="V30" s="12"/>
      <c r="W30" s="12"/>
      <c r="X30" s="12"/>
      <c r="Y30" s="12"/>
      <c r="Z30" s="12"/>
      <c r="AA30" s="12"/>
      <c r="AB30" s="12"/>
      <c r="AC30" s="12"/>
      <c r="AD30" s="12"/>
      <c r="AE30" s="12"/>
      <c r="AF30" s="12"/>
      <c r="AG30" s="12"/>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12"/>
      <c r="CP30" s="12"/>
      <c r="CQ30" s="12"/>
      <c r="CR30" s="24"/>
    </row>
    <row r="31" spans="1:96" s="13" customFormat="1" ht="15" customHeight="1" x14ac:dyDescent="0.15">
      <c r="A31" s="22"/>
      <c r="B31" s="23"/>
      <c r="C31" s="23"/>
      <c r="D31" s="23"/>
      <c r="E31" s="23"/>
      <c r="F31" s="23"/>
      <c r="G31" s="23"/>
      <c r="H31" s="23"/>
      <c r="I31" s="23"/>
      <c r="J31" s="23"/>
      <c r="K31" s="23"/>
      <c r="L31" s="23"/>
      <c r="M31" s="23"/>
      <c r="N31" s="12"/>
      <c r="O31" s="12"/>
      <c r="P31" s="12"/>
      <c r="Q31" s="12"/>
      <c r="R31" s="12"/>
      <c r="S31" s="12"/>
      <c r="T31" s="12"/>
      <c r="U31" s="12"/>
      <c r="V31" s="12"/>
      <c r="W31" s="12"/>
      <c r="X31" s="12"/>
      <c r="Y31" s="12"/>
      <c r="Z31" s="12"/>
      <c r="AA31" s="12"/>
      <c r="AB31" s="12"/>
      <c r="AC31" s="12"/>
      <c r="AD31" s="12"/>
      <c r="AE31" s="12"/>
      <c r="AF31" s="12"/>
      <c r="AG31" s="12"/>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4"/>
    </row>
    <row r="32" spans="1:96" s="13" customFormat="1" ht="15" customHeight="1" x14ac:dyDescent="0.15">
      <c r="A32" s="22"/>
      <c r="B32" s="23"/>
      <c r="C32" s="23"/>
      <c r="D32" s="23"/>
      <c r="E32" s="23"/>
      <c r="F32" s="23"/>
      <c r="G32" s="23"/>
      <c r="H32" s="23"/>
      <c r="I32" s="23"/>
      <c r="J32" s="23"/>
      <c r="K32" s="23"/>
      <c r="L32" s="23"/>
      <c r="M32" s="23"/>
      <c r="N32" s="12"/>
      <c r="O32" s="12"/>
      <c r="P32" s="12"/>
      <c r="Q32" s="12"/>
      <c r="R32" s="12"/>
      <c r="S32" s="12"/>
      <c r="T32" s="12"/>
      <c r="U32" s="12"/>
      <c r="V32" s="12"/>
      <c r="W32" s="12"/>
      <c r="X32" s="12"/>
      <c r="Y32" s="12"/>
      <c r="Z32" s="12"/>
      <c r="AA32" s="12"/>
      <c r="AB32" s="12"/>
      <c r="AC32" s="12"/>
      <c r="AD32" s="12"/>
      <c r="AE32" s="12"/>
      <c r="AF32" s="12"/>
      <c r="AG32" s="12"/>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4"/>
    </row>
    <row r="33" spans="1:96" s="13" customFormat="1" ht="15" customHeight="1" x14ac:dyDescent="0.15">
      <c r="A33" s="22"/>
      <c r="B33" s="23"/>
      <c r="C33" s="23"/>
      <c r="D33" s="23"/>
      <c r="E33" s="23"/>
      <c r="F33" s="23"/>
      <c r="G33" s="23"/>
      <c r="H33" s="23"/>
      <c r="I33" s="23"/>
      <c r="J33" s="23"/>
      <c r="K33" s="23"/>
      <c r="L33" s="23"/>
      <c r="M33" s="23"/>
      <c r="N33" s="12"/>
      <c r="O33" s="12"/>
      <c r="P33" s="12"/>
      <c r="Q33" s="12"/>
      <c r="R33" s="12"/>
      <c r="S33" s="12"/>
      <c r="T33" s="12"/>
      <c r="U33" s="12"/>
      <c r="V33" s="12"/>
      <c r="W33" s="12"/>
      <c r="X33" s="12"/>
      <c r="Y33" s="12"/>
      <c r="Z33" s="12"/>
      <c r="AA33" s="12"/>
      <c r="AB33" s="12"/>
      <c r="AC33" s="12"/>
      <c r="AD33" s="12"/>
      <c r="AE33" s="12"/>
      <c r="AF33" s="12"/>
      <c r="AG33" s="12"/>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4"/>
    </row>
    <row r="34" spans="1:96" s="13" customFormat="1" ht="15" customHeight="1" x14ac:dyDescent="0.15">
      <c r="A34" s="22"/>
      <c r="B34" s="23"/>
      <c r="C34" s="23"/>
      <c r="D34" s="23"/>
      <c r="E34" s="23"/>
      <c r="F34" s="23"/>
      <c r="G34" s="23"/>
      <c r="H34" s="23"/>
      <c r="I34" s="23"/>
      <c r="J34" s="23"/>
      <c r="K34" s="23"/>
      <c r="L34" s="23"/>
      <c r="M34" s="23"/>
      <c r="N34" s="12"/>
      <c r="O34" s="12"/>
      <c r="P34" s="12"/>
      <c r="Q34" s="12"/>
      <c r="R34" s="12"/>
      <c r="S34" s="12"/>
      <c r="T34" s="12"/>
      <c r="U34" s="12"/>
      <c r="V34" s="12"/>
      <c r="W34" s="12"/>
      <c r="X34" s="12"/>
      <c r="Y34" s="12"/>
      <c r="Z34" s="12"/>
      <c r="AA34" s="12"/>
      <c r="AB34" s="12"/>
      <c r="AC34" s="12"/>
      <c r="AD34" s="12"/>
      <c r="AE34" s="12"/>
      <c r="AF34" s="12"/>
      <c r="AG34" s="12"/>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4"/>
    </row>
    <row r="35" spans="1:96" s="13" customFormat="1" ht="15" customHeight="1" x14ac:dyDescent="0.15">
      <c r="A35" s="22"/>
      <c r="B35" s="23"/>
      <c r="C35" s="23"/>
      <c r="D35" s="23"/>
      <c r="E35" s="23"/>
      <c r="F35" s="23"/>
      <c r="G35" s="23"/>
      <c r="H35" s="23"/>
      <c r="I35" s="23"/>
      <c r="J35" s="23"/>
      <c r="K35" s="23"/>
      <c r="L35" s="23"/>
      <c r="M35" s="23"/>
      <c r="N35" s="12"/>
      <c r="O35" s="12"/>
      <c r="P35" s="12"/>
      <c r="Q35" s="12"/>
      <c r="R35" s="12"/>
      <c r="S35" s="12"/>
      <c r="T35" s="12"/>
      <c r="U35" s="12"/>
      <c r="V35" s="12"/>
      <c r="W35" s="12"/>
      <c r="X35" s="12"/>
      <c r="Y35" s="12"/>
      <c r="Z35" s="12"/>
      <c r="AA35" s="12"/>
      <c r="AB35" s="12"/>
      <c r="AC35" s="12"/>
      <c r="AD35" s="12"/>
      <c r="AE35" s="12"/>
      <c r="AF35" s="12"/>
      <c r="AG35" s="12"/>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4"/>
    </row>
    <row r="36" spans="1:96" s="13" customFormat="1" ht="15" customHeight="1" x14ac:dyDescent="0.15">
      <c r="A36" s="22"/>
      <c r="B36" s="23"/>
      <c r="C36" s="23"/>
      <c r="D36" s="23"/>
      <c r="E36" s="23"/>
      <c r="F36" s="23"/>
      <c r="G36" s="23"/>
      <c r="H36" s="23"/>
      <c r="I36" s="23"/>
      <c r="J36" s="23"/>
      <c r="K36" s="23"/>
      <c r="L36" s="23"/>
      <c r="M36" s="23"/>
      <c r="N36" s="12"/>
      <c r="O36" s="12"/>
      <c r="P36" s="12"/>
      <c r="Q36" s="12"/>
      <c r="R36" s="12"/>
      <c r="S36" s="12"/>
      <c r="T36" s="12"/>
      <c r="U36" s="12"/>
      <c r="V36" s="12"/>
      <c r="W36" s="12"/>
      <c r="X36" s="12"/>
      <c r="Y36" s="12"/>
      <c r="Z36" s="12"/>
      <c r="AA36" s="12"/>
      <c r="AB36" s="12"/>
      <c r="AC36" s="12"/>
      <c r="AD36" s="12"/>
      <c r="AE36" s="12"/>
      <c r="AF36" s="12"/>
      <c r="AG36" s="12"/>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4"/>
    </row>
    <row r="37" spans="1:96" s="13" customFormat="1" ht="15" customHeight="1" x14ac:dyDescent="0.15">
      <c r="A37" s="22"/>
      <c r="B37" s="23"/>
      <c r="C37" s="23"/>
      <c r="D37" s="23"/>
      <c r="E37" s="23"/>
      <c r="F37" s="23"/>
      <c r="G37" s="23"/>
      <c r="H37" s="23"/>
      <c r="I37" s="23"/>
      <c r="J37" s="23"/>
      <c r="K37" s="23"/>
      <c r="L37" s="23"/>
      <c r="M37" s="23"/>
      <c r="N37" s="12"/>
      <c r="O37" s="12"/>
      <c r="P37" s="12"/>
      <c r="Q37" s="12"/>
      <c r="R37" s="12"/>
      <c r="S37" s="12"/>
      <c r="T37" s="12"/>
      <c r="U37" s="12"/>
      <c r="V37" s="12"/>
      <c r="W37" s="12"/>
      <c r="X37" s="12"/>
      <c r="Y37" s="12"/>
      <c r="Z37" s="12"/>
      <c r="AA37" s="12"/>
      <c r="AB37" s="12"/>
      <c r="AC37" s="12"/>
      <c r="AD37" s="12"/>
      <c r="AE37" s="12"/>
      <c r="AF37" s="12"/>
      <c r="AG37" s="12"/>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4"/>
    </row>
    <row r="38" spans="1:96" s="13" customFormat="1" ht="15" customHeight="1" x14ac:dyDescent="0.15">
      <c r="A38" s="22"/>
      <c r="B38" s="23"/>
      <c r="C38" s="23"/>
      <c r="D38" s="23"/>
      <c r="E38" s="23"/>
      <c r="F38" s="23"/>
      <c r="G38" s="23"/>
      <c r="H38" s="23"/>
      <c r="I38" s="23"/>
      <c r="J38" s="23"/>
      <c r="K38" s="23"/>
      <c r="L38" s="23"/>
      <c r="M38" s="23"/>
      <c r="N38" s="12"/>
      <c r="O38" s="12"/>
      <c r="P38" s="12"/>
      <c r="Q38" s="12"/>
      <c r="R38" s="12"/>
      <c r="S38" s="12"/>
      <c r="T38" s="12"/>
      <c r="U38" s="12"/>
      <c r="V38" s="12"/>
      <c r="W38" s="12"/>
      <c r="X38" s="12"/>
      <c r="Y38" s="12"/>
      <c r="Z38" s="12"/>
      <c r="AA38" s="12"/>
      <c r="AB38" s="12"/>
      <c r="AC38" s="12"/>
      <c r="AD38" s="12"/>
      <c r="AE38" s="12"/>
      <c r="AF38" s="12"/>
      <c r="AG38" s="12"/>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12"/>
      <c r="CP38" s="12"/>
      <c r="CQ38" s="12"/>
      <c r="CR38" s="24"/>
    </row>
    <row r="39" spans="1:96" s="13" customFormat="1" ht="15" customHeight="1" x14ac:dyDescent="0.15">
      <c r="A39" s="22"/>
      <c r="B39" s="23"/>
      <c r="C39" s="23"/>
      <c r="D39" s="23"/>
      <c r="E39" s="23"/>
      <c r="F39" s="23"/>
      <c r="G39" s="23"/>
      <c r="H39" s="23"/>
      <c r="I39" s="23"/>
      <c r="J39" s="23"/>
      <c r="K39" s="23"/>
      <c r="L39" s="23"/>
      <c r="M39" s="23"/>
      <c r="N39" s="12"/>
      <c r="O39" s="12"/>
      <c r="P39" s="12"/>
      <c r="Q39" s="12"/>
      <c r="R39" s="12"/>
      <c r="S39" s="12"/>
      <c r="T39" s="12"/>
      <c r="U39" s="12"/>
      <c r="V39" s="12"/>
      <c r="W39" s="12"/>
      <c r="X39" s="12"/>
      <c r="Y39" s="12"/>
      <c r="Z39" s="12"/>
      <c r="AA39" s="12"/>
      <c r="AB39" s="12"/>
      <c r="AC39" s="12"/>
      <c r="AD39" s="12"/>
      <c r="AE39" s="12"/>
      <c r="AF39" s="12"/>
      <c r="AG39" s="12"/>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4"/>
    </row>
    <row r="40" spans="1:96" s="13" customFormat="1" ht="15" customHeight="1" x14ac:dyDescent="0.15">
      <c r="A40" s="22"/>
      <c r="B40" s="23"/>
      <c r="C40" s="23"/>
      <c r="D40" s="23"/>
      <c r="E40" s="23"/>
      <c r="F40" s="23"/>
      <c r="G40" s="23"/>
      <c r="H40" s="23"/>
      <c r="I40" s="23"/>
      <c r="J40" s="23"/>
      <c r="K40" s="23"/>
      <c r="L40" s="23"/>
      <c r="M40" s="23"/>
      <c r="N40" s="12"/>
      <c r="O40" s="12"/>
      <c r="P40" s="12"/>
      <c r="Q40" s="12"/>
      <c r="R40" s="12"/>
      <c r="S40" s="12"/>
      <c r="T40" s="12"/>
      <c r="U40" s="12"/>
      <c r="V40" s="12"/>
      <c r="W40" s="12"/>
      <c r="X40" s="12"/>
      <c r="Y40" s="12"/>
      <c r="Z40" s="12"/>
      <c r="AA40" s="12"/>
      <c r="AB40" s="12"/>
      <c r="AC40" s="12"/>
      <c r="AD40" s="12"/>
      <c r="AE40" s="12"/>
      <c r="AF40" s="12"/>
      <c r="AG40" s="12"/>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4"/>
    </row>
    <row r="41" spans="1:96" s="13" customFormat="1" ht="15" customHeight="1" x14ac:dyDescent="0.15">
      <c r="A41" s="22"/>
      <c r="B41" s="23"/>
      <c r="C41" s="23"/>
      <c r="D41" s="23"/>
      <c r="E41" s="23"/>
      <c r="F41" s="23"/>
      <c r="G41" s="23"/>
      <c r="H41" s="23"/>
      <c r="I41" s="23"/>
      <c r="J41" s="23"/>
      <c r="K41" s="23"/>
      <c r="L41" s="23"/>
      <c r="M41" s="23"/>
      <c r="N41" s="12"/>
      <c r="O41" s="12"/>
      <c r="P41" s="12"/>
      <c r="Q41" s="12"/>
      <c r="R41" s="12"/>
      <c r="S41" s="12"/>
      <c r="T41" s="12"/>
      <c r="U41" s="12"/>
      <c r="V41" s="12"/>
      <c r="W41" s="12"/>
      <c r="X41" s="12"/>
      <c r="Y41" s="12"/>
      <c r="Z41" s="12"/>
      <c r="AA41" s="12"/>
      <c r="AB41" s="12"/>
      <c r="AC41" s="12"/>
      <c r="AD41" s="12"/>
      <c r="AE41" s="12"/>
      <c r="AF41" s="12"/>
      <c r="AG41" s="12"/>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4"/>
    </row>
    <row r="42" spans="1:96" s="13" customFormat="1" ht="15" customHeight="1" x14ac:dyDescent="0.15">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W42" s="23"/>
      <c r="BX42" s="23"/>
      <c r="BY42" s="23"/>
      <c r="BZ42" s="23"/>
      <c r="CA42" s="23"/>
      <c r="CB42" s="12"/>
      <c r="CC42" s="12"/>
      <c r="CD42" s="12"/>
      <c r="CE42" s="23"/>
      <c r="CF42" s="23"/>
      <c r="CG42" s="23"/>
      <c r="CH42" s="23"/>
      <c r="CI42" s="23"/>
      <c r="CJ42" s="23"/>
      <c r="CK42" s="23"/>
      <c r="CL42" s="23"/>
      <c r="CM42" s="23"/>
      <c r="CN42" s="23"/>
      <c r="CO42" s="23"/>
      <c r="CP42" s="23"/>
      <c r="CQ42" s="23"/>
      <c r="CR42" s="24"/>
    </row>
    <row r="43" spans="1:96" s="13" customFormat="1" ht="15" customHeight="1" x14ac:dyDescent="0.15">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W43" s="23"/>
      <c r="BX43" s="23"/>
      <c r="BY43" s="23"/>
      <c r="BZ43" s="23"/>
      <c r="CA43" s="23"/>
      <c r="CB43" s="12"/>
      <c r="CC43" s="12"/>
      <c r="CD43" s="12"/>
      <c r="CE43" s="23"/>
      <c r="CF43" s="23"/>
      <c r="CG43" s="23"/>
      <c r="CH43" s="23"/>
      <c r="CI43" s="23"/>
      <c r="CJ43" s="23"/>
      <c r="CK43" s="23"/>
      <c r="CL43" s="23"/>
      <c r="CM43" s="23"/>
      <c r="CN43" s="23"/>
      <c r="CO43" s="23"/>
      <c r="CP43" s="23"/>
      <c r="CQ43" s="23"/>
      <c r="CR43" s="24"/>
    </row>
    <row r="44" spans="1:96" s="13" customFormat="1" ht="15" customHeight="1" x14ac:dyDescent="0.15">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W44" s="23"/>
      <c r="BX44" s="23"/>
      <c r="BY44" s="23"/>
      <c r="BZ44" s="23"/>
      <c r="CA44" s="23"/>
      <c r="CB44" s="12"/>
      <c r="CC44" s="12"/>
      <c r="CD44" s="12"/>
      <c r="CE44" s="23"/>
      <c r="CF44" s="23"/>
      <c r="CG44" s="23"/>
      <c r="CH44" s="23"/>
      <c r="CI44" s="23"/>
      <c r="CJ44" s="23"/>
      <c r="CK44" s="23"/>
      <c r="CL44" s="23"/>
      <c r="CM44" s="23"/>
      <c r="CN44" s="23"/>
      <c r="CO44" s="23"/>
      <c r="CP44" s="23"/>
      <c r="CQ44" s="23"/>
      <c r="CR44" s="24"/>
    </row>
    <row r="45" spans="1:96" s="13" customFormat="1" ht="15" customHeight="1" x14ac:dyDescent="0.15">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W45" s="25"/>
      <c r="BX45" s="12"/>
      <c r="BY45" s="12"/>
      <c r="BZ45" s="12"/>
      <c r="CA45" s="12"/>
      <c r="CB45" s="12"/>
      <c r="CC45" s="12"/>
      <c r="CD45" s="12"/>
      <c r="CE45" s="23"/>
      <c r="CF45" s="23"/>
      <c r="CG45" s="23"/>
      <c r="CH45" s="23"/>
      <c r="CI45" s="23"/>
      <c r="CJ45" s="23"/>
      <c r="CK45" s="23"/>
      <c r="CL45" s="23"/>
      <c r="CM45" s="23"/>
      <c r="CN45" s="23"/>
      <c r="CO45" s="23"/>
      <c r="CP45" s="23"/>
      <c r="CQ45" s="23"/>
      <c r="CR45" s="24"/>
    </row>
    <row r="46" spans="1:96" s="13" customFormat="1" ht="15" customHeight="1" x14ac:dyDescent="0.15">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W46" s="12"/>
      <c r="BX46" s="12"/>
      <c r="BY46" s="12"/>
      <c r="BZ46" s="12"/>
      <c r="CA46" s="12"/>
      <c r="CB46" s="12"/>
      <c r="CC46" s="12"/>
      <c r="CD46" s="12"/>
      <c r="CE46" s="23"/>
      <c r="CF46" s="23"/>
      <c r="CG46" s="23"/>
      <c r="CH46" s="23"/>
      <c r="CI46" s="23"/>
      <c r="CJ46" s="23"/>
      <c r="CK46" s="23"/>
      <c r="CL46" s="23"/>
      <c r="CM46" s="23"/>
      <c r="CN46" s="23"/>
      <c r="CO46" s="23"/>
      <c r="CP46" s="23"/>
      <c r="CQ46" s="23"/>
      <c r="CR46" s="24"/>
    </row>
    <row r="47" spans="1:96" s="13" customFormat="1" ht="15" customHeight="1" thickBot="1" x14ac:dyDescent="0.2">
      <c r="A47" s="26"/>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8"/>
      <c r="BL47" s="28"/>
      <c r="BM47" s="29"/>
      <c r="BN47" s="28"/>
      <c r="BO47" s="28"/>
      <c r="BP47" s="28"/>
      <c r="BQ47" s="28"/>
      <c r="BR47" s="28"/>
      <c r="BS47" s="28"/>
      <c r="BT47" s="28"/>
      <c r="BU47" s="28"/>
      <c r="BV47" s="28"/>
      <c r="BW47" s="28"/>
      <c r="BX47" s="27"/>
      <c r="BY47" s="27"/>
      <c r="BZ47" s="27"/>
      <c r="CA47" s="27"/>
      <c r="CB47" s="27"/>
      <c r="CC47" s="27"/>
      <c r="CD47" s="27"/>
      <c r="CE47" s="27"/>
      <c r="CF47" s="27"/>
      <c r="CG47" s="27"/>
      <c r="CH47" s="27"/>
      <c r="CI47" s="27"/>
      <c r="CJ47" s="27"/>
      <c r="CK47" s="27"/>
      <c r="CL47" s="27"/>
      <c r="CM47" s="27"/>
      <c r="CN47" s="27"/>
      <c r="CO47" s="27"/>
      <c r="CP47" s="27"/>
      <c r="CQ47" s="27"/>
      <c r="CR47" s="30"/>
    </row>
  </sheetData>
  <mergeCells count="29">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A5:CR5"/>
    <mergeCell ref="BT4:CR4"/>
    <mergeCell ref="A10:CR10"/>
    <mergeCell ref="A4:H4"/>
    <mergeCell ref="I4:AK4"/>
    <mergeCell ref="AL4:AR4"/>
    <mergeCell ref="AS4:BH4"/>
    <mergeCell ref="BI4:BS4"/>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BDD6-14EE-49BE-8CCC-C82F55F83114}">
  <dimension ref="A1:DT90"/>
  <sheetViews>
    <sheetView zoomScale="85" zoomScaleNormal="85"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121" s="15" customFormat="1" ht="15" customHeight="1" x14ac:dyDescent="0.2">
      <c r="A1" s="199" t="s">
        <v>1</v>
      </c>
      <c r="B1" s="200"/>
      <c r="C1" s="200"/>
      <c r="D1" s="200"/>
      <c r="E1" s="200"/>
      <c r="F1" s="200"/>
      <c r="G1" s="200"/>
      <c r="H1" s="201"/>
      <c r="I1" s="202" t="str">
        <f>タイトル!I40</f>
        <v>　学生勤務管理システム</v>
      </c>
      <c r="J1" s="203"/>
      <c r="K1" s="203"/>
      <c r="L1" s="203"/>
      <c r="M1" s="203"/>
      <c r="N1" s="203"/>
      <c r="O1" s="203"/>
      <c r="P1" s="203"/>
      <c r="Q1" s="203"/>
      <c r="R1" s="203"/>
      <c r="S1" s="203"/>
      <c r="T1" s="203"/>
      <c r="U1" s="203"/>
      <c r="V1" s="203"/>
      <c r="W1" s="203"/>
      <c r="X1" s="203"/>
      <c r="Y1" s="203"/>
      <c r="Z1" s="203"/>
      <c r="AA1" s="203"/>
      <c r="AB1" s="203"/>
      <c r="AC1" s="203"/>
      <c r="AD1" s="204"/>
      <c r="AE1" s="205" t="s">
        <v>0</v>
      </c>
      <c r="AF1" s="206"/>
      <c r="AG1" s="206"/>
      <c r="AH1" s="206"/>
      <c r="AI1" s="206"/>
      <c r="AJ1" s="206"/>
      <c r="AK1" s="207"/>
      <c r="AL1" s="208" t="s">
        <v>49</v>
      </c>
      <c r="AM1" s="209"/>
      <c r="AN1" s="209"/>
      <c r="AO1" s="209"/>
      <c r="AP1" s="209"/>
      <c r="AQ1" s="209"/>
      <c r="AR1" s="209"/>
      <c r="AS1" s="209"/>
      <c r="AT1" s="209"/>
      <c r="AU1" s="209"/>
      <c r="AV1" s="209"/>
      <c r="AW1" s="209"/>
      <c r="AX1" s="209"/>
      <c r="AY1" s="209"/>
      <c r="AZ1" s="209"/>
      <c r="BA1" s="209"/>
      <c r="BB1" s="209"/>
      <c r="BC1" s="209"/>
      <c r="BD1" s="209"/>
      <c r="BE1" s="209"/>
      <c r="BF1" s="209"/>
      <c r="BG1" s="209"/>
      <c r="BH1" s="210"/>
      <c r="BI1" s="205" t="s">
        <v>12</v>
      </c>
      <c r="BJ1" s="206"/>
      <c r="BK1" s="206"/>
      <c r="BL1" s="207"/>
      <c r="BM1" s="211" t="str">
        <f>タイトル!I46</f>
        <v>木田　優</v>
      </c>
      <c r="BN1" s="212"/>
      <c r="BO1" s="212"/>
      <c r="BP1" s="212"/>
      <c r="BQ1" s="212"/>
      <c r="BR1" s="212"/>
      <c r="BS1" s="212"/>
      <c r="BT1" s="212"/>
      <c r="BU1" s="212"/>
      <c r="BV1" s="213"/>
      <c r="BW1" s="157">
        <f>タイトル!I47</f>
        <v>45198</v>
      </c>
      <c r="BX1" s="158"/>
      <c r="BY1" s="158"/>
      <c r="BZ1" s="158"/>
      <c r="CA1" s="158"/>
      <c r="CB1" s="158"/>
      <c r="CC1" s="158"/>
      <c r="CD1" s="158"/>
      <c r="CE1" s="159"/>
      <c r="CF1" s="160" t="s">
        <v>13</v>
      </c>
      <c r="CG1" s="161"/>
      <c r="CH1" s="161"/>
      <c r="CI1" s="161"/>
      <c r="CJ1" s="162"/>
      <c r="CK1" s="169" t="str">
        <f>タイトル!I50</f>
        <v>DUC010</v>
      </c>
      <c r="CL1" s="170"/>
      <c r="CM1" s="170"/>
      <c r="CN1" s="170"/>
      <c r="CO1" s="170"/>
      <c r="CP1" s="170"/>
      <c r="CQ1" s="170"/>
      <c r="CR1" s="171"/>
    </row>
    <row r="2" spans="1:121" s="15" customFormat="1" ht="15" customHeight="1" x14ac:dyDescent="0.2">
      <c r="A2" s="178" t="s">
        <v>14</v>
      </c>
      <c r="B2" s="179"/>
      <c r="C2" s="179"/>
      <c r="D2" s="179"/>
      <c r="E2" s="179"/>
      <c r="F2" s="179"/>
      <c r="G2" s="179"/>
      <c r="H2" s="180"/>
      <c r="I2" s="181" t="s">
        <v>50</v>
      </c>
      <c r="J2" s="182"/>
      <c r="K2" s="182"/>
      <c r="L2" s="182"/>
      <c r="M2" s="182"/>
      <c r="N2" s="182"/>
      <c r="O2" s="182"/>
      <c r="P2" s="182"/>
      <c r="Q2" s="182"/>
      <c r="R2" s="182"/>
      <c r="S2" s="182"/>
      <c r="T2" s="182"/>
      <c r="U2" s="182"/>
      <c r="V2" s="182"/>
      <c r="W2" s="182"/>
      <c r="X2" s="182"/>
      <c r="Y2" s="182"/>
      <c r="Z2" s="182"/>
      <c r="AA2" s="182"/>
      <c r="AB2" s="182"/>
      <c r="AC2" s="182"/>
      <c r="AD2" s="183"/>
      <c r="AE2" s="184" t="s">
        <v>32</v>
      </c>
      <c r="AF2" s="185"/>
      <c r="AG2" s="185"/>
      <c r="AH2" s="185"/>
      <c r="AI2" s="185"/>
      <c r="AJ2" s="185"/>
      <c r="AK2" s="186"/>
      <c r="AL2" s="187" t="str">
        <f>タイトル!I44</f>
        <v>　CZ-030_給与支給日マスタ</v>
      </c>
      <c r="AM2" s="188"/>
      <c r="AN2" s="188"/>
      <c r="AO2" s="188"/>
      <c r="AP2" s="188"/>
      <c r="AQ2" s="188"/>
      <c r="AR2" s="188"/>
      <c r="AS2" s="188"/>
      <c r="AT2" s="188"/>
      <c r="AU2" s="188"/>
      <c r="AV2" s="188"/>
      <c r="AW2" s="188"/>
      <c r="AX2" s="188"/>
      <c r="AY2" s="188"/>
      <c r="AZ2" s="188"/>
      <c r="BA2" s="188"/>
      <c r="BB2" s="188"/>
      <c r="BC2" s="188"/>
      <c r="BD2" s="188"/>
      <c r="BE2" s="188"/>
      <c r="BF2" s="188"/>
      <c r="BG2" s="188"/>
      <c r="BH2" s="189"/>
      <c r="BI2" s="190" t="s">
        <v>15</v>
      </c>
      <c r="BJ2" s="191"/>
      <c r="BK2" s="191"/>
      <c r="BL2" s="192"/>
      <c r="BM2" s="193" t="s">
        <v>99</v>
      </c>
      <c r="BN2" s="194"/>
      <c r="BO2" s="194"/>
      <c r="BP2" s="194"/>
      <c r="BQ2" s="194"/>
      <c r="BR2" s="194"/>
      <c r="BS2" s="194"/>
      <c r="BT2" s="194"/>
      <c r="BU2" s="194"/>
      <c r="BV2" s="195"/>
      <c r="BW2" s="196">
        <v>45642</v>
      </c>
      <c r="BX2" s="197"/>
      <c r="BY2" s="197"/>
      <c r="BZ2" s="197"/>
      <c r="CA2" s="197"/>
      <c r="CB2" s="197"/>
      <c r="CC2" s="197"/>
      <c r="CD2" s="197"/>
      <c r="CE2" s="198"/>
      <c r="CF2" s="163"/>
      <c r="CG2" s="164"/>
      <c r="CH2" s="164"/>
      <c r="CI2" s="164"/>
      <c r="CJ2" s="165"/>
      <c r="CK2" s="172"/>
      <c r="CL2" s="173"/>
      <c r="CM2" s="173"/>
      <c r="CN2" s="173"/>
      <c r="CO2" s="173"/>
      <c r="CP2" s="173"/>
      <c r="CQ2" s="173"/>
      <c r="CR2" s="174"/>
    </row>
    <row r="3" spans="1:121" s="15" customFormat="1" ht="15" customHeight="1" thickBot="1" x14ac:dyDescent="0.25">
      <c r="A3" s="142"/>
      <c r="B3" s="143"/>
      <c r="C3" s="143"/>
      <c r="D3" s="143"/>
      <c r="E3" s="143"/>
      <c r="F3" s="143"/>
      <c r="G3" s="143"/>
      <c r="H3" s="144"/>
      <c r="I3" s="145"/>
      <c r="J3" s="146"/>
      <c r="K3" s="146"/>
      <c r="L3" s="146"/>
      <c r="M3" s="146"/>
      <c r="N3" s="146"/>
      <c r="O3" s="146"/>
      <c r="P3" s="146"/>
      <c r="Q3" s="146"/>
      <c r="R3" s="146"/>
      <c r="S3" s="146"/>
      <c r="T3" s="146"/>
      <c r="U3" s="146"/>
      <c r="V3" s="146"/>
      <c r="W3" s="146"/>
      <c r="X3" s="146"/>
      <c r="Y3" s="146"/>
      <c r="Z3" s="146"/>
      <c r="AA3" s="146"/>
      <c r="AB3" s="146"/>
      <c r="AC3" s="146"/>
      <c r="AD3" s="147"/>
      <c r="AE3" s="166"/>
      <c r="AF3" s="167"/>
      <c r="AG3" s="167"/>
      <c r="AH3" s="167"/>
      <c r="AI3" s="167"/>
      <c r="AJ3" s="167"/>
      <c r="AK3" s="168"/>
      <c r="AL3" s="148"/>
      <c r="AM3" s="149"/>
      <c r="AN3" s="149"/>
      <c r="AO3" s="149"/>
      <c r="AP3" s="149"/>
      <c r="AQ3" s="149"/>
      <c r="AR3" s="149"/>
      <c r="AS3" s="149"/>
      <c r="AT3" s="149"/>
      <c r="AU3" s="149"/>
      <c r="AV3" s="149"/>
      <c r="AW3" s="149"/>
      <c r="AX3" s="149"/>
      <c r="AY3" s="149"/>
      <c r="AZ3" s="149"/>
      <c r="BA3" s="149"/>
      <c r="BB3" s="149"/>
      <c r="BC3" s="149"/>
      <c r="BD3" s="149"/>
      <c r="BE3" s="149"/>
      <c r="BF3" s="149"/>
      <c r="BG3" s="149"/>
      <c r="BH3" s="150"/>
      <c r="BI3" s="151"/>
      <c r="BJ3" s="152"/>
      <c r="BK3" s="152"/>
      <c r="BL3" s="153"/>
      <c r="BM3" s="154"/>
      <c r="BN3" s="155"/>
      <c r="BO3" s="155"/>
      <c r="BP3" s="155"/>
      <c r="BQ3" s="155"/>
      <c r="BR3" s="155"/>
      <c r="BS3" s="155"/>
      <c r="BT3" s="155"/>
      <c r="BU3" s="155"/>
      <c r="BV3" s="155"/>
      <c r="BW3" s="155"/>
      <c r="BX3" s="155"/>
      <c r="BY3" s="155"/>
      <c r="BZ3" s="155"/>
      <c r="CA3" s="155"/>
      <c r="CB3" s="155"/>
      <c r="CC3" s="155"/>
      <c r="CD3" s="155"/>
      <c r="CE3" s="156"/>
      <c r="CF3" s="166"/>
      <c r="CG3" s="167"/>
      <c r="CH3" s="167"/>
      <c r="CI3" s="167"/>
      <c r="CJ3" s="168"/>
      <c r="CK3" s="175"/>
      <c r="CL3" s="176"/>
      <c r="CM3" s="176"/>
      <c r="CN3" s="176"/>
      <c r="CO3" s="176"/>
      <c r="CP3" s="176"/>
      <c r="CQ3" s="176"/>
      <c r="CR3" s="177"/>
    </row>
    <row r="4" spans="1:121" s="16" customFormat="1" ht="15" customHeight="1" x14ac:dyDescent="0.2">
      <c r="A4" s="136" t="s">
        <v>51</v>
      </c>
      <c r="B4" s="137"/>
      <c r="C4" s="137"/>
      <c r="D4" s="137"/>
      <c r="E4" s="137"/>
      <c r="F4" s="137"/>
      <c r="G4" s="137"/>
      <c r="H4" s="137"/>
      <c r="I4" s="138" t="str">
        <f ca="1">"　" &amp; RIGHT(CELL("filename",A1),LEN(CELL("filename",A1))-FIND("]",CELL("filename",A1)))</f>
        <v>　給与支給日マスタ</v>
      </c>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7" t="s">
        <v>52</v>
      </c>
      <c r="AM4" s="137"/>
      <c r="AN4" s="137"/>
      <c r="AO4" s="137"/>
      <c r="AP4" s="137"/>
      <c r="AQ4" s="137"/>
      <c r="AR4" s="137"/>
      <c r="AS4" s="139" t="s">
        <v>92</v>
      </c>
      <c r="AT4" s="139"/>
      <c r="AU4" s="139"/>
      <c r="AV4" s="139"/>
      <c r="AW4" s="139"/>
      <c r="AX4" s="139"/>
      <c r="AY4" s="139"/>
      <c r="AZ4" s="139"/>
      <c r="BA4" s="139"/>
      <c r="BB4" s="139"/>
      <c r="BC4" s="139"/>
      <c r="BD4" s="139"/>
      <c r="BE4" s="139"/>
      <c r="BF4" s="139"/>
      <c r="BG4" s="139"/>
      <c r="BH4" s="139"/>
      <c r="BI4" s="257" t="s">
        <v>35</v>
      </c>
      <c r="BJ4" s="258"/>
      <c r="BK4" s="258"/>
      <c r="BL4" s="258"/>
      <c r="BM4" s="258"/>
      <c r="BN4" s="258"/>
      <c r="BO4" s="258"/>
      <c r="BP4" s="258"/>
      <c r="BQ4" s="258"/>
      <c r="BR4" s="258"/>
      <c r="BS4" s="258"/>
      <c r="BT4" s="252" t="s">
        <v>48</v>
      </c>
      <c r="BU4" s="253"/>
      <c r="BV4" s="253"/>
      <c r="BW4" s="253"/>
      <c r="BX4" s="253"/>
      <c r="BY4" s="253"/>
      <c r="BZ4" s="253"/>
      <c r="CA4" s="253"/>
      <c r="CB4" s="253"/>
      <c r="CC4" s="253"/>
      <c r="CD4" s="253"/>
      <c r="CE4" s="253"/>
      <c r="CF4" s="253"/>
      <c r="CG4" s="253"/>
      <c r="CH4" s="253"/>
      <c r="CI4" s="253"/>
      <c r="CJ4" s="253"/>
      <c r="CK4" s="253"/>
      <c r="CL4" s="253"/>
      <c r="CM4" s="253"/>
      <c r="CN4" s="253"/>
      <c r="CO4" s="253"/>
      <c r="CP4" s="253"/>
      <c r="CQ4" s="253"/>
      <c r="CR4" s="254"/>
    </row>
    <row r="5" spans="1:121" s="12" customFormat="1" ht="15" customHeight="1" x14ac:dyDescent="0.15">
      <c r="A5" s="130" t="s">
        <v>53</v>
      </c>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c r="BC5" s="131"/>
      <c r="BD5" s="131"/>
      <c r="BE5" s="131"/>
      <c r="BF5" s="131"/>
      <c r="BG5" s="131"/>
      <c r="BH5" s="131"/>
      <c r="BI5" s="255" t="s">
        <v>54</v>
      </c>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6"/>
    </row>
    <row r="6" spans="1:121"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121"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55</v>
      </c>
      <c r="BK7" s="18" t="s">
        <v>97</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121"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c r="BK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121"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121"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121"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121"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243" t="s">
        <v>56</v>
      </c>
      <c r="BJ12" s="131"/>
      <c r="BK12" s="131"/>
      <c r="BL12" s="131"/>
      <c r="BM12" s="131"/>
      <c r="BN12" s="131"/>
      <c r="BO12" s="131"/>
      <c r="BP12" s="131"/>
      <c r="BQ12" s="131"/>
      <c r="BR12" s="131"/>
      <c r="BS12" s="131"/>
      <c r="BT12" s="131"/>
      <c r="BU12" s="131"/>
      <c r="BV12" s="131"/>
      <c r="BW12" s="131"/>
      <c r="BX12" s="131"/>
      <c r="BY12" s="131"/>
      <c r="BZ12" s="131"/>
      <c r="CA12" s="131"/>
      <c r="CB12" s="131"/>
      <c r="CC12" s="131"/>
      <c r="CD12" s="131"/>
      <c r="CE12" s="131"/>
      <c r="CF12" s="131"/>
      <c r="CG12" s="131"/>
      <c r="CH12" s="131"/>
      <c r="CI12" s="131"/>
      <c r="CJ12" s="131"/>
      <c r="CK12" s="131"/>
      <c r="CL12" s="131"/>
      <c r="CM12" s="131"/>
      <c r="CN12" s="131"/>
      <c r="CO12" s="131"/>
      <c r="CP12" s="131"/>
      <c r="CQ12" s="131"/>
      <c r="CR12" s="132"/>
    </row>
    <row r="13" spans="1:121"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121"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13" t="s">
        <v>69</v>
      </c>
      <c r="BK14" s="13" t="s">
        <v>79</v>
      </c>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c r="DC14" s="220" t="s">
        <v>134</v>
      </c>
      <c r="DD14" s="221"/>
      <c r="DE14" s="221"/>
      <c r="DF14" s="221"/>
      <c r="DG14" s="221"/>
      <c r="DH14" s="221"/>
      <c r="DI14" s="221"/>
      <c r="DJ14" s="221"/>
      <c r="DK14" s="221"/>
      <c r="DL14" s="221"/>
      <c r="DM14" s="221"/>
      <c r="DN14" s="221"/>
      <c r="DO14" s="221"/>
      <c r="DP14" s="221"/>
      <c r="DQ14" s="222"/>
    </row>
    <row r="15" spans="1:121"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K15" s="13" t="s">
        <v>80</v>
      </c>
      <c r="CQ15" s="18"/>
      <c r="CR15" s="19"/>
      <c r="DC15" s="223"/>
      <c r="DD15" s="224"/>
      <c r="DE15" s="224"/>
      <c r="DF15" s="224"/>
      <c r="DG15" s="224"/>
      <c r="DH15" s="224"/>
      <c r="DI15" s="224"/>
      <c r="DJ15" s="224"/>
      <c r="DK15" s="224"/>
      <c r="DL15" s="224"/>
      <c r="DM15" s="224"/>
      <c r="DN15" s="224"/>
      <c r="DO15" s="224"/>
      <c r="DP15" s="224"/>
      <c r="DQ15" s="225"/>
    </row>
    <row r="16" spans="1:121"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CQ16" s="18"/>
      <c r="CR16" s="19"/>
      <c r="DC16" s="264" t="s">
        <v>146</v>
      </c>
      <c r="DD16" s="265"/>
      <c r="DE16" s="265"/>
      <c r="DF16" s="265"/>
      <c r="DG16" s="265"/>
      <c r="DH16" s="265"/>
      <c r="DI16" s="265"/>
      <c r="DJ16" s="265"/>
      <c r="DK16" s="265"/>
      <c r="DL16" s="265"/>
      <c r="DM16" s="266"/>
      <c r="DN16" s="214" t="s">
        <v>145</v>
      </c>
      <c r="DO16" s="215"/>
      <c r="DP16" s="215"/>
      <c r="DQ16" s="216"/>
    </row>
    <row r="17" spans="1:124"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J17" s="13" t="s">
        <v>69</v>
      </c>
      <c r="BK17" s="13" t="s">
        <v>90</v>
      </c>
      <c r="CQ17" s="18"/>
      <c r="CR17" s="19"/>
      <c r="DC17" s="267"/>
      <c r="DD17" s="267"/>
      <c r="DE17" s="267"/>
      <c r="DF17" s="267"/>
      <c r="DG17" s="267"/>
      <c r="DH17" s="267"/>
      <c r="DI17" s="267"/>
      <c r="DJ17" s="267"/>
      <c r="DK17" s="267"/>
      <c r="DL17" s="267"/>
      <c r="DM17" s="268"/>
      <c r="DN17" s="217"/>
      <c r="DO17" s="218"/>
      <c r="DP17" s="218"/>
      <c r="DQ17" s="219"/>
    </row>
    <row r="18" spans="1:124"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CQ18" s="18"/>
      <c r="CR18" s="19"/>
      <c r="DC18" s="264" t="s">
        <v>147</v>
      </c>
      <c r="DD18" s="265"/>
      <c r="DE18" s="265"/>
      <c r="DF18" s="265"/>
      <c r="DG18" s="265"/>
      <c r="DH18" s="265"/>
      <c r="DI18" s="265"/>
      <c r="DJ18" s="265"/>
      <c r="DK18" s="265"/>
      <c r="DL18" s="265"/>
      <c r="DM18" s="266"/>
      <c r="DN18" s="214" t="s">
        <v>144</v>
      </c>
      <c r="DO18" s="215"/>
      <c r="DP18" s="215"/>
      <c r="DQ18" s="216"/>
    </row>
    <row r="19" spans="1:124"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3" t="s">
        <v>57</v>
      </c>
      <c r="BK19" s="13" t="s">
        <v>100</v>
      </c>
      <c r="BM19" s="18"/>
      <c r="BN19" s="18"/>
      <c r="BO19" s="18"/>
      <c r="BP19" s="18"/>
      <c r="BQ19" s="18"/>
      <c r="BR19" s="18"/>
      <c r="CQ19" s="18"/>
      <c r="CR19" s="19"/>
      <c r="DC19" s="267"/>
      <c r="DD19" s="267"/>
      <c r="DE19" s="267"/>
      <c r="DF19" s="267"/>
      <c r="DG19" s="267"/>
      <c r="DH19" s="267"/>
      <c r="DI19" s="267"/>
      <c r="DJ19" s="267"/>
      <c r="DK19" s="267"/>
      <c r="DL19" s="267"/>
      <c r="DM19" s="268"/>
      <c r="DN19" s="217"/>
      <c r="DO19" s="218"/>
      <c r="DP19" s="218"/>
      <c r="DQ19" s="219"/>
    </row>
    <row r="20" spans="1:124"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BK20" s="13" t="s">
        <v>101</v>
      </c>
      <c r="CQ20" s="18"/>
      <c r="CR20" s="19"/>
    </row>
    <row r="21" spans="1:124"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K21" s="13" t="s">
        <v>102</v>
      </c>
      <c r="CQ21" s="18"/>
      <c r="CR21" s="19"/>
    </row>
    <row r="22" spans="1:124"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BL22" s="18"/>
      <c r="CE22" s="18"/>
      <c r="CF22" s="18"/>
      <c r="CG22" s="18"/>
      <c r="CH22" s="18"/>
      <c r="CI22" s="18"/>
      <c r="CJ22" s="18"/>
      <c r="CK22" s="18"/>
      <c r="CL22" s="18"/>
      <c r="CM22" s="18"/>
      <c r="CN22" s="18"/>
      <c r="CO22" s="18"/>
      <c r="CP22" s="18"/>
      <c r="CQ22" s="18"/>
      <c r="CR22" s="19"/>
    </row>
    <row r="23" spans="1:124"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BJ23" s="13" t="s">
        <v>57</v>
      </c>
      <c r="BK23" s="13" t="s">
        <v>103</v>
      </c>
      <c r="CQ23" s="18"/>
      <c r="CR23" s="19"/>
    </row>
    <row r="24" spans="1:124"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BJ24" s="18"/>
      <c r="BW24" s="18"/>
      <c r="BX24" s="18"/>
      <c r="BY24" s="18"/>
      <c r="CQ24" s="18"/>
      <c r="CR24" s="19"/>
      <c r="CV24" s="269" t="s">
        <v>134</v>
      </c>
      <c r="CW24" s="270"/>
      <c r="CX24" s="270"/>
      <c r="CY24" s="270"/>
      <c r="CZ24" s="270"/>
      <c r="DA24" s="270"/>
      <c r="DB24" s="271"/>
      <c r="DC24" s="280">
        <v>45383</v>
      </c>
      <c r="DD24" s="281"/>
      <c r="DE24" s="281"/>
      <c r="DF24" s="281"/>
      <c r="DG24" s="281"/>
      <c r="DH24" s="281"/>
      <c r="DI24" s="281"/>
      <c r="DJ24" s="281"/>
      <c r="DK24" s="281"/>
      <c r="DL24" s="281"/>
      <c r="DM24" s="281"/>
      <c r="DN24" s="276" t="s">
        <v>135</v>
      </c>
      <c r="DO24" s="276"/>
      <c r="DP24" s="277"/>
      <c r="DQ24" s="226" t="s">
        <v>144</v>
      </c>
      <c r="DR24" s="227"/>
      <c r="DS24" s="227"/>
      <c r="DT24" s="228"/>
    </row>
    <row r="25" spans="1:124"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BJ25" s="13" t="s">
        <v>57</v>
      </c>
      <c r="BK25" s="13" t="s">
        <v>104</v>
      </c>
      <c r="BS25" s="18"/>
      <c r="BT25" s="18"/>
      <c r="BU25" s="18"/>
      <c r="BV25" s="18"/>
      <c r="BZ25" s="18"/>
      <c r="CA25" s="18"/>
      <c r="CB25" s="18"/>
      <c r="CC25" s="18"/>
      <c r="CD25" s="18"/>
      <c r="CQ25" s="18"/>
      <c r="CR25" s="19"/>
      <c r="CV25" s="272"/>
      <c r="CW25" s="273"/>
      <c r="CX25" s="273"/>
      <c r="CY25" s="273"/>
      <c r="CZ25" s="273"/>
      <c r="DA25" s="273"/>
      <c r="DB25" s="274"/>
      <c r="DC25" s="267"/>
      <c r="DD25" s="267"/>
      <c r="DE25" s="267"/>
      <c r="DF25" s="267"/>
      <c r="DG25" s="267"/>
      <c r="DH25" s="267"/>
      <c r="DI25" s="267"/>
      <c r="DJ25" s="267"/>
      <c r="DK25" s="267"/>
      <c r="DL25" s="267"/>
      <c r="DM25" s="267"/>
      <c r="DN25" s="278"/>
      <c r="DO25" s="278"/>
      <c r="DP25" s="279"/>
      <c r="DQ25" s="229"/>
      <c r="DR25" s="230"/>
      <c r="DS25" s="230"/>
      <c r="DT25" s="231"/>
    </row>
    <row r="26" spans="1:124"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BJ26" s="18"/>
      <c r="CQ26" s="18"/>
      <c r="CR26" s="19"/>
    </row>
    <row r="27" spans="1:124"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BJ27" s="13" t="s">
        <v>57</v>
      </c>
      <c r="BK27" s="13" t="s">
        <v>105</v>
      </c>
      <c r="CQ27" s="18"/>
      <c r="CR27" s="19"/>
      <c r="CV27" s="18"/>
    </row>
    <row r="28" spans="1:124"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BJ28" s="18"/>
      <c r="BK28" s="18" t="s">
        <v>106</v>
      </c>
      <c r="BL28" s="18"/>
      <c r="BM28" s="18"/>
      <c r="BN28" s="18"/>
      <c r="BO28" s="18"/>
      <c r="BP28" s="18"/>
      <c r="BQ28" s="18"/>
      <c r="BR28" s="18"/>
      <c r="CE28" s="18"/>
      <c r="CF28" s="18"/>
      <c r="CG28" s="18"/>
      <c r="CH28" s="18"/>
      <c r="CI28" s="18"/>
      <c r="CJ28" s="18"/>
      <c r="CK28" s="18"/>
      <c r="CL28" s="18"/>
      <c r="CM28" s="18"/>
      <c r="CN28" s="18"/>
      <c r="CO28" s="18"/>
      <c r="CP28" s="18"/>
      <c r="CQ28" s="18"/>
      <c r="CR28" s="19"/>
    </row>
    <row r="29" spans="1:124"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CE29" s="18"/>
      <c r="CF29" s="18"/>
      <c r="CG29" s="18"/>
      <c r="CH29" s="18"/>
      <c r="CI29" s="18"/>
      <c r="CJ29" s="18"/>
      <c r="CK29" s="18"/>
      <c r="CL29" s="54"/>
      <c r="CM29" s="18"/>
      <c r="CN29" s="18"/>
      <c r="CO29" s="18"/>
      <c r="CP29" s="18"/>
      <c r="CQ29" s="18"/>
      <c r="CR29" s="19"/>
    </row>
    <row r="30" spans="1:124"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J30" s="13" t="s">
        <v>69</v>
      </c>
      <c r="BK30" s="13" t="s">
        <v>70</v>
      </c>
      <c r="BW30" s="18"/>
      <c r="BX30" s="18"/>
      <c r="BY30" s="18"/>
      <c r="CE30" s="18"/>
      <c r="CF30" s="18"/>
      <c r="CG30" s="18"/>
      <c r="CH30" s="18"/>
      <c r="CI30" s="18"/>
      <c r="CJ30" s="18"/>
      <c r="CK30" s="18"/>
      <c r="CL30" s="18"/>
      <c r="CM30" s="18"/>
      <c r="CN30" s="18"/>
      <c r="CO30" s="18"/>
      <c r="CP30" s="18"/>
      <c r="CQ30" s="18"/>
      <c r="CR30" s="19"/>
    </row>
    <row r="31" spans="1:124"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BK31" s="13" t="s">
        <v>107</v>
      </c>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row>
    <row r="32" spans="1:124"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BL32" s="13" t="s">
        <v>119</v>
      </c>
      <c r="BS32" s="18"/>
      <c r="BT32" s="18"/>
      <c r="BU32" s="18"/>
      <c r="BV32" s="18"/>
      <c r="BW32" s="18"/>
      <c r="BX32" s="18"/>
      <c r="BY32" s="18"/>
      <c r="BZ32" s="18"/>
      <c r="CA32" s="18"/>
      <c r="CB32" s="18"/>
      <c r="CC32" s="18"/>
      <c r="CD32" s="18"/>
      <c r="CQ32" s="18"/>
      <c r="CR32" s="19"/>
      <c r="DO32" s="18"/>
      <c r="DP32" s="18"/>
      <c r="DQ32" s="18"/>
      <c r="DR32" s="18"/>
      <c r="DS32" s="18"/>
    </row>
    <row r="33" spans="1:123"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BJ33" s="18"/>
      <c r="BL33" s="13" t="s">
        <v>120</v>
      </c>
      <c r="BS33" s="18"/>
      <c r="BT33" s="18"/>
      <c r="BU33" s="18"/>
      <c r="BV33" s="18"/>
      <c r="BW33" s="18"/>
      <c r="BX33" s="18"/>
      <c r="BY33" s="18"/>
      <c r="BZ33" s="18"/>
      <c r="CA33" s="18"/>
      <c r="CB33" s="18"/>
      <c r="CC33" s="18"/>
      <c r="CD33" s="18"/>
      <c r="CQ33" s="18"/>
      <c r="CR33" s="19"/>
      <c r="DO33" s="18"/>
      <c r="DP33" s="18"/>
      <c r="DQ33" s="18"/>
      <c r="DR33" s="18"/>
      <c r="DS33" s="18"/>
    </row>
    <row r="34" spans="1:123"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BL34" s="13" t="s">
        <v>121</v>
      </c>
      <c r="BZ34" s="18"/>
      <c r="CA34" s="18"/>
      <c r="CB34" s="18"/>
      <c r="CC34" s="18"/>
      <c r="CD34" s="18"/>
      <c r="CQ34" s="18"/>
      <c r="CR34" s="19"/>
    </row>
    <row r="35" spans="1:123"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BL35" s="13" t="s">
        <v>118</v>
      </c>
      <c r="CQ35" s="18"/>
      <c r="CR35" s="19"/>
    </row>
    <row r="36" spans="1:123"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J36" s="18"/>
      <c r="BK36" s="18"/>
      <c r="BL36" s="18" t="s">
        <v>122</v>
      </c>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3"/>
      <c r="BJ37" s="18"/>
      <c r="BK37" s="18"/>
      <c r="BL37" s="18" t="s">
        <v>117</v>
      </c>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130" t="s">
        <v>58</v>
      </c>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243" t="s">
        <v>59</v>
      </c>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c r="CR38" s="132"/>
    </row>
    <row r="39" spans="1:123" s="13" customFormat="1" ht="15" customHeight="1" x14ac:dyDescent="0.15">
      <c r="A39" s="130" t="s">
        <v>60</v>
      </c>
      <c r="B39" s="131"/>
      <c r="C39" s="131"/>
      <c r="D39" s="131"/>
      <c r="E39" s="131"/>
      <c r="F39" s="131"/>
      <c r="G39" s="131"/>
      <c r="H39" s="131"/>
      <c r="I39" s="131"/>
      <c r="J39" s="242"/>
      <c r="K39" s="243" t="s">
        <v>61</v>
      </c>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242"/>
      <c r="AW39" s="243" t="s">
        <v>62</v>
      </c>
      <c r="AX39" s="131"/>
      <c r="AY39" s="131"/>
      <c r="AZ39" s="131"/>
      <c r="BA39" s="131"/>
      <c r="BB39" s="131"/>
      <c r="BC39" s="131"/>
      <c r="BD39" s="131"/>
      <c r="BE39" s="131"/>
      <c r="BF39" s="131"/>
      <c r="BG39" s="131"/>
      <c r="BH39" s="242"/>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244" t="s">
        <v>65</v>
      </c>
      <c r="B40" s="245"/>
      <c r="C40" s="245"/>
      <c r="D40" s="245"/>
      <c r="E40" s="245"/>
      <c r="F40" s="245"/>
      <c r="G40" s="245"/>
      <c r="H40" s="245"/>
      <c r="I40" s="245"/>
      <c r="J40" s="246"/>
      <c r="K40" s="247" t="s">
        <v>116</v>
      </c>
      <c r="L40" s="245"/>
      <c r="M40" s="245"/>
      <c r="N40" s="245"/>
      <c r="O40" s="245"/>
      <c r="P40" s="245"/>
      <c r="Q40" s="245"/>
      <c r="R40" s="245"/>
      <c r="S40" s="245"/>
      <c r="T40" s="245"/>
      <c r="U40" s="245"/>
      <c r="V40" s="245"/>
      <c r="W40" s="245"/>
      <c r="X40" s="245"/>
      <c r="Y40" s="245"/>
      <c r="Z40" s="245"/>
      <c r="AA40" s="245"/>
      <c r="AB40" s="245"/>
      <c r="AC40" s="245"/>
      <c r="AD40" s="245"/>
      <c r="AE40" s="245"/>
      <c r="AF40" s="245"/>
      <c r="AG40" s="245"/>
      <c r="AH40" s="245"/>
      <c r="AI40" s="245"/>
      <c r="AJ40" s="245"/>
      <c r="AK40" s="245"/>
      <c r="AL40" s="245"/>
      <c r="AM40" s="245"/>
      <c r="AN40" s="245"/>
      <c r="AO40" s="245"/>
      <c r="AP40" s="245"/>
      <c r="AQ40" s="245"/>
      <c r="AR40" s="245"/>
      <c r="AS40" s="245"/>
      <c r="AT40" s="245"/>
      <c r="AU40" s="245"/>
      <c r="AV40" s="246"/>
      <c r="AW40" s="247" t="s">
        <v>108</v>
      </c>
      <c r="AX40" s="245"/>
      <c r="AY40" s="245"/>
      <c r="AZ40" s="245"/>
      <c r="BA40" s="245"/>
      <c r="BB40" s="245"/>
      <c r="BC40" s="245"/>
      <c r="BD40" s="245"/>
      <c r="BE40" s="245"/>
      <c r="BF40" s="245"/>
      <c r="BG40" s="245"/>
      <c r="BH40" s="246"/>
      <c r="BI40" s="53"/>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248"/>
      <c r="B41" s="249"/>
      <c r="C41" s="249"/>
      <c r="D41" s="249"/>
      <c r="E41" s="249"/>
      <c r="F41" s="249"/>
      <c r="G41" s="249"/>
      <c r="H41" s="249"/>
      <c r="I41" s="249"/>
      <c r="J41" s="250"/>
      <c r="K41" s="251"/>
      <c r="L41" s="249"/>
      <c r="M41" s="249"/>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50"/>
      <c r="AW41" s="251"/>
      <c r="AX41" s="249"/>
      <c r="AY41" s="249"/>
      <c r="AZ41" s="249"/>
      <c r="BA41" s="249"/>
      <c r="BB41" s="249"/>
      <c r="BC41" s="249"/>
      <c r="BD41" s="249"/>
      <c r="BE41" s="249"/>
      <c r="BF41" s="249"/>
      <c r="BG41" s="249"/>
      <c r="BH41" s="250"/>
      <c r="BI41" s="53"/>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248"/>
      <c r="B42" s="249"/>
      <c r="C42" s="249"/>
      <c r="D42" s="249"/>
      <c r="E42" s="249"/>
      <c r="F42" s="249"/>
      <c r="G42" s="249"/>
      <c r="H42" s="249"/>
      <c r="I42" s="249"/>
      <c r="J42" s="250"/>
      <c r="K42" s="251"/>
      <c r="L42" s="249"/>
      <c r="M42" s="249"/>
      <c r="N42" s="249"/>
      <c r="O42" s="249"/>
      <c r="P42" s="249"/>
      <c r="Q42" s="249"/>
      <c r="R42" s="249"/>
      <c r="S42" s="249"/>
      <c r="T42" s="249"/>
      <c r="U42" s="249"/>
      <c r="V42" s="249"/>
      <c r="W42" s="249"/>
      <c r="X42" s="249"/>
      <c r="Y42" s="249"/>
      <c r="Z42" s="249"/>
      <c r="AA42" s="249"/>
      <c r="AB42" s="249"/>
      <c r="AC42" s="249"/>
      <c r="AD42" s="249"/>
      <c r="AE42" s="249"/>
      <c r="AF42" s="249"/>
      <c r="AG42" s="249"/>
      <c r="AH42" s="249"/>
      <c r="AI42" s="249"/>
      <c r="AJ42" s="249"/>
      <c r="AK42" s="249"/>
      <c r="AL42" s="249"/>
      <c r="AM42" s="249"/>
      <c r="AN42" s="249"/>
      <c r="AO42" s="249"/>
      <c r="AP42" s="249"/>
      <c r="AQ42" s="249"/>
      <c r="AR42" s="249"/>
      <c r="AS42" s="249"/>
      <c r="AT42" s="249"/>
      <c r="AU42" s="249"/>
      <c r="AV42" s="250"/>
      <c r="AW42" s="251"/>
      <c r="AX42" s="249"/>
      <c r="AY42" s="249"/>
      <c r="AZ42" s="249"/>
      <c r="BA42" s="249"/>
      <c r="BB42" s="249"/>
      <c r="BC42" s="249"/>
      <c r="BD42" s="249"/>
      <c r="BE42" s="249"/>
      <c r="BF42" s="249"/>
      <c r="BG42" s="249"/>
      <c r="BH42" s="250"/>
      <c r="BI42" s="53"/>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248"/>
      <c r="B43" s="249"/>
      <c r="C43" s="249"/>
      <c r="D43" s="249"/>
      <c r="E43" s="249"/>
      <c r="F43" s="249"/>
      <c r="G43" s="249"/>
      <c r="H43" s="249"/>
      <c r="I43" s="249"/>
      <c r="J43" s="250"/>
      <c r="K43" s="251"/>
      <c r="L43" s="249"/>
      <c r="M43" s="249"/>
      <c r="N43" s="249"/>
      <c r="O43" s="249"/>
      <c r="P43" s="249"/>
      <c r="Q43" s="249"/>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O43" s="249"/>
      <c r="AP43" s="249"/>
      <c r="AQ43" s="249"/>
      <c r="AR43" s="249"/>
      <c r="AS43" s="249"/>
      <c r="AT43" s="249"/>
      <c r="AU43" s="249"/>
      <c r="AV43" s="250"/>
      <c r="AW43" s="251"/>
      <c r="AX43" s="249"/>
      <c r="AY43" s="249"/>
      <c r="AZ43" s="249"/>
      <c r="BA43" s="249"/>
      <c r="BB43" s="249"/>
      <c r="BC43" s="249"/>
      <c r="BD43" s="249"/>
      <c r="BE43" s="249"/>
      <c r="BF43" s="249"/>
      <c r="BG43" s="249"/>
      <c r="BH43" s="250"/>
      <c r="BI43" s="243" t="s">
        <v>63</v>
      </c>
      <c r="BJ43" s="131"/>
      <c r="BK43" s="131"/>
      <c r="BL43" s="131"/>
      <c r="BM43" s="131"/>
      <c r="BN43" s="131"/>
      <c r="BO43" s="131"/>
      <c r="BP43" s="131"/>
      <c r="BQ43" s="131"/>
      <c r="BR43" s="131"/>
      <c r="BS43" s="131"/>
      <c r="BT43" s="131"/>
      <c r="BU43" s="131"/>
      <c r="BV43" s="131"/>
      <c r="BW43" s="131"/>
      <c r="BX43" s="131"/>
      <c r="BY43" s="131"/>
      <c r="BZ43" s="131"/>
      <c r="CA43" s="131"/>
      <c r="CB43" s="131"/>
      <c r="CC43" s="131"/>
      <c r="CD43" s="131"/>
      <c r="CE43" s="131"/>
      <c r="CF43" s="131"/>
      <c r="CG43" s="131"/>
      <c r="CH43" s="131"/>
      <c r="CI43" s="131"/>
      <c r="CJ43" s="131"/>
      <c r="CK43" s="131"/>
      <c r="CL43" s="131"/>
      <c r="CM43" s="131"/>
      <c r="CN43" s="131"/>
      <c r="CO43" s="131"/>
      <c r="CP43" s="131"/>
      <c r="CQ43" s="131"/>
      <c r="CR43" s="132"/>
    </row>
    <row r="44" spans="1:123" s="13" customFormat="1" ht="15" customHeight="1" x14ac:dyDescent="0.15">
      <c r="A44" s="248"/>
      <c r="B44" s="249"/>
      <c r="C44" s="249"/>
      <c r="D44" s="249"/>
      <c r="E44" s="249"/>
      <c r="F44" s="249"/>
      <c r="G44" s="249"/>
      <c r="H44" s="249"/>
      <c r="I44" s="249"/>
      <c r="J44" s="250"/>
      <c r="K44" s="251"/>
      <c r="L44" s="249"/>
      <c r="M44" s="249"/>
      <c r="N44" s="249"/>
      <c r="O44" s="249"/>
      <c r="P44" s="249"/>
      <c r="Q44" s="249"/>
      <c r="R44" s="249"/>
      <c r="S44" s="249"/>
      <c r="T44" s="249"/>
      <c r="U44" s="249"/>
      <c r="V44" s="249"/>
      <c r="W44" s="249"/>
      <c r="X44" s="249"/>
      <c r="Y44" s="249"/>
      <c r="Z44" s="249"/>
      <c r="AA44" s="249"/>
      <c r="AB44" s="249"/>
      <c r="AC44" s="249"/>
      <c r="AD44" s="249"/>
      <c r="AE44" s="249"/>
      <c r="AF44" s="249"/>
      <c r="AG44" s="249"/>
      <c r="AH44" s="249"/>
      <c r="AI44" s="249"/>
      <c r="AJ44" s="249"/>
      <c r="AK44" s="249"/>
      <c r="AL44" s="249"/>
      <c r="AM44" s="249"/>
      <c r="AN44" s="249"/>
      <c r="AO44" s="249"/>
      <c r="AP44" s="249"/>
      <c r="AQ44" s="249"/>
      <c r="AR44" s="249"/>
      <c r="AS44" s="249"/>
      <c r="AT44" s="249"/>
      <c r="AU44" s="249"/>
      <c r="AV44" s="250"/>
      <c r="AW44" s="251"/>
      <c r="AX44" s="249"/>
      <c r="AY44" s="249"/>
      <c r="AZ44" s="249"/>
      <c r="BA44" s="249"/>
      <c r="BB44" s="249"/>
      <c r="BC44" s="249"/>
      <c r="BD44" s="249"/>
      <c r="BE44" s="249"/>
      <c r="BF44" s="249"/>
      <c r="BG44" s="249"/>
      <c r="BH44" s="250"/>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248"/>
      <c r="B45" s="249"/>
      <c r="C45" s="249"/>
      <c r="D45" s="249"/>
      <c r="E45" s="249"/>
      <c r="F45" s="249"/>
      <c r="G45" s="249"/>
      <c r="H45" s="249"/>
      <c r="I45" s="249"/>
      <c r="J45" s="250"/>
      <c r="K45" s="251"/>
      <c r="L45" s="249"/>
      <c r="M45" s="249"/>
      <c r="N45" s="249"/>
      <c r="O45" s="249"/>
      <c r="P45" s="249"/>
      <c r="Q45" s="249"/>
      <c r="R45" s="249"/>
      <c r="S45" s="249"/>
      <c r="T45" s="249"/>
      <c r="U45" s="249"/>
      <c r="V45" s="249"/>
      <c r="W45" s="249"/>
      <c r="X45" s="249"/>
      <c r="Y45" s="249"/>
      <c r="Z45" s="249"/>
      <c r="AA45" s="249"/>
      <c r="AB45" s="249"/>
      <c r="AC45" s="249"/>
      <c r="AD45" s="249"/>
      <c r="AE45" s="249"/>
      <c r="AF45" s="249"/>
      <c r="AG45" s="249"/>
      <c r="AH45" s="249"/>
      <c r="AI45" s="249"/>
      <c r="AJ45" s="249"/>
      <c r="AK45" s="249"/>
      <c r="AL45" s="249"/>
      <c r="AM45" s="249"/>
      <c r="AN45" s="249"/>
      <c r="AO45" s="249"/>
      <c r="AP45" s="249"/>
      <c r="AQ45" s="249"/>
      <c r="AR45" s="249"/>
      <c r="AS45" s="249"/>
      <c r="AT45" s="249"/>
      <c r="AU45" s="249"/>
      <c r="AV45" s="250"/>
      <c r="AW45" s="251"/>
      <c r="AX45" s="249"/>
      <c r="AY45" s="249"/>
      <c r="AZ45" s="249"/>
      <c r="BA45" s="249"/>
      <c r="BB45" s="249"/>
      <c r="BC45" s="249"/>
      <c r="BD45" s="249"/>
      <c r="BE45" s="249"/>
      <c r="BF45" s="249"/>
      <c r="BG45" s="249"/>
      <c r="BH45" s="250"/>
      <c r="BI45" s="53"/>
      <c r="BJ45" s="18" t="s">
        <v>123</v>
      </c>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248"/>
      <c r="B46" s="249"/>
      <c r="C46" s="249"/>
      <c r="D46" s="249"/>
      <c r="E46" s="249"/>
      <c r="F46" s="249"/>
      <c r="G46" s="249"/>
      <c r="H46" s="249"/>
      <c r="I46" s="249"/>
      <c r="J46" s="250"/>
      <c r="K46" s="251"/>
      <c r="L46" s="249"/>
      <c r="M46" s="249"/>
      <c r="N46" s="249"/>
      <c r="O46" s="249"/>
      <c r="P46" s="249"/>
      <c r="Q46" s="249"/>
      <c r="R46" s="249"/>
      <c r="S46" s="249"/>
      <c r="T46" s="249"/>
      <c r="U46" s="249"/>
      <c r="V46" s="249"/>
      <c r="W46" s="249"/>
      <c r="X46" s="249"/>
      <c r="Y46" s="249"/>
      <c r="Z46" s="249"/>
      <c r="AA46" s="249"/>
      <c r="AB46" s="249"/>
      <c r="AC46" s="249"/>
      <c r="AD46" s="249"/>
      <c r="AE46" s="249"/>
      <c r="AF46" s="249"/>
      <c r="AG46" s="249"/>
      <c r="AH46" s="249"/>
      <c r="AI46" s="249"/>
      <c r="AJ46" s="249"/>
      <c r="AK46" s="249"/>
      <c r="AL46" s="249"/>
      <c r="AM46" s="249"/>
      <c r="AN46" s="249"/>
      <c r="AO46" s="249"/>
      <c r="AP46" s="249"/>
      <c r="AQ46" s="249"/>
      <c r="AR46" s="249"/>
      <c r="AS46" s="249"/>
      <c r="AT46" s="249"/>
      <c r="AU46" s="249"/>
      <c r="AV46" s="250"/>
      <c r="AW46" s="251"/>
      <c r="AX46" s="249"/>
      <c r="AY46" s="249"/>
      <c r="AZ46" s="249"/>
      <c r="BA46" s="249"/>
      <c r="BB46" s="249"/>
      <c r="BC46" s="249"/>
      <c r="BD46" s="249"/>
      <c r="BE46" s="249"/>
      <c r="BF46" s="249"/>
      <c r="BG46" s="249"/>
      <c r="BH46" s="250"/>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260"/>
      <c r="B47" s="261"/>
      <c r="C47" s="261"/>
      <c r="D47" s="261"/>
      <c r="E47" s="261"/>
      <c r="F47" s="261"/>
      <c r="G47" s="261"/>
      <c r="H47" s="261"/>
      <c r="I47" s="261"/>
      <c r="J47" s="262"/>
      <c r="K47" s="263"/>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2"/>
      <c r="AW47" s="263"/>
      <c r="AX47" s="261"/>
      <c r="AY47" s="261"/>
      <c r="AZ47" s="261"/>
      <c r="BA47" s="261"/>
      <c r="BB47" s="261"/>
      <c r="BC47" s="261"/>
      <c r="BD47" s="261"/>
      <c r="BE47" s="261"/>
      <c r="BF47" s="261"/>
      <c r="BG47" s="261"/>
      <c r="BH47" s="262"/>
      <c r="BI47" s="55"/>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7"/>
    </row>
    <row r="48" spans="1:123" s="12" customFormat="1" ht="15" customHeight="1" x14ac:dyDescent="0.15">
      <c r="A48" s="130" t="s">
        <v>64</v>
      </c>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1"/>
      <c r="BF48" s="131"/>
      <c r="BG48" s="131"/>
      <c r="BH48" s="131"/>
      <c r="BI48" s="131"/>
      <c r="BJ48" s="131"/>
      <c r="BK48" s="131"/>
      <c r="BL48" s="131"/>
      <c r="BM48" s="131"/>
      <c r="BN48" s="131"/>
      <c r="BO48" s="131"/>
      <c r="BP48" s="131"/>
      <c r="BQ48" s="131"/>
      <c r="BR48" s="131"/>
      <c r="BS48" s="131"/>
      <c r="BT48" s="131"/>
      <c r="BU48" s="131"/>
      <c r="BV48" s="131"/>
      <c r="BW48" s="131"/>
      <c r="BX48" s="131"/>
      <c r="BY48" s="131"/>
      <c r="BZ48" s="131"/>
      <c r="CA48" s="131"/>
      <c r="CB48" s="131"/>
      <c r="CC48" s="131"/>
      <c r="CD48" s="131"/>
      <c r="CE48" s="131"/>
      <c r="CF48" s="131"/>
      <c r="CG48" s="131"/>
      <c r="CH48" s="131"/>
      <c r="CI48" s="131"/>
      <c r="CJ48" s="131"/>
      <c r="CK48" s="131"/>
      <c r="CL48" s="131"/>
      <c r="CM48" s="131"/>
      <c r="CN48" s="131"/>
      <c r="CO48" s="131"/>
      <c r="CP48" s="131"/>
      <c r="CQ48" s="131"/>
      <c r="CR48" s="132"/>
    </row>
    <row r="49" spans="1:99" s="61" customFormat="1" ht="15" customHeight="1" x14ac:dyDescent="0.2">
      <c r="A49" s="58"/>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60"/>
    </row>
    <row r="50" spans="1:99" s="61" customFormat="1" ht="15" customHeight="1" x14ac:dyDescent="0.2">
      <c r="A50" s="58"/>
      <c r="B50" s="59" t="s">
        <v>71</v>
      </c>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60"/>
    </row>
    <row r="51" spans="1:99" s="61" customFormat="1" ht="15" customHeight="1" x14ac:dyDescent="0.15">
      <c r="A51" s="58"/>
      <c r="B51" s="237" t="s">
        <v>72</v>
      </c>
      <c r="C51" s="238"/>
      <c r="D51" s="238"/>
      <c r="E51" s="238"/>
      <c r="F51" s="238"/>
      <c r="G51" s="238"/>
      <c r="H51" s="238"/>
      <c r="I51" s="238"/>
      <c r="J51" s="238"/>
      <c r="K51" s="238"/>
      <c r="L51" s="238"/>
      <c r="M51" s="238"/>
      <c r="N51" s="238"/>
      <c r="O51" s="239"/>
      <c r="P51" s="237" t="s">
        <v>73</v>
      </c>
      <c r="Q51" s="238"/>
      <c r="R51" s="238"/>
      <c r="S51" s="238"/>
      <c r="T51" s="239"/>
      <c r="U51" s="237" t="s">
        <v>74</v>
      </c>
      <c r="V51" s="238"/>
      <c r="W51" s="239"/>
      <c r="X51" s="237" t="s">
        <v>75</v>
      </c>
      <c r="Y51" s="240"/>
      <c r="Z51" s="240"/>
      <c r="AA51" s="240"/>
      <c r="AB51" s="240"/>
      <c r="AC51" s="240"/>
      <c r="AD51" s="240"/>
      <c r="AE51" s="240"/>
      <c r="AF51" s="240"/>
      <c r="AG51" s="240"/>
      <c r="AH51" s="240"/>
      <c r="AI51" s="240"/>
      <c r="AJ51" s="240"/>
      <c r="AK51" s="240"/>
      <c r="AL51" s="240"/>
      <c r="AM51" s="240"/>
      <c r="AN51" s="240"/>
      <c r="AO51" s="240"/>
      <c r="AP51" s="240"/>
      <c r="AQ51" s="240"/>
      <c r="AR51" s="240"/>
      <c r="AS51" s="240"/>
      <c r="AT51" s="240"/>
      <c r="AU51" s="240"/>
      <c r="AV51" s="241"/>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60"/>
    </row>
    <row r="52" spans="1:99" s="61" customFormat="1" ht="15" customHeight="1" x14ac:dyDescent="0.2">
      <c r="A52" s="58"/>
      <c r="B52" s="232" t="s">
        <v>76</v>
      </c>
      <c r="C52" s="232"/>
      <c r="D52" s="232"/>
      <c r="E52" s="232"/>
      <c r="F52" s="232"/>
      <c r="G52" s="232"/>
      <c r="H52" s="232"/>
      <c r="I52" s="232"/>
      <c r="J52" s="232"/>
      <c r="K52" s="232"/>
      <c r="L52" s="232"/>
      <c r="M52" s="232"/>
      <c r="N52" s="232"/>
      <c r="O52" s="232"/>
      <c r="P52" s="233" t="s">
        <v>77</v>
      </c>
      <c r="Q52" s="233"/>
      <c r="R52" s="233"/>
      <c r="S52" s="233"/>
      <c r="T52" s="233"/>
      <c r="U52" s="234" t="s">
        <v>78</v>
      </c>
      <c r="V52" s="235"/>
      <c r="W52" s="236"/>
      <c r="X52" s="232" t="s">
        <v>58</v>
      </c>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Q52" s="59"/>
      <c r="CR52" s="60"/>
    </row>
    <row r="53" spans="1:99" s="61" customFormat="1" ht="15" customHeight="1" x14ac:dyDescent="0.2">
      <c r="A53" s="58"/>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Q53" s="59"/>
      <c r="CR53" s="60"/>
    </row>
    <row r="54" spans="1:99" s="61" customFormat="1" ht="15" customHeight="1" x14ac:dyDescent="0.2">
      <c r="A54" s="58"/>
      <c r="B54" s="59" t="s">
        <v>91</v>
      </c>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Q54" s="59"/>
      <c r="CR54" s="60"/>
    </row>
    <row r="55" spans="1:99" s="61" customFormat="1" ht="15" customHeight="1" x14ac:dyDescent="0.2">
      <c r="A55" s="58"/>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Q55" s="59"/>
      <c r="CR55" s="60"/>
    </row>
    <row r="56" spans="1:99" s="61" customFormat="1" ht="15" customHeight="1" x14ac:dyDescent="0.2">
      <c r="A56" s="58"/>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Q56" s="59"/>
      <c r="CR56" s="60"/>
    </row>
    <row r="57" spans="1:99" s="61" customFormat="1" ht="15" customHeight="1" x14ac:dyDescent="0.2">
      <c r="A57" s="58"/>
      <c r="B57" s="59" t="s">
        <v>81</v>
      </c>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Q57" s="59"/>
      <c r="CR57" s="60"/>
    </row>
    <row r="58" spans="1:99" s="61" customFormat="1" ht="15" customHeight="1" x14ac:dyDescent="0.2">
      <c r="A58" s="58"/>
      <c r="B58" s="237" t="s">
        <v>72</v>
      </c>
      <c r="C58" s="238"/>
      <c r="D58" s="238"/>
      <c r="E58" s="238"/>
      <c r="F58" s="238"/>
      <c r="G58" s="238"/>
      <c r="H58" s="238"/>
      <c r="I58" s="238"/>
      <c r="J58" s="239"/>
      <c r="K58" s="275" t="s">
        <v>82</v>
      </c>
      <c r="L58" s="275"/>
      <c r="M58" s="275"/>
      <c r="N58" s="275"/>
      <c r="O58" s="275"/>
      <c r="P58" s="275"/>
      <c r="Q58" s="275"/>
      <c r="R58" s="275"/>
      <c r="S58" s="275"/>
      <c r="T58" s="275"/>
      <c r="U58" s="275"/>
      <c r="V58" s="275"/>
      <c r="W58" s="275"/>
      <c r="X58" s="275"/>
      <c r="Y58" s="275"/>
      <c r="Z58" s="275"/>
      <c r="AA58" s="275"/>
      <c r="AB58" s="275"/>
      <c r="AC58" s="275"/>
      <c r="AD58" s="275"/>
      <c r="AE58" s="275"/>
      <c r="AF58" s="275"/>
      <c r="AG58" s="275"/>
      <c r="AH58" s="275"/>
      <c r="AI58" s="275"/>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Q58" s="59"/>
      <c r="CR58" s="60"/>
    </row>
    <row r="59" spans="1:99" s="61" customFormat="1" ht="15" customHeight="1" x14ac:dyDescent="0.2">
      <c r="A59" s="58"/>
      <c r="B59" s="259" t="s">
        <v>109</v>
      </c>
      <c r="C59" s="259"/>
      <c r="D59" s="259"/>
      <c r="E59" s="259"/>
      <c r="F59" s="259"/>
      <c r="G59" s="259"/>
      <c r="H59" s="259"/>
      <c r="I59" s="259"/>
      <c r="J59" s="259"/>
      <c r="K59" s="232" t="s">
        <v>132</v>
      </c>
      <c r="L59" s="232"/>
      <c r="M59" s="232"/>
      <c r="N59" s="232"/>
      <c r="O59" s="232"/>
      <c r="P59" s="232"/>
      <c r="Q59" s="232"/>
      <c r="R59" s="232"/>
      <c r="S59" s="232"/>
      <c r="T59" s="232"/>
      <c r="U59" s="232"/>
      <c r="V59" s="232"/>
      <c r="W59" s="232"/>
      <c r="X59" s="232"/>
      <c r="Y59" s="232"/>
      <c r="Z59" s="232"/>
      <c r="AA59" s="232"/>
      <c r="AB59" s="232"/>
      <c r="AC59" s="232"/>
      <c r="AD59" s="232"/>
      <c r="AE59" s="232"/>
      <c r="AF59" s="232"/>
      <c r="AG59" s="232"/>
      <c r="AH59" s="232"/>
      <c r="AI59" s="232"/>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Q59" s="59"/>
      <c r="CR59" s="60"/>
    </row>
    <row r="60" spans="1:99" s="61" customFormat="1" ht="15" customHeight="1" x14ac:dyDescent="0.2">
      <c r="A60" s="58"/>
      <c r="B60" s="259" t="s">
        <v>110</v>
      </c>
      <c r="C60" s="259"/>
      <c r="D60" s="259"/>
      <c r="E60" s="259"/>
      <c r="F60" s="259"/>
      <c r="G60" s="259"/>
      <c r="H60" s="259"/>
      <c r="I60" s="259"/>
      <c r="J60" s="259"/>
      <c r="K60" s="232" t="s">
        <v>133</v>
      </c>
      <c r="L60" s="232"/>
      <c r="M60" s="232"/>
      <c r="N60" s="232"/>
      <c r="O60" s="232"/>
      <c r="P60" s="232"/>
      <c r="Q60" s="232"/>
      <c r="R60" s="232"/>
      <c r="S60" s="232"/>
      <c r="T60" s="232"/>
      <c r="U60" s="232"/>
      <c r="V60" s="232"/>
      <c r="W60" s="232"/>
      <c r="X60" s="232"/>
      <c r="Y60" s="232"/>
      <c r="Z60" s="232"/>
      <c r="AA60" s="232"/>
      <c r="AB60" s="232"/>
      <c r="AC60" s="232"/>
      <c r="AD60" s="232"/>
      <c r="AE60" s="232"/>
      <c r="AF60" s="232"/>
      <c r="AG60" s="232"/>
      <c r="AH60" s="232"/>
      <c r="AI60" s="232"/>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Q60" s="59"/>
      <c r="CR60" s="60"/>
    </row>
    <row r="61" spans="1:99" s="61" customFormat="1" ht="15" customHeight="1" x14ac:dyDescent="0.2">
      <c r="A61" s="58"/>
      <c r="B61" s="259" t="s">
        <v>111</v>
      </c>
      <c r="C61" s="259"/>
      <c r="D61" s="259"/>
      <c r="E61" s="259"/>
      <c r="F61" s="259"/>
      <c r="G61" s="259"/>
      <c r="H61" s="259"/>
      <c r="I61" s="259"/>
      <c r="J61" s="259"/>
      <c r="K61" s="232" t="s">
        <v>133</v>
      </c>
      <c r="L61" s="232"/>
      <c r="M61" s="232"/>
      <c r="N61" s="232"/>
      <c r="O61" s="232"/>
      <c r="P61" s="232"/>
      <c r="Q61" s="232"/>
      <c r="R61" s="232"/>
      <c r="S61" s="232"/>
      <c r="T61" s="232"/>
      <c r="U61" s="232"/>
      <c r="V61" s="232"/>
      <c r="W61" s="232"/>
      <c r="X61" s="232"/>
      <c r="Y61" s="232"/>
      <c r="Z61" s="232"/>
      <c r="AA61" s="232"/>
      <c r="AB61" s="232"/>
      <c r="AC61" s="232"/>
      <c r="AD61" s="232"/>
      <c r="AE61" s="232"/>
      <c r="AF61" s="232"/>
      <c r="AG61" s="232"/>
      <c r="AH61" s="232"/>
      <c r="AI61" s="232"/>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Q61" s="59"/>
      <c r="CR61" s="60"/>
    </row>
    <row r="62" spans="1:99" s="61" customFormat="1" ht="15" customHeight="1" x14ac:dyDescent="0.2">
      <c r="A62" s="58"/>
      <c r="B62" s="284" t="s">
        <v>137</v>
      </c>
      <c r="C62" s="284"/>
      <c r="D62" s="284"/>
      <c r="E62" s="284"/>
      <c r="F62" s="284"/>
      <c r="G62" s="284"/>
      <c r="H62" s="284"/>
      <c r="I62" s="284"/>
      <c r="J62" s="284"/>
      <c r="K62" s="285" t="s">
        <v>133</v>
      </c>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60"/>
      <c r="CT62" s="78" t="s">
        <v>143</v>
      </c>
      <c r="CU62" s="79"/>
    </row>
    <row r="63" spans="1:99" s="61" customFormat="1" ht="15" customHeight="1" x14ac:dyDescent="0.2">
      <c r="A63" s="58"/>
      <c r="B63" s="284" t="s">
        <v>148</v>
      </c>
      <c r="C63" s="284"/>
      <c r="D63" s="284"/>
      <c r="E63" s="284"/>
      <c r="F63" s="284"/>
      <c r="G63" s="284"/>
      <c r="H63" s="284"/>
      <c r="I63" s="284"/>
      <c r="J63" s="284"/>
      <c r="K63" s="285" t="s">
        <v>149</v>
      </c>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60"/>
      <c r="CT63" s="79"/>
      <c r="CU63" s="79"/>
    </row>
    <row r="64" spans="1:99" s="61" customFormat="1" ht="15" customHeight="1" x14ac:dyDescent="0.2">
      <c r="A64" s="58"/>
      <c r="B64" s="291" t="s">
        <v>124</v>
      </c>
      <c r="C64" s="291"/>
      <c r="D64" s="291"/>
      <c r="E64" s="291"/>
      <c r="F64" s="291"/>
      <c r="G64" s="291"/>
      <c r="H64" s="291"/>
      <c r="I64" s="291"/>
      <c r="J64" s="291"/>
      <c r="K64" s="232"/>
      <c r="L64" s="232"/>
      <c r="M64" s="232"/>
      <c r="N64" s="232"/>
      <c r="O64" s="232"/>
      <c r="P64" s="232"/>
      <c r="Q64" s="232"/>
      <c r="R64" s="232"/>
      <c r="S64" s="232"/>
      <c r="T64" s="232"/>
      <c r="U64" s="232"/>
      <c r="V64" s="232"/>
      <c r="W64" s="232"/>
      <c r="X64" s="232"/>
      <c r="Y64" s="232"/>
      <c r="Z64" s="232"/>
      <c r="AA64" s="232"/>
      <c r="AB64" s="232"/>
      <c r="AC64" s="232"/>
      <c r="AD64" s="232"/>
      <c r="AE64" s="232"/>
      <c r="AF64" s="232"/>
      <c r="AG64" s="232"/>
      <c r="AH64" s="232"/>
      <c r="AI64" s="232"/>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Q64" s="59"/>
      <c r="CR64" s="60"/>
      <c r="CT64" s="79"/>
      <c r="CU64" s="79"/>
    </row>
    <row r="65" spans="1:99" s="61" customFormat="1" ht="15" customHeight="1" x14ac:dyDescent="0.2">
      <c r="A65" s="58"/>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Q65" s="59"/>
      <c r="CR65" s="60"/>
      <c r="CT65" s="79"/>
      <c r="CU65" s="79"/>
    </row>
    <row r="66" spans="1:99" s="61" customFormat="1" ht="15" customHeight="1" x14ac:dyDescent="0.2">
      <c r="A66" s="58"/>
      <c r="B66" s="59" t="s">
        <v>83</v>
      </c>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Q66" s="59"/>
      <c r="CR66" s="60"/>
      <c r="CT66" s="79"/>
      <c r="CU66" s="79"/>
    </row>
    <row r="67" spans="1:99" s="61" customFormat="1" ht="15" customHeight="1" x14ac:dyDescent="0.15">
      <c r="A67" s="58"/>
      <c r="B67" s="237" t="s">
        <v>72</v>
      </c>
      <c r="C67" s="238"/>
      <c r="D67" s="238"/>
      <c r="E67" s="238"/>
      <c r="F67" s="238"/>
      <c r="G67" s="238"/>
      <c r="H67" s="238"/>
      <c r="I67" s="238"/>
      <c r="J67" s="238"/>
      <c r="K67" s="238"/>
      <c r="L67" s="238"/>
      <c r="M67" s="238"/>
      <c r="N67" s="238"/>
      <c r="O67" s="239"/>
      <c r="P67" s="237" t="s">
        <v>73</v>
      </c>
      <c r="Q67" s="238"/>
      <c r="R67" s="238"/>
      <c r="S67" s="238"/>
      <c r="T67" s="239"/>
      <c r="U67" s="237" t="s">
        <v>74</v>
      </c>
      <c r="V67" s="238"/>
      <c r="W67" s="239"/>
      <c r="X67" s="237" t="s">
        <v>75</v>
      </c>
      <c r="Y67" s="240"/>
      <c r="Z67" s="240"/>
      <c r="AA67" s="240"/>
      <c r="AB67" s="240"/>
      <c r="AC67" s="240"/>
      <c r="AD67" s="240"/>
      <c r="AE67" s="240"/>
      <c r="AF67" s="240"/>
      <c r="AG67" s="240"/>
      <c r="AH67" s="240"/>
      <c r="AI67" s="240"/>
      <c r="AJ67" s="240"/>
      <c r="AK67" s="240"/>
      <c r="AL67" s="240"/>
      <c r="AM67" s="240"/>
      <c r="AN67" s="240"/>
      <c r="AO67" s="240"/>
      <c r="AP67" s="240"/>
      <c r="AQ67" s="240"/>
      <c r="AR67" s="240"/>
      <c r="AS67" s="240"/>
      <c r="AT67" s="240"/>
      <c r="AU67" s="240"/>
      <c r="AV67" s="241"/>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Q67" s="59"/>
      <c r="CR67" s="60"/>
      <c r="CT67" s="79"/>
      <c r="CU67" s="79"/>
    </row>
    <row r="68" spans="1:99" s="61" customFormat="1" ht="15" customHeight="1" x14ac:dyDescent="0.2">
      <c r="A68" s="58"/>
      <c r="B68" s="232" t="s">
        <v>112</v>
      </c>
      <c r="C68" s="232"/>
      <c r="D68" s="232"/>
      <c r="E68" s="232"/>
      <c r="F68" s="232"/>
      <c r="G68" s="232"/>
      <c r="H68" s="232"/>
      <c r="I68" s="232"/>
      <c r="J68" s="232"/>
      <c r="K68" s="232"/>
      <c r="L68" s="232"/>
      <c r="M68" s="232"/>
      <c r="N68" s="232"/>
      <c r="O68" s="232"/>
      <c r="P68" s="233" t="s">
        <v>77</v>
      </c>
      <c r="Q68" s="233"/>
      <c r="R68" s="233"/>
      <c r="S68" s="233"/>
      <c r="T68" s="233"/>
      <c r="U68" s="234" t="s">
        <v>78</v>
      </c>
      <c r="V68" s="235"/>
      <c r="W68" s="236"/>
      <c r="X68" s="232" t="s">
        <v>130</v>
      </c>
      <c r="Y68" s="232"/>
      <c r="Z68" s="232"/>
      <c r="AA68" s="232"/>
      <c r="AB68" s="232"/>
      <c r="AC68" s="232"/>
      <c r="AD68" s="232"/>
      <c r="AE68" s="232"/>
      <c r="AF68" s="232"/>
      <c r="AG68" s="232"/>
      <c r="AH68" s="232"/>
      <c r="AI68" s="232"/>
      <c r="AJ68" s="232"/>
      <c r="AK68" s="232"/>
      <c r="AL68" s="232"/>
      <c r="AM68" s="232"/>
      <c r="AN68" s="232"/>
      <c r="AO68" s="232"/>
      <c r="AP68" s="232"/>
      <c r="AQ68" s="232"/>
      <c r="AR68" s="232"/>
      <c r="AS68" s="232"/>
      <c r="AT68" s="232"/>
      <c r="AU68" s="232"/>
      <c r="AV68" s="232"/>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Q68" s="59"/>
      <c r="CR68" s="60"/>
      <c r="CT68" s="79"/>
      <c r="CU68" s="79"/>
    </row>
    <row r="69" spans="1:99" s="61" customFormat="1" ht="15" customHeight="1" x14ac:dyDescent="0.2">
      <c r="A69" s="58"/>
      <c r="B69" s="232" t="s">
        <v>113</v>
      </c>
      <c r="C69" s="232"/>
      <c r="D69" s="232"/>
      <c r="E69" s="232"/>
      <c r="F69" s="232"/>
      <c r="G69" s="232"/>
      <c r="H69" s="232"/>
      <c r="I69" s="232"/>
      <c r="J69" s="232"/>
      <c r="K69" s="232"/>
      <c r="L69" s="232"/>
      <c r="M69" s="232"/>
      <c r="N69" s="232"/>
      <c r="O69" s="232"/>
      <c r="P69" s="233" t="s">
        <v>77</v>
      </c>
      <c r="Q69" s="233"/>
      <c r="R69" s="233"/>
      <c r="S69" s="233"/>
      <c r="T69" s="233"/>
      <c r="U69" s="234" t="s">
        <v>78</v>
      </c>
      <c r="V69" s="235"/>
      <c r="W69" s="236"/>
      <c r="X69" s="232" t="s">
        <v>131</v>
      </c>
      <c r="Y69" s="232"/>
      <c r="Z69" s="232"/>
      <c r="AA69" s="232"/>
      <c r="AB69" s="232"/>
      <c r="AC69" s="232"/>
      <c r="AD69" s="232"/>
      <c r="AE69" s="232"/>
      <c r="AF69" s="232"/>
      <c r="AG69" s="232"/>
      <c r="AH69" s="232"/>
      <c r="AI69" s="232"/>
      <c r="AJ69" s="232"/>
      <c r="AK69" s="232"/>
      <c r="AL69" s="232"/>
      <c r="AM69" s="232"/>
      <c r="AN69" s="232"/>
      <c r="AO69" s="232"/>
      <c r="AP69" s="232"/>
      <c r="AQ69" s="232"/>
      <c r="AR69" s="232"/>
      <c r="AS69" s="232"/>
      <c r="AT69" s="232"/>
      <c r="AU69" s="232"/>
      <c r="AV69" s="232"/>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Q69" s="59"/>
      <c r="CR69" s="60"/>
      <c r="CT69" s="79"/>
      <c r="CU69" s="79"/>
    </row>
    <row r="70" spans="1:99" s="61" customFormat="1" ht="15" customHeight="1" x14ac:dyDescent="0.2">
      <c r="A70" s="58"/>
      <c r="B70" s="232" t="s">
        <v>114</v>
      </c>
      <c r="C70" s="232"/>
      <c r="D70" s="232"/>
      <c r="E70" s="232"/>
      <c r="F70" s="232"/>
      <c r="G70" s="232"/>
      <c r="H70" s="232"/>
      <c r="I70" s="232"/>
      <c r="J70" s="232"/>
      <c r="K70" s="232"/>
      <c r="L70" s="232"/>
      <c r="M70" s="232"/>
      <c r="N70" s="232"/>
      <c r="O70" s="232"/>
      <c r="P70" s="233" t="s">
        <v>77</v>
      </c>
      <c r="Q70" s="233"/>
      <c r="R70" s="233"/>
      <c r="S70" s="233"/>
      <c r="T70" s="233"/>
      <c r="U70" s="234" t="s">
        <v>78</v>
      </c>
      <c r="V70" s="235"/>
      <c r="W70" s="236"/>
      <c r="X70" s="232" t="s">
        <v>131</v>
      </c>
      <c r="Y70" s="232"/>
      <c r="Z70" s="232"/>
      <c r="AA70" s="232"/>
      <c r="AB70" s="232"/>
      <c r="AC70" s="232"/>
      <c r="AD70" s="232"/>
      <c r="AE70" s="232"/>
      <c r="AF70" s="232"/>
      <c r="AG70" s="232"/>
      <c r="AH70" s="232"/>
      <c r="AI70" s="232"/>
      <c r="AJ70" s="232"/>
      <c r="AK70" s="232"/>
      <c r="AL70" s="232"/>
      <c r="AM70" s="232"/>
      <c r="AN70" s="232"/>
      <c r="AO70" s="232"/>
      <c r="AP70" s="232"/>
      <c r="AQ70" s="232"/>
      <c r="AR70" s="232"/>
      <c r="AS70" s="232"/>
      <c r="AT70" s="232"/>
      <c r="AU70" s="232"/>
      <c r="AV70" s="232"/>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60"/>
      <c r="CT70" s="79"/>
      <c r="CU70" s="79"/>
    </row>
    <row r="71" spans="1:99" s="61" customFormat="1" ht="15" customHeight="1" x14ac:dyDescent="0.2">
      <c r="A71" s="58"/>
      <c r="B71" s="284" t="s">
        <v>138</v>
      </c>
      <c r="C71" s="284"/>
      <c r="D71" s="284"/>
      <c r="E71" s="284"/>
      <c r="F71" s="284"/>
      <c r="G71" s="284"/>
      <c r="H71" s="284"/>
      <c r="I71" s="284"/>
      <c r="J71" s="284"/>
      <c r="K71" s="284"/>
      <c r="L71" s="284"/>
      <c r="M71" s="284"/>
      <c r="N71" s="284"/>
      <c r="O71" s="284"/>
      <c r="P71" s="287" t="s">
        <v>126</v>
      </c>
      <c r="Q71" s="287"/>
      <c r="R71" s="287"/>
      <c r="S71" s="287"/>
      <c r="T71" s="287"/>
      <c r="U71" s="287" t="s">
        <v>78</v>
      </c>
      <c r="V71" s="287"/>
      <c r="W71" s="287"/>
      <c r="X71" s="286" t="s">
        <v>152</v>
      </c>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59"/>
      <c r="AX71" s="77" t="s">
        <v>151</v>
      </c>
      <c r="AY71" s="77"/>
      <c r="AZ71" s="77"/>
      <c r="BA71" s="77"/>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59"/>
      <c r="CN71" s="59"/>
      <c r="CO71" s="59"/>
      <c r="CP71" s="59"/>
      <c r="CQ71" s="59"/>
      <c r="CR71" s="60"/>
      <c r="CT71" s="78" t="s">
        <v>143</v>
      </c>
      <c r="CU71" s="79"/>
    </row>
    <row r="72" spans="1:99" s="61" customFormat="1" ht="15" customHeight="1" x14ac:dyDescent="0.2">
      <c r="A72" s="58"/>
      <c r="B72" s="284"/>
      <c r="C72" s="284"/>
      <c r="D72" s="284"/>
      <c r="E72" s="284"/>
      <c r="F72" s="284"/>
      <c r="G72" s="284"/>
      <c r="H72" s="284"/>
      <c r="I72" s="284"/>
      <c r="J72" s="284"/>
      <c r="K72" s="284"/>
      <c r="L72" s="284"/>
      <c r="M72" s="284"/>
      <c r="N72" s="284"/>
      <c r="O72" s="284"/>
      <c r="P72" s="287"/>
      <c r="Q72" s="287"/>
      <c r="R72" s="287"/>
      <c r="S72" s="287"/>
      <c r="T72" s="287"/>
      <c r="U72" s="287"/>
      <c r="V72" s="287"/>
      <c r="W72" s="287"/>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59"/>
      <c r="AX72" s="59"/>
      <c r="AY72" s="59"/>
      <c r="AZ72" s="59"/>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60"/>
      <c r="CT72" s="79"/>
      <c r="CU72" s="79"/>
    </row>
    <row r="73" spans="1:99" s="61" customFormat="1" ht="15" customHeight="1" x14ac:dyDescent="0.2">
      <c r="A73" s="58"/>
      <c r="B73" s="285" t="s">
        <v>139</v>
      </c>
      <c r="C73" s="285"/>
      <c r="D73" s="285"/>
      <c r="E73" s="285"/>
      <c r="F73" s="285"/>
      <c r="G73" s="285"/>
      <c r="H73" s="285"/>
      <c r="I73" s="285"/>
      <c r="J73" s="285"/>
      <c r="K73" s="285"/>
      <c r="L73" s="285"/>
      <c r="M73" s="285"/>
      <c r="N73" s="285"/>
      <c r="O73" s="285"/>
      <c r="P73" s="287" t="s">
        <v>126</v>
      </c>
      <c r="Q73" s="287"/>
      <c r="R73" s="287"/>
      <c r="S73" s="287"/>
      <c r="T73" s="287"/>
      <c r="U73" s="288" t="s">
        <v>78</v>
      </c>
      <c r="V73" s="289"/>
      <c r="W73" s="290"/>
      <c r="X73" s="285" t="s">
        <v>140</v>
      </c>
      <c r="Y73" s="285"/>
      <c r="Z73" s="285"/>
      <c r="AA73" s="285"/>
      <c r="AB73" s="285"/>
      <c r="AC73" s="285"/>
      <c r="AD73" s="285"/>
      <c r="AE73" s="285"/>
      <c r="AF73" s="285"/>
      <c r="AG73" s="285"/>
      <c r="AH73" s="285"/>
      <c r="AI73" s="285"/>
      <c r="AJ73" s="285"/>
      <c r="AK73" s="285"/>
      <c r="AL73" s="285"/>
      <c r="AM73" s="285"/>
      <c r="AN73" s="285"/>
      <c r="AO73" s="285"/>
      <c r="AP73" s="285"/>
      <c r="AQ73" s="285"/>
      <c r="AR73" s="285"/>
      <c r="AS73" s="285"/>
      <c r="AT73" s="285"/>
      <c r="AU73" s="285"/>
      <c r="AV73" s="285"/>
      <c r="AW73" s="59"/>
      <c r="AX73" s="59"/>
      <c r="AY73" s="59"/>
      <c r="AZ73" s="59"/>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60"/>
      <c r="CT73" s="78" t="s">
        <v>143</v>
      </c>
      <c r="CU73" s="79"/>
    </row>
    <row r="74" spans="1:99" s="61" customFormat="1" ht="15" customHeight="1" x14ac:dyDescent="0.2">
      <c r="A74" s="58"/>
      <c r="B74" s="232" t="s">
        <v>125</v>
      </c>
      <c r="C74" s="232"/>
      <c r="D74" s="232"/>
      <c r="E74" s="232"/>
      <c r="F74" s="232"/>
      <c r="G74" s="232"/>
      <c r="H74" s="232"/>
      <c r="I74" s="232"/>
      <c r="J74" s="232"/>
      <c r="K74" s="232"/>
      <c r="L74" s="232"/>
      <c r="M74" s="232"/>
      <c r="N74" s="232"/>
      <c r="O74" s="232"/>
      <c r="P74" s="233" t="s">
        <v>126</v>
      </c>
      <c r="Q74" s="233"/>
      <c r="R74" s="233"/>
      <c r="S74" s="233"/>
      <c r="T74" s="233"/>
      <c r="U74" s="234">
        <v>1000</v>
      </c>
      <c r="V74" s="235"/>
      <c r="W74" s="236"/>
      <c r="X74" s="232"/>
      <c r="Y74" s="232"/>
      <c r="Z74" s="232"/>
      <c r="AA74" s="232"/>
      <c r="AB74" s="232"/>
      <c r="AC74" s="232"/>
      <c r="AD74" s="232"/>
      <c r="AE74" s="232"/>
      <c r="AF74" s="232"/>
      <c r="AG74" s="232"/>
      <c r="AH74" s="232"/>
      <c r="AI74" s="232"/>
      <c r="AJ74" s="232"/>
      <c r="AK74" s="232"/>
      <c r="AL74" s="232"/>
      <c r="AM74" s="232"/>
      <c r="AN74" s="232"/>
      <c r="AO74" s="232"/>
      <c r="AP74" s="232"/>
      <c r="AQ74" s="232"/>
      <c r="AR74" s="232"/>
      <c r="AS74" s="232"/>
      <c r="AT74" s="232"/>
      <c r="AU74" s="232"/>
      <c r="AV74" s="232"/>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60"/>
      <c r="CT74" s="79"/>
      <c r="CU74" s="79"/>
    </row>
    <row r="75" spans="1:99" s="61" customFormat="1" ht="15" customHeight="1" x14ac:dyDescent="0.2">
      <c r="A75" s="58"/>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60"/>
      <c r="CT75" s="79"/>
      <c r="CU75" s="79"/>
    </row>
    <row r="76" spans="1:99" s="61" customFormat="1" ht="15" customHeight="1" x14ac:dyDescent="0.2">
      <c r="A76" s="58"/>
      <c r="B76" s="59" t="s">
        <v>84</v>
      </c>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60"/>
      <c r="CT76" s="79"/>
      <c r="CU76" s="79"/>
    </row>
    <row r="77" spans="1:99" s="61" customFormat="1" ht="15" customHeight="1" thickBot="1" x14ac:dyDescent="0.25">
      <c r="A77" s="58"/>
      <c r="B77" s="59"/>
      <c r="C77" s="59" t="s">
        <v>89</v>
      </c>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59"/>
      <c r="BL77" s="59"/>
      <c r="BM77" s="59"/>
      <c r="BN77" s="59"/>
      <c r="BO77" s="59"/>
      <c r="BP77" s="59"/>
      <c r="BQ77" s="59"/>
      <c r="BR77" s="59"/>
      <c r="BS77" s="59"/>
      <c r="BT77" s="59"/>
      <c r="BU77" s="59"/>
      <c r="BV77" s="59"/>
      <c r="BW77" s="59"/>
      <c r="BX77" s="59"/>
      <c r="BY77" s="59"/>
      <c r="BZ77" s="59"/>
      <c r="CA77" s="59"/>
      <c r="CB77" s="59"/>
      <c r="CC77" s="59"/>
      <c r="CD77" s="59"/>
      <c r="CE77" s="59"/>
      <c r="CF77" s="59"/>
      <c r="CG77" s="59"/>
      <c r="CH77" s="59"/>
      <c r="CI77" s="59"/>
      <c r="CJ77" s="59"/>
      <c r="CK77" s="59"/>
      <c r="CL77" s="59"/>
      <c r="CM77" s="59"/>
      <c r="CN77" s="59"/>
      <c r="CO77" s="59"/>
      <c r="CP77" s="59"/>
      <c r="CQ77" s="59"/>
      <c r="CR77" s="60"/>
      <c r="CT77" s="79"/>
      <c r="CU77" s="79"/>
    </row>
    <row r="78" spans="1:99" s="61" customFormat="1" ht="15" customHeight="1" thickBot="1" x14ac:dyDescent="0.25">
      <c r="A78" s="58"/>
      <c r="B78" s="59"/>
      <c r="C78" s="59"/>
      <c r="D78" s="65" t="s">
        <v>65</v>
      </c>
      <c r="E78" s="66"/>
      <c r="F78" s="66"/>
      <c r="G78" s="66"/>
      <c r="H78" s="66"/>
      <c r="I78" s="66"/>
      <c r="J78" s="66"/>
      <c r="K78" s="67"/>
      <c r="L78" s="68"/>
      <c r="M78" s="69"/>
      <c r="N78" s="69"/>
      <c r="O78" s="69"/>
      <c r="P78" s="69"/>
      <c r="Q78" s="69"/>
      <c r="R78" s="69"/>
      <c r="S78" s="70"/>
      <c r="T78" s="282" t="s">
        <v>85</v>
      </c>
      <c r="U78" s="283"/>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59"/>
      <c r="CJ78" s="59"/>
      <c r="CK78" s="59"/>
      <c r="CL78" s="59"/>
      <c r="CM78" s="59"/>
      <c r="CN78" s="59"/>
      <c r="CO78" s="59"/>
      <c r="CP78" s="59"/>
      <c r="CQ78" s="59"/>
      <c r="CR78" s="60"/>
      <c r="CT78" s="79"/>
      <c r="CU78" s="79"/>
    </row>
    <row r="79" spans="1:99" s="61" customFormat="1" ht="15" customHeight="1" x14ac:dyDescent="0.2">
      <c r="A79" s="58"/>
      <c r="B79" s="59"/>
      <c r="C79" s="59"/>
      <c r="D79" s="59"/>
      <c r="E79" s="59"/>
      <c r="F79" s="59"/>
      <c r="G79" s="59"/>
      <c r="H79" s="59"/>
      <c r="L79" s="71" t="s">
        <v>86</v>
      </c>
      <c r="M79" s="72"/>
      <c r="N79" s="72"/>
      <c r="O79" s="72"/>
      <c r="P79" s="72"/>
      <c r="Q79" s="72"/>
      <c r="R79" s="72"/>
      <c r="S79" s="73"/>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c r="CQ79" s="59"/>
      <c r="CR79" s="60"/>
      <c r="CT79" s="79"/>
      <c r="CU79" s="79"/>
    </row>
    <row r="80" spans="1:99" s="61" customFormat="1" ht="15" customHeight="1" x14ac:dyDescent="0.2">
      <c r="A80" s="58"/>
      <c r="B80" s="59"/>
      <c r="C80" s="59"/>
      <c r="D80" s="59"/>
      <c r="E80" s="59"/>
      <c r="F80" s="59"/>
      <c r="G80" s="59"/>
      <c r="H80" s="59"/>
      <c r="L80" s="74" t="s">
        <v>87</v>
      </c>
      <c r="M80" s="75"/>
      <c r="N80" s="75"/>
      <c r="O80" s="75"/>
      <c r="P80" s="75"/>
      <c r="Q80" s="75"/>
      <c r="R80" s="75"/>
      <c r="S80" s="76"/>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60"/>
      <c r="CT80" s="79"/>
      <c r="CU80" s="79"/>
    </row>
    <row r="81" spans="1:99" s="61" customFormat="1" ht="15" customHeight="1" x14ac:dyDescent="0.2">
      <c r="A81" s="58"/>
      <c r="B81" s="59"/>
      <c r="C81" s="59"/>
      <c r="D81" s="59"/>
      <c r="E81" s="59"/>
      <c r="F81" s="59"/>
      <c r="G81" s="59"/>
      <c r="H81" s="59"/>
      <c r="L81" s="74" t="s">
        <v>88</v>
      </c>
      <c r="M81" s="75"/>
      <c r="N81" s="75"/>
      <c r="O81" s="75"/>
      <c r="P81" s="75"/>
      <c r="Q81" s="75"/>
      <c r="R81" s="75"/>
      <c r="S81" s="76"/>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c r="CQ81" s="59"/>
      <c r="CR81" s="60"/>
      <c r="CT81" s="79"/>
      <c r="CU81" s="79"/>
    </row>
    <row r="82" spans="1:99" s="61" customFormat="1" ht="15" customHeight="1" x14ac:dyDescent="0.2">
      <c r="A82" s="58"/>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59"/>
      <c r="CJ82" s="59"/>
      <c r="CK82" s="59"/>
      <c r="CL82" s="59"/>
      <c r="CM82" s="59"/>
      <c r="CN82" s="59"/>
      <c r="CO82" s="59"/>
      <c r="CP82" s="59"/>
      <c r="CQ82" s="59"/>
      <c r="CR82" s="60"/>
      <c r="CT82" s="79"/>
      <c r="CU82" s="79"/>
    </row>
    <row r="83" spans="1:99" s="61" customFormat="1" ht="15" customHeight="1" x14ac:dyDescent="0.2">
      <c r="A83" s="58"/>
      <c r="B83" s="77" t="s">
        <v>141</v>
      </c>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59"/>
      <c r="CL83" s="59"/>
      <c r="CM83" s="59"/>
      <c r="CN83" s="59"/>
      <c r="CO83" s="59"/>
      <c r="CP83" s="59"/>
      <c r="CQ83" s="59"/>
      <c r="CR83" s="60"/>
      <c r="CT83" s="78" t="s">
        <v>143</v>
      </c>
      <c r="CU83" s="79"/>
    </row>
    <row r="84" spans="1:99" s="61" customFormat="1" ht="15" customHeight="1" x14ac:dyDescent="0.2">
      <c r="A84" s="58"/>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59"/>
      <c r="CJ84" s="59"/>
      <c r="CK84" s="59"/>
      <c r="CL84" s="59"/>
      <c r="CM84" s="59"/>
      <c r="CN84" s="59"/>
      <c r="CO84" s="59"/>
      <c r="CP84" s="59"/>
      <c r="CQ84" s="59"/>
      <c r="CR84" s="60"/>
      <c r="CT84" s="79"/>
      <c r="CU84" s="79"/>
    </row>
    <row r="85" spans="1:99" s="61" customFormat="1" ht="15" customHeight="1" x14ac:dyDescent="0.2">
      <c r="A85" s="58"/>
      <c r="B85" s="77"/>
      <c r="C85" s="77" t="s">
        <v>150</v>
      </c>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c r="CQ85" s="59"/>
      <c r="CR85" s="60"/>
    </row>
    <row r="86" spans="1:99" s="61" customFormat="1" ht="15" customHeight="1" x14ac:dyDescent="0.2">
      <c r="A86" s="58"/>
      <c r="B86" s="77"/>
      <c r="C86" s="77"/>
      <c r="D86" s="77" t="s">
        <v>142</v>
      </c>
      <c r="E86" s="77"/>
      <c r="F86" s="77"/>
      <c r="G86" s="77"/>
      <c r="H86" s="77"/>
      <c r="I86" s="77"/>
      <c r="J86" s="77"/>
      <c r="K86" s="77"/>
      <c r="L86" s="77"/>
      <c r="M86" s="77" t="s">
        <v>154</v>
      </c>
      <c r="N86" s="77"/>
      <c r="O86" s="77"/>
      <c r="P86" s="77"/>
      <c r="Q86" s="77"/>
      <c r="R86" s="77"/>
      <c r="S86" s="77"/>
      <c r="T86" s="77"/>
      <c r="U86" s="77"/>
      <c r="V86" s="77"/>
      <c r="W86" s="77"/>
      <c r="X86" s="77"/>
      <c r="Y86" s="77"/>
      <c r="Z86" s="77"/>
      <c r="AA86" s="77"/>
      <c r="AB86" s="77"/>
      <c r="AC86" s="77"/>
      <c r="AD86" s="77"/>
      <c r="AE86" s="77"/>
      <c r="AF86" s="77"/>
      <c r="AG86" s="77"/>
      <c r="AH86" s="77"/>
      <c r="AI86" s="77"/>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59"/>
      <c r="CL86" s="59"/>
      <c r="CM86" s="59"/>
      <c r="CN86" s="59"/>
      <c r="CO86" s="59"/>
      <c r="CP86" s="59"/>
      <c r="CQ86" s="59"/>
      <c r="CR86" s="60"/>
    </row>
    <row r="87" spans="1:99" s="61" customFormat="1" ht="15" customHeight="1" x14ac:dyDescent="0.2">
      <c r="A87" s="58"/>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59"/>
      <c r="CF87" s="59"/>
      <c r="CG87" s="59"/>
      <c r="CH87" s="59"/>
      <c r="CI87" s="59"/>
      <c r="CJ87" s="59"/>
      <c r="CK87" s="59"/>
      <c r="CL87" s="59"/>
      <c r="CM87" s="59"/>
      <c r="CN87" s="59"/>
      <c r="CO87" s="59"/>
      <c r="CP87" s="59"/>
      <c r="CQ87" s="59"/>
      <c r="CR87" s="60"/>
    </row>
    <row r="88" spans="1:99" s="61" customFormat="1" ht="15" customHeight="1" x14ac:dyDescent="0.2">
      <c r="A88" s="58"/>
      <c r="B88" s="77"/>
      <c r="C88" s="77" t="s">
        <v>153</v>
      </c>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59"/>
      <c r="CF88" s="59"/>
      <c r="CG88" s="59"/>
      <c r="CH88" s="59"/>
      <c r="CI88" s="59"/>
      <c r="CJ88" s="59"/>
      <c r="CK88" s="59"/>
      <c r="CL88" s="59"/>
      <c r="CM88" s="59"/>
      <c r="CN88" s="59"/>
      <c r="CO88" s="59"/>
      <c r="CP88" s="59"/>
      <c r="CQ88" s="59"/>
      <c r="CR88" s="60"/>
    </row>
    <row r="89" spans="1:99" s="61" customFormat="1" ht="15" customHeight="1" x14ac:dyDescent="0.2">
      <c r="A89" s="58"/>
      <c r="B89" s="78"/>
      <c r="C89" s="78"/>
      <c r="D89" s="77" t="s">
        <v>142</v>
      </c>
      <c r="E89" s="77"/>
      <c r="F89" s="77"/>
      <c r="G89" s="77"/>
      <c r="H89" s="77"/>
      <c r="I89" s="77"/>
      <c r="J89" s="77"/>
      <c r="K89" s="77"/>
      <c r="L89" s="77"/>
      <c r="M89" s="77" t="s">
        <v>155</v>
      </c>
      <c r="N89" s="77"/>
      <c r="O89" s="77"/>
      <c r="P89" s="77"/>
      <c r="Q89" s="77"/>
      <c r="R89" s="77"/>
      <c r="S89" s="77"/>
      <c r="T89" s="77"/>
      <c r="U89" s="77"/>
      <c r="V89" s="77"/>
      <c r="W89" s="77"/>
      <c r="X89" s="77"/>
      <c r="Y89" s="77"/>
      <c r="Z89" s="77"/>
      <c r="AA89" s="77"/>
      <c r="AB89" s="77"/>
      <c r="AC89" s="77"/>
      <c r="AD89" s="77"/>
      <c r="AE89" s="77"/>
      <c r="AF89" s="77"/>
      <c r="AG89" s="77"/>
      <c r="AH89" s="77"/>
      <c r="AI89" s="77"/>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59"/>
      <c r="CF89" s="59"/>
      <c r="CG89" s="59"/>
      <c r="CH89" s="59"/>
      <c r="CI89" s="59"/>
      <c r="CJ89" s="59"/>
      <c r="CK89" s="59"/>
      <c r="CL89" s="59"/>
      <c r="CM89" s="59"/>
      <c r="CN89" s="59"/>
      <c r="CO89" s="59"/>
      <c r="CP89" s="59"/>
      <c r="CQ89" s="59"/>
      <c r="CR89" s="60"/>
    </row>
    <row r="90" spans="1:99" s="61" customFormat="1" ht="15" customHeight="1" thickBot="1" x14ac:dyDescent="0.25">
      <c r="A90" s="62"/>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3"/>
      <c r="BW90" s="63"/>
      <c r="BX90" s="63"/>
      <c r="BY90" s="63"/>
      <c r="BZ90" s="63"/>
      <c r="CA90" s="63"/>
      <c r="CB90" s="63"/>
      <c r="CC90" s="63"/>
      <c r="CD90" s="63"/>
      <c r="CE90" s="63"/>
      <c r="CF90" s="63"/>
      <c r="CG90" s="63"/>
      <c r="CH90" s="63"/>
      <c r="CI90" s="63"/>
      <c r="CJ90" s="63"/>
      <c r="CK90" s="63"/>
      <c r="CL90" s="63"/>
      <c r="CM90" s="63"/>
      <c r="CN90" s="63"/>
      <c r="CO90" s="63"/>
      <c r="CP90" s="63"/>
      <c r="CQ90" s="63"/>
      <c r="CR90" s="64"/>
    </row>
  </sheetData>
  <mergeCells count="121">
    <mergeCell ref="B63:J63"/>
    <mergeCell ref="K63:AI63"/>
    <mergeCell ref="X71:AV72"/>
    <mergeCell ref="U71:W72"/>
    <mergeCell ref="P71:T72"/>
    <mergeCell ref="B71:O72"/>
    <mergeCell ref="B73:O73"/>
    <mergeCell ref="P73:T73"/>
    <mergeCell ref="U73:W73"/>
    <mergeCell ref="X73:AV73"/>
    <mergeCell ref="B64:J64"/>
    <mergeCell ref="K64:AI64"/>
    <mergeCell ref="DN24:DP25"/>
    <mergeCell ref="DC24:DM25"/>
    <mergeCell ref="T78:U78"/>
    <mergeCell ref="B69:O69"/>
    <mergeCell ref="P69:T69"/>
    <mergeCell ref="U69:W69"/>
    <mergeCell ref="X69:AV69"/>
    <mergeCell ref="B70:O70"/>
    <mergeCell ref="P70:T70"/>
    <mergeCell ref="U70:W70"/>
    <mergeCell ref="X70:AV70"/>
    <mergeCell ref="B61:J61"/>
    <mergeCell ref="K61:AI61"/>
    <mergeCell ref="B51:O51"/>
    <mergeCell ref="P51:T51"/>
    <mergeCell ref="U51:W51"/>
    <mergeCell ref="X51:AV51"/>
    <mergeCell ref="B52:O52"/>
    <mergeCell ref="P52:T52"/>
    <mergeCell ref="U52:W52"/>
    <mergeCell ref="X52:AV52"/>
    <mergeCell ref="B62:J62"/>
    <mergeCell ref="K62:AI62"/>
    <mergeCell ref="K60:AI60"/>
    <mergeCell ref="B59:J59"/>
    <mergeCell ref="B60:J60"/>
    <mergeCell ref="A47:J47"/>
    <mergeCell ref="K47:AV47"/>
    <mergeCell ref="AW47:BH47"/>
    <mergeCell ref="A48:CR48"/>
    <mergeCell ref="DC16:DM17"/>
    <mergeCell ref="DC18:DM19"/>
    <mergeCell ref="CV24:DB25"/>
    <mergeCell ref="A46:J46"/>
    <mergeCell ref="K46:AV46"/>
    <mergeCell ref="AW46:BH46"/>
    <mergeCell ref="A43:J43"/>
    <mergeCell ref="K43:AV43"/>
    <mergeCell ref="AW43:BH43"/>
    <mergeCell ref="B58:J58"/>
    <mergeCell ref="K58:AI58"/>
    <mergeCell ref="K59:AI59"/>
    <mergeCell ref="K44:AV44"/>
    <mergeCell ref="AW44:BH44"/>
    <mergeCell ref="A41:J41"/>
    <mergeCell ref="K41:AV41"/>
    <mergeCell ref="AW41:BH41"/>
    <mergeCell ref="A42:J42"/>
    <mergeCell ref="K42:AV42"/>
    <mergeCell ref="AW42:BH42"/>
    <mergeCell ref="A45:J45"/>
    <mergeCell ref="K45:AV45"/>
    <mergeCell ref="AW45:BH45"/>
    <mergeCell ref="BT4:CR4"/>
    <mergeCell ref="A5:BH5"/>
    <mergeCell ref="BI5:CR5"/>
    <mergeCell ref="BI12:CR12"/>
    <mergeCell ref="A38:BH38"/>
    <mergeCell ref="BI38:CR38"/>
    <mergeCell ref="A4:H4"/>
    <mergeCell ref="I4:AK4"/>
    <mergeCell ref="AL4:AR4"/>
    <mergeCell ref="AS4:BH4"/>
    <mergeCell ref="BI4:BS4"/>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DN16:DQ17"/>
    <mergeCell ref="DC14:DQ15"/>
    <mergeCell ref="DN18:DQ19"/>
    <mergeCell ref="DQ24:DT25"/>
    <mergeCell ref="B74:O74"/>
    <mergeCell ref="P74:T74"/>
    <mergeCell ref="U74:W74"/>
    <mergeCell ref="X74:AV74"/>
    <mergeCell ref="B67:O67"/>
    <mergeCell ref="P67:T67"/>
    <mergeCell ref="U67:W67"/>
    <mergeCell ref="X67:AV67"/>
    <mergeCell ref="B68:O68"/>
    <mergeCell ref="P68:T68"/>
    <mergeCell ref="U68:W68"/>
    <mergeCell ref="X68:AV68"/>
    <mergeCell ref="A39:J39"/>
    <mergeCell ref="K39:AV39"/>
    <mergeCell ref="AW39:BH39"/>
    <mergeCell ref="A40:J40"/>
    <mergeCell ref="K40:AV40"/>
    <mergeCell ref="AW40:BH40"/>
    <mergeCell ref="BI43:CR43"/>
    <mergeCell ref="A44:J44"/>
  </mergeCells>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タイトル</vt:lpstr>
      <vt:lpstr>改訂履歴</vt:lpstr>
      <vt:lpstr>機能概要・画面遷移図</vt:lpstr>
      <vt:lpstr>給与支給日マスタ</vt:lpstr>
      <vt:lpstr>タイトル!Print_Area</vt:lpstr>
      <vt:lpstr>改訂履歴!Print_Titles</vt:lpstr>
      <vt:lpstr>機能概要・画面遷移図!Print_Titles</vt:lpstr>
      <vt:lpstr>給与支給日マスタ!Print_Titles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川勝　恭子</dc:creator>
  <cp:lastModifiedBy>明石　 啓吾</cp:lastModifiedBy>
  <cp:lastPrinted>2024-03-11T07:00:17Z</cp:lastPrinted>
  <dcterms:created xsi:type="dcterms:W3CDTF">2006-03-07T04:00:40Z</dcterms:created>
  <dcterms:modified xsi:type="dcterms:W3CDTF">2025-10-21T05:22:50Z</dcterms:modified>
</cp:coreProperties>
</file>
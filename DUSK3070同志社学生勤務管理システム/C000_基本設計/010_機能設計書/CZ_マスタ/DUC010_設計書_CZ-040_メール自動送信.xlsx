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DUSK3070同志社学生勤務管理システム\C000_基本設計\010_機能設計書\CZ_マスタ\"/>
    </mc:Choice>
  </mc:AlternateContent>
  <xr:revisionPtr revIDLastSave="0" documentId="13_ncr:1_{49B32C47-7813-4C7C-AE94-4FD15816618B}" xr6:coauthVersionLast="47" xr6:coauthVersionMax="47" xr10:uidLastSave="{00000000-0000-0000-0000-000000000000}"/>
  <bookViews>
    <workbookView xWindow="2730" yWindow="450" windowWidth="23310" windowHeight="12375" tabRatio="584" xr2:uid="{00000000-000D-0000-FFFF-FFFF00000000}"/>
  </bookViews>
  <sheets>
    <sheet name="タイトル" sheetId="266" r:id="rId1"/>
    <sheet name="改訂履歴" sheetId="6" r:id="rId2"/>
    <sheet name="機能概要・機能説明" sheetId="270" r:id="rId3"/>
    <sheet name="メール自動送信" sheetId="271" r:id="rId4"/>
    <sheet name="補足資料_メール本文" sheetId="272" r:id="rId5"/>
  </sheets>
  <definedNames>
    <definedName name="_xlnm.Print_Area" localSheetId="0">タイトル!$A$1:$AC$36</definedName>
    <definedName name="_xlnm.Print_Area" localSheetId="3">メール自動送信!$A$1:$CR$47</definedName>
    <definedName name="_xlnm.Print_Area" localSheetId="4">補足資料_メール本文!$A$1:$X$311</definedName>
    <definedName name="_xlnm.Print_Titles" localSheetId="3">メール自動送信!$1:$4</definedName>
    <definedName name="_xlnm.Print_Titles" localSheetId="1">改訂履歴!$1:$4</definedName>
    <definedName name="_xlnm.Print_Titles" localSheetId="2">機能概要・機能説明!$1:$4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71" l="1"/>
  <c r="AL2" i="271" l="1"/>
  <c r="I2" i="271"/>
  <c r="CK1" i="271"/>
  <c r="BW1" i="271"/>
  <c r="BM1" i="271"/>
  <c r="AL1" i="271"/>
  <c r="I1" i="271"/>
  <c r="CK1" i="270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12C21F9C-BDC7-45BF-B913-319162DF41B8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<sst xmlns="http://schemas.openxmlformats.org/spreadsheetml/2006/main" count="448" uniqueCount="258">
  <si>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</si>
  <si>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</si>
  <si>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</si>
  <si>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</si>
  <si>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</si>
  <si>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</si>
  <si>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</si>
  <si>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</si>
  <si>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</si>
  <si>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</si>
  <si>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</si>
  <si>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</si>
  <si>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</si>
  <si>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</si>
  <si>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</si>
  <si>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</si>
  <si>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</si>
  <si>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</si>
  <si>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</si>
  <si>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</si>
  <si>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</si>
  <si>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</si>
  <si>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</si>
  <si>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</si>
  <si>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</si>
  <si>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</si>
  <si>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</si>
  <si>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</si>
  <si>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</si>
  <si>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</si>
  <si>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</si>
  <si>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</si>
  <si>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</si>
  <si>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</si>
  <si>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</si>
  <si>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</si>
  <si>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</si>
  <si>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</si>
  <si>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</si>
  <si>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</si>
  <si>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</si>
  <si>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</si>
  <si>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</si>
  <si>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</si>
  <si>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</si>
  <si>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機能</t>
    <rPh sb="0" eb="2">
      <t>キノウ</t>
    </rPh>
    <phoneticPr fontId="2"/>
  </si>
  <si>
    <t>　管理者</t>
    <rPh sb="1" eb="4">
      <t>カンリシャ</t>
    </rPh>
    <phoneticPr fontId="10"/>
  </si>
  <si>
    <t>機　　能　　説　　明</t>
    <rPh sb="0" eb="1">
      <t>キ</t>
    </rPh>
    <rPh sb="3" eb="4">
      <t>ノウ</t>
    </rPh>
    <rPh sb="6" eb="7">
      <t>セツ</t>
    </rPh>
    <rPh sb="9" eb="10">
      <t>アキラ</t>
    </rPh>
    <phoneticPr fontId="2"/>
  </si>
  <si>
    <t>　CZ-040_メール自動送信</t>
    <rPh sb="11" eb="13">
      <t>ジドウ</t>
    </rPh>
    <rPh sb="13" eb="15">
      <t>ソウシン</t>
    </rPh>
    <phoneticPr fontId="2"/>
  </si>
  <si>
    <t>・指定された日時にメールを自動送信する機能。</t>
    <rPh sb="1" eb="3">
      <t>シテイ</t>
    </rPh>
    <rPh sb="6" eb="8">
      <t>ニチジ</t>
    </rPh>
    <rPh sb="13" eb="15">
      <t>ジドウ</t>
    </rPh>
    <rPh sb="15" eb="17">
      <t>ソウシン</t>
    </rPh>
    <rPh sb="19" eb="21">
      <t>キノウ</t>
    </rPh>
    <phoneticPr fontId="2"/>
  </si>
  <si>
    <t>スケジュールはタスクスケジューラで設定することとする。</t>
    <rPh sb="17" eb="19">
      <t>セッテイ</t>
    </rPh>
    <phoneticPr fontId="11"/>
  </si>
  <si>
    <t>【メールの自動送信イメージ】</t>
    <rPh sb="5" eb="7">
      <t>ジドウ</t>
    </rPh>
    <rPh sb="7" eb="9">
      <t>ソウシン</t>
    </rPh>
    <phoneticPr fontId="11"/>
  </si>
  <si>
    <t>名前</t>
    <rPh sb="0" eb="2">
      <t>ナマエ</t>
    </rPh>
    <phoneticPr fontId="11"/>
  </si>
  <si>
    <t>トリガー</t>
    <phoneticPr fontId="11"/>
  </si>
  <si>
    <t>1.タスクスケジューラでメール自動送信バッチを起動　（メールIDをバッチの引数に指定）</t>
    <rPh sb="15" eb="17">
      <t>ジドウ</t>
    </rPh>
    <rPh sb="17" eb="19">
      <t>ソウシン</t>
    </rPh>
    <rPh sb="23" eb="25">
      <t>キドウ</t>
    </rPh>
    <rPh sb="37" eb="39">
      <t>ヒキスウ</t>
    </rPh>
    <rPh sb="40" eb="42">
      <t>シテイ</t>
    </rPh>
    <phoneticPr fontId="11"/>
  </si>
  <si>
    <t>引数</t>
    <rPh sb="0" eb="2">
      <t>ヒキスウ</t>
    </rPh>
    <phoneticPr fontId="11"/>
  </si>
  <si>
    <t>2.メール自動送信テーブルから起動するバッチを取得し、バッチを起動</t>
    <phoneticPr fontId="11"/>
  </si>
  <si>
    <t>メールID</t>
    <phoneticPr fontId="11"/>
  </si>
  <si>
    <t>バッチID</t>
    <phoneticPr fontId="11"/>
  </si>
  <si>
    <t>メール送信</t>
    <rPh sb="3" eb="5">
      <t>ソウシン</t>
    </rPh>
    <phoneticPr fontId="11"/>
  </si>
  <si>
    <t>CZ-040-03B</t>
    <phoneticPr fontId="2"/>
  </si>
  <si>
    <t>・メールを自動送信する機能。</t>
    <rPh sb="5" eb="7">
      <t>ジドウ</t>
    </rPh>
    <rPh sb="7" eb="9">
      <t>ソウシン</t>
    </rPh>
    <rPh sb="11" eb="13">
      <t>キノウ</t>
    </rPh>
    <phoneticPr fontId="2"/>
  </si>
  <si>
    <t>バッチ名</t>
    <rPh sb="3" eb="4">
      <t>メイ</t>
    </rPh>
    <phoneticPr fontId="11"/>
  </si>
  <si>
    <t>勤務情報テーブルの最終ステータスが「差戻」になっている勤務データの学生を対象とする。</t>
    <rPh sb="27" eb="29">
      <t>キンム</t>
    </rPh>
    <rPh sb="33" eb="35">
      <t>ガクセイ</t>
    </rPh>
    <rPh sb="36" eb="38">
      <t>タイショウ</t>
    </rPh>
    <phoneticPr fontId="2"/>
  </si>
  <si>
    <t>メール送信対象</t>
    <rPh sb="3" eb="5">
      <t>ソウシン</t>
    </rPh>
    <rPh sb="5" eb="7">
      <t>タイショウ</t>
    </rPh>
    <phoneticPr fontId="2"/>
  </si>
  <si>
    <t>バッチの起動条件</t>
    <rPh sb="4" eb="6">
      <t>キドウ</t>
    </rPh>
    <rPh sb="6" eb="8">
      <t>ジョウケン</t>
    </rPh>
    <phoneticPr fontId="2"/>
  </si>
  <si>
    <t>〇メール送信対象データの抽出</t>
    <rPh sb="4" eb="6">
      <t>ソウシン</t>
    </rPh>
    <rPh sb="6" eb="8">
      <t>タイショウ</t>
    </rPh>
    <rPh sb="12" eb="14">
      <t>チュウシュツ</t>
    </rPh>
    <phoneticPr fontId="11"/>
  </si>
  <si>
    <t>〇メールのまとめ処理について</t>
    <rPh sb="8" eb="10">
      <t>ショリ</t>
    </rPh>
    <phoneticPr fontId="2"/>
  </si>
  <si>
    <t>メールの受信数を最低限に減らすこととする。</t>
    <rPh sb="4" eb="6">
      <t>ジュシン</t>
    </rPh>
    <rPh sb="6" eb="7">
      <t>スウ</t>
    </rPh>
    <rPh sb="8" eb="11">
      <t>サイテイゲン</t>
    </rPh>
    <rPh sb="12" eb="13">
      <t>ヘ</t>
    </rPh>
    <phoneticPr fontId="2"/>
  </si>
  <si>
    <t>なお、メールの集約を前提としたメールのタイトル・本文となるようにしておくこととする。</t>
    <rPh sb="7" eb="9">
      <t>シュウヤク</t>
    </rPh>
    <rPh sb="10" eb="12">
      <t>ゼンテイ</t>
    </rPh>
    <rPh sb="24" eb="26">
      <t>ホンブン</t>
    </rPh>
    <phoneticPr fontId="2"/>
  </si>
  <si>
    <t>通知メールが該当する結果によっては、一度に大量のメールが送信される可能性があるので、1回のバッチで送信されるメール送信処理内でメールの宛先毎に1通のメールに集約し、</t>
    <rPh sb="0" eb="2">
      <t>ツウチ</t>
    </rPh>
    <rPh sb="6" eb="8">
      <t>ガイトウ</t>
    </rPh>
    <rPh sb="10" eb="12">
      <t>ケッカ</t>
    </rPh>
    <rPh sb="18" eb="20">
      <t>イチド</t>
    </rPh>
    <rPh sb="21" eb="23">
      <t>タイリョウ</t>
    </rPh>
    <rPh sb="28" eb="30">
      <t>ソウシン</t>
    </rPh>
    <rPh sb="33" eb="36">
      <t>カノウセイ</t>
    </rPh>
    <rPh sb="43" eb="44">
      <t>カイ</t>
    </rPh>
    <rPh sb="49" eb="51">
      <t>ソウシン</t>
    </rPh>
    <rPh sb="57" eb="59">
      <t>ソウシン</t>
    </rPh>
    <rPh sb="59" eb="61">
      <t>ショリ</t>
    </rPh>
    <rPh sb="61" eb="62">
      <t>ナイ</t>
    </rPh>
    <rPh sb="67" eb="69">
      <t>アテサキ</t>
    </rPh>
    <rPh sb="69" eb="70">
      <t>ゴト</t>
    </rPh>
    <rPh sb="72" eb="73">
      <t>ツウ</t>
    </rPh>
    <rPh sb="78" eb="80">
      <t>シュウヤク</t>
    </rPh>
    <phoneticPr fontId="2"/>
  </si>
  <si>
    <t>毎月1日  8:30に起動</t>
    <rPh sb="0" eb="2">
      <t>マイツキ</t>
    </rPh>
    <rPh sb="3" eb="4">
      <t>ヒ</t>
    </rPh>
    <rPh sb="11" eb="13">
      <t>キドウ</t>
    </rPh>
    <phoneticPr fontId="11"/>
  </si>
  <si>
    <t>変更</t>
    <rPh sb="0" eb="2">
      <t>ヘンコウ</t>
    </rPh>
    <phoneticPr fontId="2"/>
  </si>
  <si>
    <t>メール自動送信</t>
    <rPh sb="3" eb="7">
      <t>ジドウソウシン</t>
    </rPh>
    <phoneticPr fontId="2"/>
  </si>
  <si>
    <t>CZ-04005</t>
    <phoneticPr fontId="2"/>
  </si>
  <si>
    <t>CZ-04006</t>
    <phoneticPr fontId="2"/>
  </si>
  <si>
    <t>メール自動送信対象に代理入力時を追加
勤務申請・修正・差戻時のスケジュール送信を削除</t>
    <rPh sb="3" eb="7">
      <t>ジドウソウシン</t>
    </rPh>
    <rPh sb="7" eb="9">
      <t>タイショウ</t>
    </rPh>
    <rPh sb="10" eb="12">
      <t>ダイリ</t>
    </rPh>
    <rPh sb="12" eb="15">
      <t>ニュウリョクジ</t>
    </rPh>
    <rPh sb="16" eb="18">
      <t>ツイカ</t>
    </rPh>
    <rPh sb="19" eb="23">
      <t>キンムシンセイ</t>
    </rPh>
    <rPh sb="24" eb="26">
      <t>シュウセイ</t>
    </rPh>
    <rPh sb="27" eb="29">
      <t>サシモドシ</t>
    </rPh>
    <rPh sb="29" eb="30">
      <t>ジ</t>
    </rPh>
    <rPh sb="37" eb="39">
      <t>ソウシン</t>
    </rPh>
    <rPh sb="40" eb="42">
      <t>サクジョ</t>
    </rPh>
    <phoneticPr fontId="2"/>
  </si>
  <si>
    <t>木田　優</t>
    <phoneticPr fontId="2"/>
  </si>
  <si>
    <t>スケジュール送信するメール以外の記載を削除</t>
    <rPh sb="6" eb="8">
      <t>ソウシン</t>
    </rPh>
    <rPh sb="13" eb="15">
      <t>イガイ</t>
    </rPh>
    <rPh sb="16" eb="18">
      <t>キサイ</t>
    </rPh>
    <rPh sb="19" eb="21">
      <t>サクジョ</t>
    </rPh>
    <phoneticPr fontId="2"/>
  </si>
  <si>
    <t>CZ-040-03B</t>
    <phoneticPr fontId="11"/>
  </si>
  <si>
    <t>督促</t>
    <rPh sb="0" eb="2">
      <t>トクソク</t>
    </rPh>
    <phoneticPr fontId="11"/>
  </si>
  <si>
    <t>CZ-04003B</t>
    <phoneticPr fontId="11"/>
  </si>
  <si>
    <t>督促メール送信</t>
    <rPh sb="0" eb="2">
      <t>トクソク</t>
    </rPh>
    <rPh sb="5" eb="7">
      <t>ソウシン</t>
    </rPh>
    <phoneticPr fontId="11"/>
  </si>
  <si>
    <t>学生・教員</t>
    <rPh sb="0" eb="2">
      <t>ガクセイ</t>
    </rPh>
    <rPh sb="3" eb="5">
      <t>キョウイン</t>
    </rPh>
    <phoneticPr fontId="11"/>
  </si>
  <si>
    <t>タスクスケジュール</t>
    <phoneticPr fontId="2"/>
  </si>
  <si>
    <t>勤務承認テーブルのステータスが「承認済み」以外になっている勤務データの承認者（教員）を対象とする。</t>
    <rPh sb="0" eb="2">
      <t>キンム</t>
    </rPh>
    <rPh sb="2" eb="4">
      <t>ショウニン</t>
    </rPh>
    <rPh sb="16" eb="18">
      <t>ショウニン</t>
    </rPh>
    <rPh sb="18" eb="19">
      <t>ズ</t>
    </rPh>
    <rPh sb="21" eb="23">
      <t>イガイ</t>
    </rPh>
    <rPh sb="29" eb="31">
      <t>キンム</t>
    </rPh>
    <rPh sb="35" eb="38">
      <t>ショウニンシャ</t>
    </rPh>
    <rPh sb="39" eb="41">
      <t>キョウイン</t>
    </rPh>
    <rPh sb="43" eb="45">
      <t>タイショウ</t>
    </rPh>
    <phoneticPr fontId="2"/>
  </si>
  <si>
    <t>メール内容について</t>
    <rPh sb="3" eb="5">
      <t>ナイヨウ</t>
    </rPh>
    <phoneticPr fontId="11"/>
  </si>
  <si>
    <t>No</t>
    <phoneticPr fontId="11"/>
  </si>
  <si>
    <t>メール名</t>
    <rPh sb="3" eb="4">
      <t>メイ</t>
    </rPh>
    <phoneticPr fontId="11"/>
  </si>
  <si>
    <t>送信タイミング</t>
    <rPh sb="0" eb="2">
      <t>ソウシン</t>
    </rPh>
    <phoneticPr fontId="11"/>
  </si>
  <si>
    <t>対象者</t>
    <rPh sb="0" eb="3">
      <t>タイショウシャ</t>
    </rPh>
    <phoneticPr fontId="11"/>
  </si>
  <si>
    <t>勤務申請受理</t>
    <rPh sb="0" eb="6">
      <t>キンムシンセイジュリ</t>
    </rPh>
    <phoneticPr fontId="11"/>
  </si>
  <si>
    <t>勤務入力で登録確定時</t>
    <rPh sb="0" eb="4">
      <t>キンムニュウリョク</t>
    </rPh>
    <rPh sb="5" eb="10">
      <t>トウロクカクテイジ</t>
    </rPh>
    <phoneticPr fontId="11"/>
  </si>
  <si>
    <t>教員</t>
    <rPh sb="0" eb="2">
      <t>キョウイン</t>
    </rPh>
    <phoneticPr fontId="11"/>
  </si>
  <si>
    <t>勤務差戻</t>
    <rPh sb="0" eb="4">
      <t>キンムサシモドシ</t>
    </rPh>
    <phoneticPr fontId="11"/>
  </si>
  <si>
    <t>学生、教員</t>
    <rPh sb="0" eb="2">
      <t>ガクセイ</t>
    </rPh>
    <rPh sb="3" eb="5">
      <t>キョウイン</t>
    </rPh>
    <phoneticPr fontId="11"/>
  </si>
  <si>
    <t>勤務修正</t>
    <rPh sb="0" eb="4">
      <t>キンムシュウセイ</t>
    </rPh>
    <phoneticPr fontId="11"/>
  </si>
  <si>
    <t>学生</t>
    <rPh sb="0" eb="2">
      <t>ガクセイ</t>
    </rPh>
    <phoneticPr fontId="11"/>
  </si>
  <si>
    <t>勤務代理入力</t>
    <rPh sb="0" eb="6">
      <t>キンムダイリニュウリョク</t>
    </rPh>
    <phoneticPr fontId="11"/>
  </si>
  <si>
    <t>勤務代理入力で代理入力時</t>
    <rPh sb="0" eb="6">
      <t>キンムダイリニュウリョク</t>
    </rPh>
    <rPh sb="7" eb="12">
      <t>ダイリニュウリョクジ</t>
    </rPh>
    <phoneticPr fontId="11"/>
  </si>
  <si>
    <t>学生督促</t>
    <rPh sb="0" eb="4">
      <t>ガクセイトクソク</t>
    </rPh>
    <phoneticPr fontId="11"/>
  </si>
  <si>
    <t>承認者督促</t>
    <rPh sb="0" eb="5">
      <t>ショウニンシャトクソク</t>
    </rPh>
    <phoneticPr fontId="11"/>
  </si>
  <si>
    <t>No.1</t>
    <phoneticPr fontId="11"/>
  </si>
  <si>
    <t>メール件名</t>
    <rPh sb="3" eb="5">
      <t>ケンメイ</t>
    </rPh>
    <phoneticPr fontId="11"/>
  </si>
  <si>
    <t>メール管理マスタの内容</t>
    <rPh sb="3" eb="5">
      <t>カンリ</t>
    </rPh>
    <rPh sb="9" eb="11">
      <t>ナイヨウ</t>
    </rPh>
    <phoneticPr fontId="2"/>
  </si>
  <si>
    <t>日本語</t>
    <rPh sb="0" eb="3">
      <t>ニホンゴ</t>
    </rPh>
    <phoneticPr fontId="11"/>
  </si>
  <si>
    <t>【学生勤務管理システムからのお知らせ】　｛①学生氏名｝　様から勤務データの承認依頼があります。</t>
    <rPh sb="1" eb="3">
      <t>ガクセイ</t>
    </rPh>
    <rPh sb="3" eb="7">
      <t>キンムカンリ</t>
    </rPh>
    <rPh sb="15" eb="16">
      <t>シ</t>
    </rPh>
    <rPh sb="28" eb="29">
      <t>サマ</t>
    </rPh>
    <rPh sb="31" eb="33">
      <t>キンム</t>
    </rPh>
    <rPh sb="37" eb="39">
      <t>ショウニン</t>
    </rPh>
    <rPh sb="39" eb="41">
      <t>イライ</t>
    </rPh>
    <phoneticPr fontId="11"/>
  </si>
  <si>
    <t>【学生勤務管理システムからのお知らせ】　｛1｝　様から勤務データの承認依頼があります。</t>
    <rPh sb="1" eb="3">
      <t>ガクセイ</t>
    </rPh>
    <rPh sb="3" eb="7">
      <t>キンムカンリ</t>
    </rPh>
    <rPh sb="15" eb="16">
      <t>シ</t>
    </rPh>
    <rPh sb="24" eb="25">
      <t>サマ</t>
    </rPh>
    <rPh sb="27" eb="29">
      <t>キンム</t>
    </rPh>
    <rPh sb="33" eb="35">
      <t>ショウニン</t>
    </rPh>
    <rPh sb="35" eb="37">
      <t>イライ</t>
    </rPh>
    <phoneticPr fontId="11"/>
  </si>
  <si>
    <t>英語</t>
    <rPh sb="0" eb="2">
      <t>エイゴ</t>
    </rPh>
    <phoneticPr fontId="11"/>
  </si>
  <si>
    <t>[Notices from the student work management system] Dear.{①学生氏名}  has requested work approval.</t>
    <phoneticPr fontId="11"/>
  </si>
  <si>
    <t>[Notices from the student work management system] Dear.{1}  has requested work approval.</t>
    <phoneticPr fontId="11"/>
  </si>
  <si>
    <t>メール本文</t>
    <rPh sb="3" eb="5">
      <t>ホンブン</t>
    </rPh>
    <phoneticPr fontId="11"/>
  </si>
  <si>
    <t>｛②教員氏名｝ 様</t>
    <rPh sb="2" eb="4">
      <t>キョウイン</t>
    </rPh>
    <rPh sb="4" eb="6">
      <t>シメイ</t>
    </rPh>
    <rPh sb="8" eb="9">
      <t>サマ</t>
    </rPh>
    <phoneticPr fontId="11"/>
  </si>
  <si>
    <t>｛2｝ 様
{1}様から、勤務承認依頼があります。
下記、ＵＲＬより勤務の内容をご確認の上、
「承認」もしくは「差戻」をお願い致します。
●ＵＲＬ
https://学生勤務管理システムのURL
※本メールは送信専用です。返信はできませんのでご了承ください。</t>
    <phoneticPr fontId="2"/>
  </si>
  <si>
    <t>{①学生氏名}様から、勤務承認依頼があります。</t>
    <rPh sb="7" eb="8">
      <t>サマ</t>
    </rPh>
    <rPh sb="11" eb="15">
      <t>キンムショウニン</t>
    </rPh>
    <rPh sb="15" eb="17">
      <t>イライ</t>
    </rPh>
    <phoneticPr fontId="11"/>
  </si>
  <si>
    <t>下記、ＵＲＬより勤務の内容をご確認の上、</t>
    <rPh sb="0" eb="2">
      <t>カキ</t>
    </rPh>
    <rPh sb="8" eb="10">
      <t>キンム</t>
    </rPh>
    <rPh sb="11" eb="13">
      <t>ナイヨウ</t>
    </rPh>
    <rPh sb="15" eb="17">
      <t>カクニン</t>
    </rPh>
    <rPh sb="18" eb="19">
      <t>ウエ</t>
    </rPh>
    <phoneticPr fontId="11"/>
  </si>
  <si>
    <t>「承認」もしくは「差戻」をお願い致します。</t>
    <rPh sb="1" eb="3">
      <t>ショウニン</t>
    </rPh>
    <rPh sb="9" eb="11">
      <t>サシモドシ</t>
    </rPh>
    <rPh sb="14" eb="15">
      <t>ネガ</t>
    </rPh>
    <rPh sb="16" eb="17">
      <t>イタ</t>
    </rPh>
    <phoneticPr fontId="11"/>
  </si>
  <si>
    <t>●ＵＲＬ</t>
    <phoneticPr fontId="11"/>
  </si>
  <si>
    <t>https://学生勤務管理システムのURL</t>
    <rPh sb="8" eb="10">
      <t>ガクセイ</t>
    </rPh>
    <rPh sb="10" eb="14">
      <t>キンムカンリ</t>
    </rPh>
    <phoneticPr fontId="11"/>
  </si>
  <si>
    <t>※本メールは送信専用です。返信はできませんのでご了承ください。</t>
    <rPh sb="1" eb="2">
      <t>ホン</t>
    </rPh>
    <rPh sb="6" eb="8">
      <t>ソウシン</t>
    </rPh>
    <rPh sb="8" eb="10">
      <t>センヨウ</t>
    </rPh>
    <rPh sb="13" eb="15">
      <t>ヘンシン</t>
    </rPh>
    <rPh sb="24" eb="26">
      <t>リョウショウ</t>
    </rPh>
    <phoneticPr fontId="11"/>
  </si>
  <si>
    <t>Dear. ｛②教員氏名｝</t>
    <rPh sb="8" eb="10">
      <t>キョウイン</t>
    </rPh>
    <rPh sb="10" eb="12">
      <t>シメイ</t>
    </rPh>
    <phoneticPr fontId="11"/>
  </si>
  <si>
    <t>Dear. ｛2｝
{1} has requested work approval.
Please check the details of the work from the URL below,
and then either "Approve" or "Return".
●ＵＲＬ
https://学生勤務管理システムのURL
※This email is for sending only. Please note that we are unable to reply.</t>
    <phoneticPr fontId="2"/>
  </si>
  <si>
    <t>{①学生氏名} has requested work approval.</t>
    <phoneticPr fontId="11"/>
  </si>
  <si>
    <t>Please check the details of the work from the URL below,</t>
    <phoneticPr fontId="11"/>
  </si>
  <si>
    <t>and then either "Approve" or "Return".</t>
    <phoneticPr fontId="11"/>
  </si>
  <si>
    <t>https://学生勤務管理システムのURL</t>
    <phoneticPr fontId="11"/>
  </si>
  <si>
    <t>※This email is for sending only. Please note that we are unable to reply.</t>
    <phoneticPr fontId="11"/>
  </si>
  <si>
    <t>メール表示文言</t>
    <rPh sb="3" eb="5">
      <t>ヒョウジ</t>
    </rPh>
    <rPh sb="5" eb="7">
      <t>モンゴン</t>
    </rPh>
    <phoneticPr fontId="11"/>
  </si>
  <si>
    <t>{1}</t>
    <phoneticPr fontId="11"/>
  </si>
  <si>
    <t>勤務登録した学生氏名</t>
    <rPh sb="0" eb="4">
      <t>キンムトウロク</t>
    </rPh>
    <phoneticPr fontId="11"/>
  </si>
  <si>
    <t>{2}</t>
    <phoneticPr fontId="11"/>
  </si>
  <si>
    <t>勤務承認する教員氏名</t>
    <rPh sb="0" eb="4">
      <t>キンムショウニン</t>
    </rPh>
    <rPh sb="6" eb="10">
      <t>キョウインシメイ</t>
    </rPh>
    <phoneticPr fontId="11"/>
  </si>
  <si>
    <t>No.2</t>
    <phoneticPr fontId="11"/>
  </si>
  <si>
    <t>【学生勤務管理システムからのお知らせ】　勤務データの差戻があります。</t>
    <rPh sb="1" eb="3">
      <t>ガクセイ</t>
    </rPh>
    <rPh sb="3" eb="7">
      <t>キンムカンリ</t>
    </rPh>
    <rPh sb="15" eb="16">
      <t>シ</t>
    </rPh>
    <rPh sb="20" eb="22">
      <t>キンム</t>
    </rPh>
    <rPh sb="26" eb="28">
      <t>サシモドシ</t>
    </rPh>
    <phoneticPr fontId="11"/>
  </si>
  <si>
    <t>[Notice from the student work management system] Your work has been returned.</t>
    <phoneticPr fontId="11"/>
  </si>
  <si>
    <t>｛①メール受信者｝ 様</t>
    <rPh sb="5" eb="8">
      <t>ジュシンシャ</t>
    </rPh>
    <rPh sb="10" eb="11">
      <t>サマ</t>
    </rPh>
    <phoneticPr fontId="11"/>
  </si>
  <si>
    <t>｛1｝ 様
勤務データの差戻がありました。
下記、ＵＲＬより勤務の修正をお願いします。
●ＵＲＬ
https://学生勤務管理システムのURL
※本メールは送信専用です。返信はできませんのでご了承ください。</t>
    <phoneticPr fontId="2"/>
  </si>
  <si>
    <t>勤務データの差戻がありました。</t>
    <rPh sb="0" eb="2">
      <t>キンム</t>
    </rPh>
    <rPh sb="6" eb="8">
      <t>サシモドシ</t>
    </rPh>
    <phoneticPr fontId="11"/>
  </si>
  <si>
    <t>下記、ＵＲＬより勤務の修正をお願いします。</t>
    <rPh sb="0" eb="2">
      <t>カキ</t>
    </rPh>
    <rPh sb="8" eb="10">
      <t>キンム</t>
    </rPh>
    <rPh sb="11" eb="13">
      <t>シュウセイ</t>
    </rPh>
    <rPh sb="15" eb="16">
      <t>ネガ</t>
    </rPh>
    <phoneticPr fontId="11"/>
  </si>
  <si>
    <t>Dear. ｛①メール受信者｝</t>
    <rPh sb="11" eb="14">
      <t>ジュシンシャ</t>
    </rPh>
    <phoneticPr fontId="11"/>
  </si>
  <si>
    <t>Dear. ｛1｝
Returned your work .
Please use the URL below to modify your work schedule.
●ＵＲＬ
https://学生勤務管理システムのURL
※This email is for sending only. Please note that we are unable to reply.</t>
    <phoneticPr fontId="2"/>
  </si>
  <si>
    <t>Returned your work .</t>
    <phoneticPr fontId="11"/>
  </si>
  <si>
    <t>Please use the URL below to modify your work schedule.</t>
    <phoneticPr fontId="11"/>
  </si>
  <si>
    <t>差戻を受けた学生、教員</t>
    <rPh sb="0" eb="2">
      <t>サシモドシ</t>
    </rPh>
    <rPh sb="3" eb="4">
      <t>ウ</t>
    </rPh>
    <rPh sb="6" eb="8">
      <t>ガクセイ</t>
    </rPh>
    <rPh sb="9" eb="11">
      <t>キョウイン</t>
    </rPh>
    <phoneticPr fontId="11"/>
  </si>
  <si>
    <t>No.3</t>
    <phoneticPr fontId="11"/>
  </si>
  <si>
    <t>【学生勤務管理システムからのお知らせ】　勤務データの修正がありました。</t>
    <rPh sb="1" eb="3">
      <t>ガクセイ</t>
    </rPh>
    <rPh sb="3" eb="7">
      <t>キンムカンリ</t>
    </rPh>
    <rPh sb="15" eb="16">
      <t>シ</t>
    </rPh>
    <rPh sb="20" eb="22">
      <t>キンム</t>
    </rPh>
    <rPh sb="26" eb="28">
      <t>シュウセイ</t>
    </rPh>
    <phoneticPr fontId="11"/>
  </si>
  <si>
    <t>[Notice from the student work management system] There have been modified your work.</t>
    <phoneticPr fontId="11"/>
  </si>
  <si>
    <t>｛①学生氏名｝ 様</t>
    <rPh sb="8" eb="9">
      <t>サマ</t>
    </rPh>
    <phoneticPr fontId="11"/>
  </si>
  <si>
    <t>｛1｝ 様
｛1｝様が登録した勤務データが修正されました。
詳細は下記、ＵＲＬより勤務の内容をご確認ください。
ーーーーーーーーーーーーーーーーーーーーーーーーーーーーーーーーー
勤務日：{2}
雇用情報：｛3}
ーーーーーーーーーーーーーーーーーーーーーーーーーーーーーーーーー
□元の勤務
開始時刻：{4}
終了時刻：{5}
控除時間：{6}
勤務内容：{7｝
校地移動：{8｝
■修正された勤務
開始時刻：{9}
終了時刻：{10}
控除時間：{11}
勤務内容：{12｝
校地移動：{13｝
修正理由：{14}
●ＵＲＬ
https://学生勤務管理システムのURL
※本メールは送信専用です。返信はできませんのでご了承ください。</t>
    <phoneticPr fontId="2"/>
  </si>
  <si>
    <t>｛①学生氏名｝様が登録した勤務データが修正されました。</t>
    <rPh sb="7" eb="8">
      <t>サマ</t>
    </rPh>
    <rPh sb="9" eb="11">
      <t>トウロク</t>
    </rPh>
    <rPh sb="13" eb="15">
      <t>キンム</t>
    </rPh>
    <rPh sb="19" eb="21">
      <t>シュウセイ</t>
    </rPh>
    <phoneticPr fontId="11"/>
  </si>
  <si>
    <t>詳細は下記、ＵＲＬより勤務の内容をご確認ください。</t>
    <rPh sb="0" eb="2">
      <t>ショウサイ</t>
    </rPh>
    <rPh sb="3" eb="5">
      <t>カキ</t>
    </rPh>
    <rPh sb="11" eb="13">
      <t>キンム</t>
    </rPh>
    <rPh sb="14" eb="16">
      <t>ナイヨウ</t>
    </rPh>
    <rPh sb="18" eb="20">
      <t>カクニン</t>
    </rPh>
    <phoneticPr fontId="11"/>
  </si>
  <si>
    <t>ーーーーーーーーーーーーーーーーーーーーーーーーーーーーーーーーー</t>
    <phoneticPr fontId="11"/>
  </si>
  <si>
    <t>勤務日：</t>
    <rPh sb="0" eb="3">
      <t>キンムビ</t>
    </rPh>
    <phoneticPr fontId="11"/>
  </si>
  <si>
    <t>{②勤務日}</t>
    <rPh sb="2" eb="5">
      <t>キンムビ</t>
    </rPh>
    <phoneticPr fontId="11"/>
  </si>
  <si>
    <t>雇用情報：</t>
    <rPh sb="0" eb="4">
      <t>コヨウジョウホウ</t>
    </rPh>
    <phoneticPr fontId="11"/>
  </si>
  <si>
    <t>｛③雇用情報}</t>
    <rPh sb="2" eb="4">
      <t>コヨウ</t>
    </rPh>
    <rPh sb="4" eb="6">
      <t>ジョウホウ</t>
    </rPh>
    <phoneticPr fontId="11"/>
  </si>
  <si>
    <t>□元の勤務</t>
    <rPh sb="1" eb="2">
      <t>モト</t>
    </rPh>
    <rPh sb="3" eb="5">
      <t>キンム</t>
    </rPh>
    <phoneticPr fontId="11"/>
  </si>
  <si>
    <t>開始時刻：</t>
    <rPh sb="0" eb="4">
      <t>カイシジコク</t>
    </rPh>
    <phoneticPr fontId="11"/>
  </si>
  <si>
    <t>{④開始時刻_修正前}</t>
    <rPh sb="2" eb="6">
      <t>カイシジコク</t>
    </rPh>
    <rPh sb="7" eb="10">
      <t>シュウセイマエ</t>
    </rPh>
    <phoneticPr fontId="11"/>
  </si>
  <si>
    <t>終了時刻：</t>
    <rPh sb="0" eb="4">
      <t>シュウリョウジコク</t>
    </rPh>
    <phoneticPr fontId="11"/>
  </si>
  <si>
    <t>{⑤終了時刻_修正前}</t>
    <rPh sb="2" eb="4">
      <t>シュウリョウ</t>
    </rPh>
    <rPh sb="4" eb="6">
      <t>ジコク</t>
    </rPh>
    <phoneticPr fontId="11"/>
  </si>
  <si>
    <t>控除時間：</t>
    <rPh sb="0" eb="4">
      <t>コウジョジカン</t>
    </rPh>
    <phoneticPr fontId="11"/>
  </si>
  <si>
    <t>{⑥控除時間_修正前}</t>
    <rPh sb="2" eb="4">
      <t>コウジョ</t>
    </rPh>
    <rPh sb="4" eb="6">
      <t>ジカン</t>
    </rPh>
    <phoneticPr fontId="11"/>
  </si>
  <si>
    <t>勤務内容：</t>
    <rPh sb="0" eb="4">
      <t>キンムナイヨウ</t>
    </rPh>
    <phoneticPr fontId="11"/>
  </si>
  <si>
    <t>{⑦勤務内容_修正前｝</t>
    <rPh sb="2" eb="4">
      <t>キンム</t>
    </rPh>
    <rPh sb="4" eb="6">
      <t>ナイヨウ</t>
    </rPh>
    <phoneticPr fontId="11"/>
  </si>
  <si>
    <t>校地移動：</t>
    <rPh sb="0" eb="4">
      <t>コウチイドウ</t>
    </rPh>
    <phoneticPr fontId="11"/>
  </si>
  <si>
    <t>{⑧校地移動_修正前｝</t>
    <rPh sb="2" eb="4">
      <t>コウチ</t>
    </rPh>
    <rPh sb="4" eb="6">
      <t>イドウ</t>
    </rPh>
    <phoneticPr fontId="11"/>
  </si>
  <si>
    <t>■修正された勤務</t>
    <rPh sb="1" eb="3">
      <t>シュウセイ</t>
    </rPh>
    <rPh sb="6" eb="8">
      <t>キンム</t>
    </rPh>
    <phoneticPr fontId="11"/>
  </si>
  <si>
    <t>{⑨開始時刻_修正後}</t>
    <rPh sb="2" eb="6">
      <t>カイシジコク</t>
    </rPh>
    <rPh sb="7" eb="10">
      <t>シュウセイゴ</t>
    </rPh>
    <phoneticPr fontId="11"/>
  </si>
  <si>
    <t>{⑩終了時刻_修正後}</t>
    <rPh sb="2" eb="4">
      <t>シュウリョウ</t>
    </rPh>
    <rPh sb="4" eb="6">
      <t>ジコク</t>
    </rPh>
    <phoneticPr fontId="11"/>
  </si>
  <si>
    <t>{⑪控除時間_修正後}</t>
    <rPh sb="2" eb="4">
      <t>コウジョ</t>
    </rPh>
    <rPh sb="4" eb="6">
      <t>ジカン</t>
    </rPh>
    <phoneticPr fontId="11"/>
  </si>
  <si>
    <t>{⑫勤務内容_修正後｝</t>
    <rPh sb="2" eb="4">
      <t>キンム</t>
    </rPh>
    <rPh sb="4" eb="6">
      <t>ナイヨウ</t>
    </rPh>
    <phoneticPr fontId="11"/>
  </si>
  <si>
    <t>{⑬校地移動_修正後｝</t>
    <rPh sb="2" eb="4">
      <t>コウチ</t>
    </rPh>
    <rPh sb="4" eb="6">
      <t>イドウ</t>
    </rPh>
    <phoneticPr fontId="11"/>
  </si>
  <si>
    <t>修正理由：</t>
    <rPh sb="0" eb="4">
      <t>シュウセイリユウ</t>
    </rPh>
    <phoneticPr fontId="11"/>
  </si>
  <si>
    <t>{⑭修正理由}</t>
    <rPh sb="2" eb="6">
      <t>シュウセイリユウ</t>
    </rPh>
    <phoneticPr fontId="11"/>
  </si>
  <si>
    <t>Dear. ｛①学生氏名｝</t>
    <phoneticPr fontId="11"/>
  </si>
  <si>
    <t>Dear. ｛1｝
The work registered by {1} has been modified.
For details, please check the job details from the URL below.
ーーーーーーーーーーーーーーーーーーーーーーーーーーーーーーーーー
Working Day：{2}
Employment Information：｛3}
ーーーーーーーーーーーーーーーーーーーーーーーーーーーーーーーーー
□Original Duty
Start Time:{4}
End Time:{5}
Deduction Time:{6}
Work Details:{7｝
Move to School Location:{8｝
■Modified Duty
Start Time:{9}
End Time:{10}
Deduction Time:{11}
Work Details:{12｝
Move to School Location:{13｝
Reason for Modification:{14}
●ＵＲＬ
https://学生勤務管理システムのURL
※This email is for sending only. Please note that we are unable to reply.</t>
    <phoneticPr fontId="2"/>
  </si>
  <si>
    <t>The work registered by {①学生氏名} has been modified.</t>
    <phoneticPr fontId="11"/>
  </si>
  <si>
    <t>For details, please check the job details from the URL below.</t>
  </si>
  <si>
    <t>ーーーーーーーーーーーーーーーーーーーーーーーーーーーーーーーーー</t>
  </si>
  <si>
    <t>Working Day：</t>
    <phoneticPr fontId="11"/>
  </si>
  <si>
    <t>Employment Information：</t>
    <phoneticPr fontId="11"/>
  </si>
  <si>
    <t>□Original Duty</t>
    <phoneticPr fontId="11"/>
  </si>
  <si>
    <t>Start Time:</t>
    <phoneticPr fontId="11"/>
  </si>
  <si>
    <t>End Time:</t>
    <phoneticPr fontId="11"/>
  </si>
  <si>
    <t>Deduction Time:</t>
    <phoneticPr fontId="11"/>
  </si>
  <si>
    <t>Work Details:</t>
    <phoneticPr fontId="11"/>
  </si>
  <si>
    <t>Move to School Location:</t>
    <phoneticPr fontId="11"/>
  </si>
  <si>
    <t>■Modified Duty</t>
    <phoneticPr fontId="11"/>
  </si>
  <si>
    <t>Reason for Modification:</t>
    <phoneticPr fontId="11"/>
  </si>
  <si>
    <t>●ＵＲＬ</t>
  </si>
  <si>
    <t>勤務日</t>
    <rPh sb="0" eb="2">
      <t>キンム</t>
    </rPh>
    <rPh sb="2" eb="3">
      <t>ビ</t>
    </rPh>
    <phoneticPr fontId="11"/>
  </si>
  <si>
    <t>{3}</t>
  </si>
  <si>
    <t>雇用情報</t>
    <rPh sb="0" eb="4">
      <t>コヨウジョウホウ</t>
    </rPh>
    <phoneticPr fontId="11"/>
  </si>
  <si>
    <t>{4}</t>
  </si>
  <si>
    <t>修正前の開始時刻</t>
    <rPh sb="0" eb="3">
      <t>シュウセイマエ</t>
    </rPh>
    <rPh sb="4" eb="8">
      <t>カイシジコク</t>
    </rPh>
    <phoneticPr fontId="11"/>
  </si>
  <si>
    <t>{5}</t>
  </si>
  <si>
    <t>修正前の終了時刻</t>
    <rPh sb="0" eb="3">
      <t>シュウセイマエ</t>
    </rPh>
    <rPh sb="4" eb="6">
      <t>シュウリョウ</t>
    </rPh>
    <rPh sb="6" eb="8">
      <t>ジコク</t>
    </rPh>
    <phoneticPr fontId="11"/>
  </si>
  <si>
    <t>{6}</t>
  </si>
  <si>
    <t>修正前の控除時間</t>
    <rPh sb="0" eb="3">
      <t>シュウセイマエ</t>
    </rPh>
    <rPh sb="4" eb="6">
      <t>コウジョ</t>
    </rPh>
    <rPh sb="6" eb="8">
      <t>ジカン</t>
    </rPh>
    <phoneticPr fontId="11"/>
  </si>
  <si>
    <t>{7}</t>
  </si>
  <si>
    <t>修正前の勤務内容</t>
    <rPh sb="0" eb="3">
      <t>シュウセイマエ</t>
    </rPh>
    <rPh sb="4" eb="8">
      <t>キンムナイヨウ</t>
    </rPh>
    <phoneticPr fontId="11"/>
  </si>
  <si>
    <t>{8}</t>
  </si>
  <si>
    <t>修正前の校地移動</t>
    <rPh sb="0" eb="3">
      <t>シュウセイマエ</t>
    </rPh>
    <rPh sb="4" eb="8">
      <t>コウチイドウ</t>
    </rPh>
    <phoneticPr fontId="11"/>
  </si>
  <si>
    <t>{9}</t>
  </si>
  <si>
    <t>修正後の開始時刻</t>
    <rPh sb="0" eb="2">
      <t>シュウセイ</t>
    </rPh>
    <rPh sb="2" eb="3">
      <t>ゴ</t>
    </rPh>
    <rPh sb="4" eb="8">
      <t>カイシジコク</t>
    </rPh>
    <phoneticPr fontId="11"/>
  </si>
  <si>
    <t>{10}</t>
  </si>
  <si>
    <t>修正後の終了時刻</t>
    <rPh sb="0" eb="2">
      <t>シュウセイ</t>
    </rPh>
    <rPh sb="2" eb="3">
      <t>ゴ</t>
    </rPh>
    <rPh sb="4" eb="6">
      <t>シュウリョウ</t>
    </rPh>
    <rPh sb="6" eb="8">
      <t>ジコク</t>
    </rPh>
    <phoneticPr fontId="11"/>
  </si>
  <si>
    <t>{11}</t>
  </si>
  <si>
    <t>修正後の控除時間</t>
    <rPh sb="0" eb="2">
      <t>シュウセイ</t>
    </rPh>
    <rPh sb="2" eb="3">
      <t>ゴ</t>
    </rPh>
    <rPh sb="4" eb="6">
      <t>コウジョ</t>
    </rPh>
    <rPh sb="6" eb="8">
      <t>ジカン</t>
    </rPh>
    <phoneticPr fontId="11"/>
  </si>
  <si>
    <t>{12}</t>
  </si>
  <si>
    <t>修正後の勤務内容</t>
    <rPh sb="0" eb="2">
      <t>シュウセイ</t>
    </rPh>
    <rPh sb="2" eb="3">
      <t>ゴ</t>
    </rPh>
    <rPh sb="4" eb="8">
      <t>キンムナイヨウ</t>
    </rPh>
    <phoneticPr fontId="11"/>
  </si>
  <si>
    <t>{13}</t>
  </si>
  <si>
    <t>修正後の校地移動</t>
    <rPh sb="0" eb="2">
      <t>シュウセイ</t>
    </rPh>
    <rPh sb="2" eb="3">
      <t>ゴ</t>
    </rPh>
    <rPh sb="4" eb="8">
      <t>コウチイドウ</t>
    </rPh>
    <phoneticPr fontId="11"/>
  </si>
  <si>
    <t>{14}</t>
  </si>
  <si>
    <t>修正理由</t>
    <rPh sb="0" eb="4">
      <t>シュウセイリユウ</t>
    </rPh>
    <phoneticPr fontId="11"/>
  </si>
  <si>
    <t>No.4</t>
    <phoneticPr fontId="11"/>
  </si>
  <si>
    <t>【学生勤務管理システムからのお知らせ】　勤務データが代理登録されました。</t>
    <rPh sb="1" eb="3">
      <t>ガクセイ</t>
    </rPh>
    <rPh sb="3" eb="7">
      <t>キンムカンリ</t>
    </rPh>
    <rPh sb="15" eb="16">
      <t>シ</t>
    </rPh>
    <rPh sb="20" eb="22">
      <t>キンム</t>
    </rPh>
    <rPh sb="26" eb="28">
      <t>ダイリ</t>
    </rPh>
    <rPh sb="28" eb="30">
      <t>トウロク</t>
    </rPh>
    <phoneticPr fontId="11"/>
  </si>
  <si>
    <t>[Notice from the student work management system] Work has been registered on your behalf.</t>
    <phoneticPr fontId="11"/>
  </si>
  <si>
    <t>｛1｝ 様
｛1｝様の勤務データが代理で登録されました。
詳細は下記、ＵＲＬより勤務の内容をご確認ください。
ーーーーーーーーーーーーーーーーーーーーーーーーーーーーーーーーー
勤務日：{2}
雇用情報：｛3}
ーーーーーーーーーーーーーーーーーーーーーーーーーーーーーーーーー
開始時刻：{4}
終了時刻：{5}
控除時間：{6}
勤務内容：{7｝
校地移動：{8｝
●ＵＲＬ
https://学生勤務管理システムのURL
※本メールは送信専用です。返信はできませんのでご了承ください。</t>
    <phoneticPr fontId="2"/>
  </si>
  <si>
    <t>｛①学生氏名｝様の勤務データが代理で登録されました。</t>
    <rPh sb="7" eb="8">
      <t>サマ</t>
    </rPh>
    <rPh sb="9" eb="11">
      <t>キンム</t>
    </rPh>
    <rPh sb="15" eb="17">
      <t>ダイリ</t>
    </rPh>
    <rPh sb="18" eb="20">
      <t>トウロク</t>
    </rPh>
    <phoneticPr fontId="11"/>
  </si>
  <si>
    <t>{④開始時刻}</t>
    <rPh sb="2" eb="6">
      <t>カイシジコク</t>
    </rPh>
    <phoneticPr fontId="11"/>
  </si>
  <si>
    <t>{⑤終了時刻}</t>
    <rPh sb="2" eb="4">
      <t>シュウリョウ</t>
    </rPh>
    <rPh sb="4" eb="6">
      <t>ジコク</t>
    </rPh>
    <phoneticPr fontId="11"/>
  </si>
  <si>
    <t>{⑥控除時間}</t>
    <rPh sb="2" eb="4">
      <t>コウジョ</t>
    </rPh>
    <rPh sb="4" eb="6">
      <t>ジカン</t>
    </rPh>
    <phoneticPr fontId="11"/>
  </si>
  <si>
    <t>{⑦勤務内容｝</t>
    <rPh sb="2" eb="4">
      <t>キンム</t>
    </rPh>
    <rPh sb="4" eb="6">
      <t>ナイヨウ</t>
    </rPh>
    <phoneticPr fontId="11"/>
  </si>
  <si>
    <t>{⑧校地移動｝</t>
    <rPh sb="2" eb="4">
      <t>コウチ</t>
    </rPh>
    <rPh sb="4" eb="6">
      <t>イドウ</t>
    </rPh>
    <phoneticPr fontId="11"/>
  </si>
  <si>
    <t>Dear. ｛1｝
{1} work has been registered on your behalf.
For details, please check the job details from the URL below.
ーーーーーーーーーーーーーーーーーーーーーーーーーーーーーーーーー
Working Day：{2}
Employment Information：｛3}
ーーーーーーーーーーーーーーーーーーーーーーーーーーーーーーーーー
Start Time:{4}
End Time:{5}
Deduction Time:{6}
Work Details:{7｝
Move to School Location:{8｝
●ＵＲＬ
https://学生勤務管理システムのURL
※This email is for sending only. Please note that we are unable to reply.</t>
    <phoneticPr fontId="2"/>
  </si>
  <si>
    <t>{①学生氏名} work has been registered on your behalf.</t>
    <phoneticPr fontId="11"/>
  </si>
  <si>
    <t>開始時刻</t>
    <rPh sb="0" eb="4">
      <t>カイシジコク</t>
    </rPh>
    <phoneticPr fontId="11"/>
  </si>
  <si>
    <t>終了時刻</t>
    <rPh sb="0" eb="2">
      <t>シュウリョウ</t>
    </rPh>
    <rPh sb="2" eb="4">
      <t>ジコク</t>
    </rPh>
    <phoneticPr fontId="11"/>
  </si>
  <si>
    <t>控除時間</t>
    <rPh sb="0" eb="2">
      <t>コウジョ</t>
    </rPh>
    <rPh sb="2" eb="4">
      <t>ジカン</t>
    </rPh>
    <phoneticPr fontId="11"/>
  </si>
  <si>
    <t>勤務内容</t>
    <rPh sb="0" eb="4">
      <t>キンムナイヨウ</t>
    </rPh>
    <phoneticPr fontId="11"/>
  </si>
  <si>
    <t>校地移動</t>
    <rPh sb="0" eb="4">
      <t>コウチイドウ</t>
    </rPh>
    <phoneticPr fontId="11"/>
  </si>
  <si>
    <t>No.5</t>
    <phoneticPr fontId="11"/>
  </si>
  <si>
    <t>【学生勤務管理システムからのお知らせ】　勤務を確認してください。</t>
    <rPh sb="1" eb="3">
      <t>ガクセイ</t>
    </rPh>
    <rPh sb="3" eb="7">
      <t>キンムカンリ</t>
    </rPh>
    <rPh sb="15" eb="16">
      <t>シ</t>
    </rPh>
    <rPh sb="20" eb="22">
      <t>キンム</t>
    </rPh>
    <rPh sb="23" eb="25">
      <t>カクニン</t>
    </rPh>
    <phoneticPr fontId="11"/>
  </si>
  <si>
    <t>[Notice from the student work management system] Please confirm your work.</t>
  </si>
  <si>
    <t>[Notice from the student work management system] Please confirm your work.</t>
    <phoneticPr fontId="2"/>
  </si>
  <si>
    <t>｛1｝ 様
差戻された勤務データがあります。
下記、ＵＲＬより勤務の内容をご確認の上、
「修正」もしくは「削除」をお願い致します。
●ＵＲＬ
https://学生勤務管理システムのURL
※本メールは送信専用です。返信はできませんのでご了承ください。</t>
    <phoneticPr fontId="2"/>
  </si>
  <si>
    <t>差戻された勤務データがあります。</t>
    <rPh sb="0" eb="2">
      <t>サシモドシ</t>
    </rPh>
    <rPh sb="5" eb="7">
      <t>キンム</t>
    </rPh>
    <phoneticPr fontId="11"/>
  </si>
  <si>
    <t>「修正」もしくは「削除」をお願い致します。</t>
    <rPh sb="1" eb="3">
      <t>シュウセイ</t>
    </rPh>
    <rPh sb="9" eb="11">
      <t>サクジョ</t>
    </rPh>
    <rPh sb="14" eb="15">
      <t>ネガ</t>
    </rPh>
    <rPh sb="16" eb="17">
      <t>イタ</t>
    </rPh>
    <phoneticPr fontId="11"/>
  </si>
  <si>
    <t>Dear. ｛1｝
You have work that has been returned.
Please check the details of your work from the URL below, 
and then either "Modification" or "Delete".
●ＵＲＬ
https://学生勤務管理システムのURL
※This email is for sending only. Please note that we are unable to reply.</t>
    <phoneticPr fontId="2"/>
  </si>
  <si>
    <t>You have work that has been returned.</t>
    <phoneticPr fontId="11"/>
  </si>
  <si>
    <t xml:space="preserve">Please check the details of your work from the URL below, </t>
    <phoneticPr fontId="11"/>
  </si>
  <si>
    <t>and then either "Modification" or "Delete".</t>
    <phoneticPr fontId="11"/>
  </si>
  <si>
    <t>No.6</t>
    <phoneticPr fontId="11"/>
  </si>
  <si>
    <t>【学生勤務管理システムからのお知らせ】　勤務データを確認してください。</t>
    <rPh sb="1" eb="3">
      <t>ガクセイ</t>
    </rPh>
    <rPh sb="3" eb="7">
      <t>キンムカンリ</t>
    </rPh>
    <rPh sb="15" eb="16">
      <t>シ</t>
    </rPh>
    <rPh sb="20" eb="22">
      <t>キンム</t>
    </rPh>
    <rPh sb="26" eb="28">
      <t>カクニン</t>
    </rPh>
    <phoneticPr fontId="11"/>
  </si>
  <si>
    <t>[Notice from the student work management system] Please confirm students work.</t>
    <phoneticPr fontId="11"/>
  </si>
  <si>
    <t>｛①教員氏名｝ 様</t>
    <rPh sb="2" eb="4">
      <t>キョウイン</t>
    </rPh>
    <rPh sb="4" eb="6">
      <t>シメイ</t>
    </rPh>
    <rPh sb="8" eb="9">
      <t>サマ</t>
    </rPh>
    <phoneticPr fontId="11"/>
  </si>
  <si>
    <t>｛1｝ 様
未承認の勤務データがあります。
下記、ＵＲＬより勤務の内容をご確認の上、
「承認」もしくは「差戻」をお願い致します。
●ＵＲＬ
https://学生勤務管理システムのURL
※本メールは送信専用です。返信はできませんのでご了承ください。</t>
    <phoneticPr fontId="2"/>
  </si>
  <si>
    <t>未承認の勤務データがあります。</t>
    <rPh sb="0" eb="1">
      <t>ミ</t>
    </rPh>
    <rPh sb="1" eb="3">
      <t>ショウニン</t>
    </rPh>
    <rPh sb="4" eb="6">
      <t>キンム</t>
    </rPh>
    <phoneticPr fontId="11"/>
  </si>
  <si>
    <t>Dear. ｛①教員氏名｝</t>
    <rPh sb="8" eb="10">
      <t>キョウイン</t>
    </rPh>
    <rPh sb="10" eb="12">
      <t>シメイ</t>
    </rPh>
    <phoneticPr fontId="11"/>
  </si>
  <si>
    <t>Dear. ｛1｝
You have unconfirmed duties.
Please check the details of the work from the URL below,
and then either "Approve" or "Return".
●ＵＲＬ
https://学生勤務管理システムのURL
※This email is for sending only. Please note that we are unable to reply.</t>
    <phoneticPr fontId="2"/>
  </si>
  <si>
    <t>You have unconfirmed duties.</t>
    <phoneticPr fontId="11"/>
  </si>
  <si>
    <t>勤務入力で差戻時</t>
    <rPh sb="0" eb="2">
      <t>キンム</t>
    </rPh>
    <rPh sb="2" eb="4">
      <t>ニュウリョク</t>
    </rPh>
    <rPh sb="5" eb="7">
      <t>サシモドシ</t>
    </rPh>
    <rPh sb="7" eb="8">
      <t>ジ</t>
    </rPh>
    <phoneticPr fontId="11"/>
  </si>
  <si>
    <t>勤務入力で修正時</t>
    <rPh sb="0" eb="2">
      <t>キンム</t>
    </rPh>
    <rPh sb="2" eb="4">
      <t>ニュウリョク</t>
    </rPh>
    <rPh sb="5" eb="7">
      <t>シュウセイ</t>
    </rPh>
    <rPh sb="7" eb="8">
      <t>ジ</t>
    </rPh>
    <phoneticPr fontId="11"/>
  </si>
  <si>
    <t>スケジュールにて月初に自動送信</t>
    <rPh sb="8" eb="10">
      <t>ゲッショ</t>
    </rPh>
    <rPh sb="11" eb="15">
      <t>ジドウソウシン</t>
    </rPh>
    <phoneticPr fontId="11"/>
  </si>
  <si>
    <r>
      <rPr>
        <strike/>
        <sz val="10"/>
        <rFont val="ＭＳ 明朝"/>
        <family val="1"/>
        <charset val="128"/>
      </rPr>
      <t>教員へのメールは通知を許可している教員のみに変更　</t>
    </r>
    <r>
      <rPr>
        <sz val="10"/>
        <rFont val="ＭＳ 明朝"/>
        <family val="1"/>
        <charset val="128"/>
      </rPr>
      <t>←廃止
（2025年度改修_項番11）</t>
    </r>
    <rPh sb="0" eb="2">
      <t>キョウイン</t>
    </rPh>
    <rPh sb="8" eb="10">
      <t>ツウチ</t>
    </rPh>
    <rPh sb="11" eb="13">
      <t>キョカ</t>
    </rPh>
    <rPh sb="17" eb="19">
      <t>キョウイン</t>
    </rPh>
    <rPh sb="22" eb="24">
      <t>ヘンコウ</t>
    </rPh>
    <rPh sb="26" eb="28">
      <t>ハイシ</t>
    </rPh>
    <rPh sb="34" eb="38">
      <t>ネンドカイシュウ</t>
    </rPh>
    <rPh sb="39" eb="41">
      <t>コウバン</t>
    </rPh>
    <phoneticPr fontId="2"/>
  </si>
  <si>
    <r>
      <t>※メール通知が許可されている教員のみ</t>
    </r>
    <r>
      <rPr>
        <sz val="10"/>
        <rFont val="ＭＳ 明朝"/>
        <family val="1"/>
        <charset val="128"/>
      </rPr>
      <t>　←廃止</t>
    </r>
    <rPh sb="4" eb="6">
      <t>ツウチ</t>
    </rPh>
    <rPh sb="7" eb="9">
      <t>キョカ</t>
    </rPh>
    <rPh sb="14" eb="16">
      <t>キョウイン</t>
    </rPh>
    <rPh sb="20" eb="22">
      <t>ハイシ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</si>
</sst>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1"/>
      <name val="BIZ UDP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11"/>
      <color rgb="FFFF0000"/>
      <name val="BIZ UDPゴシック"/>
      <family val="3"/>
      <charset val="128"/>
    </font>
    <font>
      <u/>
      <sz val="11"/>
      <color rgb="FF0070C0"/>
      <name val="BIZ UDPゴシック"/>
      <family val="3"/>
      <charset val="128"/>
    </font>
    <font>
      <sz val="10"/>
      <color rgb="FFFF0000"/>
      <name val="ＭＳ 明朝"/>
      <family val="1"/>
      <charset val="128"/>
    </font>
    <font>
      <strike/>
      <sz val="10"/>
      <name val="ＭＳ 明朝"/>
      <family val="1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3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/>
  </cellStyleXfs>
  <cellXfs count="2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6" borderId="4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4" fillId="6" borderId="2" xfId="0" applyFont="1" applyFill="1" applyBorder="1"/>
    <xf numFmtId="0" fontId="4" fillId="6" borderId="7" xfId="0" applyFont="1" applyFill="1" applyBorder="1"/>
    <xf numFmtId="0" fontId="6" fillId="6" borderId="2" xfId="0" applyFont="1" applyFill="1" applyBorder="1"/>
    <xf numFmtId="0" fontId="6" fillId="6" borderId="5" xfId="0" applyFont="1" applyFill="1" applyBorder="1"/>
    <xf numFmtId="0" fontId="6" fillId="6" borderId="6" xfId="0" applyFont="1" applyFill="1" applyBorder="1"/>
    <xf numFmtId="0" fontId="6" fillId="6" borderId="19" xfId="0" applyFont="1" applyFill="1" applyBorder="1"/>
    <xf numFmtId="0" fontId="6" fillId="6" borderId="15" xfId="0" applyFont="1" applyFill="1" applyBorder="1"/>
    <xf numFmtId="0" fontId="6" fillId="6" borderId="16" xfId="0" applyFont="1" applyFill="1" applyBorder="1"/>
    <xf numFmtId="0" fontId="4" fillId="6" borderId="15" xfId="0" applyFont="1" applyFill="1" applyBorder="1"/>
    <xf numFmtId="0" fontId="6" fillId="7" borderId="19" xfId="0" applyFont="1" applyFill="1" applyBorder="1"/>
    <xf numFmtId="0" fontId="6" fillId="7" borderId="15" xfId="0" applyFont="1" applyFill="1" applyBorder="1"/>
    <xf numFmtId="0" fontId="6" fillId="7" borderId="16" xfId="0" applyFont="1" applyFill="1" applyBorder="1"/>
    <xf numFmtId="0" fontId="4" fillId="7" borderId="15" xfId="0" applyFont="1" applyFill="1" applyBorder="1"/>
    <xf numFmtId="0" fontId="6" fillId="6" borderId="1" xfId="0" applyFont="1" applyFill="1" applyBorder="1"/>
    <xf numFmtId="0" fontId="6" fillId="6" borderId="3" xfId="0" applyFont="1" applyFill="1" applyBorder="1"/>
    <xf numFmtId="0" fontId="6" fillId="6" borderId="0" xfId="0" applyFont="1" applyFill="1"/>
    <xf numFmtId="0" fontId="4" fillId="7" borderId="19" xfId="0" applyFont="1" applyFill="1" applyBorder="1"/>
    <xf numFmtId="0" fontId="4" fillId="6" borderId="19" xfId="0" applyFont="1" applyFill="1" applyBorder="1"/>
    <xf numFmtId="0" fontId="14" fillId="0" borderId="0" xfId="2" applyFont="1">
      <alignment vertical="center"/>
    </xf>
    <xf numFmtId="0" fontId="14" fillId="7" borderId="21" xfId="2" applyFont="1" applyFill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5" fillId="8" borderId="0" xfId="2" applyFont="1" applyFill="1">
      <alignment vertical="center"/>
    </xf>
    <xf numFmtId="0" fontId="16" fillId="7" borderId="0" xfId="2" applyFont="1" applyFill="1">
      <alignment vertical="center"/>
    </xf>
    <xf numFmtId="0" fontId="14" fillId="7" borderId="0" xfId="2" applyFont="1" applyFill="1">
      <alignment vertical="center"/>
    </xf>
    <xf numFmtId="0" fontId="14" fillId="9" borderId="0" xfId="2" applyFont="1" applyFill="1">
      <alignment vertical="center"/>
    </xf>
    <xf numFmtId="0" fontId="17" fillId="7" borderId="0" xfId="3" applyFill="1">
      <alignment vertical="center"/>
    </xf>
    <xf numFmtId="0" fontId="17" fillId="9" borderId="0" xfId="3" applyFill="1">
      <alignment vertical="center"/>
    </xf>
    <xf numFmtId="0" fontId="16" fillId="9" borderId="0" xfId="2" applyFont="1" applyFill="1">
      <alignment vertical="center"/>
    </xf>
    <xf numFmtId="0" fontId="18" fillId="7" borderId="0" xfId="2" applyFont="1" applyFill="1">
      <alignment vertical="center"/>
    </xf>
    <xf numFmtId="0" fontId="19" fillId="7" borderId="0" xfId="2" applyFont="1" applyFill="1">
      <alignment vertical="center"/>
    </xf>
    <xf numFmtId="0" fontId="18" fillId="9" borderId="0" xfId="2" applyFont="1" applyFill="1">
      <alignment vertical="center"/>
    </xf>
    <xf numFmtId="0" fontId="19" fillId="9" borderId="0" xfId="2" applyFont="1" applyFill="1">
      <alignment vertical="center"/>
    </xf>
    <xf numFmtId="0" fontId="18" fillId="0" borderId="0" xfId="2" applyFont="1">
      <alignment vertical="center"/>
    </xf>
    <xf numFmtId="0" fontId="14" fillId="7" borderId="0" xfId="2" quotePrefix="1" applyFont="1" applyFill="1">
      <alignment vertical="center"/>
    </xf>
    <xf numFmtId="0" fontId="20" fillId="0" borderId="0" xfId="0" applyFont="1"/>
    <xf numFmtId="0" fontId="4" fillId="7" borderId="19" xfId="0" applyFont="1" applyFill="1" applyBorder="1" applyAlignment="1">
      <alignment vertical="center"/>
    </xf>
    <xf numFmtId="0" fontId="4" fillId="7" borderId="15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" fillId="0" borderId="21" xfId="4" applyBorder="1" applyAlignment="1">
      <alignment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4" fillId="6" borderId="21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14" fillId="9" borderId="0" xfId="2" applyFont="1" applyFill="1" applyAlignment="1">
      <alignment horizontal="left" vertical="top" wrapText="1"/>
    </xf>
    <xf numFmtId="0" fontId="14" fillId="9" borderId="0" xfId="2" applyFont="1" applyFill="1" applyAlignment="1">
      <alignment horizontal="left" vertical="top"/>
    </xf>
    <xf numFmtId="0" fontId="14" fillId="7" borderId="0" xfId="2" applyFont="1" applyFill="1" applyAlignment="1">
      <alignment horizontal="left" vertical="top" wrapText="1"/>
    </xf>
    <xf numFmtId="0" fontId="14" fillId="7" borderId="0" xfId="2" applyFont="1" applyFill="1" applyAlignment="1">
      <alignment horizontal="left" vertical="top"/>
    </xf>
    <xf numFmtId="0" fontId="14" fillId="9" borderId="0" xfId="2" applyFont="1" applyFill="1" applyAlignment="1">
      <alignment horizontal="left" vertical="center" wrapText="1"/>
    </xf>
    <xf numFmtId="0" fontId="14" fillId="9" borderId="0" xfId="2" applyFont="1" applyFill="1" applyAlignment="1">
      <alignment horizontal="left" vertical="center"/>
    </xf>
    <xf numFmtId="0" fontId="14" fillId="7" borderId="0" xfId="2" applyFont="1" applyFill="1" applyAlignment="1">
      <alignment horizontal="left" vertical="center" wrapText="1"/>
    </xf>
    <xf numFmtId="0" fontId="14" fillId="7" borderId="0" xfId="2" applyFont="1" applyFill="1" applyAlignment="1">
      <alignment horizontal="left" vertical="center"/>
    </xf>
    <xf numFmtId="0" fontId="14" fillId="0" borderId="21" xfId="2" applyFont="1" applyBorder="1">
      <alignment vertical="center"/>
    </xf>
    <xf numFmtId="0" fontId="14" fillId="0" borderId="21" xfId="2" applyFont="1" applyBorder="1" applyAlignment="1">
      <alignment horizontal="left" vertical="center"/>
    </xf>
    <xf numFmtId="0" fontId="14" fillId="0" borderId="21" xfId="2" applyFont="1" applyBorder="1" applyAlignment="1">
      <alignment horizontal="left" vertical="center" wrapText="1"/>
    </xf>
    <xf numFmtId="0" fontId="14" fillId="7" borderId="21" xfId="2" applyFont="1" applyFill="1" applyBorder="1" applyAlignment="1">
      <alignment horizontal="center" vertical="center"/>
    </xf>
  </cellXfs>
  <cellStyles count="5">
    <cellStyle name="ハイパーリンク 2" xfId="3" xr:uid="{84AC0056-399F-4803-9C0F-FEE8EEB82BFE}"/>
    <cellStyle name="標準" xfId="0" builtinId="0"/>
    <cellStyle name="標準 2" xfId="2" xr:uid="{D0B966AF-A1F1-4A27-9713-C0D4429872A6}"/>
    <cellStyle name="標準 2 2" xfId="4" xr:uid="{E9B5FD4D-1CD2-489E-8CF5-E753B9A8A5CD}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grpSp>
      <xdr:nvGrpSpPr>
        <xdr:cNvPr id="373763" name="Group 3">
          <a:extLst>
            <a:ext uri="{FF2B5EF4-FFF2-40B4-BE49-F238E27FC236}">
              <a16:creationId xmlns:a16="http://schemas.microsoft.com/office/drawing/2014/main" id="{00000000-0008-0000-0000-000003B40500}"/>
            </a:ext>
          </a:extLst>
        </xdr:cNvPr>
        <xdr:cNvGrpSpPr>
          <a:grpSpLocks/>
        </xdr:cNvGrpSpPr>
      </xdr:nvGrpSpPr>
      <xdr:grpSpPr bwMode="auto">
        <a:xfrm>
          <a:off x="3328147" y="5546912"/>
          <a:ext cx="2117912" cy="336176"/>
          <a:chOff x="396" y="576"/>
          <a:chExt cx="252" cy="36"/>
        </a:xfrm>
      </xdr:grpSpPr>
      <xdr:sp macro="" textlink="">
        <xdr:nvSpPr>
          <xdr:cNvPr id="373765" name="Rectangle 5">
            <a:extLst>
              <a:ext uri="{FF2B5EF4-FFF2-40B4-BE49-F238E27FC236}">
                <a16:creationId xmlns:a16="http://schemas.microsoft.com/office/drawing/2014/main" id="{00000000-0008-0000-0000-000005B40500}"/>
              </a:ext>
            </a:extLst>
          </xdr:cNvPr>
          <xdr:cNvSpPr>
            <a:spLocks noChangeArrowheads="1"/>
          </xdr:cNvSpPr>
        </xdr:nvSpPr>
        <xdr:spPr bwMode="auto">
          <a:xfrm>
            <a:off x="396" y="576"/>
            <a:ext cx="252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 editAs="oneCell">
    <xdr:from>
      <xdr:col>10</xdr:col>
      <xdr:colOff>235323</xdr:colOff>
      <xdr:row>30</xdr:row>
      <xdr:rowOff>67235</xdr:rowOff>
    </xdr:from>
    <xdr:to>
      <xdr:col>18</xdr:col>
      <xdr:colOff>159612</xdr:colOff>
      <xdr:row>34</xdr:row>
      <xdr:rowOff>109256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DC2BB7-1E06-407B-A129-69E3392F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147" y="5109882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41460</xdr:colOff>
      <xdr:row>32</xdr:row>
      <xdr:rowOff>174810</xdr:rowOff>
    </xdr:from>
    <xdr:to>
      <xdr:col>33</xdr:col>
      <xdr:colOff>19050</xdr:colOff>
      <xdr:row>37</xdr:row>
      <xdr:rowOff>51546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2E4A006B-DD0C-7C5B-69EB-9429583CDDF4}"/>
            </a:ext>
          </a:extLst>
        </xdr:cNvPr>
        <xdr:cNvSpPr/>
      </xdr:nvSpPr>
      <xdr:spPr bwMode="auto">
        <a:xfrm>
          <a:off x="3327585" y="6270810"/>
          <a:ext cx="1406340" cy="829236"/>
        </a:xfrm>
        <a:prstGeom prst="flowChartMagneticDisk">
          <a:avLst/>
        </a:prstGeom>
        <a:solidFill>
          <a:schemeClr val="accent1">
            <a:lumMod val="50000"/>
          </a:schemeClr>
        </a:solidFill>
        <a:ln w="28575">
          <a:solidFill>
            <a:schemeClr val="bg1"/>
          </a:solidFill>
          <a:headEnd type="none" w="med" len="med"/>
          <a:tailEnd type="none" w="med" len="me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メール自動送信</a:t>
          </a:r>
        </a:p>
      </xdr:txBody>
    </xdr:sp>
    <xdr:clientData/>
  </xdr:twoCellAnchor>
  <xdr:twoCellAnchor editAs="oneCell">
    <xdr:from>
      <xdr:col>3</xdr:col>
      <xdr:colOff>89648</xdr:colOff>
      <xdr:row>15</xdr:row>
      <xdr:rowOff>100853</xdr:rowOff>
    </xdr:from>
    <xdr:to>
      <xdr:col>10</xdr:col>
      <xdr:colOff>25441</xdr:colOff>
      <xdr:row>20</xdr:row>
      <xdr:rowOff>97315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92811A6-E294-C5DB-20DA-CFC72C076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677" y="2958353"/>
          <a:ext cx="955529" cy="948962"/>
        </a:xfrm>
        <a:prstGeom prst="rect">
          <a:avLst/>
        </a:prstGeom>
      </xdr:spPr>
    </xdr:pic>
    <xdr:clientData/>
  </xdr:twoCellAnchor>
  <xdr:twoCellAnchor editAs="oneCell">
    <xdr:from>
      <xdr:col>57</xdr:col>
      <xdr:colOff>122748</xdr:colOff>
      <xdr:row>41</xdr:row>
      <xdr:rowOff>33056</xdr:rowOff>
    </xdr:from>
    <xdr:to>
      <xdr:col>64</xdr:col>
      <xdr:colOff>76456</xdr:colOff>
      <xdr:row>45</xdr:row>
      <xdr:rowOff>35499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2168C3E-A9F4-ECBC-BF60-82EC2871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66623" y="7843556"/>
          <a:ext cx="953833" cy="764443"/>
        </a:xfrm>
        <a:prstGeom prst="rect">
          <a:avLst/>
        </a:prstGeom>
      </xdr:spPr>
    </xdr:pic>
    <xdr:clientData/>
  </xdr:twoCellAnchor>
  <xdr:twoCellAnchor>
    <xdr:from>
      <xdr:col>8</xdr:col>
      <xdr:colOff>100853</xdr:colOff>
      <xdr:row>33</xdr:row>
      <xdr:rowOff>21291</xdr:rowOff>
    </xdr:from>
    <xdr:to>
      <xdr:col>17</xdr:col>
      <xdr:colOff>67235</xdr:colOff>
      <xdr:row>37</xdr:row>
      <xdr:rowOff>10085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945B69-1D10-1E95-3A8C-CAADD239AF7B}"/>
            </a:ext>
          </a:extLst>
        </xdr:cNvPr>
        <xdr:cNvSpPr/>
      </xdr:nvSpPr>
      <xdr:spPr bwMode="auto">
        <a:xfrm>
          <a:off x="1243853" y="6307791"/>
          <a:ext cx="1252257" cy="75079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メール自動送信</a:t>
          </a:r>
          <a:endParaRPr kumimoji="1" lang="en-US" altLang="ja-JP" sz="1100"/>
        </a:p>
        <a:p>
          <a:pPr algn="ctr"/>
          <a:r>
            <a:rPr kumimoji="1" lang="ja-JP" altLang="en-US" sz="1100"/>
            <a:t>バッチ</a:t>
          </a:r>
        </a:p>
      </xdr:txBody>
    </xdr:sp>
    <xdr:clientData/>
  </xdr:twoCellAnchor>
  <xdr:twoCellAnchor>
    <xdr:from>
      <xdr:col>47</xdr:col>
      <xdr:colOff>104845</xdr:colOff>
      <xdr:row>40</xdr:row>
      <xdr:rowOff>109378</xdr:rowOff>
    </xdr:from>
    <xdr:to>
      <xdr:col>56</xdr:col>
      <xdr:colOff>114244</xdr:colOff>
      <xdr:row>43</xdr:row>
      <xdr:rowOff>22046</xdr:rowOff>
    </xdr:to>
    <xdr:sp macro="" textlink="">
      <xdr:nvSpPr>
        <xdr:cNvPr id="12" name="稲妻 11">
          <a:extLst>
            <a:ext uri="{FF2B5EF4-FFF2-40B4-BE49-F238E27FC236}">
              <a16:creationId xmlns:a16="http://schemas.microsoft.com/office/drawing/2014/main" id="{F6225B9E-3772-B4F9-BCC0-15DDFC3CE33D}"/>
            </a:ext>
          </a:extLst>
        </xdr:cNvPr>
        <xdr:cNvSpPr/>
      </xdr:nvSpPr>
      <xdr:spPr bwMode="auto">
        <a:xfrm rot="21344119">
          <a:off x="6819970" y="7729378"/>
          <a:ext cx="1295274" cy="484168"/>
        </a:xfrm>
        <a:prstGeom prst="lightningBol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17</xdr:col>
      <xdr:colOff>67235</xdr:colOff>
      <xdr:row>35</xdr:row>
      <xdr:rowOff>15688</xdr:rowOff>
    </xdr:from>
    <xdr:to>
      <xdr:col>23</xdr:col>
      <xdr:colOff>41460</xdr:colOff>
      <xdr:row>35</xdr:row>
      <xdr:rowOff>17928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C97396AC-D86C-F78B-7A07-94C6D05AB016}"/>
            </a:ext>
          </a:extLst>
        </xdr:cNvPr>
        <xdr:cNvCxnSpPr>
          <a:stCxn id="11" idx="3"/>
          <a:endCxn id="5" idx="2"/>
        </xdr:cNvCxnSpPr>
      </xdr:nvCxnSpPr>
      <xdr:spPr bwMode="auto">
        <a:xfrm>
          <a:off x="2496110" y="6683188"/>
          <a:ext cx="831475" cy="2240"/>
        </a:xfrm>
        <a:prstGeom prst="straightConnector1">
          <a:avLst/>
        </a:prstGeom>
        <a:solidFill>
          <a:srgbClr val="FFFFFF"/>
        </a:solidFill>
        <a:ln w="57150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40903</xdr:colOff>
      <xdr:row>39</xdr:row>
      <xdr:rowOff>5603</xdr:rowOff>
    </xdr:from>
    <xdr:to>
      <xdr:col>47</xdr:col>
      <xdr:colOff>7285</xdr:colOff>
      <xdr:row>42</xdr:row>
      <xdr:rowOff>184897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3C31ED2-638A-4CC0-B03E-A5499F6F1347}"/>
            </a:ext>
          </a:extLst>
        </xdr:cNvPr>
        <xdr:cNvSpPr/>
      </xdr:nvSpPr>
      <xdr:spPr bwMode="auto">
        <a:xfrm>
          <a:off x="5470153" y="7435103"/>
          <a:ext cx="1252257" cy="75079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督促メール送信</a:t>
          </a:r>
          <a:endParaRPr kumimoji="1" lang="en-US" altLang="ja-JP" sz="1100"/>
        </a:p>
        <a:p>
          <a:pPr algn="ctr"/>
          <a:r>
            <a:rPr kumimoji="1" lang="ja-JP" altLang="en-US" sz="1100"/>
            <a:t>バッチ</a:t>
          </a:r>
        </a:p>
      </xdr:txBody>
    </xdr:sp>
    <xdr:clientData/>
  </xdr:twoCellAnchor>
  <xdr:twoCellAnchor>
    <xdr:from>
      <xdr:col>28</xdr:col>
      <xdr:colOff>30255</xdr:colOff>
      <xdr:row>37</xdr:row>
      <xdr:rowOff>51546</xdr:rowOff>
    </xdr:from>
    <xdr:to>
      <xdr:col>38</xdr:col>
      <xdr:colOff>40903</xdr:colOff>
      <xdr:row>41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6D6D526-9AD7-4073-A149-FC4219337D55}"/>
            </a:ext>
          </a:extLst>
        </xdr:cNvPr>
        <xdr:cNvCxnSpPr>
          <a:stCxn id="5" idx="3"/>
          <a:endCxn id="2" idx="1"/>
        </xdr:cNvCxnSpPr>
      </xdr:nvCxnSpPr>
      <xdr:spPr bwMode="auto">
        <a:xfrm rot="16200000" flipH="1">
          <a:off x="4395227" y="6735574"/>
          <a:ext cx="710454" cy="1439398"/>
        </a:xfrm>
        <a:prstGeom prst="bentConnector2">
          <a:avLst/>
        </a:prstGeom>
        <a:solidFill>
          <a:srgbClr val="FFFFFF"/>
        </a:solidFill>
        <a:ln w="57150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9525</xdr:colOff>
      <xdr:row>32</xdr:row>
      <xdr:rowOff>171450</xdr:rowOff>
    </xdr:from>
    <xdr:to>
      <xdr:col>47</xdr:col>
      <xdr:colOff>129990</xdr:colOff>
      <xdr:row>37</xdr:row>
      <xdr:rowOff>48186</xdr:rowOff>
    </xdr:to>
    <xdr:sp macro="" textlink="">
      <xdr:nvSpPr>
        <xdr:cNvPr id="4" name="フローチャート: 磁気ディスク 3">
          <a:extLst>
            <a:ext uri="{FF2B5EF4-FFF2-40B4-BE49-F238E27FC236}">
              <a16:creationId xmlns:a16="http://schemas.microsoft.com/office/drawing/2014/main" id="{0E7D45D4-5D36-4380-80E5-336A45E5A53D}"/>
            </a:ext>
          </a:extLst>
        </xdr:cNvPr>
        <xdr:cNvSpPr/>
      </xdr:nvSpPr>
      <xdr:spPr bwMode="auto">
        <a:xfrm>
          <a:off x="5438775" y="6267450"/>
          <a:ext cx="1406340" cy="829236"/>
        </a:xfrm>
        <a:prstGeom prst="flowChartMagneticDisk">
          <a:avLst/>
        </a:prstGeom>
        <a:solidFill>
          <a:schemeClr val="accent1">
            <a:lumMod val="50000"/>
          </a:schemeClr>
        </a:solidFill>
        <a:ln w="28575">
          <a:solidFill>
            <a:schemeClr val="bg1"/>
          </a:solidFill>
          <a:headEnd type="none" w="med" len="med"/>
          <a:tailEnd type="none" w="med" len="me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メール管理マスタ</a:t>
          </a:r>
        </a:p>
      </xdr:txBody>
    </xdr:sp>
    <xdr:clientData/>
  </xdr:twoCellAnchor>
  <xdr:twoCellAnchor>
    <xdr:from>
      <xdr:col>33</xdr:col>
      <xdr:colOff>19050</xdr:colOff>
      <xdr:row>35</xdr:row>
      <xdr:rowOff>14568</xdr:rowOff>
    </xdr:from>
    <xdr:to>
      <xdr:col>38</xdr:col>
      <xdr:colOff>9525</xdr:colOff>
      <xdr:row>35</xdr:row>
      <xdr:rowOff>17928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685C59F-81FF-4EE2-8309-411BF0ABD554}"/>
            </a:ext>
          </a:extLst>
        </xdr:cNvPr>
        <xdr:cNvCxnSpPr>
          <a:stCxn id="4" idx="2"/>
          <a:endCxn id="5" idx="4"/>
        </xdr:cNvCxnSpPr>
      </xdr:nvCxnSpPr>
      <xdr:spPr bwMode="auto">
        <a:xfrm flipH="1">
          <a:off x="4733925" y="6682068"/>
          <a:ext cx="704850" cy="3360"/>
        </a:xfrm>
        <a:prstGeom prst="straightConnector1">
          <a:avLst/>
        </a:prstGeom>
        <a:solidFill>
          <a:srgbClr val="FFFFFF"/>
        </a:solidFill>
        <a:ln w="57150" cap="flat" cmpd="sng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&#23398;&#29983;&#21220;&#21209;&#31649;&#29702;&#12471;&#12473;&#12486;&#12512;&#12398;url/" TargetMode="External"/><Relationship Id="rId1" Type="http://schemas.openxmlformats.org/officeDocument/2006/relationships/hyperlink" Target="https://&#23398;&#29983;&#21220;&#21209;&#31649;&#29702;&#12471;&#12473;&#12486;&#12512;&#12398;&#12507;&#12540;&#12512;&#30011;&#38754;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2" x14ac:dyDescent="0.2"/>
  <cols>
    <col min="1" max="32" width="4.44140625" customWidth="1"/>
  </cols>
  <sheetData>
    <row r="10" spans="7:24" x14ac:dyDescent="0.2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2">
      <c r="G11" s="87" t="str">
        <f>I40</f>
        <v>　学生勤務管理システム</v>
      </c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6"/>
    </row>
    <row r="12" spans="7:24" ht="13.5" customHeight="1" x14ac:dyDescent="0.2">
      <c r="G12" s="87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6"/>
    </row>
    <row r="13" spans="7:24" x14ac:dyDescent="0.2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2">
      <c r="G14" s="87" t="str">
        <f>I44</f>
        <v>　CZ-040_メール自動送信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6"/>
    </row>
    <row r="15" spans="7:24" ht="13.5" customHeight="1" x14ac:dyDescent="0.2">
      <c r="G15" s="87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6"/>
    </row>
    <row r="16" spans="7:24" x14ac:dyDescent="0.2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2">
      <c r="G17" s="87" t="str">
        <f>I42</f>
        <v xml:space="preserve">　 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6"/>
    </row>
    <row r="18" spans="7:24" ht="13.5" customHeight="1" x14ac:dyDescent="0.2">
      <c r="G18" s="87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6"/>
    </row>
    <row r="19" spans="7:24" x14ac:dyDescent="0.2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2">
      <c r="G20" s="87" t="str">
        <f>I51</f>
        <v>【 Ver 1.03 】</v>
      </c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6"/>
    </row>
    <row r="21" spans="7:24" ht="13.5" customHeight="1" x14ac:dyDescent="0.2">
      <c r="G21" s="87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6"/>
    </row>
    <row r="22" spans="7:24" x14ac:dyDescent="0.2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2">
      <c r="J27" s="90" t="str">
        <f>TEXT(I47,"yyyy年")&amp;IF(LEFT(TEXT(I47,"mm"),1)="0"," ","")&amp;TEXT(I47,"m月")&amp;IF(LEFT(TEXT(I47,"dd"),1)="0"," ","")&amp;TEXT(I47,"d日")&amp;"作成"</f>
        <v>2023年10月 6日作成</v>
      </c>
      <c r="K27" s="91"/>
      <c r="L27" s="91"/>
      <c r="M27" s="91"/>
      <c r="N27" s="91"/>
      <c r="O27" s="91"/>
      <c r="P27" s="91"/>
      <c r="Q27" s="91"/>
      <c r="R27" s="91"/>
      <c r="S27" s="91"/>
      <c r="T27" s="91"/>
    </row>
    <row r="28" spans="7:24" s="1" customFormat="1" x14ac:dyDescent="0.2"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</row>
    <row r="29" spans="7:24" s="1" customFormat="1" x14ac:dyDescent="0.2">
      <c r="J29" s="90" t="str">
        <f>IF(I49="　※ページ毎に個別入力","    年  月  日改訂",TEXT(I49,"yyyy年")&amp;IF(LEFT(TEXT(I49,"mm"),1)="0"," ","")&amp;TEXT(I49,"m月")&amp;IF(LEFT(TEXT(I49,"dd"),1)="0"," ","")&amp;TEXT(I49,"d日")&amp;"改訂")</f>
        <v>2025年 6月11日改訂</v>
      </c>
      <c r="K29" s="91"/>
      <c r="L29" s="91"/>
      <c r="M29" s="91"/>
      <c r="N29" s="91"/>
      <c r="O29" s="91"/>
      <c r="P29" s="91"/>
      <c r="Q29" s="91"/>
      <c r="R29" s="91"/>
      <c r="S29" s="91"/>
      <c r="T29" s="91"/>
    </row>
    <row r="30" spans="7:24" s="1" customFormat="1" x14ac:dyDescent="0.2"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8" spans="2:28" ht="23.25" customHeight="1" x14ac:dyDescent="0.2">
      <c r="B38" s="92" t="s">
        <v>19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</row>
    <row r="39" spans="2:28" ht="23.25" customHeight="1" x14ac:dyDescent="0.2">
      <c r="B39" s="89" t="s">
        <v>20</v>
      </c>
      <c r="C39" s="89"/>
      <c r="D39" s="89"/>
      <c r="E39" s="89"/>
      <c r="F39" s="89"/>
      <c r="G39" s="89"/>
      <c r="H39" s="89"/>
      <c r="I39" s="89" t="s">
        <v>10</v>
      </c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</row>
    <row r="40" spans="2:28" ht="23.25" customHeight="1" x14ac:dyDescent="0.2">
      <c r="B40" s="82" t="s">
        <v>21</v>
      </c>
      <c r="C40" s="82"/>
      <c r="D40" s="82"/>
      <c r="E40" s="82"/>
      <c r="F40" s="82"/>
      <c r="G40" s="82"/>
      <c r="H40" s="82"/>
      <c r="I40" s="83" t="s">
        <v>42</v>
      </c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</row>
    <row r="41" spans="2:28" ht="23.25" customHeight="1" x14ac:dyDescent="0.2">
      <c r="B41" s="82" t="s">
        <v>22</v>
      </c>
      <c r="C41" s="82"/>
      <c r="D41" s="82"/>
      <c r="E41" s="82"/>
      <c r="F41" s="82"/>
      <c r="G41" s="82"/>
      <c r="H41" s="82"/>
      <c r="I41" s="83" t="s">
        <v>40</v>
      </c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</row>
    <row r="42" spans="2:28" ht="23.25" customHeight="1" x14ac:dyDescent="0.2">
      <c r="B42" s="82" t="s">
        <v>23</v>
      </c>
      <c r="C42" s="82"/>
      <c r="D42" s="82"/>
      <c r="E42" s="82"/>
      <c r="F42" s="82"/>
      <c r="G42" s="82"/>
      <c r="H42" s="82"/>
      <c r="I42" s="83" t="s">
        <v>33</v>
      </c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</row>
    <row r="43" spans="2:28" ht="23.25" customHeight="1" x14ac:dyDescent="0.2">
      <c r="B43" s="82" t="s">
        <v>24</v>
      </c>
      <c r="C43" s="82"/>
      <c r="D43" s="82"/>
      <c r="E43" s="82"/>
      <c r="F43" s="82"/>
      <c r="G43" s="82"/>
      <c r="H43" s="82"/>
      <c r="I43" s="83" t="s">
        <v>38</v>
      </c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</row>
    <row r="44" spans="2:28" ht="23.25" customHeight="1" x14ac:dyDescent="0.2">
      <c r="B44" s="82" t="s">
        <v>25</v>
      </c>
      <c r="C44" s="82"/>
      <c r="D44" s="82"/>
      <c r="E44" s="82"/>
      <c r="F44" s="82"/>
      <c r="G44" s="82"/>
      <c r="H44" s="82"/>
      <c r="I44" s="83" t="s">
        <v>48</v>
      </c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</row>
    <row r="45" spans="2:28" ht="23.25" customHeight="1" x14ac:dyDescent="0.2">
      <c r="B45" s="82" t="s">
        <v>26</v>
      </c>
      <c r="C45" s="82"/>
      <c r="D45" s="82"/>
      <c r="E45" s="82"/>
      <c r="F45" s="82"/>
      <c r="G45" s="82"/>
      <c r="H45" s="82"/>
      <c r="I45" s="83" t="s">
        <v>9</v>
      </c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</row>
    <row r="46" spans="2:28" ht="23.25" customHeight="1" x14ac:dyDescent="0.2">
      <c r="B46" s="82" t="s">
        <v>27</v>
      </c>
      <c r="C46" s="82"/>
      <c r="D46" s="82"/>
      <c r="E46" s="82"/>
      <c r="F46" s="82"/>
      <c r="G46" s="82"/>
      <c r="H46" s="82"/>
      <c r="I46" s="83" t="s">
        <v>43</v>
      </c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</row>
    <row r="47" spans="2:28" ht="23.25" customHeight="1" x14ac:dyDescent="0.2">
      <c r="B47" s="82" t="s">
        <v>28</v>
      </c>
      <c r="C47" s="82"/>
      <c r="D47" s="82"/>
      <c r="E47" s="82"/>
      <c r="F47" s="82"/>
      <c r="G47" s="82"/>
      <c r="H47" s="82"/>
      <c r="I47" s="85">
        <v>45205</v>
      </c>
      <c r="J47" s="86"/>
      <c r="K47" s="86"/>
      <c r="L47" s="86"/>
      <c r="M47" s="86"/>
      <c r="N47" s="86"/>
      <c r="O47" s="86"/>
      <c r="P47" s="86"/>
      <c r="Q47" s="86"/>
      <c r="R47" s="86"/>
      <c r="S47" s="83"/>
      <c r="T47" s="83"/>
      <c r="U47" s="83"/>
      <c r="V47" s="83"/>
      <c r="W47" s="83"/>
      <c r="X47" s="83"/>
      <c r="Y47" s="83"/>
      <c r="Z47" s="83"/>
      <c r="AA47" s="83"/>
      <c r="AB47" s="83"/>
    </row>
    <row r="48" spans="2:28" ht="23.25" customHeight="1" x14ac:dyDescent="0.2">
      <c r="B48" s="82" t="s">
        <v>29</v>
      </c>
      <c r="C48" s="82"/>
      <c r="D48" s="82"/>
      <c r="E48" s="82"/>
      <c r="F48" s="82"/>
      <c r="G48" s="82"/>
      <c r="H48" s="82"/>
      <c r="I48" s="83" t="s">
        <v>9</v>
      </c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</row>
    <row r="49" spans="2:28" ht="23.25" customHeight="1" x14ac:dyDescent="0.2">
      <c r="B49" s="82" t="s">
        <v>30</v>
      </c>
      <c r="C49" s="82"/>
      <c r="D49" s="82"/>
      <c r="E49" s="82"/>
      <c r="F49" s="82"/>
      <c r="G49" s="82"/>
      <c r="H49" s="82"/>
      <c r="I49" s="84" t="str">
        <f>TEXT(MAX(改訂履歴!J5:J1007),"yyyy/mm/dd")</f>
        <v>2025/06/11</v>
      </c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</row>
    <row r="50" spans="2:28" ht="23.25" customHeight="1" x14ac:dyDescent="0.2">
      <c r="B50" s="82" t="s">
        <v>31</v>
      </c>
      <c r="C50" s="82"/>
      <c r="D50" s="82"/>
      <c r="E50" s="82"/>
      <c r="F50" s="82"/>
      <c r="G50" s="82"/>
      <c r="H50" s="82"/>
      <c r="I50" s="83" t="s">
        <v>41</v>
      </c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</row>
    <row r="51" spans="2:28" ht="23.25" customHeight="1" x14ac:dyDescent="0.2">
      <c r="B51" s="82" t="s">
        <v>34</v>
      </c>
      <c r="C51" s="82"/>
      <c r="D51" s="82"/>
      <c r="E51" s="82"/>
      <c r="F51" s="82"/>
      <c r="G51" s="82"/>
      <c r="H51" s="82"/>
      <c r="I51" s="83" t="str">
        <f>"【 Ver " &amp; TEXT(MAX(改訂履歴!E5:E995),"0.00") &amp; " 】"</f>
        <v>【 Ver 1.03 】</v>
      </c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</row>
  </sheetData>
  <mergeCells count="33"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  <mergeCell ref="G11:W12"/>
    <mergeCell ref="G14:W15"/>
    <mergeCell ref="G17:W18"/>
    <mergeCell ref="G20:W21"/>
    <mergeCell ref="I42:AB42"/>
    <mergeCell ref="B41:H41"/>
    <mergeCell ref="B42:H42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B51:H51"/>
    <mergeCell ref="I51:AB51"/>
    <mergeCell ref="B49:H49"/>
    <mergeCell ref="I49:AB49"/>
    <mergeCell ref="B50:H50"/>
    <mergeCell ref="I50:AB50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8"/>
  <sheetViews>
    <sheetView view="pageBreakPreview" zoomScaleNormal="85" zoomScaleSheetLayoutView="100" workbookViewId="0"/>
  </sheetViews>
  <sheetFormatPr defaultColWidth="1.88671875" defaultRowHeight="15" customHeight="1" x14ac:dyDescent="0.2"/>
  <cols>
    <col min="1" max="4" width="1.88671875" style="1" customWidth="1"/>
    <col min="5" max="9" width="1.88671875" style="14" customWidth="1"/>
    <col min="10" max="26" width="1.88671875" style="1" customWidth="1"/>
    <col min="27" max="33" width="2.33203125" style="1" customWidth="1"/>
    <col min="34" max="16384" width="1.88671875" style="1"/>
  </cols>
  <sheetData>
    <row r="1" spans="1:76" ht="15" customHeight="1" x14ac:dyDescent="0.2">
      <c r="A1" t="s">
        <v>2</v>
      </c>
    </row>
    <row r="3" spans="1:76" s="2" customFormat="1" ht="15" customHeight="1" x14ac:dyDescent="0.2">
      <c r="A3" s="104" t="s">
        <v>16</v>
      </c>
      <c r="B3" s="104"/>
      <c r="C3" s="104"/>
      <c r="D3" s="104"/>
      <c r="E3" s="114" t="s">
        <v>17</v>
      </c>
      <c r="F3" s="115"/>
      <c r="G3" s="115"/>
      <c r="H3" s="115"/>
      <c r="I3" s="116"/>
      <c r="J3" s="105" t="s">
        <v>5</v>
      </c>
      <c r="K3" s="106"/>
      <c r="L3" s="106"/>
      <c r="M3" s="106"/>
      <c r="N3" s="106"/>
      <c r="O3" s="106"/>
      <c r="P3" s="106"/>
      <c r="Q3" s="107"/>
      <c r="R3" s="104" t="s">
        <v>3</v>
      </c>
      <c r="S3" s="104"/>
      <c r="T3" s="104"/>
      <c r="U3" s="104"/>
      <c r="V3" s="104"/>
      <c r="W3" s="104" t="s">
        <v>6</v>
      </c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 t="s">
        <v>7</v>
      </c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 t="s">
        <v>8</v>
      </c>
      <c r="BS3" s="104"/>
      <c r="BT3" s="104"/>
      <c r="BU3" s="104"/>
      <c r="BV3" s="104"/>
      <c r="BW3" s="104"/>
      <c r="BX3" s="104"/>
    </row>
    <row r="4" spans="1:76" s="2" customFormat="1" ht="15" customHeight="1" x14ac:dyDescent="0.2">
      <c r="A4" s="104"/>
      <c r="B4" s="104"/>
      <c r="C4" s="104"/>
      <c r="D4" s="104"/>
      <c r="E4" s="117"/>
      <c r="F4" s="118"/>
      <c r="G4" s="118"/>
      <c r="H4" s="118"/>
      <c r="I4" s="119"/>
      <c r="J4" s="108"/>
      <c r="K4" s="109"/>
      <c r="L4" s="109"/>
      <c r="M4" s="109"/>
      <c r="N4" s="109"/>
      <c r="O4" s="109"/>
      <c r="P4" s="109"/>
      <c r="Q4" s="110"/>
      <c r="R4" s="104"/>
      <c r="S4" s="104"/>
      <c r="T4" s="104"/>
      <c r="U4" s="104"/>
      <c r="V4" s="104"/>
      <c r="W4" s="104" t="s">
        <v>4</v>
      </c>
      <c r="X4" s="104"/>
      <c r="Y4" s="104"/>
      <c r="Z4" s="104"/>
      <c r="AA4" s="104" t="s">
        <v>45</v>
      </c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</row>
    <row r="5" spans="1:76" ht="20.100000000000001" customHeight="1" x14ac:dyDescent="0.2">
      <c r="A5" s="100">
        <v>1</v>
      </c>
      <c r="B5" s="100"/>
      <c r="C5" s="100"/>
      <c r="D5" s="100"/>
      <c r="E5" s="120">
        <v>1</v>
      </c>
      <c r="F5" s="121"/>
      <c r="G5" s="121"/>
      <c r="H5" s="121"/>
      <c r="I5" s="122"/>
      <c r="J5" s="111">
        <f>タイトル!I47</f>
        <v>45205</v>
      </c>
      <c r="K5" s="112"/>
      <c r="L5" s="112"/>
      <c r="M5" s="112"/>
      <c r="N5" s="112"/>
      <c r="O5" s="112"/>
      <c r="P5" s="112"/>
      <c r="Q5" s="113"/>
      <c r="R5" s="101" t="s">
        <v>11</v>
      </c>
      <c r="S5" s="102"/>
      <c r="T5" s="102"/>
      <c r="U5" s="102"/>
      <c r="V5" s="103"/>
      <c r="W5" s="124"/>
      <c r="X5" s="125"/>
      <c r="Y5" s="125"/>
      <c r="Z5" s="126"/>
      <c r="AA5" s="124"/>
      <c r="AB5" s="125"/>
      <c r="AC5" s="125"/>
      <c r="AD5" s="125"/>
      <c r="AE5" s="125"/>
      <c r="AF5" s="125"/>
      <c r="AG5" s="126"/>
      <c r="AH5" s="123" t="s">
        <v>18</v>
      </c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99" t="s">
        <v>44</v>
      </c>
      <c r="BS5" s="99"/>
      <c r="BT5" s="99"/>
      <c r="BU5" s="99"/>
      <c r="BV5" s="99"/>
      <c r="BW5" s="99"/>
      <c r="BX5" s="99"/>
    </row>
    <row r="6" spans="1:76" ht="30" customHeight="1" x14ac:dyDescent="0.2">
      <c r="A6" s="93">
        <v>2</v>
      </c>
      <c r="B6" s="93"/>
      <c r="C6" s="93"/>
      <c r="D6" s="93"/>
      <c r="E6" s="94">
        <v>1.01</v>
      </c>
      <c r="F6" s="94"/>
      <c r="G6" s="94"/>
      <c r="H6" s="94"/>
      <c r="I6" s="94"/>
      <c r="J6" s="95">
        <v>45238</v>
      </c>
      <c r="K6" s="95"/>
      <c r="L6" s="95"/>
      <c r="M6" s="95"/>
      <c r="N6" s="95"/>
      <c r="O6" s="95"/>
      <c r="P6" s="95"/>
      <c r="Q6" s="95"/>
      <c r="R6" s="93" t="s">
        <v>72</v>
      </c>
      <c r="S6" s="93"/>
      <c r="T6" s="93"/>
      <c r="U6" s="93"/>
      <c r="V6" s="93"/>
      <c r="W6" s="97"/>
      <c r="X6" s="97"/>
      <c r="Y6" s="97"/>
      <c r="Z6" s="97"/>
      <c r="AA6" s="97" t="s">
        <v>73</v>
      </c>
      <c r="AB6" s="97"/>
      <c r="AC6" s="97"/>
      <c r="AD6" s="97"/>
      <c r="AE6" s="97"/>
      <c r="AF6" s="97"/>
      <c r="AG6" s="97"/>
      <c r="AH6" s="96" t="s">
        <v>76</v>
      </c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7"/>
      <c r="BO6" s="97"/>
      <c r="BP6" s="97"/>
      <c r="BQ6" s="97"/>
      <c r="BR6" s="99" t="s">
        <v>43</v>
      </c>
      <c r="BS6" s="99"/>
      <c r="BT6" s="99"/>
      <c r="BU6" s="99"/>
      <c r="BV6" s="99"/>
      <c r="BW6" s="99"/>
      <c r="BX6" s="99"/>
    </row>
    <row r="7" spans="1:76" ht="20.100000000000001" customHeight="1" x14ac:dyDescent="0.2">
      <c r="A7" s="93">
        <v>3</v>
      </c>
      <c r="B7" s="93"/>
      <c r="C7" s="93"/>
      <c r="D7" s="93"/>
      <c r="E7" s="94">
        <v>1.02</v>
      </c>
      <c r="F7" s="94"/>
      <c r="G7" s="94"/>
      <c r="H7" s="94"/>
      <c r="I7" s="94"/>
      <c r="J7" s="95">
        <v>45315</v>
      </c>
      <c r="K7" s="95"/>
      <c r="L7" s="95"/>
      <c r="M7" s="95"/>
      <c r="N7" s="95"/>
      <c r="O7" s="95"/>
      <c r="P7" s="95"/>
      <c r="Q7" s="95"/>
      <c r="R7" s="93" t="s">
        <v>72</v>
      </c>
      <c r="S7" s="93"/>
      <c r="T7" s="93"/>
      <c r="U7" s="93"/>
      <c r="V7" s="93"/>
      <c r="W7" s="97"/>
      <c r="X7" s="97"/>
      <c r="Y7" s="97"/>
      <c r="Z7" s="97"/>
      <c r="AA7" s="97" t="s">
        <v>73</v>
      </c>
      <c r="AB7" s="97"/>
      <c r="AC7" s="97"/>
      <c r="AD7" s="97"/>
      <c r="AE7" s="97"/>
      <c r="AF7" s="97"/>
      <c r="AG7" s="97"/>
      <c r="AH7" s="96" t="s">
        <v>78</v>
      </c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9" t="s">
        <v>43</v>
      </c>
      <c r="BS7" s="99"/>
      <c r="BT7" s="99"/>
      <c r="BU7" s="99"/>
      <c r="BV7" s="99"/>
      <c r="BW7" s="99"/>
      <c r="BX7" s="99"/>
    </row>
    <row r="8" spans="1:76" ht="30" customHeight="1" x14ac:dyDescent="0.2">
      <c r="A8" s="93">
        <v>4</v>
      </c>
      <c r="B8" s="93"/>
      <c r="C8" s="93"/>
      <c r="D8" s="93"/>
      <c r="E8" s="94">
        <v>1.03</v>
      </c>
      <c r="F8" s="94"/>
      <c r="G8" s="94"/>
      <c r="H8" s="94"/>
      <c r="I8" s="94"/>
      <c r="J8" s="95">
        <v>45819</v>
      </c>
      <c r="K8" s="95"/>
      <c r="L8" s="95"/>
      <c r="M8" s="95"/>
      <c r="N8" s="95"/>
      <c r="O8" s="95"/>
      <c r="P8" s="95"/>
      <c r="Q8" s="95"/>
      <c r="R8" s="93" t="s">
        <v>72</v>
      </c>
      <c r="S8" s="93"/>
      <c r="T8" s="93"/>
      <c r="U8" s="93"/>
      <c r="V8" s="93"/>
      <c r="W8" s="97"/>
      <c r="X8" s="97"/>
      <c r="Y8" s="97"/>
      <c r="Z8" s="97"/>
      <c r="AA8" s="97" t="s">
        <v>73</v>
      </c>
      <c r="AB8" s="97"/>
      <c r="AC8" s="97"/>
      <c r="AD8" s="97"/>
      <c r="AE8" s="97"/>
      <c r="AF8" s="97"/>
      <c r="AG8" s="97"/>
      <c r="AH8" s="96" t="s">
        <v>256</v>
      </c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8" t="s">
        <v>43</v>
      </c>
      <c r="BS8" s="98"/>
      <c r="BT8" s="98"/>
      <c r="BU8" s="98"/>
      <c r="BV8" s="98"/>
      <c r="BW8" s="98"/>
      <c r="BX8" s="98"/>
    </row>
    <row r="9" spans="1:76" ht="20.100000000000001" customHeight="1" x14ac:dyDescent="0.2">
      <c r="A9" s="93"/>
      <c r="B9" s="93"/>
      <c r="C9" s="93"/>
      <c r="D9" s="93"/>
      <c r="E9" s="94"/>
      <c r="F9" s="94"/>
      <c r="G9" s="94"/>
      <c r="H9" s="94"/>
      <c r="I9" s="94"/>
      <c r="J9" s="95"/>
      <c r="K9" s="95"/>
      <c r="L9" s="95"/>
      <c r="M9" s="95"/>
      <c r="N9" s="95"/>
      <c r="O9" s="95"/>
      <c r="P9" s="95"/>
      <c r="Q9" s="95"/>
      <c r="R9" s="93"/>
      <c r="S9" s="93"/>
      <c r="T9" s="93"/>
      <c r="U9" s="93"/>
      <c r="V9" s="93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6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7"/>
      <c r="BK9" s="97"/>
      <c r="BL9" s="97"/>
      <c r="BM9" s="97"/>
      <c r="BN9" s="97"/>
      <c r="BO9" s="97"/>
      <c r="BP9" s="97"/>
      <c r="BQ9" s="97"/>
      <c r="BR9" s="98"/>
      <c r="BS9" s="98"/>
      <c r="BT9" s="98"/>
      <c r="BU9" s="98"/>
      <c r="BV9" s="98"/>
      <c r="BW9" s="98"/>
      <c r="BX9" s="98"/>
    </row>
    <row r="10" spans="1:76" ht="20.100000000000001" customHeight="1" x14ac:dyDescent="0.2">
      <c r="A10" s="93"/>
      <c r="B10" s="93"/>
      <c r="C10" s="93"/>
      <c r="D10" s="93"/>
      <c r="E10" s="94"/>
      <c r="F10" s="94"/>
      <c r="G10" s="94"/>
      <c r="H10" s="94"/>
      <c r="I10" s="94"/>
      <c r="J10" s="95"/>
      <c r="K10" s="95"/>
      <c r="L10" s="95"/>
      <c r="M10" s="95"/>
      <c r="N10" s="95"/>
      <c r="O10" s="95"/>
      <c r="P10" s="95"/>
      <c r="Q10" s="95"/>
      <c r="R10" s="93"/>
      <c r="S10" s="93"/>
      <c r="T10" s="93"/>
      <c r="U10" s="93"/>
      <c r="V10" s="93"/>
      <c r="W10" s="97"/>
      <c r="X10" s="97"/>
      <c r="Y10" s="97"/>
      <c r="Z10" s="97"/>
      <c r="AA10" s="96"/>
      <c r="AB10" s="97"/>
      <c r="AC10" s="97"/>
      <c r="AD10" s="97"/>
      <c r="AE10" s="97"/>
      <c r="AF10" s="97"/>
      <c r="AG10" s="97"/>
      <c r="AH10" s="96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8"/>
      <c r="BS10" s="98"/>
      <c r="BT10" s="98"/>
      <c r="BU10" s="98"/>
      <c r="BV10" s="98"/>
      <c r="BW10" s="98"/>
      <c r="BX10" s="98"/>
    </row>
    <row r="11" spans="1:76" ht="20.100000000000001" customHeight="1" x14ac:dyDescent="0.2">
      <c r="A11" s="93"/>
      <c r="B11" s="93"/>
      <c r="C11" s="93"/>
      <c r="D11" s="93"/>
      <c r="E11" s="94"/>
      <c r="F11" s="94"/>
      <c r="G11" s="94"/>
      <c r="H11" s="94"/>
      <c r="I11" s="94"/>
      <c r="J11" s="95"/>
      <c r="K11" s="95"/>
      <c r="L11" s="95"/>
      <c r="M11" s="95"/>
      <c r="N11" s="95"/>
      <c r="O11" s="95"/>
      <c r="P11" s="95"/>
      <c r="Q11" s="95"/>
      <c r="R11" s="93"/>
      <c r="S11" s="93"/>
      <c r="T11" s="93"/>
      <c r="U11" s="93"/>
      <c r="V11" s="93"/>
      <c r="W11" s="97"/>
      <c r="X11" s="97"/>
      <c r="Y11" s="97"/>
      <c r="Z11" s="97"/>
      <c r="AA11" s="96"/>
      <c r="AB11" s="97"/>
      <c r="AC11" s="97"/>
      <c r="AD11" s="97"/>
      <c r="AE11" s="97"/>
      <c r="AF11" s="97"/>
      <c r="AG11" s="97"/>
      <c r="AH11" s="96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8"/>
      <c r="BS11" s="98"/>
      <c r="BT11" s="98"/>
      <c r="BU11" s="98"/>
      <c r="BV11" s="98"/>
      <c r="BW11" s="98"/>
      <c r="BX11" s="98"/>
    </row>
    <row r="12" spans="1:76" ht="20.100000000000001" customHeight="1" x14ac:dyDescent="0.2">
      <c r="A12" s="93"/>
      <c r="B12" s="93"/>
      <c r="C12" s="93"/>
      <c r="D12" s="93"/>
      <c r="E12" s="94"/>
      <c r="F12" s="94"/>
      <c r="G12" s="94"/>
      <c r="H12" s="94"/>
      <c r="I12" s="94"/>
      <c r="J12" s="95"/>
      <c r="K12" s="95"/>
      <c r="L12" s="95"/>
      <c r="M12" s="95"/>
      <c r="N12" s="95"/>
      <c r="O12" s="95"/>
      <c r="P12" s="95"/>
      <c r="Q12" s="95"/>
      <c r="R12" s="93"/>
      <c r="S12" s="93"/>
      <c r="T12" s="93"/>
      <c r="U12" s="93"/>
      <c r="V12" s="93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6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8"/>
      <c r="BS12" s="98"/>
      <c r="BT12" s="98"/>
      <c r="BU12" s="98"/>
      <c r="BV12" s="98"/>
      <c r="BW12" s="98"/>
      <c r="BX12" s="98"/>
    </row>
    <row r="13" spans="1:76" ht="20.100000000000001" customHeight="1" x14ac:dyDescent="0.2">
      <c r="A13" s="93"/>
      <c r="B13" s="93"/>
      <c r="C13" s="93"/>
      <c r="D13" s="93"/>
      <c r="E13" s="94"/>
      <c r="F13" s="94"/>
      <c r="G13" s="94"/>
      <c r="H13" s="94"/>
      <c r="I13" s="94"/>
      <c r="J13" s="95"/>
      <c r="K13" s="95"/>
      <c r="L13" s="95"/>
      <c r="M13" s="95"/>
      <c r="N13" s="95"/>
      <c r="O13" s="95"/>
      <c r="P13" s="95"/>
      <c r="Q13" s="95"/>
      <c r="R13" s="93"/>
      <c r="S13" s="93"/>
      <c r="T13" s="93"/>
      <c r="U13" s="93"/>
      <c r="V13" s="93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6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8"/>
      <c r="BS13" s="98"/>
      <c r="BT13" s="98"/>
      <c r="BU13" s="98"/>
      <c r="BV13" s="98"/>
      <c r="BW13" s="98"/>
      <c r="BX13" s="98"/>
    </row>
    <row r="14" spans="1:76" ht="20.100000000000001" customHeight="1" x14ac:dyDescent="0.2">
      <c r="A14" s="93"/>
      <c r="B14" s="93"/>
      <c r="C14" s="93"/>
      <c r="D14" s="93"/>
      <c r="E14" s="94"/>
      <c r="F14" s="94"/>
      <c r="G14" s="94"/>
      <c r="H14" s="94"/>
      <c r="I14" s="94"/>
      <c r="J14" s="95"/>
      <c r="K14" s="95"/>
      <c r="L14" s="95"/>
      <c r="M14" s="95"/>
      <c r="N14" s="95"/>
      <c r="O14" s="95"/>
      <c r="P14" s="95"/>
      <c r="Q14" s="95"/>
      <c r="R14" s="93"/>
      <c r="S14" s="93"/>
      <c r="T14" s="93"/>
      <c r="U14" s="93"/>
      <c r="V14" s="93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6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8"/>
      <c r="BS14" s="98"/>
      <c r="BT14" s="98"/>
      <c r="BU14" s="98"/>
      <c r="BV14" s="98"/>
      <c r="BW14" s="98"/>
      <c r="BX14" s="98"/>
    </row>
    <row r="15" spans="1:76" ht="20.100000000000001" customHeight="1" x14ac:dyDescent="0.2">
      <c r="A15" s="93"/>
      <c r="B15" s="93"/>
      <c r="C15" s="93"/>
      <c r="D15" s="93"/>
      <c r="E15" s="94"/>
      <c r="F15" s="94"/>
      <c r="G15" s="94"/>
      <c r="H15" s="94"/>
      <c r="I15" s="94"/>
      <c r="J15" s="95"/>
      <c r="K15" s="95"/>
      <c r="L15" s="95"/>
      <c r="M15" s="95"/>
      <c r="N15" s="95"/>
      <c r="O15" s="95"/>
      <c r="P15" s="95"/>
      <c r="Q15" s="95"/>
      <c r="R15" s="93"/>
      <c r="S15" s="93"/>
      <c r="T15" s="93"/>
      <c r="U15" s="93"/>
      <c r="V15" s="93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6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8"/>
      <c r="BS15" s="98"/>
      <c r="BT15" s="98"/>
      <c r="BU15" s="98"/>
      <c r="BV15" s="98"/>
      <c r="BW15" s="98"/>
      <c r="BX15" s="98"/>
    </row>
    <row r="16" spans="1:76" ht="20.100000000000001" customHeight="1" x14ac:dyDescent="0.2">
      <c r="A16" s="93"/>
      <c r="B16" s="93"/>
      <c r="C16" s="93"/>
      <c r="D16" s="93"/>
      <c r="E16" s="94"/>
      <c r="F16" s="94"/>
      <c r="G16" s="94"/>
      <c r="H16" s="94"/>
      <c r="I16" s="94"/>
      <c r="J16" s="95"/>
      <c r="K16" s="95"/>
      <c r="L16" s="95"/>
      <c r="M16" s="95"/>
      <c r="N16" s="95"/>
      <c r="O16" s="95"/>
      <c r="P16" s="95"/>
      <c r="Q16" s="95"/>
      <c r="R16" s="93"/>
      <c r="S16" s="93"/>
      <c r="T16" s="93"/>
      <c r="U16" s="93"/>
      <c r="V16" s="93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6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8"/>
      <c r="BS16" s="98"/>
      <c r="BT16" s="98"/>
      <c r="BU16" s="98"/>
      <c r="BV16" s="98"/>
      <c r="BW16" s="98"/>
      <c r="BX16" s="98"/>
    </row>
    <row r="17" spans="1:76" ht="20.100000000000001" customHeight="1" x14ac:dyDescent="0.2">
      <c r="A17" s="93"/>
      <c r="B17" s="93"/>
      <c r="C17" s="93"/>
      <c r="D17" s="93"/>
      <c r="E17" s="94"/>
      <c r="F17" s="94"/>
      <c r="G17" s="94"/>
      <c r="H17" s="94"/>
      <c r="I17" s="94"/>
      <c r="J17" s="95"/>
      <c r="K17" s="95"/>
      <c r="L17" s="95"/>
      <c r="M17" s="95"/>
      <c r="N17" s="95"/>
      <c r="O17" s="95"/>
      <c r="P17" s="95"/>
      <c r="Q17" s="95"/>
      <c r="R17" s="93"/>
      <c r="S17" s="93"/>
      <c r="T17" s="93"/>
      <c r="U17" s="93"/>
      <c r="V17" s="93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6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8"/>
      <c r="BS17" s="98"/>
      <c r="BT17" s="98"/>
      <c r="BU17" s="98"/>
      <c r="BV17" s="98"/>
      <c r="BW17" s="98"/>
      <c r="BX17" s="98"/>
    </row>
    <row r="18" spans="1:76" ht="20.100000000000001" customHeight="1" x14ac:dyDescent="0.2">
      <c r="A18" s="93"/>
      <c r="B18" s="93"/>
      <c r="C18" s="93"/>
      <c r="D18" s="93"/>
      <c r="E18" s="94"/>
      <c r="F18" s="94"/>
      <c r="G18" s="94"/>
      <c r="H18" s="94"/>
      <c r="I18" s="94"/>
      <c r="J18" s="95"/>
      <c r="K18" s="95"/>
      <c r="L18" s="95"/>
      <c r="M18" s="95"/>
      <c r="N18" s="95"/>
      <c r="O18" s="95"/>
      <c r="P18" s="95"/>
      <c r="Q18" s="95"/>
      <c r="R18" s="93"/>
      <c r="S18" s="93"/>
      <c r="T18" s="93"/>
      <c r="U18" s="93"/>
      <c r="V18" s="93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6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8"/>
      <c r="BS18" s="98"/>
      <c r="BT18" s="98"/>
      <c r="BU18" s="98"/>
      <c r="BV18" s="98"/>
      <c r="BW18" s="98"/>
      <c r="BX18" s="98"/>
    </row>
    <row r="19" spans="1:76" ht="20.100000000000001" customHeight="1" x14ac:dyDescent="0.2">
      <c r="A19" s="93"/>
      <c r="B19" s="93"/>
      <c r="C19" s="93"/>
      <c r="D19" s="93"/>
      <c r="E19" s="94"/>
      <c r="F19" s="94"/>
      <c r="G19" s="94"/>
      <c r="H19" s="94"/>
      <c r="I19" s="94"/>
      <c r="J19" s="95"/>
      <c r="K19" s="95"/>
      <c r="L19" s="95"/>
      <c r="M19" s="95"/>
      <c r="N19" s="95"/>
      <c r="O19" s="95"/>
      <c r="P19" s="95"/>
      <c r="Q19" s="95"/>
      <c r="R19" s="93"/>
      <c r="S19" s="93"/>
      <c r="T19" s="93"/>
      <c r="U19" s="93"/>
      <c r="V19" s="93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6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8"/>
      <c r="BS19" s="98"/>
      <c r="BT19" s="98"/>
      <c r="BU19" s="98"/>
      <c r="BV19" s="98"/>
      <c r="BW19" s="98"/>
      <c r="BX19" s="98"/>
    </row>
    <row r="20" spans="1:76" ht="20.100000000000001" customHeight="1" x14ac:dyDescent="0.2">
      <c r="A20" s="93"/>
      <c r="B20" s="93"/>
      <c r="C20" s="93"/>
      <c r="D20" s="93"/>
      <c r="E20" s="94"/>
      <c r="F20" s="94"/>
      <c r="G20" s="94"/>
      <c r="H20" s="94"/>
      <c r="I20" s="94"/>
      <c r="J20" s="95"/>
      <c r="K20" s="95"/>
      <c r="L20" s="95"/>
      <c r="M20" s="95"/>
      <c r="N20" s="95"/>
      <c r="O20" s="95"/>
      <c r="P20" s="95"/>
      <c r="Q20" s="95"/>
      <c r="R20" s="93"/>
      <c r="S20" s="93"/>
      <c r="T20" s="93"/>
      <c r="U20" s="93"/>
      <c r="V20" s="93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6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8"/>
      <c r="BS20" s="98"/>
      <c r="BT20" s="98"/>
      <c r="BU20" s="98"/>
      <c r="BV20" s="98"/>
      <c r="BW20" s="98"/>
      <c r="BX20" s="98"/>
    </row>
    <row r="21" spans="1:76" ht="20.100000000000001" customHeight="1" x14ac:dyDescent="0.2">
      <c r="A21" s="93"/>
      <c r="B21" s="93"/>
      <c r="C21" s="93"/>
      <c r="D21" s="93"/>
      <c r="E21" s="94"/>
      <c r="F21" s="94"/>
      <c r="G21" s="94"/>
      <c r="H21" s="94"/>
      <c r="I21" s="94"/>
      <c r="J21" s="95"/>
      <c r="K21" s="95"/>
      <c r="L21" s="95"/>
      <c r="M21" s="95"/>
      <c r="N21" s="95"/>
      <c r="O21" s="95"/>
      <c r="P21" s="95"/>
      <c r="Q21" s="95"/>
      <c r="R21" s="93"/>
      <c r="S21" s="93"/>
      <c r="T21" s="93"/>
      <c r="U21" s="93"/>
      <c r="V21" s="93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6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8"/>
      <c r="BS21" s="98"/>
      <c r="BT21" s="98"/>
      <c r="BU21" s="98"/>
      <c r="BV21" s="98"/>
      <c r="BW21" s="98"/>
      <c r="BX21" s="98"/>
    </row>
    <row r="22" spans="1:76" ht="20.100000000000001" customHeight="1" x14ac:dyDescent="0.2">
      <c r="A22" s="93"/>
      <c r="B22" s="93"/>
      <c r="C22" s="93"/>
      <c r="D22" s="93"/>
      <c r="E22" s="94"/>
      <c r="F22" s="94"/>
      <c r="G22" s="94"/>
      <c r="H22" s="94"/>
      <c r="I22" s="94"/>
      <c r="J22" s="95"/>
      <c r="K22" s="95"/>
      <c r="L22" s="95"/>
      <c r="M22" s="95"/>
      <c r="N22" s="95"/>
      <c r="O22" s="95"/>
      <c r="P22" s="95"/>
      <c r="Q22" s="95"/>
      <c r="R22" s="93"/>
      <c r="S22" s="93"/>
      <c r="T22" s="93"/>
      <c r="U22" s="93"/>
      <c r="V22" s="93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6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8"/>
      <c r="BS22" s="98"/>
      <c r="BT22" s="98"/>
      <c r="BU22" s="98"/>
      <c r="BV22" s="98"/>
      <c r="BW22" s="98"/>
      <c r="BX22" s="98"/>
    </row>
    <row r="23" spans="1:76" ht="20.100000000000001" customHeight="1" x14ac:dyDescent="0.2">
      <c r="A23" s="93"/>
      <c r="B23" s="93"/>
      <c r="C23" s="93"/>
      <c r="D23" s="93"/>
      <c r="E23" s="94"/>
      <c r="F23" s="94"/>
      <c r="G23" s="94"/>
      <c r="H23" s="94"/>
      <c r="I23" s="94"/>
      <c r="J23" s="95"/>
      <c r="K23" s="95"/>
      <c r="L23" s="95"/>
      <c r="M23" s="95"/>
      <c r="N23" s="95"/>
      <c r="O23" s="95"/>
      <c r="P23" s="95"/>
      <c r="Q23" s="95"/>
      <c r="R23" s="93"/>
      <c r="S23" s="93"/>
      <c r="T23" s="93"/>
      <c r="U23" s="93"/>
      <c r="V23" s="93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6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8"/>
      <c r="BS23" s="98"/>
      <c r="BT23" s="98"/>
      <c r="BU23" s="98"/>
      <c r="BV23" s="98"/>
      <c r="BW23" s="98"/>
      <c r="BX23" s="98"/>
    </row>
    <row r="24" spans="1:76" ht="20.100000000000001" customHeight="1" x14ac:dyDescent="0.2">
      <c r="A24" s="93"/>
      <c r="B24" s="93"/>
      <c r="C24" s="93"/>
      <c r="D24" s="93"/>
      <c r="E24" s="94"/>
      <c r="F24" s="94"/>
      <c r="G24" s="94"/>
      <c r="H24" s="94"/>
      <c r="I24" s="94"/>
      <c r="J24" s="95"/>
      <c r="K24" s="95"/>
      <c r="L24" s="95"/>
      <c r="M24" s="95"/>
      <c r="N24" s="95"/>
      <c r="O24" s="95"/>
      <c r="P24" s="95"/>
      <c r="Q24" s="95"/>
      <c r="R24" s="93"/>
      <c r="S24" s="93"/>
      <c r="T24" s="93"/>
      <c r="U24" s="93"/>
      <c r="V24" s="93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6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8"/>
      <c r="BS24" s="98"/>
      <c r="BT24" s="98"/>
      <c r="BU24" s="98"/>
      <c r="BV24" s="98"/>
      <c r="BW24" s="98"/>
      <c r="BX24" s="98"/>
    </row>
    <row r="25" spans="1:76" ht="20.100000000000001" customHeight="1" x14ac:dyDescent="0.2">
      <c r="A25" s="93"/>
      <c r="B25" s="93"/>
      <c r="C25" s="93"/>
      <c r="D25" s="93"/>
      <c r="E25" s="94"/>
      <c r="F25" s="94"/>
      <c r="G25" s="94"/>
      <c r="H25" s="94"/>
      <c r="I25" s="94"/>
      <c r="J25" s="95"/>
      <c r="K25" s="95"/>
      <c r="L25" s="95"/>
      <c r="M25" s="95"/>
      <c r="N25" s="95"/>
      <c r="O25" s="95"/>
      <c r="P25" s="95"/>
      <c r="Q25" s="95"/>
      <c r="R25" s="93"/>
      <c r="S25" s="93"/>
      <c r="T25" s="93"/>
      <c r="U25" s="93"/>
      <c r="V25" s="93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6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8"/>
      <c r="BS25" s="98"/>
      <c r="BT25" s="98"/>
      <c r="BU25" s="98"/>
      <c r="BV25" s="98"/>
      <c r="BW25" s="98"/>
      <c r="BX25" s="98"/>
    </row>
    <row r="26" spans="1:76" ht="20.100000000000001" customHeight="1" x14ac:dyDescent="0.2">
      <c r="A26" s="93"/>
      <c r="B26" s="93"/>
      <c r="C26" s="93"/>
      <c r="D26" s="93"/>
      <c r="E26" s="94"/>
      <c r="F26" s="94"/>
      <c r="G26" s="94"/>
      <c r="H26" s="94"/>
      <c r="I26" s="94"/>
      <c r="J26" s="95"/>
      <c r="K26" s="95"/>
      <c r="L26" s="95"/>
      <c r="M26" s="95"/>
      <c r="N26" s="95"/>
      <c r="O26" s="95"/>
      <c r="P26" s="95"/>
      <c r="Q26" s="95"/>
      <c r="R26" s="93"/>
      <c r="S26" s="93"/>
      <c r="T26" s="93"/>
      <c r="U26" s="93"/>
      <c r="V26" s="93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6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8"/>
      <c r="BS26" s="98"/>
      <c r="BT26" s="98"/>
      <c r="BU26" s="98"/>
      <c r="BV26" s="98"/>
      <c r="BW26" s="98"/>
      <c r="BX26" s="98"/>
    </row>
    <row r="27" spans="1:76" ht="20.100000000000001" customHeight="1" x14ac:dyDescent="0.2">
      <c r="A27" s="93"/>
      <c r="B27" s="93"/>
      <c r="C27" s="93"/>
      <c r="D27" s="93"/>
      <c r="E27" s="94"/>
      <c r="F27" s="94"/>
      <c r="G27" s="94"/>
      <c r="H27" s="94"/>
      <c r="I27" s="94"/>
      <c r="J27" s="95"/>
      <c r="K27" s="95"/>
      <c r="L27" s="95"/>
      <c r="M27" s="95"/>
      <c r="N27" s="95"/>
      <c r="O27" s="95"/>
      <c r="P27" s="95"/>
      <c r="Q27" s="95"/>
      <c r="R27" s="93"/>
      <c r="S27" s="93"/>
      <c r="T27" s="93"/>
      <c r="U27" s="93"/>
      <c r="V27" s="93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6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8"/>
      <c r="BS27" s="98"/>
      <c r="BT27" s="98"/>
      <c r="BU27" s="98"/>
      <c r="BV27" s="98"/>
      <c r="BW27" s="98"/>
      <c r="BX27" s="98"/>
    </row>
    <row r="28" spans="1:76" ht="20.100000000000001" customHeight="1" x14ac:dyDescent="0.2">
      <c r="A28" s="93"/>
      <c r="B28" s="93"/>
      <c r="C28" s="93"/>
      <c r="D28" s="93"/>
      <c r="E28" s="94"/>
      <c r="F28" s="94"/>
      <c r="G28" s="94"/>
      <c r="H28" s="94"/>
      <c r="I28" s="94"/>
      <c r="J28" s="95"/>
      <c r="K28" s="95"/>
      <c r="L28" s="95"/>
      <c r="M28" s="95"/>
      <c r="N28" s="95"/>
      <c r="O28" s="95"/>
      <c r="P28" s="95"/>
      <c r="Q28" s="95"/>
      <c r="R28" s="93"/>
      <c r="S28" s="93"/>
      <c r="T28" s="93"/>
      <c r="U28" s="93"/>
      <c r="V28" s="93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6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8"/>
      <c r="BS28" s="98"/>
      <c r="BT28" s="98"/>
      <c r="BU28" s="98"/>
      <c r="BV28" s="98"/>
      <c r="BW28" s="98"/>
      <c r="BX28" s="98"/>
    </row>
  </sheetData>
  <mergeCells count="201">
    <mergeCell ref="AA28:AG28"/>
    <mergeCell ref="AH28:BQ28"/>
    <mergeCell ref="BR28:BX28"/>
    <mergeCell ref="A28:D28"/>
    <mergeCell ref="E28:I28"/>
    <mergeCell ref="J28:Q28"/>
    <mergeCell ref="R28:V28"/>
    <mergeCell ref="W28:Z28"/>
    <mergeCell ref="AA26:AG26"/>
    <mergeCell ref="AH26:BQ26"/>
    <mergeCell ref="BR26:BX26"/>
    <mergeCell ref="A27:D27"/>
    <mergeCell ref="E27:I27"/>
    <mergeCell ref="J27:Q27"/>
    <mergeCell ref="R27:V27"/>
    <mergeCell ref="W27:Z27"/>
    <mergeCell ref="AA27:AG27"/>
    <mergeCell ref="AH27:BQ27"/>
    <mergeCell ref="BR27:BX27"/>
    <mergeCell ref="A26:D26"/>
    <mergeCell ref="E26:I26"/>
    <mergeCell ref="J26:Q26"/>
    <mergeCell ref="R26:V26"/>
    <mergeCell ref="W26:Z26"/>
    <mergeCell ref="AA24:AG24"/>
    <mergeCell ref="AH24:BQ24"/>
    <mergeCell ref="BR24:BX24"/>
    <mergeCell ref="A25:D25"/>
    <mergeCell ref="E25:I25"/>
    <mergeCell ref="J25:Q25"/>
    <mergeCell ref="R25:V25"/>
    <mergeCell ref="W25:Z25"/>
    <mergeCell ref="AA25:AG25"/>
    <mergeCell ref="AH25:BQ25"/>
    <mergeCell ref="BR25:BX25"/>
    <mergeCell ref="A24:D24"/>
    <mergeCell ref="E24:I24"/>
    <mergeCell ref="J24:Q24"/>
    <mergeCell ref="R24:V24"/>
    <mergeCell ref="W24:Z24"/>
    <mergeCell ref="AA22:AG22"/>
    <mergeCell ref="AH22:BQ22"/>
    <mergeCell ref="BR22:BX22"/>
    <mergeCell ref="A23:D23"/>
    <mergeCell ref="E23:I23"/>
    <mergeCell ref="J23:Q23"/>
    <mergeCell ref="R23:V23"/>
    <mergeCell ref="W23:Z23"/>
    <mergeCell ref="AA23:AG23"/>
    <mergeCell ref="AH23:BQ23"/>
    <mergeCell ref="BR23:BX23"/>
    <mergeCell ref="A22:D22"/>
    <mergeCell ref="E22:I22"/>
    <mergeCell ref="J22:Q22"/>
    <mergeCell ref="R22:V22"/>
    <mergeCell ref="W22:Z22"/>
    <mergeCell ref="AA20:AG20"/>
    <mergeCell ref="AH20:BQ20"/>
    <mergeCell ref="BR20:BX20"/>
    <mergeCell ref="A21:D21"/>
    <mergeCell ref="E21:I21"/>
    <mergeCell ref="J21:Q21"/>
    <mergeCell ref="R21:V21"/>
    <mergeCell ref="W21:Z21"/>
    <mergeCell ref="AA21:AG21"/>
    <mergeCell ref="AH21:BQ21"/>
    <mergeCell ref="BR21:BX21"/>
    <mergeCell ref="A20:D20"/>
    <mergeCell ref="E20:I20"/>
    <mergeCell ref="J20:Q20"/>
    <mergeCell ref="R20:V20"/>
    <mergeCell ref="W20:Z20"/>
    <mergeCell ref="A19:D19"/>
    <mergeCell ref="E19:I19"/>
    <mergeCell ref="J19:Q19"/>
    <mergeCell ref="R19:V19"/>
    <mergeCell ref="W19:Z19"/>
    <mergeCell ref="AA19:AG19"/>
    <mergeCell ref="AH19:BQ19"/>
    <mergeCell ref="BR19:BX19"/>
    <mergeCell ref="A18:D18"/>
    <mergeCell ref="E18:I18"/>
    <mergeCell ref="J18:Q18"/>
    <mergeCell ref="R18:V18"/>
    <mergeCell ref="W18:Z18"/>
    <mergeCell ref="AA17:AG17"/>
    <mergeCell ref="AH17:BQ17"/>
    <mergeCell ref="BR17:BX17"/>
    <mergeCell ref="A17:D17"/>
    <mergeCell ref="E17:I17"/>
    <mergeCell ref="J17:Q17"/>
    <mergeCell ref="R17:V17"/>
    <mergeCell ref="W17:Z17"/>
    <mergeCell ref="AA18:AG18"/>
    <mergeCell ref="AH18:BQ18"/>
    <mergeCell ref="BR18:BX18"/>
    <mergeCell ref="AA15:AG15"/>
    <mergeCell ref="AH15:BQ15"/>
    <mergeCell ref="BR15:BX15"/>
    <mergeCell ref="A16:D16"/>
    <mergeCell ref="E16:I16"/>
    <mergeCell ref="J16:Q16"/>
    <mergeCell ref="R16:V16"/>
    <mergeCell ref="W16:Z16"/>
    <mergeCell ref="AA16:AG16"/>
    <mergeCell ref="AH16:BQ16"/>
    <mergeCell ref="BR16:BX16"/>
    <mergeCell ref="A15:D15"/>
    <mergeCell ref="E15:I15"/>
    <mergeCell ref="J15:Q15"/>
    <mergeCell ref="R15:V15"/>
    <mergeCell ref="W15:Z1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view="pageBreakPreview" zoomScaleNormal="85" zoomScaleSheetLayoutView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96" t="s">
        <v>1</v>
      </c>
      <c r="B1" s="197"/>
      <c r="C1" s="197"/>
      <c r="D1" s="197"/>
      <c r="E1" s="197"/>
      <c r="F1" s="197"/>
      <c r="G1" s="197"/>
      <c r="H1" s="198"/>
      <c r="I1" s="199" t="str">
        <f>タイトル!I40</f>
        <v>　学生勤務管理システム</v>
      </c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02" t="s">
        <v>0</v>
      </c>
      <c r="AF1" s="203"/>
      <c r="AG1" s="203"/>
      <c r="AH1" s="203"/>
      <c r="AI1" s="203"/>
      <c r="AJ1" s="203"/>
      <c r="AK1" s="204"/>
      <c r="AL1" s="205" t="str">
        <f>タイトル!I43</f>
        <v>　機能設計</v>
      </c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7"/>
      <c r="BI1" s="202" t="s">
        <v>12</v>
      </c>
      <c r="BJ1" s="203"/>
      <c r="BK1" s="203"/>
      <c r="BL1" s="204"/>
      <c r="BM1" s="208" t="str">
        <f>タイトル!I46</f>
        <v>木田　優</v>
      </c>
      <c r="BN1" s="209"/>
      <c r="BO1" s="209"/>
      <c r="BP1" s="209"/>
      <c r="BQ1" s="209"/>
      <c r="BR1" s="209"/>
      <c r="BS1" s="209"/>
      <c r="BT1" s="209"/>
      <c r="BU1" s="209"/>
      <c r="BV1" s="210"/>
      <c r="BW1" s="154">
        <f>タイトル!I47</f>
        <v>45205</v>
      </c>
      <c r="BX1" s="155"/>
      <c r="BY1" s="155"/>
      <c r="BZ1" s="155"/>
      <c r="CA1" s="155"/>
      <c r="CB1" s="155"/>
      <c r="CC1" s="155"/>
      <c r="CD1" s="155"/>
      <c r="CE1" s="156"/>
      <c r="CF1" s="157" t="s">
        <v>13</v>
      </c>
      <c r="CG1" s="158"/>
      <c r="CH1" s="158"/>
      <c r="CI1" s="158"/>
      <c r="CJ1" s="159"/>
      <c r="CK1" s="166" t="str">
        <f>タイトル!I50</f>
        <v>DUC010</v>
      </c>
      <c r="CL1" s="167"/>
      <c r="CM1" s="167"/>
      <c r="CN1" s="167"/>
      <c r="CO1" s="167"/>
      <c r="CP1" s="167"/>
      <c r="CQ1" s="167"/>
      <c r="CR1" s="168"/>
    </row>
    <row r="2" spans="1:96" s="15" customFormat="1" ht="15" customHeight="1" x14ac:dyDescent="0.2">
      <c r="A2" s="175" t="s">
        <v>14</v>
      </c>
      <c r="B2" s="176"/>
      <c r="C2" s="176"/>
      <c r="D2" s="176"/>
      <c r="E2" s="176"/>
      <c r="F2" s="176"/>
      <c r="G2" s="176"/>
      <c r="H2" s="177"/>
      <c r="I2" s="178" t="str">
        <f>タイトル!I41</f>
        <v>　共通機能</v>
      </c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80"/>
      <c r="AE2" s="181" t="s">
        <v>32</v>
      </c>
      <c r="AF2" s="182"/>
      <c r="AG2" s="182"/>
      <c r="AH2" s="182"/>
      <c r="AI2" s="182"/>
      <c r="AJ2" s="182"/>
      <c r="AK2" s="183"/>
      <c r="AL2" s="184" t="str">
        <f>タイトル!I44</f>
        <v>　CZ-040_メール自動送信</v>
      </c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6"/>
      <c r="BI2" s="187" t="s">
        <v>15</v>
      </c>
      <c r="BJ2" s="188"/>
      <c r="BK2" s="188"/>
      <c r="BL2" s="189"/>
      <c r="BM2" s="190"/>
      <c r="BN2" s="191"/>
      <c r="BO2" s="191"/>
      <c r="BP2" s="191"/>
      <c r="BQ2" s="191"/>
      <c r="BR2" s="191"/>
      <c r="BS2" s="191"/>
      <c r="BT2" s="191"/>
      <c r="BU2" s="191"/>
      <c r="BV2" s="192"/>
      <c r="BW2" s="193"/>
      <c r="BX2" s="194"/>
      <c r="BY2" s="194"/>
      <c r="BZ2" s="194"/>
      <c r="CA2" s="194"/>
      <c r="CB2" s="194"/>
      <c r="CC2" s="194"/>
      <c r="CD2" s="194"/>
      <c r="CE2" s="195"/>
      <c r="CF2" s="160"/>
      <c r="CG2" s="161"/>
      <c r="CH2" s="161"/>
      <c r="CI2" s="161"/>
      <c r="CJ2" s="162"/>
      <c r="CK2" s="169"/>
      <c r="CL2" s="170"/>
      <c r="CM2" s="170"/>
      <c r="CN2" s="170"/>
      <c r="CO2" s="170"/>
      <c r="CP2" s="170"/>
      <c r="CQ2" s="170"/>
      <c r="CR2" s="171"/>
    </row>
    <row r="3" spans="1:96" s="15" customFormat="1" ht="15" customHeight="1" thickBot="1" x14ac:dyDescent="0.25">
      <c r="A3" s="139"/>
      <c r="B3" s="140"/>
      <c r="C3" s="140"/>
      <c r="D3" s="140"/>
      <c r="E3" s="140"/>
      <c r="F3" s="140"/>
      <c r="G3" s="140"/>
      <c r="H3" s="141"/>
      <c r="I3" s="142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4"/>
      <c r="AE3" s="163"/>
      <c r="AF3" s="164"/>
      <c r="AG3" s="164"/>
      <c r="AH3" s="164"/>
      <c r="AI3" s="164"/>
      <c r="AJ3" s="164"/>
      <c r="AK3" s="165"/>
      <c r="AL3" s="145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7"/>
      <c r="BI3" s="148"/>
      <c r="BJ3" s="149"/>
      <c r="BK3" s="149"/>
      <c r="BL3" s="150"/>
      <c r="BM3" s="151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3"/>
      <c r="CF3" s="163"/>
      <c r="CG3" s="164"/>
      <c r="CH3" s="164"/>
      <c r="CI3" s="164"/>
      <c r="CJ3" s="165"/>
      <c r="CK3" s="172"/>
      <c r="CL3" s="173"/>
      <c r="CM3" s="173"/>
      <c r="CN3" s="173"/>
      <c r="CO3" s="173"/>
      <c r="CP3" s="173"/>
      <c r="CQ3" s="173"/>
      <c r="CR3" s="174"/>
    </row>
    <row r="4" spans="1:96" s="16" customFormat="1" ht="15" customHeight="1" x14ac:dyDescent="0.2">
      <c r="A4" s="133" t="s">
        <v>36</v>
      </c>
      <c r="B4" s="134"/>
      <c r="C4" s="134"/>
      <c r="D4" s="134"/>
      <c r="E4" s="134"/>
      <c r="F4" s="134"/>
      <c r="G4" s="134"/>
      <c r="H4" s="134"/>
      <c r="I4" s="135" t="str">
        <f>"　" &amp; RIGHT(タイトル!I44,LEN(タイトル!I44)-8)</f>
        <v>　メール自動送信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4" t="s">
        <v>37</v>
      </c>
      <c r="AM4" s="134"/>
      <c r="AN4" s="134"/>
      <c r="AO4" s="134"/>
      <c r="AP4" s="134"/>
      <c r="AQ4" s="134"/>
      <c r="AR4" s="134"/>
      <c r="AS4" s="136" t="str">
        <f>LEFT(タイトル!I44,7)</f>
        <v>　CZ-040</v>
      </c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7" t="s">
        <v>35</v>
      </c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0" t="s">
        <v>46</v>
      </c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2"/>
    </row>
    <row r="5" spans="1:96" s="13" customFormat="1" ht="15" customHeight="1" x14ac:dyDescent="0.15">
      <c r="A5" s="127" t="s">
        <v>39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9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49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C8" s="18" t="s">
        <v>50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127" t="s">
        <v>47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9"/>
    </row>
    <row r="11" spans="1:96" s="13" customFormat="1" ht="15" customHeight="1" x14ac:dyDescent="0.1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3"/>
    </row>
    <row r="12" spans="1:96" s="13" customFormat="1" ht="15" customHeight="1" x14ac:dyDescent="0.15">
      <c r="A12" s="21"/>
      <c r="B12" s="12" t="s">
        <v>51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23"/>
    </row>
    <row r="13" spans="1:96" s="13" customFormat="1" ht="15" customHeight="1" x14ac:dyDescent="0.15">
      <c r="A13" s="2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23"/>
    </row>
    <row r="14" spans="1:96" s="13" customFormat="1" ht="15" customHeight="1" x14ac:dyDescent="0.15">
      <c r="A14" s="21"/>
      <c r="C14" s="13" t="s">
        <v>54</v>
      </c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23"/>
    </row>
    <row r="15" spans="1:96" s="13" customFormat="1" ht="15" customHeight="1" x14ac:dyDescent="0.15">
      <c r="A15" s="21"/>
      <c r="AA15" s="12"/>
      <c r="AB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23"/>
    </row>
    <row r="16" spans="1:96" s="13" customFormat="1" ht="15" customHeight="1" x14ac:dyDescent="0.15">
      <c r="A16" s="21"/>
      <c r="AA16" s="12"/>
      <c r="AB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23"/>
    </row>
    <row r="17" spans="1:96" s="13" customFormat="1" ht="15" customHeight="1" x14ac:dyDescent="0.15">
      <c r="A17" s="21"/>
      <c r="AA17" s="12"/>
      <c r="AB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23"/>
    </row>
    <row r="18" spans="1:96" s="13" customFormat="1" ht="15" customHeight="1" x14ac:dyDescent="0.15">
      <c r="A18" s="21"/>
      <c r="F18" s="45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2"/>
      <c r="AE18" s="32"/>
      <c r="AF18" s="32"/>
      <c r="AG18" s="34"/>
      <c r="AH18" s="34"/>
      <c r="AI18" s="34"/>
      <c r="AJ18" s="34"/>
      <c r="AK18" s="46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23"/>
    </row>
    <row r="19" spans="1:96" s="13" customFormat="1" ht="15" customHeight="1" x14ac:dyDescent="0.15">
      <c r="A19" s="21"/>
      <c r="F19" s="35"/>
      <c r="G19" s="47"/>
      <c r="H19" s="47"/>
      <c r="I19" s="47"/>
      <c r="J19" s="47"/>
      <c r="L19" s="41" t="s">
        <v>52</v>
      </c>
      <c r="M19" s="42"/>
      <c r="N19" s="42"/>
      <c r="O19" s="42"/>
      <c r="P19" s="42"/>
      <c r="Q19" s="42"/>
      <c r="R19" s="43"/>
      <c r="S19" s="42" t="s">
        <v>53</v>
      </c>
      <c r="T19" s="42"/>
      <c r="U19" s="42"/>
      <c r="V19" s="42"/>
      <c r="W19" s="42"/>
      <c r="X19" s="42"/>
      <c r="Y19" s="42"/>
      <c r="Z19" s="42"/>
      <c r="AA19" s="42"/>
      <c r="AB19" s="42"/>
      <c r="AC19" s="43"/>
      <c r="AD19" s="48" t="s">
        <v>55</v>
      </c>
      <c r="AE19" s="44"/>
      <c r="AF19" s="44"/>
      <c r="AG19" s="42"/>
      <c r="AH19" s="42"/>
      <c r="AI19" s="42"/>
      <c r="AJ19" s="43"/>
      <c r="AK19" s="2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23"/>
    </row>
    <row r="20" spans="1:96" s="13" customFormat="1" ht="15" customHeight="1" x14ac:dyDescent="0.15">
      <c r="A20" s="21"/>
      <c r="F20" s="35"/>
      <c r="G20" s="47"/>
      <c r="H20" s="47"/>
      <c r="I20" s="47"/>
      <c r="J20" s="47"/>
      <c r="K20" s="47"/>
      <c r="L20" s="37" t="s">
        <v>80</v>
      </c>
      <c r="M20" s="38"/>
      <c r="N20" s="38"/>
      <c r="O20" s="38"/>
      <c r="P20" s="38"/>
      <c r="Q20" s="38"/>
      <c r="R20" s="39"/>
      <c r="S20" s="38" t="s">
        <v>71</v>
      </c>
      <c r="T20" s="38"/>
      <c r="U20" s="38"/>
      <c r="V20" s="38"/>
      <c r="W20" s="38"/>
      <c r="X20" s="38"/>
      <c r="Y20" s="38"/>
      <c r="Z20" s="38"/>
      <c r="AA20" s="38"/>
      <c r="AB20" s="38"/>
      <c r="AC20" s="39"/>
      <c r="AD20" s="49" t="s">
        <v>81</v>
      </c>
      <c r="AE20" s="40"/>
      <c r="AF20" s="40"/>
      <c r="AG20" s="38"/>
      <c r="AH20" s="38"/>
      <c r="AI20" s="38"/>
      <c r="AJ20" s="39"/>
      <c r="AK20" s="29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23"/>
    </row>
    <row r="21" spans="1:96" s="13" customFormat="1" ht="15" customHeight="1" x14ac:dyDescent="0.15">
      <c r="A21" s="21"/>
      <c r="F21" s="35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29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23"/>
    </row>
    <row r="22" spans="1:96" s="13" customFormat="1" ht="15" customHeight="1" x14ac:dyDescent="0.15">
      <c r="A22" s="21"/>
      <c r="F22" s="36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3"/>
      <c r="AE22" s="33"/>
      <c r="AF22" s="33"/>
      <c r="AG22" s="30"/>
      <c r="AH22" s="30"/>
      <c r="AI22" s="30"/>
      <c r="AJ22" s="30"/>
      <c r="AK22" s="31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23"/>
    </row>
    <row r="23" spans="1:96" s="13" customFormat="1" ht="15" customHeight="1" x14ac:dyDescent="0.15">
      <c r="A23" s="2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23"/>
    </row>
    <row r="24" spans="1:96" s="13" customFormat="1" ht="15" customHeight="1" x14ac:dyDescent="0.15">
      <c r="A24" s="2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23"/>
    </row>
    <row r="25" spans="1:96" s="13" customFormat="1" ht="15" customHeight="1" x14ac:dyDescent="0.15">
      <c r="A25" s="2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23"/>
    </row>
    <row r="26" spans="1:96" s="13" customFormat="1" ht="15" customHeight="1" x14ac:dyDescent="0.15">
      <c r="A26" s="2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23"/>
    </row>
    <row r="27" spans="1:96" s="13" customFormat="1" ht="15" customHeight="1" x14ac:dyDescent="0.15">
      <c r="A27" s="2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23"/>
    </row>
    <row r="28" spans="1:96" s="13" customFormat="1" ht="15" customHeight="1" x14ac:dyDescent="0.15">
      <c r="A28" s="21"/>
      <c r="B28" s="12"/>
      <c r="C28" s="12" t="s">
        <v>56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23"/>
    </row>
    <row r="29" spans="1:96" s="13" customFormat="1" ht="15" customHeight="1" x14ac:dyDescent="0.15">
      <c r="A29" s="2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23"/>
    </row>
    <row r="30" spans="1:96" s="13" customFormat="1" ht="15" customHeight="1" x14ac:dyDescent="0.15">
      <c r="A30" s="21"/>
      <c r="B30" s="12"/>
      <c r="C30" s="12"/>
      <c r="D30" s="12"/>
      <c r="E30" s="48" t="s">
        <v>58</v>
      </c>
      <c r="F30" s="44"/>
      <c r="G30" s="44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3"/>
      <c r="T30" s="48" t="s">
        <v>62</v>
      </c>
      <c r="U30" s="44"/>
      <c r="V30" s="44"/>
      <c r="W30" s="42"/>
      <c r="X30" s="42"/>
      <c r="Y30" s="42"/>
      <c r="Z30" s="42"/>
      <c r="AA30" s="42"/>
      <c r="AB30" s="43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23"/>
    </row>
    <row r="31" spans="1:96" s="13" customFormat="1" ht="15" customHeight="1" x14ac:dyDescent="0.15">
      <c r="A31" s="21"/>
      <c r="B31" s="12"/>
      <c r="C31" s="12"/>
      <c r="D31" s="12"/>
      <c r="E31" s="49" t="s">
        <v>79</v>
      </c>
      <c r="F31" s="40"/>
      <c r="G31" s="40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9"/>
      <c r="T31" s="49" t="s">
        <v>82</v>
      </c>
      <c r="U31" s="40"/>
      <c r="V31" s="40"/>
      <c r="W31" s="38"/>
      <c r="X31" s="38"/>
      <c r="Y31" s="38"/>
      <c r="Z31" s="38"/>
      <c r="AA31" s="38"/>
      <c r="AB31" s="39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23"/>
    </row>
    <row r="32" spans="1:96" s="13" customFormat="1" ht="15" customHeight="1" x14ac:dyDescent="0.15">
      <c r="A32" s="2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23"/>
    </row>
    <row r="33" spans="1:96" s="13" customFormat="1" ht="15" customHeight="1" x14ac:dyDescent="0.15">
      <c r="A33" s="2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23"/>
    </row>
    <row r="34" spans="1:96" s="13" customFormat="1" ht="15" customHeight="1" x14ac:dyDescent="0.15">
      <c r="A34" s="2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23"/>
    </row>
    <row r="35" spans="1:96" s="13" customFormat="1" ht="15" customHeight="1" x14ac:dyDescent="0.15">
      <c r="A35" s="2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23"/>
    </row>
    <row r="36" spans="1:96" s="13" customFormat="1" ht="15" customHeight="1" x14ac:dyDescent="0.15">
      <c r="A36" s="2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23"/>
    </row>
    <row r="37" spans="1:96" s="13" customFormat="1" ht="15" customHeight="1" x14ac:dyDescent="0.15">
      <c r="A37" s="2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23"/>
    </row>
    <row r="38" spans="1:96" s="13" customFormat="1" ht="15" customHeight="1" x14ac:dyDescent="0.15">
      <c r="A38" s="2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23"/>
    </row>
    <row r="39" spans="1:96" s="13" customFormat="1" ht="15" customHeight="1" x14ac:dyDescent="0.15">
      <c r="A39" s="2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 t="s">
        <v>59</v>
      </c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23"/>
    </row>
    <row r="40" spans="1:96" s="13" customFormat="1" ht="15" customHeight="1" x14ac:dyDescent="0.15">
      <c r="A40" s="2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Y40" s="12" t="s">
        <v>83</v>
      </c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23"/>
    </row>
    <row r="41" spans="1:96" s="13" customFormat="1" ht="15" customHeight="1" x14ac:dyDescent="0.15">
      <c r="A41" s="2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23"/>
    </row>
    <row r="42" spans="1:96" s="13" customFormat="1" ht="15" customHeight="1" x14ac:dyDescent="0.15">
      <c r="A42" s="2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23"/>
    </row>
    <row r="43" spans="1:96" s="13" customFormat="1" ht="15" customHeight="1" x14ac:dyDescent="0.15">
      <c r="A43" s="2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23"/>
    </row>
    <row r="44" spans="1:96" s="13" customFormat="1" ht="15" customHeight="1" x14ac:dyDescent="0.15">
      <c r="A44" s="2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23"/>
    </row>
    <row r="45" spans="1:96" s="13" customFormat="1" ht="15" customHeight="1" x14ac:dyDescent="0.15">
      <c r="A45" s="2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22"/>
      <c r="CK45" s="22"/>
      <c r="CL45" s="22"/>
      <c r="CM45" s="22"/>
      <c r="CN45" s="22"/>
      <c r="CO45" s="22"/>
      <c r="CP45" s="22"/>
      <c r="CQ45" s="22"/>
      <c r="CR45" s="23"/>
    </row>
    <row r="46" spans="1:96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W46" s="12"/>
      <c r="BX46" s="12"/>
      <c r="BY46" s="12"/>
      <c r="BZ46" s="12"/>
      <c r="CA46" s="12"/>
      <c r="CB46" s="12"/>
      <c r="CC46" s="12"/>
      <c r="CD46" s="1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3"/>
    </row>
    <row r="47" spans="1:96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</sheetData>
  <mergeCells count="29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A5:CR5"/>
    <mergeCell ref="BT4:CR4"/>
    <mergeCell ref="A10:CR10"/>
    <mergeCell ref="A4:H4"/>
    <mergeCell ref="I4:AK4"/>
    <mergeCell ref="AL4:AR4"/>
    <mergeCell ref="AS4:BH4"/>
    <mergeCell ref="BI4:BS4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7C9A-C023-4CC1-A9BE-42150EB10E13}">
  <sheetPr>
    <tabColor rgb="FFFFFF00"/>
  </sheetPr>
  <dimension ref="A1:CT47"/>
  <sheetViews>
    <sheetView view="pageBreakPreview" zoomScaleNormal="85" zoomScaleSheetLayoutView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8671875" defaultRowHeight="15" customHeight="1" x14ac:dyDescent="0.15"/>
  <cols>
    <col min="1" max="16384" width="1.88671875" style="17"/>
  </cols>
  <sheetData>
    <row r="1" spans="1:96" s="15" customFormat="1" ht="15" customHeight="1" x14ac:dyDescent="0.2">
      <c r="A1" s="196" t="s">
        <v>1</v>
      </c>
      <c r="B1" s="197"/>
      <c r="C1" s="197"/>
      <c r="D1" s="197"/>
      <c r="E1" s="197"/>
      <c r="F1" s="197"/>
      <c r="G1" s="197"/>
      <c r="H1" s="198"/>
      <c r="I1" s="199" t="str">
        <f>タイトル!I40</f>
        <v>　学生勤務管理システム</v>
      </c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1"/>
      <c r="AE1" s="202" t="s">
        <v>0</v>
      </c>
      <c r="AF1" s="203"/>
      <c r="AG1" s="203"/>
      <c r="AH1" s="203"/>
      <c r="AI1" s="203"/>
      <c r="AJ1" s="203"/>
      <c r="AK1" s="204"/>
      <c r="AL1" s="205" t="str">
        <f>タイトル!I43</f>
        <v>　機能設計</v>
      </c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6"/>
      <c r="BE1" s="206"/>
      <c r="BF1" s="206"/>
      <c r="BG1" s="206"/>
      <c r="BH1" s="207"/>
      <c r="BI1" s="202" t="s">
        <v>12</v>
      </c>
      <c r="BJ1" s="203"/>
      <c r="BK1" s="203"/>
      <c r="BL1" s="204"/>
      <c r="BM1" s="208" t="str">
        <f>タイトル!I46</f>
        <v>木田　優</v>
      </c>
      <c r="BN1" s="209"/>
      <c r="BO1" s="209"/>
      <c r="BP1" s="209"/>
      <c r="BQ1" s="209"/>
      <c r="BR1" s="209"/>
      <c r="BS1" s="209"/>
      <c r="BT1" s="209"/>
      <c r="BU1" s="209"/>
      <c r="BV1" s="210"/>
      <c r="BW1" s="154">
        <f>タイトル!I47</f>
        <v>45205</v>
      </c>
      <c r="BX1" s="155"/>
      <c r="BY1" s="155"/>
      <c r="BZ1" s="155"/>
      <c r="CA1" s="155"/>
      <c r="CB1" s="155"/>
      <c r="CC1" s="155"/>
      <c r="CD1" s="155"/>
      <c r="CE1" s="156"/>
      <c r="CF1" s="157" t="s">
        <v>13</v>
      </c>
      <c r="CG1" s="158"/>
      <c r="CH1" s="158"/>
      <c r="CI1" s="158"/>
      <c r="CJ1" s="159"/>
      <c r="CK1" s="166" t="str">
        <f>タイトル!I50</f>
        <v>DUC010</v>
      </c>
      <c r="CL1" s="167"/>
      <c r="CM1" s="167"/>
      <c r="CN1" s="167"/>
      <c r="CO1" s="167"/>
      <c r="CP1" s="167"/>
      <c r="CQ1" s="167"/>
      <c r="CR1" s="168"/>
    </row>
    <row r="2" spans="1:96" s="15" customFormat="1" ht="15" customHeight="1" x14ac:dyDescent="0.2">
      <c r="A2" s="175" t="s">
        <v>14</v>
      </c>
      <c r="B2" s="176"/>
      <c r="C2" s="176"/>
      <c r="D2" s="176"/>
      <c r="E2" s="176"/>
      <c r="F2" s="176"/>
      <c r="G2" s="176"/>
      <c r="H2" s="177"/>
      <c r="I2" s="178" t="str">
        <f>タイトル!I41</f>
        <v>　共通機能</v>
      </c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80"/>
      <c r="AE2" s="181" t="s">
        <v>32</v>
      </c>
      <c r="AF2" s="182"/>
      <c r="AG2" s="182"/>
      <c r="AH2" s="182"/>
      <c r="AI2" s="182"/>
      <c r="AJ2" s="182"/>
      <c r="AK2" s="183"/>
      <c r="AL2" s="184" t="str">
        <f>タイトル!I44</f>
        <v>　CZ-040_メール自動送信</v>
      </c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6"/>
      <c r="BI2" s="187" t="s">
        <v>15</v>
      </c>
      <c r="BJ2" s="188"/>
      <c r="BK2" s="188"/>
      <c r="BL2" s="189"/>
      <c r="BM2" s="190" t="s">
        <v>77</v>
      </c>
      <c r="BN2" s="191"/>
      <c r="BO2" s="191"/>
      <c r="BP2" s="191"/>
      <c r="BQ2" s="191"/>
      <c r="BR2" s="191"/>
      <c r="BS2" s="191"/>
      <c r="BT2" s="191"/>
      <c r="BU2" s="191"/>
      <c r="BV2" s="192"/>
      <c r="BW2" s="193">
        <v>45819</v>
      </c>
      <c r="BX2" s="194"/>
      <c r="BY2" s="194"/>
      <c r="BZ2" s="194"/>
      <c r="CA2" s="194"/>
      <c r="CB2" s="194"/>
      <c r="CC2" s="194"/>
      <c r="CD2" s="194"/>
      <c r="CE2" s="195"/>
      <c r="CF2" s="160"/>
      <c r="CG2" s="161"/>
      <c r="CH2" s="161"/>
      <c r="CI2" s="161"/>
      <c r="CJ2" s="162"/>
      <c r="CK2" s="169"/>
      <c r="CL2" s="170"/>
      <c r="CM2" s="170"/>
      <c r="CN2" s="170"/>
      <c r="CO2" s="170"/>
      <c r="CP2" s="170"/>
      <c r="CQ2" s="170"/>
      <c r="CR2" s="171"/>
    </row>
    <row r="3" spans="1:96" s="15" customFormat="1" ht="15" customHeight="1" thickBot="1" x14ac:dyDescent="0.25">
      <c r="A3" s="139"/>
      <c r="B3" s="140"/>
      <c r="C3" s="140"/>
      <c r="D3" s="140"/>
      <c r="E3" s="140"/>
      <c r="F3" s="140"/>
      <c r="G3" s="140"/>
      <c r="H3" s="141"/>
      <c r="I3" s="142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4"/>
      <c r="AE3" s="163"/>
      <c r="AF3" s="164"/>
      <c r="AG3" s="164"/>
      <c r="AH3" s="164"/>
      <c r="AI3" s="164"/>
      <c r="AJ3" s="164"/>
      <c r="AK3" s="165"/>
      <c r="AL3" s="145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6"/>
      <c r="BF3" s="146"/>
      <c r="BG3" s="146"/>
      <c r="BH3" s="147"/>
      <c r="BI3" s="148"/>
      <c r="BJ3" s="149"/>
      <c r="BK3" s="149"/>
      <c r="BL3" s="150"/>
      <c r="BM3" s="151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3"/>
      <c r="CF3" s="163"/>
      <c r="CG3" s="164"/>
      <c r="CH3" s="164"/>
      <c r="CI3" s="164"/>
      <c r="CJ3" s="165"/>
      <c r="CK3" s="172"/>
      <c r="CL3" s="173"/>
      <c r="CM3" s="173"/>
      <c r="CN3" s="173"/>
      <c r="CO3" s="173"/>
      <c r="CP3" s="173"/>
      <c r="CQ3" s="173"/>
      <c r="CR3" s="174"/>
    </row>
    <row r="4" spans="1:96" s="16" customFormat="1" ht="15" customHeight="1" x14ac:dyDescent="0.2">
      <c r="A4" s="133" t="s">
        <v>36</v>
      </c>
      <c r="B4" s="134"/>
      <c r="C4" s="134"/>
      <c r="D4" s="134"/>
      <c r="E4" s="134"/>
      <c r="F4" s="134"/>
      <c r="G4" s="134"/>
      <c r="H4" s="134"/>
      <c r="I4" s="135" t="str">
        <f ca="1">"　" &amp; RIGHT(CELL("filename",A1),LEN(CELL("filename",A1))-FIND("]",CELL("filename",A1)))</f>
        <v>　メール自動送信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4" t="s">
        <v>37</v>
      </c>
      <c r="AM4" s="134"/>
      <c r="AN4" s="134"/>
      <c r="AO4" s="134"/>
      <c r="AP4" s="134"/>
      <c r="AQ4" s="134"/>
      <c r="AR4" s="134"/>
      <c r="AS4" s="136" t="s">
        <v>60</v>
      </c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7" t="s">
        <v>35</v>
      </c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0" t="s">
        <v>46</v>
      </c>
      <c r="BU4" s="131"/>
      <c r="BV4" s="131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2"/>
    </row>
    <row r="5" spans="1:96" s="13" customFormat="1" ht="15" customHeight="1" x14ac:dyDescent="0.15">
      <c r="A5" s="127" t="s">
        <v>39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  <c r="CJ5" s="128"/>
      <c r="CK5" s="128"/>
      <c r="CL5" s="128"/>
      <c r="CM5" s="128"/>
      <c r="CN5" s="128"/>
      <c r="CO5" s="128"/>
      <c r="CP5" s="128"/>
      <c r="CQ5" s="128"/>
      <c r="CR5" s="129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61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127" t="s">
        <v>47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9"/>
    </row>
    <row r="11" spans="1:96" s="13" customFormat="1" ht="15" customHeight="1" x14ac:dyDescent="0.1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3"/>
    </row>
    <row r="12" spans="1:96" s="13" customFormat="1" ht="15" customHeight="1" x14ac:dyDescent="0.15">
      <c r="A12" s="21"/>
      <c r="B12" s="12" t="s">
        <v>66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23"/>
    </row>
    <row r="13" spans="1:96" s="13" customFormat="1" ht="15" customHeight="1" x14ac:dyDescent="0.15">
      <c r="A13" s="2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23"/>
    </row>
    <row r="14" spans="1:96" s="13" customFormat="1" ht="15" customHeight="1" x14ac:dyDescent="0.15">
      <c r="A14" s="21"/>
      <c r="C14" s="67" t="s">
        <v>57</v>
      </c>
      <c r="D14" s="68"/>
      <c r="E14" s="68"/>
      <c r="F14" s="69"/>
      <c r="G14" s="69"/>
      <c r="H14" s="69"/>
      <c r="I14" s="70"/>
      <c r="J14" s="67" t="s">
        <v>58</v>
      </c>
      <c r="K14" s="68"/>
      <c r="L14" s="68"/>
      <c r="M14" s="69"/>
      <c r="N14" s="69"/>
      <c r="O14" s="69"/>
      <c r="P14" s="69"/>
      <c r="Q14" s="69"/>
      <c r="R14" s="69"/>
      <c r="S14" s="67" t="s">
        <v>62</v>
      </c>
      <c r="T14" s="68"/>
      <c r="U14" s="68"/>
      <c r="V14" s="69"/>
      <c r="W14" s="69"/>
      <c r="X14" s="69"/>
      <c r="Y14" s="69"/>
      <c r="Z14" s="69"/>
      <c r="AA14" s="69"/>
      <c r="AB14" s="71" t="s">
        <v>65</v>
      </c>
      <c r="AC14" s="69"/>
      <c r="AD14" s="69"/>
      <c r="AE14" s="69"/>
      <c r="AF14" s="69"/>
      <c r="AG14" s="69"/>
      <c r="AH14" s="69"/>
      <c r="AI14" s="69"/>
      <c r="AJ14" s="69"/>
      <c r="AK14" s="69"/>
      <c r="AL14" s="70"/>
      <c r="AM14" s="67" t="s">
        <v>64</v>
      </c>
      <c r="AN14" s="68"/>
      <c r="AO14" s="68"/>
      <c r="AP14" s="68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8"/>
      <c r="BN14" s="68"/>
      <c r="BO14" s="68"/>
      <c r="BP14" s="68"/>
      <c r="BQ14" s="68"/>
      <c r="BR14" s="68"/>
      <c r="BS14" s="68"/>
      <c r="BT14" s="68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70"/>
      <c r="CQ14" s="12"/>
      <c r="CR14" s="23"/>
    </row>
    <row r="15" spans="1:96" s="13" customFormat="1" ht="15" customHeight="1" x14ac:dyDescent="0.15">
      <c r="A15" s="21"/>
      <c r="C15" s="72" t="s">
        <v>74</v>
      </c>
      <c r="D15" s="73"/>
      <c r="E15" s="73"/>
      <c r="F15" s="74"/>
      <c r="G15" s="74"/>
      <c r="H15" s="74"/>
      <c r="I15" s="75"/>
      <c r="J15" s="72" t="s">
        <v>60</v>
      </c>
      <c r="K15" s="73"/>
      <c r="L15" s="73"/>
      <c r="M15" s="74"/>
      <c r="N15" s="74"/>
      <c r="O15" s="74"/>
      <c r="P15" s="74"/>
      <c r="Q15" s="74"/>
      <c r="R15" s="75"/>
      <c r="S15" s="72" t="s">
        <v>82</v>
      </c>
      <c r="T15" s="73"/>
      <c r="U15" s="73"/>
      <c r="V15" s="74"/>
      <c r="W15" s="74"/>
      <c r="X15" s="74"/>
      <c r="Y15" s="74"/>
      <c r="Z15" s="74"/>
      <c r="AA15" s="74"/>
      <c r="AB15" s="72" t="s">
        <v>84</v>
      </c>
      <c r="AC15" s="73"/>
      <c r="AD15" s="73"/>
      <c r="AE15" s="73"/>
      <c r="AF15" s="73"/>
      <c r="AG15" s="73"/>
      <c r="AH15" s="73"/>
      <c r="AI15" s="73"/>
      <c r="AJ15" s="73"/>
      <c r="AK15" s="73"/>
      <c r="AL15" s="76"/>
      <c r="AM15" s="72" t="s">
        <v>63</v>
      </c>
      <c r="AN15" s="73"/>
      <c r="AO15" s="73"/>
      <c r="AP15" s="73"/>
      <c r="AQ15" s="74"/>
      <c r="AR15" s="74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5"/>
      <c r="CQ15" s="12"/>
      <c r="CR15" s="23"/>
    </row>
    <row r="16" spans="1:96" s="13" customFormat="1" ht="15" customHeight="1" x14ac:dyDescent="0.15">
      <c r="A16" s="21"/>
      <c r="C16" s="77"/>
      <c r="D16" s="78"/>
      <c r="E16" s="78"/>
      <c r="F16" s="78"/>
      <c r="G16" s="78"/>
      <c r="H16" s="78"/>
      <c r="I16" s="79"/>
      <c r="J16" s="77"/>
      <c r="K16" s="78"/>
      <c r="L16" s="78"/>
      <c r="M16" s="78"/>
      <c r="N16" s="78"/>
      <c r="O16" s="78"/>
      <c r="P16" s="78"/>
      <c r="Q16" s="78"/>
      <c r="R16" s="79"/>
      <c r="S16" s="77"/>
      <c r="T16" s="78"/>
      <c r="U16" s="78"/>
      <c r="V16" s="78"/>
      <c r="W16" s="78"/>
      <c r="X16" s="78"/>
      <c r="Y16" s="78"/>
      <c r="Z16" s="78"/>
      <c r="AA16" s="78"/>
      <c r="AB16" s="77"/>
      <c r="AC16" s="78"/>
      <c r="AD16" s="78"/>
      <c r="AE16" s="78"/>
      <c r="AF16" s="78"/>
      <c r="AG16" s="78"/>
      <c r="AH16" s="78"/>
      <c r="AI16" s="78"/>
      <c r="AJ16" s="78"/>
      <c r="AK16" s="78"/>
      <c r="AL16" s="79"/>
      <c r="AM16" s="77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9"/>
      <c r="CQ16" s="12"/>
      <c r="CR16" s="23"/>
    </row>
    <row r="17" spans="1:98" s="13" customFormat="1" ht="15" customHeight="1" x14ac:dyDescent="0.15">
      <c r="A17" s="21"/>
      <c r="C17" s="72" t="s">
        <v>75</v>
      </c>
      <c r="D17" s="73"/>
      <c r="E17" s="73"/>
      <c r="F17" s="74"/>
      <c r="G17" s="74"/>
      <c r="H17" s="74"/>
      <c r="I17" s="75"/>
      <c r="J17" s="72" t="s">
        <v>60</v>
      </c>
      <c r="K17" s="73"/>
      <c r="L17" s="73"/>
      <c r="M17" s="74"/>
      <c r="N17" s="74"/>
      <c r="O17" s="74"/>
      <c r="P17" s="74"/>
      <c r="Q17" s="74"/>
      <c r="R17" s="75"/>
      <c r="S17" s="72" t="s">
        <v>82</v>
      </c>
      <c r="T17" s="73"/>
      <c r="U17" s="73"/>
      <c r="V17" s="74"/>
      <c r="W17" s="74"/>
      <c r="X17" s="74"/>
      <c r="Y17" s="74"/>
      <c r="Z17" s="74"/>
      <c r="AA17" s="74"/>
      <c r="AB17" s="72" t="s">
        <v>84</v>
      </c>
      <c r="AC17" s="73"/>
      <c r="AD17" s="73"/>
      <c r="AE17" s="73"/>
      <c r="AF17" s="73"/>
      <c r="AG17" s="73"/>
      <c r="AH17" s="73"/>
      <c r="AI17" s="73"/>
      <c r="AJ17" s="73"/>
      <c r="AK17" s="73"/>
      <c r="AL17" s="76"/>
      <c r="AM17" s="72" t="s">
        <v>85</v>
      </c>
      <c r="AN17" s="73"/>
      <c r="AO17" s="73"/>
      <c r="AP17" s="73"/>
      <c r="AQ17" s="74"/>
      <c r="AR17" s="74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5"/>
      <c r="CQ17" s="12"/>
      <c r="CR17" s="23"/>
    </row>
    <row r="18" spans="1:98" s="13" customFormat="1" ht="15" customHeight="1" x14ac:dyDescent="0.15">
      <c r="A18" s="21"/>
      <c r="C18" s="77"/>
      <c r="D18" s="78"/>
      <c r="E18" s="78"/>
      <c r="F18" s="78"/>
      <c r="G18" s="78"/>
      <c r="H18" s="78"/>
      <c r="I18" s="79"/>
      <c r="J18" s="77"/>
      <c r="K18" s="78"/>
      <c r="L18" s="78"/>
      <c r="M18" s="78"/>
      <c r="N18" s="78"/>
      <c r="O18" s="78"/>
      <c r="P18" s="78"/>
      <c r="Q18" s="78"/>
      <c r="R18" s="79"/>
      <c r="S18" s="77"/>
      <c r="T18" s="78"/>
      <c r="U18" s="78"/>
      <c r="V18" s="78"/>
      <c r="W18" s="78"/>
      <c r="X18" s="78"/>
      <c r="Y18" s="78"/>
      <c r="Z18" s="78"/>
      <c r="AA18" s="78"/>
      <c r="AB18" s="77"/>
      <c r="AC18" s="78"/>
      <c r="AD18" s="78"/>
      <c r="AE18" s="78"/>
      <c r="AF18" s="78"/>
      <c r="AG18" s="78"/>
      <c r="AH18" s="78"/>
      <c r="AI18" s="78"/>
      <c r="AJ18" s="78"/>
      <c r="AK18" s="78"/>
      <c r="AL18" s="79"/>
      <c r="AM18" s="80" t="s">
        <v>257</v>
      </c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9"/>
      <c r="CQ18" s="12"/>
      <c r="CR18" s="23"/>
      <c r="CT18" s="66"/>
    </row>
    <row r="19" spans="1:98" s="13" customFormat="1" ht="15" customHeight="1" x14ac:dyDescent="0.15">
      <c r="A19" s="21"/>
      <c r="B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23"/>
    </row>
    <row r="20" spans="1:98" s="13" customFormat="1" ht="15" customHeight="1" x14ac:dyDescent="0.15">
      <c r="A20" s="2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23"/>
    </row>
    <row r="21" spans="1:98" s="13" customFormat="1" ht="15" customHeight="1" x14ac:dyDescent="0.15">
      <c r="A21" s="21"/>
      <c r="B21" s="12" t="s">
        <v>67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23"/>
    </row>
    <row r="22" spans="1:98" s="13" customFormat="1" ht="15" customHeight="1" x14ac:dyDescent="0.15">
      <c r="A22" s="2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23"/>
    </row>
    <row r="23" spans="1:98" s="13" customFormat="1" ht="15" customHeight="1" x14ac:dyDescent="0.15">
      <c r="A23" s="21"/>
      <c r="B23" s="12"/>
      <c r="C23" s="12" t="s">
        <v>70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23"/>
    </row>
    <row r="24" spans="1:98" s="13" customFormat="1" ht="15" customHeight="1" x14ac:dyDescent="0.15">
      <c r="A24" s="21"/>
      <c r="B24" s="12"/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23"/>
    </row>
    <row r="25" spans="1:98" s="13" customFormat="1" ht="15" customHeight="1" x14ac:dyDescent="0.15">
      <c r="A25" s="21"/>
      <c r="B25" s="12"/>
      <c r="C25" s="12" t="s">
        <v>69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23"/>
    </row>
    <row r="26" spans="1:98" s="13" customFormat="1" ht="15" customHeight="1" x14ac:dyDescent="0.15">
      <c r="A26" s="2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23"/>
    </row>
    <row r="27" spans="1:98" s="13" customFormat="1" ht="15" customHeight="1" x14ac:dyDescent="0.15">
      <c r="A27" s="2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23"/>
    </row>
    <row r="28" spans="1:98" s="13" customFormat="1" ht="15" customHeight="1" x14ac:dyDescent="0.15">
      <c r="A28" s="2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23"/>
    </row>
    <row r="29" spans="1:98" s="13" customFormat="1" ht="15" customHeight="1" x14ac:dyDescent="0.15">
      <c r="A29" s="2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23"/>
    </row>
    <row r="30" spans="1:98" s="13" customFormat="1" ht="15" customHeight="1" x14ac:dyDescent="0.15">
      <c r="A30" s="2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23"/>
    </row>
    <row r="31" spans="1:98" s="13" customFormat="1" ht="15" customHeight="1" x14ac:dyDescent="0.15">
      <c r="A31" s="2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23"/>
    </row>
    <row r="32" spans="1:98" s="13" customFormat="1" ht="15" customHeight="1" x14ac:dyDescent="0.15">
      <c r="A32" s="2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23"/>
    </row>
    <row r="33" spans="1:96" s="13" customFormat="1" ht="15" customHeight="1" x14ac:dyDescent="0.15">
      <c r="A33" s="2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23"/>
    </row>
    <row r="34" spans="1:96" s="13" customFormat="1" ht="15" customHeight="1" x14ac:dyDescent="0.15">
      <c r="A34" s="2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23"/>
    </row>
    <row r="35" spans="1:96" s="13" customFormat="1" ht="15" customHeight="1" x14ac:dyDescent="0.15">
      <c r="A35" s="2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23"/>
    </row>
    <row r="36" spans="1:96" s="13" customFormat="1" ht="15" customHeight="1" x14ac:dyDescent="0.15">
      <c r="A36" s="2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23"/>
    </row>
    <row r="37" spans="1:96" s="13" customFormat="1" ht="15" customHeight="1" x14ac:dyDescent="0.15">
      <c r="A37" s="2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23"/>
    </row>
    <row r="38" spans="1:96" s="13" customFormat="1" ht="15" customHeight="1" x14ac:dyDescent="0.15">
      <c r="A38" s="2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23"/>
    </row>
    <row r="39" spans="1:96" s="13" customFormat="1" ht="15" customHeight="1" x14ac:dyDescent="0.15">
      <c r="A39" s="2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23"/>
    </row>
    <row r="40" spans="1:96" s="13" customFormat="1" ht="15" customHeight="1" x14ac:dyDescent="0.15">
      <c r="A40" s="2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23"/>
    </row>
    <row r="41" spans="1:96" s="13" customFormat="1" ht="15" customHeight="1" x14ac:dyDescent="0.15">
      <c r="A41" s="2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23"/>
    </row>
    <row r="42" spans="1:96" s="13" customFormat="1" ht="15" customHeight="1" x14ac:dyDescent="0.15">
      <c r="A42" s="2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23"/>
    </row>
    <row r="43" spans="1:96" s="13" customFormat="1" ht="15" customHeight="1" x14ac:dyDescent="0.15">
      <c r="A43" s="2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22"/>
      <c r="CK43" s="22"/>
      <c r="CL43" s="22"/>
      <c r="CM43" s="22"/>
      <c r="CN43" s="22"/>
      <c r="CO43" s="22"/>
      <c r="CP43" s="22"/>
      <c r="CQ43" s="22"/>
      <c r="CR43" s="23"/>
    </row>
    <row r="44" spans="1:96" s="13" customFormat="1" ht="15" customHeight="1" x14ac:dyDescent="0.15">
      <c r="A44" s="2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22"/>
      <c r="CK44" s="22"/>
      <c r="CL44" s="22"/>
      <c r="CM44" s="22"/>
      <c r="CN44" s="22"/>
      <c r="CO44" s="22"/>
      <c r="CP44" s="22"/>
      <c r="CQ44" s="22"/>
      <c r="CR44" s="23"/>
    </row>
    <row r="45" spans="1:96" s="13" customFormat="1" ht="15" customHeight="1" x14ac:dyDescent="0.15">
      <c r="A45" s="2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22"/>
      <c r="CK45" s="22"/>
      <c r="CL45" s="22"/>
      <c r="CM45" s="22"/>
      <c r="CN45" s="22"/>
      <c r="CO45" s="22"/>
      <c r="CP45" s="22"/>
      <c r="CQ45" s="22"/>
      <c r="CR45" s="23"/>
    </row>
    <row r="46" spans="1:96" s="13" customFormat="1" ht="15" customHeight="1" x14ac:dyDescent="0.15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W46" s="12"/>
      <c r="BX46" s="12"/>
      <c r="BY46" s="12"/>
      <c r="BZ46" s="12"/>
      <c r="CA46" s="12"/>
      <c r="CB46" s="12"/>
      <c r="CC46" s="12"/>
      <c r="CD46" s="1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3"/>
    </row>
    <row r="47" spans="1:96" s="13" customFormat="1" ht="15" customHeight="1" thickBot="1" x14ac:dyDescent="0.2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6"/>
      <c r="BL47" s="26"/>
      <c r="BM47" s="27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8"/>
    </row>
  </sheetData>
  <mergeCells count="29"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BT4:CR4"/>
    <mergeCell ref="A5:CR5"/>
    <mergeCell ref="A10:CR10"/>
    <mergeCell ref="A3:H3"/>
    <mergeCell ref="I3:AD3"/>
    <mergeCell ref="AL3:BH3"/>
    <mergeCell ref="BI3:BL3"/>
    <mergeCell ref="BM3:CE3"/>
    <mergeCell ref="A4:H4"/>
    <mergeCell ref="I4:AK4"/>
    <mergeCell ref="AL4:AR4"/>
    <mergeCell ref="AS4:BH4"/>
    <mergeCell ref="BI4:BS4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4107-8A34-4D47-895C-958E25F2B038}">
  <sheetPr>
    <pageSetUpPr fitToPage="1"/>
  </sheetPr>
  <dimension ref="A1:AS311"/>
  <sheetViews>
    <sheetView showGridLines="0" zoomScale="70" zoomScaleNormal="70" workbookViewId="0"/>
  </sheetViews>
  <sheetFormatPr defaultColWidth="5.6640625" defaultRowHeight="15" customHeight="1" x14ac:dyDescent="0.2"/>
  <cols>
    <col min="1" max="16384" width="5.6640625" style="50"/>
  </cols>
  <sheetData>
    <row r="1" spans="1:26" ht="15" customHeight="1" x14ac:dyDescent="0.2">
      <c r="A1" s="50" t="s">
        <v>86</v>
      </c>
    </row>
    <row r="3" spans="1:26" ht="15" customHeight="1" x14ac:dyDescent="0.2">
      <c r="B3" s="51" t="s">
        <v>87</v>
      </c>
      <c r="C3" s="222" t="s">
        <v>88</v>
      </c>
      <c r="D3" s="222"/>
      <c r="E3" s="222"/>
      <c r="F3" s="222" t="s">
        <v>89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 t="s">
        <v>90</v>
      </c>
      <c r="T3" s="222"/>
      <c r="U3" s="222"/>
    </row>
    <row r="4" spans="1:26" ht="15" customHeight="1" x14ac:dyDescent="0.2">
      <c r="B4" s="52">
        <v>1</v>
      </c>
      <c r="C4" s="220" t="s">
        <v>91</v>
      </c>
      <c r="D4" s="220"/>
      <c r="E4" s="220"/>
      <c r="F4" s="220" t="s">
        <v>92</v>
      </c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19" t="s">
        <v>93</v>
      </c>
      <c r="T4" s="219"/>
      <c r="U4" s="219"/>
    </row>
    <row r="5" spans="1:26" ht="15" customHeight="1" x14ac:dyDescent="0.2">
      <c r="B5" s="52">
        <v>2</v>
      </c>
      <c r="C5" s="219" t="s">
        <v>94</v>
      </c>
      <c r="D5" s="219"/>
      <c r="E5" s="219"/>
      <c r="F5" s="221" t="s">
        <v>253</v>
      </c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19" t="s">
        <v>95</v>
      </c>
      <c r="T5" s="219"/>
      <c r="U5" s="219"/>
    </row>
    <row r="6" spans="1:26" ht="15" customHeight="1" x14ac:dyDescent="0.2">
      <c r="B6" s="52">
        <v>3</v>
      </c>
      <c r="C6" s="219" t="s">
        <v>96</v>
      </c>
      <c r="D6" s="219"/>
      <c r="E6" s="219"/>
      <c r="F6" s="221" t="s">
        <v>254</v>
      </c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19" t="s">
        <v>97</v>
      </c>
      <c r="T6" s="219"/>
      <c r="U6" s="219"/>
    </row>
    <row r="7" spans="1:26" ht="15" customHeight="1" x14ac:dyDescent="0.2">
      <c r="B7" s="52">
        <v>4</v>
      </c>
      <c r="C7" s="219" t="s">
        <v>98</v>
      </c>
      <c r="D7" s="219"/>
      <c r="E7" s="219"/>
      <c r="F7" s="220" t="s">
        <v>99</v>
      </c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19" t="s">
        <v>97</v>
      </c>
      <c r="T7" s="219"/>
      <c r="U7" s="219"/>
    </row>
    <row r="8" spans="1:26" ht="15" customHeight="1" x14ac:dyDescent="0.2">
      <c r="B8" s="52">
        <v>5</v>
      </c>
      <c r="C8" s="219" t="s">
        <v>100</v>
      </c>
      <c r="D8" s="219"/>
      <c r="E8" s="219"/>
      <c r="F8" s="221" t="s">
        <v>255</v>
      </c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19" t="s">
        <v>97</v>
      </c>
      <c r="T8" s="219"/>
      <c r="U8" s="219"/>
    </row>
    <row r="9" spans="1:26" ht="15" customHeight="1" x14ac:dyDescent="0.2">
      <c r="B9" s="52">
        <v>6</v>
      </c>
      <c r="C9" s="219" t="s">
        <v>101</v>
      </c>
      <c r="D9" s="219"/>
      <c r="E9" s="219"/>
      <c r="F9" s="221" t="s">
        <v>255</v>
      </c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19" t="s">
        <v>93</v>
      </c>
      <c r="T9" s="219"/>
      <c r="U9" s="219"/>
    </row>
    <row r="12" spans="1:26" ht="15" customHeight="1" x14ac:dyDescent="0.2">
      <c r="A12" s="53" t="s">
        <v>102</v>
      </c>
      <c r="B12" s="53"/>
    </row>
    <row r="13" spans="1:26" ht="15" customHeight="1" x14ac:dyDescent="0.2">
      <c r="B13" s="50" t="s">
        <v>103</v>
      </c>
      <c r="Z13" s="50" t="s">
        <v>104</v>
      </c>
    </row>
    <row r="14" spans="1:26" ht="15" customHeight="1" x14ac:dyDescent="0.2">
      <c r="C14" s="50" t="s">
        <v>105</v>
      </c>
    </row>
    <row r="15" spans="1:26" ht="15" customHeight="1" x14ac:dyDescent="0.2">
      <c r="D15" s="54" t="s">
        <v>106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Z15" s="54" t="s">
        <v>107</v>
      </c>
    </row>
    <row r="16" spans="1:26" ht="15" customHeight="1" x14ac:dyDescent="0.2">
      <c r="C16" s="50" t="s">
        <v>108</v>
      </c>
    </row>
    <row r="17" spans="2:45" ht="15" customHeight="1" x14ac:dyDescent="0.2">
      <c r="D17" s="56" t="s">
        <v>109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Z17" s="56" t="s">
        <v>110</v>
      </c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</row>
    <row r="19" spans="2:45" ht="15" customHeight="1" x14ac:dyDescent="0.2">
      <c r="B19" s="50" t="s">
        <v>111</v>
      </c>
    </row>
    <row r="20" spans="2:45" ht="15" customHeight="1" x14ac:dyDescent="0.2">
      <c r="C20" s="50" t="s">
        <v>105</v>
      </c>
    </row>
    <row r="21" spans="2:45" ht="15" customHeight="1" x14ac:dyDescent="0.2">
      <c r="D21" s="55" t="s">
        <v>112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Z21" s="213" t="s">
        <v>113</v>
      </c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</row>
    <row r="22" spans="2:45" ht="15" customHeight="1" x14ac:dyDescent="0.2"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</row>
    <row r="23" spans="2:45" ht="15" customHeight="1" x14ac:dyDescent="0.2">
      <c r="D23" s="55" t="s">
        <v>114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</row>
    <row r="24" spans="2:45" ht="15" customHeight="1" x14ac:dyDescent="0.2">
      <c r="D24" s="55" t="s">
        <v>115</v>
      </c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</row>
    <row r="25" spans="2:45" ht="15" customHeight="1" x14ac:dyDescent="0.2">
      <c r="D25" s="55" t="s">
        <v>116</v>
      </c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</row>
    <row r="26" spans="2:45" ht="15" customHeight="1" x14ac:dyDescent="0.2"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</row>
    <row r="27" spans="2:45" ht="15" customHeight="1" x14ac:dyDescent="0.2">
      <c r="D27" s="55" t="s">
        <v>117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</row>
    <row r="28" spans="2:45" ht="15" customHeight="1" x14ac:dyDescent="0.2">
      <c r="D28" s="57" t="s">
        <v>118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</row>
    <row r="29" spans="2:45" ht="15" customHeight="1" x14ac:dyDescent="0.2"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</row>
    <row r="30" spans="2:45" ht="15" customHeight="1" x14ac:dyDescent="0.2">
      <c r="D30" s="55" t="s">
        <v>119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</row>
    <row r="33" spans="2:45" ht="15" customHeight="1" x14ac:dyDescent="0.2">
      <c r="C33" s="50" t="s">
        <v>108</v>
      </c>
    </row>
    <row r="34" spans="2:45" ht="15" customHeight="1" x14ac:dyDescent="0.2">
      <c r="D34" s="56" t="s">
        <v>120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Z34" s="211" t="s">
        <v>121</v>
      </c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</row>
    <row r="35" spans="2:45" ht="15" customHeight="1" x14ac:dyDescent="0.2"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Z35" s="212"/>
      <c r="AA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</row>
    <row r="36" spans="2:45" ht="15" customHeight="1" x14ac:dyDescent="0.2">
      <c r="D36" s="56" t="s">
        <v>122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</row>
    <row r="37" spans="2:45" ht="15" customHeight="1" x14ac:dyDescent="0.2">
      <c r="D37" s="56" t="s">
        <v>123</v>
      </c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</row>
    <row r="38" spans="2:45" ht="15" customHeight="1" x14ac:dyDescent="0.2">
      <c r="D38" s="56" t="s">
        <v>124</v>
      </c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</row>
    <row r="39" spans="2:45" ht="15" customHeight="1" x14ac:dyDescent="0.2"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Z39" s="212"/>
      <c r="AA39" s="212"/>
      <c r="AB39" s="212"/>
      <c r="AC39" s="212"/>
      <c r="AD39" s="212"/>
      <c r="AE39" s="212"/>
      <c r="AF39" s="212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2"/>
      <c r="AR39" s="212"/>
      <c r="AS39" s="212"/>
    </row>
    <row r="40" spans="2:45" ht="15" customHeight="1" x14ac:dyDescent="0.2">
      <c r="D40" s="56" t="s">
        <v>117</v>
      </c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</row>
    <row r="41" spans="2:45" ht="15" customHeight="1" x14ac:dyDescent="0.2">
      <c r="D41" s="58" t="s">
        <v>125</v>
      </c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Z41" s="212"/>
      <c r="AA41" s="212"/>
      <c r="AB41" s="212"/>
      <c r="AC41" s="212"/>
      <c r="AD41" s="212"/>
      <c r="AE41" s="212"/>
      <c r="AF41" s="212"/>
      <c r="AG41" s="212"/>
      <c r="AH41" s="212"/>
      <c r="AI41" s="212"/>
      <c r="AJ41" s="212"/>
      <c r="AK41" s="212"/>
      <c r="AL41" s="212"/>
      <c r="AM41" s="212"/>
      <c r="AN41" s="212"/>
      <c r="AO41" s="212"/>
      <c r="AP41" s="212"/>
      <c r="AQ41" s="212"/>
      <c r="AR41" s="212"/>
      <c r="AS41" s="212"/>
    </row>
    <row r="42" spans="2:45" ht="15" customHeight="1" x14ac:dyDescent="0.2"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</row>
    <row r="43" spans="2:45" ht="15" customHeight="1" x14ac:dyDescent="0.2">
      <c r="D43" s="56" t="s">
        <v>126</v>
      </c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212"/>
      <c r="AN43" s="212"/>
      <c r="AO43" s="212"/>
      <c r="AP43" s="212"/>
      <c r="AQ43" s="212"/>
      <c r="AR43" s="212"/>
      <c r="AS43" s="212"/>
    </row>
    <row r="46" spans="2:45" ht="15" customHeight="1" x14ac:dyDescent="0.2">
      <c r="B46" s="50" t="s">
        <v>127</v>
      </c>
    </row>
    <row r="47" spans="2:45" ht="15" customHeight="1" x14ac:dyDescent="0.2">
      <c r="B47" s="50" t="s">
        <v>128</v>
      </c>
      <c r="C47" s="50" t="s">
        <v>129</v>
      </c>
    </row>
    <row r="48" spans="2:45" ht="15" customHeight="1" x14ac:dyDescent="0.2">
      <c r="B48" s="50" t="s">
        <v>130</v>
      </c>
      <c r="C48" s="50" t="s">
        <v>131</v>
      </c>
    </row>
    <row r="51" spans="1:45" ht="15" customHeight="1" x14ac:dyDescent="0.2">
      <c r="A51" s="53" t="s">
        <v>132</v>
      </c>
      <c r="B51" s="53"/>
    </row>
    <row r="52" spans="1:45" ht="15" customHeight="1" x14ac:dyDescent="0.2">
      <c r="B52" s="50" t="s">
        <v>103</v>
      </c>
    </row>
    <row r="53" spans="1:45" ht="15" customHeight="1" x14ac:dyDescent="0.2">
      <c r="C53" s="50" t="s">
        <v>105</v>
      </c>
    </row>
    <row r="54" spans="1:45" ht="15" customHeight="1" x14ac:dyDescent="0.2">
      <c r="D54" s="54" t="s">
        <v>133</v>
      </c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Z54" s="54" t="s">
        <v>133</v>
      </c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</row>
    <row r="55" spans="1:45" ht="15" customHeight="1" x14ac:dyDescent="0.2">
      <c r="C55" s="50" t="s">
        <v>108</v>
      </c>
    </row>
    <row r="56" spans="1:45" ht="15" customHeight="1" x14ac:dyDescent="0.2">
      <c r="D56" s="59" t="s">
        <v>134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Z56" s="59" t="s">
        <v>134</v>
      </c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</row>
    <row r="58" spans="1:45" ht="15" customHeight="1" x14ac:dyDescent="0.2">
      <c r="B58" s="50" t="s">
        <v>111</v>
      </c>
    </row>
    <row r="59" spans="1:45" ht="15" customHeight="1" x14ac:dyDescent="0.2">
      <c r="C59" s="50" t="s">
        <v>105</v>
      </c>
    </row>
    <row r="60" spans="1:45" ht="15" customHeight="1" x14ac:dyDescent="0.2">
      <c r="D60" s="55" t="s">
        <v>135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Z60" s="217" t="s">
        <v>136</v>
      </c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8"/>
    </row>
    <row r="61" spans="1:45" ht="15" customHeight="1" x14ac:dyDescent="0.2"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</row>
    <row r="62" spans="1:45" ht="15" customHeight="1" x14ac:dyDescent="0.2">
      <c r="D62" s="54" t="s">
        <v>137</v>
      </c>
      <c r="E62" s="55"/>
      <c r="F62" s="55"/>
      <c r="G62" s="55"/>
      <c r="H62" s="60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Z62" s="218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218"/>
      <c r="AO62" s="218"/>
      <c r="AP62" s="218"/>
      <c r="AQ62" s="218"/>
      <c r="AR62" s="218"/>
      <c r="AS62" s="218"/>
    </row>
    <row r="63" spans="1:45" ht="15" customHeight="1" x14ac:dyDescent="0.2">
      <c r="D63" s="55" t="s">
        <v>138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218"/>
      <c r="AO63" s="218"/>
      <c r="AP63" s="218"/>
      <c r="AQ63" s="218"/>
      <c r="AR63" s="218"/>
      <c r="AS63" s="218"/>
    </row>
    <row r="64" spans="1:45" ht="15" customHeight="1" x14ac:dyDescent="0.2"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Z64" s="218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218"/>
      <c r="AO64" s="218"/>
      <c r="AP64" s="218"/>
      <c r="AQ64" s="218"/>
      <c r="AR64" s="218"/>
      <c r="AS64" s="218"/>
    </row>
    <row r="65" spans="3:45" ht="15" customHeight="1" x14ac:dyDescent="0.2">
      <c r="D65" s="55" t="s">
        <v>117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</row>
    <row r="66" spans="3:45" ht="15" customHeight="1" x14ac:dyDescent="0.2">
      <c r="D66" s="61" t="s">
        <v>125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8"/>
    </row>
    <row r="67" spans="3:45" ht="15" customHeight="1" x14ac:dyDescent="0.2"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Z67" s="218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218"/>
      <c r="AO67" s="218"/>
      <c r="AP67" s="218"/>
      <c r="AQ67" s="218"/>
      <c r="AR67" s="218"/>
      <c r="AS67" s="218"/>
    </row>
    <row r="68" spans="3:45" ht="15" customHeight="1" x14ac:dyDescent="0.2">
      <c r="D68" s="55" t="s">
        <v>119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Z68" s="218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218"/>
      <c r="AO68" s="218"/>
      <c r="AP68" s="218"/>
      <c r="AQ68" s="218"/>
      <c r="AR68" s="218"/>
      <c r="AS68" s="218"/>
    </row>
    <row r="70" spans="3:45" ht="15" customHeight="1" x14ac:dyDescent="0.2">
      <c r="C70" s="50" t="s">
        <v>108</v>
      </c>
    </row>
    <row r="71" spans="3:45" ht="15" customHeight="1" x14ac:dyDescent="0.2">
      <c r="D71" s="56" t="s">
        <v>139</v>
      </c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Z71" s="215" t="s">
        <v>140</v>
      </c>
      <c r="AA71" s="216"/>
      <c r="AB71" s="216"/>
      <c r="AC71" s="216"/>
      <c r="AD71" s="216"/>
      <c r="AE71" s="216"/>
      <c r="AF71" s="216"/>
      <c r="AG71" s="216"/>
      <c r="AH71" s="216"/>
      <c r="AI71" s="216"/>
      <c r="AJ71" s="216"/>
      <c r="AK71" s="216"/>
      <c r="AL71" s="216"/>
      <c r="AM71" s="216"/>
      <c r="AN71" s="216"/>
      <c r="AO71" s="216"/>
      <c r="AP71" s="216"/>
      <c r="AQ71" s="216"/>
      <c r="AR71" s="216"/>
      <c r="AS71" s="216"/>
    </row>
    <row r="72" spans="3:45" ht="15" customHeight="1" x14ac:dyDescent="0.2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</row>
    <row r="73" spans="3:45" ht="15" customHeight="1" x14ac:dyDescent="0.2">
      <c r="D73" s="59" t="s">
        <v>141</v>
      </c>
      <c r="E73" s="56"/>
      <c r="F73" s="56"/>
      <c r="G73" s="56"/>
      <c r="H73" s="56"/>
      <c r="I73" s="56"/>
      <c r="J73" s="56"/>
      <c r="K73" s="62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</row>
    <row r="74" spans="3:45" ht="15" customHeight="1" x14ac:dyDescent="0.2">
      <c r="D74" s="56" t="s">
        <v>142</v>
      </c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</row>
    <row r="75" spans="3:45" ht="15" customHeight="1" x14ac:dyDescent="0.2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Z75" s="216"/>
      <c r="AA75" s="216"/>
      <c r="AB75" s="216"/>
      <c r="AC75" s="216"/>
      <c r="AD75" s="216"/>
      <c r="AE75" s="216"/>
      <c r="AF75" s="216"/>
      <c r="AG75" s="216"/>
      <c r="AH75" s="216"/>
      <c r="AI75" s="216"/>
      <c r="AJ75" s="216"/>
      <c r="AK75" s="216"/>
      <c r="AL75" s="216"/>
      <c r="AM75" s="216"/>
      <c r="AN75" s="216"/>
      <c r="AO75" s="216"/>
      <c r="AP75" s="216"/>
      <c r="AQ75" s="216"/>
      <c r="AR75" s="216"/>
      <c r="AS75" s="216"/>
    </row>
    <row r="76" spans="3:45" ht="15" customHeight="1" x14ac:dyDescent="0.2">
      <c r="D76" s="56" t="s">
        <v>117</v>
      </c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Z76" s="216"/>
      <c r="AA76" s="216"/>
      <c r="AB76" s="216"/>
      <c r="AC76" s="216"/>
      <c r="AD76" s="216"/>
      <c r="AE76" s="216"/>
      <c r="AF76" s="216"/>
      <c r="AG76" s="216"/>
      <c r="AH76" s="216"/>
      <c r="AI76" s="216"/>
      <c r="AJ76" s="216"/>
      <c r="AK76" s="216"/>
      <c r="AL76" s="216"/>
      <c r="AM76" s="216"/>
      <c r="AN76" s="216"/>
      <c r="AO76" s="216"/>
      <c r="AP76" s="216"/>
      <c r="AQ76" s="216"/>
      <c r="AR76" s="216"/>
      <c r="AS76" s="216"/>
    </row>
    <row r="77" spans="3:45" ht="15" customHeight="1" x14ac:dyDescent="0.2">
      <c r="D77" s="63" t="s">
        <v>125</v>
      </c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Z77" s="216"/>
      <c r="AA77" s="216"/>
      <c r="AB77" s="216"/>
      <c r="AC77" s="216"/>
      <c r="AD77" s="216"/>
      <c r="AE77" s="216"/>
      <c r="AF77" s="216"/>
      <c r="AG77" s="216"/>
      <c r="AH77" s="216"/>
      <c r="AI77" s="216"/>
      <c r="AJ77" s="216"/>
      <c r="AK77" s="216"/>
      <c r="AL77" s="216"/>
      <c r="AM77" s="216"/>
      <c r="AN77" s="216"/>
      <c r="AO77" s="216"/>
      <c r="AP77" s="216"/>
      <c r="AQ77" s="216"/>
      <c r="AR77" s="216"/>
      <c r="AS77" s="216"/>
    </row>
    <row r="78" spans="3:45" ht="15" customHeight="1" x14ac:dyDescent="0.2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Z78" s="216"/>
      <c r="AA78" s="216"/>
      <c r="AB78" s="216"/>
      <c r="AC78" s="216"/>
      <c r="AD78" s="216"/>
      <c r="AE78" s="216"/>
      <c r="AF78" s="216"/>
      <c r="AG78" s="216"/>
      <c r="AH78" s="216"/>
      <c r="AI78" s="216"/>
      <c r="AJ78" s="216"/>
      <c r="AK78" s="216"/>
      <c r="AL78" s="216"/>
      <c r="AM78" s="216"/>
      <c r="AN78" s="216"/>
      <c r="AO78" s="216"/>
      <c r="AP78" s="216"/>
      <c r="AQ78" s="216"/>
      <c r="AR78" s="216"/>
      <c r="AS78" s="216"/>
    </row>
    <row r="79" spans="3:45" ht="15" customHeight="1" x14ac:dyDescent="0.2">
      <c r="D79" s="56" t="s">
        <v>126</v>
      </c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Z79" s="216"/>
      <c r="AA79" s="216"/>
      <c r="AB79" s="216"/>
      <c r="AC79" s="216"/>
      <c r="AD79" s="216"/>
      <c r="AE79" s="216"/>
      <c r="AF79" s="216"/>
      <c r="AG79" s="216"/>
      <c r="AH79" s="216"/>
      <c r="AI79" s="216"/>
      <c r="AJ79" s="216"/>
      <c r="AK79" s="216"/>
      <c r="AL79" s="216"/>
      <c r="AM79" s="216"/>
      <c r="AN79" s="216"/>
      <c r="AO79" s="216"/>
      <c r="AP79" s="216"/>
      <c r="AQ79" s="216"/>
      <c r="AR79" s="216"/>
      <c r="AS79" s="216"/>
    </row>
    <row r="82" spans="1:45" ht="15" customHeight="1" x14ac:dyDescent="0.2">
      <c r="B82" s="50" t="s">
        <v>127</v>
      </c>
    </row>
    <row r="83" spans="1:45" ht="15" customHeight="1" x14ac:dyDescent="0.2">
      <c r="B83" s="50" t="s">
        <v>128</v>
      </c>
      <c r="C83" s="50" t="s">
        <v>143</v>
      </c>
    </row>
    <row r="84" spans="1:45" ht="15" customHeight="1" x14ac:dyDescent="0.2">
      <c r="B84" s="64"/>
      <c r="C84" s="64"/>
      <c r="D84" s="64"/>
      <c r="E84" s="64"/>
      <c r="F84" s="64"/>
    </row>
    <row r="86" spans="1:45" ht="15" customHeight="1" x14ac:dyDescent="0.2">
      <c r="A86" s="53" t="s">
        <v>144</v>
      </c>
      <c r="B86" s="53"/>
    </row>
    <row r="87" spans="1:45" ht="15" customHeight="1" x14ac:dyDescent="0.2">
      <c r="B87" s="50" t="s">
        <v>103</v>
      </c>
    </row>
    <row r="88" spans="1:45" ht="15" customHeight="1" x14ac:dyDescent="0.2">
      <c r="C88" s="50" t="s">
        <v>105</v>
      </c>
    </row>
    <row r="89" spans="1:45" ht="15" customHeight="1" x14ac:dyDescent="0.2">
      <c r="D89" s="54" t="s">
        <v>145</v>
      </c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Z89" s="54" t="s">
        <v>145</v>
      </c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</row>
    <row r="90" spans="1:45" ht="15" customHeight="1" x14ac:dyDescent="0.2">
      <c r="C90" s="50" t="s">
        <v>108</v>
      </c>
    </row>
    <row r="91" spans="1:45" ht="15" customHeight="1" x14ac:dyDescent="0.2">
      <c r="D91" s="59" t="s">
        <v>146</v>
      </c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Z91" s="59" t="s">
        <v>146</v>
      </c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</row>
    <row r="92" spans="1:45" ht="15" customHeight="1" x14ac:dyDescent="0.2">
      <c r="Q92" s="64"/>
      <c r="R92" s="64"/>
    </row>
    <row r="93" spans="1:45" ht="15" customHeight="1" x14ac:dyDescent="0.2">
      <c r="B93" s="50" t="s">
        <v>111</v>
      </c>
    </row>
    <row r="94" spans="1:45" ht="15" customHeight="1" x14ac:dyDescent="0.2">
      <c r="C94" s="50" t="s">
        <v>105</v>
      </c>
    </row>
    <row r="95" spans="1:45" ht="15" customHeight="1" x14ac:dyDescent="0.2">
      <c r="D95" s="55" t="s">
        <v>147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Z95" s="213" t="s">
        <v>148</v>
      </c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</row>
    <row r="96" spans="1:45" ht="15" customHeight="1" x14ac:dyDescent="0.2"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</row>
    <row r="97" spans="4:45" ht="15" customHeight="1" x14ac:dyDescent="0.2">
      <c r="D97" s="54" t="s">
        <v>149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</row>
    <row r="98" spans="4:45" ht="15" customHeight="1" x14ac:dyDescent="0.2">
      <c r="D98" s="55" t="s">
        <v>150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</row>
    <row r="99" spans="4:45" ht="15" customHeight="1" x14ac:dyDescent="0.2"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</row>
    <row r="100" spans="4:45" ht="15" customHeight="1" x14ac:dyDescent="0.2">
      <c r="D100" s="65" t="s">
        <v>151</v>
      </c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</row>
    <row r="101" spans="4:45" ht="15" customHeight="1" x14ac:dyDescent="0.2">
      <c r="D101" s="55" t="s">
        <v>152</v>
      </c>
      <c r="E101" s="55"/>
      <c r="F101" s="55" t="s">
        <v>153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</row>
    <row r="102" spans="4:45" ht="15" customHeight="1" x14ac:dyDescent="0.2">
      <c r="D102" s="55" t="s">
        <v>154</v>
      </c>
      <c r="E102" s="55"/>
      <c r="F102" s="55" t="s">
        <v>155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</row>
    <row r="103" spans="4:45" ht="15" customHeight="1" x14ac:dyDescent="0.2">
      <c r="D103" s="65" t="s">
        <v>151</v>
      </c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</row>
    <row r="104" spans="4:45" ht="15" customHeight="1" x14ac:dyDescent="0.2"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</row>
    <row r="105" spans="4:45" ht="15" customHeight="1" x14ac:dyDescent="0.2">
      <c r="D105" s="55" t="s">
        <v>156</v>
      </c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</row>
    <row r="106" spans="4:45" ht="15" customHeight="1" x14ac:dyDescent="0.2">
      <c r="D106" s="55" t="s">
        <v>157</v>
      </c>
      <c r="E106" s="55"/>
      <c r="F106" s="55" t="s">
        <v>158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</row>
    <row r="107" spans="4:45" ht="15" customHeight="1" x14ac:dyDescent="0.2">
      <c r="D107" s="55" t="s">
        <v>159</v>
      </c>
      <c r="E107" s="55"/>
      <c r="F107" s="55" t="s">
        <v>160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214"/>
      <c r="AJ107" s="214"/>
      <c r="AK107" s="214"/>
      <c r="AL107" s="214"/>
      <c r="AM107" s="214"/>
      <c r="AN107" s="214"/>
      <c r="AO107" s="214"/>
      <c r="AP107" s="214"/>
      <c r="AQ107" s="214"/>
      <c r="AR107" s="214"/>
      <c r="AS107" s="214"/>
    </row>
    <row r="108" spans="4:45" ht="15" customHeight="1" x14ac:dyDescent="0.2">
      <c r="D108" s="55" t="s">
        <v>161</v>
      </c>
      <c r="E108" s="55"/>
      <c r="F108" s="55" t="s">
        <v>162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</row>
    <row r="109" spans="4:45" ht="15" customHeight="1" x14ac:dyDescent="0.2">
      <c r="D109" s="55" t="s">
        <v>163</v>
      </c>
      <c r="E109" s="55"/>
      <c r="F109" s="55" t="s">
        <v>164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</row>
    <row r="110" spans="4:45" ht="15" customHeight="1" x14ac:dyDescent="0.2">
      <c r="D110" s="55" t="s">
        <v>165</v>
      </c>
      <c r="E110" s="55"/>
      <c r="F110" s="55" t="s">
        <v>166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</row>
    <row r="111" spans="4:45" ht="15" customHeight="1" x14ac:dyDescent="0.2"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</row>
    <row r="112" spans="4:45" ht="15" customHeight="1" x14ac:dyDescent="0.2">
      <c r="D112" s="55" t="s">
        <v>167</v>
      </c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</row>
    <row r="113" spans="3:45" ht="15" customHeight="1" x14ac:dyDescent="0.2">
      <c r="D113" s="55" t="s">
        <v>157</v>
      </c>
      <c r="E113" s="55"/>
      <c r="F113" s="55" t="s">
        <v>168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</row>
    <row r="114" spans="3:45" ht="15" customHeight="1" x14ac:dyDescent="0.2">
      <c r="D114" s="55" t="s">
        <v>159</v>
      </c>
      <c r="E114" s="55"/>
      <c r="F114" s="55" t="s">
        <v>169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</row>
    <row r="115" spans="3:45" ht="15" customHeight="1" x14ac:dyDescent="0.2">
      <c r="D115" s="55" t="s">
        <v>161</v>
      </c>
      <c r="E115" s="55"/>
      <c r="F115" s="55" t="s">
        <v>170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</row>
    <row r="116" spans="3:45" ht="15" customHeight="1" x14ac:dyDescent="0.2">
      <c r="D116" s="55" t="s">
        <v>163</v>
      </c>
      <c r="E116" s="55"/>
      <c r="F116" s="55" t="s">
        <v>171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</row>
    <row r="117" spans="3:45" ht="15" customHeight="1" x14ac:dyDescent="0.2">
      <c r="D117" s="55" t="s">
        <v>165</v>
      </c>
      <c r="E117" s="55"/>
      <c r="F117" s="55" t="s">
        <v>172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</row>
    <row r="118" spans="3:45" ht="15" customHeight="1" x14ac:dyDescent="0.2"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</row>
    <row r="119" spans="3:45" ht="15" customHeight="1" x14ac:dyDescent="0.2">
      <c r="D119" s="55" t="s">
        <v>173</v>
      </c>
      <c r="E119" s="55"/>
      <c r="F119" s="55" t="s">
        <v>174</v>
      </c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</row>
    <row r="120" spans="3:45" ht="15" customHeight="1" x14ac:dyDescent="0.2"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</row>
    <row r="121" spans="3:45" ht="15" customHeight="1" x14ac:dyDescent="0.2">
      <c r="D121" s="55" t="s">
        <v>117</v>
      </c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</row>
    <row r="122" spans="3:45" ht="15" customHeight="1" x14ac:dyDescent="0.2">
      <c r="D122" s="61" t="s">
        <v>125</v>
      </c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</row>
    <row r="123" spans="3:45" ht="15" customHeight="1" x14ac:dyDescent="0.2"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</row>
    <row r="124" spans="3:45" ht="15" customHeight="1" x14ac:dyDescent="0.2">
      <c r="D124" s="55" t="s">
        <v>119</v>
      </c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</row>
    <row r="126" spans="3:45" ht="15" customHeight="1" x14ac:dyDescent="0.2">
      <c r="C126" s="50" t="s">
        <v>108</v>
      </c>
    </row>
    <row r="127" spans="3:45" ht="15" customHeight="1" x14ac:dyDescent="0.2">
      <c r="D127" s="56" t="s">
        <v>175</v>
      </c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Z127" s="211" t="s">
        <v>176</v>
      </c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</row>
    <row r="128" spans="3:45" ht="15" customHeight="1" x14ac:dyDescent="0.2"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</row>
    <row r="129" spans="4:45" ht="15" customHeight="1" x14ac:dyDescent="0.2">
      <c r="D129" s="56" t="s">
        <v>177</v>
      </c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</row>
    <row r="130" spans="4:45" ht="15" customHeight="1" x14ac:dyDescent="0.2">
      <c r="D130" s="56" t="s">
        <v>178</v>
      </c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</row>
    <row r="131" spans="4:45" ht="15" customHeight="1" x14ac:dyDescent="0.2"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  <c r="AN131" s="212"/>
      <c r="AO131" s="212"/>
      <c r="AP131" s="212"/>
      <c r="AQ131" s="212"/>
      <c r="AR131" s="212"/>
      <c r="AS131" s="212"/>
    </row>
    <row r="132" spans="4:45" ht="15" customHeight="1" x14ac:dyDescent="0.2">
      <c r="D132" s="56" t="s">
        <v>179</v>
      </c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  <c r="AN132" s="212"/>
      <c r="AO132" s="212"/>
      <c r="AP132" s="212"/>
      <c r="AQ132" s="212"/>
      <c r="AR132" s="212"/>
      <c r="AS132" s="212"/>
    </row>
    <row r="133" spans="4:45" ht="15" customHeight="1" x14ac:dyDescent="0.2">
      <c r="D133" s="56" t="s">
        <v>180</v>
      </c>
      <c r="E133" s="56"/>
      <c r="F133" s="56"/>
      <c r="G133" s="56"/>
      <c r="H133" s="56"/>
      <c r="I133" s="56" t="s">
        <v>153</v>
      </c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</row>
    <row r="134" spans="4:45" ht="15" customHeight="1" x14ac:dyDescent="0.2">
      <c r="D134" s="56" t="s">
        <v>181</v>
      </c>
      <c r="E134" s="56"/>
      <c r="F134" s="56"/>
      <c r="G134" s="56"/>
      <c r="H134" s="56"/>
      <c r="I134" s="56" t="s">
        <v>155</v>
      </c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  <c r="AN134" s="212"/>
      <c r="AO134" s="212"/>
      <c r="AP134" s="212"/>
      <c r="AQ134" s="212"/>
      <c r="AR134" s="212"/>
      <c r="AS134" s="212"/>
    </row>
    <row r="135" spans="4:45" ht="15" customHeight="1" x14ac:dyDescent="0.2">
      <c r="D135" s="56" t="s">
        <v>179</v>
      </c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</row>
    <row r="136" spans="4:45" ht="15" customHeight="1" x14ac:dyDescent="0.2"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</row>
    <row r="137" spans="4:45" ht="15" customHeight="1" x14ac:dyDescent="0.2">
      <c r="D137" s="56" t="s">
        <v>182</v>
      </c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</row>
    <row r="138" spans="4:45" ht="15" customHeight="1" x14ac:dyDescent="0.2">
      <c r="D138" s="56" t="s">
        <v>183</v>
      </c>
      <c r="E138" s="56"/>
      <c r="F138" s="56"/>
      <c r="G138" s="56"/>
      <c r="H138" s="56"/>
      <c r="I138" s="56" t="s">
        <v>158</v>
      </c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</row>
    <row r="139" spans="4:45" ht="15" customHeight="1" x14ac:dyDescent="0.2">
      <c r="D139" s="56" t="s">
        <v>184</v>
      </c>
      <c r="E139" s="56"/>
      <c r="F139" s="56"/>
      <c r="G139" s="56"/>
      <c r="H139" s="56"/>
      <c r="I139" s="56" t="s">
        <v>160</v>
      </c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</row>
    <row r="140" spans="4:45" ht="15" customHeight="1" x14ac:dyDescent="0.2">
      <c r="D140" s="56" t="s">
        <v>185</v>
      </c>
      <c r="E140" s="56"/>
      <c r="F140" s="56"/>
      <c r="G140" s="56"/>
      <c r="H140" s="56"/>
      <c r="I140" s="56" t="s">
        <v>162</v>
      </c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  <c r="AN140" s="212"/>
      <c r="AO140" s="212"/>
      <c r="AP140" s="212"/>
      <c r="AQ140" s="212"/>
      <c r="AR140" s="212"/>
      <c r="AS140" s="212"/>
    </row>
    <row r="141" spans="4:45" ht="15" customHeight="1" x14ac:dyDescent="0.2">
      <c r="D141" s="56" t="s">
        <v>186</v>
      </c>
      <c r="E141" s="56"/>
      <c r="F141" s="56"/>
      <c r="G141" s="56"/>
      <c r="H141" s="56"/>
      <c r="I141" s="56" t="s">
        <v>164</v>
      </c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</row>
    <row r="142" spans="4:45" ht="15" customHeight="1" x14ac:dyDescent="0.2">
      <c r="D142" s="56" t="s">
        <v>187</v>
      </c>
      <c r="E142" s="56"/>
      <c r="F142" s="56"/>
      <c r="G142" s="56"/>
      <c r="H142" s="56"/>
      <c r="I142" s="56" t="s">
        <v>166</v>
      </c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</row>
    <row r="143" spans="4:45" ht="15" customHeight="1" x14ac:dyDescent="0.2"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</row>
    <row r="144" spans="4:45" ht="15" customHeight="1" x14ac:dyDescent="0.2">
      <c r="D144" s="56" t="s">
        <v>188</v>
      </c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</row>
    <row r="145" spans="2:45" ht="15" customHeight="1" x14ac:dyDescent="0.2">
      <c r="D145" s="56" t="s">
        <v>183</v>
      </c>
      <c r="E145" s="56"/>
      <c r="F145" s="56"/>
      <c r="G145" s="56"/>
      <c r="H145" s="56"/>
      <c r="I145" s="56" t="s">
        <v>168</v>
      </c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</row>
    <row r="146" spans="2:45" ht="15" customHeight="1" x14ac:dyDescent="0.2">
      <c r="D146" s="56" t="s">
        <v>184</v>
      </c>
      <c r="E146" s="56"/>
      <c r="F146" s="56"/>
      <c r="G146" s="56"/>
      <c r="H146" s="56"/>
      <c r="I146" s="56" t="s">
        <v>169</v>
      </c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</row>
    <row r="147" spans="2:45" ht="15" customHeight="1" x14ac:dyDescent="0.2">
      <c r="D147" s="56" t="s">
        <v>185</v>
      </c>
      <c r="E147" s="56"/>
      <c r="F147" s="56"/>
      <c r="G147" s="56"/>
      <c r="H147" s="56"/>
      <c r="I147" s="56" t="s">
        <v>170</v>
      </c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</row>
    <row r="148" spans="2:45" ht="15" customHeight="1" x14ac:dyDescent="0.2">
      <c r="D148" s="56" t="s">
        <v>186</v>
      </c>
      <c r="E148" s="56"/>
      <c r="F148" s="56"/>
      <c r="G148" s="56"/>
      <c r="H148" s="56"/>
      <c r="I148" s="56" t="s">
        <v>171</v>
      </c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</row>
    <row r="149" spans="2:45" ht="15" customHeight="1" x14ac:dyDescent="0.2">
      <c r="D149" s="56" t="s">
        <v>187</v>
      </c>
      <c r="E149" s="56"/>
      <c r="F149" s="56"/>
      <c r="G149" s="56"/>
      <c r="H149" s="56"/>
      <c r="I149" s="56" t="s">
        <v>172</v>
      </c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</row>
    <row r="150" spans="2:45" ht="15" customHeight="1" x14ac:dyDescent="0.2"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</row>
    <row r="151" spans="2:45" ht="15" customHeight="1" x14ac:dyDescent="0.2">
      <c r="D151" s="56" t="s">
        <v>189</v>
      </c>
      <c r="E151" s="56"/>
      <c r="F151" s="56"/>
      <c r="G151" s="56"/>
      <c r="H151" s="56"/>
      <c r="I151" s="56" t="s">
        <v>174</v>
      </c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</row>
    <row r="152" spans="2:45" ht="15" customHeight="1" x14ac:dyDescent="0.2"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  <c r="AN152" s="212"/>
      <c r="AO152" s="212"/>
      <c r="AP152" s="212"/>
      <c r="AQ152" s="212"/>
      <c r="AR152" s="212"/>
      <c r="AS152" s="212"/>
    </row>
    <row r="153" spans="2:45" ht="15" customHeight="1" x14ac:dyDescent="0.2">
      <c r="D153" s="56" t="s">
        <v>190</v>
      </c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</row>
    <row r="154" spans="2:45" ht="15" customHeight="1" x14ac:dyDescent="0.2">
      <c r="D154" s="56" t="s">
        <v>125</v>
      </c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</row>
    <row r="155" spans="2:45" ht="15" customHeight="1" x14ac:dyDescent="0.2"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  <c r="AN155" s="212"/>
      <c r="AO155" s="212"/>
      <c r="AP155" s="212"/>
      <c r="AQ155" s="212"/>
      <c r="AR155" s="212"/>
      <c r="AS155" s="212"/>
    </row>
    <row r="156" spans="2:45" ht="15" customHeight="1" x14ac:dyDescent="0.2">
      <c r="D156" s="56" t="s">
        <v>126</v>
      </c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</row>
    <row r="159" spans="2:45" ht="15" customHeight="1" x14ac:dyDescent="0.2">
      <c r="B159" s="50" t="s">
        <v>127</v>
      </c>
    </row>
    <row r="160" spans="2:45" ht="15" customHeight="1" x14ac:dyDescent="0.2">
      <c r="B160" s="50" t="s">
        <v>128</v>
      </c>
      <c r="C160" s="50" t="s">
        <v>129</v>
      </c>
    </row>
    <row r="161" spans="1:3" ht="15" customHeight="1" x14ac:dyDescent="0.2">
      <c r="B161" s="50" t="s">
        <v>130</v>
      </c>
      <c r="C161" s="50" t="s">
        <v>191</v>
      </c>
    </row>
    <row r="162" spans="1:3" ht="15" customHeight="1" x14ac:dyDescent="0.2">
      <c r="B162" s="50" t="s">
        <v>192</v>
      </c>
      <c r="C162" s="50" t="s">
        <v>193</v>
      </c>
    </row>
    <row r="163" spans="1:3" ht="15" customHeight="1" x14ac:dyDescent="0.2">
      <c r="B163" s="50" t="s">
        <v>194</v>
      </c>
      <c r="C163" s="50" t="s">
        <v>195</v>
      </c>
    </row>
    <row r="164" spans="1:3" ht="15" customHeight="1" x14ac:dyDescent="0.2">
      <c r="B164" s="50" t="s">
        <v>196</v>
      </c>
      <c r="C164" s="50" t="s">
        <v>197</v>
      </c>
    </row>
    <row r="165" spans="1:3" ht="15" customHeight="1" x14ac:dyDescent="0.2">
      <c r="B165" s="50" t="s">
        <v>198</v>
      </c>
      <c r="C165" s="50" t="s">
        <v>199</v>
      </c>
    </row>
    <row r="166" spans="1:3" ht="15" customHeight="1" x14ac:dyDescent="0.2">
      <c r="B166" s="50" t="s">
        <v>200</v>
      </c>
      <c r="C166" s="50" t="s">
        <v>201</v>
      </c>
    </row>
    <row r="167" spans="1:3" ht="15" customHeight="1" x14ac:dyDescent="0.2">
      <c r="B167" s="50" t="s">
        <v>202</v>
      </c>
      <c r="C167" s="50" t="s">
        <v>203</v>
      </c>
    </row>
    <row r="168" spans="1:3" ht="15" customHeight="1" x14ac:dyDescent="0.2">
      <c r="B168" s="50" t="s">
        <v>204</v>
      </c>
      <c r="C168" s="50" t="s">
        <v>205</v>
      </c>
    </row>
    <row r="169" spans="1:3" ht="15" customHeight="1" x14ac:dyDescent="0.2">
      <c r="B169" s="50" t="s">
        <v>206</v>
      </c>
      <c r="C169" s="50" t="s">
        <v>207</v>
      </c>
    </row>
    <row r="170" spans="1:3" ht="15" customHeight="1" x14ac:dyDescent="0.2">
      <c r="B170" s="50" t="s">
        <v>208</v>
      </c>
      <c r="C170" s="50" t="s">
        <v>209</v>
      </c>
    </row>
    <row r="171" spans="1:3" ht="15" customHeight="1" x14ac:dyDescent="0.2">
      <c r="B171" s="50" t="s">
        <v>210</v>
      </c>
      <c r="C171" s="50" t="s">
        <v>211</v>
      </c>
    </row>
    <row r="172" spans="1:3" ht="15" customHeight="1" x14ac:dyDescent="0.2">
      <c r="B172" s="50" t="s">
        <v>212</v>
      </c>
      <c r="C172" s="50" t="s">
        <v>213</v>
      </c>
    </row>
    <row r="173" spans="1:3" ht="15" customHeight="1" x14ac:dyDescent="0.2">
      <c r="B173" s="50" t="s">
        <v>214</v>
      </c>
      <c r="C173" s="50" t="s">
        <v>215</v>
      </c>
    </row>
    <row r="176" spans="1:3" ht="15" customHeight="1" x14ac:dyDescent="0.2">
      <c r="A176" s="53" t="s">
        <v>216</v>
      </c>
      <c r="B176" s="53"/>
    </row>
    <row r="177" spans="2:45" ht="15" customHeight="1" x14ac:dyDescent="0.2">
      <c r="B177" s="50" t="s">
        <v>103</v>
      </c>
    </row>
    <row r="178" spans="2:45" ht="15" customHeight="1" x14ac:dyDescent="0.2">
      <c r="C178" s="50" t="s">
        <v>105</v>
      </c>
    </row>
    <row r="179" spans="2:45" ht="15" customHeight="1" x14ac:dyDescent="0.2">
      <c r="D179" s="54" t="s">
        <v>217</v>
      </c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Z179" s="54" t="s">
        <v>217</v>
      </c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</row>
    <row r="180" spans="2:45" ht="15" customHeight="1" x14ac:dyDescent="0.2">
      <c r="C180" s="50" t="s">
        <v>108</v>
      </c>
    </row>
    <row r="181" spans="2:45" ht="15" customHeight="1" x14ac:dyDescent="0.2">
      <c r="D181" s="56" t="s">
        <v>218</v>
      </c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Z181" s="56" t="s">
        <v>218</v>
      </c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</row>
    <row r="183" spans="2:45" ht="15" customHeight="1" x14ac:dyDescent="0.2">
      <c r="B183" s="50" t="s">
        <v>111</v>
      </c>
    </row>
    <row r="184" spans="2:45" ht="15" customHeight="1" x14ac:dyDescent="0.2">
      <c r="C184" s="50" t="s">
        <v>105</v>
      </c>
    </row>
    <row r="185" spans="2:45" ht="15" customHeight="1" x14ac:dyDescent="0.2">
      <c r="D185" s="55" t="s">
        <v>147</v>
      </c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Z185" s="213" t="s">
        <v>219</v>
      </c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</row>
    <row r="186" spans="2:45" ht="15" customHeight="1" x14ac:dyDescent="0.2"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Z186" s="214"/>
      <c r="AA186" s="214"/>
      <c r="AB186" s="214"/>
      <c r="AC186" s="214"/>
      <c r="AD186" s="214"/>
      <c r="AE186" s="214"/>
      <c r="AF186" s="214"/>
      <c r="AG186" s="214"/>
      <c r="AH186" s="214"/>
      <c r="AI186" s="214"/>
      <c r="AJ186" s="214"/>
      <c r="AK186" s="214"/>
      <c r="AL186" s="214"/>
      <c r="AM186" s="214"/>
      <c r="AN186" s="214"/>
      <c r="AO186" s="214"/>
      <c r="AP186" s="214"/>
      <c r="AQ186" s="214"/>
      <c r="AR186" s="214"/>
      <c r="AS186" s="214"/>
    </row>
    <row r="187" spans="2:45" ht="15" customHeight="1" x14ac:dyDescent="0.2">
      <c r="D187" s="54" t="s">
        <v>220</v>
      </c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Z187" s="214"/>
      <c r="AA187" s="214"/>
      <c r="AB187" s="214"/>
      <c r="AC187" s="214"/>
      <c r="AD187" s="214"/>
      <c r="AE187" s="214"/>
      <c r="AF187" s="214"/>
      <c r="AG187" s="214"/>
      <c r="AH187" s="214"/>
      <c r="AI187" s="214"/>
      <c r="AJ187" s="214"/>
      <c r="AK187" s="214"/>
      <c r="AL187" s="214"/>
      <c r="AM187" s="214"/>
      <c r="AN187" s="214"/>
      <c r="AO187" s="214"/>
      <c r="AP187" s="214"/>
      <c r="AQ187" s="214"/>
      <c r="AR187" s="214"/>
      <c r="AS187" s="214"/>
    </row>
    <row r="188" spans="2:45" ht="15" customHeight="1" x14ac:dyDescent="0.2">
      <c r="D188" s="55" t="s">
        <v>150</v>
      </c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Z188" s="214"/>
      <c r="AA188" s="214"/>
      <c r="AB188" s="214"/>
      <c r="AC188" s="214"/>
      <c r="AD188" s="214"/>
      <c r="AE188" s="214"/>
      <c r="AF188" s="214"/>
      <c r="AG188" s="214"/>
      <c r="AH188" s="214"/>
      <c r="AI188" s="214"/>
      <c r="AJ188" s="214"/>
      <c r="AK188" s="214"/>
      <c r="AL188" s="214"/>
      <c r="AM188" s="214"/>
      <c r="AN188" s="214"/>
      <c r="AO188" s="214"/>
      <c r="AP188" s="214"/>
      <c r="AQ188" s="214"/>
      <c r="AR188" s="214"/>
      <c r="AS188" s="214"/>
    </row>
    <row r="189" spans="2:45" ht="15" customHeight="1" x14ac:dyDescent="0.2"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Z189" s="214"/>
      <c r="AA189" s="214"/>
      <c r="AB189" s="214"/>
      <c r="AC189" s="214"/>
      <c r="AD189" s="214"/>
      <c r="AE189" s="214"/>
      <c r="AF189" s="214"/>
      <c r="AG189" s="214"/>
      <c r="AH189" s="214"/>
      <c r="AI189" s="214"/>
      <c r="AJ189" s="214"/>
      <c r="AK189" s="214"/>
      <c r="AL189" s="214"/>
      <c r="AM189" s="214"/>
      <c r="AN189" s="214"/>
      <c r="AO189" s="214"/>
      <c r="AP189" s="214"/>
      <c r="AQ189" s="214"/>
      <c r="AR189" s="214"/>
      <c r="AS189" s="214"/>
    </row>
    <row r="190" spans="2:45" ht="15" customHeight="1" x14ac:dyDescent="0.2">
      <c r="D190" s="65" t="s">
        <v>151</v>
      </c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Z190" s="214"/>
      <c r="AA190" s="214"/>
      <c r="AB190" s="214"/>
      <c r="AC190" s="214"/>
      <c r="AD190" s="214"/>
      <c r="AE190" s="214"/>
      <c r="AF190" s="214"/>
      <c r="AG190" s="214"/>
      <c r="AH190" s="214"/>
      <c r="AI190" s="214"/>
      <c r="AJ190" s="214"/>
      <c r="AK190" s="214"/>
      <c r="AL190" s="214"/>
      <c r="AM190" s="214"/>
      <c r="AN190" s="214"/>
      <c r="AO190" s="214"/>
      <c r="AP190" s="214"/>
      <c r="AQ190" s="214"/>
      <c r="AR190" s="214"/>
      <c r="AS190" s="214"/>
    </row>
    <row r="191" spans="2:45" ht="15" customHeight="1" x14ac:dyDescent="0.2">
      <c r="D191" s="55" t="s">
        <v>152</v>
      </c>
      <c r="E191" s="55"/>
      <c r="F191" s="55" t="s">
        <v>153</v>
      </c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Z191" s="214"/>
      <c r="AA191" s="214"/>
      <c r="AB191" s="214"/>
      <c r="AC191" s="214"/>
      <c r="AD191" s="214"/>
      <c r="AE191" s="214"/>
      <c r="AF191" s="214"/>
      <c r="AG191" s="214"/>
      <c r="AH191" s="214"/>
      <c r="AI191" s="214"/>
      <c r="AJ191" s="214"/>
      <c r="AK191" s="214"/>
      <c r="AL191" s="214"/>
      <c r="AM191" s="214"/>
      <c r="AN191" s="214"/>
      <c r="AO191" s="214"/>
      <c r="AP191" s="214"/>
      <c r="AQ191" s="214"/>
      <c r="AR191" s="214"/>
      <c r="AS191" s="214"/>
    </row>
    <row r="192" spans="2:45" ht="15" customHeight="1" x14ac:dyDescent="0.2">
      <c r="D192" s="55" t="s">
        <v>154</v>
      </c>
      <c r="E192" s="55"/>
      <c r="F192" s="55" t="s">
        <v>155</v>
      </c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</row>
    <row r="193" spans="3:45" ht="15" customHeight="1" x14ac:dyDescent="0.2">
      <c r="D193" s="65" t="s">
        <v>151</v>
      </c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</row>
    <row r="194" spans="3:45" ht="15" customHeight="1" x14ac:dyDescent="0.2"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</row>
    <row r="195" spans="3:45" ht="15" customHeight="1" x14ac:dyDescent="0.2">
      <c r="D195" s="55" t="s">
        <v>157</v>
      </c>
      <c r="E195" s="55"/>
      <c r="F195" s="55" t="s">
        <v>221</v>
      </c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Z195" s="214"/>
      <c r="AA195" s="214"/>
      <c r="AB195" s="214"/>
      <c r="AC195" s="214"/>
      <c r="AD195" s="214"/>
      <c r="AE195" s="214"/>
      <c r="AF195" s="214"/>
      <c r="AG195" s="214"/>
      <c r="AH195" s="214"/>
      <c r="AI195" s="214"/>
      <c r="AJ195" s="214"/>
      <c r="AK195" s="214"/>
      <c r="AL195" s="214"/>
      <c r="AM195" s="214"/>
      <c r="AN195" s="214"/>
      <c r="AO195" s="214"/>
      <c r="AP195" s="214"/>
      <c r="AQ195" s="214"/>
      <c r="AR195" s="214"/>
      <c r="AS195" s="214"/>
    </row>
    <row r="196" spans="3:45" ht="15" customHeight="1" x14ac:dyDescent="0.2">
      <c r="D196" s="55" t="s">
        <v>159</v>
      </c>
      <c r="E196" s="55"/>
      <c r="F196" s="55" t="s">
        <v>222</v>
      </c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</row>
    <row r="197" spans="3:45" ht="15" customHeight="1" x14ac:dyDescent="0.2">
      <c r="D197" s="55" t="s">
        <v>161</v>
      </c>
      <c r="E197" s="55"/>
      <c r="F197" s="55" t="s">
        <v>223</v>
      </c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Z197" s="214"/>
      <c r="AA197" s="214"/>
      <c r="AB197" s="214"/>
      <c r="AC197" s="214"/>
      <c r="AD197" s="214"/>
      <c r="AE197" s="214"/>
      <c r="AF197" s="214"/>
      <c r="AG197" s="214"/>
      <c r="AH197" s="214"/>
      <c r="AI197" s="214"/>
      <c r="AJ197" s="214"/>
      <c r="AK197" s="214"/>
      <c r="AL197" s="214"/>
      <c r="AM197" s="214"/>
      <c r="AN197" s="214"/>
      <c r="AO197" s="214"/>
      <c r="AP197" s="214"/>
      <c r="AQ197" s="214"/>
      <c r="AR197" s="214"/>
      <c r="AS197" s="214"/>
    </row>
    <row r="198" spans="3:45" ht="15" customHeight="1" x14ac:dyDescent="0.2">
      <c r="D198" s="55" t="s">
        <v>163</v>
      </c>
      <c r="E198" s="55"/>
      <c r="F198" s="55" t="s">
        <v>224</v>
      </c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Z198" s="214"/>
      <c r="AA198" s="214"/>
      <c r="AB198" s="214"/>
      <c r="AC198" s="214"/>
      <c r="AD198" s="214"/>
      <c r="AE198" s="214"/>
      <c r="AF198" s="214"/>
      <c r="AG198" s="214"/>
      <c r="AH198" s="214"/>
      <c r="AI198" s="214"/>
      <c r="AJ198" s="214"/>
      <c r="AK198" s="214"/>
      <c r="AL198" s="214"/>
      <c r="AM198" s="214"/>
      <c r="AN198" s="214"/>
      <c r="AO198" s="214"/>
      <c r="AP198" s="214"/>
      <c r="AQ198" s="214"/>
      <c r="AR198" s="214"/>
      <c r="AS198" s="214"/>
    </row>
    <row r="199" spans="3:45" ht="15" customHeight="1" x14ac:dyDescent="0.2">
      <c r="D199" s="55" t="s">
        <v>165</v>
      </c>
      <c r="E199" s="55"/>
      <c r="F199" s="55" t="s">
        <v>225</v>
      </c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</row>
    <row r="200" spans="3:45" ht="15" customHeight="1" x14ac:dyDescent="0.2"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Z200" s="214"/>
      <c r="AA200" s="214"/>
      <c r="AB200" s="214"/>
      <c r="AC200" s="214"/>
      <c r="AD200" s="214"/>
      <c r="AE200" s="214"/>
      <c r="AF200" s="214"/>
      <c r="AG200" s="214"/>
      <c r="AH200" s="214"/>
      <c r="AI200" s="214"/>
      <c r="AJ200" s="214"/>
      <c r="AK200" s="214"/>
      <c r="AL200" s="214"/>
      <c r="AM200" s="214"/>
      <c r="AN200" s="214"/>
      <c r="AO200" s="214"/>
      <c r="AP200" s="214"/>
      <c r="AQ200" s="214"/>
      <c r="AR200" s="214"/>
      <c r="AS200" s="214"/>
    </row>
    <row r="201" spans="3:45" ht="15" customHeight="1" x14ac:dyDescent="0.2">
      <c r="D201" s="55" t="s">
        <v>117</v>
      </c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Z201" s="214"/>
      <c r="AA201" s="214"/>
      <c r="AB201" s="214"/>
      <c r="AC201" s="214"/>
      <c r="AD201" s="214"/>
      <c r="AE201" s="214"/>
      <c r="AF201" s="214"/>
      <c r="AG201" s="214"/>
      <c r="AH201" s="214"/>
      <c r="AI201" s="214"/>
      <c r="AJ201" s="214"/>
      <c r="AK201" s="214"/>
      <c r="AL201" s="214"/>
      <c r="AM201" s="214"/>
      <c r="AN201" s="214"/>
      <c r="AO201" s="214"/>
      <c r="AP201" s="214"/>
      <c r="AQ201" s="214"/>
      <c r="AR201" s="214"/>
      <c r="AS201" s="214"/>
    </row>
    <row r="202" spans="3:45" ht="15" customHeight="1" x14ac:dyDescent="0.2">
      <c r="D202" s="61" t="s">
        <v>125</v>
      </c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</row>
    <row r="203" spans="3:45" ht="15" customHeight="1" x14ac:dyDescent="0.2"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</row>
    <row r="204" spans="3:45" ht="15" customHeight="1" x14ac:dyDescent="0.2">
      <c r="D204" s="55" t="s">
        <v>119</v>
      </c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</row>
    <row r="206" spans="3:45" ht="15" customHeight="1" x14ac:dyDescent="0.2">
      <c r="C206" s="50" t="s">
        <v>108</v>
      </c>
    </row>
    <row r="207" spans="3:45" ht="15" customHeight="1" x14ac:dyDescent="0.2">
      <c r="D207" s="56" t="s">
        <v>175</v>
      </c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Z207" s="211" t="s">
        <v>226</v>
      </c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</row>
    <row r="208" spans="3:45" ht="15" customHeight="1" x14ac:dyDescent="0.2"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</row>
    <row r="209" spans="4:45" ht="15" customHeight="1" x14ac:dyDescent="0.2">
      <c r="D209" s="56" t="s">
        <v>227</v>
      </c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</row>
    <row r="210" spans="4:45" ht="15" customHeight="1" x14ac:dyDescent="0.2">
      <c r="D210" s="56" t="s">
        <v>178</v>
      </c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</row>
    <row r="211" spans="4:45" ht="15" customHeight="1" x14ac:dyDescent="0.2"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</row>
    <row r="212" spans="4:45" ht="15" customHeight="1" x14ac:dyDescent="0.2">
      <c r="D212" s="56" t="s">
        <v>179</v>
      </c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</row>
    <row r="213" spans="4:45" ht="15" customHeight="1" x14ac:dyDescent="0.2">
      <c r="D213" s="56" t="s">
        <v>180</v>
      </c>
      <c r="E213" s="56"/>
      <c r="F213" s="56"/>
      <c r="G213" s="56"/>
      <c r="H213" s="56"/>
      <c r="I213" s="56" t="s">
        <v>153</v>
      </c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</row>
    <row r="214" spans="4:45" ht="15" customHeight="1" x14ac:dyDescent="0.2">
      <c r="D214" s="56" t="s">
        <v>181</v>
      </c>
      <c r="E214" s="56"/>
      <c r="F214" s="56"/>
      <c r="G214" s="56"/>
      <c r="H214" s="56"/>
      <c r="I214" s="56" t="s">
        <v>155</v>
      </c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</row>
    <row r="215" spans="4:45" ht="15" customHeight="1" x14ac:dyDescent="0.2">
      <c r="D215" s="56" t="s">
        <v>179</v>
      </c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</row>
    <row r="216" spans="4:45" ht="15" customHeight="1" x14ac:dyDescent="0.2"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</row>
    <row r="217" spans="4:45" ht="15" customHeight="1" x14ac:dyDescent="0.2">
      <c r="D217" s="56" t="s">
        <v>183</v>
      </c>
      <c r="E217" s="56"/>
      <c r="F217" s="56"/>
      <c r="G217" s="56"/>
      <c r="H217" s="56"/>
      <c r="I217" s="56" t="s">
        <v>221</v>
      </c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</row>
    <row r="218" spans="4:45" ht="15" customHeight="1" x14ac:dyDescent="0.2">
      <c r="D218" s="56" t="s">
        <v>184</v>
      </c>
      <c r="E218" s="56"/>
      <c r="F218" s="56"/>
      <c r="G218" s="56"/>
      <c r="H218" s="56"/>
      <c r="I218" s="56" t="s">
        <v>222</v>
      </c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</row>
    <row r="219" spans="4:45" ht="15" customHeight="1" x14ac:dyDescent="0.2">
      <c r="D219" s="56" t="s">
        <v>185</v>
      </c>
      <c r="E219" s="56"/>
      <c r="F219" s="56"/>
      <c r="G219" s="56"/>
      <c r="H219" s="56"/>
      <c r="I219" s="56" t="s">
        <v>223</v>
      </c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</row>
    <row r="220" spans="4:45" ht="15" customHeight="1" x14ac:dyDescent="0.2">
      <c r="D220" s="56" t="s">
        <v>186</v>
      </c>
      <c r="E220" s="56"/>
      <c r="F220" s="56"/>
      <c r="G220" s="56"/>
      <c r="H220" s="56"/>
      <c r="I220" s="56" t="s">
        <v>224</v>
      </c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</row>
    <row r="221" spans="4:45" ht="15" customHeight="1" x14ac:dyDescent="0.2">
      <c r="D221" s="56" t="s">
        <v>187</v>
      </c>
      <c r="E221" s="56"/>
      <c r="F221" s="56"/>
      <c r="G221" s="56"/>
      <c r="H221" s="56"/>
      <c r="I221" s="56" t="s">
        <v>225</v>
      </c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</row>
    <row r="222" spans="4:45" ht="15" customHeight="1" x14ac:dyDescent="0.2"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</row>
    <row r="223" spans="4:45" ht="15" customHeight="1" x14ac:dyDescent="0.2">
      <c r="D223" s="56" t="s">
        <v>190</v>
      </c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</row>
    <row r="224" spans="4:45" ht="15" customHeight="1" x14ac:dyDescent="0.2">
      <c r="D224" s="56" t="s">
        <v>125</v>
      </c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</row>
    <row r="225" spans="1:45" ht="15" customHeight="1" x14ac:dyDescent="0.2"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</row>
    <row r="226" spans="1:45" ht="15" customHeight="1" x14ac:dyDescent="0.2">
      <c r="D226" s="56" t="s">
        <v>126</v>
      </c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</row>
    <row r="229" spans="1:45" ht="15" customHeight="1" x14ac:dyDescent="0.2">
      <c r="B229" s="50" t="s">
        <v>127</v>
      </c>
    </row>
    <row r="230" spans="1:45" ht="15" customHeight="1" x14ac:dyDescent="0.2">
      <c r="B230" s="50" t="s">
        <v>128</v>
      </c>
      <c r="C230" s="50" t="s">
        <v>129</v>
      </c>
    </row>
    <row r="231" spans="1:45" ht="15" customHeight="1" x14ac:dyDescent="0.2">
      <c r="B231" s="50" t="s">
        <v>130</v>
      </c>
      <c r="C231" s="50" t="s">
        <v>191</v>
      </c>
    </row>
    <row r="232" spans="1:45" ht="15" customHeight="1" x14ac:dyDescent="0.2">
      <c r="B232" s="50" t="s">
        <v>192</v>
      </c>
      <c r="C232" s="50" t="s">
        <v>193</v>
      </c>
    </row>
    <row r="233" spans="1:45" ht="15" customHeight="1" x14ac:dyDescent="0.2">
      <c r="B233" s="50" t="s">
        <v>194</v>
      </c>
      <c r="C233" s="50" t="s">
        <v>228</v>
      </c>
    </row>
    <row r="234" spans="1:45" ht="15" customHeight="1" x14ac:dyDescent="0.2">
      <c r="B234" s="50" t="s">
        <v>196</v>
      </c>
      <c r="C234" s="50" t="s">
        <v>229</v>
      </c>
    </row>
    <row r="235" spans="1:45" ht="15" customHeight="1" x14ac:dyDescent="0.2">
      <c r="B235" s="50" t="s">
        <v>198</v>
      </c>
      <c r="C235" s="50" t="s">
        <v>230</v>
      </c>
    </row>
    <row r="236" spans="1:45" ht="15" customHeight="1" x14ac:dyDescent="0.2">
      <c r="B236" s="50" t="s">
        <v>200</v>
      </c>
      <c r="C236" s="50" t="s">
        <v>231</v>
      </c>
    </row>
    <row r="237" spans="1:45" ht="15" customHeight="1" x14ac:dyDescent="0.2">
      <c r="B237" s="50" t="s">
        <v>202</v>
      </c>
      <c r="C237" s="50" t="s">
        <v>232</v>
      </c>
    </row>
    <row r="240" spans="1:45" ht="15" customHeight="1" x14ac:dyDescent="0.2">
      <c r="A240" s="53" t="s">
        <v>233</v>
      </c>
      <c r="B240" s="53"/>
    </row>
    <row r="241" spans="2:45" ht="15" customHeight="1" x14ac:dyDescent="0.2">
      <c r="B241" s="50" t="s">
        <v>103</v>
      </c>
    </row>
    <row r="242" spans="2:45" ht="15" customHeight="1" x14ac:dyDescent="0.2">
      <c r="C242" s="50" t="s">
        <v>105</v>
      </c>
    </row>
    <row r="243" spans="2:45" ht="15" customHeight="1" x14ac:dyDescent="0.2">
      <c r="D243" s="55" t="s">
        <v>234</v>
      </c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Z243" s="55" t="s">
        <v>234</v>
      </c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</row>
    <row r="244" spans="2:45" ht="15" customHeight="1" x14ac:dyDescent="0.2">
      <c r="C244" s="50" t="s">
        <v>108</v>
      </c>
    </row>
    <row r="245" spans="2:45" ht="15" customHeight="1" x14ac:dyDescent="0.2">
      <c r="D245" s="56" t="s">
        <v>235</v>
      </c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Z245" s="56" t="s">
        <v>236</v>
      </c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</row>
    <row r="247" spans="2:45" ht="15" customHeight="1" x14ac:dyDescent="0.2">
      <c r="B247" s="50" t="s">
        <v>111</v>
      </c>
    </row>
    <row r="248" spans="2:45" ht="15" customHeight="1" x14ac:dyDescent="0.2">
      <c r="C248" s="50" t="s">
        <v>105</v>
      </c>
    </row>
    <row r="249" spans="2:45" ht="15" customHeight="1" x14ac:dyDescent="0.2">
      <c r="D249" s="55" t="s">
        <v>147</v>
      </c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Z249" s="213" t="s">
        <v>237</v>
      </c>
      <c r="AA249" s="214"/>
      <c r="AB249" s="214"/>
      <c r="AC249" s="214"/>
      <c r="AD249" s="214"/>
      <c r="AE249" s="214"/>
      <c r="AF249" s="214"/>
      <c r="AG249" s="214"/>
      <c r="AH249" s="214"/>
      <c r="AI249" s="214"/>
      <c r="AJ249" s="214"/>
      <c r="AK249" s="214"/>
      <c r="AL249" s="214"/>
      <c r="AM249" s="214"/>
      <c r="AN249" s="214"/>
      <c r="AO249" s="214"/>
      <c r="AP249" s="214"/>
      <c r="AQ249" s="214"/>
      <c r="AR249" s="214"/>
      <c r="AS249" s="214"/>
    </row>
    <row r="250" spans="2:45" ht="15" customHeight="1" x14ac:dyDescent="0.2"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Z250" s="214"/>
      <c r="AA250" s="214"/>
      <c r="AB250" s="214"/>
      <c r="AC250" s="214"/>
      <c r="AD250" s="214"/>
      <c r="AE250" s="214"/>
      <c r="AF250" s="214"/>
      <c r="AG250" s="214"/>
      <c r="AH250" s="214"/>
      <c r="AI250" s="214"/>
      <c r="AJ250" s="214"/>
      <c r="AK250" s="214"/>
      <c r="AL250" s="214"/>
      <c r="AM250" s="214"/>
      <c r="AN250" s="214"/>
      <c r="AO250" s="214"/>
      <c r="AP250" s="214"/>
      <c r="AQ250" s="214"/>
      <c r="AR250" s="214"/>
      <c r="AS250" s="214"/>
    </row>
    <row r="251" spans="2:45" ht="15" customHeight="1" x14ac:dyDescent="0.2">
      <c r="D251" s="54" t="s">
        <v>238</v>
      </c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Z251" s="214"/>
      <c r="AA251" s="214"/>
      <c r="AB251" s="214"/>
      <c r="AC251" s="214"/>
      <c r="AD251" s="214"/>
      <c r="AE251" s="214"/>
      <c r="AF251" s="214"/>
      <c r="AG251" s="214"/>
      <c r="AH251" s="214"/>
      <c r="AI251" s="214"/>
      <c r="AJ251" s="214"/>
      <c r="AK251" s="214"/>
      <c r="AL251" s="214"/>
      <c r="AM251" s="214"/>
      <c r="AN251" s="214"/>
      <c r="AO251" s="214"/>
      <c r="AP251" s="214"/>
      <c r="AQ251" s="214"/>
      <c r="AR251" s="214"/>
      <c r="AS251" s="214"/>
    </row>
    <row r="252" spans="2:45" ht="15" customHeight="1" x14ac:dyDescent="0.2">
      <c r="D252" s="54" t="s">
        <v>115</v>
      </c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Z252" s="214"/>
      <c r="AA252" s="214"/>
      <c r="AB252" s="214"/>
      <c r="AC252" s="214"/>
      <c r="AD252" s="214"/>
      <c r="AE252" s="214"/>
      <c r="AF252" s="214"/>
      <c r="AG252" s="214"/>
      <c r="AH252" s="214"/>
      <c r="AI252" s="214"/>
      <c r="AJ252" s="214"/>
      <c r="AK252" s="214"/>
      <c r="AL252" s="214"/>
      <c r="AM252" s="214"/>
      <c r="AN252" s="214"/>
      <c r="AO252" s="214"/>
      <c r="AP252" s="214"/>
      <c r="AQ252" s="214"/>
      <c r="AR252" s="214"/>
      <c r="AS252" s="214"/>
    </row>
    <row r="253" spans="2:45" ht="15" customHeight="1" x14ac:dyDescent="0.2">
      <c r="D253" s="54" t="s">
        <v>239</v>
      </c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Z253" s="214"/>
      <c r="AA253" s="214"/>
      <c r="AB253" s="214"/>
      <c r="AC253" s="214"/>
      <c r="AD253" s="214"/>
      <c r="AE253" s="214"/>
      <c r="AF253" s="214"/>
      <c r="AG253" s="214"/>
      <c r="AH253" s="214"/>
      <c r="AI253" s="214"/>
      <c r="AJ253" s="214"/>
      <c r="AK253" s="214"/>
      <c r="AL253" s="214"/>
      <c r="AM253" s="214"/>
      <c r="AN253" s="214"/>
      <c r="AO253" s="214"/>
      <c r="AP253" s="214"/>
      <c r="AQ253" s="214"/>
      <c r="AR253" s="214"/>
      <c r="AS253" s="214"/>
    </row>
    <row r="254" spans="2:45" ht="15" customHeight="1" x14ac:dyDescent="0.2"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Z254" s="214"/>
      <c r="AA254" s="214"/>
      <c r="AB254" s="214"/>
      <c r="AC254" s="214"/>
      <c r="AD254" s="214"/>
      <c r="AE254" s="214"/>
      <c r="AF254" s="214"/>
      <c r="AG254" s="214"/>
      <c r="AH254" s="214"/>
      <c r="AI254" s="214"/>
      <c r="AJ254" s="214"/>
      <c r="AK254" s="214"/>
      <c r="AL254" s="214"/>
      <c r="AM254" s="214"/>
      <c r="AN254" s="214"/>
      <c r="AO254" s="214"/>
      <c r="AP254" s="214"/>
      <c r="AQ254" s="214"/>
      <c r="AR254" s="214"/>
      <c r="AS254" s="214"/>
    </row>
    <row r="255" spans="2:45" ht="15" customHeight="1" x14ac:dyDescent="0.2">
      <c r="D255" s="55" t="s">
        <v>117</v>
      </c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Z255" s="214"/>
      <c r="AA255" s="214"/>
      <c r="AB255" s="214"/>
      <c r="AC255" s="214"/>
      <c r="AD255" s="214"/>
      <c r="AE255" s="214"/>
      <c r="AF255" s="214"/>
      <c r="AG255" s="214"/>
      <c r="AH255" s="214"/>
      <c r="AI255" s="214"/>
      <c r="AJ255" s="214"/>
      <c r="AK255" s="214"/>
      <c r="AL255" s="214"/>
      <c r="AM255" s="214"/>
      <c r="AN255" s="214"/>
      <c r="AO255" s="214"/>
      <c r="AP255" s="214"/>
      <c r="AQ255" s="214"/>
      <c r="AR255" s="214"/>
      <c r="AS255" s="214"/>
    </row>
    <row r="256" spans="2:45" ht="15" customHeight="1" x14ac:dyDescent="0.2">
      <c r="D256" s="61" t="s">
        <v>125</v>
      </c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Z256" s="214"/>
      <c r="AA256" s="214"/>
      <c r="AB256" s="214"/>
      <c r="AC256" s="214"/>
      <c r="AD256" s="214"/>
      <c r="AE256" s="214"/>
      <c r="AF256" s="214"/>
      <c r="AG256" s="214"/>
      <c r="AH256" s="214"/>
      <c r="AI256" s="214"/>
      <c r="AJ256" s="214"/>
      <c r="AK256" s="214"/>
      <c r="AL256" s="214"/>
      <c r="AM256" s="214"/>
      <c r="AN256" s="214"/>
      <c r="AO256" s="214"/>
      <c r="AP256" s="214"/>
      <c r="AQ256" s="214"/>
      <c r="AR256" s="214"/>
      <c r="AS256" s="214"/>
    </row>
    <row r="257" spans="3:45" ht="15" customHeight="1" x14ac:dyDescent="0.2"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Z257" s="214"/>
      <c r="AA257" s="214"/>
      <c r="AB257" s="214"/>
      <c r="AC257" s="214"/>
      <c r="AD257" s="214"/>
      <c r="AE257" s="214"/>
      <c r="AF257" s="214"/>
      <c r="AG257" s="214"/>
      <c r="AH257" s="214"/>
      <c r="AI257" s="214"/>
      <c r="AJ257" s="214"/>
      <c r="AK257" s="214"/>
      <c r="AL257" s="214"/>
      <c r="AM257" s="214"/>
      <c r="AN257" s="214"/>
      <c r="AO257" s="214"/>
      <c r="AP257" s="214"/>
      <c r="AQ257" s="214"/>
      <c r="AR257" s="214"/>
      <c r="AS257" s="214"/>
    </row>
    <row r="258" spans="3:45" ht="15" customHeight="1" x14ac:dyDescent="0.2">
      <c r="D258" s="55" t="s">
        <v>119</v>
      </c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Z258" s="214"/>
      <c r="AA258" s="214"/>
      <c r="AB258" s="214"/>
      <c r="AC258" s="214"/>
      <c r="AD258" s="214"/>
      <c r="AE258" s="214"/>
      <c r="AF258" s="214"/>
      <c r="AG258" s="214"/>
      <c r="AH258" s="214"/>
      <c r="AI258" s="214"/>
      <c r="AJ258" s="214"/>
      <c r="AK258" s="214"/>
      <c r="AL258" s="214"/>
      <c r="AM258" s="214"/>
      <c r="AN258" s="214"/>
      <c r="AO258" s="214"/>
      <c r="AP258" s="214"/>
      <c r="AQ258" s="214"/>
      <c r="AR258" s="214"/>
      <c r="AS258" s="214"/>
    </row>
    <row r="260" spans="3:45" ht="15" customHeight="1" x14ac:dyDescent="0.2">
      <c r="C260" s="50" t="s">
        <v>108</v>
      </c>
    </row>
    <row r="261" spans="3:45" ht="15" customHeight="1" x14ac:dyDescent="0.2">
      <c r="D261" s="56" t="s">
        <v>175</v>
      </c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Z261" s="211" t="s">
        <v>240</v>
      </c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</row>
    <row r="262" spans="3:45" ht="15" customHeight="1" x14ac:dyDescent="0.2"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</row>
    <row r="263" spans="3:45" ht="15" customHeight="1" x14ac:dyDescent="0.2">
      <c r="D263" s="59" t="s">
        <v>241</v>
      </c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</row>
    <row r="264" spans="3:45" ht="15" customHeight="1" x14ac:dyDescent="0.2">
      <c r="D264" s="59" t="s">
        <v>242</v>
      </c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</row>
    <row r="265" spans="3:45" ht="15" customHeight="1" x14ac:dyDescent="0.2">
      <c r="D265" s="59" t="s">
        <v>243</v>
      </c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</row>
    <row r="266" spans="3:45" ht="15" customHeight="1" x14ac:dyDescent="0.2"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</row>
    <row r="267" spans="3:45" ht="15" customHeight="1" x14ac:dyDescent="0.2">
      <c r="D267" s="56" t="s">
        <v>190</v>
      </c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</row>
    <row r="268" spans="3:45" ht="15" customHeight="1" x14ac:dyDescent="0.2">
      <c r="D268" s="56" t="s">
        <v>125</v>
      </c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</row>
    <row r="269" spans="3:45" ht="15" customHeight="1" x14ac:dyDescent="0.2"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</row>
    <row r="270" spans="3:45" ht="15" customHeight="1" x14ac:dyDescent="0.2">
      <c r="D270" s="56" t="s">
        <v>126</v>
      </c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</row>
    <row r="273" spans="1:45" ht="15" customHeight="1" x14ac:dyDescent="0.2">
      <c r="B273" s="50" t="s">
        <v>127</v>
      </c>
    </row>
    <row r="274" spans="1:45" ht="15" customHeight="1" x14ac:dyDescent="0.2">
      <c r="B274" s="50" t="s">
        <v>128</v>
      </c>
      <c r="C274" s="50" t="s">
        <v>129</v>
      </c>
    </row>
    <row r="277" spans="1:45" ht="15" customHeight="1" x14ac:dyDescent="0.2">
      <c r="A277" s="53" t="s">
        <v>244</v>
      </c>
      <c r="B277" s="53"/>
    </row>
    <row r="278" spans="1:45" ht="15" customHeight="1" x14ac:dyDescent="0.2">
      <c r="B278" s="50" t="s">
        <v>103</v>
      </c>
    </row>
    <row r="279" spans="1:45" ht="15" customHeight="1" x14ac:dyDescent="0.2">
      <c r="C279" s="50" t="s">
        <v>105</v>
      </c>
    </row>
    <row r="280" spans="1:45" ht="15" customHeight="1" x14ac:dyDescent="0.2">
      <c r="D280" s="54" t="s">
        <v>245</v>
      </c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Z280" s="54" t="s">
        <v>245</v>
      </c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</row>
    <row r="281" spans="1:45" ht="15" customHeight="1" x14ac:dyDescent="0.2">
      <c r="C281" s="50" t="s">
        <v>108</v>
      </c>
    </row>
    <row r="282" spans="1:45" ht="15" customHeight="1" x14ac:dyDescent="0.2">
      <c r="D282" s="59" t="s">
        <v>246</v>
      </c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Z282" s="59" t="s">
        <v>246</v>
      </c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</row>
    <row r="284" spans="1:45" ht="15" customHeight="1" x14ac:dyDescent="0.2">
      <c r="B284" s="50" t="s">
        <v>111</v>
      </c>
    </row>
    <row r="285" spans="1:45" ht="15" customHeight="1" x14ac:dyDescent="0.2">
      <c r="C285" s="50" t="s">
        <v>105</v>
      </c>
    </row>
    <row r="286" spans="1:45" ht="15" customHeight="1" x14ac:dyDescent="0.2">
      <c r="D286" s="55" t="s">
        <v>247</v>
      </c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Z286" s="213" t="s">
        <v>248</v>
      </c>
      <c r="AA286" s="214"/>
      <c r="AB286" s="214"/>
      <c r="AC286" s="214"/>
      <c r="AD286" s="214"/>
      <c r="AE286" s="214"/>
      <c r="AF286" s="214"/>
      <c r="AG286" s="214"/>
      <c r="AH286" s="214"/>
      <c r="AI286" s="214"/>
      <c r="AJ286" s="214"/>
      <c r="AK286" s="214"/>
      <c r="AL286" s="214"/>
      <c r="AM286" s="214"/>
      <c r="AN286" s="214"/>
      <c r="AO286" s="214"/>
      <c r="AP286" s="214"/>
      <c r="AQ286" s="214"/>
      <c r="AR286" s="214"/>
      <c r="AS286" s="214"/>
    </row>
    <row r="287" spans="1:45" ht="15" customHeight="1" x14ac:dyDescent="0.2"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Z287" s="214"/>
      <c r="AA287" s="214"/>
      <c r="AB287" s="214"/>
      <c r="AC287" s="214"/>
      <c r="AD287" s="214"/>
      <c r="AE287" s="214"/>
      <c r="AF287" s="214"/>
      <c r="AG287" s="214"/>
      <c r="AH287" s="214"/>
      <c r="AI287" s="214"/>
      <c r="AJ287" s="214"/>
      <c r="AK287" s="214"/>
      <c r="AL287" s="214"/>
      <c r="AM287" s="214"/>
      <c r="AN287" s="214"/>
      <c r="AO287" s="214"/>
      <c r="AP287" s="214"/>
      <c r="AQ287" s="214"/>
      <c r="AR287" s="214"/>
      <c r="AS287" s="214"/>
    </row>
    <row r="288" spans="1:45" ht="15" customHeight="1" x14ac:dyDescent="0.2">
      <c r="D288" s="54" t="s">
        <v>249</v>
      </c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Z288" s="214"/>
      <c r="AA288" s="214"/>
      <c r="AB288" s="214"/>
      <c r="AC288" s="214"/>
      <c r="AD288" s="214"/>
      <c r="AE288" s="214"/>
      <c r="AF288" s="214"/>
      <c r="AG288" s="214"/>
      <c r="AH288" s="214"/>
      <c r="AI288" s="214"/>
      <c r="AJ288" s="214"/>
      <c r="AK288" s="214"/>
      <c r="AL288" s="214"/>
      <c r="AM288" s="214"/>
      <c r="AN288" s="214"/>
      <c r="AO288" s="214"/>
      <c r="AP288" s="214"/>
      <c r="AQ288" s="214"/>
      <c r="AR288" s="214"/>
      <c r="AS288" s="214"/>
    </row>
    <row r="289" spans="3:45" ht="15" customHeight="1" x14ac:dyDescent="0.2">
      <c r="D289" s="55" t="s">
        <v>115</v>
      </c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Z289" s="214"/>
      <c r="AA289" s="214"/>
      <c r="AB289" s="214"/>
      <c r="AC289" s="214"/>
      <c r="AD289" s="214"/>
      <c r="AE289" s="214"/>
      <c r="AF289" s="214"/>
      <c r="AG289" s="214"/>
      <c r="AH289" s="214"/>
      <c r="AI289" s="214"/>
      <c r="AJ289" s="214"/>
      <c r="AK289" s="214"/>
      <c r="AL289" s="214"/>
      <c r="AM289" s="214"/>
      <c r="AN289" s="214"/>
      <c r="AO289" s="214"/>
      <c r="AP289" s="214"/>
      <c r="AQ289" s="214"/>
      <c r="AR289" s="214"/>
      <c r="AS289" s="214"/>
    </row>
    <row r="290" spans="3:45" ht="15" customHeight="1" x14ac:dyDescent="0.2">
      <c r="D290" s="55" t="s">
        <v>116</v>
      </c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Z290" s="214"/>
      <c r="AA290" s="214"/>
      <c r="AB290" s="214"/>
      <c r="AC290" s="214"/>
      <c r="AD290" s="214"/>
      <c r="AE290" s="214"/>
      <c r="AF290" s="214"/>
      <c r="AG290" s="214"/>
      <c r="AH290" s="214"/>
      <c r="AI290" s="214"/>
      <c r="AJ290" s="214"/>
      <c r="AK290" s="214"/>
      <c r="AL290" s="214"/>
      <c r="AM290" s="214"/>
      <c r="AN290" s="214"/>
      <c r="AO290" s="214"/>
      <c r="AP290" s="214"/>
      <c r="AQ290" s="214"/>
      <c r="AR290" s="214"/>
      <c r="AS290" s="214"/>
    </row>
    <row r="291" spans="3:45" ht="15" customHeight="1" x14ac:dyDescent="0.2"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Z291" s="214"/>
      <c r="AA291" s="214"/>
      <c r="AB291" s="214"/>
      <c r="AC291" s="214"/>
      <c r="AD291" s="214"/>
      <c r="AE291" s="214"/>
      <c r="AF291" s="214"/>
      <c r="AG291" s="214"/>
      <c r="AH291" s="214"/>
      <c r="AI291" s="214"/>
      <c r="AJ291" s="214"/>
      <c r="AK291" s="214"/>
      <c r="AL291" s="214"/>
      <c r="AM291" s="214"/>
      <c r="AN291" s="214"/>
      <c r="AO291" s="214"/>
      <c r="AP291" s="214"/>
      <c r="AQ291" s="214"/>
      <c r="AR291" s="214"/>
      <c r="AS291" s="214"/>
    </row>
    <row r="292" spans="3:45" ht="15" customHeight="1" x14ac:dyDescent="0.2">
      <c r="D292" s="55" t="s">
        <v>117</v>
      </c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Z292" s="214"/>
      <c r="AA292" s="214"/>
      <c r="AB292" s="214"/>
      <c r="AC292" s="214"/>
      <c r="AD292" s="214"/>
      <c r="AE292" s="214"/>
      <c r="AF292" s="214"/>
      <c r="AG292" s="214"/>
      <c r="AH292" s="214"/>
      <c r="AI292" s="214"/>
      <c r="AJ292" s="214"/>
      <c r="AK292" s="214"/>
      <c r="AL292" s="214"/>
      <c r="AM292" s="214"/>
      <c r="AN292" s="214"/>
      <c r="AO292" s="214"/>
      <c r="AP292" s="214"/>
      <c r="AQ292" s="214"/>
      <c r="AR292" s="214"/>
      <c r="AS292" s="214"/>
    </row>
    <row r="293" spans="3:45" ht="15" customHeight="1" x14ac:dyDescent="0.2">
      <c r="D293" s="61" t="s">
        <v>125</v>
      </c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Z293" s="214"/>
      <c r="AA293" s="214"/>
      <c r="AB293" s="214"/>
      <c r="AC293" s="214"/>
      <c r="AD293" s="214"/>
      <c r="AE293" s="214"/>
      <c r="AF293" s="214"/>
      <c r="AG293" s="214"/>
      <c r="AH293" s="214"/>
      <c r="AI293" s="214"/>
      <c r="AJ293" s="214"/>
      <c r="AK293" s="214"/>
      <c r="AL293" s="214"/>
      <c r="AM293" s="214"/>
      <c r="AN293" s="214"/>
      <c r="AO293" s="214"/>
      <c r="AP293" s="214"/>
      <c r="AQ293" s="214"/>
      <c r="AR293" s="214"/>
      <c r="AS293" s="214"/>
    </row>
    <row r="294" spans="3:45" ht="15" customHeight="1" x14ac:dyDescent="0.2"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Z294" s="214"/>
      <c r="AA294" s="214"/>
      <c r="AB294" s="214"/>
      <c r="AC294" s="214"/>
      <c r="AD294" s="214"/>
      <c r="AE294" s="214"/>
      <c r="AF294" s="214"/>
      <c r="AG294" s="214"/>
      <c r="AH294" s="214"/>
      <c r="AI294" s="214"/>
      <c r="AJ294" s="214"/>
      <c r="AK294" s="214"/>
      <c r="AL294" s="214"/>
      <c r="AM294" s="214"/>
      <c r="AN294" s="214"/>
      <c r="AO294" s="214"/>
      <c r="AP294" s="214"/>
      <c r="AQ294" s="214"/>
      <c r="AR294" s="214"/>
      <c r="AS294" s="214"/>
    </row>
    <row r="295" spans="3:45" ht="15" customHeight="1" x14ac:dyDescent="0.2">
      <c r="D295" s="55" t="s">
        <v>119</v>
      </c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Z295" s="214"/>
      <c r="AA295" s="214"/>
      <c r="AB295" s="214"/>
      <c r="AC295" s="214"/>
      <c r="AD295" s="214"/>
      <c r="AE295" s="214"/>
      <c r="AF295" s="214"/>
      <c r="AG295" s="214"/>
      <c r="AH295" s="214"/>
      <c r="AI295" s="214"/>
      <c r="AJ295" s="214"/>
      <c r="AK295" s="214"/>
      <c r="AL295" s="214"/>
      <c r="AM295" s="214"/>
      <c r="AN295" s="214"/>
      <c r="AO295" s="214"/>
      <c r="AP295" s="214"/>
      <c r="AQ295" s="214"/>
      <c r="AR295" s="214"/>
      <c r="AS295" s="214"/>
    </row>
    <row r="297" spans="3:45" ht="15" customHeight="1" x14ac:dyDescent="0.2">
      <c r="C297" s="50" t="s">
        <v>108</v>
      </c>
    </row>
    <row r="298" spans="3:45" ht="15" customHeight="1" x14ac:dyDescent="0.2">
      <c r="D298" s="56" t="s">
        <v>250</v>
      </c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Z298" s="211" t="s">
        <v>251</v>
      </c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</row>
    <row r="299" spans="3:45" ht="15" customHeight="1" x14ac:dyDescent="0.2"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</row>
    <row r="300" spans="3:45" ht="15" customHeight="1" x14ac:dyDescent="0.2">
      <c r="D300" s="59" t="s">
        <v>252</v>
      </c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</row>
    <row r="301" spans="3:45" ht="15" customHeight="1" x14ac:dyDescent="0.2">
      <c r="D301" s="59" t="s">
        <v>123</v>
      </c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</row>
    <row r="302" spans="3:45" ht="15" customHeight="1" x14ac:dyDescent="0.2">
      <c r="D302" s="56" t="s">
        <v>124</v>
      </c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</row>
    <row r="303" spans="3:45" ht="15" customHeight="1" x14ac:dyDescent="0.2"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</row>
    <row r="304" spans="3:45" ht="15" customHeight="1" x14ac:dyDescent="0.2">
      <c r="D304" s="56" t="s">
        <v>190</v>
      </c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</row>
    <row r="305" spans="2:45" ht="15" customHeight="1" x14ac:dyDescent="0.2">
      <c r="D305" s="56" t="s">
        <v>125</v>
      </c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</row>
    <row r="306" spans="2:45" ht="15" customHeight="1" x14ac:dyDescent="0.2"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</row>
    <row r="307" spans="2:45" ht="15" customHeight="1" x14ac:dyDescent="0.2">
      <c r="D307" s="56" t="s">
        <v>126</v>
      </c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</row>
    <row r="310" spans="2:45" ht="15" customHeight="1" x14ac:dyDescent="0.2">
      <c r="B310" s="50" t="s">
        <v>127</v>
      </c>
    </row>
    <row r="311" spans="2:45" ht="15" customHeight="1" x14ac:dyDescent="0.2">
      <c r="B311" s="50" t="s">
        <v>128</v>
      </c>
      <c r="C311" s="50" t="s">
        <v>131</v>
      </c>
    </row>
  </sheetData>
  <mergeCells count="33">
    <mergeCell ref="C3:E3"/>
    <mergeCell ref="F3:R3"/>
    <mergeCell ref="S3:U3"/>
    <mergeCell ref="C4:E4"/>
    <mergeCell ref="F4:R4"/>
    <mergeCell ref="S4:U4"/>
    <mergeCell ref="C5:E5"/>
    <mergeCell ref="F5:R5"/>
    <mergeCell ref="S5:U5"/>
    <mergeCell ref="C6:E6"/>
    <mergeCell ref="F6:R6"/>
    <mergeCell ref="S6:U6"/>
    <mergeCell ref="Z60:AS68"/>
    <mergeCell ref="C7:E7"/>
    <mergeCell ref="F7:R7"/>
    <mergeCell ref="S7:U7"/>
    <mergeCell ref="C8:E8"/>
    <mergeCell ref="F8:R8"/>
    <mergeCell ref="S8:U8"/>
    <mergeCell ref="C9:E9"/>
    <mergeCell ref="F9:R9"/>
    <mergeCell ref="S9:U9"/>
    <mergeCell ref="Z21:AS30"/>
    <mergeCell ref="Z34:AS43"/>
    <mergeCell ref="Z261:AS270"/>
    <mergeCell ref="Z286:AS295"/>
    <mergeCell ref="Z298:AS307"/>
    <mergeCell ref="Z71:AS79"/>
    <mergeCell ref="Z95:AS124"/>
    <mergeCell ref="Z127:AS156"/>
    <mergeCell ref="Z185:AS204"/>
    <mergeCell ref="Z207:AS226"/>
    <mergeCell ref="Z249:AS258"/>
  </mergeCells>
  <phoneticPr fontId="2"/>
  <hyperlinks>
    <hyperlink ref="D41" r:id="rId1" display="https://学生勤務管理システムのホーム画面" xr:uid="{F2A46E1C-CF20-401F-9625-8BA52BFF26DD}"/>
    <hyperlink ref="D28" r:id="rId2" xr:uid="{36F450D3-D46C-40AE-907E-81A6FB842EF4}"/>
  </hyperlinks>
  <pageMargins left="0.39370078740157483" right="0.39370078740157483" top="0.39370078740157483" bottom="0.39370078740157483" header="0.39370078740157483" footer="0.39370078740157483"/>
  <pageSetup paperSize="9" scale="72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タイトル</vt:lpstr>
      <vt:lpstr>改訂履歴</vt:lpstr>
      <vt:lpstr>機能概要・機能説明</vt:lpstr>
      <vt:lpstr>メール自動送信</vt:lpstr>
      <vt:lpstr>補足資料_メール本文</vt:lpstr>
      <vt:lpstr>タイトル!Print_Area</vt:lpstr>
      <vt:lpstr>メール自動送信!Print_Area</vt:lpstr>
      <vt:lpstr>補足資料_メール本文!Print_Area</vt:lpstr>
      <vt:lpstr>メール自動送信!Print_Titles</vt:lpstr>
      <vt:lpstr>改訂履歴!Print_Titles</vt:lpstr>
      <vt:lpstr>機能概要・機能説明!Print_Titles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明石　 啓吾</cp:lastModifiedBy>
  <cp:lastPrinted>2024-03-11T02:30:23Z</cp:lastPrinted>
  <dcterms:created xsi:type="dcterms:W3CDTF">2006-03-07T04:00:40Z</dcterms:created>
  <dcterms:modified xsi:type="dcterms:W3CDTF">2025-10-21T05:23:39Z</dcterms:modified>
</cp:coreProperties>
</file>
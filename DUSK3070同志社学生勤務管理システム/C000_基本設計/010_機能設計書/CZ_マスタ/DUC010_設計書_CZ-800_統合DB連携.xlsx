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Z:\#開発2\DUSK_同志社大学\DUSK3070同志社学生勤務管理システム\C000_基本設計\010_機能設計書\CZ_マスタ\"/>
    </mc:Choice>
  </mc:AlternateContent>
  <xr:revisionPtr revIDLastSave="0" documentId="13_ncr:1_{72EBE641-3C53-4510-BBCA-E586B17A8878}" xr6:coauthVersionLast="47" xr6:coauthVersionMax="47" xr10:uidLastSave="{00000000-0000-0000-0000-000000000000}"/>
  <bookViews>
    <workbookView xWindow="28680" yWindow="-120" windowWidth="29040" windowHeight="15720" tabRatio="584" activeTab="2" xr2:uid="{00000000-000D-0000-FFFF-FFFF00000000}"/>
  </bookViews>
  <sheets>
    <sheet name="タイトル" sheetId="266" r:id="rId1"/>
    <sheet name="改訂履歴" sheetId="6" r:id="rId2"/>
    <sheet name="機能概要・機能説明" sheetId="270" r:id="rId3"/>
  </sheets>
  <definedNames>
    <definedName name="_xlnm.Print_Area" localSheetId="0">タイトル!$A$1:$AC$36</definedName>
    <definedName name="_xlnm.Print_Area" localSheetId="2">機能概要・機能説明!$A$1:$CR$211</definedName>
    <definedName name="_xlnm.Print_Titles" localSheetId="1">改訂履歴!$1:$4</definedName>
    <definedName name="_xlnm.Print_Titles" localSheetId="2">機能概要・機能説明!$1:$4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K1" i="270" l="1"/>
  <c r="I51" i="266" l="1"/>
  <c r="AS4" i="270" l="1"/>
  <c r="I4" i="270"/>
  <c r="J5" i="6" l="1"/>
  <c r="I49" i="266" s="1"/>
  <c r="AL2" i="270" l="1"/>
  <c r="I2" i="270"/>
  <c r="BW1" i="270"/>
  <c r="BM1" i="270"/>
  <c r="AL1" i="270"/>
  <c r="I1" i="270"/>
  <c r="G11" i="266" l="1"/>
  <c r="G14" i="266"/>
  <c r="G17" i="266"/>
  <c r="G20" i="266"/>
  <c r="J27" i="266"/>
  <c r="J29" i="26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H3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>変更内容を簡潔に記述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00000000-0006-0000-0200-000001000000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sharedStrings.xml><?xml version="1.0" encoding="utf-8"?>
<sst xmlns="http://schemas.openxmlformats.org/spreadsheetml/2006/main" count="485" uniqueCount="333">
  <si>
    <t>工　　　　程</t>
    <rPh sb="0" eb="1">
      <t>コウ</t>
    </rPh>
    <rPh sb="5" eb="6">
      <t>ホド</t>
    </rPh>
    <phoneticPr fontId="2"/>
  </si>
  <si>
    <t>システム名</t>
    <rPh sb="4" eb="5">
      <t>メイ</t>
    </rPh>
    <phoneticPr fontId="2"/>
  </si>
  <si>
    <t>改訂履歴</t>
    <rPh sb="0" eb="2">
      <t>カイテイ</t>
    </rPh>
    <rPh sb="2" eb="4">
      <t>リレキ</t>
    </rPh>
    <phoneticPr fontId="2"/>
  </si>
  <si>
    <t>区分</t>
    <rPh sb="0" eb="2">
      <t>クブン</t>
    </rPh>
    <phoneticPr fontId="2"/>
  </si>
  <si>
    <t>頁</t>
    <rPh sb="0" eb="1">
      <t>ページ</t>
    </rPh>
    <phoneticPr fontId="2"/>
  </si>
  <si>
    <t>新規／改訂日</t>
    <rPh sb="0" eb="2">
      <t>シンキ</t>
    </rPh>
    <rPh sb="3" eb="5">
      <t>カイテイ</t>
    </rPh>
    <rPh sb="5" eb="6">
      <t>ビ</t>
    </rPh>
    <phoneticPr fontId="2"/>
  </si>
  <si>
    <t>改訂箇所</t>
    <rPh sb="0" eb="2">
      <t>カイテイ</t>
    </rPh>
    <rPh sb="2" eb="4">
      <t>カショ</t>
    </rPh>
    <phoneticPr fontId="2"/>
  </si>
  <si>
    <t>改訂理由</t>
    <rPh sb="0" eb="2">
      <t>カイテイ</t>
    </rPh>
    <rPh sb="2" eb="4">
      <t>リユウ</t>
    </rPh>
    <phoneticPr fontId="2"/>
  </si>
  <si>
    <t>新規／改訂者</t>
    <rPh sb="0" eb="2">
      <t>シンキ</t>
    </rPh>
    <rPh sb="3" eb="5">
      <t>カイテイ</t>
    </rPh>
    <rPh sb="5" eb="6">
      <t>シャ</t>
    </rPh>
    <phoneticPr fontId="2"/>
  </si>
  <si>
    <t>　※ページ毎に個別入力</t>
    <rPh sb="5" eb="6">
      <t>ゴト</t>
    </rPh>
    <rPh sb="7" eb="9">
      <t>コベツ</t>
    </rPh>
    <rPh sb="9" eb="11">
      <t>ニュウリョク</t>
    </rPh>
    <phoneticPr fontId="2"/>
  </si>
  <si>
    <t>タイトル項目埋め込み内容</t>
    <rPh sb="4" eb="6">
      <t>コウモク</t>
    </rPh>
    <rPh sb="6" eb="7">
      <t>ウ</t>
    </rPh>
    <rPh sb="8" eb="9">
      <t>コ</t>
    </rPh>
    <rPh sb="10" eb="12">
      <t>ナイヨウ</t>
    </rPh>
    <phoneticPr fontId="2"/>
  </si>
  <si>
    <t>新規</t>
    <rPh sb="0" eb="2">
      <t>シンキ</t>
    </rPh>
    <phoneticPr fontId="2"/>
  </si>
  <si>
    <t>作　成</t>
    <rPh sb="0" eb="1">
      <t>サク</t>
    </rPh>
    <rPh sb="2" eb="3">
      <t>シゲル</t>
    </rPh>
    <phoneticPr fontId="2"/>
  </si>
  <si>
    <t>管理記号</t>
    <rPh sb="0" eb="2">
      <t>カンリ</t>
    </rPh>
    <rPh sb="2" eb="4">
      <t>キゴウ</t>
    </rPh>
    <phoneticPr fontId="2"/>
  </si>
  <si>
    <t>サブシステム名</t>
    <rPh sb="6" eb="7">
      <t>メイ</t>
    </rPh>
    <phoneticPr fontId="2"/>
  </si>
  <si>
    <t>改　訂</t>
    <rPh sb="0" eb="1">
      <t>アラタ</t>
    </rPh>
    <rPh sb="2" eb="3">
      <t>テイ</t>
    </rPh>
    <phoneticPr fontId="2"/>
  </si>
  <si>
    <t>No</t>
    <phoneticPr fontId="2"/>
  </si>
  <si>
    <t>Ver</t>
    <phoneticPr fontId="2"/>
  </si>
  <si>
    <t>新規作成</t>
    <rPh sb="0" eb="2">
      <t>シンキ</t>
    </rPh>
    <rPh sb="2" eb="4">
      <t>サクセイ</t>
    </rPh>
    <phoneticPr fontId="2"/>
  </si>
  <si>
    <t>見出し部タイトル制御テーブル</t>
    <rPh sb="0" eb="2">
      <t>ミダ</t>
    </rPh>
    <rPh sb="3" eb="4">
      <t>ブ</t>
    </rPh>
    <rPh sb="8" eb="10">
      <t>セイギョ</t>
    </rPh>
    <phoneticPr fontId="2"/>
  </si>
  <si>
    <t>タイトル項目</t>
    <rPh sb="4" eb="6">
      <t>コウモク</t>
    </rPh>
    <phoneticPr fontId="2"/>
  </si>
  <si>
    <t>　①システム名</t>
    <rPh sb="6" eb="7">
      <t>メイ</t>
    </rPh>
    <phoneticPr fontId="2"/>
  </si>
  <si>
    <t>　②サブシステム名</t>
    <rPh sb="8" eb="9">
      <t>メイ</t>
    </rPh>
    <phoneticPr fontId="2"/>
  </si>
  <si>
    <t>　③分類名</t>
    <rPh sb="2" eb="4">
      <t>ブンルイ</t>
    </rPh>
    <rPh sb="4" eb="5">
      <t>メイ</t>
    </rPh>
    <phoneticPr fontId="2"/>
  </si>
  <si>
    <t>　④作業工程名</t>
    <rPh sb="2" eb="4">
      <t>サギョウ</t>
    </rPh>
    <rPh sb="4" eb="6">
      <t>コウテイ</t>
    </rPh>
    <rPh sb="6" eb="7">
      <t>メイ</t>
    </rPh>
    <phoneticPr fontId="2"/>
  </si>
  <si>
    <t>　⑤ドキュメント代表名</t>
    <rPh sb="8" eb="10">
      <t>ダイヒョウ</t>
    </rPh>
    <rPh sb="10" eb="11">
      <t>メイ</t>
    </rPh>
    <phoneticPr fontId="2"/>
  </si>
  <si>
    <t>　⑥ドキュメント詳細名</t>
    <rPh sb="8" eb="10">
      <t>ショウサイ</t>
    </rPh>
    <rPh sb="10" eb="11">
      <t>メイ</t>
    </rPh>
    <phoneticPr fontId="2"/>
  </si>
  <si>
    <t>　⑦作成者</t>
    <rPh sb="2" eb="5">
      <t>サクセイシャ</t>
    </rPh>
    <phoneticPr fontId="2"/>
  </si>
  <si>
    <t>　⑧作成日</t>
    <rPh sb="2" eb="5">
      <t>サクセイビ</t>
    </rPh>
    <phoneticPr fontId="2"/>
  </si>
  <si>
    <t>　⑦改定者</t>
    <rPh sb="2" eb="4">
      <t>カイテイ</t>
    </rPh>
    <rPh sb="4" eb="5">
      <t>シャ</t>
    </rPh>
    <phoneticPr fontId="2"/>
  </si>
  <si>
    <t>　⑧改定日</t>
    <rPh sb="2" eb="4">
      <t>カイテイ</t>
    </rPh>
    <rPh sb="4" eb="5">
      <t>ビ</t>
    </rPh>
    <phoneticPr fontId="2"/>
  </si>
  <si>
    <t>　⑨管理記号</t>
    <rPh sb="2" eb="4">
      <t>カンリ</t>
    </rPh>
    <rPh sb="4" eb="6">
      <t>キゴウ</t>
    </rPh>
    <phoneticPr fontId="2"/>
  </si>
  <si>
    <t>ドキュメント</t>
    <phoneticPr fontId="2"/>
  </si>
  <si>
    <t xml:space="preserve">　 </t>
    <phoneticPr fontId="2"/>
  </si>
  <si>
    <t>　⑩Ｖｅｒ</t>
    <phoneticPr fontId="2"/>
  </si>
  <si>
    <t>　利用想定ユーザー</t>
    <rPh sb="1" eb="3">
      <t>リヨウ</t>
    </rPh>
    <rPh sb="3" eb="5">
      <t>ソウテイ</t>
    </rPh>
    <phoneticPr fontId="2"/>
  </si>
  <si>
    <t>　機能名称</t>
    <rPh sb="1" eb="3">
      <t>キノウ</t>
    </rPh>
    <rPh sb="3" eb="5">
      <t>メイショウ</t>
    </rPh>
    <phoneticPr fontId="2"/>
  </si>
  <si>
    <t>　機能ＩＤ</t>
    <rPh sb="1" eb="3">
      <t>キノウ</t>
    </rPh>
    <phoneticPr fontId="2"/>
  </si>
  <si>
    <t>　機能設計</t>
    <rPh sb="1" eb="3">
      <t>キノウ</t>
    </rPh>
    <rPh sb="3" eb="5">
      <t>セッケイ</t>
    </rPh>
    <phoneticPr fontId="2"/>
  </si>
  <si>
    <t>機　　能　　概　　要</t>
    <rPh sb="0" eb="1">
      <t>キ</t>
    </rPh>
    <rPh sb="3" eb="4">
      <t>ノウ</t>
    </rPh>
    <rPh sb="6" eb="7">
      <t>オオムネ</t>
    </rPh>
    <rPh sb="9" eb="10">
      <t>ヨウ</t>
    </rPh>
    <phoneticPr fontId="2"/>
  </si>
  <si>
    <t>　共通機能</t>
    <rPh sb="1" eb="3">
      <t>キョウツウ</t>
    </rPh>
    <rPh sb="3" eb="5">
      <t>キノウ</t>
    </rPh>
    <phoneticPr fontId="2"/>
  </si>
  <si>
    <t>DUC010</t>
    <phoneticPr fontId="2"/>
  </si>
  <si>
    <t>　学生勤務管理システム</t>
    <rPh sb="1" eb="3">
      <t>ガクセイ</t>
    </rPh>
    <rPh sb="3" eb="5">
      <t>キンム</t>
    </rPh>
    <rPh sb="5" eb="7">
      <t>カンリ</t>
    </rPh>
    <phoneticPr fontId="2"/>
  </si>
  <si>
    <t>木田　優</t>
    <rPh sb="0" eb="2">
      <t>キダ</t>
    </rPh>
    <rPh sb="3" eb="4">
      <t>マサル</t>
    </rPh>
    <phoneticPr fontId="2"/>
  </si>
  <si>
    <t>木田　優</t>
    <rPh sb="0" eb="2">
      <t>キダ</t>
    </rPh>
    <rPh sb="3" eb="4">
      <t>マサル</t>
    </rPh>
    <phoneticPr fontId="2"/>
  </si>
  <si>
    <t>機能</t>
    <rPh sb="0" eb="2">
      <t>キノウ</t>
    </rPh>
    <phoneticPr fontId="2"/>
  </si>
  <si>
    <t>　CZ-800_統合DB連携</t>
    <rPh sb="8" eb="10">
      <t>トウゴウ</t>
    </rPh>
    <rPh sb="12" eb="14">
      <t>レンケイ</t>
    </rPh>
    <phoneticPr fontId="2"/>
  </si>
  <si>
    <t>　管理者</t>
    <rPh sb="1" eb="4">
      <t>カンリシャ</t>
    </rPh>
    <phoneticPr fontId="10"/>
  </si>
  <si>
    <t>機　　能　　説　　明</t>
    <rPh sb="0" eb="1">
      <t>キ</t>
    </rPh>
    <rPh sb="3" eb="4">
      <t>ノウ</t>
    </rPh>
    <rPh sb="6" eb="7">
      <t>セツ</t>
    </rPh>
    <rPh sb="9" eb="10">
      <t>アキラ</t>
    </rPh>
    <phoneticPr fontId="2"/>
  </si>
  <si>
    <t>他システム（統合DB）　⇒　学生勤務管理システム</t>
    <rPh sb="0" eb="1">
      <t>タ</t>
    </rPh>
    <rPh sb="6" eb="8">
      <t>トウゴウ</t>
    </rPh>
    <rPh sb="14" eb="20">
      <t>ガクセイキンムカンリ</t>
    </rPh>
    <phoneticPr fontId="11"/>
  </si>
  <si>
    <t>【データ連携対象リスト】</t>
    <rPh sb="4" eb="6">
      <t>レンケイ</t>
    </rPh>
    <rPh sb="6" eb="8">
      <t>タイショウ</t>
    </rPh>
    <phoneticPr fontId="11"/>
  </si>
  <si>
    <t>学生勤務管理システム</t>
    <rPh sb="0" eb="6">
      <t>ガクセイキンムカンリ</t>
    </rPh>
    <phoneticPr fontId="11"/>
  </si>
  <si>
    <t>#</t>
    <phoneticPr fontId="11"/>
  </si>
  <si>
    <t>1</t>
    <phoneticPr fontId="11"/>
  </si>
  <si>
    <t>人事給与システム</t>
    <rPh sb="0" eb="2">
      <t>ジンジ</t>
    </rPh>
    <rPh sb="2" eb="4">
      <t>キュウヨ</t>
    </rPh>
    <phoneticPr fontId="11"/>
  </si>
  <si>
    <t>システム名</t>
    <rPh sb="4" eb="5">
      <t>メイ</t>
    </rPh>
    <phoneticPr fontId="11"/>
  </si>
  <si>
    <t>教務システム</t>
    <rPh sb="0" eb="2">
      <t>キョウム</t>
    </rPh>
    <phoneticPr fontId="11"/>
  </si>
  <si>
    <t>LDAP_ALL</t>
    <phoneticPr fontId="11"/>
  </si>
  <si>
    <t>社員基本</t>
    <rPh sb="0" eb="2">
      <t>シャイン</t>
    </rPh>
    <rPh sb="2" eb="4">
      <t>キホン</t>
    </rPh>
    <phoneticPr fontId="11"/>
  </si>
  <si>
    <t>学生基本</t>
    <rPh sb="0" eb="2">
      <t>ガクセイ</t>
    </rPh>
    <rPh sb="2" eb="4">
      <t>キホン</t>
    </rPh>
    <phoneticPr fontId="11"/>
  </si>
  <si>
    <t>教員基本</t>
    <rPh sb="0" eb="2">
      <t>キョウイン</t>
    </rPh>
    <rPh sb="2" eb="4">
      <t>キホン</t>
    </rPh>
    <phoneticPr fontId="11"/>
  </si>
  <si>
    <t>開講科目マスタ</t>
    <rPh sb="0" eb="2">
      <t>カイコウ</t>
    </rPh>
    <rPh sb="2" eb="4">
      <t>カモク</t>
    </rPh>
    <phoneticPr fontId="11"/>
  </si>
  <si>
    <t>科目マスタ</t>
    <rPh sb="0" eb="2">
      <t>カモク</t>
    </rPh>
    <phoneticPr fontId="11"/>
  </si>
  <si>
    <t>授業マスタ</t>
    <rPh sb="0" eb="2">
      <t>ジュギョウ</t>
    </rPh>
    <phoneticPr fontId="11"/>
  </si>
  <si>
    <t>授業担当マスタ</t>
    <rPh sb="0" eb="2">
      <t>ジュギョウ</t>
    </rPh>
    <rPh sb="2" eb="4">
      <t>タントウ</t>
    </rPh>
    <phoneticPr fontId="11"/>
  </si>
  <si>
    <t>学年暦マスタ</t>
    <rPh sb="0" eb="2">
      <t>ガクネン</t>
    </rPh>
    <rPh sb="2" eb="3">
      <t>レキ</t>
    </rPh>
    <phoneticPr fontId="11"/>
  </si>
  <si>
    <t>所属名称マスタ</t>
    <rPh sb="0" eb="2">
      <t>ショゾク</t>
    </rPh>
    <rPh sb="2" eb="4">
      <t>メイショウ</t>
    </rPh>
    <phoneticPr fontId="11"/>
  </si>
  <si>
    <t>バッチID</t>
    <phoneticPr fontId="11"/>
  </si>
  <si>
    <t>文字コードはUnicodeを前提とする</t>
    <rPh sb="0" eb="2">
      <t>モジ</t>
    </rPh>
    <rPh sb="14" eb="16">
      <t>ゼンテイ</t>
    </rPh>
    <phoneticPr fontId="3"/>
  </si>
  <si>
    <t>・統合DBとの連携</t>
    <rPh sb="1" eb="3">
      <t>トウゴウ</t>
    </rPh>
    <rPh sb="7" eb="9">
      <t>レンケイ</t>
    </rPh>
    <phoneticPr fontId="2"/>
  </si>
  <si>
    <t>データ連携バッチはタスクスケジューラで夜間に実行とする</t>
    <rPh sb="3" eb="5">
      <t>レンケイ</t>
    </rPh>
    <rPh sb="19" eb="21">
      <t>ヤカン</t>
    </rPh>
    <rPh sb="22" eb="24">
      <t>ジッコウ</t>
    </rPh>
    <phoneticPr fontId="11"/>
  </si>
  <si>
    <t>変更</t>
    <rPh sb="0" eb="2">
      <t>ヘンコウ</t>
    </rPh>
    <phoneticPr fontId="2"/>
  </si>
  <si>
    <t>データ連携対象リストを更新</t>
    <rPh sb="3" eb="5">
      <t>レンケイ</t>
    </rPh>
    <rPh sb="5" eb="7">
      <t>タイショウ</t>
    </rPh>
    <rPh sb="11" eb="13">
      <t>コウシン</t>
    </rPh>
    <phoneticPr fontId="2"/>
  </si>
  <si>
    <t>データ連携については、連携する対象のシステムで一番最後なのが教務システムで5時19分に収集終了予定となっています。</t>
    <rPh sb="3" eb="5">
      <t>レンケイ</t>
    </rPh>
    <rPh sb="11" eb="13">
      <t>レンケイ</t>
    </rPh>
    <rPh sb="15" eb="17">
      <t>タイショウ</t>
    </rPh>
    <rPh sb="23" eb="27">
      <t>イチバンサイゴ</t>
    </rPh>
    <rPh sb="30" eb="32">
      <t>キョウム</t>
    </rPh>
    <rPh sb="38" eb="39">
      <t>ジ</t>
    </rPh>
    <rPh sb="41" eb="42">
      <t>フン</t>
    </rPh>
    <rPh sb="43" eb="45">
      <t>シュウシュウ</t>
    </rPh>
    <rPh sb="45" eb="49">
      <t>シュウリョウヨテイ</t>
    </rPh>
    <phoneticPr fontId="11"/>
  </si>
  <si>
    <t>バッファをとり、6時以降に学生勤務管理システムへ連携すれば、最新のデータが連携可能です。</t>
    <rPh sb="9" eb="10">
      <t>ジ</t>
    </rPh>
    <rPh sb="10" eb="12">
      <t>イコウ</t>
    </rPh>
    <rPh sb="13" eb="19">
      <t>ガクセイキンムカンリ</t>
    </rPh>
    <rPh sb="24" eb="26">
      <t>レンケイ</t>
    </rPh>
    <rPh sb="30" eb="32">
      <t>サイシン</t>
    </rPh>
    <rPh sb="37" eb="39">
      <t>レンケイ</t>
    </rPh>
    <rPh sb="39" eb="41">
      <t>カノウ</t>
    </rPh>
    <phoneticPr fontId="11"/>
  </si>
  <si>
    <t>連携元テーブル名</t>
    <rPh sb="0" eb="3">
      <t>レンケイモト</t>
    </rPh>
    <rPh sb="7" eb="8">
      <t>メイ</t>
    </rPh>
    <phoneticPr fontId="11"/>
  </si>
  <si>
    <t>UAシステム</t>
    <phoneticPr fontId="11"/>
  </si>
  <si>
    <t>備考</t>
    <rPh sb="0" eb="2">
      <t>ビコウ</t>
    </rPh>
    <phoneticPr fontId="11"/>
  </si>
  <si>
    <t>財務システム</t>
    <rPh sb="0" eb="2">
      <t>ザイム</t>
    </rPh>
    <phoneticPr fontId="11"/>
  </si>
  <si>
    <t>部署マスタ</t>
    <rPh sb="0" eb="2">
      <t>ブショ</t>
    </rPh>
    <phoneticPr fontId="11"/>
  </si>
  <si>
    <t>業務マスタ</t>
    <rPh sb="0" eb="2">
      <t>ギョウム</t>
    </rPh>
    <phoneticPr fontId="11"/>
  </si>
  <si>
    <t>予算マスタ</t>
    <rPh sb="0" eb="2">
      <t>ヨサン</t>
    </rPh>
    <phoneticPr fontId="11"/>
  </si>
  <si>
    <t>配分先マスタ</t>
    <rPh sb="0" eb="3">
      <t>ハイブンサキ</t>
    </rPh>
    <phoneticPr fontId="11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</si>
  <si>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</si>
  <si>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</si>
  <si>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</si>
  <si>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</si>
  <si>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</si>
  <si>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</si>
  <si>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</si>
  <si>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</si>
  <si>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</si>
  <si>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</si>
  <si>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</si>
  <si>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</si>
  <si>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各システムから学生勤務管理システムへ連携後に、社員マスタの追加と更新処理を行う。</t>
    <rPh sb="0" eb="1">
      <t>カク</t>
    </rPh>
    <rPh sb="7" eb="13">
      <t>ガクセイキンムカンリ</t>
    </rPh>
    <rPh sb="18" eb="21">
      <t>レンケイゴ</t>
    </rPh>
    <rPh sb="23" eb="25">
      <t>シャイン</t>
    </rPh>
    <rPh sb="29" eb="31">
      <t>ツイカ</t>
    </rPh>
    <rPh sb="32" eb="34">
      <t>コウシン</t>
    </rPh>
    <rPh sb="34" eb="36">
      <t>ショリ</t>
    </rPh>
    <rPh sb="37" eb="38">
      <t>オコナ</t>
    </rPh>
    <phoneticPr fontId="11"/>
  </si>
  <si>
    <t>木田　優</t>
    <phoneticPr fontId="11"/>
  </si>
  <si>
    <t>※同志社大学　情報システム課より</t>
    <rPh sb="1" eb="6">
      <t>ドウシシャダイガク</t>
    </rPh>
    <rPh sb="7" eb="9">
      <t>ジョウホウ</t>
    </rPh>
    <rPh sb="13" eb="14">
      <t>カ</t>
    </rPh>
    <phoneticPr fontId="11"/>
  </si>
  <si>
    <t>兼務順が0（主務）、所属分類コードが10（所属）のみ対象</t>
    <rPh sb="0" eb="3">
      <t>ケンムジュン</t>
    </rPh>
    <rPh sb="6" eb="8">
      <t>シュム</t>
    </rPh>
    <rPh sb="10" eb="14">
      <t>ショゾクブンルイ</t>
    </rPh>
    <rPh sb="21" eb="23">
      <t>ショゾク</t>
    </rPh>
    <rPh sb="26" eb="28">
      <t>タイショウ</t>
    </rPh>
    <phoneticPr fontId="11"/>
  </si>
  <si>
    <t>※エラーが発生した場合は、Amazon Cloud Watchにて検知することとする。</t>
    <rPh sb="5" eb="7">
      <t>ハッセイ</t>
    </rPh>
    <rPh sb="9" eb="11">
      <t>バアイ</t>
    </rPh>
    <rPh sb="33" eb="35">
      <t>ケンチ</t>
    </rPh>
    <phoneticPr fontId="11"/>
  </si>
  <si>
    <t>スケジュール</t>
    <phoneticPr fontId="2"/>
  </si>
  <si>
    <t>毎日</t>
    <rPh sb="0" eb="2">
      <t>マイニチ</t>
    </rPh>
    <phoneticPr fontId="2"/>
  </si>
  <si>
    <t>AM 6:00 ～ AM 8:00</t>
    <phoneticPr fontId="2"/>
  </si>
  <si>
    <t>〇社員マスタの作成と更新について</t>
    <rPh sb="1" eb="3">
      <t>シャイン</t>
    </rPh>
    <rPh sb="7" eb="9">
      <t>サクセイ</t>
    </rPh>
    <rPh sb="10" eb="12">
      <t>コウシン</t>
    </rPh>
    <phoneticPr fontId="11"/>
  </si>
  <si>
    <t>『前提条件』</t>
    <rPh sb="1" eb="5">
      <t>ゼンテイジョウケン</t>
    </rPh>
    <phoneticPr fontId="11"/>
  </si>
  <si>
    <t>・</t>
  </si>
  <si>
    <t>学生基本、教員基本、社員基本、LDAP_ALLテーブルから社員マスタを構成する。</t>
    <rPh sb="0" eb="2">
      <t>ガクセイ</t>
    </rPh>
    <rPh sb="2" eb="4">
      <t>キホン</t>
    </rPh>
    <rPh sb="5" eb="9">
      <t>キョウインキホン</t>
    </rPh>
    <rPh sb="10" eb="12">
      <t>シャイン</t>
    </rPh>
    <rPh sb="12" eb="14">
      <t>キホン</t>
    </rPh>
    <rPh sb="29" eb="31">
      <t>シャイン</t>
    </rPh>
    <rPh sb="35" eb="37">
      <t>コウセイ</t>
    </rPh>
    <phoneticPr fontId="2"/>
  </si>
  <si>
    <t>在籍区分が籍あり（1）の各基本情報のみを社員マスタに連携する。</t>
    <rPh sb="0" eb="2">
      <t>ザイセキ</t>
    </rPh>
    <rPh sb="2" eb="4">
      <t>クブン</t>
    </rPh>
    <rPh sb="5" eb="6">
      <t>セキ</t>
    </rPh>
    <rPh sb="12" eb="13">
      <t>カク</t>
    </rPh>
    <rPh sb="13" eb="15">
      <t>キホン</t>
    </rPh>
    <rPh sb="15" eb="17">
      <t>ジョウホウ</t>
    </rPh>
    <rPh sb="20" eb="22">
      <t>シャイン</t>
    </rPh>
    <rPh sb="26" eb="28">
      <t>レンケイ</t>
    </rPh>
    <phoneticPr fontId="2"/>
  </si>
  <si>
    <t>社員基本の給与支給区分が教員・職員以外は社員マスタの連携対象外とする。</t>
    <rPh sb="0" eb="4">
      <t>シャインキホン</t>
    </rPh>
    <rPh sb="5" eb="11">
      <t>キュウヨシキュウクブン</t>
    </rPh>
    <rPh sb="12" eb="14">
      <t>キョウイン</t>
    </rPh>
    <rPh sb="15" eb="17">
      <t>ショクイン</t>
    </rPh>
    <rPh sb="17" eb="19">
      <t>イガイ</t>
    </rPh>
    <rPh sb="20" eb="22">
      <t>シャイン</t>
    </rPh>
    <rPh sb="26" eb="31">
      <t>レンケイタイショウガイ</t>
    </rPh>
    <phoneticPr fontId="3"/>
  </si>
  <si>
    <t>教員基本と連携できない教員は社員マスタの連携対象外とする。</t>
    <rPh sb="0" eb="4">
      <t>キョウインキホン</t>
    </rPh>
    <rPh sb="5" eb="7">
      <t>レンケイ</t>
    </rPh>
    <rPh sb="11" eb="13">
      <t>キョウイン</t>
    </rPh>
    <rPh sb="14" eb="16">
      <t>シャイン</t>
    </rPh>
    <rPh sb="20" eb="22">
      <t>レンケイ</t>
    </rPh>
    <rPh sb="22" eb="25">
      <t>タイショウガイ</t>
    </rPh>
    <phoneticPr fontId="3"/>
  </si>
  <si>
    <t>区分</t>
    <rPh sb="0" eb="2">
      <t>クブン</t>
    </rPh>
    <phoneticPr fontId="10"/>
  </si>
  <si>
    <t>判断基準</t>
    <rPh sb="0" eb="4">
      <t>ハンダンキジュン</t>
    </rPh>
    <phoneticPr fontId="10"/>
  </si>
  <si>
    <t>（1）.学生</t>
    <phoneticPr fontId="3"/>
  </si>
  <si>
    <t>学生基本テーブルから連携した場合</t>
    <rPh sb="0" eb="2">
      <t>ガクセイ</t>
    </rPh>
    <rPh sb="2" eb="4">
      <t>キホン</t>
    </rPh>
    <rPh sb="10" eb="12">
      <t>レンケイ</t>
    </rPh>
    <rPh sb="14" eb="16">
      <t>バアイ</t>
    </rPh>
    <phoneticPr fontId="10"/>
  </si>
  <si>
    <t>（2）.教員</t>
    <rPh sb="4" eb="6">
      <t>キョウイン</t>
    </rPh>
    <phoneticPr fontId="3"/>
  </si>
  <si>
    <t>社員基本テーブルの給与支給区分の教職員区分が「教員」の場合</t>
    <rPh sb="0" eb="2">
      <t>シャイン</t>
    </rPh>
    <rPh sb="2" eb="4">
      <t>キホン</t>
    </rPh>
    <rPh sb="9" eb="11">
      <t>キュウヨ</t>
    </rPh>
    <rPh sb="11" eb="13">
      <t>シキュウ</t>
    </rPh>
    <rPh sb="13" eb="15">
      <t>クブン</t>
    </rPh>
    <rPh sb="16" eb="19">
      <t>キョウショクイン</t>
    </rPh>
    <rPh sb="19" eb="21">
      <t>クブン</t>
    </rPh>
    <rPh sb="23" eb="25">
      <t>キョウイン</t>
    </rPh>
    <rPh sb="27" eb="29">
      <t>バアイ</t>
    </rPh>
    <phoneticPr fontId="10"/>
  </si>
  <si>
    <t>（3）.職員（担当者）</t>
    <rPh sb="4" eb="6">
      <t>ショクイン</t>
    </rPh>
    <rPh sb="7" eb="10">
      <t>タントウシャ</t>
    </rPh>
    <phoneticPr fontId="3"/>
  </si>
  <si>
    <t>社員基本テーブルの給与支給区分の教職員区分が「職員」且つ、組織マスタ.管理者区分が管理者以外の場合</t>
    <rPh sb="0" eb="2">
      <t>シャイン</t>
    </rPh>
    <rPh sb="2" eb="4">
      <t>キホン</t>
    </rPh>
    <rPh sb="9" eb="11">
      <t>キュウヨ</t>
    </rPh>
    <rPh sb="11" eb="13">
      <t>シキュウ</t>
    </rPh>
    <rPh sb="13" eb="15">
      <t>クブン</t>
    </rPh>
    <rPh sb="16" eb="21">
      <t>キョウショクインクブン</t>
    </rPh>
    <rPh sb="23" eb="25">
      <t>ショクイン</t>
    </rPh>
    <rPh sb="26" eb="27">
      <t>カ</t>
    </rPh>
    <rPh sb="29" eb="31">
      <t>ソシキ</t>
    </rPh>
    <rPh sb="35" eb="38">
      <t>カンリシャ</t>
    </rPh>
    <rPh sb="38" eb="40">
      <t>クブン</t>
    </rPh>
    <rPh sb="41" eb="44">
      <t>カンリシャ</t>
    </rPh>
    <rPh sb="44" eb="46">
      <t>イガイ</t>
    </rPh>
    <rPh sb="47" eb="49">
      <t>バアイ</t>
    </rPh>
    <phoneticPr fontId="10"/>
  </si>
  <si>
    <t>（4）.職員（管理者）</t>
    <rPh sb="4" eb="6">
      <t>ショクイン</t>
    </rPh>
    <rPh sb="7" eb="10">
      <t>カンリシャ</t>
    </rPh>
    <phoneticPr fontId="3"/>
  </si>
  <si>
    <t>社員基本テーブルの給与支給区分の教職員区分が「職員」且つ、組織マスタ.管理者区分が管理者の場合</t>
    <rPh sb="0" eb="2">
      <t>シャイン</t>
    </rPh>
    <rPh sb="2" eb="4">
      <t>キホン</t>
    </rPh>
    <rPh sb="9" eb="11">
      <t>キュウヨ</t>
    </rPh>
    <rPh sb="11" eb="13">
      <t>シキュウ</t>
    </rPh>
    <rPh sb="13" eb="15">
      <t>クブン</t>
    </rPh>
    <rPh sb="16" eb="21">
      <t>キョウショクインクブン</t>
    </rPh>
    <rPh sb="23" eb="25">
      <t>ショクイン</t>
    </rPh>
    <rPh sb="26" eb="27">
      <t>カ</t>
    </rPh>
    <rPh sb="29" eb="31">
      <t>ソシキ</t>
    </rPh>
    <rPh sb="35" eb="38">
      <t>カンリシャ</t>
    </rPh>
    <rPh sb="38" eb="40">
      <t>クブン</t>
    </rPh>
    <rPh sb="41" eb="44">
      <t>カンリシャ</t>
    </rPh>
    <rPh sb="45" eb="47">
      <t>バアイ</t>
    </rPh>
    <phoneticPr fontId="10"/>
  </si>
  <si>
    <t>給与
支給区分</t>
    <rPh sb="0" eb="2">
      <t>キュウヨ</t>
    </rPh>
    <rPh sb="3" eb="5">
      <t>シキュウ</t>
    </rPh>
    <rPh sb="5" eb="7">
      <t>クブン</t>
    </rPh>
    <phoneticPr fontId="3"/>
  </si>
  <si>
    <t>給与支給区分名称</t>
    <rPh sb="0" eb="2">
      <t>キュウヨ</t>
    </rPh>
    <rPh sb="2" eb="4">
      <t>シキュウ</t>
    </rPh>
    <rPh sb="4" eb="6">
      <t>クブン</t>
    </rPh>
    <rPh sb="6" eb="8">
      <t>メイショウ</t>
    </rPh>
    <phoneticPr fontId="3"/>
  </si>
  <si>
    <t>教職員
区分</t>
    <rPh sb="0" eb="3">
      <t>キョウショクイン</t>
    </rPh>
    <rPh sb="4" eb="6">
      <t>クブン</t>
    </rPh>
    <phoneticPr fontId="3"/>
  </si>
  <si>
    <t>専任教員</t>
  </si>
  <si>
    <t>教員</t>
    <rPh sb="0" eb="2">
      <t>キョウイン</t>
    </rPh>
    <phoneticPr fontId="3"/>
  </si>
  <si>
    <t>契約職員</t>
  </si>
  <si>
    <t>職員</t>
    <rPh sb="0" eb="2">
      <t>ショクイン</t>
    </rPh>
    <phoneticPr fontId="3"/>
  </si>
  <si>
    <t>特別任用教授</t>
  </si>
  <si>
    <t>特定業務職員･研究支援員･月給者</t>
  </si>
  <si>
    <t>有期雇用教員(退職金有)</t>
  </si>
  <si>
    <t>学生アルバイト(ダミー)</t>
  </si>
  <si>
    <t>－</t>
    <phoneticPr fontId="3"/>
  </si>
  <si>
    <t>有期雇用教員(退職金無)</t>
  </si>
  <si>
    <t>時給者</t>
  </si>
  <si>
    <t>中高嘱託講師</t>
  </si>
  <si>
    <t>謝礼</t>
  </si>
  <si>
    <t>特別任用教諭</t>
  </si>
  <si>
    <t>役員</t>
  </si>
  <si>
    <t>大学・女子大学嘱託講師</t>
  </si>
  <si>
    <t>非支給者</t>
  </si>
  <si>
    <t>専任職員</t>
  </si>
  <si>
    <t>項目名</t>
    <rPh sb="0" eb="2">
      <t>コウモク</t>
    </rPh>
    <rPh sb="2" eb="3">
      <t>メイ</t>
    </rPh>
    <phoneticPr fontId="10"/>
  </si>
  <si>
    <t>（1）.学生</t>
    <rPh sb="4" eb="6">
      <t>ガクセイ</t>
    </rPh>
    <phoneticPr fontId="10"/>
  </si>
  <si>
    <t>（2）.教員</t>
    <rPh sb="4" eb="6">
      <t>キョウイン</t>
    </rPh>
    <phoneticPr fontId="10"/>
  </si>
  <si>
    <t>（3）.職員(担当者)</t>
    <rPh sb="4" eb="6">
      <t>ショクイン</t>
    </rPh>
    <rPh sb="7" eb="10">
      <t>タントウシャ</t>
    </rPh>
    <phoneticPr fontId="10"/>
  </si>
  <si>
    <t>（4）.職員(管理者)</t>
    <rPh sb="4" eb="6">
      <t>ショクイン</t>
    </rPh>
    <rPh sb="7" eb="10">
      <t>カンリシャ</t>
    </rPh>
    <phoneticPr fontId="10"/>
  </si>
  <si>
    <t>LDAP_ALL</t>
    <phoneticPr fontId="10"/>
  </si>
  <si>
    <t>ユーザーＩＤ</t>
    <phoneticPr fontId="3"/>
  </si>
  <si>
    <t>←</t>
    <phoneticPr fontId="3"/>
  </si>
  <si>
    <t>ユーザＩＤ</t>
    <phoneticPr fontId="3"/>
  </si>
  <si>
    <t>社員ＩＤ</t>
    <rPh sb="0" eb="2">
      <t>シャイン</t>
    </rPh>
    <phoneticPr fontId="3"/>
  </si>
  <si>
    <t>学生基本.学生ID</t>
    <rPh sb="0" eb="2">
      <t>ガクセイ</t>
    </rPh>
    <rPh sb="2" eb="4">
      <t>キホン</t>
    </rPh>
    <rPh sb="5" eb="7">
      <t>ガクセイ</t>
    </rPh>
    <phoneticPr fontId="3"/>
  </si>
  <si>
    <t>社員基本.社員番号</t>
    <rPh sb="5" eb="7">
      <t>シャイン</t>
    </rPh>
    <rPh sb="7" eb="9">
      <t>バンゴウ</t>
    </rPh>
    <phoneticPr fontId="3"/>
  </si>
  <si>
    <t>漢字氏名</t>
    <rPh sb="0" eb="2">
      <t>カンジ</t>
    </rPh>
    <rPh sb="2" eb="4">
      <t>シメイ</t>
    </rPh>
    <phoneticPr fontId="3"/>
  </si>
  <si>
    <t>社員基本.姓+名</t>
    <rPh sb="5" eb="6">
      <t>セイ</t>
    </rPh>
    <rPh sb="7" eb="8">
      <t>メイ</t>
    </rPh>
    <phoneticPr fontId="3"/>
  </si>
  <si>
    <t>英字氏名</t>
    <rPh sb="0" eb="2">
      <t>エイジ</t>
    </rPh>
    <rPh sb="2" eb="4">
      <t>シメイ</t>
    </rPh>
    <phoneticPr fontId="3"/>
  </si>
  <si>
    <t>学生基本.英字氏名</t>
    <rPh sb="5" eb="7">
      <t>エイジ</t>
    </rPh>
    <rPh sb="7" eb="9">
      <t>シメイ</t>
    </rPh>
    <phoneticPr fontId="3"/>
  </si>
  <si>
    <t>カナ氏名</t>
    <rPh sb="2" eb="4">
      <t>シメイ</t>
    </rPh>
    <phoneticPr fontId="3"/>
  </si>
  <si>
    <t>学生基本.カナ氏名</t>
    <rPh sb="7" eb="9">
      <t>シメイ</t>
    </rPh>
    <phoneticPr fontId="3"/>
  </si>
  <si>
    <t>社員基本.カナ姓+カナ名</t>
    <rPh sb="7" eb="8">
      <t>セイ</t>
    </rPh>
    <rPh sb="11" eb="12">
      <t>メイ</t>
    </rPh>
    <phoneticPr fontId="3"/>
  </si>
  <si>
    <t>社員基本.姓</t>
    <rPh sb="5" eb="6">
      <t>セイ</t>
    </rPh>
    <phoneticPr fontId="3"/>
  </si>
  <si>
    <t>在籍区分</t>
    <rPh sb="0" eb="4">
      <t>ザイセキクブン</t>
    </rPh>
    <phoneticPr fontId="3"/>
  </si>
  <si>
    <t>学生基本.在籍区分</t>
    <rPh sb="5" eb="9">
      <t>ザイセキクブン</t>
    </rPh>
    <phoneticPr fontId="3"/>
  </si>
  <si>
    <t>社員基本.在籍区分</t>
    <rPh sb="5" eb="9">
      <t>ザイセキクブン</t>
    </rPh>
    <phoneticPr fontId="3"/>
  </si>
  <si>
    <t>メールアドレス</t>
    <phoneticPr fontId="3"/>
  </si>
  <si>
    <t>留学生情報管理フラグ</t>
    <rPh sb="0" eb="3">
      <t>リュウガクセイ</t>
    </rPh>
    <rPh sb="3" eb="5">
      <t>ジョウホウ</t>
    </rPh>
    <rPh sb="5" eb="7">
      <t>カンリ</t>
    </rPh>
    <phoneticPr fontId="3"/>
  </si>
  <si>
    <t>有効フラグ</t>
    <rPh sb="0" eb="2">
      <t>ユウコウ</t>
    </rPh>
    <phoneticPr fontId="3"/>
  </si>
  <si>
    <t>代理承認フラグ</t>
    <rPh sb="0" eb="4">
      <t>ダイリショウニン</t>
    </rPh>
    <phoneticPr fontId="3"/>
  </si>
  <si>
    <t>会社コード</t>
    <rPh sb="0" eb="2">
      <t>カイシャ</t>
    </rPh>
    <phoneticPr fontId="3"/>
  </si>
  <si>
    <t>雇用部課コード</t>
    <rPh sb="0" eb="2">
      <t>コヨウ</t>
    </rPh>
    <rPh sb="2" eb="4">
      <t>ブカ</t>
    </rPh>
    <phoneticPr fontId="3"/>
  </si>
  <si>
    <t>組織マスタ.雇用部課</t>
    <rPh sb="0" eb="2">
      <t>ソシキ</t>
    </rPh>
    <rPh sb="6" eb="10">
      <t>コヨウブカ</t>
    </rPh>
    <phoneticPr fontId="3"/>
  </si>
  <si>
    <t>社員所属コード</t>
    <rPh sb="0" eb="2">
      <t>シャイン</t>
    </rPh>
    <rPh sb="2" eb="4">
      <t>ショゾク</t>
    </rPh>
    <phoneticPr fontId="3"/>
  </si>
  <si>
    <t>社員基本.組織コード</t>
    <rPh sb="0" eb="2">
      <t>シャイン</t>
    </rPh>
    <rPh sb="2" eb="4">
      <t>キホン</t>
    </rPh>
    <rPh sb="5" eb="7">
      <t>ソシキ</t>
    </rPh>
    <phoneticPr fontId="3"/>
  </si>
  <si>
    <t>教員コード</t>
    <rPh sb="0" eb="2">
      <t>キョウイン</t>
    </rPh>
    <phoneticPr fontId="3"/>
  </si>
  <si>
    <t>教員基本.教員コード</t>
    <rPh sb="0" eb="2">
      <t>キョウイン</t>
    </rPh>
    <rPh sb="2" eb="4">
      <t>キホン</t>
    </rPh>
    <rPh sb="5" eb="7">
      <t>キョウイン</t>
    </rPh>
    <phoneticPr fontId="3"/>
  </si>
  <si>
    <t>役職コード</t>
    <rPh sb="0" eb="2">
      <t>ヤクショク</t>
    </rPh>
    <phoneticPr fontId="3"/>
  </si>
  <si>
    <t>社員基本.役職コード</t>
    <rPh sb="0" eb="2">
      <t>シャイン</t>
    </rPh>
    <rPh sb="2" eb="4">
      <t>キホン</t>
    </rPh>
    <rPh sb="5" eb="7">
      <t>ヤクショク</t>
    </rPh>
    <phoneticPr fontId="3"/>
  </si>
  <si>
    <t>学生所属コード</t>
    <rPh sb="0" eb="2">
      <t>ガクセイ</t>
    </rPh>
    <rPh sb="2" eb="4">
      <t>ショゾク</t>
    </rPh>
    <phoneticPr fontId="3"/>
  </si>
  <si>
    <t>学生基本.学生所属コード</t>
    <rPh sb="0" eb="2">
      <t>ガクセイ</t>
    </rPh>
    <rPh sb="2" eb="4">
      <t>キホン</t>
    </rPh>
    <rPh sb="5" eb="7">
      <t>ガクセイ</t>
    </rPh>
    <rPh sb="7" eb="9">
      <t>ショゾク</t>
    </rPh>
    <phoneticPr fontId="3"/>
  </si>
  <si>
    <t>課程コード</t>
    <rPh sb="0" eb="2">
      <t>カテイ</t>
    </rPh>
    <phoneticPr fontId="3"/>
  </si>
  <si>
    <t>学生基本.課程コード</t>
    <rPh sb="0" eb="2">
      <t>ガクセイ</t>
    </rPh>
    <rPh sb="2" eb="4">
      <t>キホン</t>
    </rPh>
    <rPh sb="5" eb="7">
      <t>カテイ</t>
    </rPh>
    <phoneticPr fontId="3"/>
  </si>
  <si>
    <t>学部研究科コード</t>
    <rPh sb="0" eb="2">
      <t>ガクブ</t>
    </rPh>
    <rPh sb="2" eb="5">
      <t>ケンキュウカ</t>
    </rPh>
    <phoneticPr fontId="3"/>
  </si>
  <si>
    <t>学生基本.学部研究科コード</t>
    <rPh sb="0" eb="2">
      <t>ガクセイ</t>
    </rPh>
    <rPh sb="2" eb="4">
      <t>キホン</t>
    </rPh>
    <rPh sb="5" eb="7">
      <t>ガクブ</t>
    </rPh>
    <rPh sb="7" eb="10">
      <t>ケンキュウカ</t>
    </rPh>
    <phoneticPr fontId="3"/>
  </si>
  <si>
    <t>学科専攻コード</t>
    <rPh sb="0" eb="2">
      <t>ガッカ</t>
    </rPh>
    <rPh sb="2" eb="4">
      <t>センコウ</t>
    </rPh>
    <phoneticPr fontId="3"/>
  </si>
  <si>
    <t>学生基本.学科専攻コード</t>
    <rPh sb="0" eb="2">
      <t>ガクセイ</t>
    </rPh>
    <rPh sb="2" eb="4">
      <t>キホン</t>
    </rPh>
    <rPh sb="5" eb="7">
      <t>ガッカ</t>
    </rPh>
    <rPh sb="7" eb="9">
      <t>センコウ</t>
    </rPh>
    <phoneticPr fontId="3"/>
  </si>
  <si>
    <t>コースクラスターコード</t>
    <phoneticPr fontId="3"/>
  </si>
  <si>
    <t>学生基本.コースクラスターコード</t>
    <rPh sb="0" eb="2">
      <t>ガクセイ</t>
    </rPh>
    <rPh sb="2" eb="4">
      <t>キホン</t>
    </rPh>
    <phoneticPr fontId="3"/>
  </si>
  <si>
    <t>在学年次</t>
    <rPh sb="0" eb="2">
      <t>ザイガク</t>
    </rPh>
    <rPh sb="2" eb="4">
      <t>ネンジ</t>
    </rPh>
    <phoneticPr fontId="3"/>
  </si>
  <si>
    <t>学生基本.在学年次</t>
    <rPh sb="0" eb="2">
      <t>ガクセイ</t>
    </rPh>
    <rPh sb="2" eb="4">
      <t>キホン</t>
    </rPh>
    <rPh sb="5" eb="9">
      <t>ザイガクネンジ</t>
    </rPh>
    <phoneticPr fontId="3"/>
  </si>
  <si>
    <t>言語区分</t>
    <rPh sb="0" eb="4">
      <t>ゲンゴクブン</t>
    </rPh>
    <phoneticPr fontId="3"/>
  </si>
  <si>
    <t>〇社員マスタの作成・更新</t>
    <rPh sb="1" eb="3">
      <t>シャイン</t>
    </rPh>
    <rPh sb="7" eb="9">
      <t>サクセイ</t>
    </rPh>
    <rPh sb="10" eb="12">
      <t>コウシン</t>
    </rPh>
    <phoneticPr fontId="2"/>
  </si>
  <si>
    <t>・</t>
    <phoneticPr fontId="11"/>
  </si>
  <si>
    <t>名</t>
    <rPh sb="0" eb="1">
      <t>メイ</t>
    </rPh>
    <phoneticPr fontId="3"/>
  </si>
  <si>
    <t>姓</t>
    <rPh sb="0" eb="1">
      <t>セイ</t>
    </rPh>
    <phoneticPr fontId="3"/>
  </si>
  <si>
    <t>代理承認者コード１</t>
    <rPh sb="0" eb="4">
      <t>ダイリショウニン</t>
    </rPh>
    <rPh sb="4" eb="5">
      <t>シャ</t>
    </rPh>
    <phoneticPr fontId="3"/>
  </si>
  <si>
    <t>代理承認者コード２</t>
    <rPh sb="0" eb="4">
      <t>ダイリショウニン</t>
    </rPh>
    <rPh sb="4" eb="5">
      <t>シャ</t>
    </rPh>
    <phoneticPr fontId="3"/>
  </si>
  <si>
    <t>代理承認者コード３</t>
    <rPh sb="0" eb="4">
      <t>ダイリショウニン</t>
    </rPh>
    <rPh sb="4" eb="5">
      <t>シャ</t>
    </rPh>
    <phoneticPr fontId="3"/>
  </si>
  <si>
    <t>ユーザ区分</t>
    <rPh sb="3" eb="5">
      <t>クブン</t>
    </rPh>
    <phoneticPr fontId="11"/>
  </si>
  <si>
    <t>社員基本.名</t>
    <rPh sb="5" eb="6">
      <t>メイ</t>
    </rPh>
    <phoneticPr fontId="3"/>
  </si>
  <si>
    <t>UA無効フラグ（0:籍なし,1:籍あり)</t>
    <rPh sb="2" eb="4">
      <t>ムコウ</t>
    </rPh>
    <rPh sb="10" eb="11">
      <t>セキ</t>
    </rPh>
    <rPh sb="16" eb="17">
      <t>セキ</t>
    </rPh>
    <phoneticPr fontId="3"/>
  </si>
  <si>
    <t>CZ-800-01B</t>
    <phoneticPr fontId="11"/>
  </si>
  <si>
    <t>統合DB連携時間：</t>
    <rPh sb="0" eb="2">
      <t>トウゴウ</t>
    </rPh>
    <rPh sb="4" eb="6">
      <t>レンケイ</t>
    </rPh>
    <rPh sb="6" eb="8">
      <t>ジカン</t>
    </rPh>
    <phoneticPr fontId="11"/>
  </si>
  <si>
    <t>教員を追加、更新する際にローカルユーザに追加、更新する教員コードが既に存在していれば、</t>
    <rPh sb="0" eb="2">
      <t>キョウイン</t>
    </rPh>
    <rPh sb="3" eb="5">
      <t>ツイカ</t>
    </rPh>
    <rPh sb="6" eb="8">
      <t>コウシン</t>
    </rPh>
    <rPh sb="10" eb="11">
      <t>サイ</t>
    </rPh>
    <rPh sb="20" eb="22">
      <t>ツイカ</t>
    </rPh>
    <rPh sb="23" eb="25">
      <t>コウシン</t>
    </rPh>
    <rPh sb="27" eb="29">
      <t>キョウイン</t>
    </rPh>
    <rPh sb="33" eb="34">
      <t>スデ</t>
    </rPh>
    <rPh sb="35" eb="37">
      <t>ソンザイ</t>
    </rPh>
    <phoneticPr fontId="11"/>
  </si>
  <si>
    <t>教職員を追加、更新する際にローカルユーザに追加、更新する教職員が既に存在していれば、</t>
    <rPh sb="0" eb="3">
      <t>キョウショクイン</t>
    </rPh>
    <rPh sb="4" eb="6">
      <t>ツイカ</t>
    </rPh>
    <rPh sb="7" eb="9">
      <t>コウシン</t>
    </rPh>
    <rPh sb="11" eb="12">
      <t>サイ</t>
    </rPh>
    <rPh sb="21" eb="23">
      <t>ツイカ</t>
    </rPh>
    <rPh sb="24" eb="26">
      <t>コウシン</t>
    </rPh>
    <rPh sb="28" eb="31">
      <t>キョウショクイン</t>
    </rPh>
    <rPh sb="32" eb="33">
      <t>スデ</t>
    </rPh>
    <rPh sb="34" eb="36">
      <t>ソンザイ</t>
    </rPh>
    <phoneticPr fontId="11"/>
  </si>
  <si>
    <t>社員基本の籍なしの社員IDと一致する社員マスタの在籍区分は籍なし、有効フラグは無効とする。</t>
    <rPh sb="0" eb="4">
      <t>シャインキホン</t>
    </rPh>
    <rPh sb="5" eb="6">
      <t>セキ</t>
    </rPh>
    <rPh sb="9" eb="11">
      <t>シャイン</t>
    </rPh>
    <rPh sb="14" eb="16">
      <t>イッチ</t>
    </rPh>
    <rPh sb="18" eb="20">
      <t>シャイン</t>
    </rPh>
    <rPh sb="24" eb="28">
      <t>ザイセキクブン</t>
    </rPh>
    <rPh sb="29" eb="30">
      <t>セキ</t>
    </rPh>
    <rPh sb="33" eb="35">
      <t>ユウコウ</t>
    </rPh>
    <rPh sb="39" eb="41">
      <t>ムコウ</t>
    </rPh>
    <phoneticPr fontId="11"/>
  </si>
  <si>
    <t>ローカルユーザの有効フラグを無効とする。</t>
    <rPh sb="8" eb="10">
      <t>ユウコウ</t>
    </rPh>
    <phoneticPr fontId="11"/>
  </si>
  <si>
    <t>〇社員マスタ作成フロー</t>
    <rPh sb="1" eb="3">
      <t>シャイン</t>
    </rPh>
    <rPh sb="6" eb="8">
      <t>サクセイ</t>
    </rPh>
    <phoneticPr fontId="11"/>
  </si>
  <si>
    <t>・</t>
    <phoneticPr fontId="11"/>
  </si>
  <si>
    <t>兼務順＝0</t>
    <rPh sb="0" eb="3">
      <t>ケンムジュン</t>
    </rPh>
    <phoneticPr fontId="11"/>
  </si>
  <si>
    <t>所属分類コード＝10</t>
    <rPh sb="0" eb="4">
      <t>ショゾクブンルイ</t>
    </rPh>
    <phoneticPr fontId="11"/>
  </si>
  <si>
    <t>社員マスタWKテーブルを全削除</t>
    <rPh sb="0" eb="2">
      <t>シャイン</t>
    </rPh>
    <rPh sb="12" eb="15">
      <t>ゼンサクジョ</t>
    </rPh>
    <phoneticPr fontId="11"/>
  </si>
  <si>
    <t>社員基本テーブルから以下を条件に対象データ全てを社員マスタWKに追加・更新</t>
    <rPh sb="0" eb="4">
      <t>シャインキホン</t>
    </rPh>
    <rPh sb="10" eb="12">
      <t>イカ</t>
    </rPh>
    <rPh sb="13" eb="15">
      <t>ジョウケン</t>
    </rPh>
    <rPh sb="16" eb="18">
      <t>タイショウ</t>
    </rPh>
    <rPh sb="21" eb="22">
      <t>スベ</t>
    </rPh>
    <rPh sb="24" eb="26">
      <t>シャイン</t>
    </rPh>
    <rPh sb="32" eb="34">
      <t>ツイカ</t>
    </rPh>
    <rPh sb="35" eb="37">
      <t>コウシン</t>
    </rPh>
    <phoneticPr fontId="11"/>
  </si>
  <si>
    <t>社員マスタWKのユーザ区分が教員のみ、社員マスタWKの社員コードと教員基本の人事コードが一致する教員基本の教員コードを社員マスタWKに更新する</t>
    <rPh sb="0" eb="2">
      <t>シャイン</t>
    </rPh>
    <rPh sb="11" eb="13">
      <t>クブン</t>
    </rPh>
    <rPh sb="14" eb="16">
      <t>キョウイン</t>
    </rPh>
    <rPh sb="19" eb="21">
      <t>シャイン</t>
    </rPh>
    <rPh sb="27" eb="29">
      <t>シャイン</t>
    </rPh>
    <rPh sb="33" eb="35">
      <t>キョウイン</t>
    </rPh>
    <rPh sb="35" eb="37">
      <t>キホン</t>
    </rPh>
    <rPh sb="38" eb="40">
      <t>ジンジ</t>
    </rPh>
    <rPh sb="44" eb="46">
      <t>イッチ</t>
    </rPh>
    <rPh sb="48" eb="52">
      <t>キョウインキホン</t>
    </rPh>
    <rPh sb="53" eb="55">
      <t>キョウイン</t>
    </rPh>
    <rPh sb="59" eb="61">
      <t>シャイン</t>
    </rPh>
    <rPh sb="67" eb="69">
      <t>コウシン</t>
    </rPh>
    <phoneticPr fontId="11"/>
  </si>
  <si>
    <t>社員マスタWKのユーザ区分が教員で教員コードがNullの社員マスタWKの有効フラグを無効にする</t>
    <rPh sb="0" eb="2">
      <t>シャイン</t>
    </rPh>
    <rPh sb="11" eb="13">
      <t>クブン</t>
    </rPh>
    <rPh sb="14" eb="16">
      <t>キョウイン</t>
    </rPh>
    <rPh sb="17" eb="19">
      <t>キョウイン</t>
    </rPh>
    <rPh sb="28" eb="30">
      <t>シャイン</t>
    </rPh>
    <rPh sb="36" eb="38">
      <t>ユウコウ</t>
    </rPh>
    <rPh sb="42" eb="44">
      <t>ムコウ</t>
    </rPh>
    <phoneticPr fontId="11"/>
  </si>
  <si>
    <t>社員マスタテーブルを全削除</t>
    <rPh sb="0" eb="2">
      <t>シャイン</t>
    </rPh>
    <rPh sb="10" eb="13">
      <t>ゼンサクジョ</t>
    </rPh>
    <phoneticPr fontId="11"/>
  </si>
  <si>
    <t>社員マスタWKテーブルを全件、社員マスタに登録する</t>
    <rPh sb="0" eb="2">
      <t>シャイン</t>
    </rPh>
    <rPh sb="12" eb="14">
      <t>ゼンケン</t>
    </rPh>
    <rPh sb="15" eb="17">
      <t>シャイン</t>
    </rPh>
    <rPh sb="21" eb="23">
      <t>トウロク</t>
    </rPh>
    <phoneticPr fontId="11"/>
  </si>
  <si>
    <r>
      <t>学生（1）</t>
    </r>
    <r>
      <rPr>
        <vertAlign val="superscript"/>
        <sz val="10"/>
        <rFont val="ＭＳ Ｐゴシック"/>
        <family val="3"/>
        <charset val="128"/>
      </rPr>
      <t>※1</t>
    </r>
    <rPh sb="0" eb="2">
      <t>ガクセイ</t>
    </rPh>
    <phoneticPr fontId="3"/>
  </si>
  <si>
    <r>
      <t>教員(2)</t>
    </r>
    <r>
      <rPr>
        <vertAlign val="superscript"/>
        <sz val="10"/>
        <rFont val="ＭＳ Ｐゴシック"/>
        <family val="3"/>
        <charset val="128"/>
      </rPr>
      <t>※１</t>
    </r>
    <rPh sb="0" eb="2">
      <t>キョウイン</t>
    </rPh>
    <phoneticPr fontId="3"/>
  </si>
  <si>
    <r>
      <t>担当者(3)</t>
    </r>
    <r>
      <rPr>
        <vertAlign val="superscript"/>
        <sz val="10"/>
        <rFont val="ＭＳ Ｐゴシック"/>
        <family val="3"/>
        <charset val="128"/>
      </rPr>
      <t>※１</t>
    </r>
    <rPh sb="0" eb="2">
      <t>タントウ</t>
    </rPh>
    <rPh sb="2" eb="3">
      <t>シャ</t>
    </rPh>
    <phoneticPr fontId="3"/>
  </si>
  <si>
    <r>
      <t>管理者(4)</t>
    </r>
    <r>
      <rPr>
        <vertAlign val="superscript"/>
        <sz val="10"/>
        <rFont val="ＭＳ Ｐゴシック"/>
        <family val="3"/>
        <charset val="128"/>
      </rPr>
      <t>※１</t>
    </r>
    <rPh sb="0" eb="3">
      <t>カンリシャ</t>
    </rPh>
    <phoneticPr fontId="3"/>
  </si>
  <si>
    <t>〇ユーザ区分の判断基準　※１</t>
    <rPh sb="4" eb="6">
      <t>クブン</t>
    </rPh>
    <rPh sb="7" eb="9">
      <t>ハンダン</t>
    </rPh>
    <rPh sb="9" eb="11">
      <t>キジュン</t>
    </rPh>
    <phoneticPr fontId="3"/>
  </si>
  <si>
    <t>〇給与支給区分　※２</t>
    <rPh sb="1" eb="7">
      <t>キュウヨシキュウクブン</t>
    </rPh>
    <phoneticPr fontId="3"/>
  </si>
  <si>
    <r>
      <t>社員基本.給与支給区分</t>
    </r>
    <r>
      <rPr>
        <vertAlign val="superscript"/>
        <sz val="10"/>
        <rFont val="ＭＳ Ｐゴシック"/>
        <family val="3"/>
        <charset val="128"/>
      </rPr>
      <t>※２</t>
    </r>
    <rPh sb="0" eb="2">
      <t>シャイン</t>
    </rPh>
    <rPh sb="2" eb="4">
      <t>キホン</t>
    </rPh>
    <rPh sb="5" eb="11">
      <t>キュウヨシキュウクブン</t>
    </rPh>
    <phoneticPr fontId="3"/>
  </si>
  <si>
    <t>1：担当（指導）教員</t>
    <rPh sb="2" eb="4">
      <t>タントウ</t>
    </rPh>
    <rPh sb="5" eb="7">
      <t>シドウ</t>
    </rPh>
    <rPh sb="8" eb="10">
      <t>キョウイン</t>
    </rPh>
    <phoneticPr fontId="3"/>
  </si>
  <si>
    <t>ユーザ区分＝2（教員）</t>
    <rPh sb="3" eb="5">
      <t>クブン</t>
    </rPh>
    <rPh sb="8" eb="10">
      <t>キョウイン</t>
    </rPh>
    <phoneticPr fontId="10"/>
  </si>
  <si>
    <t>2：事務担当者</t>
    <rPh sb="2" eb="4">
      <t>ジム</t>
    </rPh>
    <rPh sb="4" eb="7">
      <t>タントウシャ</t>
    </rPh>
    <phoneticPr fontId="3"/>
  </si>
  <si>
    <t>ユーザ区分＝3,4（職員） And 雇用部課コード=ユーザコードマスタ[UC0004：組織マスタ]の留学生課担当所属フラグがFALSE And 役職コード=ユーザコードマスタ[UC0005：役職マスタ]の承認権限</t>
    <rPh sb="3" eb="5">
      <t>クブン</t>
    </rPh>
    <rPh sb="10" eb="12">
      <t>ショクイン</t>
    </rPh>
    <rPh sb="18" eb="22">
      <t>コヨウブカ</t>
    </rPh>
    <rPh sb="43" eb="45">
      <t>ソシキ</t>
    </rPh>
    <rPh sb="50" eb="54">
      <t>リュウガクセイカ</t>
    </rPh>
    <rPh sb="54" eb="56">
      <t>タントウ</t>
    </rPh>
    <rPh sb="56" eb="58">
      <t>ショゾク</t>
    </rPh>
    <rPh sb="72" eb="74">
      <t>ヤクショク</t>
    </rPh>
    <rPh sb="95" eb="97">
      <t>ヤクショク</t>
    </rPh>
    <rPh sb="102" eb="106">
      <t>ショウニンケンゲン</t>
    </rPh>
    <phoneticPr fontId="10"/>
  </si>
  <si>
    <t>3：事務長</t>
    <phoneticPr fontId="3"/>
  </si>
  <si>
    <t>9：所属長</t>
    <phoneticPr fontId="3"/>
  </si>
  <si>
    <t>4：留学生課担当者</t>
    <rPh sb="2" eb="5">
      <t>リュウガクセイ</t>
    </rPh>
    <rPh sb="5" eb="6">
      <t>カ</t>
    </rPh>
    <rPh sb="6" eb="9">
      <t>タントウシャ</t>
    </rPh>
    <phoneticPr fontId="3"/>
  </si>
  <si>
    <t>ユーザ区分＝3,4（職員） And 雇用部課コード=ユーザコードマスタ[UC0004：組織マスタ]の留学生課担当所属フラグがTRUE And 役職コード=ユーザコードマスタ[UC0005：役職マスタ]の承認権限
なお、取得した承認権限を以下条件に従い、変換すること
承認権限：2　⇒　4
承認権限：3　⇒　5
承認権限：9　⇒　6</t>
    <rPh sb="3" eb="5">
      <t>クブン</t>
    </rPh>
    <rPh sb="10" eb="12">
      <t>ショクイン</t>
    </rPh>
    <rPh sb="18" eb="22">
      <t>コヨウブカ</t>
    </rPh>
    <rPh sb="43" eb="45">
      <t>ソシキ</t>
    </rPh>
    <rPh sb="50" eb="54">
      <t>リュウガクセイカ</t>
    </rPh>
    <rPh sb="54" eb="56">
      <t>タントウ</t>
    </rPh>
    <rPh sb="56" eb="58">
      <t>ショゾク</t>
    </rPh>
    <rPh sb="71" eb="73">
      <t>ヤクショク</t>
    </rPh>
    <rPh sb="94" eb="96">
      <t>ヤクショク</t>
    </rPh>
    <rPh sb="101" eb="105">
      <t>ショウニンケンゲン</t>
    </rPh>
    <rPh sb="109" eb="111">
      <t>シュトク</t>
    </rPh>
    <rPh sb="113" eb="117">
      <t>ショウニンケンゲン</t>
    </rPh>
    <rPh sb="118" eb="122">
      <t>イカジョウケン</t>
    </rPh>
    <rPh sb="123" eb="124">
      <t>シタガ</t>
    </rPh>
    <rPh sb="126" eb="128">
      <t>ヘンカン</t>
    </rPh>
    <rPh sb="133" eb="137">
      <t>ショウニンケンゲン</t>
    </rPh>
    <phoneticPr fontId="10"/>
  </si>
  <si>
    <t>5：留学生課事務長</t>
    <rPh sb="2" eb="5">
      <t>リュウガクセイ</t>
    </rPh>
    <rPh sb="5" eb="6">
      <t>カ</t>
    </rPh>
    <rPh sb="6" eb="9">
      <t>ジムチョウ</t>
    </rPh>
    <phoneticPr fontId="3"/>
  </si>
  <si>
    <t>6：国際センター所長</t>
    <rPh sb="2" eb="4">
      <t>コクサイ</t>
    </rPh>
    <rPh sb="8" eb="10">
      <t>ショチョウ</t>
    </rPh>
    <phoneticPr fontId="3"/>
  </si>
  <si>
    <t>〇承認権限　※３</t>
    <rPh sb="1" eb="5">
      <t>ショウニンケンゲン</t>
    </rPh>
    <phoneticPr fontId="3"/>
  </si>
  <si>
    <r>
      <t>社員基本.役職コードから設定</t>
    </r>
    <r>
      <rPr>
        <vertAlign val="superscript"/>
        <sz val="10"/>
        <rFont val="ＭＳ Ｐゴシック"/>
        <family val="3"/>
        <charset val="128"/>
      </rPr>
      <t>※３</t>
    </r>
    <rPh sb="0" eb="2">
      <t>シャイン</t>
    </rPh>
    <rPh sb="2" eb="4">
      <t>キホン</t>
    </rPh>
    <rPh sb="5" eb="7">
      <t>ヤクショク</t>
    </rPh>
    <rPh sb="12" eb="14">
      <t>セッテイ</t>
    </rPh>
    <phoneticPr fontId="3"/>
  </si>
  <si>
    <r>
      <t>ユーザ区分</t>
    </r>
    <r>
      <rPr>
        <vertAlign val="superscript"/>
        <sz val="10"/>
        <rFont val="ＭＳ Ｐゴシック"/>
        <family val="3"/>
        <charset val="128"/>
      </rPr>
      <t>※１</t>
    </r>
    <rPh sb="3" eb="5">
      <t>クブン</t>
    </rPh>
    <phoneticPr fontId="3"/>
  </si>
  <si>
    <r>
      <t>承認権限</t>
    </r>
    <r>
      <rPr>
        <vertAlign val="superscript"/>
        <sz val="10"/>
        <rFont val="ＭＳ Ｐゴシック"/>
        <family val="3"/>
        <charset val="128"/>
      </rPr>
      <t>※３</t>
    </r>
    <rPh sb="0" eb="4">
      <t>ショウニンケンゲン</t>
    </rPh>
    <phoneticPr fontId="3"/>
  </si>
  <si>
    <r>
      <t>給与支給区分</t>
    </r>
    <r>
      <rPr>
        <vertAlign val="superscript"/>
        <sz val="10"/>
        <rFont val="ＭＳ Ｐゴシック"/>
        <family val="3"/>
        <charset val="128"/>
      </rPr>
      <t>※２</t>
    </r>
    <rPh sb="0" eb="2">
      <t>キュウヨ</t>
    </rPh>
    <rPh sb="2" eb="4">
      <t>シキュウ</t>
    </rPh>
    <rPh sb="4" eb="6">
      <t>クブン</t>
    </rPh>
    <phoneticPr fontId="3"/>
  </si>
  <si>
    <t>ローカル区分</t>
    <rPh sb="4" eb="6">
      <t>クブン</t>
    </rPh>
    <phoneticPr fontId="3"/>
  </si>
  <si>
    <t>SSO認証(0）</t>
    <rPh sb="3" eb="5">
      <t>ニンショウ</t>
    </rPh>
    <phoneticPr fontId="3"/>
  </si>
  <si>
    <t>社員マスタのローカル区分＝TRUE（ローカル認証）のデータのみ、社員マスタWKに登録</t>
    <rPh sb="0" eb="2">
      <t>シャイン</t>
    </rPh>
    <rPh sb="10" eb="12">
      <t>クブン</t>
    </rPh>
    <rPh sb="22" eb="24">
      <t>ニンショウ</t>
    </rPh>
    <rPh sb="32" eb="34">
      <t>シャイン</t>
    </rPh>
    <rPh sb="40" eb="42">
      <t>トウロク</t>
    </rPh>
    <phoneticPr fontId="11"/>
  </si>
  <si>
    <t>社員マスタWKのユーザ区分が教員且つ有効フラグ=TRUE、ローカル区分がFALSE（SSO認証）のデータで社員マスタWKのローカル区分がTRUE（ローカル認証）且つ教員コードが一致する社員マスタWKを検索し、</t>
    <rPh sb="0" eb="2">
      <t>シャイン</t>
    </rPh>
    <rPh sb="11" eb="13">
      <t>クブン</t>
    </rPh>
    <rPh sb="14" eb="16">
      <t>キョウイン</t>
    </rPh>
    <rPh sb="16" eb="17">
      <t>カ</t>
    </rPh>
    <rPh sb="18" eb="20">
      <t>ユウコウ</t>
    </rPh>
    <rPh sb="33" eb="35">
      <t>クブン</t>
    </rPh>
    <rPh sb="45" eb="47">
      <t>ニンショウ</t>
    </rPh>
    <rPh sb="53" eb="55">
      <t>シャイン</t>
    </rPh>
    <rPh sb="65" eb="67">
      <t>クブン</t>
    </rPh>
    <rPh sb="77" eb="79">
      <t>ニンショウ</t>
    </rPh>
    <rPh sb="80" eb="81">
      <t>カ</t>
    </rPh>
    <rPh sb="82" eb="84">
      <t>キョウイン</t>
    </rPh>
    <rPh sb="88" eb="90">
      <t>イッチ</t>
    </rPh>
    <rPh sb="92" eb="94">
      <t>シャイン</t>
    </rPh>
    <rPh sb="100" eb="102">
      <t>ケンサク</t>
    </rPh>
    <phoneticPr fontId="11"/>
  </si>
  <si>
    <t>データがあればローカルユーザの有効フラグを無効にする</t>
    <phoneticPr fontId="11"/>
  </si>
  <si>
    <t>社員マスタWKのユーザ区分が教員または担当者、管理者且つ有効フラグ=TRUE、ローカル区分がFALSE（SSO認証）のデータで社員マスタWKの認証区分がTRUE（ローカル認証）且つユーザIDが一致する社員マスタWKを検索し、</t>
    <rPh sb="0" eb="2">
      <t>シャイン</t>
    </rPh>
    <rPh sb="11" eb="13">
      <t>クブン</t>
    </rPh>
    <rPh sb="14" eb="16">
      <t>キョウイン</t>
    </rPh>
    <rPh sb="19" eb="22">
      <t>タントウシャ</t>
    </rPh>
    <rPh sb="23" eb="26">
      <t>カンリシャ</t>
    </rPh>
    <rPh sb="26" eb="27">
      <t>カ</t>
    </rPh>
    <rPh sb="28" eb="30">
      <t>ユウコウ</t>
    </rPh>
    <rPh sb="43" eb="45">
      <t>クブン</t>
    </rPh>
    <rPh sb="52" eb="54">
      <t>ニンショウ</t>
    </rPh>
    <rPh sb="60" eb="62">
      <t>シャイン</t>
    </rPh>
    <rPh sb="68" eb="72">
      <t>ニンショウクブン</t>
    </rPh>
    <rPh sb="82" eb="84">
      <t>ニンショウ</t>
    </rPh>
    <rPh sb="84" eb="85">
      <t>カ</t>
    </rPh>
    <rPh sb="93" eb="95">
      <t>イッチ</t>
    </rPh>
    <rPh sb="97" eb="99">
      <t>シャイン</t>
    </rPh>
    <rPh sb="105" eb="107">
      <t>ケンサク</t>
    </rPh>
    <phoneticPr fontId="11"/>
  </si>
  <si>
    <t>①</t>
    <phoneticPr fontId="11"/>
  </si>
  <si>
    <t>②</t>
    <phoneticPr fontId="11"/>
  </si>
  <si>
    <t>↓</t>
    <phoneticPr fontId="11"/>
  </si>
  <si>
    <t>③</t>
    <phoneticPr fontId="11"/>
  </si>
  <si>
    <t>④</t>
    <phoneticPr fontId="11"/>
  </si>
  <si>
    <t>学生基本テーブルから籍ありを条件に対象データ全てを社員マスタWKに追加・更新</t>
    <phoneticPr fontId="11"/>
  </si>
  <si>
    <t>⑤</t>
    <phoneticPr fontId="11"/>
  </si>
  <si>
    <t>⑥</t>
    <phoneticPr fontId="11"/>
  </si>
  <si>
    <t>⑦</t>
    <phoneticPr fontId="11"/>
  </si>
  <si>
    <t>⑧</t>
    <phoneticPr fontId="11"/>
  </si>
  <si>
    <t>⑨</t>
    <phoneticPr fontId="11"/>
  </si>
  <si>
    <t>⑩</t>
    <phoneticPr fontId="11"/>
  </si>
  <si>
    <t>⑪</t>
    <phoneticPr fontId="11"/>
  </si>
  <si>
    <t>⑫</t>
    <phoneticPr fontId="11"/>
  </si>
  <si>
    <t>社員マスタと社員マスタWKを比較し、社員マスタWKにない社員マスタを差分（NOT EXISTS）として、全て有効フラグを無効にして社員マスタWKに登録する</t>
    <rPh sb="0" eb="2">
      <t>シャイン</t>
    </rPh>
    <rPh sb="6" eb="8">
      <t>シャイン</t>
    </rPh>
    <rPh sb="14" eb="16">
      <t>ヒカク</t>
    </rPh>
    <rPh sb="18" eb="20">
      <t>シャイン</t>
    </rPh>
    <rPh sb="28" eb="30">
      <t>シャイン</t>
    </rPh>
    <rPh sb="34" eb="36">
      <t>サブン</t>
    </rPh>
    <rPh sb="52" eb="53">
      <t>スベ</t>
    </rPh>
    <rPh sb="54" eb="56">
      <t>ユウコウ</t>
    </rPh>
    <rPh sb="60" eb="62">
      <t>ムコウ</t>
    </rPh>
    <rPh sb="65" eb="67">
      <t>シャイン</t>
    </rPh>
    <rPh sb="73" eb="75">
      <t>トウロク</t>
    </rPh>
    <phoneticPr fontId="11"/>
  </si>
  <si>
    <t>⑬</t>
    <phoneticPr fontId="11"/>
  </si>
  <si>
    <t>コミットして終了</t>
    <rPh sb="6" eb="8">
      <t>シュウリョウ</t>
    </rPh>
    <phoneticPr fontId="11"/>
  </si>
  <si>
    <t>トランザクション開始</t>
    <phoneticPr fontId="11"/>
  </si>
  <si>
    <t>所属学年暦マスタを連携テーブルから削除</t>
    <rPh sb="0" eb="5">
      <t>ショゾクガクネンレキ</t>
    </rPh>
    <rPh sb="9" eb="11">
      <t>レンケイ</t>
    </rPh>
    <rPh sb="17" eb="19">
      <t>サクジョ</t>
    </rPh>
    <phoneticPr fontId="2"/>
  </si>
  <si>
    <t>14</t>
    <phoneticPr fontId="11"/>
  </si>
  <si>
    <t>籍あり（在籍区分＝1(在籍)、2(休職)）</t>
    <rPh sb="4" eb="8">
      <t>ザイセキクブン</t>
    </rPh>
    <rPh sb="11" eb="13">
      <t>ザイセキ</t>
    </rPh>
    <rPh sb="17" eb="19">
      <t>キュウショク</t>
    </rPh>
    <phoneticPr fontId="11"/>
  </si>
  <si>
    <t>⑭</t>
    <phoneticPr fontId="11"/>
  </si>
  <si>
    <t>担当（指導）教員：1</t>
    <phoneticPr fontId="11"/>
  </si>
  <si>
    <t>籍あり（在籍区分＝1(在籍)、8(休職)）</t>
    <rPh sb="4" eb="8">
      <t>ザイセキクブン</t>
    </rPh>
    <rPh sb="11" eb="13">
      <t>ザイセキ</t>
    </rPh>
    <rPh sb="17" eb="19">
      <t>キュウショク</t>
    </rPh>
    <phoneticPr fontId="11"/>
  </si>
  <si>
    <t>社員基本の対象となる在籍区分の休職コードを２から８に変更</t>
    <rPh sb="0" eb="4">
      <t>シャインキホン</t>
    </rPh>
    <rPh sb="5" eb="7">
      <t>タイショウ</t>
    </rPh>
    <rPh sb="10" eb="14">
      <t>ザイセキクブン</t>
    </rPh>
    <rPh sb="15" eb="17">
      <t>キュウショク</t>
    </rPh>
    <rPh sb="26" eb="28">
      <t>ヘンコウ</t>
    </rPh>
    <phoneticPr fontId="2"/>
  </si>
  <si>
    <t>【連携処理】</t>
    <rPh sb="1" eb="3">
      <t>レンケイ</t>
    </rPh>
    <rPh sb="3" eb="5">
      <t>ショリ</t>
    </rPh>
    <phoneticPr fontId="11"/>
  </si>
  <si>
    <t>1.統合DBのデータを取得し、WORKテーブルとして、データを登録する（既存データは全削除のうえ、再登録する）</t>
    <rPh sb="2" eb="4">
      <t>トウゴウ</t>
    </rPh>
    <rPh sb="11" eb="13">
      <t>シュトク</t>
    </rPh>
    <rPh sb="31" eb="33">
      <t>トウロク</t>
    </rPh>
    <rPh sb="36" eb="38">
      <t>キゾン</t>
    </rPh>
    <rPh sb="42" eb="45">
      <t>ゼンサクジョ</t>
    </rPh>
    <rPh sb="49" eb="52">
      <t>サイトウロク</t>
    </rPh>
    <phoneticPr fontId="11"/>
  </si>
  <si>
    <t>[dataload.bat]</t>
    <phoneticPr fontId="11"/>
  </si>
  <si>
    <t>LDAP_ALL　（WORK）</t>
    <phoneticPr fontId="11"/>
  </si>
  <si>
    <t>ldap_allwork</t>
    <phoneticPr fontId="11"/>
  </si>
  <si>
    <t>社員基本　（WORK）</t>
    <rPh sb="0" eb="4">
      <t>シャインキホン</t>
    </rPh>
    <phoneticPr fontId="11"/>
  </si>
  <si>
    <t>学生基本　（WORK）</t>
    <rPh sb="0" eb="4">
      <t>ガクセイキホン</t>
    </rPh>
    <phoneticPr fontId="11"/>
  </si>
  <si>
    <t>教員基本　（WORK）</t>
    <rPh sb="0" eb="2">
      <t>キョウイン</t>
    </rPh>
    <rPh sb="2" eb="4">
      <t>キホン</t>
    </rPh>
    <phoneticPr fontId="11"/>
  </si>
  <si>
    <t>業務マスタ　（WORK）</t>
    <rPh sb="0" eb="2">
      <t>ギョウム</t>
    </rPh>
    <phoneticPr fontId="11"/>
  </si>
  <si>
    <t>予算マスタ　（WORK）</t>
    <rPh sb="0" eb="2">
      <t>ヨサン</t>
    </rPh>
    <phoneticPr fontId="11"/>
  </si>
  <si>
    <t>配分先マスタ　（WORK）</t>
    <rPh sb="0" eb="3">
      <t>ハイブンサキ</t>
    </rPh>
    <phoneticPr fontId="11"/>
  </si>
  <si>
    <t>部署マスタ　（WORK）</t>
    <rPh sb="0" eb="2">
      <t>ブショ</t>
    </rPh>
    <phoneticPr fontId="11"/>
  </si>
  <si>
    <t>開講科目マスタ　（WORK）</t>
    <rPh sb="0" eb="4">
      <t>カイコウカモク</t>
    </rPh>
    <phoneticPr fontId="11"/>
  </si>
  <si>
    <t>科目マスタ　（WORK）</t>
    <rPh sb="0" eb="2">
      <t>カモク</t>
    </rPh>
    <phoneticPr fontId="11"/>
  </si>
  <si>
    <t>授業マスタ　（WORK）</t>
    <rPh sb="0" eb="2">
      <t>ジュギョウ</t>
    </rPh>
    <phoneticPr fontId="11"/>
  </si>
  <si>
    <t>授業担当マスタ　（WORK）</t>
    <rPh sb="0" eb="2">
      <t>ジュギョウ</t>
    </rPh>
    <rPh sb="2" eb="4">
      <t>タントウ</t>
    </rPh>
    <phoneticPr fontId="11"/>
  </si>
  <si>
    <t>学年暦マスタ　（WORK）</t>
    <rPh sb="0" eb="2">
      <t>ガクネン</t>
    </rPh>
    <rPh sb="2" eb="3">
      <t>レキ</t>
    </rPh>
    <phoneticPr fontId="11"/>
  </si>
  <si>
    <t>所属名称マスタ　（WORK）</t>
    <rPh sb="0" eb="4">
      <t>ショゾクメイショウ</t>
    </rPh>
    <phoneticPr fontId="11"/>
  </si>
  <si>
    <t>syainkihonwork</t>
  </si>
  <si>
    <t>gakuseikihonwork</t>
  </si>
  <si>
    <t>kyoinkihonwork</t>
  </si>
  <si>
    <t>gyomumasterwork</t>
  </si>
  <si>
    <t>yosanmasterwork</t>
  </si>
  <si>
    <t>haibunsakimasterwork</t>
  </si>
  <si>
    <t>busyomasterwork</t>
  </si>
  <si>
    <t>kaikokamokumasterwork</t>
  </si>
  <si>
    <t>kamokumasterwork</t>
  </si>
  <si>
    <t>zyugyomasterwork</t>
  </si>
  <si>
    <t>zyugyotantomasterwork</t>
  </si>
  <si>
    <t>gakunenrekimasterwork</t>
  </si>
  <si>
    <t>syozokumeisyomasterwork</t>
  </si>
  <si>
    <t>SELECTINSERT実行例：INSERT INTO ldap_all SELECT * FROM ldap_allwork;</t>
    <rPh sb="12" eb="15">
      <t>ジッコウレイ</t>
    </rPh>
    <phoneticPr fontId="11"/>
  </si>
  <si>
    <t>3.取り込むテーブルのデータを削除し、WORKテーブル全件をSELECTINSERTする</t>
    <rPh sb="2" eb="3">
      <t>ト</t>
    </rPh>
    <rPh sb="4" eb="5">
      <t>コ</t>
    </rPh>
    <rPh sb="15" eb="17">
      <t>サクジョ</t>
    </rPh>
    <rPh sb="27" eb="29">
      <t>ゼンケン</t>
    </rPh>
    <phoneticPr fontId="11"/>
  </si>
  <si>
    <t>2.1の処理が正常終了すると、batchjobテーブルに実行日時を更新する。更新できていなければ、後続のWORKテーブルをメインテーブルへ移行する処理以降は実行しない</t>
    <rPh sb="4" eb="6">
      <t>ショリ</t>
    </rPh>
    <rPh sb="7" eb="11">
      <t>セイジョウシュウリョウ</t>
    </rPh>
    <rPh sb="28" eb="30">
      <t>ジッコウ</t>
    </rPh>
    <rPh sb="30" eb="32">
      <t>ニチジ</t>
    </rPh>
    <rPh sb="33" eb="35">
      <t>コウシン</t>
    </rPh>
    <rPh sb="38" eb="40">
      <t>コウシン</t>
    </rPh>
    <rPh sb="49" eb="51">
      <t>コウゾク</t>
    </rPh>
    <rPh sb="69" eb="71">
      <t>イコウ</t>
    </rPh>
    <rPh sb="73" eb="75">
      <t>ショリ</t>
    </rPh>
    <rPh sb="75" eb="77">
      <t>イコウ</t>
    </rPh>
    <rPh sb="78" eb="80">
      <t>ジッコウ</t>
    </rPh>
    <phoneticPr fontId="11"/>
  </si>
  <si>
    <t>4.社員マスタをldap_all,syainkihon,gakuseikihon,kyoinkihonより登録する</t>
    <rPh sb="2" eb="4">
      <t>シャイン</t>
    </rPh>
    <rPh sb="53" eb="55">
      <t>トウロク</t>
    </rPh>
    <phoneticPr fontId="11"/>
  </si>
  <si>
    <t>※社員マスタの作成については下記の「社員マスタ作成フロー」を参照</t>
    <rPh sb="1" eb="3">
      <t>シャイン</t>
    </rPh>
    <rPh sb="7" eb="9">
      <t>サクセイ</t>
    </rPh>
    <rPh sb="14" eb="16">
      <t>カキ</t>
    </rPh>
    <rPh sb="18" eb="20">
      <t>シャイン</t>
    </rPh>
    <rPh sb="23" eb="25">
      <t>サクセイ</t>
    </rPh>
    <rPh sb="30" eb="32">
      <t>サンショウ</t>
    </rPh>
    <phoneticPr fontId="11"/>
  </si>
  <si>
    <t>論理名称</t>
    <rPh sb="0" eb="4">
      <t>ロンリメイショウ</t>
    </rPh>
    <phoneticPr fontId="11"/>
  </si>
  <si>
    <t>物理名称</t>
    <rPh sb="0" eb="4">
      <t>ブツリメイショウ</t>
    </rPh>
    <phoneticPr fontId="11"/>
  </si>
  <si>
    <t>『ローカルユーザと社員基本で重複した場合の注意点』</t>
    <rPh sb="9" eb="13">
      <t>シャインキホン</t>
    </rPh>
    <rPh sb="14" eb="16">
      <t>ジュウフク</t>
    </rPh>
    <rPh sb="18" eb="20">
      <t>バアイ</t>
    </rPh>
    <rPh sb="21" eb="24">
      <t>チュウイテン</t>
    </rPh>
    <phoneticPr fontId="11"/>
  </si>
  <si>
    <t>・</t>
    <phoneticPr fontId="11"/>
  </si>
  <si>
    <t>ローカルユーザあり・社員基本籍ありでユーザIDが重複した場合</t>
    <rPh sb="28" eb="30">
      <t>バアイ</t>
    </rPh>
    <phoneticPr fontId="11"/>
  </si>
  <si>
    <t>⇒社員基本の籍あり社員マスタでログイン可能とし、ローカルユーザの有効フラグは無効にする</t>
    <rPh sb="32" eb="34">
      <t>ユウコウ</t>
    </rPh>
    <rPh sb="38" eb="40">
      <t>ムコウ</t>
    </rPh>
    <phoneticPr fontId="11"/>
  </si>
  <si>
    <t>ローカルユーザあり・社員基本籍なしでユーザIDが重複した場合</t>
    <rPh sb="28" eb="30">
      <t>バアイ</t>
    </rPh>
    <phoneticPr fontId="11"/>
  </si>
  <si>
    <t>社員基本籍あり・籍なしでユーザIDが重複した場合</t>
    <rPh sb="22" eb="24">
      <t>バアイ</t>
    </rPh>
    <phoneticPr fontId="11"/>
  </si>
  <si>
    <t>⇒社員基本で籍ありのユーザのみログイン可能とする</t>
    <phoneticPr fontId="11"/>
  </si>
  <si>
    <t>　ユーザIDに対して社員基本の籍ありは一つしか存在しない</t>
    <phoneticPr fontId="11"/>
  </si>
  <si>
    <t>　なお、ユーザIDが同じで社員基本の籍有が複数発生することはありえない</t>
    <phoneticPr fontId="11"/>
  </si>
  <si>
    <t>⇒ローカルユーザの有効フラグは有効のままで、社員基本で籍なしの社員マスタは作成不要</t>
    <rPh sb="9" eb="11">
      <t>ユウコウ</t>
    </rPh>
    <rPh sb="15" eb="17">
      <t>ユウコウ</t>
    </rPh>
    <rPh sb="37" eb="41">
      <t>サクセイフヨウ</t>
    </rPh>
    <phoneticPr fontId="11"/>
  </si>
  <si>
    <t>　又は有効フラグは無効にする</t>
    <phoneticPr fontId="11"/>
  </si>
  <si>
    <t>学生の社員マスタの漢字氏名を表示用氏名に変更</t>
    <rPh sb="0" eb="2">
      <t>ガクセイ</t>
    </rPh>
    <rPh sb="3" eb="5">
      <t>シャイン</t>
    </rPh>
    <rPh sb="9" eb="13">
      <t>カンジシメイ</t>
    </rPh>
    <rPh sb="14" eb="16">
      <t>ヒョウジ</t>
    </rPh>
    <rPh sb="16" eb="17">
      <t>ヨウ</t>
    </rPh>
    <rPh sb="17" eb="19">
      <t>シメイ</t>
    </rPh>
    <rPh sb="20" eb="22">
      <t>ヘンコウ</t>
    </rPh>
    <phoneticPr fontId="2"/>
  </si>
  <si>
    <t>社員マスタにメール送信許可フラグを追加
（2025年度改修_項番11）</t>
    <rPh sb="0" eb="2">
      <t>シャイン</t>
    </rPh>
    <rPh sb="9" eb="11">
      <t>ソウシン</t>
    </rPh>
    <rPh sb="11" eb="13">
      <t>キョカ</t>
    </rPh>
    <rPh sb="17" eb="19">
      <t>ツイカ</t>
    </rPh>
    <rPh sb="25" eb="29">
      <t>ネンドカイシュウ</t>
    </rPh>
    <rPh sb="30" eb="32">
      <t>コウバン</t>
    </rPh>
    <phoneticPr fontId="2"/>
  </si>
  <si>
    <t>メール送信許可フラグ</t>
    <rPh sb="3" eb="5">
      <t>ソウシン</t>
    </rPh>
    <rPh sb="5" eb="7">
      <t>キョカ</t>
    </rPh>
    <phoneticPr fontId="3"/>
  </si>
  <si>
    <t>学生基本.表示用氏名</t>
    <rPh sb="0" eb="4">
      <t>ガクセイキホン</t>
    </rPh>
    <rPh sb="5" eb="10">
      <t>ヒョウジヨウシメイ</t>
    </rPh>
    <phoneticPr fontId="3"/>
  </si>
  <si>
    <t>2025年度改修_項番11</t>
    <rPh sb="4" eb="8">
      <t>ネンドカイシュウ</t>
    </rPh>
    <rPh sb="9" eb="11">
      <t>コウバン</t>
    </rPh>
    <phoneticPr fontId="11"/>
  </si>
  <si>
    <t>社員マスタ</t>
    <rPh sb="0" eb="2">
      <t>シャイン</t>
    </rPh>
    <phoneticPr fontId="11"/>
  </si>
  <si>
    <t>社員マスタ.言語区分</t>
    <rPh sb="0" eb="2">
      <t>シャイン</t>
    </rPh>
    <rPh sb="6" eb="10">
      <t>ゲンゴクブン</t>
    </rPh>
    <phoneticPr fontId="11"/>
  </si>
  <si>
    <t>社員マスタ.代理承認フラグ</t>
    <rPh sb="0" eb="2">
      <t>シャイン</t>
    </rPh>
    <rPh sb="6" eb="10">
      <t>ダイリショウニン</t>
    </rPh>
    <phoneticPr fontId="11"/>
  </si>
  <si>
    <t>社員マスタ.代理承認者コード１</t>
    <rPh sb="0" eb="2">
      <t>シャイン</t>
    </rPh>
    <rPh sb="6" eb="8">
      <t>ダイリ</t>
    </rPh>
    <rPh sb="8" eb="11">
      <t>ショウニンシャ</t>
    </rPh>
    <phoneticPr fontId="11"/>
  </si>
  <si>
    <t>社員マスタ.代理承認者コード２</t>
    <rPh sb="0" eb="2">
      <t>シャイン</t>
    </rPh>
    <rPh sb="6" eb="8">
      <t>ダイリ</t>
    </rPh>
    <rPh sb="8" eb="11">
      <t>ショウニンシャ</t>
    </rPh>
    <phoneticPr fontId="11"/>
  </si>
  <si>
    <t>社員マスタ.代理承認者コード３</t>
    <rPh sb="0" eb="2">
      <t>シャイン</t>
    </rPh>
    <rPh sb="6" eb="8">
      <t>ダイリ</t>
    </rPh>
    <rPh sb="8" eb="11">
      <t>ショウニンシャ</t>
    </rPh>
    <phoneticPr fontId="11"/>
  </si>
  <si>
    <t>社員マスタ.メール送信許可フラグ</t>
    <rPh sb="0" eb="2">
      <t>シャイン</t>
    </rPh>
    <rPh sb="9" eb="13">
      <t>ソウシンキョカ</t>
    </rPh>
    <phoneticPr fontId="11"/>
  </si>
  <si>
    <r>
      <t>社員マスタWKと一致する社員マスタが存在すれば、社員マスタの代理承認、言語区分、</t>
    </r>
    <r>
      <rPr>
        <sz val="10"/>
        <color rgb="FFFF0000"/>
        <rFont val="ＭＳ Ｐゴシック"/>
        <family val="3"/>
        <charset val="128"/>
      </rPr>
      <t>メール送信許可フラグ</t>
    </r>
    <r>
      <rPr>
        <sz val="10"/>
        <rFont val="ＭＳ Ｐゴシック"/>
        <family val="3"/>
        <charset val="128"/>
      </rPr>
      <t>を社員マスタWKに更新する</t>
    </r>
    <rPh sb="0" eb="2">
      <t>シャイン</t>
    </rPh>
    <rPh sb="8" eb="10">
      <t>イッチ</t>
    </rPh>
    <rPh sb="12" eb="14">
      <t>シャイン</t>
    </rPh>
    <rPh sb="18" eb="20">
      <t>ソンザイ</t>
    </rPh>
    <rPh sb="24" eb="26">
      <t>シャイン</t>
    </rPh>
    <rPh sb="30" eb="34">
      <t>ダイリショウニン</t>
    </rPh>
    <rPh sb="35" eb="39">
      <t>ゲンゴクブン</t>
    </rPh>
    <rPh sb="43" eb="47">
      <t>ソウシンキョカ</t>
    </rPh>
    <rPh sb="51" eb="53">
      <t>シャイン</t>
    </rPh>
    <rPh sb="59" eb="61">
      <t>コウシン</t>
    </rPh>
    <phoneticPr fontId="11"/>
  </si>
  <si>
    <t>社員マスタ作成時にメール送信許可フラグを複製項目に追加
（2026年度保守_項番52）</t>
    <rPh sb="0" eb="2">
      <t>シャイン</t>
    </rPh>
    <rPh sb="5" eb="8">
      <t>サクセイジ</t>
    </rPh>
    <rPh sb="12" eb="16">
      <t>ソウシンキョカ</t>
    </rPh>
    <rPh sb="20" eb="22">
      <t>フクセイ</t>
    </rPh>
    <rPh sb="22" eb="24">
      <t>コウモク</t>
    </rPh>
    <rPh sb="25" eb="27">
      <t>ツイカ</t>
    </rPh>
    <rPh sb="33" eb="35">
      <t>ネンド</t>
    </rPh>
    <rPh sb="35" eb="37">
      <t>ホシュ</t>
    </rPh>
    <rPh sb="38" eb="40">
      <t>コウバン</t>
    </rPh>
    <phoneticPr fontId="2"/>
  </si>
  <si>
    <t>2026年度保守_項番52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</si>
</sst>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0.00_ "/>
  </numFmts>
  <fonts count="2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20"/>
      <name val="ＭＳ 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6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b/>
      <sz val="10"/>
      <name val="ＭＳ ゴシック"/>
      <family val="3"/>
      <charset val="128"/>
    </font>
    <font>
      <b/>
      <sz val="10"/>
      <name val="ＭＳ 明朝"/>
      <family val="1"/>
      <charset val="128"/>
    </font>
    <font>
      <sz val="10"/>
      <color rgb="FF333333"/>
      <name val="ＭＳ ゴシック"/>
      <family val="3"/>
      <charset val="128"/>
    </font>
    <font>
      <sz val="9"/>
      <name val="ＭＳ Ｐゴシック"/>
      <family val="3"/>
      <charset val="128"/>
    </font>
    <font>
      <vertAlign val="superscript"/>
      <sz val="10"/>
      <name val="ＭＳ Ｐゴシック"/>
      <family val="3"/>
      <charset val="128"/>
    </font>
    <font>
      <strike/>
      <sz val="10"/>
      <name val="ＭＳ Ｐゴシック"/>
      <family val="3"/>
      <charset val="128"/>
    </font>
    <font>
      <sz val="10"/>
      <color theme="1"/>
      <name val="ＭＳ 明朝"/>
      <family val="1"/>
      <charset val="128"/>
    </font>
    <font>
      <sz val="10"/>
      <color theme="1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lightDown">
        <fgColor theme="0" tint="-0.24994659260841701"/>
        <bgColor theme="0"/>
      </patternFill>
    </fill>
    <fill>
      <patternFill patternType="solid">
        <fgColor theme="0" tint="-4.9989318521683403E-2"/>
        <bgColor theme="0" tint="-0.14996795556505021"/>
      </patternFill>
    </fill>
    <fill>
      <patternFill patternType="lightDown">
        <fgColor theme="1" tint="0.499984740745262"/>
        <bgColor indexed="65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0" xfId="0" applyFont="1" applyFill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6" fillId="0" borderId="0" xfId="0" applyFont="1"/>
    <xf numFmtId="0" fontId="4" fillId="0" borderId="0" xfId="0" applyFont="1"/>
    <xf numFmtId="49" fontId="1" fillId="0" borderId="0" xfId="0" applyNumberFormat="1" applyFont="1"/>
    <xf numFmtId="0" fontId="5" fillId="0" borderId="0" xfId="0" applyFont="1"/>
    <xf numFmtId="0" fontId="5" fillId="0" borderId="0" xfId="0" applyFont="1" applyAlignment="1">
      <alignment vertical="center"/>
    </xf>
    <xf numFmtId="0" fontId="9" fillId="0" borderId="0" xfId="0" applyFont="1"/>
    <xf numFmtId="0" fontId="4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12" fillId="0" borderId="0" xfId="0" applyFont="1"/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2" xfId="0" applyFont="1" applyBorder="1"/>
    <xf numFmtId="0" fontId="12" fillId="0" borderId="12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13" fillId="0" borderId="0" xfId="0" applyFont="1"/>
    <xf numFmtId="0" fontId="9" fillId="0" borderId="40" xfId="0" applyFont="1" applyBorder="1"/>
    <xf numFmtId="0" fontId="9" fillId="0" borderId="23" xfId="0" applyFont="1" applyBorder="1"/>
    <xf numFmtId="0" fontId="9" fillId="0" borderId="24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9" fillId="0" borderId="14" xfId="0" applyFont="1" applyBorder="1"/>
    <xf numFmtId="0" fontId="9" fillId="6" borderId="19" xfId="0" applyFont="1" applyFill="1" applyBorder="1"/>
    <xf numFmtId="0" fontId="9" fillId="6" borderId="16" xfId="0" applyFont="1" applyFill="1" applyBorder="1"/>
    <xf numFmtId="0" fontId="9" fillId="6" borderId="15" xfId="0" applyFont="1" applyFill="1" applyBorder="1"/>
    <xf numFmtId="0" fontId="9" fillId="6" borderId="39" xfId="0" applyFont="1" applyFill="1" applyBorder="1"/>
    <xf numFmtId="0" fontId="9" fillId="6" borderId="37" xfId="0" applyFont="1" applyFill="1" applyBorder="1"/>
    <xf numFmtId="0" fontId="9" fillId="6" borderId="38" xfId="0" applyFont="1" applyFill="1" applyBorder="1"/>
    <xf numFmtId="0" fontId="9" fillId="8" borderId="19" xfId="0" applyFont="1" applyFill="1" applyBorder="1"/>
    <xf numFmtId="0" fontId="9" fillId="8" borderId="16" xfId="0" applyFont="1" applyFill="1" applyBorder="1"/>
    <xf numFmtId="0" fontId="9" fillId="8" borderId="15" xfId="0" applyFont="1" applyFill="1" applyBorder="1"/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7" borderId="19" xfId="0" applyFont="1" applyFill="1" applyBorder="1"/>
    <xf numFmtId="0" fontId="9" fillId="7" borderId="15" xfId="0" applyFont="1" applyFill="1" applyBorder="1"/>
    <xf numFmtId="0" fontId="9" fillId="7" borderId="16" xfId="0" applyFont="1" applyFill="1" applyBorder="1"/>
    <xf numFmtId="0" fontId="9" fillId="11" borderId="19" xfId="0" applyFont="1" applyFill="1" applyBorder="1"/>
    <xf numFmtId="0" fontId="9" fillId="11" borderId="15" xfId="0" applyFont="1" applyFill="1" applyBorder="1"/>
    <xf numFmtId="0" fontId="9" fillId="11" borderId="16" xfId="0" applyFont="1" applyFill="1" applyBorder="1"/>
    <xf numFmtId="0" fontId="9" fillId="6" borderId="19" xfId="0" quotePrefix="1" applyFont="1" applyFill="1" applyBorder="1"/>
    <xf numFmtId="0" fontId="6" fillId="6" borderId="19" xfId="0" applyFont="1" applyFill="1" applyBorder="1" applyAlignment="1">
      <alignment vertical="center"/>
    </xf>
    <xf numFmtId="0" fontId="6" fillId="6" borderId="15" xfId="0" applyFont="1" applyFill="1" applyBorder="1" applyAlignment="1">
      <alignment vertical="center"/>
    </xf>
    <xf numFmtId="0" fontId="6" fillId="6" borderId="16" xfId="0" applyFont="1" applyFill="1" applyBorder="1" applyAlignment="1">
      <alignment vertical="center"/>
    </xf>
    <xf numFmtId="0" fontId="6" fillId="6" borderId="41" xfId="0" applyFont="1" applyFill="1" applyBorder="1" applyAlignment="1">
      <alignment vertical="center"/>
    </xf>
    <xf numFmtId="0" fontId="19" fillId="0" borderId="0" xfId="0" applyFont="1"/>
    <xf numFmtId="0" fontId="5" fillId="5" borderId="21" xfId="0" applyFont="1" applyFill="1" applyBorder="1" applyAlignment="1">
      <alignment vertical="center"/>
    </xf>
    <xf numFmtId="0" fontId="5" fillId="3" borderId="21" xfId="0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21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4" fontId="5" fillId="0" borderId="21" xfId="0" applyNumberFormat="1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vertical="center"/>
    </xf>
    <xf numFmtId="0" fontId="4" fillId="0" borderId="21" xfId="0" applyFont="1" applyBorder="1" applyAlignment="1">
      <alignment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177" fontId="4" fillId="0" borderId="21" xfId="0" applyNumberFormat="1" applyFont="1" applyBorder="1" applyAlignment="1">
      <alignment horizontal="center" vertical="center"/>
    </xf>
    <xf numFmtId="31" fontId="4" fillId="0" borderId="21" xfId="0" applyNumberFormat="1" applyFont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vertical="center"/>
    </xf>
    <xf numFmtId="0" fontId="4" fillId="6" borderId="21" xfId="0" applyFont="1" applyFill="1" applyBorder="1" applyAlignment="1">
      <alignment horizontal="left" vertical="center"/>
    </xf>
    <xf numFmtId="0" fontId="4" fillId="6" borderId="19" xfId="0" applyFont="1" applyFill="1" applyBorder="1" applyAlignment="1">
      <alignment vertical="center"/>
    </xf>
    <xf numFmtId="0" fontId="4" fillId="6" borderId="15" xfId="0" applyFont="1" applyFill="1" applyBorder="1" applyAlignment="1">
      <alignment vertical="center"/>
    </xf>
    <xf numFmtId="0" fontId="4" fillId="6" borderId="16" xfId="0" applyFont="1" applyFill="1" applyBorder="1" applyAlignment="1">
      <alignment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76" fontId="4" fillId="6" borderId="19" xfId="0" applyNumberFormat="1" applyFont="1" applyFill="1" applyBorder="1" applyAlignment="1">
      <alignment horizontal="center" vertical="center"/>
    </xf>
    <xf numFmtId="176" fontId="4" fillId="6" borderId="15" xfId="0" applyNumberFormat="1" applyFont="1" applyFill="1" applyBorder="1" applyAlignment="1">
      <alignment horizontal="center" vertical="center"/>
    </xf>
    <xf numFmtId="176" fontId="4" fillId="6" borderId="16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49" fontId="6" fillId="4" borderId="6" xfId="0" applyNumberFormat="1" applyFont="1" applyFill="1" applyBorder="1" applyAlignment="1">
      <alignment horizontal="center" vertical="center"/>
    </xf>
    <xf numFmtId="49" fontId="6" fillId="4" borderId="7" xfId="0" applyNumberFormat="1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177" fontId="4" fillId="6" borderId="19" xfId="0" applyNumberFormat="1" applyFont="1" applyFill="1" applyBorder="1" applyAlignment="1">
      <alignment horizontal="center" vertical="center"/>
    </xf>
    <xf numFmtId="177" fontId="4" fillId="6" borderId="15" xfId="0" applyNumberFormat="1" applyFont="1" applyFill="1" applyBorder="1" applyAlignment="1">
      <alignment horizontal="center" vertical="center"/>
    </xf>
    <xf numFmtId="177" fontId="4" fillId="6" borderId="16" xfId="0" applyNumberFormat="1" applyFont="1" applyFill="1" applyBorder="1" applyAlignment="1">
      <alignment horizontal="center" vertical="center"/>
    </xf>
    <xf numFmtId="0" fontId="18" fillId="0" borderId="21" xfId="0" applyFont="1" applyBorder="1" applyAlignment="1">
      <alignment vertical="center"/>
    </xf>
    <xf numFmtId="0" fontId="18" fillId="0" borderId="21" xfId="0" applyFont="1" applyBorder="1" applyAlignment="1">
      <alignment vertical="center" wrapText="1"/>
    </xf>
    <xf numFmtId="0" fontId="18" fillId="0" borderId="21" xfId="0" applyFont="1" applyBorder="1" applyAlignment="1">
      <alignment horizontal="left" vertical="center"/>
    </xf>
    <xf numFmtId="0" fontId="18" fillId="0" borderId="21" xfId="0" applyFont="1" applyBorder="1" applyAlignment="1">
      <alignment horizontal="center" vertical="center"/>
    </xf>
    <xf numFmtId="177" fontId="18" fillId="0" borderId="21" xfId="0" applyNumberFormat="1" applyFont="1" applyBorder="1" applyAlignment="1">
      <alignment horizontal="center" vertical="center"/>
    </xf>
    <xf numFmtId="31" fontId="18" fillId="0" borderId="21" xfId="0" applyNumberFormat="1" applyFont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33" xfId="1" applyFont="1" applyFill="1" applyBorder="1" applyAlignment="1">
      <alignment horizontal="center" vertical="center"/>
    </xf>
    <xf numFmtId="0" fontId="5" fillId="4" borderId="23" xfId="1" applyFont="1" applyFill="1" applyBorder="1" applyAlignment="1">
      <alignment horizontal="center" vertical="center"/>
    </xf>
    <xf numFmtId="0" fontId="5" fillId="4" borderId="3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0" fontId="5" fillId="4" borderId="18" xfId="1" applyFont="1" applyFill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4" borderId="17" xfId="1" applyFont="1" applyFill="1" applyBorder="1" applyAlignment="1">
      <alignment vertical="center"/>
    </xf>
    <xf numFmtId="0" fontId="5" fillId="4" borderId="15" xfId="1" applyFont="1" applyFill="1" applyBorder="1" applyAlignment="1">
      <alignment vertical="center"/>
    </xf>
    <xf numFmtId="0" fontId="5" fillId="4" borderId="16" xfId="1" applyFont="1" applyFill="1" applyBorder="1" applyAlignment="1">
      <alignment vertical="center"/>
    </xf>
    <xf numFmtId="0" fontId="5" fillId="0" borderId="19" xfId="1" applyFont="1" applyBorder="1" applyAlignment="1">
      <alignment vertical="center" wrapText="1"/>
    </xf>
    <xf numFmtId="0" fontId="5" fillId="0" borderId="15" xfId="1" applyFont="1" applyBorder="1" applyAlignment="1">
      <alignment vertical="center" wrapText="1"/>
    </xf>
    <xf numFmtId="0" fontId="5" fillId="0" borderId="16" xfId="1" applyFont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5" fillId="4" borderId="19" xfId="1" applyFont="1" applyFill="1" applyBorder="1" applyAlignment="1">
      <alignment horizontal="center" vertical="center"/>
    </xf>
    <xf numFmtId="0" fontId="5" fillId="4" borderId="15" xfId="1" applyFont="1" applyFill="1" applyBorder="1" applyAlignment="1">
      <alignment horizontal="center" vertical="center"/>
    </xf>
    <xf numFmtId="0" fontId="5" fillId="4" borderId="16" xfId="1" applyFont="1" applyFill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31" fontId="5" fillId="0" borderId="19" xfId="1" applyNumberFormat="1" applyFont="1" applyBorder="1" applyAlignment="1">
      <alignment horizontal="center" vertical="center"/>
    </xf>
    <xf numFmtId="31" fontId="5" fillId="0" borderId="15" xfId="1" applyNumberFormat="1" applyFont="1" applyBorder="1" applyAlignment="1">
      <alignment horizontal="center" vertical="center"/>
    </xf>
    <xf numFmtId="31" fontId="5" fillId="0" borderId="16" xfId="1" applyNumberFormat="1" applyFont="1" applyBorder="1" applyAlignment="1">
      <alignment horizontal="center" vertical="center"/>
    </xf>
    <xf numFmtId="0" fontId="5" fillId="4" borderId="28" xfId="1" applyFont="1" applyFill="1" applyBorder="1" applyAlignment="1">
      <alignment vertical="center"/>
    </xf>
    <xf numFmtId="0" fontId="5" fillId="4" borderId="26" xfId="1" applyFont="1" applyFill="1" applyBorder="1" applyAlignment="1">
      <alignment vertical="center"/>
    </xf>
    <xf numFmtId="0" fontId="5" fillId="4" borderId="27" xfId="1" applyFont="1" applyFill="1" applyBorder="1" applyAlignment="1">
      <alignment vertical="center"/>
    </xf>
    <xf numFmtId="0" fontId="5" fillId="0" borderId="25" xfId="1" applyFont="1" applyBorder="1" applyAlignment="1">
      <alignment vertical="center"/>
    </xf>
    <xf numFmtId="0" fontId="5" fillId="0" borderId="26" xfId="1" applyFont="1" applyBorder="1" applyAlignment="1">
      <alignment vertical="center"/>
    </xf>
    <xf numFmtId="0" fontId="5" fillId="0" borderId="27" xfId="1" applyFont="1" applyBorder="1" applyAlignment="1">
      <alignment vertical="center"/>
    </xf>
    <xf numFmtId="0" fontId="5" fillId="4" borderId="25" xfId="1" applyFont="1" applyFill="1" applyBorder="1" applyAlignment="1">
      <alignment horizontal="center" vertical="center"/>
    </xf>
    <xf numFmtId="0" fontId="5" fillId="4" borderId="26" xfId="1" applyFont="1" applyFill="1" applyBorder="1" applyAlignment="1">
      <alignment horizontal="center" vertical="center"/>
    </xf>
    <xf numFmtId="0" fontId="5" fillId="4" borderId="27" xfId="1" applyFont="1" applyFill="1" applyBorder="1" applyAlignment="1">
      <alignment horizontal="center" vertical="center"/>
    </xf>
    <xf numFmtId="0" fontId="5" fillId="0" borderId="25" xfId="1" applyFont="1" applyBorder="1" applyAlignment="1">
      <alignment horizontal="left" vertical="center"/>
    </xf>
    <xf numFmtId="0" fontId="5" fillId="0" borderId="26" xfId="1" applyFont="1" applyBorder="1" applyAlignment="1">
      <alignment horizontal="left" vertical="center"/>
    </xf>
    <xf numFmtId="0" fontId="5" fillId="0" borderId="27" xfId="1" applyFont="1" applyBorder="1" applyAlignment="1">
      <alignment horizontal="left" vertical="center"/>
    </xf>
    <xf numFmtId="0" fontId="5" fillId="0" borderId="25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4" borderId="29" xfId="1" applyFont="1" applyFill="1" applyBorder="1" applyAlignment="1">
      <alignment vertical="center"/>
    </xf>
    <xf numFmtId="0" fontId="5" fillId="4" borderId="30" xfId="1" applyFont="1" applyFill="1" applyBorder="1" applyAlignment="1">
      <alignment vertical="center"/>
    </xf>
    <xf numFmtId="0" fontId="5" fillId="4" borderId="31" xfId="1" applyFont="1" applyFill="1" applyBorder="1" applyAlignment="1">
      <alignment vertical="center"/>
    </xf>
    <xf numFmtId="0" fontId="5" fillId="0" borderId="32" xfId="1" applyFont="1" applyBorder="1" applyAlignment="1">
      <alignment vertical="center" wrapText="1"/>
    </xf>
    <xf numFmtId="0" fontId="5" fillId="0" borderId="30" xfId="1" applyFont="1" applyBorder="1" applyAlignment="1">
      <alignment vertical="center" wrapText="1"/>
    </xf>
    <xf numFmtId="0" fontId="5" fillId="0" borderId="31" xfId="1" applyFont="1" applyBorder="1" applyAlignment="1">
      <alignment vertical="center" wrapText="1"/>
    </xf>
    <xf numFmtId="0" fontId="5" fillId="0" borderId="13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18" xfId="1" applyFont="1" applyBorder="1" applyAlignment="1">
      <alignment horizontal="left" vertical="center"/>
    </xf>
    <xf numFmtId="0" fontId="5" fillId="4" borderId="32" xfId="1" applyFont="1" applyFill="1" applyBorder="1" applyAlignment="1">
      <alignment horizontal="center" vertical="center"/>
    </xf>
    <xf numFmtId="0" fontId="5" fillId="4" borderId="30" xfId="1" applyFont="1" applyFill="1" applyBorder="1" applyAlignment="1">
      <alignment horizontal="center" vertical="center"/>
    </xf>
    <xf numFmtId="0" fontId="5" fillId="4" borderId="31" xfId="1" applyFont="1" applyFill="1" applyBorder="1" applyAlignment="1">
      <alignment horizontal="center" vertical="center"/>
    </xf>
    <xf numFmtId="0" fontId="5" fillId="0" borderId="32" xfId="1" applyFont="1" applyBorder="1" applyAlignment="1">
      <alignment horizontal="left" vertical="center"/>
    </xf>
    <xf numFmtId="0" fontId="5" fillId="0" borderId="30" xfId="1" applyFont="1" applyBorder="1" applyAlignment="1">
      <alignment horizontal="left" vertical="center"/>
    </xf>
    <xf numFmtId="0" fontId="5" fillId="0" borderId="31" xfId="1" applyFont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top"/>
    </xf>
    <xf numFmtId="0" fontId="9" fillId="6" borderId="2" xfId="0" applyFont="1" applyFill="1" applyBorder="1" applyAlignment="1">
      <alignment horizontal="left" vertical="top"/>
    </xf>
    <xf numFmtId="0" fontId="9" fillId="6" borderId="3" xfId="0" applyFont="1" applyFill="1" applyBorder="1" applyAlignment="1">
      <alignment horizontal="left" vertical="top"/>
    </xf>
    <xf numFmtId="0" fontId="9" fillId="6" borderId="5" xfId="0" applyFont="1" applyFill="1" applyBorder="1" applyAlignment="1">
      <alignment horizontal="left" vertical="top"/>
    </xf>
    <xf numFmtId="0" fontId="9" fillId="6" borderId="0" xfId="0" applyFont="1" applyFill="1" applyAlignment="1">
      <alignment horizontal="left" vertical="top"/>
    </xf>
    <xf numFmtId="0" fontId="9" fillId="6" borderId="4" xfId="0" applyFont="1" applyFill="1" applyBorder="1" applyAlignment="1">
      <alignment horizontal="left" vertical="top"/>
    </xf>
    <xf numFmtId="0" fontId="9" fillId="6" borderId="6" xfId="0" applyFont="1" applyFill="1" applyBorder="1" applyAlignment="1">
      <alignment horizontal="left" vertical="top"/>
    </xf>
    <xf numFmtId="0" fontId="9" fillId="6" borderId="7" xfId="0" applyFont="1" applyFill="1" applyBorder="1" applyAlignment="1">
      <alignment horizontal="left" vertical="top"/>
    </xf>
    <xf numFmtId="0" fontId="9" fillId="6" borderId="8" xfId="0" applyFont="1" applyFill="1" applyBorder="1" applyAlignment="1">
      <alignment horizontal="left" vertical="top"/>
    </xf>
    <xf numFmtId="31" fontId="5" fillId="0" borderId="25" xfId="1" applyNumberFormat="1" applyFont="1" applyBorder="1" applyAlignment="1">
      <alignment horizontal="center" vertical="center"/>
    </xf>
    <xf numFmtId="31" fontId="5" fillId="0" borderId="26" xfId="1" applyNumberFormat="1" applyFont="1" applyBorder="1" applyAlignment="1">
      <alignment horizontal="center" vertical="center"/>
    </xf>
    <xf numFmtId="31" fontId="5" fillId="0" borderId="27" xfId="1" applyNumberFormat="1" applyFont="1" applyBorder="1" applyAlignment="1">
      <alignment horizontal="center" vertical="center"/>
    </xf>
    <xf numFmtId="0" fontId="4" fillId="9" borderId="19" xfId="0" applyFont="1" applyFill="1" applyBorder="1" applyAlignment="1">
      <alignment vertical="center"/>
    </xf>
    <xf numFmtId="0" fontId="4" fillId="9" borderId="15" xfId="0" applyFont="1" applyFill="1" applyBorder="1" applyAlignment="1">
      <alignment vertical="center"/>
    </xf>
    <xf numFmtId="0" fontId="4" fillId="9" borderId="16" xfId="0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4" borderId="36" xfId="0" applyFont="1" applyFill="1" applyBorder="1" applyAlignment="1">
      <alignment vertical="center"/>
    </xf>
    <xf numFmtId="0" fontId="5" fillId="4" borderId="35" xfId="0" applyFont="1" applyFill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35" xfId="0" applyFont="1" applyBorder="1" applyAlignment="1">
      <alignment horizontal="center" vertical="center"/>
    </xf>
    <xf numFmtId="0" fontId="5" fillId="4" borderId="33" xfId="0" applyFont="1" applyFill="1" applyBorder="1" applyAlignment="1">
      <alignment horizontal="left" vertical="center"/>
    </xf>
    <xf numFmtId="0" fontId="5" fillId="4" borderId="23" xfId="0" applyFont="1" applyFill="1" applyBorder="1" applyAlignment="1">
      <alignment horizontal="left" vertical="center"/>
    </xf>
    <xf numFmtId="0" fontId="9" fillId="6" borderId="15" xfId="0" applyFont="1" applyFill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6" borderId="19" xfId="0" applyFont="1" applyFill="1" applyBorder="1" applyAlignment="1">
      <alignment horizontal="center"/>
    </xf>
    <xf numFmtId="0" fontId="9" fillId="7" borderId="15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/>
    </xf>
    <xf numFmtId="0" fontId="9" fillId="10" borderId="19" xfId="0" applyFont="1" applyFill="1" applyBorder="1" applyAlignment="1">
      <alignment horizontal="center" vertical="center"/>
    </xf>
    <xf numFmtId="0" fontId="9" fillId="10" borderId="15" xfId="0" applyFont="1" applyFill="1" applyBorder="1" applyAlignment="1">
      <alignment horizontal="center" vertical="center"/>
    </xf>
    <xf numFmtId="0" fontId="9" fillId="10" borderId="16" xfId="0" applyFont="1" applyFill="1" applyBorder="1" applyAlignment="1">
      <alignment horizontal="center" vertical="center"/>
    </xf>
    <xf numFmtId="0" fontId="9" fillId="10" borderId="21" xfId="0" applyFont="1" applyFill="1" applyBorder="1" applyAlignment="1">
      <alignment horizontal="center" vertical="center"/>
    </xf>
    <xf numFmtId="0" fontId="9" fillId="0" borderId="21" xfId="0" applyFont="1" applyBorder="1" applyAlignment="1">
      <alignment vertical="center"/>
    </xf>
    <xf numFmtId="0" fontId="9" fillId="6" borderId="21" xfId="0" applyFont="1" applyFill="1" applyBorder="1" applyAlignment="1">
      <alignment vertical="center"/>
    </xf>
    <xf numFmtId="0" fontId="9" fillId="6" borderId="21" xfId="0" applyFont="1" applyFill="1" applyBorder="1" applyAlignment="1">
      <alignment vertical="center" wrapText="1"/>
    </xf>
    <xf numFmtId="0" fontId="9" fillId="6" borderId="21" xfId="0" applyFont="1" applyFill="1" applyBorder="1" applyAlignment="1">
      <alignment horizontal="center"/>
    </xf>
    <xf numFmtId="0" fontId="9" fillId="11" borderId="15" xfId="0" applyFont="1" applyFill="1" applyBorder="1" applyAlignment="1">
      <alignment horizontal="center"/>
    </xf>
    <xf numFmtId="0" fontId="9" fillId="11" borderId="21" xfId="0" applyFont="1" applyFill="1" applyBorder="1" applyAlignment="1">
      <alignment horizontal="center"/>
    </xf>
    <xf numFmtId="0" fontId="15" fillId="8" borderId="21" xfId="0" applyFont="1" applyFill="1" applyBorder="1" applyAlignment="1">
      <alignment horizontal="center" vertical="center" wrapText="1"/>
    </xf>
    <xf numFmtId="0" fontId="15" fillId="8" borderId="21" xfId="0" applyFont="1" applyFill="1" applyBorder="1" applyAlignment="1">
      <alignment horizontal="center" vertical="center"/>
    </xf>
    <xf numFmtId="0" fontId="15" fillId="8" borderId="16" xfId="0" applyFont="1" applyFill="1" applyBorder="1" applyAlignment="1">
      <alignment horizontal="center" vertical="center" wrapText="1"/>
    </xf>
    <xf numFmtId="0" fontId="15" fillId="8" borderId="16" xfId="0" applyFont="1" applyFill="1" applyBorder="1" applyAlignment="1">
      <alignment horizontal="center" vertical="center"/>
    </xf>
    <xf numFmtId="0" fontId="9" fillId="13" borderId="21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/>
    </xf>
    <xf numFmtId="0" fontId="9" fillId="12" borderId="21" xfId="0" applyFont="1" applyFill="1" applyBorder="1" applyAlignment="1">
      <alignment horizontal="left" vertical="center"/>
    </xf>
    <xf numFmtId="0" fontId="9" fillId="12" borderId="21" xfId="0" applyFont="1" applyFill="1" applyBorder="1" applyAlignment="1">
      <alignment vertical="center"/>
    </xf>
    <xf numFmtId="0" fontId="9" fillId="13" borderId="21" xfId="0" applyFont="1" applyFill="1" applyBorder="1" applyAlignment="1">
      <alignment horizontal="left" vertical="center"/>
    </xf>
    <xf numFmtId="0" fontId="9" fillId="13" borderId="21" xfId="0" applyFont="1" applyFill="1" applyBorder="1" applyAlignment="1">
      <alignment vertical="center"/>
    </xf>
    <xf numFmtId="0" fontId="9" fillId="6" borderId="19" xfId="0" applyFont="1" applyFill="1" applyBorder="1" applyAlignment="1">
      <alignment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0" fontId="9" fillId="6" borderId="2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9" fillId="6" borderId="5" xfId="0" applyFont="1" applyFill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9" fillId="6" borderId="6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left" vertical="center" wrapText="1"/>
    </xf>
    <xf numFmtId="0" fontId="9" fillId="6" borderId="8" xfId="0" applyFont="1" applyFill="1" applyBorder="1" applyAlignment="1">
      <alignment horizontal="left" vertical="center" wrapText="1"/>
    </xf>
    <xf numFmtId="0" fontId="19" fillId="0" borderId="21" xfId="0" applyFont="1" applyBorder="1" applyAlignment="1">
      <alignment vertical="center"/>
    </xf>
    <xf numFmtId="0" fontId="9" fillId="6" borderId="1" xfId="0" applyFont="1" applyFill="1" applyBorder="1" applyAlignment="1">
      <alignment vertical="center" wrapText="1"/>
    </xf>
    <xf numFmtId="0" fontId="9" fillId="6" borderId="2" xfId="0" applyFont="1" applyFill="1" applyBorder="1" applyAlignment="1">
      <alignment vertical="center" wrapText="1"/>
    </xf>
    <xf numFmtId="0" fontId="9" fillId="6" borderId="3" xfId="0" applyFont="1" applyFill="1" applyBorder="1" applyAlignment="1">
      <alignment vertical="center" wrapText="1"/>
    </xf>
    <xf numFmtId="0" fontId="9" fillId="6" borderId="5" xfId="0" applyFont="1" applyFill="1" applyBorder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9" fillId="6" borderId="6" xfId="0" applyFont="1" applyFill="1" applyBorder="1" applyAlignment="1">
      <alignment vertical="center" wrapText="1"/>
    </xf>
    <xf numFmtId="0" fontId="9" fillId="6" borderId="7" xfId="0" applyFont="1" applyFill="1" applyBorder="1" applyAlignment="1">
      <alignment vertical="center" wrapText="1"/>
    </xf>
    <xf numFmtId="0" fontId="9" fillId="6" borderId="8" xfId="0" applyFont="1" applyFill="1" applyBorder="1" applyAlignment="1">
      <alignment vertical="center" wrapText="1"/>
    </xf>
    <xf numFmtId="0" fontId="9" fillId="13" borderId="19" xfId="0" applyFont="1" applyFill="1" applyBorder="1" applyAlignment="1">
      <alignment vertical="center"/>
    </xf>
    <xf numFmtId="0" fontId="9" fillId="13" borderId="15" xfId="0" applyFont="1" applyFill="1" applyBorder="1" applyAlignment="1">
      <alignment vertical="center"/>
    </xf>
    <xf numFmtId="0" fontId="9" fillId="13" borderId="16" xfId="0" applyFont="1" applyFill="1" applyBorder="1" applyAlignment="1">
      <alignment vertical="center"/>
    </xf>
    <xf numFmtId="0" fontId="20" fillId="14" borderId="21" xfId="0" applyFont="1" applyFill="1" applyBorder="1" applyAlignment="1">
      <alignment horizontal="center" vertical="center"/>
    </xf>
    <xf numFmtId="0" fontId="20" fillId="14" borderId="21" xfId="0" applyFont="1" applyFill="1" applyBorder="1" applyAlignment="1">
      <alignment vertical="center" shrinkToFit="1"/>
    </xf>
    <xf numFmtId="0" fontId="9" fillId="0" borderId="40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9" fillId="14" borderId="0" xfId="0" applyFont="1" applyFill="1" applyAlignment="1">
      <alignment vertical="center"/>
    </xf>
    <xf numFmtId="0" fontId="20" fillId="0" borderId="0" xfId="0" applyFont="1"/>
  </cellXfs>
  <cellStyles count="2">
    <cellStyle name="標準" xfId="0" builtinId="0"/>
    <cellStyle name="標準_概念_要件定義書（原紙本文EAI-HUB用）_プライオリティ規約（修正版20020430_MQプライオリティ追加)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21</xdr:col>
      <xdr:colOff>0</xdr:colOff>
      <xdr:row>7</xdr:row>
      <xdr:rowOff>0</xdr:rowOff>
    </xdr:to>
    <xdr:sp macro="" textlink="">
      <xdr:nvSpPr>
        <xdr:cNvPr id="373761" name="Text Box 1">
          <a:extLst>
            <a:ext uri="{FF2B5EF4-FFF2-40B4-BE49-F238E27FC236}">
              <a16:creationId xmlns:a16="http://schemas.microsoft.com/office/drawing/2014/main" id="{00000000-0008-0000-0000-000001B40500}"/>
            </a:ext>
          </a:extLst>
        </xdr:cNvPr>
        <xdr:cNvSpPr txBox="1">
          <a:spLocks noChangeArrowheads="1"/>
        </xdr:cNvSpPr>
      </xdr:nvSpPr>
      <xdr:spPr bwMode="auto">
        <a:xfrm>
          <a:off x="2743200" y="171450"/>
          <a:ext cx="4457700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同志社大学様</a:t>
          </a:r>
        </a:p>
      </xdr:txBody>
    </xdr:sp>
    <xdr:clientData/>
  </xdr:twoCellAnchor>
  <xdr:twoCellAnchor>
    <xdr:from>
      <xdr:col>8</xdr:col>
      <xdr:colOff>133350</xdr:colOff>
      <xdr:row>5</xdr:row>
      <xdr:rowOff>66675</xdr:rowOff>
    </xdr:from>
    <xdr:to>
      <xdr:col>19</xdr:col>
      <xdr:colOff>285750</xdr:colOff>
      <xdr:row>5</xdr:row>
      <xdr:rowOff>66675</xdr:rowOff>
    </xdr:to>
    <xdr:sp macro="" textlink="">
      <xdr:nvSpPr>
        <xdr:cNvPr id="373762" name="Line 2">
          <a:extLst>
            <a:ext uri="{FF2B5EF4-FFF2-40B4-BE49-F238E27FC236}">
              <a16:creationId xmlns:a16="http://schemas.microsoft.com/office/drawing/2014/main" id="{00000000-0008-0000-0000-000002B40500}"/>
            </a:ext>
          </a:extLst>
        </xdr:cNvPr>
        <xdr:cNvSpPr>
          <a:spLocks noChangeShapeType="1"/>
        </xdr:cNvSpPr>
      </xdr:nvSpPr>
      <xdr:spPr bwMode="auto">
        <a:xfrm flipV="1">
          <a:off x="2876550" y="923925"/>
          <a:ext cx="39243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33</xdr:row>
      <xdr:rowOff>0</xdr:rowOff>
    </xdr:from>
    <xdr:to>
      <xdr:col>18</xdr:col>
      <xdr:colOff>0</xdr:colOff>
      <xdr:row>35</xdr:row>
      <xdr:rowOff>0</xdr:rowOff>
    </xdr:to>
    <xdr:grpSp>
      <xdr:nvGrpSpPr>
        <xdr:cNvPr id="373763" name="Group 3">
          <a:extLst>
            <a:ext uri="{FF2B5EF4-FFF2-40B4-BE49-F238E27FC236}">
              <a16:creationId xmlns:a16="http://schemas.microsoft.com/office/drawing/2014/main" id="{00000000-0008-0000-0000-000003B40500}"/>
            </a:ext>
          </a:extLst>
        </xdr:cNvPr>
        <xdr:cNvGrpSpPr>
          <a:grpSpLocks/>
        </xdr:cNvGrpSpPr>
      </xdr:nvGrpSpPr>
      <xdr:grpSpPr bwMode="auto">
        <a:xfrm>
          <a:off x="3328147" y="5546912"/>
          <a:ext cx="2117912" cy="336176"/>
          <a:chOff x="396" y="576"/>
          <a:chExt cx="252" cy="36"/>
        </a:xfrm>
      </xdr:grpSpPr>
      <xdr:sp macro="" textlink="">
        <xdr:nvSpPr>
          <xdr:cNvPr id="373765" name="Rectangle 5">
            <a:extLst>
              <a:ext uri="{FF2B5EF4-FFF2-40B4-BE49-F238E27FC236}">
                <a16:creationId xmlns:a16="http://schemas.microsoft.com/office/drawing/2014/main" id="{00000000-0008-0000-0000-000005B40500}"/>
              </a:ext>
            </a:extLst>
          </xdr:cNvPr>
          <xdr:cNvSpPr>
            <a:spLocks noChangeArrowheads="1"/>
          </xdr:cNvSpPr>
        </xdr:nvSpPr>
        <xdr:spPr bwMode="auto">
          <a:xfrm>
            <a:off x="396" y="576"/>
            <a:ext cx="252" cy="3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</xdr:grpSp>
    <xdr:clientData/>
  </xdr:twoCellAnchor>
  <xdr:twoCellAnchor editAs="oneCell">
    <xdr:from>
      <xdr:col>10</xdr:col>
      <xdr:colOff>235323</xdr:colOff>
      <xdr:row>30</xdr:row>
      <xdr:rowOff>67235</xdr:rowOff>
    </xdr:from>
    <xdr:to>
      <xdr:col>18</xdr:col>
      <xdr:colOff>159612</xdr:colOff>
      <xdr:row>34</xdr:row>
      <xdr:rowOff>109256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5DC2BB7-1E06-407B-A129-69E3392F9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9147" y="5109882"/>
          <a:ext cx="2703347" cy="714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17</xdr:row>
      <xdr:rowOff>134469</xdr:rowOff>
    </xdr:from>
    <xdr:to>
      <xdr:col>13</xdr:col>
      <xdr:colOff>112059</xdr:colOff>
      <xdr:row>24</xdr:row>
      <xdr:rowOff>44822</xdr:rowOff>
    </xdr:to>
    <xdr:sp macro="" textlink="">
      <xdr:nvSpPr>
        <xdr:cNvPr id="4" name="フローチャート: 磁気ディスク 3">
          <a:extLst>
            <a:ext uri="{FF2B5EF4-FFF2-40B4-BE49-F238E27FC236}">
              <a16:creationId xmlns:a16="http://schemas.microsoft.com/office/drawing/2014/main" id="{30D63B12-BFE0-7475-4BBA-6D419458AEDA}"/>
            </a:ext>
          </a:extLst>
        </xdr:cNvPr>
        <xdr:cNvSpPr/>
      </xdr:nvSpPr>
      <xdr:spPr bwMode="auto">
        <a:xfrm>
          <a:off x="437030" y="3372969"/>
          <a:ext cx="1568823" cy="1243853"/>
        </a:xfrm>
        <a:prstGeom prst="flowChartMagneticDisk">
          <a:avLst/>
        </a:prstGeom>
        <a:solidFill>
          <a:srgbClr val="7030A0"/>
        </a:solidFill>
        <a:ln w="38100">
          <a:solidFill>
            <a:schemeClr val="bg1"/>
          </a:solidFill>
          <a:headEnd type="none" w="med" len="med"/>
          <a:tailEnd type="none" w="med" len="med"/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統合</a:t>
          </a:r>
          <a:r>
            <a:rPr kumimoji="1" lang="en-US" altLang="ja-JP" sz="1100"/>
            <a:t>DB</a:t>
          </a:r>
        </a:p>
        <a:p>
          <a:pPr algn="ctr"/>
          <a:r>
            <a:rPr kumimoji="1" lang="ja-JP" altLang="en-US" sz="1100"/>
            <a:t>（</a:t>
          </a:r>
          <a:r>
            <a:rPr kumimoji="1" lang="en-US" altLang="ja-JP" sz="1100"/>
            <a:t>SQL Server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14</xdr:col>
      <xdr:colOff>100853</xdr:colOff>
      <xdr:row>20</xdr:row>
      <xdr:rowOff>112057</xdr:rowOff>
    </xdr:from>
    <xdr:to>
      <xdr:col>19</xdr:col>
      <xdr:colOff>0</xdr:colOff>
      <xdr:row>22</xdr:row>
      <xdr:rowOff>24651</xdr:rowOff>
    </xdr:to>
    <xdr:sp macro="" textlink="">
      <xdr:nvSpPr>
        <xdr:cNvPr id="19" name="右矢印 2">
          <a:extLst>
            <a:ext uri="{FF2B5EF4-FFF2-40B4-BE49-F238E27FC236}">
              <a16:creationId xmlns:a16="http://schemas.microsoft.com/office/drawing/2014/main" id="{3250A3D9-0FCE-47C8-B205-FDCCCB6B9179}"/>
            </a:ext>
          </a:extLst>
        </xdr:cNvPr>
        <xdr:cNvSpPr/>
      </xdr:nvSpPr>
      <xdr:spPr bwMode="auto">
        <a:xfrm>
          <a:off x="2140324" y="3922057"/>
          <a:ext cx="627529" cy="293594"/>
        </a:xfrm>
        <a:prstGeom prst="rightArrow">
          <a:avLst>
            <a:gd name="adj1" fmla="val 50000"/>
            <a:gd name="adj2" fmla="val 85687"/>
          </a:avLst>
        </a:prstGeom>
        <a:pattFill prst="dkDnDiag">
          <a:fgClr>
            <a:schemeClr val="tx1">
              <a:lumMod val="75000"/>
              <a:lumOff val="25000"/>
            </a:schemeClr>
          </a:fgClr>
          <a:bgClr>
            <a:schemeClr val="bg1"/>
          </a:bgClr>
        </a:pattFill>
        <a:ln>
          <a:noFill/>
          <a:headEnd type="none" w="med" len="med"/>
          <a:tailEnd type="none" w="med" len="med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134470</xdr:colOff>
      <xdr:row>17</xdr:row>
      <xdr:rowOff>168089</xdr:rowOff>
    </xdr:from>
    <xdr:to>
      <xdr:col>30</xdr:col>
      <xdr:colOff>100852</xdr:colOff>
      <xdr:row>24</xdr:row>
      <xdr:rowOff>78442</xdr:rowOff>
    </xdr:to>
    <xdr:sp macro="" textlink="">
      <xdr:nvSpPr>
        <xdr:cNvPr id="28" name="フローチャート: 磁気ディスク 27">
          <a:extLst>
            <a:ext uri="{FF2B5EF4-FFF2-40B4-BE49-F238E27FC236}">
              <a16:creationId xmlns:a16="http://schemas.microsoft.com/office/drawing/2014/main" id="{DDB38062-9864-47B7-A302-8A983E62C4A5}"/>
            </a:ext>
          </a:extLst>
        </xdr:cNvPr>
        <xdr:cNvSpPr/>
      </xdr:nvSpPr>
      <xdr:spPr bwMode="auto">
        <a:xfrm>
          <a:off x="2902323" y="3406589"/>
          <a:ext cx="1568823" cy="1243853"/>
        </a:xfrm>
        <a:prstGeom prst="flowChartMagneticDisk">
          <a:avLst/>
        </a:prstGeom>
        <a:solidFill>
          <a:schemeClr val="accent1">
            <a:lumMod val="50000"/>
          </a:schemeClr>
        </a:solidFill>
        <a:ln w="38100">
          <a:solidFill>
            <a:schemeClr val="bg1"/>
          </a:solidFill>
          <a:headEnd type="none" w="med" len="med"/>
          <a:tailEnd type="none" w="med" len="med"/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wrap="square" lIns="18288" tIns="0" rIns="0" bIns="0" rtlCol="0" anchor="b" upright="1"/>
        <a:lstStyle/>
        <a:p>
          <a:pPr algn="ctr"/>
          <a:r>
            <a:rPr kumimoji="1" lang="ja-JP" altLang="en-US" sz="1100"/>
            <a:t>学生勤務管理</a:t>
          </a:r>
          <a:endParaRPr kumimoji="1" lang="en-US" altLang="ja-JP" sz="1100"/>
        </a:p>
        <a:p>
          <a:pPr algn="ctr"/>
          <a:r>
            <a:rPr kumimoji="1" lang="ja-JP" altLang="en-US" sz="1100"/>
            <a:t>システム</a:t>
          </a:r>
          <a:endParaRPr kumimoji="1" lang="en-US" altLang="ja-JP" sz="1100"/>
        </a:p>
        <a:p>
          <a:pPr algn="ctr"/>
          <a:r>
            <a:rPr kumimoji="1" lang="ja-JP" altLang="en-US" sz="1100"/>
            <a:t>（</a:t>
          </a:r>
          <a:r>
            <a:rPr kumimoji="1" lang="en-US" altLang="ja-JP" sz="1100"/>
            <a:t>PostgreSQL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15</xdr:col>
      <xdr:colOff>100852</xdr:colOff>
      <xdr:row>142</xdr:row>
      <xdr:rowOff>168089</xdr:rowOff>
    </xdr:from>
    <xdr:to>
      <xdr:col>17</xdr:col>
      <xdr:colOff>33617</xdr:colOff>
      <xdr:row>151</xdr:row>
      <xdr:rowOff>145677</xdr:rowOff>
    </xdr:to>
    <xdr:sp macro="" textlink="">
      <xdr:nvSpPr>
        <xdr:cNvPr id="34" name="矢印: 右 33">
          <a:extLst>
            <a:ext uri="{FF2B5EF4-FFF2-40B4-BE49-F238E27FC236}">
              <a16:creationId xmlns:a16="http://schemas.microsoft.com/office/drawing/2014/main" id="{B521350A-6772-48FB-8B47-0BE0E76DAD89}"/>
            </a:ext>
          </a:extLst>
        </xdr:cNvPr>
        <xdr:cNvSpPr/>
      </xdr:nvSpPr>
      <xdr:spPr bwMode="auto">
        <a:xfrm flipH="1">
          <a:off x="2243977" y="19980089"/>
          <a:ext cx="218515" cy="1311088"/>
        </a:xfrm>
        <a:prstGeom prst="rightArrow">
          <a:avLst/>
        </a:pr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a:spPr>
      <a:bodyPr vertOverflow="clip" wrap="square" lIns="18288" tIns="0" rIns="0" bIns="0" rtlCol="0" anchor="ctr" upright="1"/>
      <a:lstStyle>
        <a:defPPr algn="ctr">
          <a:defRPr kumimoji="1" sz="1100"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wrap="square" rtlCol="0" anchor="t"/>
      <a:lstStyle>
        <a:defPPr>
          <a:defRPr kumimoji="1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B10:AB51"/>
  <sheetViews>
    <sheetView zoomScale="85" zoomScaleNormal="85" workbookViewId="0">
      <selection activeCell="AD25" sqref="AD25"/>
    </sheetView>
  </sheetViews>
  <sheetFormatPr defaultRowHeight="13.2" x14ac:dyDescent="0.2"/>
  <cols>
    <col min="1" max="32" width="4.44140625" customWidth="1"/>
  </cols>
  <sheetData>
    <row r="10" spans="7:24" x14ac:dyDescent="0.2"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5"/>
    </row>
    <row r="11" spans="7:24" ht="13.5" customHeight="1" x14ac:dyDescent="0.2">
      <c r="G11" s="68" t="str">
        <f>I40</f>
        <v>　学生勤務管理システム</v>
      </c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"/>
    </row>
    <row r="12" spans="7:24" ht="13.5" customHeight="1" x14ac:dyDescent="0.2">
      <c r="G12" s="68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"/>
    </row>
    <row r="13" spans="7:24" x14ac:dyDescent="0.2"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6"/>
    </row>
    <row r="14" spans="7:24" ht="13.5" customHeight="1" x14ac:dyDescent="0.2">
      <c r="G14" s="68" t="str">
        <f>I44</f>
        <v>　CZ-800_統合DB連携</v>
      </c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"/>
    </row>
    <row r="15" spans="7:24" ht="13.5" customHeight="1" x14ac:dyDescent="0.2">
      <c r="G15" s="68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"/>
    </row>
    <row r="16" spans="7:24" x14ac:dyDescent="0.2"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6"/>
    </row>
    <row r="17" spans="7:24" ht="13.5" customHeight="1" x14ac:dyDescent="0.2">
      <c r="G17" s="68" t="str">
        <f>I42</f>
        <v xml:space="preserve">　 </v>
      </c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"/>
    </row>
    <row r="18" spans="7:24" ht="13.5" customHeight="1" x14ac:dyDescent="0.2">
      <c r="G18" s="68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"/>
    </row>
    <row r="19" spans="7:24" x14ac:dyDescent="0.2">
      <c r="G19" s="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6"/>
    </row>
    <row r="20" spans="7:24" ht="13.5" customHeight="1" x14ac:dyDescent="0.2">
      <c r="G20" s="68" t="str">
        <f>I51</f>
        <v>【 Ver 1.06 】</v>
      </c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"/>
    </row>
    <row r="21" spans="7:24" ht="13.5" customHeight="1" x14ac:dyDescent="0.2">
      <c r="G21" s="68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"/>
    </row>
    <row r="22" spans="7:24" x14ac:dyDescent="0.2"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/>
    </row>
    <row r="27" spans="7:24" s="1" customFormat="1" x14ac:dyDescent="0.2">
      <c r="J27" s="64" t="str">
        <f>TEXT(I47,"yyyy年")&amp;IF(LEFT(TEXT(I47,"mm"),1)="0"," ","")&amp;TEXT(I47,"m月")&amp;IF(LEFT(TEXT(I47,"dd"),1)="0"," ","")&amp;TEXT(I47,"d日")&amp;"作成"</f>
        <v>2023年10月 6日作成</v>
      </c>
      <c r="K27" s="65"/>
      <c r="L27" s="65"/>
      <c r="M27" s="65"/>
      <c r="N27" s="65"/>
      <c r="O27" s="65"/>
      <c r="P27" s="65"/>
      <c r="Q27" s="65"/>
      <c r="R27" s="65"/>
      <c r="S27" s="65"/>
      <c r="T27" s="65"/>
    </row>
    <row r="28" spans="7:24" s="1" customFormat="1" x14ac:dyDescent="0.2"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</row>
    <row r="29" spans="7:24" s="1" customFormat="1" x14ac:dyDescent="0.2">
      <c r="J29" s="64" t="str">
        <f>IF(I49="　※ページ毎に個別入力","    年  月  日改訂",TEXT(I49,"yyyy年")&amp;IF(LEFT(TEXT(I49,"mm"),1)="0"," ","")&amp;TEXT(I49,"m月")&amp;IF(LEFT(TEXT(I49,"dd"),1)="0"," ","")&amp;TEXT(I49,"d日")&amp;"改訂")</f>
        <v>2026年 3月 5日改訂</v>
      </c>
      <c r="K29" s="65"/>
      <c r="L29" s="65"/>
      <c r="M29" s="65"/>
      <c r="N29" s="65"/>
      <c r="O29" s="65"/>
      <c r="P29" s="65"/>
      <c r="Q29" s="65"/>
      <c r="R29" s="65"/>
      <c r="S29" s="65"/>
      <c r="T29" s="65"/>
    </row>
    <row r="30" spans="7:24" s="1" customFormat="1" x14ac:dyDescent="0.2"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</row>
    <row r="38" spans="2:28" ht="23.25" customHeight="1" x14ac:dyDescent="0.2">
      <c r="B38" s="67" t="s">
        <v>19</v>
      </c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</row>
    <row r="39" spans="2:28" ht="23.25" customHeight="1" x14ac:dyDescent="0.2">
      <c r="B39" s="63" t="s">
        <v>20</v>
      </c>
      <c r="C39" s="63"/>
      <c r="D39" s="63"/>
      <c r="E39" s="63"/>
      <c r="F39" s="63"/>
      <c r="G39" s="63"/>
      <c r="H39" s="63"/>
      <c r="I39" s="63" t="s">
        <v>10</v>
      </c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</row>
    <row r="40" spans="2:28" ht="23.25" customHeight="1" x14ac:dyDescent="0.2">
      <c r="B40" s="62" t="s">
        <v>21</v>
      </c>
      <c r="C40" s="62"/>
      <c r="D40" s="62"/>
      <c r="E40" s="62"/>
      <c r="F40" s="62"/>
      <c r="G40" s="62"/>
      <c r="H40" s="62"/>
      <c r="I40" s="66" t="s">
        <v>42</v>
      </c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</row>
    <row r="41" spans="2:28" ht="23.25" customHeight="1" x14ac:dyDescent="0.2">
      <c r="B41" s="62" t="s">
        <v>22</v>
      </c>
      <c r="C41" s="62"/>
      <c r="D41" s="62"/>
      <c r="E41" s="62"/>
      <c r="F41" s="62"/>
      <c r="G41" s="62"/>
      <c r="H41" s="62"/>
      <c r="I41" s="66" t="s">
        <v>40</v>
      </c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</row>
    <row r="42" spans="2:28" ht="23.25" customHeight="1" x14ac:dyDescent="0.2">
      <c r="B42" s="62" t="s">
        <v>23</v>
      </c>
      <c r="C42" s="62"/>
      <c r="D42" s="62"/>
      <c r="E42" s="62"/>
      <c r="F42" s="62"/>
      <c r="G42" s="62"/>
      <c r="H42" s="62"/>
      <c r="I42" s="66" t="s">
        <v>33</v>
      </c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</row>
    <row r="43" spans="2:28" ht="23.25" customHeight="1" x14ac:dyDescent="0.2">
      <c r="B43" s="62" t="s">
        <v>24</v>
      </c>
      <c r="C43" s="62"/>
      <c r="D43" s="62"/>
      <c r="E43" s="62"/>
      <c r="F43" s="62"/>
      <c r="G43" s="62"/>
      <c r="H43" s="62"/>
      <c r="I43" s="66" t="s">
        <v>38</v>
      </c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</row>
    <row r="44" spans="2:28" ht="23.25" customHeight="1" x14ac:dyDescent="0.2">
      <c r="B44" s="62" t="s">
        <v>25</v>
      </c>
      <c r="C44" s="62"/>
      <c r="D44" s="62"/>
      <c r="E44" s="62"/>
      <c r="F44" s="62"/>
      <c r="G44" s="62"/>
      <c r="H44" s="62"/>
      <c r="I44" s="66" t="s">
        <v>46</v>
      </c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</row>
    <row r="45" spans="2:28" ht="23.25" customHeight="1" x14ac:dyDescent="0.2">
      <c r="B45" s="62" t="s">
        <v>26</v>
      </c>
      <c r="C45" s="62"/>
      <c r="D45" s="62"/>
      <c r="E45" s="62"/>
      <c r="F45" s="62"/>
      <c r="G45" s="62"/>
      <c r="H45" s="62"/>
      <c r="I45" s="66" t="s">
        <v>9</v>
      </c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</row>
    <row r="46" spans="2:28" ht="23.25" customHeight="1" x14ac:dyDescent="0.2">
      <c r="B46" s="62" t="s">
        <v>27</v>
      </c>
      <c r="C46" s="62"/>
      <c r="D46" s="62"/>
      <c r="E46" s="62"/>
      <c r="F46" s="62"/>
      <c r="G46" s="62"/>
      <c r="H46" s="62"/>
      <c r="I46" s="66" t="s">
        <v>43</v>
      </c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</row>
    <row r="47" spans="2:28" ht="23.25" customHeight="1" x14ac:dyDescent="0.2">
      <c r="B47" s="62" t="s">
        <v>28</v>
      </c>
      <c r="C47" s="62"/>
      <c r="D47" s="62"/>
      <c r="E47" s="62"/>
      <c r="F47" s="62"/>
      <c r="G47" s="62"/>
      <c r="H47" s="62"/>
      <c r="I47" s="70">
        <v>45205</v>
      </c>
      <c r="J47" s="71"/>
      <c r="K47" s="71"/>
      <c r="L47" s="71"/>
      <c r="M47" s="71"/>
      <c r="N47" s="71"/>
      <c r="O47" s="71"/>
      <c r="P47" s="71"/>
      <c r="Q47" s="71"/>
      <c r="R47" s="71"/>
      <c r="S47" s="66"/>
      <c r="T47" s="66"/>
      <c r="U47" s="66"/>
      <c r="V47" s="66"/>
      <c r="W47" s="66"/>
      <c r="X47" s="66"/>
      <c r="Y47" s="66"/>
      <c r="Z47" s="66"/>
      <c r="AA47" s="66"/>
      <c r="AB47" s="66"/>
    </row>
    <row r="48" spans="2:28" ht="23.25" customHeight="1" x14ac:dyDescent="0.2">
      <c r="B48" s="62" t="s">
        <v>29</v>
      </c>
      <c r="C48" s="62"/>
      <c r="D48" s="62"/>
      <c r="E48" s="62"/>
      <c r="F48" s="62"/>
      <c r="G48" s="62"/>
      <c r="H48" s="62"/>
      <c r="I48" s="66" t="s">
        <v>9</v>
      </c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</row>
    <row r="49" spans="2:28" ht="23.25" customHeight="1" x14ac:dyDescent="0.2">
      <c r="B49" s="62" t="s">
        <v>30</v>
      </c>
      <c r="C49" s="62"/>
      <c r="D49" s="62"/>
      <c r="E49" s="62"/>
      <c r="F49" s="62"/>
      <c r="G49" s="62"/>
      <c r="H49" s="62"/>
      <c r="I49" s="66" t="str">
        <f>TEXT(MAX(改訂履歴!J5:J995),"yyyy/mm/dd")</f>
        <v>2026/03/05</v>
      </c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</row>
    <row r="50" spans="2:28" ht="23.25" customHeight="1" x14ac:dyDescent="0.2">
      <c r="B50" s="62" t="s">
        <v>31</v>
      </c>
      <c r="C50" s="62"/>
      <c r="D50" s="62"/>
      <c r="E50" s="62"/>
      <c r="F50" s="62"/>
      <c r="G50" s="62"/>
      <c r="H50" s="62"/>
      <c r="I50" s="66" t="s">
        <v>41</v>
      </c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</row>
    <row r="51" spans="2:28" ht="23.25" customHeight="1" x14ac:dyDescent="0.2">
      <c r="B51" s="62" t="s">
        <v>34</v>
      </c>
      <c r="C51" s="62"/>
      <c r="D51" s="62"/>
      <c r="E51" s="62"/>
      <c r="F51" s="62"/>
      <c r="G51" s="62"/>
      <c r="H51" s="62"/>
      <c r="I51" s="66" t="str">
        <f>"【 Ver " &amp; TEXT(MAX(改訂履歴!E5:E995),"0.00") &amp; " 】"</f>
        <v>【 Ver 1.06 】</v>
      </c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</row>
  </sheetData>
  <mergeCells count="33">
    <mergeCell ref="B51:H51"/>
    <mergeCell ref="I51:AB51"/>
    <mergeCell ref="B49:H49"/>
    <mergeCell ref="I49:AB49"/>
    <mergeCell ref="B50:H50"/>
    <mergeCell ref="I50:AB50"/>
    <mergeCell ref="B48:H48"/>
    <mergeCell ref="I48:AB48"/>
    <mergeCell ref="B44:H44"/>
    <mergeCell ref="B45:H45"/>
    <mergeCell ref="B46:H46"/>
    <mergeCell ref="B47:H47"/>
    <mergeCell ref="I45:AB45"/>
    <mergeCell ref="I46:AB46"/>
    <mergeCell ref="I47:AB47"/>
    <mergeCell ref="I44:AB44"/>
    <mergeCell ref="G11:W12"/>
    <mergeCell ref="G14:W15"/>
    <mergeCell ref="G17:W18"/>
    <mergeCell ref="G20:W21"/>
    <mergeCell ref="I42:AB42"/>
    <mergeCell ref="B41:H41"/>
    <mergeCell ref="B42:H42"/>
    <mergeCell ref="B43:H43"/>
    <mergeCell ref="B39:H39"/>
    <mergeCell ref="J27:T28"/>
    <mergeCell ref="J29:T30"/>
    <mergeCell ref="I40:AB40"/>
    <mergeCell ref="I41:AB41"/>
    <mergeCell ref="I39:AB39"/>
    <mergeCell ref="B38:AB38"/>
    <mergeCell ref="B40:H40"/>
    <mergeCell ref="I43:AB43"/>
  </mergeCells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X28"/>
  <sheetViews>
    <sheetView view="pageBreakPreview" zoomScaleNormal="85" zoomScaleSheetLayoutView="100" workbookViewId="0"/>
  </sheetViews>
  <sheetFormatPr defaultColWidth="1.88671875" defaultRowHeight="15" customHeight="1" x14ac:dyDescent="0.2"/>
  <cols>
    <col min="1" max="4" width="1.88671875" style="1" customWidth="1"/>
    <col min="5" max="9" width="1.88671875" style="14" customWidth="1"/>
    <col min="10" max="26" width="1.88671875" style="1" customWidth="1"/>
    <col min="27" max="33" width="2.33203125" style="1" customWidth="1"/>
    <col min="34" max="16384" width="1.88671875" style="1"/>
  </cols>
  <sheetData>
    <row r="1" spans="1:76" ht="15" customHeight="1" x14ac:dyDescent="0.2">
      <c r="A1" t="s">
        <v>2</v>
      </c>
    </row>
    <row r="3" spans="1:76" s="2" customFormat="1" ht="15" customHeight="1" x14ac:dyDescent="0.2">
      <c r="A3" s="78" t="s">
        <v>16</v>
      </c>
      <c r="B3" s="78"/>
      <c r="C3" s="78"/>
      <c r="D3" s="78"/>
      <c r="E3" s="97" t="s">
        <v>17</v>
      </c>
      <c r="F3" s="98"/>
      <c r="G3" s="98"/>
      <c r="H3" s="98"/>
      <c r="I3" s="99"/>
      <c r="J3" s="88" t="s">
        <v>5</v>
      </c>
      <c r="K3" s="89"/>
      <c r="L3" s="89"/>
      <c r="M3" s="89"/>
      <c r="N3" s="89"/>
      <c r="O3" s="89"/>
      <c r="P3" s="89"/>
      <c r="Q3" s="90"/>
      <c r="R3" s="78" t="s">
        <v>3</v>
      </c>
      <c r="S3" s="78"/>
      <c r="T3" s="78"/>
      <c r="U3" s="78"/>
      <c r="V3" s="78"/>
      <c r="W3" s="78" t="s">
        <v>6</v>
      </c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 t="s">
        <v>7</v>
      </c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  <c r="BL3" s="78"/>
      <c r="BM3" s="78"/>
      <c r="BN3" s="78"/>
      <c r="BO3" s="78"/>
      <c r="BP3" s="78"/>
      <c r="BQ3" s="78"/>
      <c r="BR3" s="78" t="s">
        <v>8</v>
      </c>
      <c r="BS3" s="78"/>
      <c r="BT3" s="78"/>
      <c r="BU3" s="78"/>
      <c r="BV3" s="78"/>
      <c r="BW3" s="78"/>
      <c r="BX3" s="78"/>
    </row>
    <row r="4" spans="1:76" s="2" customFormat="1" ht="15" customHeight="1" x14ac:dyDescent="0.2">
      <c r="A4" s="78"/>
      <c r="B4" s="78"/>
      <c r="C4" s="78"/>
      <c r="D4" s="78"/>
      <c r="E4" s="100"/>
      <c r="F4" s="101"/>
      <c r="G4" s="101"/>
      <c r="H4" s="101"/>
      <c r="I4" s="102"/>
      <c r="J4" s="91"/>
      <c r="K4" s="92"/>
      <c r="L4" s="92"/>
      <c r="M4" s="92"/>
      <c r="N4" s="92"/>
      <c r="O4" s="92"/>
      <c r="P4" s="92"/>
      <c r="Q4" s="93"/>
      <c r="R4" s="78"/>
      <c r="S4" s="78"/>
      <c r="T4" s="78"/>
      <c r="U4" s="78"/>
      <c r="V4" s="78"/>
      <c r="W4" s="78" t="s">
        <v>4</v>
      </c>
      <c r="X4" s="78"/>
      <c r="Y4" s="78"/>
      <c r="Z4" s="78"/>
      <c r="AA4" s="78" t="s">
        <v>45</v>
      </c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</row>
    <row r="5" spans="1:76" ht="20.100000000000001" customHeight="1" x14ac:dyDescent="0.2">
      <c r="A5" s="84">
        <v>1</v>
      </c>
      <c r="B5" s="84"/>
      <c r="C5" s="84"/>
      <c r="D5" s="84"/>
      <c r="E5" s="103">
        <v>1</v>
      </c>
      <c r="F5" s="104"/>
      <c r="G5" s="104"/>
      <c r="H5" s="104"/>
      <c r="I5" s="105"/>
      <c r="J5" s="94">
        <f>タイトル!I47</f>
        <v>45205</v>
      </c>
      <c r="K5" s="95"/>
      <c r="L5" s="95"/>
      <c r="M5" s="95"/>
      <c r="N5" s="95"/>
      <c r="O5" s="95"/>
      <c r="P5" s="95"/>
      <c r="Q5" s="96"/>
      <c r="R5" s="85" t="s">
        <v>11</v>
      </c>
      <c r="S5" s="86"/>
      <c r="T5" s="86"/>
      <c r="U5" s="86"/>
      <c r="V5" s="87"/>
      <c r="W5" s="81"/>
      <c r="X5" s="82"/>
      <c r="Y5" s="82"/>
      <c r="Z5" s="83"/>
      <c r="AA5" s="81"/>
      <c r="AB5" s="82"/>
      <c r="AC5" s="82"/>
      <c r="AD5" s="82"/>
      <c r="AE5" s="82"/>
      <c r="AF5" s="82"/>
      <c r="AG5" s="83"/>
      <c r="AH5" s="79" t="s">
        <v>18</v>
      </c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/>
      <c r="BK5" s="79"/>
      <c r="BL5" s="79"/>
      <c r="BM5" s="79"/>
      <c r="BN5" s="79"/>
      <c r="BO5" s="79"/>
      <c r="BP5" s="79"/>
      <c r="BQ5" s="79"/>
      <c r="BR5" s="80" t="s">
        <v>44</v>
      </c>
      <c r="BS5" s="80"/>
      <c r="BT5" s="80"/>
      <c r="BU5" s="80"/>
      <c r="BV5" s="80"/>
      <c r="BW5" s="80"/>
      <c r="BX5" s="80"/>
    </row>
    <row r="6" spans="1:76" ht="20.100000000000001" customHeight="1" x14ac:dyDescent="0.2">
      <c r="A6" s="75">
        <v>2</v>
      </c>
      <c r="B6" s="75"/>
      <c r="C6" s="75"/>
      <c r="D6" s="75"/>
      <c r="E6" s="76">
        <v>1.01</v>
      </c>
      <c r="F6" s="76"/>
      <c r="G6" s="76"/>
      <c r="H6" s="76"/>
      <c r="I6" s="76"/>
      <c r="J6" s="77">
        <v>45223</v>
      </c>
      <c r="K6" s="77"/>
      <c r="L6" s="77"/>
      <c r="M6" s="77"/>
      <c r="N6" s="77"/>
      <c r="O6" s="77"/>
      <c r="P6" s="77"/>
      <c r="Q6" s="77"/>
      <c r="R6" s="75" t="s">
        <v>71</v>
      </c>
      <c r="S6" s="75"/>
      <c r="T6" s="75"/>
      <c r="U6" s="75"/>
      <c r="V6" s="75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3" t="s">
        <v>72</v>
      </c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4" t="s">
        <v>43</v>
      </c>
      <c r="BS6" s="74"/>
      <c r="BT6" s="74"/>
      <c r="BU6" s="74"/>
      <c r="BV6" s="74"/>
      <c r="BW6" s="74"/>
      <c r="BX6" s="74"/>
    </row>
    <row r="7" spans="1:76" ht="20.100000000000001" customHeight="1" x14ac:dyDescent="0.2">
      <c r="A7" s="75">
        <v>3</v>
      </c>
      <c r="B7" s="75"/>
      <c r="C7" s="75"/>
      <c r="D7" s="75"/>
      <c r="E7" s="76">
        <v>1.02</v>
      </c>
      <c r="F7" s="76"/>
      <c r="G7" s="76"/>
      <c r="H7" s="76"/>
      <c r="I7" s="76"/>
      <c r="J7" s="77">
        <v>45274</v>
      </c>
      <c r="K7" s="77"/>
      <c r="L7" s="77"/>
      <c r="M7" s="77"/>
      <c r="N7" s="77"/>
      <c r="O7" s="77"/>
      <c r="P7" s="77"/>
      <c r="Q7" s="77"/>
      <c r="R7" s="75" t="s">
        <v>71</v>
      </c>
      <c r="S7" s="75"/>
      <c r="T7" s="75"/>
      <c r="U7" s="75"/>
      <c r="V7" s="75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3" t="s">
        <v>262</v>
      </c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4" t="s">
        <v>43</v>
      </c>
      <c r="BS7" s="74"/>
      <c r="BT7" s="74"/>
      <c r="BU7" s="74"/>
      <c r="BV7" s="74"/>
      <c r="BW7" s="74"/>
      <c r="BX7" s="74"/>
    </row>
    <row r="8" spans="1:76" ht="20.100000000000001" customHeight="1" x14ac:dyDescent="0.2">
      <c r="A8" s="75">
        <v>4</v>
      </c>
      <c r="B8" s="75"/>
      <c r="C8" s="75"/>
      <c r="D8" s="75"/>
      <c r="E8" s="76">
        <v>1.03</v>
      </c>
      <c r="F8" s="76"/>
      <c r="G8" s="76"/>
      <c r="H8" s="76"/>
      <c r="I8" s="76"/>
      <c r="J8" s="77">
        <v>45356</v>
      </c>
      <c r="K8" s="77"/>
      <c r="L8" s="77"/>
      <c r="M8" s="77"/>
      <c r="N8" s="77"/>
      <c r="O8" s="77"/>
      <c r="P8" s="77"/>
      <c r="Q8" s="77"/>
      <c r="R8" s="75" t="s">
        <v>71</v>
      </c>
      <c r="S8" s="75"/>
      <c r="T8" s="75"/>
      <c r="U8" s="75"/>
      <c r="V8" s="75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3" t="s">
        <v>268</v>
      </c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4" t="s">
        <v>43</v>
      </c>
      <c r="BS8" s="74"/>
      <c r="BT8" s="74"/>
      <c r="BU8" s="74"/>
      <c r="BV8" s="74"/>
      <c r="BW8" s="74"/>
      <c r="BX8" s="74"/>
    </row>
    <row r="9" spans="1:76" ht="20.100000000000001" customHeight="1" x14ac:dyDescent="0.2">
      <c r="A9" s="75">
        <v>5</v>
      </c>
      <c r="B9" s="75"/>
      <c r="C9" s="75"/>
      <c r="D9" s="75"/>
      <c r="E9" s="76">
        <v>1.04</v>
      </c>
      <c r="F9" s="76"/>
      <c r="G9" s="76"/>
      <c r="H9" s="76"/>
      <c r="I9" s="76"/>
      <c r="J9" s="77">
        <v>45384</v>
      </c>
      <c r="K9" s="77"/>
      <c r="L9" s="77"/>
      <c r="M9" s="77"/>
      <c r="N9" s="77"/>
      <c r="O9" s="77"/>
      <c r="P9" s="77"/>
      <c r="Q9" s="77"/>
      <c r="R9" s="75" t="s">
        <v>71</v>
      </c>
      <c r="S9" s="75"/>
      <c r="T9" s="75"/>
      <c r="U9" s="75"/>
      <c r="V9" s="75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3" t="s">
        <v>318</v>
      </c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4" t="s">
        <v>43</v>
      </c>
      <c r="BS9" s="74"/>
      <c r="BT9" s="74"/>
      <c r="BU9" s="74"/>
      <c r="BV9" s="74"/>
      <c r="BW9" s="74"/>
      <c r="BX9" s="74"/>
    </row>
    <row r="10" spans="1:76" ht="30" customHeight="1" x14ac:dyDescent="0.2">
      <c r="A10" s="109">
        <v>6</v>
      </c>
      <c r="B10" s="109"/>
      <c r="C10" s="109"/>
      <c r="D10" s="109"/>
      <c r="E10" s="110">
        <v>1.05</v>
      </c>
      <c r="F10" s="110"/>
      <c r="G10" s="110"/>
      <c r="H10" s="110"/>
      <c r="I10" s="110"/>
      <c r="J10" s="111">
        <v>45819</v>
      </c>
      <c r="K10" s="111"/>
      <c r="L10" s="111"/>
      <c r="M10" s="111"/>
      <c r="N10" s="111"/>
      <c r="O10" s="111"/>
      <c r="P10" s="111"/>
      <c r="Q10" s="111"/>
      <c r="R10" s="109" t="s">
        <v>71</v>
      </c>
      <c r="S10" s="109"/>
      <c r="T10" s="109"/>
      <c r="U10" s="109"/>
      <c r="V10" s="109"/>
      <c r="W10" s="106"/>
      <c r="X10" s="106"/>
      <c r="Y10" s="106"/>
      <c r="Z10" s="106"/>
      <c r="AA10" s="107"/>
      <c r="AB10" s="106"/>
      <c r="AC10" s="106"/>
      <c r="AD10" s="106"/>
      <c r="AE10" s="106"/>
      <c r="AF10" s="106"/>
      <c r="AG10" s="106"/>
      <c r="AH10" s="107" t="s">
        <v>319</v>
      </c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8" t="s">
        <v>43</v>
      </c>
      <c r="BS10" s="108"/>
      <c r="BT10" s="108"/>
      <c r="BU10" s="108"/>
      <c r="BV10" s="108"/>
      <c r="BW10" s="108"/>
      <c r="BX10" s="108"/>
    </row>
    <row r="11" spans="1:76" ht="30" customHeight="1" x14ac:dyDescent="0.2">
      <c r="A11" s="75">
        <v>7</v>
      </c>
      <c r="B11" s="75"/>
      <c r="C11" s="75"/>
      <c r="D11" s="75"/>
      <c r="E11" s="76">
        <v>1.06</v>
      </c>
      <c r="F11" s="76"/>
      <c r="G11" s="76"/>
      <c r="H11" s="76"/>
      <c r="I11" s="76"/>
      <c r="J11" s="77">
        <v>46086</v>
      </c>
      <c r="K11" s="77"/>
      <c r="L11" s="77"/>
      <c r="M11" s="77"/>
      <c r="N11" s="77"/>
      <c r="O11" s="77"/>
      <c r="P11" s="77"/>
      <c r="Q11" s="77"/>
      <c r="R11" s="109" t="s">
        <v>71</v>
      </c>
      <c r="S11" s="109"/>
      <c r="T11" s="109"/>
      <c r="U11" s="109"/>
      <c r="V11" s="109"/>
      <c r="W11" s="72"/>
      <c r="X11" s="72"/>
      <c r="Y11" s="72"/>
      <c r="Z11" s="72"/>
      <c r="AA11" s="73"/>
      <c r="AB11" s="72"/>
      <c r="AC11" s="72"/>
      <c r="AD11" s="72"/>
      <c r="AE11" s="72"/>
      <c r="AF11" s="72"/>
      <c r="AG11" s="72"/>
      <c r="AH11" s="73" t="s">
        <v>331</v>
      </c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108" t="s">
        <v>43</v>
      </c>
      <c r="BS11" s="108"/>
      <c r="BT11" s="108"/>
      <c r="BU11" s="108"/>
      <c r="BV11" s="108"/>
      <c r="BW11" s="108"/>
      <c r="BX11" s="108"/>
    </row>
    <row r="12" spans="1:76" ht="20.100000000000001" customHeight="1" x14ac:dyDescent="0.2">
      <c r="A12" s="75"/>
      <c r="B12" s="75"/>
      <c r="C12" s="75"/>
      <c r="D12" s="75"/>
      <c r="E12" s="76"/>
      <c r="F12" s="76"/>
      <c r="G12" s="76"/>
      <c r="H12" s="76"/>
      <c r="I12" s="76"/>
      <c r="J12" s="77"/>
      <c r="K12" s="77"/>
      <c r="L12" s="77"/>
      <c r="M12" s="77"/>
      <c r="N12" s="77"/>
      <c r="O12" s="77"/>
      <c r="P12" s="77"/>
      <c r="Q12" s="77"/>
      <c r="R12" s="75"/>
      <c r="S12" s="75"/>
      <c r="T12" s="75"/>
      <c r="U12" s="75"/>
      <c r="V12" s="75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3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4"/>
      <c r="BS12" s="74"/>
      <c r="BT12" s="74"/>
      <c r="BU12" s="74"/>
      <c r="BV12" s="74"/>
      <c r="BW12" s="74"/>
      <c r="BX12" s="74"/>
    </row>
    <row r="13" spans="1:76" ht="20.100000000000001" customHeight="1" x14ac:dyDescent="0.2">
      <c r="A13" s="75"/>
      <c r="B13" s="75"/>
      <c r="C13" s="75"/>
      <c r="D13" s="75"/>
      <c r="E13" s="76"/>
      <c r="F13" s="76"/>
      <c r="G13" s="76"/>
      <c r="H13" s="76"/>
      <c r="I13" s="76"/>
      <c r="J13" s="77"/>
      <c r="K13" s="77"/>
      <c r="L13" s="77"/>
      <c r="M13" s="77"/>
      <c r="N13" s="77"/>
      <c r="O13" s="77"/>
      <c r="P13" s="77"/>
      <c r="Q13" s="77"/>
      <c r="R13" s="75"/>
      <c r="S13" s="75"/>
      <c r="T13" s="75"/>
      <c r="U13" s="75"/>
      <c r="V13" s="75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3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4"/>
      <c r="BS13" s="74"/>
      <c r="BT13" s="74"/>
      <c r="BU13" s="74"/>
      <c r="BV13" s="74"/>
      <c r="BW13" s="74"/>
      <c r="BX13" s="74"/>
    </row>
    <row r="14" spans="1:76" ht="20.100000000000001" customHeight="1" x14ac:dyDescent="0.2">
      <c r="A14" s="75"/>
      <c r="B14" s="75"/>
      <c r="C14" s="75"/>
      <c r="D14" s="75"/>
      <c r="E14" s="76"/>
      <c r="F14" s="76"/>
      <c r="G14" s="76"/>
      <c r="H14" s="76"/>
      <c r="I14" s="76"/>
      <c r="J14" s="77"/>
      <c r="K14" s="77"/>
      <c r="L14" s="77"/>
      <c r="M14" s="77"/>
      <c r="N14" s="77"/>
      <c r="O14" s="77"/>
      <c r="P14" s="77"/>
      <c r="Q14" s="77"/>
      <c r="R14" s="75"/>
      <c r="S14" s="75"/>
      <c r="T14" s="75"/>
      <c r="U14" s="75"/>
      <c r="V14" s="75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3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4"/>
      <c r="BS14" s="74"/>
      <c r="BT14" s="74"/>
      <c r="BU14" s="74"/>
      <c r="BV14" s="74"/>
      <c r="BW14" s="74"/>
      <c r="BX14" s="74"/>
    </row>
    <row r="15" spans="1:76" ht="20.100000000000001" customHeight="1" x14ac:dyDescent="0.2">
      <c r="A15" s="75"/>
      <c r="B15" s="75"/>
      <c r="C15" s="75"/>
      <c r="D15" s="75"/>
      <c r="E15" s="76"/>
      <c r="F15" s="76"/>
      <c r="G15" s="76"/>
      <c r="H15" s="76"/>
      <c r="I15" s="76"/>
      <c r="J15" s="77"/>
      <c r="K15" s="77"/>
      <c r="L15" s="77"/>
      <c r="M15" s="77"/>
      <c r="N15" s="77"/>
      <c r="O15" s="77"/>
      <c r="P15" s="77"/>
      <c r="Q15" s="77"/>
      <c r="R15" s="75"/>
      <c r="S15" s="75"/>
      <c r="T15" s="75"/>
      <c r="U15" s="75"/>
      <c r="V15" s="75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3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4"/>
      <c r="BS15" s="74"/>
      <c r="BT15" s="74"/>
      <c r="BU15" s="74"/>
      <c r="BV15" s="74"/>
      <c r="BW15" s="74"/>
      <c r="BX15" s="74"/>
    </row>
    <row r="16" spans="1:76" ht="20.100000000000001" customHeight="1" x14ac:dyDescent="0.2">
      <c r="A16" s="75"/>
      <c r="B16" s="75"/>
      <c r="C16" s="75"/>
      <c r="D16" s="75"/>
      <c r="E16" s="76"/>
      <c r="F16" s="76"/>
      <c r="G16" s="76"/>
      <c r="H16" s="76"/>
      <c r="I16" s="76"/>
      <c r="J16" s="77"/>
      <c r="K16" s="77"/>
      <c r="L16" s="77"/>
      <c r="M16" s="77"/>
      <c r="N16" s="77"/>
      <c r="O16" s="77"/>
      <c r="P16" s="77"/>
      <c r="Q16" s="77"/>
      <c r="R16" s="75"/>
      <c r="S16" s="75"/>
      <c r="T16" s="75"/>
      <c r="U16" s="75"/>
      <c r="V16" s="75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3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4"/>
      <c r="BS16" s="74"/>
      <c r="BT16" s="74"/>
      <c r="BU16" s="74"/>
      <c r="BV16" s="74"/>
      <c r="BW16" s="74"/>
      <c r="BX16" s="74"/>
    </row>
    <row r="17" spans="1:76" ht="20.100000000000001" customHeight="1" x14ac:dyDescent="0.2">
      <c r="A17" s="75"/>
      <c r="B17" s="75"/>
      <c r="C17" s="75"/>
      <c r="D17" s="75"/>
      <c r="E17" s="76"/>
      <c r="F17" s="76"/>
      <c r="G17" s="76"/>
      <c r="H17" s="76"/>
      <c r="I17" s="76"/>
      <c r="J17" s="77"/>
      <c r="K17" s="77"/>
      <c r="L17" s="77"/>
      <c r="M17" s="77"/>
      <c r="N17" s="77"/>
      <c r="O17" s="77"/>
      <c r="P17" s="77"/>
      <c r="Q17" s="77"/>
      <c r="R17" s="75"/>
      <c r="S17" s="75"/>
      <c r="T17" s="75"/>
      <c r="U17" s="75"/>
      <c r="V17" s="75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3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4"/>
      <c r="BS17" s="74"/>
      <c r="BT17" s="74"/>
      <c r="BU17" s="74"/>
      <c r="BV17" s="74"/>
      <c r="BW17" s="74"/>
      <c r="BX17" s="74"/>
    </row>
    <row r="18" spans="1:76" ht="20.100000000000001" customHeight="1" x14ac:dyDescent="0.2">
      <c r="A18" s="75"/>
      <c r="B18" s="75"/>
      <c r="C18" s="75"/>
      <c r="D18" s="75"/>
      <c r="E18" s="76"/>
      <c r="F18" s="76"/>
      <c r="G18" s="76"/>
      <c r="H18" s="76"/>
      <c r="I18" s="76"/>
      <c r="J18" s="77"/>
      <c r="K18" s="77"/>
      <c r="L18" s="77"/>
      <c r="M18" s="77"/>
      <c r="N18" s="77"/>
      <c r="O18" s="77"/>
      <c r="P18" s="77"/>
      <c r="Q18" s="77"/>
      <c r="R18" s="75"/>
      <c r="S18" s="75"/>
      <c r="T18" s="75"/>
      <c r="U18" s="75"/>
      <c r="V18" s="75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3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4"/>
      <c r="BS18" s="74"/>
      <c r="BT18" s="74"/>
      <c r="BU18" s="74"/>
      <c r="BV18" s="74"/>
      <c r="BW18" s="74"/>
      <c r="BX18" s="74"/>
    </row>
    <row r="19" spans="1:76" ht="20.100000000000001" customHeight="1" x14ac:dyDescent="0.2">
      <c r="A19" s="75"/>
      <c r="B19" s="75"/>
      <c r="C19" s="75"/>
      <c r="D19" s="75"/>
      <c r="E19" s="76"/>
      <c r="F19" s="76"/>
      <c r="G19" s="76"/>
      <c r="H19" s="76"/>
      <c r="I19" s="76"/>
      <c r="J19" s="77"/>
      <c r="K19" s="77"/>
      <c r="L19" s="77"/>
      <c r="M19" s="77"/>
      <c r="N19" s="77"/>
      <c r="O19" s="77"/>
      <c r="P19" s="77"/>
      <c r="Q19" s="77"/>
      <c r="R19" s="75"/>
      <c r="S19" s="75"/>
      <c r="T19" s="75"/>
      <c r="U19" s="75"/>
      <c r="V19" s="75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3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4"/>
      <c r="BS19" s="74"/>
      <c r="BT19" s="74"/>
      <c r="BU19" s="74"/>
      <c r="BV19" s="74"/>
      <c r="BW19" s="74"/>
      <c r="BX19" s="74"/>
    </row>
    <row r="20" spans="1:76" ht="20.100000000000001" customHeight="1" x14ac:dyDescent="0.2">
      <c r="A20" s="75"/>
      <c r="B20" s="75"/>
      <c r="C20" s="75"/>
      <c r="D20" s="75"/>
      <c r="E20" s="76"/>
      <c r="F20" s="76"/>
      <c r="G20" s="76"/>
      <c r="H20" s="76"/>
      <c r="I20" s="76"/>
      <c r="J20" s="77"/>
      <c r="K20" s="77"/>
      <c r="L20" s="77"/>
      <c r="M20" s="77"/>
      <c r="N20" s="77"/>
      <c r="O20" s="77"/>
      <c r="P20" s="77"/>
      <c r="Q20" s="77"/>
      <c r="R20" s="75"/>
      <c r="S20" s="75"/>
      <c r="T20" s="75"/>
      <c r="U20" s="75"/>
      <c r="V20" s="75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3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4"/>
      <c r="BS20" s="74"/>
      <c r="BT20" s="74"/>
      <c r="BU20" s="74"/>
      <c r="BV20" s="74"/>
      <c r="BW20" s="74"/>
      <c r="BX20" s="74"/>
    </row>
    <row r="21" spans="1:76" ht="20.100000000000001" customHeight="1" x14ac:dyDescent="0.2">
      <c r="A21" s="75"/>
      <c r="B21" s="75"/>
      <c r="C21" s="75"/>
      <c r="D21" s="75"/>
      <c r="E21" s="76"/>
      <c r="F21" s="76"/>
      <c r="G21" s="76"/>
      <c r="H21" s="76"/>
      <c r="I21" s="76"/>
      <c r="J21" s="77"/>
      <c r="K21" s="77"/>
      <c r="L21" s="77"/>
      <c r="M21" s="77"/>
      <c r="N21" s="77"/>
      <c r="O21" s="77"/>
      <c r="P21" s="77"/>
      <c r="Q21" s="77"/>
      <c r="R21" s="75"/>
      <c r="S21" s="75"/>
      <c r="T21" s="75"/>
      <c r="U21" s="75"/>
      <c r="V21" s="75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3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4"/>
      <c r="BS21" s="74"/>
      <c r="BT21" s="74"/>
      <c r="BU21" s="74"/>
      <c r="BV21" s="74"/>
      <c r="BW21" s="74"/>
      <c r="BX21" s="74"/>
    </row>
    <row r="22" spans="1:76" ht="20.100000000000001" customHeight="1" x14ac:dyDescent="0.2">
      <c r="A22" s="75"/>
      <c r="B22" s="75"/>
      <c r="C22" s="75"/>
      <c r="D22" s="75"/>
      <c r="E22" s="76"/>
      <c r="F22" s="76"/>
      <c r="G22" s="76"/>
      <c r="H22" s="76"/>
      <c r="I22" s="76"/>
      <c r="J22" s="77"/>
      <c r="K22" s="77"/>
      <c r="L22" s="77"/>
      <c r="M22" s="77"/>
      <c r="N22" s="77"/>
      <c r="O22" s="77"/>
      <c r="P22" s="77"/>
      <c r="Q22" s="77"/>
      <c r="R22" s="75"/>
      <c r="S22" s="75"/>
      <c r="T22" s="75"/>
      <c r="U22" s="75"/>
      <c r="V22" s="75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3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4"/>
      <c r="BS22" s="74"/>
      <c r="BT22" s="74"/>
      <c r="BU22" s="74"/>
      <c r="BV22" s="74"/>
      <c r="BW22" s="74"/>
      <c r="BX22" s="74"/>
    </row>
    <row r="23" spans="1:76" ht="20.100000000000001" customHeight="1" x14ac:dyDescent="0.2">
      <c r="A23" s="75"/>
      <c r="B23" s="75"/>
      <c r="C23" s="75"/>
      <c r="D23" s="75"/>
      <c r="E23" s="76"/>
      <c r="F23" s="76"/>
      <c r="G23" s="76"/>
      <c r="H23" s="76"/>
      <c r="I23" s="76"/>
      <c r="J23" s="77"/>
      <c r="K23" s="77"/>
      <c r="L23" s="77"/>
      <c r="M23" s="77"/>
      <c r="N23" s="77"/>
      <c r="O23" s="77"/>
      <c r="P23" s="77"/>
      <c r="Q23" s="77"/>
      <c r="R23" s="75"/>
      <c r="S23" s="75"/>
      <c r="T23" s="75"/>
      <c r="U23" s="75"/>
      <c r="V23" s="75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3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4"/>
      <c r="BS23" s="74"/>
      <c r="BT23" s="74"/>
      <c r="BU23" s="74"/>
      <c r="BV23" s="74"/>
      <c r="BW23" s="74"/>
      <c r="BX23" s="74"/>
    </row>
    <row r="24" spans="1:76" ht="20.100000000000001" customHeight="1" x14ac:dyDescent="0.2">
      <c r="A24" s="75"/>
      <c r="B24" s="75"/>
      <c r="C24" s="75"/>
      <c r="D24" s="75"/>
      <c r="E24" s="76"/>
      <c r="F24" s="76"/>
      <c r="G24" s="76"/>
      <c r="H24" s="76"/>
      <c r="I24" s="76"/>
      <c r="J24" s="77"/>
      <c r="K24" s="77"/>
      <c r="L24" s="77"/>
      <c r="M24" s="77"/>
      <c r="N24" s="77"/>
      <c r="O24" s="77"/>
      <c r="P24" s="77"/>
      <c r="Q24" s="77"/>
      <c r="R24" s="75"/>
      <c r="S24" s="75"/>
      <c r="T24" s="75"/>
      <c r="U24" s="75"/>
      <c r="V24" s="75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3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4"/>
      <c r="BS24" s="74"/>
      <c r="BT24" s="74"/>
      <c r="BU24" s="74"/>
      <c r="BV24" s="74"/>
      <c r="BW24" s="74"/>
      <c r="BX24" s="74"/>
    </row>
    <row r="25" spans="1:76" ht="20.100000000000001" customHeight="1" x14ac:dyDescent="0.2">
      <c r="A25" s="75"/>
      <c r="B25" s="75"/>
      <c r="C25" s="75"/>
      <c r="D25" s="75"/>
      <c r="E25" s="76"/>
      <c r="F25" s="76"/>
      <c r="G25" s="76"/>
      <c r="H25" s="76"/>
      <c r="I25" s="76"/>
      <c r="J25" s="77"/>
      <c r="K25" s="77"/>
      <c r="L25" s="77"/>
      <c r="M25" s="77"/>
      <c r="N25" s="77"/>
      <c r="O25" s="77"/>
      <c r="P25" s="77"/>
      <c r="Q25" s="77"/>
      <c r="R25" s="75"/>
      <c r="S25" s="75"/>
      <c r="T25" s="75"/>
      <c r="U25" s="75"/>
      <c r="V25" s="75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3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4"/>
      <c r="BS25" s="74"/>
      <c r="BT25" s="74"/>
      <c r="BU25" s="74"/>
      <c r="BV25" s="74"/>
      <c r="BW25" s="74"/>
      <c r="BX25" s="74"/>
    </row>
    <row r="26" spans="1:76" ht="20.100000000000001" customHeight="1" x14ac:dyDescent="0.2">
      <c r="A26" s="75"/>
      <c r="B26" s="75"/>
      <c r="C26" s="75"/>
      <c r="D26" s="75"/>
      <c r="E26" s="76"/>
      <c r="F26" s="76"/>
      <c r="G26" s="76"/>
      <c r="H26" s="76"/>
      <c r="I26" s="76"/>
      <c r="J26" s="77"/>
      <c r="K26" s="77"/>
      <c r="L26" s="77"/>
      <c r="M26" s="77"/>
      <c r="N26" s="77"/>
      <c r="O26" s="77"/>
      <c r="P26" s="77"/>
      <c r="Q26" s="77"/>
      <c r="R26" s="75"/>
      <c r="S26" s="75"/>
      <c r="T26" s="75"/>
      <c r="U26" s="75"/>
      <c r="V26" s="75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3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4"/>
      <c r="BS26" s="74"/>
      <c r="BT26" s="74"/>
      <c r="BU26" s="74"/>
      <c r="BV26" s="74"/>
      <c r="BW26" s="74"/>
      <c r="BX26" s="74"/>
    </row>
    <row r="27" spans="1:76" ht="20.100000000000001" customHeight="1" x14ac:dyDescent="0.2">
      <c r="A27" s="75"/>
      <c r="B27" s="75"/>
      <c r="C27" s="75"/>
      <c r="D27" s="75"/>
      <c r="E27" s="76"/>
      <c r="F27" s="76"/>
      <c r="G27" s="76"/>
      <c r="H27" s="76"/>
      <c r="I27" s="76"/>
      <c r="J27" s="77"/>
      <c r="K27" s="77"/>
      <c r="L27" s="77"/>
      <c r="M27" s="77"/>
      <c r="N27" s="77"/>
      <c r="O27" s="77"/>
      <c r="P27" s="77"/>
      <c r="Q27" s="77"/>
      <c r="R27" s="75"/>
      <c r="S27" s="75"/>
      <c r="T27" s="75"/>
      <c r="U27" s="75"/>
      <c r="V27" s="75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3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4"/>
      <c r="BS27" s="74"/>
      <c r="BT27" s="74"/>
      <c r="BU27" s="74"/>
      <c r="BV27" s="74"/>
      <c r="BW27" s="74"/>
      <c r="BX27" s="74"/>
    </row>
    <row r="28" spans="1:76" ht="20.100000000000001" customHeight="1" x14ac:dyDescent="0.2">
      <c r="A28" s="75"/>
      <c r="B28" s="75"/>
      <c r="C28" s="75"/>
      <c r="D28" s="75"/>
      <c r="E28" s="76"/>
      <c r="F28" s="76"/>
      <c r="G28" s="76"/>
      <c r="H28" s="76"/>
      <c r="I28" s="76"/>
      <c r="J28" s="77"/>
      <c r="K28" s="77"/>
      <c r="L28" s="77"/>
      <c r="M28" s="77"/>
      <c r="N28" s="77"/>
      <c r="O28" s="77"/>
      <c r="P28" s="77"/>
      <c r="Q28" s="77"/>
      <c r="R28" s="75"/>
      <c r="S28" s="75"/>
      <c r="T28" s="75"/>
      <c r="U28" s="75"/>
      <c r="V28" s="75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3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4"/>
      <c r="BS28" s="74"/>
      <c r="BT28" s="74"/>
      <c r="BU28" s="74"/>
      <c r="BV28" s="74"/>
      <c r="BW28" s="74"/>
      <c r="BX28" s="74"/>
    </row>
  </sheetData>
  <mergeCells count="201">
    <mergeCell ref="A10:D10"/>
    <mergeCell ref="E10:I10"/>
    <mergeCell ref="J10:Q10"/>
    <mergeCell ref="R10:V10"/>
    <mergeCell ref="AH9:BQ9"/>
    <mergeCell ref="BR9:BX9"/>
    <mergeCell ref="W12:Z12"/>
    <mergeCell ref="AA12:AG12"/>
    <mergeCell ref="AH12:BQ12"/>
    <mergeCell ref="BR12:BX12"/>
    <mergeCell ref="A12:D12"/>
    <mergeCell ref="E12:I12"/>
    <mergeCell ref="J12:Q12"/>
    <mergeCell ref="R12:V12"/>
    <mergeCell ref="AH11:BQ11"/>
    <mergeCell ref="BR11:BX11"/>
    <mergeCell ref="A11:D11"/>
    <mergeCell ref="E11:I11"/>
    <mergeCell ref="J11:Q11"/>
    <mergeCell ref="R11:V11"/>
    <mergeCell ref="W11:Z11"/>
    <mergeCell ref="AA11:AG11"/>
    <mergeCell ref="AH8:BQ8"/>
    <mergeCell ref="BR8:BX8"/>
    <mergeCell ref="AA8:AG8"/>
    <mergeCell ref="W8:Z8"/>
    <mergeCell ref="BR7:BX7"/>
    <mergeCell ref="AH7:BQ7"/>
    <mergeCell ref="R9:V9"/>
    <mergeCell ref="W10:Z10"/>
    <mergeCell ref="AA10:AG10"/>
    <mergeCell ref="AH10:BQ10"/>
    <mergeCell ref="BR10:BX10"/>
    <mergeCell ref="R7:V7"/>
    <mergeCell ref="J8:Q8"/>
    <mergeCell ref="R8:V8"/>
    <mergeCell ref="W9:Z9"/>
    <mergeCell ref="AA9:AG9"/>
    <mergeCell ref="A5:D5"/>
    <mergeCell ref="R5:V5"/>
    <mergeCell ref="W7:Z7"/>
    <mergeCell ref="AA7:AG7"/>
    <mergeCell ref="A3:D4"/>
    <mergeCell ref="J3:Q4"/>
    <mergeCell ref="A9:D9"/>
    <mergeCell ref="E9:I9"/>
    <mergeCell ref="J9:Q9"/>
    <mergeCell ref="A8:D8"/>
    <mergeCell ref="E8:I8"/>
    <mergeCell ref="A6:D6"/>
    <mergeCell ref="E6:I6"/>
    <mergeCell ref="J6:Q6"/>
    <mergeCell ref="J5:Q5"/>
    <mergeCell ref="E3:I4"/>
    <mergeCell ref="E5:I5"/>
    <mergeCell ref="A7:D7"/>
    <mergeCell ref="E7:I7"/>
    <mergeCell ref="J7:Q7"/>
    <mergeCell ref="R3:V4"/>
    <mergeCell ref="R6:V6"/>
    <mergeCell ref="BR3:BX4"/>
    <mergeCell ref="AH3:BQ4"/>
    <mergeCell ref="AH5:BQ5"/>
    <mergeCell ref="BR5:BX5"/>
    <mergeCell ref="W6:Z6"/>
    <mergeCell ref="AA6:AG6"/>
    <mergeCell ref="AH6:BQ6"/>
    <mergeCell ref="BR6:BX6"/>
    <mergeCell ref="AA4:AG4"/>
    <mergeCell ref="W3:AG3"/>
    <mergeCell ref="W4:Z4"/>
    <mergeCell ref="W5:Z5"/>
    <mergeCell ref="AA5:AG5"/>
    <mergeCell ref="AA13:AG13"/>
    <mergeCell ref="AH13:BQ13"/>
    <mergeCell ref="BR13:BX13"/>
    <mergeCell ref="A14:D14"/>
    <mergeCell ref="E14:I14"/>
    <mergeCell ref="J14:Q14"/>
    <mergeCell ref="R14:V14"/>
    <mergeCell ref="W14:Z14"/>
    <mergeCell ref="AA14:AG14"/>
    <mergeCell ref="AH14:BQ14"/>
    <mergeCell ref="BR14:BX14"/>
    <mergeCell ref="A13:D13"/>
    <mergeCell ref="E13:I13"/>
    <mergeCell ref="J13:Q13"/>
    <mergeCell ref="R13:V13"/>
    <mergeCell ref="W13:Z13"/>
    <mergeCell ref="AA15:AG15"/>
    <mergeCell ref="AH15:BQ15"/>
    <mergeCell ref="BR15:BX15"/>
    <mergeCell ref="A16:D16"/>
    <mergeCell ref="E16:I16"/>
    <mergeCell ref="J16:Q16"/>
    <mergeCell ref="R16:V16"/>
    <mergeCell ref="W16:Z16"/>
    <mergeCell ref="AA16:AG16"/>
    <mergeCell ref="AH16:BQ16"/>
    <mergeCell ref="BR16:BX16"/>
    <mergeCell ref="A15:D15"/>
    <mergeCell ref="E15:I15"/>
    <mergeCell ref="J15:Q15"/>
    <mergeCell ref="R15:V15"/>
    <mergeCell ref="W15:Z15"/>
    <mergeCell ref="AA17:AG17"/>
    <mergeCell ref="AH17:BQ17"/>
    <mergeCell ref="BR17:BX17"/>
    <mergeCell ref="A18:D18"/>
    <mergeCell ref="E18:I18"/>
    <mergeCell ref="J18:Q18"/>
    <mergeCell ref="R18:V18"/>
    <mergeCell ref="W18:Z18"/>
    <mergeCell ref="AA18:AG18"/>
    <mergeCell ref="AH18:BQ18"/>
    <mergeCell ref="BR18:BX18"/>
    <mergeCell ref="A17:D17"/>
    <mergeCell ref="E17:I17"/>
    <mergeCell ref="J17:Q17"/>
    <mergeCell ref="R17:V17"/>
    <mergeCell ref="W17:Z17"/>
    <mergeCell ref="AA19:AG19"/>
    <mergeCell ref="AH19:BQ19"/>
    <mergeCell ref="BR19:BX19"/>
    <mergeCell ref="A20:D20"/>
    <mergeCell ref="E20:I20"/>
    <mergeCell ref="J20:Q20"/>
    <mergeCell ref="R20:V20"/>
    <mergeCell ref="W20:Z20"/>
    <mergeCell ref="AA20:AG20"/>
    <mergeCell ref="AH20:BQ20"/>
    <mergeCell ref="BR20:BX20"/>
    <mergeCell ref="A19:D19"/>
    <mergeCell ref="E19:I19"/>
    <mergeCell ref="J19:Q19"/>
    <mergeCell ref="R19:V19"/>
    <mergeCell ref="W19:Z19"/>
    <mergeCell ref="AA21:AG21"/>
    <mergeCell ref="AH21:BQ21"/>
    <mergeCell ref="BR21:BX21"/>
    <mergeCell ref="A21:D21"/>
    <mergeCell ref="E21:I21"/>
    <mergeCell ref="J21:Q21"/>
    <mergeCell ref="R21:V21"/>
    <mergeCell ref="W21:Z21"/>
    <mergeCell ref="A22:D22"/>
    <mergeCell ref="E22:I22"/>
    <mergeCell ref="J22:Q22"/>
    <mergeCell ref="R22:V22"/>
    <mergeCell ref="W22:Z22"/>
    <mergeCell ref="AA22:AG22"/>
    <mergeCell ref="AH22:BQ22"/>
    <mergeCell ref="BR22:BX22"/>
    <mergeCell ref="AA23:AG23"/>
    <mergeCell ref="AH23:BQ23"/>
    <mergeCell ref="BR23:BX23"/>
    <mergeCell ref="A23:D23"/>
    <mergeCell ref="E23:I23"/>
    <mergeCell ref="J23:Q23"/>
    <mergeCell ref="R23:V23"/>
    <mergeCell ref="W23:Z23"/>
    <mergeCell ref="AA24:AG24"/>
    <mergeCell ref="AH24:BQ24"/>
    <mergeCell ref="BR24:BX24"/>
    <mergeCell ref="A25:D25"/>
    <mergeCell ref="E25:I25"/>
    <mergeCell ref="J25:Q25"/>
    <mergeCell ref="R25:V25"/>
    <mergeCell ref="W25:Z25"/>
    <mergeCell ref="AA25:AG25"/>
    <mergeCell ref="AH25:BQ25"/>
    <mergeCell ref="BR25:BX25"/>
    <mergeCell ref="A24:D24"/>
    <mergeCell ref="E24:I24"/>
    <mergeCell ref="J24:Q24"/>
    <mergeCell ref="R24:V24"/>
    <mergeCell ref="W24:Z24"/>
    <mergeCell ref="AA28:AG28"/>
    <mergeCell ref="AH28:BQ28"/>
    <mergeCell ref="BR28:BX28"/>
    <mergeCell ref="A28:D28"/>
    <mergeCell ref="E28:I28"/>
    <mergeCell ref="J28:Q28"/>
    <mergeCell ref="R28:V28"/>
    <mergeCell ref="W28:Z28"/>
    <mergeCell ref="AA26:AG26"/>
    <mergeCell ref="AH26:BQ26"/>
    <mergeCell ref="BR26:BX26"/>
    <mergeCell ref="A27:D27"/>
    <mergeCell ref="E27:I27"/>
    <mergeCell ref="J27:Q27"/>
    <mergeCell ref="R27:V27"/>
    <mergeCell ref="W27:Z27"/>
    <mergeCell ref="AA27:AG27"/>
    <mergeCell ref="AH27:BQ27"/>
    <mergeCell ref="BR27:BX27"/>
    <mergeCell ref="A26:D26"/>
    <mergeCell ref="E26:I26"/>
    <mergeCell ref="J26:Q26"/>
    <mergeCell ref="R26:V26"/>
    <mergeCell ref="W26:Z26"/>
  </mergeCells>
  <phoneticPr fontId="2"/>
  <pageMargins left="0.21" right="0.2" top="0.78740157480314965" bottom="0.39370078740157483" header="0.59055118110236227" footer="0.19685039370078741"/>
  <pageSetup paperSize="9" orientation="landscape" r:id="rId1"/>
  <headerFooter alignWithMargins="0">
    <oddFooter>&amp;R&amp;9株式会社　京信システムサービス&amp;C&amp;11&amp;P　/　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CT211"/>
  <sheetViews>
    <sheetView tabSelected="1" view="pageBreakPreview" zoomScaleNormal="85" zoomScaleSheetLayoutView="100" workbookViewId="0">
      <pane ySplit="3" topLeftCell="A118" activePane="bottomLeft" state="frozen"/>
      <selection activeCell="J6" sqref="J6:Q6"/>
      <selection pane="bottomLeft" activeCell="A128" sqref="A128:CR128"/>
    </sheetView>
  </sheetViews>
  <sheetFormatPr defaultColWidth="1.88671875" defaultRowHeight="15" customHeight="1" x14ac:dyDescent="0.15"/>
  <cols>
    <col min="1" max="16384" width="1.88671875" style="17"/>
  </cols>
  <sheetData>
    <row r="1" spans="1:96" s="15" customFormat="1" ht="15" customHeight="1" x14ac:dyDescent="0.2">
      <c r="A1" s="154" t="s">
        <v>1</v>
      </c>
      <c r="B1" s="155"/>
      <c r="C1" s="155"/>
      <c r="D1" s="155"/>
      <c r="E1" s="155"/>
      <c r="F1" s="155"/>
      <c r="G1" s="155"/>
      <c r="H1" s="156"/>
      <c r="I1" s="157" t="str">
        <f>タイトル!I40</f>
        <v>　学生勤務管理システム</v>
      </c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9"/>
      <c r="AE1" s="160" t="s">
        <v>0</v>
      </c>
      <c r="AF1" s="161"/>
      <c r="AG1" s="161"/>
      <c r="AH1" s="161"/>
      <c r="AI1" s="161"/>
      <c r="AJ1" s="161"/>
      <c r="AK1" s="162"/>
      <c r="AL1" s="163" t="str">
        <f>タイトル!I43</f>
        <v>　機能設計</v>
      </c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5"/>
      <c r="BI1" s="160" t="s">
        <v>12</v>
      </c>
      <c r="BJ1" s="161"/>
      <c r="BK1" s="161"/>
      <c r="BL1" s="162"/>
      <c r="BM1" s="166" t="str">
        <f>タイトル!I46</f>
        <v>木田　優</v>
      </c>
      <c r="BN1" s="167"/>
      <c r="BO1" s="167"/>
      <c r="BP1" s="167"/>
      <c r="BQ1" s="167"/>
      <c r="BR1" s="167"/>
      <c r="BS1" s="167"/>
      <c r="BT1" s="167"/>
      <c r="BU1" s="167"/>
      <c r="BV1" s="168"/>
      <c r="BW1" s="193">
        <f>タイトル!I47</f>
        <v>45205</v>
      </c>
      <c r="BX1" s="194"/>
      <c r="BY1" s="194"/>
      <c r="BZ1" s="194"/>
      <c r="CA1" s="194"/>
      <c r="CB1" s="194"/>
      <c r="CC1" s="194"/>
      <c r="CD1" s="194"/>
      <c r="CE1" s="195"/>
      <c r="CF1" s="115" t="s">
        <v>13</v>
      </c>
      <c r="CG1" s="116"/>
      <c r="CH1" s="116"/>
      <c r="CI1" s="116"/>
      <c r="CJ1" s="117"/>
      <c r="CK1" s="124" t="str">
        <f>タイトル!I50</f>
        <v>DUC010</v>
      </c>
      <c r="CL1" s="125"/>
      <c r="CM1" s="125"/>
      <c r="CN1" s="125"/>
      <c r="CO1" s="125"/>
      <c r="CP1" s="125"/>
      <c r="CQ1" s="125"/>
      <c r="CR1" s="126"/>
    </row>
    <row r="2" spans="1:96" s="15" customFormat="1" ht="15" customHeight="1" x14ac:dyDescent="0.2">
      <c r="A2" s="133" t="s">
        <v>14</v>
      </c>
      <c r="B2" s="134"/>
      <c r="C2" s="134"/>
      <c r="D2" s="134"/>
      <c r="E2" s="134"/>
      <c r="F2" s="134"/>
      <c r="G2" s="134"/>
      <c r="H2" s="135"/>
      <c r="I2" s="136" t="str">
        <f>タイトル!I41</f>
        <v>　共通機能</v>
      </c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8"/>
      <c r="AE2" s="139" t="s">
        <v>32</v>
      </c>
      <c r="AF2" s="140"/>
      <c r="AG2" s="140"/>
      <c r="AH2" s="140"/>
      <c r="AI2" s="140"/>
      <c r="AJ2" s="140"/>
      <c r="AK2" s="141"/>
      <c r="AL2" s="142" t="str">
        <f>タイトル!I44</f>
        <v>　CZ-800_統合DB連携</v>
      </c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4"/>
      <c r="BI2" s="145" t="s">
        <v>15</v>
      </c>
      <c r="BJ2" s="146"/>
      <c r="BK2" s="146"/>
      <c r="BL2" s="147"/>
      <c r="BM2" s="148" t="s">
        <v>96</v>
      </c>
      <c r="BN2" s="149"/>
      <c r="BO2" s="149"/>
      <c r="BP2" s="149"/>
      <c r="BQ2" s="149"/>
      <c r="BR2" s="149"/>
      <c r="BS2" s="149"/>
      <c r="BT2" s="149"/>
      <c r="BU2" s="149"/>
      <c r="BV2" s="150"/>
      <c r="BW2" s="151">
        <v>46086</v>
      </c>
      <c r="BX2" s="152"/>
      <c r="BY2" s="152"/>
      <c r="BZ2" s="152"/>
      <c r="CA2" s="152"/>
      <c r="CB2" s="152"/>
      <c r="CC2" s="152"/>
      <c r="CD2" s="152"/>
      <c r="CE2" s="153"/>
      <c r="CF2" s="118"/>
      <c r="CG2" s="119"/>
      <c r="CH2" s="119"/>
      <c r="CI2" s="119"/>
      <c r="CJ2" s="120"/>
      <c r="CK2" s="127"/>
      <c r="CL2" s="128"/>
      <c r="CM2" s="128"/>
      <c r="CN2" s="128"/>
      <c r="CO2" s="128"/>
      <c r="CP2" s="128"/>
      <c r="CQ2" s="128"/>
      <c r="CR2" s="129"/>
    </row>
    <row r="3" spans="1:96" s="15" customFormat="1" ht="15" customHeight="1" thickBot="1" x14ac:dyDescent="0.25">
      <c r="A3" s="169"/>
      <c r="B3" s="170"/>
      <c r="C3" s="170"/>
      <c r="D3" s="170"/>
      <c r="E3" s="170"/>
      <c r="F3" s="170"/>
      <c r="G3" s="170"/>
      <c r="H3" s="171"/>
      <c r="I3" s="172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4"/>
      <c r="AE3" s="121"/>
      <c r="AF3" s="122"/>
      <c r="AG3" s="122"/>
      <c r="AH3" s="122"/>
      <c r="AI3" s="122"/>
      <c r="AJ3" s="122"/>
      <c r="AK3" s="123"/>
      <c r="AL3" s="175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176"/>
      <c r="BH3" s="177"/>
      <c r="BI3" s="178"/>
      <c r="BJ3" s="179"/>
      <c r="BK3" s="179"/>
      <c r="BL3" s="180"/>
      <c r="BM3" s="181"/>
      <c r="BN3" s="182"/>
      <c r="BO3" s="182"/>
      <c r="BP3" s="182"/>
      <c r="BQ3" s="182"/>
      <c r="BR3" s="182"/>
      <c r="BS3" s="182"/>
      <c r="BT3" s="182"/>
      <c r="BU3" s="182"/>
      <c r="BV3" s="182"/>
      <c r="BW3" s="182"/>
      <c r="BX3" s="182"/>
      <c r="BY3" s="182"/>
      <c r="BZ3" s="182"/>
      <c r="CA3" s="182"/>
      <c r="CB3" s="182"/>
      <c r="CC3" s="182"/>
      <c r="CD3" s="182"/>
      <c r="CE3" s="183"/>
      <c r="CF3" s="121"/>
      <c r="CG3" s="122"/>
      <c r="CH3" s="122"/>
      <c r="CI3" s="122"/>
      <c r="CJ3" s="123"/>
      <c r="CK3" s="130"/>
      <c r="CL3" s="131"/>
      <c r="CM3" s="131"/>
      <c r="CN3" s="131"/>
      <c r="CO3" s="131"/>
      <c r="CP3" s="131"/>
      <c r="CQ3" s="131"/>
      <c r="CR3" s="132"/>
    </row>
    <row r="4" spans="1:96" s="16" customFormat="1" ht="15" customHeight="1" x14ac:dyDescent="0.2">
      <c r="A4" s="208" t="s">
        <v>36</v>
      </c>
      <c r="B4" s="209"/>
      <c r="C4" s="209"/>
      <c r="D4" s="209"/>
      <c r="E4" s="209"/>
      <c r="F4" s="209"/>
      <c r="G4" s="209"/>
      <c r="H4" s="209"/>
      <c r="I4" s="210" t="str">
        <f>"　" &amp; RIGHT(タイトル!I44,LEN(タイトル!I44)-8)</f>
        <v>　統合DB連携</v>
      </c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210"/>
      <c r="AK4" s="210"/>
      <c r="AL4" s="209" t="s">
        <v>37</v>
      </c>
      <c r="AM4" s="209"/>
      <c r="AN4" s="209"/>
      <c r="AO4" s="209"/>
      <c r="AP4" s="209"/>
      <c r="AQ4" s="209"/>
      <c r="AR4" s="209"/>
      <c r="AS4" s="211" t="str">
        <f>LEFT(タイトル!I44,7)</f>
        <v>　CZ-800</v>
      </c>
      <c r="AT4" s="211"/>
      <c r="AU4" s="211"/>
      <c r="AV4" s="211"/>
      <c r="AW4" s="211"/>
      <c r="AX4" s="211"/>
      <c r="AY4" s="211"/>
      <c r="AZ4" s="211"/>
      <c r="BA4" s="211"/>
      <c r="BB4" s="211"/>
      <c r="BC4" s="211"/>
      <c r="BD4" s="211"/>
      <c r="BE4" s="211"/>
      <c r="BF4" s="211"/>
      <c r="BG4" s="211"/>
      <c r="BH4" s="211"/>
      <c r="BI4" s="212" t="s">
        <v>35</v>
      </c>
      <c r="BJ4" s="213"/>
      <c r="BK4" s="213"/>
      <c r="BL4" s="213"/>
      <c r="BM4" s="213"/>
      <c r="BN4" s="213"/>
      <c r="BO4" s="213"/>
      <c r="BP4" s="213"/>
      <c r="BQ4" s="213"/>
      <c r="BR4" s="213"/>
      <c r="BS4" s="213"/>
      <c r="BT4" s="205" t="s">
        <v>47</v>
      </c>
      <c r="BU4" s="206"/>
      <c r="BV4" s="206"/>
      <c r="BW4" s="206"/>
      <c r="BX4" s="206"/>
      <c r="BY4" s="206"/>
      <c r="BZ4" s="206"/>
      <c r="CA4" s="206"/>
      <c r="CB4" s="206"/>
      <c r="CC4" s="206"/>
      <c r="CD4" s="206"/>
      <c r="CE4" s="206"/>
      <c r="CF4" s="206"/>
      <c r="CG4" s="206"/>
      <c r="CH4" s="206"/>
      <c r="CI4" s="206"/>
      <c r="CJ4" s="206"/>
      <c r="CK4" s="206"/>
      <c r="CL4" s="206"/>
      <c r="CM4" s="206"/>
      <c r="CN4" s="206"/>
      <c r="CO4" s="206"/>
      <c r="CP4" s="206"/>
      <c r="CQ4" s="206"/>
      <c r="CR4" s="207"/>
    </row>
    <row r="5" spans="1:96" s="13" customFormat="1" ht="15" customHeight="1" x14ac:dyDescent="0.15">
      <c r="A5" s="202" t="s">
        <v>39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  <c r="AK5" s="203"/>
      <c r="AL5" s="203"/>
      <c r="AM5" s="203"/>
      <c r="AN5" s="203"/>
      <c r="AO5" s="203"/>
      <c r="AP5" s="203"/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3"/>
      <c r="BC5" s="203"/>
      <c r="BD5" s="203"/>
      <c r="BE5" s="203"/>
      <c r="BF5" s="203"/>
      <c r="BG5" s="203"/>
      <c r="BH5" s="203"/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3"/>
      <c r="BU5" s="203"/>
      <c r="BV5" s="203"/>
      <c r="BW5" s="203"/>
      <c r="BX5" s="203"/>
      <c r="BY5" s="203"/>
      <c r="BZ5" s="203"/>
      <c r="CA5" s="203"/>
      <c r="CB5" s="203"/>
      <c r="CC5" s="203"/>
      <c r="CD5" s="203"/>
      <c r="CE5" s="203"/>
      <c r="CF5" s="203"/>
      <c r="CG5" s="203"/>
      <c r="CH5" s="203"/>
      <c r="CI5" s="203"/>
      <c r="CJ5" s="203"/>
      <c r="CK5" s="203"/>
      <c r="CL5" s="203"/>
      <c r="CM5" s="203"/>
      <c r="CN5" s="203"/>
      <c r="CO5" s="203"/>
      <c r="CP5" s="203"/>
      <c r="CQ5" s="203"/>
      <c r="CR5" s="204"/>
    </row>
    <row r="6" spans="1:96" s="13" customFormat="1" ht="15" customHeight="1" x14ac:dyDescent="0.15">
      <c r="A6" s="20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9"/>
    </row>
    <row r="7" spans="1:96" s="13" customFormat="1" ht="15" customHeight="1" x14ac:dyDescent="0.15">
      <c r="A7" s="20"/>
      <c r="B7" s="18" t="s">
        <v>69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9"/>
    </row>
    <row r="8" spans="1:96" s="13" customFormat="1" ht="15" customHeight="1" x14ac:dyDescent="0.15">
      <c r="A8" s="20"/>
      <c r="C8" s="18" t="s">
        <v>70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9"/>
    </row>
    <row r="9" spans="1:96" s="13" customFormat="1" ht="15" customHeight="1" x14ac:dyDescent="0.15">
      <c r="A9" s="20"/>
      <c r="C9" s="18" t="s">
        <v>68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9"/>
    </row>
    <row r="10" spans="1:96" s="12" customFormat="1" ht="15" customHeight="1" x14ac:dyDescent="0.15">
      <c r="A10" s="202" t="s">
        <v>48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  <c r="AK10" s="203"/>
      <c r="AL10" s="203"/>
      <c r="AM10" s="203"/>
      <c r="AN10" s="203"/>
      <c r="AO10" s="203"/>
      <c r="AP10" s="203"/>
      <c r="AQ10" s="203"/>
      <c r="AR10" s="203"/>
      <c r="AS10" s="203"/>
      <c r="AT10" s="203"/>
      <c r="AU10" s="203"/>
      <c r="AV10" s="203"/>
      <c r="AW10" s="203"/>
      <c r="AX10" s="203"/>
      <c r="AY10" s="203"/>
      <c r="AZ10" s="203"/>
      <c r="BA10" s="203"/>
      <c r="BB10" s="203"/>
      <c r="BC10" s="203"/>
      <c r="BD10" s="203"/>
      <c r="BE10" s="203"/>
      <c r="BF10" s="203"/>
      <c r="BG10" s="203"/>
      <c r="BH10" s="203"/>
      <c r="BI10" s="203"/>
      <c r="BJ10" s="203"/>
      <c r="BK10" s="203"/>
      <c r="BL10" s="203"/>
      <c r="BM10" s="203"/>
      <c r="BN10" s="203"/>
      <c r="BO10" s="203"/>
      <c r="BP10" s="203"/>
      <c r="BQ10" s="203"/>
      <c r="BR10" s="203"/>
      <c r="BS10" s="203"/>
      <c r="BT10" s="203"/>
      <c r="BU10" s="203"/>
      <c r="BV10" s="203"/>
      <c r="BW10" s="203"/>
      <c r="BX10" s="203"/>
      <c r="BY10" s="203"/>
      <c r="BZ10" s="203"/>
      <c r="CA10" s="203"/>
      <c r="CB10" s="203"/>
      <c r="CC10" s="203"/>
      <c r="CD10" s="203"/>
      <c r="CE10" s="203"/>
      <c r="CF10" s="203"/>
      <c r="CG10" s="203"/>
      <c r="CH10" s="203"/>
      <c r="CI10" s="203"/>
      <c r="CJ10" s="203"/>
      <c r="CK10" s="203"/>
      <c r="CL10" s="203"/>
      <c r="CM10" s="203"/>
      <c r="CN10" s="203"/>
      <c r="CO10" s="203"/>
      <c r="CP10" s="203"/>
      <c r="CQ10" s="203"/>
      <c r="CR10" s="204"/>
    </row>
    <row r="11" spans="1:96" s="13" customFormat="1" ht="15" customHeight="1" x14ac:dyDescent="0.15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4"/>
    </row>
    <row r="12" spans="1:96" s="13" customFormat="1" ht="15" customHeight="1" x14ac:dyDescent="0.15">
      <c r="A12" s="22"/>
      <c r="B12" s="12" t="s">
        <v>49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24"/>
    </row>
    <row r="13" spans="1:96" s="13" customFormat="1" ht="15" customHeight="1" x14ac:dyDescent="0.15">
      <c r="A13" s="2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24"/>
    </row>
    <row r="14" spans="1:96" s="13" customFormat="1" ht="15" customHeight="1" x14ac:dyDescent="0.15">
      <c r="A14" s="22"/>
      <c r="B14" s="12" t="s">
        <v>269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24"/>
    </row>
    <row r="15" spans="1:96" s="13" customFormat="1" ht="15" customHeight="1" x14ac:dyDescent="0.15">
      <c r="A15" s="2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24"/>
    </row>
    <row r="16" spans="1:96" s="13" customFormat="1" ht="15" customHeight="1" x14ac:dyDescent="0.15">
      <c r="A16" s="22"/>
      <c r="B16" s="12"/>
      <c r="C16" s="21" t="s">
        <v>270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24"/>
    </row>
    <row r="17" spans="1:96" s="13" customFormat="1" ht="15" customHeight="1" x14ac:dyDescent="0.15">
      <c r="A17" s="22"/>
      <c r="B17" s="12"/>
      <c r="C17" s="12"/>
      <c r="D17" s="12" t="s">
        <v>271</v>
      </c>
      <c r="E17" s="48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24"/>
    </row>
    <row r="18" spans="1:96" s="13" customFormat="1" ht="15" customHeight="1" x14ac:dyDescent="0.15">
      <c r="A18" s="2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AC18" s="12"/>
      <c r="AD18" s="12"/>
      <c r="AG18" s="12"/>
      <c r="AH18" s="12" t="s">
        <v>305</v>
      </c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 t="s">
        <v>306</v>
      </c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 t="s">
        <v>305</v>
      </c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 t="s">
        <v>306</v>
      </c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24"/>
    </row>
    <row r="19" spans="1:96" s="13" customFormat="1" ht="15" customHeight="1" x14ac:dyDescent="0.15">
      <c r="A19" s="2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AC19" s="12"/>
      <c r="AD19" s="12"/>
      <c r="AE19" s="12"/>
      <c r="AG19" s="12"/>
      <c r="AH19" s="57" t="s">
        <v>272</v>
      </c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60" t="s">
        <v>273</v>
      </c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9"/>
      <c r="BH19" s="57" t="s">
        <v>280</v>
      </c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60" t="s">
        <v>293</v>
      </c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9"/>
      <c r="CH19" s="12"/>
      <c r="CI19" s="12"/>
      <c r="CJ19" s="12"/>
      <c r="CK19" s="12"/>
      <c r="CL19" s="12"/>
      <c r="CM19" s="23"/>
      <c r="CN19" s="23"/>
      <c r="CO19" s="23"/>
      <c r="CP19" s="12"/>
      <c r="CQ19" s="12"/>
      <c r="CR19" s="24"/>
    </row>
    <row r="20" spans="1:96" s="13" customFormat="1" ht="15" customHeight="1" x14ac:dyDescent="0.15">
      <c r="A20" s="2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AC20" s="12"/>
      <c r="AD20" s="12"/>
      <c r="AE20" s="12"/>
      <c r="AG20" s="12"/>
      <c r="AH20" s="57" t="s">
        <v>274</v>
      </c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60" t="s">
        <v>287</v>
      </c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9"/>
      <c r="BH20" s="57" t="s">
        <v>281</v>
      </c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60" t="s">
        <v>294</v>
      </c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9"/>
      <c r="CH20" s="12"/>
      <c r="CI20" s="12"/>
      <c r="CJ20" s="12"/>
      <c r="CK20" s="12"/>
      <c r="CL20" s="12"/>
      <c r="CM20" s="23"/>
      <c r="CN20" s="23"/>
      <c r="CO20" s="23"/>
      <c r="CP20" s="12"/>
      <c r="CQ20" s="12"/>
      <c r="CR20" s="24"/>
    </row>
    <row r="21" spans="1:96" s="13" customFormat="1" ht="15" customHeight="1" x14ac:dyDescent="0.15">
      <c r="A21" s="2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AC21" s="12"/>
      <c r="AD21" s="12"/>
      <c r="AE21" s="12"/>
      <c r="AG21" s="12"/>
      <c r="AH21" s="57" t="s">
        <v>275</v>
      </c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60" t="s">
        <v>288</v>
      </c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9"/>
      <c r="BH21" s="57" t="s">
        <v>282</v>
      </c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60" t="s">
        <v>295</v>
      </c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9"/>
      <c r="CH21" s="12"/>
      <c r="CI21" s="12"/>
      <c r="CJ21" s="12"/>
      <c r="CK21" s="12"/>
      <c r="CL21" s="12"/>
      <c r="CM21" s="23"/>
      <c r="CN21" s="23"/>
      <c r="CO21" s="23"/>
      <c r="CP21" s="12"/>
      <c r="CQ21" s="12"/>
      <c r="CR21" s="24"/>
    </row>
    <row r="22" spans="1:96" s="13" customFormat="1" ht="15" customHeight="1" x14ac:dyDescent="0.15">
      <c r="A22" s="2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AC22" s="12"/>
      <c r="AD22" s="12"/>
      <c r="AE22" s="12"/>
      <c r="AG22" s="12"/>
      <c r="AH22" s="57" t="s">
        <v>276</v>
      </c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60" t="s">
        <v>289</v>
      </c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9"/>
      <c r="BH22" s="57" t="s">
        <v>283</v>
      </c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60" t="s">
        <v>296</v>
      </c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9"/>
      <c r="CH22" s="12"/>
      <c r="CI22" s="12"/>
      <c r="CJ22" s="12"/>
      <c r="CK22" s="12"/>
      <c r="CL22" s="12"/>
      <c r="CM22" s="23"/>
      <c r="CN22" s="23"/>
      <c r="CO22" s="23"/>
      <c r="CP22" s="12"/>
      <c r="CQ22" s="12"/>
      <c r="CR22" s="24"/>
    </row>
    <row r="23" spans="1:96" s="13" customFormat="1" ht="15" customHeight="1" x14ac:dyDescent="0.15">
      <c r="A23" s="2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AC23" s="12"/>
      <c r="AD23" s="12"/>
      <c r="AE23" s="12"/>
      <c r="AG23" s="12"/>
      <c r="AH23" s="57" t="s">
        <v>277</v>
      </c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60" t="s">
        <v>290</v>
      </c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9"/>
      <c r="BH23" s="57" t="s">
        <v>284</v>
      </c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60" t="s">
        <v>297</v>
      </c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9"/>
      <c r="CH23" s="12"/>
      <c r="CI23" s="12"/>
      <c r="CJ23" s="12"/>
      <c r="CK23" s="12"/>
      <c r="CL23" s="12"/>
      <c r="CM23" s="18"/>
      <c r="CN23" s="18"/>
      <c r="CO23" s="18"/>
      <c r="CP23" s="12"/>
      <c r="CQ23" s="12"/>
      <c r="CR23" s="24"/>
    </row>
    <row r="24" spans="1:96" s="13" customFormat="1" ht="15" customHeight="1" x14ac:dyDescent="0.15">
      <c r="A24" s="2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AC24" s="12"/>
      <c r="AD24" s="12"/>
      <c r="AE24" s="12"/>
      <c r="AG24" s="12"/>
      <c r="AH24" s="57" t="s">
        <v>278</v>
      </c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60" t="s">
        <v>291</v>
      </c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9"/>
      <c r="BH24" s="57" t="s">
        <v>285</v>
      </c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60" t="s">
        <v>298</v>
      </c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9"/>
      <c r="CH24" s="12"/>
      <c r="CI24" s="12"/>
      <c r="CJ24" s="12"/>
      <c r="CK24" s="12"/>
      <c r="CL24" s="12"/>
      <c r="CM24" s="23"/>
      <c r="CN24" s="23"/>
      <c r="CO24" s="23"/>
      <c r="CP24" s="12"/>
      <c r="CQ24" s="12"/>
      <c r="CR24" s="24"/>
    </row>
    <row r="25" spans="1:96" s="13" customFormat="1" ht="15" customHeight="1" x14ac:dyDescent="0.15">
      <c r="A25" s="2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AC25" s="12"/>
      <c r="AD25" s="12"/>
      <c r="AE25" s="12"/>
      <c r="AG25" s="12"/>
      <c r="AH25" s="57" t="s">
        <v>279</v>
      </c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60" t="s">
        <v>292</v>
      </c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9"/>
      <c r="BH25" s="57" t="s">
        <v>286</v>
      </c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60" t="s">
        <v>299</v>
      </c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9"/>
      <c r="CH25" s="12"/>
      <c r="CI25" s="12"/>
      <c r="CJ25" s="12"/>
      <c r="CK25" s="12"/>
      <c r="CL25" s="12"/>
      <c r="CM25" s="23"/>
      <c r="CN25" s="23"/>
      <c r="CO25" s="23"/>
      <c r="CP25" s="12"/>
      <c r="CQ25" s="12"/>
      <c r="CR25" s="24"/>
    </row>
    <row r="26" spans="1:96" s="13" customFormat="1" ht="15" customHeight="1" x14ac:dyDescent="0.15">
      <c r="A26" s="22"/>
      <c r="B26" s="12"/>
      <c r="AE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Q26" s="12"/>
      <c r="CR26" s="24"/>
    </row>
    <row r="27" spans="1:96" s="13" customFormat="1" ht="15" customHeight="1" x14ac:dyDescent="0.15">
      <c r="A27" s="22"/>
      <c r="B27" s="12"/>
      <c r="C27" s="30" t="s">
        <v>302</v>
      </c>
      <c r="AE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24"/>
    </row>
    <row r="28" spans="1:96" s="13" customFormat="1" ht="15" customHeight="1" x14ac:dyDescent="0.15">
      <c r="A28" s="22"/>
      <c r="B28" s="12"/>
      <c r="AE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24"/>
    </row>
    <row r="29" spans="1:96" s="13" customFormat="1" ht="15" customHeight="1" x14ac:dyDescent="0.15">
      <c r="A29" s="22"/>
      <c r="B29" s="12"/>
      <c r="C29" s="30" t="s">
        <v>301</v>
      </c>
      <c r="AE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24"/>
    </row>
    <row r="30" spans="1:96" s="13" customFormat="1" ht="15" customHeight="1" x14ac:dyDescent="0.15">
      <c r="A30" s="22"/>
      <c r="B30" s="12"/>
      <c r="E30" s="13" t="s">
        <v>300</v>
      </c>
      <c r="AE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24"/>
    </row>
    <row r="31" spans="1:96" s="13" customFormat="1" ht="15" customHeight="1" x14ac:dyDescent="0.15">
      <c r="A31" s="22"/>
      <c r="B31" s="12"/>
      <c r="AE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24"/>
    </row>
    <row r="32" spans="1:96" s="13" customFormat="1" ht="15" customHeight="1" x14ac:dyDescent="0.15">
      <c r="A32" s="22"/>
      <c r="B32" s="12"/>
      <c r="C32" s="30" t="s">
        <v>303</v>
      </c>
      <c r="AE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24"/>
    </row>
    <row r="33" spans="1:96" s="13" customFormat="1" ht="15" customHeight="1" x14ac:dyDescent="0.15">
      <c r="A33" s="22"/>
      <c r="B33" s="12"/>
      <c r="E33" s="13" t="s">
        <v>304</v>
      </c>
      <c r="AE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24"/>
    </row>
    <row r="34" spans="1:96" s="13" customFormat="1" ht="15" customHeight="1" x14ac:dyDescent="0.15">
      <c r="A34" s="22"/>
      <c r="B34" s="12"/>
      <c r="AE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24"/>
    </row>
    <row r="35" spans="1:96" s="13" customFormat="1" ht="15" customHeight="1" x14ac:dyDescent="0.15">
      <c r="A35" s="22"/>
      <c r="B35" s="12"/>
      <c r="C35" s="13" t="s">
        <v>99</v>
      </c>
      <c r="AE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24"/>
    </row>
    <row r="36" spans="1:96" s="13" customFormat="1" ht="15" customHeight="1" x14ac:dyDescent="0.15">
      <c r="A36" s="22"/>
      <c r="B36" s="12"/>
      <c r="AE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24"/>
    </row>
    <row r="37" spans="1:96" s="13" customFormat="1" ht="15" customHeight="1" x14ac:dyDescent="0.15">
      <c r="A37" s="22"/>
      <c r="B37" s="12"/>
      <c r="AE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24"/>
    </row>
    <row r="38" spans="1:96" s="13" customFormat="1" ht="15" customHeight="1" x14ac:dyDescent="0.15">
      <c r="A38" s="22"/>
      <c r="B38" s="12"/>
      <c r="AE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24"/>
    </row>
    <row r="39" spans="1:96" s="13" customFormat="1" ht="15" customHeight="1" x14ac:dyDescent="0.15">
      <c r="A39" s="22"/>
      <c r="B39" s="12"/>
      <c r="C39" s="30"/>
      <c r="AE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24"/>
    </row>
    <row r="40" spans="1:96" s="13" customFormat="1" ht="15" customHeight="1" x14ac:dyDescent="0.15">
      <c r="A40" s="22"/>
      <c r="B40" s="12"/>
      <c r="C40" s="30"/>
      <c r="AE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24"/>
    </row>
    <row r="41" spans="1:96" s="13" customFormat="1" ht="15" customHeight="1" x14ac:dyDescent="0.15">
      <c r="A41" s="22"/>
      <c r="B41" s="12"/>
      <c r="C41" s="21"/>
      <c r="AE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24"/>
    </row>
    <row r="42" spans="1:96" s="13" customFormat="1" ht="15" customHeight="1" x14ac:dyDescent="0.15">
      <c r="A42" s="22"/>
      <c r="B42" s="12"/>
      <c r="C42" s="21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24"/>
    </row>
    <row r="43" spans="1:96" s="13" customFormat="1" ht="15" customHeight="1" x14ac:dyDescent="0.15">
      <c r="A43" s="22"/>
      <c r="B43" s="23"/>
      <c r="D43" s="12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4"/>
    </row>
    <row r="44" spans="1:96" s="13" customFormat="1" ht="15" customHeight="1" x14ac:dyDescent="0.15">
      <c r="A44" s="22"/>
      <c r="B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4"/>
    </row>
    <row r="45" spans="1:96" s="13" customFormat="1" ht="15" customHeight="1" x14ac:dyDescent="0.15">
      <c r="A45" s="22"/>
      <c r="B45" s="23"/>
      <c r="C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W45" s="12"/>
      <c r="BX45" s="12"/>
      <c r="BY45" s="12"/>
      <c r="BZ45" s="12"/>
      <c r="CA45" s="12"/>
      <c r="CB45" s="12"/>
      <c r="CC45" s="12"/>
      <c r="CD45" s="12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4"/>
    </row>
    <row r="46" spans="1:96" s="13" customFormat="1" ht="15" customHeight="1" thickBot="1" x14ac:dyDescent="0.2">
      <c r="A46" s="25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7"/>
      <c r="BL46" s="27"/>
      <c r="BM46" s="28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9"/>
    </row>
    <row r="47" spans="1:96" ht="15" customHeight="1" thickBot="1" x14ac:dyDescent="0.2">
      <c r="A47" s="112" t="s">
        <v>48</v>
      </c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  <c r="AX47" s="113"/>
      <c r="AY47" s="113"/>
      <c r="AZ47" s="113"/>
      <c r="BA47" s="113"/>
      <c r="BB47" s="113"/>
      <c r="BC47" s="113"/>
      <c r="BD47" s="113"/>
      <c r="BE47" s="113"/>
      <c r="BF47" s="113"/>
      <c r="BG47" s="113"/>
      <c r="BH47" s="11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113"/>
      <c r="BT47" s="113"/>
      <c r="BU47" s="113"/>
      <c r="BV47" s="113"/>
      <c r="BW47" s="113"/>
      <c r="BX47" s="113"/>
      <c r="BY47" s="113"/>
      <c r="BZ47" s="113"/>
      <c r="CA47" s="113"/>
      <c r="CB47" s="113"/>
      <c r="CC47" s="113"/>
      <c r="CD47" s="113"/>
      <c r="CE47" s="113"/>
      <c r="CF47" s="113"/>
      <c r="CG47" s="113"/>
      <c r="CH47" s="113"/>
      <c r="CI47" s="113"/>
      <c r="CJ47" s="113"/>
      <c r="CK47" s="113"/>
      <c r="CL47" s="113"/>
      <c r="CM47" s="113"/>
      <c r="CN47" s="113"/>
      <c r="CO47" s="113"/>
      <c r="CP47" s="113"/>
      <c r="CQ47" s="113"/>
      <c r="CR47" s="114"/>
    </row>
    <row r="48" spans="1:96" ht="15" customHeight="1" x14ac:dyDescent="0.15">
      <c r="A48" s="31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3"/>
    </row>
    <row r="49" spans="1:96" ht="15" customHeight="1" x14ac:dyDescent="0.15">
      <c r="A49" s="34"/>
      <c r="B49" s="17" t="s">
        <v>50</v>
      </c>
      <c r="CR49" s="35"/>
    </row>
    <row r="50" spans="1:96" ht="15" customHeight="1" x14ac:dyDescent="0.15">
      <c r="A50" s="34"/>
      <c r="B50" s="49" t="s">
        <v>97</v>
      </c>
      <c r="CR50" s="35"/>
    </row>
    <row r="51" spans="1:96" ht="15" customHeight="1" x14ac:dyDescent="0.15">
      <c r="A51" s="34"/>
      <c r="C51" s="49" t="s">
        <v>73</v>
      </c>
      <c r="CR51" s="35"/>
    </row>
    <row r="52" spans="1:96" ht="15" customHeight="1" x14ac:dyDescent="0.15">
      <c r="A52" s="34"/>
      <c r="C52" s="49" t="s">
        <v>74</v>
      </c>
      <c r="CR52" s="35"/>
    </row>
    <row r="53" spans="1:96" ht="15" customHeight="1" x14ac:dyDescent="0.15">
      <c r="A53" s="34"/>
      <c r="C53" s="49" t="s">
        <v>201</v>
      </c>
      <c r="K53" s="196" t="s">
        <v>100</v>
      </c>
      <c r="L53" s="197"/>
      <c r="M53" s="197"/>
      <c r="N53" s="197"/>
      <c r="O53" s="197"/>
      <c r="P53" s="197"/>
      <c r="Q53" s="197"/>
      <c r="R53" s="197"/>
      <c r="S53" s="198"/>
      <c r="T53" s="199" t="s">
        <v>101</v>
      </c>
      <c r="U53" s="200"/>
      <c r="V53" s="200"/>
      <c r="W53" s="199" t="s">
        <v>102</v>
      </c>
      <c r="X53" s="200"/>
      <c r="Y53" s="200"/>
      <c r="Z53" s="200"/>
      <c r="AA53" s="200"/>
      <c r="AB53" s="200"/>
      <c r="AC53" s="200"/>
      <c r="AD53" s="200"/>
      <c r="AE53" s="200"/>
      <c r="AF53" s="200"/>
      <c r="AG53" s="200"/>
      <c r="AH53" s="201"/>
      <c r="CR53" s="35"/>
    </row>
    <row r="54" spans="1:96" ht="15" customHeight="1" x14ac:dyDescent="0.15">
      <c r="A54" s="34"/>
      <c r="C54" s="49"/>
      <c r="CR54" s="35"/>
    </row>
    <row r="55" spans="1:96" ht="15" customHeight="1" x14ac:dyDescent="0.15">
      <c r="A55" s="34"/>
      <c r="C55" s="45" t="s">
        <v>52</v>
      </c>
      <c r="D55" s="46"/>
      <c r="E55" s="45" t="s">
        <v>55</v>
      </c>
      <c r="F55" s="47"/>
      <c r="G55" s="47"/>
      <c r="H55" s="47"/>
      <c r="I55" s="47"/>
      <c r="J55" s="47"/>
      <c r="K55" s="47"/>
      <c r="L55" s="47"/>
      <c r="M55" s="47"/>
      <c r="N55" s="45" t="s">
        <v>75</v>
      </c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6"/>
      <c r="AE55" s="45" t="s">
        <v>51</v>
      </c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6"/>
      <c r="AU55" s="45" t="s">
        <v>67</v>
      </c>
      <c r="AV55" s="47"/>
      <c r="AW55" s="47"/>
      <c r="AX55" s="47"/>
      <c r="AY55" s="47"/>
      <c r="AZ55" s="47"/>
      <c r="BA55" s="47"/>
      <c r="BB55" s="47"/>
      <c r="BC55" s="47"/>
      <c r="BD55" s="46"/>
      <c r="BE55" s="45" t="s">
        <v>77</v>
      </c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6"/>
      <c r="CR55" s="35"/>
    </row>
    <row r="56" spans="1:96" ht="15" customHeight="1" x14ac:dyDescent="0.15">
      <c r="A56" s="34"/>
      <c r="C56" s="39" t="s">
        <v>53</v>
      </c>
      <c r="D56" s="40"/>
      <c r="E56" s="39" t="s">
        <v>76</v>
      </c>
      <c r="F56" s="41"/>
      <c r="G56" s="41"/>
      <c r="H56" s="41"/>
      <c r="I56" s="41"/>
      <c r="J56" s="41"/>
      <c r="K56" s="41"/>
      <c r="L56" s="41"/>
      <c r="M56" s="41"/>
      <c r="N56" s="39" t="s">
        <v>57</v>
      </c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0"/>
      <c r="AE56" s="39" t="s">
        <v>57</v>
      </c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0"/>
      <c r="AU56" s="39" t="s">
        <v>200</v>
      </c>
      <c r="AV56" s="41"/>
      <c r="AW56" s="41"/>
      <c r="AX56" s="41"/>
      <c r="AY56" s="41"/>
      <c r="AZ56" s="41"/>
      <c r="BA56" s="41"/>
      <c r="BB56" s="41"/>
      <c r="BC56" s="41"/>
      <c r="BD56" s="40"/>
      <c r="BE56" s="39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0"/>
      <c r="CR56" s="35"/>
    </row>
    <row r="57" spans="1:96" ht="15" customHeight="1" x14ac:dyDescent="0.15">
      <c r="A57" s="34"/>
      <c r="C57" s="39" t="s">
        <v>83</v>
      </c>
      <c r="D57" s="40"/>
      <c r="E57" s="42" t="s">
        <v>54</v>
      </c>
      <c r="F57" s="43"/>
      <c r="G57" s="43"/>
      <c r="H57" s="43"/>
      <c r="I57" s="43"/>
      <c r="J57" s="43"/>
      <c r="K57" s="43"/>
      <c r="L57" s="43"/>
      <c r="M57" s="44"/>
      <c r="N57" s="39" t="s">
        <v>58</v>
      </c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0"/>
      <c r="AE57" s="39" t="s">
        <v>58</v>
      </c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0"/>
      <c r="AU57" s="39" t="s">
        <v>200</v>
      </c>
      <c r="AV57" s="41"/>
      <c r="AW57" s="41"/>
      <c r="AX57" s="41"/>
      <c r="AY57" s="41"/>
      <c r="AZ57" s="41"/>
      <c r="BA57" s="41"/>
      <c r="BB57" s="41"/>
      <c r="BC57" s="41"/>
      <c r="BD57" s="40"/>
      <c r="BE57" s="39" t="s">
        <v>98</v>
      </c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0"/>
      <c r="CR57" s="35"/>
    </row>
    <row r="58" spans="1:96" ht="15" customHeight="1" x14ac:dyDescent="0.15">
      <c r="A58" s="34"/>
      <c r="C58" s="39" t="s">
        <v>84</v>
      </c>
      <c r="D58" s="40"/>
      <c r="E58" s="184" t="s">
        <v>78</v>
      </c>
      <c r="F58" s="185"/>
      <c r="G58" s="185"/>
      <c r="H58" s="185"/>
      <c r="I58" s="185"/>
      <c r="J58" s="185"/>
      <c r="K58" s="185"/>
      <c r="L58" s="185"/>
      <c r="M58" s="186"/>
      <c r="N58" s="39" t="s">
        <v>79</v>
      </c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0"/>
      <c r="AE58" s="39" t="s">
        <v>79</v>
      </c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0"/>
      <c r="AU58" s="39" t="s">
        <v>200</v>
      </c>
      <c r="AV58" s="41"/>
      <c r="AW58" s="41"/>
      <c r="AX58" s="41"/>
      <c r="AY58" s="41"/>
      <c r="AZ58" s="41"/>
      <c r="BA58" s="41"/>
      <c r="BB58" s="41"/>
      <c r="BC58" s="41"/>
      <c r="BD58" s="40"/>
      <c r="BE58" s="39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0"/>
      <c r="CR58" s="35"/>
    </row>
    <row r="59" spans="1:96" ht="15" customHeight="1" x14ac:dyDescent="0.15">
      <c r="A59" s="34"/>
      <c r="C59" s="39" t="s">
        <v>85</v>
      </c>
      <c r="D59" s="40"/>
      <c r="E59" s="187"/>
      <c r="F59" s="188"/>
      <c r="G59" s="188"/>
      <c r="H59" s="188"/>
      <c r="I59" s="188"/>
      <c r="J59" s="188"/>
      <c r="K59" s="188"/>
      <c r="L59" s="188"/>
      <c r="M59" s="189"/>
      <c r="N59" s="39" t="s">
        <v>80</v>
      </c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0"/>
      <c r="AE59" s="39" t="s">
        <v>80</v>
      </c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0"/>
      <c r="AU59" s="39" t="s">
        <v>200</v>
      </c>
      <c r="AV59" s="41"/>
      <c r="AW59" s="41"/>
      <c r="AX59" s="41"/>
      <c r="AY59" s="41"/>
      <c r="AZ59" s="41"/>
      <c r="BA59" s="41"/>
      <c r="BB59" s="41"/>
      <c r="BC59" s="41"/>
      <c r="BD59" s="40"/>
      <c r="BE59" s="39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0"/>
      <c r="CR59" s="35"/>
    </row>
    <row r="60" spans="1:96" ht="15" customHeight="1" x14ac:dyDescent="0.15">
      <c r="A60" s="34"/>
      <c r="C60" s="39" t="s">
        <v>86</v>
      </c>
      <c r="D60" s="40"/>
      <c r="E60" s="187"/>
      <c r="F60" s="188"/>
      <c r="G60" s="188"/>
      <c r="H60" s="188"/>
      <c r="I60" s="188"/>
      <c r="J60" s="188"/>
      <c r="K60" s="188"/>
      <c r="L60" s="188"/>
      <c r="M60" s="189"/>
      <c r="N60" s="39" t="s">
        <v>81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0"/>
      <c r="AE60" s="39" t="s">
        <v>81</v>
      </c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0"/>
      <c r="AU60" s="39" t="s">
        <v>200</v>
      </c>
      <c r="AV60" s="41"/>
      <c r="AW60" s="41"/>
      <c r="AX60" s="41"/>
      <c r="AY60" s="41"/>
      <c r="AZ60" s="41"/>
      <c r="BA60" s="41"/>
      <c r="BB60" s="41"/>
      <c r="BC60" s="41"/>
      <c r="BD60" s="40"/>
      <c r="BE60" s="39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0"/>
      <c r="CR60" s="35"/>
    </row>
    <row r="61" spans="1:96" ht="15" customHeight="1" x14ac:dyDescent="0.15">
      <c r="A61" s="34"/>
      <c r="C61" s="39" t="s">
        <v>87</v>
      </c>
      <c r="D61" s="40"/>
      <c r="E61" s="190"/>
      <c r="F61" s="191"/>
      <c r="G61" s="191"/>
      <c r="H61" s="191"/>
      <c r="I61" s="191"/>
      <c r="J61" s="191"/>
      <c r="K61" s="191"/>
      <c r="L61" s="191"/>
      <c r="M61" s="192"/>
      <c r="N61" s="39" t="s">
        <v>82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0"/>
      <c r="AE61" s="39" t="s">
        <v>82</v>
      </c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0"/>
      <c r="AU61" s="39" t="s">
        <v>200</v>
      </c>
      <c r="AV61" s="41"/>
      <c r="AW61" s="41"/>
      <c r="AX61" s="41"/>
      <c r="AY61" s="41"/>
      <c r="AZ61" s="41"/>
      <c r="BA61" s="41"/>
      <c r="BB61" s="41"/>
      <c r="BC61" s="41"/>
      <c r="BD61" s="40"/>
      <c r="BE61" s="39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0"/>
      <c r="CR61" s="35"/>
    </row>
    <row r="62" spans="1:96" ht="15" customHeight="1" x14ac:dyDescent="0.15">
      <c r="A62" s="34"/>
      <c r="C62" s="39" t="s">
        <v>88</v>
      </c>
      <c r="D62" s="40"/>
      <c r="E62" s="184" t="s">
        <v>56</v>
      </c>
      <c r="F62" s="185"/>
      <c r="G62" s="185"/>
      <c r="H62" s="185"/>
      <c r="I62" s="185"/>
      <c r="J62" s="185"/>
      <c r="K62" s="185"/>
      <c r="L62" s="185"/>
      <c r="M62" s="186"/>
      <c r="N62" s="39" t="s">
        <v>59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0"/>
      <c r="AE62" s="39" t="s">
        <v>59</v>
      </c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0"/>
      <c r="AU62" s="39" t="s">
        <v>200</v>
      </c>
      <c r="AV62" s="41"/>
      <c r="AW62" s="41"/>
      <c r="AX62" s="41"/>
      <c r="AY62" s="41"/>
      <c r="AZ62" s="41"/>
      <c r="BA62" s="41"/>
      <c r="BB62" s="41"/>
      <c r="BC62" s="41"/>
      <c r="BD62" s="40"/>
      <c r="BE62" s="39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0"/>
      <c r="CR62" s="35"/>
    </row>
    <row r="63" spans="1:96" ht="15" customHeight="1" x14ac:dyDescent="0.15">
      <c r="A63" s="34"/>
      <c r="C63" s="39" t="s">
        <v>89</v>
      </c>
      <c r="D63" s="40"/>
      <c r="E63" s="187"/>
      <c r="F63" s="188"/>
      <c r="G63" s="188"/>
      <c r="H63" s="188"/>
      <c r="I63" s="188"/>
      <c r="J63" s="188"/>
      <c r="K63" s="188"/>
      <c r="L63" s="188"/>
      <c r="M63" s="189"/>
      <c r="N63" s="39" t="s">
        <v>60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0"/>
      <c r="AE63" s="39" t="s">
        <v>60</v>
      </c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0"/>
      <c r="AU63" s="39" t="s">
        <v>200</v>
      </c>
      <c r="AV63" s="41"/>
      <c r="AW63" s="41"/>
      <c r="AX63" s="41"/>
      <c r="AY63" s="41"/>
      <c r="AZ63" s="41"/>
      <c r="BA63" s="41"/>
      <c r="BB63" s="41"/>
      <c r="BC63" s="41"/>
      <c r="BD63" s="40"/>
      <c r="BE63" s="39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0"/>
      <c r="CR63" s="35"/>
    </row>
    <row r="64" spans="1:96" ht="15" customHeight="1" x14ac:dyDescent="0.15">
      <c r="A64" s="34"/>
      <c r="C64" s="39" t="s">
        <v>90</v>
      </c>
      <c r="D64" s="40"/>
      <c r="E64" s="187"/>
      <c r="F64" s="188"/>
      <c r="G64" s="188"/>
      <c r="H64" s="188"/>
      <c r="I64" s="188"/>
      <c r="J64" s="188"/>
      <c r="K64" s="188"/>
      <c r="L64" s="188"/>
      <c r="M64" s="189"/>
      <c r="N64" s="39" t="s">
        <v>61</v>
      </c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0"/>
      <c r="AE64" s="39" t="s">
        <v>61</v>
      </c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0"/>
      <c r="AU64" s="39" t="s">
        <v>200</v>
      </c>
      <c r="AV64" s="41"/>
      <c r="AW64" s="41"/>
      <c r="AX64" s="41"/>
      <c r="AY64" s="41"/>
      <c r="AZ64" s="41"/>
      <c r="BA64" s="41"/>
      <c r="BB64" s="41"/>
      <c r="BC64" s="41"/>
      <c r="BD64" s="40"/>
      <c r="BE64" s="39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0"/>
      <c r="CR64" s="35"/>
    </row>
    <row r="65" spans="1:96" ht="15" customHeight="1" x14ac:dyDescent="0.15">
      <c r="A65" s="34"/>
      <c r="C65" s="39" t="s">
        <v>91</v>
      </c>
      <c r="D65" s="40"/>
      <c r="E65" s="187"/>
      <c r="F65" s="188"/>
      <c r="G65" s="188"/>
      <c r="H65" s="188"/>
      <c r="I65" s="188"/>
      <c r="J65" s="188"/>
      <c r="K65" s="188"/>
      <c r="L65" s="188"/>
      <c r="M65" s="189"/>
      <c r="N65" s="39" t="s">
        <v>62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0"/>
      <c r="AE65" s="39" t="s">
        <v>62</v>
      </c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0"/>
      <c r="AU65" s="39" t="s">
        <v>200</v>
      </c>
      <c r="AV65" s="41"/>
      <c r="AW65" s="41"/>
      <c r="AX65" s="41"/>
      <c r="AY65" s="41"/>
      <c r="AZ65" s="41"/>
      <c r="BA65" s="41"/>
      <c r="BB65" s="41"/>
      <c r="BC65" s="41"/>
      <c r="BD65" s="40"/>
      <c r="BE65" s="39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  <c r="CF65" s="41"/>
      <c r="CG65" s="41"/>
      <c r="CH65" s="41"/>
      <c r="CI65" s="40"/>
      <c r="CR65" s="35"/>
    </row>
    <row r="66" spans="1:96" ht="15" customHeight="1" x14ac:dyDescent="0.15">
      <c r="A66" s="34"/>
      <c r="C66" s="39" t="s">
        <v>92</v>
      </c>
      <c r="D66" s="40"/>
      <c r="E66" s="187"/>
      <c r="F66" s="188"/>
      <c r="G66" s="188"/>
      <c r="H66" s="188"/>
      <c r="I66" s="188"/>
      <c r="J66" s="188"/>
      <c r="K66" s="188"/>
      <c r="L66" s="188"/>
      <c r="M66" s="189"/>
      <c r="N66" s="39" t="s">
        <v>63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0"/>
      <c r="AE66" s="39" t="s">
        <v>63</v>
      </c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0"/>
      <c r="AU66" s="39" t="s">
        <v>200</v>
      </c>
      <c r="AV66" s="41"/>
      <c r="AW66" s="41"/>
      <c r="AX66" s="41"/>
      <c r="AY66" s="41"/>
      <c r="AZ66" s="41"/>
      <c r="BA66" s="41"/>
      <c r="BB66" s="41"/>
      <c r="BC66" s="41"/>
      <c r="BD66" s="40"/>
      <c r="BE66" s="39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0"/>
      <c r="CR66" s="35"/>
    </row>
    <row r="67" spans="1:96" ht="15" customHeight="1" x14ac:dyDescent="0.15">
      <c r="A67" s="34"/>
      <c r="C67" s="39" t="s">
        <v>93</v>
      </c>
      <c r="D67" s="40"/>
      <c r="E67" s="187"/>
      <c r="F67" s="188"/>
      <c r="G67" s="188"/>
      <c r="H67" s="188"/>
      <c r="I67" s="188"/>
      <c r="J67" s="188"/>
      <c r="K67" s="188"/>
      <c r="L67" s="188"/>
      <c r="M67" s="189"/>
      <c r="N67" s="39" t="s">
        <v>64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0"/>
      <c r="AE67" s="39" t="s">
        <v>64</v>
      </c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0"/>
      <c r="AU67" s="39" t="s">
        <v>200</v>
      </c>
      <c r="AV67" s="41"/>
      <c r="AW67" s="41"/>
      <c r="AX67" s="41"/>
      <c r="AY67" s="41"/>
      <c r="AZ67" s="41"/>
      <c r="BA67" s="41"/>
      <c r="BB67" s="41"/>
      <c r="BC67" s="41"/>
      <c r="BD67" s="40"/>
      <c r="BE67" s="39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0"/>
      <c r="CR67" s="35"/>
    </row>
    <row r="68" spans="1:96" ht="15" customHeight="1" x14ac:dyDescent="0.15">
      <c r="A68" s="34"/>
      <c r="C68" s="39" t="s">
        <v>94</v>
      </c>
      <c r="D68" s="40"/>
      <c r="E68" s="187"/>
      <c r="F68" s="188"/>
      <c r="G68" s="188"/>
      <c r="H68" s="188"/>
      <c r="I68" s="188"/>
      <c r="J68" s="188"/>
      <c r="K68" s="188"/>
      <c r="L68" s="188"/>
      <c r="M68" s="189"/>
      <c r="N68" s="39" t="s">
        <v>65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0"/>
      <c r="AE68" s="39" t="s">
        <v>65</v>
      </c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0"/>
      <c r="AU68" s="39" t="s">
        <v>200</v>
      </c>
      <c r="AV68" s="41"/>
      <c r="AW68" s="41"/>
      <c r="AX68" s="41"/>
      <c r="AY68" s="41"/>
      <c r="AZ68" s="41"/>
      <c r="BA68" s="41"/>
      <c r="BB68" s="41"/>
      <c r="BC68" s="41"/>
      <c r="BD68" s="40"/>
      <c r="BE68" s="39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0"/>
      <c r="CR68" s="35"/>
    </row>
    <row r="69" spans="1:96" ht="15" customHeight="1" x14ac:dyDescent="0.15">
      <c r="A69" s="34"/>
      <c r="C69" s="56" t="s">
        <v>263</v>
      </c>
      <c r="D69" s="40"/>
      <c r="E69" s="190"/>
      <c r="F69" s="191"/>
      <c r="G69" s="191"/>
      <c r="H69" s="191"/>
      <c r="I69" s="191"/>
      <c r="J69" s="191"/>
      <c r="K69" s="191"/>
      <c r="L69" s="191"/>
      <c r="M69" s="192"/>
      <c r="N69" s="39" t="s">
        <v>66</v>
      </c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0"/>
      <c r="AE69" s="39" t="s">
        <v>66</v>
      </c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0"/>
      <c r="AU69" s="39" t="s">
        <v>200</v>
      </c>
      <c r="AV69" s="41"/>
      <c r="AW69" s="41"/>
      <c r="AX69" s="41"/>
      <c r="AY69" s="41"/>
      <c r="AZ69" s="41"/>
      <c r="BA69" s="41"/>
      <c r="BB69" s="41"/>
      <c r="BC69" s="41"/>
      <c r="BD69" s="40"/>
      <c r="BE69" s="39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0"/>
      <c r="CR69" s="35"/>
    </row>
    <row r="70" spans="1:96" ht="15" customHeight="1" x14ac:dyDescent="0.15">
      <c r="A70" s="34"/>
      <c r="CR70" s="35"/>
    </row>
    <row r="71" spans="1:96" ht="15" customHeight="1" x14ac:dyDescent="0.15">
      <c r="A71" s="34"/>
      <c r="B71" s="49" t="s">
        <v>103</v>
      </c>
      <c r="CR71" s="35"/>
    </row>
    <row r="72" spans="1:96" ht="15" customHeight="1" x14ac:dyDescent="0.15">
      <c r="A72" s="34"/>
      <c r="C72" s="49" t="s">
        <v>95</v>
      </c>
      <c r="CR72" s="35"/>
    </row>
    <row r="73" spans="1:96" ht="15" customHeight="1" x14ac:dyDescent="0.15">
      <c r="A73" s="34"/>
      <c r="C73" s="17" t="s">
        <v>104</v>
      </c>
      <c r="AW73" s="17" t="s">
        <v>307</v>
      </c>
      <c r="CR73" s="35"/>
    </row>
    <row r="74" spans="1:96" ht="15" customHeight="1" x14ac:dyDescent="0.15">
      <c r="A74" s="34"/>
      <c r="D74" s="17" t="s">
        <v>105</v>
      </c>
      <c r="E74" s="17" t="s">
        <v>106</v>
      </c>
      <c r="AX74" s="17" t="s">
        <v>308</v>
      </c>
      <c r="AY74" s="17" t="s">
        <v>309</v>
      </c>
      <c r="CR74" s="35"/>
    </row>
    <row r="75" spans="1:96" ht="15" customHeight="1" x14ac:dyDescent="0.15">
      <c r="A75" s="34"/>
      <c r="D75" s="17" t="s">
        <v>105</v>
      </c>
      <c r="E75" s="17" t="s">
        <v>107</v>
      </c>
      <c r="AY75" s="17" t="s">
        <v>310</v>
      </c>
      <c r="CR75" s="35"/>
    </row>
    <row r="76" spans="1:96" ht="15" customHeight="1" x14ac:dyDescent="0.15">
      <c r="A76" s="34"/>
      <c r="D76" s="17" t="s">
        <v>105</v>
      </c>
      <c r="E76" s="17" t="s">
        <v>108</v>
      </c>
      <c r="AX76" s="17" t="s">
        <v>308</v>
      </c>
      <c r="AY76" s="17" t="s">
        <v>311</v>
      </c>
      <c r="CR76" s="35"/>
    </row>
    <row r="77" spans="1:96" ht="15" customHeight="1" x14ac:dyDescent="0.15">
      <c r="A77" s="34"/>
      <c r="D77" s="17" t="s">
        <v>105</v>
      </c>
      <c r="E77" s="17" t="s">
        <v>109</v>
      </c>
      <c r="AY77" s="17" t="s">
        <v>316</v>
      </c>
      <c r="CR77" s="35"/>
    </row>
    <row r="78" spans="1:96" ht="15" customHeight="1" x14ac:dyDescent="0.15">
      <c r="A78" s="34"/>
      <c r="D78" s="17" t="s">
        <v>191</v>
      </c>
      <c r="E78" s="17" t="s">
        <v>202</v>
      </c>
      <c r="AY78" s="17" t="s">
        <v>317</v>
      </c>
      <c r="CR78" s="35"/>
    </row>
    <row r="79" spans="1:96" ht="15" customHeight="1" x14ac:dyDescent="0.15">
      <c r="A79" s="34"/>
      <c r="E79" s="17" t="s">
        <v>205</v>
      </c>
      <c r="AX79" s="17" t="s">
        <v>308</v>
      </c>
      <c r="AY79" s="17" t="s">
        <v>312</v>
      </c>
      <c r="CR79" s="35"/>
    </row>
    <row r="80" spans="1:96" ht="15" customHeight="1" x14ac:dyDescent="0.15">
      <c r="A80" s="34"/>
      <c r="D80" s="17" t="s">
        <v>191</v>
      </c>
      <c r="E80" s="17" t="s">
        <v>203</v>
      </c>
      <c r="AY80" s="17" t="s">
        <v>313</v>
      </c>
      <c r="CR80" s="35"/>
    </row>
    <row r="81" spans="1:96" ht="15" customHeight="1" x14ac:dyDescent="0.15">
      <c r="A81" s="34"/>
      <c r="E81" s="17" t="s">
        <v>205</v>
      </c>
      <c r="AY81" s="17" t="s">
        <v>315</v>
      </c>
      <c r="CR81" s="35"/>
    </row>
    <row r="82" spans="1:96" ht="15" customHeight="1" x14ac:dyDescent="0.15">
      <c r="A82" s="34"/>
      <c r="D82" s="17" t="s">
        <v>191</v>
      </c>
      <c r="E82" s="17" t="s">
        <v>204</v>
      </c>
      <c r="AY82" s="17" t="s">
        <v>314</v>
      </c>
      <c r="CR82" s="35"/>
    </row>
    <row r="83" spans="1:96" ht="15" customHeight="1" x14ac:dyDescent="0.15">
      <c r="A83" s="34"/>
      <c r="CR83" s="35"/>
    </row>
    <row r="84" spans="1:96" ht="15" customHeight="1" x14ac:dyDescent="0.15">
      <c r="A84" s="34"/>
      <c r="CR84" s="35"/>
    </row>
    <row r="85" spans="1:96" ht="15" customHeight="1" x14ac:dyDescent="0.15">
      <c r="A85" s="34"/>
      <c r="CR85" s="35"/>
    </row>
    <row r="86" spans="1:96" ht="15" customHeight="1" x14ac:dyDescent="0.15">
      <c r="A86" s="34"/>
      <c r="CR86" s="35"/>
    </row>
    <row r="87" spans="1:96" ht="15" customHeight="1" x14ac:dyDescent="0.15">
      <c r="A87" s="34"/>
      <c r="CR87" s="35"/>
    </row>
    <row r="88" spans="1:96" ht="15" customHeight="1" thickBot="1" x14ac:dyDescent="0.2">
      <c r="A88" s="36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8"/>
    </row>
    <row r="89" spans="1:96" ht="15" customHeight="1" thickBot="1" x14ac:dyDescent="0.2">
      <c r="A89" s="112" t="s">
        <v>48</v>
      </c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  <c r="AM89" s="113"/>
      <c r="AN89" s="113"/>
      <c r="AO89" s="113"/>
      <c r="AP89" s="113"/>
      <c r="AQ89" s="113"/>
      <c r="AR89" s="113"/>
      <c r="AS89" s="113"/>
      <c r="AT89" s="113"/>
      <c r="AU89" s="113"/>
      <c r="AV89" s="113"/>
      <c r="AW89" s="113"/>
      <c r="AX89" s="113"/>
      <c r="AY89" s="113"/>
      <c r="AZ89" s="113"/>
      <c r="BA89" s="113"/>
      <c r="BB89" s="113"/>
      <c r="BC89" s="113"/>
      <c r="BD89" s="113"/>
      <c r="BE89" s="113"/>
      <c r="BF89" s="113"/>
      <c r="BG89" s="113"/>
      <c r="BH89" s="113"/>
      <c r="BI89" s="113"/>
      <c r="BJ89" s="113"/>
      <c r="BK89" s="113"/>
      <c r="BL89" s="113"/>
      <c r="BM89" s="113"/>
      <c r="BN89" s="113"/>
      <c r="BO89" s="113"/>
      <c r="BP89" s="113"/>
      <c r="BQ89" s="113"/>
      <c r="BR89" s="113"/>
      <c r="BS89" s="113"/>
      <c r="BT89" s="113"/>
      <c r="BU89" s="113"/>
      <c r="BV89" s="113"/>
      <c r="BW89" s="113"/>
      <c r="BX89" s="113"/>
      <c r="BY89" s="113"/>
      <c r="BZ89" s="113"/>
      <c r="CA89" s="113"/>
      <c r="CB89" s="113"/>
      <c r="CC89" s="113"/>
      <c r="CD89" s="113"/>
      <c r="CE89" s="113"/>
      <c r="CF89" s="113"/>
      <c r="CG89" s="113"/>
      <c r="CH89" s="113"/>
      <c r="CI89" s="113"/>
      <c r="CJ89" s="113"/>
      <c r="CK89" s="113"/>
      <c r="CL89" s="113"/>
      <c r="CM89" s="113"/>
      <c r="CN89" s="113"/>
      <c r="CO89" s="113"/>
      <c r="CP89" s="113"/>
      <c r="CQ89" s="113"/>
      <c r="CR89" s="114"/>
    </row>
    <row r="90" spans="1:96" ht="15" customHeight="1" x14ac:dyDescent="0.15">
      <c r="A90" s="31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3"/>
    </row>
    <row r="91" spans="1:96" ht="15" customHeight="1" x14ac:dyDescent="0.15">
      <c r="A91" s="34"/>
      <c r="B91" s="17" t="s">
        <v>220</v>
      </c>
      <c r="CR91" s="35"/>
    </row>
    <row r="92" spans="1:96" ht="15" customHeight="1" x14ac:dyDescent="0.15">
      <c r="A92" s="34"/>
      <c r="B92" s="219" t="s">
        <v>110</v>
      </c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1"/>
      <c r="P92" s="222" t="s">
        <v>111</v>
      </c>
      <c r="Q92" s="222"/>
      <c r="R92" s="222"/>
      <c r="S92" s="222"/>
      <c r="T92" s="222"/>
      <c r="U92" s="222"/>
      <c r="V92" s="222"/>
      <c r="W92" s="222"/>
      <c r="X92" s="222"/>
      <c r="Y92" s="222"/>
      <c r="Z92" s="222"/>
      <c r="AA92" s="222"/>
      <c r="AB92" s="222"/>
      <c r="AC92" s="222"/>
      <c r="AD92" s="222"/>
      <c r="AE92" s="222"/>
      <c r="AF92" s="222"/>
      <c r="AG92" s="222"/>
      <c r="AH92" s="222"/>
      <c r="AI92" s="222"/>
      <c r="AJ92" s="222"/>
      <c r="AK92" s="222"/>
      <c r="AL92" s="222"/>
      <c r="AM92" s="222"/>
      <c r="AN92" s="222"/>
      <c r="AO92" s="222"/>
      <c r="AP92" s="222"/>
      <c r="AQ92" s="222"/>
      <c r="AR92" s="222"/>
      <c r="AS92" s="222"/>
      <c r="CR92" s="35"/>
    </row>
    <row r="93" spans="1:96" ht="15" customHeight="1" x14ac:dyDescent="0.15">
      <c r="A93" s="34"/>
      <c r="B93" s="223" t="s">
        <v>112</v>
      </c>
      <c r="C93" s="223"/>
      <c r="D93" s="223"/>
      <c r="E93" s="223"/>
      <c r="F93" s="223"/>
      <c r="G93" s="223"/>
      <c r="H93" s="223"/>
      <c r="I93" s="223"/>
      <c r="J93" s="223"/>
      <c r="K93" s="223"/>
      <c r="L93" s="223"/>
      <c r="M93" s="223"/>
      <c r="N93" s="223"/>
      <c r="O93" s="223"/>
      <c r="P93" s="224" t="s">
        <v>113</v>
      </c>
      <c r="Q93" s="224"/>
      <c r="R93" s="224"/>
      <c r="S93" s="224"/>
      <c r="T93" s="224"/>
      <c r="U93" s="224"/>
      <c r="V93" s="224"/>
      <c r="W93" s="224"/>
      <c r="X93" s="224"/>
      <c r="Y93" s="224"/>
      <c r="Z93" s="224"/>
      <c r="AA93" s="224"/>
      <c r="AB93" s="224"/>
      <c r="AC93" s="224"/>
      <c r="AD93" s="224"/>
      <c r="AE93" s="224"/>
      <c r="AF93" s="224"/>
      <c r="AG93" s="224"/>
      <c r="AH93" s="224"/>
      <c r="AI93" s="224"/>
      <c r="AJ93" s="224"/>
      <c r="AK93" s="224"/>
      <c r="AL93" s="224"/>
      <c r="AM93" s="224"/>
      <c r="AN93" s="224"/>
      <c r="AO93" s="224"/>
      <c r="AP93" s="224"/>
      <c r="AQ93" s="224"/>
      <c r="AR93" s="224"/>
      <c r="AS93" s="224"/>
      <c r="CR93" s="35"/>
    </row>
    <row r="94" spans="1:96" ht="15" customHeight="1" x14ac:dyDescent="0.15">
      <c r="A94" s="34"/>
      <c r="B94" s="224" t="s">
        <v>114</v>
      </c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 t="s">
        <v>115</v>
      </c>
      <c r="Q94" s="224"/>
      <c r="R94" s="224"/>
      <c r="S94" s="224"/>
      <c r="T94" s="224"/>
      <c r="U94" s="224"/>
      <c r="V94" s="224"/>
      <c r="W94" s="224"/>
      <c r="X94" s="224"/>
      <c r="Y94" s="224"/>
      <c r="Z94" s="224"/>
      <c r="AA94" s="224"/>
      <c r="AB94" s="224"/>
      <c r="AC94" s="224"/>
      <c r="AD94" s="224"/>
      <c r="AE94" s="224"/>
      <c r="AF94" s="224"/>
      <c r="AG94" s="224"/>
      <c r="AH94" s="224"/>
      <c r="AI94" s="224"/>
      <c r="AJ94" s="224"/>
      <c r="AK94" s="224"/>
      <c r="AL94" s="224"/>
      <c r="AM94" s="224"/>
      <c r="AN94" s="224"/>
      <c r="AO94" s="224"/>
      <c r="AP94" s="224"/>
      <c r="AQ94" s="224"/>
      <c r="AR94" s="224"/>
      <c r="AS94" s="224"/>
      <c r="CR94" s="35"/>
    </row>
    <row r="95" spans="1:96" ht="15" customHeight="1" x14ac:dyDescent="0.15">
      <c r="A95" s="34"/>
      <c r="B95" s="224" t="s">
        <v>116</v>
      </c>
      <c r="C95" s="224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  <c r="O95" s="224"/>
      <c r="P95" s="225" t="s">
        <v>117</v>
      </c>
      <c r="Q95" s="225"/>
      <c r="R95" s="225"/>
      <c r="S95" s="225"/>
      <c r="T95" s="225"/>
      <c r="U95" s="225"/>
      <c r="V95" s="225"/>
      <c r="W95" s="225"/>
      <c r="X95" s="225"/>
      <c r="Y95" s="225"/>
      <c r="Z95" s="225"/>
      <c r="AA95" s="225"/>
      <c r="AB95" s="225"/>
      <c r="AC95" s="225"/>
      <c r="AD95" s="225"/>
      <c r="AE95" s="225"/>
      <c r="AF95" s="225"/>
      <c r="AG95" s="225"/>
      <c r="AH95" s="225"/>
      <c r="AI95" s="225"/>
      <c r="AJ95" s="225"/>
      <c r="AK95" s="225"/>
      <c r="AL95" s="225"/>
      <c r="AM95" s="225"/>
      <c r="AN95" s="225"/>
      <c r="AO95" s="225"/>
      <c r="AP95" s="225"/>
      <c r="AQ95" s="225"/>
      <c r="AR95" s="225"/>
      <c r="AS95" s="225"/>
      <c r="CR95" s="35"/>
    </row>
    <row r="96" spans="1:96" ht="15" customHeight="1" x14ac:dyDescent="0.15">
      <c r="A96" s="34"/>
      <c r="B96" s="224"/>
      <c r="C96" s="224"/>
      <c r="D96" s="224"/>
      <c r="E96" s="224"/>
      <c r="F96" s="224"/>
      <c r="G96" s="224"/>
      <c r="H96" s="224"/>
      <c r="I96" s="224"/>
      <c r="J96" s="224"/>
      <c r="K96" s="224"/>
      <c r="L96" s="224"/>
      <c r="M96" s="224"/>
      <c r="N96" s="224"/>
      <c r="O96" s="224"/>
      <c r="P96" s="225"/>
      <c r="Q96" s="225"/>
      <c r="R96" s="225"/>
      <c r="S96" s="225"/>
      <c r="T96" s="225"/>
      <c r="U96" s="225"/>
      <c r="V96" s="225"/>
      <c r="W96" s="225"/>
      <c r="X96" s="225"/>
      <c r="Y96" s="225"/>
      <c r="Z96" s="225"/>
      <c r="AA96" s="225"/>
      <c r="AB96" s="225"/>
      <c r="AC96" s="225"/>
      <c r="AD96" s="225"/>
      <c r="AE96" s="225"/>
      <c r="AF96" s="225"/>
      <c r="AG96" s="225"/>
      <c r="AH96" s="225"/>
      <c r="AI96" s="225"/>
      <c r="AJ96" s="225"/>
      <c r="AK96" s="225"/>
      <c r="AL96" s="225"/>
      <c r="AM96" s="225"/>
      <c r="AN96" s="225"/>
      <c r="AO96" s="225"/>
      <c r="AP96" s="225"/>
      <c r="AQ96" s="225"/>
      <c r="AR96" s="225"/>
      <c r="AS96" s="225"/>
      <c r="CR96" s="35"/>
    </row>
    <row r="97" spans="1:96" ht="15" customHeight="1" x14ac:dyDescent="0.15">
      <c r="A97" s="34"/>
      <c r="B97" s="224" t="s">
        <v>118</v>
      </c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5" t="s">
        <v>119</v>
      </c>
      <c r="Q97" s="225"/>
      <c r="R97" s="225"/>
      <c r="S97" s="225"/>
      <c r="T97" s="225"/>
      <c r="U97" s="225"/>
      <c r="V97" s="225"/>
      <c r="W97" s="225"/>
      <c r="X97" s="225"/>
      <c r="Y97" s="225"/>
      <c r="Z97" s="225"/>
      <c r="AA97" s="225"/>
      <c r="AB97" s="225"/>
      <c r="AC97" s="225"/>
      <c r="AD97" s="225"/>
      <c r="AE97" s="225"/>
      <c r="AF97" s="225"/>
      <c r="AG97" s="225"/>
      <c r="AH97" s="225"/>
      <c r="AI97" s="225"/>
      <c r="AJ97" s="225"/>
      <c r="AK97" s="225"/>
      <c r="AL97" s="225"/>
      <c r="AM97" s="225"/>
      <c r="AN97" s="225"/>
      <c r="AO97" s="225"/>
      <c r="AP97" s="225"/>
      <c r="AQ97" s="225"/>
      <c r="AR97" s="225"/>
      <c r="AS97" s="225"/>
      <c r="CR97" s="35"/>
    </row>
    <row r="98" spans="1:96" ht="15" customHeight="1" x14ac:dyDescent="0.15">
      <c r="A98" s="34"/>
      <c r="B98" s="224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5"/>
      <c r="Q98" s="225"/>
      <c r="R98" s="225"/>
      <c r="S98" s="225"/>
      <c r="T98" s="225"/>
      <c r="U98" s="225"/>
      <c r="V98" s="225"/>
      <c r="W98" s="225"/>
      <c r="X98" s="225"/>
      <c r="Y98" s="225"/>
      <c r="Z98" s="225"/>
      <c r="AA98" s="225"/>
      <c r="AB98" s="225"/>
      <c r="AC98" s="225"/>
      <c r="AD98" s="225"/>
      <c r="AE98" s="225"/>
      <c r="AF98" s="225"/>
      <c r="AG98" s="225"/>
      <c r="AH98" s="225"/>
      <c r="AI98" s="225"/>
      <c r="AJ98" s="225"/>
      <c r="AK98" s="225"/>
      <c r="AL98" s="225"/>
      <c r="AM98" s="225"/>
      <c r="AN98" s="225"/>
      <c r="AO98" s="225"/>
      <c r="AP98" s="225"/>
      <c r="AQ98" s="225"/>
      <c r="AR98" s="225"/>
      <c r="AS98" s="225"/>
      <c r="CR98" s="35"/>
    </row>
    <row r="99" spans="1:96" ht="15" customHeight="1" x14ac:dyDescent="0.15">
      <c r="A99" s="34"/>
      <c r="CR99" s="35"/>
    </row>
    <row r="100" spans="1:96" ht="15" customHeight="1" x14ac:dyDescent="0.15">
      <c r="A100" s="34"/>
      <c r="B100" s="17" t="s">
        <v>221</v>
      </c>
      <c r="CR100" s="35"/>
    </row>
    <row r="101" spans="1:96" ht="15" customHeight="1" x14ac:dyDescent="0.15">
      <c r="A101" s="34"/>
      <c r="B101" s="229" t="s">
        <v>120</v>
      </c>
      <c r="C101" s="230"/>
      <c r="D101" s="230"/>
      <c r="E101" s="230"/>
      <c r="F101" s="230" t="s">
        <v>121</v>
      </c>
      <c r="G101" s="230"/>
      <c r="H101" s="230"/>
      <c r="I101" s="230"/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29" t="s">
        <v>122</v>
      </c>
      <c r="V101" s="229"/>
      <c r="W101" s="229"/>
      <c r="X101" s="229"/>
      <c r="Y101" s="231" t="s">
        <v>120</v>
      </c>
      <c r="Z101" s="230"/>
      <c r="AA101" s="230"/>
      <c r="AB101" s="230"/>
      <c r="AC101" s="230" t="s">
        <v>121</v>
      </c>
      <c r="AD101" s="230"/>
      <c r="AE101" s="230"/>
      <c r="AF101" s="230"/>
      <c r="AG101" s="230"/>
      <c r="AH101" s="230"/>
      <c r="AI101" s="230"/>
      <c r="AJ101" s="230"/>
      <c r="AK101" s="230"/>
      <c r="AL101" s="230"/>
      <c r="AM101" s="230"/>
      <c r="AN101" s="230"/>
      <c r="AO101" s="230"/>
      <c r="AP101" s="230"/>
      <c r="AQ101" s="230"/>
      <c r="AR101" s="229" t="s">
        <v>122</v>
      </c>
      <c r="AS101" s="229"/>
      <c r="AT101" s="229"/>
      <c r="AU101" s="229"/>
      <c r="CR101" s="35"/>
    </row>
    <row r="102" spans="1:96" ht="15" customHeight="1" x14ac:dyDescent="0.15">
      <c r="A102" s="34"/>
      <c r="B102" s="230"/>
      <c r="C102" s="230"/>
      <c r="D102" s="230"/>
      <c r="E102" s="230"/>
      <c r="F102" s="230"/>
      <c r="G102" s="230"/>
      <c r="H102" s="230"/>
      <c r="I102" s="230"/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29"/>
      <c r="V102" s="229"/>
      <c r="W102" s="229"/>
      <c r="X102" s="229"/>
      <c r="Y102" s="232"/>
      <c r="Z102" s="230"/>
      <c r="AA102" s="230"/>
      <c r="AB102" s="230"/>
      <c r="AC102" s="230"/>
      <c r="AD102" s="230"/>
      <c r="AE102" s="230"/>
      <c r="AF102" s="230"/>
      <c r="AG102" s="230"/>
      <c r="AH102" s="230"/>
      <c r="AI102" s="230"/>
      <c r="AJ102" s="230"/>
      <c r="AK102" s="230"/>
      <c r="AL102" s="230"/>
      <c r="AM102" s="230"/>
      <c r="AN102" s="230"/>
      <c r="AO102" s="230"/>
      <c r="AP102" s="230"/>
      <c r="AQ102" s="230"/>
      <c r="AR102" s="229"/>
      <c r="AS102" s="229"/>
      <c r="AT102" s="229"/>
      <c r="AU102" s="229"/>
      <c r="CR102" s="35"/>
    </row>
    <row r="103" spans="1:96" ht="15" customHeight="1" x14ac:dyDescent="0.15">
      <c r="A103" s="34"/>
      <c r="B103" s="216">
        <v>10</v>
      </c>
      <c r="C103" s="214"/>
      <c r="D103" s="214"/>
      <c r="E103" s="214"/>
      <c r="F103" s="39" t="s">
        <v>123</v>
      </c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0"/>
      <c r="U103" s="215" t="s">
        <v>124</v>
      </c>
      <c r="V103" s="215"/>
      <c r="W103" s="215"/>
      <c r="X103" s="215"/>
      <c r="Y103" s="214">
        <v>41</v>
      </c>
      <c r="Z103" s="214"/>
      <c r="AA103" s="214"/>
      <c r="AB103" s="214"/>
      <c r="AC103" s="39" t="s">
        <v>125</v>
      </c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0"/>
      <c r="AR103" s="215" t="s">
        <v>126</v>
      </c>
      <c r="AS103" s="215"/>
      <c r="AT103" s="215"/>
      <c r="AU103" s="215"/>
      <c r="CR103" s="35"/>
    </row>
    <row r="104" spans="1:96" ht="15" customHeight="1" x14ac:dyDescent="0.15">
      <c r="A104" s="34"/>
      <c r="B104" s="216">
        <v>21</v>
      </c>
      <c r="C104" s="214"/>
      <c r="D104" s="214"/>
      <c r="E104" s="214"/>
      <c r="F104" s="39" t="s">
        <v>127</v>
      </c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0"/>
      <c r="U104" s="215" t="s">
        <v>124</v>
      </c>
      <c r="V104" s="215"/>
      <c r="W104" s="215"/>
      <c r="X104" s="215"/>
      <c r="Y104" s="214">
        <v>42</v>
      </c>
      <c r="Z104" s="214"/>
      <c r="AA104" s="214"/>
      <c r="AB104" s="214"/>
      <c r="AC104" s="39" t="s">
        <v>128</v>
      </c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0"/>
      <c r="AR104" s="215" t="s">
        <v>126</v>
      </c>
      <c r="AS104" s="215"/>
      <c r="AT104" s="215"/>
      <c r="AU104" s="215"/>
      <c r="CR104" s="35"/>
    </row>
    <row r="105" spans="1:96" ht="15" customHeight="1" x14ac:dyDescent="0.15">
      <c r="A105" s="34"/>
      <c r="B105" s="216">
        <v>22</v>
      </c>
      <c r="C105" s="214"/>
      <c r="D105" s="214"/>
      <c r="E105" s="214"/>
      <c r="F105" s="39" t="s">
        <v>129</v>
      </c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0"/>
      <c r="U105" s="215" t="s">
        <v>124</v>
      </c>
      <c r="V105" s="215"/>
      <c r="W105" s="215"/>
      <c r="X105" s="215"/>
      <c r="Y105" s="217">
        <v>43</v>
      </c>
      <c r="Z105" s="217"/>
      <c r="AA105" s="217"/>
      <c r="AB105" s="217"/>
      <c r="AC105" s="50" t="s">
        <v>130</v>
      </c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2"/>
      <c r="AR105" s="218" t="s">
        <v>131</v>
      </c>
      <c r="AS105" s="218"/>
      <c r="AT105" s="218"/>
      <c r="AU105" s="218"/>
      <c r="CR105" s="35"/>
    </row>
    <row r="106" spans="1:96" ht="15" customHeight="1" x14ac:dyDescent="0.15">
      <c r="A106" s="34"/>
      <c r="B106" s="216">
        <v>23</v>
      </c>
      <c r="C106" s="214"/>
      <c r="D106" s="214"/>
      <c r="E106" s="214"/>
      <c r="F106" s="39" t="s">
        <v>132</v>
      </c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0"/>
      <c r="U106" s="215" t="s">
        <v>124</v>
      </c>
      <c r="V106" s="215"/>
      <c r="W106" s="215"/>
      <c r="X106" s="215"/>
      <c r="Y106" s="214">
        <v>52</v>
      </c>
      <c r="Z106" s="214"/>
      <c r="AA106" s="214"/>
      <c r="AB106" s="214"/>
      <c r="AC106" s="39" t="s">
        <v>133</v>
      </c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0"/>
      <c r="AR106" s="226" t="s">
        <v>126</v>
      </c>
      <c r="AS106" s="226"/>
      <c r="AT106" s="226"/>
      <c r="AU106" s="226"/>
      <c r="CR106" s="35"/>
    </row>
    <row r="107" spans="1:96" ht="15" customHeight="1" x14ac:dyDescent="0.15">
      <c r="A107" s="34"/>
      <c r="B107" s="216">
        <v>24</v>
      </c>
      <c r="C107" s="214"/>
      <c r="D107" s="214"/>
      <c r="E107" s="214"/>
      <c r="F107" s="39" t="s">
        <v>134</v>
      </c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0"/>
      <c r="U107" s="215" t="s">
        <v>124</v>
      </c>
      <c r="V107" s="215"/>
      <c r="W107" s="215"/>
      <c r="X107" s="215"/>
      <c r="Y107" s="217">
        <v>60</v>
      </c>
      <c r="Z107" s="217"/>
      <c r="AA107" s="217"/>
      <c r="AB107" s="217"/>
      <c r="AC107" s="50" t="s">
        <v>135</v>
      </c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2"/>
      <c r="AR107" s="218" t="s">
        <v>131</v>
      </c>
      <c r="AS107" s="218"/>
      <c r="AT107" s="218"/>
      <c r="AU107" s="218"/>
      <c r="CR107" s="35"/>
    </row>
    <row r="108" spans="1:96" ht="15" customHeight="1" x14ac:dyDescent="0.15">
      <c r="A108" s="34"/>
      <c r="B108" s="216">
        <v>25</v>
      </c>
      <c r="C108" s="214"/>
      <c r="D108" s="214"/>
      <c r="E108" s="214"/>
      <c r="F108" s="39" t="s">
        <v>136</v>
      </c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0"/>
      <c r="U108" s="215" t="s">
        <v>124</v>
      </c>
      <c r="V108" s="215"/>
      <c r="W108" s="215"/>
      <c r="X108" s="215"/>
      <c r="Y108" s="214">
        <v>70</v>
      </c>
      <c r="Z108" s="214"/>
      <c r="AA108" s="214"/>
      <c r="AB108" s="214"/>
      <c r="AC108" s="39" t="s">
        <v>137</v>
      </c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0"/>
      <c r="AR108" s="226" t="s">
        <v>131</v>
      </c>
      <c r="AS108" s="226"/>
      <c r="AT108" s="226"/>
      <c r="AU108" s="226"/>
      <c r="CR108" s="35"/>
    </row>
    <row r="109" spans="1:96" ht="15" customHeight="1" x14ac:dyDescent="0.15">
      <c r="A109" s="34"/>
      <c r="B109" s="216">
        <v>26</v>
      </c>
      <c r="C109" s="214"/>
      <c r="D109" s="214"/>
      <c r="E109" s="214"/>
      <c r="F109" s="39" t="s">
        <v>138</v>
      </c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0"/>
      <c r="U109" s="215" t="s">
        <v>124</v>
      </c>
      <c r="V109" s="215"/>
      <c r="W109" s="215"/>
      <c r="X109" s="215"/>
      <c r="Y109" s="217">
        <v>90</v>
      </c>
      <c r="Z109" s="217"/>
      <c r="AA109" s="217"/>
      <c r="AB109" s="217"/>
      <c r="AC109" s="50" t="s">
        <v>139</v>
      </c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2"/>
      <c r="AR109" s="218" t="s">
        <v>131</v>
      </c>
      <c r="AS109" s="218"/>
      <c r="AT109" s="218"/>
      <c r="AU109" s="218"/>
      <c r="CR109" s="35"/>
    </row>
    <row r="110" spans="1:96" ht="15" customHeight="1" x14ac:dyDescent="0.15">
      <c r="A110" s="34"/>
      <c r="B110" s="216">
        <v>30</v>
      </c>
      <c r="C110" s="214"/>
      <c r="D110" s="214"/>
      <c r="E110" s="214"/>
      <c r="F110" s="39" t="s">
        <v>140</v>
      </c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0"/>
      <c r="U110" s="215" t="s">
        <v>126</v>
      </c>
      <c r="V110" s="215"/>
      <c r="W110" s="215"/>
      <c r="X110" s="215"/>
      <c r="Y110" s="227"/>
      <c r="Z110" s="227"/>
      <c r="AA110" s="227"/>
      <c r="AB110" s="227"/>
      <c r="AC110" s="53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5"/>
      <c r="AR110" s="228"/>
      <c r="AS110" s="228"/>
      <c r="AT110" s="228"/>
      <c r="AU110" s="228"/>
      <c r="CR110" s="35"/>
    </row>
    <row r="111" spans="1:96" ht="15" customHeight="1" x14ac:dyDescent="0.15">
      <c r="A111" s="34"/>
      <c r="CR111" s="35"/>
    </row>
    <row r="112" spans="1:96" ht="15" customHeight="1" x14ac:dyDescent="0.15">
      <c r="A112" s="34"/>
      <c r="B112" s="17" t="s">
        <v>233</v>
      </c>
      <c r="CR112" s="35"/>
    </row>
    <row r="113" spans="1:96" ht="15" customHeight="1" x14ac:dyDescent="0.15">
      <c r="A113" s="34"/>
      <c r="B113" s="219" t="s">
        <v>110</v>
      </c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1"/>
      <c r="P113" s="222" t="s">
        <v>111</v>
      </c>
      <c r="Q113" s="222"/>
      <c r="R113" s="222"/>
      <c r="S113" s="222"/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  <c r="AM113" s="222"/>
      <c r="AN113" s="222"/>
      <c r="AO113" s="222"/>
      <c r="AP113" s="222"/>
      <c r="AQ113" s="222"/>
      <c r="AR113" s="222"/>
      <c r="AS113" s="222"/>
      <c r="AT113" s="222"/>
      <c r="AU113" s="222"/>
      <c r="CR113" s="35"/>
    </row>
    <row r="114" spans="1:96" ht="15" customHeight="1" x14ac:dyDescent="0.15">
      <c r="A114" s="34"/>
      <c r="B114" s="224" t="s">
        <v>223</v>
      </c>
      <c r="C114" s="224"/>
      <c r="D114" s="224"/>
      <c r="E114" s="224"/>
      <c r="F114" s="224"/>
      <c r="G114" s="224"/>
      <c r="H114" s="224"/>
      <c r="I114" s="224"/>
      <c r="J114" s="224"/>
      <c r="K114" s="224"/>
      <c r="L114" s="224"/>
      <c r="M114" s="224"/>
      <c r="N114" s="224"/>
      <c r="O114" s="224"/>
      <c r="P114" s="224" t="s">
        <v>224</v>
      </c>
      <c r="Q114" s="224"/>
      <c r="R114" s="224"/>
      <c r="S114" s="224"/>
      <c r="T114" s="224"/>
      <c r="U114" s="224"/>
      <c r="V114" s="224"/>
      <c r="W114" s="224"/>
      <c r="X114" s="224"/>
      <c r="Y114" s="224"/>
      <c r="Z114" s="224"/>
      <c r="AA114" s="224"/>
      <c r="AB114" s="224"/>
      <c r="AC114" s="224"/>
      <c r="AD114" s="224"/>
      <c r="AE114" s="224"/>
      <c r="AF114" s="224"/>
      <c r="AG114" s="224"/>
      <c r="AH114" s="224"/>
      <c r="AI114" s="224"/>
      <c r="AJ114" s="224"/>
      <c r="AK114" s="224"/>
      <c r="AL114" s="224"/>
      <c r="AM114" s="224"/>
      <c r="AN114" s="224"/>
      <c r="AO114" s="224"/>
      <c r="AP114" s="224"/>
      <c r="AQ114" s="224"/>
      <c r="AR114" s="224"/>
      <c r="AS114" s="224"/>
      <c r="AT114" s="224"/>
      <c r="AU114" s="224"/>
      <c r="CR114" s="35"/>
    </row>
    <row r="115" spans="1:96" ht="15" customHeight="1" x14ac:dyDescent="0.15">
      <c r="A115" s="34"/>
      <c r="B115" s="224" t="s">
        <v>225</v>
      </c>
      <c r="C115" s="224"/>
      <c r="D115" s="224"/>
      <c r="E115" s="224"/>
      <c r="F115" s="224"/>
      <c r="G115" s="224"/>
      <c r="H115" s="224"/>
      <c r="I115" s="224"/>
      <c r="J115" s="224"/>
      <c r="K115" s="224"/>
      <c r="L115" s="224"/>
      <c r="M115" s="224"/>
      <c r="N115" s="224"/>
      <c r="O115" s="224"/>
      <c r="P115" s="244" t="s">
        <v>226</v>
      </c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  <c r="AA115" s="245"/>
      <c r="AB115" s="245"/>
      <c r="AC115" s="245"/>
      <c r="AD115" s="245"/>
      <c r="AE115" s="245"/>
      <c r="AF115" s="245"/>
      <c r="AG115" s="245"/>
      <c r="AH115" s="245"/>
      <c r="AI115" s="245"/>
      <c r="AJ115" s="245"/>
      <c r="AK115" s="245"/>
      <c r="AL115" s="245"/>
      <c r="AM115" s="245"/>
      <c r="AN115" s="245"/>
      <c r="AO115" s="245"/>
      <c r="AP115" s="245"/>
      <c r="AQ115" s="245"/>
      <c r="AR115" s="245"/>
      <c r="AS115" s="245"/>
      <c r="AT115" s="245"/>
      <c r="AU115" s="246"/>
      <c r="CR115" s="35"/>
    </row>
    <row r="116" spans="1:96" ht="15" customHeight="1" x14ac:dyDescent="0.15">
      <c r="A116" s="34"/>
      <c r="B116" s="224" t="s">
        <v>227</v>
      </c>
      <c r="C116" s="224"/>
      <c r="D116" s="224"/>
      <c r="E116" s="224"/>
      <c r="F116" s="224"/>
      <c r="G116" s="224"/>
      <c r="H116" s="224"/>
      <c r="I116" s="224"/>
      <c r="J116" s="224"/>
      <c r="K116" s="224"/>
      <c r="L116" s="224"/>
      <c r="M116" s="224"/>
      <c r="N116" s="224"/>
      <c r="O116" s="224"/>
      <c r="P116" s="247"/>
      <c r="Q116" s="248"/>
      <c r="R116" s="248"/>
      <c r="S116" s="248"/>
      <c r="T116" s="248"/>
      <c r="U116" s="248"/>
      <c r="V116" s="248"/>
      <c r="W116" s="248"/>
      <c r="X116" s="248"/>
      <c r="Y116" s="248"/>
      <c r="Z116" s="248"/>
      <c r="AA116" s="248"/>
      <c r="AB116" s="248"/>
      <c r="AC116" s="248"/>
      <c r="AD116" s="248"/>
      <c r="AE116" s="248"/>
      <c r="AF116" s="248"/>
      <c r="AG116" s="248"/>
      <c r="AH116" s="248"/>
      <c r="AI116" s="248"/>
      <c r="AJ116" s="248"/>
      <c r="AK116" s="248"/>
      <c r="AL116" s="248"/>
      <c r="AM116" s="248"/>
      <c r="AN116" s="248"/>
      <c r="AO116" s="248"/>
      <c r="AP116" s="248"/>
      <c r="AQ116" s="248"/>
      <c r="AR116" s="248"/>
      <c r="AS116" s="248"/>
      <c r="AT116" s="248"/>
      <c r="AU116" s="249"/>
      <c r="CR116" s="35"/>
    </row>
    <row r="117" spans="1:96" ht="15" customHeight="1" x14ac:dyDescent="0.15">
      <c r="A117" s="34"/>
      <c r="B117" s="224" t="s">
        <v>228</v>
      </c>
      <c r="C117" s="224"/>
      <c r="D117" s="224"/>
      <c r="E117" s="224"/>
      <c r="F117" s="224"/>
      <c r="G117" s="224"/>
      <c r="H117" s="224"/>
      <c r="I117" s="224"/>
      <c r="J117" s="224"/>
      <c r="K117" s="224"/>
      <c r="L117" s="224"/>
      <c r="M117" s="224"/>
      <c r="N117" s="224"/>
      <c r="O117" s="224"/>
      <c r="P117" s="250"/>
      <c r="Q117" s="251"/>
      <c r="R117" s="251"/>
      <c r="S117" s="251"/>
      <c r="T117" s="251"/>
      <c r="U117" s="251"/>
      <c r="V117" s="251"/>
      <c r="W117" s="251"/>
      <c r="X117" s="251"/>
      <c r="Y117" s="251"/>
      <c r="Z117" s="251"/>
      <c r="AA117" s="251"/>
      <c r="AB117" s="251"/>
      <c r="AC117" s="251"/>
      <c r="AD117" s="251"/>
      <c r="AE117" s="251"/>
      <c r="AF117" s="251"/>
      <c r="AG117" s="251"/>
      <c r="AH117" s="251"/>
      <c r="AI117" s="251"/>
      <c r="AJ117" s="251"/>
      <c r="AK117" s="251"/>
      <c r="AL117" s="251"/>
      <c r="AM117" s="251"/>
      <c r="AN117" s="251"/>
      <c r="AO117" s="251"/>
      <c r="AP117" s="251"/>
      <c r="AQ117" s="251"/>
      <c r="AR117" s="251"/>
      <c r="AS117" s="251"/>
      <c r="AT117" s="251"/>
      <c r="AU117" s="252"/>
      <c r="CR117" s="35"/>
    </row>
    <row r="118" spans="1:96" ht="30" customHeight="1" x14ac:dyDescent="0.15">
      <c r="A118" s="34"/>
      <c r="B118" s="224" t="s">
        <v>229</v>
      </c>
      <c r="C118" s="224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54" t="s">
        <v>230</v>
      </c>
      <c r="Q118" s="255"/>
      <c r="R118" s="255"/>
      <c r="S118" s="255"/>
      <c r="T118" s="255"/>
      <c r="U118" s="255"/>
      <c r="V118" s="255"/>
      <c r="W118" s="255"/>
      <c r="X118" s="255"/>
      <c r="Y118" s="255"/>
      <c r="Z118" s="255"/>
      <c r="AA118" s="255"/>
      <c r="AB118" s="255"/>
      <c r="AC118" s="255"/>
      <c r="AD118" s="255"/>
      <c r="AE118" s="255"/>
      <c r="AF118" s="255"/>
      <c r="AG118" s="255"/>
      <c r="AH118" s="255"/>
      <c r="AI118" s="255"/>
      <c r="AJ118" s="255"/>
      <c r="AK118" s="255"/>
      <c r="AL118" s="255"/>
      <c r="AM118" s="255"/>
      <c r="AN118" s="255"/>
      <c r="AO118" s="255"/>
      <c r="AP118" s="255"/>
      <c r="AQ118" s="255"/>
      <c r="AR118" s="255"/>
      <c r="AS118" s="255"/>
      <c r="AT118" s="255"/>
      <c r="AU118" s="256"/>
      <c r="CR118" s="35"/>
    </row>
    <row r="119" spans="1:96" ht="30" customHeight="1" x14ac:dyDescent="0.15">
      <c r="A119" s="34"/>
      <c r="B119" s="224" t="s">
        <v>231</v>
      </c>
      <c r="C119" s="224"/>
      <c r="D119" s="224"/>
      <c r="E119" s="224"/>
      <c r="F119" s="224"/>
      <c r="G119" s="224"/>
      <c r="H119" s="224"/>
      <c r="I119" s="224"/>
      <c r="J119" s="224"/>
      <c r="K119" s="224"/>
      <c r="L119" s="224"/>
      <c r="M119" s="224"/>
      <c r="N119" s="224"/>
      <c r="O119" s="224"/>
      <c r="P119" s="257"/>
      <c r="Q119" s="258"/>
      <c r="R119" s="258"/>
      <c r="S119" s="258"/>
      <c r="T119" s="258"/>
      <c r="U119" s="258"/>
      <c r="V119" s="258"/>
      <c r="W119" s="258"/>
      <c r="X119" s="258"/>
      <c r="Y119" s="258"/>
      <c r="Z119" s="258"/>
      <c r="AA119" s="258"/>
      <c r="AB119" s="258"/>
      <c r="AC119" s="258"/>
      <c r="AD119" s="258"/>
      <c r="AE119" s="258"/>
      <c r="AF119" s="258"/>
      <c r="AG119" s="258"/>
      <c r="AH119" s="258"/>
      <c r="AI119" s="258"/>
      <c r="AJ119" s="258"/>
      <c r="AK119" s="258"/>
      <c r="AL119" s="258"/>
      <c r="AM119" s="258"/>
      <c r="AN119" s="258"/>
      <c r="AO119" s="258"/>
      <c r="AP119" s="258"/>
      <c r="AQ119" s="258"/>
      <c r="AR119" s="258"/>
      <c r="AS119" s="258"/>
      <c r="AT119" s="258"/>
      <c r="AU119" s="259"/>
      <c r="CR119" s="35"/>
    </row>
    <row r="120" spans="1:96" ht="30" customHeight="1" x14ac:dyDescent="0.15">
      <c r="A120" s="34"/>
      <c r="B120" s="224" t="s">
        <v>232</v>
      </c>
      <c r="C120" s="224"/>
      <c r="D120" s="224"/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60"/>
      <c r="Q120" s="261"/>
      <c r="R120" s="261"/>
      <c r="S120" s="261"/>
      <c r="T120" s="261"/>
      <c r="U120" s="261"/>
      <c r="V120" s="261"/>
      <c r="W120" s="261"/>
      <c r="X120" s="261"/>
      <c r="Y120" s="261"/>
      <c r="Z120" s="261"/>
      <c r="AA120" s="261"/>
      <c r="AB120" s="261"/>
      <c r="AC120" s="261"/>
      <c r="AD120" s="261"/>
      <c r="AE120" s="261"/>
      <c r="AF120" s="261"/>
      <c r="AG120" s="261"/>
      <c r="AH120" s="261"/>
      <c r="AI120" s="261"/>
      <c r="AJ120" s="261"/>
      <c r="AK120" s="261"/>
      <c r="AL120" s="261"/>
      <c r="AM120" s="261"/>
      <c r="AN120" s="261"/>
      <c r="AO120" s="261"/>
      <c r="AP120" s="261"/>
      <c r="AQ120" s="261"/>
      <c r="AR120" s="261"/>
      <c r="AS120" s="261"/>
      <c r="AT120" s="261"/>
      <c r="AU120" s="262"/>
      <c r="CR120" s="35"/>
    </row>
    <row r="121" spans="1:96" ht="15" customHeight="1" x14ac:dyDescent="0.15">
      <c r="A121" s="34"/>
      <c r="CR121" s="35"/>
    </row>
    <row r="122" spans="1:96" ht="15" customHeight="1" x14ac:dyDescent="0.15">
      <c r="A122" s="34"/>
      <c r="CR122" s="35"/>
    </row>
    <row r="123" spans="1:96" ht="15" customHeight="1" x14ac:dyDescent="0.15">
      <c r="A123" s="34"/>
      <c r="CR123" s="35"/>
    </row>
    <row r="124" spans="1:96" ht="15" customHeight="1" x14ac:dyDescent="0.15">
      <c r="A124" s="34"/>
      <c r="CR124" s="35"/>
    </row>
    <row r="125" spans="1:96" ht="15" customHeight="1" x14ac:dyDescent="0.15">
      <c r="A125" s="34"/>
      <c r="CR125" s="35"/>
    </row>
    <row r="126" spans="1:96" ht="15" customHeight="1" x14ac:dyDescent="0.15">
      <c r="A126" s="34"/>
      <c r="CR126" s="35"/>
    </row>
    <row r="127" spans="1:96" ht="15" customHeight="1" thickBot="1" x14ac:dyDescent="0.2">
      <c r="A127" s="25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7"/>
      <c r="BL127" s="27"/>
      <c r="BM127" s="28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9"/>
    </row>
    <row r="128" spans="1:96" ht="15" customHeight="1" thickBot="1" x14ac:dyDescent="0.2">
      <c r="A128" s="112" t="s">
        <v>48</v>
      </c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  <c r="AM128" s="113"/>
      <c r="AN128" s="113"/>
      <c r="AO128" s="113"/>
      <c r="AP128" s="113"/>
      <c r="AQ128" s="113"/>
      <c r="AR128" s="113"/>
      <c r="AS128" s="113"/>
      <c r="AT128" s="113"/>
      <c r="AU128" s="113"/>
      <c r="AV128" s="113"/>
      <c r="AW128" s="113"/>
      <c r="AX128" s="113"/>
      <c r="AY128" s="113"/>
      <c r="AZ128" s="113"/>
      <c r="BA128" s="113"/>
      <c r="BB128" s="113"/>
      <c r="BC128" s="113"/>
      <c r="BD128" s="113"/>
      <c r="BE128" s="113"/>
      <c r="BF128" s="113"/>
      <c r="BG128" s="113"/>
      <c r="BH128" s="113"/>
      <c r="BI128" s="113"/>
      <c r="BJ128" s="113"/>
      <c r="BK128" s="113"/>
      <c r="BL128" s="113"/>
      <c r="BM128" s="113"/>
      <c r="BN128" s="113"/>
      <c r="BO128" s="113"/>
      <c r="BP128" s="113"/>
      <c r="BQ128" s="113"/>
      <c r="BR128" s="113"/>
      <c r="BS128" s="113"/>
      <c r="BT128" s="113"/>
      <c r="BU128" s="113"/>
      <c r="BV128" s="113"/>
      <c r="BW128" s="113"/>
      <c r="BX128" s="113"/>
      <c r="BY128" s="113"/>
      <c r="BZ128" s="113"/>
      <c r="CA128" s="113"/>
      <c r="CB128" s="113"/>
      <c r="CC128" s="113"/>
      <c r="CD128" s="113"/>
      <c r="CE128" s="113"/>
      <c r="CF128" s="113"/>
      <c r="CG128" s="113"/>
      <c r="CH128" s="113"/>
      <c r="CI128" s="113"/>
      <c r="CJ128" s="113"/>
      <c r="CK128" s="113"/>
      <c r="CL128" s="113"/>
      <c r="CM128" s="113"/>
      <c r="CN128" s="113"/>
      <c r="CO128" s="113"/>
      <c r="CP128" s="113"/>
      <c r="CQ128" s="113"/>
      <c r="CR128" s="114"/>
    </row>
    <row r="129" spans="1:96" ht="15" customHeight="1" x14ac:dyDescent="0.15">
      <c r="A129" s="31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3"/>
    </row>
    <row r="130" spans="1:96" ht="15" customHeight="1" x14ac:dyDescent="0.15">
      <c r="A130" s="34"/>
      <c r="B130" s="17" t="s">
        <v>190</v>
      </c>
      <c r="CR130" s="35"/>
    </row>
    <row r="131" spans="1:96" ht="15" customHeight="1" x14ac:dyDescent="0.15">
      <c r="A131" s="34"/>
      <c r="B131" s="222" t="s">
        <v>141</v>
      </c>
      <c r="C131" s="222"/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S131" s="222" t="s">
        <v>197</v>
      </c>
      <c r="T131" s="222"/>
      <c r="U131" s="222"/>
      <c r="V131" s="222"/>
      <c r="W131" s="222"/>
      <c r="X131" s="222"/>
      <c r="Y131" s="222"/>
      <c r="Z131" s="222"/>
      <c r="AA131" s="222"/>
      <c r="AB131" s="222"/>
      <c r="AC131" s="222"/>
      <c r="AD131" s="222"/>
      <c r="AE131" s="222"/>
      <c r="AF131" s="222"/>
      <c r="AG131" s="222"/>
      <c r="AH131" s="222"/>
      <c r="AI131" s="222"/>
      <c r="AJ131" s="222"/>
      <c r="AK131" s="222"/>
      <c r="AL131" s="222"/>
      <c r="AM131" s="222"/>
      <c r="AN131" s="222"/>
      <c r="AO131" s="222"/>
      <c r="AP131" s="222"/>
      <c r="AQ131" s="222"/>
      <c r="AR131" s="222"/>
      <c r="AS131" s="222"/>
      <c r="AT131" s="222"/>
      <c r="AU131" s="222"/>
      <c r="AV131" s="222"/>
      <c r="AW131" s="222"/>
      <c r="AX131" s="222"/>
      <c r="AY131" s="222"/>
      <c r="AZ131" s="222"/>
      <c r="BA131" s="222"/>
      <c r="BB131" s="222"/>
      <c r="BC131" s="222"/>
      <c r="BD131" s="222"/>
      <c r="BE131" s="222"/>
      <c r="BF131" s="222"/>
      <c r="BG131" s="222"/>
      <c r="BH131" s="222"/>
      <c r="BI131" s="222"/>
      <c r="BJ131" s="222"/>
      <c r="BK131" s="222"/>
      <c r="BL131" s="222"/>
      <c r="BM131" s="222"/>
      <c r="BN131" s="222"/>
      <c r="BO131" s="222"/>
      <c r="BP131" s="222"/>
      <c r="BQ131" s="222"/>
      <c r="BR131" s="222"/>
      <c r="BS131" s="222" t="s">
        <v>146</v>
      </c>
      <c r="BT131" s="222"/>
      <c r="BU131" s="222"/>
      <c r="BV131" s="222"/>
      <c r="BW131" s="222"/>
      <c r="BX131" s="222"/>
      <c r="BY131" s="222"/>
      <c r="BZ131" s="222"/>
      <c r="CA131" s="222"/>
      <c r="CB131" s="222"/>
      <c r="CC131" s="222"/>
      <c r="CD131" s="222"/>
      <c r="CE131" s="222"/>
      <c r="CF131" s="266" t="s">
        <v>323</v>
      </c>
      <c r="CG131" s="266"/>
      <c r="CH131" s="266"/>
      <c r="CI131" s="266"/>
      <c r="CJ131" s="266"/>
      <c r="CK131" s="266"/>
      <c r="CL131" s="266"/>
      <c r="CM131" s="266"/>
      <c r="CN131" s="266"/>
      <c r="CO131" s="266"/>
      <c r="CP131" s="266"/>
      <c r="CQ131" s="266"/>
      <c r="CR131" s="35"/>
    </row>
    <row r="132" spans="1:96" ht="15" customHeight="1" x14ac:dyDescent="0.15">
      <c r="A132" s="34"/>
      <c r="B132" s="222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S132" s="222" t="s">
        <v>142</v>
      </c>
      <c r="T132" s="222"/>
      <c r="U132" s="222"/>
      <c r="V132" s="222"/>
      <c r="W132" s="222"/>
      <c r="X132" s="222"/>
      <c r="Y132" s="222"/>
      <c r="Z132" s="222"/>
      <c r="AA132" s="222"/>
      <c r="AB132" s="222"/>
      <c r="AC132" s="222"/>
      <c r="AD132" s="222"/>
      <c r="AE132" s="222"/>
      <c r="AF132" s="222" t="s">
        <v>143</v>
      </c>
      <c r="AG132" s="222"/>
      <c r="AH132" s="222"/>
      <c r="AI132" s="222"/>
      <c r="AJ132" s="222"/>
      <c r="AK132" s="222"/>
      <c r="AL132" s="222"/>
      <c r="AM132" s="222"/>
      <c r="AN132" s="222"/>
      <c r="AO132" s="222"/>
      <c r="AP132" s="222"/>
      <c r="AQ132" s="222"/>
      <c r="AR132" s="222"/>
      <c r="AS132" s="222" t="s">
        <v>144</v>
      </c>
      <c r="AT132" s="222"/>
      <c r="AU132" s="222"/>
      <c r="AV132" s="222"/>
      <c r="AW132" s="222"/>
      <c r="AX132" s="222"/>
      <c r="AY132" s="222"/>
      <c r="AZ132" s="222"/>
      <c r="BA132" s="222"/>
      <c r="BB132" s="222"/>
      <c r="BC132" s="222"/>
      <c r="BD132" s="222"/>
      <c r="BE132" s="222"/>
      <c r="BF132" s="222" t="s">
        <v>145</v>
      </c>
      <c r="BG132" s="222"/>
      <c r="BH132" s="222"/>
      <c r="BI132" s="222"/>
      <c r="BJ132" s="222"/>
      <c r="BK132" s="222"/>
      <c r="BL132" s="222"/>
      <c r="BM132" s="222"/>
      <c r="BN132" s="222"/>
      <c r="BO132" s="222"/>
      <c r="BP132" s="222"/>
      <c r="BQ132" s="222"/>
      <c r="BR132" s="222"/>
      <c r="BS132" s="222"/>
      <c r="BT132" s="222"/>
      <c r="BU132" s="222"/>
      <c r="BV132" s="222"/>
      <c r="BW132" s="222"/>
      <c r="BX132" s="222"/>
      <c r="BY132" s="222"/>
      <c r="BZ132" s="222"/>
      <c r="CA132" s="222"/>
      <c r="CB132" s="222"/>
      <c r="CC132" s="222"/>
      <c r="CD132" s="222"/>
      <c r="CE132" s="222"/>
      <c r="CF132" s="266"/>
      <c r="CG132" s="266"/>
      <c r="CH132" s="266"/>
      <c r="CI132" s="266"/>
      <c r="CJ132" s="266"/>
      <c r="CK132" s="266"/>
      <c r="CL132" s="266"/>
      <c r="CM132" s="266"/>
      <c r="CN132" s="266"/>
      <c r="CO132" s="266"/>
      <c r="CP132" s="266"/>
      <c r="CQ132" s="266"/>
      <c r="CR132" s="35"/>
    </row>
    <row r="133" spans="1:96" ht="15" customHeight="1" x14ac:dyDescent="0.15">
      <c r="A133" s="34"/>
      <c r="B133" s="223" t="s">
        <v>150</v>
      </c>
      <c r="C133" s="223"/>
      <c r="D133" s="223"/>
      <c r="E133" s="223"/>
      <c r="F133" s="223"/>
      <c r="G133" s="223"/>
      <c r="H133" s="223"/>
      <c r="I133" s="223"/>
      <c r="J133" s="223"/>
      <c r="K133" s="223"/>
      <c r="L133" s="223"/>
      <c r="M133" s="223"/>
      <c r="N133" s="223"/>
      <c r="O133" s="223"/>
      <c r="S133" s="235" t="s">
        <v>151</v>
      </c>
      <c r="T133" s="235"/>
      <c r="U133" s="235"/>
      <c r="V133" s="235"/>
      <c r="W133" s="235"/>
      <c r="X133" s="235"/>
      <c r="Y133" s="235"/>
      <c r="Z133" s="235"/>
      <c r="AA133" s="235"/>
      <c r="AB133" s="235"/>
      <c r="AC133" s="235"/>
      <c r="AD133" s="235"/>
      <c r="AE133" s="235"/>
      <c r="AF133" s="235" t="s">
        <v>152</v>
      </c>
      <c r="AG133" s="235"/>
      <c r="AH133" s="235"/>
      <c r="AI133" s="235"/>
      <c r="AJ133" s="235"/>
      <c r="AK133" s="235"/>
      <c r="AL133" s="235"/>
      <c r="AM133" s="235"/>
      <c r="AN133" s="235"/>
      <c r="AO133" s="235"/>
      <c r="AP133" s="235"/>
      <c r="AQ133" s="235"/>
      <c r="AR133" s="235"/>
      <c r="AS133" s="235" t="s">
        <v>152</v>
      </c>
      <c r="AT133" s="235"/>
      <c r="AU133" s="235"/>
      <c r="AV133" s="235"/>
      <c r="AW133" s="235"/>
      <c r="AX133" s="235"/>
      <c r="AY133" s="235"/>
      <c r="AZ133" s="235"/>
      <c r="BA133" s="235"/>
      <c r="BB133" s="235"/>
      <c r="BC133" s="235"/>
      <c r="BD133" s="235"/>
      <c r="BE133" s="235"/>
      <c r="BF133" s="223" t="s">
        <v>152</v>
      </c>
      <c r="BG133" s="223"/>
      <c r="BH133" s="223"/>
      <c r="BI133" s="223"/>
      <c r="BJ133" s="223"/>
      <c r="BK133" s="223"/>
      <c r="BL133" s="223"/>
      <c r="BM133" s="223"/>
      <c r="BN133" s="223"/>
      <c r="BO133" s="223"/>
      <c r="BP133" s="223"/>
      <c r="BQ133" s="223"/>
      <c r="BR133" s="223"/>
      <c r="BS133" s="233"/>
      <c r="BT133" s="233"/>
      <c r="BU133" s="233"/>
      <c r="BV133" s="233"/>
      <c r="BW133" s="233"/>
      <c r="BX133" s="233"/>
      <c r="BY133" s="233"/>
      <c r="BZ133" s="233"/>
      <c r="CA133" s="233"/>
      <c r="CB133" s="233"/>
      <c r="CC133" s="233"/>
      <c r="CD133" s="233"/>
      <c r="CE133" s="233"/>
      <c r="CF133" s="263"/>
      <c r="CG133" s="264"/>
      <c r="CH133" s="264"/>
      <c r="CI133" s="264"/>
      <c r="CJ133" s="264"/>
      <c r="CK133" s="264"/>
      <c r="CL133" s="264"/>
      <c r="CM133" s="264"/>
      <c r="CN133" s="264"/>
      <c r="CO133" s="264"/>
      <c r="CP133" s="264"/>
      <c r="CQ133" s="265"/>
      <c r="CR133" s="35"/>
    </row>
    <row r="134" spans="1:96" ht="15" customHeight="1" x14ac:dyDescent="0.15">
      <c r="A134" s="34"/>
      <c r="B134" s="223" t="s">
        <v>153</v>
      </c>
      <c r="C134" s="223"/>
      <c r="D134" s="223"/>
      <c r="E134" s="223"/>
      <c r="F134" s="223"/>
      <c r="G134" s="223"/>
      <c r="H134" s="223"/>
      <c r="I134" s="223"/>
      <c r="J134" s="223"/>
      <c r="K134" s="223"/>
      <c r="L134" s="223"/>
      <c r="M134" s="223"/>
      <c r="N134" s="223"/>
      <c r="O134" s="223"/>
      <c r="S134" s="234" t="s">
        <v>321</v>
      </c>
      <c r="T134" s="235"/>
      <c r="U134" s="235"/>
      <c r="V134" s="235"/>
      <c r="W134" s="235"/>
      <c r="X134" s="235"/>
      <c r="Y134" s="235"/>
      <c r="Z134" s="235"/>
      <c r="AA134" s="235"/>
      <c r="AB134" s="235"/>
      <c r="AC134" s="235"/>
      <c r="AD134" s="235"/>
      <c r="AE134" s="235"/>
      <c r="AF134" s="235" t="s">
        <v>154</v>
      </c>
      <c r="AG134" s="235"/>
      <c r="AH134" s="235"/>
      <c r="AI134" s="235"/>
      <c r="AJ134" s="235"/>
      <c r="AK134" s="235"/>
      <c r="AL134" s="235"/>
      <c r="AM134" s="235"/>
      <c r="AN134" s="235"/>
      <c r="AO134" s="235"/>
      <c r="AP134" s="235"/>
      <c r="AQ134" s="235"/>
      <c r="AR134" s="235"/>
      <c r="AS134" s="235" t="s">
        <v>154</v>
      </c>
      <c r="AT134" s="235"/>
      <c r="AU134" s="235"/>
      <c r="AV134" s="235"/>
      <c r="AW134" s="235"/>
      <c r="AX134" s="235"/>
      <c r="AY134" s="235"/>
      <c r="AZ134" s="235"/>
      <c r="BA134" s="235"/>
      <c r="BB134" s="235"/>
      <c r="BC134" s="235"/>
      <c r="BD134" s="235"/>
      <c r="BE134" s="235"/>
      <c r="BF134" s="235" t="s">
        <v>154</v>
      </c>
      <c r="BG134" s="235"/>
      <c r="BH134" s="235"/>
      <c r="BI134" s="235"/>
      <c r="BJ134" s="235"/>
      <c r="BK134" s="235"/>
      <c r="BL134" s="235"/>
      <c r="BM134" s="235"/>
      <c r="BN134" s="235"/>
      <c r="BO134" s="235"/>
      <c r="BP134" s="235"/>
      <c r="BQ134" s="235"/>
      <c r="BR134" s="235"/>
      <c r="BS134" s="233"/>
      <c r="BT134" s="233"/>
      <c r="BU134" s="233"/>
      <c r="BV134" s="233"/>
      <c r="BW134" s="233"/>
      <c r="BX134" s="233"/>
      <c r="BY134" s="233"/>
      <c r="BZ134" s="233"/>
      <c r="CA134" s="233"/>
      <c r="CB134" s="233"/>
      <c r="CC134" s="233"/>
      <c r="CD134" s="233"/>
      <c r="CE134" s="233"/>
      <c r="CF134" s="239"/>
      <c r="CG134" s="239"/>
      <c r="CH134" s="239"/>
      <c r="CI134" s="239"/>
      <c r="CJ134" s="239"/>
      <c r="CK134" s="239"/>
      <c r="CL134" s="239"/>
      <c r="CM134" s="239"/>
      <c r="CN134" s="239"/>
      <c r="CO134" s="239"/>
      <c r="CP134" s="239"/>
      <c r="CQ134" s="239"/>
      <c r="CR134" s="35"/>
    </row>
    <row r="135" spans="1:96" ht="15" customHeight="1" x14ac:dyDescent="0.15">
      <c r="A135" s="34"/>
      <c r="B135" s="223" t="s">
        <v>155</v>
      </c>
      <c r="C135" s="223"/>
      <c r="D135" s="223"/>
      <c r="E135" s="223"/>
      <c r="F135" s="223"/>
      <c r="G135" s="223"/>
      <c r="H135" s="223"/>
      <c r="I135" s="223"/>
      <c r="J135" s="223"/>
      <c r="K135" s="223"/>
      <c r="L135" s="223"/>
      <c r="M135" s="223"/>
      <c r="N135" s="223"/>
      <c r="O135" s="223"/>
      <c r="S135" s="235" t="s">
        <v>156</v>
      </c>
      <c r="T135" s="235"/>
      <c r="U135" s="235"/>
      <c r="V135" s="235"/>
      <c r="W135" s="235"/>
      <c r="X135" s="235"/>
      <c r="Y135" s="235"/>
      <c r="Z135" s="235"/>
      <c r="AA135" s="235"/>
      <c r="AB135" s="235"/>
      <c r="AC135" s="235"/>
      <c r="AD135" s="235"/>
      <c r="AE135" s="235"/>
      <c r="AF135" s="238"/>
      <c r="AG135" s="238"/>
      <c r="AH135" s="238"/>
      <c r="AI135" s="238"/>
      <c r="AJ135" s="238"/>
      <c r="AK135" s="238"/>
      <c r="AL135" s="238"/>
      <c r="AM135" s="238"/>
      <c r="AN135" s="238"/>
      <c r="AO135" s="238"/>
      <c r="AP135" s="238"/>
      <c r="AQ135" s="238"/>
      <c r="AR135" s="238"/>
      <c r="AS135" s="238"/>
      <c r="AT135" s="238"/>
      <c r="AU135" s="238"/>
      <c r="AV135" s="238"/>
      <c r="AW135" s="238"/>
      <c r="AX135" s="238"/>
      <c r="AY135" s="238"/>
      <c r="AZ135" s="238"/>
      <c r="BA135" s="238"/>
      <c r="BB135" s="238"/>
      <c r="BC135" s="238"/>
      <c r="BD135" s="238"/>
      <c r="BE135" s="238"/>
      <c r="BF135" s="239"/>
      <c r="BG135" s="239"/>
      <c r="BH135" s="239"/>
      <c r="BI135" s="239"/>
      <c r="BJ135" s="239"/>
      <c r="BK135" s="239"/>
      <c r="BL135" s="239"/>
      <c r="BM135" s="239"/>
      <c r="BN135" s="239"/>
      <c r="BO135" s="239"/>
      <c r="BP135" s="239"/>
      <c r="BQ135" s="239"/>
      <c r="BR135" s="239"/>
      <c r="BS135" s="233"/>
      <c r="BT135" s="233"/>
      <c r="BU135" s="233"/>
      <c r="BV135" s="233"/>
      <c r="BW135" s="233"/>
      <c r="BX135" s="233"/>
      <c r="BY135" s="233"/>
      <c r="BZ135" s="233"/>
      <c r="CA135" s="233"/>
      <c r="CB135" s="233"/>
      <c r="CC135" s="233"/>
      <c r="CD135" s="233"/>
      <c r="CE135" s="233"/>
      <c r="CF135" s="239"/>
      <c r="CG135" s="239"/>
      <c r="CH135" s="239"/>
      <c r="CI135" s="239"/>
      <c r="CJ135" s="239"/>
      <c r="CK135" s="239"/>
      <c r="CL135" s="239"/>
      <c r="CM135" s="239"/>
      <c r="CN135" s="239"/>
      <c r="CO135" s="239"/>
      <c r="CP135" s="239"/>
      <c r="CQ135" s="239"/>
      <c r="CR135" s="35"/>
    </row>
    <row r="136" spans="1:96" ht="15" customHeight="1" x14ac:dyDescent="0.15">
      <c r="A136" s="34"/>
      <c r="B136" s="223" t="s">
        <v>157</v>
      </c>
      <c r="C136" s="223"/>
      <c r="D136" s="223"/>
      <c r="E136" s="223"/>
      <c r="F136" s="223"/>
      <c r="G136" s="223"/>
      <c r="H136" s="223"/>
      <c r="I136" s="223"/>
      <c r="J136" s="223"/>
      <c r="K136" s="223"/>
      <c r="L136" s="223"/>
      <c r="M136" s="223"/>
      <c r="N136" s="223"/>
      <c r="O136" s="223"/>
      <c r="S136" s="235" t="s">
        <v>158</v>
      </c>
      <c r="T136" s="235"/>
      <c r="U136" s="235"/>
      <c r="V136" s="235"/>
      <c r="W136" s="235"/>
      <c r="X136" s="235"/>
      <c r="Y136" s="235"/>
      <c r="Z136" s="235"/>
      <c r="AA136" s="235"/>
      <c r="AB136" s="235"/>
      <c r="AC136" s="235"/>
      <c r="AD136" s="235"/>
      <c r="AE136" s="235"/>
      <c r="AF136" s="235" t="s">
        <v>159</v>
      </c>
      <c r="AG136" s="235"/>
      <c r="AH136" s="235"/>
      <c r="AI136" s="235"/>
      <c r="AJ136" s="235"/>
      <c r="AK136" s="235"/>
      <c r="AL136" s="235"/>
      <c r="AM136" s="235"/>
      <c r="AN136" s="235"/>
      <c r="AO136" s="235"/>
      <c r="AP136" s="235"/>
      <c r="AQ136" s="235"/>
      <c r="AR136" s="235"/>
      <c r="AS136" s="235" t="s">
        <v>159</v>
      </c>
      <c r="AT136" s="235"/>
      <c r="AU136" s="235"/>
      <c r="AV136" s="235"/>
      <c r="AW136" s="235"/>
      <c r="AX136" s="235"/>
      <c r="AY136" s="235"/>
      <c r="AZ136" s="235"/>
      <c r="BA136" s="235"/>
      <c r="BB136" s="235"/>
      <c r="BC136" s="235"/>
      <c r="BD136" s="235"/>
      <c r="BE136" s="235"/>
      <c r="BF136" s="235" t="s">
        <v>159</v>
      </c>
      <c r="BG136" s="235"/>
      <c r="BH136" s="235"/>
      <c r="BI136" s="235"/>
      <c r="BJ136" s="235"/>
      <c r="BK136" s="235"/>
      <c r="BL136" s="235"/>
      <c r="BM136" s="235"/>
      <c r="BN136" s="235"/>
      <c r="BO136" s="235"/>
      <c r="BP136" s="235"/>
      <c r="BQ136" s="235"/>
      <c r="BR136" s="235"/>
      <c r="BS136" s="233"/>
      <c r="BT136" s="233"/>
      <c r="BU136" s="233"/>
      <c r="BV136" s="233"/>
      <c r="BW136" s="233"/>
      <c r="BX136" s="233"/>
      <c r="BY136" s="233"/>
      <c r="BZ136" s="233"/>
      <c r="CA136" s="233"/>
      <c r="CB136" s="233"/>
      <c r="CC136" s="233"/>
      <c r="CD136" s="233"/>
      <c r="CE136" s="233"/>
      <c r="CF136" s="239"/>
      <c r="CG136" s="239"/>
      <c r="CH136" s="239"/>
      <c r="CI136" s="239"/>
      <c r="CJ136" s="239"/>
      <c r="CK136" s="239"/>
      <c r="CL136" s="239"/>
      <c r="CM136" s="239"/>
      <c r="CN136" s="239"/>
      <c r="CO136" s="239"/>
      <c r="CP136" s="239"/>
      <c r="CQ136" s="239"/>
      <c r="CR136" s="35"/>
    </row>
    <row r="137" spans="1:96" ht="15" customHeight="1" x14ac:dyDescent="0.15">
      <c r="A137" s="34"/>
      <c r="B137" s="224" t="s">
        <v>193</v>
      </c>
      <c r="C137" s="224"/>
      <c r="D137" s="224"/>
      <c r="E137" s="224"/>
      <c r="F137" s="224"/>
      <c r="G137" s="224"/>
      <c r="H137" s="224"/>
      <c r="I137" s="224"/>
      <c r="J137" s="224"/>
      <c r="K137" s="224"/>
      <c r="L137" s="224"/>
      <c r="M137" s="224"/>
      <c r="N137" s="224"/>
      <c r="O137" s="224"/>
      <c r="S137" s="238"/>
      <c r="T137" s="238"/>
      <c r="U137" s="238"/>
      <c r="V137" s="238"/>
      <c r="W137" s="238"/>
      <c r="X137" s="238"/>
      <c r="Y137" s="238"/>
      <c r="Z137" s="238"/>
      <c r="AA137" s="238"/>
      <c r="AB137" s="238"/>
      <c r="AC137" s="238"/>
      <c r="AD137" s="238"/>
      <c r="AE137" s="238"/>
      <c r="AF137" s="235" t="s">
        <v>160</v>
      </c>
      <c r="AG137" s="235"/>
      <c r="AH137" s="235"/>
      <c r="AI137" s="235"/>
      <c r="AJ137" s="235"/>
      <c r="AK137" s="235"/>
      <c r="AL137" s="235"/>
      <c r="AM137" s="235"/>
      <c r="AN137" s="235"/>
      <c r="AO137" s="235"/>
      <c r="AP137" s="235"/>
      <c r="AQ137" s="235"/>
      <c r="AR137" s="235"/>
      <c r="AS137" s="235" t="s">
        <v>160</v>
      </c>
      <c r="AT137" s="235"/>
      <c r="AU137" s="235"/>
      <c r="AV137" s="235"/>
      <c r="AW137" s="235"/>
      <c r="AX137" s="235"/>
      <c r="AY137" s="235"/>
      <c r="AZ137" s="235"/>
      <c r="BA137" s="235"/>
      <c r="BB137" s="235"/>
      <c r="BC137" s="235"/>
      <c r="BD137" s="235"/>
      <c r="BE137" s="235"/>
      <c r="BF137" s="235" t="s">
        <v>160</v>
      </c>
      <c r="BG137" s="235"/>
      <c r="BH137" s="235"/>
      <c r="BI137" s="235"/>
      <c r="BJ137" s="235"/>
      <c r="BK137" s="235"/>
      <c r="BL137" s="235"/>
      <c r="BM137" s="235"/>
      <c r="BN137" s="235"/>
      <c r="BO137" s="235"/>
      <c r="BP137" s="235"/>
      <c r="BQ137" s="235"/>
      <c r="BR137" s="235"/>
      <c r="BS137" s="233"/>
      <c r="BT137" s="233"/>
      <c r="BU137" s="233"/>
      <c r="BV137" s="233"/>
      <c r="BW137" s="233"/>
      <c r="BX137" s="233"/>
      <c r="BY137" s="233"/>
      <c r="BZ137" s="233"/>
      <c r="CA137" s="233"/>
      <c r="CB137" s="233"/>
      <c r="CC137" s="233"/>
      <c r="CD137" s="233"/>
      <c r="CE137" s="233"/>
      <c r="CF137" s="239"/>
      <c r="CG137" s="239"/>
      <c r="CH137" s="239"/>
      <c r="CI137" s="239"/>
      <c r="CJ137" s="239"/>
      <c r="CK137" s="239"/>
      <c r="CL137" s="239"/>
      <c r="CM137" s="239"/>
      <c r="CN137" s="239"/>
      <c r="CO137" s="239"/>
      <c r="CP137" s="239"/>
      <c r="CQ137" s="239"/>
      <c r="CR137" s="35"/>
    </row>
    <row r="138" spans="1:96" ht="15" customHeight="1" x14ac:dyDescent="0.15">
      <c r="A138" s="34"/>
      <c r="B138" s="224" t="s">
        <v>192</v>
      </c>
      <c r="C138" s="224"/>
      <c r="D138" s="224"/>
      <c r="E138" s="224"/>
      <c r="F138" s="224"/>
      <c r="G138" s="224"/>
      <c r="H138" s="224"/>
      <c r="I138" s="224"/>
      <c r="J138" s="224"/>
      <c r="K138" s="224"/>
      <c r="L138" s="224"/>
      <c r="M138" s="224"/>
      <c r="N138" s="224"/>
      <c r="O138" s="224"/>
      <c r="S138" s="238"/>
      <c r="T138" s="238"/>
      <c r="U138" s="238"/>
      <c r="V138" s="238"/>
      <c r="W138" s="238"/>
      <c r="X138" s="238"/>
      <c r="Y138" s="238"/>
      <c r="Z138" s="238"/>
      <c r="AA138" s="238"/>
      <c r="AB138" s="238"/>
      <c r="AC138" s="238"/>
      <c r="AD138" s="238"/>
      <c r="AE138" s="238"/>
      <c r="AF138" s="235" t="s">
        <v>198</v>
      </c>
      <c r="AG138" s="235"/>
      <c r="AH138" s="235"/>
      <c r="AI138" s="235"/>
      <c r="AJ138" s="235"/>
      <c r="AK138" s="235"/>
      <c r="AL138" s="235"/>
      <c r="AM138" s="235"/>
      <c r="AN138" s="235"/>
      <c r="AO138" s="235"/>
      <c r="AP138" s="235"/>
      <c r="AQ138" s="235"/>
      <c r="AR138" s="235"/>
      <c r="AS138" s="235" t="s">
        <v>198</v>
      </c>
      <c r="AT138" s="235"/>
      <c r="AU138" s="235"/>
      <c r="AV138" s="235"/>
      <c r="AW138" s="235"/>
      <c r="AX138" s="235"/>
      <c r="AY138" s="235"/>
      <c r="AZ138" s="235"/>
      <c r="BA138" s="235"/>
      <c r="BB138" s="235"/>
      <c r="BC138" s="235"/>
      <c r="BD138" s="235"/>
      <c r="BE138" s="235"/>
      <c r="BF138" s="235" t="s">
        <v>198</v>
      </c>
      <c r="BG138" s="235"/>
      <c r="BH138" s="235"/>
      <c r="BI138" s="235"/>
      <c r="BJ138" s="235"/>
      <c r="BK138" s="235"/>
      <c r="BL138" s="235"/>
      <c r="BM138" s="235"/>
      <c r="BN138" s="235"/>
      <c r="BO138" s="235"/>
      <c r="BP138" s="235"/>
      <c r="BQ138" s="235"/>
      <c r="BR138" s="235"/>
      <c r="BS138" s="233"/>
      <c r="BT138" s="233"/>
      <c r="BU138" s="233"/>
      <c r="BV138" s="233"/>
      <c r="BW138" s="233"/>
      <c r="BX138" s="233"/>
      <c r="BY138" s="233"/>
      <c r="BZ138" s="233"/>
      <c r="CA138" s="233"/>
      <c r="CB138" s="233"/>
      <c r="CC138" s="233"/>
      <c r="CD138" s="233"/>
      <c r="CE138" s="233"/>
      <c r="CF138" s="239"/>
      <c r="CG138" s="239"/>
      <c r="CH138" s="239"/>
      <c r="CI138" s="239"/>
      <c r="CJ138" s="239"/>
      <c r="CK138" s="239"/>
      <c r="CL138" s="239"/>
      <c r="CM138" s="239"/>
      <c r="CN138" s="239"/>
      <c r="CO138" s="239"/>
      <c r="CP138" s="239"/>
      <c r="CQ138" s="239"/>
      <c r="CR138" s="35"/>
    </row>
    <row r="139" spans="1:96" ht="15" customHeight="1" x14ac:dyDescent="0.15">
      <c r="A139" s="34"/>
      <c r="B139" s="224" t="s">
        <v>161</v>
      </c>
      <c r="C139" s="224"/>
      <c r="D139" s="224"/>
      <c r="E139" s="224"/>
      <c r="F139" s="224"/>
      <c r="G139" s="224"/>
      <c r="H139" s="224"/>
      <c r="I139" s="224"/>
      <c r="J139" s="224"/>
      <c r="K139" s="224"/>
      <c r="L139" s="224"/>
      <c r="M139" s="224"/>
      <c r="N139" s="224"/>
      <c r="O139" s="224"/>
      <c r="S139" s="235" t="s">
        <v>162</v>
      </c>
      <c r="T139" s="235"/>
      <c r="U139" s="235"/>
      <c r="V139" s="235"/>
      <c r="W139" s="235"/>
      <c r="X139" s="235"/>
      <c r="Y139" s="235"/>
      <c r="Z139" s="235"/>
      <c r="AA139" s="235"/>
      <c r="AB139" s="235"/>
      <c r="AC139" s="235"/>
      <c r="AD139" s="235"/>
      <c r="AE139" s="235"/>
      <c r="AF139" s="235" t="s">
        <v>163</v>
      </c>
      <c r="AG139" s="235"/>
      <c r="AH139" s="235"/>
      <c r="AI139" s="235"/>
      <c r="AJ139" s="235"/>
      <c r="AK139" s="235"/>
      <c r="AL139" s="235"/>
      <c r="AM139" s="235"/>
      <c r="AN139" s="235"/>
      <c r="AO139" s="235"/>
      <c r="AP139" s="235"/>
      <c r="AQ139" s="235"/>
      <c r="AR139" s="235"/>
      <c r="AS139" s="235" t="s">
        <v>163</v>
      </c>
      <c r="AT139" s="235"/>
      <c r="AU139" s="235"/>
      <c r="AV139" s="235"/>
      <c r="AW139" s="235"/>
      <c r="AX139" s="235"/>
      <c r="AY139" s="235"/>
      <c r="AZ139" s="235"/>
      <c r="BA139" s="235"/>
      <c r="BB139" s="235"/>
      <c r="BC139" s="235"/>
      <c r="BD139" s="235"/>
      <c r="BE139" s="235"/>
      <c r="BF139" s="235" t="s">
        <v>163</v>
      </c>
      <c r="BG139" s="235"/>
      <c r="BH139" s="235"/>
      <c r="BI139" s="235"/>
      <c r="BJ139" s="235"/>
      <c r="BK139" s="235"/>
      <c r="BL139" s="235"/>
      <c r="BM139" s="235"/>
      <c r="BN139" s="235"/>
      <c r="BO139" s="235"/>
      <c r="BP139" s="235"/>
      <c r="BQ139" s="235"/>
      <c r="BR139" s="235"/>
      <c r="BS139" s="233"/>
      <c r="BT139" s="233"/>
      <c r="BU139" s="233"/>
      <c r="BV139" s="233"/>
      <c r="BW139" s="233"/>
      <c r="BX139" s="233"/>
      <c r="BY139" s="233"/>
      <c r="BZ139" s="233"/>
      <c r="CA139" s="233"/>
      <c r="CB139" s="233"/>
      <c r="CC139" s="233"/>
      <c r="CD139" s="233"/>
      <c r="CE139" s="233"/>
      <c r="CF139" s="239"/>
      <c r="CG139" s="239"/>
      <c r="CH139" s="239"/>
      <c r="CI139" s="239"/>
      <c r="CJ139" s="239"/>
      <c r="CK139" s="239"/>
      <c r="CL139" s="239"/>
      <c r="CM139" s="239"/>
      <c r="CN139" s="239"/>
      <c r="CO139" s="239"/>
      <c r="CP139" s="239"/>
      <c r="CQ139" s="239"/>
      <c r="CR139" s="35"/>
    </row>
    <row r="140" spans="1:96" ht="15" customHeight="1" x14ac:dyDescent="0.15">
      <c r="A140" s="34"/>
      <c r="B140" s="240" t="s">
        <v>164</v>
      </c>
      <c r="C140" s="241"/>
      <c r="D140" s="241"/>
      <c r="E140" s="241"/>
      <c r="F140" s="241"/>
      <c r="G140" s="241"/>
      <c r="H140" s="241"/>
      <c r="I140" s="241"/>
      <c r="J140" s="241"/>
      <c r="K140" s="241"/>
      <c r="L140" s="241"/>
      <c r="M140" s="241"/>
      <c r="N140" s="241"/>
      <c r="O140" s="242"/>
      <c r="S140" s="236" t="s">
        <v>148</v>
      </c>
      <c r="T140" s="236"/>
      <c r="U140" s="236"/>
      <c r="V140" s="236"/>
      <c r="W140" s="236"/>
      <c r="X140" s="236"/>
      <c r="Y140" s="236"/>
      <c r="Z140" s="236"/>
      <c r="AA140" s="236"/>
      <c r="AB140" s="236"/>
      <c r="AC140" s="236"/>
      <c r="AD140" s="236"/>
      <c r="AE140" s="236"/>
      <c r="AF140" s="236" t="s">
        <v>148</v>
      </c>
      <c r="AG140" s="236"/>
      <c r="AH140" s="236"/>
      <c r="AI140" s="236"/>
      <c r="AJ140" s="236"/>
      <c r="AK140" s="236"/>
      <c r="AL140" s="236"/>
      <c r="AM140" s="236"/>
      <c r="AN140" s="236"/>
      <c r="AO140" s="236"/>
      <c r="AP140" s="236"/>
      <c r="AQ140" s="236"/>
      <c r="AR140" s="236"/>
      <c r="AS140" s="236" t="s">
        <v>148</v>
      </c>
      <c r="AT140" s="236"/>
      <c r="AU140" s="236"/>
      <c r="AV140" s="236"/>
      <c r="AW140" s="236"/>
      <c r="AX140" s="236"/>
      <c r="AY140" s="236"/>
      <c r="AZ140" s="236"/>
      <c r="BA140" s="236"/>
      <c r="BB140" s="236"/>
      <c r="BC140" s="236"/>
      <c r="BD140" s="236"/>
      <c r="BE140" s="236"/>
      <c r="BF140" s="237" t="s">
        <v>148</v>
      </c>
      <c r="BG140" s="237"/>
      <c r="BH140" s="237"/>
      <c r="BI140" s="237"/>
      <c r="BJ140" s="237"/>
      <c r="BK140" s="237"/>
      <c r="BL140" s="237"/>
      <c r="BM140" s="237"/>
      <c r="BN140" s="237"/>
      <c r="BO140" s="237"/>
      <c r="BP140" s="237"/>
      <c r="BQ140" s="237"/>
      <c r="BR140" s="237"/>
      <c r="BS140" s="235" t="s">
        <v>164</v>
      </c>
      <c r="BT140" s="235"/>
      <c r="BU140" s="235"/>
      <c r="BV140" s="235"/>
      <c r="BW140" s="235"/>
      <c r="BX140" s="235"/>
      <c r="BY140" s="235"/>
      <c r="BZ140" s="235"/>
      <c r="CA140" s="235"/>
      <c r="CB140" s="235"/>
      <c r="CC140" s="235"/>
      <c r="CD140" s="235"/>
      <c r="CE140" s="235"/>
      <c r="CF140" s="239"/>
      <c r="CG140" s="239"/>
      <c r="CH140" s="239"/>
      <c r="CI140" s="239"/>
      <c r="CJ140" s="239"/>
      <c r="CK140" s="239"/>
      <c r="CL140" s="239"/>
      <c r="CM140" s="239"/>
      <c r="CN140" s="239"/>
      <c r="CO140" s="239"/>
      <c r="CP140" s="239"/>
      <c r="CQ140" s="239"/>
      <c r="CR140" s="35"/>
    </row>
    <row r="141" spans="1:96" ht="15" customHeight="1" x14ac:dyDescent="0.15">
      <c r="A141" s="34"/>
      <c r="B141" s="224" t="s">
        <v>165</v>
      </c>
      <c r="C141" s="224"/>
      <c r="D141" s="224"/>
      <c r="E141" s="224"/>
      <c r="F141" s="224"/>
      <c r="G141" s="224"/>
      <c r="H141" s="224"/>
      <c r="I141" s="224"/>
      <c r="J141" s="224"/>
      <c r="K141" s="224"/>
      <c r="L141" s="224"/>
      <c r="M141" s="224"/>
      <c r="N141" s="224"/>
      <c r="O141" s="224"/>
      <c r="S141" s="235" t="s">
        <v>165</v>
      </c>
      <c r="T141" s="235"/>
      <c r="U141" s="235"/>
      <c r="V141" s="235"/>
      <c r="W141" s="235"/>
      <c r="X141" s="235"/>
      <c r="Y141" s="235"/>
      <c r="Z141" s="235"/>
      <c r="AA141" s="235"/>
      <c r="AB141" s="235"/>
      <c r="AC141" s="235"/>
      <c r="AD141" s="235"/>
      <c r="AE141" s="235"/>
      <c r="AF141" s="238"/>
      <c r="AG141" s="238"/>
      <c r="AH141" s="238"/>
      <c r="AI141" s="238"/>
      <c r="AJ141" s="238"/>
      <c r="AK141" s="238"/>
      <c r="AL141" s="238"/>
      <c r="AM141" s="238"/>
      <c r="AN141" s="238"/>
      <c r="AO141" s="238"/>
      <c r="AP141" s="238"/>
      <c r="AQ141" s="238"/>
      <c r="AR141" s="238"/>
      <c r="AS141" s="238"/>
      <c r="AT141" s="238"/>
      <c r="AU141" s="238"/>
      <c r="AV141" s="238"/>
      <c r="AW141" s="238"/>
      <c r="AX141" s="238"/>
      <c r="AY141" s="238"/>
      <c r="AZ141" s="238"/>
      <c r="BA141" s="238"/>
      <c r="BB141" s="238"/>
      <c r="BC141" s="238"/>
      <c r="BD141" s="238"/>
      <c r="BE141" s="238"/>
      <c r="BF141" s="239"/>
      <c r="BG141" s="239"/>
      <c r="BH141" s="239"/>
      <c r="BI141" s="239"/>
      <c r="BJ141" s="239"/>
      <c r="BK141" s="239"/>
      <c r="BL141" s="239"/>
      <c r="BM141" s="239"/>
      <c r="BN141" s="239"/>
      <c r="BO141" s="239"/>
      <c r="BP141" s="239"/>
      <c r="BQ141" s="239"/>
      <c r="BR141" s="239"/>
      <c r="BS141" s="233"/>
      <c r="BT141" s="233"/>
      <c r="BU141" s="233"/>
      <c r="BV141" s="233"/>
      <c r="BW141" s="233"/>
      <c r="BX141" s="233"/>
      <c r="BY141" s="233"/>
      <c r="BZ141" s="233"/>
      <c r="CA141" s="233"/>
      <c r="CB141" s="233"/>
      <c r="CC141" s="233"/>
      <c r="CD141" s="233"/>
      <c r="CE141" s="233"/>
      <c r="CF141" s="239"/>
      <c r="CG141" s="239"/>
      <c r="CH141" s="239"/>
      <c r="CI141" s="239"/>
      <c r="CJ141" s="239"/>
      <c r="CK141" s="239"/>
      <c r="CL141" s="239"/>
      <c r="CM141" s="239"/>
      <c r="CN141" s="239"/>
      <c r="CO141" s="239"/>
      <c r="CP141" s="239"/>
      <c r="CQ141" s="239"/>
      <c r="CR141" s="35"/>
    </row>
    <row r="142" spans="1:96" ht="15" customHeight="1" x14ac:dyDescent="0.15">
      <c r="A142" s="34"/>
      <c r="B142" s="224" t="s">
        <v>237</v>
      </c>
      <c r="C142" s="224"/>
      <c r="D142" s="224"/>
      <c r="E142" s="224"/>
      <c r="F142" s="224"/>
      <c r="G142" s="224"/>
      <c r="H142" s="224"/>
      <c r="I142" s="224"/>
      <c r="J142" s="224"/>
      <c r="K142" s="224"/>
      <c r="L142" s="224"/>
      <c r="M142" s="224"/>
      <c r="N142" s="224"/>
      <c r="O142" s="224"/>
      <c r="S142" s="238"/>
      <c r="T142" s="238"/>
      <c r="U142" s="238"/>
      <c r="V142" s="238"/>
      <c r="W142" s="238"/>
      <c r="X142" s="238"/>
      <c r="Y142" s="238"/>
      <c r="Z142" s="238"/>
      <c r="AA142" s="238"/>
      <c r="AB142" s="238"/>
      <c r="AC142" s="238"/>
      <c r="AD142" s="238"/>
      <c r="AE142" s="238"/>
      <c r="AF142" s="235" t="s">
        <v>222</v>
      </c>
      <c r="AG142" s="235"/>
      <c r="AH142" s="235"/>
      <c r="AI142" s="235"/>
      <c r="AJ142" s="235"/>
      <c r="AK142" s="235"/>
      <c r="AL142" s="235"/>
      <c r="AM142" s="235"/>
      <c r="AN142" s="235"/>
      <c r="AO142" s="235"/>
      <c r="AP142" s="235"/>
      <c r="AQ142" s="235"/>
      <c r="AR142" s="235"/>
      <c r="AS142" s="235" t="s">
        <v>222</v>
      </c>
      <c r="AT142" s="235"/>
      <c r="AU142" s="235"/>
      <c r="AV142" s="235"/>
      <c r="AW142" s="235"/>
      <c r="AX142" s="235"/>
      <c r="AY142" s="235"/>
      <c r="AZ142" s="235"/>
      <c r="BA142" s="235"/>
      <c r="BB142" s="235"/>
      <c r="BC142" s="235"/>
      <c r="BD142" s="235"/>
      <c r="BE142" s="235"/>
      <c r="BF142" s="235" t="s">
        <v>222</v>
      </c>
      <c r="BG142" s="235"/>
      <c r="BH142" s="235"/>
      <c r="BI142" s="235"/>
      <c r="BJ142" s="235"/>
      <c r="BK142" s="235"/>
      <c r="BL142" s="235"/>
      <c r="BM142" s="235"/>
      <c r="BN142" s="235"/>
      <c r="BO142" s="235"/>
      <c r="BP142" s="235"/>
      <c r="BQ142" s="235"/>
      <c r="BR142" s="235"/>
      <c r="BS142" s="233"/>
      <c r="BT142" s="233"/>
      <c r="BU142" s="233"/>
      <c r="BV142" s="233"/>
      <c r="BW142" s="233"/>
      <c r="BX142" s="233"/>
      <c r="BY142" s="233"/>
      <c r="BZ142" s="233"/>
      <c r="CA142" s="233"/>
      <c r="CB142" s="233"/>
      <c r="CC142" s="233"/>
      <c r="CD142" s="233"/>
      <c r="CE142" s="233"/>
      <c r="CF142" s="239"/>
      <c r="CG142" s="239"/>
      <c r="CH142" s="239"/>
      <c r="CI142" s="239"/>
      <c r="CJ142" s="239"/>
      <c r="CK142" s="239"/>
      <c r="CL142" s="239"/>
      <c r="CM142" s="239"/>
      <c r="CN142" s="239"/>
      <c r="CO142" s="239"/>
      <c r="CP142" s="239"/>
      <c r="CQ142" s="239"/>
      <c r="CR142" s="35"/>
    </row>
    <row r="143" spans="1:96" ht="15" customHeight="1" x14ac:dyDescent="0.15">
      <c r="A143" s="34"/>
      <c r="B143" s="224" t="s">
        <v>235</v>
      </c>
      <c r="C143" s="224"/>
      <c r="D143" s="224"/>
      <c r="E143" s="224"/>
      <c r="F143" s="224"/>
      <c r="G143" s="224"/>
      <c r="H143" s="224"/>
      <c r="I143" s="224"/>
      <c r="J143" s="224"/>
      <c r="K143" s="224"/>
      <c r="L143" s="224"/>
      <c r="M143" s="224"/>
      <c r="N143" s="224"/>
      <c r="O143" s="224"/>
      <c r="S143" s="235" t="s">
        <v>216</v>
      </c>
      <c r="T143" s="235"/>
      <c r="U143" s="235"/>
      <c r="V143" s="235"/>
      <c r="W143" s="235"/>
      <c r="X143" s="235"/>
      <c r="Y143" s="235"/>
      <c r="Z143" s="235"/>
      <c r="AA143" s="235"/>
      <c r="AB143" s="235"/>
      <c r="AC143" s="235"/>
      <c r="AD143" s="235"/>
      <c r="AE143" s="235"/>
      <c r="AF143" s="235" t="s">
        <v>217</v>
      </c>
      <c r="AG143" s="235"/>
      <c r="AH143" s="235"/>
      <c r="AI143" s="235"/>
      <c r="AJ143" s="235"/>
      <c r="AK143" s="235"/>
      <c r="AL143" s="235"/>
      <c r="AM143" s="235"/>
      <c r="AN143" s="235"/>
      <c r="AO143" s="235"/>
      <c r="AP143" s="235"/>
      <c r="AQ143" s="235"/>
      <c r="AR143" s="235"/>
      <c r="AS143" s="235" t="s">
        <v>218</v>
      </c>
      <c r="AT143" s="235"/>
      <c r="AU143" s="235"/>
      <c r="AV143" s="235"/>
      <c r="AW143" s="235"/>
      <c r="AX143" s="235"/>
      <c r="AY143" s="235"/>
      <c r="AZ143" s="235"/>
      <c r="BA143" s="235"/>
      <c r="BB143" s="235"/>
      <c r="BC143" s="235"/>
      <c r="BD143" s="235"/>
      <c r="BE143" s="235"/>
      <c r="BF143" s="235" t="s">
        <v>219</v>
      </c>
      <c r="BG143" s="235"/>
      <c r="BH143" s="235"/>
      <c r="BI143" s="235"/>
      <c r="BJ143" s="235"/>
      <c r="BK143" s="235"/>
      <c r="BL143" s="235"/>
      <c r="BM143" s="235"/>
      <c r="BN143" s="235"/>
      <c r="BO143" s="235"/>
      <c r="BP143" s="235"/>
      <c r="BQ143" s="235"/>
      <c r="BR143" s="235"/>
      <c r="BS143" s="233"/>
      <c r="BT143" s="233"/>
      <c r="BU143" s="233"/>
      <c r="BV143" s="233"/>
      <c r="BW143" s="233"/>
      <c r="BX143" s="233"/>
      <c r="BY143" s="233"/>
      <c r="BZ143" s="233"/>
      <c r="CA143" s="233"/>
      <c r="CB143" s="233"/>
      <c r="CC143" s="233"/>
      <c r="CD143" s="233"/>
      <c r="CE143" s="233"/>
      <c r="CF143" s="239"/>
      <c r="CG143" s="239"/>
      <c r="CH143" s="239"/>
      <c r="CI143" s="239"/>
      <c r="CJ143" s="239"/>
      <c r="CK143" s="239"/>
      <c r="CL143" s="239"/>
      <c r="CM143" s="239"/>
      <c r="CN143" s="239"/>
      <c r="CO143" s="239"/>
      <c r="CP143" s="239"/>
      <c r="CQ143" s="239"/>
      <c r="CR143" s="35"/>
    </row>
    <row r="144" spans="1:96" ht="15" customHeight="1" x14ac:dyDescent="0.15">
      <c r="A144" s="34"/>
      <c r="B144" s="224" t="s">
        <v>236</v>
      </c>
      <c r="C144" s="224"/>
      <c r="D144" s="224"/>
      <c r="E144" s="224"/>
      <c r="F144" s="224"/>
      <c r="G144" s="224"/>
      <c r="H144" s="224"/>
      <c r="I144" s="224"/>
      <c r="J144" s="224"/>
      <c r="K144" s="224"/>
      <c r="L144" s="224"/>
      <c r="M144" s="224"/>
      <c r="N144" s="224"/>
      <c r="O144" s="224"/>
      <c r="S144" s="238"/>
      <c r="T144" s="238"/>
      <c r="U144" s="238"/>
      <c r="V144" s="238"/>
      <c r="W144" s="238"/>
      <c r="X144" s="238"/>
      <c r="Y144" s="238"/>
      <c r="Z144" s="238"/>
      <c r="AA144" s="238"/>
      <c r="AB144" s="238"/>
      <c r="AC144" s="238"/>
      <c r="AD144" s="238"/>
      <c r="AE144" s="238"/>
      <c r="AF144" s="243" t="s">
        <v>266</v>
      </c>
      <c r="AG144" s="243"/>
      <c r="AH144" s="243"/>
      <c r="AI144" s="243"/>
      <c r="AJ144" s="243"/>
      <c r="AK144" s="243"/>
      <c r="AL144" s="243"/>
      <c r="AM144" s="243"/>
      <c r="AN144" s="243"/>
      <c r="AO144" s="243"/>
      <c r="AP144" s="243"/>
      <c r="AQ144" s="243"/>
      <c r="AR144" s="243"/>
      <c r="AS144" s="243" t="s">
        <v>234</v>
      </c>
      <c r="AT144" s="243"/>
      <c r="AU144" s="243"/>
      <c r="AV144" s="243"/>
      <c r="AW144" s="243"/>
      <c r="AX144" s="243"/>
      <c r="AY144" s="243"/>
      <c r="AZ144" s="243"/>
      <c r="BA144" s="243"/>
      <c r="BB144" s="243"/>
      <c r="BC144" s="243"/>
      <c r="BD144" s="243"/>
      <c r="BE144" s="243"/>
      <c r="BF144" s="243" t="s">
        <v>234</v>
      </c>
      <c r="BG144" s="243"/>
      <c r="BH144" s="243"/>
      <c r="BI144" s="243"/>
      <c r="BJ144" s="243"/>
      <c r="BK144" s="243"/>
      <c r="BL144" s="243"/>
      <c r="BM144" s="243"/>
      <c r="BN144" s="243"/>
      <c r="BO144" s="243"/>
      <c r="BP144" s="243"/>
      <c r="BQ144" s="243"/>
      <c r="BR144" s="243"/>
      <c r="BS144" s="233"/>
      <c r="BT144" s="233"/>
      <c r="BU144" s="233"/>
      <c r="BV144" s="233"/>
      <c r="BW144" s="233"/>
      <c r="BX144" s="233"/>
      <c r="BY144" s="233"/>
      <c r="BZ144" s="233"/>
      <c r="CA144" s="233"/>
      <c r="CB144" s="233"/>
      <c r="CC144" s="233"/>
      <c r="CD144" s="233"/>
      <c r="CE144" s="233"/>
      <c r="CF144" s="239"/>
      <c r="CG144" s="239"/>
      <c r="CH144" s="239"/>
      <c r="CI144" s="239"/>
      <c r="CJ144" s="239"/>
      <c r="CK144" s="239"/>
      <c r="CL144" s="239"/>
      <c r="CM144" s="239"/>
      <c r="CN144" s="239"/>
      <c r="CO144" s="239"/>
      <c r="CP144" s="239"/>
      <c r="CQ144" s="239"/>
      <c r="CR144" s="35"/>
    </row>
    <row r="145" spans="1:96" ht="15" customHeight="1" x14ac:dyDescent="0.15">
      <c r="A145" s="34"/>
      <c r="B145" s="224" t="s">
        <v>166</v>
      </c>
      <c r="C145" s="224"/>
      <c r="D145" s="224"/>
      <c r="E145" s="224"/>
      <c r="F145" s="224"/>
      <c r="G145" s="224"/>
      <c r="H145" s="224"/>
      <c r="I145" s="224"/>
      <c r="J145" s="224"/>
      <c r="K145" s="224"/>
      <c r="L145" s="224"/>
      <c r="M145" s="224"/>
      <c r="N145" s="224"/>
      <c r="O145" s="224"/>
      <c r="S145" s="236" t="s">
        <v>148</v>
      </c>
      <c r="T145" s="236"/>
      <c r="U145" s="236"/>
      <c r="V145" s="236"/>
      <c r="W145" s="236"/>
      <c r="X145" s="236"/>
      <c r="Y145" s="236"/>
      <c r="Z145" s="236"/>
      <c r="AA145" s="236"/>
      <c r="AB145" s="236"/>
      <c r="AC145" s="236"/>
      <c r="AD145" s="236"/>
      <c r="AE145" s="236"/>
      <c r="AF145" s="236" t="s">
        <v>148</v>
      </c>
      <c r="AG145" s="236"/>
      <c r="AH145" s="236"/>
      <c r="AI145" s="236"/>
      <c r="AJ145" s="236"/>
      <c r="AK145" s="236"/>
      <c r="AL145" s="236"/>
      <c r="AM145" s="236"/>
      <c r="AN145" s="236"/>
      <c r="AO145" s="236"/>
      <c r="AP145" s="236"/>
      <c r="AQ145" s="236"/>
      <c r="AR145" s="236"/>
      <c r="AS145" s="236" t="s">
        <v>148</v>
      </c>
      <c r="AT145" s="236"/>
      <c r="AU145" s="236"/>
      <c r="AV145" s="236"/>
      <c r="AW145" s="236"/>
      <c r="AX145" s="236"/>
      <c r="AY145" s="236"/>
      <c r="AZ145" s="236"/>
      <c r="BA145" s="236"/>
      <c r="BB145" s="236"/>
      <c r="BC145" s="236"/>
      <c r="BD145" s="236"/>
      <c r="BE145" s="236"/>
      <c r="BF145" s="237" t="s">
        <v>148</v>
      </c>
      <c r="BG145" s="237"/>
      <c r="BH145" s="237"/>
      <c r="BI145" s="237"/>
      <c r="BJ145" s="237"/>
      <c r="BK145" s="237"/>
      <c r="BL145" s="237"/>
      <c r="BM145" s="237"/>
      <c r="BN145" s="237"/>
      <c r="BO145" s="237"/>
      <c r="BP145" s="237"/>
      <c r="BQ145" s="237"/>
      <c r="BR145" s="237"/>
      <c r="BS145" s="235" t="s">
        <v>199</v>
      </c>
      <c r="BT145" s="235"/>
      <c r="BU145" s="235"/>
      <c r="BV145" s="235"/>
      <c r="BW145" s="235"/>
      <c r="BX145" s="235"/>
      <c r="BY145" s="235"/>
      <c r="BZ145" s="235"/>
      <c r="CA145" s="235"/>
      <c r="CB145" s="235"/>
      <c r="CC145" s="235"/>
      <c r="CD145" s="235"/>
      <c r="CE145" s="235"/>
      <c r="CF145" s="239"/>
      <c r="CG145" s="239"/>
      <c r="CH145" s="239"/>
      <c r="CI145" s="239"/>
      <c r="CJ145" s="239"/>
      <c r="CK145" s="239"/>
      <c r="CL145" s="239"/>
      <c r="CM145" s="239"/>
      <c r="CN145" s="239"/>
      <c r="CO145" s="239"/>
      <c r="CP145" s="239"/>
      <c r="CQ145" s="239"/>
      <c r="CR145" s="35"/>
    </row>
    <row r="146" spans="1:96" ht="15" customHeight="1" x14ac:dyDescent="0.15">
      <c r="A146" s="34"/>
      <c r="B146" s="224" t="s">
        <v>167</v>
      </c>
      <c r="C146" s="224"/>
      <c r="D146" s="224"/>
      <c r="E146" s="224"/>
      <c r="F146" s="224"/>
      <c r="G146" s="224"/>
      <c r="H146" s="224"/>
      <c r="I146" s="224"/>
      <c r="J146" s="224"/>
      <c r="K146" s="224"/>
      <c r="L146" s="224"/>
      <c r="M146" s="224"/>
      <c r="N146" s="224"/>
      <c r="O146" s="224"/>
      <c r="S146" s="237" t="s">
        <v>148</v>
      </c>
      <c r="T146" s="237"/>
      <c r="U146" s="237"/>
      <c r="V146" s="237"/>
      <c r="W146" s="237"/>
      <c r="X146" s="237"/>
      <c r="Y146" s="237"/>
      <c r="Z146" s="237"/>
      <c r="AA146" s="237"/>
      <c r="AB146" s="237"/>
      <c r="AC146" s="237"/>
      <c r="AD146" s="237"/>
      <c r="AE146" s="237"/>
      <c r="AF146" s="237" t="s">
        <v>148</v>
      </c>
      <c r="AG146" s="237"/>
      <c r="AH146" s="237"/>
      <c r="AI146" s="237"/>
      <c r="AJ146" s="237"/>
      <c r="AK146" s="237"/>
      <c r="AL146" s="237"/>
      <c r="AM146" s="237"/>
      <c r="AN146" s="237"/>
      <c r="AO146" s="237"/>
      <c r="AP146" s="237"/>
      <c r="AQ146" s="237"/>
      <c r="AR146" s="237"/>
      <c r="AS146" s="237" t="s">
        <v>148</v>
      </c>
      <c r="AT146" s="237"/>
      <c r="AU146" s="237"/>
      <c r="AV146" s="237"/>
      <c r="AW146" s="237"/>
      <c r="AX146" s="237"/>
      <c r="AY146" s="237"/>
      <c r="AZ146" s="237"/>
      <c r="BA146" s="237"/>
      <c r="BB146" s="237"/>
      <c r="BC146" s="237"/>
      <c r="BD146" s="237"/>
      <c r="BE146" s="237"/>
      <c r="BF146" s="237" t="s">
        <v>148</v>
      </c>
      <c r="BG146" s="237"/>
      <c r="BH146" s="237"/>
      <c r="BI146" s="237"/>
      <c r="BJ146" s="237"/>
      <c r="BK146" s="237"/>
      <c r="BL146" s="237"/>
      <c r="BM146" s="237"/>
      <c r="BN146" s="237"/>
      <c r="BO146" s="237"/>
      <c r="BP146" s="237"/>
      <c r="BQ146" s="237"/>
      <c r="BR146" s="237"/>
      <c r="BS146" s="237" t="s">
        <v>148</v>
      </c>
      <c r="BT146" s="237"/>
      <c r="BU146" s="237"/>
      <c r="BV146" s="237"/>
      <c r="BW146" s="237"/>
      <c r="BX146" s="237"/>
      <c r="BY146" s="237"/>
      <c r="BZ146" s="237"/>
      <c r="CA146" s="237"/>
      <c r="CB146" s="237"/>
      <c r="CC146" s="237"/>
      <c r="CD146" s="237"/>
      <c r="CE146" s="237"/>
      <c r="CF146" s="267" t="s">
        <v>325</v>
      </c>
      <c r="CG146" s="267"/>
      <c r="CH146" s="267"/>
      <c r="CI146" s="267"/>
      <c r="CJ146" s="267"/>
      <c r="CK146" s="267"/>
      <c r="CL146" s="267"/>
      <c r="CM146" s="267"/>
      <c r="CN146" s="267"/>
      <c r="CO146" s="267"/>
      <c r="CP146" s="267"/>
      <c r="CQ146" s="267"/>
      <c r="CR146" s="35"/>
    </row>
    <row r="147" spans="1:96" ht="15" customHeight="1" x14ac:dyDescent="0.15">
      <c r="A147" s="34"/>
      <c r="B147" s="224" t="s">
        <v>194</v>
      </c>
      <c r="C147" s="224"/>
      <c r="D147" s="224"/>
      <c r="E147" s="224"/>
      <c r="F147" s="224"/>
      <c r="G147" s="224"/>
      <c r="H147" s="224"/>
      <c r="I147" s="224"/>
      <c r="J147" s="224"/>
      <c r="K147" s="224"/>
      <c r="L147" s="224"/>
      <c r="M147" s="224"/>
      <c r="N147" s="224"/>
      <c r="O147" s="224"/>
      <c r="S147" s="237" t="s">
        <v>148</v>
      </c>
      <c r="T147" s="237"/>
      <c r="U147" s="237"/>
      <c r="V147" s="237"/>
      <c r="W147" s="237"/>
      <c r="X147" s="237"/>
      <c r="Y147" s="237"/>
      <c r="Z147" s="237"/>
      <c r="AA147" s="237"/>
      <c r="AB147" s="237"/>
      <c r="AC147" s="237"/>
      <c r="AD147" s="237"/>
      <c r="AE147" s="237"/>
      <c r="AF147" s="237" t="s">
        <v>148</v>
      </c>
      <c r="AG147" s="237"/>
      <c r="AH147" s="237"/>
      <c r="AI147" s="237"/>
      <c r="AJ147" s="237"/>
      <c r="AK147" s="237"/>
      <c r="AL147" s="237"/>
      <c r="AM147" s="237"/>
      <c r="AN147" s="237"/>
      <c r="AO147" s="237"/>
      <c r="AP147" s="237"/>
      <c r="AQ147" s="237"/>
      <c r="AR147" s="237"/>
      <c r="AS147" s="237" t="s">
        <v>148</v>
      </c>
      <c r="AT147" s="237"/>
      <c r="AU147" s="237"/>
      <c r="AV147" s="237"/>
      <c r="AW147" s="237"/>
      <c r="AX147" s="237"/>
      <c r="AY147" s="237"/>
      <c r="AZ147" s="237"/>
      <c r="BA147" s="237"/>
      <c r="BB147" s="237"/>
      <c r="BC147" s="237"/>
      <c r="BD147" s="237"/>
      <c r="BE147" s="237"/>
      <c r="BF147" s="237" t="s">
        <v>148</v>
      </c>
      <c r="BG147" s="237"/>
      <c r="BH147" s="237"/>
      <c r="BI147" s="237"/>
      <c r="BJ147" s="237"/>
      <c r="BK147" s="237"/>
      <c r="BL147" s="237"/>
      <c r="BM147" s="237"/>
      <c r="BN147" s="237"/>
      <c r="BO147" s="237"/>
      <c r="BP147" s="237"/>
      <c r="BQ147" s="237"/>
      <c r="BR147" s="237"/>
      <c r="BS147" s="237" t="s">
        <v>148</v>
      </c>
      <c r="BT147" s="237"/>
      <c r="BU147" s="237"/>
      <c r="BV147" s="237"/>
      <c r="BW147" s="237"/>
      <c r="BX147" s="237"/>
      <c r="BY147" s="237"/>
      <c r="BZ147" s="237"/>
      <c r="CA147" s="237"/>
      <c r="CB147" s="237"/>
      <c r="CC147" s="237"/>
      <c r="CD147" s="237"/>
      <c r="CE147" s="237"/>
      <c r="CF147" s="267" t="s">
        <v>326</v>
      </c>
      <c r="CG147" s="267"/>
      <c r="CH147" s="267"/>
      <c r="CI147" s="267"/>
      <c r="CJ147" s="267"/>
      <c r="CK147" s="267"/>
      <c r="CL147" s="267"/>
      <c r="CM147" s="267"/>
      <c r="CN147" s="267"/>
      <c r="CO147" s="267"/>
      <c r="CP147" s="267"/>
      <c r="CQ147" s="267"/>
      <c r="CR147" s="35"/>
    </row>
    <row r="148" spans="1:96" ht="15" customHeight="1" x14ac:dyDescent="0.15">
      <c r="A148" s="34"/>
      <c r="B148" s="224" t="s">
        <v>195</v>
      </c>
      <c r="C148" s="224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  <c r="O148" s="224"/>
      <c r="S148" s="237" t="s">
        <v>148</v>
      </c>
      <c r="T148" s="237"/>
      <c r="U148" s="237"/>
      <c r="V148" s="237"/>
      <c r="W148" s="237"/>
      <c r="X148" s="237"/>
      <c r="Y148" s="237"/>
      <c r="Z148" s="237"/>
      <c r="AA148" s="237"/>
      <c r="AB148" s="237"/>
      <c r="AC148" s="237"/>
      <c r="AD148" s="237"/>
      <c r="AE148" s="237"/>
      <c r="AF148" s="237" t="s">
        <v>148</v>
      </c>
      <c r="AG148" s="237"/>
      <c r="AH148" s="237"/>
      <c r="AI148" s="237"/>
      <c r="AJ148" s="237"/>
      <c r="AK148" s="237"/>
      <c r="AL148" s="237"/>
      <c r="AM148" s="237"/>
      <c r="AN148" s="237"/>
      <c r="AO148" s="237"/>
      <c r="AP148" s="237"/>
      <c r="AQ148" s="237"/>
      <c r="AR148" s="237"/>
      <c r="AS148" s="237" t="s">
        <v>148</v>
      </c>
      <c r="AT148" s="237"/>
      <c r="AU148" s="237"/>
      <c r="AV148" s="237"/>
      <c r="AW148" s="237"/>
      <c r="AX148" s="237"/>
      <c r="AY148" s="237"/>
      <c r="AZ148" s="237"/>
      <c r="BA148" s="237"/>
      <c r="BB148" s="237"/>
      <c r="BC148" s="237"/>
      <c r="BD148" s="237"/>
      <c r="BE148" s="237"/>
      <c r="BF148" s="237" t="s">
        <v>148</v>
      </c>
      <c r="BG148" s="237"/>
      <c r="BH148" s="237"/>
      <c r="BI148" s="237"/>
      <c r="BJ148" s="237"/>
      <c r="BK148" s="237"/>
      <c r="BL148" s="237"/>
      <c r="BM148" s="237"/>
      <c r="BN148" s="237"/>
      <c r="BO148" s="237"/>
      <c r="BP148" s="237"/>
      <c r="BQ148" s="237"/>
      <c r="BR148" s="237"/>
      <c r="BS148" s="237" t="s">
        <v>148</v>
      </c>
      <c r="BT148" s="237"/>
      <c r="BU148" s="237"/>
      <c r="BV148" s="237"/>
      <c r="BW148" s="237"/>
      <c r="BX148" s="237"/>
      <c r="BY148" s="237"/>
      <c r="BZ148" s="237"/>
      <c r="CA148" s="237"/>
      <c r="CB148" s="237"/>
      <c r="CC148" s="237"/>
      <c r="CD148" s="237"/>
      <c r="CE148" s="237"/>
      <c r="CF148" s="267" t="s">
        <v>327</v>
      </c>
      <c r="CG148" s="267"/>
      <c r="CH148" s="267"/>
      <c r="CI148" s="267"/>
      <c r="CJ148" s="267"/>
      <c r="CK148" s="267"/>
      <c r="CL148" s="267"/>
      <c r="CM148" s="267"/>
      <c r="CN148" s="267"/>
      <c r="CO148" s="267"/>
      <c r="CP148" s="267"/>
      <c r="CQ148" s="267"/>
      <c r="CR148" s="35"/>
    </row>
    <row r="149" spans="1:96" ht="15" customHeight="1" x14ac:dyDescent="0.15">
      <c r="A149" s="34"/>
      <c r="B149" s="224" t="s">
        <v>196</v>
      </c>
      <c r="C149" s="224"/>
      <c r="D149" s="224"/>
      <c r="E149" s="224"/>
      <c r="F149" s="224"/>
      <c r="G149" s="224"/>
      <c r="H149" s="224"/>
      <c r="I149" s="224"/>
      <c r="J149" s="224"/>
      <c r="K149" s="224"/>
      <c r="L149" s="224"/>
      <c r="M149" s="224"/>
      <c r="N149" s="224"/>
      <c r="O149" s="224"/>
      <c r="S149" s="237" t="s">
        <v>148</v>
      </c>
      <c r="T149" s="237"/>
      <c r="U149" s="237"/>
      <c r="V149" s="237"/>
      <c r="W149" s="237"/>
      <c r="X149" s="237"/>
      <c r="Y149" s="237"/>
      <c r="Z149" s="237"/>
      <c r="AA149" s="237"/>
      <c r="AB149" s="237"/>
      <c r="AC149" s="237"/>
      <c r="AD149" s="237"/>
      <c r="AE149" s="237"/>
      <c r="AF149" s="237" t="s">
        <v>148</v>
      </c>
      <c r="AG149" s="237"/>
      <c r="AH149" s="237"/>
      <c r="AI149" s="237"/>
      <c r="AJ149" s="237"/>
      <c r="AK149" s="237"/>
      <c r="AL149" s="237"/>
      <c r="AM149" s="237"/>
      <c r="AN149" s="237"/>
      <c r="AO149" s="237"/>
      <c r="AP149" s="237"/>
      <c r="AQ149" s="237"/>
      <c r="AR149" s="237"/>
      <c r="AS149" s="237" t="s">
        <v>148</v>
      </c>
      <c r="AT149" s="237"/>
      <c r="AU149" s="237"/>
      <c r="AV149" s="237"/>
      <c r="AW149" s="237"/>
      <c r="AX149" s="237"/>
      <c r="AY149" s="237"/>
      <c r="AZ149" s="237"/>
      <c r="BA149" s="237"/>
      <c r="BB149" s="237"/>
      <c r="BC149" s="237"/>
      <c r="BD149" s="237"/>
      <c r="BE149" s="237"/>
      <c r="BF149" s="237" t="s">
        <v>148</v>
      </c>
      <c r="BG149" s="237"/>
      <c r="BH149" s="237"/>
      <c r="BI149" s="237"/>
      <c r="BJ149" s="237"/>
      <c r="BK149" s="237"/>
      <c r="BL149" s="237"/>
      <c r="BM149" s="237"/>
      <c r="BN149" s="237"/>
      <c r="BO149" s="237"/>
      <c r="BP149" s="237"/>
      <c r="BQ149" s="237"/>
      <c r="BR149" s="237"/>
      <c r="BS149" s="237" t="s">
        <v>148</v>
      </c>
      <c r="BT149" s="237"/>
      <c r="BU149" s="237"/>
      <c r="BV149" s="237"/>
      <c r="BW149" s="237"/>
      <c r="BX149" s="237"/>
      <c r="BY149" s="237"/>
      <c r="BZ149" s="237"/>
      <c r="CA149" s="237"/>
      <c r="CB149" s="237"/>
      <c r="CC149" s="237"/>
      <c r="CD149" s="237"/>
      <c r="CE149" s="237"/>
      <c r="CF149" s="267" t="s">
        <v>328</v>
      </c>
      <c r="CG149" s="267"/>
      <c r="CH149" s="267"/>
      <c r="CI149" s="267"/>
      <c r="CJ149" s="267"/>
      <c r="CK149" s="267"/>
      <c r="CL149" s="267"/>
      <c r="CM149" s="267"/>
      <c r="CN149" s="267"/>
      <c r="CO149" s="267"/>
      <c r="CP149" s="267"/>
      <c r="CQ149" s="267"/>
      <c r="CR149" s="35"/>
    </row>
    <row r="150" spans="1:96" ht="15" customHeight="1" x14ac:dyDescent="0.15">
      <c r="A150" s="34"/>
      <c r="B150" s="224" t="s">
        <v>168</v>
      </c>
      <c r="C150" s="224"/>
      <c r="D150" s="224"/>
      <c r="E150" s="224"/>
      <c r="F150" s="224"/>
      <c r="G150" s="224"/>
      <c r="H150" s="224"/>
      <c r="I150" s="224"/>
      <c r="J150" s="224"/>
      <c r="K150" s="224"/>
      <c r="L150" s="224"/>
      <c r="M150" s="224"/>
      <c r="N150" s="224"/>
      <c r="O150" s="224"/>
      <c r="S150" s="235">
        <v>10000</v>
      </c>
      <c r="T150" s="235"/>
      <c r="U150" s="235"/>
      <c r="V150" s="235"/>
      <c r="W150" s="235"/>
      <c r="X150" s="235"/>
      <c r="Y150" s="235"/>
      <c r="Z150" s="235"/>
      <c r="AA150" s="235"/>
      <c r="AB150" s="235"/>
      <c r="AC150" s="235"/>
      <c r="AD150" s="235"/>
      <c r="AE150" s="235"/>
      <c r="AF150" s="235">
        <v>10000</v>
      </c>
      <c r="AG150" s="235"/>
      <c r="AH150" s="235"/>
      <c r="AI150" s="235"/>
      <c r="AJ150" s="235"/>
      <c r="AK150" s="235"/>
      <c r="AL150" s="235"/>
      <c r="AM150" s="235"/>
      <c r="AN150" s="235"/>
      <c r="AO150" s="235"/>
      <c r="AP150" s="235"/>
      <c r="AQ150" s="235"/>
      <c r="AR150" s="235"/>
      <c r="AS150" s="235">
        <v>10000</v>
      </c>
      <c r="AT150" s="235"/>
      <c r="AU150" s="235"/>
      <c r="AV150" s="235"/>
      <c r="AW150" s="235"/>
      <c r="AX150" s="235"/>
      <c r="AY150" s="235"/>
      <c r="AZ150" s="235"/>
      <c r="BA150" s="235"/>
      <c r="BB150" s="235"/>
      <c r="BC150" s="235"/>
      <c r="BD150" s="235"/>
      <c r="BE150" s="235"/>
      <c r="BF150" s="235">
        <v>10000</v>
      </c>
      <c r="BG150" s="235"/>
      <c r="BH150" s="235"/>
      <c r="BI150" s="235"/>
      <c r="BJ150" s="235"/>
      <c r="BK150" s="235"/>
      <c r="BL150" s="235"/>
      <c r="BM150" s="235"/>
      <c r="BN150" s="235"/>
      <c r="BO150" s="235"/>
      <c r="BP150" s="235"/>
      <c r="BQ150" s="235"/>
      <c r="BR150" s="235"/>
      <c r="BS150" s="233"/>
      <c r="BT150" s="233"/>
      <c r="BU150" s="233"/>
      <c r="BV150" s="233"/>
      <c r="BW150" s="233"/>
      <c r="BX150" s="233"/>
      <c r="BY150" s="233"/>
      <c r="BZ150" s="233"/>
      <c r="CA150" s="233"/>
      <c r="CB150" s="233"/>
      <c r="CC150" s="233"/>
      <c r="CD150" s="233"/>
      <c r="CE150" s="233"/>
      <c r="CF150" s="239"/>
      <c r="CG150" s="239"/>
      <c r="CH150" s="239"/>
      <c r="CI150" s="239"/>
      <c r="CJ150" s="239"/>
      <c r="CK150" s="239"/>
      <c r="CL150" s="239"/>
      <c r="CM150" s="239"/>
      <c r="CN150" s="239"/>
      <c r="CO150" s="239"/>
      <c r="CP150" s="239"/>
      <c r="CQ150" s="239"/>
      <c r="CR150" s="35"/>
    </row>
    <row r="151" spans="1:96" ht="15" customHeight="1" x14ac:dyDescent="0.15">
      <c r="A151" s="34"/>
      <c r="B151" s="224" t="s">
        <v>238</v>
      </c>
      <c r="C151" s="224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S151" s="235" t="s">
        <v>239</v>
      </c>
      <c r="T151" s="235"/>
      <c r="U151" s="235"/>
      <c r="V151" s="235"/>
      <c r="W151" s="235"/>
      <c r="X151" s="235"/>
      <c r="Y151" s="235"/>
      <c r="Z151" s="235"/>
      <c r="AA151" s="235"/>
      <c r="AB151" s="235"/>
      <c r="AC151" s="235"/>
      <c r="AD151" s="235"/>
      <c r="AE151" s="235"/>
      <c r="AF151" s="235" t="s">
        <v>239</v>
      </c>
      <c r="AG151" s="235"/>
      <c r="AH151" s="235"/>
      <c r="AI151" s="235"/>
      <c r="AJ151" s="235"/>
      <c r="AK151" s="235"/>
      <c r="AL151" s="235"/>
      <c r="AM151" s="235"/>
      <c r="AN151" s="235"/>
      <c r="AO151" s="235"/>
      <c r="AP151" s="235"/>
      <c r="AQ151" s="235"/>
      <c r="AR151" s="235"/>
      <c r="AS151" s="235" t="s">
        <v>239</v>
      </c>
      <c r="AT151" s="235"/>
      <c r="AU151" s="235"/>
      <c r="AV151" s="235"/>
      <c r="AW151" s="235"/>
      <c r="AX151" s="235"/>
      <c r="AY151" s="235"/>
      <c r="AZ151" s="235"/>
      <c r="BA151" s="235"/>
      <c r="BB151" s="235"/>
      <c r="BC151" s="235"/>
      <c r="BD151" s="235"/>
      <c r="BE151" s="235"/>
      <c r="BF151" s="235" t="s">
        <v>239</v>
      </c>
      <c r="BG151" s="235"/>
      <c r="BH151" s="235"/>
      <c r="BI151" s="235"/>
      <c r="BJ151" s="235"/>
      <c r="BK151" s="235"/>
      <c r="BL151" s="235"/>
      <c r="BM151" s="235"/>
      <c r="BN151" s="235"/>
      <c r="BO151" s="235"/>
      <c r="BP151" s="235"/>
      <c r="BQ151" s="235"/>
      <c r="BR151" s="235"/>
      <c r="BS151" s="233"/>
      <c r="BT151" s="233"/>
      <c r="BU151" s="233"/>
      <c r="BV151" s="233"/>
      <c r="BW151" s="233"/>
      <c r="BX151" s="233"/>
      <c r="BY151" s="233"/>
      <c r="BZ151" s="233"/>
      <c r="CA151" s="233"/>
      <c r="CB151" s="233"/>
      <c r="CC151" s="233"/>
      <c r="CD151" s="233"/>
      <c r="CE151" s="233"/>
      <c r="CF151" s="239"/>
      <c r="CG151" s="239"/>
      <c r="CH151" s="239"/>
      <c r="CI151" s="239"/>
      <c r="CJ151" s="239"/>
      <c r="CK151" s="239"/>
      <c r="CL151" s="239"/>
      <c r="CM151" s="239"/>
      <c r="CN151" s="239"/>
      <c r="CO151" s="239"/>
      <c r="CP151" s="239"/>
      <c r="CQ151" s="239"/>
      <c r="CR151" s="35"/>
    </row>
    <row r="152" spans="1:96" ht="15" customHeight="1" x14ac:dyDescent="0.15">
      <c r="A152" s="34"/>
      <c r="B152" s="224" t="s">
        <v>169</v>
      </c>
      <c r="C152" s="224"/>
      <c r="D152" s="224"/>
      <c r="E152" s="224"/>
      <c r="F152" s="224"/>
      <c r="G152" s="224"/>
      <c r="H152" s="224"/>
      <c r="I152" s="224"/>
      <c r="J152" s="224"/>
      <c r="K152" s="224"/>
      <c r="L152" s="224"/>
      <c r="M152" s="224"/>
      <c r="N152" s="224"/>
      <c r="O152" s="224"/>
      <c r="S152" s="238"/>
      <c r="T152" s="238"/>
      <c r="U152" s="238"/>
      <c r="V152" s="238"/>
      <c r="W152" s="238"/>
      <c r="X152" s="238"/>
      <c r="Y152" s="238"/>
      <c r="Z152" s="238"/>
      <c r="AA152" s="238"/>
      <c r="AB152" s="238"/>
      <c r="AC152" s="238"/>
      <c r="AD152" s="238"/>
      <c r="AE152" s="238"/>
      <c r="AF152" s="238"/>
      <c r="AG152" s="238"/>
      <c r="AH152" s="238"/>
      <c r="AI152" s="238"/>
      <c r="AJ152" s="238"/>
      <c r="AK152" s="238"/>
      <c r="AL152" s="238"/>
      <c r="AM152" s="238"/>
      <c r="AN152" s="238"/>
      <c r="AO152" s="238"/>
      <c r="AP152" s="238"/>
      <c r="AQ152" s="238"/>
      <c r="AR152" s="238"/>
      <c r="AS152" s="235" t="s">
        <v>170</v>
      </c>
      <c r="AT152" s="235"/>
      <c r="AU152" s="235"/>
      <c r="AV152" s="235"/>
      <c r="AW152" s="235"/>
      <c r="AX152" s="235"/>
      <c r="AY152" s="235"/>
      <c r="AZ152" s="235"/>
      <c r="BA152" s="235"/>
      <c r="BB152" s="235"/>
      <c r="BC152" s="235"/>
      <c r="BD152" s="235"/>
      <c r="BE152" s="235"/>
      <c r="BF152" s="235" t="s">
        <v>170</v>
      </c>
      <c r="BG152" s="235"/>
      <c r="BH152" s="235"/>
      <c r="BI152" s="235"/>
      <c r="BJ152" s="235"/>
      <c r="BK152" s="235"/>
      <c r="BL152" s="235"/>
      <c r="BM152" s="235"/>
      <c r="BN152" s="235"/>
      <c r="BO152" s="235"/>
      <c r="BP152" s="235"/>
      <c r="BQ152" s="235"/>
      <c r="BR152" s="235"/>
      <c r="BS152" s="233"/>
      <c r="BT152" s="233"/>
      <c r="BU152" s="233"/>
      <c r="BV152" s="233"/>
      <c r="BW152" s="233"/>
      <c r="BX152" s="233"/>
      <c r="BY152" s="233"/>
      <c r="BZ152" s="233"/>
      <c r="CA152" s="233"/>
      <c r="CB152" s="233"/>
      <c r="CC152" s="233"/>
      <c r="CD152" s="233"/>
      <c r="CE152" s="233"/>
      <c r="CF152" s="239"/>
      <c r="CG152" s="239"/>
      <c r="CH152" s="239"/>
      <c r="CI152" s="239"/>
      <c r="CJ152" s="239"/>
      <c r="CK152" s="239"/>
      <c r="CL152" s="239"/>
      <c r="CM152" s="239"/>
      <c r="CN152" s="239"/>
      <c r="CO152" s="239"/>
      <c r="CP152" s="239"/>
      <c r="CQ152" s="239"/>
      <c r="CR152" s="35"/>
    </row>
    <row r="153" spans="1:96" ht="15" customHeight="1" x14ac:dyDescent="0.15">
      <c r="A153" s="34"/>
      <c r="B153" s="224" t="s">
        <v>171</v>
      </c>
      <c r="C153" s="224"/>
      <c r="D153" s="224"/>
      <c r="E153" s="224"/>
      <c r="F153" s="224"/>
      <c r="G153" s="224"/>
      <c r="H153" s="224"/>
      <c r="I153" s="224"/>
      <c r="J153" s="224"/>
      <c r="K153" s="224"/>
      <c r="L153" s="224"/>
      <c r="M153" s="224"/>
      <c r="N153" s="224"/>
      <c r="O153" s="224"/>
      <c r="S153" s="238"/>
      <c r="T153" s="238"/>
      <c r="U153" s="238"/>
      <c r="V153" s="238"/>
      <c r="W153" s="238"/>
      <c r="X153" s="238"/>
      <c r="Y153" s="238"/>
      <c r="Z153" s="238"/>
      <c r="AA153" s="238"/>
      <c r="AB153" s="238"/>
      <c r="AC153" s="238"/>
      <c r="AD153" s="238"/>
      <c r="AE153" s="238"/>
      <c r="AF153" s="235" t="s">
        <v>172</v>
      </c>
      <c r="AG153" s="235"/>
      <c r="AH153" s="235"/>
      <c r="AI153" s="235"/>
      <c r="AJ153" s="235"/>
      <c r="AK153" s="235"/>
      <c r="AL153" s="235"/>
      <c r="AM153" s="235"/>
      <c r="AN153" s="235"/>
      <c r="AO153" s="235"/>
      <c r="AP153" s="235"/>
      <c r="AQ153" s="235"/>
      <c r="AR153" s="235"/>
      <c r="AS153" s="235" t="s">
        <v>172</v>
      </c>
      <c r="AT153" s="235"/>
      <c r="AU153" s="235"/>
      <c r="AV153" s="235"/>
      <c r="AW153" s="235"/>
      <c r="AX153" s="235"/>
      <c r="AY153" s="235"/>
      <c r="AZ153" s="235"/>
      <c r="BA153" s="235"/>
      <c r="BB153" s="235"/>
      <c r="BC153" s="235"/>
      <c r="BD153" s="235"/>
      <c r="BE153" s="235"/>
      <c r="BF153" s="235" t="s">
        <v>172</v>
      </c>
      <c r="BG153" s="235"/>
      <c r="BH153" s="235"/>
      <c r="BI153" s="235"/>
      <c r="BJ153" s="235"/>
      <c r="BK153" s="235"/>
      <c r="BL153" s="235"/>
      <c r="BM153" s="235"/>
      <c r="BN153" s="235"/>
      <c r="BO153" s="235"/>
      <c r="BP153" s="235"/>
      <c r="BQ153" s="235"/>
      <c r="BR153" s="235"/>
      <c r="BS153" s="233"/>
      <c r="BT153" s="233"/>
      <c r="BU153" s="233"/>
      <c r="BV153" s="233"/>
      <c r="BW153" s="233"/>
      <c r="BX153" s="233"/>
      <c r="BY153" s="233"/>
      <c r="BZ153" s="233"/>
      <c r="CA153" s="233"/>
      <c r="CB153" s="233"/>
      <c r="CC153" s="233"/>
      <c r="CD153" s="233"/>
      <c r="CE153" s="233"/>
      <c r="CF153" s="239"/>
      <c r="CG153" s="239"/>
      <c r="CH153" s="239"/>
      <c r="CI153" s="239"/>
      <c r="CJ153" s="239"/>
      <c r="CK153" s="239"/>
      <c r="CL153" s="239"/>
      <c r="CM153" s="239"/>
      <c r="CN153" s="239"/>
      <c r="CO153" s="239"/>
      <c r="CP153" s="239"/>
      <c r="CQ153" s="239"/>
      <c r="CR153" s="35"/>
    </row>
    <row r="154" spans="1:96" ht="15" customHeight="1" x14ac:dyDescent="0.15">
      <c r="A154" s="34"/>
      <c r="B154" s="224" t="s">
        <v>173</v>
      </c>
      <c r="C154" s="224"/>
      <c r="D154" s="224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S154" s="238"/>
      <c r="T154" s="238"/>
      <c r="U154" s="238"/>
      <c r="V154" s="238"/>
      <c r="W154" s="238"/>
      <c r="X154" s="238"/>
      <c r="Y154" s="238"/>
      <c r="Z154" s="238"/>
      <c r="AA154" s="238"/>
      <c r="AB154" s="238"/>
      <c r="AC154" s="238"/>
      <c r="AD154" s="238"/>
      <c r="AE154" s="238"/>
      <c r="AF154" s="243" t="s">
        <v>174</v>
      </c>
      <c r="AG154" s="243"/>
      <c r="AH154" s="243"/>
      <c r="AI154" s="243"/>
      <c r="AJ154" s="243"/>
      <c r="AK154" s="243"/>
      <c r="AL154" s="243"/>
      <c r="AM154" s="243"/>
      <c r="AN154" s="243"/>
      <c r="AO154" s="243"/>
      <c r="AP154" s="243"/>
      <c r="AQ154" s="243"/>
      <c r="AR154" s="243"/>
      <c r="AS154" s="238"/>
      <c r="AT154" s="238"/>
      <c r="AU154" s="238"/>
      <c r="AV154" s="238"/>
      <c r="AW154" s="238"/>
      <c r="AX154" s="238"/>
      <c r="AY154" s="238"/>
      <c r="AZ154" s="238"/>
      <c r="BA154" s="238"/>
      <c r="BB154" s="238"/>
      <c r="BC154" s="238"/>
      <c r="BD154" s="238"/>
      <c r="BE154" s="238"/>
      <c r="BF154" s="239"/>
      <c r="BG154" s="239"/>
      <c r="BH154" s="239"/>
      <c r="BI154" s="239"/>
      <c r="BJ154" s="239"/>
      <c r="BK154" s="239"/>
      <c r="BL154" s="239"/>
      <c r="BM154" s="239"/>
      <c r="BN154" s="239"/>
      <c r="BO154" s="239"/>
      <c r="BP154" s="239"/>
      <c r="BQ154" s="239"/>
      <c r="BR154" s="239"/>
      <c r="BS154" s="233"/>
      <c r="BT154" s="233"/>
      <c r="BU154" s="233"/>
      <c r="BV154" s="233"/>
      <c r="BW154" s="233"/>
      <c r="BX154" s="233"/>
      <c r="BY154" s="233"/>
      <c r="BZ154" s="233"/>
      <c r="CA154" s="233"/>
      <c r="CB154" s="233"/>
      <c r="CC154" s="233"/>
      <c r="CD154" s="233"/>
      <c r="CE154" s="233"/>
      <c r="CF154" s="239"/>
      <c r="CG154" s="239"/>
      <c r="CH154" s="239"/>
      <c r="CI154" s="239"/>
      <c r="CJ154" s="239"/>
      <c r="CK154" s="239"/>
      <c r="CL154" s="239"/>
      <c r="CM154" s="239"/>
      <c r="CN154" s="239"/>
      <c r="CO154" s="239"/>
      <c r="CP154" s="239"/>
      <c r="CQ154" s="239"/>
      <c r="CR154" s="35"/>
    </row>
    <row r="155" spans="1:96" ht="15" customHeight="1" x14ac:dyDescent="0.15">
      <c r="A155" s="34"/>
      <c r="B155" s="224" t="s">
        <v>175</v>
      </c>
      <c r="C155" s="224"/>
      <c r="D155" s="224"/>
      <c r="E155" s="224"/>
      <c r="F155" s="224"/>
      <c r="G155" s="224"/>
      <c r="H155" s="224"/>
      <c r="I155" s="224"/>
      <c r="J155" s="224"/>
      <c r="K155" s="224"/>
      <c r="L155" s="224"/>
      <c r="M155" s="224"/>
      <c r="N155" s="224"/>
      <c r="O155" s="224"/>
      <c r="S155" s="238"/>
      <c r="T155" s="238"/>
      <c r="U155" s="238"/>
      <c r="V155" s="238"/>
      <c r="W155" s="238"/>
      <c r="X155" s="238"/>
      <c r="Y155" s="238"/>
      <c r="Z155" s="238"/>
      <c r="AA155" s="238"/>
      <c r="AB155" s="238"/>
      <c r="AC155" s="238"/>
      <c r="AD155" s="238"/>
      <c r="AE155" s="238"/>
      <c r="AF155" s="235" t="s">
        <v>176</v>
      </c>
      <c r="AG155" s="235"/>
      <c r="AH155" s="235"/>
      <c r="AI155" s="235"/>
      <c r="AJ155" s="235"/>
      <c r="AK155" s="235"/>
      <c r="AL155" s="235"/>
      <c r="AM155" s="235"/>
      <c r="AN155" s="235"/>
      <c r="AO155" s="235"/>
      <c r="AP155" s="235"/>
      <c r="AQ155" s="235"/>
      <c r="AR155" s="235"/>
      <c r="AS155" s="235" t="s">
        <v>176</v>
      </c>
      <c r="AT155" s="235"/>
      <c r="AU155" s="235"/>
      <c r="AV155" s="235"/>
      <c r="AW155" s="235"/>
      <c r="AX155" s="235"/>
      <c r="AY155" s="235"/>
      <c r="AZ155" s="235"/>
      <c r="BA155" s="235"/>
      <c r="BB155" s="235"/>
      <c r="BC155" s="235"/>
      <c r="BD155" s="235"/>
      <c r="BE155" s="235"/>
      <c r="BF155" s="235" t="s">
        <v>176</v>
      </c>
      <c r="BG155" s="235"/>
      <c r="BH155" s="235"/>
      <c r="BI155" s="235"/>
      <c r="BJ155" s="235"/>
      <c r="BK155" s="235"/>
      <c r="BL155" s="235"/>
      <c r="BM155" s="235"/>
      <c r="BN155" s="235"/>
      <c r="BO155" s="235"/>
      <c r="BP155" s="235"/>
      <c r="BQ155" s="235"/>
      <c r="BR155" s="235"/>
      <c r="BS155" s="233"/>
      <c r="BT155" s="233"/>
      <c r="BU155" s="233"/>
      <c r="BV155" s="233"/>
      <c r="BW155" s="233"/>
      <c r="BX155" s="233"/>
      <c r="BY155" s="233"/>
      <c r="BZ155" s="233"/>
      <c r="CA155" s="233"/>
      <c r="CB155" s="233"/>
      <c r="CC155" s="233"/>
      <c r="CD155" s="233"/>
      <c r="CE155" s="233"/>
      <c r="CF155" s="239"/>
      <c r="CG155" s="239"/>
      <c r="CH155" s="239"/>
      <c r="CI155" s="239"/>
      <c r="CJ155" s="239"/>
      <c r="CK155" s="239"/>
      <c r="CL155" s="239"/>
      <c r="CM155" s="239"/>
      <c r="CN155" s="239"/>
      <c r="CO155" s="239"/>
      <c r="CP155" s="239"/>
      <c r="CQ155" s="239"/>
      <c r="CR155" s="35"/>
    </row>
    <row r="156" spans="1:96" ht="15" customHeight="1" x14ac:dyDescent="0.15">
      <c r="A156" s="34"/>
      <c r="B156" s="224" t="s">
        <v>177</v>
      </c>
      <c r="C156" s="224"/>
      <c r="D156" s="224"/>
      <c r="E156" s="224"/>
      <c r="F156" s="224"/>
      <c r="G156" s="224"/>
      <c r="H156" s="224"/>
      <c r="I156" s="224"/>
      <c r="J156" s="224"/>
      <c r="K156" s="224"/>
      <c r="L156" s="224"/>
      <c r="M156" s="224"/>
      <c r="N156" s="224"/>
      <c r="O156" s="224"/>
      <c r="S156" s="235" t="s">
        <v>178</v>
      </c>
      <c r="T156" s="235"/>
      <c r="U156" s="235"/>
      <c r="V156" s="235"/>
      <c r="W156" s="235"/>
      <c r="X156" s="235"/>
      <c r="Y156" s="235"/>
      <c r="Z156" s="235"/>
      <c r="AA156" s="235"/>
      <c r="AB156" s="235"/>
      <c r="AC156" s="235"/>
      <c r="AD156" s="235"/>
      <c r="AE156" s="235"/>
      <c r="AF156" s="238"/>
      <c r="AG156" s="238"/>
      <c r="AH156" s="238"/>
      <c r="AI156" s="238"/>
      <c r="AJ156" s="238"/>
      <c r="AK156" s="238"/>
      <c r="AL156" s="238"/>
      <c r="AM156" s="238"/>
      <c r="AN156" s="238"/>
      <c r="AO156" s="238"/>
      <c r="AP156" s="238"/>
      <c r="AQ156" s="238"/>
      <c r="AR156" s="238"/>
      <c r="AS156" s="238"/>
      <c r="AT156" s="238"/>
      <c r="AU156" s="238"/>
      <c r="AV156" s="238"/>
      <c r="AW156" s="238"/>
      <c r="AX156" s="238"/>
      <c r="AY156" s="238"/>
      <c r="AZ156" s="238"/>
      <c r="BA156" s="238"/>
      <c r="BB156" s="238"/>
      <c r="BC156" s="238"/>
      <c r="BD156" s="238"/>
      <c r="BE156" s="238"/>
      <c r="BF156" s="239"/>
      <c r="BG156" s="239"/>
      <c r="BH156" s="239"/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39"/>
      <c r="BS156" s="233"/>
      <c r="BT156" s="233"/>
      <c r="BU156" s="233"/>
      <c r="BV156" s="233"/>
      <c r="BW156" s="233"/>
      <c r="BX156" s="233"/>
      <c r="BY156" s="233"/>
      <c r="BZ156" s="233"/>
      <c r="CA156" s="233"/>
      <c r="CB156" s="233"/>
      <c r="CC156" s="233"/>
      <c r="CD156" s="233"/>
      <c r="CE156" s="233"/>
      <c r="CF156" s="239"/>
      <c r="CG156" s="239"/>
      <c r="CH156" s="239"/>
      <c r="CI156" s="239"/>
      <c r="CJ156" s="239"/>
      <c r="CK156" s="239"/>
      <c r="CL156" s="239"/>
      <c r="CM156" s="239"/>
      <c r="CN156" s="239"/>
      <c r="CO156" s="239"/>
      <c r="CP156" s="239"/>
      <c r="CQ156" s="239"/>
      <c r="CR156" s="35"/>
    </row>
    <row r="157" spans="1:96" ht="15" customHeight="1" x14ac:dyDescent="0.15">
      <c r="A157" s="34"/>
      <c r="B157" s="224" t="s">
        <v>179</v>
      </c>
      <c r="C157" s="224"/>
      <c r="D157" s="224"/>
      <c r="E157" s="224"/>
      <c r="F157" s="224"/>
      <c r="G157" s="224"/>
      <c r="H157" s="224"/>
      <c r="I157" s="224"/>
      <c r="J157" s="224"/>
      <c r="K157" s="224"/>
      <c r="L157" s="224"/>
      <c r="M157" s="224"/>
      <c r="N157" s="224"/>
      <c r="O157" s="224"/>
      <c r="S157" s="235" t="s">
        <v>180</v>
      </c>
      <c r="T157" s="235"/>
      <c r="U157" s="235"/>
      <c r="V157" s="235"/>
      <c r="W157" s="235"/>
      <c r="X157" s="235"/>
      <c r="Y157" s="235"/>
      <c r="Z157" s="235"/>
      <c r="AA157" s="235"/>
      <c r="AB157" s="235"/>
      <c r="AC157" s="235"/>
      <c r="AD157" s="235"/>
      <c r="AE157" s="235"/>
      <c r="AF157" s="238"/>
      <c r="AG157" s="238"/>
      <c r="AH157" s="238"/>
      <c r="AI157" s="238"/>
      <c r="AJ157" s="238"/>
      <c r="AK157" s="238"/>
      <c r="AL157" s="238"/>
      <c r="AM157" s="238"/>
      <c r="AN157" s="238"/>
      <c r="AO157" s="238"/>
      <c r="AP157" s="238"/>
      <c r="AQ157" s="238"/>
      <c r="AR157" s="238"/>
      <c r="AS157" s="238"/>
      <c r="AT157" s="238"/>
      <c r="AU157" s="238"/>
      <c r="AV157" s="238"/>
      <c r="AW157" s="238"/>
      <c r="AX157" s="238"/>
      <c r="AY157" s="238"/>
      <c r="AZ157" s="238"/>
      <c r="BA157" s="238"/>
      <c r="BB157" s="238"/>
      <c r="BC157" s="238"/>
      <c r="BD157" s="238"/>
      <c r="BE157" s="238"/>
      <c r="BF157" s="239"/>
      <c r="BG157" s="239"/>
      <c r="BH157" s="239"/>
      <c r="BI157" s="239"/>
      <c r="BJ157" s="239"/>
      <c r="BK157" s="239"/>
      <c r="BL157" s="239"/>
      <c r="BM157" s="239"/>
      <c r="BN157" s="239"/>
      <c r="BO157" s="239"/>
      <c r="BP157" s="239"/>
      <c r="BQ157" s="239"/>
      <c r="BR157" s="239"/>
      <c r="BS157" s="233"/>
      <c r="BT157" s="233"/>
      <c r="BU157" s="233"/>
      <c r="BV157" s="233"/>
      <c r="BW157" s="233"/>
      <c r="BX157" s="233"/>
      <c r="BY157" s="233"/>
      <c r="BZ157" s="233"/>
      <c r="CA157" s="233"/>
      <c r="CB157" s="233"/>
      <c r="CC157" s="233"/>
      <c r="CD157" s="233"/>
      <c r="CE157" s="233"/>
      <c r="CF157" s="239"/>
      <c r="CG157" s="239"/>
      <c r="CH157" s="239"/>
      <c r="CI157" s="239"/>
      <c r="CJ157" s="239"/>
      <c r="CK157" s="239"/>
      <c r="CL157" s="239"/>
      <c r="CM157" s="239"/>
      <c r="CN157" s="239"/>
      <c r="CO157" s="239"/>
      <c r="CP157" s="239"/>
      <c r="CQ157" s="239"/>
      <c r="CR157" s="35"/>
    </row>
    <row r="158" spans="1:96" ht="15" customHeight="1" x14ac:dyDescent="0.15">
      <c r="A158" s="34"/>
      <c r="B158" s="224" t="s">
        <v>181</v>
      </c>
      <c r="C158" s="224"/>
      <c r="D158" s="224"/>
      <c r="E158" s="224"/>
      <c r="F158" s="224"/>
      <c r="G158" s="224"/>
      <c r="H158" s="224"/>
      <c r="I158" s="224"/>
      <c r="J158" s="224"/>
      <c r="K158" s="224"/>
      <c r="L158" s="224"/>
      <c r="M158" s="224"/>
      <c r="N158" s="224"/>
      <c r="O158" s="224"/>
      <c r="S158" s="235" t="s">
        <v>182</v>
      </c>
      <c r="T158" s="235"/>
      <c r="U158" s="235"/>
      <c r="V158" s="235"/>
      <c r="W158" s="235"/>
      <c r="X158" s="235"/>
      <c r="Y158" s="235"/>
      <c r="Z158" s="235"/>
      <c r="AA158" s="235"/>
      <c r="AB158" s="235"/>
      <c r="AC158" s="235"/>
      <c r="AD158" s="235"/>
      <c r="AE158" s="235"/>
      <c r="AF158" s="238"/>
      <c r="AG158" s="238"/>
      <c r="AH158" s="238"/>
      <c r="AI158" s="238"/>
      <c r="AJ158" s="238"/>
      <c r="AK158" s="238"/>
      <c r="AL158" s="238"/>
      <c r="AM158" s="238"/>
      <c r="AN158" s="238"/>
      <c r="AO158" s="238"/>
      <c r="AP158" s="238"/>
      <c r="AQ158" s="238"/>
      <c r="AR158" s="238"/>
      <c r="AS158" s="238"/>
      <c r="AT158" s="238"/>
      <c r="AU158" s="238"/>
      <c r="AV158" s="238"/>
      <c r="AW158" s="238"/>
      <c r="AX158" s="238"/>
      <c r="AY158" s="238"/>
      <c r="AZ158" s="238"/>
      <c r="BA158" s="238"/>
      <c r="BB158" s="238"/>
      <c r="BC158" s="238"/>
      <c r="BD158" s="238"/>
      <c r="BE158" s="238"/>
      <c r="BF158" s="239"/>
      <c r="BG158" s="239"/>
      <c r="BH158" s="239"/>
      <c r="BI158" s="239"/>
      <c r="BJ158" s="239"/>
      <c r="BK158" s="239"/>
      <c r="BL158" s="239"/>
      <c r="BM158" s="239"/>
      <c r="BN158" s="239"/>
      <c r="BO158" s="239"/>
      <c r="BP158" s="239"/>
      <c r="BQ158" s="239"/>
      <c r="BR158" s="239"/>
      <c r="BS158" s="233"/>
      <c r="BT158" s="233"/>
      <c r="BU158" s="233"/>
      <c r="BV158" s="233"/>
      <c r="BW158" s="233"/>
      <c r="BX158" s="233"/>
      <c r="BY158" s="233"/>
      <c r="BZ158" s="233"/>
      <c r="CA158" s="233"/>
      <c r="CB158" s="233"/>
      <c r="CC158" s="233"/>
      <c r="CD158" s="233"/>
      <c r="CE158" s="233"/>
      <c r="CF158" s="239"/>
      <c r="CG158" s="239"/>
      <c r="CH158" s="239"/>
      <c r="CI158" s="239"/>
      <c r="CJ158" s="239"/>
      <c r="CK158" s="239"/>
      <c r="CL158" s="239"/>
      <c r="CM158" s="239"/>
      <c r="CN158" s="239"/>
      <c r="CO158" s="239"/>
      <c r="CP158" s="239"/>
      <c r="CQ158" s="239"/>
      <c r="CR158" s="35"/>
    </row>
    <row r="159" spans="1:96" ht="15" customHeight="1" x14ac:dyDescent="0.15">
      <c r="A159" s="34"/>
      <c r="B159" s="224" t="s">
        <v>183</v>
      </c>
      <c r="C159" s="224"/>
      <c r="D159" s="224"/>
      <c r="E159" s="224"/>
      <c r="F159" s="224"/>
      <c r="G159" s="224"/>
      <c r="H159" s="224"/>
      <c r="I159" s="224"/>
      <c r="J159" s="224"/>
      <c r="K159" s="224"/>
      <c r="L159" s="224"/>
      <c r="M159" s="224"/>
      <c r="N159" s="224"/>
      <c r="O159" s="224"/>
      <c r="S159" s="235" t="s">
        <v>184</v>
      </c>
      <c r="T159" s="235"/>
      <c r="U159" s="235"/>
      <c r="V159" s="235"/>
      <c r="W159" s="235"/>
      <c r="X159" s="235"/>
      <c r="Y159" s="235"/>
      <c r="Z159" s="235"/>
      <c r="AA159" s="235"/>
      <c r="AB159" s="235"/>
      <c r="AC159" s="235"/>
      <c r="AD159" s="235"/>
      <c r="AE159" s="235"/>
      <c r="AF159" s="238"/>
      <c r="AG159" s="238"/>
      <c r="AH159" s="238"/>
      <c r="AI159" s="238"/>
      <c r="AJ159" s="238"/>
      <c r="AK159" s="238"/>
      <c r="AL159" s="238"/>
      <c r="AM159" s="238"/>
      <c r="AN159" s="238"/>
      <c r="AO159" s="238"/>
      <c r="AP159" s="238"/>
      <c r="AQ159" s="238"/>
      <c r="AR159" s="238"/>
      <c r="AS159" s="238"/>
      <c r="AT159" s="238"/>
      <c r="AU159" s="238"/>
      <c r="AV159" s="238"/>
      <c r="AW159" s="238"/>
      <c r="AX159" s="238"/>
      <c r="AY159" s="238"/>
      <c r="AZ159" s="238"/>
      <c r="BA159" s="238"/>
      <c r="BB159" s="238"/>
      <c r="BC159" s="238"/>
      <c r="BD159" s="238"/>
      <c r="BE159" s="238"/>
      <c r="BF159" s="239"/>
      <c r="BG159" s="239"/>
      <c r="BH159" s="239"/>
      <c r="BI159" s="239"/>
      <c r="BJ159" s="239"/>
      <c r="BK159" s="239"/>
      <c r="BL159" s="239"/>
      <c r="BM159" s="239"/>
      <c r="BN159" s="239"/>
      <c r="BO159" s="239"/>
      <c r="BP159" s="239"/>
      <c r="BQ159" s="239"/>
      <c r="BR159" s="239"/>
      <c r="BS159" s="233"/>
      <c r="BT159" s="233"/>
      <c r="BU159" s="233"/>
      <c r="BV159" s="233"/>
      <c r="BW159" s="233"/>
      <c r="BX159" s="233"/>
      <c r="BY159" s="233"/>
      <c r="BZ159" s="233"/>
      <c r="CA159" s="233"/>
      <c r="CB159" s="233"/>
      <c r="CC159" s="233"/>
      <c r="CD159" s="233"/>
      <c r="CE159" s="233"/>
      <c r="CF159" s="239"/>
      <c r="CG159" s="239"/>
      <c r="CH159" s="239"/>
      <c r="CI159" s="239"/>
      <c r="CJ159" s="239"/>
      <c r="CK159" s="239"/>
      <c r="CL159" s="239"/>
      <c r="CM159" s="239"/>
      <c r="CN159" s="239"/>
      <c r="CO159" s="239"/>
      <c r="CP159" s="239"/>
      <c r="CQ159" s="239"/>
      <c r="CR159" s="35"/>
    </row>
    <row r="160" spans="1:96" ht="15" customHeight="1" x14ac:dyDescent="0.15">
      <c r="A160" s="34"/>
      <c r="B160" s="224" t="s">
        <v>185</v>
      </c>
      <c r="C160" s="224"/>
      <c r="D160" s="224"/>
      <c r="E160" s="224"/>
      <c r="F160" s="224"/>
      <c r="G160" s="224"/>
      <c r="H160" s="224"/>
      <c r="I160" s="224"/>
      <c r="J160" s="224"/>
      <c r="K160" s="224"/>
      <c r="L160" s="224"/>
      <c r="M160" s="224"/>
      <c r="N160" s="224"/>
      <c r="O160" s="224"/>
      <c r="S160" s="235" t="s">
        <v>186</v>
      </c>
      <c r="T160" s="235"/>
      <c r="U160" s="235"/>
      <c r="V160" s="235"/>
      <c r="W160" s="235"/>
      <c r="X160" s="235"/>
      <c r="Y160" s="235"/>
      <c r="Z160" s="235"/>
      <c r="AA160" s="235"/>
      <c r="AB160" s="235"/>
      <c r="AC160" s="235"/>
      <c r="AD160" s="235"/>
      <c r="AE160" s="235"/>
      <c r="AF160" s="238"/>
      <c r="AG160" s="238"/>
      <c r="AH160" s="238"/>
      <c r="AI160" s="238"/>
      <c r="AJ160" s="238"/>
      <c r="AK160" s="238"/>
      <c r="AL160" s="238"/>
      <c r="AM160" s="238"/>
      <c r="AN160" s="238"/>
      <c r="AO160" s="238"/>
      <c r="AP160" s="238"/>
      <c r="AQ160" s="238"/>
      <c r="AR160" s="238"/>
      <c r="AS160" s="238"/>
      <c r="AT160" s="238"/>
      <c r="AU160" s="238"/>
      <c r="AV160" s="238"/>
      <c r="AW160" s="238"/>
      <c r="AX160" s="238"/>
      <c r="AY160" s="238"/>
      <c r="AZ160" s="238"/>
      <c r="BA160" s="238"/>
      <c r="BB160" s="238"/>
      <c r="BC160" s="238"/>
      <c r="BD160" s="238"/>
      <c r="BE160" s="238"/>
      <c r="BF160" s="239"/>
      <c r="BG160" s="239"/>
      <c r="BH160" s="239"/>
      <c r="BI160" s="239"/>
      <c r="BJ160" s="239"/>
      <c r="BK160" s="239"/>
      <c r="BL160" s="239"/>
      <c r="BM160" s="239"/>
      <c r="BN160" s="239"/>
      <c r="BO160" s="239"/>
      <c r="BP160" s="239"/>
      <c r="BQ160" s="239"/>
      <c r="BR160" s="239"/>
      <c r="BS160" s="233"/>
      <c r="BT160" s="233"/>
      <c r="BU160" s="233"/>
      <c r="BV160" s="233"/>
      <c r="BW160" s="233"/>
      <c r="BX160" s="233"/>
      <c r="BY160" s="233"/>
      <c r="BZ160" s="233"/>
      <c r="CA160" s="233"/>
      <c r="CB160" s="233"/>
      <c r="CC160" s="233"/>
      <c r="CD160" s="233"/>
      <c r="CE160" s="233"/>
      <c r="CF160" s="239"/>
      <c r="CG160" s="239"/>
      <c r="CH160" s="239"/>
      <c r="CI160" s="239"/>
      <c r="CJ160" s="239"/>
      <c r="CK160" s="239"/>
      <c r="CL160" s="239"/>
      <c r="CM160" s="239"/>
      <c r="CN160" s="239"/>
      <c r="CO160" s="239"/>
      <c r="CP160" s="239"/>
      <c r="CQ160" s="239"/>
      <c r="CR160" s="35"/>
    </row>
    <row r="161" spans="1:98" ht="15" customHeight="1" x14ac:dyDescent="0.15">
      <c r="A161" s="34"/>
      <c r="B161" s="224" t="s">
        <v>187</v>
      </c>
      <c r="C161" s="224"/>
      <c r="D161" s="224"/>
      <c r="E161" s="224"/>
      <c r="F161" s="224"/>
      <c r="G161" s="224"/>
      <c r="H161" s="224"/>
      <c r="I161" s="224"/>
      <c r="J161" s="224"/>
      <c r="K161" s="224"/>
      <c r="L161" s="224"/>
      <c r="M161" s="224"/>
      <c r="N161" s="224"/>
      <c r="O161" s="224"/>
      <c r="S161" s="235" t="s">
        <v>188</v>
      </c>
      <c r="T161" s="235"/>
      <c r="U161" s="235"/>
      <c r="V161" s="235"/>
      <c r="W161" s="235"/>
      <c r="X161" s="235"/>
      <c r="Y161" s="235"/>
      <c r="Z161" s="235"/>
      <c r="AA161" s="235"/>
      <c r="AB161" s="235"/>
      <c r="AC161" s="235"/>
      <c r="AD161" s="235"/>
      <c r="AE161" s="235"/>
      <c r="AF161" s="238"/>
      <c r="AG161" s="238"/>
      <c r="AH161" s="238"/>
      <c r="AI161" s="238"/>
      <c r="AJ161" s="238"/>
      <c r="AK161" s="238"/>
      <c r="AL161" s="238"/>
      <c r="AM161" s="238"/>
      <c r="AN161" s="238"/>
      <c r="AO161" s="238"/>
      <c r="AP161" s="238"/>
      <c r="AQ161" s="238"/>
      <c r="AR161" s="238"/>
      <c r="AS161" s="238"/>
      <c r="AT161" s="238"/>
      <c r="AU161" s="238"/>
      <c r="AV161" s="238"/>
      <c r="AW161" s="238"/>
      <c r="AX161" s="238"/>
      <c r="AY161" s="238"/>
      <c r="AZ161" s="238"/>
      <c r="BA161" s="238"/>
      <c r="BB161" s="238"/>
      <c r="BC161" s="238"/>
      <c r="BD161" s="238"/>
      <c r="BE161" s="238"/>
      <c r="BF161" s="239"/>
      <c r="BG161" s="239"/>
      <c r="BH161" s="239"/>
      <c r="BI161" s="239"/>
      <c r="BJ161" s="239"/>
      <c r="BK161" s="239"/>
      <c r="BL161" s="239"/>
      <c r="BM161" s="239"/>
      <c r="BN161" s="239"/>
      <c r="BO161" s="239"/>
      <c r="BP161" s="239"/>
      <c r="BQ161" s="239"/>
      <c r="BR161" s="239"/>
      <c r="BS161" s="233"/>
      <c r="BT161" s="233"/>
      <c r="BU161" s="233"/>
      <c r="BV161" s="233"/>
      <c r="BW161" s="233"/>
      <c r="BX161" s="233"/>
      <c r="BY161" s="233"/>
      <c r="BZ161" s="233"/>
      <c r="CA161" s="233"/>
      <c r="CB161" s="233"/>
      <c r="CC161" s="233"/>
      <c r="CD161" s="233"/>
      <c r="CE161" s="233"/>
      <c r="CF161" s="239"/>
      <c r="CG161" s="239"/>
      <c r="CH161" s="239"/>
      <c r="CI161" s="239"/>
      <c r="CJ161" s="239"/>
      <c r="CK161" s="239"/>
      <c r="CL161" s="239"/>
      <c r="CM161" s="239"/>
      <c r="CN161" s="239"/>
      <c r="CO161" s="239"/>
      <c r="CP161" s="239"/>
      <c r="CQ161" s="239"/>
      <c r="CR161" s="35"/>
    </row>
    <row r="162" spans="1:98" ht="15" customHeight="1" x14ac:dyDescent="0.15">
      <c r="A162" s="34"/>
      <c r="B162" s="223" t="s">
        <v>147</v>
      </c>
      <c r="C162" s="223"/>
      <c r="D162" s="223"/>
      <c r="E162" s="223"/>
      <c r="F162" s="223"/>
      <c r="G162" s="223"/>
      <c r="H162" s="223"/>
      <c r="I162" s="223"/>
      <c r="J162" s="223"/>
      <c r="K162" s="223"/>
      <c r="L162" s="223"/>
      <c r="M162" s="223"/>
      <c r="N162" s="223"/>
      <c r="O162" s="223"/>
      <c r="S162" s="236" t="s">
        <v>148</v>
      </c>
      <c r="T162" s="236"/>
      <c r="U162" s="236"/>
      <c r="V162" s="236"/>
      <c r="W162" s="236"/>
      <c r="X162" s="236"/>
      <c r="Y162" s="236"/>
      <c r="Z162" s="236"/>
      <c r="AA162" s="236"/>
      <c r="AB162" s="236"/>
      <c r="AC162" s="236"/>
      <c r="AD162" s="236"/>
      <c r="AE162" s="236"/>
      <c r="AF162" s="236" t="s">
        <v>148</v>
      </c>
      <c r="AG162" s="236"/>
      <c r="AH162" s="236"/>
      <c r="AI162" s="236"/>
      <c r="AJ162" s="236"/>
      <c r="AK162" s="236"/>
      <c r="AL162" s="236"/>
      <c r="AM162" s="236"/>
      <c r="AN162" s="236"/>
      <c r="AO162" s="236"/>
      <c r="AP162" s="236"/>
      <c r="AQ162" s="236"/>
      <c r="AR162" s="236"/>
      <c r="AS162" s="236" t="s">
        <v>148</v>
      </c>
      <c r="AT162" s="236"/>
      <c r="AU162" s="236"/>
      <c r="AV162" s="236"/>
      <c r="AW162" s="236"/>
      <c r="AX162" s="236"/>
      <c r="AY162" s="236"/>
      <c r="AZ162" s="236"/>
      <c r="BA162" s="236"/>
      <c r="BB162" s="236"/>
      <c r="BC162" s="236"/>
      <c r="BD162" s="236"/>
      <c r="BE162" s="236"/>
      <c r="BF162" s="237" t="s">
        <v>148</v>
      </c>
      <c r="BG162" s="237"/>
      <c r="BH162" s="237"/>
      <c r="BI162" s="237"/>
      <c r="BJ162" s="237"/>
      <c r="BK162" s="237"/>
      <c r="BL162" s="237"/>
      <c r="BM162" s="237"/>
      <c r="BN162" s="237"/>
      <c r="BO162" s="237"/>
      <c r="BP162" s="237"/>
      <c r="BQ162" s="237"/>
      <c r="BR162" s="237"/>
      <c r="BS162" s="224" t="s">
        <v>149</v>
      </c>
      <c r="BT162" s="224"/>
      <c r="BU162" s="224"/>
      <c r="BV162" s="224"/>
      <c r="BW162" s="224"/>
      <c r="BX162" s="224"/>
      <c r="BY162" s="224"/>
      <c r="BZ162" s="224"/>
      <c r="CA162" s="224"/>
      <c r="CB162" s="224"/>
      <c r="CC162" s="224"/>
      <c r="CD162" s="224"/>
      <c r="CE162" s="224"/>
      <c r="CF162" s="239"/>
      <c r="CG162" s="239"/>
      <c r="CH162" s="239"/>
      <c r="CI162" s="239"/>
      <c r="CJ162" s="239"/>
      <c r="CK162" s="239"/>
      <c r="CL162" s="239"/>
      <c r="CM162" s="239"/>
      <c r="CN162" s="239"/>
      <c r="CO162" s="239"/>
      <c r="CP162" s="239"/>
      <c r="CQ162" s="239"/>
      <c r="CR162" s="35"/>
    </row>
    <row r="163" spans="1:98" ht="15" customHeight="1" x14ac:dyDescent="0.15">
      <c r="A163" s="34"/>
      <c r="B163" s="224" t="s">
        <v>189</v>
      </c>
      <c r="C163" s="224"/>
      <c r="D163" s="224"/>
      <c r="E163" s="224"/>
      <c r="F163" s="224"/>
      <c r="G163" s="224"/>
      <c r="H163" s="224"/>
      <c r="I163" s="224"/>
      <c r="J163" s="224"/>
      <c r="K163" s="224"/>
      <c r="L163" s="224"/>
      <c r="M163" s="224"/>
      <c r="N163" s="224"/>
      <c r="O163" s="224"/>
      <c r="S163" s="237" t="s">
        <v>148</v>
      </c>
      <c r="T163" s="237"/>
      <c r="U163" s="237"/>
      <c r="V163" s="237"/>
      <c r="W163" s="237"/>
      <c r="X163" s="237"/>
      <c r="Y163" s="237"/>
      <c r="Z163" s="237"/>
      <c r="AA163" s="237"/>
      <c r="AB163" s="237"/>
      <c r="AC163" s="237"/>
      <c r="AD163" s="237"/>
      <c r="AE163" s="237"/>
      <c r="AF163" s="237" t="s">
        <v>148</v>
      </c>
      <c r="AG163" s="237"/>
      <c r="AH163" s="237"/>
      <c r="AI163" s="237"/>
      <c r="AJ163" s="237"/>
      <c r="AK163" s="237"/>
      <c r="AL163" s="237"/>
      <c r="AM163" s="237"/>
      <c r="AN163" s="237"/>
      <c r="AO163" s="237"/>
      <c r="AP163" s="237"/>
      <c r="AQ163" s="237"/>
      <c r="AR163" s="237"/>
      <c r="AS163" s="237" t="s">
        <v>148</v>
      </c>
      <c r="AT163" s="237"/>
      <c r="AU163" s="237"/>
      <c r="AV163" s="237"/>
      <c r="AW163" s="237"/>
      <c r="AX163" s="237"/>
      <c r="AY163" s="237"/>
      <c r="AZ163" s="237"/>
      <c r="BA163" s="237"/>
      <c r="BB163" s="237"/>
      <c r="BC163" s="237"/>
      <c r="BD163" s="237"/>
      <c r="BE163" s="237"/>
      <c r="BF163" s="237" t="s">
        <v>148</v>
      </c>
      <c r="BG163" s="237"/>
      <c r="BH163" s="237"/>
      <c r="BI163" s="237"/>
      <c r="BJ163" s="237"/>
      <c r="BK163" s="237"/>
      <c r="BL163" s="237"/>
      <c r="BM163" s="237"/>
      <c r="BN163" s="237"/>
      <c r="BO163" s="237"/>
      <c r="BP163" s="237"/>
      <c r="BQ163" s="237"/>
      <c r="BR163" s="237"/>
      <c r="BS163" s="237" t="s">
        <v>148</v>
      </c>
      <c r="BT163" s="237"/>
      <c r="BU163" s="237"/>
      <c r="BV163" s="237"/>
      <c r="BW163" s="237"/>
      <c r="BX163" s="237"/>
      <c r="BY163" s="237"/>
      <c r="BZ163" s="237"/>
      <c r="CA163" s="237"/>
      <c r="CB163" s="237"/>
      <c r="CC163" s="237"/>
      <c r="CD163" s="237"/>
      <c r="CE163" s="237"/>
      <c r="CF163" s="267" t="s">
        <v>324</v>
      </c>
      <c r="CG163" s="267"/>
      <c r="CH163" s="267"/>
      <c r="CI163" s="267"/>
      <c r="CJ163" s="267"/>
      <c r="CK163" s="267"/>
      <c r="CL163" s="267"/>
      <c r="CM163" s="267"/>
      <c r="CN163" s="267"/>
      <c r="CO163" s="267"/>
      <c r="CP163" s="267"/>
      <c r="CQ163" s="267"/>
      <c r="CR163" s="35"/>
    </row>
    <row r="164" spans="1:98" ht="15" customHeight="1" x14ac:dyDescent="0.15">
      <c r="A164" s="34"/>
      <c r="B164" s="253" t="s">
        <v>320</v>
      </c>
      <c r="C164" s="253"/>
      <c r="D164" s="253"/>
      <c r="E164" s="253"/>
      <c r="F164" s="253"/>
      <c r="G164" s="253"/>
      <c r="H164" s="253"/>
      <c r="I164" s="253"/>
      <c r="J164" s="253"/>
      <c r="K164" s="253"/>
      <c r="L164" s="253"/>
      <c r="M164" s="253"/>
      <c r="N164" s="253"/>
      <c r="O164" s="253"/>
      <c r="S164" s="237" t="s">
        <v>148</v>
      </c>
      <c r="T164" s="237"/>
      <c r="U164" s="237"/>
      <c r="V164" s="237"/>
      <c r="W164" s="237"/>
      <c r="X164" s="237"/>
      <c r="Y164" s="237"/>
      <c r="Z164" s="237"/>
      <c r="AA164" s="237"/>
      <c r="AB164" s="237"/>
      <c r="AC164" s="237"/>
      <c r="AD164" s="237"/>
      <c r="AE164" s="237"/>
      <c r="AF164" s="237" t="s">
        <v>148</v>
      </c>
      <c r="AG164" s="237"/>
      <c r="AH164" s="237"/>
      <c r="AI164" s="237"/>
      <c r="AJ164" s="237"/>
      <c r="AK164" s="237"/>
      <c r="AL164" s="237"/>
      <c r="AM164" s="237"/>
      <c r="AN164" s="237"/>
      <c r="AO164" s="237"/>
      <c r="AP164" s="237"/>
      <c r="AQ164" s="237"/>
      <c r="AR164" s="237"/>
      <c r="AS164" s="237" t="s">
        <v>148</v>
      </c>
      <c r="AT164" s="237"/>
      <c r="AU164" s="237"/>
      <c r="AV164" s="237"/>
      <c r="AW164" s="237"/>
      <c r="AX164" s="237"/>
      <c r="AY164" s="237"/>
      <c r="AZ164" s="237"/>
      <c r="BA164" s="237"/>
      <c r="BB164" s="237"/>
      <c r="BC164" s="237"/>
      <c r="BD164" s="237"/>
      <c r="BE164" s="237"/>
      <c r="BF164" s="237" t="s">
        <v>148</v>
      </c>
      <c r="BG164" s="237"/>
      <c r="BH164" s="237"/>
      <c r="BI164" s="237"/>
      <c r="BJ164" s="237"/>
      <c r="BK164" s="237"/>
      <c r="BL164" s="237"/>
      <c r="BM164" s="237"/>
      <c r="BN164" s="237"/>
      <c r="BO164" s="237"/>
      <c r="BP164" s="237"/>
      <c r="BQ164" s="237"/>
      <c r="BR164" s="237"/>
      <c r="BS164" s="237" t="s">
        <v>148</v>
      </c>
      <c r="BT164" s="237"/>
      <c r="BU164" s="237"/>
      <c r="BV164" s="237"/>
      <c r="BW164" s="237"/>
      <c r="BX164" s="237"/>
      <c r="BY164" s="237"/>
      <c r="BZ164" s="237"/>
      <c r="CA164" s="237"/>
      <c r="CB164" s="237"/>
      <c r="CC164" s="237"/>
      <c r="CD164" s="237"/>
      <c r="CE164" s="237"/>
      <c r="CF164" s="267" t="s">
        <v>329</v>
      </c>
      <c r="CG164" s="267"/>
      <c r="CH164" s="267"/>
      <c r="CI164" s="267"/>
      <c r="CJ164" s="267"/>
      <c r="CK164" s="267"/>
      <c r="CL164" s="267"/>
      <c r="CM164" s="267"/>
      <c r="CN164" s="267"/>
      <c r="CO164" s="267"/>
      <c r="CP164" s="267"/>
      <c r="CQ164" s="267"/>
      <c r="CR164" s="35"/>
      <c r="CT164" s="61" t="s">
        <v>322</v>
      </c>
    </row>
    <row r="165" spans="1:98" ht="15" customHeight="1" x14ac:dyDescent="0.15">
      <c r="A165" s="34"/>
      <c r="CR165" s="35"/>
    </row>
    <row r="166" spans="1:98" ht="15" customHeight="1" x14ac:dyDescent="0.15">
      <c r="A166" s="34"/>
      <c r="CR166" s="35"/>
    </row>
    <row r="167" spans="1:98" ht="15" customHeight="1" x14ac:dyDescent="0.15">
      <c r="A167" s="34"/>
      <c r="CR167" s="35"/>
    </row>
    <row r="168" spans="1:98" ht="15" customHeight="1" x14ac:dyDescent="0.15">
      <c r="A168" s="34"/>
      <c r="CR168" s="35"/>
    </row>
    <row r="169" spans="1:98" ht="15" customHeight="1" thickBot="1" x14ac:dyDescent="0.2">
      <c r="A169" s="25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7"/>
      <c r="BL169" s="27"/>
      <c r="BM169" s="28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9"/>
    </row>
    <row r="170" spans="1:98" ht="15" customHeight="1" thickBot="1" x14ac:dyDescent="0.2">
      <c r="A170" s="112" t="s">
        <v>48</v>
      </c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  <c r="AM170" s="113"/>
      <c r="AN170" s="113"/>
      <c r="AO170" s="113"/>
      <c r="AP170" s="113"/>
      <c r="AQ170" s="113"/>
      <c r="AR170" s="113"/>
      <c r="AS170" s="113"/>
      <c r="AT170" s="113"/>
      <c r="AU170" s="113"/>
      <c r="AV170" s="113"/>
      <c r="AW170" s="113"/>
      <c r="AX170" s="113"/>
      <c r="AY170" s="113"/>
      <c r="AZ170" s="113"/>
      <c r="BA170" s="113"/>
      <c r="BB170" s="113"/>
      <c r="BC170" s="113"/>
      <c r="BD170" s="113"/>
      <c r="BE170" s="113"/>
      <c r="BF170" s="113"/>
      <c r="BG170" s="113"/>
      <c r="BH170" s="113"/>
      <c r="BI170" s="113"/>
      <c r="BJ170" s="113"/>
      <c r="BK170" s="113"/>
      <c r="BL170" s="113"/>
      <c r="BM170" s="113"/>
      <c r="BN170" s="113"/>
      <c r="BO170" s="113"/>
      <c r="BP170" s="113"/>
      <c r="BQ170" s="113"/>
      <c r="BR170" s="113"/>
      <c r="BS170" s="113"/>
      <c r="BT170" s="113"/>
      <c r="BU170" s="113"/>
      <c r="BV170" s="113"/>
      <c r="BW170" s="113"/>
      <c r="BX170" s="113"/>
      <c r="BY170" s="113"/>
      <c r="BZ170" s="113"/>
      <c r="CA170" s="113"/>
      <c r="CB170" s="113"/>
      <c r="CC170" s="113"/>
      <c r="CD170" s="113"/>
      <c r="CE170" s="113"/>
      <c r="CF170" s="113"/>
      <c r="CG170" s="113"/>
      <c r="CH170" s="113"/>
      <c r="CI170" s="113"/>
      <c r="CJ170" s="113"/>
      <c r="CK170" s="113"/>
      <c r="CL170" s="113"/>
      <c r="CM170" s="113"/>
      <c r="CN170" s="113"/>
      <c r="CO170" s="113"/>
      <c r="CP170" s="113"/>
      <c r="CQ170" s="113"/>
      <c r="CR170" s="114"/>
    </row>
    <row r="171" spans="1:98" ht="15" customHeight="1" x14ac:dyDescent="0.15">
      <c r="A171" s="268"/>
      <c r="B171" s="269"/>
      <c r="C171" s="269"/>
      <c r="D171" s="269"/>
      <c r="E171" s="269"/>
      <c r="F171" s="269"/>
      <c r="G171" s="269"/>
      <c r="H171" s="269"/>
      <c r="I171" s="269"/>
      <c r="J171" s="269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  <c r="AA171" s="269"/>
      <c r="AB171" s="269"/>
      <c r="AC171" s="269"/>
      <c r="AD171" s="269"/>
      <c r="AE171" s="269"/>
      <c r="AF171" s="269"/>
      <c r="AG171" s="269"/>
      <c r="AH171" s="269"/>
      <c r="AI171" s="269"/>
      <c r="AJ171" s="269"/>
      <c r="AK171" s="269"/>
      <c r="AL171" s="269"/>
      <c r="AM171" s="269"/>
      <c r="AN171" s="269"/>
      <c r="AO171" s="269"/>
      <c r="AP171" s="269"/>
      <c r="AQ171" s="269"/>
      <c r="AR171" s="269"/>
      <c r="AS171" s="269"/>
      <c r="AT171" s="269"/>
      <c r="AU171" s="269"/>
      <c r="AV171" s="269"/>
      <c r="AW171" s="269"/>
      <c r="AX171" s="269"/>
      <c r="AY171" s="269"/>
      <c r="AZ171" s="269"/>
      <c r="BA171" s="269"/>
      <c r="BB171" s="269"/>
      <c r="BC171" s="269"/>
      <c r="BD171" s="269"/>
      <c r="BE171" s="269"/>
      <c r="BF171" s="269"/>
      <c r="BG171" s="269"/>
      <c r="BH171" s="269"/>
      <c r="BI171" s="269"/>
      <c r="BJ171" s="269"/>
      <c r="BK171" s="269"/>
      <c r="BL171" s="269"/>
      <c r="BM171" s="269"/>
      <c r="BN171" s="269"/>
      <c r="BO171" s="269"/>
      <c r="BP171" s="269"/>
      <c r="BQ171" s="269"/>
      <c r="BR171" s="269"/>
      <c r="BS171" s="269"/>
      <c r="BT171" s="269"/>
      <c r="BU171" s="269"/>
      <c r="BV171" s="269"/>
      <c r="BW171" s="269"/>
      <c r="BX171" s="269"/>
      <c r="BY171" s="269"/>
      <c r="BZ171" s="269"/>
      <c r="CA171" s="269"/>
      <c r="CB171" s="269"/>
      <c r="CC171" s="269"/>
      <c r="CD171" s="269"/>
      <c r="CE171" s="269"/>
      <c r="CF171" s="269"/>
      <c r="CG171" s="269"/>
      <c r="CH171" s="269"/>
      <c r="CI171" s="269"/>
      <c r="CJ171" s="269"/>
      <c r="CK171" s="269"/>
      <c r="CL171" s="269"/>
      <c r="CM171" s="269"/>
      <c r="CN171" s="269"/>
      <c r="CO171" s="269"/>
      <c r="CP171" s="269"/>
      <c r="CQ171" s="269"/>
      <c r="CR171" s="270"/>
    </row>
    <row r="172" spans="1:98" ht="15" customHeight="1" x14ac:dyDescent="0.15">
      <c r="A172" s="271"/>
      <c r="B172" s="49" t="s">
        <v>206</v>
      </c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  <c r="AZ172" s="49"/>
      <c r="BA172" s="49"/>
      <c r="BB172" s="49"/>
      <c r="BC172" s="49"/>
      <c r="BD172" s="49"/>
      <c r="BE172" s="49"/>
      <c r="BF172" s="49"/>
      <c r="BG172" s="49"/>
      <c r="BH172" s="49"/>
      <c r="BI172" s="49"/>
      <c r="BJ172" s="49"/>
      <c r="BK172" s="49"/>
      <c r="BL172" s="49"/>
      <c r="BM172" s="49"/>
      <c r="BN172" s="49"/>
      <c r="BO172" s="49"/>
      <c r="BP172" s="49"/>
      <c r="BQ172" s="49"/>
      <c r="BR172" s="49"/>
      <c r="BS172" s="49"/>
      <c r="BT172" s="49"/>
      <c r="BU172" s="49"/>
      <c r="BV172" s="49"/>
      <c r="BW172" s="49"/>
      <c r="BX172" s="49"/>
      <c r="BY172" s="49"/>
      <c r="BZ172" s="49"/>
      <c r="CA172" s="49"/>
      <c r="CB172" s="49"/>
      <c r="CC172" s="49"/>
      <c r="CD172" s="49"/>
      <c r="CE172" s="49"/>
      <c r="CF172" s="49"/>
      <c r="CG172" s="49"/>
      <c r="CH172" s="49"/>
      <c r="CI172" s="49"/>
      <c r="CJ172" s="49"/>
      <c r="CK172" s="49"/>
      <c r="CL172" s="49"/>
      <c r="CM172" s="49"/>
      <c r="CN172" s="49"/>
      <c r="CO172" s="49"/>
      <c r="CP172" s="49"/>
      <c r="CQ172" s="49"/>
      <c r="CR172" s="272"/>
    </row>
    <row r="173" spans="1:98" ht="15" customHeight="1" x14ac:dyDescent="0.15">
      <c r="A173" s="271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  <c r="AY173" s="49"/>
      <c r="AZ173" s="49"/>
      <c r="BA173" s="49"/>
      <c r="BB173" s="49"/>
      <c r="BC173" s="49"/>
      <c r="BD173" s="49"/>
      <c r="BE173" s="49"/>
      <c r="BF173" s="49"/>
      <c r="BG173" s="49"/>
      <c r="BH173" s="49"/>
      <c r="BI173" s="49"/>
      <c r="BJ173" s="49"/>
      <c r="BK173" s="49"/>
      <c r="BL173" s="49"/>
      <c r="BM173" s="49"/>
      <c r="BN173" s="49"/>
      <c r="BO173" s="49"/>
      <c r="BP173" s="49"/>
      <c r="BQ173" s="49"/>
      <c r="BR173" s="49"/>
      <c r="BS173" s="49"/>
      <c r="BT173" s="49"/>
      <c r="BU173" s="49"/>
      <c r="BV173" s="49"/>
      <c r="BW173" s="49"/>
      <c r="BX173" s="49"/>
      <c r="BY173" s="49"/>
      <c r="BZ173" s="49"/>
      <c r="CA173" s="49"/>
      <c r="CB173" s="49"/>
      <c r="CC173" s="49"/>
      <c r="CD173" s="49"/>
      <c r="CE173" s="49"/>
      <c r="CF173" s="49"/>
      <c r="CG173" s="49"/>
      <c r="CH173" s="49"/>
      <c r="CI173" s="49"/>
      <c r="CJ173" s="49"/>
      <c r="CK173" s="49"/>
      <c r="CL173" s="49"/>
      <c r="CM173" s="49"/>
      <c r="CN173" s="49"/>
      <c r="CO173" s="49"/>
      <c r="CP173" s="49"/>
      <c r="CQ173" s="49"/>
      <c r="CR173" s="272"/>
    </row>
    <row r="174" spans="1:98" ht="15" customHeight="1" x14ac:dyDescent="0.15">
      <c r="A174" s="271"/>
      <c r="B174" s="49"/>
      <c r="C174" s="49" t="s">
        <v>244</v>
      </c>
      <c r="D174" s="49" t="s">
        <v>261</v>
      </c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  <c r="AY174" s="49"/>
      <c r="AZ174" s="49"/>
      <c r="BA174" s="49"/>
      <c r="BB174" s="49"/>
      <c r="BC174" s="49"/>
      <c r="BD174" s="49"/>
      <c r="BE174" s="49"/>
      <c r="BF174" s="49"/>
      <c r="BG174" s="49"/>
      <c r="BH174" s="49"/>
      <c r="BI174" s="49"/>
      <c r="BJ174" s="49"/>
      <c r="BK174" s="49"/>
      <c r="BL174" s="49"/>
      <c r="BM174" s="49"/>
      <c r="BN174" s="49"/>
      <c r="BO174" s="49"/>
      <c r="BP174" s="49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9"/>
      <c r="CC174" s="49"/>
      <c r="CD174" s="49"/>
      <c r="CE174" s="49"/>
      <c r="CF174" s="49"/>
      <c r="CG174" s="49"/>
      <c r="CH174" s="49"/>
      <c r="CI174" s="49"/>
      <c r="CJ174" s="49"/>
      <c r="CK174" s="49"/>
      <c r="CL174" s="49"/>
      <c r="CM174" s="49"/>
      <c r="CN174" s="49"/>
      <c r="CO174" s="49"/>
      <c r="CP174" s="49"/>
      <c r="CQ174" s="49"/>
      <c r="CR174" s="272"/>
    </row>
    <row r="175" spans="1:98" ht="15" customHeight="1" x14ac:dyDescent="0.15">
      <c r="A175" s="271"/>
      <c r="B175" s="49"/>
      <c r="C175" s="49"/>
      <c r="D175" s="49" t="s">
        <v>246</v>
      </c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  <c r="AY175" s="49"/>
      <c r="AZ175" s="49"/>
      <c r="BA175" s="49"/>
      <c r="BB175" s="49"/>
      <c r="BC175" s="49"/>
      <c r="BD175" s="49"/>
      <c r="BE175" s="49"/>
      <c r="BF175" s="49"/>
      <c r="BG175" s="49"/>
      <c r="BH175" s="49"/>
      <c r="BI175" s="49"/>
      <c r="BJ175" s="49"/>
      <c r="BK175" s="49"/>
      <c r="BL175" s="49"/>
      <c r="BM175" s="49"/>
      <c r="BN175" s="49"/>
      <c r="BO175" s="49"/>
      <c r="BP175" s="49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9"/>
      <c r="CC175" s="49"/>
      <c r="CD175" s="49"/>
      <c r="CE175" s="49"/>
      <c r="CF175" s="49"/>
      <c r="CG175" s="49"/>
      <c r="CH175" s="49"/>
      <c r="CI175" s="49"/>
      <c r="CJ175" s="49"/>
      <c r="CK175" s="49"/>
      <c r="CL175" s="49"/>
      <c r="CM175" s="49"/>
      <c r="CN175" s="49"/>
      <c r="CO175" s="49"/>
      <c r="CP175" s="49"/>
      <c r="CQ175" s="49"/>
      <c r="CR175" s="272"/>
    </row>
    <row r="176" spans="1:98" ht="15" customHeight="1" x14ac:dyDescent="0.15">
      <c r="A176" s="271"/>
      <c r="B176" s="49"/>
      <c r="C176" s="49" t="s">
        <v>245</v>
      </c>
      <c r="D176" s="49" t="s">
        <v>210</v>
      </c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  <c r="AY176" s="49"/>
      <c r="AZ176" s="49"/>
      <c r="BA176" s="49"/>
      <c r="BB176" s="49"/>
      <c r="BC176" s="49"/>
      <c r="BD176" s="49"/>
      <c r="BE176" s="49"/>
      <c r="BF176" s="49"/>
      <c r="BG176" s="49"/>
      <c r="BH176" s="49"/>
      <c r="BI176" s="49"/>
      <c r="BJ176" s="49"/>
      <c r="BK176" s="49"/>
      <c r="BL176" s="49"/>
      <c r="BM176" s="49"/>
      <c r="BN176" s="49"/>
      <c r="BO176" s="49"/>
      <c r="BP176" s="49"/>
      <c r="BQ176" s="49"/>
      <c r="BR176" s="49"/>
      <c r="BS176" s="49"/>
      <c r="BT176" s="49"/>
      <c r="BU176" s="49"/>
      <c r="BV176" s="49"/>
      <c r="BW176" s="49"/>
      <c r="BX176" s="49"/>
      <c r="BY176" s="49"/>
      <c r="BZ176" s="49"/>
      <c r="CA176" s="49"/>
      <c r="CB176" s="49"/>
      <c r="CC176" s="49"/>
      <c r="CD176" s="49"/>
      <c r="CE176" s="49"/>
      <c r="CF176" s="49"/>
      <c r="CG176" s="49"/>
      <c r="CH176" s="49"/>
      <c r="CI176" s="49"/>
      <c r="CJ176" s="49"/>
      <c r="CK176" s="49"/>
      <c r="CL176" s="49"/>
      <c r="CM176" s="49"/>
      <c r="CN176" s="49"/>
      <c r="CO176" s="49"/>
      <c r="CP176" s="49"/>
      <c r="CQ176" s="49"/>
      <c r="CR176" s="272"/>
    </row>
    <row r="177" spans="1:98" ht="15" customHeight="1" x14ac:dyDescent="0.15">
      <c r="A177" s="271"/>
      <c r="B177" s="49"/>
      <c r="C177" s="49"/>
      <c r="D177" s="49" t="s">
        <v>246</v>
      </c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  <c r="AY177" s="49"/>
      <c r="AZ177" s="49"/>
      <c r="BA177" s="49"/>
      <c r="BB177" s="49"/>
      <c r="BC177" s="49"/>
      <c r="BD177" s="49"/>
      <c r="BE177" s="49"/>
      <c r="BF177" s="49"/>
      <c r="BG177" s="49"/>
      <c r="BH177" s="49"/>
      <c r="BI177" s="49"/>
      <c r="BJ177" s="49"/>
      <c r="BK177" s="49"/>
      <c r="BL177" s="49"/>
      <c r="BM177" s="49"/>
      <c r="BN177" s="49"/>
      <c r="BO177" s="49"/>
      <c r="BP177" s="49"/>
      <c r="BQ177" s="49"/>
      <c r="BR177" s="49"/>
      <c r="BS177" s="49"/>
      <c r="BT177" s="49"/>
      <c r="BU177" s="49"/>
      <c r="BV177" s="49"/>
      <c r="BW177" s="49"/>
      <c r="BX177" s="49"/>
      <c r="BY177" s="49"/>
      <c r="BZ177" s="49"/>
      <c r="CA177" s="49"/>
      <c r="CB177" s="49"/>
      <c r="CC177" s="49"/>
      <c r="CD177" s="49"/>
      <c r="CE177" s="49"/>
      <c r="CF177" s="49"/>
      <c r="CG177" s="49"/>
      <c r="CH177" s="49"/>
      <c r="CI177" s="49"/>
      <c r="CJ177" s="49"/>
      <c r="CK177" s="49"/>
      <c r="CL177" s="49"/>
      <c r="CM177" s="49"/>
      <c r="CN177" s="49"/>
      <c r="CO177" s="49"/>
      <c r="CP177" s="49"/>
      <c r="CQ177" s="49"/>
      <c r="CR177" s="272"/>
    </row>
    <row r="178" spans="1:98" ht="15" customHeight="1" x14ac:dyDescent="0.15">
      <c r="A178" s="271"/>
      <c r="B178" s="49"/>
      <c r="C178" s="49" t="s">
        <v>247</v>
      </c>
      <c r="D178" s="49" t="s">
        <v>240</v>
      </c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  <c r="AY178" s="49"/>
      <c r="AZ178" s="49"/>
      <c r="BA178" s="49"/>
      <c r="BB178" s="49"/>
      <c r="BC178" s="49"/>
      <c r="BD178" s="49"/>
      <c r="BE178" s="49"/>
      <c r="BF178" s="49"/>
      <c r="BG178" s="49"/>
      <c r="BH178" s="49"/>
      <c r="BI178" s="49"/>
      <c r="BJ178" s="49"/>
      <c r="BK178" s="49"/>
      <c r="BL178" s="49"/>
      <c r="BM178" s="49"/>
      <c r="BN178" s="49"/>
      <c r="BO178" s="49"/>
      <c r="BP178" s="49"/>
      <c r="BQ178" s="49"/>
      <c r="BR178" s="49"/>
      <c r="BS178" s="49"/>
      <c r="BT178" s="49"/>
      <c r="BU178" s="49"/>
      <c r="BV178" s="49"/>
      <c r="BW178" s="49"/>
      <c r="BX178" s="49"/>
      <c r="BY178" s="49"/>
      <c r="BZ178" s="49"/>
      <c r="CA178" s="49"/>
      <c r="CB178" s="49"/>
      <c r="CC178" s="49"/>
      <c r="CD178" s="49"/>
      <c r="CE178" s="49"/>
      <c r="CF178" s="49"/>
      <c r="CG178" s="49"/>
      <c r="CH178" s="49"/>
      <c r="CI178" s="49"/>
      <c r="CJ178" s="49"/>
      <c r="CK178" s="49"/>
      <c r="CL178" s="49"/>
      <c r="CM178" s="49"/>
      <c r="CN178" s="49"/>
      <c r="CO178" s="49"/>
      <c r="CP178" s="49"/>
      <c r="CQ178" s="49"/>
      <c r="CR178" s="272"/>
    </row>
    <row r="179" spans="1:98" ht="15" customHeight="1" x14ac:dyDescent="0.15">
      <c r="A179" s="271"/>
      <c r="B179" s="49"/>
      <c r="C179" s="49"/>
      <c r="D179" s="49" t="s">
        <v>246</v>
      </c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  <c r="BD179" s="49"/>
      <c r="BE179" s="49"/>
      <c r="BF179" s="49"/>
      <c r="BG179" s="49"/>
      <c r="BH179" s="49"/>
      <c r="BI179" s="49"/>
      <c r="BJ179" s="49"/>
      <c r="BK179" s="49"/>
      <c r="BL179" s="49"/>
      <c r="BM179" s="49"/>
      <c r="BN179" s="49"/>
      <c r="BO179" s="49"/>
      <c r="BP179" s="49"/>
      <c r="BQ179" s="49"/>
      <c r="BR179" s="49"/>
      <c r="BS179" s="49"/>
      <c r="BT179" s="49"/>
      <c r="BU179" s="49"/>
      <c r="BV179" s="49"/>
      <c r="BW179" s="49"/>
      <c r="BX179" s="49"/>
      <c r="BY179" s="49"/>
      <c r="BZ179" s="49"/>
      <c r="CA179" s="49"/>
      <c r="CB179" s="49"/>
      <c r="CC179" s="49"/>
      <c r="CD179" s="49"/>
      <c r="CE179" s="49"/>
      <c r="CF179" s="49"/>
      <c r="CG179" s="49"/>
      <c r="CH179" s="49"/>
      <c r="CI179" s="49"/>
      <c r="CJ179" s="49"/>
      <c r="CK179" s="49"/>
      <c r="CL179" s="49"/>
      <c r="CM179" s="49"/>
      <c r="CN179" s="49"/>
      <c r="CO179" s="49"/>
      <c r="CP179" s="49"/>
      <c r="CQ179" s="49"/>
      <c r="CR179" s="272"/>
    </row>
    <row r="180" spans="1:98" ht="15" customHeight="1" x14ac:dyDescent="0.15">
      <c r="A180" s="271"/>
      <c r="B180" s="49"/>
      <c r="C180" s="49" t="s">
        <v>248</v>
      </c>
      <c r="D180" s="49" t="s">
        <v>249</v>
      </c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  <c r="BD180" s="49"/>
      <c r="BE180" s="49"/>
      <c r="BF180" s="49"/>
      <c r="BG180" s="49"/>
      <c r="BH180" s="49"/>
      <c r="BI180" s="49"/>
      <c r="BJ180" s="49"/>
      <c r="BK180" s="49"/>
      <c r="BL180" s="49"/>
      <c r="BM180" s="49"/>
      <c r="BN180" s="49"/>
      <c r="BO180" s="49"/>
      <c r="BP180" s="49"/>
      <c r="BQ180" s="49"/>
      <c r="BR180" s="49"/>
      <c r="BS180" s="49"/>
      <c r="BT180" s="49"/>
      <c r="BU180" s="49"/>
      <c r="BV180" s="49"/>
      <c r="BW180" s="49"/>
      <c r="BX180" s="49"/>
      <c r="BY180" s="49"/>
      <c r="BZ180" s="49"/>
      <c r="CA180" s="49"/>
      <c r="CB180" s="49"/>
      <c r="CC180" s="49"/>
      <c r="CD180" s="49"/>
      <c r="CE180" s="49"/>
      <c r="CF180" s="49"/>
      <c r="CG180" s="49"/>
      <c r="CH180" s="49"/>
      <c r="CI180" s="49"/>
      <c r="CJ180" s="49"/>
      <c r="CK180" s="49"/>
      <c r="CL180" s="49"/>
      <c r="CM180" s="49"/>
      <c r="CN180" s="49"/>
      <c r="CO180" s="49"/>
      <c r="CP180" s="49"/>
      <c r="CQ180" s="49"/>
      <c r="CR180" s="272"/>
    </row>
    <row r="181" spans="1:98" ht="15" customHeight="1" x14ac:dyDescent="0.15">
      <c r="A181" s="271"/>
      <c r="B181" s="49"/>
      <c r="C181" s="49"/>
      <c r="D181" s="49" t="s">
        <v>246</v>
      </c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  <c r="BD181" s="49"/>
      <c r="BE181" s="49"/>
      <c r="BF181" s="49"/>
      <c r="BG181" s="49"/>
      <c r="BH181" s="49"/>
      <c r="BI181" s="49"/>
      <c r="BJ181" s="49"/>
      <c r="BK181" s="49"/>
      <c r="BL181" s="49"/>
      <c r="BM181" s="49"/>
      <c r="BN181" s="49"/>
      <c r="BO181" s="49"/>
      <c r="BP181" s="49"/>
      <c r="BQ181" s="49"/>
      <c r="BR181" s="49"/>
      <c r="BS181" s="49"/>
      <c r="BT181" s="49"/>
      <c r="BU181" s="49"/>
      <c r="BV181" s="49"/>
      <c r="BW181" s="49"/>
      <c r="BX181" s="49"/>
      <c r="BY181" s="49"/>
      <c r="BZ181" s="49"/>
      <c r="CA181" s="49"/>
      <c r="CB181" s="49"/>
      <c r="CC181" s="49"/>
      <c r="CD181" s="49"/>
      <c r="CE181" s="49"/>
      <c r="CF181" s="49"/>
      <c r="CG181" s="49"/>
      <c r="CH181" s="49"/>
      <c r="CI181" s="49"/>
      <c r="CJ181" s="49"/>
      <c r="CK181" s="49"/>
      <c r="CL181" s="49"/>
      <c r="CM181" s="49"/>
      <c r="CN181" s="49"/>
      <c r="CO181" s="49"/>
      <c r="CP181" s="49"/>
      <c r="CQ181" s="49"/>
      <c r="CR181" s="272"/>
    </row>
    <row r="182" spans="1:98" ht="15" customHeight="1" x14ac:dyDescent="0.15">
      <c r="A182" s="271"/>
      <c r="B182" s="49"/>
      <c r="C182" s="49" t="s">
        <v>250</v>
      </c>
      <c r="D182" s="49" t="s">
        <v>211</v>
      </c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/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49"/>
      <c r="CA182" s="49"/>
      <c r="CB182" s="49"/>
      <c r="CC182" s="49"/>
      <c r="CD182" s="49"/>
      <c r="CE182" s="49"/>
      <c r="CF182" s="49"/>
      <c r="CG182" s="49"/>
      <c r="CH182" s="49"/>
      <c r="CI182" s="49"/>
      <c r="CJ182" s="49"/>
      <c r="CK182" s="49"/>
      <c r="CL182" s="49"/>
      <c r="CM182" s="49"/>
      <c r="CN182" s="49"/>
      <c r="CO182" s="49"/>
      <c r="CP182" s="49"/>
      <c r="CQ182" s="49"/>
      <c r="CR182" s="272"/>
    </row>
    <row r="183" spans="1:98" ht="15" customHeight="1" x14ac:dyDescent="0.15">
      <c r="A183" s="271"/>
      <c r="B183" s="49"/>
      <c r="C183" s="49"/>
      <c r="D183" s="49" t="s">
        <v>191</v>
      </c>
      <c r="E183" s="273" t="s">
        <v>264</v>
      </c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  <c r="BD183" s="49"/>
      <c r="BE183" s="49"/>
      <c r="BF183" s="49"/>
      <c r="BG183" s="49"/>
      <c r="BH183" s="49"/>
      <c r="BI183" s="49"/>
      <c r="BJ183" s="49"/>
      <c r="BK183" s="49"/>
      <c r="BL183" s="49"/>
      <c r="BM183" s="49"/>
      <c r="BN183" s="49"/>
      <c r="BO183" s="49"/>
      <c r="BP183" s="49"/>
      <c r="BQ183" s="49"/>
      <c r="BR183" s="49"/>
      <c r="BS183" s="49"/>
      <c r="BT183" s="49"/>
      <c r="BU183" s="49"/>
      <c r="BV183" s="49"/>
      <c r="BW183" s="49"/>
      <c r="BX183" s="49"/>
      <c r="BY183" s="49"/>
      <c r="BZ183" s="49"/>
      <c r="CA183" s="49"/>
      <c r="CB183" s="49"/>
      <c r="CC183" s="49"/>
      <c r="CD183" s="49"/>
      <c r="CE183" s="49"/>
      <c r="CF183" s="49"/>
      <c r="CG183" s="49"/>
      <c r="CH183" s="49"/>
      <c r="CI183" s="49"/>
      <c r="CJ183" s="49"/>
      <c r="CK183" s="49"/>
      <c r="CL183" s="49"/>
      <c r="CM183" s="49"/>
      <c r="CN183" s="49"/>
      <c r="CO183" s="49"/>
      <c r="CP183" s="49"/>
      <c r="CQ183" s="49"/>
      <c r="CR183" s="272"/>
    </row>
    <row r="184" spans="1:98" ht="15" customHeight="1" x14ac:dyDescent="0.15">
      <c r="A184" s="271"/>
      <c r="B184" s="49"/>
      <c r="C184" s="49"/>
      <c r="D184" s="49" t="s">
        <v>207</v>
      </c>
      <c r="E184" s="49" t="s">
        <v>267</v>
      </c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  <c r="BF184" s="49"/>
      <c r="BG184" s="49"/>
      <c r="BH184" s="49"/>
      <c r="BI184" s="49"/>
      <c r="BJ184" s="49"/>
      <c r="BK184" s="49"/>
      <c r="BL184" s="49"/>
      <c r="BM184" s="49"/>
      <c r="BN184" s="49"/>
      <c r="BO184" s="49"/>
      <c r="BP184" s="49"/>
      <c r="BQ184" s="49"/>
      <c r="BR184" s="49"/>
      <c r="BS184" s="49"/>
      <c r="BT184" s="49"/>
      <c r="BU184" s="49"/>
      <c r="BV184" s="49"/>
      <c r="BW184" s="49"/>
      <c r="BX184" s="49"/>
      <c r="BY184" s="49"/>
      <c r="BZ184" s="49"/>
      <c r="CA184" s="49"/>
      <c r="CB184" s="49"/>
      <c r="CC184" s="49"/>
      <c r="CD184" s="49"/>
      <c r="CE184" s="49"/>
      <c r="CF184" s="49"/>
      <c r="CG184" s="49"/>
      <c r="CH184" s="49"/>
      <c r="CI184" s="49"/>
      <c r="CJ184" s="49"/>
      <c r="CK184" s="49"/>
      <c r="CL184" s="49"/>
      <c r="CM184" s="49"/>
      <c r="CN184" s="49"/>
      <c r="CO184" s="49"/>
      <c r="CP184" s="49"/>
      <c r="CQ184" s="49"/>
      <c r="CR184" s="272"/>
    </row>
    <row r="185" spans="1:98" ht="15" customHeight="1" x14ac:dyDescent="0.15">
      <c r="A185" s="271"/>
      <c r="B185" s="49"/>
      <c r="C185" s="49"/>
      <c r="D185" s="49" t="s">
        <v>207</v>
      </c>
      <c r="E185" s="49" t="s">
        <v>208</v>
      </c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  <c r="BE185" s="49"/>
      <c r="BF185" s="49"/>
      <c r="BG185" s="49"/>
      <c r="BH185" s="49"/>
      <c r="BI185" s="49"/>
      <c r="BJ185" s="49"/>
      <c r="BK185" s="49"/>
      <c r="BL185" s="49"/>
      <c r="BM185" s="49"/>
      <c r="BN185" s="49"/>
      <c r="BO185" s="49"/>
      <c r="BP185" s="49"/>
      <c r="BQ185" s="49"/>
      <c r="BR185" s="49"/>
      <c r="BS185" s="49"/>
      <c r="BT185" s="49"/>
      <c r="BU185" s="49"/>
      <c r="BV185" s="49"/>
      <c r="BW185" s="49"/>
      <c r="BX185" s="49"/>
      <c r="BY185" s="49"/>
      <c r="BZ185" s="49"/>
      <c r="CA185" s="49"/>
      <c r="CB185" s="49"/>
      <c r="CC185" s="49"/>
      <c r="CD185" s="49"/>
      <c r="CE185" s="49"/>
      <c r="CF185" s="49"/>
      <c r="CG185" s="49"/>
      <c r="CH185" s="49"/>
      <c r="CI185" s="49"/>
      <c r="CJ185" s="49"/>
      <c r="CK185" s="49"/>
      <c r="CL185" s="49"/>
      <c r="CM185" s="49"/>
      <c r="CN185" s="49"/>
      <c r="CO185" s="49"/>
      <c r="CP185" s="49"/>
      <c r="CQ185" s="49"/>
      <c r="CR185" s="272"/>
    </row>
    <row r="186" spans="1:98" ht="15" customHeight="1" x14ac:dyDescent="0.15">
      <c r="A186" s="271"/>
      <c r="B186" s="49"/>
      <c r="C186" s="49"/>
      <c r="D186" s="49" t="s">
        <v>207</v>
      </c>
      <c r="E186" s="49" t="s">
        <v>209</v>
      </c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  <c r="BD186" s="49"/>
      <c r="BE186" s="49"/>
      <c r="BF186" s="49"/>
      <c r="BG186" s="49"/>
      <c r="BH186" s="49"/>
      <c r="BI186" s="49"/>
      <c r="BJ186" s="49"/>
      <c r="BK186" s="49"/>
      <c r="BL186" s="49"/>
      <c r="BM186" s="49"/>
      <c r="BN186" s="49"/>
      <c r="BO186" s="49"/>
      <c r="BP186" s="49"/>
      <c r="BQ186" s="49"/>
      <c r="BR186" s="49"/>
      <c r="BS186" s="49"/>
      <c r="BT186" s="49"/>
      <c r="BU186" s="49"/>
      <c r="BV186" s="49"/>
      <c r="BW186" s="49"/>
      <c r="BX186" s="49"/>
      <c r="BY186" s="49"/>
      <c r="BZ186" s="49"/>
      <c r="CA186" s="49"/>
      <c r="CB186" s="49"/>
      <c r="CC186" s="49"/>
      <c r="CD186" s="49"/>
      <c r="CE186" s="49"/>
      <c r="CF186" s="49"/>
      <c r="CG186" s="49"/>
      <c r="CH186" s="49"/>
      <c r="CI186" s="49"/>
      <c r="CJ186" s="49"/>
      <c r="CK186" s="49"/>
      <c r="CL186" s="49"/>
      <c r="CM186" s="49"/>
      <c r="CN186" s="49"/>
      <c r="CO186" s="49"/>
      <c r="CP186" s="49"/>
      <c r="CQ186" s="49"/>
      <c r="CR186" s="272"/>
    </row>
    <row r="187" spans="1:98" ht="15" customHeight="1" x14ac:dyDescent="0.15">
      <c r="A187" s="271"/>
      <c r="B187" s="49"/>
      <c r="C187" s="49"/>
      <c r="D187" s="49" t="s">
        <v>246</v>
      </c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  <c r="BD187" s="49"/>
      <c r="BE187" s="49"/>
      <c r="BF187" s="49"/>
      <c r="BG187" s="49"/>
      <c r="BH187" s="49"/>
      <c r="BI187" s="49"/>
      <c r="BJ187" s="49"/>
      <c r="BK187" s="49"/>
      <c r="BL187" s="49"/>
      <c r="BM187" s="49"/>
      <c r="BN187" s="49"/>
      <c r="BO187" s="49"/>
      <c r="BP187" s="49"/>
      <c r="BQ187" s="49"/>
      <c r="BR187" s="49"/>
      <c r="BS187" s="49"/>
      <c r="BT187" s="49"/>
      <c r="BU187" s="49"/>
      <c r="BV187" s="49"/>
      <c r="BW187" s="49"/>
      <c r="BX187" s="49"/>
      <c r="BY187" s="49"/>
      <c r="BZ187" s="49"/>
      <c r="CA187" s="49"/>
      <c r="CB187" s="49"/>
      <c r="CC187" s="49"/>
      <c r="CD187" s="49"/>
      <c r="CE187" s="49"/>
      <c r="CF187" s="49"/>
      <c r="CG187" s="49"/>
      <c r="CH187" s="49"/>
      <c r="CI187" s="49"/>
      <c r="CJ187" s="49"/>
      <c r="CK187" s="49"/>
      <c r="CL187" s="49"/>
      <c r="CM187" s="49"/>
      <c r="CN187" s="49"/>
      <c r="CO187" s="49"/>
      <c r="CP187" s="49"/>
      <c r="CQ187" s="49"/>
      <c r="CR187" s="272"/>
    </row>
    <row r="188" spans="1:98" ht="15" customHeight="1" x14ac:dyDescent="0.15">
      <c r="A188" s="271"/>
      <c r="B188" s="49"/>
      <c r="C188" s="49" t="s">
        <v>251</v>
      </c>
      <c r="D188" s="274" t="s">
        <v>330</v>
      </c>
      <c r="E188" s="274"/>
      <c r="F188" s="274"/>
      <c r="G188" s="274"/>
      <c r="H188" s="274"/>
      <c r="I188" s="274"/>
      <c r="J188" s="274"/>
      <c r="K188" s="274"/>
      <c r="L188" s="274"/>
      <c r="M188" s="274"/>
      <c r="N188" s="274"/>
      <c r="O188" s="274"/>
      <c r="P188" s="274"/>
      <c r="Q188" s="274"/>
      <c r="R188" s="274"/>
      <c r="S188" s="274"/>
      <c r="T188" s="274"/>
      <c r="U188" s="274"/>
      <c r="V188" s="274"/>
      <c r="W188" s="274"/>
      <c r="X188" s="274"/>
      <c r="Y188" s="274"/>
      <c r="Z188" s="274"/>
      <c r="AA188" s="274"/>
      <c r="AB188" s="274"/>
      <c r="AC188" s="274"/>
      <c r="AD188" s="274"/>
      <c r="AE188" s="274"/>
      <c r="AF188" s="274"/>
      <c r="AG188" s="274"/>
      <c r="AH188" s="274"/>
      <c r="AI188" s="274"/>
      <c r="AJ188" s="274"/>
      <c r="AK188" s="274"/>
      <c r="AL188" s="274"/>
      <c r="AM188" s="274"/>
      <c r="AN188" s="274"/>
      <c r="AO188" s="274"/>
      <c r="AP188" s="274"/>
      <c r="AQ188" s="274"/>
      <c r="AR188" s="274"/>
      <c r="AS188" s="274"/>
      <c r="AT188" s="274"/>
      <c r="AU188" s="274"/>
      <c r="AV188" s="274"/>
      <c r="AW188" s="274"/>
      <c r="AX188" s="274"/>
      <c r="AY188" s="274"/>
      <c r="AZ188" s="274"/>
      <c r="BA188" s="274"/>
      <c r="BB188" s="274"/>
      <c r="BC188" s="274"/>
      <c r="BD188" s="274"/>
      <c r="BE188" s="274"/>
      <c r="BF188" s="274"/>
      <c r="BG188" s="274"/>
      <c r="BH188" s="274"/>
      <c r="BI188" s="274"/>
      <c r="BJ188" s="274"/>
      <c r="BK188" s="274"/>
      <c r="BL188" s="274"/>
      <c r="BM188" s="49"/>
      <c r="BN188" s="49"/>
      <c r="BO188" s="49"/>
      <c r="BP188" s="49"/>
      <c r="BQ188" s="49"/>
      <c r="BR188" s="49"/>
      <c r="BS188" s="49"/>
      <c r="BT188" s="49"/>
      <c r="BU188" s="49"/>
      <c r="BV188" s="49"/>
      <c r="BW188" s="49"/>
      <c r="BX188" s="49"/>
      <c r="BY188" s="49"/>
      <c r="BZ188" s="49"/>
      <c r="CA188" s="49"/>
      <c r="CB188" s="49"/>
      <c r="CC188" s="49"/>
      <c r="CD188" s="49"/>
      <c r="CE188" s="49"/>
      <c r="CF188" s="49"/>
      <c r="CG188" s="49"/>
      <c r="CH188" s="49"/>
      <c r="CI188" s="49"/>
      <c r="CJ188" s="49"/>
      <c r="CK188" s="49"/>
      <c r="CL188" s="49"/>
      <c r="CM188" s="49"/>
      <c r="CN188" s="49"/>
      <c r="CO188" s="49"/>
      <c r="CP188" s="49"/>
      <c r="CQ188" s="49"/>
      <c r="CR188" s="272"/>
      <c r="CT188" s="275" t="s">
        <v>332</v>
      </c>
    </row>
    <row r="189" spans="1:98" ht="15" customHeight="1" x14ac:dyDescent="0.15">
      <c r="A189" s="271"/>
      <c r="B189" s="49"/>
      <c r="C189" s="49"/>
      <c r="D189" s="49" t="s">
        <v>246</v>
      </c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  <c r="BF189" s="49"/>
      <c r="BG189" s="49"/>
      <c r="BH189" s="49"/>
      <c r="BI189" s="49"/>
      <c r="BJ189" s="49"/>
      <c r="BK189" s="49"/>
      <c r="BL189" s="49"/>
      <c r="BM189" s="49"/>
      <c r="BN189" s="49"/>
      <c r="BO189" s="49"/>
      <c r="BP189" s="49"/>
      <c r="BQ189" s="49"/>
      <c r="BR189" s="49"/>
      <c r="BS189" s="49"/>
      <c r="BT189" s="49"/>
      <c r="BU189" s="49"/>
      <c r="BV189" s="49"/>
      <c r="BW189" s="49"/>
      <c r="BX189" s="49"/>
      <c r="BY189" s="49"/>
      <c r="BZ189" s="49"/>
      <c r="CA189" s="49"/>
      <c r="CB189" s="49"/>
      <c r="CC189" s="49"/>
      <c r="CD189" s="49"/>
      <c r="CE189" s="49"/>
      <c r="CF189" s="49"/>
      <c r="CG189" s="49"/>
      <c r="CH189" s="49"/>
      <c r="CI189" s="49"/>
      <c r="CJ189" s="49"/>
      <c r="CK189" s="49"/>
      <c r="CL189" s="49"/>
      <c r="CM189" s="49"/>
      <c r="CN189" s="49"/>
      <c r="CO189" s="49"/>
      <c r="CP189" s="49"/>
      <c r="CQ189" s="49"/>
      <c r="CR189" s="272"/>
    </row>
    <row r="190" spans="1:98" ht="15" customHeight="1" x14ac:dyDescent="0.15">
      <c r="A190" s="271"/>
      <c r="B190" s="49"/>
      <c r="C190" s="49" t="s">
        <v>252</v>
      </c>
      <c r="D190" s="49" t="s">
        <v>212</v>
      </c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  <c r="BD190" s="49"/>
      <c r="BE190" s="49"/>
      <c r="BF190" s="49"/>
      <c r="BG190" s="49"/>
      <c r="BH190" s="49"/>
      <c r="BI190" s="49"/>
      <c r="BJ190" s="49"/>
      <c r="BK190" s="49"/>
      <c r="BL190" s="49"/>
      <c r="BM190" s="49"/>
      <c r="BN190" s="49"/>
      <c r="BO190" s="49"/>
      <c r="BP190" s="49"/>
      <c r="BQ190" s="49"/>
      <c r="BR190" s="49"/>
      <c r="BS190" s="49"/>
      <c r="BT190" s="49"/>
      <c r="BU190" s="49"/>
      <c r="BV190" s="49"/>
      <c r="BW190" s="49"/>
      <c r="BX190" s="49"/>
      <c r="BY190" s="49"/>
      <c r="BZ190" s="49"/>
      <c r="CA190" s="49"/>
      <c r="CB190" s="49"/>
      <c r="CC190" s="49"/>
      <c r="CD190" s="49"/>
      <c r="CE190" s="49"/>
      <c r="CF190" s="49"/>
      <c r="CG190" s="49"/>
      <c r="CH190" s="49"/>
      <c r="CI190" s="49"/>
      <c r="CJ190" s="49"/>
      <c r="CK190" s="49"/>
      <c r="CL190" s="49"/>
      <c r="CM190" s="49"/>
      <c r="CN190" s="49"/>
      <c r="CO190" s="49"/>
      <c r="CP190" s="49"/>
      <c r="CQ190" s="49"/>
      <c r="CR190" s="272"/>
    </row>
    <row r="191" spans="1:98" ht="15" customHeight="1" x14ac:dyDescent="0.15">
      <c r="A191" s="271"/>
      <c r="B191" s="49"/>
      <c r="C191" s="49"/>
      <c r="D191" s="49" t="s">
        <v>246</v>
      </c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49"/>
      <c r="BP191" s="49"/>
      <c r="BQ191" s="49"/>
      <c r="BR191" s="49"/>
      <c r="BS191" s="49"/>
      <c r="BT191" s="49"/>
      <c r="BU191" s="49"/>
      <c r="BV191" s="49"/>
      <c r="BW191" s="49"/>
      <c r="BX191" s="49"/>
      <c r="BY191" s="49"/>
      <c r="BZ191" s="49"/>
      <c r="CA191" s="49"/>
      <c r="CB191" s="49"/>
      <c r="CC191" s="49"/>
      <c r="CD191" s="49"/>
      <c r="CE191" s="49"/>
      <c r="CF191" s="49"/>
      <c r="CG191" s="49"/>
      <c r="CH191" s="49"/>
      <c r="CI191" s="49"/>
      <c r="CJ191" s="49"/>
      <c r="CK191" s="49"/>
      <c r="CL191" s="49"/>
      <c r="CM191" s="49"/>
      <c r="CN191" s="49"/>
      <c r="CO191" s="49"/>
      <c r="CP191" s="49"/>
      <c r="CQ191" s="49"/>
      <c r="CR191" s="272"/>
    </row>
    <row r="192" spans="1:98" ht="15" customHeight="1" x14ac:dyDescent="0.15">
      <c r="A192" s="271"/>
      <c r="B192" s="49"/>
      <c r="C192" s="49" t="s">
        <v>253</v>
      </c>
      <c r="D192" s="49" t="s">
        <v>213</v>
      </c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  <c r="BF192" s="49"/>
      <c r="BG192" s="49"/>
      <c r="BH192" s="49"/>
      <c r="BI192" s="49"/>
      <c r="BJ192" s="49"/>
      <c r="BK192" s="49"/>
      <c r="BL192" s="49"/>
      <c r="BM192" s="49"/>
      <c r="BN192" s="49"/>
      <c r="BO192" s="49"/>
      <c r="BP192" s="49"/>
      <c r="BQ192" s="49"/>
      <c r="BR192" s="49"/>
      <c r="BS192" s="49"/>
      <c r="BT192" s="49"/>
      <c r="BU192" s="49"/>
      <c r="BV192" s="49"/>
      <c r="BW192" s="49"/>
      <c r="BX192" s="49"/>
      <c r="BY192" s="49"/>
      <c r="BZ192" s="49"/>
      <c r="CA192" s="49"/>
      <c r="CB192" s="49"/>
      <c r="CC192" s="49"/>
      <c r="CD192" s="49"/>
      <c r="CE192" s="49"/>
      <c r="CF192" s="49"/>
      <c r="CG192" s="49"/>
      <c r="CH192" s="49"/>
      <c r="CI192" s="49"/>
      <c r="CJ192" s="49"/>
      <c r="CK192" s="49"/>
      <c r="CL192" s="49"/>
      <c r="CM192" s="49"/>
      <c r="CN192" s="49"/>
      <c r="CO192" s="49"/>
      <c r="CP192" s="49"/>
      <c r="CQ192" s="49"/>
      <c r="CR192" s="272"/>
    </row>
    <row r="193" spans="1:96" ht="15" customHeight="1" x14ac:dyDescent="0.15">
      <c r="A193" s="271"/>
      <c r="B193" s="49"/>
      <c r="C193" s="49"/>
      <c r="D193" s="49" t="s">
        <v>246</v>
      </c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  <c r="BM193" s="49"/>
      <c r="BN193" s="49"/>
      <c r="BO193" s="49"/>
      <c r="BP193" s="49"/>
      <c r="BQ193" s="49"/>
      <c r="BR193" s="49"/>
      <c r="BS193" s="49"/>
      <c r="BT193" s="49"/>
      <c r="BU193" s="49"/>
      <c r="BV193" s="49"/>
      <c r="BW193" s="49"/>
      <c r="BX193" s="49"/>
      <c r="BY193" s="49"/>
      <c r="BZ193" s="49"/>
      <c r="CA193" s="49"/>
      <c r="CB193" s="49"/>
      <c r="CC193" s="49"/>
      <c r="CD193" s="49"/>
      <c r="CE193" s="49"/>
      <c r="CF193" s="49"/>
      <c r="CG193" s="49"/>
      <c r="CH193" s="49"/>
      <c r="CI193" s="49"/>
      <c r="CJ193" s="49"/>
      <c r="CK193" s="49"/>
      <c r="CL193" s="49"/>
      <c r="CM193" s="49"/>
      <c r="CN193" s="49"/>
      <c r="CO193" s="49"/>
      <c r="CP193" s="49"/>
      <c r="CQ193" s="49"/>
      <c r="CR193" s="272"/>
    </row>
    <row r="194" spans="1:96" ht="15" customHeight="1" x14ac:dyDescent="0.15">
      <c r="A194" s="271"/>
      <c r="B194" s="49"/>
      <c r="C194" s="49" t="s">
        <v>254</v>
      </c>
      <c r="D194" s="49" t="s">
        <v>241</v>
      </c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  <c r="BF194" s="49"/>
      <c r="BG194" s="49"/>
      <c r="BH194" s="49"/>
      <c r="BI194" s="49"/>
      <c r="BJ194" s="49"/>
      <c r="BK194" s="49"/>
      <c r="BL194" s="49"/>
      <c r="BM194" s="49"/>
      <c r="BN194" s="49"/>
      <c r="BO194" s="49"/>
      <c r="BP194" s="49"/>
      <c r="BQ194" s="49"/>
      <c r="BR194" s="49"/>
      <c r="BS194" s="49"/>
      <c r="BT194" s="49"/>
      <c r="BU194" s="49"/>
      <c r="BV194" s="49"/>
      <c r="BW194" s="49"/>
      <c r="BX194" s="49"/>
      <c r="BY194" s="49"/>
      <c r="BZ194" s="49"/>
      <c r="CA194" s="49"/>
      <c r="CB194" s="49"/>
      <c r="CC194" s="49"/>
      <c r="CD194" s="49"/>
      <c r="CE194" s="49"/>
      <c r="CF194" s="49"/>
      <c r="CG194" s="49"/>
      <c r="CH194" s="49"/>
      <c r="CI194" s="49"/>
      <c r="CJ194" s="49"/>
      <c r="CK194" s="49"/>
      <c r="CL194" s="49"/>
      <c r="CM194" s="49"/>
      <c r="CN194" s="49"/>
      <c r="CO194" s="49"/>
      <c r="CP194" s="49"/>
      <c r="CQ194" s="49"/>
      <c r="CR194" s="272"/>
    </row>
    <row r="195" spans="1:96" ht="15" customHeight="1" x14ac:dyDescent="0.15">
      <c r="A195" s="271"/>
      <c r="B195" s="49"/>
      <c r="C195" s="49"/>
      <c r="D195" s="49" t="s">
        <v>242</v>
      </c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49"/>
      <c r="BQ195" s="49"/>
      <c r="BR195" s="49"/>
      <c r="BS195" s="49"/>
      <c r="BT195" s="49"/>
      <c r="BU195" s="49"/>
      <c r="BV195" s="49"/>
      <c r="BW195" s="49"/>
      <c r="BX195" s="49"/>
      <c r="BY195" s="49"/>
      <c r="BZ195" s="49"/>
      <c r="CA195" s="49"/>
      <c r="CB195" s="49"/>
      <c r="CC195" s="49"/>
      <c r="CD195" s="49"/>
      <c r="CE195" s="49"/>
      <c r="CF195" s="49"/>
      <c r="CG195" s="49"/>
      <c r="CH195" s="49"/>
      <c r="CI195" s="49"/>
      <c r="CJ195" s="49"/>
      <c r="CK195" s="49"/>
      <c r="CL195" s="49"/>
      <c r="CM195" s="49"/>
      <c r="CN195" s="49"/>
      <c r="CO195" s="49"/>
      <c r="CP195" s="49"/>
      <c r="CQ195" s="49"/>
      <c r="CR195" s="272"/>
    </row>
    <row r="196" spans="1:96" ht="15" customHeight="1" x14ac:dyDescent="0.15">
      <c r="A196" s="271"/>
      <c r="B196" s="49"/>
      <c r="C196" s="49"/>
      <c r="D196" s="49" t="s">
        <v>246</v>
      </c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  <c r="BP196" s="49"/>
      <c r="BQ196" s="49"/>
      <c r="BR196" s="49"/>
      <c r="BS196" s="49"/>
      <c r="BT196" s="49"/>
      <c r="BU196" s="49"/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/>
      <c r="CP196" s="49"/>
      <c r="CQ196" s="49"/>
      <c r="CR196" s="272"/>
    </row>
    <row r="197" spans="1:96" ht="15" customHeight="1" x14ac:dyDescent="0.15">
      <c r="A197" s="271"/>
      <c r="B197" s="49"/>
      <c r="C197" s="49" t="s">
        <v>255</v>
      </c>
      <c r="D197" s="49" t="s">
        <v>243</v>
      </c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  <c r="BP197" s="49"/>
      <c r="BQ197" s="49"/>
      <c r="BR197" s="49"/>
      <c r="BS197" s="49"/>
      <c r="BT197" s="49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272"/>
    </row>
    <row r="198" spans="1:96" ht="15" customHeight="1" x14ac:dyDescent="0.15">
      <c r="A198" s="271"/>
      <c r="B198" s="49"/>
      <c r="C198" s="49"/>
      <c r="D198" s="49" t="s">
        <v>242</v>
      </c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  <c r="BE198" s="49"/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  <c r="BP198" s="49"/>
      <c r="BQ198" s="49"/>
      <c r="BR198" s="49"/>
      <c r="BS198" s="49"/>
      <c r="BT198" s="49"/>
      <c r="BU198" s="49"/>
      <c r="BV198" s="49"/>
      <c r="BW198" s="49"/>
      <c r="BX198" s="49"/>
      <c r="BY198" s="49"/>
      <c r="BZ198" s="49"/>
      <c r="CA198" s="49"/>
      <c r="CB198" s="49"/>
      <c r="CC198" s="49"/>
      <c r="CD198" s="49"/>
      <c r="CE198" s="49"/>
      <c r="CF198" s="49"/>
      <c r="CG198" s="49"/>
      <c r="CH198" s="49"/>
      <c r="CI198" s="49"/>
      <c r="CJ198" s="49"/>
      <c r="CK198" s="49"/>
      <c r="CL198" s="49"/>
      <c r="CM198" s="49"/>
      <c r="CN198" s="49"/>
      <c r="CO198" s="49"/>
      <c r="CP198" s="49"/>
      <c r="CQ198" s="49"/>
      <c r="CR198" s="272"/>
    </row>
    <row r="199" spans="1:96" ht="15" customHeight="1" x14ac:dyDescent="0.15">
      <c r="A199" s="271"/>
      <c r="B199" s="49"/>
      <c r="C199" s="49"/>
      <c r="D199" s="49" t="s">
        <v>246</v>
      </c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  <c r="BP199" s="49"/>
      <c r="BQ199" s="49"/>
      <c r="BR199" s="49"/>
      <c r="BS199" s="49"/>
      <c r="BT199" s="4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272"/>
    </row>
    <row r="200" spans="1:96" ht="15" customHeight="1" x14ac:dyDescent="0.15">
      <c r="A200" s="271"/>
      <c r="B200" s="49"/>
      <c r="C200" s="49" t="s">
        <v>256</v>
      </c>
      <c r="D200" s="49" t="s">
        <v>258</v>
      </c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272"/>
    </row>
    <row r="201" spans="1:96" ht="15" customHeight="1" x14ac:dyDescent="0.15">
      <c r="A201" s="271"/>
      <c r="B201" s="49"/>
      <c r="C201" s="49"/>
      <c r="D201" s="49" t="s">
        <v>246</v>
      </c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272"/>
    </row>
    <row r="202" spans="1:96" ht="15" customHeight="1" x14ac:dyDescent="0.15">
      <c r="A202" s="271"/>
      <c r="B202" s="49"/>
      <c r="C202" s="49" t="s">
        <v>257</v>
      </c>
      <c r="D202" s="49" t="s">
        <v>214</v>
      </c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272"/>
    </row>
    <row r="203" spans="1:96" ht="15" customHeight="1" x14ac:dyDescent="0.15">
      <c r="A203" s="271"/>
      <c r="B203" s="49"/>
      <c r="C203" s="49"/>
      <c r="D203" s="49" t="s">
        <v>246</v>
      </c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272"/>
    </row>
    <row r="204" spans="1:96" ht="15" customHeight="1" x14ac:dyDescent="0.15">
      <c r="A204" s="271"/>
      <c r="B204" s="49"/>
      <c r="C204" s="49" t="s">
        <v>259</v>
      </c>
      <c r="D204" s="49" t="s">
        <v>215</v>
      </c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272"/>
    </row>
    <row r="205" spans="1:96" ht="15" customHeight="1" x14ac:dyDescent="0.15">
      <c r="A205" s="271"/>
      <c r="B205" s="49"/>
      <c r="C205" s="49"/>
      <c r="D205" s="49" t="s">
        <v>246</v>
      </c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272"/>
    </row>
    <row r="206" spans="1:96" ht="15" customHeight="1" x14ac:dyDescent="0.15">
      <c r="A206" s="271"/>
      <c r="B206" s="49"/>
      <c r="C206" s="49" t="s">
        <v>265</v>
      </c>
      <c r="D206" s="49" t="s">
        <v>260</v>
      </c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272"/>
    </row>
    <row r="207" spans="1:96" ht="15" customHeight="1" x14ac:dyDescent="0.15">
      <c r="A207" s="271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272"/>
    </row>
    <row r="208" spans="1:96" ht="15" customHeight="1" x14ac:dyDescent="0.15">
      <c r="A208" s="271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272"/>
    </row>
    <row r="209" spans="1:96" ht="15" customHeight="1" x14ac:dyDescent="0.15">
      <c r="A209" s="271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272"/>
    </row>
    <row r="210" spans="1:96" ht="15" customHeight="1" x14ac:dyDescent="0.15">
      <c r="A210" s="271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49"/>
      <c r="BX210" s="49"/>
      <c r="BY210" s="49"/>
      <c r="BZ210" s="49"/>
      <c r="CA210" s="49"/>
      <c r="CB210" s="49"/>
      <c r="CC210" s="49"/>
      <c r="CD210" s="49"/>
      <c r="CE210" s="49"/>
      <c r="CF210" s="49"/>
      <c r="CG210" s="49"/>
      <c r="CH210" s="49"/>
      <c r="CI210" s="49"/>
      <c r="CJ210" s="49"/>
      <c r="CK210" s="49"/>
      <c r="CL210" s="49"/>
      <c r="CM210" s="49"/>
      <c r="CN210" s="49"/>
      <c r="CO210" s="49"/>
      <c r="CP210" s="49"/>
      <c r="CQ210" s="49"/>
      <c r="CR210" s="272"/>
    </row>
    <row r="211" spans="1:96" ht="15" customHeight="1" thickBot="1" x14ac:dyDescent="0.2">
      <c r="A211" s="25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8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9"/>
    </row>
  </sheetData>
  <mergeCells count="330">
    <mergeCell ref="CF158:CQ158"/>
    <mergeCell ref="CF159:CQ159"/>
    <mergeCell ref="CF160:CQ160"/>
    <mergeCell ref="CF161:CQ161"/>
    <mergeCell ref="CF162:CQ162"/>
    <mergeCell ref="CF163:CQ163"/>
    <mergeCell ref="CF164:CQ164"/>
    <mergeCell ref="CF149:CQ149"/>
    <mergeCell ref="CF150:CQ150"/>
    <mergeCell ref="CF151:CQ151"/>
    <mergeCell ref="CF152:CQ152"/>
    <mergeCell ref="CF153:CQ153"/>
    <mergeCell ref="CF154:CQ154"/>
    <mergeCell ref="CF155:CQ155"/>
    <mergeCell ref="CF156:CQ156"/>
    <mergeCell ref="CF157:CQ157"/>
    <mergeCell ref="CF140:CQ140"/>
    <mergeCell ref="CF141:CQ141"/>
    <mergeCell ref="CF142:CQ142"/>
    <mergeCell ref="CF143:CQ143"/>
    <mergeCell ref="CF144:CQ144"/>
    <mergeCell ref="CF145:CQ145"/>
    <mergeCell ref="CF146:CQ146"/>
    <mergeCell ref="CF147:CQ147"/>
    <mergeCell ref="CF148:CQ148"/>
    <mergeCell ref="CF131:CQ132"/>
    <mergeCell ref="CF133:CQ133"/>
    <mergeCell ref="CF134:CQ134"/>
    <mergeCell ref="CF135:CQ135"/>
    <mergeCell ref="CF136:CQ136"/>
    <mergeCell ref="CF137:CQ137"/>
    <mergeCell ref="CF138:CQ138"/>
    <mergeCell ref="CF139:CQ139"/>
    <mergeCell ref="B164:O164"/>
    <mergeCell ref="S164:AE164"/>
    <mergeCell ref="AF164:AR164"/>
    <mergeCell ref="AS164:BE164"/>
    <mergeCell ref="BF164:BR164"/>
    <mergeCell ref="BS164:CE164"/>
    <mergeCell ref="B119:O119"/>
    <mergeCell ref="B120:O120"/>
    <mergeCell ref="P118:AU120"/>
    <mergeCell ref="S161:AE161"/>
    <mergeCell ref="AF161:AR161"/>
    <mergeCell ref="AS161:BE161"/>
    <mergeCell ref="BF161:BR161"/>
    <mergeCell ref="BS161:CE161"/>
    <mergeCell ref="B160:O160"/>
    <mergeCell ref="S160:AE160"/>
    <mergeCell ref="AF160:AR160"/>
    <mergeCell ref="AS160:BE160"/>
    <mergeCell ref="BF160:BR160"/>
    <mergeCell ref="BS158:CE158"/>
    <mergeCell ref="B159:O159"/>
    <mergeCell ref="S159:AE159"/>
    <mergeCell ref="AF159:AR159"/>
    <mergeCell ref="AS159:BE159"/>
    <mergeCell ref="B117:O117"/>
    <mergeCell ref="B118:O118"/>
    <mergeCell ref="P115:AU117"/>
    <mergeCell ref="B115:O115"/>
    <mergeCell ref="B116:O116"/>
    <mergeCell ref="B113:O113"/>
    <mergeCell ref="B114:O114"/>
    <mergeCell ref="P113:AU113"/>
    <mergeCell ref="P114:AU114"/>
    <mergeCell ref="A89:CR89"/>
    <mergeCell ref="BS163:CE163"/>
    <mergeCell ref="B138:O138"/>
    <mergeCell ref="S138:AE138"/>
    <mergeCell ref="AF138:AR138"/>
    <mergeCell ref="AS138:BE138"/>
    <mergeCell ref="BF138:BR138"/>
    <mergeCell ref="BS138:CE138"/>
    <mergeCell ref="B148:O148"/>
    <mergeCell ref="S148:AE148"/>
    <mergeCell ref="AF148:AR148"/>
    <mergeCell ref="AS148:BE148"/>
    <mergeCell ref="BF148:BR148"/>
    <mergeCell ref="BS148:CE148"/>
    <mergeCell ref="B149:O149"/>
    <mergeCell ref="S149:AE149"/>
    <mergeCell ref="AF149:AR149"/>
    <mergeCell ref="B163:O163"/>
    <mergeCell ref="S163:AE163"/>
    <mergeCell ref="AF163:AR163"/>
    <mergeCell ref="AS163:BE163"/>
    <mergeCell ref="BF163:BR163"/>
    <mergeCell ref="BS160:CE160"/>
    <mergeCell ref="B161:O161"/>
    <mergeCell ref="BF159:BR159"/>
    <mergeCell ref="BS159:CE159"/>
    <mergeCell ref="B158:O158"/>
    <mergeCell ref="S158:AE158"/>
    <mergeCell ref="AF158:AR158"/>
    <mergeCell ref="AS158:BE158"/>
    <mergeCell ref="BF158:BR158"/>
    <mergeCell ref="BS156:CE156"/>
    <mergeCell ref="B157:O157"/>
    <mergeCell ref="S157:AE157"/>
    <mergeCell ref="AF157:AR157"/>
    <mergeCell ref="AS157:BE157"/>
    <mergeCell ref="BF157:BR157"/>
    <mergeCell ref="BS157:CE157"/>
    <mergeCell ref="B156:O156"/>
    <mergeCell ref="S156:AE156"/>
    <mergeCell ref="AF156:AR156"/>
    <mergeCell ref="AS156:BE156"/>
    <mergeCell ref="BF156:BR156"/>
    <mergeCell ref="BS154:CE154"/>
    <mergeCell ref="B155:O155"/>
    <mergeCell ref="S155:AE155"/>
    <mergeCell ref="AF155:AR155"/>
    <mergeCell ref="AS155:BE155"/>
    <mergeCell ref="BF155:BR155"/>
    <mergeCell ref="BS155:CE155"/>
    <mergeCell ref="B154:O154"/>
    <mergeCell ref="S154:AE154"/>
    <mergeCell ref="AF154:AR154"/>
    <mergeCell ref="AS154:BE154"/>
    <mergeCell ref="BF154:BR154"/>
    <mergeCell ref="BF153:BR153"/>
    <mergeCell ref="BS153:CE153"/>
    <mergeCell ref="B152:O152"/>
    <mergeCell ref="S152:AE152"/>
    <mergeCell ref="AF152:AR152"/>
    <mergeCell ref="AS152:BE152"/>
    <mergeCell ref="BF152:BR152"/>
    <mergeCell ref="B153:O153"/>
    <mergeCell ref="S153:AE153"/>
    <mergeCell ref="BS146:CE146"/>
    <mergeCell ref="B147:O147"/>
    <mergeCell ref="S147:AE147"/>
    <mergeCell ref="AF147:AR147"/>
    <mergeCell ref="AS147:BE147"/>
    <mergeCell ref="BF147:BR147"/>
    <mergeCell ref="BS147:CE147"/>
    <mergeCell ref="B146:O146"/>
    <mergeCell ref="S146:AE146"/>
    <mergeCell ref="AF146:AR146"/>
    <mergeCell ref="AS146:BE146"/>
    <mergeCell ref="BF146:BR146"/>
    <mergeCell ref="BS144:CE144"/>
    <mergeCell ref="B145:O145"/>
    <mergeCell ref="S145:AE145"/>
    <mergeCell ref="AF145:AR145"/>
    <mergeCell ref="AS145:BE145"/>
    <mergeCell ref="BF145:BR145"/>
    <mergeCell ref="BS145:CE145"/>
    <mergeCell ref="B144:O144"/>
    <mergeCell ref="S144:AE144"/>
    <mergeCell ref="AF144:AR144"/>
    <mergeCell ref="AS144:BE144"/>
    <mergeCell ref="BF144:BR144"/>
    <mergeCell ref="BS142:CE142"/>
    <mergeCell ref="B143:O143"/>
    <mergeCell ref="S143:AE143"/>
    <mergeCell ref="AF143:AR143"/>
    <mergeCell ref="AS143:BE143"/>
    <mergeCell ref="BF143:BR143"/>
    <mergeCell ref="BS143:CE143"/>
    <mergeCell ref="B142:O142"/>
    <mergeCell ref="S142:AE142"/>
    <mergeCell ref="AF142:AR142"/>
    <mergeCell ref="AS142:BE142"/>
    <mergeCell ref="BF142:BR142"/>
    <mergeCell ref="BS140:CE140"/>
    <mergeCell ref="B141:O141"/>
    <mergeCell ref="S141:AE141"/>
    <mergeCell ref="AF141:AR141"/>
    <mergeCell ref="AS141:BE141"/>
    <mergeCell ref="BF141:BR141"/>
    <mergeCell ref="BS141:CE141"/>
    <mergeCell ref="B140:O140"/>
    <mergeCell ref="S140:AE140"/>
    <mergeCell ref="AF140:AR140"/>
    <mergeCell ref="AS140:BE140"/>
    <mergeCell ref="BF140:BR140"/>
    <mergeCell ref="S136:AE136"/>
    <mergeCell ref="AF136:AR136"/>
    <mergeCell ref="AS136:BE136"/>
    <mergeCell ref="BF136:BR136"/>
    <mergeCell ref="BS136:CE136"/>
    <mergeCell ref="B135:O135"/>
    <mergeCell ref="S135:AE135"/>
    <mergeCell ref="AF135:AR135"/>
    <mergeCell ref="AS135:BE135"/>
    <mergeCell ref="BF135:BR135"/>
    <mergeCell ref="BS135:CE135"/>
    <mergeCell ref="B136:O136"/>
    <mergeCell ref="BS137:CE137"/>
    <mergeCell ref="B139:O139"/>
    <mergeCell ref="S139:AE139"/>
    <mergeCell ref="AF139:AR139"/>
    <mergeCell ref="AS139:BE139"/>
    <mergeCell ref="BF139:BR139"/>
    <mergeCell ref="BS139:CE139"/>
    <mergeCell ref="B137:O137"/>
    <mergeCell ref="S137:AE137"/>
    <mergeCell ref="AF137:AR137"/>
    <mergeCell ref="AS137:BE137"/>
    <mergeCell ref="BF137:BR137"/>
    <mergeCell ref="B162:O162"/>
    <mergeCell ref="S162:AE162"/>
    <mergeCell ref="AF162:AR162"/>
    <mergeCell ref="AS162:BE162"/>
    <mergeCell ref="BF162:BR162"/>
    <mergeCell ref="BS162:CE162"/>
    <mergeCell ref="AS149:BE149"/>
    <mergeCell ref="BF149:BR149"/>
    <mergeCell ref="BS149:CE149"/>
    <mergeCell ref="BS150:CE150"/>
    <mergeCell ref="B151:O151"/>
    <mergeCell ref="S151:AE151"/>
    <mergeCell ref="AF151:AR151"/>
    <mergeCell ref="AS151:BE151"/>
    <mergeCell ref="BF151:BR151"/>
    <mergeCell ref="BS151:CE151"/>
    <mergeCell ref="B150:O150"/>
    <mergeCell ref="S150:AE150"/>
    <mergeCell ref="AF150:AR150"/>
    <mergeCell ref="AS150:BE150"/>
    <mergeCell ref="BF150:BR150"/>
    <mergeCell ref="BS152:CE152"/>
    <mergeCell ref="AF153:AR153"/>
    <mergeCell ref="AS153:BE153"/>
    <mergeCell ref="BS131:CE132"/>
    <mergeCell ref="B131:O132"/>
    <mergeCell ref="S131:BR131"/>
    <mergeCell ref="S132:AE132"/>
    <mergeCell ref="AF132:AR132"/>
    <mergeCell ref="AS132:BE132"/>
    <mergeCell ref="BF132:BR132"/>
    <mergeCell ref="BS133:CE133"/>
    <mergeCell ref="B134:O134"/>
    <mergeCell ref="S134:AE134"/>
    <mergeCell ref="AF134:AR134"/>
    <mergeCell ref="AS134:BE134"/>
    <mergeCell ref="BF134:BR134"/>
    <mergeCell ref="BS134:CE134"/>
    <mergeCell ref="B133:O133"/>
    <mergeCell ref="S133:AE133"/>
    <mergeCell ref="AF133:AR133"/>
    <mergeCell ref="AS133:BE133"/>
    <mergeCell ref="BF133:BR133"/>
    <mergeCell ref="B110:E110"/>
    <mergeCell ref="U110:X110"/>
    <mergeCell ref="Y110:AB110"/>
    <mergeCell ref="AR110:AU110"/>
    <mergeCell ref="A128:CR128"/>
    <mergeCell ref="B101:E102"/>
    <mergeCell ref="F101:T102"/>
    <mergeCell ref="U101:X102"/>
    <mergeCell ref="Y101:AB102"/>
    <mergeCell ref="AC101:AQ102"/>
    <mergeCell ref="AR101:AU102"/>
    <mergeCell ref="B103:E103"/>
    <mergeCell ref="U103:X103"/>
    <mergeCell ref="Y103:AB103"/>
    <mergeCell ref="AR103:AU103"/>
    <mergeCell ref="B104:E104"/>
    <mergeCell ref="U104:X104"/>
    <mergeCell ref="B108:E108"/>
    <mergeCell ref="U108:X108"/>
    <mergeCell ref="Y108:AB108"/>
    <mergeCell ref="AR108:AU108"/>
    <mergeCell ref="B109:E109"/>
    <mergeCell ref="U109:X109"/>
    <mergeCell ref="Y109:AB109"/>
    <mergeCell ref="AR109:AU109"/>
    <mergeCell ref="B106:E106"/>
    <mergeCell ref="U106:X106"/>
    <mergeCell ref="Y106:AB106"/>
    <mergeCell ref="AR106:AU106"/>
    <mergeCell ref="B107:E107"/>
    <mergeCell ref="U107:X107"/>
    <mergeCell ref="Y107:AB107"/>
    <mergeCell ref="AR107:AU107"/>
    <mergeCell ref="Y104:AB104"/>
    <mergeCell ref="AR104:AU104"/>
    <mergeCell ref="B105:E105"/>
    <mergeCell ref="U105:X105"/>
    <mergeCell ref="Y105:AB105"/>
    <mergeCell ref="AR105:AU105"/>
    <mergeCell ref="B92:O92"/>
    <mergeCell ref="P92:AS92"/>
    <mergeCell ref="B93:O93"/>
    <mergeCell ref="P93:AS93"/>
    <mergeCell ref="B95:O96"/>
    <mergeCell ref="P95:AS96"/>
    <mergeCell ref="B97:O98"/>
    <mergeCell ref="P97:AS98"/>
    <mergeCell ref="B94:O94"/>
    <mergeCell ref="P94:AS94"/>
    <mergeCell ref="K53:S53"/>
    <mergeCell ref="T53:V53"/>
    <mergeCell ref="W53:AH53"/>
    <mergeCell ref="A47:CR47"/>
    <mergeCell ref="A5:CR5"/>
    <mergeCell ref="BT4:CR4"/>
    <mergeCell ref="A10:CR10"/>
    <mergeCell ref="A4:H4"/>
    <mergeCell ref="I4:AK4"/>
    <mergeCell ref="AL4:AR4"/>
    <mergeCell ref="AS4:BH4"/>
    <mergeCell ref="BI4:BS4"/>
    <mergeCell ref="A170:CR170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  <mergeCell ref="A3:H3"/>
    <mergeCell ref="I3:AD3"/>
    <mergeCell ref="AL3:BH3"/>
    <mergeCell ref="BI3:BL3"/>
    <mergeCell ref="BM3:CE3"/>
    <mergeCell ref="E58:M61"/>
    <mergeCell ref="E62:M69"/>
    <mergeCell ref="BW1:CE1"/>
  </mergeCells>
  <phoneticPr fontId="11"/>
  <pageMargins left="0.39370078740157483" right="0.16" top="0.78740157480314965" bottom="0.39370078740157483" header="0.59055118110236227" footer="0.19685039370078741"/>
  <pageSetup paperSize="9" scale="79" firstPageNumber="4" orientation="landscape" r:id="rId1"/>
  <headerFooter alignWithMargins="0">
    <oddFooter>&amp;C&amp;P　/　&amp;N&amp;R株式会社　京信システムサービス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タイトル</vt:lpstr>
      <vt:lpstr>改訂履歴</vt:lpstr>
      <vt:lpstr>機能概要・機能説明</vt:lpstr>
      <vt:lpstr>タイトル!Print_Area</vt:lpstr>
      <vt:lpstr>機能概要・機能説明!Print_Area</vt:lpstr>
      <vt:lpstr>改訂履歴!Print_Titles</vt:lpstr>
      <vt:lpstr>機能概要・機能説明!Print_Titles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川勝　恭子</dc:creator>
  <cp:lastModifiedBy>[協]木田 優</cp:lastModifiedBy>
  <cp:lastPrinted>2024-03-11T04:09:10Z</cp:lastPrinted>
  <dcterms:created xsi:type="dcterms:W3CDTF">2006-03-07T04:00:40Z</dcterms:created>
  <dcterms:modified xsi:type="dcterms:W3CDTF">2026-03-05T06:04:56Z</dcterms:modified>
</cp:coreProperties>
</file>
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Z:\#開発2\DUSK_同志社大学\DUSK3070同志社学生勤務管理システム\C000_基本設計\010_機能設計書\CZ_マスタ\"/>
    </mc:Choice>
  </mc:AlternateContent>
  <xr:revisionPtr revIDLastSave="0" documentId="13_ncr:1_{DCCB8B6D-D149-409D-9A06-B8959BF2B53C}" xr6:coauthVersionLast="47" xr6:coauthVersionMax="47" xr10:uidLastSave="{00000000-0000-0000-0000-000000000000}"/>
  <bookViews>
    <workbookView xWindow="3345" yWindow="1440" windowWidth="23310" windowHeight="12375" tabRatio="584" xr2:uid="{00000000-000D-0000-FFFF-FFFF00000000}"/>
  </bookViews>
  <sheets>
    <sheet name="タイトル" sheetId="266" r:id="rId1"/>
    <sheet name="改訂履歴" sheetId="6" r:id="rId2"/>
    <sheet name="機能概要・画面遷移図" sheetId="270" r:id="rId3"/>
    <sheet name="雇用情報マスタ" sheetId="271" r:id="rId4"/>
    <sheet name="雇用情報マスタ編集" sheetId="272" r:id="rId5"/>
    <sheet name="雇用情報マスタ取込" sheetId="273" r:id="rId6"/>
  </sheets>
  <definedNames>
    <definedName name="_Toc94971774" localSheetId="2">機能概要・画面遷移図!#REF!</definedName>
    <definedName name="_Toc94971775" localSheetId="2">機能概要・画面遷移図!#REF!</definedName>
    <definedName name="_xlnm.Print_Area" localSheetId="0">タイトル!$A$1:$AC$36</definedName>
    <definedName name="_xlnm.Print_Area" localSheetId="3">雇用情報マスタ!$A$1:$CR$219</definedName>
    <definedName name="_xlnm.Print_Area" localSheetId="5">雇用情報マスタ取込!$A$1:$CR$133</definedName>
    <definedName name="_xlnm.Print_Area" localSheetId="4">雇用情報マスタ編集!$A$1:$CR$219</definedName>
    <definedName name="_xlnm.Print_Titles" localSheetId="1">改訂履歴!$1:$4</definedName>
    <definedName name="_xlnm.Print_Titles" localSheetId="2">機能概要・画面遷移図!$1:$4</definedName>
    <definedName name="_xlnm.Print_Titles" localSheetId="3">雇用情報マスタ!$1:$4</definedName>
    <definedName name="_xlnm.Print_Titles" localSheetId="5">雇用情報マスタ取込!$1:$4</definedName>
    <definedName name="_xlnm.Print_Titles" localSheetId="4">雇用情報マスタ編集!$1:$4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 i="273" l="1"/>
  <c r="CK1" i="273"/>
  <c r="BW1" i="273"/>
  <c r="BM1" i="273"/>
  <c r="I1" i="273"/>
  <c r="CK1" i="270"/>
  <c r="CK1" i="271"/>
  <c r="CK1" i="272"/>
  <c r="I4" i="273"/>
  <c r="I4" i="272" l="1"/>
  <c r="AL2" i="272"/>
  <c r="BW1" i="272"/>
  <c r="BM1" i="272"/>
  <c r="I1" i="272"/>
  <c r="AL2" i="271" l="1"/>
  <c r="BW1" i="271"/>
  <c r="BM1" i="271"/>
  <c r="I1" i="271"/>
  <c r="I4" i="271"/>
  <c r="I51" i="266" l="1"/>
  <c r="AS4" i="270" l="1"/>
  <c r="I4" i="270"/>
  <c r="J5" i="6" l="1"/>
  <c r="I49" i="266" s="1"/>
  <c r="AL2" i="270" l="1"/>
  <c r="I2" i="270"/>
  <c r="BW1" i="270"/>
  <c r="BM1" i="270"/>
  <c r="AL1" i="270"/>
  <c r="I1" i="270"/>
  <c r="G11" i="266" l="1"/>
  <c r="G14" i="266"/>
  <c r="G17" i="266"/>
  <c r="G20" i="266"/>
  <c r="J27" i="266"/>
  <c r="J29" i="2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H3" authorId="0" shapeId="0" xr:uid="{00000000-0006-0000-0100-000001000000}">
      <text>
        <r>
          <rPr>
            <sz val="9"/>
            <color indexed="81"/>
            <rFont val="ＭＳ Ｐゴシック"/>
            <family val="3"/>
            <charset val="128"/>
          </rPr>
          <t>変更内容を簡潔に記述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200-000001000000}">
      <text>
        <r>
          <rPr>
            <sz val="9"/>
            <color indexed="81"/>
            <rFont val="ＭＳ Ｐゴシック"/>
            <family val="3"/>
            <charset val="128"/>
          </rPr>
          <t>人事システム
給与システム
システム基盤 等を書く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39D4F3FF-CFEA-4E0B-90B7-375D3904516F}">
      <text>
        <r>
          <rPr>
            <sz val="9"/>
            <color indexed="81"/>
            <rFont val="ＭＳ Ｐゴシック"/>
            <family val="3"/>
            <charset val="128"/>
          </rPr>
          <t>人事システム
給与システム
システム基盤 等を書く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90BEB0BA-36B1-4472-BEE2-EE1DE9D937C6}">
      <text>
        <r>
          <rPr>
            <sz val="9"/>
            <color indexed="81"/>
            <rFont val="ＭＳ Ｐゴシック"/>
            <family val="3"/>
            <charset val="128"/>
          </rPr>
          <t>人事システム
給与システム
システム基盤 等を書く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B0F05A8B-B7DF-418B-BF46-A0EA0157FB7B}">
      <text>
        <r>
          <rPr>
            <sz val="9"/>
            <color indexed="81"/>
            <rFont val="ＭＳ Ｐゴシック"/>
            <family val="3"/>
            <charset val="128"/>
          </rPr>
          <t>人事システム
給与システム
システム基盤 等を書く</t>
        </r>
      </text>
    </comment>
  </commentList>
</comments>
</file>

<file path=xl/sharedStrings.xml><?xml version="1.0" encoding="utf-8"?>
<sst xmlns="http://schemas.openxmlformats.org/spreadsheetml/2006/main" count="1454" uniqueCount="648">
  <si>
    <t>工　　　　程</t>
    <rPh sb="0" eb="1">
      <t>コウ</t>
    </rPh>
    <rPh sb="5" eb="6">
      <t>ホド</t>
    </rPh>
    <phoneticPr fontId="2"/>
  </si>
  <si>
    <t>システム名</t>
    <rPh sb="4" eb="5">
      <t>メイ</t>
    </rPh>
    <phoneticPr fontId="2"/>
  </si>
  <si>
    <t>改訂履歴</t>
    <rPh sb="0" eb="2">
      <t>カイテイ</t>
    </rPh>
    <rPh sb="2" eb="4">
      <t>リレキ</t>
    </rPh>
    <phoneticPr fontId="2"/>
  </si>
  <si>
    <t>区分</t>
    <rPh sb="0" eb="2">
      <t>クブン</t>
    </rPh>
    <phoneticPr fontId="2"/>
  </si>
  <si>
    <t>頁</t>
    <rPh sb="0" eb="1">
      <t>ページ</t>
    </rPh>
    <phoneticPr fontId="2"/>
  </si>
  <si>
    <t>新規／改訂日</t>
    <rPh sb="0" eb="2">
      <t>シンキ</t>
    </rPh>
    <rPh sb="3" eb="5">
      <t>カイテイ</t>
    </rPh>
    <rPh sb="5" eb="6">
      <t>ビ</t>
    </rPh>
    <phoneticPr fontId="2"/>
  </si>
  <si>
    <t>改訂箇所</t>
    <rPh sb="0" eb="2">
      <t>カイテイ</t>
    </rPh>
    <rPh sb="2" eb="4">
      <t>カショ</t>
    </rPh>
    <phoneticPr fontId="2"/>
  </si>
  <si>
    <t>改訂理由</t>
    <rPh sb="0" eb="2">
      <t>カイテイ</t>
    </rPh>
    <rPh sb="2" eb="4">
      <t>リユウ</t>
    </rPh>
    <phoneticPr fontId="2"/>
  </si>
  <si>
    <t>新規／改訂者</t>
    <rPh sb="0" eb="2">
      <t>シンキ</t>
    </rPh>
    <rPh sb="3" eb="5">
      <t>カイテイ</t>
    </rPh>
    <rPh sb="5" eb="6">
      <t>シャ</t>
    </rPh>
    <phoneticPr fontId="2"/>
  </si>
  <si>
    <t>　※ページ毎に個別入力</t>
    <rPh sb="5" eb="6">
      <t>ゴト</t>
    </rPh>
    <rPh sb="7" eb="9">
      <t>コベツ</t>
    </rPh>
    <rPh sb="9" eb="11">
      <t>ニュウリョク</t>
    </rPh>
    <phoneticPr fontId="2"/>
  </si>
  <si>
    <t>タイトル項目埋め込み内容</t>
    <rPh sb="4" eb="6">
      <t>コウモク</t>
    </rPh>
    <rPh sb="6" eb="7">
      <t>ウ</t>
    </rPh>
    <rPh sb="8" eb="9">
      <t>コ</t>
    </rPh>
    <rPh sb="10" eb="12">
      <t>ナイヨウ</t>
    </rPh>
    <phoneticPr fontId="2"/>
  </si>
  <si>
    <t>新規</t>
    <rPh sb="0" eb="2">
      <t>シンキ</t>
    </rPh>
    <phoneticPr fontId="2"/>
  </si>
  <si>
    <t>作　成</t>
    <rPh sb="0" eb="1">
      <t>サク</t>
    </rPh>
    <rPh sb="2" eb="3">
      <t>シゲル</t>
    </rPh>
    <phoneticPr fontId="2"/>
  </si>
  <si>
    <t>管理記号</t>
    <rPh sb="0" eb="2">
      <t>カンリ</t>
    </rPh>
    <rPh sb="2" eb="4">
      <t>キゴウ</t>
    </rPh>
    <phoneticPr fontId="2"/>
  </si>
  <si>
    <t>サブシステム名</t>
    <rPh sb="6" eb="7">
      <t>メイ</t>
    </rPh>
    <phoneticPr fontId="2"/>
  </si>
  <si>
    <t>改　訂</t>
    <rPh sb="0" eb="1">
      <t>アラタ</t>
    </rPh>
    <rPh sb="2" eb="3">
      <t>テイ</t>
    </rPh>
    <phoneticPr fontId="2"/>
  </si>
  <si>
    <t>No</t>
    <phoneticPr fontId="2"/>
  </si>
  <si>
    <t>Ver</t>
    <phoneticPr fontId="2"/>
  </si>
  <si>
    <t>新規作成</t>
    <rPh sb="0" eb="2">
      <t>シンキ</t>
    </rPh>
    <rPh sb="2" eb="4">
      <t>サクセイ</t>
    </rPh>
    <phoneticPr fontId="2"/>
  </si>
  <si>
    <t>見出し部タイトル制御テーブル</t>
    <rPh sb="0" eb="2">
      <t>ミダ</t>
    </rPh>
    <rPh sb="3" eb="4">
      <t>ブ</t>
    </rPh>
    <rPh sb="8" eb="10">
      <t>セイギョ</t>
    </rPh>
    <phoneticPr fontId="2"/>
  </si>
  <si>
    <t>タイトル項目</t>
    <rPh sb="4" eb="6">
      <t>コウモク</t>
    </rPh>
    <phoneticPr fontId="2"/>
  </si>
  <si>
    <t>　①システム名</t>
    <rPh sb="6" eb="7">
      <t>メイ</t>
    </rPh>
    <phoneticPr fontId="2"/>
  </si>
  <si>
    <t>　②サブシステム名</t>
    <rPh sb="8" eb="9">
      <t>メイ</t>
    </rPh>
    <phoneticPr fontId="2"/>
  </si>
  <si>
    <t>　③分類名</t>
    <rPh sb="2" eb="4">
      <t>ブンルイ</t>
    </rPh>
    <rPh sb="4" eb="5">
      <t>メイ</t>
    </rPh>
    <phoneticPr fontId="2"/>
  </si>
  <si>
    <t>　④作業工程名</t>
    <rPh sb="2" eb="4">
      <t>サギョウ</t>
    </rPh>
    <rPh sb="4" eb="6">
      <t>コウテイ</t>
    </rPh>
    <rPh sb="6" eb="7">
      <t>メイ</t>
    </rPh>
    <phoneticPr fontId="2"/>
  </si>
  <si>
    <t>　⑤ドキュメント代表名</t>
    <rPh sb="8" eb="10">
      <t>ダイヒョウ</t>
    </rPh>
    <rPh sb="10" eb="11">
      <t>メイ</t>
    </rPh>
    <phoneticPr fontId="2"/>
  </si>
  <si>
    <t>　⑥ドキュメント詳細名</t>
    <rPh sb="8" eb="10">
      <t>ショウサイ</t>
    </rPh>
    <rPh sb="10" eb="11">
      <t>メイ</t>
    </rPh>
    <phoneticPr fontId="2"/>
  </si>
  <si>
    <t>　⑦作成者</t>
    <rPh sb="2" eb="5">
      <t>サクセイシャ</t>
    </rPh>
    <phoneticPr fontId="2"/>
  </si>
  <si>
    <t>　⑧作成日</t>
    <rPh sb="2" eb="5">
      <t>サクセイビ</t>
    </rPh>
    <phoneticPr fontId="2"/>
  </si>
  <si>
    <t>　⑦改定者</t>
    <rPh sb="2" eb="4">
      <t>カイテイ</t>
    </rPh>
    <rPh sb="4" eb="5">
      <t>シャ</t>
    </rPh>
    <phoneticPr fontId="2"/>
  </si>
  <si>
    <t>　⑧改定日</t>
    <rPh sb="2" eb="4">
      <t>カイテイ</t>
    </rPh>
    <rPh sb="4" eb="5">
      <t>ビ</t>
    </rPh>
    <phoneticPr fontId="2"/>
  </si>
  <si>
    <t>　⑨管理記号</t>
    <rPh sb="2" eb="4">
      <t>カンリ</t>
    </rPh>
    <rPh sb="4" eb="6">
      <t>キゴウ</t>
    </rPh>
    <phoneticPr fontId="2"/>
  </si>
  <si>
    <t>ドキュメント</t>
    <phoneticPr fontId="2"/>
  </si>
  <si>
    <t xml:space="preserve">　 </t>
    <phoneticPr fontId="2"/>
  </si>
  <si>
    <t>　⑩Ｖｅｒ</t>
    <phoneticPr fontId="2"/>
  </si>
  <si>
    <t>　利用想定ユーザー</t>
    <rPh sb="1" eb="3">
      <t>リヨウ</t>
    </rPh>
    <rPh sb="3" eb="5">
      <t>ソウテイ</t>
    </rPh>
    <phoneticPr fontId="2"/>
  </si>
  <si>
    <t>　機能名称</t>
    <rPh sb="1" eb="3">
      <t>キノウ</t>
    </rPh>
    <rPh sb="3" eb="5">
      <t>メイショウ</t>
    </rPh>
    <phoneticPr fontId="2"/>
  </si>
  <si>
    <t>　機能ＩＤ</t>
    <rPh sb="1" eb="3">
      <t>キノウ</t>
    </rPh>
    <phoneticPr fontId="2"/>
  </si>
  <si>
    <t>　機能設計</t>
    <rPh sb="1" eb="3">
      <t>キノウ</t>
    </rPh>
    <rPh sb="3" eb="5">
      <t>セッケイ</t>
    </rPh>
    <phoneticPr fontId="2"/>
  </si>
  <si>
    <t>機　　能　　概　　要</t>
    <rPh sb="0" eb="1">
      <t>キ</t>
    </rPh>
    <rPh sb="3" eb="4">
      <t>ノウ</t>
    </rPh>
    <rPh sb="6" eb="7">
      <t>オオムネ</t>
    </rPh>
    <rPh sb="9" eb="10">
      <t>ヨウ</t>
    </rPh>
    <phoneticPr fontId="2"/>
  </si>
  <si>
    <t>画　　面　　遷　　移　　図</t>
    <rPh sb="0" eb="1">
      <t>ガ</t>
    </rPh>
    <rPh sb="3" eb="4">
      <t>メン</t>
    </rPh>
    <rPh sb="6" eb="7">
      <t>セン</t>
    </rPh>
    <rPh sb="9" eb="10">
      <t>ウツ</t>
    </rPh>
    <rPh sb="12" eb="13">
      <t>ズ</t>
    </rPh>
    <phoneticPr fontId="2"/>
  </si>
  <si>
    <t>　共通機能</t>
    <rPh sb="1" eb="3">
      <t>キョウツウ</t>
    </rPh>
    <rPh sb="3" eb="5">
      <t>キノウ</t>
    </rPh>
    <phoneticPr fontId="2"/>
  </si>
  <si>
    <t>○ホーム画面</t>
    <rPh sb="4" eb="6">
      <t>ガメン</t>
    </rPh>
    <phoneticPr fontId="2"/>
  </si>
  <si>
    <t>DUC010</t>
    <phoneticPr fontId="2"/>
  </si>
  <si>
    <t>　学生勤務管理システム</t>
    <rPh sb="1" eb="3">
      <t>ガクセイ</t>
    </rPh>
    <rPh sb="3" eb="5">
      <t>キンム</t>
    </rPh>
    <rPh sb="5" eb="7">
      <t>カンリ</t>
    </rPh>
    <phoneticPr fontId="2"/>
  </si>
  <si>
    <t>木田　優</t>
    <rPh sb="0" eb="2">
      <t>キダ</t>
    </rPh>
    <rPh sb="3" eb="4">
      <t>マサル</t>
    </rPh>
    <phoneticPr fontId="2"/>
  </si>
  <si>
    <t>木田　優</t>
    <rPh sb="0" eb="2">
      <t>キダ</t>
    </rPh>
    <rPh sb="3" eb="4">
      <t>マサル</t>
    </rPh>
    <phoneticPr fontId="2"/>
  </si>
  <si>
    <t>機能</t>
    <rPh sb="0" eb="2">
      <t>キノウ</t>
    </rPh>
    <phoneticPr fontId="2"/>
  </si>
  <si>
    <t>戻るボタン</t>
    <rPh sb="0" eb="1">
      <t>モド</t>
    </rPh>
    <phoneticPr fontId="11"/>
  </si>
  <si>
    <t>雇用情報マスタボタン</t>
    <rPh sb="0" eb="4">
      <t>コヨウジョウホウ</t>
    </rPh>
    <phoneticPr fontId="11"/>
  </si>
  <si>
    <t>○雇用情報マスタ画面</t>
    <rPh sb="1" eb="5">
      <t>コヨウジョウホウ</t>
    </rPh>
    <rPh sb="8" eb="10">
      <t>ガメン</t>
    </rPh>
    <phoneticPr fontId="2"/>
  </si>
  <si>
    <t>○雇用情報マスタ編集画面</t>
    <rPh sb="1" eb="5">
      <t>コヨウジョウホウ</t>
    </rPh>
    <rPh sb="8" eb="10">
      <t>ヘンシュウ</t>
    </rPh>
    <rPh sb="10" eb="12">
      <t>ガメン</t>
    </rPh>
    <phoneticPr fontId="2"/>
  </si>
  <si>
    <t>戻るボタン</t>
    <rPh sb="0" eb="1">
      <t>モド</t>
    </rPh>
    <phoneticPr fontId="11"/>
  </si>
  <si>
    <t>　管理者・担当者</t>
    <rPh sb="1" eb="4">
      <t>カンリシャ</t>
    </rPh>
    <rPh sb="5" eb="8">
      <t>タントウシャ</t>
    </rPh>
    <phoneticPr fontId="10"/>
  </si>
  <si>
    <t>　機能設計</t>
  </si>
  <si>
    <t>　共通機能</t>
  </si>
  <si>
    <t>　画面名称</t>
    <rPh sb="1" eb="3">
      <t>ガメン</t>
    </rPh>
    <rPh sb="3" eb="5">
      <t>メイショウ</t>
    </rPh>
    <phoneticPr fontId="2"/>
  </si>
  <si>
    <t>　画面ＩＤ</t>
    <rPh sb="1" eb="3">
      <t>ガメン</t>
    </rPh>
    <phoneticPr fontId="2"/>
  </si>
  <si>
    <t>画面レイアウト</t>
    <rPh sb="0" eb="2">
      <t>ガメン</t>
    </rPh>
    <phoneticPr fontId="2"/>
  </si>
  <si>
    <t>機能概要</t>
    <rPh sb="0" eb="2">
      <t>キノウ</t>
    </rPh>
    <rPh sb="2" eb="4">
      <t>ガイヨウ</t>
    </rPh>
    <phoneticPr fontId="2"/>
  </si>
  <si>
    <t>・</t>
    <phoneticPr fontId="10"/>
  </si>
  <si>
    <t>画面説明　（処理内容・アクション等）</t>
    <rPh sb="0" eb="2">
      <t>ガメン</t>
    </rPh>
    <rPh sb="2" eb="4">
      <t>セツメイ</t>
    </rPh>
    <rPh sb="6" eb="8">
      <t>ショリ</t>
    </rPh>
    <rPh sb="8" eb="10">
      <t>ナイヨウ</t>
    </rPh>
    <rPh sb="16" eb="17">
      <t>トウ</t>
    </rPh>
    <phoneticPr fontId="2"/>
  </si>
  <si>
    <t>・</t>
    <phoneticPr fontId="2"/>
  </si>
  <si>
    <t>表示する。</t>
    <rPh sb="0" eb="2">
      <t>ヒョウジ</t>
    </rPh>
    <phoneticPr fontId="2"/>
  </si>
  <si>
    <t>リストボックス</t>
    <phoneticPr fontId="2"/>
  </si>
  <si>
    <t>権限による画面制御</t>
    <rPh sb="0" eb="2">
      <t>ケンゲン</t>
    </rPh>
    <rPh sb="5" eb="7">
      <t>ガメン</t>
    </rPh>
    <rPh sb="7" eb="9">
      <t>セイギョ</t>
    </rPh>
    <phoneticPr fontId="10"/>
  </si>
  <si>
    <t>項目名</t>
    <rPh sb="0" eb="2">
      <t>コウモク</t>
    </rPh>
    <rPh sb="2" eb="3">
      <t>メイ</t>
    </rPh>
    <phoneticPr fontId="2"/>
  </si>
  <si>
    <t>内容</t>
    <rPh sb="0" eb="2">
      <t>ナイヨウ</t>
    </rPh>
    <phoneticPr fontId="10"/>
  </si>
  <si>
    <t>並び順</t>
    <rPh sb="0" eb="1">
      <t>ナラ</t>
    </rPh>
    <rPh sb="2" eb="3">
      <t>ジュン</t>
    </rPh>
    <phoneticPr fontId="10"/>
  </si>
  <si>
    <t>一覧の並び順</t>
    <rPh sb="0" eb="2">
      <t>イチラン</t>
    </rPh>
    <rPh sb="3" eb="4">
      <t>ナラ</t>
    </rPh>
    <rPh sb="5" eb="6">
      <t>ジュン</t>
    </rPh>
    <phoneticPr fontId="2"/>
  </si>
  <si>
    <t>表示する行を切り替える。</t>
    <rPh sb="0" eb="2">
      <t>ヒョウジ</t>
    </rPh>
    <rPh sb="4" eb="5">
      <t>ギョウ</t>
    </rPh>
    <rPh sb="6" eb="7">
      <t>キ</t>
    </rPh>
    <rPh sb="8" eb="9">
      <t>カ</t>
    </rPh>
    <phoneticPr fontId="2"/>
  </si>
  <si>
    <t>画　面　補　足　説　明</t>
    <rPh sb="0" eb="1">
      <t>ガ</t>
    </rPh>
    <rPh sb="2" eb="3">
      <t>メン</t>
    </rPh>
    <rPh sb="4" eb="5">
      <t>タスク</t>
    </rPh>
    <rPh sb="6" eb="7">
      <t>アシ</t>
    </rPh>
    <rPh sb="8" eb="9">
      <t>セツ</t>
    </rPh>
    <rPh sb="10" eb="11">
      <t>メイ</t>
    </rPh>
    <phoneticPr fontId="2"/>
  </si>
  <si>
    <t>職種</t>
    <rPh sb="0" eb="2">
      <t>ショクシュ</t>
    </rPh>
    <phoneticPr fontId="2"/>
  </si>
  <si>
    <t>雇用開始日、雇用終了日のカレンダーを押下すると、</t>
    <rPh sb="0" eb="2">
      <t>コヨウ</t>
    </rPh>
    <rPh sb="2" eb="5">
      <t>カイシビ</t>
    </rPh>
    <rPh sb="6" eb="8">
      <t>コヨウ</t>
    </rPh>
    <rPh sb="8" eb="11">
      <t>シュウリョウビ</t>
    </rPh>
    <rPh sb="18" eb="20">
      <t>オウカ</t>
    </rPh>
    <phoneticPr fontId="2"/>
  </si>
  <si>
    <t>カレンダーを表示する。</t>
  </si>
  <si>
    <t>雇用マスタ取込画面への遷移機能がある。</t>
    <rPh sb="0" eb="2">
      <t>コヨウ</t>
    </rPh>
    <rPh sb="5" eb="7">
      <t>トリコミ</t>
    </rPh>
    <rPh sb="7" eb="9">
      <t>ガメン</t>
    </rPh>
    <rPh sb="11" eb="13">
      <t>センイ</t>
    </rPh>
    <rPh sb="13" eb="15">
      <t>キノウ</t>
    </rPh>
    <phoneticPr fontId="2"/>
  </si>
  <si>
    <t>取込ファイルはファイルを取込んだ後に取り込んだファイル名を表示する。</t>
    <rPh sb="0" eb="2">
      <t>トリコミ</t>
    </rPh>
    <rPh sb="12" eb="14">
      <t>トリコ</t>
    </rPh>
    <rPh sb="16" eb="17">
      <t>アト</t>
    </rPh>
    <rPh sb="18" eb="19">
      <t>ト</t>
    </rPh>
    <rPh sb="20" eb="21">
      <t>コ</t>
    </rPh>
    <rPh sb="27" eb="28">
      <t>メイ</t>
    </rPh>
    <rPh sb="29" eb="31">
      <t>ヒョウジ</t>
    </rPh>
    <phoneticPr fontId="2"/>
  </si>
  <si>
    <t>実行結果には入力されていた件数と取込に成功し登録した件数を表示する。</t>
    <rPh sb="0" eb="2">
      <t>ジッコウ</t>
    </rPh>
    <rPh sb="2" eb="4">
      <t>ケッカ</t>
    </rPh>
    <rPh sb="6" eb="8">
      <t>ニュウリョク</t>
    </rPh>
    <rPh sb="13" eb="15">
      <t>ケンスウ</t>
    </rPh>
    <rPh sb="16" eb="18">
      <t>トリコミ</t>
    </rPh>
    <rPh sb="19" eb="21">
      <t>セイコウ</t>
    </rPh>
    <rPh sb="22" eb="24">
      <t>トウロク</t>
    </rPh>
    <rPh sb="26" eb="28">
      <t>ケンスウ</t>
    </rPh>
    <rPh sb="29" eb="31">
      <t>ヒョウジ</t>
    </rPh>
    <phoneticPr fontId="2"/>
  </si>
  <si>
    <t>雇用情報取込ボタン</t>
    <rPh sb="0" eb="2">
      <t>コヨウ</t>
    </rPh>
    <rPh sb="2" eb="4">
      <t>ジョウホウ</t>
    </rPh>
    <rPh sb="4" eb="6">
      <t>トリコミ</t>
    </rPh>
    <phoneticPr fontId="11"/>
  </si>
  <si>
    <t>　CZ-010_雇用情報マスタ</t>
    <rPh sb="8" eb="10">
      <t>コヨウ</t>
    </rPh>
    <rPh sb="10" eb="12">
      <t>ジョウホウ</t>
    </rPh>
    <phoneticPr fontId="2"/>
  </si>
  <si>
    <t>（CC-020-01G）</t>
    <phoneticPr fontId="2"/>
  </si>
  <si>
    <t>雇用情報を登録・編集・照会する時に使用する。</t>
    <rPh sb="0" eb="2">
      <t>コヨウ</t>
    </rPh>
    <rPh sb="2" eb="4">
      <t>ジョウホウ</t>
    </rPh>
    <rPh sb="5" eb="7">
      <t>トウロク</t>
    </rPh>
    <rPh sb="8" eb="10">
      <t>ヘンシュウ</t>
    </rPh>
    <rPh sb="11" eb="13">
      <t>ショウカイ</t>
    </rPh>
    <rPh sb="15" eb="16">
      <t>トキ</t>
    </rPh>
    <rPh sb="17" eb="19">
      <t>シヨウ</t>
    </rPh>
    <phoneticPr fontId="2"/>
  </si>
  <si>
    <t>選択ボタン</t>
    <rPh sb="0" eb="2">
      <t>センタク</t>
    </rPh>
    <phoneticPr fontId="11"/>
  </si>
  <si>
    <t>（CZ-010-01G）</t>
    <phoneticPr fontId="2"/>
  </si>
  <si>
    <t>（CZ-010-02G）</t>
    <phoneticPr fontId="2"/>
  </si>
  <si>
    <t>人事給与連携データ作成ボタン</t>
    <rPh sb="0" eb="2">
      <t>ジンジ</t>
    </rPh>
    <rPh sb="2" eb="4">
      <t>キュウヨ</t>
    </rPh>
    <rPh sb="4" eb="6">
      <t>レンケイ</t>
    </rPh>
    <rPh sb="9" eb="11">
      <t>サクセイ</t>
    </rPh>
    <phoneticPr fontId="11"/>
  </si>
  <si>
    <t>（CZ-010-03C）</t>
    <phoneticPr fontId="2"/>
  </si>
  <si>
    <t>　管理者、担当者</t>
    <rPh sb="1" eb="4">
      <t>カンリシャ</t>
    </rPh>
    <rPh sb="5" eb="8">
      <t>タントウシャ</t>
    </rPh>
    <phoneticPr fontId="10"/>
  </si>
  <si>
    <t>雇用情報ダウンロード</t>
    <rPh sb="0" eb="2">
      <t>コヨウ</t>
    </rPh>
    <rPh sb="2" eb="4">
      <t>ジョウホウ</t>
    </rPh>
    <phoneticPr fontId="11"/>
  </si>
  <si>
    <t>ボタン</t>
    <phoneticPr fontId="11"/>
  </si>
  <si>
    <t>（CZ-010-06E）</t>
    <phoneticPr fontId="2"/>
  </si>
  <si>
    <t>（CZ-010-04G）</t>
    <phoneticPr fontId="2"/>
  </si>
  <si>
    <t>EXCELを取り込み、雇用情報の一括登録（更新）をする時に使用する。</t>
    <rPh sb="6" eb="7">
      <t>ト</t>
    </rPh>
    <rPh sb="8" eb="9">
      <t>コ</t>
    </rPh>
    <rPh sb="11" eb="13">
      <t>コヨウ</t>
    </rPh>
    <rPh sb="13" eb="15">
      <t>ジョウホウ</t>
    </rPh>
    <rPh sb="16" eb="18">
      <t>イッカツ</t>
    </rPh>
    <rPh sb="18" eb="20">
      <t>トウロク</t>
    </rPh>
    <rPh sb="21" eb="23">
      <t>コウシン</t>
    </rPh>
    <rPh sb="27" eb="28">
      <t>トキ</t>
    </rPh>
    <rPh sb="29" eb="31">
      <t>シヨウ</t>
    </rPh>
    <phoneticPr fontId="11"/>
  </si>
  <si>
    <t>CZ-010-01G</t>
    <phoneticPr fontId="2"/>
  </si>
  <si>
    <t>照会した結果を人事給与連携データとしてＣＳＶ出力することができる。</t>
    <rPh sb="0" eb="2">
      <t>ショウカイ</t>
    </rPh>
    <rPh sb="4" eb="6">
      <t>ケッカ</t>
    </rPh>
    <rPh sb="7" eb="11">
      <t>ジンジキュウヨ</t>
    </rPh>
    <rPh sb="11" eb="13">
      <t>レンケイ</t>
    </rPh>
    <rPh sb="22" eb="24">
      <t>シュツリョク</t>
    </rPh>
    <phoneticPr fontId="2"/>
  </si>
  <si>
    <t>雇用情報を登録・照会・編集する時に使用する。</t>
    <rPh sb="0" eb="2">
      <t>コヨウ</t>
    </rPh>
    <rPh sb="2" eb="4">
      <t>ジョウホウ</t>
    </rPh>
    <rPh sb="5" eb="7">
      <t>トウロク</t>
    </rPh>
    <rPh sb="8" eb="10">
      <t>ショウカイ</t>
    </rPh>
    <rPh sb="11" eb="13">
      <t>ヘンシュウ</t>
    </rPh>
    <rPh sb="15" eb="16">
      <t>トキ</t>
    </rPh>
    <rPh sb="17" eb="19">
      <t>シヨウ</t>
    </rPh>
    <phoneticPr fontId="2"/>
  </si>
  <si>
    <t>検索結果の行は30行を最大とし、31行目以降はページング機能を使用して</t>
    <rPh sb="0" eb="2">
      <t>ケンサク</t>
    </rPh>
    <rPh sb="2" eb="4">
      <t>ケッカ</t>
    </rPh>
    <rPh sb="5" eb="6">
      <t>ギョウ</t>
    </rPh>
    <rPh sb="9" eb="10">
      <t>ギョウ</t>
    </rPh>
    <rPh sb="11" eb="13">
      <t>サイダイ</t>
    </rPh>
    <rPh sb="18" eb="20">
      <t>ギョウメ</t>
    </rPh>
    <rPh sb="20" eb="22">
      <t>イコウ</t>
    </rPh>
    <rPh sb="28" eb="30">
      <t>キノウ</t>
    </rPh>
    <rPh sb="31" eb="33">
      <t>シヨウ</t>
    </rPh>
    <phoneticPr fontId="2"/>
  </si>
  <si>
    <t>検索ボタンを押下すると、入力された検索条件を基に該当する雇用情報を</t>
    <rPh sb="0" eb="2">
      <t>ケンサク</t>
    </rPh>
    <rPh sb="6" eb="8">
      <t>オウカ</t>
    </rPh>
    <rPh sb="12" eb="14">
      <t>ニュウリョク</t>
    </rPh>
    <rPh sb="17" eb="19">
      <t>ケンサク</t>
    </rPh>
    <rPh sb="19" eb="21">
      <t>ジョウケン</t>
    </rPh>
    <rPh sb="22" eb="23">
      <t>モト</t>
    </rPh>
    <rPh sb="24" eb="26">
      <t>ガイトウ</t>
    </rPh>
    <rPh sb="28" eb="30">
      <t>コヨウ</t>
    </rPh>
    <rPh sb="30" eb="32">
      <t>ジョウホウ</t>
    </rPh>
    <phoneticPr fontId="2"/>
  </si>
  <si>
    <t>人事給与連携データ作成ボタンを押下すると、画面に表示されている</t>
    <rPh sb="0" eb="2">
      <t>ジンジ</t>
    </rPh>
    <rPh sb="2" eb="4">
      <t>キュウヨ</t>
    </rPh>
    <rPh sb="4" eb="6">
      <t>レンケイ</t>
    </rPh>
    <rPh sb="9" eb="11">
      <t>サクセイ</t>
    </rPh>
    <rPh sb="15" eb="17">
      <t>オウカ</t>
    </rPh>
    <rPh sb="21" eb="23">
      <t>ガメン</t>
    </rPh>
    <rPh sb="24" eb="26">
      <t>ヒョウジ</t>
    </rPh>
    <phoneticPr fontId="2"/>
  </si>
  <si>
    <t>全結果をＣＳＶ出力する。</t>
    <rPh sb="0" eb="12">
      <t>シュツリョク</t>
    </rPh>
    <phoneticPr fontId="2"/>
  </si>
  <si>
    <t>選択ボタンを押下すると、雇用情報マスタ編集画面を表示する。</t>
    <rPh sb="0" eb="2">
      <t>センタク</t>
    </rPh>
    <rPh sb="6" eb="8">
      <t>オウカ</t>
    </rPh>
    <rPh sb="12" eb="14">
      <t>コヨウ</t>
    </rPh>
    <rPh sb="14" eb="16">
      <t>ジョウホウ</t>
    </rPh>
    <rPh sb="19" eb="21">
      <t>ヘンシュウ</t>
    </rPh>
    <rPh sb="21" eb="23">
      <t>ガメン</t>
    </rPh>
    <rPh sb="24" eb="26">
      <t>ヒョウジ</t>
    </rPh>
    <phoneticPr fontId="2"/>
  </si>
  <si>
    <t>雇用情報取込ボタンを押下すると、雇用情報マスタ取込画面を表示する。</t>
    <rPh sb="0" eb="2">
      <t>コヨウ</t>
    </rPh>
    <rPh sb="2" eb="4">
      <t>ジョウホウ</t>
    </rPh>
    <rPh sb="4" eb="6">
      <t>トリコミ</t>
    </rPh>
    <rPh sb="10" eb="12">
      <t>オウカ</t>
    </rPh>
    <rPh sb="16" eb="18">
      <t>コヨウ</t>
    </rPh>
    <rPh sb="18" eb="20">
      <t>ジョウホウ</t>
    </rPh>
    <rPh sb="23" eb="25">
      <t>トリコミ</t>
    </rPh>
    <rPh sb="25" eb="27">
      <t>ガメン</t>
    </rPh>
    <rPh sb="28" eb="30">
      <t>ヒョウジ</t>
    </rPh>
    <phoneticPr fontId="2"/>
  </si>
  <si>
    <t>○雇用情報マスタ取込画面</t>
    <rPh sb="1" eb="3">
      <t>コヨウ</t>
    </rPh>
    <rPh sb="3" eb="5">
      <t>ジョウホウ</t>
    </rPh>
    <rPh sb="8" eb="10">
      <t>トリコミ</t>
    </rPh>
    <rPh sb="10" eb="12">
      <t>ガメン</t>
    </rPh>
    <phoneticPr fontId="2"/>
  </si>
  <si>
    <t>新規作成ボタンを押下すると、雇用情報マスタ編集画面を表示する。</t>
    <rPh sb="0" eb="2">
      <t>シンキ</t>
    </rPh>
    <rPh sb="2" eb="4">
      <t>サクセイ</t>
    </rPh>
    <rPh sb="8" eb="10">
      <t>オウカ</t>
    </rPh>
    <rPh sb="14" eb="16">
      <t>コヨウ</t>
    </rPh>
    <rPh sb="16" eb="18">
      <t>ジョウホウ</t>
    </rPh>
    <rPh sb="21" eb="23">
      <t>ヘンシュウ</t>
    </rPh>
    <rPh sb="23" eb="25">
      <t>ガメン</t>
    </rPh>
    <rPh sb="26" eb="28">
      <t>ヒョウジ</t>
    </rPh>
    <phoneticPr fontId="2"/>
  </si>
  <si>
    <t>or</t>
    <phoneticPr fontId="11"/>
  </si>
  <si>
    <t>新規作成ボタン</t>
    <rPh sb="0" eb="2">
      <t>シンキ</t>
    </rPh>
    <rPh sb="2" eb="4">
      <t>サクセイ</t>
    </rPh>
    <phoneticPr fontId="11"/>
  </si>
  <si>
    <t>雇用情報ダウンロードボタンを押下すると、画面に表示されている全結果を</t>
    <rPh sb="0" eb="2">
      <t>コヨウ</t>
    </rPh>
    <rPh sb="2" eb="4">
      <t>ジョウホウ</t>
    </rPh>
    <rPh sb="14" eb="16">
      <t>オウカ</t>
    </rPh>
    <rPh sb="20" eb="22">
      <t>ガメン</t>
    </rPh>
    <rPh sb="23" eb="25">
      <t>ヒョウジ</t>
    </rPh>
    <rPh sb="30" eb="31">
      <t>ゼン</t>
    </rPh>
    <rPh sb="31" eb="33">
      <t>ケッカ</t>
    </rPh>
    <phoneticPr fontId="2"/>
  </si>
  <si>
    <t>ＥＸＣＥＬダウンロードする。</t>
    <phoneticPr fontId="2"/>
  </si>
  <si>
    <t>CZ-010-02G</t>
    <phoneticPr fontId="2"/>
  </si>
  <si>
    <t>雇用情報を登録・編集・削除する時に使用する。</t>
    <rPh sb="0" eb="2">
      <t>コヨウ</t>
    </rPh>
    <rPh sb="2" eb="4">
      <t>ジョウホウ</t>
    </rPh>
    <rPh sb="5" eb="7">
      <t>トウロク</t>
    </rPh>
    <rPh sb="8" eb="10">
      <t>ヘンシュウ</t>
    </rPh>
    <rPh sb="11" eb="13">
      <t>サクジョ</t>
    </rPh>
    <rPh sb="15" eb="16">
      <t>トキ</t>
    </rPh>
    <rPh sb="17" eb="19">
      <t>シヨウ</t>
    </rPh>
    <phoneticPr fontId="2"/>
  </si>
  <si>
    <t>〇個別単価について</t>
    <rPh sb="1" eb="3">
      <t>コベツ</t>
    </rPh>
    <rPh sb="3" eb="5">
      <t>タンカ</t>
    </rPh>
    <phoneticPr fontId="2"/>
  </si>
  <si>
    <t>個別単価</t>
    <rPh sb="0" eb="2">
      <t>コベツ</t>
    </rPh>
    <rPh sb="2" eb="4">
      <t>タンカ</t>
    </rPh>
    <phoneticPr fontId="2"/>
  </si>
  <si>
    <t>非活性</t>
    <rPh sb="0" eb="1">
      <t>ヒ</t>
    </rPh>
    <rPh sb="1" eb="3">
      <t>カッセイ</t>
    </rPh>
    <phoneticPr fontId="2"/>
  </si>
  <si>
    <t>活性</t>
    <rPh sb="0" eb="2">
      <t>カッセイ</t>
    </rPh>
    <phoneticPr fontId="2"/>
  </si>
  <si>
    <t>〇</t>
    <phoneticPr fontId="2"/>
  </si>
  <si>
    <t>登録モード、編集モードの切替</t>
    <rPh sb="0" eb="2">
      <t>トウロク</t>
    </rPh>
    <rPh sb="6" eb="8">
      <t>ヘンシュウ</t>
    </rPh>
    <rPh sb="12" eb="14">
      <t>キリカエ</t>
    </rPh>
    <phoneticPr fontId="2"/>
  </si>
  <si>
    <t>雇用情報マスタ画面の新規作成ボタンを押下し、雇用情報編集画面を表示した場合は、登録モードとする。</t>
    <rPh sb="0" eb="2">
      <t>コヨウ</t>
    </rPh>
    <rPh sb="2" eb="4">
      <t>ジョウホウ</t>
    </rPh>
    <rPh sb="7" eb="9">
      <t>ガメン</t>
    </rPh>
    <rPh sb="10" eb="12">
      <t>シンキ</t>
    </rPh>
    <rPh sb="12" eb="14">
      <t>サクセイ</t>
    </rPh>
    <rPh sb="18" eb="20">
      <t>オウカ</t>
    </rPh>
    <rPh sb="22" eb="24">
      <t>コヨウ</t>
    </rPh>
    <rPh sb="24" eb="26">
      <t>ジョウホウ</t>
    </rPh>
    <rPh sb="26" eb="28">
      <t>ヘンシュウ</t>
    </rPh>
    <rPh sb="28" eb="30">
      <t>ガメン</t>
    </rPh>
    <rPh sb="31" eb="33">
      <t>ヒョウジ</t>
    </rPh>
    <rPh sb="35" eb="37">
      <t>バアイ</t>
    </rPh>
    <rPh sb="39" eb="41">
      <t>トウロク</t>
    </rPh>
    <phoneticPr fontId="2"/>
  </si>
  <si>
    <t>雇用情報マスタ画面の選択ボタンを押下し、雇用情報編集画面を表示した場合は、編集モードとする。</t>
    <rPh sb="0" eb="2">
      <t>コヨウ</t>
    </rPh>
    <rPh sb="2" eb="4">
      <t>ジョウホウ</t>
    </rPh>
    <rPh sb="7" eb="9">
      <t>ガメン</t>
    </rPh>
    <rPh sb="10" eb="12">
      <t>センタク</t>
    </rPh>
    <rPh sb="16" eb="18">
      <t>オウカ</t>
    </rPh>
    <rPh sb="20" eb="22">
      <t>コヨウ</t>
    </rPh>
    <rPh sb="22" eb="24">
      <t>ジョウホウ</t>
    </rPh>
    <rPh sb="24" eb="26">
      <t>ヘンシュウ</t>
    </rPh>
    <rPh sb="26" eb="28">
      <t>ガメン</t>
    </rPh>
    <rPh sb="29" eb="31">
      <t>ヒョウジ</t>
    </rPh>
    <rPh sb="33" eb="35">
      <t>バアイ</t>
    </rPh>
    <rPh sb="37" eb="39">
      <t>ヘンシュウ</t>
    </rPh>
    <phoneticPr fontId="2"/>
  </si>
  <si>
    <t>登録モード、編集モードではフッタ部のボタンの表示を変更する。</t>
    <rPh sb="0" eb="2">
      <t>トウロク</t>
    </rPh>
    <rPh sb="6" eb="8">
      <t>ヘンシュウ</t>
    </rPh>
    <rPh sb="16" eb="17">
      <t>ブ</t>
    </rPh>
    <rPh sb="22" eb="24">
      <t>ヒョウジ</t>
    </rPh>
    <rPh sb="25" eb="27">
      <t>ヘンコウ</t>
    </rPh>
    <phoneticPr fontId="2"/>
  </si>
  <si>
    <t>登録モード</t>
    <rPh sb="0" eb="2">
      <t>トウロク</t>
    </rPh>
    <phoneticPr fontId="2"/>
  </si>
  <si>
    <t>登録</t>
    <rPh sb="0" eb="2">
      <t>トウロク</t>
    </rPh>
    <phoneticPr fontId="2"/>
  </si>
  <si>
    <t>編集モード</t>
    <rPh sb="0" eb="2">
      <t>ヘンシュウ</t>
    </rPh>
    <phoneticPr fontId="2"/>
  </si>
  <si>
    <t>更新</t>
    <rPh sb="0" eb="2">
      <t>コウシン</t>
    </rPh>
    <phoneticPr fontId="2"/>
  </si>
  <si>
    <t>削除</t>
    <rPh sb="0" eb="2">
      <t>サクジョ</t>
    </rPh>
    <phoneticPr fontId="2"/>
  </si>
  <si>
    <t>（ガイダンス行）</t>
    <rPh sb="6" eb="7">
      <t>ギョウ</t>
    </rPh>
    <phoneticPr fontId="2"/>
  </si>
  <si>
    <t>雇用情報マスタの一括登録又は一括更新を行う時に使用する。</t>
    <rPh sb="0" eb="2">
      <t>コヨウ</t>
    </rPh>
    <rPh sb="2" eb="4">
      <t>ジョウホウ</t>
    </rPh>
    <rPh sb="8" eb="10">
      <t>イッカツ</t>
    </rPh>
    <rPh sb="10" eb="12">
      <t>トウロク</t>
    </rPh>
    <rPh sb="12" eb="13">
      <t>マタ</t>
    </rPh>
    <rPh sb="14" eb="16">
      <t>イッカツ</t>
    </rPh>
    <rPh sb="16" eb="18">
      <t>コウシン</t>
    </rPh>
    <rPh sb="19" eb="20">
      <t>オコナ</t>
    </rPh>
    <rPh sb="21" eb="22">
      <t>トキ</t>
    </rPh>
    <rPh sb="23" eb="25">
      <t>シヨウ</t>
    </rPh>
    <phoneticPr fontId="2"/>
  </si>
  <si>
    <t>○入力項目（検索条件）</t>
    <rPh sb="1" eb="3">
      <t>ニュウリョク</t>
    </rPh>
    <rPh sb="3" eb="5">
      <t>コウモク</t>
    </rPh>
    <rPh sb="6" eb="8">
      <t>ケンサク</t>
    </rPh>
    <rPh sb="8" eb="10">
      <t>ジョウケン</t>
    </rPh>
    <phoneticPr fontId="10"/>
  </si>
  <si>
    <t>項目名</t>
    <rPh sb="0" eb="2">
      <t>コウモク</t>
    </rPh>
    <rPh sb="2" eb="3">
      <t>メイ</t>
    </rPh>
    <phoneticPr fontId="10"/>
  </si>
  <si>
    <t>入力必須</t>
    <rPh sb="0" eb="2">
      <t>ニュウリョク</t>
    </rPh>
    <rPh sb="2" eb="4">
      <t>ヒッス</t>
    </rPh>
    <phoneticPr fontId="10"/>
  </si>
  <si>
    <t>桁数</t>
    <rPh sb="0" eb="2">
      <t>ケタスウ</t>
    </rPh>
    <phoneticPr fontId="10"/>
  </si>
  <si>
    <t>入力制限等</t>
    <rPh sb="0" eb="2">
      <t>ニュウリョク</t>
    </rPh>
    <rPh sb="2" eb="4">
      <t>セイゲン</t>
    </rPh>
    <rPh sb="4" eb="5">
      <t>トウ</t>
    </rPh>
    <phoneticPr fontId="10"/>
  </si>
  <si>
    <t>-</t>
    <phoneticPr fontId="10"/>
  </si>
  <si>
    <t>リストボックス</t>
    <phoneticPr fontId="10"/>
  </si>
  <si>
    <t>×</t>
    <phoneticPr fontId="10"/>
  </si>
  <si>
    <t>-</t>
    <phoneticPr fontId="2"/>
  </si>
  <si>
    <t>〇</t>
    <phoneticPr fontId="10"/>
  </si>
  <si>
    <t>学生ID</t>
    <rPh sb="0" eb="2">
      <t>ガクセイ</t>
    </rPh>
    <phoneticPr fontId="10"/>
  </si>
  <si>
    <t>学生氏名</t>
    <rPh sb="0" eb="2">
      <t>ガクセイ</t>
    </rPh>
    <rPh sb="2" eb="4">
      <t>シメイ</t>
    </rPh>
    <phoneticPr fontId="10"/>
  </si>
  <si>
    <t>前方一致検索</t>
    <rPh sb="0" eb="4">
      <t>ゼンポウイッチ</t>
    </rPh>
    <rPh sb="4" eb="6">
      <t>ケンサク</t>
    </rPh>
    <phoneticPr fontId="10"/>
  </si>
  <si>
    <t>職種</t>
    <rPh sb="0" eb="2">
      <t>ショクシュ</t>
    </rPh>
    <phoneticPr fontId="10"/>
  </si>
  <si>
    <t>雇用部課</t>
    <rPh sb="0" eb="2">
      <t>コヨウ</t>
    </rPh>
    <rPh sb="2" eb="4">
      <t>ブカ</t>
    </rPh>
    <phoneticPr fontId="10"/>
  </si>
  <si>
    <t>科目名</t>
    <rPh sb="0" eb="3">
      <t>カモクメイ</t>
    </rPh>
    <phoneticPr fontId="10"/>
  </si>
  <si>
    <t>開始年月日</t>
    <rPh sb="0" eb="2">
      <t>カイシ</t>
    </rPh>
    <rPh sb="2" eb="5">
      <t>ネンガッピ</t>
    </rPh>
    <phoneticPr fontId="2"/>
  </si>
  <si>
    <t>終了年月日</t>
    <rPh sb="0" eb="2">
      <t>シュウリョウ</t>
    </rPh>
    <rPh sb="2" eb="5">
      <t>ネンガッピ</t>
    </rPh>
    <phoneticPr fontId="2"/>
  </si>
  <si>
    <t>雇用終了日</t>
    <rPh sb="0" eb="2">
      <t>コヨウ</t>
    </rPh>
    <rPh sb="2" eb="5">
      <t>シュウリョウビ</t>
    </rPh>
    <phoneticPr fontId="2"/>
  </si>
  <si>
    <t>○リストボックス</t>
    <phoneticPr fontId="2"/>
  </si>
  <si>
    <t>▼</t>
    <phoneticPr fontId="2"/>
  </si>
  <si>
    <t>2023</t>
    <phoneticPr fontId="2"/>
  </si>
  <si>
    <t>2022</t>
    <phoneticPr fontId="2"/>
  </si>
  <si>
    <t>2021</t>
    <phoneticPr fontId="2"/>
  </si>
  <si>
    <t>【職種】</t>
    <rPh sb="1" eb="3">
      <t>ショクシュ</t>
    </rPh>
    <phoneticPr fontId="2"/>
  </si>
  <si>
    <t>職種</t>
    <rPh sb="0" eb="2">
      <t>ショクシュ</t>
    </rPh>
    <phoneticPr fontId="2"/>
  </si>
  <si>
    <t>TA</t>
    <phoneticPr fontId="2"/>
  </si>
  <si>
    <t>SA</t>
    <phoneticPr fontId="2"/>
  </si>
  <si>
    <t>RA</t>
    <phoneticPr fontId="2"/>
  </si>
  <si>
    <t>LA</t>
    <phoneticPr fontId="2"/>
  </si>
  <si>
    <t>留学生チューター</t>
    <rPh sb="0" eb="3">
      <t>リュウガクセイ</t>
    </rPh>
    <phoneticPr fontId="2"/>
  </si>
  <si>
    <t>西暦日付
開始年月日と終了年月日の両方が入力された場合、開始年月日＞終了年月日であればエラーにする。
※カレンダーを押下するとカレンダー画面が別ウィンドウで表示される。</t>
    <rPh sb="0" eb="2">
      <t>セイレキ</t>
    </rPh>
    <rPh sb="2" eb="4">
      <t>ヒヅケ</t>
    </rPh>
    <phoneticPr fontId="10"/>
  </si>
  <si>
    <t>○人事給与連携データフォーマット</t>
    <rPh sb="1" eb="7">
      <t>ジンジキュウヨレンケイ</t>
    </rPh>
    <phoneticPr fontId="10"/>
  </si>
  <si>
    <t>又、併せて複数身分ＩＤごとの単価一覧をＥＸＣＥＬ出力する。</t>
    <rPh sb="0" eb="1">
      <t>マタ</t>
    </rPh>
    <rPh sb="2" eb="3">
      <t>アワ</t>
    </rPh>
    <rPh sb="5" eb="9">
      <t>フクスウミブン</t>
    </rPh>
    <rPh sb="14" eb="16">
      <t>タンカ</t>
    </rPh>
    <rPh sb="16" eb="18">
      <t>イチラン</t>
    </rPh>
    <rPh sb="24" eb="26">
      <t>シュツリョク</t>
    </rPh>
    <phoneticPr fontId="2"/>
  </si>
  <si>
    <t>〇単価一覧フォーマット</t>
    <rPh sb="1" eb="3">
      <t>タンカ</t>
    </rPh>
    <rPh sb="3" eb="5">
      <t>イチラン</t>
    </rPh>
    <phoneticPr fontId="2"/>
  </si>
  <si>
    <t>備考</t>
    <rPh sb="0" eb="2">
      <t>ビコウ</t>
    </rPh>
    <phoneticPr fontId="10"/>
  </si>
  <si>
    <t>処理年</t>
    <rPh sb="0" eb="2">
      <t>ショリ</t>
    </rPh>
    <rPh sb="2" eb="3">
      <t>ネン</t>
    </rPh>
    <phoneticPr fontId="10"/>
  </si>
  <si>
    <t>処理月</t>
    <rPh sb="0" eb="2">
      <t>ショリ</t>
    </rPh>
    <rPh sb="2" eb="3">
      <t>ツキ</t>
    </rPh>
    <phoneticPr fontId="10"/>
  </si>
  <si>
    <t>処理回数</t>
    <rPh sb="0" eb="2">
      <t>ショリ</t>
    </rPh>
    <rPh sb="2" eb="4">
      <t>カイスウ</t>
    </rPh>
    <phoneticPr fontId="10"/>
  </si>
  <si>
    <t>処理区分</t>
    <rPh sb="0" eb="2">
      <t>ショリ</t>
    </rPh>
    <rPh sb="2" eb="4">
      <t>クブン</t>
    </rPh>
    <phoneticPr fontId="10"/>
  </si>
  <si>
    <t>10000 固定</t>
    <rPh sb="6" eb="8">
      <t>コテイ</t>
    </rPh>
    <phoneticPr fontId="10"/>
  </si>
  <si>
    <t>0 固定</t>
    <rPh sb="0" eb="1">
      <t>コテイ</t>
    </rPh>
    <phoneticPr fontId="10"/>
  </si>
  <si>
    <t>1 固定</t>
    <rPh sb="2" eb="4">
      <t>コテイ</t>
    </rPh>
    <phoneticPr fontId="10"/>
  </si>
  <si>
    <t>複数身分識別ＩＤ</t>
    <rPh sb="0" eb="4">
      <t>フクスウミブン</t>
    </rPh>
    <rPh sb="4" eb="6">
      <t>シキベツ</t>
    </rPh>
    <phoneticPr fontId="10"/>
  </si>
  <si>
    <t>項目ＩＤ</t>
    <rPh sb="0" eb="2">
      <t>コウモク</t>
    </rPh>
    <phoneticPr fontId="10"/>
  </si>
  <si>
    <t>金額</t>
    <rPh sb="0" eb="2">
      <t>キンガク</t>
    </rPh>
    <phoneticPr fontId="10"/>
  </si>
  <si>
    <t>終了処理年</t>
    <rPh sb="0" eb="2">
      <t>シュウリョウ</t>
    </rPh>
    <rPh sb="2" eb="4">
      <t>ショリ</t>
    </rPh>
    <rPh sb="4" eb="5">
      <t>ネン</t>
    </rPh>
    <phoneticPr fontId="10"/>
  </si>
  <si>
    <t>終了処理月</t>
    <rPh sb="0" eb="2">
      <t>シュウリョウ</t>
    </rPh>
    <rPh sb="2" eb="4">
      <t>ショリ</t>
    </rPh>
    <rPh sb="4" eb="5">
      <t>ツキ</t>
    </rPh>
    <phoneticPr fontId="10"/>
  </si>
  <si>
    <t>終了処理回数</t>
    <rPh sb="0" eb="2">
      <t>シュウリョウ</t>
    </rPh>
    <rPh sb="2" eb="4">
      <t>ショリ</t>
    </rPh>
    <rPh sb="4" eb="6">
      <t>カイスウ</t>
    </rPh>
    <phoneticPr fontId="10"/>
  </si>
  <si>
    <t>H012100 固定</t>
    <rPh sb="8" eb="10">
      <t>コテイ</t>
    </rPh>
    <phoneticPr fontId="10"/>
  </si>
  <si>
    <t>空白 固定</t>
    <rPh sb="0" eb="1">
      <t>クウハク</t>
    </rPh>
    <rPh sb="2" eb="4">
      <t>コテイ</t>
    </rPh>
    <phoneticPr fontId="10"/>
  </si>
  <si>
    <t>社員番号</t>
    <rPh sb="0" eb="2">
      <t>シャイン</t>
    </rPh>
    <rPh sb="2" eb="4">
      <t>バンゴウ</t>
    </rPh>
    <phoneticPr fontId="4"/>
  </si>
  <si>
    <t>職種</t>
    <rPh sb="0" eb="2">
      <t>ショクシュ</t>
    </rPh>
    <phoneticPr fontId="4"/>
  </si>
  <si>
    <t>科目名</t>
    <rPh sb="0" eb="3">
      <t>カモクメイ</t>
    </rPh>
    <phoneticPr fontId="4"/>
  </si>
  <si>
    <t>科目コード</t>
    <rPh sb="0" eb="2">
      <t>カモク</t>
    </rPh>
    <phoneticPr fontId="4"/>
  </si>
  <si>
    <t>予算区分</t>
    <rPh sb="0" eb="2">
      <t>ヨサン</t>
    </rPh>
    <rPh sb="2" eb="4">
      <t>クブン</t>
    </rPh>
    <phoneticPr fontId="4"/>
  </si>
  <si>
    <t>雇用年度</t>
    <rPh sb="0" eb="2">
      <t>コヨウ</t>
    </rPh>
    <rPh sb="2" eb="4">
      <t>ネンド</t>
    </rPh>
    <phoneticPr fontId="4"/>
  </si>
  <si>
    <t>業務コード</t>
    <rPh sb="0" eb="2">
      <t>ギョウム</t>
    </rPh>
    <phoneticPr fontId="4"/>
  </si>
  <si>
    <t>予算コード</t>
    <rPh sb="0" eb="2">
      <t>ヨサン</t>
    </rPh>
    <phoneticPr fontId="4"/>
  </si>
  <si>
    <t>配分先コード</t>
    <rPh sb="0" eb="2">
      <t>ハイブン</t>
    </rPh>
    <rPh sb="2" eb="3">
      <t>サキ</t>
    </rPh>
    <phoneticPr fontId="4"/>
  </si>
  <si>
    <t>複数身分ＩＤ</t>
    <rPh sb="0" eb="4">
      <t>フクスウミブン</t>
    </rPh>
    <phoneticPr fontId="4"/>
  </si>
  <si>
    <t>雇用情報通番</t>
    <rPh sb="0" eb="2">
      <t>コヨウ</t>
    </rPh>
    <rPh sb="2" eb="4">
      <t>ジョウホウ</t>
    </rPh>
    <rPh sb="4" eb="6">
      <t>ツウバン</t>
    </rPh>
    <phoneticPr fontId="2"/>
  </si>
  <si>
    <t>利用者の場合は学生ＩＤ</t>
    <rPh sb="0" eb="2">
      <t>リヨウシャ</t>
    </rPh>
    <rPh sb="3" eb="5">
      <t>バアイ</t>
    </rPh>
    <rPh sb="6" eb="8">
      <t>ガクセイ</t>
    </rPh>
    <phoneticPr fontId="2"/>
  </si>
  <si>
    <t>クラスコード</t>
    <phoneticPr fontId="4"/>
  </si>
  <si>
    <t>雇用開始日</t>
    <phoneticPr fontId="4"/>
  </si>
  <si>
    <t>雇用終了日</t>
    <phoneticPr fontId="4"/>
  </si>
  <si>
    <t>個別単価</t>
    <rPh sb="0" eb="2">
      <t>コベツ</t>
    </rPh>
    <rPh sb="2" eb="4">
      <t>タンカ</t>
    </rPh>
    <phoneticPr fontId="4"/>
  </si>
  <si>
    <t>雇用部課コード</t>
    <rPh sb="0" eb="2">
      <t>コヨウ</t>
    </rPh>
    <rPh sb="2" eb="4">
      <t>ブカ</t>
    </rPh>
    <phoneticPr fontId="4"/>
  </si>
  <si>
    <t>主担当教員コード</t>
    <rPh sb="0" eb="1">
      <t>シュ</t>
    </rPh>
    <rPh sb="1" eb="3">
      <t>タントウ</t>
    </rPh>
    <rPh sb="3" eb="5">
      <t>キョウイン</t>
    </rPh>
    <phoneticPr fontId="4"/>
  </si>
  <si>
    <t>※個別単価について</t>
    <rPh sb="1" eb="3">
      <t>コベツ</t>
    </rPh>
    <rPh sb="3" eb="5">
      <t>タンカ</t>
    </rPh>
    <phoneticPr fontId="2"/>
  </si>
  <si>
    <t>個別単価は職種毎に設定の可否を設定しているので、給与単価テーブルより設定可否</t>
    <rPh sb="0" eb="2">
      <t>コベツ</t>
    </rPh>
    <rPh sb="2" eb="4">
      <t>タンカ</t>
    </rPh>
    <rPh sb="5" eb="7">
      <t>ショクシュ</t>
    </rPh>
    <rPh sb="7" eb="8">
      <t>ゴト</t>
    </rPh>
    <rPh sb="9" eb="11">
      <t>セッテイ</t>
    </rPh>
    <rPh sb="12" eb="14">
      <t>カヒ</t>
    </rPh>
    <rPh sb="15" eb="17">
      <t>セッテイ</t>
    </rPh>
    <rPh sb="24" eb="26">
      <t>キュウヨ</t>
    </rPh>
    <rPh sb="26" eb="28">
      <t>タンカ</t>
    </rPh>
    <rPh sb="34" eb="36">
      <t>セッテイ</t>
    </rPh>
    <rPh sb="36" eb="38">
      <t>カヒ</t>
    </rPh>
    <phoneticPr fontId="2"/>
  </si>
  <si>
    <t>フラグを参照し、設定否になっている職種に対して、個別単価が指定されている場合</t>
    <rPh sb="4" eb="6">
      <t>サンショウ</t>
    </rPh>
    <rPh sb="8" eb="10">
      <t>セッテイ</t>
    </rPh>
    <rPh sb="10" eb="11">
      <t>イナ</t>
    </rPh>
    <rPh sb="17" eb="19">
      <t>ショクシュ</t>
    </rPh>
    <rPh sb="20" eb="21">
      <t>タイ</t>
    </rPh>
    <rPh sb="24" eb="26">
      <t>コベツ</t>
    </rPh>
    <rPh sb="26" eb="28">
      <t>タンカ</t>
    </rPh>
    <rPh sb="29" eb="31">
      <t>シテイ</t>
    </rPh>
    <rPh sb="36" eb="38">
      <t>バアイ</t>
    </rPh>
    <phoneticPr fontId="2"/>
  </si>
  <si>
    <t>取込みエラーとする。</t>
    <rPh sb="0" eb="2">
      <t>トリコ</t>
    </rPh>
    <phoneticPr fontId="2"/>
  </si>
  <si>
    <t>00：－、01：TA 学部、02：TA 大学院　・・・・・</t>
    <rPh sb="10" eb="12">
      <t>ガクブ</t>
    </rPh>
    <rPh sb="19" eb="22">
      <t>ダイガクイン</t>
    </rPh>
    <phoneticPr fontId="2"/>
  </si>
  <si>
    <t>101：法人事務室、102：監査室、103：募金課・・・・</t>
    <rPh sb="3" eb="5">
      <t>ホウジン</t>
    </rPh>
    <rPh sb="5" eb="8">
      <t>ジムシツ</t>
    </rPh>
    <rPh sb="13" eb="15">
      <t>カンサ</t>
    </rPh>
    <rPh sb="15" eb="16">
      <t>シツ</t>
    </rPh>
    <rPh sb="21" eb="23">
      <t>ボキン</t>
    </rPh>
    <rPh sb="23" eb="24">
      <t>カ</t>
    </rPh>
    <phoneticPr fontId="2"/>
  </si>
  <si>
    <t>新規の時は空白、変更の時は雇用情報ダウンロード時に出力されている番号のまま</t>
    <rPh sb="0" eb="1">
      <t>シンキ</t>
    </rPh>
    <rPh sb="2" eb="3">
      <t>トキ</t>
    </rPh>
    <rPh sb="4" eb="6">
      <t>クウハク</t>
    </rPh>
    <rPh sb="7" eb="9">
      <t>ヘンコウ</t>
    </rPh>
    <rPh sb="10" eb="11">
      <t>トキ</t>
    </rPh>
    <rPh sb="12" eb="14">
      <t>コヨウ</t>
    </rPh>
    <rPh sb="14" eb="16">
      <t>ジョウホウ</t>
    </rPh>
    <rPh sb="22" eb="23">
      <t>ジ</t>
    </rPh>
    <rPh sb="24" eb="26">
      <t>シュツリョク</t>
    </rPh>
    <rPh sb="31" eb="33">
      <t>バンゴウ</t>
    </rPh>
    <phoneticPr fontId="10"/>
  </si>
  <si>
    <t>○雇用情報データフォーマット</t>
    <rPh sb="1" eb="3">
      <t>コヨウ</t>
    </rPh>
    <rPh sb="3" eb="5">
      <t>ジョウホウ</t>
    </rPh>
    <phoneticPr fontId="10"/>
  </si>
  <si>
    <t>職員番号</t>
    <phoneticPr fontId="4"/>
  </si>
  <si>
    <t>複数身分識別ID</t>
    <phoneticPr fontId="4"/>
  </si>
  <si>
    <t>適用開始日</t>
    <phoneticPr fontId="4"/>
  </si>
  <si>
    <t>適用終了日</t>
    <phoneticPr fontId="4"/>
  </si>
  <si>
    <t>終了予定日</t>
    <phoneticPr fontId="4"/>
  </si>
  <si>
    <t>発令区分</t>
    <phoneticPr fontId="4"/>
  </si>
  <si>
    <t>決裁区分</t>
    <phoneticPr fontId="4"/>
  </si>
  <si>
    <t>決済番号</t>
    <phoneticPr fontId="4"/>
  </si>
  <si>
    <t>人事通達記載</t>
    <phoneticPr fontId="4"/>
  </si>
  <si>
    <t>経歴表記載</t>
    <phoneticPr fontId="4"/>
  </si>
  <si>
    <t>辞令発行</t>
    <phoneticPr fontId="4"/>
  </si>
  <si>
    <t>雇用体系</t>
    <phoneticPr fontId="4"/>
  </si>
  <si>
    <t>職員区分</t>
    <phoneticPr fontId="4"/>
  </si>
  <si>
    <t>所属組織コード</t>
    <phoneticPr fontId="4"/>
  </si>
  <si>
    <t>給与組織コード</t>
    <phoneticPr fontId="4"/>
  </si>
  <si>
    <t>会計組織コード</t>
    <phoneticPr fontId="4"/>
  </si>
  <si>
    <t>考課組織コード</t>
    <phoneticPr fontId="4"/>
  </si>
  <si>
    <t>役職コード</t>
    <phoneticPr fontId="4"/>
  </si>
  <si>
    <t>給与支給計算区分</t>
    <phoneticPr fontId="4"/>
  </si>
  <si>
    <t>時間外手当支給区分</t>
    <phoneticPr fontId="4"/>
  </si>
  <si>
    <t>給与年齢調整値</t>
    <phoneticPr fontId="4"/>
  </si>
  <si>
    <t>職能等級号俸</t>
    <phoneticPr fontId="4"/>
  </si>
  <si>
    <t>職務等級号俸</t>
    <phoneticPr fontId="4"/>
  </si>
  <si>
    <t>職務)コード</t>
    <phoneticPr fontId="4"/>
  </si>
  <si>
    <t>主身分ﾌﾗｸﾞ</t>
    <phoneticPr fontId="4"/>
  </si>
  <si>
    <t>人件費更新フラグ</t>
    <phoneticPr fontId="4"/>
  </si>
  <si>
    <t>主副区分</t>
    <phoneticPr fontId="4"/>
  </si>
  <si>
    <t>勤務場所</t>
    <phoneticPr fontId="4"/>
  </si>
  <si>
    <t>勤務場所名称</t>
    <phoneticPr fontId="4"/>
  </si>
  <si>
    <t>勤務場所電話番号</t>
    <phoneticPr fontId="4"/>
  </si>
  <si>
    <t>業務内容</t>
    <phoneticPr fontId="4"/>
  </si>
  <si>
    <t>始業時間</t>
    <phoneticPr fontId="4"/>
  </si>
  <si>
    <t>就業時間</t>
    <phoneticPr fontId="4"/>
  </si>
  <si>
    <t>休憩開始時刻１</t>
    <phoneticPr fontId="4"/>
  </si>
  <si>
    <t>休憩終了時刻１</t>
    <phoneticPr fontId="4"/>
  </si>
  <si>
    <t>休憩開始時刻２</t>
    <phoneticPr fontId="4"/>
  </si>
  <si>
    <t>休憩終了時刻２</t>
    <phoneticPr fontId="4"/>
  </si>
  <si>
    <t>休憩開始時刻３</t>
    <phoneticPr fontId="4"/>
  </si>
  <si>
    <t>休憩終了時刻３</t>
    <phoneticPr fontId="4"/>
  </si>
  <si>
    <t>休憩時間</t>
    <phoneticPr fontId="4"/>
  </si>
  <si>
    <t>日所定労働時間</t>
    <phoneticPr fontId="4"/>
  </si>
  <si>
    <t>週所定労働時間</t>
    <phoneticPr fontId="4"/>
  </si>
  <si>
    <t>月所定労働時間</t>
    <phoneticPr fontId="4"/>
  </si>
  <si>
    <t>所定労働日数</t>
    <phoneticPr fontId="4"/>
  </si>
  <si>
    <t>所定外労働の有無</t>
    <phoneticPr fontId="4"/>
  </si>
  <si>
    <t>所定外労働時間</t>
    <phoneticPr fontId="4"/>
  </si>
  <si>
    <t>休日労働の有無</t>
    <phoneticPr fontId="4"/>
  </si>
  <si>
    <t>休日労働日数</t>
    <phoneticPr fontId="4"/>
  </si>
  <si>
    <t>賃金締切日</t>
    <phoneticPr fontId="4"/>
  </si>
  <si>
    <t>賃金支払日</t>
    <phoneticPr fontId="4"/>
  </si>
  <si>
    <t>定例の休日</t>
    <phoneticPr fontId="4"/>
  </si>
  <si>
    <t>非定例の休日</t>
    <phoneticPr fontId="4"/>
  </si>
  <si>
    <t>勤続６か月未満の年休有無</t>
    <phoneticPr fontId="4"/>
  </si>
  <si>
    <t>退職届の提出期限</t>
    <phoneticPr fontId="4"/>
  </si>
  <si>
    <t>退職届の提出先</t>
    <phoneticPr fontId="4"/>
  </si>
  <si>
    <t>解雇の事由及び手続</t>
    <phoneticPr fontId="4"/>
  </si>
  <si>
    <t>任意項目コード１</t>
    <phoneticPr fontId="4"/>
  </si>
  <si>
    <t>任意項目コード２</t>
    <phoneticPr fontId="4"/>
  </si>
  <si>
    <t>任意項目コード３</t>
    <phoneticPr fontId="4"/>
  </si>
  <si>
    <t>任意項目コード４</t>
    <phoneticPr fontId="4"/>
  </si>
  <si>
    <t>任意項目コード５</t>
    <phoneticPr fontId="4"/>
  </si>
  <si>
    <t>任意項目コード６</t>
    <phoneticPr fontId="4"/>
  </si>
  <si>
    <t>任意項目コード７</t>
    <phoneticPr fontId="4"/>
  </si>
  <si>
    <t>任意項目コード８</t>
    <phoneticPr fontId="4"/>
  </si>
  <si>
    <t>任意項目コード９</t>
    <phoneticPr fontId="4"/>
  </si>
  <si>
    <t>任意項目コード１０</t>
    <phoneticPr fontId="4"/>
  </si>
  <si>
    <t>○雇用情報ダウンロードフォーマット</t>
    <rPh sb="1" eb="3">
      <t>コヨウ</t>
    </rPh>
    <rPh sb="3" eb="5">
      <t>ジョウホウ</t>
    </rPh>
    <phoneticPr fontId="10"/>
  </si>
  <si>
    <t>雇用情報通番</t>
    <rPh sb="0" eb="2">
      <t>コヨウ</t>
    </rPh>
    <rPh sb="2" eb="4">
      <t>ジョウホウ</t>
    </rPh>
    <rPh sb="4" eb="6">
      <t>ツウバン</t>
    </rPh>
    <phoneticPr fontId="4"/>
  </si>
  <si>
    <t>1：ＴＡ、2：ＳＡ、3：ＲＡ、4：ＬＡ・・・・・</t>
    <phoneticPr fontId="2"/>
  </si>
  <si>
    <t>社員番号</t>
    <rPh sb="0" eb="1">
      <t>シャイン</t>
    </rPh>
    <rPh sb="1" eb="3">
      <t>バンゴウ</t>
    </rPh>
    <phoneticPr fontId="2"/>
  </si>
  <si>
    <t>複数身分ＩＤ</t>
    <rPh sb="0" eb="3">
      <t>フクスウミブン</t>
    </rPh>
    <phoneticPr fontId="2"/>
  </si>
  <si>
    <t>雇用開始日</t>
    <rPh sb="0" eb="1">
      <t>コヨウ</t>
    </rPh>
    <rPh sb="1" eb="4">
      <t>カイシビ</t>
    </rPh>
    <phoneticPr fontId="2"/>
  </si>
  <si>
    <t>雇用終了日</t>
    <rPh sb="0" eb="1">
      <t>コヨウ</t>
    </rPh>
    <rPh sb="1" eb="4">
      <t>シュウリョウビ</t>
    </rPh>
    <phoneticPr fontId="2"/>
  </si>
  <si>
    <t>0009000　固定</t>
    <rPh sb="7" eb="9">
      <t>コテイ</t>
    </rPh>
    <phoneticPr fontId="2"/>
  </si>
  <si>
    <t>9999/12/31　固定</t>
    <rPh sb="11" eb="13">
      <t>コテイ</t>
    </rPh>
    <phoneticPr fontId="2"/>
  </si>
  <si>
    <t>3　固定</t>
    <rPh sb="1" eb="3">
      <t>コテイ</t>
    </rPh>
    <phoneticPr fontId="2"/>
  </si>
  <si>
    <t>空白　固定</t>
    <rPh sb="0" eb="1">
      <t>クウハク</t>
    </rPh>
    <rPh sb="2" eb="4">
      <t>コテイ</t>
    </rPh>
    <phoneticPr fontId="2"/>
  </si>
  <si>
    <t>1　固定</t>
    <rPh sb="1" eb="3">
      <t>コテイ</t>
    </rPh>
    <phoneticPr fontId="2"/>
  </si>
  <si>
    <t>03　固定</t>
    <rPh sb="2" eb="4">
      <t>コテイ</t>
    </rPh>
    <phoneticPr fontId="2"/>
  </si>
  <si>
    <t>2　固定</t>
    <rPh sb="1" eb="3">
      <t>コテイ</t>
    </rPh>
    <phoneticPr fontId="2"/>
  </si>
  <si>
    <t>予算コード　なければ、同上</t>
    <rPh sb="0" eb="1">
      <t>ヨサン</t>
    </rPh>
    <rPh sb="10" eb="12">
      <t>ドウジョウ</t>
    </rPh>
    <phoneticPr fontId="2"/>
  </si>
  <si>
    <t>99000　固定</t>
    <rPh sb="5" eb="7">
      <t>コテイ</t>
    </rPh>
    <phoneticPr fontId="2"/>
  </si>
  <si>
    <t>50　固定</t>
    <rPh sb="2" eb="4">
      <t>コテイ</t>
    </rPh>
    <phoneticPr fontId="2"/>
  </si>
  <si>
    <t>※固定行の背景書を灰色に設定</t>
    <rPh sb="1" eb="3">
      <t>コテイ</t>
    </rPh>
    <rPh sb="3" eb="4">
      <t>ギョウ</t>
    </rPh>
    <rPh sb="5" eb="7">
      <t>ハイケイ</t>
    </rPh>
    <rPh sb="7" eb="8">
      <t>ショ</t>
    </rPh>
    <rPh sb="9" eb="11">
      <t>ハイイロ</t>
    </rPh>
    <rPh sb="12" eb="14">
      <t>セッテイ</t>
    </rPh>
    <phoneticPr fontId="2"/>
  </si>
  <si>
    <t>0　固定</t>
    <rPh sb="1" eb="3">
      <t>コテイ</t>
    </rPh>
    <phoneticPr fontId="2"/>
  </si>
  <si>
    <t>02　固定</t>
    <rPh sb="2" eb="4">
      <t>コテイ</t>
    </rPh>
    <phoneticPr fontId="2"/>
  </si>
  <si>
    <t>○入力項目</t>
    <rPh sb="1" eb="3">
      <t>ニュウリョク</t>
    </rPh>
    <rPh sb="3" eb="5">
      <t>コウモク</t>
    </rPh>
    <phoneticPr fontId="10"/>
  </si>
  <si>
    <t>雇用情報ＩＤ</t>
    <rPh sb="0" eb="2">
      <t>コヨウ</t>
    </rPh>
    <rPh sb="2" eb="4">
      <t>ジョウホウ</t>
    </rPh>
    <phoneticPr fontId="10"/>
  </si>
  <si>
    <t>表示項目</t>
    <rPh sb="0" eb="2">
      <t>ヒョウジ</t>
    </rPh>
    <rPh sb="2" eb="4">
      <t>コウモク</t>
    </rPh>
    <phoneticPr fontId="2"/>
  </si>
  <si>
    <t>クラスコード</t>
    <phoneticPr fontId="10"/>
  </si>
  <si>
    <t>科目コード</t>
    <rPh sb="0" eb="2">
      <t>カモク</t>
    </rPh>
    <phoneticPr fontId="10"/>
  </si>
  <si>
    <t>教員</t>
    <rPh sb="0" eb="2">
      <t>キョウイン</t>
    </rPh>
    <phoneticPr fontId="10"/>
  </si>
  <si>
    <t>雇用開始日</t>
    <rPh sb="0" eb="2">
      <t>コヨウ</t>
    </rPh>
    <rPh sb="2" eb="5">
      <t>カイシビ</t>
    </rPh>
    <phoneticPr fontId="10"/>
  </si>
  <si>
    <t>個別単価</t>
    <rPh sb="0" eb="2">
      <t>コベツ</t>
    </rPh>
    <rPh sb="2" eb="4">
      <t>タンカ</t>
    </rPh>
    <phoneticPr fontId="10"/>
  </si>
  <si>
    <t>複数身分ＩＤ</t>
    <rPh sb="0" eb="4">
      <t>フクスウミブン</t>
    </rPh>
    <phoneticPr fontId="10"/>
  </si>
  <si>
    <t>配分先コード</t>
    <rPh sb="0" eb="3">
      <t>ハイブンサキ</t>
    </rPh>
    <phoneticPr fontId="10"/>
  </si>
  <si>
    <t>予算コード</t>
    <rPh sb="0" eb="2">
      <t>ヨサン</t>
    </rPh>
    <phoneticPr fontId="10"/>
  </si>
  <si>
    <t>業務コード</t>
    <rPh sb="0" eb="2">
      <t>ギョウム</t>
    </rPh>
    <phoneticPr fontId="10"/>
  </si>
  <si>
    <t>予算区分</t>
    <rPh sb="0" eb="2">
      <t>ヨサン</t>
    </rPh>
    <rPh sb="2" eb="4">
      <t>クブン</t>
    </rPh>
    <phoneticPr fontId="10"/>
  </si>
  <si>
    <t>雇用終了日</t>
    <rPh sb="0" eb="2">
      <t>コヨウ</t>
    </rPh>
    <rPh sb="2" eb="5">
      <t>シュウリョウビ</t>
    </rPh>
    <phoneticPr fontId="2"/>
  </si>
  <si>
    <t>雇用年度</t>
    <rPh sb="0" eb="2">
      <t>コヨウ</t>
    </rPh>
    <rPh sb="2" eb="4">
      <t>ネンド</t>
    </rPh>
    <phoneticPr fontId="2"/>
  </si>
  <si>
    <t>新規作成：登録時に採番するので空白を表示
編集：登録されている雇用情報ＩＤを表示</t>
    <rPh sb="0" eb="2">
      <t>シンキ</t>
    </rPh>
    <rPh sb="2" eb="4">
      <t>サクセイ</t>
    </rPh>
    <rPh sb="5" eb="7">
      <t>トウロク</t>
    </rPh>
    <rPh sb="7" eb="8">
      <t>ジ</t>
    </rPh>
    <rPh sb="9" eb="11">
      <t>サイバン</t>
    </rPh>
    <rPh sb="15" eb="17">
      <t>クウハク</t>
    </rPh>
    <rPh sb="18" eb="20">
      <t>ヒョウジ</t>
    </rPh>
    <rPh sb="21" eb="23">
      <t>ヘンシュウ</t>
    </rPh>
    <rPh sb="24" eb="26">
      <t>トウロク</t>
    </rPh>
    <rPh sb="31" eb="35">
      <t>コヨウジョウホウ</t>
    </rPh>
    <rPh sb="38" eb="40">
      <t>ヒョウジ</t>
    </rPh>
    <phoneticPr fontId="10"/>
  </si>
  <si>
    <t>新規作成：登録時に付与するので空白を表示
編集：登録されている複数身分ＩＤを表示</t>
    <rPh sb="0" eb="2">
      <t>シンキ</t>
    </rPh>
    <rPh sb="2" eb="4">
      <t>サクセイ</t>
    </rPh>
    <rPh sb="5" eb="7">
      <t>トウロク</t>
    </rPh>
    <rPh sb="7" eb="8">
      <t>ジ</t>
    </rPh>
    <rPh sb="9" eb="11">
      <t>フヨ</t>
    </rPh>
    <rPh sb="15" eb="17">
      <t>クウハク</t>
    </rPh>
    <rPh sb="18" eb="20">
      <t>ヒョウジ</t>
    </rPh>
    <rPh sb="21" eb="23">
      <t>ヘンシュウ</t>
    </rPh>
    <rPh sb="24" eb="26">
      <t>トウロク</t>
    </rPh>
    <rPh sb="31" eb="35">
      <t>フクスウミブン</t>
    </rPh>
    <rPh sb="38" eb="40">
      <t>ヒョウジ</t>
    </rPh>
    <phoneticPr fontId="2"/>
  </si>
  <si>
    <t>学生検索ボタンを押下すると、社員選択ポップアップを表示する。</t>
    <rPh sb="0" eb="2">
      <t>ガクセイ</t>
    </rPh>
    <rPh sb="2" eb="4">
      <t>ケンサク</t>
    </rPh>
    <rPh sb="14" eb="16">
      <t>シャイン</t>
    </rPh>
    <rPh sb="16" eb="18">
      <t>センタク</t>
    </rPh>
    <rPh sb="25" eb="27">
      <t>ヒョウジ</t>
    </rPh>
    <phoneticPr fontId="2"/>
  </si>
  <si>
    <t>科目検索ボタンを押下すると、科目選択ポップアップを表示する。</t>
    <rPh sb="0" eb="2">
      <t>カモク</t>
    </rPh>
    <rPh sb="2" eb="4">
      <t>ケンサク</t>
    </rPh>
    <rPh sb="14" eb="16">
      <t>カモク</t>
    </rPh>
    <rPh sb="16" eb="18">
      <t>センタク</t>
    </rPh>
    <rPh sb="25" eb="27">
      <t>ヒョウジ</t>
    </rPh>
    <phoneticPr fontId="2"/>
  </si>
  <si>
    <t>半角数字、前方一致検索</t>
    <rPh sb="0" eb="2">
      <t>ハンカク</t>
    </rPh>
    <rPh sb="2" eb="4">
      <t>スウジ</t>
    </rPh>
    <rPh sb="5" eb="9">
      <t>ゼンポウイッチ</t>
    </rPh>
    <rPh sb="9" eb="11">
      <t>ケンサク</t>
    </rPh>
    <phoneticPr fontId="10"/>
  </si>
  <si>
    <t>半角数字</t>
    <rPh sb="0" eb="4">
      <t>ハンカクスウジ</t>
    </rPh>
    <phoneticPr fontId="10"/>
  </si>
  <si>
    <t>CZ-010-04G</t>
    <phoneticPr fontId="2"/>
  </si>
  <si>
    <t>※取り込む際にバリデーションチェックを行い、エラーがあれば</t>
    <rPh sb="1" eb="2">
      <t>ト</t>
    </rPh>
    <rPh sb="3" eb="4">
      <t>コ</t>
    </rPh>
    <rPh sb="5" eb="6">
      <t>サイ</t>
    </rPh>
    <rPh sb="19" eb="20">
      <t>オコナ</t>
    </rPh>
    <phoneticPr fontId="2"/>
  </si>
  <si>
    <t>取り込みを中止する。</t>
    <rPh sb="0" eb="1">
      <t>ト</t>
    </rPh>
    <rPh sb="2" eb="3">
      <t>コ</t>
    </rPh>
    <rPh sb="5" eb="7">
      <t>チュウシ</t>
    </rPh>
    <phoneticPr fontId="2"/>
  </si>
  <si>
    <t>アップロードボタンを押下すると、指定されたファイルを取り込む。</t>
    <rPh sb="10" eb="12">
      <t>オウカ</t>
    </rPh>
    <rPh sb="16" eb="18">
      <t>シテイ</t>
    </rPh>
    <rPh sb="26" eb="27">
      <t>ト</t>
    </rPh>
    <rPh sb="28" eb="29">
      <t>コ</t>
    </rPh>
    <phoneticPr fontId="2"/>
  </si>
  <si>
    <t>職種によって、必須項目が変動する。</t>
    <rPh sb="0" eb="2">
      <t>ショクシュ</t>
    </rPh>
    <rPh sb="7" eb="9">
      <t>ヒッス</t>
    </rPh>
    <rPh sb="9" eb="11">
      <t>コウモク</t>
    </rPh>
    <rPh sb="12" eb="14">
      <t>ヘンドウ</t>
    </rPh>
    <phoneticPr fontId="2"/>
  </si>
  <si>
    <t>※画面補足説明参照</t>
    <rPh sb="1" eb="3">
      <t>ガメン</t>
    </rPh>
    <rPh sb="3" eb="5">
      <t>ホソク</t>
    </rPh>
    <rPh sb="5" eb="7">
      <t>セツメイ</t>
    </rPh>
    <rPh sb="7" eb="9">
      <t>サンショウ</t>
    </rPh>
    <phoneticPr fontId="2"/>
  </si>
  <si>
    <t>職種：TA・SA</t>
    <rPh sb="0" eb="2">
      <t>ショクシュ</t>
    </rPh>
    <phoneticPr fontId="2"/>
  </si>
  <si>
    <t>社員選択ポップアップより教員を選択</t>
    <rPh sb="0" eb="4">
      <t>シャインセンタク</t>
    </rPh>
    <rPh sb="12" eb="14">
      <t>キョウイン</t>
    </rPh>
    <rPh sb="15" eb="17">
      <t>センタク</t>
    </rPh>
    <phoneticPr fontId="10"/>
  </si>
  <si>
    <t>固定値　―（00）</t>
    <rPh sb="0" eb="3">
      <t>コテイチ</t>
    </rPh>
    <phoneticPr fontId="10"/>
  </si>
  <si>
    <t>空白固定</t>
    <rPh sb="0" eb="2">
      <t>クウハク</t>
    </rPh>
    <rPh sb="2" eb="4">
      <t>コテイ</t>
    </rPh>
    <phoneticPr fontId="10"/>
  </si>
  <si>
    <t>○入力項目（続き）</t>
    <rPh sb="1" eb="3">
      <t>ニュウリョク</t>
    </rPh>
    <rPh sb="3" eb="5">
      <t>コウモク</t>
    </rPh>
    <rPh sb="6" eb="7">
      <t>ツヅ</t>
    </rPh>
    <phoneticPr fontId="10"/>
  </si>
  <si>
    <t>西暦日付</t>
    <rPh sb="0" eb="4">
      <t>セイレキヒヅケ</t>
    </rPh>
    <phoneticPr fontId="2"/>
  </si>
  <si>
    <t>予算区分</t>
    <rPh sb="0" eb="2">
      <t>ヨサン</t>
    </rPh>
    <rPh sb="2" eb="4">
      <t>クブン</t>
    </rPh>
    <phoneticPr fontId="2"/>
  </si>
  <si>
    <t>昇順</t>
    <rPh sb="0" eb="2">
      <t>ショウジュン</t>
    </rPh>
    <phoneticPr fontId="2"/>
  </si>
  <si>
    <t>降順</t>
    <rPh sb="0" eb="2">
      <t>コウジュン</t>
    </rPh>
    <phoneticPr fontId="2"/>
  </si>
  <si>
    <t>人事給与連携データフォーマットを全職種共通仕様に変更</t>
    <rPh sb="16" eb="17">
      <t>ゼン</t>
    </rPh>
    <rPh sb="17" eb="19">
      <t>ショクシュ</t>
    </rPh>
    <rPh sb="19" eb="21">
      <t>キョウツウ</t>
    </rPh>
    <rPh sb="21" eb="23">
      <t>シヨウ</t>
    </rPh>
    <rPh sb="24" eb="26">
      <t>ヘンコウ</t>
    </rPh>
    <phoneticPr fontId="2"/>
  </si>
  <si>
    <t>変更</t>
    <rPh sb="0" eb="2">
      <t>ヘンコウ</t>
    </rPh>
    <phoneticPr fontId="2"/>
  </si>
  <si>
    <t>雇用情報マスタ</t>
    <rPh sb="0" eb="2">
      <t>コヨウ</t>
    </rPh>
    <rPh sb="2" eb="4">
      <t>ジョウホウ</t>
    </rPh>
    <phoneticPr fontId="2"/>
  </si>
  <si>
    <t>検索条件に開講年度を雇用年度に変更
検索条件に更新日を追加
一覧から身分と複数身分IDを削除</t>
    <rPh sb="0" eb="2">
      <t>ケンサク</t>
    </rPh>
    <rPh sb="2" eb="4">
      <t>ジョウケン</t>
    </rPh>
    <rPh sb="5" eb="7">
      <t>カイコウ</t>
    </rPh>
    <rPh sb="7" eb="9">
      <t>ネンド</t>
    </rPh>
    <rPh sb="10" eb="12">
      <t>コヨウ</t>
    </rPh>
    <rPh sb="12" eb="14">
      <t>ネンド</t>
    </rPh>
    <rPh sb="15" eb="17">
      <t>ヘンコウ</t>
    </rPh>
    <rPh sb="18" eb="20">
      <t>ケンサク</t>
    </rPh>
    <rPh sb="20" eb="22">
      <t>ジョウケン</t>
    </rPh>
    <rPh sb="23" eb="26">
      <t>コウシンビ</t>
    </rPh>
    <rPh sb="27" eb="29">
      <t>ツイカ</t>
    </rPh>
    <rPh sb="30" eb="32">
      <t>イチラン</t>
    </rPh>
    <rPh sb="34" eb="36">
      <t>ミブン</t>
    </rPh>
    <rPh sb="37" eb="39">
      <t>フクスウ</t>
    </rPh>
    <rPh sb="39" eb="41">
      <t>ミブン</t>
    </rPh>
    <rPh sb="44" eb="46">
      <t>サクジョ</t>
    </rPh>
    <phoneticPr fontId="2"/>
  </si>
  <si>
    <t>雇用情報マスタの雇用年度をグループ化して表示</t>
    <rPh sb="0" eb="4">
      <t>コヨウジョウホウ</t>
    </rPh>
    <rPh sb="8" eb="10">
      <t>コヨウ</t>
    </rPh>
    <rPh sb="10" eb="12">
      <t>ネンド</t>
    </rPh>
    <rPh sb="17" eb="18">
      <t>カ</t>
    </rPh>
    <rPh sb="20" eb="22">
      <t>ヒョウジ</t>
    </rPh>
    <phoneticPr fontId="2"/>
  </si>
  <si>
    <t>雇用年度の降順</t>
    <rPh sb="0" eb="2">
      <t>コヨウ</t>
    </rPh>
    <rPh sb="2" eb="4">
      <t>ネンド</t>
    </rPh>
    <rPh sb="5" eb="7">
      <t>コウジュン</t>
    </rPh>
    <phoneticPr fontId="2"/>
  </si>
  <si>
    <t>雇用部課</t>
    <rPh sb="0" eb="4">
      <t>コヨウブカ</t>
    </rPh>
    <phoneticPr fontId="2"/>
  </si>
  <si>
    <t>雇用部課</t>
    <rPh sb="0" eb="2">
      <t>コヨウ</t>
    </rPh>
    <rPh sb="2" eb="4">
      <t>ブカ</t>
    </rPh>
    <phoneticPr fontId="2"/>
  </si>
  <si>
    <t>雇用年度はシステム日付に該当する年度を初期表示する。</t>
    <rPh sb="0" eb="4">
      <t>コヨウネンド</t>
    </rPh>
    <rPh sb="9" eb="11">
      <t>ヒヅケ</t>
    </rPh>
    <rPh sb="12" eb="14">
      <t>ガイトウ</t>
    </rPh>
    <rPh sb="16" eb="18">
      <t>ネンド</t>
    </rPh>
    <rPh sb="19" eb="23">
      <t>ショキヒョウジ</t>
    </rPh>
    <phoneticPr fontId="2"/>
  </si>
  <si>
    <t>権限が担当者の場合は、人事給与連携データ作成ボタンは非表示にする。</t>
    <rPh sb="0" eb="2">
      <t>ケンゲン</t>
    </rPh>
    <rPh sb="3" eb="6">
      <t>タントウシャ</t>
    </rPh>
    <rPh sb="7" eb="9">
      <t>バアイ</t>
    </rPh>
    <rPh sb="11" eb="15">
      <t>ジンジキュウヨ</t>
    </rPh>
    <rPh sb="15" eb="17">
      <t>レンケイ</t>
    </rPh>
    <rPh sb="20" eb="22">
      <t>サクセイ</t>
    </rPh>
    <rPh sb="26" eb="29">
      <t>ヒヒョウジ</t>
    </rPh>
    <phoneticPr fontId="2"/>
  </si>
  <si>
    <t>雇用年度</t>
    <rPh sb="0" eb="2">
      <t>コヨウ</t>
    </rPh>
    <rPh sb="2" eb="4">
      <t>ネンド</t>
    </rPh>
    <phoneticPr fontId="10"/>
  </si>
  <si>
    <t>木田　優</t>
    <phoneticPr fontId="2"/>
  </si>
  <si>
    <t>【雇用年度】</t>
    <rPh sb="1" eb="3">
      <t>コヨウ</t>
    </rPh>
    <rPh sb="3" eb="5">
      <t>ネンド</t>
    </rPh>
    <phoneticPr fontId="2"/>
  </si>
  <si>
    <t>更新日</t>
    <rPh sb="0" eb="3">
      <t>コウシンビ</t>
    </rPh>
    <phoneticPr fontId="2"/>
  </si>
  <si>
    <t>○リストボックス（続き）</t>
    <rPh sb="9" eb="10">
      <t>ツヅ</t>
    </rPh>
    <phoneticPr fontId="2"/>
  </si>
  <si>
    <t>【雇用部課】</t>
    <rPh sb="1" eb="5">
      <t>コヨウブカ</t>
    </rPh>
    <phoneticPr fontId="2"/>
  </si>
  <si>
    <t>▼</t>
  </si>
  <si>
    <t>101：法人事務室</t>
    <rPh sb="4" eb="9">
      <t>ホウジンジムシツ</t>
    </rPh>
    <phoneticPr fontId="2"/>
  </si>
  <si>
    <t>102：監査室</t>
    <rPh sb="4" eb="6">
      <t>カンサ</t>
    </rPh>
    <rPh sb="6" eb="7">
      <t>シツ</t>
    </rPh>
    <phoneticPr fontId="2"/>
  </si>
  <si>
    <t>103：募金課</t>
    <rPh sb="4" eb="7">
      <t>ボキンカ</t>
    </rPh>
    <phoneticPr fontId="2"/>
  </si>
  <si>
    <t>104：150周年記念事務室</t>
    <rPh sb="7" eb="9">
      <t>シュウネン</t>
    </rPh>
    <rPh sb="9" eb="11">
      <t>キネン</t>
    </rPh>
    <rPh sb="11" eb="14">
      <t>ジムシツ</t>
    </rPh>
    <phoneticPr fontId="2"/>
  </si>
  <si>
    <t>個別単価、個別単価が無ければ職種毎の標準単価</t>
    <rPh sb="0" eb="1">
      <t>コベツ</t>
    </rPh>
    <rPh sb="1" eb="3">
      <t>タンカ</t>
    </rPh>
    <rPh sb="4" eb="8">
      <t>コベツタンカ</t>
    </rPh>
    <rPh sb="9" eb="10">
      <t>ナ</t>
    </rPh>
    <rPh sb="13" eb="15">
      <t>ショクシュ</t>
    </rPh>
    <rPh sb="15" eb="16">
      <t>ゴト</t>
    </rPh>
    <rPh sb="17" eb="21">
      <t>ヒョウジュンタンカ</t>
    </rPh>
    <phoneticPr fontId="10"/>
  </si>
  <si>
    <t>51　固定</t>
    <rPh sb="2" eb="4">
      <t>コテイ</t>
    </rPh>
    <phoneticPr fontId="2"/>
  </si>
  <si>
    <t>○出力項目</t>
    <rPh sb="1" eb="3">
      <t>シュツリョク</t>
    </rPh>
    <rPh sb="3" eb="5">
      <t>コウモク</t>
    </rPh>
    <phoneticPr fontId="2"/>
  </si>
  <si>
    <t>編集内容等</t>
    <rPh sb="0" eb="2">
      <t>ヘンシュウ</t>
    </rPh>
    <rPh sb="2" eb="4">
      <t>ナイヨウ</t>
    </rPh>
    <rPh sb="4" eb="5">
      <t>トウ</t>
    </rPh>
    <phoneticPr fontId="2"/>
  </si>
  <si>
    <t>雇用年度</t>
    <rPh sb="0" eb="4">
      <t>コヨウネンド</t>
    </rPh>
    <phoneticPr fontId="2"/>
  </si>
  <si>
    <t>yyyy</t>
    <phoneticPr fontId="2"/>
  </si>
  <si>
    <t>学生ID</t>
    <rPh sb="0" eb="2">
      <t>ガクセイ</t>
    </rPh>
    <phoneticPr fontId="2"/>
  </si>
  <si>
    <t>学生名</t>
    <rPh sb="0" eb="3">
      <t>ガクセイメイ</t>
    </rPh>
    <phoneticPr fontId="2"/>
  </si>
  <si>
    <t>業務コード</t>
    <rPh sb="0" eb="2">
      <t>ギョウム</t>
    </rPh>
    <phoneticPr fontId="2"/>
  </si>
  <si>
    <t>予算コード</t>
    <rPh sb="0" eb="2">
      <t>ヨサン</t>
    </rPh>
    <phoneticPr fontId="2"/>
  </si>
  <si>
    <t>配分先コード</t>
    <rPh sb="0" eb="3">
      <t>ハイブンサキ</t>
    </rPh>
    <phoneticPr fontId="2"/>
  </si>
  <si>
    <t>業務</t>
    <rPh sb="0" eb="2">
      <t>ギョウム</t>
    </rPh>
    <phoneticPr fontId="2"/>
  </si>
  <si>
    <t>予算</t>
    <rPh sb="0" eb="2">
      <t>ヨサン</t>
    </rPh>
    <phoneticPr fontId="2"/>
  </si>
  <si>
    <t>配分先</t>
    <rPh sb="0" eb="3">
      <t>ハイブンサキ</t>
    </rPh>
    <phoneticPr fontId="2"/>
  </si>
  <si>
    <t>雇用情報マスタ編集</t>
    <rPh sb="0" eb="2">
      <t>コヨウ</t>
    </rPh>
    <rPh sb="2" eb="4">
      <t>ジョウホウ</t>
    </rPh>
    <rPh sb="7" eb="9">
      <t>ヘンシュウ</t>
    </rPh>
    <phoneticPr fontId="2"/>
  </si>
  <si>
    <t>雇用年度の位置を変更し、開講年度を削除
身分を削除
業務、予算、配分先コードをリストボックスに変更</t>
    <rPh sb="0" eb="4">
      <t>コヨウネンド</t>
    </rPh>
    <rPh sb="5" eb="7">
      <t>イチ</t>
    </rPh>
    <rPh sb="8" eb="10">
      <t>ヘンコウ</t>
    </rPh>
    <rPh sb="12" eb="16">
      <t>カイコウネンド</t>
    </rPh>
    <rPh sb="17" eb="19">
      <t>サクジョ</t>
    </rPh>
    <rPh sb="20" eb="22">
      <t>ミブン</t>
    </rPh>
    <rPh sb="23" eb="25">
      <t>サクジョ</t>
    </rPh>
    <rPh sb="26" eb="28">
      <t>ギョウム</t>
    </rPh>
    <rPh sb="29" eb="31">
      <t>ヨサン</t>
    </rPh>
    <rPh sb="32" eb="35">
      <t>ハイブンサキ</t>
    </rPh>
    <rPh sb="47" eb="49">
      <t>ヘンコウ</t>
    </rPh>
    <phoneticPr fontId="2"/>
  </si>
  <si>
    <t>雇用年度</t>
    <rPh sb="0" eb="4">
      <t>コヨウネンド</t>
    </rPh>
    <phoneticPr fontId="10"/>
  </si>
  <si>
    <t>●選択した職種によって科目コードから雇用終了日の制御が異なる</t>
    <rPh sb="1" eb="3">
      <t>センタク</t>
    </rPh>
    <rPh sb="5" eb="7">
      <t>ショクシュ</t>
    </rPh>
    <rPh sb="11" eb="13">
      <t>カモク</t>
    </rPh>
    <rPh sb="18" eb="23">
      <t>コヨウシュウリョウビ</t>
    </rPh>
    <rPh sb="24" eb="26">
      <t>セイギョ</t>
    </rPh>
    <rPh sb="27" eb="28">
      <t>コト</t>
    </rPh>
    <phoneticPr fontId="2"/>
  </si>
  <si>
    <t>リストボックス
※新規作成の場合、システム日付より年度を設定</t>
    <rPh sb="9" eb="13">
      <t>シンキサクセイ</t>
    </rPh>
    <rPh sb="14" eb="16">
      <t>バアイ</t>
    </rPh>
    <rPh sb="21" eb="23">
      <t>ヒヅケ</t>
    </rPh>
    <rPh sb="25" eb="27">
      <t>ネンド</t>
    </rPh>
    <rPh sb="28" eb="30">
      <t>セッテイ</t>
    </rPh>
    <phoneticPr fontId="10"/>
  </si>
  <si>
    <t>△</t>
    <phoneticPr fontId="10"/>
  </si>
  <si>
    <t>・</t>
    <phoneticPr fontId="1"/>
  </si>
  <si>
    <t>業務コードと予算コードのどちらかが入力されていれば、業務コードと</t>
    <phoneticPr fontId="2"/>
  </si>
  <si>
    <t>予算コードは必ず、双方の入力がないとエラーとする。</t>
    <rPh sb="0" eb="2">
      <t>ヨサン</t>
    </rPh>
    <rPh sb="6" eb="7">
      <t>カナラ</t>
    </rPh>
    <rPh sb="9" eb="11">
      <t>ソウホウ</t>
    </rPh>
    <rPh sb="12" eb="14">
      <t>ニュウリョク</t>
    </rPh>
    <phoneticPr fontId="1"/>
  </si>
  <si>
    <t>雇用情報マスタ取込</t>
    <phoneticPr fontId="2"/>
  </si>
  <si>
    <t>雇用情報データフォーマットを編集項目に合わせて修正</t>
    <rPh sb="0" eb="4">
      <t>コヨウジョウホウ</t>
    </rPh>
    <rPh sb="14" eb="16">
      <t>ヘンシュウ</t>
    </rPh>
    <rPh sb="16" eb="18">
      <t>コウモク</t>
    </rPh>
    <rPh sb="19" eb="20">
      <t>ア</t>
    </rPh>
    <rPh sb="23" eb="25">
      <t>シュウセイ</t>
    </rPh>
    <phoneticPr fontId="2"/>
  </si>
  <si>
    <t>〇複数身分IDの採番ルール</t>
    <rPh sb="1" eb="5">
      <t>フクスウミブン</t>
    </rPh>
    <rPh sb="8" eb="10">
      <t>サイバン</t>
    </rPh>
    <phoneticPr fontId="2"/>
  </si>
  <si>
    <t>複数身分IDの採番ルールを追記</t>
    <rPh sb="0" eb="4">
      <t>フクスウミブン</t>
    </rPh>
    <rPh sb="7" eb="9">
      <t>サイバン</t>
    </rPh>
    <rPh sb="13" eb="15">
      <t>ツイキ</t>
    </rPh>
    <phoneticPr fontId="2"/>
  </si>
  <si>
    <t>未使用</t>
    <rPh sb="0" eb="3">
      <t>ミシヨウ</t>
    </rPh>
    <phoneticPr fontId="2"/>
  </si>
  <si>
    <t>(１）雇用部課コード</t>
    <rPh sb="3" eb="5">
      <t>コヨウ</t>
    </rPh>
    <rPh sb="5" eb="7">
      <t>ブカ</t>
    </rPh>
    <phoneticPr fontId="2"/>
  </si>
  <si>
    <t>：</t>
    <phoneticPr fontId="2"/>
  </si>
  <si>
    <t>学生雇用を募集した部課コードを表す。</t>
    <rPh sb="0" eb="2">
      <t>ガクセイ</t>
    </rPh>
    <rPh sb="2" eb="4">
      <t>コヨウ</t>
    </rPh>
    <rPh sb="5" eb="7">
      <t>ボシュウ</t>
    </rPh>
    <rPh sb="9" eb="11">
      <t>ブカ</t>
    </rPh>
    <rPh sb="15" eb="16">
      <t>アラワ</t>
    </rPh>
    <phoneticPr fontId="2"/>
  </si>
  <si>
    <t>(２）職種コード</t>
    <rPh sb="3" eb="5">
      <t>ショクシュ</t>
    </rPh>
    <phoneticPr fontId="2"/>
  </si>
  <si>
    <t>学生雇用を募集した職種コードを表す。</t>
    <rPh sb="0" eb="2">
      <t>ガクセイ</t>
    </rPh>
    <rPh sb="2" eb="4">
      <t>コヨウ</t>
    </rPh>
    <rPh sb="5" eb="7">
      <t>ボシュウ</t>
    </rPh>
    <rPh sb="9" eb="11">
      <t>ショクシュ</t>
    </rPh>
    <rPh sb="15" eb="16">
      <t>アラワ</t>
    </rPh>
    <phoneticPr fontId="2"/>
  </si>
  <si>
    <t>(３）学生所属コード</t>
    <rPh sb="3" eb="5">
      <t>ガクセイ</t>
    </rPh>
    <rPh sb="5" eb="7">
      <t>ショゾク</t>
    </rPh>
    <phoneticPr fontId="2"/>
  </si>
  <si>
    <t>学生基本の学生所属コード・在学年次を表す。</t>
    <rPh sb="18" eb="19">
      <t>アラワ</t>
    </rPh>
    <phoneticPr fontId="2"/>
  </si>
  <si>
    <t>(４）予算区分コード</t>
    <rPh sb="3" eb="5">
      <t>ヨサン</t>
    </rPh>
    <rPh sb="5" eb="7">
      <t>クブン</t>
    </rPh>
    <phoneticPr fontId="2"/>
  </si>
  <si>
    <t>学生雇用の予算を表す。</t>
    <rPh sb="0" eb="2">
      <t>ガクセイ</t>
    </rPh>
    <rPh sb="2" eb="4">
      <t>コヨウ</t>
    </rPh>
    <rPh sb="5" eb="7">
      <t>ヨサン</t>
    </rPh>
    <rPh sb="8" eb="9">
      <t>アラワ</t>
    </rPh>
    <phoneticPr fontId="2"/>
  </si>
  <si>
    <t>t</t>
    <phoneticPr fontId="2"/>
  </si>
  <si>
    <t>a</t>
    <phoneticPr fontId="2"/>
  </si>
  <si>
    <t>雇用部課コード</t>
    <rPh sb="0" eb="2">
      <t>コヨウ</t>
    </rPh>
    <rPh sb="2" eb="4">
      <t>ブカ</t>
    </rPh>
    <phoneticPr fontId="2"/>
  </si>
  <si>
    <t>職種コード</t>
    <rPh sb="0" eb="2">
      <t>ショクシュ</t>
    </rPh>
    <phoneticPr fontId="2"/>
  </si>
  <si>
    <t>学生</t>
    <rPh sb="0" eb="2">
      <t>ガクセイ</t>
    </rPh>
    <phoneticPr fontId="2"/>
  </si>
  <si>
    <t>※入力されている雇用部課をそのまま設定</t>
    <rPh sb="1" eb="3">
      <t>ニュウリョク</t>
    </rPh>
    <rPh sb="8" eb="12">
      <t>コヨウブカ</t>
    </rPh>
    <rPh sb="17" eb="19">
      <t>セッテイ</t>
    </rPh>
    <phoneticPr fontId="2"/>
  </si>
  <si>
    <t>※入力されている予算区分を設定</t>
    <rPh sb="1" eb="3">
      <t>ニュウリョク</t>
    </rPh>
    <rPh sb="8" eb="10">
      <t>ヨサン</t>
    </rPh>
    <rPh sb="10" eb="12">
      <t>クブン</t>
    </rPh>
    <rPh sb="13" eb="15">
      <t>セッテイ</t>
    </rPh>
    <phoneticPr fontId="2"/>
  </si>
  <si>
    <t>変換値</t>
    <rPh sb="0" eb="2">
      <t>ヘンカン</t>
    </rPh>
    <rPh sb="2" eb="3">
      <t>チ</t>
    </rPh>
    <phoneticPr fontId="2"/>
  </si>
  <si>
    <t>01</t>
  </si>
  <si>
    <t>TA</t>
  </si>
  <si>
    <t>ta</t>
  </si>
  <si>
    <t>02</t>
  </si>
  <si>
    <t>SA</t>
  </si>
  <si>
    <t>sa</t>
  </si>
  <si>
    <t>03</t>
  </si>
  <si>
    <t>RA</t>
  </si>
  <si>
    <t>ra</t>
  </si>
  <si>
    <t>04</t>
  </si>
  <si>
    <t>LA</t>
  </si>
  <si>
    <t>la</t>
  </si>
  <si>
    <t>05</t>
  </si>
  <si>
    <t>is</t>
  </si>
  <si>
    <t>06</t>
  </si>
  <si>
    <t>pj</t>
  </si>
  <si>
    <t>学生所属コード1桁目</t>
    <rPh sb="0" eb="2">
      <t>ガクセイ</t>
    </rPh>
    <rPh sb="2" eb="4">
      <t>ショゾク</t>
    </rPh>
    <rPh sb="8" eb="9">
      <t>ケタ</t>
    </rPh>
    <rPh sb="9" eb="10">
      <t>メ</t>
    </rPh>
    <phoneticPr fontId="2"/>
  </si>
  <si>
    <t>課程名称</t>
    <rPh sb="0" eb="2">
      <t>カテイ</t>
    </rPh>
    <rPh sb="2" eb="4">
      <t>メイショウ</t>
    </rPh>
    <phoneticPr fontId="2"/>
  </si>
  <si>
    <t>在学年次</t>
    <rPh sb="0" eb="2">
      <t>ザイガク</t>
    </rPh>
    <rPh sb="2" eb="4">
      <t>ネンジ</t>
    </rPh>
    <phoneticPr fontId="2"/>
  </si>
  <si>
    <t>学部</t>
    <rPh sb="0" eb="2">
      <t>ガクブ</t>
    </rPh>
    <phoneticPr fontId="1"/>
  </si>
  <si>
    <t>博士課程　前期課程・修士課程</t>
    <rPh sb="0" eb="2">
      <t>ハカセ</t>
    </rPh>
    <rPh sb="2" eb="4">
      <t>カテイ</t>
    </rPh>
    <rPh sb="5" eb="7">
      <t>ゼンキ</t>
    </rPh>
    <rPh sb="7" eb="9">
      <t>カテイ</t>
    </rPh>
    <rPh sb="10" eb="12">
      <t>シュウシ</t>
    </rPh>
    <rPh sb="12" eb="14">
      <t>カテイ</t>
    </rPh>
    <phoneticPr fontId="1"/>
  </si>
  <si>
    <t>m</t>
  </si>
  <si>
    <t>博士課程　後期課程</t>
    <rPh sb="0" eb="2">
      <t>ハカセ</t>
    </rPh>
    <rPh sb="2" eb="4">
      <t>カテイ</t>
    </rPh>
    <rPh sb="5" eb="7">
      <t>コウキ</t>
    </rPh>
    <rPh sb="7" eb="9">
      <t>カテイ</t>
    </rPh>
    <phoneticPr fontId="1"/>
  </si>
  <si>
    <t>d</t>
  </si>
  <si>
    <t>博士課程　一貫制</t>
    <rPh sb="0" eb="2">
      <t>ハカセ</t>
    </rPh>
    <rPh sb="2" eb="4">
      <t>カテイ</t>
    </rPh>
    <rPh sb="5" eb="7">
      <t>イッカン</t>
    </rPh>
    <rPh sb="7" eb="8">
      <t>セイ</t>
    </rPh>
    <phoneticPr fontId="1"/>
  </si>
  <si>
    <t>2年次未満</t>
    <rPh sb="1" eb="3">
      <t>ネンジ</t>
    </rPh>
    <rPh sb="3" eb="5">
      <t>ミマン</t>
    </rPh>
    <phoneticPr fontId="2"/>
  </si>
  <si>
    <t>3年次以上</t>
    <rPh sb="1" eb="3">
      <t>ネンジ</t>
    </rPh>
    <rPh sb="3" eb="5">
      <t>イジョウ</t>
    </rPh>
    <phoneticPr fontId="2"/>
  </si>
  <si>
    <t>専門職学位課程</t>
    <rPh sb="0" eb="2">
      <t>センモン</t>
    </rPh>
    <rPh sb="2" eb="3">
      <t>ショク</t>
    </rPh>
    <rPh sb="3" eb="5">
      <t>ガクイ</t>
    </rPh>
    <rPh sb="5" eb="7">
      <t>カテイ</t>
    </rPh>
    <phoneticPr fontId="1"/>
  </si>
  <si>
    <t>その他</t>
    <rPh sb="2" eb="3">
      <t>タ</t>
    </rPh>
    <phoneticPr fontId="1"/>
  </si>
  <si>
    <t>学生所属コード</t>
    <rPh sb="0" eb="2">
      <t>ガクセイ</t>
    </rPh>
    <rPh sb="2" eb="4">
      <t>ショゾク</t>
    </rPh>
    <phoneticPr fontId="2"/>
  </si>
  <si>
    <t>51</t>
    <phoneticPr fontId="2"/>
  </si>
  <si>
    <t>研究活動等支援員</t>
    <rPh sb="0" eb="2">
      <t>ケンキュウ</t>
    </rPh>
    <rPh sb="2" eb="4">
      <t>カツドウ</t>
    </rPh>
    <rPh sb="4" eb="5">
      <t>ナド</t>
    </rPh>
    <rPh sb="5" eb="7">
      <t>シエン</t>
    </rPh>
    <rPh sb="7" eb="8">
      <t>イン</t>
    </rPh>
    <phoneticPr fontId="2"/>
  </si>
  <si>
    <t>rs</t>
    <phoneticPr fontId="2"/>
  </si>
  <si>
    <t>登録する各項目より複数身分IDを採番する</t>
    <rPh sb="0" eb="2">
      <t>トウロク</t>
    </rPh>
    <rPh sb="4" eb="7">
      <t>カクコウモク</t>
    </rPh>
    <rPh sb="9" eb="13">
      <t>フクスウミブン</t>
    </rPh>
    <rPh sb="16" eb="18">
      <t>サイバン</t>
    </rPh>
    <phoneticPr fontId="2"/>
  </si>
  <si>
    <t>複数身分IDから変換して職位コードを取得</t>
    <rPh sb="0" eb="3">
      <t>フクスウミブン</t>
    </rPh>
    <rPh sb="7" eb="9">
      <t>ヘンカン</t>
    </rPh>
    <rPh sb="12" eb="14">
      <t>ショクイ</t>
    </rPh>
    <rPh sb="18" eb="20">
      <t>シュトク</t>
    </rPh>
    <phoneticPr fontId="2"/>
  </si>
  <si>
    <t>複数身分IDから変換して職群コードを取得</t>
    <rPh sb="0" eb="3">
      <t>フクスウミブン</t>
    </rPh>
    <rPh sb="7" eb="9">
      <t>ヘンカン</t>
    </rPh>
    <rPh sb="12" eb="14">
      <t>ショクグン</t>
    </rPh>
    <rPh sb="18" eb="20">
      <t>シュトク</t>
    </rPh>
    <phoneticPr fontId="2"/>
  </si>
  <si>
    <t>雇用年度（昇順）→学生ID（昇順）→雇用情報ID（昇順）</t>
    <rPh sb="0" eb="4">
      <t>コヨウネンド</t>
    </rPh>
    <rPh sb="5" eb="7">
      <t>ショウジュン</t>
    </rPh>
    <rPh sb="9" eb="11">
      <t>ガクセイ</t>
    </rPh>
    <rPh sb="14" eb="16">
      <t>ショウジュン</t>
    </rPh>
    <rPh sb="18" eb="22">
      <t>コヨウジョウホウ</t>
    </rPh>
    <rPh sb="25" eb="27">
      <t>ショウジュン</t>
    </rPh>
    <phoneticPr fontId="2"/>
  </si>
  <si>
    <t>雇用情報マスタ</t>
    <phoneticPr fontId="2"/>
  </si>
  <si>
    <t>・</t>
  </si>
  <si>
    <t>必須：△</t>
    <rPh sb="0" eb="2">
      <t>ヒッス</t>
    </rPh>
    <phoneticPr fontId="10"/>
  </si>
  <si>
    <t>（どれか一つでも検索条件にないとエラーとする）</t>
    <rPh sb="4" eb="5">
      <t>ヒト</t>
    </rPh>
    <rPh sb="8" eb="12">
      <t>ケンサクジョウケン</t>
    </rPh>
    <phoneticPr fontId="10"/>
  </si>
  <si>
    <t>雇用情報</t>
    <rPh sb="0" eb="4">
      <t>コヨウジョウホウ</t>
    </rPh>
    <phoneticPr fontId="2"/>
  </si>
  <si>
    <t>一般</t>
    <rPh sb="0" eb="2">
      <t>イッパン</t>
    </rPh>
    <phoneticPr fontId="2"/>
  </si>
  <si>
    <t>研究活動等支援員</t>
    <rPh sb="0" eb="2">
      <t>ケンキュウ</t>
    </rPh>
    <rPh sb="2" eb="5">
      <t>カツドウトウ</t>
    </rPh>
    <rPh sb="5" eb="8">
      <t>シエンイン</t>
    </rPh>
    <phoneticPr fontId="2"/>
  </si>
  <si>
    <t>※職種によって表示が異なります。</t>
    <rPh sb="1" eb="3">
      <t>ショクシュ</t>
    </rPh>
    <rPh sb="7" eb="9">
      <t>ヒョウジ</t>
    </rPh>
    <rPh sb="10" eb="11">
      <t>コト</t>
    </rPh>
    <phoneticPr fontId="10"/>
  </si>
  <si>
    <t>職種</t>
    <rPh sb="0" eb="2">
      <t>ショクシュ</t>
    </rPh>
    <phoneticPr fontId="10"/>
  </si>
  <si>
    <t>項目１</t>
    <rPh sb="0" eb="2">
      <t>コウモク</t>
    </rPh>
    <phoneticPr fontId="10"/>
  </si>
  <si>
    <t>項目２</t>
    <rPh sb="0" eb="2">
      <t>コウモク</t>
    </rPh>
    <phoneticPr fontId="10"/>
  </si>
  <si>
    <t>項目３</t>
    <rPh sb="0" eb="2">
      <t>コウモク</t>
    </rPh>
    <phoneticPr fontId="10"/>
  </si>
  <si>
    <t>項目４</t>
    <rPh sb="0" eb="2">
      <t>コウモク</t>
    </rPh>
    <phoneticPr fontId="10"/>
  </si>
  <si>
    <t>職種名</t>
    <rPh sb="0" eb="2">
      <t>ショクシュ</t>
    </rPh>
    <rPh sb="2" eb="3">
      <t>メイ</t>
    </rPh>
    <phoneticPr fontId="10"/>
  </si>
  <si>
    <t>科目・クラス</t>
    <rPh sb="0" eb="2">
      <t>カモク</t>
    </rPh>
    <phoneticPr fontId="10"/>
  </si>
  <si>
    <t>担当教員（姓）</t>
    <rPh sb="0" eb="4">
      <t>タントウキョウイン</t>
    </rPh>
    <rPh sb="5" eb="6">
      <t>セイ</t>
    </rPh>
    <phoneticPr fontId="10"/>
  </si>
  <si>
    <r>
      <t>曜日講時</t>
    </r>
    <r>
      <rPr>
        <vertAlign val="superscript"/>
        <sz val="10"/>
        <rFont val="ＭＳ ゴシック"/>
        <family val="3"/>
        <charset val="128"/>
      </rPr>
      <t>※1</t>
    </r>
    <rPh sb="0" eb="4">
      <t>ヨウビコウジ</t>
    </rPh>
    <phoneticPr fontId="10"/>
  </si>
  <si>
    <t>※1　曜日講時が複数存在する場合は（、）で区切り1行で表示する</t>
    <rPh sb="3" eb="7">
      <t>ヨウビコウジ</t>
    </rPh>
    <rPh sb="8" eb="10">
      <t>フクスウ</t>
    </rPh>
    <rPh sb="10" eb="12">
      <t>ソンザイ</t>
    </rPh>
    <rPh sb="14" eb="16">
      <t>バアイ</t>
    </rPh>
    <rPh sb="21" eb="23">
      <t>クギ</t>
    </rPh>
    <rPh sb="25" eb="26">
      <t>ギョウ</t>
    </rPh>
    <rPh sb="27" eb="29">
      <t>ヒョウジ</t>
    </rPh>
    <phoneticPr fontId="10"/>
  </si>
  <si>
    <t>雇用部課名称</t>
    <rPh sb="0" eb="4">
      <t>コヨウブカ</t>
    </rPh>
    <rPh sb="4" eb="6">
      <t>メイショウ</t>
    </rPh>
    <phoneticPr fontId="10"/>
  </si>
  <si>
    <t>業務内容等</t>
    <rPh sb="0" eb="5">
      <t>ギョウムナイヨウトウ</t>
    </rPh>
    <phoneticPr fontId="10"/>
  </si>
  <si>
    <t>業務内容等</t>
    <rPh sb="0" eb="5">
      <t>ギョウムナイヨウトウ</t>
    </rPh>
    <phoneticPr fontId="4"/>
  </si>
  <si>
    <t>ユーザコードマスタ[UC004].組織コード</t>
    <rPh sb="16" eb="18">
      <t>ソシキ</t>
    </rPh>
    <phoneticPr fontId="2"/>
  </si>
  <si>
    <t>検索条件の必須条件を追加
一覧に雇用情報を表示
人事給与連携データフォーマットの組織コードの設定内容を変更</t>
    <rPh sb="0" eb="2">
      <t>ケンサク</t>
    </rPh>
    <rPh sb="2" eb="4">
      <t>ジョウケン</t>
    </rPh>
    <rPh sb="5" eb="7">
      <t>ヒッス</t>
    </rPh>
    <rPh sb="7" eb="9">
      <t>ジョウケン</t>
    </rPh>
    <rPh sb="10" eb="12">
      <t>ツイカ</t>
    </rPh>
    <rPh sb="13" eb="15">
      <t>イチラン</t>
    </rPh>
    <rPh sb="16" eb="20">
      <t>コヨウジョウホウ</t>
    </rPh>
    <rPh sb="21" eb="23">
      <t>ヒョウジ</t>
    </rPh>
    <rPh sb="24" eb="30">
      <t>ジンジキュウヨレンケイ</t>
    </rPh>
    <rPh sb="40" eb="42">
      <t>ソシキ</t>
    </rPh>
    <rPh sb="46" eb="50">
      <t>セッテイナイヨウ</t>
    </rPh>
    <rPh sb="51" eb="53">
      <t>ヘンコウ</t>
    </rPh>
    <phoneticPr fontId="2"/>
  </si>
  <si>
    <t>雇用情報マスタ編集</t>
    <rPh sb="0" eb="4">
      <t>コヨウジョウホウ</t>
    </rPh>
    <rPh sb="7" eb="9">
      <t>ヘンシュウ</t>
    </rPh>
    <phoneticPr fontId="2"/>
  </si>
  <si>
    <t>職種が一般の場合、業務内容等を必須にする
業務・予算・配分先コードと雇用部課の紐付き説明を追記</t>
    <rPh sb="0" eb="2">
      <t>ショクシュ</t>
    </rPh>
    <rPh sb="3" eb="5">
      <t>イッパン</t>
    </rPh>
    <rPh sb="6" eb="8">
      <t>バアイ</t>
    </rPh>
    <rPh sb="9" eb="14">
      <t>ギョウムナイヨウトウ</t>
    </rPh>
    <rPh sb="15" eb="17">
      <t>ヒッス</t>
    </rPh>
    <rPh sb="21" eb="23">
      <t>ギョウム</t>
    </rPh>
    <rPh sb="24" eb="26">
      <t>ヨサン</t>
    </rPh>
    <rPh sb="27" eb="29">
      <t>ハイブン</t>
    </rPh>
    <rPh sb="29" eb="30">
      <t>サキ</t>
    </rPh>
    <rPh sb="34" eb="38">
      <t>コヨウブカ</t>
    </rPh>
    <rPh sb="39" eb="41">
      <t>ヒモヅ</t>
    </rPh>
    <rPh sb="42" eb="44">
      <t>セツメイ</t>
    </rPh>
    <rPh sb="45" eb="47">
      <t>ツイキ</t>
    </rPh>
    <phoneticPr fontId="2"/>
  </si>
  <si>
    <t>職種からユーザコードマスタ[UC0001]（職種マスタ）を参照し、個別単価設定可否フラグが1（可）の</t>
    <rPh sb="0" eb="2">
      <t>ショクシュ</t>
    </rPh>
    <rPh sb="22" eb="24">
      <t>ショクシュ</t>
    </rPh>
    <rPh sb="29" eb="31">
      <t>サンショウ</t>
    </rPh>
    <rPh sb="33" eb="35">
      <t>コベツ</t>
    </rPh>
    <rPh sb="35" eb="37">
      <t>タンカ</t>
    </rPh>
    <rPh sb="37" eb="39">
      <t>セッテイ</t>
    </rPh>
    <rPh sb="39" eb="41">
      <t>カヒ</t>
    </rPh>
    <rPh sb="47" eb="48">
      <t>カ</t>
    </rPh>
    <phoneticPr fontId="2"/>
  </si>
  <si>
    <t>場合、活性にて表示する。個別単価設定可否フラグが0（否）の場合、非活性にて表示する。</t>
    <rPh sb="12" eb="14">
      <t>コベツ</t>
    </rPh>
    <rPh sb="14" eb="16">
      <t>タンカ</t>
    </rPh>
    <rPh sb="16" eb="18">
      <t>セッテイ</t>
    </rPh>
    <rPh sb="18" eb="20">
      <t>カヒ</t>
    </rPh>
    <rPh sb="26" eb="27">
      <t>イナ</t>
    </rPh>
    <rPh sb="29" eb="31">
      <t>バアイ</t>
    </rPh>
    <rPh sb="32" eb="33">
      <t>ヒ</t>
    </rPh>
    <rPh sb="33" eb="35">
      <t>カッセイ</t>
    </rPh>
    <rPh sb="37" eb="39">
      <t>ヒョウジ</t>
    </rPh>
    <phoneticPr fontId="2"/>
  </si>
  <si>
    <t>職種：一般以外</t>
    <rPh sb="0" eb="2">
      <t>ショクシュ</t>
    </rPh>
    <rPh sb="3" eb="5">
      <t>イッパン</t>
    </rPh>
    <rPh sb="5" eb="7">
      <t>イガイ</t>
    </rPh>
    <phoneticPr fontId="2"/>
  </si>
  <si>
    <t>職種：一般</t>
    <rPh sb="0" eb="2">
      <t>ショクシュ</t>
    </rPh>
    <rPh sb="3" eb="5">
      <t>イッパン</t>
    </rPh>
    <phoneticPr fontId="2"/>
  </si>
  <si>
    <t>職種：RA・留学生チューター・研究活動等支援員</t>
    <rPh sb="0" eb="2">
      <t>ショクシュ</t>
    </rPh>
    <rPh sb="6" eb="9">
      <t>リュウガクセイ</t>
    </rPh>
    <phoneticPr fontId="2"/>
  </si>
  <si>
    <t>職種：LA</t>
    <rPh sb="0" eb="2">
      <t>ショクシュ</t>
    </rPh>
    <phoneticPr fontId="2"/>
  </si>
  <si>
    <t>リストボックス（51以降）</t>
    <rPh sb="10" eb="12">
      <t>イコウ</t>
    </rPh>
    <phoneticPr fontId="10"/>
  </si>
  <si>
    <t>業務内容等</t>
    <rPh sb="0" eb="5">
      <t>ギョウムナイヨウトウ</t>
    </rPh>
    <phoneticPr fontId="10"/>
  </si>
  <si>
    <t>・</t>
    <phoneticPr fontId="2"/>
  </si>
  <si>
    <t>業務内容等は職種が一般の場合は、必須項目とする。</t>
    <rPh sb="0" eb="5">
      <t>ギョウムナイヨウトウ</t>
    </rPh>
    <rPh sb="6" eb="8">
      <t>ショクシュ</t>
    </rPh>
    <rPh sb="9" eb="11">
      <t>イッパン</t>
    </rPh>
    <rPh sb="12" eb="14">
      <t>バアイ</t>
    </rPh>
    <rPh sb="16" eb="20">
      <t>ヒッスコウモク</t>
    </rPh>
    <phoneticPr fontId="2"/>
  </si>
  <si>
    <t>※ユーザコードマスタ[UC0001]（職種マスタ）より職種に</t>
    <rPh sb="19" eb="21">
      <t>ショクシュ</t>
    </rPh>
    <rPh sb="27" eb="29">
      <t>ショクシュ</t>
    </rPh>
    <phoneticPr fontId="2"/>
  </si>
  <si>
    <t>　　一致する名称3を設定</t>
    <phoneticPr fontId="2"/>
  </si>
  <si>
    <t>※学生所属コードの先頭1桁目でコードマスタ[C00003]に</t>
    <rPh sb="1" eb="3">
      <t>ガクセイ</t>
    </rPh>
    <rPh sb="3" eb="5">
      <t>ショゾク</t>
    </rPh>
    <rPh sb="9" eb="11">
      <t>セントウ</t>
    </rPh>
    <rPh sb="12" eb="14">
      <t>ケタメ</t>
    </rPh>
    <phoneticPr fontId="2"/>
  </si>
  <si>
    <t>　　一致するコード値名称1を設定</t>
    <phoneticPr fontId="2"/>
  </si>
  <si>
    <t>【予算区分】</t>
    <rPh sb="1" eb="5">
      <t>ヨサンクブン</t>
    </rPh>
    <phoneticPr fontId="2"/>
  </si>
  <si>
    <t>予算区分</t>
    <rPh sb="0" eb="4">
      <t>ヨサンクブン</t>
    </rPh>
    <phoneticPr fontId="2"/>
  </si>
  <si>
    <t>00：-</t>
    <phoneticPr fontId="2"/>
  </si>
  <si>
    <t>01：TA 学部</t>
    <rPh sb="6" eb="8">
      <t>ガクブ</t>
    </rPh>
    <phoneticPr fontId="4"/>
  </si>
  <si>
    <t>02：TA 大学院</t>
    <rPh sb="6" eb="9">
      <t>ダイガクイン</t>
    </rPh>
    <phoneticPr fontId="4"/>
  </si>
  <si>
    <t>03：プロジェクト科目</t>
    <rPh sb="9" eb="11">
      <t>カモク</t>
    </rPh>
    <phoneticPr fontId="4"/>
  </si>
  <si>
    <t>【業務コード】</t>
    <rPh sb="1" eb="3">
      <t>ギョウム</t>
    </rPh>
    <phoneticPr fontId="2"/>
  </si>
  <si>
    <t>【予算コード】</t>
    <rPh sb="1" eb="3">
      <t>ヨサン</t>
    </rPh>
    <phoneticPr fontId="2"/>
  </si>
  <si>
    <t>【配分先コード】</t>
    <rPh sb="1" eb="4">
      <t>ハイブンサキ</t>
    </rPh>
    <phoneticPr fontId="2"/>
  </si>
  <si>
    <t>業務コード：業務名</t>
    <rPh sb="0" eb="2">
      <t>ギョウム</t>
    </rPh>
    <rPh sb="6" eb="8">
      <t>ギョウム</t>
    </rPh>
    <rPh sb="8" eb="9">
      <t>メイ</t>
    </rPh>
    <phoneticPr fontId="2"/>
  </si>
  <si>
    <t>予算コード：予算名</t>
    <rPh sb="0" eb="2">
      <t>ヨサン</t>
    </rPh>
    <rPh sb="6" eb="9">
      <t>ヨサンメイ</t>
    </rPh>
    <phoneticPr fontId="2"/>
  </si>
  <si>
    <t>配分先コード：配分先名</t>
    <rPh sb="0" eb="3">
      <t>ハイブンサキ</t>
    </rPh>
    <rPh sb="7" eb="11">
      <t>ハイブンサキメイ</t>
    </rPh>
    <phoneticPr fontId="2"/>
  </si>
  <si>
    <t>※業務コードで予算マスタを抽出して表示する</t>
    <rPh sb="1" eb="3">
      <t>ギョウム</t>
    </rPh>
    <rPh sb="7" eb="9">
      <t>ヨサン</t>
    </rPh>
    <rPh sb="13" eb="15">
      <t>チュウシュツ</t>
    </rPh>
    <rPh sb="17" eb="19">
      <t>ヒョウジ</t>
    </rPh>
    <phoneticPr fontId="2"/>
  </si>
  <si>
    <t>〇</t>
  </si>
  <si>
    <t>〇</t>
    <phoneticPr fontId="2"/>
  </si>
  <si>
    <t>△</t>
    <phoneticPr fontId="2"/>
  </si>
  <si>
    <t>×</t>
    <phoneticPr fontId="2"/>
  </si>
  <si>
    <t>必須：△の項目については職種によって必須かどうかが変わります。</t>
    <rPh sb="0" eb="2">
      <t>ヒッス</t>
    </rPh>
    <rPh sb="5" eb="7">
      <t>コウモク</t>
    </rPh>
    <rPh sb="12" eb="14">
      <t>ショクシュ</t>
    </rPh>
    <rPh sb="18" eb="20">
      <t>ヒッス</t>
    </rPh>
    <rPh sb="25" eb="26">
      <t>カ</t>
    </rPh>
    <phoneticPr fontId="2"/>
  </si>
  <si>
    <t>条件については、雇用情報マスタ編集の補足説明参照。</t>
    <rPh sb="0" eb="2">
      <t>ジョウケン</t>
    </rPh>
    <rPh sb="8" eb="12">
      <t>コヨウジョウホウ</t>
    </rPh>
    <rPh sb="15" eb="17">
      <t>ヘンシュウ</t>
    </rPh>
    <rPh sb="18" eb="22">
      <t>ホソクセツメイ</t>
    </rPh>
    <rPh sb="22" eb="24">
      <t>サンショウ</t>
    </rPh>
    <phoneticPr fontId="2"/>
  </si>
  <si>
    <t>01：ＴＡ、02：ＳＡ、03：ＲＡ、04：ＬＡ、05：留学生チューター、06：研究活動等支援員、51：一般</t>
    <rPh sb="39" eb="41">
      <t>ケンキュウ</t>
    </rPh>
    <rPh sb="41" eb="43">
      <t>カツドウ</t>
    </rPh>
    <rPh sb="43" eb="44">
      <t>トウ</t>
    </rPh>
    <rPh sb="44" eb="47">
      <t>シエンイン</t>
    </rPh>
    <rPh sb="51" eb="53">
      <t>イッパン</t>
    </rPh>
    <phoneticPr fontId="2"/>
  </si>
  <si>
    <t>自動的に設定する。</t>
    <rPh sb="0" eb="3">
      <t>ジドウテキ</t>
    </rPh>
    <rPh sb="4" eb="6">
      <t>セッテイ</t>
    </rPh>
    <phoneticPr fontId="2"/>
  </si>
  <si>
    <t>雇用情報マスタ取込</t>
    <rPh sb="0" eb="4">
      <t>コヨウジョウホウ</t>
    </rPh>
    <rPh sb="7" eb="9">
      <t>トリコミ</t>
    </rPh>
    <phoneticPr fontId="2"/>
  </si>
  <si>
    <t>雇用情報フォーマットに必須項目列を追加し、補足説明を追記</t>
    <rPh sb="0" eb="4">
      <t>コヨウジョウホウ</t>
    </rPh>
    <rPh sb="11" eb="15">
      <t>ヒッスコウモク</t>
    </rPh>
    <rPh sb="15" eb="16">
      <t>レツ</t>
    </rPh>
    <rPh sb="17" eb="19">
      <t>ツイカ</t>
    </rPh>
    <rPh sb="21" eb="25">
      <t>ホソクセツメイ</t>
    </rPh>
    <rPh sb="26" eb="28">
      <t>ツイキ</t>
    </rPh>
    <phoneticPr fontId="2"/>
  </si>
  <si>
    <t>単価一覧フォーマットと同じ</t>
    <rPh sb="0" eb="3">
      <t>タンカイチラン</t>
    </rPh>
    <rPh sb="10" eb="11">
      <t>オナ</t>
    </rPh>
    <phoneticPr fontId="2"/>
  </si>
  <si>
    <t>H560201 固定</t>
    <rPh sb="8" eb="10">
      <t>コテイ</t>
    </rPh>
    <phoneticPr fontId="10"/>
  </si>
  <si>
    <t>ユーザコードマスタ[UC001].職種マスタ.校地移動単価</t>
    <rPh sb="17" eb="19">
      <t>ショクシュ</t>
    </rPh>
    <rPh sb="23" eb="26">
      <t>コウチイドウ</t>
    </rPh>
    <rPh sb="26" eb="28">
      <t>タンカ</t>
    </rPh>
    <phoneticPr fontId="10"/>
  </si>
  <si>
    <t>給与支給日マスタの雇用年度をグループ化して表示</t>
    <rPh sb="0" eb="5">
      <t>キュウヨシキュウビ</t>
    </rPh>
    <rPh sb="9" eb="11">
      <t>コヨウ</t>
    </rPh>
    <rPh sb="11" eb="13">
      <t>ネンド</t>
    </rPh>
    <rPh sb="18" eb="19">
      <t>カ</t>
    </rPh>
    <rPh sb="21" eb="23">
      <t>ヒョウジ</t>
    </rPh>
    <phoneticPr fontId="2"/>
  </si>
  <si>
    <t>雇用年度のリストボックスの取得仕様を変更</t>
    <rPh sb="0" eb="4">
      <t>コヨウネンド</t>
    </rPh>
    <rPh sb="13" eb="15">
      <t>シュトク</t>
    </rPh>
    <rPh sb="15" eb="17">
      <t>シヨウ</t>
    </rPh>
    <rPh sb="18" eb="20">
      <t>ヘンコウ</t>
    </rPh>
    <phoneticPr fontId="2"/>
  </si>
  <si>
    <t>インタフェース定義資料変更に基づくフォーマット内容の変更反映</t>
    <rPh sb="7" eb="9">
      <t>テイギ</t>
    </rPh>
    <rPh sb="9" eb="11">
      <t>シリョウ</t>
    </rPh>
    <rPh sb="11" eb="13">
      <t>ヘンコウ</t>
    </rPh>
    <rPh sb="14" eb="15">
      <t>モト</t>
    </rPh>
    <rPh sb="23" eb="25">
      <t>ナイヨウ</t>
    </rPh>
    <rPh sb="26" eb="30">
      <t>ヘンコウハンエイ</t>
    </rPh>
    <phoneticPr fontId="2"/>
  </si>
  <si>
    <t>法人コード</t>
    <rPh sb="0" eb="2">
      <t>ホウジン</t>
    </rPh>
    <phoneticPr fontId="10"/>
  </si>
  <si>
    <t>職員番号</t>
    <rPh sb="0" eb="2">
      <t>ショクイン</t>
    </rPh>
    <rPh sb="2" eb="4">
      <t>バンゴウ</t>
    </rPh>
    <phoneticPr fontId="10"/>
  </si>
  <si>
    <t>給与支給区分</t>
    <phoneticPr fontId="4"/>
  </si>
  <si>
    <t>職能等級コード</t>
    <rPh sb="0" eb="2">
      <t>ショクノウ</t>
    </rPh>
    <rPh sb="2" eb="4">
      <t>トウキュウ</t>
    </rPh>
    <phoneticPr fontId="4"/>
  </si>
  <si>
    <t>職務等級コード</t>
    <phoneticPr fontId="4"/>
  </si>
  <si>
    <t>職位コード</t>
    <phoneticPr fontId="4"/>
  </si>
  <si>
    <t>職群コード</t>
    <phoneticPr fontId="4"/>
  </si>
  <si>
    <t>職種コード</t>
    <rPh sb="0" eb="2">
      <t>ショクシュ</t>
    </rPh>
    <phoneticPr fontId="4"/>
  </si>
  <si>
    <t>雇用情報マスタ編集</t>
    <rPh sb="0" eb="4">
      <t>コヨウジョウホウ</t>
    </rPh>
    <rPh sb="7" eb="9">
      <t>ヘンシュウ</t>
    </rPh>
    <phoneticPr fontId="2"/>
  </si>
  <si>
    <t>※部署連番で業務マスタを抽出して表示する</t>
    <rPh sb="1" eb="3">
      <t>ブショ</t>
    </rPh>
    <rPh sb="3" eb="5">
      <t>レンバン</t>
    </rPh>
    <rPh sb="6" eb="8">
      <t>ギョウム</t>
    </rPh>
    <rPh sb="12" eb="14">
      <t>チュウシュツ</t>
    </rPh>
    <rPh sb="16" eb="18">
      <t>ヒョウジ</t>
    </rPh>
    <phoneticPr fontId="2"/>
  </si>
  <si>
    <t>※部署連番で予算マスタを抽出して表示する</t>
    <rPh sb="1" eb="3">
      <t>ブショ</t>
    </rPh>
    <rPh sb="3" eb="5">
      <t>レンバン</t>
    </rPh>
    <rPh sb="6" eb="8">
      <t>ヨサン</t>
    </rPh>
    <rPh sb="12" eb="14">
      <t>チュウシュツ</t>
    </rPh>
    <rPh sb="16" eb="18">
      <t>ヒョウジ</t>
    </rPh>
    <phoneticPr fontId="2"/>
  </si>
  <si>
    <t>※部署連番で配分先マスタを抽出して表示する</t>
    <rPh sb="1" eb="3">
      <t>ブショ</t>
    </rPh>
    <rPh sb="3" eb="5">
      <t>レンバン</t>
    </rPh>
    <rPh sb="6" eb="9">
      <t>ハイブンサキ</t>
    </rPh>
    <rPh sb="13" eb="15">
      <t>チュウシュツ</t>
    </rPh>
    <rPh sb="17" eb="19">
      <t>ヒョウジ</t>
    </rPh>
    <phoneticPr fontId="2"/>
  </si>
  <si>
    <t>・</t>
    <phoneticPr fontId="2"/>
  </si>
  <si>
    <t>登録、更新時に雇用年度がシステム日付の年度より過去年度の場合は、</t>
    <rPh sb="0" eb="2">
      <t>トウロク</t>
    </rPh>
    <rPh sb="3" eb="6">
      <t>コウシンジ</t>
    </rPh>
    <rPh sb="7" eb="11">
      <t>コヨウネンド</t>
    </rPh>
    <rPh sb="16" eb="18">
      <t>ヒヅケ</t>
    </rPh>
    <rPh sb="19" eb="21">
      <t>ネンド</t>
    </rPh>
    <rPh sb="23" eb="27">
      <t>カコネンド</t>
    </rPh>
    <rPh sb="28" eb="30">
      <t>バアイ</t>
    </rPh>
    <phoneticPr fontId="2"/>
  </si>
  <si>
    <t>登録、更新できないようにエラーを表示する。</t>
    <rPh sb="0" eb="2">
      <t>トウロク</t>
    </rPh>
    <rPh sb="3" eb="5">
      <t>コウシン</t>
    </rPh>
    <rPh sb="16" eb="18">
      <t>ヒョウジ</t>
    </rPh>
    <phoneticPr fontId="2"/>
  </si>
  <si>
    <t>「システム日付年度より過去の年度は登録できません。」</t>
    <rPh sb="5" eb="7">
      <t>ヒヅケ</t>
    </rPh>
    <rPh sb="7" eb="9">
      <t>ネンド</t>
    </rPh>
    <rPh sb="11" eb="13">
      <t>カコ</t>
    </rPh>
    <rPh sb="14" eb="16">
      <t>ネンド</t>
    </rPh>
    <rPh sb="17" eb="19">
      <t>トウロク</t>
    </rPh>
    <phoneticPr fontId="2"/>
  </si>
  <si>
    <t>業務、予算、配分先のリストボックスの抽出キーを雇用部課から部署連番に変更
登録、更新時に過去年度の登録はエラー</t>
    <rPh sb="0" eb="2">
      <t>ギョウム</t>
    </rPh>
    <rPh sb="3" eb="5">
      <t>ヨサン</t>
    </rPh>
    <rPh sb="6" eb="9">
      <t>ハイブンサキ</t>
    </rPh>
    <rPh sb="18" eb="20">
      <t>チュウシュツ</t>
    </rPh>
    <rPh sb="23" eb="27">
      <t>コヨウブカ</t>
    </rPh>
    <rPh sb="29" eb="31">
      <t>ブショ</t>
    </rPh>
    <rPh sb="31" eb="33">
      <t>レンバン</t>
    </rPh>
    <rPh sb="34" eb="36">
      <t>ヘンコウ</t>
    </rPh>
    <rPh sb="37" eb="39">
      <t>トウロク</t>
    </rPh>
    <rPh sb="40" eb="43">
      <t>コウシンジ</t>
    </rPh>
    <rPh sb="44" eb="48">
      <t>カコネンド</t>
    </rPh>
    <rPh sb="49" eb="51">
      <t>トウロク</t>
    </rPh>
    <phoneticPr fontId="2"/>
  </si>
  <si>
    <t>中村　恒太郎</t>
    <rPh sb="0" eb="2">
      <t>ナカムラ</t>
    </rPh>
    <rPh sb="3" eb="4">
      <t>コウ</t>
    </rPh>
    <rPh sb="4" eb="6">
      <t>タロウ</t>
    </rPh>
    <phoneticPr fontId="2"/>
  </si>
  <si>
    <t>雇用開始日、終了日を学年暦から取得する際の方法を明記</t>
    <rPh sb="0" eb="5">
      <t>コヨウカイシビ</t>
    </rPh>
    <rPh sb="6" eb="8">
      <t>シュウリョウ</t>
    </rPh>
    <rPh sb="8" eb="9">
      <t>ビ</t>
    </rPh>
    <rPh sb="10" eb="13">
      <t>ガクネンレキ</t>
    </rPh>
    <rPh sb="15" eb="17">
      <t>シュトク</t>
    </rPh>
    <rPh sb="19" eb="20">
      <t>サイ</t>
    </rPh>
    <rPh sb="21" eb="23">
      <t>ホウホウ</t>
    </rPh>
    <rPh sb="24" eb="26">
      <t>メイキ</t>
    </rPh>
    <phoneticPr fontId="2"/>
  </si>
  <si>
    <t>雇用年度と科目より学年暦マスタを参照し自動設定　※1</t>
    <rPh sb="0" eb="4">
      <t>コヨウネンド</t>
    </rPh>
    <rPh sb="5" eb="7">
      <t>カモク</t>
    </rPh>
    <rPh sb="9" eb="11">
      <t>ガクネン</t>
    </rPh>
    <rPh sb="11" eb="12">
      <t>レキ</t>
    </rPh>
    <rPh sb="16" eb="18">
      <t>サンショウ</t>
    </rPh>
    <rPh sb="19" eb="21">
      <t>ジドウ</t>
    </rPh>
    <rPh sb="21" eb="23">
      <t>セッテイ</t>
    </rPh>
    <phoneticPr fontId="2"/>
  </si>
  <si>
    <t>雇用年度と科目より学年暦マスタを参照し自動設定  ※1</t>
    <rPh sb="0" eb="4">
      <t>コヨウネンド</t>
    </rPh>
    <rPh sb="5" eb="7">
      <t>カモク</t>
    </rPh>
    <rPh sb="9" eb="11">
      <t>ガクネン</t>
    </rPh>
    <rPh sb="11" eb="12">
      <t>レキ</t>
    </rPh>
    <rPh sb="16" eb="18">
      <t>サンショウ</t>
    </rPh>
    <rPh sb="19" eb="21">
      <t>ジドウ</t>
    </rPh>
    <rPh sb="21" eb="23">
      <t>セッテイ</t>
    </rPh>
    <phoneticPr fontId="2"/>
  </si>
  <si>
    <t>2023年度 秋学期開講科目　⇒ 20230921～20240331</t>
    <rPh sb="7" eb="8">
      <t>アキ</t>
    </rPh>
    <phoneticPr fontId="2"/>
  </si>
  <si>
    <t>　例）　</t>
    <rPh sb="1" eb="2">
      <t>レイ</t>
    </rPh>
    <phoneticPr fontId="2"/>
  </si>
  <si>
    <t>2023年度 春学期開講科目　⇒ 20230401～20230920</t>
    <phoneticPr fontId="2"/>
  </si>
  <si>
    <t>2023年度 通年開講科目　⇒ 20230401～20240331</t>
    <rPh sb="7" eb="9">
      <t>ツウネン</t>
    </rPh>
    <phoneticPr fontId="2"/>
  </si>
  <si>
    <t>条件</t>
    <rPh sb="0" eb="2">
      <t>ジョウケン</t>
    </rPh>
    <phoneticPr fontId="2"/>
  </si>
  <si>
    <t>一般（学生アルバイト）の複数身分IDの採番方法を見直し。</t>
    <rPh sb="0" eb="2">
      <t>イッパン</t>
    </rPh>
    <rPh sb="3" eb="5">
      <t>ガクセイ</t>
    </rPh>
    <rPh sb="12" eb="14">
      <t>フクスウ</t>
    </rPh>
    <rPh sb="14" eb="16">
      <t>ミブン</t>
    </rPh>
    <rPh sb="19" eb="23">
      <t>サイバンホウホウ</t>
    </rPh>
    <rPh sb="24" eb="26">
      <t>ミナオ</t>
    </rPh>
    <phoneticPr fontId="2"/>
  </si>
  <si>
    <t>上記以外の場合</t>
    <rPh sb="0" eb="2">
      <t>ジョウキ</t>
    </rPh>
    <rPh sb="2" eb="4">
      <t>イガイ</t>
    </rPh>
    <rPh sb="5" eb="7">
      <t>バアイ</t>
    </rPh>
    <phoneticPr fontId="2"/>
  </si>
  <si>
    <t>作成日時</t>
    <rPh sb="0" eb="2">
      <t>サクセイ</t>
    </rPh>
    <rPh sb="2" eb="4">
      <t>ニチジ</t>
    </rPh>
    <phoneticPr fontId="4"/>
  </si>
  <si>
    <t>最終更新者</t>
    <rPh sb="0" eb="2">
      <t>サイシュウ</t>
    </rPh>
    <rPh sb="2" eb="5">
      <t>コウシンシャ</t>
    </rPh>
    <phoneticPr fontId="4"/>
  </si>
  <si>
    <t>処理ID</t>
    <rPh sb="0" eb="2">
      <t>ショリ</t>
    </rPh>
    <phoneticPr fontId="4"/>
  </si>
  <si>
    <t>更新日時</t>
    <rPh sb="0" eb="2">
      <t>コウシン</t>
    </rPh>
    <rPh sb="2" eb="4">
      <t>ニチジ</t>
    </rPh>
    <phoneticPr fontId="4"/>
  </si>
  <si>
    <t>に情報ダウンロードフォーマット作成日時、最終更新者、処理ＩＤ、更新日時を追加。</t>
    <rPh sb="36" eb="38">
      <t>ツイカ</t>
    </rPh>
    <phoneticPr fontId="2"/>
  </si>
  <si>
    <t>更新日のカレンダーを押下すると、カレンダーを表示する。</t>
    <rPh sb="0" eb="3">
      <t>コウシンビ</t>
    </rPh>
    <rPh sb="10" eb="12">
      <t>オウカ</t>
    </rPh>
    <phoneticPr fontId="2"/>
  </si>
  <si>
    <t>雇用年度、学生ID、学生氏名、雇用部課</t>
    <rPh sb="0" eb="2">
      <t>コヨウ</t>
    </rPh>
    <rPh sb="2" eb="4">
      <t>ネンド</t>
    </rPh>
    <rPh sb="5" eb="7">
      <t>ガクセイ</t>
    </rPh>
    <rPh sb="10" eb="12">
      <t>ガクセイ</t>
    </rPh>
    <rPh sb="12" eb="14">
      <t>シメイ</t>
    </rPh>
    <rPh sb="15" eb="19">
      <t>コヨウブカ</t>
    </rPh>
    <phoneticPr fontId="10"/>
  </si>
  <si>
    <t>のいづれかが検索条件にないとエラーとする。</t>
    <rPh sb="6" eb="8">
      <t>ケンサク</t>
    </rPh>
    <rPh sb="8" eb="10">
      <t>ジョウケン</t>
    </rPh>
    <phoneticPr fontId="10"/>
  </si>
  <si>
    <t>検索条件の削減</t>
    <rPh sb="0" eb="2">
      <t>ケンサク</t>
    </rPh>
    <rPh sb="2" eb="4">
      <t>ジョウケン</t>
    </rPh>
    <rPh sb="5" eb="7">
      <t>サクゲン</t>
    </rPh>
    <phoneticPr fontId="2"/>
  </si>
  <si>
    <t>○雇用情報の表示内容</t>
    <rPh sb="1" eb="5">
      <t>コヨウジョウホウ</t>
    </rPh>
    <rPh sb="6" eb="10">
      <t>ヒョウジナイヨウ</t>
    </rPh>
    <phoneticPr fontId="10"/>
  </si>
  <si>
    <t>○エラーメッセージ</t>
    <phoneticPr fontId="10"/>
  </si>
  <si>
    <t>エラー条件</t>
    <rPh sb="3" eb="5">
      <t>ジョウケン</t>
    </rPh>
    <phoneticPr fontId="10"/>
  </si>
  <si>
    <t>エラーメッセージ</t>
    <phoneticPr fontId="10"/>
  </si>
  <si>
    <t>雇用年度・学生ID・学生氏名・雇用部課のいづれかが未入力の場合</t>
    <rPh sb="0" eb="4">
      <t>コヨウネンド</t>
    </rPh>
    <rPh sb="5" eb="7">
      <t>ガクセイ</t>
    </rPh>
    <rPh sb="10" eb="14">
      <t>ガクセイシメイ</t>
    </rPh>
    <rPh sb="15" eb="19">
      <t>コヨウブカ</t>
    </rPh>
    <rPh sb="25" eb="28">
      <t>ミニュウリョク</t>
    </rPh>
    <rPh sb="29" eb="31">
      <t>バアイ</t>
    </rPh>
    <phoneticPr fontId="10"/>
  </si>
  <si>
    <t>検索条件が不足しています。検索条件の指定を追加してください。</t>
    <phoneticPr fontId="10"/>
  </si>
  <si>
    <t>●編集モードの場合、以下の項目を非活性とし、編集不可とする。</t>
    <rPh sb="1" eb="3">
      <t>ヘンシュウ</t>
    </rPh>
    <rPh sb="7" eb="9">
      <t>バアイ</t>
    </rPh>
    <rPh sb="10" eb="12">
      <t>イカ</t>
    </rPh>
    <rPh sb="13" eb="15">
      <t>コウモク</t>
    </rPh>
    <rPh sb="16" eb="19">
      <t>ヒカッセイ</t>
    </rPh>
    <rPh sb="22" eb="26">
      <t>ヘンシュウフカ</t>
    </rPh>
    <phoneticPr fontId="2"/>
  </si>
  <si>
    <t>雇用部課</t>
    <rPh sb="0" eb="4">
      <t>コヨウブカ</t>
    </rPh>
    <phoneticPr fontId="10"/>
  </si>
  <si>
    <t>予算区分</t>
    <rPh sb="0" eb="4">
      <t>ヨサンクブン</t>
    </rPh>
    <phoneticPr fontId="10"/>
  </si>
  <si>
    <t>複数身分IDの採番ルールを変更</t>
    <rPh sb="0" eb="4">
      <t>フクスウミブン</t>
    </rPh>
    <rPh sb="7" eb="9">
      <t>サイバン</t>
    </rPh>
    <rPh sb="13" eb="15">
      <t>ヘンコウ</t>
    </rPh>
    <phoneticPr fontId="2"/>
  </si>
  <si>
    <t>※職種が一般(学生アルバイト)の場合、以下の条件で予算区分コードを</t>
    <rPh sb="1" eb="3">
      <t>ショクシュ</t>
    </rPh>
    <rPh sb="4" eb="6">
      <t>イッパン</t>
    </rPh>
    <rPh sb="7" eb="9">
      <t>ガクセイ</t>
    </rPh>
    <rPh sb="16" eb="18">
      <t>バアイ</t>
    </rPh>
    <rPh sb="19" eb="21">
      <t>イカ</t>
    </rPh>
    <rPh sb="22" eb="24">
      <t>ジョウケン</t>
    </rPh>
    <rPh sb="25" eb="27">
      <t>ヨサン</t>
    </rPh>
    <rPh sb="27" eb="29">
      <t>クブン</t>
    </rPh>
    <phoneticPr fontId="2"/>
  </si>
  <si>
    <t>重複チェックを行う。</t>
    <rPh sb="0" eb="2">
      <t>チョウフク</t>
    </rPh>
    <rPh sb="7" eb="8">
      <t>オコナ</t>
    </rPh>
    <phoneticPr fontId="2"/>
  </si>
  <si>
    <t>同一雇用年度、学生(社員ID)、複数身分IDが設定されている</t>
    <rPh sb="0" eb="2">
      <t>ドウイツ</t>
    </rPh>
    <rPh sb="2" eb="6">
      <t>コヨウネンド</t>
    </rPh>
    <rPh sb="7" eb="9">
      <t>ガクセイ</t>
    </rPh>
    <rPh sb="10" eb="12">
      <t>シャイン</t>
    </rPh>
    <rPh sb="16" eb="18">
      <t>フクスウ</t>
    </rPh>
    <rPh sb="18" eb="20">
      <t>ミブン</t>
    </rPh>
    <rPh sb="23" eb="25">
      <t>セッテイ</t>
    </rPh>
    <phoneticPr fontId="2"/>
  </si>
  <si>
    <t>かつ、同一業務コード、予算コード、配分先コードが</t>
    <rPh sb="3" eb="5">
      <t>ドウイツ</t>
    </rPh>
    <rPh sb="17" eb="20">
      <t>ハイブンサキ</t>
    </rPh>
    <phoneticPr fontId="2"/>
  </si>
  <si>
    <t>登録されていて、予算区分が不一致の場合、エラーとする。</t>
    <rPh sb="0" eb="2">
      <t>トウロク</t>
    </rPh>
    <rPh sb="8" eb="12">
      <t>ヨサンクブン</t>
    </rPh>
    <rPh sb="13" eb="16">
      <t>フイッチ</t>
    </rPh>
    <rPh sb="17" eb="19">
      <t>バアイ</t>
    </rPh>
    <phoneticPr fontId="2"/>
  </si>
  <si>
    <t>予算区分</t>
    <rPh sb="0" eb="4">
      <t>ヨサンクブン</t>
    </rPh>
    <phoneticPr fontId="2"/>
  </si>
  <si>
    <t>同一雇用年度、学生(社員ID)、複数身分IDが設定されていて</t>
    <rPh sb="0" eb="2">
      <t>ドウイツ</t>
    </rPh>
    <rPh sb="2" eb="6">
      <t>コヨウネンド</t>
    </rPh>
    <rPh sb="7" eb="9">
      <t>ガクセイ</t>
    </rPh>
    <rPh sb="10" eb="12">
      <t>シャイン</t>
    </rPh>
    <rPh sb="16" eb="18">
      <t>フクスウ</t>
    </rPh>
    <rPh sb="18" eb="20">
      <t>ミブン</t>
    </rPh>
    <rPh sb="23" eb="25">
      <t>セッテイ</t>
    </rPh>
    <phoneticPr fontId="2"/>
  </si>
  <si>
    <t>予算区分が一致する場合、エラーとする。</t>
    <rPh sb="0" eb="4">
      <t>ヨサンクブン</t>
    </rPh>
    <rPh sb="5" eb="7">
      <t>イッチ</t>
    </rPh>
    <rPh sb="9" eb="11">
      <t>バアイ</t>
    </rPh>
    <phoneticPr fontId="2"/>
  </si>
  <si>
    <t>○エラーメッセージ</t>
    <phoneticPr fontId="10"/>
  </si>
  <si>
    <t>職種が51（一般）且つ、業務内容等が空の場合</t>
    <rPh sb="0" eb="2">
      <t>ショクシュ</t>
    </rPh>
    <rPh sb="6" eb="8">
      <t>イッパン</t>
    </rPh>
    <rPh sb="9" eb="10">
      <t>カ</t>
    </rPh>
    <rPh sb="12" eb="17">
      <t>ギョウムナイヨウトウ</t>
    </rPh>
    <rPh sb="18" eb="19">
      <t>カラ</t>
    </rPh>
    <rPh sb="20" eb="22">
      <t>バアイ</t>
    </rPh>
    <phoneticPr fontId="10"/>
  </si>
  <si>
    <t>業務内容等を入力してください。</t>
    <rPh sb="0" eb="5">
      <t>ギョウムナイヨウトウ</t>
    </rPh>
    <rPh sb="6" eb="8">
      <t>ニュウリョク</t>
    </rPh>
    <phoneticPr fontId="10"/>
  </si>
  <si>
    <t>業務コード選択済み、且つ、予算コードが未選択の場合</t>
    <rPh sb="0" eb="2">
      <t>ギョウム</t>
    </rPh>
    <rPh sb="5" eb="7">
      <t>センタク</t>
    </rPh>
    <rPh sb="7" eb="8">
      <t>ズ</t>
    </rPh>
    <rPh sb="10" eb="11">
      <t>カ</t>
    </rPh>
    <rPh sb="13" eb="15">
      <t>ヨサン</t>
    </rPh>
    <rPh sb="19" eb="22">
      <t>ミセンタク</t>
    </rPh>
    <rPh sb="23" eb="25">
      <t>バアイ</t>
    </rPh>
    <phoneticPr fontId="10"/>
  </si>
  <si>
    <t>予算コードを入力してください。</t>
    <rPh sb="0" eb="2">
      <t>ヨサン</t>
    </rPh>
    <rPh sb="6" eb="8">
      <t>ニュウリョク</t>
    </rPh>
    <phoneticPr fontId="10"/>
  </si>
  <si>
    <t>業務コード未選択、且つ、予算コードが選択済みの場合</t>
    <rPh sb="0" eb="2">
      <t>ギョウム</t>
    </rPh>
    <rPh sb="5" eb="8">
      <t>ミセンタク</t>
    </rPh>
    <rPh sb="9" eb="10">
      <t>カ</t>
    </rPh>
    <rPh sb="12" eb="14">
      <t>ヨサン</t>
    </rPh>
    <rPh sb="18" eb="21">
      <t>センタクズ</t>
    </rPh>
    <rPh sb="23" eb="25">
      <t>バアイ</t>
    </rPh>
    <phoneticPr fontId="10"/>
  </si>
  <si>
    <t>業務コードを入力してください。</t>
    <rPh sb="0" eb="2">
      <t>ギョウム</t>
    </rPh>
    <rPh sb="6" eb="8">
      <t>ニュウリョク</t>
    </rPh>
    <phoneticPr fontId="10"/>
  </si>
  <si>
    <t>入力・選択された社員IDが学生でない場合</t>
    <rPh sb="0" eb="2">
      <t>ニュウリョク</t>
    </rPh>
    <rPh sb="3" eb="5">
      <t>センタク</t>
    </rPh>
    <rPh sb="8" eb="10">
      <t>シャイン</t>
    </rPh>
    <rPh sb="13" eb="15">
      <t>ガクセイ</t>
    </rPh>
    <rPh sb="18" eb="20">
      <t>バアイ</t>
    </rPh>
    <phoneticPr fontId="10"/>
  </si>
  <si>
    <t>指定された社員IDは存在しません。</t>
    <rPh sb="0" eb="2">
      <t>シテイ</t>
    </rPh>
    <rPh sb="5" eb="7">
      <t>シャイン</t>
    </rPh>
    <rPh sb="10" eb="12">
      <t>ソンザイ</t>
    </rPh>
    <phoneticPr fontId="10"/>
  </si>
  <si>
    <t>指定された科目は存在しません。</t>
    <rPh sb="0" eb="2">
      <t>シテイ</t>
    </rPh>
    <rPh sb="5" eb="7">
      <t>カモク</t>
    </rPh>
    <rPh sb="8" eb="10">
      <t>ソンザイ</t>
    </rPh>
    <phoneticPr fontId="10"/>
  </si>
  <si>
    <t>授業担当マスタに登録されていない科目・クラスコードを入力した場合</t>
    <rPh sb="0" eb="4">
      <t>ジュギョウタントウ</t>
    </rPh>
    <rPh sb="8" eb="10">
      <t>トウロク</t>
    </rPh>
    <rPh sb="16" eb="18">
      <t>カモク</t>
    </rPh>
    <rPh sb="26" eb="28">
      <t>ニュウリョク</t>
    </rPh>
    <rPh sb="30" eb="32">
      <t>バアイ</t>
    </rPh>
    <phoneticPr fontId="10"/>
  </si>
  <si>
    <t>入力された個別単価は最低給与単価を下回っています。</t>
    <rPh sb="0" eb="2">
      <t>ニュウリョク</t>
    </rPh>
    <rPh sb="5" eb="7">
      <t>コベツ</t>
    </rPh>
    <rPh sb="7" eb="9">
      <t>タンカ</t>
    </rPh>
    <rPh sb="10" eb="12">
      <t>サイテイ</t>
    </rPh>
    <rPh sb="12" eb="14">
      <t>キュウヨ</t>
    </rPh>
    <rPh sb="14" eb="16">
      <t>タンカ</t>
    </rPh>
    <rPh sb="17" eb="19">
      <t>シタマワ</t>
    </rPh>
    <phoneticPr fontId="10"/>
  </si>
  <si>
    <r>
      <t>個別単価が最低給与単価</t>
    </r>
    <r>
      <rPr>
        <vertAlign val="superscript"/>
        <sz val="9"/>
        <rFont val="ＭＳ ゴシック"/>
        <family val="3"/>
        <charset val="128"/>
      </rPr>
      <t>※１</t>
    </r>
    <r>
      <rPr>
        <sz val="9"/>
        <rFont val="ＭＳ ゴシック"/>
        <family val="3"/>
        <charset val="128"/>
      </rPr>
      <t>を下回っていた場合</t>
    </r>
    <rPh sb="0" eb="4">
      <t>コベツタンカ</t>
    </rPh>
    <rPh sb="5" eb="7">
      <t>サイテイ</t>
    </rPh>
    <rPh sb="7" eb="11">
      <t>キュウヨタンカ</t>
    </rPh>
    <rPh sb="14" eb="16">
      <t>シタマワ</t>
    </rPh>
    <rPh sb="20" eb="22">
      <t>バアイ</t>
    </rPh>
    <phoneticPr fontId="10"/>
  </si>
  <si>
    <t>※１.最低給与単価はユーザコードマスタ[UC0001]の職種別に最低給与単価[コード値名称５]を使用</t>
    <rPh sb="3" eb="9">
      <t>サイテイキュウヨタンカ</t>
    </rPh>
    <rPh sb="28" eb="30">
      <t>ショクシュ</t>
    </rPh>
    <rPh sb="30" eb="31">
      <t>ベツ</t>
    </rPh>
    <rPh sb="32" eb="38">
      <t>サイテイキュウヨタンカ</t>
    </rPh>
    <rPh sb="42" eb="45">
      <t>チメイショウ</t>
    </rPh>
    <rPh sb="48" eb="50">
      <t>シヨウ</t>
    </rPh>
    <phoneticPr fontId="2"/>
  </si>
  <si>
    <t>雇用年度がシステム日付から見た年度より過去の場合</t>
    <rPh sb="0" eb="4">
      <t>コヨウネンド</t>
    </rPh>
    <rPh sb="9" eb="11">
      <t>ヒヅケ</t>
    </rPh>
    <rPh sb="13" eb="14">
      <t>ミ</t>
    </rPh>
    <rPh sb="15" eb="17">
      <t>ネンド</t>
    </rPh>
    <rPh sb="19" eb="21">
      <t>カコ</t>
    </rPh>
    <rPh sb="22" eb="24">
      <t>バアイ</t>
    </rPh>
    <phoneticPr fontId="10"/>
  </si>
  <si>
    <t>システム日付年度より過去の年度は登録できません。</t>
    <rPh sb="4" eb="6">
      <t>ヒヅケ</t>
    </rPh>
    <rPh sb="6" eb="8">
      <t>ネンド</t>
    </rPh>
    <rPh sb="10" eb="12">
      <t>カコ</t>
    </rPh>
    <rPh sb="13" eb="15">
      <t>ネンド</t>
    </rPh>
    <rPh sb="16" eb="18">
      <t>トウロク</t>
    </rPh>
    <phoneticPr fontId="10"/>
  </si>
  <si>
    <t>指定された予算区分は既に存在しています。</t>
    <rPh sb="0" eb="2">
      <t>シテイ</t>
    </rPh>
    <rPh sb="5" eb="9">
      <t>ヨサンクブン</t>
    </rPh>
    <rPh sb="10" eb="11">
      <t>スデ</t>
    </rPh>
    <rPh sb="12" eb="14">
      <t>ソンザイ</t>
    </rPh>
    <phoneticPr fontId="10"/>
  </si>
  <si>
    <r>
      <t>予算区分が重複している場合</t>
    </r>
    <r>
      <rPr>
        <vertAlign val="superscript"/>
        <sz val="9"/>
        <rFont val="ＭＳ ゴシック"/>
        <family val="3"/>
        <charset val="128"/>
      </rPr>
      <t>※２</t>
    </r>
    <rPh sb="0" eb="4">
      <t>ヨサンクブン</t>
    </rPh>
    <rPh sb="5" eb="7">
      <t>ジュウフク</t>
    </rPh>
    <rPh sb="11" eb="13">
      <t>バアイ</t>
    </rPh>
    <phoneticPr fontId="10"/>
  </si>
  <si>
    <t>※２.予算区分の重複条件については、右記参照</t>
    <rPh sb="3" eb="5">
      <t>ヨサン</t>
    </rPh>
    <rPh sb="5" eb="7">
      <t>クブン</t>
    </rPh>
    <rPh sb="8" eb="10">
      <t>チョウフク</t>
    </rPh>
    <rPh sb="10" eb="12">
      <t>ジョウケン</t>
    </rPh>
    <rPh sb="18" eb="20">
      <t>ウキ</t>
    </rPh>
    <rPh sb="20" eb="22">
      <t>サンショウ</t>
    </rPh>
    <phoneticPr fontId="2"/>
  </si>
  <si>
    <t>○職種が一般（学生アルバイト）の予算区分の重複チェック</t>
    <rPh sb="1" eb="3">
      <t>ショクシュ</t>
    </rPh>
    <rPh sb="4" eb="6">
      <t>イッパン</t>
    </rPh>
    <rPh sb="7" eb="9">
      <t>ガクセイ</t>
    </rPh>
    <rPh sb="16" eb="20">
      <t>ヨサンクブン</t>
    </rPh>
    <rPh sb="21" eb="23">
      <t>チョウフク</t>
    </rPh>
    <phoneticPr fontId="10"/>
  </si>
  <si>
    <t>同一雇用年度、学生(社員ID)、複数身分IDが設定されている、かつ、同一業務コード、予算コード、</t>
    <rPh sb="0" eb="2">
      <t>ドウイツ</t>
    </rPh>
    <rPh sb="2" eb="6">
      <t>コヨウネンド</t>
    </rPh>
    <rPh sb="7" eb="9">
      <t>ガクセイ</t>
    </rPh>
    <rPh sb="10" eb="12">
      <t>シャイン</t>
    </rPh>
    <rPh sb="16" eb="18">
      <t>フクスウ</t>
    </rPh>
    <rPh sb="18" eb="20">
      <t>ミブン</t>
    </rPh>
    <rPh sb="23" eb="25">
      <t>セッテイ</t>
    </rPh>
    <rPh sb="34" eb="38">
      <t>ドウイツギョウム</t>
    </rPh>
    <rPh sb="42" eb="44">
      <t>ヨサン</t>
    </rPh>
    <phoneticPr fontId="2"/>
  </si>
  <si>
    <t>配分先コードが登録されていて、予算区分が不一致の場合、エラーとする。</t>
    <rPh sb="0" eb="3">
      <t>ハイブンサキ</t>
    </rPh>
    <phoneticPr fontId="2"/>
  </si>
  <si>
    <t>・</t>
    <phoneticPr fontId="2"/>
  </si>
  <si>
    <t>業務コード</t>
    <rPh sb="0" eb="2">
      <t>ギョウム</t>
    </rPh>
    <phoneticPr fontId="2"/>
  </si>
  <si>
    <t>条件：同一雇用年度、学生</t>
    <rPh sb="0" eb="2">
      <t>ジョウケン</t>
    </rPh>
    <rPh sb="3" eb="5">
      <t>ドウイツ</t>
    </rPh>
    <rPh sb="5" eb="9">
      <t>コヨウネンド</t>
    </rPh>
    <rPh sb="10" eb="12">
      <t>ガクセイ</t>
    </rPh>
    <phoneticPr fontId="2"/>
  </si>
  <si>
    <t>入力された情報</t>
    <rPh sb="0" eb="2">
      <t>ニュウリョク</t>
    </rPh>
    <rPh sb="5" eb="7">
      <t>ジョウホウ</t>
    </rPh>
    <phoneticPr fontId="2"/>
  </si>
  <si>
    <t>雇用部課コード</t>
    <rPh sb="0" eb="4">
      <t>コヨウブカ</t>
    </rPh>
    <phoneticPr fontId="2"/>
  </si>
  <si>
    <t>職種コード</t>
    <rPh sb="0" eb="2">
      <t>ショクシュ</t>
    </rPh>
    <phoneticPr fontId="2"/>
  </si>
  <si>
    <t>学生</t>
    <rPh sb="0" eb="2">
      <t>ガクセイ</t>
    </rPh>
    <phoneticPr fontId="2"/>
  </si>
  <si>
    <t>p</t>
    <phoneticPr fontId="2"/>
  </si>
  <si>
    <t>j</t>
    <phoneticPr fontId="2"/>
  </si>
  <si>
    <t>登録OK</t>
    <rPh sb="0" eb="2">
      <t>トウロク</t>
    </rPh>
    <phoneticPr fontId="2"/>
  </si>
  <si>
    <t>登録NG</t>
    <rPh sb="0" eb="2">
      <t>トウロク</t>
    </rPh>
    <phoneticPr fontId="2"/>
  </si>
  <si>
    <t>予算コード</t>
    <rPh sb="0" eb="2">
      <t>ヨサン</t>
    </rPh>
    <phoneticPr fontId="2"/>
  </si>
  <si>
    <t>配分先コード</t>
    <rPh sb="0" eb="3">
      <t>ハイブンサキ</t>
    </rPh>
    <phoneticPr fontId="2"/>
  </si>
  <si>
    <t>学生ＩＤ</t>
    <rPh sb="0" eb="1">
      <t>ガクセイ</t>
    </rPh>
    <phoneticPr fontId="2"/>
  </si>
  <si>
    <t>※職種が一般の場合、重複チェックあり</t>
    <rPh sb="1" eb="3">
      <t>ショクシュ</t>
    </rPh>
    <rPh sb="4" eb="6">
      <t>イッパン</t>
    </rPh>
    <rPh sb="7" eb="9">
      <t>バアイ</t>
    </rPh>
    <rPh sb="10" eb="12">
      <t>チョウフク</t>
    </rPh>
    <phoneticPr fontId="2"/>
  </si>
  <si>
    <t>-</t>
    <phoneticPr fontId="2"/>
  </si>
  <si>
    <t>登録済みの複数身分IDが以下の場合</t>
    <rPh sb="0" eb="2">
      <t>トウロク</t>
    </rPh>
    <rPh sb="2" eb="3">
      <t>ズ</t>
    </rPh>
    <rPh sb="5" eb="7">
      <t>フクスウ</t>
    </rPh>
    <rPh sb="7" eb="9">
      <t>ミブン</t>
    </rPh>
    <rPh sb="12" eb="14">
      <t>イカ</t>
    </rPh>
    <rPh sb="15" eb="17">
      <t>バアイ</t>
    </rPh>
    <phoneticPr fontId="2"/>
  </si>
  <si>
    <t>教員コード</t>
    <rPh sb="0" eb="2">
      <t>キョウイン</t>
    </rPh>
    <phoneticPr fontId="4"/>
  </si>
  <si>
    <t>※教員コードについて</t>
    <rPh sb="1" eb="3">
      <t>キョウイン</t>
    </rPh>
    <phoneticPr fontId="2"/>
  </si>
  <si>
    <t>ダウンロードファイル名の変更
（2024年度保守_項番24）</t>
    <rPh sb="10" eb="11">
      <t>メイ</t>
    </rPh>
    <rPh sb="12" eb="14">
      <t>ヘンコウ</t>
    </rPh>
    <rPh sb="20" eb="24">
      <t>ネンドホシュ</t>
    </rPh>
    <rPh sb="25" eb="27">
      <t>コウバン</t>
    </rPh>
    <phoneticPr fontId="2"/>
  </si>
  <si>
    <t>〇校地間移動単価一覧フォーマット</t>
    <rPh sb="1" eb="3">
      <t>コウチ</t>
    </rPh>
    <rPh sb="3" eb="4">
      <t>カン</t>
    </rPh>
    <rPh sb="4" eb="6">
      <t>イドウ</t>
    </rPh>
    <rPh sb="6" eb="8">
      <t>タンカ</t>
    </rPh>
    <rPh sb="8" eb="10">
      <t>イチラン</t>
    </rPh>
    <phoneticPr fontId="2"/>
  </si>
  <si>
    <t>ファイル名：『単価一覧_[ユーザID]_yyyymmdd.csv』</t>
    <rPh sb="4" eb="5">
      <t>メイ</t>
    </rPh>
    <rPh sb="7" eb="11">
      <t>タンカイチラン</t>
    </rPh>
    <phoneticPr fontId="10"/>
  </si>
  <si>
    <t>ファイル名：『雇用情報_[ユーザID]_yyyymmdd.xlsx』</t>
    <rPh sb="4" eb="5">
      <t>メイ</t>
    </rPh>
    <rPh sb="7" eb="11">
      <t>コヨウジョウホウ</t>
    </rPh>
    <phoneticPr fontId="10"/>
  </si>
  <si>
    <t>ファイル名：『校地間移動単価一覧_[ユーザID]_yyyymmdd.csv』</t>
    <rPh sb="4" eb="5">
      <t>メイ</t>
    </rPh>
    <rPh sb="7" eb="9">
      <t>コウチ</t>
    </rPh>
    <rPh sb="9" eb="10">
      <t>カン</t>
    </rPh>
    <rPh sb="10" eb="12">
      <t>イドウ</t>
    </rPh>
    <rPh sb="12" eb="16">
      <t>タンカイチラン</t>
    </rPh>
    <phoneticPr fontId="10"/>
  </si>
  <si>
    <t>ファイル名：『人事給与連携データ_[ユーザID]_yyyymmdd.csv』</t>
    <rPh sb="4" eb="5">
      <t>メイ</t>
    </rPh>
    <rPh sb="7" eb="13">
      <t>ジンジキュウヨレンケイ</t>
    </rPh>
    <phoneticPr fontId="10"/>
  </si>
  <si>
    <t>TA/SAの時の教員リストボックスを廃止し、テキストボックスに変更
（2024年度改修_項番2）</t>
    <rPh sb="6" eb="7">
      <t>トキ</t>
    </rPh>
    <rPh sb="8" eb="10">
      <t>キョウイン</t>
    </rPh>
    <rPh sb="18" eb="20">
      <t>ハイシ</t>
    </rPh>
    <rPh sb="31" eb="33">
      <t>ヘンコウ</t>
    </rPh>
    <rPh sb="39" eb="43">
      <t>ネンドカイシュウ</t>
    </rPh>
    <rPh sb="44" eb="46">
      <t>コウバン</t>
    </rPh>
    <phoneticPr fontId="2"/>
  </si>
  <si>
    <t>社員選択ポップアップより教員を選択</t>
    <phoneticPr fontId="10"/>
  </si>
  <si>
    <t>※科目を入力/選択時に主担当教員を設定</t>
    <phoneticPr fontId="2"/>
  </si>
  <si>
    <t>○ワーニングメッセージ</t>
    <phoneticPr fontId="10"/>
  </si>
  <si>
    <t>ワーニング条件</t>
    <rPh sb="5" eb="7">
      <t>ジョウケン</t>
    </rPh>
    <phoneticPr fontId="10"/>
  </si>
  <si>
    <t>ワーニングメッセージ</t>
    <phoneticPr fontId="10"/>
  </si>
  <si>
    <t>※1  科目情報（雇用年度（開講年度）、科目コード、クラスコード）から授業の開講期間を求め、</t>
    <rPh sb="4" eb="6">
      <t>カモク</t>
    </rPh>
    <rPh sb="6" eb="8">
      <t>ジョウホウ</t>
    </rPh>
    <rPh sb="9" eb="13">
      <t>コヨウネンド</t>
    </rPh>
    <rPh sb="14" eb="16">
      <t>カイコウ</t>
    </rPh>
    <rPh sb="16" eb="18">
      <t>ネンド</t>
    </rPh>
    <rPh sb="20" eb="22">
      <t>カモク</t>
    </rPh>
    <rPh sb="35" eb="37">
      <t>ジュギョウ</t>
    </rPh>
    <rPh sb="38" eb="40">
      <t>カイコウ</t>
    </rPh>
    <rPh sb="40" eb="42">
      <t>キカン</t>
    </rPh>
    <rPh sb="43" eb="44">
      <t>モト</t>
    </rPh>
    <phoneticPr fontId="2"/>
  </si>
  <si>
    <t>　　　学年暦の期間開始・終了日を使用する。学年暦種別については一律 1:標準　とする。</t>
    <rPh sb="12" eb="14">
      <t>シュウリョウ</t>
    </rPh>
    <rPh sb="14" eb="15">
      <t>ビ</t>
    </rPh>
    <rPh sb="16" eb="18">
      <t>シヨウ</t>
    </rPh>
    <rPh sb="21" eb="24">
      <t>ガクネンレキ</t>
    </rPh>
    <rPh sb="24" eb="26">
      <t>シュベツ</t>
    </rPh>
    <rPh sb="31" eb="33">
      <t>イチリツ</t>
    </rPh>
    <rPh sb="36" eb="38">
      <t>ヒョウジュン</t>
    </rPh>
    <phoneticPr fontId="2"/>
  </si>
  <si>
    <t>指定された教員は科目担当教員ではありません。問題がなければ登録を押してください。</t>
    <rPh sb="0" eb="2">
      <t>シテイ</t>
    </rPh>
    <rPh sb="5" eb="7">
      <t>キョウイン</t>
    </rPh>
    <rPh sb="8" eb="10">
      <t>カモク</t>
    </rPh>
    <rPh sb="10" eb="12">
      <t>タントウ</t>
    </rPh>
    <rPh sb="12" eb="14">
      <t>キョウイン</t>
    </rPh>
    <rPh sb="22" eb="24">
      <t>モンダイ</t>
    </rPh>
    <rPh sb="29" eb="31">
      <t>トウロク</t>
    </rPh>
    <rPh sb="32" eb="33">
      <t>オ</t>
    </rPh>
    <phoneticPr fontId="10"/>
  </si>
  <si>
    <t>雇用情報マスタ編集
雇用情報マスタ取込</t>
    <rPh sb="0" eb="4">
      <t>コヨウジョウホウ</t>
    </rPh>
    <rPh sb="7" eb="9">
      <t>ヘンシュウ</t>
    </rPh>
    <phoneticPr fontId="2"/>
  </si>
  <si>
    <t>教員コードが設定されていない且つ、科目コードが設定されている場合に科目の教員コードを</t>
    <rPh sb="6" eb="8">
      <t>セッテイ</t>
    </rPh>
    <rPh sb="14" eb="15">
      <t>カ</t>
    </rPh>
    <rPh sb="17" eb="19">
      <t>カモク</t>
    </rPh>
    <rPh sb="23" eb="25">
      <t>セッテイ</t>
    </rPh>
    <rPh sb="30" eb="32">
      <t>バアイ</t>
    </rPh>
    <rPh sb="33" eb="35">
      <t>カモク</t>
    </rPh>
    <phoneticPr fontId="2"/>
  </si>
  <si>
    <t>配分先コード</t>
    <rPh sb="0" eb="2">
      <t>ハイブンサキ</t>
    </rPh>
    <phoneticPr fontId="2"/>
  </si>
  <si>
    <t>雇用情報マスタ</t>
    <rPh sb="0" eb="4">
      <t>コヨウジョウホウ</t>
    </rPh>
    <phoneticPr fontId="2"/>
  </si>
  <si>
    <t>人事給与連携データフォーマット任意項目コード1に配分先をセットする
（2024年度改修_項番3）</t>
    <rPh sb="39" eb="43">
      <t>ネンドカイシュウ</t>
    </rPh>
    <rPh sb="44" eb="46">
      <t>コウバン</t>
    </rPh>
    <phoneticPr fontId="2"/>
  </si>
  <si>
    <t>※管理者に限り、取込時のエラーチェックに特別対応が存在する</t>
    <rPh sb="1" eb="4">
      <t>カンリシャ</t>
    </rPh>
    <rPh sb="5" eb="6">
      <t>カギ</t>
    </rPh>
    <rPh sb="8" eb="11">
      <t>トリコミジ</t>
    </rPh>
    <rPh sb="20" eb="22">
      <t>トクベツ</t>
    </rPh>
    <rPh sb="22" eb="24">
      <t>タイオウ</t>
    </rPh>
    <rPh sb="25" eb="27">
      <t>ソンザイ</t>
    </rPh>
    <phoneticPr fontId="2"/>
  </si>
  <si>
    <t>（画面補足説明の「管理者限定の特別対応について」参照）</t>
    <rPh sb="1" eb="7">
      <t>ガメンホソクセツメイ</t>
    </rPh>
    <rPh sb="9" eb="14">
      <t>カンリシャゲンテイ</t>
    </rPh>
    <rPh sb="15" eb="17">
      <t>トクベツ</t>
    </rPh>
    <rPh sb="17" eb="19">
      <t>タイオウ</t>
    </rPh>
    <rPh sb="24" eb="26">
      <t>サンショウ</t>
    </rPh>
    <phoneticPr fontId="2"/>
  </si>
  <si>
    <t>管理者権限では雇用部課と業務・予算コードの制御を除いて登録できるようにする
（2024年度改修_項番4）</t>
    <rPh sb="43" eb="47">
      <t>ネンドカイシュウ</t>
    </rPh>
    <rPh sb="48" eb="50">
      <t>コウバン</t>
    </rPh>
    <phoneticPr fontId="2"/>
  </si>
  <si>
    <t>〇</t>
    <phoneticPr fontId="2"/>
  </si>
  <si>
    <t>管理者限定の特別対応について</t>
    <rPh sb="0" eb="2">
      <t>カンリ</t>
    </rPh>
    <rPh sb="2" eb="3">
      <t>シャ</t>
    </rPh>
    <rPh sb="3" eb="5">
      <t>ゲンテイ</t>
    </rPh>
    <rPh sb="6" eb="10">
      <t>トクベツタイオウ</t>
    </rPh>
    <phoneticPr fontId="2"/>
  </si>
  <si>
    <t>業務マスタ</t>
    <rPh sb="0" eb="2">
      <t>ギョウム</t>
    </rPh>
    <phoneticPr fontId="2"/>
  </si>
  <si>
    <t>予算マスタ</t>
    <rPh sb="0" eb="2">
      <t>ヨサン</t>
    </rPh>
    <phoneticPr fontId="2"/>
  </si>
  <si>
    <t>配分先マスタ</t>
    <rPh sb="0" eb="3">
      <t>ハイブンサキ</t>
    </rPh>
    <phoneticPr fontId="2"/>
  </si>
  <si>
    <t>申請部署連番</t>
    <rPh sb="0" eb="6">
      <t>シンセイブショレンバン</t>
    </rPh>
    <phoneticPr fontId="2"/>
  </si>
  <si>
    <t>業務連番</t>
    <rPh sb="0" eb="4">
      <t>ギョウムレンバン</t>
    </rPh>
    <phoneticPr fontId="2"/>
  </si>
  <si>
    <t>担当者の場合、業務・予算・配分先コードは以下のマスタ全ての組み合わせが該当しなければ、エラーとする。</t>
    <rPh sb="0" eb="3">
      <t>タントウシャ</t>
    </rPh>
    <rPh sb="4" eb="6">
      <t>バアイ</t>
    </rPh>
    <rPh sb="7" eb="9">
      <t>ギョウム</t>
    </rPh>
    <rPh sb="10" eb="12">
      <t>ヨサン</t>
    </rPh>
    <rPh sb="13" eb="16">
      <t>ハイブンサキ</t>
    </rPh>
    <rPh sb="20" eb="22">
      <t>イカ</t>
    </rPh>
    <rPh sb="26" eb="27">
      <t>スベ</t>
    </rPh>
    <rPh sb="29" eb="30">
      <t>ク</t>
    </rPh>
    <rPh sb="31" eb="32">
      <t>ア</t>
    </rPh>
    <rPh sb="35" eb="37">
      <t>ガイトウ</t>
    </rPh>
    <phoneticPr fontId="2"/>
  </si>
  <si>
    <t>・</t>
    <phoneticPr fontId="2"/>
  </si>
  <si>
    <t>※業務・予算・配分先コードが入力されている場合のみ</t>
    <rPh sb="1" eb="3">
      <t>ギョウム</t>
    </rPh>
    <rPh sb="4" eb="6">
      <t>ヨサン</t>
    </rPh>
    <rPh sb="7" eb="10">
      <t>ハイブンサキ</t>
    </rPh>
    <rPh sb="14" eb="16">
      <t>ニュウリョク</t>
    </rPh>
    <rPh sb="21" eb="23">
      <t>バアイ</t>
    </rPh>
    <phoneticPr fontId="2"/>
  </si>
  <si>
    <t>業務コード★</t>
    <rPh sb="0" eb="2">
      <t>ギョウム</t>
    </rPh>
    <phoneticPr fontId="2"/>
  </si>
  <si>
    <t>予算コード★</t>
    <rPh sb="0" eb="2">
      <t>ヨサン</t>
    </rPh>
    <phoneticPr fontId="2"/>
  </si>
  <si>
    <t>配分先コード★</t>
    <rPh sb="0" eb="3">
      <t>ハイブンサキ</t>
    </rPh>
    <phoneticPr fontId="2"/>
  </si>
  <si>
    <t>管理者の場合、業務・予算・配分先コードは以下のマスタにそれぞれ存在しなければ、エラーとする。</t>
    <rPh sb="0" eb="3">
      <t>カンリシャ</t>
    </rPh>
    <rPh sb="4" eb="6">
      <t>バアイ</t>
    </rPh>
    <rPh sb="7" eb="9">
      <t>ギョウム</t>
    </rPh>
    <rPh sb="10" eb="12">
      <t>ヨサン</t>
    </rPh>
    <rPh sb="13" eb="16">
      <t>ハイブンサキ</t>
    </rPh>
    <rPh sb="20" eb="22">
      <t>イカ</t>
    </rPh>
    <rPh sb="31" eb="33">
      <t>ソンザイ</t>
    </rPh>
    <phoneticPr fontId="2"/>
  </si>
  <si>
    <t>雇用情報データ</t>
    <rPh sb="0" eb="4">
      <t>コヨウジョウホウ</t>
    </rPh>
    <phoneticPr fontId="2"/>
  </si>
  <si>
    <t>雇用部課コード</t>
    <rPh sb="0" eb="4">
      <t>コヨウブカ</t>
    </rPh>
    <phoneticPr fontId="2"/>
  </si>
  <si>
    <t>雇用部課コード★</t>
    <rPh sb="0" eb="4">
      <t>コヨウブカ</t>
    </rPh>
    <phoneticPr fontId="2"/>
  </si>
  <si>
    <t>雇用情報マスタ編集
雇用情報マスタ取込</t>
    <rPh sb="0" eb="4">
      <t>コヨウジョウホウ</t>
    </rPh>
    <rPh sb="7" eb="9">
      <t>ヘンシュウ</t>
    </rPh>
    <rPh sb="10" eb="14">
      <t>コヨウジョウホウ</t>
    </rPh>
    <rPh sb="17" eb="19">
      <t>トリコミ</t>
    </rPh>
    <phoneticPr fontId="2"/>
  </si>
  <si>
    <t>業務・予算・配分先コードのリストボックスについて</t>
    <rPh sb="0" eb="2">
      <t>ギョウム</t>
    </rPh>
    <rPh sb="3" eb="5">
      <t>ヨサン</t>
    </rPh>
    <rPh sb="6" eb="9">
      <t>ハイブンサキ</t>
    </rPh>
    <phoneticPr fontId="2"/>
  </si>
  <si>
    <t>編集モードで業務・予算・配分先コードを表示する場合、管理者限定機能で雇用情報を取り込むと、雇用部課が各マスタと一致しないケースが存在する。</t>
    <rPh sb="0" eb="2">
      <t>ヘンシュウ</t>
    </rPh>
    <rPh sb="6" eb="8">
      <t>ギョウム</t>
    </rPh>
    <rPh sb="9" eb="11">
      <t>ヨサン</t>
    </rPh>
    <rPh sb="12" eb="15">
      <t>ハイブンサキ</t>
    </rPh>
    <rPh sb="19" eb="21">
      <t>ヒョウジ</t>
    </rPh>
    <rPh sb="23" eb="25">
      <t>バアイ</t>
    </rPh>
    <rPh sb="26" eb="29">
      <t>カンリシャ</t>
    </rPh>
    <rPh sb="29" eb="31">
      <t>ゲンテイ</t>
    </rPh>
    <rPh sb="31" eb="33">
      <t>キノウ</t>
    </rPh>
    <rPh sb="34" eb="38">
      <t>コヨウジョウホウ</t>
    </rPh>
    <rPh sb="39" eb="40">
      <t>ト</t>
    </rPh>
    <rPh sb="41" eb="42">
      <t>コ</t>
    </rPh>
    <rPh sb="45" eb="49">
      <t>コヨウブカ</t>
    </rPh>
    <rPh sb="50" eb="51">
      <t>カク</t>
    </rPh>
    <rPh sb="55" eb="57">
      <t>イッチ</t>
    </rPh>
    <rPh sb="64" eb="66">
      <t>ソンザイ</t>
    </rPh>
    <phoneticPr fontId="2"/>
  </si>
  <si>
    <t>職種が01（TA）又は02（SA）且つ、授業担当マスタに登録されていない教員コードを入力した場合</t>
    <rPh sb="0" eb="2">
      <t>ショクシュ</t>
    </rPh>
    <rPh sb="9" eb="10">
      <t>マタ</t>
    </rPh>
    <rPh sb="17" eb="18">
      <t>カ</t>
    </rPh>
    <rPh sb="20" eb="24">
      <t>ジュギョウタントウ</t>
    </rPh>
    <rPh sb="28" eb="30">
      <t>トウロク</t>
    </rPh>
    <rPh sb="36" eb="38">
      <t>キョウイン</t>
    </rPh>
    <rPh sb="42" eb="44">
      <t>ニュウリョク</t>
    </rPh>
    <rPh sb="46" eb="48">
      <t>バアイ</t>
    </rPh>
    <phoneticPr fontId="10"/>
  </si>
  <si>
    <t>設定されている教員コードが社員マスタの教員コードに存在しなければ、エラーとする</t>
    <rPh sb="25" eb="27">
      <t>ソンザイ</t>
    </rPh>
    <phoneticPr fontId="2"/>
  </si>
  <si>
    <t>申請部署連番★</t>
    <rPh sb="0" eb="6">
      <t>シンセイブショレンバン</t>
    </rPh>
    <phoneticPr fontId="2"/>
  </si>
  <si>
    <t>★：業務マスタ・予算マスタ・配分先マスタの抽出キー</t>
    <rPh sb="2" eb="4">
      <t>ギョウム</t>
    </rPh>
    <rPh sb="8" eb="10">
      <t>ヨサン</t>
    </rPh>
    <rPh sb="14" eb="17">
      <t>ハイブンサキ</t>
    </rPh>
    <rPh sb="21" eb="23">
      <t>チュウシュツ</t>
    </rPh>
    <phoneticPr fontId="2"/>
  </si>
  <si>
    <t>雇用情報取込時に雇用年度の存在チェックを追加
（2024年度改修_保守３）</t>
    <rPh sb="0" eb="6">
      <t>コヨウジョウホウトリコミ</t>
    </rPh>
    <rPh sb="6" eb="7">
      <t>ジ</t>
    </rPh>
    <rPh sb="8" eb="12">
      <t>コヨウネンド</t>
    </rPh>
    <rPh sb="13" eb="15">
      <t>ソンザイ</t>
    </rPh>
    <rPh sb="20" eb="22">
      <t>ツイカ</t>
    </rPh>
    <rPh sb="28" eb="32">
      <t>ネンドカイシュウ</t>
    </rPh>
    <rPh sb="33" eb="35">
      <t>ホシュ</t>
    </rPh>
    <phoneticPr fontId="2"/>
  </si>
  <si>
    <t>雇用年度について</t>
    <rPh sb="0" eb="4">
      <t>コヨウネンド</t>
    </rPh>
    <phoneticPr fontId="2"/>
  </si>
  <si>
    <t>給与支給日マスタの雇用年度を参照し、雇用年度が未登録の場合には</t>
    <rPh sb="0" eb="5">
      <t>キュウヨシキュウビ</t>
    </rPh>
    <rPh sb="9" eb="13">
      <t>コヨウネンド</t>
    </rPh>
    <rPh sb="14" eb="16">
      <t>サンショウ</t>
    </rPh>
    <rPh sb="18" eb="22">
      <t>コヨウネンド</t>
    </rPh>
    <rPh sb="23" eb="26">
      <t>ミトウロク</t>
    </rPh>
    <rPh sb="27" eb="29">
      <t>バアイ</t>
    </rPh>
    <phoneticPr fontId="2"/>
  </si>
  <si>
    <t>取り込みエラーとする。</t>
    <rPh sb="0" eb="1">
      <t>ト</t>
    </rPh>
    <rPh sb="2" eb="3">
      <t>コ</t>
    </rPh>
    <phoneticPr fontId="2"/>
  </si>
  <si>
    <t>そのため、管理者限定機能で雇用情報を作成・更新した場合は、業務・予算・配分先コードを非活性で表示する。</t>
    <rPh sb="5" eb="8">
      <t>カンリシャ</t>
    </rPh>
    <rPh sb="8" eb="10">
      <t>ゲンテイ</t>
    </rPh>
    <rPh sb="10" eb="12">
      <t>キノウ</t>
    </rPh>
    <rPh sb="13" eb="15">
      <t>コヨウ</t>
    </rPh>
    <rPh sb="15" eb="17">
      <t>ジョウホウ</t>
    </rPh>
    <rPh sb="18" eb="20">
      <t>サクセイ</t>
    </rPh>
    <rPh sb="21" eb="23">
      <t>コウシン</t>
    </rPh>
    <rPh sb="25" eb="27">
      <t>バアイ</t>
    </rPh>
    <phoneticPr fontId="2"/>
  </si>
  <si>
    <t>また、予算マスタと配分先マスタは業務マスタと組み合わせが該当しなければ、エラーとする。</t>
    <rPh sb="3" eb="5">
      <t>ヨサン</t>
    </rPh>
    <rPh sb="9" eb="12">
      <t>ハイブンサキ</t>
    </rPh>
    <rPh sb="16" eb="18">
      <t>ギョウム</t>
    </rPh>
    <rPh sb="22" eb="23">
      <t>ク</t>
    </rPh>
    <rPh sb="24" eb="25">
      <t>ア</t>
    </rPh>
    <rPh sb="28" eb="30">
      <t>ガイトウ</t>
    </rPh>
    <phoneticPr fontId="2"/>
  </si>
  <si>
    <t>2025年度改修_項番18</t>
    <rPh sb="4" eb="8">
      <t>ネンドカイシュウ</t>
    </rPh>
    <rPh sb="9" eb="11">
      <t>コウバン</t>
    </rPh>
    <phoneticPr fontId="10"/>
  </si>
  <si>
    <t>単価一覧の処理年・月は無条件にNULLを出力する
（2025年度改修_項番18）</t>
    <rPh sb="0" eb="2">
      <t>タンカ</t>
    </rPh>
    <rPh sb="2" eb="4">
      <t>イチラン</t>
    </rPh>
    <rPh sb="5" eb="7">
      <t>ショリ</t>
    </rPh>
    <rPh sb="7" eb="8">
      <t>ネン</t>
    </rPh>
    <rPh sb="9" eb="10">
      <t>ツキ</t>
    </rPh>
    <rPh sb="11" eb="14">
      <t>ムジョウケン</t>
    </rPh>
    <rPh sb="20" eb="22">
      <t>シュツリョク</t>
    </rPh>
    <rPh sb="30" eb="34">
      <t>ネンドカイシュウ</t>
    </rPh>
    <rPh sb="35" eb="37">
      <t>コウバン</t>
    </rPh>
    <phoneticPr fontId="2"/>
  </si>
  <si>
    <r>
      <rPr>
        <strike/>
        <sz val="10"/>
        <color theme="1"/>
        <rFont val="ＭＳ ゴシック"/>
        <family val="3"/>
        <charset val="128"/>
      </rPr>
      <t xml:space="preserve">雇用開始日～終了と出力する日によって、設定値が変動する。
</t>
    </r>
    <r>
      <rPr>
        <sz val="10"/>
        <color theme="1"/>
        <rFont val="ＭＳ ゴシック"/>
        <family val="3"/>
        <charset val="128"/>
      </rPr>
      <t>空白 固定</t>
    </r>
    <rPh sb="0" eb="2">
      <t>クウハク</t>
    </rPh>
    <rPh sb="3" eb="5">
      <t>コテイ</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</si>
</sst>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m&quot;月&quot;d&quot;日&quot;;@"/>
    <numFmt numFmtId="177" formatCode="0.00_ "/>
  </numFmts>
  <fonts count="35" x14ac:knownFonts="1">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name val="ＭＳ ゴシック"/>
      <family val="3"/>
      <charset val="128"/>
    </font>
    <font>
      <sz val="20"/>
      <name val="ＭＳ ゴシック"/>
      <family val="3"/>
      <charset val="128"/>
    </font>
    <font>
      <sz val="14"/>
      <name val="ＭＳ 明朝"/>
      <family val="1"/>
      <charset val="128"/>
    </font>
    <font>
      <sz val="10"/>
      <name val="ＭＳ Ｐゴシック"/>
      <family val="3"/>
      <charset val="128"/>
    </font>
    <font>
      <sz val="6"/>
      <name val="ＭＳ 明朝"/>
      <family val="1"/>
      <charset val="128"/>
    </font>
    <font>
      <sz val="6"/>
      <name val="ＭＳ Ｐゴシック"/>
      <family val="2"/>
      <charset val="128"/>
      <scheme val="minor"/>
    </font>
    <font>
      <b/>
      <sz val="10"/>
      <name val="ＭＳ ゴシック"/>
      <family val="3"/>
      <charset val="128"/>
    </font>
    <font>
      <sz val="10"/>
      <color theme="0" tint="-0.499984740745262"/>
      <name val="ＭＳ ゴシック"/>
      <family val="3"/>
      <charset val="128"/>
    </font>
    <font>
      <sz val="9"/>
      <name val="ＭＳ 明朝"/>
      <family val="1"/>
      <charset val="128"/>
    </font>
    <font>
      <sz val="10"/>
      <color rgb="FFFF0000"/>
      <name val="ＭＳ 明朝"/>
      <family val="1"/>
      <charset val="128"/>
    </font>
    <font>
      <sz val="9"/>
      <name val="ＭＳ ゴシック"/>
      <family val="3"/>
      <charset val="128"/>
    </font>
    <font>
      <b/>
      <sz val="10"/>
      <name val="ＭＳ 明朝"/>
      <family val="1"/>
      <charset val="128"/>
    </font>
    <font>
      <sz val="10"/>
      <name val="メイリオ"/>
      <family val="3"/>
      <charset val="128"/>
    </font>
    <font>
      <sz val="9"/>
      <name val="メイリオ"/>
      <family val="3"/>
      <charset val="128"/>
    </font>
    <font>
      <sz val="11"/>
      <color theme="1"/>
      <name val="ＭＳ Ｐゴシック"/>
      <family val="3"/>
      <charset val="128"/>
      <scheme val="minor"/>
    </font>
    <font>
      <sz val="28"/>
      <name val="ＭＳ ゴシック"/>
      <family val="3"/>
      <charset val="128"/>
    </font>
    <font>
      <vertAlign val="superscript"/>
      <sz val="10"/>
      <name val="ＭＳ ゴシック"/>
      <family val="3"/>
      <charset val="128"/>
    </font>
    <font>
      <b/>
      <sz val="11"/>
      <name val="ＭＳ ゴシック"/>
      <family val="3"/>
      <charset val="128"/>
    </font>
    <font>
      <sz val="10.5"/>
      <name val="ＭＳ ゴシック"/>
      <family val="3"/>
      <charset val="128"/>
    </font>
    <font>
      <i/>
      <sz val="9"/>
      <name val="ＭＳ ゴシック"/>
      <family val="3"/>
      <charset val="128"/>
    </font>
    <font>
      <vertAlign val="superscript"/>
      <sz val="9"/>
      <name val="ＭＳ ゴシック"/>
      <family val="3"/>
      <charset val="128"/>
    </font>
    <font>
      <sz val="8"/>
      <name val="ＭＳ ゴシック"/>
      <family val="3"/>
      <charset val="128"/>
    </font>
    <font>
      <sz val="9"/>
      <color rgb="FFFF0000"/>
      <name val="ＭＳ ゴシック"/>
      <family val="3"/>
      <charset val="128"/>
    </font>
    <font>
      <sz val="10"/>
      <color theme="1" tint="0.499984740745262"/>
      <name val="ＭＳ ゴシック"/>
      <family val="3"/>
      <charset val="128"/>
    </font>
    <font>
      <sz val="10"/>
      <color theme="1" tint="0.499984740745262"/>
      <name val="ＭＳ Ｐゴシック"/>
      <family val="3"/>
      <charset val="128"/>
    </font>
    <font>
      <sz val="10"/>
      <color theme="1"/>
      <name val="ＭＳ 明朝"/>
      <family val="1"/>
      <charset val="128"/>
    </font>
    <font>
      <sz val="10"/>
      <color theme="1"/>
      <name val="ＭＳ ゴシック"/>
      <family val="3"/>
      <charset val="128"/>
    </font>
    <font>
      <strike/>
      <sz val="10"/>
      <color theme="1"/>
      <name val="ＭＳ ゴシック"/>
      <family val="3"/>
      <charset val="128"/>
    </font>
    <font>
      <sz val="9"/>
      <color theme="1"/>
      <name val="ＭＳ ゴシック"/>
      <family val="3"/>
      <charset val="128"/>
    </font>
  </fonts>
  <fills count="19">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indexed="22"/>
        <bgColor indexed="64"/>
      </patternFill>
    </fill>
    <fill>
      <patternFill patternType="lightDown">
        <fgColor theme="7" tint="0.79998168889431442"/>
        <bgColor theme="0"/>
      </patternFill>
    </fill>
    <fill>
      <patternFill patternType="lightDown">
        <fgColor theme="0" tint="-0.14996795556505021"/>
        <bgColor theme="0"/>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6"/>
        <bgColor indexed="64"/>
      </patternFill>
    </fill>
  </fills>
  <borders count="7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ck">
        <color theme="0"/>
      </left>
      <right/>
      <top style="thick">
        <color theme="0"/>
      </top>
      <bottom/>
      <diagonal/>
    </border>
    <border>
      <left/>
      <right/>
      <top style="thick">
        <color theme="0"/>
      </top>
      <bottom/>
      <diagonal/>
    </border>
    <border>
      <left/>
      <right style="thick">
        <color theme="0"/>
      </right>
      <top style="thick">
        <color theme="0"/>
      </top>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s>
  <cellStyleXfs count="3">
    <xf numFmtId="0" fontId="0" fillId="0" borderId="0"/>
    <xf numFmtId="0" fontId="1" fillId="0" borderId="0"/>
    <xf numFmtId="0" fontId="20" fillId="0" borderId="0">
      <alignment vertical="center"/>
    </xf>
  </cellStyleXfs>
  <cellXfs count="519">
    <xf numFmtId="0" fontId="0" fillId="0" borderId="0" xfId="0"/>
    <xf numFmtId="0" fontId="1" fillId="0" borderId="0" xfId="0" applyFont="1"/>
    <xf numFmtId="0" fontId="1" fillId="0" borderId="0" xfId="0" applyFont="1" applyAlignment="1">
      <alignment vertical="center"/>
    </xf>
    <xf numFmtId="0" fontId="5"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5" fillId="2" borderId="5" xfId="0" applyFont="1" applyFill="1" applyBorder="1"/>
    <xf numFmtId="0" fontId="5" fillId="2" borderId="0" xfId="0" applyFont="1" applyFill="1"/>
    <xf numFmtId="0" fontId="5" fillId="2" borderId="6" xfId="0" applyFont="1" applyFill="1" applyBorder="1"/>
    <xf numFmtId="0" fontId="5" fillId="2" borderId="7" xfId="0" applyFont="1" applyFill="1" applyBorder="1"/>
    <xf numFmtId="0" fontId="5" fillId="2" borderId="8" xfId="0" applyFont="1" applyFill="1" applyBorder="1"/>
    <xf numFmtId="0" fontId="6" fillId="0" borderId="0" xfId="0" applyFont="1"/>
    <xf numFmtId="0" fontId="4" fillId="0" borderId="0" xfId="0" applyFont="1"/>
    <xf numFmtId="49" fontId="1" fillId="0" borderId="0" xfId="0" applyNumberFormat="1" applyFont="1"/>
    <xf numFmtId="0" fontId="5" fillId="0" borderId="0" xfId="0" applyFont="1"/>
    <xf numFmtId="0" fontId="5" fillId="0" borderId="0" xfId="0" applyFont="1" applyAlignment="1">
      <alignment vertical="center"/>
    </xf>
    <xf numFmtId="0" fontId="9" fillId="0" borderId="0" xfId="0" applyFont="1"/>
    <xf numFmtId="0" fontId="4" fillId="0" borderId="0" xfId="0" applyFont="1" applyAlignment="1">
      <alignment vertical="center"/>
    </xf>
    <xf numFmtId="0" fontId="4" fillId="0" borderId="10" xfId="0" applyFont="1" applyBorder="1" applyAlignment="1">
      <alignment vertical="center"/>
    </xf>
    <xf numFmtId="0" fontId="4" fillId="0" borderId="9" xfId="0" applyFont="1" applyBorder="1" applyAlignment="1">
      <alignment vertical="center"/>
    </xf>
    <xf numFmtId="0" fontId="12" fillId="0" borderId="0" xfId="0" applyFont="1"/>
    <xf numFmtId="0" fontId="6" fillId="0" borderId="9" xfId="0" applyFont="1" applyBorder="1" applyAlignment="1">
      <alignment vertical="center"/>
    </xf>
    <xf numFmtId="0" fontId="6" fillId="0" borderId="0" xfId="0" applyFont="1" applyAlignment="1">
      <alignment vertical="center"/>
    </xf>
    <xf numFmtId="0" fontId="6" fillId="0" borderId="10" xfId="0" applyFont="1" applyBorder="1" applyAlignment="1">
      <alignment vertical="center"/>
    </xf>
    <xf numFmtId="0" fontId="12" fillId="0" borderId="0" xfId="0" applyFont="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12" xfId="0" applyFont="1" applyBorder="1"/>
    <xf numFmtId="0" fontId="12" fillId="0" borderId="12" xfId="0" applyFont="1" applyBorder="1" applyAlignment="1">
      <alignment vertical="center"/>
    </xf>
    <xf numFmtId="0" fontId="6" fillId="0" borderId="14" xfId="0" applyFont="1" applyBorder="1" applyAlignment="1">
      <alignment vertical="center"/>
    </xf>
    <xf numFmtId="0" fontId="6" fillId="6" borderId="1" xfId="0" applyFont="1" applyFill="1" applyBorder="1" applyAlignment="1">
      <alignment vertical="center"/>
    </xf>
    <xf numFmtId="0" fontId="6" fillId="6" borderId="2" xfId="0" applyFont="1" applyFill="1" applyBorder="1" applyAlignment="1">
      <alignment vertical="center"/>
    </xf>
    <xf numFmtId="0" fontId="6" fillId="6" borderId="3" xfId="0" applyFont="1" applyFill="1" applyBorder="1" applyAlignment="1">
      <alignment vertical="center"/>
    </xf>
    <xf numFmtId="0" fontId="6" fillId="6" borderId="5" xfId="0" applyFont="1" applyFill="1" applyBorder="1" applyAlignment="1">
      <alignment vertical="center"/>
    </xf>
    <xf numFmtId="0" fontId="13" fillId="6" borderId="0" xfId="0" applyFont="1" applyFill="1" applyAlignment="1">
      <alignment vertical="center"/>
    </xf>
    <xf numFmtId="0" fontId="6" fillId="6" borderId="0" xfId="0" applyFont="1" applyFill="1" applyAlignment="1">
      <alignment vertical="center"/>
    </xf>
    <xf numFmtId="0" fontId="12" fillId="6" borderId="0" xfId="0" applyFont="1" applyFill="1" applyAlignment="1">
      <alignment vertical="center"/>
    </xf>
    <xf numFmtId="0" fontId="6" fillId="6" borderId="4" xfId="0" applyFont="1" applyFill="1" applyBorder="1" applyAlignment="1">
      <alignment vertical="center"/>
    </xf>
    <xf numFmtId="0" fontId="6" fillId="6" borderId="0" xfId="0" applyFont="1" applyFill="1"/>
    <xf numFmtId="0" fontId="6" fillId="6" borderId="4" xfId="0" applyFont="1" applyFill="1" applyBorder="1"/>
    <xf numFmtId="0" fontId="6" fillId="6" borderId="6" xfId="0" applyFont="1" applyFill="1" applyBorder="1" applyAlignment="1">
      <alignment vertical="center"/>
    </xf>
    <xf numFmtId="0" fontId="6" fillId="6" borderId="7" xfId="0" applyFont="1" applyFill="1" applyBorder="1" applyAlignment="1">
      <alignment vertical="center"/>
    </xf>
    <xf numFmtId="0" fontId="12" fillId="6" borderId="7" xfId="0" applyFont="1" applyFill="1" applyBorder="1" applyAlignment="1">
      <alignment vertical="center"/>
    </xf>
    <xf numFmtId="0" fontId="6" fillId="6" borderId="7" xfId="0" applyFont="1" applyFill="1" applyBorder="1"/>
    <xf numFmtId="0" fontId="6" fillId="6" borderId="8" xfId="0" applyFont="1" applyFill="1" applyBorder="1"/>
    <xf numFmtId="0" fontId="14" fillId="0" borderId="9" xfId="0" applyFont="1" applyBorder="1" applyAlignment="1">
      <alignment vertical="center"/>
    </xf>
    <xf numFmtId="0" fontId="14" fillId="0" borderId="0" xfId="0" quotePrefix="1" applyFont="1" applyAlignment="1">
      <alignment vertical="center"/>
    </xf>
    <xf numFmtId="0" fontId="14" fillId="0" borderId="0" xfId="0" applyFont="1" applyAlignment="1">
      <alignment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39" xfId="0" applyFont="1" applyBorder="1" applyAlignment="1">
      <alignment vertical="center"/>
    </xf>
    <xf numFmtId="0" fontId="4" fillId="0" borderId="5" xfId="0" applyFont="1" applyBorder="1" applyAlignment="1">
      <alignment vertical="center"/>
    </xf>
    <xf numFmtId="0" fontId="15" fillId="0" borderId="0" xfId="0" applyFont="1" applyAlignment="1">
      <alignment vertical="center"/>
    </xf>
    <xf numFmtId="0" fontId="4" fillId="0" borderId="13" xfId="0" applyFont="1" applyBorder="1" applyAlignment="1">
      <alignment vertical="center"/>
    </xf>
    <xf numFmtId="0" fontId="4" fillId="0" borderId="12" xfId="0" applyFont="1" applyBorder="1" applyAlignment="1">
      <alignment vertical="center"/>
    </xf>
    <xf numFmtId="0" fontId="4" fillId="0" borderId="14" xfId="0" applyFont="1" applyBorder="1" applyAlignment="1">
      <alignment vertical="center"/>
    </xf>
    <xf numFmtId="0" fontId="6" fillId="0" borderId="9" xfId="0" applyFont="1" applyBorder="1" applyAlignment="1">
      <alignment horizontal="left" vertical="center"/>
    </xf>
    <xf numFmtId="0" fontId="6" fillId="0" borderId="0" xfId="0" applyFont="1" applyAlignment="1">
      <alignment horizontal="left" vertical="center"/>
    </xf>
    <xf numFmtId="0" fontId="6" fillId="0" borderId="10" xfId="0" applyFont="1" applyBorder="1" applyAlignment="1">
      <alignment horizontal="left" vertical="center"/>
    </xf>
    <xf numFmtId="0" fontId="16" fillId="0" borderId="0" xfId="0" applyFont="1" applyAlignment="1">
      <alignment vertic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6" fillId="0" borderId="14" xfId="0" applyFont="1" applyBorder="1" applyAlignment="1">
      <alignment horizontal="left" vertical="center"/>
    </xf>
    <xf numFmtId="0" fontId="6" fillId="6" borderId="2" xfId="0" applyFont="1" applyFill="1" applyBorder="1"/>
    <xf numFmtId="0" fontId="6" fillId="6" borderId="3" xfId="0" applyFont="1" applyFill="1" applyBorder="1"/>
    <xf numFmtId="0" fontId="6" fillId="6" borderId="5" xfId="0" applyFont="1" applyFill="1" applyBorder="1"/>
    <xf numFmtId="0" fontId="6" fillId="6" borderId="6" xfId="0" applyFont="1" applyFill="1" applyBorder="1"/>
    <xf numFmtId="0" fontId="13" fillId="6" borderId="1" xfId="0" applyFont="1" applyFill="1" applyBorder="1" applyAlignment="1">
      <alignment vertical="center"/>
    </xf>
    <xf numFmtId="0" fontId="4" fillId="6" borderId="2" xfId="0" applyFont="1" applyFill="1" applyBorder="1"/>
    <xf numFmtId="0" fontId="17" fillId="0" borderId="0" xfId="0" applyFont="1"/>
    <xf numFmtId="0" fontId="6" fillId="6" borderId="1" xfId="0" applyFont="1" applyFill="1" applyBorder="1" applyAlignment="1">
      <alignment horizontal="left" vertical="center"/>
    </xf>
    <xf numFmtId="0" fontId="6" fillId="6" borderId="2" xfId="0" applyFont="1" applyFill="1" applyBorder="1" applyAlignment="1">
      <alignment horizontal="left" vertical="center"/>
    </xf>
    <xf numFmtId="0" fontId="6" fillId="6" borderId="3" xfId="0" applyFont="1" applyFill="1" applyBorder="1" applyAlignment="1">
      <alignment horizontal="left" vertical="center"/>
    </xf>
    <xf numFmtId="0" fontId="6" fillId="6" borderId="6" xfId="0" applyFont="1" applyFill="1" applyBorder="1" applyAlignment="1">
      <alignment horizontal="left" vertical="center"/>
    </xf>
    <xf numFmtId="0" fontId="6" fillId="6" borderId="7" xfId="0" applyFont="1" applyFill="1" applyBorder="1" applyAlignment="1">
      <alignment horizontal="left" vertical="center"/>
    </xf>
    <xf numFmtId="0" fontId="6" fillId="6" borderId="8" xfId="0" applyFont="1" applyFill="1" applyBorder="1" applyAlignment="1">
      <alignment horizontal="left" vertical="center"/>
    </xf>
    <xf numFmtId="0" fontId="6" fillId="7" borderId="58" xfId="0" applyFont="1" applyFill="1" applyBorder="1" applyAlignment="1">
      <alignment horizontal="left" vertical="center"/>
    </xf>
    <xf numFmtId="0" fontId="6" fillId="7" borderId="59" xfId="0" applyFont="1" applyFill="1" applyBorder="1" applyAlignment="1">
      <alignment horizontal="left" vertical="center"/>
    </xf>
    <xf numFmtId="0" fontId="6" fillId="7" borderId="60" xfId="0" applyFont="1" applyFill="1" applyBorder="1" applyAlignment="1">
      <alignment horizontal="left" vertical="center"/>
    </xf>
    <xf numFmtId="0" fontId="6" fillId="6" borderId="58" xfId="0" applyFont="1" applyFill="1" applyBorder="1" applyAlignment="1">
      <alignment horizontal="left" vertical="center"/>
    </xf>
    <xf numFmtId="0" fontId="6" fillId="6" borderId="59" xfId="0" applyFont="1" applyFill="1" applyBorder="1" applyAlignment="1">
      <alignment horizontal="left" vertical="center"/>
    </xf>
    <xf numFmtId="0" fontId="6" fillId="6" borderId="60" xfId="0" applyFont="1" applyFill="1" applyBorder="1" applyAlignment="1">
      <alignment horizontal="left" vertical="center"/>
    </xf>
    <xf numFmtId="0" fontId="6" fillId="6" borderId="26" xfId="0" applyFont="1" applyFill="1" applyBorder="1" applyAlignment="1">
      <alignment horizontal="left" vertical="center"/>
    </xf>
    <xf numFmtId="0" fontId="6" fillId="6" borderId="27" xfId="0" applyFont="1" applyFill="1" applyBorder="1" applyAlignment="1">
      <alignment horizontal="left" vertical="center"/>
    </xf>
    <xf numFmtId="0" fontId="6" fillId="6" borderId="19" xfId="0" applyFont="1" applyFill="1" applyBorder="1" applyAlignment="1">
      <alignment horizontal="left" vertical="center"/>
    </xf>
    <xf numFmtId="0" fontId="6" fillId="6" borderId="15" xfId="0" applyFont="1" applyFill="1" applyBorder="1" applyAlignment="1">
      <alignment horizontal="left" vertical="center"/>
    </xf>
    <xf numFmtId="0" fontId="6" fillId="6" borderId="16" xfId="0" applyFont="1" applyFill="1" applyBorder="1" applyAlignment="1">
      <alignment horizontal="left" vertical="center"/>
    </xf>
    <xf numFmtId="49" fontId="6" fillId="6" borderId="25" xfId="0" quotePrefix="1" applyNumberFormat="1" applyFont="1" applyFill="1" applyBorder="1" applyAlignment="1">
      <alignment horizontal="left" vertical="center"/>
    </xf>
    <xf numFmtId="49" fontId="6" fillId="6" borderId="19" xfId="0" quotePrefix="1" applyNumberFormat="1" applyFont="1" applyFill="1" applyBorder="1" applyAlignment="1">
      <alignment horizontal="left" vertical="center"/>
    </xf>
    <xf numFmtId="0" fontId="6" fillId="6" borderId="5" xfId="0" applyFont="1" applyFill="1" applyBorder="1" applyAlignment="1">
      <alignment horizontal="left" vertical="center"/>
    </xf>
    <xf numFmtId="0" fontId="6" fillId="6" borderId="4" xfId="0" applyFont="1" applyFill="1" applyBorder="1" applyAlignment="1">
      <alignment horizontal="left" vertical="center"/>
    </xf>
    <xf numFmtId="0" fontId="4" fillId="6" borderId="0" xfId="0" applyFont="1" applyFill="1"/>
    <xf numFmtId="0" fontId="4" fillId="6" borderId="7" xfId="0" applyFont="1" applyFill="1" applyBorder="1"/>
    <xf numFmtId="0" fontId="9" fillId="0" borderId="0" xfId="0" applyFont="1" applyAlignment="1">
      <alignment vertical="center"/>
    </xf>
    <xf numFmtId="0" fontId="9" fillId="0" borderId="12" xfId="0" applyFont="1" applyBorder="1"/>
    <xf numFmtId="0" fontId="16" fillId="0" borderId="12" xfId="0" applyFont="1" applyBorder="1" applyAlignment="1">
      <alignment vertical="center"/>
    </xf>
    <xf numFmtId="0" fontId="6" fillId="10" borderId="58" xfId="0" applyFont="1" applyFill="1" applyBorder="1" applyAlignment="1">
      <alignment horizontal="centerContinuous" vertical="center" shrinkToFit="1"/>
    </xf>
    <xf numFmtId="0" fontId="6" fillId="10" borderId="60" xfId="0" applyFont="1" applyFill="1" applyBorder="1" applyAlignment="1">
      <alignment horizontal="centerContinuous" vertical="center" shrinkToFit="1"/>
    </xf>
    <xf numFmtId="0" fontId="19" fillId="6" borderId="25" xfId="0" applyFont="1" applyFill="1" applyBorder="1" applyAlignment="1">
      <alignment horizontal="left" vertical="center"/>
    </xf>
    <xf numFmtId="0" fontId="19" fillId="6" borderId="26" xfId="0" applyFont="1" applyFill="1" applyBorder="1" applyAlignment="1">
      <alignment horizontal="left" vertical="center"/>
    </xf>
    <xf numFmtId="0" fontId="18" fillId="6" borderId="26" xfId="0" applyFont="1" applyFill="1" applyBorder="1" applyAlignment="1">
      <alignment horizontal="left" vertical="center"/>
    </xf>
    <xf numFmtId="0" fontId="19" fillId="6" borderId="19" xfId="0" applyFont="1" applyFill="1" applyBorder="1" applyAlignment="1">
      <alignment horizontal="left" vertical="center"/>
    </xf>
    <xf numFmtId="0" fontId="19" fillId="6" borderId="15" xfId="0" applyFont="1" applyFill="1" applyBorder="1" applyAlignment="1">
      <alignment horizontal="left" vertical="center"/>
    </xf>
    <xf numFmtId="0" fontId="18" fillId="6" borderId="15" xfId="0" applyFont="1" applyFill="1" applyBorder="1" applyAlignment="1">
      <alignment horizontal="left" vertical="center"/>
    </xf>
    <xf numFmtId="0" fontId="6" fillId="8" borderId="19" xfId="0" applyFont="1" applyFill="1" applyBorder="1" applyAlignment="1">
      <alignment vertical="center"/>
    </xf>
    <xf numFmtId="0" fontId="6" fillId="8" borderId="15" xfId="0" applyFont="1" applyFill="1" applyBorder="1" applyAlignment="1">
      <alignment vertical="center"/>
    </xf>
    <xf numFmtId="0" fontId="6" fillId="8" borderId="16" xfId="0" applyFont="1" applyFill="1" applyBorder="1" applyAlignment="1">
      <alignment vertical="center"/>
    </xf>
    <xf numFmtId="0" fontId="6" fillId="6" borderId="0" xfId="0" applyFont="1" applyFill="1" applyAlignment="1">
      <alignment horizontal="left" vertical="center"/>
    </xf>
    <xf numFmtId="0" fontId="6" fillId="12" borderId="19" xfId="0" applyFont="1" applyFill="1" applyBorder="1" applyAlignment="1">
      <alignment horizontal="left" vertical="center"/>
    </xf>
    <xf numFmtId="0" fontId="6" fillId="12" borderId="15" xfId="0" applyFont="1" applyFill="1" applyBorder="1" applyAlignment="1">
      <alignment horizontal="left" vertical="center"/>
    </xf>
    <xf numFmtId="0" fontId="6" fillId="6" borderId="15" xfId="0" applyFont="1" applyFill="1" applyBorder="1" applyAlignment="1">
      <alignment vertical="center"/>
    </xf>
    <xf numFmtId="0" fontId="6" fillId="6" borderId="16" xfId="0" applyFont="1" applyFill="1" applyBorder="1" applyAlignment="1">
      <alignment vertical="center"/>
    </xf>
    <xf numFmtId="0" fontId="6" fillId="12" borderId="15" xfId="0" applyFont="1" applyFill="1" applyBorder="1" applyAlignment="1">
      <alignment vertical="center"/>
    </xf>
    <xf numFmtId="0" fontId="6" fillId="12" borderId="16" xfId="0" applyFont="1" applyFill="1" applyBorder="1" applyAlignment="1">
      <alignment vertical="center"/>
    </xf>
    <xf numFmtId="0" fontId="9" fillId="0" borderId="9" xfId="0" applyFont="1" applyBorder="1"/>
    <xf numFmtId="0" fontId="9" fillId="0" borderId="10" xfId="0" applyFont="1" applyBorder="1"/>
    <xf numFmtId="0" fontId="9" fillId="0" borderId="11" xfId="0" applyFont="1" applyBorder="1"/>
    <xf numFmtId="0" fontId="9" fillId="0" borderId="14" xfId="0" applyFont="1" applyBorder="1"/>
    <xf numFmtId="0" fontId="23" fillId="0" borderId="0" xfId="0" applyFont="1" applyAlignment="1">
      <alignment horizontal="left" vertical="center"/>
    </xf>
    <xf numFmtId="0" fontId="24" fillId="0" borderId="0" xfId="0" applyFont="1" applyAlignment="1">
      <alignment horizontal="left" vertical="center"/>
    </xf>
    <xf numFmtId="0" fontId="25" fillId="0" borderId="0" xfId="0" applyFont="1" applyAlignment="1">
      <alignment horizontal="left" vertical="center"/>
    </xf>
    <xf numFmtId="0" fontId="16" fillId="0" borderId="0" xfId="0" applyFont="1" applyAlignment="1">
      <alignment horizontal="left" vertical="center"/>
    </xf>
    <xf numFmtId="0" fontId="6" fillId="8" borderId="19" xfId="0" applyFont="1" applyFill="1" applyBorder="1" applyAlignment="1">
      <alignment horizontal="left" vertical="center"/>
    </xf>
    <xf numFmtId="0" fontId="6" fillId="8" borderId="15" xfId="0" applyFont="1" applyFill="1" applyBorder="1" applyAlignment="1">
      <alignment horizontal="left" vertical="center"/>
    </xf>
    <xf numFmtId="0" fontId="6" fillId="8" borderId="16" xfId="0" applyFont="1" applyFill="1" applyBorder="1" applyAlignment="1">
      <alignment horizontal="left" vertical="center"/>
    </xf>
    <xf numFmtId="0" fontId="6" fillId="11" borderId="19" xfId="0" applyFont="1" applyFill="1" applyBorder="1" applyAlignment="1">
      <alignment horizontal="left" vertical="center"/>
    </xf>
    <xf numFmtId="0" fontId="6" fillId="11" borderId="15" xfId="0" applyFont="1" applyFill="1" applyBorder="1" applyAlignment="1">
      <alignment horizontal="left" vertical="center"/>
    </xf>
    <xf numFmtId="0" fontId="6" fillId="11" borderId="16" xfId="0" applyFont="1" applyFill="1" applyBorder="1" applyAlignment="1">
      <alignment horizontal="left" vertical="center"/>
    </xf>
    <xf numFmtId="0" fontId="6" fillId="6" borderId="19" xfId="0" quotePrefix="1" applyFont="1" applyFill="1" applyBorder="1" applyAlignment="1">
      <alignment horizontal="left" vertical="center"/>
    </xf>
    <xf numFmtId="0" fontId="16" fillId="6" borderId="25" xfId="0" applyFont="1" applyFill="1" applyBorder="1" applyAlignment="1">
      <alignment horizontal="left" vertical="center"/>
    </xf>
    <xf numFmtId="0" fontId="16" fillId="6" borderId="19" xfId="0" applyFont="1" applyFill="1" applyBorder="1" applyAlignment="1">
      <alignment horizontal="left" vertical="center"/>
    </xf>
    <xf numFmtId="0" fontId="16" fillId="6" borderId="33" xfId="0" applyFont="1" applyFill="1" applyBorder="1" applyAlignment="1">
      <alignment horizontal="left" vertical="center"/>
    </xf>
    <xf numFmtId="0" fontId="19" fillId="6" borderId="23" xfId="0" applyFont="1" applyFill="1" applyBorder="1" applyAlignment="1">
      <alignment horizontal="left" vertical="center"/>
    </xf>
    <xf numFmtId="0" fontId="18" fillId="6" borderId="23" xfId="0" applyFont="1" applyFill="1" applyBorder="1" applyAlignment="1">
      <alignment horizontal="left" vertical="center"/>
    </xf>
    <xf numFmtId="0" fontId="6" fillId="6" borderId="23" xfId="0" applyFont="1" applyFill="1" applyBorder="1" applyAlignment="1">
      <alignment horizontal="left" vertical="center"/>
    </xf>
    <xf numFmtId="0" fontId="6" fillId="6" borderId="34" xfId="0" applyFont="1" applyFill="1" applyBorder="1" applyAlignment="1">
      <alignment horizontal="left" vertical="center"/>
    </xf>
    <xf numFmtId="0" fontId="16" fillId="6" borderId="6" xfId="0" applyFont="1" applyFill="1" applyBorder="1" applyAlignment="1">
      <alignment horizontal="left" vertical="center"/>
    </xf>
    <xf numFmtId="0" fontId="19" fillId="6" borderId="7" xfId="0" applyFont="1" applyFill="1" applyBorder="1" applyAlignment="1">
      <alignment horizontal="left" vertical="center"/>
    </xf>
    <xf numFmtId="0" fontId="18" fillId="6" borderId="7" xfId="0" applyFont="1" applyFill="1" applyBorder="1" applyAlignment="1">
      <alignment horizontal="left" vertical="center"/>
    </xf>
    <xf numFmtId="0" fontId="6" fillId="0" borderId="9" xfId="0" applyFont="1" applyBorder="1"/>
    <xf numFmtId="0" fontId="6" fillId="0" borderId="10" xfId="0" applyFont="1" applyBorder="1"/>
    <xf numFmtId="0" fontId="6" fillId="0" borderId="11" xfId="0" applyFont="1" applyBorder="1"/>
    <xf numFmtId="0" fontId="6" fillId="0" borderId="14" xfId="0" applyFont="1" applyBorder="1"/>
    <xf numFmtId="0" fontId="6" fillId="0" borderId="0" xfId="0" quotePrefix="1" applyFont="1"/>
    <xf numFmtId="0" fontId="9" fillId="15" borderId="19" xfId="0" applyFont="1" applyFill="1" applyBorder="1" applyAlignment="1">
      <alignment vertical="center"/>
    </xf>
    <xf numFmtId="0" fontId="9" fillId="15" borderId="15" xfId="0" applyFont="1" applyFill="1" applyBorder="1"/>
    <xf numFmtId="0" fontId="9" fillId="15" borderId="16" xfId="0" applyFont="1" applyFill="1" applyBorder="1"/>
    <xf numFmtId="0" fontId="9" fillId="13" borderId="19" xfId="0" applyFont="1" applyFill="1" applyBorder="1" applyAlignment="1">
      <alignment vertical="center"/>
    </xf>
    <xf numFmtId="0" fontId="9" fillId="13" borderId="15" xfId="0" applyFont="1" applyFill="1" applyBorder="1"/>
    <xf numFmtId="0" fontId="9" fillId="13" borderId="16" xfId="0" applyFont="1" applyFill="1" applyBorder="1"/>
    <xf numFmtId="0" fontId="28" fillId="17" borderId="0" xfId="0" applyFont="1" applyFill="1" applyAlignment="1">
      <alignment vertical="center"/>
    </xf>
    <xf numFmtId="0" fontId="15" fillId="0" borderId="0" xfId="0" applyFont="1"/>
    <xf numFmtId="0" fontId="9" fillId="0" borderId="13" xfId="0" applyFont="1" applyBorder="1"/>
    <xf numFmtId="0" fontId="9" fillId="0" borderId="18" xfId="0" applyFont="1" applyBorder="1"/>
    <xf numFmtId="0" fontId="6" fillId="0" borderId="18" xfId="0" applyFont="1" applyBorder="1" applyAlignment="1">
      <alignment vertical="center"/>
    </xf>
    <xf numFmtId="0" fontId="9" fillId="0" borderId="2" xfId="0" applyFont="1" applyBorder="1"/>
    <xf numFmtId="0" fontId="9" fillId="0" borderId="4" xfId="0" applyFont="1" applyBorder="1"/>
    <xf numFmtId="0" fontId="9" fillId="0" borderId="5" xfId="0" applyFont="1" applyBorder="1"/>
    <xf numFmtId="0" fontId="6" fillId="7" borderId="1" xfId="0" applyFont="1" applyFill="1" applyBorder="1" applyAlignment="1">
      <alignment vertical="center"/>
    </xf>
    <xf numFmtId="0" fontId="6" fillId="7" borderId="2" xfId="0" applyFont="1" applyFill="1" applyBorder="1" applyAlignment="1">
      <alignment vertical="center"/>
    </xf>
    <xf numFmtId="0" fontId="6" fillId="7" borderId="3" xfId="0" applyFont="1" applyFill="1" applyBorder="1" applyAlignment="1">
      <alignment vertical="center"/>
    </xf>
    <xf numFmtId="0" fontId="6" fillId="18" borderId="1" xfId="0" applyFont="1" applyFill="1" applyBorder="1" applyAlignment="1">
      <alignment vertical="center"/>
    </xf>
    <xf numFmtId="0" fontId="6" fillId="18" borderId="2" xfId="0" applyFont="1" applyFill="1" applyBorder="1" applyAlignment="1">
      <alignment vertical="center"/>
    </xf>
    <xf numFmtId="0" fontId="6" fillId="18" borderId="3" xfId="0" applyFont="1" applyFill="1" applyBorder="1" applyAlignment="1">
      <alignment vertical="center"/>
    </xf>
    <xf numFmtId="0" fontId="6" fillId="6" borderId="12" xfId="0" applyFont="1" applyFill="1" applyBorder="1" applyAlignment="1">
      <alignment horizontal="left" vertical="center"/>
    </xf>
    <xf numFmtId="0" fontId="28" fillId="0" borderId="0" xfId="0" applyFont="1" applyAlignment="1">
      <alignment vertical="center"/>
    </xf>
    <xf numFmtId="0" fontId="34" fillId="0" borderId="0" xfId="0" applyFont="1" applyAlignment="1">
      <alignment vertical="center"/>
    </xf>
    <xf numFmtId="0" fontId="5" fillId="5" borderId="21" xfId="0" applyFont="1" applyFill="1" applyBorder="1" applyAlignment="1">
      <alignment vertical="center"/>
    </xf>
    <xf numFmtId="0" fontId="5" fillId="3" borderId="21" xfId="0" applyFont="1" applyFill="1" applyBorder="1" applyAlignment="1">
      <alignment horizontal="center" vertical="center"/>
    </xf>
    <xf numFmtId="14" fontId="8" fillId="0" borderId="0" xfId="0" applyNumberFormat="1" applyFont="1" applyAlignment="1">
      <alignment horizontal="center"/>
    </xf>
    <xf numFmtId="0" fontId="8" fillId="0" borderId="0" xfId="0" applyFont="1" applyAlignment="1">
      <alignment horizontal="center"/>
    </xf>
    <xf numFmtId="0" fontId="5" fillId="0" borderId="21" xfId="0" applyFont="1" applyBorder="1" applyAlignment="1">
      <alignment vertical="center"/>
    </xf>
    <xf numFmtId="0" fontId="5" fillId="0" borderId="7" xfId="0" applyFont="1" applyBorder="1" applyAlignment="1">
      <alignment vertical="center"/>
    </xf>
    <xf numFmtId="0" fontId="7" fillId="2" borderId="5" xfId="0" applyFont="1" applyFill="1" applyBorder="1" applyAlignment="1">
      <alignment horizontal="center" vertical="center"/>
    </xf>
    <xf numFmtId="0" fontId="7" fillId="2" borderId="0" xfId="0" applyFont="1" applyFill="1" applyAlignment="1">
      <alignment horizontal="center" vertical="center"/>
    </xf>
    <xf numFmtId="14" fontId="5" fillId="0" borderId="21" xfId="0" applyNumberFormat="1" applyFont="1" applyBorder="1" applyAlignment="1">
      <alignment horizontal="left" vertical="center"/>
    </xf>
    <xf numFmtId="0" fontId="5" fillId="0" borderId="21" xfId="0" applyFont="1" applyBorder="1" applyAlignment="1">
      <alignment horizontal="left" vertical="center"/>
    </xf>
    <xf numFmtId="0" fontId="4" fillId="0" borderId="21" xfId="0" applyFont="1" applyBorder="1" applyAlignment="1">
      <alignment vertical="center" shrinkToFit="1"/>
    </xf>
    <xf numFmtId="0" fontId="4" fillId="0" borderId="21" xfId="0" applyFont="1" applyBorder="1" applyAlignment="1">
      <alignment vertical="center" wrapText="1"/>
    </xf>
    <xf numFmtId="0" fontId="4" fillId="0" borderId="21" xfId="0" applyFont="1" applyBorder="1" applyAlignment="1">
      <alignment vertical="center"/>
    </xf>
    <xf numFmtId="0" fontId="4" fillId="0" borderId="21" xfId="0" applyFont="1" applyBorder="1" applyAlignment="1">
      <alignment horizontal="left" vertical="center"/>
    </xf>
    <xf numFmtId="0" fontId="4" fillId="0" borderId="21" xfId="0" applyFont="1" applyBorder="1" applyAlignment="1">
      <alignment horizontal="center" vertical="center"/>
    </xf>
    <xf numFmtId="177" fontId="4" fillId="0" borderId="21" xfId="0" applyNumberFormat="1" applyFont="1" applyBorder="1" applyAlignment="1">
      <alignment horizontal="center" vertical="center"/>
    </xf>
    <xf numFmtId="31" fontId="4" fillId="0" borderId="21" xfId="0" applyNumberFormat="1" applyFont="1" applyBorder="1" applyAlignment="1">
      <alignment horizontal="center" vertical="center"/>
    </xf>
    <xf numFmtId="0" fontId="6" fillId="4" borderId="21" xfId="0" applyFont="1" applyFill="1" applyBorder="1" applyAlignment="1">
      <alignment horizontal="center" vertical="center"/>
    </xf>
    <xf numFmtId="0" fontId="4" fillId="6" borderId="21" xfId="0" applyFont="1" applyFill="1" applyBorder="1" applyAlignment="1">
      <alignment vertical="center"/>
    </xf>
    <xf numFmtId="0" fontId="4" fillId="6" borderId="21" xfId="0" applyFont="1" applyFill="1" applyBorder="1" applyAlignment="1">
      <alignment horizontal="left" vertical="center"/>
    </xf>
    <xf numFmtId="0" fontId="4" fillId="6" borderId="19" xfId="0" applyFont="1" applyFill="1" applyBorder="1" applyAlignment="1">
      <alignment vertical="center"/>
    </xf>
    <xf numFmtId="0" fontId="4" fillId="6" borderId="15" xfId="0" applyFont="1" applyFill="1" applyBorder="1" applyAlignment="1">
      <alignment vertical="center"/>
    </xf>
    <xf numFmtId="0" fontId="4" fillId="6" borderId="16" xfId="0" applyFont="1" applyFill="1" applyBorder="1" applyAlignment="1">
      <alignment vertical="center"/>
    </xf>
    <xf numFmtId="0" fontId="4" fillId="6" borderId="19" xfId="0" applyFont="1" applyFill="1" applyBorder="1" applyAlignment="1">
      <alignment vertical="center" shrinkToFit="1"/>
    </xf>
    <xf numFmtId="0" fontId="4" fillId="6" borderId="15" xfId="0" applyFont="1" applyFill="1" applyBorder="1" applyAlignment="1">
      <alignment vertical="center" shrinkToFit="1"/>
    </xf>
    <xf numFmtId="0" fontId="4" fillId="6" borderId="16" xfId="0" applyFont="1" applyFill="1" applyBorder="1" applyAlignment="1">
      <alignment vertical="center" shrinkToFit="1"/>
    </xf>
    <xf numFmtId="0" fontId="4" fillId="6" borderId="20"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176" fontId="4" fillId="6" borderId="19" xfId="0" applyNumberFormat="1" applyFont="1" applyFill="1" applyBorder="1" applyAlignment="1">
      <alignment horizontal="center" vertical="center"/>
    </xf>
    <xf numFmtId="176" fontId="4" fillId="6" borderId="15" xfId="0" applyNumberFormat="1" applyFont="1" applyFill="1" applyBorder="1" applyAlignment="1">
      <alignment horizontal="center" vertical="center"/>
    </xf>
    <xf numFmtId="176" fontId="4" fillId="6" borderId="16"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xf>
    <xf numFmtId="49" fontId="6" fillId="4" borderId="3" xfId="0" applyNumberFormat="1" applyFont="1" applyFill="1" applyBorder="1" applyAlignment="1">
      <alignment horizontal="center" vertical="center"/>
    </xf>
    <xf numFmtId="49" fontId="6" fillId="4" borderId="6" xfId="0" applyNumberFormat="1" applyFont="1" applyFill="1" applyBorder="1" applyAlignment="1">
      <alignment horizontal="center" vertical="center"/>
    </xf>
    <xf numFmtId="49" fontId="6" fillId="4" borderId="7"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177" fontId="4" fillId="6" borderId="19" xfId="0" applyNumberFormat="1" applyFont="1" applyFill="1" applyBorder="1" applyAlignment="1">
      <alignment horizontal="center" vertical="center"/>
    </xf>
    <xf numFmtId="177" fontId="4" fillId="6" borderId="15" xfId="0" applyNumberFormat="1" applyFont="1" applyFill="1" applyBorder="1" applyAlignment="1">
      <alignment horizontal="center" vertical="center"/>
    </xf>
    <xf numFmtId="177" fontId="4" fillId="6" borderId="16" xfId="0" applyNumberFormat="1" applyFont="1" applyFill="1" applyBorder="1" applyAlignment="1">
      <alignment horizontal="center" vertical="center"/>
    </xf>
    <xf numFmtId="0" fontId="4" fillId="0" borderId="21" xfId="0" applyFont="1" applyBorder="1" applyAlignment="1">
      <alignment vertical="center" wrapText="1" shrinkToFit="1"/>
    </xf>
    <xf numFmtId="0" fontId="31" fillId="0" borderId="21" xfId="0" applyFont="1" applyBorder="1" applyAlignment="1">
      <alignment horizontal="center" vertical="center"/>
    </xf>
    <xf numFmtId="177" fontId="31" fillId="0" borderId="21" xfId="0" applyNumberFormat="1" applyFont="1" applyBorder="1" applyAlignment="1">
      <alignment horizontal="center" vertical="center"/>
    </xf>
    <xf numFmtId="31" fontId="31" fillId="0" borderId="21" xfId="0" applyNumberFormat="1" applyFont="1" applyBorder="1" applyAlignment="1">
      <alignment horizontal="center" vertical="center"/>
    </xf>
    <xf numFmtId="0" fontId="31" fillId="0" borderId="21" xfId="0" applyFont="1" applyBorder="1" applyAlignment="1">
      <alignment vertical="center"/>
    </xf>
    <xf numFmtId="0" fontId="31" fillId="0" borderId="21" xfId="0" applyFont="1" applyBorder="1" applyAlignment="1">
      <alignment vertical="center" wrapText="1" shrinkToFit="1"/>
    </xf>
    <xf numFmtId="0" fontId="31" fillId="0" borderId="21" xfId="0" applyFont="1" applyBorder="1" applyAlignment="1">
      <alignment vertical="center" shrinkToFit="1"/>
    </xf>
    <xf numFmtId="0" fontId="31" fillId="0" borderId="21" xfId="0" applyFont="1" applyBorder="1" applyAlignment="1">
      <alignment vertical="center" wrapText="1"/>
    </xf>
    <xf numFmtId="0" fontId="31" fillId="0" borderId="21" xfId="0" applyFont="1" applyBorder="1" applyAlignment="1">
      <alignment horizontal="left" vertical="center"/>
    </xf>
    <xf numFmtId="31" fontId="5" fillId="0" borderId="25" xfId="1" applyNumberFormat="1" applyFont="1" applyBorder="1" applyAlignment="1">
      <alignment horizontal="center" vertical="center"/>
    </xf>
    <xf numFmtId="31" fontId="5" fillId="0" borderId="26" xfId="1" applyNumberFormat="1" applyFont="1" applyBorder="1" applyAlignment="1">
      <alignment horizontal="center" vertical="center"/>
    </xf>
    <xf numFmtId="31" fontId="5" fillId="0" borderId="27" xfId="1" applyNumberFormat="1" applyFont="1" applyBorder="1" applyAlignment="1">
      <alignment horizontal="center" vertical="center"/>
    </xf>
    <xf numFmtId="0" fontId="5" fillId="4" borderId="33" xfId="1" applyFont="1" applyFill="1" applyBorder="1" applyAlignment="1">
      <alignment horizontal="center" vertical="center"/>
    </xf>
    <xf numFmtId="0" fontId="5" fillId="4" borderId="23" xfId="1" applyFont="1" applyFill="1" applyBorder="1" applyAlignment="1">
      <alignment horizontal="center" vertical="center"/>
    </xf>
    <xf numFmtId="0" fontId="5" fillId="4" borderId="34" xfId="1" applyFont="1" applyFill="1" applyBorder="1" applyAlignment="1">
      <alignment horizontal="center" vertical="center"/>
    </xf>
    <xf numFmtId="0" fontId="5" fillId="4" borderId="5" xfId="1" applyFont="1" applyFill="1" applyBorder="1" applyAlignment="1">
      <alignment horizontal="center" vertical="center"/>
    </xf>
    <xf numFmtId="0" fontId="5" fillId="4" borderId="0" xfId="1" applyFont="1" applyFill="1" applyAlignment="1">
      <alignment horizontal="center" vertical="center"/>
    </xf>
    <xf numFmtId="0" fontId="5" fillId="4" borderId="4" xfId="1" applyFont="1" applyFill="1" applyBorder="1" applyAlignment="1">
      <alignment horizontal="center" vertical="center"/>
    </xf>
    <xf numFmtId="0" fontId="5" fillId="4" borderId="13" xfId="1" applyFont="1" applyFill="1" applyBorder="1" applyAlignment="1">
      <alignment horizontal="center" vertical="center"/>
    </xf>
    <xf numFmtId="0" fontId="5" fillId="4" borderId="12" xfId="1" applyFont="1" applyFill="1" applyBorder="1" applyAlignment="1">
      <alignment horizontal="center" vertical="center"/>
    </xf>
    <xf numFmtId="0" fontId="5" fillId="4" borderId="18" xfId="1" applyFont="1" applyFill="1" applyBorder="1" applyAlignment="1">
      <alignment horizontal="center" vertical="center"/>
    </xf>
    <xf numFmtId="0" fontId="5" fillId="0" borderId="33" xfId="1" applyFont="1" applyBorder="1" applyAlignment="1">
      <alignment horizontal="center" vertical="center"/>
    </xf>
    <xf numFmtId="0" fontId="5" fillId="0" borderId="23" xfId="1" applyFont="1" applyBorder="1" applyAlignment="1">
      <alignment horizontal="center" vertical="center"/>
    </xf>
    <xf numFmtId="0" fontId="5" fillId="0" borderId="24" xfId="1" applyFont="1" applyBorder="1" applyAlignment="1">
      <alignment horizontal="center" vertical="center"/>
    </xf>
    <xf numFmtId="0" fontId="5" fillId="0" borderId="5" xfId="1" applyFont="1" applyBorder="1" applyAlignment="1">
      <alignment horizontal="center" vertical="center"/>
    </xf>
    <xf numFmtId="0" fontId="5" fillId="0" borderId="0" xfId="1" applyFont="1" applyAlignment="1">
      <alignment horizontal="center" vertical="center"/>
    </xf>
    <xf numFmtId="0" fontId="5" fillId="0" borderId="10" xfId="1" applyFont="1" applyBorder="1" applyAlignment="1">
      <alignment horizontal="center" vertical="center"/>
    </xf>
    <xf numFmtId="0" fontId="5" fillId="0" borderId="13" xfId="1" applyFont="1" applyBorder="1" applyAlignment="1">
      <alignment horizontal="center" vertical="center"/>
    </xf>
    <xf numFmtId="0" fontId="5" fillId="0" borderId="12" xfId="1" applyFont="1" applyBorder="1" applyAlignment="1">
      <alignment horizontal="center" vertical="center"/>
    </xf>
    <xf numFmtId="0" fontId="5" fillId="0" borderId="14" xfId="1" applyFont="1" applyBorder="1" applyAlignment="1">
      <alignment horizontal="center" vertical="center"/>
    </xf>
    <xf numFmtId="0" fontId="5" fillId="4" borderId="17" xfId="1" applyFont="1" applyFill="1" applyBorder="1" applyAlignment="1">
      <alignment vertical="center"/>
    </xf>
    <xf numFmtId="0" fontId="5" fillId="4" borderId="15" xfId="1" applyFont="1" applyFill="1" applyBorder="1" applyAlignment="1">
      <alignment vertical="center"/>
    </xf>
    <xf numFmtId="0" fontId="5" fillId="4" borderId="16" xfId="1" applyFont="1" applyFill="1" applyBorder="1" applyAlignment="1">
      <alignment vertical="center"/>
    </xf>
    <xf numFmtId="0" fontId="5" fillId="0" borderId="19" xfId="1" applyFont="1" applyBorder="1" applyAlignment="1">
      <alignment vertical="center" wrapText="1"/>
    </xf>
    <xf numFmtId="0" fontId="5" fillId="0" borderId="15" xfId="1" applyFont="1" applyBorder="1" applyAlignment="1">
      <alignment vertical="center" wrapText="1"/>
    </xf>
    <xf numFmtId="0" fontId="5" fillId="0" borderId="16" xfId="1" applyFont="1" applyBorder="1" applyAlignment="1">
      <alignment vertical="center" wrapText="1"/>
    </xf>
    <xf numFmtId="0" fontId="5" fillId="4" borderId="1" xfId="1" applyFont="1" applyFill="1" applyBorder="1" applyAlignment="1">
      <alignment horizontal="center" vertical="center"/>
    </xf>
    <xf numFmtId="0" fontId="5" fillId="4" borderId="2" xfId="1" applyFont="1" applyFill="1" applyBorder="1" applyAlignment="1">
      <alignment horizontal="center" vertical="center"/>
    </xf>
    <xf numFmtId="0" fontId="5" fillId="4" borderId="3" xfId="1" applyFont="1" applyFill="1" applyBorder="1" applyAlignment="1">
      <alignment horizontal="center" vertical="center"/>
    </xf>
    <xf numFmtId="0" fontId="5" fillId="0" borderId="1" xfId="1" applyFont="1" applyBorder="1" applyAlignment="1">
      <alignment horizontal="left" vertical="center"/>
    </xf>
    <xf numFmtId="0" fontId="5" fillId="0" borderId="2" xfId="1" applyFont="1" applyBorder="1" applyAlignment="1">
      <alignment horizontal="left" vertical="center"/>
    </xf>
    <xf numFmtId="0" fontId="5" fillId="0" borderId="3" xfId="1" applyFont="1" applyBorder="1" applyAlignment="1">
      <alignment horizontal="left" vertical="center"/>
    </xf>
    <xf numFmtId="0" fontId="5" fillId="4" borderId="19" xfId="1" applyFont="1" applyFill="1" applyBorder="1" applyAlignment="1">
      <alignment horizontal="center" vertical="center"/>
    </xf>
    <xf numFmtId="0" fontId="5" fillId="4" borderId="15" xfId="1" applyFont="1" applyFill="1" applyBorder="1" applyAlignment="1">
      <alignment horizontal="center" vertical="center"/>
    </xf>
    <xf numFmtId="0" fontId="5" fillId="4" borderId="16" xfId="1" applyFont="1" applyFill="1" applyBorder="1" applyAlignment="1">
      <alignment horizontal="center" vertical="center"/>
    </xf>
    <xf numFmtId="0" fontId="5" fillId="0" borderId="19" xfId="1" applyFont="1" applyBorder="1" applyAlignment="1">
      <alignment horizontal="center" vertical="center"/>
    </xf>
    <xf numFmtId="0" fontId="5" fillId="0" borderId="15" xfId="1" applyFont="1" applyBorder="1" applyAlignment="1">
      <alignment horizontal="center" vertical="center"/>
    </xf>
    <xf numFmtId="0" fontId="5" fillId="0" borderId="16" xfId="1" applyFont="1" applyBorder="1" applyAlignment="1">
      <alignment horizontal="center" vertical="center"/>
    </xf>
    <xf numFmtId="31" fontId="5" fillId="0" borderId="19" xfId="1" applyNumberFormat="1" applyFont="1" applyBorder="1" applyAlignment="1">
      <alignment horizontal="center" vertical="center"/>
    </xf>
    <xf numFmtId="31" fontId="5" fillId="0" borderId="15" xfId="1" applyNumberFormat="1" applyFont="1" applyBorder="1" applyAlignment="1">
      <alignment horizontal="center" vertical="center"/>
    </xf>
    <xf numFmtId="31" fontId="5" fillId="0" borderId="16" xfId="1" applyNumberFormat="1" applyFont="1" applyBorder="1" applyAlignment="1">
      <alignment horizontal="center" vertical="center"/>
    </xf>
    <xf numFmtId="0" fontId="5" fillId="4" borderId="28" xfId="1" applyFont="1" applyFill="1" applyBorder="1" applyAlignment="1">
      <alignment vertical="center"/>
    </xf>
    <xf numFmtId="0" fontId="5" fillId="4" borderId="26" xfId="1" applyFont="1" applyFill="1" applyBorder="1" applyAlignment="1">
      <alignment vertical="center"/>
    </xf>
    <xf numFmtId="0" fontId="5" fillId="4" borderId="27" xfId="1" applyFont="1" applyFill="1" applyBorder="1" applyAlignment="1">
      <alignment vertical="center"/>
    </xf>
    <xf numFmtId="0" fontId="5" fillId="0" borderId="25" xfId="1" applyFont="1" applyBorder="1" applyAlignment="1">
      <alignment vertical="center"/>
    </xf>
    <xf numFmtId="0" fontId="5" fillId="0" borderId="26" xfId="1" applyFont="1" applyBorder="1" applyAlignment="1">
      <alignment vertical="center"/>
    </xf>
    <xf numFmtId="0" fontId="5" fillId="0" borderId="27" xfId="1" applyFont="1" applyBorder="1" applyAlignment="1">
      <alignment vertical="center"/>
    </xf>
    <xf numFmtId="0" fontId="5" fillId="4" borderId="25" xfId="1" applyFont="1" applyFill="1" applyBorder="1" applyAlignment="1">
      <alignment horizontal="center" vertical="center"/>
    </xf>
    <xf numFmtId="0" fontId="5" fillId="4" borderId="26" xfId="1" applyFont="1" applyFill="1" applyBorder="1" applyAlignment="1">
      <alignment horizontal="center" vertical="center"/>
    </xf>
    <xf numFmtId="0" fontId="5" fillId="4" borderId="27" xfId="1" applyFont="1" applyFill="1" applyBorder="1" applyAlignment="1">
      <alignment horizontal="center" vertical="center"/>
    </xf>
    <xf numFmtId="0" fontId="5" fillId="0" borderId="25" xfId="1" applyFont="1" applyBorder="1" applyAlignment="1">
      <alignment horizontal="left" vertical="center"/>
    </xf>
    <xf numFmtId="0" fontId="5" fillId="0" borderId="26" xfId="1" applyFont="1" applyBorder="1" applyAlignment="1">
      <alignment horizontal="left" vertical="center"/>
    </xf>
    <xf numFmtId="0" fontId="5" fillId="0" borderId="27" xfId="1" applyFont="1" applyBorder="1" applyAlignment="1">
      <alignment horizontal="left" vertical="center"/>
    </xf>
    <xf numFmtId="0" fontId="5" fillId="0" borderId="25" xfId="1" applyFont="1" applyBorder="1" applyAlignment="1">
      <alignment horizontal="center"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0" fontId="5" fillId="4" borderId="29" xfId="1" applyFont="1" applyFill="1" applyBorder="1" applyAlignment="1">
      <alignment vertical="center"/>
    </xf>
    <xf numFmtId="0" fontId="5" fillId="4" borderId="30" xfId="1" applyFont="1" applyFill="1" applyBorder="1" applyAlignment="1">
      <alignment vertical="center"/>
    </xf>
    <xf numFmtId="0" fontId="5" fillId="4" borderId="31" xfId="1" applyFont="1" applyFill="1" applyBorder="1" applyAlignment="1">
      <alignment vertical="center"/>
    </xf>
    <xf numFmtId="0" fontId="5" fillId="0" borderId="32" xfId="1" applyFont="1" applyBorder="1" applyAlignment="1">
      <alignment vertical="center" wrapText="1"/>
    </xf>
    <xf numFmtId="0" fontId="5" fillId="0" borderId="30" xfId="1" applyFont="1" applyBorder="1" applyAlignment="1">
      <alignment vertical="center" wrapText="1"/>
    </xf>
    <xf numFmtId="0" fontId="5" fillId="0" borderId="31" xfId="1" applyFont="1" applyBorder="1" applyAlignment="1">
      <alignment vertical="center" wrapText="1"/>
    </xf>
    <xf numFmtId="0" fontId="5" fillId="0" borderId="13" xfId="1" applyFont="1" applyBorder="1" applyAlignment="1">
      <alignment horizontal="left" vertical="center"/>
    </xf>
    <xf numFmtId="0" fontId="5" fillId="0" borderId="12" xfId="1" applyFont="1" applyBorder="1" applyAlignment="1">
      <alignment horizontal="left" vertical="center"/>
    </xf>
    <xf numFmtId="0" fontId="5" fillId="0" borderId="18" xfId="1" applyFont="1" applyBorder="1" applyAlignment="1">
      <alignment horizontal="left" vertical="center"/>
    </xf>
    <xf numFmtId="0" fontId="5" fillId="4" borderId="32" xfId="1" applyFont="1" applyFill="1" applyBorder="1" applyAlignment="1">
      <alignment horizontal="center" vertical="center"/>
    </xf>
    <xf numFmtId="0" fontId="5" fillId="4" borderId="30" xfId="1" applyFont="1" applyFill="1" applyBorder="1" applyAlignment="1">
      <alignment horizontal="center" vertical="center"/>
    </xf>
    <xf numFmtId="0" fontId="5" fillId="4" borderId="31" xfId="1" applyFont="1" applyFill="1" applyBorder="1" applyAlignment="1">
      <alignment horizontal="center" vertical="center"/>
    </xf>
    <xf numFmtId="0" fontId="5" fillId="0" borderId="32" xfId="1" applyFont="1" applyBorder="1" applyAlignment="1">
      <alignment horizontal="left" vertical="center"/>
    </xf>
    <xf numFmtId="0" fontId="5" fillId="0" borderId="30" xfId="1" applyFont="1" applyBorder="1" applyAlignment="1">
      <alignment horizontal="left" vertical="center"/>
    </xf>
    <xf numFmtId="0" fontId="5" fillId="0" borderId="31" xfId="1" applyFont="1" applyBorder="1" applyAlignment="1">
      <alignment horizontal="left" vertical="center"/>
    </xf>
    <xf numFmtId="0" fontId="5" fillId="4" borderId="17"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22" xfId="0" applyFont="1" applyFill="1" applyBorder="1" applyAlignment="1">
      <alignment horizontal="center" vertical="center"/>
    </xf>
    <xf numFmtId="0" fontId="5" fillId="0" borderId="33" xfId="0" applyFont="1" applyBorder="1" applyAlignment="1">
      <alignment horizontal="left" vertical="center"/>
    </xf>
    <xf numFmtId="0" fontId="5" fillId="0" borderId="23" xfId="0" applyFont="1" applyBorder="1" applyAlignment="1">
      <alignment horizontal="left" vertical="center"/>
    </xf>
    <xf numFmtId="0" fontId="5" fillId="0" borderId="24" xfId="0" applyFont="1" applyBorder="1" applyAlignment="1">
      <alignment horizontal="left" vertical="center"/>
    </xf>
    <xf numFmtId="0" fontId="5" fillId="4" borderId="36" xfId="0" applyFont="1" applyFill="1" applyBorder="1" applyAlignment="1">
      <alignment vertical="center"/>
    </xf>
    <xf numFmtId="0" fontId="5" fillId="4" borderId="35" xfId="0" applyFont="1" applyFill="1" applyBorder="1" applyAlignment="1">
      <alignment vertical="center"/>
    </xf>
    <xf numFmtId="0" fontId="5" fillId="0" borderId="35" xfId="0" applyFont="1" applyBorder="1" applyAlignment="1">
      <alignment vertical="center"/>
    </xf>
    <xf numFmtId="0" fontId="5" fillId="0" borderId="35" xfId="0" applyFont="1" applyBorder="1" applyAlignment="1">
      <alignment horizontal="center" vertical="center"/>
    </xf>
    <xf numFmtId="0" fontId="5" fillId="4" borderId="33" xfId="0" applyFont="1" applyFill="1" applyBorder="1" applyAlignment="1">
      <alignment horizontal="left" vertical="center"/>
    </xf>
    <xf numFmtId="0" fontId="5" fillId="4" borderId="23" xfId="0" applyFont="1" applyFill="1" applyBorder="1" applyAlignment="1">
      <alignment horizontal="left" vertical="center"/>
    </xf>
    <xf numFmtId="0" fontId="6" fillId="8" borderId="19" xfId="0" applyFont="1" applyFill="1" applyBorder="1" applyAlignment="1">
      <alignment vertical="center"/>
    </xf>
    <xf numFmtId="0" fontId="6" fillId="8" borderId="15" xfId="0" applyFont="1" applyFill="1" applyBorder="1" applyAlignment="1">
      <alignment vertical="center"/>
    </xf>
    <xf numFmtId="0" fontId="6" fillId="8" borderId="16" xfId="0" applyFont="1" applyFill="1" applyBorder="1" applyAlignment="1">
      <alignment vertical="center"/>
    </xf>
    <xf numFmtId="0" fontId="6" fillId="8" borderId="19" xfId="0" quotePrefix="1" applyFont="1" applyFill="1" applyBorder="1" applyAlignment="1">
      <alignment vertical="center"/>
    </xf>
    <xf numFmtId="0" fontId="6" fillId="8" borderId="15" xfId="0" quotePrefix="1" applyFont="1" applyFill="1" applyBorder="1" applyAlignment="1">
      <alignment vertical="center"/>
    </xf>
    <xf numFmtId="0" fontId="6" fillId="8" borderId="16" xfId="0" quotePrefix="1" applyFont="1" applyFill="1" applyBorder="1" applyAlignment="1">
      <alignment vertical="center"/>
    </xf>
    <xf numFmtId="0" fontId="6" fillId="6" borderId="19" xfId="0" applyFont="1" applyFill="1" applyBorder="1" applyAlignment="1">
      <alignment vertical="center"/>
    </xf>
    <xf numFmtId="0" fontId="6" fillId="6" borderId="15" xfId="0" applyFont="1" applyFill="1" applyBorder="1" applyAlignment="1">
      <alignment vertical="center"/>
    </xf>
    <xf numFmtId="0" fontId="6" fillId="6" borderId="16" xfId="0" applyFont="1" applyFill="1" applyBorder="1" applyAlignment="1">
      <alignment vertical="center"/>
    </xf>
    <xf numFmtId="0" fontId="6" fillId="0" borderId="19" xfId="0" quotePrefix="1" applyFont="1" applyBorder="1" applyAlignment="1">
      <alignment vertical="center"/>
    </xf>
    <xf numFmtId="0" fontId="6" fillId="0" borderId="15" xfId="0" quotePrefix="1" applyFont="1" applyBorder="1" applyAlignment="1">
      <alignment vertical="center"/>
    </xf>
    <xf numFmtId="0" fontId="6" fillId="0" borderId="16" xfId="0" quotePrefix="1" applyFont="1" applyBorder="1" applyAlignment="1">
      <alignment vertical="center"/>
    </xf>
    <xf numFmtId="0" fontId="6" fillId="6" borderId="19" xfId="0" quotePrefix="1" applyFont="1" applyFill="1" applyBorder="1" applyAlignment="1">
      <alignment vertical="center"/>
    </xf>
    <xf numFmtId="0" fontId="6" fillId="6" borderId="15" xfId="0" quotePrefix="1" applyFont="1" applyFill="1" applyBorder="1" applyAlignment="1">
      <alignment vertical="center"/>
    </xf>
    <xf numFmtId="0" fontId="6" fillId="6" borderId="16" xfId="0" quotePrefix="1" applyFont="1" applyFill="1" applyBorder="1" applyAlignment="1">
      <alignment vertical="center"/>
    </xf>
    <xf numFmtId="0" fontId="12" fillId="8" borderId="19" xfId="0" quotePrefix="1" applyFont="1" applyFill="1" applyBorder="1" applyAlignment="1">
      <alignment vertical="center"/>
    </xf>
    <xf numFmtId="0" fontId="12" fillId="8" borderId="15" xfId="0" quotePrefix="1" applyFont="1" applyFill="1" applyBorder="1" applyAlignment="1">
      <alignment vertical="center"/>
    </xf>
    <xf numFmtId="0" fontId="12" fillId="8" borderId="16" xfId="0" quotePrefix="1" applyFont="1" applyFill="1" applyBorder="1" applyAlignment="1">
      <alignment vertical="center"/>
    </xf>
    <xf numFmtId="0" fontId="6" fillId="0" borderId="19" xfId="0" applyFont="1" applyBorder="1" applyAlignment="1">
      <alignment vertical="center"/>
    </xf>
    <xf numFmtId="0" fontId="6" fillId="0" borderId="15" xfId="0" applyFont="1" applyBorder="1" applyAlignment="1">
      <alignment vertical="center"/>
    </xf>
    <xf numFmtId="0" fontId="6" fillId="0" borderId="16" xfId="0" applyFont="1" applyBorder="1" applyAlignment="1">
      <alignment vertical="center"/>
    </xf>
    <xf numFmtId="0" fontId="6" fillId="0" borderId="19" xfId="0" applyFont="1" applyBorder="1" applyAlignment="1">
      <alignment horizontal="left" vertical="center"/>
    </xf>
    <xf numFmtId="0" fontId="6" fillId="0" borderId="15" xfId="0" applyFont="1" applyBorder="1" applyAlignment="1">
      <alignment horizontal="left" vertical="center"/>
    </xf>
    <xf numFmtId="0" fontId="6" fillId="0" borderId="16" xfId="0" applyFont="1" applyBorder="1" applyAlignment="1">
      <alignment horizontal="left" vertical="center"/>
    </xf>
    <xf numFmtId="0" fontId="6" fillId="0" borderId="21" xfId="0" quotePrefix="1" applyFont="1" applyBorder="1" applyAlignment="1">
      <alignment vertical="center"/>
    </xf>
    <xf numFmtId="0" fontId="6" fillId="6" borderId="21" xfId="0" applyFont="1" applyFill="1" applyBorder="1" applyAlignment="1">
      <alignment horizontal="left" vertical="center"/>
    </xf>
    <xf numFmtId="0" fontId="6" fillId="0" borderId="21" xfId="0" applyFont="1" applyBorder="1" applyAlignment="1">
      <alignment horizontal="center" vertical="center"/>
    </xf>
    <xf numFmtId="0" fontId="6" fillId="0" borderId="19"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21" xfId="0" applyFont="1" applyBorder="1" applyAlignment="1">
      <alignment horizontal="left" vertical="center"/>
    </xf>
    <xf numFmtId="0" fontId="6" fillId="9" borderId="21" xfId="0" applyFont="1" applyFill="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 xfId="0" quotePrefix="1" applyFont="1" applyBorder="1" applyAlignment="1">
      <alignment horizontal="center" vertical="center"/>
    </xf>
    <xf numFmtId="0" fontId="6" fillId="0" borderId="2" xfId="0" quotePrefix="1" applyFont="1" applyBorder="1" applyAlignment="1">
      <alignment horizontal="center" vertical="center"/>
    </xf>
    <xf numFmtId="0" fontId="6" fillId="0" borderId="3" xfId="0" quotePrefix="1" applyFont="1" applyBorder="1" applyAlignment="1">
      <alignment horizontal="center" vertical="center"/>
    </xf>
    <xf numFmtId="0" fontId="6" fillId="0" borderId="5" xfId="0" quotePrefix="1" applyFont="1" applyBorder="1" applyAlignment="1">
      <alignment horizontal="center" vertical="center"/>
    </xf>
    <xf numFmtId="0" fontId="6" fillId="0" borderId="0" xfId="0" quotePrefix="1" applyFont="1" applyAlignment="1">
      <alignment horizontal="center" vertical="center"/>
    </xf>
    <xf numFmtId="0" fontId="6" fillId="0" borderId="4" xfId="0" quotePrefix="1" applyFont="1" applyBorder="1" applyAlignment="1">
      <alignment horizontal="center" vertical="center"/>
    </xf>
    <xf numFmtId="0" fontId="6" fillId="0" borderId="6" xfId="0" quotePrefix="1" applyFont="1" applyBorder="1" applyAlignment="1">
      <alignment horizontal="center" vertical="center"/>
    </xf>
    <xf numFmtId="0" fontId="6" fillId="0" borderId="7" xfId="0" quotePrefix="1" applyFont="1" applyBorder="1" applyAlignment="1">
      <alignment horizontal="center" vertical="center"/>
    </xf>
    <xf numFmtId="0" fontId="6" fillId="0" borderId="8" xfId="0" quotePrefix="1" applyFont="1" applyBorder="1" applyAlignment="1">
      <alignment horizontal="center" vertical="center"/>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4"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6" borderId="1" xfId="0" applyFont="1" applyFill="1" applyBorder="1" applyAlignment="1">
      <alignment horizontal="center" vertical="center"/>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5" xfId="0" applyFont="1" applyFill="1" applyBorder="1" applyAlignment="1">
      <alignment horizontal="center" vertical="center"/>
    </xf>
    <xf numFmtId="0" fontId="6" fillId="6" borderId="0" xfId="0" applyFont="1" applyFill="1" applyAlignment="1">
      <alignment horizontal="center" vertical="center"/>
    </xf>
    <xf numFmtId="0" fontId="6" fillId="6" borderId="4" xfId="0" applyFont="1" applyFill="1" applyBorder="1" applyAlignment="1">
      <alignment horizontal="center" vertic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6" fillId="9" borderId="19"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0" borderId="15" xfId="0" applyFont="1" applyBorder="1"/>
    <xf numFmtId="0" fontId="6" fillId="0" borderId="16" xfId="0" applyFont="1" applyBorder="1"/>
    <xf numFmtId="0" fontId="4" fillId="0" borderId="48" xfId="0" applyFont="1" applyBorder="1" applyAlignment="1">
      <alignment horizontal="left" vertical="center" shrinkToFit="1"/>
    </xf>
    <xf numFmtId="0" fontId="4" fillId="0" borderId="49" xfId="0" applyFont="1" applyBorder="1" applyAlignment="1">
      <alignment horizontal="left" vertical="center" shrinkToFit="1"/>
    </xf>
    <xf numFmtId="0" fontId="4" fillId="0" borderId="50" xfId="0" applyFont="1" applyBorder="1" applyAlignment="1">
      <alignment horizontal="left" vertical="center" shrinkToFit="1"/>
    </xf>
    <xf numFmtId="0" fontId="4" fillId="0" borderId="51" xfId="0" applyFont="1" applyBorder="1" applyAlignment="1">
      <alignment horizontal="left" vertical="center" shrinkToFit="1"/>
    </xf>
    <xf numFmtId="0" fontId="4" fillId="0" borderId="44" xfId="0" applyFont="1" applyBorder="1" applyAlignment="1">
      <alignment horizontal="left" vertical="center" shrinkToFit="1"/>
    </xf>
    <xf numFmtId="0" fontId="4" fillId="0" borderId="45" xfId="0" applyFont="1" applyBorder="1" applyAlignment="1">
      <alignment horizontal="left" vertical="center" shrinkToFit="1"/>
    </xf>
    <xf numFmtId="0" fontId="4" fillId="0" borderId="46" xfId="0" applyFont="1" applyBorder="1" applyAlignment="1">
      <alignment horizontal="left" vertical="center" shrinkToFit="1"/>
    </xf>
    <xf numFmtId="0" fontId="4" fillId="0" borderId="47" xfId="0" applyFont="1" applyBorder="1" applyAlignment="1">
      <alignment horizontal="left" vertical="center" shrinkToFit="1"/>
    </xf>
    <xf numFmtId="0" fontId="19" fillId="7" borderId="58" xfId="0" applyFont="1" applyFill="1" applyBorder="1" applyAlignment="1">
      <alignment horizontal="left" vertical="center" shrinkToFit="1"/>
    </xf>
    <xf numFmtId="0" fontId="19" fillId="7" borderId="59" xfId="0" applyFont="1" applyFill="1" applyBorder="1" applyAlignment="1">
      <alignment horizontal="left" vertical="center" shrinkToFit="1"/>
    </xf>
    <xf numFmtId="0" fontId="19" fillId="7" borderId="60" xfId="0" applyFont="1" applyFill="1" applyBorder="1" applyAlignment="1">
      <alignment horizontal="left" vertical="center" shrinkToFit="1"/>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5" fillId="4" borderId="28"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37" xfId="0" applyFont="1" applyFill="1" applyBorder="1" applyAlignment="1">
      <alignment horizontal="center"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37" xfId="0" applyFont="1" applyBorder="1" applyAlignment="1">
      <alignment horizontal="left" vertical="center"/>
    </xf>
    <xf numFmtId="0" fontId="5" fillId="4" borderId="21"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19" xfId="0" applyFont="1" applyFill="1" applyBorder="1" applyAlignment="1">
      <alignment horizontal="center" vertical="center"/>
    </xf>
    <xf numFmtId="0" fontId="5" fillId="4" borderId="25" xfId="0" applyFont="1" applyFill="1" applyBorder="1" applyAlignment="1">
      <alignment horizontal="left" vertical="center"/>
    </xf>
    <xf numFmtId="0" fontId="5" fillId="4" borderId="26" xfId="0" applyFont="1" applyFill="1" applyBorder="1" applyAlignment="1">
      <alignment horizontal="left" vertical="center"/>
    </xf>
    <xf numFmtId="0" fontId="5" fillId="4" borderId="16" xfId="0" applyFont="1" applyFill="1" applyBorder="1" applyAlignment="1">
      <alignment horizontal="center" vertical="center"/>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4" fillId="0" borderId="43" xfId="0" applyFont="1" applyBorder="1" applyAlignment="1">
      <alignment horizontal="left" vertical="center" shrinkToFit="1"/>
    </xf>
    <xf numFmtId="0" fontId="6" fillId="0" borderId="21" xfId="0" applyFont="1" applyBorder="1" applyAlignment="1">
      <alignment vertical="center"/>
    </xf>
    <xf numFmtId="0" fontId="6" fillId="0" borderId="1"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32" fillId="0" borderId="1" xfId="0" quotePrefix="1" applyFont="1" applyBorder="1" applyAlignment="1">
      <alignment vertical="center" wrapText="1"/>
    </xf>
    <xf numFmtId="0" fontId="32" fillId="0" borderId="2" xfId="0" quotePrefix="1" applyFont="1" applyBorder="1" applyAlignment="1">
      <alignment vertical="center" wrapText="1"/>
    </xf>
    <xf numFmtId="0" fontId="32" fillId="0" borderId="3" xfId="0" quotePrefix="1" applyFont="1" applyBorder="1" applyAlignment="1">
      <alignment vertical="center" wrapText="1"/>
    </xf>
    <xf numFmtId="0" fontId="32" fillId="0" borderId="6" xfId="0" quotePrefix="1" applyFont="1" applyBorder="1" applyAlignment="1">
      <alignment vertical="center" wrapText="1"/>
    </xf>
    <xf numFmtId="0" fontId="32" fillId="0" borderId="7" xfId="0" quotePrefix="1" applyFont="1" applyBorder="1" applyAlignment="1">
      <alignment vertical="center" wrapText="1"/>
    </xf>
    <xf numFmtId="0" fontId="32" fillId="0" borderId="8" xfId="0" quotePrefix="1" applyFont="1" applyBorder="1" applyAlignment="1">
      <alignment vertical="center" wrapText="1"/>
    </xf>
    <xf numFmtId="0" fontId="16" fillId="14" borderId="21" xfId="0" applyFont="1" applyFill="1" applyBorder="1" applyAlignment="1">
      <alignment horizontal="center" vertical="center"/>
    </xf>
    <xf numFmtId="0" fontId="16" fillId="0" borderId="21" xfId="0" applyFont="1" applyBorder="1" applyAlignment="1">
      <alignment vertical="center" wrapText="1"/>
    </xf>
    <xf numFmtId="0" fontId="5" fillId="4" borderId="68"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69" xfId="0" applyFont="1" applyFill="1" applyBorder="1" applyAlignment="1">
      <alignment horizontal="center" vertical="center"/>
    </xf>
    <xf numFmtId="0" fontId="6" fillId="7" borderId="58" xfId="0" applyFont="1" applyFill="1" applyBorder="1" applyAlignment="1">
      <alignment horizontal="center" vertical="center"/>
    </xf>
    <xf numFmtId="0" fontId="6" fillId="7" borderId="60" xfId="0" applyFont="1" applyFill="1" applyBorder="1" applyAlignment="1">
      <alignment horizontal="center" vertical="center"/>
    </xf>
    <xf numFmtId="0" fontId="16" fillId="0" borderId="19"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0" fontId="21" fillId="0" borderId="6" xfId="0" applyFont="1" applyBorder="1" applyAlignment="1">
      <alignment horizontal="center" vertical="center"/>
    </xf>
    <xf numFmtId="0" fontId="21" fillId="0" borderId="7" xfId="0" applyFont="1" applyBorder="1" applyAlignment="1">
      <alignment horizontal="center" vertical="center"/>
    </xf>
    <xf numFmtId="0" fontId="21" fillId="0" borderId="8" xfId="0" applyFont="1" applyBorder="1" applyAlignment="1">
      <alignment horizontal="center" vertical="center"/>
    </xf>
    <xf numFmtId="0" fontId="6" fillId="0" borderId="61" xfId="0" applyFont="1" applyBorder="1" applyAlignment="1">
      <alignment horizontal="left" vertical="center"/>
    </xf>
    <xf numFmtId="0" fontId="6" fillId="0" borderId="62" xfId="0" applyFont="1" applyBorder="1" applyAlignment="1">
      <alignment horizontal="left" vertical="center"/>
    </xf>
    <xf numFmtId="0" fontId="6" fillId="0" borderId="64" xfId="0" applyFont="1" applyBorder="1" applyAlignment="1">
      <alignment horizontal="left" vertical="center"/>
    </xf>
    <xf numFmtId="0" fontId="6" fillId="6" borderId="21" xfId="0" applyFont="1" applyFill="1" applyBorder="1" applyAlignment="1">
      <alignment horizontal="center" vertical="center"/>
    </xf>
    <xf numFmtId="0" fontId="6" fillId="6" borderId="19"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0" fontId="18" fillId="8" borderId="52" xfId="0" applyFont="1" applyFill="1" applyBorder="1" applyAlignment="1">
      <alignment horizontal="center" vertical="center"/>
    </xf>
    <xf numFmtId="0" fontId="18" fillId="8" borderId="53" xfId="0" applyFont="1" applyFill="1" applyBorder="1" applyAlignment="1">
      <alignment horizontal="center" vertical="center"/>
    </xf>
    <xf numFmtId="0" fontId="18" fillId="8" borderId="54" xfId="0" applyFont="1" applyFill="1" applyBorder="1" applyAlignment="1">
      <alignment horizontal="center" vertical="center"/>
    </xf>
    <xf numFmtId="0" fontId="18" fillId="8" borderId="55" xfId="0" applyFont="1" applyFill="1" applyBorder="1" applyAlignment="1">
      <alignment horizontal="center" vertical="center"/>
    </xf>
    <xf numFmtId="0" fontId="18" fillId="8" borderId="56" xfId="0" applyFont="1" applyFill="1" applyBorder="1" applyAlignment="1">
      <alignment horizontal="center" vertical="center"/>
    </xf>
    <xf numFmtId="0" fontId="18" fillId="8" borderId="57"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2" xfId="0" applyFont="1" applyFill="1" applyBorder="1" applyAlignment="1">
      <alignment horizontal="center" vertical="center"/>
    </xf>
    <xf numFmtId="0" fontId="18" fillId="7" borderId="3" xfId="0" applyFont="1" applyFill="1" applyBorder="1" applyAlignment="1">
      <alignment horizontal="center" vertical="center"/>
    </xf>
    <xf numFmtId="0" fontId="18" fillId="7" borderId="6" xfId="0" applyFont="1" applyFill="1" applyBorder="1" applyAlignment="1">
      <alignment horizontal="center" vertical="center"/>
    </xf>
    <xf numFmtId="0" fontId="18" fillId="7" borderId="7" xfId="0" applyFont="1" applyFill="1" applyBorder="1" applyAlignment="1">
      <alignment horizontal="center" vertical="center"/>
    </xf>
    <xf numFmtId="0" fontId="18" fillId="7" borderId="8" xfId="0" applyFont="1" applyFill="1" applyBorder="1" applyAlignment="1">
      <alignment horizontal="center" vertical="center"/>
    </xf>
    <xf numFmtId="0" fontId="6" fillId="8" borderId="1" xfId="0" applyFont="1" applyFill="1" applyBorder="1" applyAlignment="1">
      <alignment horizontal="center" vertic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6" xfId="0" applyFont="1" applyFill="1" applyBorder="1" applyAlignment="1">
      <alignment horizontal="center" vertical="center"/>
    </xf>
    <xf numFmtId="0" fontId="6" fillId="8" borderId="7" xfId="0" applyFont="1" applyFill="1" applyBorder="1" applyAlignment="1">
      <alignment horizontal="center" vertical="center"/>
    </xf>
    <xf numFmtId="0" fontId="6" fillId="8" borderId="8" xfId="0" applyFont="1" applyFill="1" applyBorder="1" applyAlignment="1">
      <alignment horizontal="center" vertical="center"/>
    </xf>
    <xf numFmtId="0" fontId="5" fillId="0" borderId="62" xfId="0" applyFont="1" applyBorder="1" applyAlignment="1">
      <alignment horizontal="center" vertical="center"/>
    </xf>
    <xf numFmtId="0" fontId="6" fillId="0" borderId="21" xfId="0" applyFont="1" applyBorder="1" applyAlignment="1">
      <alignment vertical="center" wrapText="1"/>
    </xf>
    <xf numFmtId="0" fontId="6" fillId="0" borderId="62"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63" xfId="0" applyFont="1" applyBorder="1" applyAlignment="1">
      <alignment horizontal="left" vertical="center"/>
    </xf>
    <xf numFmtId="0" fontId="6" fillId="0" borderId="38" xfId="0" applyFont="1" applyBorder="1" applyAlignment="1">
      <alignment horizontal="left" vertical="center"/>
    </xf>
    <xf numFmtId="0" fontId="6" fillId="6" borderId="74" xfId="0" applyFont="1" applyFill="1" applyBorder="1" applyAlignment="1">
      <alignment horizontal="left" vertical="center"/>
    </xf>
    <xf numFmtId="0" fontId="6" fillId="6" borderId="73" xfId="0" applyFont="1" applyFill="1" applyBorder="1" applyAlignment="1">
      <alignment horizontal="left" vertical="center"/>
    </xf>
    <xf numFmtId="0" fontId="6" fillId="0" borderId="75" xfId="0" applyFont="1" applyBorder="1" applyAlignment="1">
      <alignment vertical="center"/>
    </xf>
    <xf numFmtId="0" fontId="6" fillId="0" borderId="68" xfId="0" applyFont="1" applyBorder="1" applyAlignment="1">
      <alignment vertical="center"/>
    </xf>
    <xf numFmtId="0" fontId="6" fillId="0" borderId="65" xfId="0" applyFont="1" applyBorder="1" applyAlignment="1">
      <alignment horizontal="left" vertical="center"/>
    </xf>
    <xf numFmtId="0" fontId="6" fillId="0" borderId="66" xfId="0" applyFont="1" applyBorder="1" applyAlignment="1">
      <alignment horizontal="left" vertical="center"/>
    </xf>
    <xf numFmtId="0" fontId="6" fillId="0" borderId="66" xfId="0" applyFont="1" applyBorder="1" applyAlignment="1">
      <alignment horizontal="center" vertical="center"/>
    </xf>
    <xf numFmtId="0" fontId="6" fillId="0" borderId="32" xfId="0"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6" borderId="6" xfId="0" applyFont="1" applyFill="1" applyBorder="1" applyAlignment="1">
      <alignment vertical="center"/>
    </xf>
    <xf numFmtId="0" fontId="6" fillId="6" borderId="7" xfId="0" applyFont="1" applyFill="1" applyBorder="1" applyAlignment="1">
      <alignment vertical="center"/>
    </xf>
    <xf numFmtId="0" fontId="6" fillId="6" borderId="69" xfId="0" applyFont="1" applyFill="1" applyBorder="1" applyAlignment="1">
      <alignment vertical="center"/>
    </xf>
    <xf numFmtId="0" fontId="6" fillId="0" borderId="67" xfId="0" applyFont="1" applyBorder="1" applyAlignment="1">
      <alignment horizontal="left" vertical="center"/>
    </xf>
    <xf numFmtId="0" fontId="6" fillId="6" borderId="38" xfId="0" applyFont="1" applyFill="1" applyBorder="1" applyAlignment="1">
      <alignment horizontal="left" vertical="center"/>
    </xf>
    <xf numFmtId="0" fontId="6" fillId="7" borderId="58" xfId="0" applyFont="1" applyFill="1" applyBorder="1" applyAlignment="1">
      <alignment horizontal="left" vertical="center" shrinkToFit="1"/>
    </xf>
    <xf numFmtId="0" fontId="6" fillId="7" borderId="59" xfId="0" applyFont="1" applyFill="1" applyBorder="1" applyAlignment="1">
      <alignment horizontal="left" vertical="center" shrinkToFit="1"/>
    </xf>
    <xf numFmtId="0" fontId="6" fillId="7" borderId="60" xfId="0" applyFont="1" applyFill="1" applyBorder="1" applyAlignment="1">
      <alignment horizontal="left" vertical="center" shrinkToFit="1"/>
    </xf>
    <xf numFmtId="0" fontId="6" fillId="6" borderId="66" xfId="0" applyFont="1" applyFill="1" applyBorder="1" applyAlignment="1">
      <alignment horizontal="center" vertical="center"/>
    </xf>
    <xf numFmtId="0" fontId="6" fillId="6" borderId="66" xfId="0" applyFont="1" applyFill="1" applyBorder="1" applyAlignment="1">
      <alignment horizontal="left" vertical="center"/>
    </xf>
    <xf numFmtId="0" fontId="6" fillId="6" borderId="67" xfId="0" applyFont="1" applyFill="1" applyBorder="1" applyAlignment="1">
      <alignment horizontal="left" vertical="center"/>
    </xf>
    <xf numFmtId="0" fontId="6" fillId="0" borderId="70" xfId="0" applyFont="1" applyBorder="1" applyAlignment="1">
      <alignment horizontal="center" vertical="center"/>
    </xf>
    <xf numFmtId="0" fontId="6" fillId="0" borderId="71" xfId="0" applyFont="1" applyBorder="1" applyAlignment="1">
      <alignment horizontal="center" vertical="center"/>
    </xf>
    <xf numFmtId="0" fontId="6" fillId="0" borderId="72" xfId="0" applyFont="1" applyBorder="1" applyAlignment="1">
      <alignment horizontal="center" vertical="center"/>
    </xf>
    <xf numFmtId="0" fontId="27" fillId="0" borderId="21" xfId="0" applyFont="1" applyBorder="1" applyAlignment="1">
      <alignment horizontal="center" vertical="center"/>
    </xf>
    <xf numFmtId="0" fontId="6" fillId="16" borderId="70" xfId="0" applyFont="1" applyFill="1" applyBorder="1" applyAlignment="1">
      <alignment horizontal="center" vertical="center"/>
    </xf>
    <xf numFmtId="0" fontId="6" fillId="16" borderId="71" xfId="0" applyFont="1" applyFill="1" applyBorder="1" applyAlignment="1">
      <alignment horizontal="center" vertical="center"/>
    </xf>
    <xf numFmtId="0" fontId="6" fillId="16" borderId="72" xfId="0" applyFont="1" applyFill="1" applyBorder="1" applyAlignment="1">
      <alignment horizontal="center" vertical="center"/>
    </xf>
    <xf numFmtId="0" fontId="16" fillId="6" borderId="21" xfId="0" applyFont="1" applyFill="1" applyBorder="1" applyAlignment="1">
      <alignment vertical="center" wrapText="1"/>
    </xf>
    <xf numFmtId="0" fontId="6" fillId="0" borderId="6" xfId="0" quotePrefix="1" applyFont="1" applyBorder="1" applyAlignment="1">
      <alignment vertical="center"/>
    </xf>
    <xf numFmtId="0" fontId="6" fillId="0" borderId="7" xfId="0" quotePrefix="1" applyFont="1" applyBorder="1" applyAlignment="1">
      <alignment vertical="center"/>
    </xf>
    <xf numFmtId="0" fontId="6" fillId="0" borderId="8" xfId="0" quotePrefix="1" applyFont="1" applyBorder="1" applyAlignment="1">
      <alignment vertical="center"/>
    </xf>
    <xf numFmtId="0" fontId="4" fillId="0" borderId="1" xfId="0" applyFont="1" applyBorder="1" applyAlignment="1">
      <alignment horizontal="left" vertical="center" shrinkToFit="1"/>
    </xf>
    <xf numFmtId="0" fontId="4" fillId="0" borderId="2" xfId="0" applyFont="1" applyBorder="1" applyAlignment="1">
      <alignment horizontal="left" vertical="center" shrinkToFit="1"/>
    </xf>
    <xf numFmtId="0" fontId="4" fillId="0" borderId="3" xfId="0" applyFont="1" applyBorder="1" applyAlignment="1">
      <alignment horizontal="left" vertical="center" shrinkToFit="1"/>
    </xf>
    <xf numFmtId="0" fontId="9" fillId="0" borderId="21" xfId="0" applyFont="1" applyBorder="1" applyAlignment="1">
      <alignment vertical="center"/>
    </xf>
    <xf numFmtId="0" fontId="6" fillId="0" borderId="21" xfId="0" quotePrefix="1" applyFont="1" applyBorder="1" applyAlignment="1">
      <alignment vertical="center" wrapText="1"/>
    </xf>
    <xf numFmtId="0" fontId="29" fillId="8" borderId="21" xfId="0" applyFont="1" applyFill="1" applyBorder="1" applyAlignment="1">
      <alignment vertical="center"/>
    </xf>
    <xf numFmtId="0" fontId="30" fillId="8" borderId="21" xfId="0" applyFont="1" applyFill="1" applyBorder="1" applyAlignment="1">
      <alignment vertical="center"/>
    </xf>
    <xf numFmtId="0" fontId="6" fillId="6" borderId="21" xfId="0" applyFont="1" applyFill="1" applyBorder="1" applyAlignment="1">
      <alignment vertical="center"/>
    </xf>
    <xf numFmtId="0" fontId="9" fillId="6" borderId="21" xfId="0" applyFont="1" applyFill="1" applyBorder="1" applyAlignment="1">
      <alignment vertical="center"/>
    </xf>
    <xf numFmtId="0" fontId="9" fillId="8" borderId="21" xfId="0" applyFont="1" applyFill="1" applyBorder="1" applyAlignment="1">
      <alignment vertical="center"/>
    </xf>
  </cellXfs>
  <cellStyles count="3">
    <cellStyle name="標準" xfId="0" builtinId="0"/>
    <cellStyle name="標準 3" xfId="2" xr:uid="{69DF43C5-4A17-4719-B781-AA38FDAF832E}"/>
    <cellStyle name="標準_概念_要件定義書（原紙本文EAI-HUB用）_プライオリティ規約（修正版20020430_MQプライオリティ追加)"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21</xdr:col>
      <xdr:colOff>0</xdr:colOff>
      <xdr:row>7</xdr:row>
      <xdr:rowOff>0</xdr:rowOff>
    </xdr:to>
    <xdr:sp macro="" textlink="">
      <xdr:nvSpPr>
        <xdr:cNvPr id="373761" name="Text Box 1">
          <a:extLst>
            <a:ext uri="{FF2B5EF4-FFF2-40B4-BE49-F238E27FC236}">
              <a16:creationId xmlns:a16="http://schemas.microsoft.com/office/drawing/2014/main" id="{00000000-0008-0000-0000-000001B40500}"/>
            </a:ext>
          </a:extLst>
        </xdr:cNvPr>
        <xdr:cNvSpPr txBox="1">
          <a:spLocks noChangeArrowheads="1"/>
        </xdr:cNvSpPr>
      </xdr:nvSpPr>
      <xdr:spPr bwMode="auto">
        <a:xfrm>
          <a:off x="2743200" y="171450"/>
          <a:ext cx="4457700" cy="102870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8</xdr:col>
      <xdr:colOff>133350</xdr:colOff>
      <xdr:row>5</xdr:row>
      <xdr:rowOff>66675</xdr:rowOff>
    </xdr:from>
    <xdr:to>
      <xdr:col>19</xdr:col>
      <xdr:colOff>285750</xdr:colOff>
      <xdr:row>5</xdr:row>
      <xdr:rowOff>66675</xdr:rowOff>
    </xdr:to>
    <xdr:sp macro="" textlink="">
      <xdr:nvSpPr>
        <xdr:cNvPr id="373762" name="Line 2">
          <a:extLst>
            <a:ext uri="{FF2B5EF4-FFF2-40B4-BE49-F238E27FC236}">
              <a16:creationId xmlns:a16="http://schemas.microsoft.com/office/drawing/2014/main" id="{00000000-0008-0000-0000-000002B40500}"/>
            </a:ext>
          </a:extLst>
        </xdr:cNvPr>
        <xdr:cNvSpPr>
          <a:spLocks noChangeShapeType="1"/>
        </xdr:cNvSpPr>
      </xdr:nvSpPr>
      <xdr:spPr bwMode="auto">
        <a:xfrm flipV="1">
          <a:off x="2876550" y="923925"/>
          <a:ext cx="3924300" cy="0"/>
        </a:xfrm>
        <a:prstGeom prst="line">
          <a:avLst/>
        </a:prstGeom>
        <a:noFill/>
        <a:ln w="28575">
          <a:solidFill>
            <a:srgbClr val="000000"/>
          </a:solidFill>
          <a:round/>
          <a:headEnd/>
          <a:tailEnd/>
        </a:ln>
      </xdr:spPr>
    </xdr:sp>
    <xdr:clientData/>
  </xdr:twoCellAnchor>
  <xdr:twoCellAnchor editAs="oneCell">
    <xdr:from>
      <xdr:col>10</xdr:col>
      <xdr:colOff>145676</xdr:colOff>
      <xdr:row>30</xdr:row>
      <xdr:rowOff>56030</xdr:rowOff>
    </xdr:from>
    <xdr:to>
      <xdr:col>18</xdr:col>
      <xdr:colOff>69965</xdr:colOff>
      <xdr:row>34</xdr:row>
      <xdr:rowOff>98051</xdr:rowOff>
    </xdr:to>
    <xdr:pic>
      <xdr:nvPicPr>
        <xdr:cNvPr id="2" name="図 1">
          <a:extLst>
            <a:ext uri="{FF2B5EF4-FFF2-40B4-BE49-F238E27FC236}">
              <a16:creationId xmlns:a16="http://schemas.microsoft.com/office/drawing/2014/main" id="{36C91C84-9CBC-4C52-8799-896A5398E1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19500" y="5098677"/>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19050</xdr:colOff>
      <xdr:row>16</xdr:row>
      <xdr:rowOff>11206</xdr:rowOff>
    </xdr:from>
    <xdr:to>
      <xdr:col>32</xdr:col>
      <xdr:colOff>66675</xdr:colOff>
      <xdr:row>17</xdr:row>
      <xdr:rowOff>114300</xdr:rowOff>
    </xdr:to>
    <xdr:sp macro="" textlink="">
      <xdr:nvSpPr>
        <xdr:cNvPr id="3" name="右矢印 2">
          <a:extLst>
            <a:ext uri="{FF2B5EF4-FFF2-40B4-BE49-F238E27FC236}">
              <a16:creationId xmlns:a16="http://schemas.microsoft.com/office/drawing/2014/main" id="{00000000-0008-0000-0200-000003000000}"/>
            </a:ext>
          </a:extLst>
        </xdr:cNvPr>
        <xdr:cNvSpPr/>
      </xdr:nvSpPr>
      <xdr:spPr bwMode="auto">
        <a:xfrm>
          <a:off x="3019425" y="3059206"/>
          <a:ext cx="1619250"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52</xdr:col>
      <xdr:colOff>0</xdr:colOff>
      <xdr:row>16</xdr:row>
      <xdr:rowOff>0</xdr:rowOff>
    </xdr:from>
    <xdr:to>
      <xdr:col>61</xdr:col>
      <xdr:colOff>76200</xdr:colOff>
      <xdr:row>17</xdr:row>
      <xdr:rowOff>103094</xdr:rowOff>
    </xdr:to>
    <xdr:sp macro="" textlink="">
      <xdr:nvSpPr>
        <xdr:cNvPr id="6" name="右矢印 2">
          <a:extLst>
            <a:ext uri="{FF2B5EF4-FFF2-40B4-BE49-F238E27FC236}">
              <a16:creationId xmlns:a16="http://schemas.microsoft.com/office/drawing/2014/main" id="{00000000-0008-0000-0200-000006000000}"/>
            </a:ext>
          </a:extLst>
        </xdr:cNvPr>
        <xdr:cNvSpPr/>
      </xdr:nvSpPr>
      <xdr:spPr bwMode="auto">
        <a:xfrm>
          <a:off x="7429500" y="3048000"/>
          <a:ext cx="1362075"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52</xdr:col>
      <xdr:colOff>0</xdr:colOff>
      <xdr:row>20</xdr:row>
      <xdr:rowOff>76200</xdr:rowOff>
    </xdr:from>
    <xdr:to>
      <xdr:col>61</xdr:col>
      <xdr:colOff>9525</xdr:colOff>
      <xdr:row>21</xdr:row>
      <xdr:rowOff>179294</xdr:rowOff>
    </xdr:to>
    <xdr:sp macro="" textlink="">
      <xdr:nvSpPr>
        <xdr:cNvPr id="7" name="右矢印 2">
          <a:extLst>
            <a:ext uri="{FF2B5EF4-FFF2-40B4-BE49-F238E27FC236}">
              <a16:creationId xmlns:a16="http://schemas.microsoft.com/office/drawing/2014/main" id="{00000000-0008-0000-0200-000007000000}"/>
            </a:ext>
          </a:extLst>
        </xdr:cNvPr>
        <xdr:cNvSpPr/>
      </xdr:nvSpPr>
      <xdr:spPr bwMode="auto">
        <a:xfrm flipH="1">
          <a:off x="7429500" y="3886200"/>
          <a:ext cx="1295400"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30</xdr:col>
      <xdr:colOff>17930</xdr:colOff>
      <xdr:row>22</xdr:row>
      <xdr:rowOff>113180</xdr:rowOff>
    </xdr:from>
    <xdr:to>
      <xdr:col>32</xdr:col>
      <xdr:colOff>20171</xdr:colOff>
      <xdr:row>26</xdr:row>
      <xdr:rowOff>99455</xdr:rowOff>
    </xdr:to>
    <xdr:sp macro="" textlink="">
      <xdr:nvSpPr>
        <xdr:cNvPr id="16" name="右矢印 2">
          <a:extLst>
            <a:ext uri="{FF2B5EF4-FFF2-40B4-BE49-F238E27FC236}">
              <a16:creationId xmlns:a16="http://schemas.microsoft.com/office/drawing/2014/main" id="{00000000-0008-0000-0200-000010000000}"/>
            </a:ext>
          </a:extLst>
        </xdr:cNvPr>
        <xdr:cNvSpPr/>
      </xdr:nvSpPr>
      <xdr:spPr bwMode="auto">
        <a:xfrm rot="8031162">
          <a:off x="4160883" y="4531521"/>
          <a:ext cx="748275"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17</xdr:col>
      <xdr:colOff>64994</xdr:colOff>
      <xdr:row>25</xdr:row>
      <xdr:rowOff>160242</xdr:rowOff>
    </xdr:from>
    <xdr:to>
      <xdr:col>23</xdr:col>
      <xdr:colOff>4409</xdr:colOff>
      <xdr:row>30</xdr:row>
      <xdr:rowOff>49051</xdr:rowOff>
    </xdr:to>
    <xdr:grpSp>
      <xdr:nvGrpSpPr>
        <xdr:cNvPr id="19" name="グループ化 18">
          <a:extLst>
            <a:ext uri="{FF2B5EF4-FFF2-40B4-BE49-F238E27FC236}">
              <a16:creationId xmlns:a16="http://schemas.microsoft.com/office/drawing/2014/main" id="{00000000-0008-0000-0200-000013000000}"/>
            </a:ext>
          </a:extLst>
        </xdr:cNvPr>
        <xdr:cNvGrpSpPr/>
      </xdr:nvGrpSpPr>
      <xdr:grpSpPr>
        <a:xfrm>
          <a:off x="2349089" y="4924647"/>
          <a:ext cx="750049" cy="841309"/>
          <a:chOff x="12268200" y="2949641"/>
          <a:chExt cx="796665" cy="841309"/>
        </a:xfrm>
      </xdr:grpSpPr>
      <xdr:sp macro="" textlink="">
        <xdr:nvSpPr>
          <xdr:cNvPr id="20" name="フローチャート: 処理 19">
            <a:extLst>
              <a:ext uri="{FF2B5EF4-FFF2-40B4-BE49-F238E27FC236}">
                <a16:creationId xmlns:a16="http://schemas.microsoft.com/office/drawing/2014/main" id="{00000000-0008-0000-0200-000014000000}"/>
              </a:ext>
            </a:extLst>
          </xdr:cNvPr>
          <xdr:cNvSpPr/>
        </xdr:nvSpPr>
        <xdr:spPr bwMode="auto">
          <a:xfrm>
            <a:off x="12268200" y="3019425"/>
            <a:ext cx="666750" cy="771525"/>
          </a:xfrm>
          <a:prstGeom prst="flowChartProcess">
            <a:avLst/>
          </a:prstGeom>
          <a:solidFill>
            <a:schemeClr val="tx1">
              <a:lumMod val="75000"/>
              <a:lumOff val="2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1" name="二等辺三角形 20">
            <a:extLst>
              <a:ext uri="{FF2B5EF4-FFF2-40B4-BE49-F238E27FC236}">
                <a16:creationId xmlns:a16="http://schemas.microsoft.com/office/drawing/2014/main" id="{00000000-0008-0000-0200-000015000000}"/>
              </a:ext>
            </a:extLst>
          </xdr:cNvPr>
          <xdr:cNvSpPr/>
        </xdr:nvSpPr>
        <xdr:spPr bwMode="auto">
          <a:xfrm rot="13438715">
            <a:off x="12516172" y="3119625"/>
            <a:ext cx="388966" cy="220614"/>
          </a:xfrm>
          <a:prstGeom prst="triangle">
            <a:avLst/>
          </a:prstGeom>
          <a:solidFill>
            <a:schemeClr val="tx1">
              <a:lumMod val="65000"/>
              <a:lumOff val="3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2" name="二等辺三角形 21">
            <a:extLst>
              <a:ext uri="{FF2B5EF4-FFF2-40B4-BE49-F238E27FC236}">
                <a16:creationId xmlns:a16="http://schemas.microsoft.com/office/drawing/2014/main" id="{00000000-0008-0000-0200-000016000000}"/>
              </a:ext>
            </a:extLst>
          </xdr:cNvPr>
          <xdr:cNvSpPr/>
        </xdr:nvSpPr>
        <xdr:spPr bwMode="auto">
          <a:xfrm rot="2499407">
            <a:off x="12675899" y="2949641"/>
            <a:ext cx="388966" cy="220614"/>
          </a:xfrm>
          <a:prstGeom prst="triangle">
            <a:avLst/>
          </a:prstGeom>
          <a:solidFill>
            <a:schemeClr val="bg1"/>
          </a:solidFill>
          <a:ln w="9525" cap="flat" cmpd="sng" algn="ctr">
            <a:solidFill>
              <a:schemeClr val="bg1"/>
            </a:solid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3" name="フローチャート: 処理 22">
            <a:extLst>
              <a:ext uri="{FF2B5EF4-FFF2-40B4-BE49-F238E27FC236}">
                <a16:creationId xmlns:a16="http://schemas.microsoft.com/office/drawing/2014/main" id="{00000000-0008-0000-0200-000017000000}"/>
              </a:ext>
            </a:extLst>
          </xdr:cNvPr>
          <xdr:cNvSpPr/>
        </xdr:nvSpPr>
        <xdr:spPr bwMode="auto">
          <a:xfrm>
            <a:off x="12649200" y="3438526"/>
            <a:ext cx="371475" cy="266700"/>
          </a:xfrm>
          <a:prstGeom prst="flowChartProcess">
            <a:avLst/>
          </a:prstGeom>
          <a:solidFill>
            <a:schemeClr val="bg1">
              <a:lumMod val="8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r>
              <a:rPr kumimoji="1" lang="en-US" altLang="ja-JP" sz="1200">
                <a:solidFill>
                  <a:schemeClr val="accent3">
                    <a:lumMod val="50000"/>
                  </a:schemeClr>
                </a:solidFill>
                <a:latin typeface="BIZ UDゴシック" panose="020B0400000000000000" pitchFamily="49" charset="-128"/>
                <a:ea typeface="BIZ UDゴシック" panose="020B0400000000000000" pitchFamily="49" charset="-128"/>
              </a:rPr>
              <a:t>CSV</a:t>
            </a:r>
            <a:endParaRPr kumimoji="1" lang="ja-JP" altLang="en-US" sz="1200">
              <a:solidFill>
                <a:schemeClr val="accent3">
                  <a:lumMod val="50000"/>
                </a:schemeClr>
              </a:solidFill>
              <a:latin typeface="BIZ UDゴシック" panose="020B0400000000000000" pitchFamily="49" charset="-128"/>
              <a:ea typeface="BIZ UDゴシック" panose="020B0400000000000000" pitchFamily="49" charset="-128"/>
            </a:endParaRPr>
          </a:p>
        </xdr:txBody>
      </xdr:sp>
    </xdr:grpSp>
    <xdr:clientData/>
  </xdr:twoCellAnchor>
  <xdr:twoCellAnchor>
    <xdr:from>
      <xdr:col>51</xdr:col>
      <xdr:colOff>70879</xdr:colOff>
      <xdr:row>23</xdr:row>
      <xdr:rowOff>58835</xdr:rowOff>
    </xdr:from>
    <xdr:to>
      <xdr:col>53</xdr:col>
      <xdr:colOff>78723</xdr:colOff>
      <xdr:row>27</xdr:row>
      <xdr:rowOff>163611</xdr:rowOff>
    </xdr:to>
    <xdr:sp macro="" textlink="">
      <xdr:nvSpPr>
        <xdr:cNvPr id="26" name="右矢印 2">
          <a:extLst>
            <a:ext uri="{FF2B5EF4-FFF2-40B4-BE49-F238E27FC236}">
              <a16:creationId xmlns:a16="http://schemas.microsoft.com/office/drawing/2014/main" id="{00000000-0008-0000-0200-00001A000000}"/>
            </a:ext>
          </a:extLst>
        </xdr:cNvPr>
        <xdr:cNvSpPr/>
      </xdr:nvSpPr>
      <xdr:spPr bwMode="auto">
        <a:xfrm rot="3688201">
          <a:off x="7216590" y="4724124"/>
          <a:ext cx="866776" cy="299197"/>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49</xdr:col>
      <xdr:colOff>7850</xdr:colOff>
      <xdr:row>23</xdr:row>
      <xdr:rowOff>70037</xdr:rowOff>
    </xdr:from>
    <xdr:to>
      <xdr:col>51</xdr:col>
      <xdr:colOff>15694</xdr:colOff>
      <xdr:row>27</xdr:row>
      <xdr:rowOff>174813</xdr:rowOff>
    </xdr:to>
    <xdr:sp macro="" textlink="">
      <xdr:nvSpPr>
        <xdr:cNvPr id="27" name="右矢印 2">
          <a:extLst>
            <a:ext uri="{FF2B5EF4-FFF2-40B4-BE49-F238E27FC236}">
              <a16:creationId xmlns:a16="http://schemas.microsoft.com/office/drawing/2014/main" id="{00000000-0008-0000-0200-00001B000000}"/>
            </a:ext>
          </a:extLst>
        </xdr:cNvPr>
        <xdr:cNvSpPr/>
      </xdr:nvSpPr>
      <xdr:spPr bwMode="auto">
        <a:xfrm rot="14499175" flipV="1">
          <a:off x="6862208" y="4735326"/>
          <a:ext cx="866776" cy="299197"/>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35</xdr:col>
      <xdr:colOff>20171</xdr:colOff>
      <xdr:row>26</xdr:row>
      <xdr:rowOff>182654</xdr:rowOff>
    </xdr:from>
    <xdr:to>
      <xdr:col>40</xdr:col>
      <xdr:colOff>105262</xdr:colOff>
      <xdr:row>31</xdr:row>
      <xdr:rowOff>71463</xdr:rowOff>
    </xdr:to>
    <xdr:grpSp>
      <xdr:nvGrpSpPr>
        <xdr:cNvPr id="38" name="グループ化 37">
          <a:extLst>
            <a:ext uri="{FF2B5EF4-FFF2-40B4-BE49-F238E27FC236}">
              <a16:creationId xmlns:a16="http://schemas.microsoft.com/office/drawing/2014/main" id="{B29CA53C-B376-4D05-B572-1CAA933F5C39}"/>
            </a:ext>
          </a:extLst>
        </xdr:cNvPr>
        <xdr:cNvGrpSpPr/>
      </xdr:nvGrpSpPr>
      <xdr:grpSpPr>
        <a:xfrm>
          <a:off x="4722832" y="5133749"/>
          <a:ext cx="759349" cy="841309"/>
          <a:chOff x="12268200" y="2949641"/>
          <a:chExt cx="796665" cy="841309"/>
        </a:xfrm>
      </xdr:grpSpPr>
      <xdr:sp macro="" textlink="">
        <xdr:nvSpPr>
          <xdr:cNvPr id="39" name="フローチャート: 処理 38">
            <a:extLst>
              <a:ext uri="{FF2B5EF4-FFF2-40B4-BE49-F238E27FC236}">
                <a16:creationId xmlns:a16="http://schemas.microsoft.com/office/drawing/2014/main" id="{E20DB0B2-ADC6-159A-4C28-65534EFA97BB}"/>
              </a:ext>
            </a:extLst>
          </xdr:cNvPr>
          <xdr:cNvSpPr/>
        </xdr:nvSpPr>
        <xdr:spPr bwMode="auto">
          <a:xfrm>
            <a:off x="12268200" y="3019425"/>
            <a:ext cx="666750" cy="771525"/>
          </a:xfrm>
          <a:prstGeom prst="flowChartProcess">
            <a:avLst/>
          </a:prstGeom>
          <a:solidFill>
            <a:schemeClr val="tx1">
              <a:lumMod val="75000"/>
              <a:lumOff val="2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40" name="二等辺三角形 39">
            <a:extLst>
              <a:ext uri="{FF2B5EF4-FFF2-40B4-BE49-F238E27FC236}">
                <a16:creationId xmlns:a16="http://schemas.microsoft.com/office/drawing/2014/main" id="{2FEE32A1-7E18-56F9-14E7-64829F24DCAD}"/>
              </a:ext>
            </a:extLst>
          </xdr:cNvPr>
          <xdr:cNvSpPr/>
        </xdr:nvSpPr>
        <xdr:spPr bwMode="auto">
          <a:xfrm rot="13438715">
            <a:off x="12516172" y="3119625"/>
            <a:ext cx="388966" cy="220614"/>
          </a:xfrm>
          <a:prstGeom prst="triangle">
            <a:avLst/>
          </a:prstGeom>
          <a:solidFill>
            <a:schemeClr val="tx1">
              <a:lumMod val="65000"/>
              <a:lumOff val="3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41" name="二等辺三角形 40">
            <a:extLst>
              <a:ext uri="{FF2B5EF4-FFF2-40B4-BE49-F238E27FC236}">
                <a16:creationId xmlns:a16="http://schemas.microsoft.com/office/drawing/2014/main" id="{4599B8E4-FEC2-165D-BAD7-9981C78A0E61}"/>
              </a:ext>
            </a:extLst>
          </xdr:cNvPr>
          <xdr:cNvSpPr/>
        </xdr:nvSpPr>
        <xdr:spPr bwMode="auto">
          <a:xfrm rot="2499407">
            <a:off x="12675899" y="2949641"/>
            <a:ext cx="388966" cy="220614"/>
          </a:xfrm>
          <a:prstGeom prst="triangle">
            <a:avLst/>
          </a:prstGeom>
          <a:solidFill>
            <a:schemeClr val="bg1"/>
          </a:solidFill>
          <a:ln w="9525" cap="flat" cmpd="sng" algn="ctr">
            <a:solidFill>
              <a:schemeClr val="bg1"/>
            </a:solid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42" name="フローチャート: 処理 41">
            <a:extLst>
              <a:ext uri="{FF2B5EF4-FFF2-40B4-BE49-F238E27FC236}">
                <a16:creationId xmlns:a16="http://schemas.microsoft.com/office/drawing/2014/main" id="{570AAF0A-2536-B545-6BB3-903C2F0E4119}"/>
              </a:ext>
            </a:extLst>
          </xdr:cNvPr>
          <xdr:cNvSpPr/>
        </xdr:nvSpPr>
        <xdr:spPr bwMode="auto">
          <a:xfrm>
            <a:off x="12500856" y="3438526"/>
            <a:ext cx="519819" cy="258549"/>
          </a:xfrm>
          <a:prstGeom prst="flowChartProcess">
            <a:avLst/>
          </a:prstGeom>
          <a:solidFill>
            <a:schemeClr val="bg1">
              <a:lumMod val="8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r>
              <a:rPr kumimoji="1" lang="en-US" altLang="ja-JP" sz="1200">
                <a:solidFill>
                  <a:schemeClr val="accent3">
                    <a:lumMod val="50000"/>
                  </a:schemeClr>
                </a:solidFill>
                <a:latin typeface="BIZ UDゴシック" panose="020B0400000000000000" pitchFamily="49" charset="-128"/>
                <a:ea typeface="BIZ UDゴシック" panose="020B0400000000000000" pitchFamily="49" charset="-128"/>
              </a:rPr>
              <a:t>EXCEL</a:t>
            </a:r>
            <a:endParaRPr kumimoji="1" lang="ja-JP" altLang="en-US" sz="1200">
              <a:solidFill>
                <a:schemeClr val="accent3">
                  <a:lumMod val="50000"/>
                </a:schemeClr>
              </a:solidFill>
              <a:latin typeface="BIZ UDゴシック" panose="020B0400000000000000" pitchFamily="49" charset="-128"/>
              <a:ea typeface="BIZ UDゴシック" panose="020B0400000000000000" pitchFamily="49" charset="-128"/>
            </a:endParaRPr>
          </a:p>
        </xdr:txBody>
      </xdr:sp>
    </xdr:grpSp>
    <xdr:clientData/>
  </xdr:twoCellAnchor>
  <xdr:twoCellAnchor>
    <xdr:from>
      <xdr:col>33</xdr:col>
      <xdr:colOff>112056</xdr:colOff>
      <xdr:row>23</xdr:row>
      <xdr:rowOff>56031</xdr:rowOff>
    </xdr:from>
    <xdr:to>
      <xdr:col>35</xdr:col>
      <xdr:colOff>114298</xdr:colOff>
      <xdr:row>25</xdr:row>
      <xdr:rowOff>134474</xdr:rowOff>
    </xdr:to>
    <xdr:sp macro="" textlink="">
      <xdr:nvSpPr>
        <xdr:cNvPr id="43" name="右矢印 2">
          <a:extLst>
            <a:ext uri="{FF2B5EF4-FFF2-40B4-BE49-F238E27FC236}">
              <a16:creationId xmlns:a16="http://schemas.microsoft.com/office/drawing/2014/main" id="{24587225-7E80-49F8-9520-7422F5CFDB94}"/>
            </a:ext>
          </a:extLst>
        </xdr:cNvPr>
        <xdr:cNvSpPr/>
      </xdr:nvSpPr>
      <xdr:spPr bwMode="auto">
        <a:xfrm rot="5400000">
          <a:off x="4836455" y="4520456"/>
          <a:ext cx="459443"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24</xdr:col>
      <xdr:colOff>60511</xdr:colOff>
      <xdr:row>25</xdr:row>
      <xdr:rowOff>155759</xdr:rowOff>
    </xdr:from>
    <xdr:to>
      <xdr:col>29</xdr:col>
      <xdr:colOff>145602</xdr:colOff>
      <xdr:row>30</xdr:row>
      <xdr:rowOff>44568</xdr:rowOff>
    </xdr:to>
    <xdr:grpSp>
      <xdr:nvGrpSpPr>
        <xdr:cNvPr id="2" name="グループ化 1">
          <a:extLst>
            <a:ext uri="{FF2B5EF4-FFF2-40B4-BE49-F238E27FC236}">
              <a16:creationId xmlns:a16="http://schemas.microsoft.com/office/drawing/2014/main" id="{F97DB118-6B6E-467F-9966-DA42B2970224}"/>
            </a:ext>
          </a:extLst>
        </xdr:cNvPr>
        <xdr:cNvGrpSpPr/>
      </xdr:nvGrpSpPr>
      <xdr:grpSpPr>
        <a:xfrm>
          <a:off x="3283995" y="4918259"/>
          <a:ext cx="749824" cy="843214"/>
          <a:chOff x="12268200" y="2949641"/>
          <a:chExt cx="796665" cy="841309"/>
        </a:xfrm>
      </xdr:grpSpPr>
      <xdr:sp macro="" textlink="">
        <xdr:nvSpPr>
          <xdr:cNvPr id="11" name="フローチャート: 処理 10">
            <a:extLst>
              <a:ext uri="{FF2B5EF4-FFF2-40B4-BE49-F238E27FC236}">
                <a16:creationId xmlns:a16="http://schemas.microsoft.com/office/drawing/2014/main" id="{6AC51505-F444-00FF-6A25-B4CD7689720B}"/>
              </a:ext>
            </a:extLst>
          </xdr:cNvPr>
          <xdr:cNvSpPr/>
        </xdr:nvSpPr>
        <xdr:spPr bwMode="auto">
          <a:xfrm>
            <a:off x="12268200" y="3019425"/>
            <a:ext cx="666750" cy="771525"/>
          </a:xfrm>
          <a:prstGeom prst="flowChartProcess">
            <a:avLst/>
          </a:prstGeom>
          <a:solidFill>
            <a:schemeClr val="tx1">
              <a:lumMod val="75000"/>
              <a:lumOff val="2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18" name="二等辺三角形 17">
            <a:extLst>
              <a:ext uri="{FF2B5EF4-FFF2-40B4-BE49-F238E27FC236}">
                <a16:creationId xmlns:a16="http://schemas.microsoft.com/office/drawing/2014/main" id="{919205F5-A8D7-02F9-36AA-1638BD372276}"/>
              </a:ext>
            </a:extLst>
          </xdr:cNvPr>
          <xdr:cNvSpPr/>
        </xdr:nvSpPr>
        <xdr:spPr bwMode="auto">
          <a:xfrm rot="13438715">
            <a:off x="12516172" y="3119625"/>
            <a:ext cx="388966" cy="220614"/>
          </a:xfrm>
          <a:prstGeom prst="triangle">
            <a:avLst/>
          </a:prstGeom>
          <a:solidFill>
            <a:schemeClr val="tx1">
              <a:lumMod val="65000"/>
              <a:lumOff val="3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4" name="二等辺三角形 23">
            <a:extLst>
              <a:ext uri="{FF2B5EF4-FFF2-40B4-BE49-F238E27FC236}">
                <a16:creationId xmlns:a16="http://schemas.microsoft.com/office/drawing/2014/main" id="{206DD83D-AF7D-4234-941B-5D700CDE8D8D}"/>
              </a:ext>
            </a:extLst>
          </xdr:cNvPr>
          <xdr:cNvSpPr/>
        </xdr:nvSpPr>
        <xdr:spPr bwMode="auto">
          <a:xfrm rot="2499407">
            <a:off x="12675899" y="2949641"/>
            <a:ext cx="388966" cy="220614"/>
          </a:xfrm>
          <a:prstGeom prst="triangle">
            <a:avLst/>
          </a:prstGeom>
          <a:solidFill>
            <a:schemeClr val="bg1"/>
          </a:solidFill>
          <a:ln w="9525" cap="flat" cmpd="sng" algn="ctr">
            <a:solidFill>
              <a:schemeClr val="bg1"/>
            </a:solid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sp macro="" textlink="">
        <xdr:nvSpPr>
          <xdr:cNvPr id="25" name="フローチャート: 処理 24">
            <a:extLst>
              <a:ext uri="{FF2B5EF4-FFF2-40B4-BE49-F238E27FC236}">
                <a16:creationId xmlns:a16="http://schemas.microsoft.com/office/drawing/2014/main" id="{822C73E1-ED87-7AE2-6E53-E917DD0C1ECD}"/>
              </a:ext>
            </a:extLst>
          </xdr:cNvPr>
          <xdr:cNvSpPr/>
        </xdr:nvSpPr>
        <xdr:spPr bwMode="auto">
          <a:xfrm>
            <a:off x="12649200" y="3438526"/>
            <a:ext cx="371475" cy="266700"/>
          </a:xfrm>
          <a:prstGeom prst="flowChartProcess">
            <a:avLst/>
          </a:prstGeom>
          <a:solidFill>
            <a:schemeClr val="bg1">
              <a:lumMod val="85000"/>
            </a:schemeClr>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r>
              <a:rPr kumimoji="1" lang="en-US" altLang="ja-JP" sz="1200">
                <a:solidFill>
                  <a:schemeClr val="accent3">
                    <a:lumMod val="50000"/>
                  </a:schemeClr>
                </a:solidFill>
                <a:latin typeface="BIZ UDゴシック" panose="020B0400000000000000" pitchFamily="49" charset="-128"/>
                <a:ea typeface="BIZ UDゴシック" panose="020B0400000000000000" pitchFamily="49" charset="-128"/>
              </a:rPr>
              <a:t>CSV</a:t>
            </a:r>
            <a:endParaRPr kumimoji="1" lang="ja-JP" altLang="en-US" sz="1200">
              <a:solidFill>
                <a:schemeClr val="accent3">
                  <a:lumMod val="50000"/>
                </a:schemeClr>
              </a:solidFill>
              <a:latin typeface="BIZ UDゴシック" panose="020B0400000000000000" pitchFamily="49" charset="-128"/>
              <a:ea typeface="BIZ UDゴシック" panose="020B0400000000000000" pitchFamily="49" charset="-128"/>
            </a:endParaRPr>
          </a:p>
        </xdr:txBody>
      </xdr:sp>
    </xdr:grpSp>
    <xdr:clientData/>
  </xdr:twoCellAnchor>
  <xdr:twoCellAnchor editAs="oneCell">
    <xdr:from>
      <xdr:col>3</xdr:col>
      <xdr:colOff>0</xdr:colOff>
      <xdr:row>14</xdr:row>
      <xdr:rowOff>0</xdr:rowOff>
    </xdr:from>
    <xdr:to>
      <xdr:col>17</xdr:col>
      <xdr:colOff>123265</xdr:colOff>
      <xdr:row>22</xdr:row>
      <xdr:rowOff>88566</xdr:rowOff>
    </xdr:to>
    <xdr:pic>
      <xdr:nvPicPr>
        <xdr:cNvPr id="4" name="図 3">
          <a:extLst>
            <a:ext uri="{FF2B5EF4-FFF2-40B4-BE49-F238E27FC236}">
              <a16:creationId xmlns:a16="http://schemas.microsoft.com/office/drawing/2014/main" id="{53970651-AE8D-7D4E-C2E0-956F41C74A55}"/>
            </a:ext>
          </a:extLst>
        </xdr:cNvPr>
        <xdr:cNvPicPr>
          <a:picLocks noChangeAspect="1"/>
        </xdr:cNvPicPr>
      </xdr:nvPicPr>
      <xdr:blipFill>
        <a:blip xmlns:r="http://schemas.openxmlformats.org/officeDocument/2006/relationships" r:embed="rId1"/>
        <a:stretch>
          <a:fillRect/>
        </a:stretch>
      </xdr:blipFill>
      <xdr:spPr>
        <a:xfrm>
          <a:off x="437029" y="2667000"/>
          <a:ext cx="2162736" cy="1612566"/>
        </a:xfrm>
        <a:prstGeom prst="rect">
          <a:avLst/>
        </a:prstGeom>
      </xdr:spPr>
    </xdr:pic>
    <xdr:clientData/>
  </xdr:twoCellAnchor>
  <xdr:twoCellAnchor editAs="oneCell">
    <xdr:from>
      <xdr:col>34</xdr:col>
      <xdr:colOff>0</xdr:colOff>
      <xdr:row>14</xdr:row>
      <xdr:rowOff>0</xdr:rowOff>
    </xdr:from>
    <xdr:to>
      <xdr:col>49</xdr:col>
      <xdr:colOff>38369</xdr:colOff>
      <xdr:row>22</xdr:row>
      <xdr:rowOff>134471</xdr:rowOff>
    </xdr:to>
    <xdr:pic>
      <xdr:nvPicPr>
        <xdr:cNvPr id="8" name="図 7">
          <a:extLst>
            <a:ext uri="{FF2B5EF4-FFF2-40B4-BE49-F238E27FC236}">
              <a16:creationId xmlns:a16="http://schemas.microsoft.com/office/drawing/2014/main" id="{18577980-832E-F2C1-FBCC-B6D9FDFAB512}"/>
            </a:ext>
          </a:extLst>
        </xdr:cNvPr>
        <xdr:cNvPicPr>
          <a:picLocks noChangeAspect="1"/>
        </xdr:cNvPicPr>
      </xdr:nvPicPr>
      <xdr:blipFill>
        <a:blip xmlns:r="http://schemas.openxmlformats.org/officeDocument/2006/relationships" r:embed="rId2"/>
        <a:stretch>
          <a:fillRect/>
        </a:stretch>
      </xdr:blipFill>
      <xdr:spPr>
        <a:xfrm>
          <a:off x="4953000" y="2667000"/>
          <a:ext cx="2223516" cy="1658471"/>
        </a:xfrm>
        <a:prstGeom prst="rect">
          <a:avLst/>
        </a:prstGeom>
      </xdr:spPr>
    </xdr:pic>
    <xdr:clientData/>
  </xdr:twoCellAnchor>
  <xdr:twoCellAnchor editAs="oneCell">
    <xdr:from>
      <xdr:col>63</xdr:col>
      <xdr:colOff>0</xdr:colOff>
      <xdr:row>14</xdr:row>
      <xdr:rowOff>0</xdr:rowOff>
    </xdr:from>
    <xdr:to>
      <xdr:col>78</xdr:col>
      <xdr:colOff>44823</xdr:colOff>
      <xdr:row>22</xdr:row>
      <xdr:rowOff>151197</xdr:rowOff>
    </xdr:to>
    <xdr:pic>
      <xdr:nvPicPr>
        <xdr:cNvPr id="10" name="図 9">
          <a:extLst>
            <a:ext uri="{FF2B5EF4-FFF2-40B4-BE49-F238E27FC236}">
              <a16:creationId xmlns:a16="http://schemas.microsoft.com/office/drawing/2014/main" id="{730077E7-DDEB-2E1B-3428-EE6FD6CEDAA6}"/>
            </a:ext>
          </a:extLst>
        </xdr:cNvPr>
        <xdr:cNvPicPr>
          <a:picLocks noChangeAspect="1"/>
        </xdr:cNvPicPr>
      </xdr:nvPicPr>
      <xdr:blipFill>
        <a:blip xmlns:r="http://schemas.openxmlformats.org/officeDocument/2006/relationships" r:embed="rId3"/>
        <a:stretch>
          <a:fillRect/>
        </a:stretch>
      </xdr:blipFill>
      <xdr:spPr>
        <a:xfrm>
          <a:off x="9177618" y="2667000"/>
          <a:ext cx="2229970" cy="1675197"/>
        </a:xfrm>
        <a:prstGeom prst="rect">
          <a:avLst/>
        </a:prstGeom>
      </xdr:spPr>
    </xdr:pic>
    <xdr:clientData/>
  </xdr:twoCellAnchor>
  <xdr:twoCellAnchor editAs="oneCell">
    <xdr:from>
      <xdr:col>48</xdr:col>
      <xdr:colOff>0</xdr:colOff>
      <xdr:row>30</xdr:row>
      <xdr:rowOff>0</xdr:rowOff>
    </xdr:from>
    <xdr:to>
      <xdr:col>63</xdr:col>
      <xdr:colOff>6189</xdr:colOff>
      <xdr:row>38</xdr:row>
      <xdr:rowOff>123265</xdr:rowOff>
    </xdr:to>
    <xdr:pic>
      <xdr:nvPicPr>
        <xdr:cNvPr id="14" name="図 13">
          <a:extLst>
            <a:ext uri="{FF2B5EF4-FFF2-40B4-BE49-F238E27FC236}">
              <a16:creationId xmlns:a16="http://schemas.microsoft.com/office/drawing/2014/main" id="{92998923-5E2B-AAB1-9B1A-EAE1D6B03321}"/>
            </a:ext>
          </a:extLst>
        </xdr:cNvPr>
        <xdr:cNvPicPr>
          <a:picLocks noChangeAspect="1"/>
        </xdr:cNvPicPr>
      </xdr:nvPicPr>
      <xdr:blipFill>
        <a:blip xmlns:r="http://schemas.openxmlformats.org/officeDocument/2006/relationships" r:embed="rId4"/>
        <a:stretch>
          <a:fillRect/>
        </a:stretch>
      </xdr:blipFill>
      <xdr:spPr>
        <a:xfrm>
          <a:off x="6992471" y="5715000"/>
          <a:ext cx="2191336" cy="16472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22</xdr:col>
      <xdr:colOff>67237</xdr:colOff>
      <xdr:row>143</xdr:row>
      <xdr:rowOff>89647</xdr:rowOff>
    </xdr:from>
    <xdr:to>
      <xdr:col>40</xdr:col>
      <xdr:colOff>67235</xdr:colOff>
      <xdr:row>150</xdr:row>
      <xdr:rowOff>33616</xdr:rowOff>
    </xdr:to>
    <xdr:sp macro="" textlink="">
      <xdr:nvSpPr>
        <xdr:cNvPr id="2" name="吹き出し: 角を丸めた四角形 1">
          <a:extLst>
            <a:ext uri="{FF2B5EF4-FFF2-40B4-BE49-F238E27FC236}">
              <a16:creationId xmlns:a16="http://schemas.microsoft.com/office/drawing/2014/main" id="{E436DE2C-3062-404B-AE5A-D902ED658104}"/>
            </a:ext>
          </a:extLst>
        </xdr:cNvPr>
        <xdr:cNvSpPr/>
      </xdr:nvSpPr>
      <xdr:spPr bwMode="auto">
        <a:xfrm>
          <a:off x="3272119" y="27331147"/>
          <a:ext cx="2622175" cy="1277469"/>
        </a:xfrm>
        <a:prstGeom prst="wedgeRoundRectCallout">
          <a:avLst>
            <a:gd name="adj1" fmla="val -16638"/>
            <a:gd name="adj2" fmla="val 64166"/>
            <a:gd name="adj3" fmla="val 16667"/>
          </a:avLst>
        </a:prstGeom>
        <a:solidFill>
          <a:schemeClr val="accent6"/>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l"/>
          <a:r>
            <a:rPr kumimoji="1" lang="ja-JP" altLang="en-US" sz="1100">
              <a:solidFill>
                <a:schemeClr val="bg1"/>
              </a:solidFill>
            </a:rPr>
            <a:t>雇用部課からユーザコードマスタ</a:t>
          </a:r>
          <a:r>
            <a:rPr kumimoji="1" lang="en-US" altLang="ja-JP" sz="1100">
              <a:solidFill>
                <a:schemeClr val="bg1"/>
              </a:solidFill>
            </a:rPr>
            <a:t>[UC004]</a:t>
          </a:r>
          <a:r>
            <a:rPr kumimoji="1" lang="ja-JP" altLang="en-US" sz="1100">
              <a:solidFill>
                <a:schemeClr val="bg1"/>
              </a:solidFill>
            </a:rPr>
            <a:t>（組織マスタ）を参照し、人事給与連携データ登録用フラグが</a:t>
          </a:r>
          <a:r>
            <a:rPr kumimoji="1" lang="en-US" altLang="ja-JP" sz="1100">
              <a:solidFill>
                <a:schemeClr val="bg1"/>
              </a:solidFill>
            </a:rPr>
            <a:t>1</a:t>
          </a:r>
          <a:r>
            <a:rPr kumimoji="1" lang="ja-JP" altLang="en-US" sz="1100">
              <a:solidFill>
                <a:schemeClr val="bg1"/>
              </a:solidFill>
            </a:rPr>
            <a:t>になっている組織コードを設定</a:t>
          </a:r>
        </a:p>
      </xdr:txBody>
    </xdr:sp>
    <xdr:clientData/>
  </xdr:twoCellAnchor>
  <xdr:twoCellAnchor>
    <xdr:from>
      <xdr:col>22</xdr:col>
      <xdr:colOff>89648</xdr:colOff>
      <xdr:row>186</xdr:row>
      <xdr:rowOff>78441</xdr:rowOff>
    </xdr:from>
    <xdr:to>
      <xdr:col>40</xdr:col>
      <xdr:colOff>89646</xdr:colOff>
      <xdr:row>193</xdr:row>
      <xdr:rowOff>22410</xdr:rowOff>
    </xdr:to>
    <xdr:sp macro="" textlink="">
      <xdr:nvSpPr>
        <xdr:cNvPr id="5" name="吹き出し: 角を丸めた四角形 4">
          <a:extLst>
            <a:ext uri="{FF2B5EF4-FFF2-40B4-BE49-F238E27FC236}">
              <a16:creationId xmlns:a16="http://schemas.microsoft.com/office/drawing/2014/main" id="{EE794A1B-2CBF-48A3-8FFF-890EE03C277E}"/>
            </a:ext>
          </a:extLst>
        </xdr:cNvPr>
        <xdr:cNvSpPr/>
      </xdr:nvSpPr>
      <xdr:spPr bwMode="auto">
        <a:xfrm>
          <a:off x="3294530" y="35511441"/>
          <a:ext cx="2622175" cy="1277469"/>
        </a:xfrm>
        <a:prstGeom prst="wedgeRoundRectCallout">
          <a:avLst>
            <a:gd name="adj1" fmla="val -16638"/>
            <a:gd name="adj2" fmla="val 64166"/>
            <a:gd name="adj3" fmla="val 16667"/>
          </a:avLst>
        </a:prstGeom>
        <a:solidFill>
          <a:schemeClr val="accent6"/>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l"/>
          <a:r>
            <a:rPr kumimoji="1" lang="ja-JP" altLang="en-US" sz="1100">
              <a:solidFill>
                <a:schemeClr val="bg1"/>
              </a:solidFill>
            </a:rPr>
            <a:t>雇用部課からユーザコードマスタ</a:t>
          </a:r>
          <a:r>
            <a:rPr kumimoji="1" lang="en-US" altLang="ja-JP" sz="1100">
              <a:solidFill>
                <a:schemeClr val="bg1"/>
              </a:solidFill>
            </a:rPr>
            <a:t>[UC004]</a:t>
          </a:r>
          <a:r>
            <a:rPr kumimoji="1" lang="ja-JP" altLang="en-US" sz="1100">
              <a:solidFill>
                <a:schemeClr val="bg1"/>
              </a:solidFill>
            </a:rPr>
            <a:t>（組織マスタ）を参照し、人事給与連携データ登録用フラグが</a:t>
          </a:r>
          <a:r>
            <a:rPr kumimoji="1" lang="en-US" altLang="ja-JP" sz="1100">
              <a:solidFill>
                <a:schemeClr val="bg1"/>
              </a:solidFill>
            </a:rPr>
            <a:t>1</a:t>
          </a:r>
          <a:r>
            <a:rPr kumimoji="1" lang="ja-JP" altLang="en-US" sz="1100">
              <a:solidFill>
                <a:schemeClr val="bg1"/>
              </a:solidFill>
            </a:rPr>
            <a:t>になっている組織コードを設定</a:t>
          </a:r>
        </a:p>
      </xdr:txBody>
    </xdr:sp>
    <xdr:clientData/>
  </xdr:twoCellAnchor>
  <xdr:twoCellAnchor editAs="oneCell">
    <xdr:from>
      <xdr:col>1</xdr:col>
      <xdr:colOff>0</xdr:colOff>
      <xdr:row>6</xdr:row>
      <xdr:rowOff>0</xdr:rowOff>
    </xdr:from>
    <xdr:to>
      <xdr:col>55</xdr:col>
      <xdr:colOff>0</xdr:colOff>
      <xdr:row>36</xdr:row>
      <xdr:rowOff>39633</xdr:rowOff>
    </xdr:to>
    <xdr:pic>
      <xdr:nvPicPr>
        <xdr:cNvPr id="3" name="図 2">
          <a:extLst>
            <a:ext uri="{FF2B5EF4-FFF2-40B4-BE49-F238E27FC236}">
              <a16:creationId xmlns:a16="http://schemas.microsoft.com/office/drawing/2014/main" id="{2C453F41-6768-4C33-9730-2A807B3870E8}"/>
            </a:ext>
          </a:extLst>
        </xdr:cNvPr>
        <xdr:cNvPicPr>
          <a:picLocks noChangeAspect="1"/>
        </xdr:cNvPicPr>
      </xdr:nvPicPr>
      <xdr:blipFill>
        <a:blip xmlns:r="http://schemas.openxmlformats.org/officeDocument/2006/relationships" r:embed="rId1"/>
        <a:stretch>
          <a:fillRect/>
        </a:stretch>
      </xdr:blipFill>
      <xdr:spPr>
        <a:xfrm>
          <a:off x="142875" y="1143000"/>
          <a:ext cx="7715250" cy="57546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99061</xdr:colOff>
      <xdr:row>6</xdr:row>
      <xdr:rowOff>45720</xdr:rowOff>
    </xdr:from>
    <xdr:to>
      <xdr:col>58</xdr:col>
      <xdr:colOff>91441</xdr:colOff>
      <xdr:row>34</xdr:row>
      <xdr:rowOff>175561</xdr:rowOff>
    </xdr:to>
    <xdr:pic>
      <xdr:nvPicPr>
        <xdr:cNvPr id="5" name="図 4">
          <a:extLst>
            <a:ext uri="{FF2B5EF4-FFF2-40B4-BE49-F238E27FC236}">
              <a16:creationId xmlns:a16="http://schemas.microsoft.com/office/drawing/2014/main" id="{550805B1-FA29-C4E0-8495-F42C0B91AA11}"/>
            </a:ext>
          </a:extLst>
        </xdr:cNvPr>
        <xdr:cNvPicPr>
          <a:picLocks noChangeAspect="1"/>
        </xdr:cNvPicPr>
      </xdr:nvPicPr>
      <xdr:blipFill rotWithShape="1">
        <a:blip xmlns:r="http://schemas.openxmlformats.org/officeDocument/2006/relationships" r:embed="rId1"/>
        <a:srcRect t="7483"/>
        <a:stretch/>
      </xdr:blipFill>
      <xdr:spPr>
        <a:xfrm>
          <a:off x="99061" y="1188720"/>
          <a:ext cx="7505700" cy="54638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142874</xdr:colOff>
      <xdr:row>6</xdr:row>
      <xdr:rowOff>0</xdr:rowOff>
    </xdr:from>
    <xdr:to>
      <xdr:col>54</xdr:col>
      <xdr:colOff>57149</xdr:colOff>
      <xdr:row>36</xdr:row>
      <xdr:rowOff>20246</xdr:rowOff>
    </xdr:to>
    <xdr:pic>
      <xdr:nvPicPr>
        <xdr:cNvPr id="3" name="図 2">
          <a:extLst>
            <a:ext uri="{FF2B5EF4-FFF2-40B4-BE49-F238E27FC236}">
              <a16:creationId xmlns:a16="http://schemas.microsoft.com/office/drawing/2014/main" id="{304BF22C-B1A2-424E-9EF9-3DB2181E7680}"/>
            </a:ext>
          </a:extLst>
        </xdr:cNvPr>
        <xdr:cNvPicPr>
          <a:picLocks noChangeAspect="1"/>
        </xdr:cNvPicPr>
      </xdr:nvPicPr>
      <xdr:blipFill>
        <a:blip xmlns:r="http://schemas.openxmlformats.org/officeDocument/2006/relationships" r:embed="rId1"/>
        <a:stretch>
          <a:fillRect/>
        </a:stretch>
      </xdr:blipFill>
      <xdr:spPr>
        <a:xfrm>
          <a:off x="142874" y="1143000"/>
          <a:ext cx="7629525" cy="573524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cene3d>
          <a:camera prst="orthographicFront">
            <a:rot lat="0" lon="0" rev="0"/>
          </a:camera>
          <a:lightRig rig="threePt" dir="t"/>
        </a:scene3d>
      </a:spPr>
      <a:bodyPr vertOverflow="clip" wrap="square" lIns="18288" tIns="0" rIns="0" bIns="0" rtlCol="0" anchor="ctr" upright="1"/>
      <a:lstStyle>
        <a:defPPr algn="ctr">
          <a:defRPr kumimoji="1"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10:AB51"/>
  <sheetViews>
    <sheetView tabSelected="1" zoomScale="85" zoomScaleNormal="85" workbookViewId="0"/>
  </sheetViews>
  <sheetFormatPr defaultRowHeight="13.2" x14ac:dyDescent="0.2"/>
  <cols>
    <col min="1" max="32" width="4.44140625" customWidth="1"/>
  </cols>
  <sheetData>
    <row r="10" spans="7:24" x14ac:dyDescent="0.2">
      <c r="G10" s="3"/>
      <c r="H10" s="4"/>
      <c r="I10" s="4"/>
      <c r="J10" s="4"/>
      <c r="K10" s="4"/>
      <c r="L10" s="4"/>
      <c r="M10" s="4"/>
      <c r="N10" s="4"/>
      <c r="O10" s="4"/>
      <c r="P10" s="4"/>
      <c r="Q10" s="4"/>
      <c r="R10" s="4"/>
      <c r="S10" s="4"/>
      <c r="T10" s="4"/>
      <c r="U10" s="4"/>
      <c r="V10" s="4"/>
      <c r="W10" s="4"/>
      <c r="X10" s="5"/>
    </row>
    <row r="11" spans="7:24" ht="13.5" customHeight="1" x14ac:dyDescent="0.2">
      <c r="G11" s="174" t="str">
        <f>I40</f>
        <v>　学生勤務管理システム</v>
      </c>
      <c r="H11" s="175"/>
      <c r="I11" s="175"/>
      <c r="J11" s="175"/>
      <c r="K11" s="175"/>
      <c r="L11" s="175"/>
      <c r="M11" s="175"/>
      <c r="N11" s="175"/>
      <c r="O11" s="175"/>
      <c r="P11" s="175"/>
      <c r="Q11" s="175"/>
      <c r="R11" s="175"/>
      <c r="S11" s="175"/>
      <c r="T11" s="175"/>
      <c r="U11" s="175"/>
      <c r="V11" s="175"/>
      <c r="W11" s="175"/>
      <c r="X11" s="6"/>
    </row>
    <row r="12" spans="7:24" ht="13.5" customHeight="1" x14ac:dyDescent="0.2">
      <c r="G12" s="174"/>
      <c r="H12" s="175"/>
      <c r="I12" s="175"/>
      <c r="J12" s="175"/>
      <c r="K12" s="175"/>
      <c r="L12" s="175"/>
      <c r="M12" s="175"/>
      <c r="N12" s="175"/>
      <c r="O12" s="175"/>
      <c r="P12" s="175"/>
      <c r="Q12" s="175"/>
      <c r="R12" s="175"/>
      <c r="S12" s="175"/>
      <c r="T12" s="175"/>
      <c r="U12" s="175"/>
      <c r="V12" s="175"/>
      <c r="W12" s="175"/>
      <c r="X12" s="6"/>
    </row>
    <row r="13" spans="7:24" x14ac:dyDescent="0.2">
      <c r="G13" s="7"/>
      <c r="H13" s="8"/>
      <c r="I13" s="8"/>
      <c r="J13" s="8"/>
      <c r="K13" s="8"/>
      <c r="L13" s="8"/>
      <c r="M13" s="8"/>
      <c r="N13" s="8"/>
      <c r="O13" s="8"/>
      <c r="P13" s="8"/>
      <c r="Q13" s="8"/>
      <c r="R13" s="8"/>
      <c r="S13" s="8"/>
      <c r="T13" s="8"/>
      <c r="U13" s="8"/>
      <c r="V13" s="8"/>
      <c r="W13" s="8"/>
      <c r="X13" s="6"/>
    </row>
    <row r="14" spans="7:24" ht="13.5" customHeight="1" x14ac:dyDescent="0.2">
      <c r="G14" s="174" t="str">
        <f>I44</f>
        <v>　CZ-010_雇用情報マスタ</v>
      </c>
      <c r="H14" s="175"/>
      <c r="I14" s="175"/>
      <c r="J14" s="175"/>
      <c r="K14" s="175"/>
      <c r="L14" s="175"/>
      <c r="M14" s="175"/>
      <c r="N14" s="175"/>
      <c r="O14" s="175"/>
      <c r="P14" s="175"/>
      <c r="Q14" s="175"/>
      <c r="R14" s="175"/>
      <c r="S14" s="175"/>
      <c r="T14" s="175"/>
      <c r="U14" s="175"/>
      <c r="V14" s="175"/>
      <c r="W14" s="175"/>
      <c r="X14" s="6"/>
    </row>
    <row r="15" spans="7:24" ht="13.5" customHeight="1" x14ac:dyDescent="0.2">
      <c r="G15" s="174"/>
      <c r="H15" s="175"/>
      <c r="I15" s="175"/>
      <c r="J15" s="175"/>
      <c r="K15" s="175"/>
      <c r="L15" s="175"/>
      <c r="M15" s="175"/>
      <c r="N15" s="175"/>
      <c r="O15" s="175"/>
      <c r="P15" s="175"/>
      <c r="Q15" s="175"/>
      <c r="R15" s="175"/>
      <c r="S15" s="175"/>
      <c r="T15" s="175"/>
      <c r="U15" s="175"/>
      <c r="V15" s="175"/>
      <c r="W15" s="175"/>
      <c r="X15" s="6"/>
    </row>
    <row r="16" spans="7:24" x14ac:dyDescent="0.2">
      <c r="G16" s="7"/>
      <c r="H16" s="8"/>
      <c r="I16" s="8"/>
      <c r="J16" s="8"/>
      <c r="K16" s="8"/>
      <c r="L16" s="8"/>
      <c r="M16" s="8"/>
      <c r="N16" s="8"/>
      <c r="O16" s="8"/>
      <c r="P16" s="8"/>
      <c r="Q16" s="8"/>
      <c r="R16" s="8"/>
      <c r="S16" s="8"/>
      <c r="T16" s="8"/>
      <c r="U16" s="8"/>
      <c r="V16" s="8"/>
      <c r="W16" s="8"/>
      <c r="X16" s="6"/>
    </row>
    <row r="17" spans="7:24" ht="13.5" customHeight="1" x14ac:dyDescent="0.2">
      <c r="G17" s="174" t="str">
        <f>I42</f>
        <v xml:space="preserve">　 </v>
      </c>
      <c r="H17" s="175"/>
      <c r="I17" s="175"/>
      <c r="J17" s="175"/>
      <c r="K17" s="175"/>
      <c r="L17" s="175"/>
      <c r="M17" s="175"/>
      <c r="N17" s="175"/>
      <c r="O17" s="175"/>
      <c r="P17" s="175"/>
      <c r="Q17" s="175"/>
      <c r="R17" s="175"/>
      <c r="S17" s="175"/>
      <c r="T17" s="175"/>
      <c r="U17" s="175"/>
      <c r="V17" s="175"/>
      <c r="W17" s="175"/>
      <c r="X17" s="6"/>
    </row>
    <row r="18" spans="7:24" ht="13.5" customHeight="1" x14ac:dyDescent="0.2">
      <c r="G18" s="174"/>
      <c r="H18" s="175"/>
      <c r="I18" s="175"/>
      <c r="J18" s="175"/>
      <c r="K18" s="175"/>
      <c r="L18" s="175"/>
      <c r="M18" s="175"/>
      <c r="N18" s="175"/>
      <c r="O18" s="175"/>
      <c r="P18" s="175"/>
      <c r="Q18" s="175"/>
      <c r="R18" s="175"/>
      <c r="S18" s="175"/>
      <c r="T18" s="175"/>
      <c r="U18" s="175"/>
      <c r="V18" s="175"/>
      <c r="W18" s="175"/>
      <c r="X18" s="6"/>
    </row>
    <row r="19" spans="7:24" x14ac:dyDescent="0.2">
      <c r="G19" s="7"/>
      <c r="H19" s="8"/>
      <c r="I19" s="8"/>
      <c r="J19" s="8"/>
      <c r="K19" s="8"/>
      <c r="L19" s="8"/>
      <c r="M19" s="8"/>
      <c r="N19" s="8"/>
      <c r="O19" s="8"/>
      <c r="P19" s="8"/>
      <c r="Q19" s="8"/>
      <c r="R19" s="8"/>
      <c r="S19" s="8"/>
      <c r="T19" s="8"/>
      <c r="U19" s="8"/>
      <c r="V19" s="8"/>
      <c r="W19" s="8"/>
      <c r="X19" s="6"/>
    </row>
    <row r="20" spans="7:24" ht="13.5" customHeight="1" x14ac:dyDescent="0.2">
      <c r="G20" s="174" t="str">
        <f>I51</f>
        <v>【 Ver 1.12 】</v>
      </c>
      <c r="H20" s="175"/>
      <c r="I20" s="175"/>
      <c r="J20" s="175"/>
      <c r="K20" s="175"/>
      <c r="L20" s="175"/>
      <c r="M20" s="175"/>
      <c r="N20" s="175"/>
      <c r="O20" s="175"/>
      <c r="P20" s="175"/>
      <c r="Q20" s="175"/>
      <c r="R20" s="175"/>
      <c r="S20" s="175"/>
      <c r="T20" s="175"/>
      <c r="U20" s="175"/>
      <c r="V20" s="175"/>
      <c r="W20" s="175"/>
      <c r="X20" s="6"/>
    </row>
    <row r="21" spans="7:24" ht="13.5" customHeight="1" x14ac:dyDescent="0.2">
      <c r="G21" s="174"/>
      <c r="H21" s="175"/>
      <c r="I21" s="175"/>
      <c r="J21" s="175"/>
      <c r="K21" s="175"/>
      <c r="L21" s="175"/>
      <c r="M21" s="175"/>
      <c r="N21" s="175"/>
      <c r="O21" s="175"/>
      <c r="P21" s="175"/>
      <c r="Q21" s="175"/>
      <c r="R21" s="175"/>
      <c r="S21" s="175"/>
      <c r="T21" s="175"/>
      <c r="U21" s="175"/>
      <c r="V21" s="175"/>
      <c r="W21" s="175"/>
      <c r="X21" s="6"/>
    </row>
    <row r="22" spans="7:24" x14ac:dyDescent="0.2">
      <c r="G22" s="9"/>
      <c r="H22" s="10"/>
      <c r="I22" s="10"/>
      <c r="J22" s="10"/>
      <c r="K22" s="10"/>
      <c r="L22" s="10"/>
      <c r="M22" s="10"/>
      <c r="N22" s="10"/>
      <c r="O22" s="10"/>
      <c r="P22" s="10"/>
      <c r="Q22" s="10"/>
      <c r="R22" s="10"/>
      <c r="S22" s="10"/>
      <c r="T22" s="10"/>
      <c r="U22" s="10"/>
      <c r="V22" s="10"/>
      <c r="W22" s="10"/>
      <c r="X22" s="11"/>
    </row>
    <row r="27" spans="7:24" s="1" customFormat="1" x14ac:dyDescent="0.2">
      <c r="J27" s="170" t="str">
        <f>TEXT(I47,"yyyy年")&amp;IF(LEFT(TEXT(I47,"mm"),1)="0"," ","")&amp;TEXT(I47,"m月")&amp;IF(LEFT(TEXT(I47,"dd"),1)="0"," ","")&amp;TEXT(I47,"d日")&amp;"作成"</f>
        <v>2023年 9月27日作成</v>
      </c>
      <c r="K27" s="171"/>
      <c r="L27" s="171"/>
      <c r="M27" s="171"/>
      <c r="N27" s="171"/>
      <c r="O27" s="171"/>
      <c r="P27" s="171"/>
      <c r="Q27" s="171"/>
      <c r="R27" s="171"/>
      <c r="S27" s="171"/>
      <c r="T27" s="171"/>
    </row>
    <row r="28" spans="7:24" s="1" customFormat="1" x14ac:dyDescent="0.2">
      <c r="J28" s="171"/>
      <c r="K28" s="171"/>
      <c r="L28" s="171"/>
      <c r="M28" s="171"/>
      <c r="N28" s="171"/>
      <c r="O28" s="171"/>
      <c r="P28" s="171"/>
      <c r="Q28" s="171"/>
      <c r="R28" s="171"/>
      <c r="S28" s="171"/>
      <c r="T28" s="171"/>
    </row>
    <row r="29" spans="7:24" s="1" customFormat="1" x14ac:dyDescent="0.2">
      <c r="J29" s="170" t="str">
        <f>IF(I49="　※ページ毎に個別入力","    年  月  日改訂",TEXT(I49,"yyyy年")&amp;IF(LEFT(TEXT(I49,"mm"),1)="0"," ","")&amp;TEXT(I49,"m月")&amp;IF(LEFT(TEXT(I49,"dd"),1)="0"," ","")&amp;TEXT(I49,"d日")&amp;"改訂")</f>
        <v>2025年 6月12日改訂</v>
      </c>
      <c r="K29" s="171"/>
      <c r="L29" s="171"/>
      <c r="M29" s="171"/>
      <c r="N29" s="171"/>
      <c r="O29" s="171"/>
      <c r="P29" s="171"/>
      <c r="Q29" s="171"/>
      <c r="R29" s="171"/>
      <c r="S29" s="171"/>
      <c r="T29" s="171"/>
    </row>
    <row r="30" spans="7:24" s="1" customFormat="1" x14ac:dyDescent="0.2">
      <c r="J30" s="171"/>
      <c r="K30" s="171"/>
      <c r="L30" s="171"/>
      <c r="M30" s="171"/>
      <c r="N30" s="171"/>
      <c r="O30" s="171"/>
      <c r="P30" s="171"/>
      <c r="Q30" s="171"/>
      <c r="R30" s="171"/>
      <c r="S30" s="171"/>
      <c r="T30" s="171"/>
    </row>
    <row r="38" spans="2:28" ht="23.25" customHeight="1" x14ac:dyDescent="0.2">
      <c r="B38" s="173" t="s">
        <v>19</v>
      </c>
      <c r="C38" s="173"/>
      <c r="D38" s="173"/>
      <c r="E38" s="173"/>
      <c r="F38" s="173"/>
      <c r="G38" s="173"/>
      <c r="H38" s="173"/>
      <c r="I38" s="173"/>
      <c r="J38" s="173"/>
      <c r="K38" s="173"/>
      <c r="L38" s="173"/>
      <c r="M38" s="173"/>
      <c r="N38" s="173"/>
      <c r="O38" s="173"/>
      <c r="P38" s="173"/>
      <c r="Q38" s="173"/>
      <c r="R38" s="173"/>
      <c r="S38" s="173"/>
      <c r="T38" s="173"/>
      <c r="U38" s="173"/>
      <c r="V38" s="173"/>
      <c r="W38" s="173"/>
      <c r="X38" s="173"/>
      <c r="Y38" s="173"/>
      <c r="Z38" s="173"/>
      <c r="AA38" s="173"/>
      <c r="AB38" s="173"/>
    </row>
    <row r="39" spans="2:28" ht="23.25" customHeight="1" x14ac:dyDescent="0.2">
      <c r="B39" s="169" t="s">
        <v>20</v>
      </c>
      <c r="C39" s="169"/>
      <c r="D39" s="169"/>
      <c r="E39" s="169"/>
      <c r="F39" s="169"/>
      <c r="G39" s="169"/>
      <c r="H39" s="169"/>
      <c r="I39" s="169" t="s">
        <v>10</v>
      </c>
      <c r="J39" s="169"/>
      <c r="K39" s="169"/>
      <c r="L39" s="169"/>
      <c r="M39" s="169"/>
      <c r="N39" s="169"/>
      <c r="O39" s="169"/>
      <c r="P39" s="169"/>
      <c r="Q39" s="169"/>
      <c r="R39" s="169"/>
      <c r="S39" s="169"/>
      <c r="T39" s="169"/>
      <c r="U39" s="169"/>
      <c r="V39" s="169"/>
      <c r="W39" s="169"/>
      <c r="X39" s="169"/>
      <c r="Y39" s="169"/>
      <c r="Z39" s="169"/>
      <c r="AA39" s="169"/>
      <c r="AB39" s="169"/>
    </row>
    <row r="40" spans="2:28" ht="23.25" customHeight="1" x14ac:dyDescent="0.2">
      <c r="B40" s="168" t="s">
        <v>21</v>
      </c>
      <c r="C40" s="168"/>
      <c r="D40" s="168"/>
      <c r="E40" s="168"/>
      <c r="F40" s="168"/>
      <c r="G40" s="168"/>
      <c r="H40" s="168"/>
      <c r="I40" s="172" t="s">
        <v>44</v>
      </c>
      <c r="J40" s="172"/>
      <c r="K40" s="172"/>
      <c r="L40" s="172"/>
      <c r="M40" s="172"/>
      <c r="N40" s="172"/>
      <c r="O40" s="172"/>
      <c r="P40" s="172"/>
      <c r="Q40" s="172"/>
      <c r="R40" s="172"/>
      <c r="S40" s="172"/>
      <c r="T40" s="172"/>
      <c r="U40" s="172"/>
      <c r="V40" s="172"/>
      <c r="W40" s="172"/>
      <c r="X40" s="172"/>
      <c r="Y40" s="172"/>
      <c r="Z40" s="172"/>
      <c r="AA40" s="172"/>
      <c r="AB40" s="172"/>
    </row>
    <row r="41" spans="2:28" ht="23.25" customHeight="1" x14ac:dyDescent="0.2">
      <c r="B41" s="168" t="s">
        <v>22</v>
      </c>
      <c r="C41" s="168"/>
      <c r="D41" s="168"/>
      <c r="E41" s="168"/>
      <c r="F41" s="168"/>
      <c r="G41" s="168"/>
      <c r="H41" s="168"/>
      <c r="I41" s="172" t="s">
        <v>41</v>
      </c>
      <c r="J41" s="172"/>
      <c r="K41" s="172"/>
      <c r="L41" s="172"/>
      <c r="M41" s="172"/>
      <c r="N41" s="172"/>
      <c r="O41" s="172"/>
      <c r="P41" s="172"/>
      <c r="Q41" s="172"/>
      <c r="R41" s="172"/>
      <c r="S41" s="172"/>
      <c r="T41" s="172"/>
      <c r="U41" s="172"/>
      <c r="V41" s="172"/>
      <c r="W41" s="172"/>
      <c r="X41" s="172"/>
      <c r="Y41" s="172"/>
      <c r="Z41" s="172"/>
      <c r="AA41" s="172"/>
      <c r="AB41" s="172"/>
    </row>
    <row r="42" spans="2:28" ht="23.25" customHeight="1" x14ac:dyDescent="0.2">
      <c r="B42" s="168" t="s">
        <v>23</v>
      </c>
      <c r="C42" s="168"/>
      <c r="D42" s="168"/>
      <c r="E42" s="168"/>
      <c r="F42" s="168"/>
      <c r="G42" s="168"/>
      <c r="H42" s="168"/>
      <c r="I42" s="172" t="s">
        <v>33</v>
      </c>
      <c r="J42" s="172"/>
      <c r="K42" s="172"/>
      <c r="L42" s="172"/>
      <c r="M42" s="172"/>
      <c r="N42" s="172"/>
      <c r="O42" s="172"/>
      <c r="P42" s="172"/>
      <c r="Q42" s="172"/>
      <c r="R42" s="172"/>
      <c r="S42" s="172"/>
      <c r="T42" s="172"/>
      <c r="U42" s="172"/>
      <c r="V42" s="172"/>
      <c r="W42" s="172"/>
      <c r="X42" s="172"/>
      <c r="Y42" s="172"/>
      <c r="Z42" s="172"/>
      <c r="AA42" s="172"/>
      <c r="AB42" s="172"/>
    </row>
    <row r="43" spans="2:28" ht="23.25" customHeight="1" x14ac:dyDescent="0.2">
      <c r="B43" s="168" t="s">
        <v>24</v>
      </c>
      <c r="C43" s="168"/>
      <c r="D43" s="168"/>
      <c r="E43" s="168"/>
      <c r="F43" s="168"/>
      <c r="G43" s="168"/>
      <c r="H43" s="168"/>
      <c r="I43" s="172" t="s">
        <v>38</v>
      </c>
      <c r="J43" s="172"/>
      <c r="K43" s="172"/>
      <c r="L43" s="172"/>
      <c r="M43" s="172"/>
      <c r="N43" s="172"/>
      <c r="O43" s="172"/>
      <c r="P43" s="172"/>
      <c r="Q43" s="172"/>
      <c r="R43" s="172"/>
      <c r="S43" s="172"/>
      <c r="T43" s="172"/>
      <c r="U43" s="172"/>
      <c r="V43" s="172"/>
      <c r="W43" s="172"/>
      <c r="X43" s="172"/>
      <c r="Y43" s="172"/>
      <c r="Z43" s="172"/>
      <c r="AA43" s="172"/>
      <c r="AB43" s="172"/>
    </row>
    <row r="44" spans="2:28" ht="23.25" customHeight="1" x14ac:dyDescent="0.2">
      <c r="B44" s="168" t="s">
        <v>25</v>
      </c>
      <c r="C44" s="168"/>
      <c r="D44" s="168"/>
      <c r="E44" s="168"/>
      <c r="F44" s="168"/>
      <c r="G44" s="168"/>
      <c r="H44" s="168"/>
      <c r="I44" s="172" t="s">
        <v>79</v>
      </c>
      <c r="J44" s="172"/>
      <c r="K44" s="172"/>
      <c r="L44" s="172"/>
      <c r="M44" s="172"/>
      <c r="N44" s="172"/>
      <c r="O44" s="172"/>
      <c r="P44" s="172"/>
      <c r="Q44" s="172"/>
      <c r="R44" s="172"/>
      <c r="S44" s="172"/>
      <c r="T44" s="172"/>
      <c r="U44" s="172"/>
      <c r="V44" s="172"/>
      <c r="W44" s="172"/>
      <c r="X44" s="172"/>
      <c r="Y44" s="172"/>
      <c r="Z44" s="172"/>
      <c r="AA44" s="172"/>
      <c r="AB44" s="172"/>
    </row>
    <row r="45" spans="2:28" ht="23.25" customHeight="1" x14ac:dyDescent="0.2">
      <c r="B45" s="168" t="s">
        <v>26</v>
      </c>
      <c r="C45" s="168"/>
      <c r="D45" s="168"/>
      <c r="E45" s="168"/>
      <c r="F45" s="168"/>
      <c r="G45" s="168"/>
      <c r="H45" s="168"/>
      <c r="I45" s="172" t="s">
        <v>9</v>
      </c>
      <c r="J45" s="172"/>
      <c r="K45" s="172"/>
      <c r="L45" s="172"/>
      <c r="M45" s="172"/>
      <c r="N45" s="172"/>
      <c r="O45" s="172"/>
      <c r="P45" s="172"/>
      <c r="Q45" s="172"/>
      <c r="R45" s="172"/>
      <c r="S45" s="172"/>
      <c r="T45" s="172"/>
      <c r="U45" s="172"/>
      <c r="V45" s="172"/>
      <c r="W45" s="172"/>
      <c r="X45" s="172"/>
      <c r="Y45" s="172"/>
      <c r="Z45" s="172"/>
      <c r="AA45" s="172"/>
      <c r="AB45" s="172"/>
    </row>
    <row r="46" spans="2:28" ht="23.25" customHeight="1" x14ac:dyDescent="0.2">
      <c r="B46" s="168" t="s">
        <v>27</v>
      </c>
      <c r="C46" s="168"/>
      <c r="D46" s="168"/>
      <c r="E46" s="168"/>
      <c r="F46" s="168"/>
      <c r="G46" s="168"/>
      <c r="H46" s="168"/>
      <c r="I46" s="172" t="s">
        <v>45</v>
      </c>
      <c r="J46" s="172"/>
      <c r="K46" s="172"/>
      <c r="L46" s="172"/>
      <c r="M46" s="172"/>
      <c r="N46" s="172"/>
      <c r="O46" s="172"/>
      <c r="P46" s="172"/>
      <c r="Q46" s="172"/>
      <c r="R46" s="172"/>
      <c r="S46" s="172"/>
      <c r="T46" s="172"/>
      <c r="U46" s="172"/>
      <c r="V46" s="172"/>
      <c r="W46" s="172"/>
      <c r="X46" s="172"/>
      <c r="Y46" s="172"/>
      <c r="Z46" s="172"/>
      <c r="AA46" s="172"/>
      <c r="AB46" s="172"/>
    </row>
    <row r="47" spans="2:28" ht="23.25" customHeight="1" x14ac:dyDescent="0.2">
      <c r="B47" s="168" t="s">
        <v>28</v>
      </c>
      <c r="C47" s="168"/>
      <c r="D47" s="168"/>
      <c r="E47" s="168"/>
      <c r="F47" s="168"/>
      <c r="G47" s="168"/>
      <c r="H47" s="168"/>
      <c r="I47" s="176">
        <v>45196</v>
      </c>
      <c r="J47" s="177"/>
      <c r="K47" s="177"/>
      <c r="L47" s="177"/>
      <c r="M47" s="177"/>
      <c r="N47" s="177"/>
      <c r="O47" s="177"/>
      <c r="P47" s="177"/>
      <c r="Q47" s="177"/>
      <c r="R47" s="177"/>
      <c r="S47" s="172"/>
      <c r="T47" s="172"/>
      <c r="U47" s="172"/>
      <c r="V47" s="172"/>
      <c r="W47" s="172"/>
      <c r="X47" s="172"/>
      <c r="Y47" s="172"/>
      <c r="Z47" s="172"/>
      <c r="AA47" s="172"/>
      <c r="AB47" s="172"/>
    </row>
    <row r="48" spans="2:28" ht="23.25" customHeight="1" x14ac:dyDescent="0.2">
      <c r="B48" s="168" t="s">
        <v>29</v>
      </c>
      <c r="C48" s="168"/>
      <c r="D48" s="168"/>
      <c r="E48" s="168"/>
      <c r="F48" s="168"/>
      <c r="G48" s="168"/>
      <c r="H48" s="168"/>
      <c r="I48" s="172" t="s">
        <v>9</v>
      </c>
      <c r="J48" s="172"/>
      <c r="K48" s="172"/>
      <c r="L48" s="172"/>
      <c r="M48" s="172"/>
      <c r="N48" s="172"/>
      <c r="O48" s="172"/>
      <c r="P48" s="172"/>
      <c r="Q48" s="172"/>
      <c r="R48" s="172"/>
      <c r="S48" s="172"/>
      <c r="T48" s="172"/>
      <c r="U48" s="172"/>
      <c r="V48" s="172"/>
      <c r="W48" s="172"/>
      <c r="X48" s="172"/>
      <c r="Y48" s="172"/>
      <c r="Z48" s="172"/>
      <c r="AA48" s="172"/>
      <c r="AB48" s="172"/>
    </row>
    <row r="49" spans="2:28" ht="23.25" customHeight="1" x14ac:dyDescent="0.2">
      <c r="B49" s="168" t="s">
        <v>30</v>
      </c>
      <c r="C49" s="168"/>
      <c r="D49" s="168"/>
      <c r="E49" s="168"/>
      <c r="F49" s="168"/>
      <c r="G49" s="168"/>
      <c r="H49" s="168"/>
      <c r="I49" s="172" t="str">
        <f>TEXT(MAX(改訂履歴!J5:J992),"yyyy/mm/dd")</f>
        <v>2025/06/12</v>
      </c>
      <c r="J49" s="172"/>
      <c r="K49" s="172"/>
      <c r="L49" s="172"/>
      <c r="M49" s="172"/>
      <c r="N49" s="172"/>
      <c r="O49" s="172"/>
      <c r="P49" s="172"/>
      <c r="Q49" s="172"/>
      <c r="R49" s="172"/>
      <c r="S49" s="172"/>
      <c r="T49" s="172"/>
      <c r="U49" s="172"/>
      <c r="V49" s="172"/>
      <c r="W49" s="172"/>
      <c r="X49" s="172"/>
      <c r="Y49" s="172"/>
      <c r="Z49" s="172"/>
      <c r="AA49" s="172"/>
      <c r="AB49" s="172"/>
    </row>
    <row r="50" spans="2:28" ht="23.25" customHeight="1" x14ac:dyDescent="0.2">
      <c r="B50" s="168" t="s">
        <v>31</v>
      </c>
      <c r="C50" s="168"/>
      <c r="D50" s="168"/>
      <c r="E50" s="168"/>
      <c r="F50" s="168"/>
      <c r="G50" s="168"/>
      <c r="H50" s="168"/>
      <c r="I50" s="172" t="s">
        <v>43</v>
      </c>
      <c r="J50" s="172"/>
      <c r="K50" s="172"/>
      <c r="L50" s="172"/>
      <c r="M50" s="172"/>
      <c r="N50" s="172"/>
      <c r="O50" s="172"/>
      <c r="P50" s="172"/>
      <c r="Q50" s="172"/>
      <c r="R50" s="172"/>
      <c r="S50" s="172"/>
      <c r="T50" s="172"/>
      <c r="U50" s="172"/>
      <c r="V50" s="172"/>
      <c r="W50" s="172"/>
      <c r="X50" s="172"/>
      <c r="Y50" s="172"/>
      <c r="Z50" s="172"/>
      <c r="AA50" s="172"/>
      <c r="AB50" s="172"/>
    </row>
    <row r="51" spans="2:28" ht="23.25" customHeight="1" x14ac:dyDescent="0.2">
      <c r="B51" s="168" t="s">
        <v>34</v>
      </c>
      <c r="C51" s="168"/>
      <c r="D51" s="168"/>
      <c r="E51" s="168"/>
      <c r="F51" s="168"/>
      <c r="G51" s="168"/>
      <c r="H51" s="168"/>
      <c r="I51" s="172" t="str">
        <f>"【 Ver " &amp; TEXT(MAX(改訂履歴!E5:E992),"0.00") &amp; " 】"</f>
        <v>【 Ver 1.12 】</v>
      </c>
      <c r="J51" s="172"/>
      <c r="K51" s="172"/>
      <c r="L51" s="172"/>
      <c r="M51" s="172"/>
      <c r="N51" s="172"/>
      <c r="O51" s="172"/>
      <c r="P51" s="172"/>
      <c r="Q51" s="172"/>
      <c r="R51" s="172"/>
      <c r="S51" s="172"/>
      <c r="T51" s="172"/>
      <c r="U51" s="172"/>
      <c r="V51" s="172"/>
      <c r="W51" s="172"/>
      <c r="X51" s="172"/>
      <c r="Y51" s="172"/>
      <c r="Z51" s="172"/>
      <c r="AA51" s="172"/>
      <c r="AB51" s="172"/>
    </row>
  </sheetData>
  <mergeCells count="33">
    <mergeCell ref="B51:H51"/>
    <mergeCell ref="I51:AB51"/>
    <mergeCell ref="B49:H49"/>
    <mergeCell ref="I49:AB49"/>
    <mergeCell ref="B50:H50"/>
    <mergeCell ref="I50:AB50"/>
    <mergeCell ref="B48:H48"/>
    <mergeCell ref="I48:AB48"/>
    <mergeCell ref="B44:H44"/>
    <mergeCell ref="B45:H45"/>
    <mergeCell ref="B46:H46"/>
    <mergeCell ref="B47:H47"/>
    <mergeCell ref="I45:AB45"/>
    <mergeCell ref="I46:AB46"/>
    <mergeCell ref="I47:AB47"/>
    <mergeCell ref="I44:AB44"/>
    <mergeCell ref="G11:W12"/>
    <mergeCell ref="G14:W15"/>
    <mergeCell ref="G17:W18"/>
    <mergeCell ref="G20:W21"/>
    <mergeCell ref="I42:AB42"/>
    <mergeCell ref="B41:H41"/>
    <mergeCell ref="B42:H42"/>
    <mergeCell ref="B43:H43"/>
    <mergeCell ref="B39:H39"/>
    <mergeCell ref="J27:T28"/>
    <mergeCell ref="J29:T30"/>
    <mergeCell ref="I40:AB40"/>
    <mergeCell ref="I41:AB41"/>
    <mergeCell ref="I39:AB39"/>
    <mergeCell ref="B38:AB38"/>
    <mergeCell ref="B40:H40"/>
    <mergeCell ref="I43:AB43"/>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27"/>
  <sheetViews>
    <sheetView zoomScale="85" zoomScaleNormal="85" workbookViewId="0"/>
  </sheetViews>
  <sheetFormatPr defaultColWidth="1.88671875" defaultRowHeight="15" customHeight="1" x14ac:dyDescent="0.2"/>
  <cols>
    <col min="1" max="4" width="1.88671875" style="1" customWidth="1"/>
    <col min="5" max="9" width="1.88671875" style="14" customWidth="1"/>
    <col min="10" max="26" width="1.88671875" style="1" customWidth="1"/>
    <col min="27" max="33" width="2.33203125" style="1" customWidth="1"/>
    <col min="34" max="16384" width="1.88671875" style="1"/>
  </cols>
  <sheetData>
    <row r="1" spans="1:76" ht="15" customHeight="1" x14ac:dyDescent="0.2">
      <c r="A1" s="1" t="s">
        <v>2</v>
      </c>
    </row>
    <row r="3" spans="1:76" s="2" customFormat="1" ht="15" customHeight="1" x14ac:dyDescent="0.2">
      <c r="A3" s="185" t="s">
        <v>16</v>
      </c>
      <c r="B3" s="185"/>
      <c r="C3" s="185"/>
      <c r="D3" s="185"/>
      <c r="E3" s="207" t="s">
        <v>17</v>
      </c>
      <c r="F3" s="208"/>
      <c r="G3" s="208"/>
      <c r="H3" s="208"/>
      <c r="I3" s="209"/>
      <c r="J3" s="198" t="s">
        <v>5</v>
      </c>
      <c r="K3" s="199"/>
      <c r="L3" s="199"/>
      <c r="M3" s="199"/>
      <c r="N3" s="199"/>
      <c r="O3" s="199"/>
      <c r="P3" s="199"/>
      <c r="Q3" s="200"/>
      <c r="R3" s="185" t="s">
        <v>3</v>
      </c>
      <c r="S3" s="185"/>
      <c r="T3" s="185"/>
      <c r="U3" s="185"/>
      <c r="V3" s="185"/>
      <c r="W3" s="185" t="s">
        <v>6</v>
      </c>
      <c r="X3" s="185"/>
      <c r="Y3" s="185"/>
      <c r="Z3" s="185"/>
      <c r="AA3" s="185"/>
      <c r="AB3" s="185"/>
      <c r="AC3" s="185"/>
      <c r="AD3" s="185"/>
      <c r="AE3" s="185"/>
      <c r="AF3" s="185"/>
      <c r="AG3" s="185"/>
      <c r="AH3" s="185" t="s">
        <v>7</v>
      </c>
      <c r="AI3" s="185"/>
      <c r="AJ3" s="185"/>
      <c r="AK3" s="185"/>
      <c r="AL3" s="185"/>
      <c r="AM3" s="185"/>
      <c r="AN3" s="185"/>
      <c r="AO3" s="185"/>
      <c r="AP3" s="185"/>
      <c r="AQ3" s="185"/>
      <c r="AR3" s="185"/>
      <c r="AS3" s="185"/>
      <c r="AT3" s="185"/>
      <c r="AU3" s="185"/>
      <c r="AV3" s="185"/>
      <c r="AW3" s="185"/>
      <c r="AX3" s="185"/>
      <c r="AY3" s="185"/>
      <c r="AZ3" s="185"/>
      <c r="BA3" s="185"/>
      <c r="BB3" s="185"/>
      <c r="BC3" s="185"/>
      <c r="BD3" s="185"/>
      <c r="BE3" s="185"/>
      <c r="BF3" s="185"/>
      <c r="BG3" s="185"/>
      <c r="BH3" s="185"/>
      <c r="BI3" s="185"/>
      <c r="BJ3" s="185"/>
      <c r="BK3" s="185"/>
      <c r="BL3" s="185"/>
      <c r="BM3" s="185"/>
      <c r="BN3" s="185"/>
      <c r="BO3" s="185"/>
      <c r="BP3" s="185"/>
      <c r="BQ3" s="185"/>
      <c r="BR3" s="185" t="s">
        <v>8</v>
      </c>
      <c r="BS3" s="185"/>
      <c r="BT3" s="185"/>
      <c r="BU3" s="185"/>
      <c r="BV3" s="185"/>
      <c r="BW3" s="185"/>
      <c r="BX3" s="185"/>
    </row>
    <row r="4" spans="1:76" s="2" customFormat="1" ht="15" customHeight="1" x14ac:dyDescent="0.2">
      <c r="A4" s="185"/>
      <c r="B4" s="185"/>
      <c r="C4" s="185"/>
      <c r="D4" s="185"/>
      <c r="E4" s="210"/>
      <c r="F4" s="211"/>
      <c r="G4" s="211"/>
      <c r="H4" s="211"/>
      <c r="I4" s="212"/>
      <c r="J4" s="201"/>
      <c r="K4" s="202"/>
      <c r="L4" s="202"/>
      <c r="M4" s="202"/>
      <c r="N4" s="202"/>
      <c r="O4" s="202"/>
      <c r="P4" s="202"/>
      <c r="Q4" s="203"/>
      <c r="R4" s="185"/>
      <c r="S4" s="185"/>
      <c r="T4" s="185"/>
      <c r="U4" s="185"/>
      <c r="V4" s="185"/>
      <c r="W4" s="185" t="s">
        <v>4</v>
      </c>
      <c r="X4" s="185"/>
      <c r="Y4" s="185"/>
      <c r="Z4" s="185"/>
      <c r="AA4" s="185" t="s">
        <v>47</v>
      </c>
      <c r="AB4" s="185"/>
      <c r="AC4" s="185"/>
      <c r="AD4" s="185"/>
      <c r="AE4" s="185"/>
      <c r="AF4" s="185"/>
      <c r="AG4" s="185"/>
      <c r="AH4" s="185"/>
      <c r="AI4" s="185"/>
      <c r="AJ4" s="185"/>
      <c r="AK4" s="185"/>
      <c r="AL4" s="185"/>
      <c r="AM4" s="185"/>
      <c r="AN4" s="185"/>
      <c r="AO4" s="185"/>
      <c r="AP4" s="185"/>
      <c r="AQ4" s="185"/>
      <c r="AR4" s="185"/>
      <c r="AS4" s="185"/>
      <c r="AT4" s="185"/>
      <c r="AU4" s="185"/>
      <c r="AV4" s="185"/>
      <c r="AW4" s="185"/>
      <c r="AX4" s="185"/>
      <c r="AY4" s="185"/>
      <c r="AZ4" s="185"/>
      <c r="BA4" s="185"/>
      <c r="BB4" s="185"/>
      <c r="BC4" s="185"/>
      <c r="BD4" s="185"/>
      <c r="BE4" s="185"/>
      <c r="BF4" s="185"/>
      <c r="BG4" s="185"/>
      <c r="BH4" s="185"/>
      <c r="BI4" s="185"/>
      <c r="BJ4" s="185"/>
      <c r="BK4" s="185"/>
      <c r="BL4" s="185"/>
      <c r="BM4" s="185"/>
      <c r="BN4" s="185"/>
      <c r="BO4" s="185"/>
      <c r="BP4" s="185"/>
      <c r="BQ4" s="185"/>
      <c r="BR4" s="185"/>
      <c r="BS4" s="185"/>
      <c r="BT4" s="185"/>
      <c r="BU4" s="185"/>
      <c r="BV4" s="185"/>
      <c r="BW4" s="185"/>
      <c r="BX4" s="185"/>
    </row>
    <row r="5" spans="1:76" ht="20.100000000000001" customHeight="1" x14ac:dyDescent="0.2">
      <c r="A5" s="194">
        <v>1</v>
      </c>
      <c r="B5" s="194"/>
      <c r="C5" s="194"/>
      <c r="D5" s="194"/>
      <c r="E5" s="213">
        <v>1</v>
      </c>
      <c r="F5" s="214"/>
      <c r="G5" s="214"/>
      <c r="H5" s="214"/>
      <c r="I5" s="215"/>
      <c r="J5" s="204">
        <f>タイトル!I47</f>
        <v>45196</v>
      </c>
      <c r="K5" s="205"/>
      <c r="L5" s="205"/>
      <c r="M5" s="205"/>
      <c r="N5" s="205"/>
      <c r="O5" s="205"/>
      <c r="P5" s="205"/>
      <c r="Q5" s="206"/>
      <c r="R5" s="195" t="s">
        <v>11</v>
      </c>
      <c r="S5" s="196"/>
      <c r="T5" s="196"/>
      <c r="U5" s="196"/>
      <c r="V5" s="197"/>
      <c r="W5" s="188"/>
      <c r="X5" s="189"/>
      <c r="Y5" s="189"/>
      <c r="Z5" s="190"/>
      <c r="AA5" s="191"/>
      <c r="AB5" s="192"/>
      <c r="AC5" s="192"/>
      <c r="AD5" s="192"/>
      <c r="AE5" s="192"/>
      <c r="AF5" s="192"/>
      <c r="AG5" s="193"/>
      <c r="AH5" s="186" t="s">
        <v>18</v>
      </c>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7" t="s">
        <v>46</v>
      </c>
      <c r="BS5" s="187"/>
      <c r="BT5" s="187"/>
      <c r="BU5" s="187"/>
      <c r="BV5" s="187"/>
      <c r="BW5" s="187"/>
      <c r="BX5" s="187"/>
    </row>
    <row r="6" spans="1:76" ht="20.100000000000001" customHeight="1" x14ac:dyDescent="0.2">
      <c r="A6" s="182">
        <v>2</v>
      </c>
      <c r="B6" s="182"/>
      <c r="C6" s="182"/>
      <c r="D6" s="182"/>
      <c r="E6" s="183">
        <v>1.01</v>
      </c>
      <c r="F6" s="183"/>
      <c r="G6" s="183"/>
      <c r="H6" s="183"/>
      <c r="I6" s="183"/>
      <c r="J6" s="184">
        <v>45209</v>
      </c>
      <c r="K6" s="184"/>
      <c r="L6" s="184"/>
      <c r="M6" s="184"/>
      <c r="N6" s="184"/>
      <c r="O6" s="184"/>
      <c r="P6" s="184"/>
      <c r="Q6" s="184"/>
      <c r="R6" s="182" t="s">
        <v>326</v>
      </c>
      <c r="S6" s="182"/>
      <c r="T6" s="182"/>
      <c r="U6" s="182"/>
      <c r="V6" s="182"/>
      <c r="W6" s="180"/>
      <c r="X6" s="180"/>
      <c r="Y6" s="180"/>
      <c r="Z6" s="180"/>
      <c r="AA6" s="178" t="s">
        <v>327</v>
      </c>
      <c r="AB6" s="178"/>
      <c r="AC6" s="178"/>
      <c r="AD6" s="178"/>
      <c r="AE6" s="178"/>
      <c r="AF6" s="178"/>
      <c r="AG6" s="178"/>
      <c r="AH6" s="179" t="s">
        <v>325</v>
      </c>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0"/>
      <c r="BK6" s="180"/>
      <c r="BL6" s="180"/>
      <c r="BM6" s="180"/>
      <c r="BN6" s="180"/>
      <c r="BO6" s="180"/>
      <c r="BP6" s="180"/>
      <c r="BQ6" s="180"/>
      <c r="BR6" s="181" t="s">
        <v>45</v>
      </c>
      <c r="BS6" s="181"/>
      <c r="BT6" s="181"/>
      <c r="BU6" s="181"/>
      <c r="BV6" s="181"/>
      <c r="BW6" s="181"/>
      <c r="BX6" s="181"/>
    </row>
    <row r="7" spans="1:76" ht="50.1" customHeight="1" x14ac:dyDescent="0.2">
      <c r="A7" s="182">
        <v>3</v>
      </c>
      <c r="B7" s="182"/>
      <c r="C7" s="182"/>
      <c r="D7" s="182"/>
      <c r="E7" s="183">
        <v>1.02</v>
      </c>
      <c r="F7" s="183"/>
      <c r="G7" s="183"/>
      <c r="H7" s="183"/>
      <c r="I7" s="183"/>
      <c r="J7" s="184">
        <v>45216</v>
      </c>
      <c r="K7" s="184"/>
      <c r="L7" s="184"/>
      <c r="M7" s="184"/>
      <c r="N7" s="184"/>
      <c r="O7" s="184"/>
      <c r="P7" s="184"/>
      <c r="Q7" s="184"/>
      <c r="R7" s="182" t="s">
        <v>326</v>
      </c>
      <c r="S7" s="182"/>
      <c r="T7" s="182"/>
      <c r="U7" s="182"/>
      <c r="V7" s="182"/>
      <c r="W7" s="180"/>
      <c r="X7" s="180"/>
      <c r="Y7" s="180"/>
      <c r="Z7" s="180"/>
      <c r="AA7" s="178" t="s">
        <v>327</v>
      </c>
      <c r="AB7" s="178"/>
      <c r="AC7" s="178"/>
      <c r="AD7" s="178"/>
      <c r="AE7" s="178"/>
      <c r="AF7" s="178"/>
      <c r="AG7" s="178"/>
      <c r="AH7" s="179" t="s">
        <v>328</v>
      </c>
      <c r="AI7" s="180"/>
      <c r="AJ7" s="180"/>
      <c r="AK7" s="180"/>
      <c r="AL7" s="180"/>
      <c r="AM7" s="180"/>
      <c r="AN7" s="180"/>
      <c r="AO7" s="180"/>
      <c r="AP7" s="180"/>
      <c r="AQ7" s="180"/>
      <c r="AR7" s="180"/>
      <c r="AS7" s="180"/>
      <c r="AT7" s="180"/>
      <c r="AU7" s="180"/>
      <c r="AV7" s="180"/>
      <c r="AW7" s="180"/>
      <c r="AX7" s="180"/>
      <c r="AY7" s="180"/>
      <c r="AZ7" s="180"/>
      <c r="BA7" s="180"/>
      <c r="BB7" s="180"/>
      <c r="BC7" s="180"/>
      <c r="BD7" s="180"/>
      <c r="BE7" s="180"/>
      <c r="BF7" s="180"/>
      <c r="BG7" s="180"/>
      <c r="BH7" s="180"/>
      <c r="BI7" s="180"/>
      <c r="BJ7" s="180"/>
      <c r="BK7" s="180"/>
      <c r="BL7" s="180"/>
      <c r="BM7" s="180"/>
      <c r="BN7" s="180"/>
      <c r="BO7" s="180"/>
      <c r="BP7" s="180"/>
      <c r="BQ7" s="180"/>
      <c r="BR7" s="181" t="s">
        <v>45</v>
      </c>
      <c r="BS7" s="181"/>
      <c r="BT7" s="181"/>
      <c r="BU7" s="181"/>
      <c r="BV7" s="181"/>
      <c r="BW7" s="181"/>
      <c r="BX7" s="181"/>
    </row>
    <row r="8" spans="1:76" ht="50.1" customHeight="1" x14ac:dyDescent="0.2">
      <c r="A8" s="182">
        <v>4</v>
      </c>
      <c r="B8" s="182"/>
      <c r="C8" s="182"/>
      <c r="D8" s="182"/>
      <c r="E8" s="183"/>
      <c r="F8" s="183"/>
      <c r="G8" s="183"/>
      <c r="H8" s="183"/>
      <c r="I8" s="183"/>
      <c r="J8" s="184">
        <v>45216</v>
      </c>
      <c r="K8" s="184"/>
      <c r="L8" s="184"/>
      <c r="M8" s="184"/>
      <c r="N8" s="184"/>
      <c r="O8" s="184"/>
      <c r="P8" s="184"/>
      <c r="Q8" s="184"/>
      <c r="R8" s="182" t="s">
        <v>326</v>
      </c>
      <c r="S8" s="182"/>
      <c r="T8" s="182"/>
      <c r="U8" s="182"/>
      <c r="V8" s="182"/>
      <c r="W8" s="180"/>
      <c r="X8" s="180"/>
      <c r="Y8" s="180"/>
      <c r="Z8" s="180"/>
      <c r="AA8" s="178" t="s">
        <v>360</v>
      </c>
      <c r="AB8" s="178"/>
      <c r="AC8" s="178"/>
      <c r="AD8" s="178"/>
      <c r="AE8" s="178"/>
      <c r="AF8" s="178"/>
      <c r="AG8" s="178"/>
      <c r="AH8" s="179" t="s">
        <v>361</v>
      </c>
      <c r="AI8" s="180"/>
      <c r="AJ8" s="180"/>
      <c r="AK8" s="180"/>
      <c r="AL8" s="180"/>
      <c r="AM8" s="180"/>
      <c r="AN8" s="180"/>
      <c r="AO8" s="180"/>
      <c r="AP8" s="180"/>
      <c r="AQ8" s="180"/>
      <c r="AR8" s="180"/>
      <c r="AS8" s="180"/>
      <c r="AT8" s="180"/>
      <c r="AU8" s="180"/>
      <c r="AV8" s="180"/>
      <c r="AW8" s="180"/>
      <c r="AX8" s="180"/>
      <c r="AY8" s="180"/>
      <c r="AZ8" s="180"/>
      <c r="BA8" s="180"/>
      <c r="BB8" s="180"/>
      <c r="BC8" s="180"/>
      <c r="BD8" s="180"/>
      <c r="BE8" s="180"/>
      <c r="BF8" s="180"/>
      <c r="BG8" s="180"/>
      <c r="BH8" s="180"/>
      <c r="BI8" s="180"/>
      <c r="BJ8" s="180"/>
      <c r="BK8" s="180"/>
      <c r="BL8" s="180"/>
      <c r="BM8" s="180"/>
      <c r="BN8" s="180"/>
      <c r="BO8" s="180"/>
      <c r="BP8" s="180"/>
      <c r="BQ8" s="180"/>
      <c r="BR8" s="181" t="s">
        <v>45</v>
      </c>
      <c r="BS8" s="181"/>
      <c r="BT8" s="181"/>
      <c r="BU8" s="181"/>
      <c r="BV8" s="181"/>
      <c r="BW8" s="181"/>
      <c r="BX8" s="181"/>
    </row>
    <row r="9" spans="1:76" ht="20.100000000000001" customHeight="1" x14ac:dyDescent="0.2">
      <c r="A9" s="182">
        <v>5</v>
      </c>
      <c r="B9" s="182"/>
      <c r="C9" s="182"/>
      <c r="D9" s="182"/>
      <c r="E9" s="183"/>
      <c r="F9" s="183"/>
      <c r="G9" s="183"/>
      <c r="H9" s="183"/>
      <c r="I9" s="183"/>
      <c r="J9" s="184">
        <v>45216</v>
      </c>
      <c r="K9" s="184"/>
      <c r="L9" s="184"/>
      <c r="M9" s="184"/>
      <c r="N9" s="184"/>
      <c r="O9" s="184"/>
      <c r="P9" s="184"/>
      <c r="Q9" s="184"/>
      <c r="R9" s="182" t="s">
        <v>326</v>
      </c>
      <c r="S9" s="182"/>
      <c r="T9" s="182"/>
      <c r="U9" s="182"/>
      <c r="V9" s="182"/>
      <c r="W9" s="180"/>
      <c r="X9" s="180"/>
      <c r="Y9" s="180"/>
      <c r="Z9" s="180"/>
      <c r="AA9" s="178" t="s">
        <v>369</v>
      </c>
      <c r="AB9" s="178"/>
      <c r="AC9" s="178"/>
      <c r="AD9" s="178"/>
      <c r="AE9" s="178"/>
      <c r="AF9" s="178"/>
      <c r="AG9" s="178"/>
      <c r="AH9" s="179" t="s">
        <v>370</v>
      </c>
      <c r="AI9" s="180"/>
      <c r="AJ9" s="180"/>
      <c r="AK9" s="180"/>
      <c r="AL9" s="180"/>
      <c r="AM9" s="180"/>
      <c r="AN9" s="180"/>
      <c r="AO9" s="180"/>
      <c r="AP9" s="180"/>
      <c r="AQ9" s="180"/>
      <c r="AR9" s="180"/>
      <c r="AS9" s="180"/>
      <c r="AT9" s="180"/>
      <c r="AU9" s="180"/>
      <c r="AV9" s="180"/>
      <c r="AW9" s="180"/>
      <c r="AX9" s="180"/>
      <c r="AY9" s="180"/>
      <c r="AZ9" s="180"/>
      <c r="BA9" s="180"/>
      <c r="BB9" s="180"/>
      <c r="BC9" s="180"/>
      <c r="BD9" s="180"/>
      <c r="BE9" s="180"/>
      <c r="BF9" s="180"/>
      <c r="BG9" s="180"/>
      <c r="BH9" s="180"/>
      <c r="BI9" s="180"/>
      <c r="BJ9" s="180"/>
      <c r="BK9" s="180"/>
      <c r="BL9" s="180"/>
      <c r="BM9" s="180"/>
      <c r="BN9" s="180"/>
      <c r="BO9" s="180"/>
      <c r="BP9" s="180"/>
      <c r="BQ9" s="180"/>
      <c r="BR9" s="181" t="s">
        <v>45</v>
      </c>
      <c r="BS9" s="181"/>
      <c r="BT9" s="181"/>
      <c r="BU9" s="181"/>
      <c r="BV9" s="181"/>
      <c r="BW9" s="181"/>
      <c r="BX9" s="181"/>
    </row>
    <row r="10" spans="1:76" ht="20.100000000000001" customHeight="1" x14ac:dyDescent="0.2">
      <c r="A10" s="182">
        <v>6</v>
      </c>
      <c r="B10" s="182"/>
      <c r="C10" s="182"/>
      <c r="D10" s="182"/>
      <c r="E10" s="183"/>
      <c r="F10" s="183"/>
      <c r="G10" s="183"/>
      <c r="H10" s="183"/>
      <c r="I10" s="183"/>
      <c r="J10" s="184">
        <v>45223</v>
      </c>
      <c r="K10" s="184"/>
      <c r="L10" s="184"/>
      <c r="M10" s="184"/>
      <c r="N10" s="184"/>
      <c r="O10" s="184"/>
      <c r="P10" s="184"/>
      <c r="Q10" s="184"/>
      <c r="R10" s="182" t="s">
        <v>326</v>
      </c>
      <c r="S10" s="182"/>
      <c r="T10" s="182"/>
      <c r="U10" s="182"/>
      <c r="V10" s="182"/>
      <c r="W10" s="180"/>
      <c r="X10" s="180"/>
      <c r="Y10" s="180"/>
      <c r="Z10" s="180"/>
      <c r="AA10" s="178" t="s">
        <v>369</v>
      </c>
      <c r="AB10" s="178"/>
      <c r="AC10" s="178"/>
      <c r="AD10" s="178"/>
      <c r="AE10" s="178"/>
      <c r="AF10" s="178"/>
      <c r="AG10" s="178"/>
      <c r="AH10" s="179" t="s">
        <v>372</v>
      </c>
      <c r="AI10" s="180"/>
      <c r="AJ10" s="180"/>
      <c r="AK10" s="180"/>
      <c r="AL10" s="180"/>
      <c r="AM10" s="180"/>
      <c r="AN10" s="180"/>
      <c r="AO10" s="180"/>
      <c r="AP10" s="180"/>
      <c r="AQ10" s="180"/>
      <c r="AR10" s="180"/>
      <c r="AS10" s="180"/>
      <c r="AT10" s="180"/>
      <c r="AU10" s="180"/>
      <c r="AV10" s="180"/>
      <c r="AW10" s="180"/>
      <c r="AX10" s="180"/>
      <c r="AY10" s="180"/>
      <c r="AZ10" s="180"/>
      <c r="BA10" s="180"/>
      <c r="BB10" s="180"/>
      <c r="BC10" s="180"/>
      <c r="BD10" s="180"/>
      <c r="BE10" s="180"/>
      <c r="BF10" s="180"/>
      <c r="BG10" s="180"/>
      <c r="BH10" s="180"/>
      <c r="BI10" s="180"/>
      <c r="BJ10" s="180"/>
      <c r="BK10" s="180"/>
      <c r="BL10" s="180"/>
      <c r="BM10" s="180"/>
      <c r="BN10" s="180"/>
      <c r="BO10" s="180"/>
      <c r="BP10" s="180"/>
      <c r="BQ10" s="180"/>
      <c r="BR10" s="181" t="s">
        <v>45</v>
      </c>
      <c r="BS10" s="181"/>
      <c r="BT10" s="181"/>
      <c r="BU10" s="181"/>
      <c r="BV10" s="181"/>
      <c r="BW10" s="181"/>
      <c r="BX10" s="181"/>
    </row>
    <row r="11" spans="1:76" ht="50.1" customHeight="1" x14ac:dyDescent="0.2">
      <c r="A11" s="182">
        <v>7</v>
      </c>
      <c r="B11" s="182"/>
      <c r="C11" s="182"/>
      <c r="D11" s="182"/>
      <c r="E11" s="183">
        <v>1.03</v>
      </c>
      <c r="F11" s="183"/>
      <c r="G11" s="183"/>
      <c r="H11" s="183"/>
      <c r="I11" s="183"/>
      <c r="J11" s="184">
        <v>45238</v>
      </c>
      <c r="K11" s="184"/>
      <c r="L11" s="184"/>
      <c r="M11" s="184"/>
      <c r="N11" s="184"/>
      <c r="O11" s="184"/>
      <c r="P11" s="184"/>
      <c r="Q11" s="184"/>
      <c r="R11" s="182" t="s">
        <v>326</v>
      </c>
      <c r="S11" s="182"/>
      <c r="T11" s="182"/>
      <c r="U11" s="182"/>
      <c r="V11" s="182"/>
      <c r="W11" s="180"/>
      <c r="X11" s="180"/>
      <c r="Y11" s="180"/>
      <c r="Z11" s="180"/>
      <c r="AA11" s="178" t="s">
        <v>428</v>
      </c>
      <c r="AB11" s="178"/>
      <c r="AC11" s="178"/>
      <c r="AD11" s="178"/>
      <c r="AE11" s="178"/>
      <c r="AF11" s="178"/>
      <c r="AG11" s="178"/>
      <c r="AH11" s="179" t="s">
        <v>450</v>
      </c>
      <c r="AI11" s="180"/>
      <c r="AJ11" s="180"/>
      <c r="AK11" s="180"/>
      <c r="AL11" s="180"/>
      <c r="AM11" s="180"/>
      <c r="AN11" s="180"/>
      <c r="AO11" s="180"/>
      <c r="AP11" s="180"/>
      <c r="AQ11" s="180"/>
      <c r="AR11" s="180"/>
      <c r="AS11" s="180"/>
      <c r="AT11" s="180"/>
      <c r="AU11" s="180"/>
      <c r="AV11" s="180"/>
      <c r="AW11" s="180"/>
      <c r="AX11" s="180"/>
      <c r="AY11" s="180"/>
      <c r="AZ11" s="180"/>
      <c r="BA11" s="180"/>
      <c r="BB11" s="180"/>
      <c r="BC11" s="180"/>
      <c r="BD11" s="180"/>
      <c r="BE11" s="180"/>
      <c r="BF11" s="180"/>
      <c r="BG11" s="180"/>
      <c r="BH11" s="180"/>
      <c r="BI11" s="180"/>
      <c r="BJ11" s="180"/>
      <c r="BK11" s="180"/>
      <c r="BL11" s="180"/>
      <c r="BM11" s="180"/>
      <c r="BN11" s="180"/>
      <c r="BO11" s="180"/>
      <c r="BP11" s="180"/>
      <c r="BQ11" s="180"/>
      <c r="BR11" s="181" t="s">
        <v>45</v>
      </c>
      <c r="BS11" s="181"/>
      <c r="BT11" s="181"/>
      <c r="BU11" s="181"/>
      <c r="BV11" s="181"/>
      <c r="BW11" s="181"/>
      <c r="BX11" s="181"/>
    </row>
    <row r="12" spans="1:76" ht="30" customHeight="1" x14ac:dyDescent="0.2">
      <c r="A12" s="182">
        <v>8</v>
      </c>
      <c r="B12" s="182"/>
      <c r="C12" s="182"/>
      <c r="D12" s="182"/>
      <c r="E12" s="183"/>
      <c r="F12" s="183"/>
      <c r="G12" s="183"/>
      <c r="H12" s="183"/>
      <c r="I12" s="183"/>
      <c r="J12" s="184">
        <v>45238</v>
      </c>
      <c r="K12" s="184"/>
      <c r="L12" s="184"/>
      <c r="M12" s="184"/>
      <c r="N12" s="184"/>
      <c r="O12" s="184"/>
      <c r="P12" s="184"/>
      <c r="Q12" s="184"/>
      <c r="R12" s="182" t="s">
        <v>326</v>
      </c>
      <c r="S12" s="182"/>
      <c r="T12" s="182"/>
      <c r="U12" s="182"/>
      <c r="V12" s="182"/>
      <c r="W12" s="180"/>
      <c r="X12" s="180"/>
      <c r="Y12" s="180"/>
      <c r="Z12" s="180"/>
      <c r="AA12" s="178" t="s">
        <v>451</v>
      </c>
      <c r="AB12" s="178"/>
      <c r="AC12" s="178"/>
      <c r="AD12" s="178"/>
      <c r="AE12" s="178"/>
      <c r="AF12" s="178"/>
      <c r="AG12" s="178"/>
      <c r="AH12" s="179" t="s">
        <v>452</v>
      </c>
      <c r="AI12" s="180"/>
      <c r="AJ12" s="180"/>
      <c r="AK12" s="180"/>
      <c r="AL12" s="180"/>
      <c r="AM12" s="180"/>
      <c r="AN12" s="180"/>
      <c r="AO12" s="180"/>
      <c r="AP12" s="180"/>
      <c r="AQ12" s="180"/>
      <c r="AR12" s="180"/>
      <c r="AS12" s="180"/>
      <c r="AT12" s="180"/>
      <c r="AU12" s="180"/>
      <c r="AV12" s="180"/>
      <c r="AW12" s="180"/>
      <c r="AX12" s="180"/>
      <c r="AY12" s="180"/>
      <c r="AZ12" s="180"/>
      <c r="BA12" s="180"/>
      <c r="BB12" s="180"/>
      <c r="BC12" s="180"/>
      <c r="BD12" s="180"/>
      <c r="BE12" s="180"/>
      <c r="BF12" s="180"/>
      <c r="BG12" s="180"/>
      <c r="BH12" s="180"/>
      <c r="BI12" s="180"/>
      <c r="BJ12" s="180"/>
      <c r="BK12" s="180"/>
      <c r="BL12" s="180"/>
      <c r="BM12" s="180"/>
      <c r="BN12" s="180"/>
      <c r="BO12" s="180"/>
      <c r="BP12" s="180"/>
      <c r="BQ12" s="180"/>
      <c r="BR12" s="181" t="s">
        <v>45</v>
      </c>
      <c r="BS12" s="181"/>
      <c r="BT12" s="181"/>
      <c r="BU12" s="181"/>
      <c r="BV12" s="181"/>
      <c r="BW12" s="181"/>
      <c r="BX12" s="181"/>
    </row>
    <row r="13" spans="1:76" ht="20.100000000000001" customHeight="1" x14ac:dyDescent="0.2">
      <c r="A13" s="182">
        <v>9</v>
      </c>
      <c r="B13" s="182"/>
      <c r="C13" s="182"/>
      <c r="D13" s="182"/>
      <c r="E13" s="183"/>
      <c r="F13" s="183"/>
      <c r="G13" s="183"/>
      <c r="H13" s="183"/>
      <c r="I13" s="183"/>
      <c r="J13" s="184">
        <v>45238</v>
      </c>
      <c r="K13" s="184"/>
      <c r="L13" s="184"/>
      <c r="M13" s="184"/>
      <c r="N13" s="184"/>
      <c r="O13" s="184"/>
      <c r="P13" s="184"/>
      <c r="Q13" s="184"/>
      <c r="R13" s="182" t="s">
        <v>326</v>
      </c>
      <c r="S13" s="182"/>
      <c r="T13" s="182"/>
      <c r="U13" s="182"/>
      <c r="V13" s="182"/>
      <c r="W13" s="180"/>
      <c r="X13" s="180"/>
      <c r="Y13" s="180"/>
      <c r="Z13" s="180"/>
      <c r="AA13" s="178" t="s">
        <v>488</v>
      </c>
      <c r="AB13" s="178"/>
      <c r="AC13" s="178"/>
      <c r="AD13" s="178"/>
      <c r="AE13" s="178"/>
      <c r="AF13" s="178"/>
      <c r="AG13" s="178"/>
      <c r="AH13" s="179" t="s">
        <v>489</v>
      </c>
      <c r="AI13" s="180"/>
      <c r="AJ13" s="180"/>
      <c r="AK13" s="180"/>
      <c r="AL13" s="180"/>
      <c r="AM13" s="180"/>
      <c r="AN13" s="180"/>
      <c r="AO13" s="180"/>
      <c r="AP13" s="180"/>
      <c r="AQ13" s="180"/>
      <c r="AR13" s="180"/>
      <c r="AS13" s="180"/>
      <c r="AT13" s="180"/>
      <c r="AU13" s="180"/>
      <c r="AV13" s="180"/>
      <c r="AW13" s="180"/>
      <c r="AX13" s="180"/>
      <c r="AY13" s="180"/>
      <c r="AZ13" s="180"/>
      <c r="BA13" s="180"/>
      <c r="BB13" s="180"/>
      <c r="BC13" s="180"/>
      <c r="BD13" s="180"/>
      <c r="BE13" s="180"/>
      <c r="BF13" s="180"/>
      <c r="BG13" s="180"/>
      <c r="BH13" s="180"/>
      <c r="BI13" s="180"/>
      <c r="BJ13" s="180"/>
      <c r="BK13" s="180"/>
      <c r="BL13" s="180"/>
      <c r="BM13" s="180"/>
      <c r="BN13" s="180"/>
      <c r="BO13" s="180"/>
      <c r="BP13" s="180"/>
      <c r="BQ13" s="180"/>
      <c r="BR13" s="181" t="s">
        <v>45</v>
      </c>
      <c r="BS13" s="181"/>
      <c r="BT13" s="181"/>
      <c r="BU13" s="181"/>
      <c r="BV13" s="181"/>
      <c r="BW13" s="181"/>
      <c r="BX13" s="181"/>
    </row>
    <row r="14" spans="1:76" ht="20.100000000000001" customHeight="1" x14ac:dyDescent="0.2">
      <c r="A14" s="182">
        <v>10</v>
      </c>
      <c r="B14" s="182"/>
      <c r="C14" s="182"/>
      <c r="D14" s="182"/>
      <c r="E14" s="183"/>
      <c r="F14" s="183"/>
      <c r="G14" s="183"/>
      <c r="H14" s="183"/>
      <c r="I14" s="183"/>
      <c r="J14" s="184">
        <v>45238</v>
      </c>
      <c r="K14" s="184"/>
      <c r="L14" s="184"/>
      <c r="M14" s="184"/>
      <c r="N14" s="184"/>
      <c r="O14" s="184"/>
      <c r="P14" s="184"/>
      <c r="Q14" s="184"/>
      <c r="R14" s="182" t="s">
        <v>326</v>
      </c>
      <c r="S14" s="182"/>
      <c r="T14" s="182"/>
      <c r="U14" s="182"/>
      <c r="V14" s="182"/>
      <c r="W14" s="180"/>
      <c r="X14" s="180"/>
      <c r="Y14" s="180"/>
      <c r="Z14" s="180"/>
      <c r="AA14" s="178" t="s">
        <v>451</v>
      </c>
      <c r="AB14" s="178"/>
      <c r="AC14" s="178"/>
      <c r="AD14" s="178"/>
      <c r="AE14" s="178"/>
      <c r="AF14" s="178"/>
      <c r="AG14" s="178"/>
      <c r="AH14" s="179" t="s">
        <v>494</v>
      </c>
      <c r="AI14" s="180"/>
      <c r="AJ14" s="180"/>
      <c r="AK14" s="180"/>
      <c r="AL14" s="180"/>
      <c r="AM14" s="180"/>
      <c r="AN14" s="180"/>
      <c r="AO14" s="180"/>
      <c r="AP14" s="180"/>
      <c r="AQ14" s="180"/>
      <c r="AR14" s="180"/>
      <c r="AS14" s="180"/>
      <c r="AT14" s="180"/>
      <c r="AU14" s="180"/>
      <c r="AV14" s="180"/>
      <c r="AW14" s="180"/>
      <c r="AX14" s="180"/>
      <c r="AY14" s="180"/>
      <c r="AZ14" s="180"/>
      <c r="BA14" s="180"/>
      <c r="BB14" s="180"/>
      <c r="BC14" s="180"/>
      <c r="BD14" s="180"/>
      <c r="BE14" s="180"/>
      <c r="BF14" s="180"/>
      <c r="BG14" s="180"/>
      <c r="BH14" s="180"/>
      <c r="BI14" s="180"/>
      <c r="BJ14" s="180"/>
      <c r="BK14" s="180"/>
      <c r="BL14" s="180"/>
      <c r="BM14" s="180"/>
      <c r="BN14" s="180"/>
      <c r="BO14" s="180"/>
      <c r="BP14" s="180"/>
      <c r="BQ14" s="180"/>
      <c r="BR14" s="181" t="s">
        <v>45</v>
      </c>
      <c r="BS14" s="181"/>
      <c r="BT14" s="181"/>
      <c r="BU14" s="181"/>
      <c r="BV14" s="181"/>
      <c r="BW14" s="181"/>
      <c r="BX14" s="181"/>
    </row>
    <row r="15" spans="1:76" ht="20.100000000000001" customHeight="1" x14ac:dyDescent="0.2">
      <c r="A15" s="182">
        <v>11</v>
      </c>
      <c r="B15" s="182"/>
      <c r="C15" s="182"/>
      <c r="D15" s="182"/>
      <c r="E15" s="183"/>
      <c r="F15" s="183"/>
      <c r="G15" s="183"/>
      <c r="H15" s="183"/>
      <c r="I15" s="183"/>
      <c r="J15" s="184">
        <v>45267</v>
      </c>
      <c r="K15" s="184"/>
      <c r="L15" s="184"/>
      <c r="M15" s="184"/>
      <c r="N15" s="184"/>
      <c r="O15" s="184"/>
      <c r="P15" s="184"/>
      <c r="Q15" s="184"/>
      <c r="R15" s="182" t="s">
        <v>326</v>
      </c>
      <c r="S15" s="182"/>
      <c r="T15" s="182"/>
      <c r="U15" s="182"/>
      <c r="V15" s="182"/>
      <c r="W15" s="180"/>
      <c r="X15" s="180"/>
      <c r="Y15" s="180"/>
      <c r="Z15" s="180"/>
      <c r="AA15" s="178" t="s">
        <v>428</v>
      </c>
      <c r="AB15" s="178"/>
      <c r="AC15" s="178"/>
      <c r="AD15" s="178"/>
      <c r="AE15" s="178"/>
      <c r="AF15" s="178"/>
      <c r="AG15" s="178"/>
      <c r="AH15" s="179" t="s">
        <v>495</v>
      </c>
      <c r="AI15" s="180"/>
      <c r="AJ15" s="180"/>
      <c r="AK15" s="180"/>
      <c r="AL15" s="180"/>
      <c r="AM15" s="180"/>
      <c r="AN15" s="180"/>
      <c r="AO15" s="180"/>
      <c r="AP15" s="180"/>
      <c r="AQ15" s="180"/>
      <c r="AR15" s="180"/>
      <c r="AS15" s="180"/>
      <c r="AT15" s="180"/>
      <c r="AU15" s="180"/>
      <c r="AV15" s="180"/>
      <c r="AW15" s="180"/>
      <c r="AX15" s="180"/>
      <c r="AY15" s="180"/>
      <c r="AZ15" s="180"/>
      <c r="BA15" s="180"/>
      <c r="BB15" s="180"/>
      <c r="BC15" s="180"/>
      <c r="BD15" s="180"/>
      <c r="BE15" s="180"/>
      <c r="BF15" s="180"/>
      <c r="BG15" s="180"/>
      <c r="BH15" s="180"/>
      <c r="BI15" s="180"/>
      <c r="BJ15" s="180"/>
      <c r="BK15" s="180"/>
      <c r="BL15" s="180"/>
      <c r="BM15" s="180"/>
      <c r="BN15" s="180"/>
      <c r="BO15" s="180"/>
      <c r="BP15" s="180"/>
      <c r="BQ15" s="180"/>
      <c r="BR15" s="181" t="s">
        <v>45</v>
      </c>
      <c r="BS15" s="181"/>
      <c r="BT15" s="181"/>
      <c r="BU15" s="181"/>
      <c r="BV15" s="181"/>
      <c r="BW15" s="181"/>
      <c r="BX15" s="181"/>
    </row>
    <row r="16" spans="1:76" ht="30" customHeight="1" x14ac:dyDescent="0.2">
      <c r="A16" s="182">
        <v>12</v>
      </c>
      <c r="B16" s="182"/>
      <c r="C16" s="182"/>
      <c r="D16" s="182"/>
      <c r="E16" s="183">
        <v>1.04</v>
      </c>
      <c r="F16" s="183"/>
      <c r="G16" s="183"/>
      <c r="H16" s="183"/>
      <c r="I16" s="183"/>
      <c r="J16" s="184">
        <v>45274</v>
      </c>
      <c r="K16" s="184"/>
      <c r="L16" s="184"/>
      <c r="M16" s="184"/>
      <c r="N16" s="184"/>
      <c r="O16" s="184"/>
      <c r="P16" s="184"/>
      <c r="Q16" s="184"/>
      <c r="R16" s="182" t="s">
        <v>326</v>
      </c>
      <c r="S16" s="182"/>
      <c r="T16" s="182"/>
      <c r="U16" s="182"/>
      <c r="V16" s="182"/>
      <c r="W16" s="180"/>
      <c r="X16" s="180"/>
      <c r="Y16" s="180"/>
      <c r="Z16" s="180"/>
      <c r="AA16" s="178" t="s">
        <v>504</v>
      </c>
      <c r="AB16" s="178"/>
      <c r="AC16" s="178"/>
      <c r="AD16" s="178"/>
      <c r="AE16" s="178"/>
      <c r="AF16" s="178"/>
      <c r="AG16" s="178"/>
      <c r="AH16" s="179" t="s">
        <v>512</v>
      </c>
      <c r="AI16" s="180"/>
      <c r="AJ16" s="180"/>
      <c r="AK16" s="180"/>
      <c r="AL16" s="180"/>
      <c r="AM16" s="180"/>
      <c r="AN16" s="180"/>
      <c r="AO16" s="180"/>
      <c r="AP16" s="180"/>
      <c r="AQ16" s="180"/>
      <c r="AR16" s="180"/>
      <c r="AS16" s="180"/>
      <c r="AT16" s="180"/>
      <c r="AU16" s="180"/>
      <c r="AV16" s="180"/>
      <c r="AW16" s="180"/>
      <c r="AX16" s="180"/>
      <c r="AY16" s="180"/>
      <c r="AZ16" s="180"/>
      <c r="BA16" s="180"/>
      <c r="BB16" s="180"/>
      <c r="BC16" s="180"/>
      <c r="BD16" s="180"/>
      <c r="BE16" s="180"/>
      <c r="BF16" s="180"/>
      <c r="BG16" s="180"/>
      <c r="BH16" s="180"/>
      <c r="BI16" s="180"/>
      <c r="BJ16" s="180"/>
      <c r="BK16" s="180"/>
      <c r="BL16" s="180"/>
      <c r="BM16" s="180"/>
      <c r="BN16" s="180"/>
      <c r="BO16" s="180"/>
      <c r="BP16" s="180"/>
      <c r="BQ16" s="180"/>
      <c r="BR16" s="181" t="s">
        <v>45</v>
      </c>
      <c r="BS16" s="181"/>
      <c r="BT16" s="181"/>
      <c r="BU16" s="181"/>
      <c r="BV16" s="181"/>
      <c r="BW16" s="181"/>
      <c r="BX16" s="181"/>
    </row>
    <row r="17" spans="1:76" ht="20.100000000000001" customHeight="1" x14ac:dyDescent="0.2">
      <c r="A17" s="182">
        <v>13</v>
      </c>
      <c r="B17" s="182"/>
      <c r="C17" s="182"/>
      <c r="D17" s="182"/>
      <c r="E17" s="183">
        <v>1.05</v>
      </c>
      <c r="F17" s="183"/>
      <c r="G17" s="183"/>
      <c r="H17" s="183"/>
      <c r="I17" s="183"/>
      <c r="J17" s="184">
        <v>45278</v>
      </c>
      <c r="K17" s="184"/>
      <c r="L17" s="184"/>
      <c r="M17" s="184"/>
      <c r="N17" s="184"/>
      <c r="O17" s="184"/>
      <c r="P17" s="184"/>
      <c r="Q17" s="184"/>
      <c r="R17" s="182" t="s">
        <v>326</v>
      </c>
      <c r="S17" s="182"/>
      <c r="T17" s="182"/>
      <c r="U17" s="182"/>
      <c r="V17" s="182"/>
      <c r="W17" s="180"/>
      <c r="X17" s="180"/>
      <c r="Y17" s="180"/>
      <c r="Z17" s="180"/>
      <c r="AA17" s="178" t="s">
        <v>451</v>
      </c>
      <c r="AB17" s="178"/>
      <c r="AC17" s="178"/>
      <c r="AD17" s="178"/>
      <c r="AE17" s="178"/>
      <c r="AF17" s="178"/>
      <c r="AG17" s="178"/>
      <c r="AH17" s="179" t="s">
        <v>514</v>
      </c>
      <c r="AI17" s="180"/>
      <c r="AJ17" s="180"/>
      <c r="AK17" s="180"/>
      <c r="AL17" s="180"/>
      <c r="AM17" s="180"/>
      <c r="AN17" s="180"/>
      <c r="AO17" s="180"/>
      <c r="AP17" s="180"/>
      <c r="AQ17" s="180"/>
      <c r="AR17" s="180"/>
      <c r="AS17" s="180"/>
      <c r="AT17" s="180"/>
      <c r="AU17" s="180"/>
      <c r="AV17" s="180"/>
      <c r="AW17" s="180"/>
      <c r="AX17" s="180"/>
      <c r="AY17" s="180"/>
      <c r="AZ17" s="180"/>
      <c r="BA17" s="180"/>
      <c r="BB17" s="180"/>
      <c r="BC17" s="180"/>
      <c r="BD17" s="180"/>
      <c r="BE17" s="180"/>
      <c r="BF17" s="180"/>
      <c r="BG17" s="180"/>
      <c r="BH17" s="180"/>
      <c r="BI17" s="180"/>
      <c r="BJ17" s="180"/>
      <c r="BK17" s="180"/>
      <c r="BL17" s="180"/>
      <c r="BM17" s="180"/>
      <c r="BN17" s="180"/>
      <c r="BO17" s="180"/>
      <c r="BP17" s="180"/>
      <c r="BQ17" s="180"/>
      <c r="BR17" s="181" t="s">
        <v>513</v>
      </c>
      <c r="BS17" s="181"/>
      <c r="BT17" s="181"/>
      <c r="BU17" s="181"/>
      <c r="BV17" s="181"/>
      <c r="BW17" s="181"/>
      <c r="BX17" s="181"/>
    </row>
    <row r="18" spans="1:76" ht="20.100000000000001" customHeight="1" x14ac:dyDescent="0.2">
      <c r="A18" s="182">
        <v>14</v>
      </c>
      <c r="B18" s="182"/>
      <c r="C18" s="182"/>
      <c r="D18" s="182"/>
      <c r="E18" s="183"/>
      <c r="F18" s="183"/>
      <c r="G18" s="183"/>
      <c r="H18" s="183"/>
      <c r="I18" s="183"/>
      <c r="J18" s="184">
        <v>45278</v>
      </c>
      <c r="K18" s="184"/>
      <c r="L18" s="184"/>
      <c r="M18" s="184"/>
      <c r="N18" s="184"/>
      <c r="O18" s="184"/>
      <c r="P18" s="184"/>
      <c r="Q18" s="184"/>
      <c r="R18" s="182" t="s">
        <v>326</v>
      </c>
      <c r="S18" s="182"/>
      <c r="T18" s="182"/>
      <c r="U18" s="182"/>
      <c r="V18" s="182"/>
      <c r="W18" s="180"/>
      <c r="X18" s="180"/>
      <c r="Y18" s="180"/>
      <c r="Z18" s="180"/>
      <c r="AA18" s="178" t="s">
        <v>451</v>
      </c>
      <c r="AB18" s="178"/>
      <c r="AC18" s="178"/>
      <c r="AD18" s="178"/>
      <c r="AE18" s="178"/>
      <c r="AF18" s="178"/>
      <c r="AG18" s="178"/>
      <c r="AH18" s="179" t="s">
        <v>522</v>
      </c>
      <c r="AI18" s="180"/>
      <c r="AJ18" s="180"/>
      <c r="AK18" s="180"/>
      <c r="AL18" s="180"/>
      <c r="AM18" s="180"/>
      <c r="AN18" s="180"/>
      <c r="AO18" s="180"/>
      <c r="AP18" s="180"/>
      <c r="AQ18" s="180"/>
      <c r="AR18" s="180"/>
      <c r="AS18" s="180"/>
      <c r="AT18" s="180"/>
      <c r="AU18" s="180"/>
      <c r="AV18" s="180"/>
      <c r="AW18" s="180"/>
      <c r="AX18" s="180"/>
      <c r="AY18" s="180"/>
      <c r="AZ18" s="180"/>
      <c r="BA18" s="180"/>
      <c r="BB18" s="180"/>
      <c r="BC18" s="180"/>
      <c r="BD18" s="180"/>
      <c r="BE18" s="180"/>
      <c r="BF18" s="180"/>
      <c r="BG18" s="180"/>
      <c r="BH18" s="180"/>
      <c r="BI18" s="180"/>
      <c r="BJ18" s="180"/>
      <c r="BK18" s="180"/>
      <c r="BL18" s="180"/>
      <c r="BM18" s="180"/>
      <c r="BN18" s="180"/>
      <c r="BO18" s="180"/>
      <c r="BP18" s="180"/>
      <c r="BQ18" s="180"/>
      <c r="BR18" s="181" t="s">
        <v>513</v>
      </c>
      <c r="BS18" s="181"/>
      <c r="BT18" s="181"/>
      <c r="BU18" s="181"/>
      <c r="BV18" s="181"/>
      <c r="BW18" s="181"/>
      <c r="BX18" s="181"/>
    </row>
    <row r="19" spans="1:76" ht="30" customHeight="1" x14ac:dyDescent="0.2">
      <c r="A19" s="182">
        <v>15</v>
      </c>
      <c r="B19" s="182"/>
      <c r="C19" s="182"/>
      <c r="D19" s="182"/>
      <c r="E19" s="183"/>
      <c r="F19" s="183"/>
      <c r="G19" s="183"/>
      <c r="H19" s="183"/>
      <c r="I19" s="183"/>
      <c r="J19" s="184">
        <v>45278</v>
      </c>
      <c r="K19" s="184"/>
      <c r="L19" s="184"/>
      <c r="M19" s="184"/>
      <c r="N19" s="184"/>
      <c r="O19" s="184"/>
      <c r="P19" s="184"/>
      <c r="Q19" s="184"/>
      <c r="R19" s="182" t="s">
        <v>326</v>
      </c>
      <c r="S19" s="182"/>
      <c r="T19" s="182"/>
      <c r="U19" s="182"/>
      <c r="V19" s="182"/>
      <c r="W19" s="180"/>
      <c r="X19" s="180"/>
      <c r="Y19" s="180"/>
      <c r="Z19" s="180"/>
      <c r="AA19" s="178" t="s">
        <v>428</v>
      </c>
      <c r="AB19" s="178"/>
      <c r="AC19" s="178"/>
      <c r="AD19" s="178"/>
      <c r="AE19" s="178"/>
      <c r="AF19" s="178"/>
      <c r="AG19" s="178"/>
      <c r="AH19" s="179" t="s">
        <v>528</v>
      </c>
      <c r="AI19" s="180"/>
      <c r="AJ19" s="180"/>
      <c r="AK19" s="180"/>
      <c r="AL19" s="180"/>
      <c r="AM19" s="180"/>
      <c r="AN19" s="180"/>
      <c r="AO19" s="180"/>
      <c r="AP19" s="180"/>
      <c r="AQ19" s="180"/>
      <c r="AR19" s="180"/>
      <c r="AS19" s="180"/>
      <c r="AT19" s="180"/>
      <c r="AU19" s="180"/>
      <c r="AV19" s="180"/>
      <c r="AW19" s="180"/>
      <c r="AX19" s="180"/>
      <c r="AY19" s="180"/>
      <c r="AZ19" s="180"/>
      <c r="BA19" s="180"/>
      <c r="BB19" s="180"/>
      <c r="BC19" s="180"/>
      <c r="BD19" s="180"/>
      <c r="BE19" s="180"/>
      <c r="BF19" s="180"/>
      <c r="BG19" s="180"/>
      <c r="BH19" s="180"/>
      <c r="BI19" s="180"/>
      <c r="BJ19" s="180"/>
      <c r="BK19" s="180"/>
      <c r="BL19" s="180"/>
      <c r="BM19" s="180"/>
      <c r="BN19" s="180"/>
      <c r="BO19" s="180"/>
      <c r="BP19" s="180"/>
      <c r="BQ19" s="180"/>
      <c r="BR19" s="181" t="s">
        <v>513</v>
      </c>
      <c r="BS19" s="181"/>
      <c r="BT19" s="181"/>
      <c r="BU19" s="181"/>
      <c r="BV19" s="181"/>
      <c r="BW19" s="181"/>
      <c r="BX19" s="181"/>
    </row>
    <row r="20" spans="1:76" ht="20.100000000000001" customHeight="1" x14ac:dyDescent="0.2">
      <c r="A20" s="182">
        <v>16</v>
      </c>
      <c r="B20" s="182"/>
      <c r="C20" s="182"/>
      <c r="D20" s="182"/>
      <c r="E20" s="183">
        <v>1.06</v>
      </c>
      <c r="F20" s="183"/>
      <c r="G20" s="183"/>
      <c r="H20" s="183"/>
      <c r="I20" s="183"/>
      <c r="J20" s="184">
        <v>45314</v>
      </c>
      <c r="K20" s="184"/>
      <c r="L20" s="184"/>
      <c r="M20" s="184"/>
      <c r="N20" s="184"/>
      <c r="O20" s="184"/>
      <c r="P20" s="184"/>
      <c r="Q20" s="184"/>
      <c r="R20" s="182" t="s">
        <v>326</v>
      </c>
      <c r="S20" s="182"/>
      <c r="T20" s="182"/>
      <c r="U20" s="182"/>
      <c r="V20" s="182"/>
      <c r="W20" s="180"/>
      <c r="X20" s="180"/>
      <c r="Y20" s="180"/>
      <c r="Z20" s="180"/>
      <c r="AA20" s="178" t="s">
        <v>428</v>
      </c>
      <c r="AB20" s="178"/>
      <c r="AC20" s="178"/>
      <c r="AD20" s="178"/>
      <c r="AE20" s="178"/>
      <c r="AF20" s="178"/>
      <c r="AG20" s="178"/>
      <c r="AH20" s="179" t="s">
        <v>532</v>
      </c>
      <c r="AI20" s="180"/>
      <c r="AJ20" s="180"/>
      <c r="AK20" s="180"/>
      <c r="AL20" s="180"/>
      <c r="AM20" s="180"/>
      <c r="AN20" s="180"/>
      <c r="AO20" s="180"/>
      <c r="AP20" s="180"/>
      <c r="AQ20" s="180"/>
      <c r="AR20" s="180"/>
      <c r="AS20" s="180"/>
      <c r="AT20" s="180"/>
      <c r="AU20" s="180"/>
      <c r="AV20" s="180"/>
      <c r="AW20" s="180"/>
      <c r="AX20" s="180"/>
      <c r="AY20" s="180"/>
      <c r="AZ20" s="180"/>
      <c r="BA20" s="180"/>
      <c r="BB20" s="180"/>
      <c r="BC20" s="180"/>
      <c r="BD20" s="180"/>
      <c r="BE20" s="180"/>
      <c r="BF20" s="180"/>
      <c r="BG20" s="180"/>
      <c r="BH20" s="180"/>
      <c r="BI20" s="180"/>
      <c r="BJ20" s="180"/>
      <c r="BK20" s="180"/>
      <c r="BL20" s="180"/>
      <c r="BM20" s="180"/>
      <c r="BN20" s="180"/>
      <c r="BO20" s="180"/>
      <c r="BP20" s="180"/>
      <c r="BQ20" s="180"/>
      <c r="BR20" s="181" t="s">
        <v>45</v>
      </c>
      <c r="BS20" s="181"/>
      <c r="BT20" s="181"/>
      <c r="BU20" s="181"/>
      <c r="BV20" s="181"/>
      <c r="BW20" s="181"/>
      <c r="BX20" s="181"/>
    </row>
    <row r="21" spans="1:76" ht="20.100000000000001" customHeight="1" x14ac:dyDescent="0.2">
      <c r="A21" s="182">
        <v>17</v>
      </c>
      <c r="B21" s="182"/>
      <c r="C21" s="182"/>
      <c r="D21" s="182"/>
      <c r="E21" s="183"/>
      <c r="F21" s="183"/>
      <c r="G21" s="183"/>
      <c r="H21" s="183"/>
      <c r="I21" s="183"/>
      <c r="J21" s="184">
        <v>45314</v>
      </c>
      <c r="K21" s="184"/>
      <c r="L21" s="184"/>
      <c r="M21" s="184"/>
      <c r="N21" s="184"/>
      <c r="O21" s="184"/>
      <c r="P21" s="184"/>
      <c r="Q21" s="184"/>
      <c r="R21" s="182" t="s">
        <v>326</v>
      </c>
      <c r="S21" s="182"/>
      <c r="T21" s="182"/>
      <c r="U21" s="182"/>
      <c r="V21" s="182"/>
      <c r="W21" s="180"/>
      <c r="X21" s="180"/>
      <c r="Y21" s="180"/>
      <c r="Z21" s="180"/>
      <c r="AA21" s="178" t="s">
        <v>451</v>
      </c>
      <c r="AB21" s="178"/>
      <c r="AC21" s="178"/>
      <c r="AD21" s="178"/>
      <c r="AE21" s="178"/>
      <c r="AF21" s="178"/>
      <c r="AG21" s="178"/>
      <c r="AH21" s="179" t="s">
        <v>542</v>
      </c>
      <c r="AI21" s="180"/>
      <c r="AJ21" s="180"/>
      <c r="AK21" s="180"/>
      <c r="AL21" s="180"/>
      <c r="AM21" s="180"/>
      <c r="AN21" s="180"/>
      <c r="AO21" s="180"/>
      <c r="AP21" s="180"/>
      <c r="AQ21" s="180"/>
      <c r="AR21" s="180"/>
      <c r="AS21" s="180"/>
      <c r="AT21" s="180"/>
      <c r="AU21" s="180"/>
      <c r="AV21" s="180"/>
      <c r="AW21" s="180"/>
      <c r="AX21" s="180"/>
      <c r="AY21" s="180"/>
      <c r="AZ21" s="180"/>
      <c r="BA21" s="180"/>
      <c r="BB21" s="180"/>
      <c r="BC21" s="180"/>
      <c r="BD21" s="180"/>
      <c r="BE21" s="180"/>
      <c r="BF21" s="180"/>
      <c r="BG21" s="180"/>
      <c r="BH21" s="180"/>
      <c r="BI21" s="180"/>
      <c r="BJ21" s="180"/>
      <c r="BK21" s="180"/>
      <c r="BL21" s="180"/>
      <c r="BM21" s="180"/>
      <c r="BN21" s="180"/>
      <c r="BO21" s="180"/>
      <c r="BP21" s="180"/>
      <c r="BQ21" s="180"/>
      <c r="BR21" s="181" t="s">
        <v>45</v>
      </c>
      <c r="BS21" s="181"/>
      <c r="BT21" s="181"/>
      <c r="BU21" s="181"/>
      <c r="BV21" s="181"/>
      <c r="BW21" s="181"/>
      <c r="BX21" s="181"/>
    </row>
    <row r="22" spans="1:76" ht="30" customHeight="1" x14ac:dyDescent="0.2">
      <c r="A22" s="182">
        <v>18</v>
      </c>
      <c r="B22" s="182"/>
      <c r="C22" s="182"/>
      <c r="D22" s="182"/>
      <c r="E22" s="183">
        <v>1.07</v>
      </c>
      <c r="F22" s="183"/>
      <c r="G22" s="183"/>
      <c r="H22" s="183"/>
      <c r="I22" s="183"/>
      <c r="J22" s="184">
        <v>45454</v>
      </c>
      <c r="K22" s="184"/>
      <c r="L22" s="184"/>
      <c r="M22" s="184"/>
      <c r="N22" s="184"/>
      <c r="O22" s="184"/>
      <c r="P22" s="184"/>
      <c r="Q22" s="184"/>
      <c r="R22" s="182" t="s">
        <v>326</v>
      </c>
      <c r="S22" s="182"/>
      <c r="T22" s="182"/>
      <c r="U22" s="182"/>
      <c r="V22" s="182"/>
      <c r="W22" s="180"/>
      <c r="X22" s="180"/>
      <c r="Y22" s="180"/>
      <c r="Z22" s="180"/>
      <c r="AA22" s="178" t="s">
        <v>428</v>
      </c>
      <c r="AB22" s="178"/>
      <c r="AC22" s="178"/>
      <c r="AD22" s="178"/>
      <c r="AE22" s="178"/>
      <c r="AF22" s="178"/>
      <c r="AG22" s="178"/>
      <c r="AH22" s="179" t="s">
        <v>592</v>
      </c>
      <c r="AI22" s="180"/>
      <c r="AJ22" s="180"/>
      <c r="AK22" s="180"/>
      <c r="AL22" s="180"/>
      <c r="AM22" s="180"/>
      <c r="AN22" s="180"/>
      <c r="AO22" s="180"/>
      <c r="AP22" s="180"/>
      <c r="AQ22" s="180"/>
      <c r="AR22" s="180"/>
      <c r="AS22" s="180"/>
      <c r="AT22" s="180"/>
      <c r="AU22" s="180"/>
      <c r="AV22" s="180"/>
      <c r="AW22" s="180"/>
      <c r="AX22" s="180"/>
      <c r="AY22" s="180"/>
      <c r="AZ22" s="180"/>
      <c r="BA22" s="180"/>
      <c r="BB22" s="180"/>
      <c r="BC22" s="180"/>
      <c r="BD22" s="180"/>
      <c r="BE22" s="180"/>
      <c r="BF22" s="180"/>
      <c r="BG22" s="180"/>
      <c r="BH22" s="180"/>
      <c r="BI22" s="180"/>
      <c r="BJ22" s="180"/>
      <c r="BK22" s="180"/>
      <c r="BL22" s="180"/>
      <c r="BM22" s="180"/>
      <c r="BN22" s="180"/>
      <c r="BO22" s="180"/>
      <c r="BP22" s="180"/>
      <c r="BQ22" s="180"/>
      <c r="BR22" s="181" t="s">
        <v>45</v>
      </c>
      <c r="BS22" s="181"/>
      <c r="BT22" s="181"/>
      <c r="BU22" s="181"/>
      <c r="BV22" s="181"/>
      <c r="BW22" s="181"/>
      <c r="BX22" s="181"/>
    </row>
    <row r="23" spans="1:76" ht="57" customHeight="1" x14ac:dyDescent="0.2">
      <c r="A23" s="182">
        <v>19</v>
      </c>
      <c r="B23" s="182"/>
      <c r="C23" s="182"/>
      <c r="D23" s="182"/>
      <c r="E23" s="183">
        <v>1.08</v>
      </c>
      <c r="F23" s="183"/>
      <c r="G23" s="183"/>
      <c r="H23" s="183"/>
      <c r="I23" s="183"/>
      <c r="J23" s="184">
        <v>45639</v>
      </c>
      <c r="K23" s="184"/>
      <c r="L23" s="184"/>
      <c r="M23" s="184"/>
      <c r="N23" s="184"/>
      <c r="O23" s="184"/>
      <c r="P23" s="184"/>
      <c r="Q23" s="184"/>
      <c r="R23" s="182" t="s">
        <v>326</v>
      </c>
      <c r="S23" s="182"/>
      <c r="T23" s="182"/>
      <c r="U23" s="182"/>
      <c r="V23" s="182"/>
      <c r="W23" s="180"/>
      <c r="X23" s="180"/>
      <c r="Y23" s="180"/>
      <c r="Z23" s="180"/>
      <c r="AA23" s="216" t="s">
        <v>607</v>
      </c>
      <c r="AB23" s="178"/>
      <c r="AC23" s="178"/>
      <c r="AD23" s="178"/>
      <c r="AE23" s="178"/>
      <c r="AF23" s="178"/>
      <c r="AG23" s="178"/>
      <c r="AH23" s="179" t="s">
        <v>598</v>
      </c>
      <c r="AI23" s="180"/>
      <c r="AJ23" s="180"/>
      <c r="AK23" s="180"/>
      <c r="AL23" s="180"/>
      <c r="AM23" s="180"/>
      <c r="AN23" s="180"/>
      <c r="AO23" s="180"/>
      <c r="AP23" s="180"/>
      <c r="AQ23" s="180"/>
      <c r="AR23" s="180"/>
      <c r="AS23" s="180"/>
      <c r="AT23" s="180"/>
      <c r="AU23" s="180"/>
      <c r="AV23" s="180"/>
      <c r="AW23" s="180"/>
      <c r="AX23" s="180"/>
      <c r="AY23" s="180"/>
      <c r="AZ23" s="180"/>
      <c r="BA23" s="180"/>
      <c r="BB23" s="180"/>
      <c r="BC23" s="180"/>
      <c r="BD23" s="180"/>
      <c r="BE23" s="180"/>
      <c r="BF23" s="180"/>
      <c r="BG23" s="180"/>
      <c r="BH23" s="180"/>
      <c r="BI23" s="180"/>
      <c r="BJ23" s="180"/>
      <c r="BK23" s="180"/>
      <c r="BL23" s="180"/>
      <c r="BM23" s="180"/>
      <c r="BN23" s="180"/>
      <c r="BO23" s="180"/>
      <c r="BP23" s="180"/>
      <c r="BQ23" s="180"/>
      <c r="BR23" s="181" t="s">
        <v>45</v>
      </c>
      <c r="BS23" s="181"/>
      <c r="BT23" s="181"/>
      <c r="BU23" s="181"/>
      <c r="BV23" s="181"/>
      <c r="BW23" s="181"/>
      <c r="BX23" s="181"/>
    </row>
    <row r="24" spans="1:76" ht="34.5" customHeight="1" x14ac:dyDescent="0.2">
      <c r="A24" s="182">
        <v>20</v>
      </c>
      <c r="B24" s="182"/>
      <c r="C24" s="182"/>
      <c r="D24" s="182"/>
      <c r="E24" s="183">
        <v>1.0900000000000001</v>
      </c>
      <c r="F24" s="183"/>
      <c r="G24" s="183"/>
      <c r="H24" s="183"/>
      <c r="I24" s="183"/>
      <c r="J24" s="184">
        <v>45639</v>
      </c>
      <c r="K24" s="184"/>
      <c r="L24" s="184"/>
      <c r="M24" s="184"/>
      <c r="N24" s="184"/>
      <c r="O24" s="184"/>
      <c r="P24" s="184"/>
      <c r="Q24" s="184"/>
      <c r="R24" s="182" t="s">
        <v>326</v>
      </c>
      <c r="S24" s="182"/>
      <c r="T24" s="182"/>
      <c r="U24" s="182"/>
      <c r="V24" s="182"/>
      <c r="W24" s="180"/>
      <c r="X24" s="180"/>
      <c r="Y24" s="180"/>
      <c r="Z24" s="180"/>
      <c r="AA24" s="216" t="s">
        <v>610</v>
      </c>
      <c r="AB24" s="178"/>
      <c r="AC24" s="178"/>
      <c r="AD24" s="178"/>
      <c r="AE24" s="178"/>
      <c r="AF24" s="178"/>
      <c r="AG24" s="178"/>
      <c r="AH24" s="179" t="s">
        <v>611</v>
      </c>
      <c r="AI24" s="180"/>
      <c r="AJ24" s="180"/>
      <c r="AK24" s="180"/>
      <c r="AL24" s="180"/>
      <c r="AM24" s="180"/>
      <c r="AN24" s="180"/>
      <c r="AO24" s="180"/>
      <c r="AP24" s="180"/>
      <c r="AQ24" s="180"/>
      <c r="AR24" s="180"/>
      <c r="AS24" s="180"/>
      <c r="AT24" s="180"/>
      <c r="AU24" s="180"/>
      <c r="AV24" s="180"/>
      <c r="AW24" s="180"/>
      <c r="AX24" s="180"/>
      <c r="AY24" s="180"/>
      <c r="AZ24" s="180"/>
      <c r="BA24" s="180"/>
      <c r="BB24" s="180"/>
      <c r="BC24" s="180"/>
      <c r="BD24" s="180"/>
      <c r="BE24" s="180"/>
      <c r="BF24" s="180"/>
      <c r="BG24" s="180"/>
      <c r="BH24" s="180"/>
      <c r="BI24" s="180"/>
      <c r="BJ24" s="180"/>
      <c r="BK24" s="180"/>
      <c r="BL24" s="180"/>
      <c r="BM24" s="180"/>
      <c r="BN24" s="180"/>
      <c r="BO24" s="180"/>
      <c r="BP24" s="180"/>
      <c r="BQ24" s="180"/>
      <c r="BR24" s="181" t="s">
        <v>45</v>
      </c>
      <c r="BS24" s="181"/>
      <c r="BT24" s="181"/>
      <c r="BU24" s="181"/>
      <c r="BV24" s="181"/>
      <c r="BW24" s="181"/>
      <c r="BX24" s="181"/>
    </row>
    <row r="25" spans="1:76" ht="57" customHeight="1" x14ac:dyDescent="0.2">
      <c r="A25" s="182">
        <v>21</v>
      </c>
      <c r="B25" s="182"/>
      <c r="C25" s="182"/>
      <c r="D25" s="182"/>
      <c r="E25" s="183">
        <v>1.1000000000000001</v>
      </c>
      <c r="F25" s="183"/>
      <c r="G25" s="183"/>
      <c r="H25" s="183"/>
      <c r="I25" s="183"/>
      <c r="J25" s="184">
        <v>45642</v>
      </c>
      <c r="K25" s="184"/>
      <c r="L25" s="184"/>
      <c r="M25" s="184"/>
      <c r="N25" s="184"/>
      <c r="O25" s="184"/>
      <c r="P25" s="184"/>
      <c r="Q25" s="184"/>
      <c r="R25" s="182" t="s">
        <v>326</v>
      </c>
      <c r="S25" s="182"/>
      <c r="T25" s="182"/>
      <c r="U25" s="182"/>
      <c r="V25" s="182"/>
      <c r="W25" s="180"/>
      <c r="X25" s="180"/>
      <c r="Y25" s="180"/>
      <c r="Z25" s="180"/>
      <c r="AA25" s="216" t="s">
        <v>632</v>
      </c>
      <c r="AB25" s="178"/>
      <c r="AC25" s="178"/>
      <c r="AD25" s="178"/>
      <c r="AE25" s="178"/>
      <c r="AF25" s="178"/>
      <c r="AG25" s="178"/>
      <c r="AH25" s="179" t="s">
        <v>614</v>
      </c>
      <c r="AI25" s="180"/>
      <c r="AJ25" s="180"/>
      <c r="AK25" s="180"/>
      <c r="AL25" s="180"/>
      <c r="AM25" s="180"/>
      <c r="AN25" s="180"/>
      <c r="AO25" s="180"/>
      <c r="AP25" s="180"/>
      <c r="AQ25" s="180"/>
      <c r="AR25" s="180"/>
      <c r="AS25" s="180"/>
      <c r="AT25" s="180"/>
      <c r="AU25" s="180"/>
      <c r="AV25" s="180"/>
      <c r="AW25" s="180"/>
      <c r="AX25" s="180"/>
      <c r="AY25" s="180"/>
      <c r="AZ25" s="180"/>
      <c r="BA25" s="180"/>
      <c r="BB25" s="180"/>
      <c r="BC25" s="180"/>
      <c r="BD25" s="180"/>
      <c r="BE25" s="180"/>
      <c r="BF25" s="180"/>
      <c r="BG25" s="180"/>
      <c r="BH25" s="180"/>
      <c r="BI25" s="180"/>
      <c r="BJ25" s="180"/>
      <c r="BK25" s="180"/>
      <c r="BL25" s="180"/>
      <c r="BM25" s="180"/>
      <c r="BN25" s="180"/>
      <c r="BO25" s="180"/>
      <c r="BP25" s="180"/>
      <c r="BQ25" s="180"/>
      <c r="BR25" s="181" t="s">
        <v>45</v>
      </c>
      <c r="BS25" s="181"/>
      <c r="BT25" s="181"/>
      <c r="BU25" s="181"/>
      <c r="BV25" s="181"/>
      <c r="BW25" s="181"/>
      <c r="BX25" s="181"/>
    </row>
    <row r="26" spans="1:76" ht="35.1" customHeight="1" x14ac:dyDescent="0.2">
      <c r="A26" s="182">
        <v>22</v>
      </c>
      <c r="B26" s="182"/>
      <c r="C26" s="182"/>
      <c r="D26" s="182"/>
      <c r="E26" s="183">
        <v>1.1100000000000001</v>
      </c>
      <c r="F26" s="183"/>
      <c r="G26" s="183"/>
      <c r="H26" s="183"/>
      <c r="I26" s="183"/>
      <c r="J26" s="184">
        <v>45706</v>
      </c>
      <c r="K26" s="184"/>
      <c r="L26" s="184"/>
      <c r="M26" s="184"/>
      <c r="N26" s="184"/>
      <c r="O26" s="184"/>
      <c r="P26" s="184"/>
      <c r="Q26" s="184"/>
      <c r="R26" s="182" t="s">
        <v>326</v>
      </c>
      <c r="S26" s="182"/>
      <c r="T26" s="182"/>
      <c r="U26" s="182"/>
      <c r="V26" s="182"/>
      <c r="W26" s="180"/>
      <c r="X26" s="180"/>
      <c r="Y26" s="180"/>
      <c r="Z26" s="180"/>
      <c r="AA26" s="216" t="s">
        <v>488</v>
      </c>
      <c r="AB26" s="178"/>
      <c r="AC26" s="178"/>
      <c r="AD26" s="178"/>
      <c r="AE26" s="178"/>
      <c r="AF26" s="178"/>
      <c r="AG26" s="178"/>
      <c r="AH26" s="179" t="s">
        <v>639</v>
      </c>
      <c r="AI26" s="180"/>
      <c r="AJ26" s="180"/>
      <c r="AK26" s="180"/>
      <c r="AL26" s="180"/>
      <c r="AM26" s="180"/>
      <c r="AN26" s="180"/>
      <c r="AO26" s="180"/>
      <c r="AP26" s="180"/>
      <c r="AQ26" s="180"/>
      <c r="AR26" s="180"/>
      <c r="AS26" s="180"/>
      <c r="AT26" s="180"/>
      <c r="AU26" s="180"/>
      <c r="AV26" s="180"/>
      <c r="AW26" s="180"/>
      <c r="AX26" s="180"/>
      <c r="AY26" s="180"/>
      <c r="AZ26" s="180"/>
      <c r="BA26" s="180"/>
      <c r="BB26" s="180"/>
      <c r="BC26" s="180"/>
      <c r="BD26" s="180"/>
      <c r="BE26" s="180"/>
      <c r="BF26" s="180"/>
      <c r="BG26" s="180"/>
      <c r="BH26" s="180"/>
      <c r="BI26" s="180"/>
      <c r="BJ26" s="180"/>
      <c r="BK26" s="180"/>
      <c r="BL26" s="180"/>
      <c r="BM26" s="180"/>
      <c r="BN26" s="180"/>
      <c r="BO26" s="180"/>
      <c r="BP26" s="180"/>
      <c r="BQ26" s="180"/>
      <c r="BR26" s="181" t="s">
        <v>45</v>
      </c>
      <c r="BS26" s="181"/>
      <c r="BT26" s="181"/>
      <c r="BU26" s="181"/>
      <c r="BV26" s="181"/>
      <c r="BW26" s="181"/>
      <c r="BX26" s="181"/>
    </row>
    <row r="27" spans="1:76" ht="35.1" customHeight="1" x14ac:dyDescent="0.2">
      <c r="A27" s="217">
        <v>23</v>
      </c>
      <c r="B27" s="217"/>
      <c r="C27" s="217"/>
      <c r="D27" s="217"/>
      <c r="E27" s="218">
        <v>1.1200000000000001</v>
      </c>
      <c r="F27" s="218"/>
      <c r="G27" s="218"/>
      <c r="H27" s="218"/>
      <c r="I27" s="218"/>
      <c r="J27" s="219">
        <v>45820</v>
      </c>
      <c r="K27" s="219"/>
      <c r="L27" s="219"/>
      <c r="M27" s="219"/>
      <c r="N27" s="219"/>
      <c r="O27" s="219"/>
      <c r="P27" s="219"/>
      <c r="Q27" s="219"/>
      <c r="R27" s="217" t="s">
        <v>326</v>
      </c>
      <c r="S27" s="217"/>
      <c r="T27" s="217"/>
      <c r="U27" s="217"/>
      <c r="V27" s="217"/>
      <c r="W27" s="220"/>
      <c r="X27" s="220"/>
      <c r="Y27" s="220"/>
      <c r="Z27" s="220"/>
      <c r="AA27" s="221" t="s">
        <v>610</v>
      </c>
      <c r="AB27" s="222"/>
      <c r="AC27" s="222"/>
      <c r="AD27" s="222"/>
      <c r="AE27" s="222"/>
      <c r="AF27" s="222"/>
      <c r="AG27" s="222"/>
      <c r="AH27" s="223" t="s">
        <v>646</v>
      </c>
      <c r="AI27" s="220"/>
      <c r="AJ27" s="220"/>
      <c r="AK27" s="220"/>
      <c r="AL27" s="220"/>
      <c r="AM27" s="220"/>
      <c r="AN27" s="220"/>
      <c r="AO27" s="220"/>
      <c r="AP27" s="220"/>
      <c r="AQ27" s="220"/>
      <c r="AR27" s="220"/>
      <c r="AS27" s="220"/>
      <c r="AT27" s="220"/>
      <c r="AU27" s="220"/>
      <c r="AV27" s="220"/>
      <c r="AW27" s="220"/>
      <c r="AX27" s="220"/>
      <c r="AY27" s="220"/>
      <c r="AZ27" s="220"/>
      <c r="BA27" s="220"/>
      <c r="BB27" s="220"/>
      <c r="BC27" s="220"/>
      <c r="BD27" s="220"/>
      <c r="BE27" s="220"/>
      <c r="BF27" s="220"/>
      <c r="BG27" s="220"/>
      <c r="BH27" s="220"/>
      <c r="BI27" s="220"/>
      <c r="BJ27" s="220"/>
      <c r="BK27" s="220"/>
      <c r="BL27" s="220"/>
      <c r="BM27" s="220"/>
      <c r="BN27" s="220"/>
      <c r="BO27" s="220"/>
      <c r="BP27" s="220"/>
      <c r="BQ27" s="220"/>
      <c r="BR27" s="224" t="s">
        <v>45</v>
      </c>
      <c r="BS27" s="224"/>
      <c r="BT27" s="224"/>
      <c r="BU27" s="224"/>
      <c r="BV27" s="224"/>
      <c r="BW27" s="224"/>
      <c r="BX27" s="224"/>
    </row>
  </sheetData>
  <mergeCells count="193">
    <mergeCell ref="AH25:BQ25"/>
    <mergeCell ref="BR25:BX25"/>
    <mergeCell ref="AA23:AG23"/>
    <mergeCell ref="AH23:BQ23"/>
    <mergeCell ref="BR23:BX23"/>
    <mergeCell ref="AA24:AG24"/>
    <mergeCell ref="AH24:BQ24"/>
    <mergeCell ref="BR24:BX24"/>
    <mergeCell ref="A27:D27"/>
    <mergeCell ref="E27:I27"/>
    <mergeCell ref="J27:Q27"/>
    <mergeCell ref="R27:V27"/>
    <mergeCell ref="W27:Z27"/>
    <mergeCell ref="AA27:AG27"/>
    <mergeCell ref="AH27:BQ27"/>
    <mergeCell ref="BR27:BX27"/>
    <mergeCell ref="A26:D26"/>
    <mergeCell ref="E26:I26"/>
    <mergeCell ref="J26:Q26"/>
    <mergeCell ref="R26:V26"/>
    <mergeCell ref="W26:Z26"/>
    <mergeCell ref="AA26:AG26"/>
    <mergeCell ref="AH26:BQ26"/>
    <mergeCell ref="BR26:BX26"/>
    <mergeCell ref="J20:Q20"/>
    <mergeCell ref="R20:V20"/>
    <mergeCell ref="W20:Z20"/>
    <mergeCell ref="A19:D19"/>
    <mergeCell ref="E19:I19"/>
    <mergeCell ref="J19:Q19"/>
    <mergeCell ref="R19:V19"/>
    <mergeCell ref="W19:Z19"/>
    <mergeCell ref="AA25:AG25"/>
    <mergeCell ref="A25:D25"/>
    <mergeCell ref="E25:I25"/>
    <mergeCell ref="J25:Q25"/>
    <mergeCell ref="R25:V25"/>
    <mergeCell ref="W25:Z25"/>
    <mergeCell ref="A23:D23"/>
    <mergeCell ref="E23:I23"/>
    <mergeCell ref="J23:Q23"/>
    <mergeCell ref="R23:V23"/>
    <mergeCell ref="W23:Z23"/>
    <mergeCell ref="A24:D24"/>
    <mergeCell ref="E24:I24"/>
    <mergeCell ref="J24:Q24"/>
    <mergeCell ref="R24:V24"/>
    <mergeCell ref="W24:Z24"/>
    <mergeCell ref="AA13:AG13"/>
    <mergeCell ref="AH13:BQ13"/>
    <mergeCell ref="BR13:BX13"/>
    <mergeCell ref="A13:D13"/>
    <mergeCell ref="W12:Z12"/>
    <mergeCell ref="AA12:AG12"/>
    <mergeCell ref="AH12:BQ12"/>
    <mergeCell ref="BR12:BX12"/>
    <mergeCell ref="A12:D12"/>
    <mergeCell ref="E12:I12"/>
    <mergeCell ref="J12:Q12"/>
    <mergeCell ref="R12:V12"/>
    <mergeCell ref="E13:I13"/>
    <mergeCell ref="J13:Q13"/>
    <mergeCell ref="R13:V13"/>
    <mergeCell ref="W13:Z13"/>
    <mergeCell ref="AH11:BQ11"/>
    <mergeCell ref="BR11:BX11"/>
    <mergeCell ref="A11:D11"/>
    <mergeCell ref="E11:I11"/>
    <mergeCell ref="J11:Q11"/>
    <mergeCell ref="R11:V11"/>
    <mergeCell ref="W11:Z11"/>
    <mergeCell ref="AA11:AG11"/>
    <mergeCell ref="AH8:BQ8"/>
    <mergeCell ref="BR8:BX8"/>
    <mergeCell ref="AA8:AG8"/>
    <mergeCell ref="W8:Z8"/>
    <mergeCell ref="J8:Q8"/>
    <mergeCell ref="A10:D10"/>
    <mergeCell ref="E10:I10"/>
    <mergeCell ref="J10:Q10"/>
    <mergeCell ref="R10:V10"/>
    <mergeCell ref="BR7:BX7"/>
    <mergeCell ref="AH7:BQ7"/>
    <mergeCell ref="R9:V9"/>
    <mergeCell ref="W10:Z10"/>
    <mergeCell ref="AA10:AG10"/>
    <mergeCell ref="AH10:BQ10"/>
    <mergeCell ref="BR10:BX10"/>
    <mergeCell ref="R7:V7"/>
    <mergeCell ref="AH9:BQ9"/>
    <mergeCell ref="BR9:BX9"/>
    <mergeCell ref="R8:V8"/>
    <mergeCell ref="W9:Z9"/>
    <mergeCell ref="AA9:AG9"/>
    <mergeCell ref="A5:D5"/>
    <mergeCell ref="R5:V5"/>
    <mergeCell ref="W7:Z7"/>
    <mergeCell ref="AA7:AG7"/>
    <mergeCell ref="A3:D4"/>
    <mergeCell ref="J3:Q4"/>
    <mergeCell ref="A9:D9"/>
    <mergeCell ref="E9:I9"/>
    <mergeCell ref="J9:Q9"/>
    <mergeCell ref="A8:D8"/>
    <mergeCell ref="E8:I8"/>
    <mergeCell ref="A6:D6"/>
    <mergeCell ref="E6:I6"/>
    <mergeCell ref="J6:Q6"/>
    <mergeCell ref="J5:Q5"/>
    <mergeCell ref="E3:I4"/>
    <mergeCell ref="E5:I5"/>
    <mergeCell ref="A7:D7"/>
    <mergeCell ref="E7:I7"/>
    <mergeCell ref="J7:Q7"/>
    <mergeCell ref="R3:V4"/>
    <mergeCell ref="R6:V6"/>
    <mergeCell ref="BR3:BX4"/>
    <mergeCell ref="AH3:BQ4"/>
    <mergeCell ref="AH5:BQ5"/>
    <mergeCell ref="BR5:BX5"/>
    <mergeCell ref="W6:Z6"/>
    <mergeCell ref="AA6:AG6"/>
    <mergeCell ref="AH6:BQ6"/>
    <mergeCell ref="BR6:BX6"/>
    <mergeCell ref="AA4:AG4"/>
    <mergeCell ref="W3:AG3"/>
    <mergeCell ref="W4:Z4"/>
    <mergeCell ref="W5:Z5"/>
    <mergeCell ref="AA5:AG5"/>
    <mergeCell ref="AA14:AG14"/>
    <mergeCell ref="AH14:BQ14"/>
    <mergeCell ref="BR14:BX14"/>
    <mergeCell ref="AA15:AG15"/>
    <mergeCell ref="AH15:BQ15"/>
    <mergeCell ref="BR15:BX15"/>
    <mergeCell ref="A16:D16"/>
    <mergeCell ref="E16:I16"/>
    <mergeCell ref="J16:Q16"/>
    <mergeCell ref="R16:V16"/>
    <mergeCell ref="W16:Z16"/>
    <mergeCell ref="AA16:AG16"/>
    <mergeCell ref="AH16:BQ16"/>
    <mergeCell ref="BR16:BX16"/>
    <mergeCell ref="A15:D15"/>
    <mergeCell ref="E15:I15"/>
    <mergeCell ref="J15:Q15"/>
    <mergeCell ref="R15:V15"/>
    <mergeCell ref="W15:Z15"/>
    <mergeCell ref="A14:D14"/>
    <mergeCell ref="E14:I14"/>
    <mergeCell ref="J14:Q14"/>
    <mergeCell ref="R14:V14"/>
    <mergeCell ref="W14:Z14"/>
    <mergeCell ref="AA17:AG17"/>
    <mergeCell ref="AH17:BQ17"/>
    <mergeCell ref="BR17:BX17"/>
    <mergeCell ref="A18:D18"/>
    <mergeCell ref="E18:I18"/>
    <mergeCell ref="J18:Q18"/>
    <mergeCell ref="R18:V18"/>
    <mergeCell ref="W18:Z18"/>
    <mergeCell ref="AA18:AG18"/>
    <mergeCell ref="AH18:BQ18"/>
    <mergeCell ref="BR18:BX18"/>
    <mergeCell ref="A17:D17"/>
    <mergeCell ref="E17:I17"/>
    <mergeCell ref="J17:Q17"/>
    <mergeCell ref="R17:V17"/>
    <mergeCell ref="W17:Z17"/>
    <mergeCell ref="AA19:AG19"/>
    <mergeCell ref="AH19:BQ19"/>
    <mergeCell ref="BR19:BX19"/>
    <mergeCell ref="AA22:AG22"/>
    <mergeCell ref="AH22:BQ22"/>
    <mergeCell ref="BR22:BX22"/>
    <mergeCell ref="A22:D22"/>
    <mergeCell ref="E22:I22"/>
    <mergeCell ref="J22:Q22"/>
    <mergeCell ref="R22:V22"/>
    <mergeCell ref="W22:Z22"/>
    <mergeCell ref="A21:D21"/>
    <mergeCell ref="E21:I21"/>
    <mergeCell ref="J21:Q21"/>
    <mergeCell ref="R21:V21"/>
    <mergeCell ref="W21:Z21"/>
    <mergeCell ref="AA21:AG21"/>
    <mergeCell ref="AH21:BQ21"/>
    <mergeCell ref="BR21:BX21"/>
    <mergeCell ref="AA20:AG20"/>
    <mergeCell ref="AH20:BQ20"/>
    <mergeCell ref="BR20:BX20"/>
    <mergeCell ref="A20:D20"/>
    <mergeCell ref="E20:I20"/>
  </mergeCells>
  <phoneticPr fontId="2"/>
  <pageMargins left="0.21" right="0.2" top="0.78740157480314965" bottom="0.39370078740157483" header="0.59055118110236227" footer="0.19685039370078741"/>
  <pageSetup paperSize="9" orientation="landscape" r:id="rId1"/>
  <headerFooter alignWithMargins="0">
    <oddFooter>&amp;R&amp;9株式会社　京信システムサービス&amp;C&amp;11&amp;P　/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CR47"/>
  <sheetViews>
    <sheetView zoomScale="85" zoomScaleNormal="85" workbookViewId="0">
      <pane ySplit="3" topLeftCell="A4" activePane="bottomLeft" state="frozen"/>
      <selection activeCell="J6" sqref="J6:Q6"/>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67" t="s">
        <v>1</v>
      </c>
      <c r="B1" s="268"/>
      <c r="C1" s="268"/>
      <c r="D1" s="268"/>
      <c r="E1" s="268"/>
      <c r="F1" s="268"/>
      <c r="G1" s="268"/>
      <c r="H1" s="269"/>
      <c r="I1" s="270" t="str">
        <f>タイトル!I40</f>
        <v>　学生勤務管理システム</v>
      </c>
      <c r="J1" s="271"/>
      <c r="K1" s="271"/>
      <c r="L1" s="271"/>
      <c r="M1" s="271"/>
      <c r="N1" s="271"/>
      <c r="O1" s="271"/>
      <c r="P1" s="271"/>
      <c r="Q1" s="271"/>
      <c r="R1" s="271"/>
      <c r="S1" s="271"/>
      <c r="T1" s="271"/>
      <c r="U1" s="271"/>
      <c r="V1" s="271"/>
      <c r="W1" s="271"/>
      <c r="X1" s="271"/>
      <c r="Y1" s="271"/>
      <c r="Z1" s="271"/>
      <c r="AA1" s="271"/>
      <c r="AB1" s="271"/>
      <c r="AC1" s="271"/>
      <c r="AD1" s="272"/>
      <c r="AE1" s="273" t="s">
        <v>0</v>
      </c>
      <c r="AF1" s="274"/>
      <c r="AG1" s="274"/>
      <c r="AH1" s="274"/>
      <c r="AI1" s="274"/>
      <c r="AJ1" s="274"/>
      <c r="AK1" s="275"/>
      <c r="AL1" s="276" t="str">
        <f>タイトル!I43</f>
        <v>　機能設計</v>
      </c>
      <c r="AM1" s="277"/>
      <c r="AN1" s="277"/>
      <c r="AO1" s="277"/>
      <c r="AP1" s="277"/>
      <c r="AQ1" s="277"/>
      <c r="AR1" s="277"/>
      <c r="AS1" s="277"/>
      <c r="AT1" s="277"/>
      <c r="AU1" s="277"/>
      <c r="AV1" s="277"/>
      <c r="AW1" s="277"/>
      <c r="AX1" s="277"/>
      <c r="AY1" s="277"/>
      <c r="AZ1" s="277"/>
      <c r="BA1" s="277"/>
      <c r="BB1" s="277"/>
      <c r="BC1" s="277"/>
      <c r="BD1" s="277"/>
      <c r="BE1" s="277"/>
      <c r="BF1" s="277"/>
      <c r="BG1" s="277"/>
      <c r="BH1" s="278"/>
      <c r="BI1" s="273" t="s">
        <v>12</v>
      </c>
      <c r="BJ1" s="274"/>
      <c r="BK1" s="274"/>
      <c r="BL1" s="275"/>
      <c r="BM1" s="279" t="str">
        <f>タイトル!I46</f>
        <v>木田　優</v>
      </c>
      <c r="BN1" s="280"/>
      <c r="BO1" s="280"/>
      <c r="BP1" s="280"/>
      <c r="BQ1" s="280"/>
      <c r="BR1" s="280"/>
      <c r="BS1" s="280"/>
      <c r="BT1" s="280"/>
      <c r="BU1" s="280"/>
      <c r="BV1" s="281"/>
      <c r="BW1" s="225">
        <f>タイトル!I47</f>
        <v>45196</v>
      </c>
      <c r="BX1" s="226"/>
      <c r="BY1" s="226"/>
      <c r="BZ1" s="226"/>
      <c r="CA1" s="226"/>
      <c r="CB1" s="226"/>
      <c r="CC1" s="226"/>
      <c r="CD1" s="226"/>
      <c r="CE1" s="227"/>
      <c r="CF1" s="228" t="s">
        <v>13</v>
      </c>
      <c r="CG1" s="229"/>
      <c r="CH1" s="229"/>
      <c r="CI1" s="229"/>
      <c r="CJ1" s="230"/>
      <c r="CK1" s="237" t="str">
        <f>タイトル!I50</f>
        <v>DUC010</v>
      </c>
      <c r="CL1" s="238"/>
      <c r="CM1" s="238"/>
      <c r="CN1" s="238"/>
      <c r="CO1" s="238"/>
      <c r="CP1" s="238"/>
      <c r="CQ1" s="238"/>
      <c r="CR1" s="239"/>
    </row>
    <row r="2" spans="1:96" s="15" customFormat="1" ht="15" customHeight="1" x14ac:dyDescent="0.2">
      <c r="A2" s="246" t="s">
        <v>14</v>
      </c>
      <c r="B2" s="247"/>
      <c r="C2" s="247"/>
      <c r="D2" s="247"/>
      <c r="E2" s="247"/>
      <c r="F2" s="247"/>
      <c r="G2" s="247"/>
      <c r="H2" s="248"/>
      <c r="I2" s="249" t="str">
        <f>タイトル!I41</f>
        <v>　共通機能</v>
      </c>
      <c r="J2" s="250"/>
      <c r="K2" s="250"/>
      <c r="L2" s="250"/>
      <c r="M2" s="250"/>
      <c r="N2" s="250"/>
      <c r="O2" s="250"/>
      <c r="P2" s="250"/>
      <c r="Q2" s="250"/>
      <c r="R2" s="250"/>
      <c r="S2" s="250"/>
      <c r="T2" s="250"/>
      <c r="U2" s="250"/>
      <c r="V2" s="250"/>
      <c r="W2" s="250"/>
      <c r="X2" s="250"/>
      <c r="Y2" s="250"/>
      <c r="Z2" s="250"/>
      <c r="AA2" s="250"/>
      <c r="AB2" s="250"/>
      <c r="AC2" s="250"/>
      <c r="AD2" s="251"/>
      <c r="AE2" s="252" t="s">
        <v>32</v>
      </c>
      <c r="AF2" s="253"/>
      <c r="AG2" s="253"/>
      <c r="AH2" s="253"/>
      <c r="AI2" s="253"/>
      <c r="AJ2" s="253"/>
      <c r="AK2" s="254"/>
      <c r="AL2" s="255" t="str">
        <f>タイトル!I44</f>
        <v>　CZ-010_雇用情報マスタ</v>
      </c>
      <c r="AM2" s="256"/>
      <c r="AN2" s="256"/>
      <c r="AO2" s="256"/>
      <c r="AP2" s="256"/>
      <c r="AQ2" s="256"/>
      <c r="AR2" s="256"/>
      <c r="AS2" s="256"/>
      <c r="AT2" s="256"/>
      <c r="AU2" s="256"/>
      <c r="AV2" s="256"/>
      <c r="AW2" s="256"/>
      <c r="AX2" s="256"/>
      <c r="AY2" s="256"/>
      <c r="AZ2" s="256"/>
      <c r="BA2" s="256"/>
      <c r="BB2" s="256"/>
      <c r="BC2" s="256"/>
      <c r="BD2" s="256"/>
      <c r="BE2" s="256"/>
      <c r="BF2" s="256"/>
      <c r="BG2" s="256"/>
      <c r="BH2" s="257"/>
      <c r="BI2" s="258" t="s">
        <v>15</v>
      </c>
      <c r="BJ2" s="259"/>
      <c r="BK2" s="259"/>
      <c r="BL2" s="260"/>
      <c r="BM2" s="261"/>
      <c r="BN2" s="262"/>
      <c r="BO2" s="262"/>
      <c r="BP2" s="262"/>
      <c r="BQ2" s="262"/>
      <c r="BR2" s="262"/>
      <c r="BS2" s="262"/>
      <c r="BT2" s="262"/>
      <c r="BU2" s="262"/>
      <c r="BV2" s="263"/>
      <c r="BW2" s="264"/>
      <c r="BX2" s="265"/>
      <c r="BY2" s="265"/>
      <c r="BZ2" s="265"/>
      <c r="CA2" s="265"/>
      <c r="CB2" s="265"/>
      <c r="CC2" s="265"/>
      <c r="CD2" s="265"/>
      <c r="CE2" s="266"/>
      <c r="CF2" s="231"/>
      <c r="CG2" s="232"/>
      <c r="CH2" s="232"/>
      <c r="CI2" s="232"/>
      <c r="CJ2" s="233"/>
      <c r="CK2" s="240"/>
      <c r="CL2" s="241"/>
      <c r="CM2" s="241"/>
      <c r="CN2" s="241"/>
      <c r="CO2" s="241"/>
      <c r="CP2" s="241"/>
      <c r="CQ2" s="241"/>
      <c r="CR2" s="242"/>
    </row>
    <row r="3" spans="1:96" s="15" customFormat="1" ht="15" customHeight="1" thickBot="1" x14ac:dyDescent="0.25">
      <c r="A3" s="282"/>
      <c r="B3" s="283"/>
      <c r="C3" s="283"/>
      <c r="D3" s="283"/>
      <c r="E3" s="283"/>
      <c r="F3" s="283"/>
      <c r="G3" s="283"/>
      <c r="H3" s="284"/>
      <c r="I3" s="285"/>
      <c r="J3" s="286"/>
      <c r="K3" s="286"/>
      <c r="L3" s="286"/>
      <c r="M3" s="286"/>
      <c r="N3" s="286"/>
      <c r="O3" s="286"/>
      <c r="P3" s="286"/>
      <c r="Q3" s="286"/>
      <c r="R3" s="286"/>
      <c r="S3" s="286"/>
      <c r="T3" s="286"/>
      <c r="U3" s="286"/>
      <c r="V3" s="286"/>
      <c r="W3" s="286"/>
      <c r="X3" s="286"/>
      <c r="Y3" s="286"/>
      <c r="Z3" s="286"/>
      <c r="AA3" s="286"/>
      <c r="AB3" s="286"/>
      <c r="AC3" s="286"/>
      <c r="AD3" s="287"/>
      <c r="AE3" s="234"/>
      <c r="AF3" s="235"/>
      <c r="AG3" s="235"/>
      <c r="AH3" s="235"/>
      <c r="AI3" s="235"/>
      <c r="AJ3" s="235"/>
      <c r="AK3" s="236"/>
      <c r="AL3" s="288"/>
      <c r="AM3" s="289"/>
      <c r="AN3" s="289"/>
      <c r="AO3" s="289"/>
      <c r="AP3" s="289"/>
      <c r="AQ3" s="289"/>
      <c r="AR3" s="289"/>
      <c r="AS3" s="289"/>
      <c r="AT3" s="289"/>
      <c r="AU3" s="289"/>
      <c r="AV3" s="289"/>
      <c r="AW3" s="289"/>
      <c r="AX3" s="289"/>
      <c r="AY3" s="289"/>
      <c r="AZ3" s="289"/>
      <c r="BA3" s="289"/>
      <c r="BB3" s="289"/>
      <c r="BC3" s="289"/>
      <c r="BD3" s="289"/>
      <c r="BE3" s="289"/>
      <c r="BF3" s="289"/>
      <c r="BG3" s="289"/>
      <c r="BH3" s="290"/>
      <c r="BI3" s="291"/>
      <c r="BJ3" s="292"/>
      <c r="BK3" s="292"/>
      <c r="BL3" s="293"/>
      <c r="BM3" s="294"/>
      <c r="BN3" s="295"/>
      <c r="BO3" s="295"/>
      <c r="BP3" s="295"/>
      <c r="BQ3" s="295"/>
      <c r="BR3" s="295"/>
      <c r="BS3" s="295"/>
      <c r="BT3" s="295"/>
      <c r="BU3" s="295"/>
      <c r="BV3" s="295"/>
      <c r="BW3" s="295"/>
      <c r="BX3" s="295"/>
      <c r="BY3" s="295"/>
      <c r="BZ3" s="295"/>
      <c r="CA3" s="295"/>
      <c r="CB3" s="295"/>
      <c r="CC3" s="295"/>
      <c r="CD3" s="295"/>
      <c r="CE3" s="296"/>
      <c r="CF3" s="234"/>
      <c r="CG3" s="235"/>
      <c r="CH3" s="235"/>
      <c r="CI3" s="235"/>
      <c r="CJ3" s="236"/>
      <c r="CK3" s="243"/>
      <c r="CL3" s="244"/>
      <c r="CM3" s="244"/>
      <c r="CN3" s="244"/>
      <c r="CO3" s="244"/>
      <c r="CP3" s="244"/>
      <c r="CQ3" s="244"/>
      <c r="CR3" s="245"/>
    </row>
    <row r="4" spans="1:96" s="16" customFormat="1" ht="15" customHeight="1" x14ac:dyDescent="0.2">
      <c r="A4" s="303" t="s">
        <v>36</v>
      </c>
      <c r="B4" s="304"/>
      <c r="C4" s="304"/>
      <c r="D4" s="304"/>
      <c r="E4" s="304"/>
      <c r="F4" s="304"/>
      <c r="G4" s="304"/>
      <c r="H4" s="304"/>
      <c r="I4" s="305" t="str">
        <f>"　" &amp; RIGHT(タイトル!I44,LEN(タイトル!I44)-8)</f>
        <v>　雇用情報マスタ</v>
      </c>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c r="AL4" s="304" t="s">
        <v>37</v>
      </c>
      <c r="AM4" s="304"/>
      <c r="AN4" s="304"/>
      <c r="AO4" s="304"/>
      <c r="AP4" s="304"/>
      <c r="AQ4" s="304"/>
      <c r="AR4" s="304"/>
      <c r="AS4" s="306" t="str">
        <f>LEFT(タイトル!I44,7)</f>
        <v>　CZ-010</v>
      </c>
      <c r="AT4" s="306"/>
      <c r="AU4" s="306"/>
      <c r="AV4" s="306"/>
      <c r="AW4" s="306"/>
      <c r="AX4" s="306"/>
      <c r="AY4" s="306"/>
      <c r="AZ4" s="306"/>
      <c r="BA4" s="306"/>
      <c r="BB4" s="306"/>
      <c r="BC4" s="306"/>
      <c r="BD4" s="306"/>
      <c r="BE4" s="306"/>
      <c r="BF4" s="306"/>
      <c r="BG4" s="306"/>
      <c r="BH4" s="306"/>
      <c r="BI4" s="307" t="s">
        <v>35</v>
      </c>
      <c r="BJ4" s="308"/>
      <c r="BK4" s="308"/>
      <c r="BL4" s="308"/>
      <c r="BM4" s="308"/>
      <c r="BN4" s="308"/>
      <c r="BO4" s="308"/>
      <c r="BP4" s="308"/>
      <c r="BQ4" s="308"/>
      <c r="BR4" s="308"/>
      <c r="BS4" s="308"/>
      <c r="BT4" s="300" t="s">
        <v>53</v>
      </c>
      <c r="BU4" s="301"/>
      <c r="BV4" s="301"/>
      <c r="BW4" s="301"/>
      <c r="BX4" s="301"/>
      <c r="BY4" s="301"/>
      <c r="BZ4" s="301"/>
      <c r="CA4" s="301"/>
      <c r="CB4" s="301"/>
      <c r="CC4" s="301"/>
      <c r="CD4" s="301"/>
      <c r="CE4" s="301"/>
      <c r="CF4" s="301"/>
      <c r="CG4" s="301"/>
      <c r="CH4" s="301"/>
      <c r="CI4" s="301"/>
      <c r="CJ4" s="301"/>
      <c r="CK4" s="301"/>
      <c r="CL4" s="301"/>
      <c r="CM4" s="301"/>
      <c r="CN4" s="301"/>
      <c r="CO4" s="301"/>
      <c r="CP4" s="301"/>
      <c r="CQ4" s="301"/>
      <c r="CR4" s="302"/>
    </row>
    <row r="5" spans="1:96" s="13" customFormat="1" ht="15" customHeight="1" x14ac:dyDescent="0.15">
      <c r="A5" s="297" t="s">
        <v>39</v>
      </c>
      <c r="B5" s="298"/>
      <c r="C5" s="298"/>
      <c r="D5" s="298"/>
      <c r="E5" s="298"/>
      <c r="F5" s="298"/>
      <c r="G5" s="298"/>
      <c r="H5" s="298"/>
      <c r="I5" s="298"/>
      <c r="J5" s="298"/>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298"/>
      <c r="BD5" s="298"/>
      <c r="BE5" s="298"/>
      <c r="BF5" s="298"/>
      <c r="BG5" s="298"/>
      <c r="BH5" s="298"/>
      <c r="BI5" s="298"/>
      <c r="BJ5" s="298"/>
      <c r="BK5" s="298"/>
      <c r="BL5" s="298"/>
      <c r="BM5" s="298"/>
      <c r="BN5" s="298"/>
      <c r="BO5" s="298"/>
      <c r="BP5" s="298"/>
      <c r="BQ5" s="298"/>
      <c r="BR5" s="298"/>
      <c r="BS5" s="298"/>
      <c r="BT5" s="298"/>
      <c r="BU5" s="298"/>
      <c r="BV5" s="298"/>
      <c r="BW5" s="298"/>
      <c r="BX5" s="298"/>
      <c r="BY5" s="298"/>
      <c r="BZ5" s="298"/>
      <c r="CA5" s="298"/>
      <c r="CB5" s="298"/>
      <c r="CC5" s="298"/>
      <c r="CD5" s="298"/>
      <c r="CE5" s="298"/>
      <c r="CF5" s="298"/>
      <c r="CG5" s="298"/>
      <c r="CH5" s="298"/>
      <c r="CI5" s="298"/>
      <c r="CJ5" s="298"/>
      <c r="CK5" s="298"/>
      <c r="CL5" s="298"/>
      <c r="CM5" s="298"/>
      <c r="CN5" s="298"/>
      <c r="CO5" s="298"/>
      <c r="CP5" s="298"/>
      <c r="CQ5" s="298"/>
      <c r="CR5" s="299"/>
    </row>
    <row r="6" spans="1:96" s="13" customFormat="1" ht="15" customHeight="1" x14ac:dyDescent="0.15">
      <c r="A6" s="20"/>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9"/>
    </row>
    <row r="7" spans="1:96" s="13" customFormat="1" ht="15" customHeight="1" x14ac:dyDescent="0.15">
      <c r="A7" s="20"/>
      <c r="B7" s="18" t="s">
        <v>81</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20"/>
      <c r="B8" s="18" t="s">
        <v>92</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20"/>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2" customFormat="1" ht="15" customHeight="1" x14ac:dyDescent="0.15">
      <c r="A10" s="297" t="s">
        <v>40</v>
      </c>
      <c r="B10" s="298"/>
      <c r="C10" s="298"/>
      <c r="D10" s="298"/>
      <c r="E10" s="298"/>
      <c r="F10" s="298"/>
      <c r="G10" s="298"/>
      <c r="H10" s="298"/>
      <c r="I10" s="298"/>
      <c r="J10" s="298"/>
      <c r="K10" s="298"/>
      <c r="L10" s="298"/>
      <c r="M10" s="298"/>
      <c r="N10" s="298"/>
      <c r="O10" s="298"/>
      <c r="P10" s="298"/>
      <c r="Q10" s="298"/>
      <c r="R10" s="298"/>
      <c r="S10" s="298"/>
      <c r="T10" s="298"/>
      <c r="U10" s="298"/>
      <c r="V10" s="298"/>
      <c r="W10" s="298"/>
      <c r="X10" s="298"/>
      <c r="Y10" s="298"/>
      <c r="Z10" s="298"/>
      <c r="AA10" s="298"/>
      <c r="AB10" s="298"/>
      <c r="AC10" s="298"/>
      <c r="AD10" s="298"/>
      <c r="AE10" s="298"/>
      <c r="AF10" s="298"/>
      <c r="AG10" s="298"/>
      <c r="AH10" s="298"/>
      <c r="AI10" s="298"/>
      <c r="AJ10" s="298"/>
      <c r="AK10" s="298"/>
      <c r="AL10" s="298"/>
      <c r="AM10" s="298"/>
      <c r="AN10" s="298"/>
      <c r="AO10" s="298"/>
      <c r="AP10" s="298"/>
      <c r="AQ10" s="298"/>
      <c r="AR10" s="298"/>
      <c r="AS10" s="298"/>
      <c r="AT10" s="298"/>
      <c r="AU10" s="298"/>
      <c r="AV10" s="298"/>
      <c r="AW10" s="298"/>
      <c r="AX10" s="298"/>
      <c r="AY10" s="298"/>
      <c r="AZ10" s="298"/>
      <c r="BA10" s="298"/>
      <c r="BB10" s="298"/>
      <c r="BC10" s="298"/>
      <c r="BD10" s="298"/>
      <c r="BE10" s="298"/>
      <c r="BF10" s="298"/>
      <c r="BG10" s="298"/>
      <c r="BH10" s="298"/>
      <c r="BI10" s="298"/>
      <c r="BJ10" s="298"/>
      <c r="BK10" s="298"/>
      <c r="BL10" s="298"/>
      <c r="BM10" s="298"/>
      <c r="BN10" s="298"/>
      <c r="BO10" s="298"/>
      <c r="BP10" s="298"/>
      <c r="BQ10" s="298"/>
      <c r="BR10" s="298"/>
      <c r="BS10" s="298"/>
      <c r="BT10" s="298"/>
      <c r="BU10" s="298"/>
      <c r="BV10" s="298"/>
      <c r="BW10" s="298"/>
      <c r="BX10" s="298"/>
      <c r="BY10" s="298"/>
      <c r="BZ10" s="298"/>
      <c r="CA10" s="298"/>
      <c r="CB10" s="298"/>
      <c r="CC10" s="298"/>
      <c r="CD10" s="298"/>
      <c r="CE10" s="298"/>
      <c r="CF10" s="298"/>
      <c r="CG10" s="298"/>
      <c r="CH10" s="298"/>
      <c r="CI10" s="298"/>
      <c r="CJ10" s="298"/>
      <c r="CK10" s="298"/>
      <c r="CL10" s="298"/>
      <c r="CM10" s="298"/>
      <c r="CN10" s="298"/>
      <c r="CO10" s="298"/>
      <c r="CP10" s="298"/>
      <c r="CQ10" s="298"/>
      <c r="CR10" s="299"/>
    </row>
    <row r="11" spans="1:96" s="13" customFormat="1" ht="15" customHeight="1" x14ac:dyDescent="0.15">
      <c r="A11" s="22"/>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4"/>
    </row>
    <row r="12" spans="1:96" s="13" customFormat="1" ht="15" customHeight="1" x14ac:dyDescent="0.15">
      <c r="A12" s="22"/>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4"/>
    </row>
    <row r="13" spans="1:96" s="13" customFormat="1" ht="15" customHeight="1" x14ac:dyDescent="0.15">
      <c r="A13" s="22"/>
      <c r="B13" s="23"/>
      <c r="C13" s="31" t="s">
        <v>42</v>
      </c>
      <c r="D13" s="32"/>
      <c r="E13" s="32"/>
      <c r="F13" s="32"/>
      <c r="G13" s="32"/>
      <c r="H13" s="32"/>
      <c r="I13" s="32"/>
      <c r="J13" s="32"/>
      <c r="K13" s="32"/>
      <c r="L13" s="32"/>
      <c r="M13" s="32"/>
      <c r="N13" s="32"/>
      <c r="O13" s="32"/>
      <c r="P13" s="32"/>
      <c r="Q13" s="32"/>
      <c r="R13" s="32"/>
      <c r="S13" s="32"/>
      <c r="T13" s="33"/>
      <c r="U13" s="23"/>
      <c r="V13" s="23"/>
      <c r="W13" s="23"/>
      <c r="X13" s="23"/>
      <c r="Y13" s="23"/>
      <c r="Z13" s="23"/>
      <c r="AA13" s="23"/>
      <c r="AB13" s="23"/>
      <c r="AC13" s="23"/>
      <c r="AD13" s="23"/>
      <c r="AE13" s="12"/>
      <c r="AH13" s="31" t="s">
        <v>50</v>
      </c>
      <c r="AI13" s="32"/>
      <c r="AJ13" s="32"/>
      <c r="AK13" s="32"/>
      <c r="AL13" s="32"/>
      <c r="AM13" s="32"/>
      <c r="AN13" s="32"/>
      <c r="AO13" s="32"/>
      <c r="AP13" s="32"/>
      <c r="AQ13" s="32"/>
      <c r="AR13" s="32"/>
      <c r="AS13" s="32"/>
      <c r="AT13" s="32"/>
      <c r="AU13" s="32"/>
      <c r="AV13" s="32"/>
      <c r="AW13" s="32"/>
      <c r="AX13" s="32"/>
      <c r="AY13" s="33"/>
      <c r="AZ13" s="23"/>
      <c r="BA13" s="23"/>
      <c r="BB13" s="23"/>
      <c r="BC13" s="23"/>
      <c r="BD13" s="23"/>
      <c r="BE13" s="23"/>
      <c r="BF13" s="23"/>
      <c r="BG13" s="23"/>
      <c r="BH13" s="23"/>
      <c r="BI13" s="23"/>
      <c r="BJ13" s="12"/>
      <c r="BK13" s="31" t="s">
        <v>51</v>
      </c>
      <c r="BL13" s="32"/>
      <c r="BM13" s="32"/>
      <c r="BN13" s="32"/>
      <c r="BO13" s="32"/>
      <c r="BP13" s="32"/>
      <c r="BQ13" s="32"/>
      <c r="BR13" s="32"/>
      <c r="BS13" s="32"/>
      <c r="BT13" s="32"/>
      <c r="BU13" s="32"/>
      <c r="BV13" s="32"/>
      <c r="BW13" s="32"/>
      <c r="BX13" s="32"/>
      <c r="BY13" s="32"/>
      <c r="BZ13" s="32"/>
      <c r="CA13" s="32"/>
      <c r="CB13" s="33"/>
      <c r="CC13" s="12"/>
      <c r="CD13" s="12"/>
      <c r="CE13" s="23"/>
      <c r="CF13" s="23"/>
      <c r="CG13" s="23"/>
      <c r="CH13" s="23"/>
      <c r="CI13" s="23"/>
      <c r="CJ13" s="23"/>
      <c r="CK13" s="23"/>
      <c r="CL13" s="23"/>
      <c r="CM13" s="23"/>
      <c r="CN13" s="23"/>
      <c r="CO13" s="23"/>
      <c r="CP13" s="23"/>
      <c r="CQ13" s="23"/>
      <c r="CR13" s="24"/>
    </row>
    <row r="14" spans="1:96" s="13" customFormat="1" ht="15" customHeight="1" x14ac:dyDescent="0.15">
      <c r="A14" s="22"/>
      <c r="B14" s="23"/>
      <c r="C14" s="34"/>
      <c r="D14" s="35" t="s">
        <v>80</v>
      </c>
      <c r="E14" s="36"/>
      <c r="F14" s="36"/>
      <c r="G14" s="36"/>
      <c r="H14" s="36"/>
      <c r="I14" s="36"/>
      <c r="J14" s="36"/>
      <c r="K14" s="36"/>
      <c r="L14" s="36"/>
      <c r="M14" s="36"/>
      <c r="N14" s="36"/>
      <c r="O14" s="36"/>
      <c r="P14" s="36"/>
      <c r="Q14" s="36"/>
      <c r="R14" s="37"/>
      <c r="S14" s="36"/>
      <c r="T14" s="38"/>
      <c r="U14" s="23"/>
      <c r="V14" s="23"/>
      <c r="W14" s="23"/>
      <c r="X14" s="23"/>
      <c r="Y14" s="23"/>
      <c r="Z14" s="23"/>
      <c r="AA14" s="23"/>
      <c r="AB14" s="23"/>
      <c r="AC14" s="23"/>
      <c r="AD14" s="23"/>
      <c r="AE14" s="12"/>
      <c r="AH14" s="34"/>
      <c r="AI14" s="35" t="s">
        <v>83</v>
      </c>
      <c r="AJ14" s="36"/>
      <c r="AK14" s="36"/>
      <c r="AL14" s="36"/>
      <c r="AM14" s="36"/>
      <c r="AN14" s="36"/>
      <c r="AO14" s="36"/>
      <c r="AP14" s="36"/>
      <c r="AQ14" s="36"/>
      <c r="AR14" s="36"/>
      <c r="AS14" s="36"/>
      <c r="AT14" s="36"/>
      <c r="AU14" s="36"/>
      <c r="AV14" s="36"/>
      <c r="AW14" s="37"/>
      <c r="AX14" s="36"/>
      <c r="AY14" s="38"/>
      <c r="AZ14" s="23"/>
      <c r="BA14" s="21" t="s">
        <v>82</v>
      </c>
      <c r="BB14" s="23"/>
      <c r="BC14" s="23"/>
      <c r="BD14" s="23"/>
      <c r="BE14" s="23"/>
      <c r="BF14" s="23"/>
      <c r="BG14" s="23"/>
      <c r="BH14" s="23"/>
      <c r="BI14" s="23"/>
      <c r="BJ14" s="12"/>
      <c r="BK14" s="34"/>
      <c r="BL14" s="35" t="s">
        <v>84</v>
      </c>
      <c r="BM14" s="36"/>
      <c r="BN14" s="36"/>
      <c r="BO14" s="36"/>
      <c r="BP14" s="36"/>
      <c r="BQ14" s="36"/>
      <c r="BR14" s="36"/>
      <c r="BS14" s="36"/>
      <c r="BT14" s="36"/>
      <c r="BU14" s="36"/>
      <c r="BV14" s="36"/>
      <c r="BW14" s="36"/>
      <c r="BX14" s="36"/>
      <c r="BY14" s="36"/>
      <c r="BZ14" s="37"/>
      <c r="CA14" s="36"/>
      <c r="CB14" s="38"/>
      <c r="CC14" s="12"/>
      <c r="CD14" s="12"/>
      <c r="CE14" s="23"/>
      <c r="CF14" s="23"/>
      <c r="CG14" s="23"/>
      <c r="CH14" s="23"/>
      <c r="CI14" s="23"/>
      <c r="CJ14" s="23"/>
      <c r="CK14" s="23"/>
      <c r="CL14" s="23"/>
      <c r="CM14" s="23"/>
      <c r="CN14" s="23"/>
      <c r="CO14" s="23"/>
      <c r="CP14" s="23"/>
      <c r="CQ14" s="23"/>
      <c r="CR14" s="24"/>
    </row>
    <row r="15" spans="1:96" s="13" customFormat="1" ht="15" customHeight="1" x14ac:dyDescent="0.15">
      <c r="A15" s="22"/>
      <c r="B15" s="23"/>
      <c r="C15" s="34"/>
      <c r="D15" s="36"/>
      <c r="E15" s="36"/>
      <c r="F15" s="36"/>
      <c r="G15" s="36"/>
      <c r="H15" s="36"/>
      <c r="I15" s="36"/>
      <c r="J15" s="36"/>
      <c r="K15" s="36"/>
      <c r="L15" s="36"/>
      <c r="M15" s="36"/>
      <c r="N15" s="36"/>
      <c r="O15" s="36"/>
      <c r="P15" s="36"/>
      <c r="Q15" s="39"/>
      <c r="R15" s="37"/>
      <c r="S15" s="36"/>
      <c r="T15" s="38"/>
      <c r="U15" s="23"/>
      <c r="V15" s="21" t="s">
        <v>49</v>
      </c>
      <c r="W15" s="23"/>
      <c r="X15" s="23"/>
      <c r="Y15" s="23"/>
      <c r="Z15" s="23"/>
      <c r="AA15" s="23"/>
      <c r="AB15" s="23"/>
      <c r="AC15" s="23"/>
      <c r="AD15" s="23"/>
      <c r="AE15" s="12"/>
      <c r="AH15" s="34"/>
      <c r="AI15" s="36"/>
      <c r="AJ15" s="36"/>
      <c r="AK15" s="36"/>
      <c r="AL15" s="36"/>
      <c r="AM15" s="36"/>
      <c r="AN15" s="36"/>
      <c r="AO15" s="36"/>
      <c r="AP15" s="36"/>
      <c r="AQ15" s="36"/>
      <c r="AR15" s="36"/>
      <c r="AS15" s="36"/>
      <c r="AT15" s="36"/>
      <c r="AU15" s="36"/>
      <c r="AV15" s="39"/>
      <c r="AW15" s="37"/>
      <c r="AX15" s="36"/>
      <c r="AY15" s="38"/>
      <c r="AZ15" s="25"/>
      <c r="BA15" s="70" t="s">
        <v>104</v>
      </c>
      <c r="BB15" s="23"/>
      <c r="BC15" s="23"/>
      <c r="BD15" s="23"/>
      <c r="BE15" s="23"/>
      <c r="BF15" s="23"/>
      <c r="BG15" s="23"/>
      <c r="BH15" s="23"/>
      <c r="BI15" s="23"/>
      <c r="BJ15" s="12"/>
      <c r="BK15" s="34"/>
      <c r="BL15" s="36"/>
      <c r="BM15" s="36"/>
      <c r="BN15" s="36"/>
      <c r="BO15" s="36"/>
      <c r="BP15" s="36"/>
      <c r="BQ15" s="36"/>
      <c r="BR15" s="36"/>
      <c r="BS15" s="36"/>
      <c r="BT15" s="36"/>
      <c r="BU15" s="36"/>
      <c r="BV15" s="36"/>
      <c r="BW15" s="36"/>
      <c r="BX15" s="36"/>
      <c r="BY15" s="39"/>
      <c r="BZ15" s="37"/>
      <c r="CA15" s="36"/>
      <c r="CB15" s="38"/>
      <c r="CC15" s="12"/>
      <c r="CD15" s="12"/>
      <c r="CE15" s="23"/>
      <c r="CF15" s="23"/>
      <c r="CG15" s="23"/>
      <c r="CH15" s="23"/>
      <c r="CI15" s="23"/>
      <c r="CJ15" s="23"/>
      <c r="CK15" s="23"/>
      <c r="CL15" s="23"/>
      <c r="CM15" s="23"/>
      <c r="CN15" s="23"/>
      <c r="CO15" s="23"/>
      <c r="CP15" s="23"/>
      <c r="CQ15" s="23"/>
      <c r="CR15" s="24"/>
    </row>
    <row r="16" spans="1:96" s="13" customFormat="1" ht="15" customHeight="1" x14ac:dyDescent="0.15">
      <c r="A16" s="22"/>
      <c r="B16" s="23"/>
      <c r="C16" s="34"/>
      <c r="D16" s="36"/>
      <c r="E16" s="36"/>
      <c r="F16" s="36"/>
      <c r="G16" s="36"/>
      <c r="H16" s="36"/>
      <c r="I16" s="36"/>
      <c r="J16" s="36"/>
      <c r="K16" s="36"/>
      <c r="L16" s="36"/>
      <c r="M16" s="36"/>
      <c r="N16" s="36"/>
      <c r="O16" s="36"/>
      <c r="P16" s="36"/>
      <c r="Q16" s="36"/>
      <c r="R16" s="36"/>
      <c r="S16" s="36"/>
      <c r="T16" s="38"/>
      <c r="U16" s="23"/>
      <c r="V16" s="23"/>
      <c r="W16" s="23"/>
      <c r="X16" s="23"/>
      <c r="Y16" s="12"/>
      <c r="Z16" s="12"/>
      <c r="AA16" s="12"/>
      <c r="AB16" s="12"/>
      <c r="AC16" s="12"/>
      <c r="AD16" s="12"/>
      <c r="AE16" s="12"/>
      <c r="AH16" s="34"/>
      <c r="AI16" s="36"/>
      <c r="AJ16" s="36"/>
      <c r="AK16" s="36"/>
      <c r="AL16" s="36"/>
      <c r="AM16" s="36"/>
      <c r="AN16" s="36"/>
      <c r="AO16" s="36"/>
      <c r="AP16" s="36"/>
      <c r="AQ16" s="36"/>
      <c r="AR16" s="36"/>
      <c r="AS16" s="36"/>
      <c r="AT16" s="36"/>
      <c r="AU16" s="36"/>
      <c r="AV16" s="36"/>
      <c r="AW16" s="36"/>
      <c r="AX16" s="36"/>
      <c r="AY16" s="38"/>
      <c r="AZ16" s="23"/>
      <c r="BA16" s="25" t="s">
        <v>105</v>
      </c>
      <c r="BB16" s="23"/>
      <c r="BC16" s="23"/>
      <c r="BD16" s="23"/>
      <c r="BE16" s="23"/>
      <c r="BF16" s="23"/>
      <c r="BG16" s="23"/>
      <c r="BH16" s="23"/>
      <c r="BI16" s="23"/>
      <c r="BJ16" s="12"/>
      <c r="BK16" s="34"/>
      <c r="BL16" s="36"/>
      <c r="BM16" s="36"/>
      <c r="BN16" s="36"/>
      <c r="BO16" s="36"/>
      <c r="BP16" s="36"/>
      <c r="BQ16" s="36"/>
      <c r="BR16" s="36"/>
      <c r="BS16" s="36"/>
      <c r="BT16" s="36"/>
      <c r="BU16" s="36"/>
      <c r="BV16" s="36"/>
      <c r="BW16" s="36"/>
      <c r="BX16" s="36"/>
      <c r="BY16" s="36"/>
      <c r="BZ16" s="36"/>
      <c r="CA16" s="36"/>
      <c r="CB16" s="38"/>
      <c r="CC16" s="12"/>
      <c r="CD16" s="12"/>
      <c r="CE16" s="23"/>
      <c r="CF16" s="23"/>
      <c r="CG16" s="23"/>
      <c r="CH16" s="23"/>
      <c r="CI16" s="23"/>
      <c r="CJ16" s="23"/>
      <c r="CK16" s="23"/>
      <c r="CL16" s="23"/>
      <c r="CM16" s="23"/>
      <c r="CN16" s="23"/>
      <c r="CO16" s="23"/>
      <c r="CP16" s="23"/>
      <c r="CQ16" s="23"/>
      <c r="CR16" s="24"/>
    </row>
    <row r="17" spans="1:96" s="13" customFormat="1" ht="15" customHeight="1" x14ac:dyDescent="0.15">
      <c r="A17" s="22"/>
      <c r="B17" s="23"/>
      <c r="C17" s="34"/>
      <c r="D17" s="36"/>
      <c r="E17" s="36"/>
      <c r="F17" s="36"/>
      <c r="G17" s="36"/>
      <c r="H17" s="36"/>
      <c r="I17" s="36"/>
      <c r="J17" s="36"/>
      <c r="K17" s="36"/>
      <c r="L17" s="36"/>
      <c r="M17" s="36"/>
      <c r="N17" s="36"/>
      <c r="O17" s="36"/>
      <c r="P17" s="36"/>
      <c r="Q17" s="36"/>
      <c r="R17" s="36"/>
      <c r="S17" s="36"/>
      <c r="T17" s="38"/>
      <c r="U17" s="23"/>
      <c r="V17" s="23"/>
      <c r="W17" s="23"/>
      <c r="X17" s="23"/>
      <c r="Y17" s="12"/>
      <c r="Z17" s="12"/>
      <c r="AA17" s="12"/>
      <c r="AB17" s="12"/>
      <c r="AC17" s="12"/>
      <c r="AD17" s="12"/>
      <c r="AE17" s="12"/>
      <c r="AH17" s="34"/>
      <c r="AI17" s="36"/>
      <c r="AJ17" s="36"/>
      <c r="AK17" s="36"/>
      <c r="AL17" s="36"/>
      <c r="AM17" s="36"/>
      <c r="AN17" s="36"/>
      <c r="AO17" s="36"/>
      <c r="AP17" s="36"/>
      <c r="AQ17" s="36"/>
      <c r="AR17" s="36"/>
      <c r="AS17" s="36"/>
      <c r="AT17" s="36"/>
      <c r="AU17" s="36"/>
      <c r="AV17" s="36"/>
      <c r="AW17" s="36"/>
      <c r="AX17" s="36"/>
      <c r="AY17" s="38"/>
      <c r="AZ17" s="23"/>
      <c r="BA17" s="23"/>
      <c r="BB17" s="23"/>
      <c r="BC17" s="23"/>
      <c r="BD17" s="23"/>
      <c r="BE17" s="23"/>
      <c r="BF17" s="23"/>
      <c r="BG17" s="23"/>
      <c r="BH17" s="23"/>
      <c r="BI17" s="23"/>
      <c r="BJ17" s="12"/>
      <c r="BK17" s="34"/>
      <c r="BL17" s="36"/>
      <c r="BM17" s="36"/>
      <c r="BN17" s="36"/>
      <c r="BO17" s="36"/>
      <c r="BP17" s="36"/>
      <c r="BQ17" s="36"/>
      <c r="BR17" s="36"/>
      <c r="BS17" s="36"/>
      <c r="BT17" s="36"/>
      <c r="BU17" s="36"/>
      <c r="BV17" s="36"/>
      <c r="BW17" s="36"/>
      <c r="BX17" s="36"/>
      <c r="BY17" s="36"/>
      <c r="BZ17" s="36"/>
      <c r="CA17" s="36"/>
      <c r="CB17" s="38"/>
      <c r="CC17" s="12"/>
      <c r="CD17" s="12"/>
      <c r="CE17" s="23"/>
      <c r="CF17" s="23"/>
      <c r="CG17" s="23"/>
      <c r="CH17" s="23"/>
      <c r="CI17" s="23"/>
      <c r="CJ17" s="23"/>
      <c r="CK17" s="23"/>
      <c r="CL17" s="23"/>
      <c r="CM17" s="23"/>
      <c r="CN17" s="23"/>
      <c r="CO17" s="23"/>
      <c r="CP17" s="23"/>
      <c r="CQ17" s="23"/>
      <c r="CR17" s="24"/>
    </row>
    <row r="18" spans="1:96" s="13" customFormat="1" ht="15" customHeight="1" x14ac:dyDescent="0.15">
      <c r="A18" s="22"/>
      <c r="B18" s="23"/>
      <c r="C18" s="34"/>
      <c r="D18" s="36"/>
      <c r="E18" s="36"/>
      <c r="F18" s="36"/>
      <c r="G18" s="36"/>
      <c r="H18" s="36"/>
      <c r="I18" s="36"/>
      <c r="J18" s="36"/>
      <c r="K18" s="36"/>
      <c r="L18" s="36"/>
      <c r="M18" s="36"/>
      <c r="N18" s="36"/>
      <c r="O18" s="36"/>
      <c r="P18" s="36"/>
      <c r="Q18" s="36"/>
      <c r="R18" s="36"/>
      <c r="S18" s="36"/>
      <c r="T18" s="38"/>
      <c r="U18" s="23"/>
      <c r="V18" s="12"/>
      <c r="X18" s="23"/>
      <c r="Y18" s="12"/>
      <c r="Z18" s="12"/>
      <c r="AA18" s="12"/>
      <c r="AB18" s="12"/>
      <c r="AC18" s="12"/>
      <c r="AD18" s="12"/>
      <c r="AE18" s="12"/>
      <c r="AH18" s="34"/>
      <c r="AI18" s="36"/>
      <c r="AJ18" s="36"/>
      <c r="AK18" s="36"/>
      <c r="AL18" s="36"/>
      <c r="AM18" s="36"/>
      <c r="AN18" s="36"/>
      <c r="AO18" s="36"/>
      <c r="AP18" s="36"/>
      <c r="AQ18" s="36"/>
      <c r="AR18" s="36"/>
      <c r="AS18" s="36"/>
      <c r="AT18" s="36"/>
      <c r="AU18" s="36"/>
      <c r="AV18" s="36"/>
      <c r="AW18" s="36"/>
      <c r="AX18" s="36"/>
      <c r="AY18" s="38"/>
      <c r="AZ18" s="23"/>
      <c r="BA18" s="23"/>
      <c r="BB18" s="23"/>
      <c r="BC18" s="23"/>
      <c r="BD18" s="23"/>
      <c r="BE18" s="23"/>
      <c r="BF18" s="23"/>
      <c r="BG18" s="23"/>
      <c r="BH18" s="23"/>
      <c r="BI18" s="23"/>
      <c r="BJ18" s="12"/>
      <c r="BK18" s="34"/>
      <c r="BL18" s="36"/>
      <c r="BM18" s="36"/>
      <c r="BN18" s="36"/>
      <c r="BO18" s="36"/>
      <c r="BP18" s="36"/>
      <c r="BQ18" s="36"/>
      <c r="BR18" s="36"/>
      <c r="BS18" s="36"/>
      <c r="BT18" s="36"/>
      <c r="BU18" s="36"/>
      <c r="BV18" s="36"/>
      <c r="BW18" s="36"/>
      <c r="BX18" s="36"/>
      <c r="BY18" s="36"/>
      <c r="BZ18" s="36"/>
      <c r="CA18" s="36"/>
      <c r="CB18" s="38"/>
      <c r="CC18" s="12"/>
      <c r="CD18" s="12"/>
      <c r="CE18" s="23"/>
      <c r="CF18" s="23"/>
      <c r="CG18" s="23"/>
      <c r="CH18" s="23"/>
      <c r="CI18" s="23"/>
      <c r="CJ18" s="23"/>
      <c r="CK18" s="23"/>
      <c r="CL18" s="23"/>
      <c r="CM18" s="23"/>
      <c r="CN18" s="23"/>
      <c r="CO18" s="23"/>
      <c r="CP18" s="23"/>
      <c r="CQ18" s="23"/>
      <c r="CR18" s="24"/>
    </row>
    <row r="19" spans="1:96" s="13" customFormat="1" ht="15" customHeight="1" x14ac:dyDescent="0.15">
      <c r="A19" s="22"/>
      <c r="B19" s="23"/>
      <c r="C19" s="34"/>
      <c r="D19" s="36"/>
      <c r="E19" s="36"/>
      <c r="F19" s="36"/>
      <c r="G19" s="36"/>
      <c r="H19" s="36"/>
      <c r="I19" s="36"/>
      <c r="J19" s="36"/>
      <c r="K19" s="36"/>
      <c r="L19" s="36"/>
      <c r="M19" s="36"/>
      <c r="N19" s="36"/>
      <c r="O19" s="36"/>
      <c r="P19" s="36"/>
      <c r="Q19" s="36"/>
      <c r="R19" s="36"/>
      <c r="S19" s="36"/>
      <c r="T19" s="38"/>
      <c r="U19" s="23"/>
      <c r="V19" s="23"/>
      <c r="W19" s="23"/>
      <c r="X19" s="23"/>
      <c r="Y19" s="12"/>
      <c r="Z19" s="12"/>
      <c r="AA19" s="12"/>
      <c r="AB19" s="12"/>
      <c r="AC19" s="12"/>
      <c r="AD19" s="12"/>
      <c r="AE19" s="12"/>
      <c r="AH19" s="34"/>
      <c r="AI19" s="36"/>
      <c r="AJ19" s="36"/>
      <c r="AK19" s="36"/>
      <c r="AL19" s="36"/>
      <c r="AM19" s="36"/>
      <c r="AN19" s="36"/>
      <c r="AO19" s="36"/>
      <c r="AP19" s="36"/>
      <c r="AQ19" s="36"/>
      <c r="AR19" s="36"/>
      <c r="AS19" s="36"/>
      <c r="AT19" s="36"/>
      <c r="AU19" s="36"/>
      <c r="AV19" s="36"/>
      <c r="AW19" s="36"/>
      <c r="AX19" s="36"/>
      <c r="AY19" s="38"/>
      <c r="AZ19" s="23"/>
      <c r="BA19" s="23"/>
      <c r="BB19" s="23"/>
      <c r="BC19" s="23"/>
      <c r="BD19" s="23"/>
      <c r="BE19" s="23"/>
      <c r="BF19" s="23"/>
      <c r="BG19" s="23"/>
      <c r="BH19" s="23"/>
      <c r="BI19" s="23"/>
      <c r="BJ19" s="12"/>
      <c r="BK19" s="34"/>
      <c r="BL19" s="36"/>
      <c r="BM19" s="36"/>
      <c r="BN19" s="36"/>
      <c r="BO19" s="36"/>
      <c r="BP19" s="36"/>
      <c r="BQ19" s="36"/>
      <c r="BR19" s="36"/>
      <c r="BS19" s="36"/>
      <c r="BT19" s="36"/>
      <c r="BU19" s="36"/>
      <c r="BV19" s="36"/>
      <c r="BW19" s="36"/>
      <c r="BX19" s="36"/>
      <c r="BY19" s="36"/>
      <c r="BZ19" s="36"/>
      <c r="CA19" s="36"/>
      <c r="CB19" s="38"/>
      <c r="CC19" s="12"/>
      <c r="CD19" s="12"/>
      <c r="CE19" s="23"/>
      <c r="CF19" s="23"/>
      <c r="CG19" s="23"/>
      <c r="CH19" s="23"/>
      <c r="CI19" s="23"/>
      <c r="CJ19" s="23"/>
      <c r="CK19" s="23"/>
      <c r="CL19" s="23"/>
      <c r="CM19" s="23"/>
      <c r="CN19" s="23"/>
      <c r="CO19" s="23"/>
      <c r="CP19" s="23"/>
      <c r="CQ19" s="23"/>
      <c r="CR19" s="24"/>
    </row>
    <row r="20" spans="1:96" s="13" customFormat="1" ht="15" customHeight="1" x14ac:dyDescent="0.15">
      <c r="A20" s="22"/>
      <c r="B20" s="23"/>
      <c r="C20" s="34"/>
      <c r="D20" s="36"/>
      <c r="E20" s="36"/>
      <c r="F20" s="36"/>
      <c r="G20" s="36"/>
      <c r="H20" s="36"/>
      <c r="I20" s="36"/>
      <c r="J20" s="36"/>
      <c r="K20" s="36"/>
      <c r="L20" s="36"/>
      <c r="M20" s="36"/>
      <c r="N20" s="36"/>
      <c r="O20" s="36"/>
      <c r="P20" s="36"/>
      <c r="Q20" s="36"/>
      <c r="R20" s="36"/>
      <c r="S20" s="36"/>
      <c r="T20" s="38"/>
      <c r="U20" s="23"/>
      <c r="V20" s="21"/>
      <c r="W20" s="23"/>
      <c r="X20" s="23"/>
      <c r="Y20" s="23"/>
      <c r="Z20" s="23"/>
      <c r="AA20" s="23"/>
      <c r="AB20" s="23"/>
      <c r="AC20" s="23"/>
      <c r="AD20" s="23"/>
      <c r="AE20" s="23"/>
      <c r="AH20" s="34"/>
      <c r="AI20" s="36"/>
      <c r="AJ20" s="36"/>
      <c r="AK20" s="36"/>
      <c r="AL20" s="36"/>
      <c r="AM20" s="36"/>
      <c r="AN20" s="36"/>
      <c r="AO20" s="36"/>
      <c r="AP20" s="36"/>
      <c r="AQ20" s="36"/>
      <c r="AR20" s="36"/>
      <c r="AS20" s="36"/>
      <c r="AT20" s="36"/>
      <c r="AU20" s="36"/>
      <c r="AV20" s="36"/>
      <c r="AW20" s="36"/>
      <c r="AX20" s="36"/>
      <c r="AY20" s="38"/>
      <c r="AZ20" s="23"/>
      <c r="BA20" s="21" t="s">
        <v>48</v>
      </c>
      <c r="BB20" s="23"/>
      <c r="BC20" s="23"/>
      <c r="BD20" s="23"/>
      <c r="BE20" s="23"/>
      <c r="BF20" s="23"/>
      <c r="BG20" s="23"/>
      <c r="BH20" s="23"/>
      <c r="BI20" s="23"/>
      <c r="BJ20" s="12"/>
      <c r="BK20" s="34"/>
      <c r="BL20" s="36"/>
      <c r="BM20" s="36"/>
      <c r="BN20" s="36"/>
      <c r="BO20" s="36"/>
      <c r="BP20" s="36"/>
      <c r="BQ20" s="36"/>
      <c r="BR20" s="36"/>
      <c r="BS20" s="36"/>
      <c r="BT20" s="36"/>
      <c r="BU20" s="36"/>
      <c r="BV20" s="36"/>
      <c r="BW20" s="36"/>
      <c r="BX20" s="36"/>
      <c r="BY20" s="36"/>
      <c r="BZ20" s="36"/>
      <c r="CA20" s="36"/>
      <c r="CB20" s="38"/>
      <c r="CC20" s="12"/>
      <c r="CD20" s="12"/>
      <c r="CE20" s="23"/>
      <c r="CF20" s="23"/>
      <c r="CG20" s="12"/>
      <c r="CH20" s="12"/>
      <c r="CI20" s="12"/>
      <c r="CJ20" s="12"/>
      <c r="CK20" s="12"/>
      <c r="CL20" s="12"/>
      <c r="CM20" s="12"/>
      <c r="CN20" s="12"/>
      <c r="CO20" s="12"/>
      <c r="CP20" s="12"/>
      <c r="CQ20" s="12"/>
      <c r="CR20" s="24"/>
    </row>
    <row r="21" spans="1:96" s="13" customFormat="1" ht="15" customHeight="1" x14ac:dyDescent="0.15">
      <c r="A21" s="22"/>
      <c r="B21" s="23"/>
      <c r="C21" s="34"/>
      <c r="D21" s="36"/>
      <c r="E21" s="36"/>
      <c r="F21" s="36"/>
      <c r="G21" s="36"/>
      <c r="H21" s="36"/>
      <c r="I21" s="36"/>
      <c r="J21" s="36"/>
      <c r="K21" s="36"/>
      <c r="L21" s="36"/>
      <c r="M21" s="36"/>
      <c r="N21" s="36"/>
      <c r="O21" s="36"/>
      <c r="P21" s="36"/>
      <c r="Q21" s="36"/>
      <c r="R21" s="36"/>
      <c r="S21" s="36"/>
      <c r="T21" s="38"/>
      <c r="U21" s="23"/>
      <c r="X21" s="23"/>
      <c r="Y21" s="23"/>
      <c r="Z21" s="23"/>
      <c r="AA21" s="23"/>
      <c r="AB21" s="23"/>
      <c r="AC21" s="23"/>
      <c r="AD21" s="23"/>
      <c r="AE21" s="23"/>
      <c r="AH21" s="34"/>
      <c r="AI21" s="36"/>
      <c r="AJ21" s="36"/>
      <c r="AK21" s="36"/>
      <c r="AL21" s="36"/>
      <c r="AM21" s="36"/>
      <c r="AN21" s="36"/>
      <c r="AO21" s="36"/>
      <c r="AP21" s="36"/>
      <c r="AQ21" s="36"/>
      <c r="AR21" s="36"/>
      <c r="AS21" s="36"/>
      <c r="AT21" s="36"/>
      <c r="AU21" s="36"/>
      <c r="AV21" s="36"/>
      <c r="AW21" s="36"/>
      <c r="AX21" s="36"/>
      <c r="AY21" s="38"/>
      <c r="AZ21" s="23"/>
      <c r="BA21" s="21"/>
      <c r="BB21" s="23"/>
      <c r="BC21" s="23"/>
      <c r="BD21" s="23"/>
      <c r="BE21" s="23"/>
      <c r="BF21" s="23"/>
      <c r="BG21" s="23"/>
      <c r="BH21" s="23"/>
      <c r="BI21" s="23"/>
      <c r="BJ21" s="12"/>
      <c r="BK21" s="34"/>
      <c r="BL21" s="36"/>
      <c r="BM21" s="36"/>
      <c r="BN21" s="36"/>
      <c r="BO21" s="36"/>
      <c r="BP21" s="36"/>
      <c r="BQ21" s="36"/>
      <c r="BR21" s="36"/>
      <c r="BS21" s="36"/>
      <c r="BT21" s="36"/>
      <c r="BU21" s="36"/>
      <c r="BV21" s="36"/>
      <c r="BW21" s="36"/>
      <c r="BX21" s="36"/>
      <c r="BY21" s="36"/>
      <c r="BZ21" s="36"/>
      <c r="CA21" s="36"/>
      <c r="CB21" s="38"/>
      <c r="CC21" s="12"/>
      <c r="CD21" s="12"/>
      <c r="CE21" s="23"/>
      <c r="CF21" s="23"/>
      <c r="CG21" s="12"/>
      <c r="CH21" s="12"/>
      <c r="CI21" s="12"/>
      <c r="CJ21" s="12"/>
      <c r="CK21" s="12"/>
      <c r="CL21" s="12"/>
      <c r="CM21" s="12"/>
      <c r="CN21" s="12"/>
      <c r="CO21" s="12"/>
      <c r="CP21" s="12"/>
      <c r="CQ21" s="12"/>
      <c r="CR21" s="24"/>
    </row>
    <row r="22" spans="1:96" s="13" customFormat="1" ht="15" customHeight="1" x14ac:dyDescent="0.15">
      <c r="A22" s="22"/>
      <c r="B22" s="23"/>
      <c r="C22" s="34"/>
      <c r="D22" s="36"/>
      <c r="E22" s="36"/>
      <c r="F22" s="36"/>
      <c r="G22" s="36"/>
      <c r="H22" s="36"/>
      <c r="I22" s="36"/>
      <c r="J22" s="36"/>
      <c r="K22" s="36"/>
      <c r="L22" s="36"/>
      <c r="M22" s="36"/>
      <c r="N22" s="36"/>
      <c r="O22" s="36"/>
      <c r="P22" s="36"/>
      <c r="Q22" s="36"/>
      <c r="R22" s="39"/>
      <c r="S22" s="39"/>
      <c r="T22" s="40"/>
      <c r="U22" s="12"/>
      <c r="Y22" s="12"/>
      <c r="Z22" s="12"/>
      <c r="AA22" s="12"/>
      <c r="AB22" s="12"/>
      <c r="AC22" s="12"/>
      <c r="AD22" s="12"/>
      <c r="AE22" s="23"/>
      <c r="AH22" s="34"/>
      <c r="AI22" s="36"/>
      <c r="AJ22" s="36"/>
      <c r="AK22" s="36"/>
      <c r="AL22" s="36"/>
      <c r="AM22" s="36"/>
      <c r="AN22" s="36"/>
      <c r="AO22" s="36"/>
      <c r="AP22" s="36"/>
      <c r="AQ22" s="36"/>
      <c r="AR22" s="36"/>
      <c r="AS22" s="36"/>
      <c r="AT22" s="36"/>
      <c r="AU22" s="36"/>
      <c r="AV22" s="36"/>
      <c r="AW22" s="39"/>
      <c r="AX22" s="39"/>
      <c r="AY22" s="40"/>
      <c r="AZ22" s="23"/>
      <c r="BA22" s="23"/>
      <c r="BB22" s="12"/>
      <c r="BC22" s="23"/>
      <c r="BD22" s="23"/>
      <c r="BE22" s="23"/>
      <c r="BF22" s="23"/>
      <c r="BG22" s="23"/>
      <c r="BH22" s="23"/>
      <c r="BI22" s="23"/>
      <c r="BJ22" s="12"/>
      <c r="BK22" s="34"/>
      <c r="BL22" s="36"/>
      <c r="BM22" s="36"/>
      <c r="BN22" s="36"/>
      <c r="BO22" s="36"/>
      <c r="BP22" s="36"/>
      <c r="BQ22" s="36"/>
      <c r="BR22" s="36"/>
      <c r="BS22" s="36"/>
      <c r="BT22" s="36"/>
      <c r="BU22" s="36"/>
      <c r="BV22" s="36"/>
      <c r="BW22" s="36"/>
      <c r="BX22" s="36"/>
      <c r="BY22" s="36"/>
      <c r="BZ22" s="39"/>
      <c r="CA22" s="39"/>
      <c r="CB22" s="40"/>
      <c r="CC22" s="12"/>
      <c r="CD22" s="12"/>
      <c r="CE22" s="23"/>
      <c r="CF22" s="23"/>
      <c r="CG22" s="23"/>
      <c r="CH22" s="23"/>
      <c r="CI22" s="23"/>
      <c r="CJ22" s="23"/>
      <c r="CK22" s="23"/>
      <c r="CL22" s="23"/>
      <c r="CM22" s="23"/>
      <c r="CN22" s="23"/>
      <c r="CO22" s="23"/>
      <c r="CP22" s="23"/>
      <c r="CQ22" s="23"/>
      <c r="CR22" s="24"/>
    </row>
    <row r="23" spans="1:96" s="13" customFormat="1" ht="15" customHeight="1" x14ac:dyDescent="0.15">
      <c r="A23" s="22"/>
      <c r="B23" s="23"/>
      <c r="C23" s="41"/>
      <c r="D23" s="42"/>
      <c r="E23" s="42"/>
      <c r="F23" s="42"/>
      <c r="G23" s="43"/>
      <c r="H23" s="42"/>
      <c r="I23" s="42"/>
      <c r="J23" s="42"/>
      <c r="K23" s="42"/>
      <c r="L23" s="42"/>
      <c r="M23" s="42"/>
      <c r="N23" s="42"/>
      <c r="O23" s="42"/>
      <c r="P23" s="42"/>
      <c r="Q23" s="42"/>
      <c r="R23" s="44"/>
      <c r="S23" s="44"/>
      <c r="T23" s="45"/>
      <c r="U23" s="12"/>
      <c r="V23" s="12"/>
      <c r="W23" s="12"/>
      <c r="X23" s="12"/>
      <c r="Y23" s="12"/>
      <c r="Z23" s="12"/>
      <c r="AA23" s="12"/>
      <c r="AB23" s="12"/>
      <c r="AC23" s="12"/>
      <c r="AD23" s="12"/>
      <c r="AE23" s="23"/>
      <c r="AH23" s="41"/>
      <c r="AI23" s="42"/>
      <c r="AJ23" s="42"/>
      <c r="AK23" s="42"/>
      <c r="AL23" s="43"/>
      <c r="AM23" s="42"/>
      <c r="AN23" s="42"/>
      <c r="AO23" s="42"/>
      <c r="AP23" s="42"/>
      <c r="AQ23" s="42"/>
      <c r="AR23" s="42"/>
      <c r="AS23" s="42"/>
      <c r="AT23" s="42"/>
      <c r="AU23" s="42"/>
      <c r="AV23" s="42"/>
      <c r="AW23" s="44"/>
      <c r="AX23" s="44"/>
      <c r="AY23" s="45"/>
      <c r="AZ23" s="23"/>
      <c r="BA23" s="23"/>
      <c r="BB23" s="23"/>
      <c r="BC23" s="23"/>
      <c r="BD23" s="23"/>
      <c r="BE23" s="23"/>
      <c r="BF23" s="23"/>
      <c r="BG23" s="23"/>
      <c r="BH23" s="23"/>
      <c r="BI23" s="23"/>
      <c r="BJ23" s="12"/>
      <c r="BK23" s="41"/>
      <c r="BL23" s="42"/>
      <c r="BM23" s="42"/>
      <c r="BN23" s="42"/>
      <c r="BO23" s="43"/>
      <c r="BP23" s="42"/>
      <c r="BQ23" s="42"/>
      <c r="BR23" s="42"/>
      <c r="BS23" s="42"/>
      <c r="BT23" s="42"/>
      <c r="BU23" s="42"/>
      <c r="BV23" s="42"/>
      <c r="BW23" s="42"/>
      <c r="BX23" s="42"/>
      <c r="BY23" s="42"/>
      <c r="BZ23" s="44"/>
      <c r="CA23" s="44"/>
      <c r="CB23" s="45"/>
      <c r="CC23" s="12"/>
      <c r="CD23" s="12"/>
      <c r="CE23" s="23"/>
      <c r="CF23" s="23"/>
      <c r="CG23" s="23"/>
      <c r="CH23" s="23"/>
      <c r="CI23" s="23"/>
      <c r="CJ23" s="23"/>
      <c r="CK23" s="23"/>
      <c r="CL23" s="23"/>
      <c r="CM23" s="23"/>
      <c r="CN23" s="23"/>
      <c r="CO23" s="23"/>
      <c r="CP23" s="23"/>
      <c r="CQ23" s="23"/>
      <c r="CR23" s="24"/>
    </row>
    <row r="24" spans="1:96" s="13" customFormat="1" ht="15" customHeight="1" x14ac:dyDescent="0.15">
      <c r="A24" s="22"/>
      <c r="B24" s="23"/>
      <c r="C24" s="23"/>
      <c r="D24" s="23"/>
      <c r="E24" s="23"/>
      <c r="F24" s="23"/>
      <c r="G24" s="23"/>
      <c r="H24" s="23"/>
      <c r="I24" s="23"/>
      <c r="J24" s="23"/>
      <c r="K24" s="23"/>
      <c r="L24" s="23"/>
      <c r="M24" s="23"/>
      <c r="N24" s="23"/>
      <c r="O24" s="23"/>
      <c r="P24" s="23"/>
      <c r="Q24" s="23"/>
      <c r="R24" s="12"/>
      <c r="S24" s="12"/>
      <c r="T24" s="12"/>
      <c r="U24" s="12"/>
      <c r="V24" s="12"/>
      <c r="W24" s="12"/>
      <c r="X24" s="12"/>
      <c r="Y24" s="12"/>
      <c r="Z24" s="12"/>
      <c r="AA24" s="12"/>
      <c r="AB24" s="12"/>
      <c r="AC24" s="12"/>
      <c r="AD24" s="12"/>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1"/>
      <c r="BC24" s="23"/>
      <c r="BD24" s="23"/>
      <c r="BE24" s="23"/>
      <c r="BF24" s="23"/>
      <c r="BG24" s="23"/>
      <c r="BH24" s="23"/>
      <c r="BI24" s="23"/>
      <c r="BJ24" s="12"/>
      <c r="BK24" s="12"/>
      <c r="BL24" s="12"/>
      <c r="BM24" s="12"/>
      <c r="BN24" s="12"/>
      <c r="BO24" s="12"/>
      <c r="BP24" s="12"/>
      <c r="BQ24" s="12"/>
      <c r="BR24" s="12"/>
      <c r="BS24" s="12"/>
      <c r="BT24" s="12"/>
      <c r="BU24" s="12"/>
      <c r="BV24" s="12"/>
      <c r="BW24" s="12"/>
      <c r="BX24" s="12"/>
      <c r="BY24" s="12"/>
      <c r="BZ24" s="12"/>
      <c r="CA24" s="12"/>
      <c r="CB24" s="12"/>
      <c r="CC24" s="12"/>
      <c r="CD24" s="12"/>
      <c r="CE24" s="23"/>
      <c r="CF24" s="23"/>
      <c r="CG24" s="23"/>
      <c r="CH24" s="23"/>
      <c r="CI24" s="23"/>
      <c r="CJ24" s="23"/>
      <c r="CK24" s="23"/>
      <c r="CL24" s="23"/>
      <c r="CM24" s="23"/>
      <c r="CN24" s="23"/>
      <c r="CO24" s="23"/>
      <c r="CP24" s="23"/>
      <c r="CQ24" s="23"/>
      <c r="CR24" s="24"/>
    </row>
    <row r="25" spans="1:96" s="13" customFormat="1" ht="15" customHeight="1" x14ac:dyDescent="0.15">
      <c r="A25" s="22"/>
      <c r="B25" s="23"/>
      <c r="C25" s="23"/>
      <c r="D25" s="23"/>
      <c r="E25" s="23"/>
      <c r="F25" s="23"/>
      <c r="G25" s="23"/>
      <c r="H25" s="23"/>
      <c r="I25" s="23"/>
      <c r="J25" s="23"/>
      <c r="K25" s="23"/>
      <c r="L25" s="23"/>
      <c r="M25" s="23"/>
      <c r="N25" s="12"/>
      <c r="O25" s="12"/>
      <c r="P25" s="21" t="s">
        <v>85</v>
      </c>
      <c r="Q25" s="12"/>
      <c r="U25" s="12"/>
      <c r="V25" s="12"/>
      <c r="W25" s="12"/>
      <c r="X25" s="12"/>
      <c r="Y25" s="12"/>
      <c r="Z25" s="12"/>
      <c r="AA25" s="12"/>
      <c r="AB25" s="12"/>
      <c r="AC25" s="12"/>
      <c r="AD25" s="12"/>
      <c r="AE25" s="12"/>
      <c r="AF25" s="12"/>
      <c r="AG25" s="12"/>
      <c r="AH25" s="12"/>
      <c r="AI25" s="12"/>
      <c r="AJ25" s="12"/>
      <c r="AK25" s="21" t="s">
        <v>88</v>
      </c>
      <c r="AL25" s="12"/>
      <c r="AM25" s="12"/>
      <c r="AN25" s="12"/>
      <c r="AO25" s="12"/>
      <c r="AP25" s="12"/>
      <c r="AQ25" s="12"/>
      <c r="AR25" s="12"/>
      <c r="AS25" s="12"/>
      <c r="AT25" s="12"/>
      <c r="AU25" s="12"/>
      <c r="AV25" s="12"/>
      <c r="AW25" s="12"/>
      <c r="AX25" s="12"/>
      <c r="AY25" s="12"/>
      <c r="AZ25" s="12"/>
      <c r="BA25" s="12"/>
      <c r="BB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21"/>
      <c r="CE25" s="23"/>
      <c r="CF25" s="23"/>
      <c r="CG25" s="23"/>
      <c r="CH25" s="23"/>
      <c r="CI25" s="23"/>
      <c r="CJ25" s="23"/>
      <c r="CK25" s="23"/>
      <c r="CL25" s="23"/>
      <c r="CM25" s="23"/>
      <c r="CN25" s="23"/>
      <c r="CO25" s="23"/>
      <c r="CP25" s="23"/>
      <c r="CQ25" s="23"/>
      <c r="CR25" s="24"/>
    </row>
    <row r="26" spans="1:96" s="13" customFormat="1" ht="15" customHeight="1" x14ac:dyDescent="0.15">
      <c r="A26" s="22"/>
      <c r="B26" s="23"/>
      <c r="C26" s="23"/>
      <c r="D26" s="23"/>
      <c r="E26" s="23"/>
      <c r="F26" s="23"/>
      <c r="G26" s="23"/>
      <c r="H26" s="23"/>
      <c r="I26" s="23"/>
      <c r="J26" s="23"/>
      <c r="K26" s="23"/>
      <c r="L26" s="23"/>
      <c r="M26" s="23"/>
      <c r="N26" s="12"/>
      <c r="O26" s="12"/>
      <c r="Q26" s="68" t="s">
        <v>86</v>
      </c>
      <c r="R26" s="64"/>
      <c r="S26" s="69"/>
      <c r="T26" s="64"/>
      <c r="U26" s="69"/>
      <c r="V26" s="69"/>
      <c r="W26" s="69"/>
      <c r="X26" s="69"/>
      <c r="Y26" s="64"/>
      <c r="Z26" s="64"/>
      <c r="AA26" s="64"/>
      <c r="AB26" s="64"/>
      <c r="AC26" s="64"/>
      <c r="AD26" s="64"/>
      <c r="AE26" s="65"/>
      <c r="AF26" s="12"/>
      <c r="AG26" s="12"/>
      <c r="AH26" s="12"/>
      <c r="AI26" s="12"/>
      <c r="AJ26" s="12"/>
      <c r="AK26" s="21" t="s">
        <v>89</v>
      </c>
      <c r="AL26" s="12"/>
      <c r="AM26" s="12"/>
      <c r="AN26" s="12"/>
      <c r="AO26" s="12"/>
      <c r="AP26" s="12"/>
      <c r="AQ26" s="12"/>
      <c r="AR26" s="12"/>
      <c r="AS26" s="12"/>
      <c r="AT26" s="12"/>
      <c r="AU26" s="12"/>
      <c r="AV26" s="12"/>
      <c r="AW26" s="12"/>
      <c r="AX26" s="12"/>
      <c r="AY26" s="12"/>
      <c r="AZ26" s="12"/>
      <c r="BA26" s="12"/>
      <c r="BC26" s="21" t="s">
        <v>78</v>
      </c>
      <c r="BD26" s="12"/>
      <c r="BE26" s="12"/>
      <c r="BF26" s="12"/>
      <c r="BG26" s="12"/>
      <c r="BH26" s="12"/>
      <c r="BI26" s="12"/>
      <c r="BJ26" s="12"/>
      <c r="BK26" s="12"/>
      <c r="BL26" s="12"/>
      <c r="BM26" s="12"/>
      <c r="BN26" s="12"/>
      <c r="BO26" s="12"/>
      <c r="BP26" s="12"/>
      <c r="BR26" s="12"/>
      <c r="BS26" s="12"/>
      <c r="BT26" s="12"/>
      <c r="BU26" s="12"/>
      <c r="BV26" s="12"/>
      <c r="BW26" s="12"/>
      <c r="BX26" s="12"/>
      <c r="BY26" s="12"/>
      <c r="BZ26" s="12"/>
      <c r="CA26" s="12"/>
      <c r="CB26" s="12"/>
      <c r="CC26" s="12"/>
      <c r="CD26" s="12"/>
      <c r="CE26" s="23"/>
      <c r="CF26" s="23"/>
      <c r="CG26" s="23"/>
      <c r="CH26" s="23"/>
      <c r="CI26" s="23"/>
      <c r="CJ26" s="23"/>
      <c r="CK26" s="23"/>
      <c r="CL26" s="23"/>
      <c r="CM26" s="23"/>
      <c r="CN26" s="23"/>
      <c r="CO26" s="23"/>
      <c r="CP26" s="23"/>
      <c r="CQ26" s="23"/>
      <c r="CR26" s="24"/>
    </row>
    <row r="27" spans="1:96" s="13" customFormat="1" ht="15" customHeight="1" x14ac:dyDescent="0.15">
      <c r="A27" s="22"/>
      <c r="B27" s="23"/>
      <c r="C27" s="23"/>
      <c r="D27" s="23"/>
      <c r="E27" s="23"/>
      <c r="F27" s="23"/>
      <c r="G27" s="23"/>
      <c r="H27" s="23"/>
      <c r="I27" s="23"/>
      <c r="J27" s="23"/>
      <c r="K27" s="23"/>
      <c r="L27" s="23"/>
      <c r="M27" s="23"/>
      <c r="N27" s="12"/>
      <c r="O27" s="12"/>
      <c r="P27" s="12"/>
      <c r="Q27" s="66"/>
      <c r="R27" s="39"/>
      <c r="S27" s="39"/>
      <c r="T27" s="39"/>
      <c r="U27" s="39"/>
      <c r="V27" s="92"/>
      <c r="W27" s="92"/>
      <c r="X27" s="39"/>
      <c r="Y27" s="39"/>
      <c r="Z27" s="39"/>
      <c r="AA27" s="39"/>
      <c r="AB27" s="39"/>
      <c r="AC27" s="39"/>
      <c r="AD27" s="39"/>
      <c r="AE27" s="40"/>
      <c r="AF27" s="12"/>
      <c r="AH27" s="68" t="s">
        <v>90</v>
      </c>
      <c r="AI27" s="69"/>
      <c r="AJ27" s="64"/>
      <c r="AK27" s="64"/>
      <c r="AL27" s="64"/>
      <c r="AM27" s="64"/>
      <c r="AN27" s="64"/>
      <c r="AO27" s="64"/>
      <c r="AP27" s="65"/>
      <c r="AR27" s="12"/>
      <c r="AS27" s="21" t="s">
        <v>52</v>
      </c>
      <c r="AT27" s="12"/>
      <c r="AU27" s="12"/>
      <c r="AW27" s="12"/>
      <c r="AX27" s="12"/>
      <c r="AY27" s="12"/>
      <c r="AZ27" s="12"/>
      <c r="BA27" s="12"/>
      <c r="BB27" s="12"/>
      <c r="BC27" s="12"/>
      <c r="BE27" s="12"/>
      <c r="BF27" s="12"/>
      <c r="BG27" s="12"/>
      <c r="BH27" s="12"/>
      <c r="BI27" s="12"/>
      <c r="BK27" s="12"/>
      <c r="BL27" s="12"/>
      <c r="BM27" s="12"/>
      <c r="BN27" s="12"/>
      <c r="BO27" s="12"/>
      <c r="BP27" s="12"/>
      <c r="BQ27" s="12"/>
      <c r="BR27" s="12"/>
      <c r="BT27" s="21"/>
      <c r="BU27" s="12"/>
      <c r="BV27" s="12"/>
      <c r="BW27" s="12"/>
      <c r="CQ27" s="23"/>
      <c r="CR27" s="24"/>
    </row>
    <row r="28" spans="1:96" s="13" customFormat="1" ht="15" customHeight="1" x14ac:dyDescent="0.15">
      <c r="A28" s="22"/>
      <c r="B28" s="23"/>
      <c r="C28" s="23"/>
      <c r="D28" s="23"/>
      <c r="E28" s="23"/>
      <c r="F28" s="23"/>
      <c r="G28" s="23"/>
      <c r="H28" s="23"/>
      <c r="I28" s="23"/>
      <c r="J28" s="23"/>
      <c r="K28" s="23"/>
      <c r="L28" s="23"/>
      <c r="M28" s="23"/>
      <c r="N28" s="12"/>
      <c r="O28" s="12"/>
      <c r="P28" s="12"/>
      <c r="Q28" s="66"/>
      <c r="R28" s="39"/>
      <c r="S28" s="39"/>
      <c r="T28" s="39"/>
      <c r="U28" s="39"/>
      <c r="V28" s="92"/>
      <c r="W28" s="92"/>
      <c r="X28" s="39"/>
      <c r="Y28" s="39"/>
      <c r="Z28" s="39"/>
      <c r="AA28" s="39"/>
      <c r="AB28" s="39"/>
      <c r="AC28" s="39"/>
      <c r="AD28" s="39"/>
      <c r="AE28" s="40"/>
      <c r="AF28" s="12"/>
      <c r="AG28" s="12"/>
      <c r="AH28" s="66"/>
      <c r="AI28" s="39"/>
      <c r="AJ28" s="39"/>
      <c r="AK28" s="39"/>
      <c r="AL28" s="39"/>
      <c r="AM28" s="39"/>
      <c r="AN28" s="39"/>
      <c r="AO28" s="39"/>
      <c r="AP28" s="40"/>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Q28" s="23"/>
      <c r="CR28" s="24"/>
    </row>
    <row r="29" spans="1:96" s="13" customFormat="1" ht="15" customHeight="1" x14ac:dyDescent="0.15">
      <c r="A29" s="22"/>
      <c r="B29" s="23"/>
      <c r="C29" s="23"/>
      <c r="D29" s="23"/>
      <c r="E29" s="23"/>
      <c r="F29" s="23"/>
      <c r="G29" s="23"/>
      <c r="H29" s="23"/>
      <c r="I29" s="23"/>
      <c r="J29" s="23"/>
      <c r="K29" s="23"/>
      <c r="L29" s="23"/>
      <c r="M29" s="23"/>
      <c r="N29" s="12"/>
      <c r="O29" s="12"/>
      <c r="P29" s="12"/>
      <c r="Q29" s="66"/>
      <c r="R29" s="39"/>
      <c r="S29" s="39"/>
      <c r="T29" s="39"/>
      <c r="U29" s="39"/>
      <c r="V29" s="92"/>
      <c r="W29" s="92"/>
      <c r="X29" s="39"/>
      <c r="Y29" s="39"/>
      <c r="Z29" s="39"/>
      <c r="AA29" s="39"/>
      <c r="AB29" s="39"/>
      <c r="AC29" s="39"/>
      <c r="AD29" s="39"/>
      <c r="AE29" s="40"/>
      <c r="AF29" s="12"/>
      <c r="AG29" s="12"/>
      <c r="AH29" s="66"/>
      <c r="AI29" s="39"/>
      <c r="AJ29" s="39"/>
      <c r="AK29" s="39"/>
      <c r="AL29" s="39"/>
      <c r="AM29" s="39"/>
      <c r="AN29" s="39"/>
      <c r="AO29" s="39"/>
      <c r="AP29" s="40"/>
      <c r="AV29" s="31" t="s">
        <v>102</v>
      </c>
      <c r="AW29" s="32"/>
      <c r="AX29" s="32"/>
      <c r="AY29" s="32"/>
      <c r="AZ29" s="32"/>
      <c r="BA29" s="32"/>
      <c r="BB29" s="32"/>
      <c r="BC29" s="32"/>
      <c r="BD29" s="32"/>
      <c r="BE29" s="32"/>
      <c r="BF29" s="32"/>
      <c r="BG29" s="32"/>
      <c r="BH29" s="32"/>
      <c r="BI29" s="32"/>
      <c r="BJ29" s="32"/>
      <c r="BK29" s="32"/>
      <c r="BL29" s="32"/>
      <c r="BM29" s="33"/>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Q29" s="12"/>
      <c r="CR29" s="24"/>
    </row>
    <row r="30" spans="1:96" s="13" customFormat="1" ht="15" customHeight="1" x14ac:dyDescent="0.15">
      <c r="A30" s="22"/>
      <c r="B30" s="23"/>
      <c r="C30" s="23"/>
      <c r="D30" s="23"/>
      <c r="E30" s="23"/>
      <c r="F30" s="23"/>
      <c r="G30" s="23"/>
      <c r="H30" s="23"/>
      <c r="I30" s="23"/>
      <c r="J30" s="23"/>
      <c r="K30" s="23"/>
      <c r="L30" s="23"/>
      <c r="M30" s="23"/>
      <c r="N30" s="12"/>
      <c r="O30" s="12"/>
      <c r="P30" s="12"/>
      <c r="Q30" s="66"/>
      <c r="R30" s="39"/>
      <c r="S30" s="39"/>
      <c r="T30" s="39"/>
      <c r="U30" s="39"/>
      <c r="V30" s="92"/>
      <c r="W30" s="92"/>
      <c r="X30" s="39"/>
      <c r="Y30" s="39"/>
      <c r="Z30" s="39"/>
      <c r="AA30" s="39"/>
      <c r="AB30" s="39"/>
      <c r="AC30" s="39"/>
      <c r="AD30" s="39"/>
      <c r="AE30" s="40"/>
      <c r="AF30" s="12"/>
      <c r="AG30" s="12"/>
      <c r="AH30" s="66"/>
      <c r="AI30" s="39"/>
      <c r="AJ30" s="39"/>
      <c r="AK30" s="39"/>
      <c r="AL30" s="39"/>
      <c r="AM30" s="39"/>
      <c r="AN30" s="39"/>
      <c r="AO30" s="39"/>
      <c r="AP30" s="40"/>
      <c r="AV30" s="34"/>
      <c r="AW30" s="35" t="s">
        <v>91</v>
      </c>
      <c r="AX30" s="36"/>
      <c r="AY30" s="36"/>
      <c r="AZ30" s="36"/>
      <c r="BA30" s="36"/>
      <c r="BB30" s="36"/>
      <c r="BC30" s="36"/>
      <c r="BD30" s="36"/>
      <c r="BE30" s="36"/>
      <c r="BF30" s="36"/>
      <c r="BG30" s="36"/>
      <c r="BH30" s="36"/>
      <c r="BI30" s="36"/>
      <c r="BJ30" s="36"/>
      <c r="BK30" s="37"/>
      <c r="BL30" s="36"/>
      <c r="BM30" s="38"/>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Q30" s="12"/>
      <c r="CR30" s="24"/>
    </row>
    <row r="31" spans="1:96" s="13" customFormat="1" ht="15" customHeight="1" x14ac:dyDescent="0.15">
      <c r="A31" s="22"/>
      <c r="B31" s="23"/>
      <c r="C31" s="23"/>
      <c r="D31" s="23"/>
      <c r="E31" s="23"/>
      <c r="F31" s="23"/>
      <c r="G31" s="23"/>
      <c r="H31" s="23"/>
      <c r="I31" s="23"/>
      <c r="J31" s="23"/>
      <c r="K31" s="23"/>
      <c r="L31" s="23"/>
      <c r="M31" s="23"/>
      <c r="N31" s="12"/>
      <c r="O31" s="12"/>
      <c r="P31" s="12"/>
      <c r="Q31" s="67"/>
      <c r="R31" s="44"/>
      <c r="S31" s="44"/>
      <c r="T31" s="44"/>
      <c r="U31" s="44"/>
      <c r="V31" s="93"/>
      <c r="W31" s="93"/>
      <c r="X31" s="44"/>
      <c r="Y31" s="44"/>
      <c r="Z31" s="44"/>
      <c r="AA31" s="44"/>
      <c r="AB31" s="44"/>
      <c r="AC31" s="44"/>
      <c r="AD31" s="44"/>
      <c r="AE31" s="45"/>
      <c r="AF31" s="12"/>
      <c r="AG31" s="12"/>
      <c r="AH31" s="66"/>
      <c r="AI31" s="39"/>
      <c r="AJ31" s="39"/>
      <c r="AK31" s="39"/>
      <c r="AL31" s="39"/>
      <c r="AM31" s="39"/>
      <c r="AN31" s="39"/>
      <c r="AO31" s="39"/>
      <c r="AP31" s="40"/>
      <c r="AV31" s="34"/>
      <c r="AW31" s="36"/>
      <c r="AX31" s="36"/>
      <c r="AY31" s="36"/>
      <c r="AZ31" s="36"/>
      <c r="BA31" s="36"/>
      <c r="BB31" s="36"/>
      <c r="BC31" s="36"/>
      <c r="BD31" s="36"/>
      <c r="BE31" s="36"/>
      <c r="BF31" s="36"/>
      <c r="BG31" s="36"/>
      <c r="BH31" s="36"/>
      <c r="BI31" s="36"/>
      <c r="BJ31" s="39"/>
      <c r="BK31" s="37"/>
      <c r="BL31" s="36"/>
      <c r="BM31" s="38"/>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Q31" s="23"/>
      <c r="CR31" s="24"/>
    </row>
    <row r="32" spans="1:96" s="13" customFormat="1" ht="15" customHeight="1" x14ac:dyDescent="0.15">
      <c r="A32" s="22"/>
      <c r="B32" s="23"/>
      <c r="C32" s="23"/>
      <c r="D32" s="23"/>
      <c r="E32" s="23"/>
      <c r="F32" s="23"/>
      <c r="G32" s="23"/>
      <c r="H32" s="23"/>
      <c r="I32" s="23"/>
      <c r="J32" s="23"/>
      <c r="K32" s="23"/>
      <c r="L32" s="23"/>
      <c r="M32" s="23"/>
      <c r="N32" s="12"/>
      <c r="O32" s="12"/>
      <c r="P32" s="12"/>
      <c r="Q32" s="12"/>
      <c r="R32" s="12"/>
      <c r="S32" s="12"/>
      <c r="T32" s="12"/>
      <c r="U32" s="12"/>
      <c r="V32" s="12"/>
      <c r="W32" s="12"/>
      <c r="X32" s="12"/>
      <c r="Y32" s="12"/>
      <c r="Z32" s="12"/>
      <c r="AA32" s="12"/>
      <c r="AB32" s="12"/>
      <c r="AC32" s="12"/>
      <c r="AD32" s="12"/>
      <c r="AE32" s="12"/>
      <c r="AF32" s="12"/>
      <c r="AG32" s="12"/>
      <c r="AH32" s="67"/>
      <c r="AI32" s="44"/>
      <c r="AJ32" s="44"/>
      <c r="AK32" s="44"/>
      <c r="AL32" s="44"/>
      <c r="AM32" s="44"/>
      <c r="AN32" s="44"/>
      <c r="AO32" s="44"/>
      <c r="AP32" s="45"/>
      <c r="AV32" s="34"/>
      <c r="AW32" s="36"/>
      <c r="AX32" s="36"/>
      <c r="AY32" s="36"/>
      <c r="AZ32" s="36"/>
      <c r="BA32" s="36"/>
      <c r="BB32" s="36"/>
      <c r="BC32" s="36"/>
      <c r="BD32" s="36"/>
      <c r="BE32" s="36"/>
      <c r="BF32" s="36"/>
      <c r="BG32" s="36"/>
      <c r="BH32" s="36"/>
      <c r="BI32" s="36"/>
      <c r="BJ32" s="36"/>
      <c r="BK32" s="36"/>
      <c r="BL32" s="36"/>
      <c r="BM32" s="38"/>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Q32" s="23"/>
      <c r="CR32" s="24"/>
    </row>
    <row r="33" spans="1:96" s="13" customFormat="1" ht="15" customHeight="1" x14ac:dyDescent="0.15">
      <c r="A33" s="22"/>
      <c r="B33" s="23"/>
      <c r="C33" s="23"/>
      <c r="D33" s="23"/>
      <c r="E33" s="23"/>
      <c r="F33" s="23"/>
      <c r="G33" s="23"/>
      <c r="H33" s="23"/>
      <c r="I33" s="23"/>
      <c r="J33" s="23"/>
      <c r="K33" s="23"/>
      <c r="L33" s="23"/>
      <c r="M33" s="23"/>
      <c r="N33" s="12"/>
      <c r="O33" s="12"/>
      <c r="P33" s="12"/>
      <c r="Q33" s="12"/>
      <c r="R33" s="12"/>
      <c r="S33" s="21"/>
      <c r="T33" s="12"/>
      <c r="U33" s="12"/>
      <c r="V33" s="12"/>
      <c r="W33" s="12"/>
      <c r="X33" s="12"/>
      <c r="Y33" s="12"/>
      <c r="Z33" s="12"/>
      <c r="AA33" s="12"/>
      <c r="AB33" s="12"/>
      <c r="AC33" s="12"/>
      <c r="AD33" s="12"/>
      <c r="AE33" s="12"/>
      <c r="AF33" s="12"/>
      <c r="AG33" s="12"/>
      <c r="AV33" s="34"/>
      <c r="AW33" s="36"/>
      <c r="AX33" s="36"/>
      <c r="AY33" s="36"/>
      <c r="AZ33" s="36"/>
      <c r="BA33" s="36"/>
      <c r="BB33" s="36"/>
      <c r="BC33" s="36"/>
      <c r="BD33" s="36"/>
      <c r="BE33" s="36"/>
      <c r="BF33" s="36"/>
      <c r="BG33" s="36"/>
      <c r="BH33" s="36"/>
      <c r="BI33" s="36"/>
      <c r="BJ33" s="36"/>
      <c r="BK33" s="36"/>
      <c r="BL33" s="36"/>
      <c r="BM33" s="38"/>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Q33" s="23"/>
      <c r="CR33" s="24"/>
    </row>
    <row r="34" spans="1:96" s="13" customFormat="1" ht="15" customHeight="1" x14ac:dyDescent="0.15">
      <c r="A34" s="22"/>
      <c r="B34" s="23"/>
      <c r="C34" s="23"/>
      <c r="D34" s="23"/>
      <c r="E34" s="23"/>
      <c r="F34" s="23"/>
      <c r="G34" s="23"/>
      <c r="H34" s="23"/>
      <c r="I34" s="23"/>
      <c r="J34" s="23"/>
      <c r="K34" s="23"/>
      <c r="L34" s="23"/>
      <c r="M34" s="23"/>
      <c r="N34" s="12"/>
      <c r="O34" s="12"/>
      <c r="P34" s="12"/>
      <c r="Q34" s="12"/>
      <c r="R34" s="12"/>
      <c r="S34" s="12"/>
      <c r="T34" s="12"/>
      <c r="U34" s="12"/>
      <c r="V34" s="12"/>
      <c r="W34" s="12"/>
      <c r="X34" s="12"/>
      <c r="Y34" s="12"/>
      <c r="Z34" s="12"/>
      <c r="AA34" s="12"/>
      <c r="AB34" s="12"/>
      <c r="AC34" s="12"/>
      <c r="AD34" s="12"/>
      <c r="AE34" s="12"/>
      <c r="AF34" s="12"/>
      <c r="AG34" s="12"/>
      <c r="AV34" s="34"/>
      <c r="AW34" s="36"/>
      <c r="AX34" s="36"/>
      <c r="AY34" s="36"/>
      <c r="AZ34" s="36"/>
      <c r="BA34" s="36"/>
      <c r="BB34" s="36"/>
      <c r="BC34" s="36"/>
      <c r="BD34" s="36"/>
      <c r="BE34" s="36"/>
      <c r="BF34" s="36"/>
      <c r="BG34" s="36"/>
      <c r="BH34" s="36"/>
      <c r="BI34" s="36"/>
      <c r="BJ34" s="36"/>
      <c r="BK34" s="36"/>
      <c r="BL34" s="36"/>
      <c r="BM34" s="38"/>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Q34" s="23"/>
      <c r="CR34" s="24"/>
    </row>
    <row r="35" spans="1:96" s="13" customFormat="1" ht="15" customHeight="1" x14ac:dyDescent="0.15">
      <c r="A35" s="22"/>
      <c r="B35" s="23"/>
      <c r="C35" s="23"/>
      <c r="D35" s="23"/>
      <c r="E35" s="23"/>
      <c r="F35" s="23"/>
      <c r="G35" s="23"/>
      <c r="H35" s="23"/>
      <c r="I35" s="23"/>
      <c r="J35" s="23"/>
      <c r="K35" s="23"/>
      <c r="L35" s="23"/>
      <c r="M35" s="23"/>
      <c r="N35" s="12"/>
      <c r="O35" s="12"/>
      <c r="P35" s="12"/>
      <c r="Q35" s="12"/>
      <c r="R35" s="12"/>
      <c r="S35" s="12"/>
      <c r="T35" s="12"/>
      <c r="U35" s="12"/>
      <c r="V35" s="12"/>
      <c r="W35" s="12"/>
      <c r="X35" s="12"/>
      <c r="Y35" s="12"/>
      <c r="Z35" s="12"/>
      <c r="AA35" s="12"/>
      <c r="AB35" s="12"/>
      <c r="AC35" s="12"/>
      <c r="AD35" s="12"/>
      <c r="AE35" s="12"/>
      <c r="AF35" s="12"/>
      <c r="AG35" s="12"/>
      <c r="AV35" s="34"/>
      <c r="AW35" s="36"/>
      <c r="AX35" s="36"/>
      <c r="AY35" s="36"/>
      <c r="AZ35" s="36"/>
      <c r="BA35" s="36"/>
      <c r="BB35" s="36"/>
      <c r="BC35" s="36"/>
      <c r="BD35" s="36"/>
      <c r="BE35" s="36"/>
      <c r="BF35" s="36"/>
      <c r="BG35" s="36"/>
      <c r="BH35" s="36"/>
      <c r="BI35" s="36"/>
      <c r="BJ35" s="36"/>
      <c r="BK35" s="36"/>
      <c r="BL35" s="36"/>
      <c r="BM35" s="38"/>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Q35" s="23"/>
      <c r="CR35" s="24"/>
    </row>
    <row r="36" spans="1:96" s="13" customFormat="1" ht="15" customHeight="1" x14ac:dyDescent="0.15">
      <c r="A36" s="22"/>
      <c r="B36" s="23"/>
      <c r="C36" s="23"/>
      <c r="D36" s="23"/>
      <c r="E36" s="23"/>
      <c r="F36" s="23"/>
      <c r="G36" s="23"/>
      <c r="H36" s="23"/>
      <c r="I36" s="23"/>
      <c r="J36" s="23"/>
      <c r="K36" s="23"/>
      <c r="L36" s="23"/>
      <c r="M36" s="23"/>
      <c r="N36" s="12"/>
      <c r="O36" s="12"/>
      <c r="P36" s="12"/>
      <c r="Q36" s="12"/>
      <c r="R36" s="12"/>
      <c r="S36" s="12"/>
      <c r="T36" s="12"/>
      <c r="U36" s="12"/>
      <c r="V36" s="12"/>
      <c r="W36" s="12"/>
      <c r="X36" s="12"/>
      <c r="Y36" s="12"/>
      <c r="Z36" s="12"/>
      <c r="AA36" s="12"/>
      <c r="AB36" s="12"/>
      <c r="AC36" s="12"/>
      <c r="AD36" s="12"/>
      <c r="AE36" s="12"/>
      <c r="AF36" s="12"/>
      <c r="AG36" s="12"/>
      <c r="AV36" s="34"/>
      <c r="AW36" s="36"/>
      <c r="AX36" s="36"/>
      <c r="AY36" s="36"/>
      <c r="AZ36" s="36"/>
      <c r="BA36" s="36"/>
      <c r="BB36" s="36"/>
      <c r="BC36" s="36"/>
      <c r="BD36" s="36"/>
      <c r="BE36" s="36"/>
      <c r="BF36" s="36"/>
      <c r="BG36" s="36"/>
      <c r="BH36" s="36"/>
      <c r="BI36" s="36"/>
      <c r="BJ36" s="36"/>
      <c r="BK36" s="36"/>
      <c r="BL36" s="36"/>
      <c r="BM36" s="38"/>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Q36" s="23"/>
      <c r="CR36" s="24"/>
    </row>
    <row r="37" spans="1:96" s="13" customFormat="1" ht="15" customHeight="1" x14ac:dyDescent="0.15">
      <c r="A37" s="22"/>
      <c r="B37" s="23"/>
      <c r="C37" s="23"/>
      <c r="D37" s="23"/>
      <c r="E37" s="23"/>
      <c r="F37" s="23"/>
      <c r="G37" s="23"/>
      <c r="H37" s="23"/>
      <c r="I37" s="23"/>
      <c r="J37" s="23"/>
      <c r="K37" s="23"/>
      <c r="L37" s="23"/>
      <c r="M37" s="23"/>
      <c r="N37" s="12"/>
      <c r="O37" s="12"/>
      <c r="P37" s="12"/>
      <c r="Q37" s="12"/>
      <c r="R37" s="12"/>
      <c r="S37" s="12"/>
      <c r="T37" s="12"/>
      <c r="U37" s="12"/>
      <c r="V37" s="12"/>
      <c r="W37" s="12"/>
      <c r="X37" s="12"/>
      <c r="Y37" s="12"/>
      <c r="Z37" s="12"/>
      <c r="AA37" s="12"/>
      <c r="AB37" s="12"/>
      <c r="AC37" s="12"/>
      <c r="AD37" s="12"/>
      <c r="AE37" s="12"/>
      <c r="AF37" s="12"/>
      <c r="AG37" s="12"/>
      <c r="AV37" s="34"/>
      <c r="AW37" s="36"/>
      <c r="AX37" s="36"/>
      <c r="AY37" s="36"/>
      <c r="AZ37" s="36"/>
      <c r="BA37" s="36"/>
      <c r="BB37" s="36"/>
      <c r="BC37" s="36"/>
      <c r="BD37" s="36"/>
      <c r="BE37" s="36"/>
      <c r="BF37" s="36"/>
      <c r="BG37" s="36"/>
      <c r="BH37" s="36"/>
      <c r="BI37" s="36"/>
      <c r="BJ37" s="36"/>
      <c r="BK37" s="36"/>
      <c r="BL37" s="36"/>
      <c r="BM37" s="38"/>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Q37" s="23"/>
      <c r="CR37" s="24"/>
    </row>
    <row r="38" spans="1:96" s="13" customFormat="1" ht="15" customHeight="1" x14ac:dyDescent="0.15">
      <c r="A38" s="22"/>
      <c r="B38" s="23"/>
      <c r="C38" s="23"/>
      <c r="D38" s="23"/>
      <c r="E38" s="23"/>
      <c r="F38" s="23"/>
      <c r="G38" s="23"/>
      <c r="H38" s="23"/>
      <c r="I38" s="23"/>
      <c r="J38" s="23"/>
      <c r="K38" s="23"/>
      <c r="L38" s="23"/>
      <c r="M38" s="23"/>
      <c r="N38" s="12"/>
      <c r="O38" s="12"/>
      <c r="P38" s="12"/>
      <c r="Q38" s="12"/>
      <c r="R38" s="12"/>
      <c r="S38" s="12"/>
      <c r="T38" s="12"/>
      <c r="U38" s="12"/>
      <c r="V38" s="12"/>
      <c r="W38" s="12"/>
      <c r="X38" s="12"/>
      <c r="Y38" s="12"/>
      <c r="Z38" s="12"/>
      <c r="AA38" s="12"/>
      <c r="AB38" s="12"/>
      <c r="AC38" s="12"/>
      <c r="AD38" s="12"/>
      <c r="AE38" s="12"/>
      <c r="AF38" s="12"/>
      <c r="AG38" s="12"/>
      <c r="AV38" s="34"/>
      <c r="AW38" s="36"/>
      <c r="AX38" s="36"/>
      <c r="AY38" s="36"/>
      <c r="AZ38" s="36"/>
      <c r="BA38" s="36"/>
      <c r="BB38" s="36"/>
      <c r="BC38" s="36"/>
      <c r="BD38" s="36"/>
      <c r="BE38" s="36"/>
      <c r="BF38" s="36"/>
      <c r="BG38" s="36"/>
      <c r="BH38" s="36"/>
      <c r="BI38" s="36"/>
      <c r="BJ38" s="36"/>
      <c r="BK38" s="39"/>
      <c r="BL38" s="39"/>
      <c r="BM38" s="40"/>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Q38" s="12"/>
      <c r="CR38" s="24"/>
    </row>
    <row r="39" spans="1:96" s="13" customFormat="1" ht="15" customHeight="1" x14ac:dyDescent="0.15">
      <c r="A39" s="22"/>
      <c r="B39" s="23"/>
      <c r="C39" s="23"/>
      <c r="D39" s="23"/>
      <c r="E39" s="23"/>
      <c r="F39" s="23"/>
      <c r="G39" s="23"/>
      <c r="H39" s="23"/>
      <c r="I39" s="23"/>
      <c r="J39" s="23"/>
      <c r="K39" s="23"/>
      <c r="L39" s="23"/>
      <c r="M39" s="23"/>
      <c r="N39" s="12"/>
      <c r="O39" s="12"/>
      <c r="P39" s="12"/>
      <c r="Q39" s="12"/>
      <c r="R39" s="12"/>
      <c r="S39" s="12"/>
      <c r="T39" s="12"/>
      <c r="U39" s="12"/>
      <c r="V39" s="12"/>
      <c r="W39" s="12"/>
      <c r="X39" s="21"/>
      <c r="Y39" s="12"/>
      <c r="Z39" s="12"/>
      <c r="AA39" s="12"/>
      <c r="AB39" s="12"/>
      <c r="AC39" s="12"/>
      <c r="AD39" s="12"/>
      <c r="AE39" s="12"/>
      <c r="AF39" s="12"/>
      <c r="AG39" s="12"/>
      <c r="AV39" s="41"/>
      <c r="AW39" s="42"/>
      <c r="AX39" s="42"/>
      <c r="AY39" s="42"/>
      <c r="AZ39" s="43"/>
      <c r="BA39" s="42"/>
      <c r="BB39" s="42"/>
      <c r="BC39" s="42"/>
      <c r="BD39" s="42"/>
      <c r="BE39" s="42"/>
      <c r="BF39" s="42"/>
      <c r="BG39" s="42"/>
      <c r="BH39" s="42"/>
      <c r="BI39" s="42"/>
      <c r="BJ39" s="42"/>
      <c r="BK39" s="44"/>
      <c r="BL39" s="44"/>
      <c r="BM39" s="45"/>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Q39" s="23"/>
      <c r="CR39" s="24"/>
    </row>
    <row r="40" spans="1:96" s="13" customFormat="1" ht="15" customHeight="1" x14ac:dyDescent="0.15">
      <c r="A40" s="22"/>
      <c r="B40" s="23"/>
      <c r="C40" s="23"/>
      <c r="D40" s="23"/>
      <c r="E40" s="23"/>
      <c r="F40" s="23"/>
      <c r="G40" s="23"/>
      <c r="H40" s="23"/>
      <c r="I40" s="23"/>
      <c r="J40" s="23"/>
      <c r="K40" s="23"/>
      <c r="L40" s="23"/>
      <c r="M40" s="23"/>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Q40" s="23"/>
      <c r="CR40" s="24"/>
    </row>
    <row r="41" spans="1:96" s="13" customFormat="1" ht="15" customHeight="1" x14ac:dyDescent="0.15">
      <c r="A41" s="22"/>
      <c r="B41" s="23"/>
      <c r="C41" s="23"/>
      <c r="D41" s="23"/>
      <c r="E41" s="23"/>
      <c r="F41" s="23"/>
      <c r="G41" s="23"/>
      <c r="H41" s="23"/>
      <c r="I41" s="23"/>
      <c r="J41" s="23"/>
      <c r="K41" s="23"/>
      <c r="L41" s="23"/>
      <c r="M41" s="23"/>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23"/>
      <c r="CN41" s="23"/>
      <c r="CO41" s="23"/>
      <c r="CP41" s="23"/>
      <c r="CQ41" s="23"/>
      <c r="CR41" s="24"/>
    </row>
    <row r="42" spans="1:96" s="13" customFormat="1" ht="15" customHeight="1" x14ac:dyDescent="0.15">
      <c r="A42" s="2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23"/>
      <c r="CN42" s="23"/>
      <c r="CO42" s="23"/>
      <c r="CP42" s="23"/>
      <c r="CQ42" s="23"/>
      <c r="CR42" s="24"/>
    </row>
    <row r="43" spans="1:96" s="13" customFormat="1" ht="15" customHeight="1" x14ac:dyDescent="0.15">
      <c r="A43" s="2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W43" s="23"/>
      <c r="BX43" s="23"/>
      <c r="BY43" s="23"/>
      <c r="BZ43" s="23"/>
      <c r="CA43" s="23"/>
      <c r="CB43" s="12"/>
      <c r="CC43" s="12"/>
      <c r="CD43" s="12"/>
      <c r="CE43" s="23"/>
      <c r="CF43" s="23"/>
      <c r="CG43" s="23"/>
      <c r="CH43" s="23"/>
      <c r="CI43" s="23"/>
      <c r="CJ43" s="23"/>
      <c r="CK43" s="23"/>
      <c r="CL43" s="23"/>
      <c r="CM43" s="23"/>
      <c r="CN43" s="23"/>
      <c r="CO43" s="23"/>
      <c r="CP43" s="23"/>
      <c r="CQ43" s="23"/>
      <c r="CR43" s="24"/>
    </row>
    <row r="44" spans="1:96" s="13" customFormat="1" ht="15" customHeight="1" x14ac:dyDescent="0.15">
      <c r="A44" s="2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W44" s="23"/>
      <c r="BX44" s="23"/>
      <c r="BY44" s="23"/>
      <c r="BZ44" s="23"/>
      <c r="CA44" s="23"/>
      <c r="CB44" s="12"/>
      <c r="CC44" s="12"/>
      <c r="CD44" s="12"/>
      <c r="CE44" s="23"/>
      <c r="CF44" s="23"/>
      <c r="CG44" s="23"/>
      <c r="CH44" s="23"/>
      <c r="CI44" s="23"/>
      <c r="CJ44" s="23"/>
      <c r="CK44" s="23"/>
      <c r="CL44" s="23"/>
      <c r="CM44" s="23"/>
      <c r="CN44" s="23"/>
      <c r="CO44" s="23"/>
      <c r="CP44" s="23"/>
      <c r="CQ44" s="23"/>
      <c r="CR44" s="24"/>
    </row>
    <row r="45" spans="1:96" s="13" customFormat="1" ht="15" customHeight="1" x14ac:dyDescent="0.15">
      <c r="A45" s="2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W45" s="25"/>
      <c r="BX45" s="12"/>
      <c r="BY45" s="12"/>
      <c r="BZ45" s="12"/>
      <c r="CA45" s="12"/>
      <c r="CB45" s="12"/>
      <c r="CC45" s="12"/>
      <c r="CD45" s="12"/>
      <c r="CE45" s="23"/>
      <c r="CF45" s="23"/>
      <c r="CG45" s="23"/>
      <c r="CH45" s="23"/>
      <c r="CI45" s="23"/>
      <c r="CJ45" s="23"/>
      <c r="CK45" s="23"/>
      <c r="CL45" s="23"/>
      <c r="CM45" s="23"/>
      <c r="CN45" s="23"/>
      <c r="CO45" s="23"/>
      <c r="CP45" s="23"/>
      <c r="CQ45" s="23"/>
      <c r="CR45" s="24"/>
    </row>
    <row r="46" spans="1:96" s="13" customFormat="1" ht="15" customHeight="1" x14ac:dyDescent="0.15">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W46" s="12"/>
      <c r="BX46" s="12"/>
      <c r="BY46" s="12"/>
      <c r="BZ46" s="12"/>
      <c r="CA46" s="12"/>
      <c r="CB46" s="12"/>
      <c r="CC46" s="12"/>
      <c r="CD46" s="12"/>
      <c r="CE46" s="23"/>
      <c r="CF46" s="23"/>
      <c r="CG46" s="23"/>
      <c r="CH46" s="23"/>
      <c r="CI46" s="23"/>
      <c r="CJ46" s="23"/>
      <c r="CK46" s="23"/>
      <c r="CL46" s="23"/>
      <c r="CM46" s="23"/>
      <c r="CN46" s="23"/>
      <c r="CO46" s="23"/>
      <c r="CP46" s="23"/>
      <c r="CQ46" s="23"/>
      <c r="CR46" s="24"/>
    </row>
    <row r="47" spans="1:96" s="13" customFormat="1" ht="15" customHeight="1" thickBot="1" x14ac:dyDescent="0.2">
      <c r="A47" s="26"/>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8"/>
      <c r="BL47" s="28"/>
      <c r="BM47" s="29"/>
      <c r="BN47" s="28"/>
      <c r="BO47" s="28"/>
      <c r="BP47" s="28"/>
      <c r="BQ47" s="28"/>
      <c r="BR47" s="28"/>
      <c r="BS47" s="28"/>
      <c r="BT47" s="28"/>
      <c r="BU47" s="28"/>
      <c r="BV47" s="28"/>
      <c r="BW47" s="28"/>
      <c r="BX47" s="27"/>
      <c r="BY47" s="27"/>
      <c r="BZ47" s="27"/>
      <c r="CA47" s="27"/>
      <c r="CB47" s="27"/>
      <c r="CC47" s="27"/>
      <c r="CD47" s="27"/>
      <c r="CE47" s="27"/>
      <c r="CF47" s="27"/>
      <c r="CG47" s="27"/>
      <c r="CH47" s="27"/>
      <c r="CI47" s="27"/>
      <c r="CJ47" s="27"/>
      <c r="CK47" s="27"/>
      <c r="CL47" s="27"/>
      <c r="CM47" s="27"/>
      <c r="CN47" s="27"/>
      <c r="CO47" s="27"/>
      <c r="CP47" s="27"/>
      <c r="CQ47" s="27"/>
      <c r="CR47" s="30"/>
    </row>
  </sheetData>
  <mergeCells count="29">
    <mergeCell ref="A5:CR5"/>
    <mergeCell ref="BT4:CR4"/>
    <mergeCell ref="A10:CR10"/>
    <mergeCell ref="A4:H4"/>
    <mergeCell ref="I4:AK4"/>
    <mergeCell ref="AL4:AR4"/>
    <mergeCell ref="AS4:BH4"/>
    <mergeCell ref="BI4:BS4"/>
    <mergeCell ref="A3:H3"/>
    <mergeCell ref="I3:AD3"/>
    <mergeCell ref="AL3:BH3"/>
    <mergeCell ref="BI3:BL3"/>
    <mergeCell ref="BM3:CE3"/>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11"/>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9B2D7-3496-41FB-8B5C-35C2DDC2EB54}">
  <dimension ref="A1:EQ219"/>
  <sheetViews>
    <sheetView view="pageBreakPreview" zoomScale="85" zoomScaleNormal="85" zoomScaleSheetLayoutView="85"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267" t="s">
        <v>1</v>
      </c>
      <c r="B1" s="268"/>
      <c r="C1" s="268"/>
      <c r="D1" s="268"/>
      <c r="E1" s="268"/>
      <c r="F1" s="268"/>
      <c r="G1" s="268"/>
      <c r="H1" s="269"/>
      <c r="I1" s="270" t="str">
        <f>タイトル!I40</f>
        <v>　学生勤務管理システム</v>
      </c>
      <c r="J1" s="271"/>
      <c r="K1" s="271"/>
      <c r="L1" s="271"/>
      <c r="M1" s="271"/>
      <c r="N1" s="271"/>
      <c r="O1" s="271"/>
      <c r="P1" s="271"/>
      <c r="Q1" s="271"/>
      <c r="R1" s="271"/>
      <c r="S1" s="271"/>
      <c r="T1" s="271"/>
      <c r="U1" s="271"/>
      <c r="V1" s="271"/>
      <c r="W1" s="271"/>
      <c r="X1" s="271"/>
      <c r="Y1" s="271"/>
      <c r="Z1" s="271"/>
      <c r="AA1" s="271"/>
      <c r="AB1" s="271"/>
      <c r="AC1" s="271"/>
      <c r="AD1" s="272"/>
      <c r="AE1" s="273" t="s">
        <v>0</v>
      </c>
      <c r="AF1" s="274"/>
      <c r="AG1" s="274"/>
      <c r="AH1" s="274"/>
      <c r="AI1" s="274"/>
      <c r="AJ1" s="274"/>
      <c r="AK1" s="275"/>
      <c r="AL1" s="276" t="s">
        <v>54</v>
      </c>
      <c r="AM1" s="277"/>
      <c r="AN1" s="277"/>
      <c r="AO1" s="277"/>
      <c r="AP1" s="277"/>
      <c r="AQ1" s="277"/>
      <c r="AR1" s="277"/>
      <c r="AS1" s="277"/>
      <c r="AT1" s="277"/>
      <c r="AU1" s="277"/>
      <c r="AV1" s="277"/>
      <c r="AW1" s="277"/>
      <c r="AX1" s="277"/>
      <c r="AY1" s="277"/>
      <c r="AZ1" s="277"/>
      <c r="BA1" s="277"/>
      <c r="BB1" s="277"/>
      <c r="BC1" s="277"/>
      <c r="BD1" s="277"/>
      <c r="BE1" s="277"/>
      <c r="BF1" s="277"/>
      <c r="BG1" s="277"/>
      <c r="BH1" s="278"/>
      <c r="BI1" s="273" t="s">
        <v>12</v>
      </c>
      <c r="BJ1" s="274"/>
      <c r="BK1" s="274"/>
      <c r="BL1" s="275"/>
      <c r="BM1" s="279" t="str">
        <f>タイトル!I46</f>
        <v>木田　優</v>
      </c>
      <c r="BN1" s="280"/>
      <c r="BO1" s="280"/>
      <c r="BP1" s="280"/>
      <c r="BQ1" s="280"/>
      <c r="BR1" s="280"/>
      <c r="BS1" s="280"/>
      <c r="BT1" s="280"/>
      <c r="BU1" s="280"/>
      <c r="BV1" s="281"/>
      <c r="BW1" s="225">
        <f>タイトル!I47</f>
        <v>45196</v>
      </c>
      <c r="BX1" s="226"/>
      <c r="BY1" s="226"/>
      <c r="BZ1" s="226"/>
      <c r="CA1" s="226"/>
      <c r="CB1" s="226"/>
      <c r="CC1" s="226"/>
      <c r="CD1" s="226"/>
      <c r="CE1" s="227"/>
      <c r="CF1" s="228" t="s">
        <v>13</v>
      </c>
      <c r="CG1" s="229"/>
      <c r="CH1" s="229"/>
      <c r="CI1" s="229"/>
      <c r="CJ1" s="230"/>
      <c r="CK1" s="237" t="str">
        <f>タイトル!I50</f>
        <v>DUC010</v>
      </c>
      <c r="CL1" s="238"/>
      <c r="CM1" s="238"/>
      <c r="CN1" s="238"/>
      <c r="CO1" s="238"/>
      <c r="CP1" s="238"/>
      <c r="CQ1" s="238"/>
      <c r="CR1" s="239"/>
    </row>
    <row r="2" spans="1:96" s="15" customFormat="1" ht="15" customHeight="1" x14ac:dyDescent="0.2">
      <c r="A2" s="246" t="s">
        <v>14</v>
      </c>
      <c r="B2" s="247"/>
      <c r="C2" s="247"/>
      <c r="D2" s="247"/>
      <c r="E2" s="247"/>
      <c r="F2" s="247"/>
      <c r="G2" s="247"/>
      <c r="H2" s="248"/>
      <c r="I2" s="249" t="s">
        <v>55</v>
      </c>
      <c r="J2" s="250"/>
      <c r="K2" s="250"/>
      <c r="L2" s="250"/>
      <c r="M2" s="250"/>
      <c r="N2" s="250"/>
      <c r="O2" s="250"/>
      <c r="P2" s="250"/>
      <c r="Q2" s="250"/>
      <c r="R2" s="250"/>
      <c r="S2" s="250"/>
      <c r="T2" s="250"/>
      <c r="U2" s="250"/>
      <c r="V2" s="250"/>
      <c r="W2" s="250"/>
      <c r="X2" s="250"/>
      <c r="Y2" s="250"/>
      <c r="Z2" s="250"/>
      <c r="AA2" s="250"/>
      <c r="AB2" s="250"/>
      <c r="AC2" s="250"/>
      <c r="AD2" s="251"/>
      <c r="AE2" s="252" t="s">
        <v>32</v>
      </c>
      <c r="AF2" s="253"/>
      <c r="AG2" s="253"/>
      <c r="AH2" s="253"/>
      <c r="AI2" s="253"/>
      <c r="AJ2" s="253"/>
      <c r="AK2" s="254"/>
      <c r="AL2" s="255" t="str">
        <f>タイトル!I44</f>
        <v>　CZ-010_雇用情報マスタ</v>
      </c>
      <c r="AM2" s="256"/>
      <c r="AN2" s="256"/>
      <c r="AO2" s="256"/>
      <c r="AP2" s="256"/>
      <c r="AQ2" s="256"/>
      <c r="AR2" s="256"/>
      <c r="AS2" s="256"/>
      <c r="AT2" s="256"/>
      <c r="AU2" s="256"/>
      <c r="AV2" s="256"/>
      <c r="AW2" s="256"/>
      <c r="AX2" s="256"/>
      <c r="AY2" s="256"/>
      <c r="AZ2" s="256"/>
      <c r="BA2" s="256"/>
      <c r="BB2" s="256"/>
      <c r="BC2" s="256"/>
      <c r="BD2" s="256"/>
      <c r="BE2" s="256"/>
      <c r="BF2" s="256"/>
      <c r="BG2" s="256"/>
      <c r="BH2" s="257"/>
      <c r="BI2" s="258" t="s">
        <v>15</v>
      </c>
      <c r="BJ2" s="259"/>
      <c r="BK2" s="259"/>
      <c r="BL2" s="260"/>
      <c r="BM2" s="261" t="s">
        <v>336</v>
      </c>
      <c r="BN2" s="262"/>
      <c r="BO2" s="262"/>
      <c r="BP2" s="262"/>
      <c r="BQ2" s="262"/>
      <c r="BR2" s="262"/>
      <c r="BS2" s="262"/>
      <c r="BT2" s="262"/>
      <c r="BU2" s="262"/>
      <c r="BV2" s="263"/>
      <c r="BW2" s="264">
        <v>45820</v>
      </c>
      <c r="BX2" s="265"/>
      <c r="BY2" s="265"/>
      <c r="BZ2" s="265"/>
      <c r="CA2" s="265"/>
      <c r="CB2" s="265"/>
      <c r="CC2" s="265"/>
      <c r="CD2" s="265"/>
      <c r="CE2" s="266"/>
      <c r="CF2" s="231"/>
      <c r="CG2" s="232"/>
      <c r="CH2" s="232"/>
      <c r="CI2" s="232"/>
      <c r="CJ2" s="233"/>
      <c r="CK2" s="240"/>
      <c r="CL2" s="241"/>
      <c r="CM2" s="241"/>
      <c r="CN2" s="241"/>
      <c r="CO2" s="241"/>
      <c r="CP2" s="241"/>
      <c r="CQ2" s="241"/>
      <c r="CR2" s="242"/>
    </row>
    <row r="3" spans="1:96" s="15" customFormat="1" ht="15" customHeight="1" thickBot="1" x14ac:dyDescent="0.25">
      <c r="A3" s="282"/>
      <c r="B3" s="283"/>
      <c r="C3" s="283"/>
      <c r="D3" s="283"/>
      <c r="E3" s="283"/>
      <c r="F3" s="283"/>
      <c r="G3" s="283"/>
      <c r="H3" s="284"/>
      <c r="I3" s="285"/>
      <c r="J3" s="286"/>
      <c r="K3" s="286"/>
      <c r="L3" s="286"/>
      <c r="M3" s="286"/>
      <c r="N3" s="286"/>
      <c r="O3" s="286"/>
      <c r="P3" s="286"/>
      <c r="Q3" s="286"/>
      <c r="R3" s="286"/>
      <c r="S3" s="286"/>
      <c r="T3" s="286"/>
      <c r="U3" s="286"/>
      <c r="V3" s="286"/>
      <c r="W3" s="286"/>
      <c r="X3" s="286"/>
      <c r="Y3" s="286"/>
      <c r="Z3" s="286"/>
      <c r="AA3" s="286"/>
      <c r="AB3" s="286"/>
      <c r="AC3" s="286"/>
      <c r="AD3" s="287"/>
      <c r="AE3" s="234"/>
      <c r="AF3" s="235"/>
      <c r="AG3" s="235"/>
      <c r="AH3" s="235"/>
      <c r="AI3" s="235"/>
      <c r="AJ3" s="235"/>
      <c r="AK3" s="236"/>
      <c r="AL3" s="288"/>
      <c r="AM3" s="289"/>
      <c r="AN3" s="289"/>
      <c r="AO3" s="289"/>
      <c r="AP3" s="289"/>
      <c r="AQ3" s="289"/>
      <c r="AR3" s="289"/>
      <c r="AS3" s="289"/>
      <c r="AT3" s="289"/>
      <c r="AU3" s="289"/>
      <c r="AV3" s="289"/>
      <c r="AW3" s="289"/>
      <c r="AX3" s="289"/>
      <c r="AY3" s="289"/>
      <c r="AZ3" s="289"/>
      <c r="BA3" s="289"/>
      <c r="BB3" s="289"/>
      <c r="BC3" s="289"/>
      <c r="BD3" s="289"/>
      <c r="BE3" s="289"/>
      <c r="BF3" s="289"/>
      <c r="BG3" s="289"/>
      <c r="BH3" s="290"/>
      <c r="BI3" s="291"/>
      <c r="BJ3" s="292"/>
      <c r="BK3" s="292"/>
      <c r="BL3" s="293"/>
      <c r="BM3" s="294"/>
      <c r="BN3" s="295"/>
      <c r="BO3" s="295"/>
      <c r="BP3" s="295"/>
      <c r="BQ3" s="295"/>
      <c r="BR3" s="295"/>
      <c r="BS3" s="295"/>
      <c r="BT3" s="295"/>
      <c r="BU3" s="295"/>
      <c r="BV3" s="295"/>
      <c r="BW3" s="295"/>
      <c r="BX3" s="295"/>
      <c r="BY3" s="295"/>
      <c r="BZ3" s="295"/>
      <c r="CA3" s="295"/>
      <c r="CB3" s="295"/>
      <c r="CC3" s="295"/>
      <c r="CD3" s="295"/>
      <c r="CE3" s="296"/>
      <c r="CF3" s="234"/>
      <c r="CG3" s="235"/>
      <c r="CH3" s="235"/>
      <c r="CI3" s="235"/>
      <c r="CJ3" s="236"/>
      <c r="CK3" s="243"/>
      <c r="CL3" s="244"/>
      <c r="CM3" s="244"/>
      <c r="CN3" s="244"/>
      <c r="CO3" s="244"/>
      <c r="CP3" s="244"/>
      <c r="CQ3" s="244"/>
      <c r="CR3" s="245"/>
    </row>
    <row r="4" spans="1:96" s="16" customFormat="1" ht="15" customHeight="1" x14ac:dyDescent="0.2">
      <c r="A4" s="303" t="s">
        <v>56</v>
      </c>
      <c r="B4" s="304"/>
      <c r="C4" s="304"/>
      <c r="D4" s="304"/>
      <c r="E4" s="304"/>
      <c r="F4" s="304"/>
      <c r="G4" s="304"/>
      <c r="H4" s="304"/>
      <c r="I4" s="305" t="str">
        <f ca="1">"　" &amp; RIGHT(CELL("filename",A1),LEN(CELL("filename",A1))-FIND("]",CELL("filename",A1)))</f>
        <v>　雇用情報マスタ</v>
      </c>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c r="AL4" s="304" t="s">
        <v>57</v>
      </c>
      <c r="AM4" s="304"/>
      <c r="AN4" s="304"/>
      <c r="AO4" s="304"/>
      <c r="AP4" s="304"/>
      <c r="AQ4" s="304"/>
      <c r="AR4" s="304"/>
      <c r="AS4" s="306" t="s">
        <v>93</v>
      </c>
      <c r="AT4" s="306"/>
      <c r="AU4" s="306"/>
      <c r="AV4" s="306"/>
      <c r="AW4" s="306"/>
      <c r="AX4" s="306"/>
      <c r="AY4" s="306"/>
      <c r="AZ4" s="306"/>
      <c r="BA4" s="306"/>
      <c r="BB4" s="306"/>
      <c r="BC4" s="306"/>
      <c r="BD4" s="306"/>
      <c r="BE4" s="306"/>
      <c r="BF4" s="306"/>
      <c r="BG4" s="306"/>
      <c r="BH4" s="306"/>
      <c r="BI4" s="405" t="s">
        <v>35</v>
      </c>
      <c r="BJ4" s="406"/>
      <c r="BK4" s="406"/>
      <c r="BL4" s="406"/>
      <c r="BM4" s="406"/>
      <c r="BN4" s="406"/>
      <c r="BO4" s="406"/>
      <c r="BP4" s="406"/>
      <c r="BQ4" s="406"/>
      <c r="BR4" s="406"/>
      <c r="BS4" s="406"/>
      <c r="BT4" s="399" t="s">
        <v>87</v>
      </c>
      <c r="BU4" s="400"/>
      <c r="BV4" s="400"/>
      <c r="BW4" s="400"/>
      <c r="BX4" s="400"/>
      <c r="BY4" s="400"/>
      <c r="BZ4" s="400"/>
      <c r="CA4" s="400"/>
      <c r="CB4" s="400"/>
      <c r="CC4" s="400"/>
      <c r="CD4" s="400"/>
      <c r="CE4" s="400"/>
      <c r="CF4" s="400"/>
      <c r="CG4" s="400"/>
      <c r="CH4" s="400"/>
      <c r="CI4" s="400"/>
      <c r="CJ4" s="400"/>
      <c r="CK4" s="400"/>
      <c r="CL4" s="400"/>
      <c r="CM4" s="400"/>
      <c r="CN4" s="400"/>
      <c r="CO4" s="400"/>
      <c r="CP4" s="400"/>
      <c r="CQ4" s="400"/>
      <c r="CR4" s="401"/>
    </row>
    <row r="5" spans="1:96" s="12" customFormat="1" ht="15" customHeight="1" x14ac:dyDescent="0.15">
      <c r="A5" s="297" t="s">
        <v>58</v>
      </c>
      <c r="B5" s="298"/>
      <c r="C5" s="298"/>
      <c r="D5" s="298"/>
      <c r="E5" s="298"/>
      <c r="F5" s="298"/>
      <c r="G5" s="298"/>
      <c r="H5" s="298"/>
      <c r="I5" s="298"/>
      <c r="J5" s="298"/>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298"/>
      <c r="BD5" s="298"/>
      <c r="BE5" s="298"/>
      <c r="BF5" s="298"/>
      <c r="BG5" s="298"/>
      <c r="BH5" s="298"/>
      <c r="BI5" s="402" t="s">
        <v>59</v>
      </c>
      <c r="BJ5" s="402"/>
      <c r="BK5" s="402"/>
      <c r="BL5" s="402"/>
      <c r="BM5" s="402"/>
      <c r="BN5" s="402"/>
      <c r="BO5" s="402"/>
      <c r="BP5" s="402"/>
      <c r="BQ5" s="402"/>
      <c r="BR5" s="402"/>
      <c r="BS5" s="402"/>
      <c r="BT5" s="402"/>
      <c r="BU5" s="402"/>
      <c r="BV5" s="402"/>
      <c r="BW5" s="402"/>
      <c r="BX5" s="402"/>
      <c r="BY5" s="402"/>
      <c r="BZ5" s="402"/>
      <c r="CA5" s="402"/>
      <c r="CB5" s="402"/>
      <c r="CC5" s="402"/>
      <c r="CD5" s="402"/>
      <c r="CE5" s="402"/>
      <c r="CF5" s="402"/>
      <c r="CG5" s="402"/>
      <c r="CH5" s="402"/>
      <c r="CI5" s="402"/>
      <c r="CJ5" s="402"/>
      <c r="CK5" s="402"/>
      <c r="CL5" s="402"/>
      <c r="CM5" s="402"/>
      <c r="CN5" s="402"/>
      <c r="CO5" s="402"/>
      <c r="CP5" s="402"/>
      <c r="CQ5" s="402"/>
      <c r="CR5" s="403"/>
    </row>
    <row r="6" spans="1:96" s="13" customFormat="1" ht="15" customHeight="1" x14ac:dyDescent="0.15">
      <c r="A6" s="46"/>
      <c r="B6" s="47"/>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18"/>
      <c r="BI6" s="49"/>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1"/>
    </row>
    <row r="7" spans="1:96" s="13" customFormat="1" ht="15" customHeight="1" x14ac:dyDescent="0.15">
      <c r="A7" s="46"/>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2"/>
      <c r="BJ7" s="18" t="s">
        <v>60</v>
      </c>
      <c r="BK7" s="18" t="s">
        <v>95</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6"/>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2"/>
      <c r="BJ8" s="18" t="s">
        <v>60</v>
      </c>
      <c r="BK8" s="18" t="s">
        <v>75</v>
      </c>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6"/>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2"/>
      <c r="BJ9" s="18" t="s">
        <v>60</v>
      </c>
      <c r="BK9" s="18" t="s">
        <v>94</v>
      </c>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6"/>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2"/>
      <c r="BJ10" s="18" t="s">
        <v>60</v>
      </c>
      <c r="BK10" s="18" t="s">
        <v>92</v>
      </c>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6"/>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2"/>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6"/>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404" t="s">
        <v>61</v>
      </c>
      <c r="BJ12" s="298"/>
      <c r="BK12" s="298"/>
      <c r="BL12" s="298"/>
      <c r="BM12" s="298"/>
      <c r="BN12" s="298"/>
      <c r="BO12" s="298"/>
      <c r="BP12" s="298"/>
      <c r="BQ12" s="298"/>
      <c r="BR12" s="298"/>
      <c r="BS12" s="298"/>
      <c r="BT12" s="298"/>
      <c r="BU12" s="298"/>
      <c r="BV12" s="298"/>
      <c r="BW12" s="298"/>
      <c r="BX12" s="298"/>
      <c r="BY12" s="298"/>
      <c r="BZ12" s="298"/>
      <c r="CA12" s="298"/>
      <c r="CB12" s="298"/>
      <c r="CC12" s="298"/>
      <c r="CD12" s="298"/>
      <c r="CE12" s="298"/>
      <c r="CF12" s="298"/>
      <c r="CG12" s="298"/>
      <c r="CH12" s="298"/>
      <c r="CI12" s="298"/>
      <c r="CJ12" s="298"/>
      <c r="CK12" s="298"/>
      <c r="CL12" s="298"/>
      <c r="CM12" s="298"/>
      <c r="CN12" s="298"/>
      <c r="CO12" s="298"/>
      <c r="CP12" s="298"/>
      <c r="CQ12" s="298"/>
      <c r="CR12" s="299"/>
    </row>
    <row r="13" spans="1:96" s="13" customFormat="1" ht="15" customHeight="1" x14ac:dyDescent="0.15">
      <c r="A13" s="46"/>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2"/>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6"/>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2"/>
      <c r="BJ14" s="18" t="s">
        <v>62</v>
      </c>
      <c r="BK14" s="18" t="s">
        <v>333</v>
      </c>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6"/>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2"/>
      <c r="BJ15" s="18" t="s">
        <v>62</v>
      </c>
      <c r="BK15" s="18" t="s">
        <v>529</v>
      </c>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9"/>
    </row>
    <row r="16" spans="1:96" s="13" customFormat="1" ht="15" customHeight="1" x14ac:dyDescent="0.15">
      <c r="A16" s="4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2"/>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9"/>
    </row>
    <row r="17" spans="1:123" s="13" customFormat="1" ht="15" customHeight="1" x14ac:dyDescent="0.15">
      <c r="A17" s="46"/>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2"/>
      <c r="BJ17" s="18" t="s">
        <v>62</v>
      </c>
      <c r="BK17" s="18" t="s">
        <v>530</v>
      </c>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9"/>
    </row>
    <row r="18" spans="1:123" s="13" customFormat="1" ht="15" customHeight="1" x14ac:dyDescent="0.15">
      <c r="A18" s="46"/>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2"/>
      <c r="BJ18" s="18"/>
      <c r="BK18" s="18" t="s">
        <v>531</v>
      </c>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9"/>
    </row>
    <row r="19" spans="1:123" s="13" customFormat="1" ht="15" customHeight="1" x14ac:dyDescent="0.15">
      <c r="A19" s="46"/>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2"/>
      <c r="CQ19" s="18"/>
      <c r="CR19" s="19"/>
    </row>
    <row r="20" spans="1:123" s="13" customFormat="1" ht="15" customHeight="1" x14ac:dyDescent="0.15">
      <c r="A20" s="46"/>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2"/>
      <c r="BJ20" s="18" t="s">
        <v>62</v>
      </c>
      <c r="BK20" s="18" t="s">
        <v>97</v>
      </c>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9"/>
    </row>
    <row r="21" spans="1:123" s="13" customFormat="1" ht="15" customHeight="1" x14ac:dyDescent="0.15">
      <c r="A21" s="46"/>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2"/>
      <c r="BJ21" s="18"/>
      <c r="BK21" s="18" t="s">
        <v>63</v>
      </c>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9"/>
    </row>
    <row r="22" spans="1:123" s="13" customFormat="1" ht="15" customHeight="1" x14ac:dyDescent="0.15">
      <c r="A22" s="46"/>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2"/>
      <c r="BJ22" s="18" t="s">
        <v>62</v>
      </c>
      <c r="BK22" s="18" t="s">
        <v>96</v>
      </c>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9"/>
    </row>
    <row r="23" spans="1:123" s="13" customFormat="1" ht="15" customHeight="1" x14ac:dyDescent="0.15">
      <c r="A23" s="46"/>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2"/>
      <c r="BJ23" s="18"/>
      <c r="BK23" s="18" t="s">
        <v>70</v>
      </c>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9"/>
    </row>
    <row r="24" spans="1:123" s="13" customFormat="1" ht="15" customHeight="1" x14ac:dyDescent="0.15">
      <c r="A24" s="46"/>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2"/>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9"/>
    </row>
    <row r="25" spans="1:123" s="13" customFormat="1" ht="15" customHeight="1" x14ac:dyDescent="0.15">
      <c r="A25" s="46"/>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2"/>
      <c r="BJ25" s="18" t="s">
        <v>62</v>
      </c>
      <c r="BK25" s="18" t="s">
        <v>100</v>
      </c>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9"/>
    </row>
    <row r="26" spans="1:123" s="13" customFormat="1" ht="15" customHeight="1" x14ac:dyDescent="0.15">
      <c r="A26" s="46"/>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2"/>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9"/>
    </row>
    <row r="27" spans="1:123" s="13" customFormat="1" ht="15" customHeight="1" x14ac:dyDescent="0.15">
      <c r="A27" s="46"/>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2"/>
      <c r="BJ27" s="18" t="s">
        <v>62</v>
      </c>
      <c r="BK27" s="18" t="s">
        <v>103</v>
      </c>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9"/>
      <c r="CV27" s="18"/>
    </row>
    <row r="28" spans="1:123" s="13" customFormat="1" ht="15" customHeight="1" x14ac:dyDescent="0.15">
      <c r="A28" s="46"/>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2"/>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53"/>
      <c r="CM28" s="18"/>
      <c r="CN28" s="18"/>
      <c r="CO28" s="18"/>
      <c r="CP28" s="18"/>
      <c r="CQ28" s="18"/>
      <c r="CR28" s="19"/>
    </row>
    <row r="29" spans="1:123" s="13" customFormat="1" ht="15" customHeight="1" x14ac:dyDescent="0.15">
      <c r="A29" s="46"/>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2"/>
      <c r="BJ29" s="18" t="s">
        <v>62</v>
      </c>
      <c r="BK29" s="18" t="s">
        <v>106</v>
      </c>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9"/>
    </row>
    <row r="30" spans="1:123" s="13" customFormat="1" ht="15" customHeight="1" x14ac:dyDescent="0.15">
      <c r="A30" s="46"/>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2"/>
      <c r="BJ30" s="18"/>
      <c r="BK30" s="18" t="s">
        <v>107</v>
      </c>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9"/>
    </row>
    <row r="31" spans="1:123" s="13" customFormat="1" ht="15" customHeight="1" x14ac:dyDescent="0.15">
      <c r="A31" s="46"/>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2"/>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9"/>
      <c r="CY31" s="18"/>
      <c r="CZ31" s="18"/>
      <c r="DA31" s="18"/>
      <c r="DB31" s="18"/>
    </row>
    <row r="32" spans="1:123" s="13" customFormat="1" ht="15" customHeight="1" x14ac:dyDescent="0.15">
      <c r="A32" s="46"/>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2"/>
      <c r="BJ32" s="18" t="s">
        <v>62</v>
      </c>
      <c r="BK32" s="18" t="s">
        <v>101</v>
      </c>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9"/>
      <c r="CY32" s="18"/>
      <c r="CZ32" s="18"/>
      <c r="DA32" s="18"/>
      <c r="DB32" s="18"/>
      <c r="DO32" s="18"/>
      <c r="DP32" s="18"/>
      <c r="DQ32" s="18"/>
      <c r="DR32" s="18"/>
      <c r="DS32" s="18"/>
    </row>
    <row r="33" spans="1:123" s="13" customFormat="1" ht="15" customHeight="1" x14ac:dyDescent="0.15">
      <c r="A33" s="46"/>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2"/>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9"/>
      <c r="CY33" s="18"/>
      <c r="CZ33" s="18"/>
      <c r="DA33" s="18"/>
      <c r="DB33" s="18"/>
      <c r="DO33" s="18"/>
      <c r="DP33" s="18"/>
      <c r="DQ33" s="18"/>
      <c r="DR33" s="18"/>
      <c r="DS33" s="18"/>
    </row>
    <row r="34" spans="1:123" s="13" customFormat="1" ht="15" customHeight="1" x14ac:dyDescent="0.15">
      <c r="A34" s="46"/>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2"/>
      <c r="BJ34" s="18" t="s">
        <v>429</v>
      </c>
      <c r="BK34" s="18" t="s">
        <v>98</v>
      </c>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9"/>
      <c r="CY34" s="18"/>
      <c r="CZ34" s="18"/>
      <c r="DA34" s="18"/>
      <c r="DB34" s="18"/>
    </row>
    <row r="35" spans="1:123" s="13" customFormat="1" ht="15" customHeight="1" x14ac:dyDescent="0.15">
      <c r="A35" s="46"/>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2"/>
      <c r="BJ35" s="18"/>
      <c r="BK35" s="18" t="s">
        <v>99</v>
      </c>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9"/>
    </row>
    <row r="36" spans="1:123" s="13" customFormat="1" ht="15" customHeight="1" x14ac:dyDescent="0.15">
      <c r="A36" s="46"/>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2"/>
      <c r="BJ36" s="18"/>
      <c r="BK36" s="18" t="s">
        <v>159</v>
      </c>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2"/>
      <c r="CQ37" s="18"/>
      <c r="CR37" s="19"/>
    </row>
    <row r="38" spans="1:123" s="13" customFormat="1" ht="15" customHeight="1" x14ac:dyDescent="0.15">
      <c r="A38" s="297" t="s">
        <v>64</v>
      </c>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c r="AF38" s="298"/>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404" t="s">
        <v>65</v>
      </c>
      <c r="BJ38" s="298"/>
      <c r="BK38" s="298"/>
      <c r="BL38" s="298"/>
      <c r="BM38" s="298"/>
      <c r="BN38" s="298"/>
      <c r="BO38" s="298"/>
      <c r="BP38" s="298"/>
      <c r="BQ38" s="298"/>
      <c r="BR38" s="298"/>
      <c r="BS38" s="298"/>
      <c r="BT38" s="298"/>
      <c r="BU38" s="298"/>
      <c r="BV38" s="298"/>
      <c r="BW38" s="298"/>
      <c r="BX38" s="298"/>
      <c r="BY38" s="298"/>
      <c r="BZ38" s="298"/>
      <c r="CA38" s="298"/>
      <c r="CB38" s="298"/>
      <c r="CC38" s="298"/>
      <c r="CD38" s="298"/>
      <c r="CE38" s="298"/>
      <c r="CF38" s="298"/>
      <c r="CG38" s="298"/>
      <c r="CH38" s="298"/>
      <c r="CI38" s="298"/>
      <c r="CJ38" s="298"/>
      <c r="CK38" s="298"/>
      <c r="CL38" s="298"/>
      <c r="CM38" s="298"/>
      <c r="CN38" s="298"/>
      <c r="CO38" s="298"/>
      <c r="CP38" s="298"/>
      <c r="CQ38" s="298"/>
      <c r="CR38" s="299"/>
    </row>
    <row r="39" spans="1:123" s="13" customFormat="1" ht="15" customHeight="1" x14ac:dyDescent="0.15">
      <c r="A39" s="297" t="s">
        <v>66</v>
      </c>
      <c r="B39" s="298"/>
      <c r="C39" s="298"/>
      <c r="D39" s="298"/>
      <c r="E39" s="298"/>
      <c r="F39" s="298"/>
      <c r="G39" s="298"/>
      <c r="H39" s="298"/>
      <c r="I39" s="298"/>
      <c r="J39" s="407"/>
      <c r="K39" s="404" t="s">
        <v>67</v>
      </c>
      <c r="L39" s="298"/>
      <c r="M39" s="298"/>
      <c r="N39" s="298"/>
      <c r="O39" s="298"/>
      <c r="P39" s="298"/>
      <c r="Q39" s="298"/>
      <c r="R39" s="298"/>
      <c r="S39" s="298"/>
      <c r="T39" s="298"/>
      <c r="U39" s="298"/>
      <c r="V39" s="298"/>
      <c r="W39" s="298"/>
      <c r="X39" s="298"/>
      <c r="Y39" s="298"/>
      <c r="Z39" s="298"/>
      <c r="AA39" s="298"/>
      <c r="AB39" s="298"/>
      <c r="AC39" s="298"/>
      <c r="AD39" s="298"/>
      <c r="AE39" s="298"/>
      <c r="AF39" s="298"/>
      <c r="AG39" s="298"/>
      <c r="AH39" s="298"/>
      <c r="AI39" s="298"/>
      <c r="AJ39" s="298"/>
      <c r="AK39" s="298"/>
      <c r="AL39" s="298"/>
      <c r="AM39" s="298"/>
      <c r="AN39" s="298"/>
      <c r="AO39" s="298"/>
      <c r="AP39" s="298"/>
      <c r="AQ39" s="298"/>
      <c r="AR39" s="298"/>
      <c r="AS39" s="298"/>
      <c r="AT39" s="298"/>
      <c r="AU39" s="298"/>
      <c r="AV39" s="407"/>
      <c r="AW39" s="404" t="s">
        <v>68</v>
      </c>
      <c r="AX39" s="298"/>
      <c r="AY39" s="298"/>
      <c r="AZ39" s="298"/>
      <c r="BA39" s="298"/>
      <c r="BB39" s="298"/>
      <c r="BC39" s="298"/>
      <c r="BD39" s="298"/>
      <c r="BE39" s="298"/>
      <c r="BF39" s="298"/>
      <c r="BG39" s="298"/>
      <c r="BH39" s="407"/>
      <c r="BI39" s="52"/>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23" s="13" customFormat="1" ht="15" customHeight="1" x14ac:dyDescent="0.15">
      <c r="A40" s="408" t="s">
        <v>303</v>
      </c>
      <c r="B40" s="409"/>
      <c r="C40" s="409"/>
      <c r="D40" s="409"/>
      <c r="E40" s="409"/>
      <c r="F40" s="409"/>
      <c r="G40" s="409"/>
      <c r="H40" s="409"/>
      <c r="I40" s="409"/>
      <c r="J40" s="410"/>
      <c r="K40" s="411" t="s">
        <v>329</v>
      </c>
      <c r="L40" s="409"/>
      <c r="M40" s="409"/>
      <c r="N40" s="409"/>
      <c r="O40" s="409"/>
      <c r="P40" s="409"/>
      <c r="Q40" s="409"/>
      <c r="R40" s="409"/>
      <c r="S40" s="409"/>
      <c r="T40" s="409"/>
      <c r="U40" s="409"/>
      <c r="V40" s="409"/>
      <c r="W40" s="409"/>
      <c r="X40" s="409"/>
      <c r="Y40" s="409"/>
      <c r="Z40" s="409"/>
      <c r="AA40" s="409"/>
      <c r="AB40" s="409"/>
      <c r="AC40" s="409"/>
      <c r="AD40" s="409"/>
      <c r="AE40" s="409"/>
      <c r="AF40" s="409"/>
      <c r="AG40" s="409"/>
      <c r="AH40" s="409"/>
      <c r="AI40" s="409"/>
      <c r="AJ40" s="409"/>
      <c r="AK40" s="409"/>
      <c r="AL40" s="409"/>
      <c r="AM40" s="409"/>
      <c r="AN40" s="409"/>
      <c r="AO40" s="409"/>
      <c r="AP40" s="409"/>
      <c r="AQ40" s="409"/>
      <c r="AR40" s="409"/>
      <c r="AS40" s="409"/>
      <c r="AT40" s="409"/>
      <c r="AU40" s="409"/>
      <c r="AV40" s="410"/>
      <c r="AW40" s="411" t="s">
        <v>330</v>
      </c>
      <c r="AX40" s="409"/>
      <c r="AY40" s="409"/>
      <c r="AZ40" s="409"/>
      <c r="BA40" s="409"/>
      <c r="BB40" s="409"/>
      <c r="BC40" s="409"/>
      <c r="BD40" s="409"/>
      <c r="BE40" s="409"/>
      <c r="BF40" s="409"/>
      <c r="BG40" s="409"/>
      <c r="BH40" s="410"/>
      <c r="BI40" s="52"/>
      <c r="BJ40" s="18" t="s">
        <v>334</v>
      </c>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23" s="13" customFormat="1" ht="15" customHeight="1" x14ac:dyDescent="0.15">
      <c r="A41" s="386" t="s">
        <v>72</v>
      </c>
      <c r="B41" s="387"/>
      <c r="C41" s="387"/>
      <c r="D41" s="387"/>
      <c r="E41" s="387"/>
      <c r="F41" s="387"/>
      <c r="G41" s="387"/>
      <c r="H41" s="387"/>
      <c r="I41" s="387"/>
      <c r="J41" s="388"/>
      <c r="K41" s="389" t="s">
        <v>72</v>
      </c>
      <c r="L41" s="387"/>
      <c r="M41" s="387"/>
      <c r="N41" s="387"/>
      <c r="O41" s="387"/>
      <c r="P41" s="387"/>
      <c r="Q41" s="387"/>
      <c r="R41" s="387"/>
      <c r="S41" s="387"/>
      <c r="T41" s="387"/>
      <c r="U41" s="387"/>
      <c r="V41" s="387"/>
      <c r="W41" s="387"/>
      <c r="X41" s="387"/>
      <c r="Y41" s="387"/>
      <c r="Z41" s="387"/>
      <c r="AA41" s="387"/>
      <c r="AB41" s="387"/>
      <c r="AC41" s="387"/>
      <c r="AD41" s="387"/>
      <c r="AE41" s="387"/>
      <c r="AF41" s="387"/>
      <c r="AG41" s="387"/>
      <c r="AH41" s="387"/>
      <c r="AI41" s="387"/>
      <c r="AJ41" s="387"/>
      <c r="AK41" s="387"/>
      <c r="AL41" s="387"/>
      <c r="AM41" s="387"/>
      <c r="AN41" s="387"/>
      <c r="AO41" s="387"/>
      <c r="AP41" s="387"/>
      <c r="AQ41" s="387"/>
      <c r="AR41" s="387"/>
      <c r="AS41" s="387"/>
      <c r="AT41" s="387"/>
      <c r="AU41" s="387"/>
      <c r="AV41" s="388"/>
      <c r="AW41" s="389" t="s">
        <v>323</v>
      </c>
      <c r="AX41" s="387"/>
      <c r="AY41" s="387"/>
      <c r="AZ41" s="387"/>
      <c r="BA41" s="387"/>
      <c r="BB41" s="387"/>
      <c r="BC41" s="387"/>
      <c r="BD41" s="387"/>
      <c r="BE41" s="387"/>
      <c r="BF41" s="387"/>
      <c r="BG41" s="387"/>
      <c r="BH41" s="388"/>
      <c r="BI41" s="52"/>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23" s="13" customFormat="1" ht="15" customHeight="1" x14ac:dyDescent="0.15">
      <c r="A42" s="386" t="s">
        <v>331</v>
      </c>
      <c r="B42" s="387"/>
      <c r="C42" s="387"/>
      <c r="D42" s="387"/>
      <c r="E42" s="387"/>
      <c r="F42" s="387"/>
      <c r="G42" s="387"/>
      <c r="H42" s="387"/>
      <c r="I42" s="387"/>
      <c r="J42" s="388"/>
      <c r="K42" s="389" t="s">
        <v>332</v>
      </c>
      <c r="L42" s="387"/>
      <c r="M42" s="387"/>
      <c r="N42" s="387"/>
      <c r="O42" s="387"/>
      <c r="P42" s="387"/>
      <c r="Q42" s="387"/>
      <c r="R42" s="387"/>
      <c r="S42" s="387"/>
      <c r="T42" s="387"/>
      <c r="U42" s="387"/>
      <c r="V42" s="387"/>
      <c r="W42" s="387"/>
      <c r="X42" s="387"/>
      <c r="Y42" s="387"/>
      <c r="Z42" s="387"/>
      <c r="AA42" s="387"/>
      <c r="AB42" s="387"/>
      <c r="AC42" s="387"/>
      <c r="AD42" s="387"/>
      <c r="AE42" s="387"/>
      <c r="AF42" s="387"/>
      <c r="AG42" s="387"/>
      <c r="AH42" s="387"/>
      <c r="AI42" s="387"/>
      <c r="AJ42" s="387"/>
      <c r="AK42" s="387"/>
      <c r="AL42" s="387"/>
      <c r="AM42" s="387"/>
      <c r="AN42" s="387"/>
      <c r="AO42" s="387"/>
      <c r="AP42" s="387"/>
      <c r="AQ42" s="387"/>
      <c r="AR42" s="387"/>
      <c r="AS42" s="387"/>
      <c r="AT42" s="387"/>
      <c r="AU42" s="387"/>
      <c r="AV42" s="388"/>
      <c r="AW42" s="389" t="s">
        <v>323</v>
      </c>
      <c r="AX42" s="387"/>
      <c r="AY42" s="387"/>
      <c r="AZ42" s="387"/>
      <c r="BA42" s="387"/>
      <c r="BB42" s="387"/>
      <c r="BC42" s="387"/>
      <c r="BD42" s="387"/>
      <c r="BE42" s="387"/>
      <c r="BF42" s="387"/>
      <c r="BG42" s="387"/>
      <c r="BH42" s="388"/>
      <c r="BI42" s="52"/>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123" s="13" customFormat="1" ht="15" customHeight="1" x14ac:dyDescent="0.15">
      <c r="A43" s="386"/>
      <c r="B43" s="387"/>
      <c r="C43" s="387"/>
      <c r="D43" s="387"/>
      <c r="E43" s="387"/>
      <c r="F43" s="387"/>
      <c r="G43" s="387"/>
      <c r="H43" s="387"/>
      <c r="I43" s="387"/>
      <c r="J43" s="388"/>
      <c r="K43" s="389"/>
      <c r="L43" s="387"/>
      <c r="M43" s="387"/>
      <c r="N43" s="387"/>
      <c r="O43" s="387"/>
      <c r="P43" s="387"/>
      <c r="Q43" s="387"/>
      <c r="R43" s="387"/>
      <c r="S43" s="387"/>
      <c r="T43" s="387"/>
      <c r="U43" s="387"/>
      <c r="V43" s="387"/>
      <c r="W43" s="387"/>
      <c r="X43" s="387"/>
      <c r="Y43" s="387"/>
      <c r="Z43" s="387"/>
      <c r="AA43" s="387"/>
      <c r="AB43" s="387"/>
      <c r="AC43" s="387"/>
      <c r="AD43" s="387"/>
      <c r="AE43" s="387"/>
      <c r="AF43" s="387"/>
      <c r="AG43" s="387"/>
      <c r="AH43" s="387"/>
      <c r="AI43" s="387"/>
      <c r="AJ43" s="387"/>
      <c r="AK43" s="387"/>
      <c r="AL43" s="387"/>
      <c r="AM43" s="387"/>
      <c r="AN43" s="387"/>
      <c r="AO43" s="387"/>
      <c r="AP43" s="387"/>
      <c r="AQ43" s="387"/>
      <c r="AR43" s="387"/>
      <c r="AS43" s="387"/>
      <c r="AT43" s="387"/>
      <c r="AU43" s="387"/>
      <c r="AV43" s="388"/>
      <c r="AW43" s="389"/>
      <c r="AX43" s="387"/>
      <c r="AY43" s="387"/>
      <c r="AZ43" s="387"/>
      <c r="BA43" s="387"/>
      <c r="BB43" s="387"/>
      <c r="BC43" s="387"/>
      <c r="BD43" s="387"/>
      <c r="BE43" s="387"/>
      <c r="BF43" s="387"/>
      <c r="BG43" s="387"/>
      <c r="BH43" s="388"/>
      <c r="BI43" s="404" t="s">
        <v>69</v>
      </c>
      <c r="BJ43" s="298"/>
      <c r="BK43" s="298"/>
      <c r="BL43" s="298"/>
      <c r="BM43" s="298"/>
      <c r="BN43" s="298"/>
      <c r="BO43" s="298"/>
      <c r="BP43" s="298"/>
      <c r="BQ43" s="298"/>
      <c r="BR43" s="298"/>
      <c r="BS43" s="298"/>
      <c r="BT43" s="298"/>
      <c r="BU43" s="298"/>
      <c r="BV43" s="298"/>
      <c r="BW43" s="298"/>
      <c r="BX43" s="298"/>
      <c r="BY43" s="298"/>
      <c r="BZ43" s="298"/>
      <c r="CA43" s="298"/>
      <c r="CB43" s="298"/>
      <c r="CC43" s="298"/>
      <c r="CD43" s="298"/>
      <c r="CE43" s="298"/>
      <c r="CF43" s="298"/>
      <c r="CG43" s="298"/>
      <c r="CH43" s="298"/>
      <c r="CI43" s="298"/>
      <c r="CJ43" s="298"/>
      <c r="CK43" s="298"/>
      <c r="CL43" s="298"/>
      <c r="CM43" s="298"/>
      <c r="CN43" s="298"/>
      <c r="CO43" s="298"/>
      <c r="CP43" s="298"/>
      <c r="CQ43" s="298"/>
      <c r="CR43" s="299"/>
    </row>
    <row r="44" spans="1:123" s="13" customFormat="1" ht="15" customHeight="1" x14ac:dyDescent="0.15">
      <c r="A44" s="386"/>
      <c r="B44" s="387"/>
      <c r="C44" s="387"/>
      <c r="D44" s="387"/>
      <c r="E44" s="387"/>
      <c r="F44" s="387"/>
      <c r="G44" s="387"/>
      <c r="H44" s="387"/>
      <c r="I44" s="387"/>
      <c r="J44" s="388"/>
      <c r="K44" s="389"/>
      <c r="L44" s="387"/>
      <c r="M44" s="387"/>
      <c r="N44" s="387"/>
      <c r="O44" s="387"/>
      <c r="P44" s="387"/>
      <c r="Q44" s="387"/>
      <c r="R44" s="387"/>
      <c r="S44" s="387"/>
      <c r="T44" s="387"/>
      <c r="U44" s="387"/>
      <c r="V44" s="387"/>
      <c r="W44" s="387"/>
      <c r="X44" s="387"/>
      <c r="Y44" s="387"/>
      <c r="Z44" s="387"/>
      <c r="AA44" s="387"/>
      <c r="AB44" s="387"/>
      <c r="AC44" s="387"/>
      <c r="AD44" s="387"/>
      <c r="AE44" s="387"/>
      <c r="AF44" s="387"/>
      <c r="AG44" s="387"/>
      <c r="AH44" s="387"/>
      <c r="AI44" s="387"/>
      <c r="AJ44" s="387"/>
      <c r="AK44" s="387"/>
      <c r="AL44" s="387"/>
      <c r="AM44" s="387"/>
      <c r="AN44" s="387"/>
      <c r="AO44" s="387"/>
      <c r="AP44" s="387"/>
      <c r="AQ44" s="387"/>
      <c r="AR44" s="387"/>
      <c r="AS44" s="387"/>
      <c r="AT44" s="387"/>
      <c r="AU44" s="387"/>
      <c r="AV44" s="388"/>
      <c r="AW44" s="389"/>
      <c r="AX44" s="387"/>
      <c r="AY44" s="387"/>
      <c r="AZ44" s="387"/>
      <c r="BA44" s="387"/>
      <c r="BB44" s="387"/>
      <c r="BC44" s="387"/>
      <c r="BD44" s="387"/>
      <c r="BE44" s="387"/>
      <c r="BF44" s="387"/>
      <c r="BG44" s="387"/>
      <c r="BH44" s="388"/>
      <c r="BI44" s="52"/>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23" s="13" customFormat="1" ht="15" customHeight="1" x14ac:dyDescent="0.15">
      <c r="A45" s="386"/>
      <c r="B45" s="387"/>
      <c r="C45" s="387"/>
      <c r="D45" s="387"/>
      <c r="E45" s="387"/>
      <c r="F45" s="387"/>
      <c r="G45" s="387"/>
      <c r="H45" s="387"/>
      <c r="I45" s="387"/>
      <c r="J45" s="388"/>
      <c r="K45" s="389"/>
      <c r="L45" s="387"/>
      <c r="M45" s="387"/>
      <c r="N45" s="387"/>
      <c r="O45" s="387"/>
      <c r="P45" s="387"/>
      <c r="Q45" s="387"/>
      <c r="R45" s="387"/>
      <c r="S45" s="387"/>
      <c r="T45" s="387"/>
      <c r="U45" s="387"/>
      <c r="V45" s="387"/>
      <c r="W45" s="387"/>
      <c r="X45" s="387"/>
      <c r="Y45" s="387"/>
      <c r="Z45" s="387"/>
      <c r="AA45" s="387"/>
      <c r="AB45" s="387"/>
      <c r="AC45" s="387"/>
      <c r="AD45" s="387"/>
      <c r="AE45" s="387"/>
      <c r="AF45" s="387"/>
      <c r="AG45" s="387"/>
      <c r="AH45" s="387"/>
      <c r="AI45" s="387"/>
      <c r="AJ45" s="387"/>
      <c r="AK45" s="387"/>
      <c r="AL45" s="387"/>
      <c r="AM45" s="387"/>
      <c r="AN45" s="387"/>
      <c r="AO45" s="387"/>
      <c r="AP45" s="387"/>
      <c r="AQ45" s="387"/>
      <c r="AR45" s="387"/>
      <c r="AS45" s="387"/>
      <c r="AT45" s="387"/>
      <c r="AU45" s="387"/>
      <c r="AV45" s="388"/>
      <c r="AW45" s="389"/>
      <c r="AX45" s="387"/>
      <c r="AY45" s="387"/>
      <c r="AZ45" s="387"/>
      <c r="BA45" s="387"/>
      <c r="BB45" s="387"/>
      <c r="BC45" s="387"/>
      <c r="BD45" s="387"/>
      <c r="BE45" s="387"/>
      <c r="BF45" s="387"/>
      <c r="BG45" s="387"/>
      <c r="BH45" s="388"/>
      <c r="BI45" s="52"/>
      <c r="BJ45" s="18" t="s">
        <v>427</v>
      </c>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123" s="13" customFormat="1" ht="15" customHeight="1" x14ac:dyDescent="0.15">
      <c r="A46" s="386"/>
      <c r="B46" s="387"/>
      <c r="C46" s="387"/>
      <c r="D46" s="387"/>
      <c r="E46" s="387"/>
      <c r="F46" s="387"/>
      <c r="G46" s="387"/>
      <c r="H46" s="387"/>
      <c r="I46" s="387"/>
      <c r="J46" s="388"/>
      <c r="K46" s="389"/>
      <c r="L46" s="387"/>
      <c r="M46" s="387"/>
      <c r="N46" s="387"/>
      <c r="O46" s="387"/>
      <c r="P46" s="387"/>
      <c r="Q46" s="387"/>
      <c r="R46" s="387"/>
      <c r="S46" s="387"/>
      <c r="T46" s="387"/>
      <c r="U46" s="387"/>
      <c r="V46" s="387"/>
      <c r="W46" s="387"/>
      <c r="X46" s="387"/>
      <c r="Y46" s="387"/>
      <c r="Z46" s="387"/>
      <c r="AA46" s="387"/>
      <c r="AB46" s="387"/>
      <c r="AC46" s="387"/>
      <c r="AD46" s="387"/>
      <c r="AE46" s="387"/>
      <c r="AF46" s="387"/>
      <c r="AG46" s="387"/>
      <c r="AH46" s="387"/>
      <c r="AI46" s="387"/>
      <c r="AJ46" s="387"/>
      <c r="AK46" s="387"/>
      <c r="AL46" s="387"/>
      <c r="AM46" s="387"/>
      <c r="AN46" s="387"/>
      <c r="AO46" s="387"/>
      <c r="AP46" s="387"/>
      <c r="AQ46" s="387"/>
      <c r="AR46" s="387"/>
      <c r="AS46" s="387"/>
      <c r="AT46" s="387"/>
      <c r="AU46" s="387"/>
      <c r="AV46" s="388"/>
      <c r="AW46" s="389"/>
      <c r="AX46" s="387"/>
      <c r="AY46" s="387"/>
      <c r="AZ46" s="387"/>
      <c r="BA46" s="387"/>
      <c r="BB46" s="387"/>
      <c r="BC46" s="387"/>
      <c r="BD46" s="387"/>
      <c r="BE46" s="387"/>
      <c r="BF46" s="387"/>
      <c r="BG46" s="387"/>
      <c r="BH46" s="388"/>
      <c r="BI46" s="52"/>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23" s="13" customFormat="1" ht="15" customHeight="1" thickBot="1" x14ac:dyDescent="0.2">
      <c r="A47" s="382"/>
      <c r="B47" s="383"/>
      <c r="C47" s="383"/>
      <c r="D47" s="383"/>
      <c r="E47" s="383"/>
      <c r="F47" s="383"/>
      <c r="G47" s="383"/>
      <c r="H47" s="383"/>
      <c r="I47" s="383"/>
      <c r="J47" s="384"/>
      <c r="K47" s="385"/>
      <c r="L47" s="383"/>
      <c r="M47" s="383"/>
      <c r="N47" s="383"/>
      <c r="O47" s="383"/>
      <c r="P47" s="383"/>
      <c r="Q47" s="383"/>
      <c r="R47" s="383"/>
      <c r="S47" s="383"/>
      <c r="T47" s="383"/>
      <c r="U47" s="383"/>
      <c r="V47" s="383"/>
      <c r="W47" s="383"/>
      <c r="X47" s="383"/>
      <c r="Y47" s="383"/>
      <c r="Z47" s="383"/>
      <c r="AA47" s="383"/>
      <c r="AB47" s="383"/>
      <c r="AC47" s="383"/>
      <c r="AD47" s="383"/>
      <c r="AE47" s="383"/>
      <c r="AF47" s="383"/>
      <c r="AG47" s="383"/>
      <c r="AH47" s="383"/>
      <c r="AI47" s="383"/>
      <c r="AJ47" s="383"/>
      <c r="AK47" s="383"/>
      <c r="AL47" s="383"/>
      <c r="AM47" s="383"/>
      <c r="AN47" s="383"/>
      <c r="AO47" s="383"/>
      <c r="AP47" s="383"/>
      <c r="AQ47" s="383"/>
      <c r="AR47" s="383"/>
      <c r="AS47" s="383"/>
      <c r="AT47" s="383"/>
      <c r="AU47" s="383"/>
      <c r="AV47" s="384"/>
      <c r="AW47" s="385"/>
      <c r="AX47" s="383"/>
      <c r="AY47" s="383"/>
      <c r="AZ47" s="383"/>
      <c r="BA47" s="383"/>
      <c r="BB47" s="383"/>
      <c r="BC47" s="383"/>
      <c r="BD47" s="383"/>
      <c r="BE47" s="383"/>
      <c r="BF47" s="383"/>
      <c r="BG47" s="383"/>
      <c r="BH47" s="384"/>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row>
    <row r="48" spans="1:123" s="12" customFormat="1" ht="15" customHeight="1" x14ac:dyDescent="0.15">
      <c r="A48" s="396" t="s">
        <v>71</v>
      </c>
      <c r="B48" s="397"/>
      <c r="C48" s="397"/>
      <c r="D48" s="397"/>
      <c r="E48" s="397"/>
      <c r="F48" s="397"/>
      <c r="G48" s="397"/>
      <c r="H48" s="397"/>
      <c r="I48" s="397"/>
      <c r="J48" s="397"/>
      <c r="K48" s="397"/>
      <c r="L48" s="397"/>
      <c r="M48" s="397"/>
      <c r="N48" s="397"/>
      <c r="O48" s="397"/>
      <c r="P48" s="397"/>
      <c r="Q48" s="397"/>
      <c r="R48" s="397"/>
      <c r="S48" s="397"/>
      <c r="T48" s="397"/>
      <c r="U48" s="397"/>
      <c r="V48" s="397"/>
      <c r="W48" s="397"/>
      <c r="X48" s="397"/>
      <c r="Y48" s="397"/>
      <c r="Z48" s="397"/>
      <c r="AA48" s="397"/>
      <c r="AB48" s="397"/>
      <c r="AC48" s="397"/>
      <c r="AD48" s="397"/>
      <c r="AE48" s="397"/>
      <c r="AF48" s="397"/>
      <c r="AG48" s="397"/>
      <c r="AH48" s="397"/>
      <c r="AI48" s="397"/>
      <c r="AJ48" s="397"/>
      <c r="AK48" s="397"/>
      <c r="AL48" s="397"/>
      <c r="AM48" s="397"/>
      <c r="AN48" s="397"/>
      <c r="AO48" s="397"/>
      <c r="AP48" s="397"/>
      <c r="AQ48" s="397"/>
      <c r="AR48" s="397"/>
      <c r="AS48" s="397"/>
      <c r="AT48" s="397"/>
      <c r="AU48" s="397"/>
      <c r="AV48" s="397"/>
      <c r="AW48" s="397"/>
      <c r="AX48" s="397"/>
      <c r="AY48" s="397"/>
      <c r="AZ48" s="397"/>
      <c r="BA48" s="397"/>
      <c r="BB48" s="397"/>
      <c r="BC48" s="397"/>
      <c r="BD48" s="397"/>
      <c r="BE48" s="397"/>
      <c r="BF48" s="397"/>
      <c r="BG48" s="397"/>
      <c r="BH48" s="397"/>
      <c r="BI48" s="397"/>
      <c r="BJ48" s="397"/>
      <c r="BK48" s="397"/>
      <c r="BL48" s="397"/>
      <c r="BM48" s="397"/>
      <c r="BN48" s="397"/>
      <c r="BO48" s="397"/>
      <c r="BP48" s="397"/>
      <c r="BQ48" s="397"/>
      <c r="BR48" s="397"/>
      <c r="BS48" s="397"/>
      <c r="BT48" s="397"/>
      <c r="BU48" s="397"/>
      <c r="BV48" s="397"/>
      <c r="BW48" s="397"/>
      <c r="BX48" s="397"/>
      <c r="BY48" s="397"/>
      <c r="BZ48" s="397"/>
      <c r="CA48" s="397"/>
      <c r="CB48" s="397"/>
      <c r="CC48" s="397"/>
      <c r="CD48" s="397"/>
      <c r="CE48" s="397"/>
      <c r="CF48" s="397"/>
      <c r="CG48" s="397"/>
      <c r="CH48" s="397"/>
      <c r="CI48" s="397"/>
      <c r="CJ48" s="397"/>
      <c r="CK48" s="397"/>
      <c r="CL48" s="397"/>
      <c r="CM48" s="397"/>
      <c r="CN48" s="397"/>
      <c r="CO48" s="397"/>
      <c r="CP48" s="397"/>
      <c r="CQ48" s="397"/>
      <c r="CR48" s="398"/>
    </row>
    <row r="49" spans="1:147" s="60" customFormat="1" ht="15" customHeight="1" x14ac:dyDescent="0.2">
      <c r="A49" s="57"/>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9"/>
    </row>
    <row r="50" spans="1:147" s="60" customFormat="1" ht="15" customHeight="1" x14ac:dyDescent="0.2">
      <c r="A50" s="57"/>
      <c r="B50" s="58" t="s">
        <v>126</v>
      </c>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t="s">
        <v>339</v>
      </c>
      <c r="CL50" s="58"/>
      <c r="CM50" s="58"/>
      <c r="CN50" s="58"/>
      <c r="CO50" s="58"/>
      <c r="CP50" s="58"/>
      <c r="CQ50" s="58"/>
      <c r="CR50" s="59"/>
    </row>
    <row r="51" spans="1:147" s="60" customFormat="1" ht="15" customHeight="1" thickBot="1" x14ac:dyDescent="0.2">
      <c r="A51" s="57"/>
      <c r="B51" s="377" t="s">
        <v>127</v>
      </c>
      <c r="C51" s="378"/>
      <c r="D51" s="378"/>
      <c r="E51" s="378"/>
      <c r="F51" s="378"/>
      <c r="G51" s="378"/>
      <c r="H51" s="378"/>
      <c r="I51" s="378"/>
      <c r="J51" s="378"/>
      <c r="K51" s="378"/>
      <c r="L51" s="378"/>
      <c r="M51" s="378"/>
      <c r="N51" s="378"/>
      <c r="O51" s="379"/>
      <c r="P51" s="377" t="s">
        <v>128</v>
      </c>
      <c r="Q51" s="378"/>
      <c r="R51" s="378"/>
      <c r="S51" s="378"/>
      <c r="T51" s="379"/>
      <c r="U51" s="377" t="s">
        <v>129</v>
      </c>
      <c r="V51" s="378"/>
      <c r="W51" s="379"/>
      <c r="X51" s="377" t="s">
        <v>130</v>
      </c>
      <c r="Y51" s="380"/>
      <c r="Z51" s="380"/>
      <c r="AA51" s="380"/>
      <c r="AB51" s="380"/>
      <c r="AC51" s="380"/>
      <c r="AD51" s="380"/>
      <c r="AE51" s="380"/>
      <c r="AF51" s="380"/>
      <c r="AG51" s="380"/>
      <c r="AH51" s="380"/>
      <c r="AI51" s="380"/>
      <c r="AJ51" s="380"/>
      <c r="AK51" s="380"/>
      <c r="AL51" s="380"/>
      <c r="AM51" s="380"/>
      <c r="AN51" s="380"/>
      <c r="AO51" s="380"/>
      <c r="AP51" s="380"/>
      <c r="AQ51" s="380"/>
      <c r="AR51" s="380"/>
      <c r="AS51" s="380"/>
      <c r="AT51" s="380"/>
      <c r="AU51" s="380"/>
      <c r="AV51" s="381"/>
      <c r="AW51" s="58"/>
      <c r="AX51" s="58"/>
      <c r="AZ51" s="17" t="s">
        <v>340</v>
      </c>
      <c r="BA51" s="17"/>
      <c r="BB51" s="17"/>
      <c r="BC51" s="17"/>
      <c r="BD51" s="17"/>
      <c r="BE51" s="17"/>
      <c r="BF51" s="17"/>
      <c r="BG51" s="17"/>
      <c r="BH51" s="17"/>
      <c r="BI51" s="17"/>
      <c r="BJ51" s="17"/>
      <c r="BK51" s="17"/>
      <c r="BL51" s="17"/>
      <c r="BM51" s="17"/>
      <c r="BN51" s="17"/>
      <c r="BO51" s="17"/>
      <c r="BP51" s="58"/>
      <c r="BQ51" s="17"/>
      <c r="BR51" s="17"/>
      <c r="BS51" s="17"/>
      <c r="BT51" s="17"/>
      <c r="BU51" s="17"/>
      <c r="BV51" s="17"/>
      <c r="BW51" s="17"/>
      <c r="BX51" s="17"/>
      <c r="CL51" s="58"/>
      <c r="CM51" s="58"/>
      <c r="CN51" s="58"/>
      <c r="CO51" s="58"/>
      <c r="CP51" s="58"/>
      <c r="CQ51" s="58"/>
      <c r="CR51" s="59"/>
    </row>
    <row r="52" spans="1:147" s="60" customFormat="1" ht="15" customHeight="1" thickBot="1" x14ac:dyDescent="0.2">
      <c r="A52" s="57"/>
      <c r="B52" s="334" t="s">
        <v>335</v>
      </c>
      <c r="C52" s="334"/>
      <c r="D52" s="334"/>
      <c r="E52" s="334"/>
      <c r="F52" s="334"/>
      <c r="G52" s="334"/>
      <c r="H52" s="334"/>
      <c r="I52" s="334"/>
      <c r="J52" s="334"/>
      <c r="K52" s="334"/>
      <c r="L52" s="334"/>
      <c r="M52" s="334"/>
      <c r="N52" s="334"/>
      <c r="O52" s="334"/>
      <c r="P52" s="335" t="s">
        <v>365</v>
      </c>
      <c r="Q52" s="335"/>
      <c r="R52" s="335"/>
      <c r="S52" s="335"/>
      <c r="T52" s="335"/>
      <c r="U52" s="336" t="s">
        <v>134</v>
      </c>
      <c r="V52" s="337"/>
      <c r="W52" s="338"/>
      <c r="X52" s="339" t="s">
        <v>132</v>
      </c>
      <c r="Y52" s="339"/>
      <c r="Z52" s="339"/>
      <c r="AA52" s="339"/>
      <c r="AB52" s="339"/>
      <c r="AC52" s="339"/>
      <c r="AD52" s="339"/>
      <c r="AE52" s="339"/>
      <c r="AF52" s="339"/>
      <c r="AG52" s="339"/>
      <c r="AH52" s="339"/>
      <c r="AI52" s="339"/>
      <c r="AJ52" s="339"/>
      <c r="AK52" s="339"/>
      <c r="AL52" s="339"/>
      <c r="AM52" s="339"/>
      <c r="AN52" s="339"/>
      <c r="AO52" s="339"/>
      <c r="AP52" s="339"/>
      <c r="AQ52" s="339"/>
      <c r="AR52" s="339"/>
      <c r="AS52" s="339"/>
      <c r="AT52" s="339"/>
      <c r="AU52" s="339"/>
      <c r="AV52" s="339"/>
      <c r="AW52" s="58"/>
      <c r="AX52" s="58"/>
      <c r="AZ52" s="17"/>
      <c r="BA52" s="390" t="s">
        <v>331</v>
      </c>
      <c r="BB52" s="391"/>
      <c r="BC52" s="391"/>
      <c r="BD52" s="391"/>
      <c r="BE52" s="391"/>
      <c r="BF52" s="391"/>
      <c r="BG52" s="392"/>
      <c r="BH52" s="393"/>
      <c r="BI52" s="394"/>
      <c r="BJ52" s="394"/>
      <c r="BK52" s="394"/>
      <c r="BL52" s="394"/>
      <c r="BM52" s="394"/>
      <c r="BN52" s="394"/>
      <c r="BO52" s="394"/>
      <c r="BP52" s="394"/>
      <c r="BQ52" s="394"/>
      <c r="BR52" s="394"/>
      <c r="BS52" s="394"/>
      <c r="BT52" s="394"/>
      <c r="BU52" s="394"/>
      <c r="BV52" s="395"/>
      <c r="BW52" s="97" t="s">
        <v>341</v>
      </c>
      <c r="BX52" s="98"/>
      <c r="CL52" s="58"/>
      <c r="CQ52" s="58"/>
      <c r="CR52" s="59"/>
    </row>
    <row r="53" spans="1:147" s="60" customFormat="1" ht="15" customHeight="1" x14ac:dyDescent="0.15">
      <c r="A53" s="57"/>
      <c r="B53" s="334" t="s">
        <v>136</v>
      </c>
      <c r="C53" s="334"/>
      <c r="D53" s="334"/>
      <c r="E53" s="334"/>
      <c r="F53" s="334"/>
      <c r="G53" s="334"/>
      <c r="H53" s="334"/>
      <c r="I53" s="334"/>
      <c r="J53" s="334"/>
      <c r="K53" s="334"/>
      <c r="L53" s="334"/>
      <c r="M53" s="334"/>
      <c r="N53" s="334"/>
      <c r="O53" s="334"/>
      <c r="P53" s="335" t="s">
        <v>365</v>
      </c>
      <c r="Q53" s="335"/>
      <c r="R53" s="335"/>
      <c r="S53" s="335"/>
      <c r="T53" s="335"/>
      <c r="U53" s="336">
        <v>11</v>
      </c>
      <c r="V53" s="337"/>
      <c r="W53" s="338"/>
      <c r="X53" s="339" t="s">
        <v>308</v>
      </c>
      <c r="Y53" s="339"/>
      <c r="Z53" s="339"/>
      <c r="AA53" s="339"/>
      <c r="AB53" s="339"/>
      <c r="AC53" s="339"/>
      <c r="AD53" s="339"/>
      <c r="AE53" s="339"/>
      <c r="AF53" s="339"/>
      <c r="AG53" s="339"/>
      <c r="AH53" s="339"/>
      <c r="AI53" s="339"/>
      <c r="AJ53" s="339"/>
      <c r="AK53" s="339"/>
      <c r="AL53" s="339"/>
      <c r="AM53" s="339"/>
      <c r="AN53" s="339"/>
      <c r="AO53" s="339"/>
      <c r="AP53" s="339"/>
      <c r="AQ53" s="339"/>
      <c r="AR53" s="339"/>
      <c r="AS53" s="339"/>
      <c r="AT53" s="339"/>
      <c r="AU53" s="339"/>
      <c r="AV53" s="339"/>
      <c r="AW53" s="58"/>
      <c r="AX53" s="58"/>
      <c r="AZ53" s="17"/>
      <c r="BE53" s="58"/>
      <c r="BF53" s="58"/>
      <c r="BH53" s="99" t="s">
        <v>342</v>
      </c>
      <c r="BI53" s="100"/>
      <c r="BJ53" s="101"/>
      <c r="BK53" s="101"/>
      <c r="BL53" s="101"/>
      <c r="BM53" s="83"/>
      <c r="BN53" s="83"/>
      <c r="BO53" s="83"/>
      <c r="BP53" s="83"/>
      <c r="BQ53" s="83"/>
      <c r="BR53" s="83"/>
      <c r="BS53" s="83"/>
      <c r="BT53" s="83"/>
      <c r="BU53" s="83"/>
      <c r="BV53" s="84"/>
      <c r="BW53" s="58"/>
      <c r="BX53" s="58"/>
      <c r="CL53" s="58"/>
      <c r="CQ53" s="58"/>
      <c r="CR53" s="59"/>
    </row>
    <row r="54" spans="1:147" s="60" customFormat="1" ht="15" customHeight="1" x14ac:dyDescent="0.15">
      <c r="A54" s="57"/>
      <c r="B54" s="334" t="s">
        <v>137</v>
      </c>
      <c r="C54" s="334"/>
      <c r="D54" s="334"/>
      <c r="E54" s="334"/>
      <c r="F54" s="334"/>
      <c r="G54" s="334"/>
      <c r="H54" s="334"/>
      <c r="I54" s="334"/>
      <c r="J54" s="334"/>
      <c r="K54" s="334"/>
      <c r="L54" s="334"/>
      <c r="M54" s="334"/>
      <c r="N54" s="334"/>
      <c r="O54" s="334"/>
      <c r="P54" s="335" t="s">
        <v>365</v>
      </c>
      <c r="Q54" s="335"/>
      <c r="R54" s="335"/>
      <c r="S54" s="335"/>
      <c r="T54" s="335"/>
      <c r="U54" s="336">
        <v>100</v>
      </c>
      <c r="V54" s="337"/>
      <c r="W54" s="338"/>
      <c r="X54" s="339" t="s">
        <v>138</v>
      </c>
      <c r="Y54" s="339"/>
      <c r="Z54" s="339"/>
      <c r="AA54" s="339"/>
      <c r="AB54" s="339"/>
      <c r="AC54" s="339"/>
      <c r="AD54" s="339"/>
      <c r="AE54" s="339"/>
      <c r="AF54" s="339"/>
      <c r="AG54" s="339"/>
      <c r="AH54" s="339"/>
      <c r="AI54" s="339"/>
      <c r="AJ54" s="339"/>
      <c r="AK54" s="339"/>
      <c r="AL54" s="339"/>
      <c r="AM54" s="339"/>
      <c r="AN54" s="339"/>
      <c r="AO54" s="339"/>
      <c r="AP54" s="339"/>
      <c r="AQ54" s="339"/>
      <c r="AR54" s="339"/>
      <c r="AS54" s="339"/>
      <c r="AT54" s="339"/>
      <c r="AU54" s="339"/>
      <c r="AV54" s="339"/>
      <c r="AW54" s="58"/>
      <c r="AX54" s="58"/>
      <c r="AZ54" s="17"/>
      <c r="BE54" s="58"/>
      <c r="BF54" s="58"/>
      <c r="BH54" s="102" t="s">
        <v>343</v>
      </c>
      <c r="BI54" s="103"/>
      <c r="BJ54" s="104"/>
      <c r="BK54" s="104"/>
      <c r="BL54" s="104"/>
      <c r="BM54" s="86"/>
      <c r="BN54" s="86"/>
      <c r="BO54" s="86"/>
      <c r="BP54" s="86"/>
      <c r="BQ54" s="86"/>
      <c r="BR54" s="86"/>
      <c r="BS54" s="86"/>
      <c r="BT54" s="86"/>
      <c r="BU54" s="86"/>
      <c r="BV54" s="87"/>
      <c r="BW54" s="58"/>
      <c r="BX54" s="58"/>
      <c r="CL54" s="58"/>
      <c r="CQ54" s="58"/>
      <c r="CR54" s="59"/>
    </row>
    <row r="55" spans="1:147" s="60" customFormat="1" ht="15" customHeight="1" x14ac:dyDescent="0.2">
      <c r="A55" s="57"/>
      <c r="B55" s="334" t="s">
        <v>139</v>
      </c>
      <c r="C55" s="334"/>
      <c r="D55" s="334"/>
      <c r="E55" s="334"/>
      <c r="F55" s="334"/>
      <c r="G55" s="334"/>
      <c r="H55" s="334"/>
      <c r="I55" s="334"/>
      <c r="J55" s="334"/>
      <c r="K55" s="334"/>
      <c r="L55" s="334"/>
      <c r="M55" s="334"/>
      <c r="N55" s="334"/>
      <c r="O55" s="334"/>
      <c r="P55" s="335" t="s">
        <v>133</v>
      </c>
      <c r="Q55" s="335"/>
      <c r="R55" s="335"/>
      <c r="S55" s="335"/>
      <c r="T55" s="335"/>
      <c r="U55" s="336" t="s">
        <v>131</v>
      </c>
      <c r="V55" s="337"/>
      <c r="W55" s="338"/>
      <c r="X55" s="339" t="s">
        <v>132</v>
      </c>
      <c r="Y55" s="339"/>
      <c r="Z55" s="339"/>
      <c r="AA55" s="339"/>
      <c r="AB55" s="339"/>
      <c r="AC55" s="339"/>
      <c r="AD55" s="339"/>
      <c r="AE55" s="339"/>
      <c r="AF55" s="339"/>
      <c r="AG55" s="339"/>
      <c r="AH55" s="339"/>
      <c r="AI55" s="339"/>
      <c r="AJ55" s="339"/>
      <c r="AK55" s="339"/>
      <c r="AL55" s="339"/>
      <c r="AM55" s="339"/>
      <c r="AN55" s="339"/>
      <c r="AO55" s="339"/>
      <c r="AP55" s="339"/>
      <c r="AQ55" s="339"/>
      <c r="AR55" s="339"/>
      <c r="AS55" s="339"/>
      <c r="AT55" s="339"/>
      <c r="AU55" s="339"/>
      <c r="AV55" s="339"/>
      <c r="AW55" s="58"/>
      <c r="AX55" s="58"/>
      <c r="AZ55" s="58"/>
      <c r="BE55" s="58"/>
      <c r="BF55" s="58"/>
      <c r="BH55" s="102" t="s">
        <v>344</v>
      </c>
      <c r="BI55" s="103"/>
      <c r="BJ55" s="104"/>
      <c r="BK55" s="104"/>
      <c r="BL55" s="104"/>
      <c r="BM55" s="86"/>
      <c r="BN55" s="86"/>
      <c r="BO55" s="86"/>
      <c r="BP55" s="86"/>
      <c r="BQ55" s="86"/>
      <c r="BR55" s="86"/>
      <c r="BS55" s="86"/>
      <c r="BT55" s="86"/>
      <c r="BU55" s="86"/>
      <c r="BV55" s="87"/>
      <c r="BW55" s="58"/>
      <c r="BX55" s="58"/>
      <c r="CL55" s="58"/>
      <c r="CQ55" s="58"/>
      <c r="CR55" s="59"/>
    </row>
    <row r="56" spans="1:147" s="60" customFormat="1" ht="15" customHeight="1" x14ac:dyDescent="0.15">
      <c r="A56" s="57"/>
      <c r="B56" s="334" t="s">
        <v>140</v>
      </c>
      <c r="C56" s="334"/>
      <c r="D56" s="334"/>
      <c r="E56" s="334"/>
      <c r="F56" s="334"/>
      <c r="G56" s="334"/>
      <c r="H56" s="334"/>
      <c r="I56" s="334"/>
      <c r="J56" s="334"/>
      <c r="K56" s="334"/>
      <c r="L56" s="334"/>
      <c r="M56" s="334"/>
      <c r="N56" s="334"/>
      <c r="O56" s="334"/>
      <c r="P56" s="335" t="s">
        <v>365</v>
      </c>
      <c r="Q56" s="335"/>
      <c r="R56" s="335"/>
      <c r="S56" s="335"/>
      <c r="T56" s="335"/>
      <c r="U56" s="336">
        <v>3</v>
      </c>
      <c r="V56" s="337"/>
      <c r="W56" s="338"/>
      <c r="X56" s="339"/>
      <c r="Y56" s="339"/>
      <c r="Z56" s="339"/>
      <c r="AA56" s="339"/>
      <c r="AB56" s="339"/>
      <c r="AC56" s="339"/>
      <c r="AD56" s="339"/>
      <c r="AE56" s="339"/>
      <c r="AF56" s="339"/>
      <c r="AG56" s="339"/>
      <c r="AH56" s="339"/>
      <c r="AI56" s="339"/>
      <c r="AJ56" s="339"/>
      <c r="AK56" s="339"/>
      <c r="AL56" s="339"/>
      <c r="AM56" s="339"/>
      <c r="AN56" s="339"/>
      <c r="AO56" s="339"/>
      <c r="AP56" s="339"/>
      <c r="AQ56" s="339"/>
      <c r="AR56" s="339"/>
      <c r="AS56" s="339"/>
      <c r="AT56" s="339"/>
      <c r="AU56" s="339"/>
      <c r="AV56" s="339"/>
      <c r="AW56" s="58"/>
      <c r="AX56" s="58"/>
      <c r="AZ56" s="17"/>
      <c r="BE56" s="58"/>
      <c r="BF56" s="58"/>
      <c r="BH56" s="102" t="s">
        <v>345</v>
      </c>
      <c r="BI56" s="103"/>
      <c r="BJ56" s="104"/>
      <c r="BK56" s="104"/>
      <c r="BL56" s="104"/>
      <c r="BM56" s="86"/>
      <c r="BN56" s="86"/>
      <c r="BO56" s="86"/>
      <c r="BP56" s="86"/>
      <c r="BQ56" s="86"/>
      <c r="BR56" s="86"/>
      <c r="BS56" s="86"/>
      <c r="BT56" s="86"/>
      <c r="BU56" s="86"/>
      <c r="BV56" s="87"/>
      <c r="BW56" s="58"/>
      <c r="BX56" s="58"/>
      <c r="CL56" s="58"/>
      <c r="CQ56" s="58"/>
      <c r="CR56" s="59"/>
    </row>
    <row r="57" spans="1:147" s="60" customFormat="1" ht="15" customHeight="1" x14ac:dyDescent="0.15">
      <c r="A57" s="57"/>
      <c r="B57" s="334" t="s">
        <v>338</v>
      </c>
      <c r="C57" s="334"/>
      <c r="D57" s="334"/>
      <c r="E57" s="334"/>
      <c r="F57" s="334"/>
      <c r="G57" s="334"/>
      <c r="H57" s="334"/>
      <c r="I57" s="334"/>
      <c r="J57" s="334" t="s">
        <v>142</v>
      </c>
      <c r="K57" s="334"/>
      <c r="L57" s="334"/>
      <c r="M57" s="334"/>
      <c r="N57" s="334"/>
      <c r="O57" s="334"/>
      <c r="P57" s="341" t="s">
        <v>133</v>
      </c>
      <c r="Q57" s="342"/>
      <c r="R57" s="342"/>
      <c r="S57" s="342"/>
      <c r="T57" s="343"/>
      <c r="U57" s="350" t="s">
        <v>134</v>
      </c>
      <c r="V57" s="351"/>
      <c r="W57" s="352"/>
      <c r="X57" s="359" t="s">
        <v>157</v>
      </c>
      <c r="Y57" s="360"/>
      <c r="Z57" s="360"/>
      <c r="AA57" s="360"/>
      <c r="AB57" s="360"/>
      <c r="AC57" s="360"/>
      <c r="AD57" s="360"/>
      <c r="AE57" s="360"/>
      <c r="AF57" s="360"/>
      <c r="AG57" s="360"/>
      <c r="AH57" s="360"/>
      <c r="AI57" s="360"/>
      <c r="AJ57" s="360"/>
      <c r="AK57" s="360"/>
      <c r="AL57" s="360"/>
      <c r="AM57" s="360"/>
      <c r="AN57" s="360"/>
      <c r="AO57" s="360"/>
      <c r="AP57" s="360"/>
      <c r="AQ57" s="360"/>
      <c r="AR57" s="360"/>
      <c r="AS57" s="360"/>
      <c r="AT57" s="360"/>
      <c r="AU57" s="360"/>
      <c r="AV57" s="361"/>
      <c r="AW57" s="58"/>
      <c r="AX57" s="58"/>
      <c r="AZ57" s="17"/>
      <c r="BA57" s="17"/>
      <c r="BB57" s="17"/>
      <c r="BC57" s="17"/>
      <c r="BD57" s="17"/>
      <c r="BE57" s="17"/>
      <c r="BF57" s="17"/>
      <c r="BG57" s="17"/>
      <c r="BH57" s="58" t="s">
        <v>62</v>
      </c>
      <c r="BI57" s="17"/>
      <c r="BJ57" s="17"/>
      <c r="BK57" s="17"/>
      <c r="BL57" s="17"/>
      <c r="BM57" s="17"/>
      <c r="BN57" s="17"/>
      <c r="BO57" s="17"/>
      <c r="BP57" s="17"/>
      <c r="BQ57" s="17"/>
      <c r="BR57" s="17"/>
      <c r="BS57" s="17"/>
      <c r="BT57" s="17"/>
      <c r="BU57" s="17"/>
      <c r="BV57" s="17"/>
      <c r="BW57" s="17"/>
      <c r="BX57" s="17"/>
      <c r="CL57" s="58"/>
      <c r="CQ57" s="58"/>
      <c r="CR57" s="59"/>
    </row>
    <row r="58" spans="1:147" s="60" customFormat="1" ht="15" customHeight="1" x14ac:dyDescent="0.15">
      <c r="A58" s="57"/>
      <c r="B58" s="334"/>
      <c r="C58" s="334"/>
      <c r="D58" s="334"/>
      <c r="E58" s="334"/>
      <c r="F58" s="334"/>
      <c r="G58" s="334"/>
      <c r="H58" s="334"/>
      <c r="I58" s="334"/>
      <c r="J58" s="334"/>
      <c r="K58" s="334"/>
      <c r="L58" s="334"/>
      <c r="M58" s="334"/>
      <c r="N58" s="334"/>
      <c r="O58" s="334"/>
      <c r="P58" s="344"/>
      <c r="Q58" s="345"/>
      <c r="R58" s="345"/>
      <c r="S58" s="345"/>
      <c r="T58" s="346"/>
      <c r="U58" s="353"/>
      <c r="V58" s="354"/>
      <c r="W58" s="355"/>
      <c r="X58" s="362"/>
      <c r="Y58" s="363"/>
      <c r="Z58" s="363"/>
      <c r="AA58" s="363"/>
      <c r="AB58" s="363"/>
      <c r="AC58" s="363"/>
      <c r="AD58" s="363"/>
      <c r="AE58" s="363"/>
      <c r="AF58" s="363"/>
      <c r="AG58" s="363"/>
      <c r="AH58" s="363"/>
      <c r="AI58" s="363"/>
      <c r="AJ58" s="363"/>
      <c r="AK58" s="363"/>
      <c r="AL58" s="363"/>
      <c r="AM58" s="363"/>
      <c r="AN58" s="363"/>
      <c r="AO58" s="363"/>
      <c r="AP58" s="363"/>
      <c r="AQ58" s="363"/>
      <c r="AR58" s="363"/>
      <c r="AS58" s="363"/>
      <c r="AT58" s="363"/>
      <c r="AU58" s="363"/>
      <c r="AV58" s="364"/>
      <c r="AW58" s="58"/>
      <c r="AX58" s="58"/>
      <c r="AZ58" s="17"/>
      <c r="BA58" s="17"/>
      <c r="BB58" s="17"/>
      <c r="BC58" s="17"/>
      <c r="BD58" s="17"/>
      <c r="BE58" s="17"/>
      <c r="BF58" s="17"/>
      <c r="BG58" s="17"/>
      <c r="BH58" s="60" t="s">
        <v>62</v>
      </c>
      <c r="BI58" s="17"/>
      <c r="BJ58" s="17"/>
      <c r="BK58" s="17"/>
      <c r="BL58" s="17"/>
      <c r="BM58" s="17"/>
      <c r="BN58" s="17"/>
      <c r="BO58" s="17"/>
      <c r="BP58" s="17"/>
      <c r="BQ58" s="17"/>
      <c r="BR58" s="17"/>
      <c r="BS58" s="17"/>
      <c r="BT58" s="17"/>
      <c r="BU58" s="17"/>
      <c r="BV58" s="17"/>
      <c r="BW58" s="17"/>
      <c r="BX58" s="17"/>
      <c r="CL58" s="58"/>
      <c r="CQ58" s="58"/>
      <c r="CR58" s="59"/>
    </row>
    <row r="59" spans="1:147" s="60" customFormat="1" ht="15" customHeight="1" x14ac:dyDescent="0.15">
      <c r="A59" s="57"/>
      <c r="B59" s="334"/>
      <c r="C59" s="334"/>
      <c r="D59" s="334"/>
      <c r="E59" s="334"/>
      <c r="F59" s="334"/>
      <c r="G59" s="334"/>
      <c r="H59" s="334"/>
      <c r="I59" s="334"/>
      <c r="J59" s="334"/>
      <c r="K59" s="334"/>
      <c r="L59" s="334"/>
      <c r="M59" s="334"/>
      <c r="N59" s="334"/>
      <c r="O59" s="334"/>
      <c r="P59" s="347"/>
      <c r="Q59" s="348"/>
      <c r="R59" s="348"/>
      <c r="S59" s="348"/>
      <c r="T59" s="349"/>
      <c r="U59" s="356"/>
      <c r="V59" s="357"/>
      <c r="W59" s="358"/>
      <c r="X59" s="362"/>
      <c r="Y59" s="363"/>
      <c r="Z59" s="363"/>
      <c r="AA59" s="363"/>
      <c r="AB59" s="363"/>
      <c r="AC59" s="363"/>
      <c r="AD59" s="363"/>
      <c r="AE59" s="363"/>
      <c r="AF59" s="363"/>
      <c r="AG59" s="363"/>
      <c r="AH59" s="363"/>
      <c r="AI59" s="363"/>
      <c r="AJ59" s="363"/>
      <c r="AK59" s="363"/>
      <c r="AL59" s="363"/>
      <c r="AM59" s="363"/>
      <c r="AN59" s="363"/>
      <c r="AO59" s="363"/>
      <c r="AP59" s="363"/>
      <c r="AQ59" s="363"/>
      <c r="AR59" s="363"/>
      <c r="AS59" s="363"/>
      <c r="AT59" s="363"/>
      <c r="AU59" s="363"/>
      <c r="AV59" s="364"/>
      <c r="AW59" s="58"/>
      <c r="AX59" s="58"/>
      <c r="AZ59" s="17"/>
      <c r="BA59" s="17"/>
      <c r="BB59" s="17"/>
      <c r="BC59" s="17"/>
      <c r="BD59" s="17"/>
      <c r="BE59" s="17"/>
      <c r="BF59" s="17"/>
      <c r="BG59" s="17"/>
      <c r="BH59" s="60" t="s">
        <v>62</v>
      </c>
      <c r="BI59" s="17"/>
      <c r="BJ59" s="17"/>
      <c r="BK59" s="17"/>
      <c r="BL59" s="17"/>
      <c r="BM59" s="17"/>
      <c r="BN59" s="17"/>
      <c r="BO59" s="17"/>
      <c r="BP59" s="17"/>
      <c r="BQ59" s="17"/>
      <c r="BR59" s="17"/>
      <c r="BS59" s="17"/>
      <c r="BT59" s="17"/>
      <c r="BU59" s="17"/>
      <c r="BV59" s="17"/>
      <c r="BW59" s="17"/>
      <c r="BX59" s="17"/>
      <c r="CL59" s="58"/>
      <c r="CQ59" s="58"/>
      <c r="CR59" s="59"/>
    </row>
    <row r="60" spans="1:147" s="60" customFormat="1" ht="15" customHeight="1" x14ac:dyDescent="0.2">
      <c r="A60" s="57"/>
      <c r="B60" s="334"/>
      <c r="C60" s="334"/>
      <c r="D60" s="334"/>
      <c r="E60" s="334"/>
      <c r="F60" s="334"/>
      <c r="G60" s="334"/>
      <c r="H60" s="334"/>
      <c r="I60" s="334"/>
      <c r="J60" s="334" t="s">
        <v>143</v>
      </c>
      <c r="K60" s="334"/>
      <c r="L60" s="334"/>
      <c r="M60" s="334"/>
      <c r="N60" s="334"/>
      <c r="O60" s="334"/>
      <c r="P60" s="368" t="s">
        <v>133</v>
      </c>
      <c r="Q60" s="369"/>
      <c r="R60" s="369"/>
      <c r="S60" s="369"/>
      <c r="T60" s="370"/>
      <c r="U60" s="350" t="s">
        <v>134</v>
      </c>
      <c r="V60" s="351"/>
      <c r="W60" s="352"/>
      <c r="X60" s="362"/>
      <c r="Y60" s="363"/>
      <c r="Z60" s="363"/>
      <c r="AA60" s="363"/>
      <c r="AB60" s="363"/>
      <c r="AC60" s="363"/>
      <c r="AD60" s="363"/>
      <c r="AE60" s="363"/>
      <c r="AF60" s="363"/>
      <c r="AG60" s="363"/>
      <c r="AH60" s="363"/>
      <c r="AI60" s="363"/>
      <c r="AJ60" s="363"/>
      <c r="AK60" s="363"/>
      <c r="AL60" s="363"/>
      <c r="AM60" s="363"/>
      <c r="AN60" s="363"/>
      <c r="AO60" s="363"/>
      <c r="AP60" s="363"/>
      <c r="AQ60" s="363"/>
      <c r="AR60" s="363"/>
      <c r="AS60" s="363"/>
      <c r="AT60" s="363"/>
      <c r="AU60" s="363"/>
      <c r="AV60" s="364"/>
      <c r="AW60" s="58"/>
      <c r="AX60" s="58"/>
      <c r="CL60" s="58"/>
      <c r="CQ60" s="58"/>
      <c r="CR60" s="59"/>
    </row>
    <row r="61" spans="1:147" s="60" customFormat="1" ht="15" customHeight="1" x14ac:dyDescent="0.2">
      <c r="A61" s="57"/>
      <c r="B61" s="334"/>
      <c r="C61" s="334"/>
      <c r="D61" s="334"/>
      <c r="E61" s="334"/>
      <c r="F61" s="334"/>
      <c r="G61" s="334"/>
      <c r="H61" s="334"/>
      <c r="I61" s="334"/>
      <c r="J61" s="334"/>
      <c r="K61" s="334"/>
      <c r="L61" s="334"/>
      <c r="M61" s="334"/>
      <c r="N61" s="334"/>
      <c r="O61" s="334"/>
      <c r="P61" s="371"/>
      <c r="Q61" s="372"/>
      <c r="R61" s="372"/>
      <c r="S61" s="372"/>
      <c r="T61" s="373"/>
      <c r="U61" s="353"/>
      <c r="V61" s="354"/>
      <c r="W61" s="355"/>
      <c r="X61" s="362"/>
      <c r="Y61" s="363"/>
      <c r="Z61" s="363"/>
      <c r="AA61" s="363"/>
      <c r="AB61" s="363"/>
      <c r="AC61" s="363"/>
      <c r="AD61" s="363"/>
      <c r="AE61" s="363"/>
      <c r="AF61" s="363"/>
      <c r="AG61" s="363"/>
      <c r="AH61" s="363"/>
      <c r="AI61" s="363"/>
      <c r="AJ61" s="363"/>
      <c r="AK61" s="363"/>
      <c r="AL61" s="363"/>
      <c r="AM61" s="363"/>
      <c r="AN61" s="363"/>
      <c r="AO61" s="363"/>
      <c r="AP61" s="363"/>
      <c r="AQ61" s="363"/>
      <c r="AR61" s="363"/>
      <c r="AS61" s="363"/>
      <c r="AT61" s="363"/>
      <c r="AU61" s="363"/>
      <c r="AV61" s="364"/>
      <c r="AW61" s="58"/>
      <c r="AX61" s="58"/>
      <c r="AY61" s="23" t="s">
        <v>533</v>
      </c>
      <c r="CQ61" s="58"/>
      <c r="CR61" s="59"/>
    </row>
    <row r="62" spans="1:147" s="60" customFormat="1" ht="15" customHeight="1" x14ac:dyDescent="0.15">
      <c r="A62" s="57"/>
      <c r="B62" s="334"/>
      <c r="C62" s="334"/>
      <c r="D62" s="334"/>
      <c r="E62" s="334"/>
      <c r="F62" s="334"/>
      <c r="G62" s="334"/>
      <c r="H62" s="334"/>
      <c r="I62" s="334"/>
      <c r="J62" s="334"/>
      <c r="K62" s="334"/>
      <c r="L62" s="334"/>
      <c r="M62" s="334"/>
      <c r="N62" s="334"/>
      <c r="O62" s="334"/>
      <c r="P62" s="374"/>
      <c r="Q62" s="375"/>
      <c r="R62" s="375"/>
      <c r="S62" s="375"/>
      <c r="T62" s="376"/>
      <c r="U62" s="356"/>
      <c r="V62" s="357"/>
      <c r="W62" s="358"/>
      <c r="X62" s="365"/>
      <c r="Y62" s="366"/>
      <c r="Z62" s="366"/>
      <c r="AA62" s="366"/>
      <c r="AB62" s="366"/>
      <c r="AC62" s="366"/>
      <c r="AD62" s="366"/>
      <c r="AE62" s="366"/>
      <c r="AF62" s="366"/>
      <c r="AG62" s="366"/>
      <c r="AH62" s="366"/>
      <c r="AI62" s="366"/>
      <c r="AJ62" s="366"/>
      <c r="AK62" s="366"/>
      <c r="AL62" s="366"/>
      <c r="AM62" s="366"/>
      <c r="AN62" s="366"/>
      <c r="AO62" s="366"/>
      <c r="AP62" s="366"/>
      <c r="AQ62" s="366"/>
      <c r="AR62" s="366"/>
      <c r="AS62" s="366"/>
      <c r="AT62" s="366"/>
      <c r="AU62" s="366"/>
      <c r="AV62" s="367"/>
      <c r="AW62" s="58"/>
      <c r="AX62" s="58"/>
      <c r="AZ62" s="23" t="s">
        <v>435</v>
      </c>
      <c r="BA62" s="23"/>
      <c r="BB62" s="23"/>
      <c r="BC62" s="23"/>
      <c r="BD62" s="23"/>
      <c r="BE62" s="23"/>
      <c r="BF62" s="23"/>
      <c r="BG62" s="23"/>
      <c r="BH62" s="23"/>
      <c r="BI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Q62" s="58"/>
      <c r="CR62" s="59"/>
      <c r="CZ62" s="17"/>
      <c r="DA62" s="17"/>
      <c r="EO62" s="17"/>
      <c r="EP62" s="17"/>
      <c r="EQ62" s="17"/>
    </row>
    <row r="63" spans="1:147" s="60" customFormat="1" ht="15" customHeight="1" x14ac:dyDescent="0.15">
      <c r="A63" s="57"/>
      <c r="B63" s="60" t="s">
        <v>430</v>
      </c>
      <c r="F63" s="60" t="s">
        <v>431</v>
      </c>
      <c r="AW63" s="58"/>
      <c r="AX63" s="58"/>
      <c r="AZ63" s="23"/>
      <c r="BA63" s="105" t="s">
        <v>436</v>
      </c>
      <c r="BB63" s="106"/>
      <c r="BC63" s="106"/>
      <c r="BD63" s="106"/>
      <c r="BE63" s="106"/>
      <c r="BF63" s="106"/>
      <c r="BG63" s="106"/>
      <c r="BH63" s="106"/>
      <c r="BI63" s="107"/>
      <c r="BJ63" s="105" t="s">
        <v>437</v>
      </c>
      <c r="BK63" s="106"/>
      <c r="BL63" s="106"/>
      <c r="BM63" s="106"/>
      <c r="BN63" s="106"/>
      <c r="BO63" s="106"/>
      <c r="BP63" s="107"/>
      <c r="BQ63" s="105" t="s">
        <v>438</v>
      </c>
      <c r="BR63" s="106"/>
      <c r="BS63" s="106"/>
      <c r="BT63" s="106"/>
      <c r="BU63" s="106"/>
      <c r="BV63" s="106"/>
      <c r="BW63" s="107"/>
      <c r="BX63" s="105" t="s">
        <v>439</v>
      </c>
      <c r="BY63" s="106"/>
      <c r="BZ63" s="106"/>
      <c r="CA63" s="106"/>
      <c r="CB63" s="106"/>
      <c r="CC63" s="106"/>
      <c r="CD63" s="107"/>
      <c r="CE63" s="105" t="s">
        <v>440</v>
      </c>
      <c r="CF63" s="106"/>
      <c r="CG63" s="106"/>
      <c r="CH63" s="106"/>
      <c r="CI63" s="106"/>
      <c r="CJ63" s="106"/>
      <c r="CK63" s="107"/>
      <c r="CQ63" s="58"/>
      <c r="CR63" s="59"/>
      <c r="CZ63" s="17"/>
      <c r="DA63" s="17"/>
      <c r="EO63" s="17"/>
      <c r="EP63" s="17"/>
      <c r="EQ63" s="17"/>
    </row>
    <row r="64" spans="1:147" s="60" customFormat="1" ht="15" customHeight="1" x14ac:dyDescent="0.15">
      <c r="A64" s="5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58"/>
      <c r="AX64" s="58"/>
      <c r="AZ64" s="23"/>
      <c r="BA64" s="71" t="s">
        <v>152</v>
      </c>
      <c r="BB64" s="72"/>
      <c r="BC64" s="72"/>
      <c r="BD64" s="72"/>
      <c r="BE64" s="72"/>
      <c r="BF64" s="72"/>
      <c r="BG64" s="72"/>
      <c r="BH64" s="72"/>
      <c r="BI64" s="73"/>
      <c r="BJ64" s="85" t="s">
        <v>441</v>
      </c>
      <c r="BK64" s="86"/>
      <c r="BL64" s="86"/>
      <c r="BM64" s="111"/>
      <c r="BN64" s="111"/>
      <c r="BO64" s="111"/>
      <c r="BP64" s="112"/>
      <c r="BQ64" s="85" t="s">
        <v>444</v>
      </c>
      <c r="BR64" s="111"/>
      <c r="BS64" s="86"/>
      <c r="BT64" s="111"/>
      <c r="BU64" s="111"/>
      <c r="BV64" s="111"/>
      <c r="BW64" s="112"/>
      <c r="BX64" s="85" t="s">
        <v>442</v>
      </c>
      <c r="BY64" s="86"/>
      <c r="BZ64" s="111"/>
      <c r="CA64" s="111"/>
      <c r="CB64" s="111"/>
      <c r="CC64" s="111"/>
      <c r="CD64" s="112"/>
      <c r="CE64" s="85" t="s">
        <v>443</v>
      </c>
      <c r="CF64" s="86"/>
      <c r="CG64" s="111"/>
      <c r="CH64" s="111"/>
      <c r="CI64" s="111"/>
      <c r="CJ64" s="111"/>
      <c r="CK64" s="112"/>
      <c r="CQ64" s="58"/>
      <c r="CR64" s="59"/>
      <c r="CZ64" s="17"/>
      <c r="DA64" s="17"/>
      <c r="EO64" s="17"/>
      <c r="EP64" s="17"/>
      <c r="EQ64" s="17"/>
    </row>
    <row r="65" spans="1:147" s="60" customFormat="1" ht="15" customHeight="1" x14ac:dyDescent="0.15">
      <c r="A65" s="57"/>
      <c r="B65" s="58" t="s">
        <v>348</v>
      </c>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17"/>
      <c r="AK65" s="17"/>
      <c r="AL65" s="17"/>
      <c r="AM65" s="17"/>
      <c r="AN65" s="17"/>
      <c r="AO65" s="17"/>
      <c r="AP65" s="17"/>
      <c r="AQ65" s="17"/>
      <c r="AR65" s="17"/>
      <c r="AS65" s="17"/>
      <c r="AT65" s="17"/>
      <c r="AU65" s="17"/>
      <c r="AV65" s="17"/>
      <c r="AW65" s="58"/>
      <c r="AX65" s="58"/>
      <c r="AZ65" s="23"/>
      <c r="BA65" s="85" t="s">
        <v>153</v>
      </c>
      <c r="BB65" s="86"/>
      <c r="BC65" s="86"/>
      <c r="BD65" s="86"/>
      <c r="BE65" s="86"/>
      <c r="BF65" s="86"/>
      <c r="BG65" s="86"/>
      <c r="BH65" s="86"/>
      <c r="BI65" s="87"/>
      <c r="BJ65" s="85" t="s">
        <v>441</v>
      </c>
      <c r="BK65" s="86"/>
      <c r="BL65" s="86"/>
      <c r="BM65" s="111"/>
      <c r="BN65" s="111"/>
      <c r="BO65" s="111"/>
      <c r="BP65" s="112"/>
      <c r="BQ65" s="85" t="s">
        <v>444</v>
      </c>
      <c r="BR65" s="111"/>
      <c r="BS65" s="86"/>
      <c r="BT65" s="111"/>
      <c r="BU65" s="111"/>
      <c r="BV65" s="111"/>
      <c r="BW65" s="112"/>
      <c r="BX65" s="85" t="s">
        <v>442</v>
      </c>
      <c r="BY65" s="86"/>
      <c r="BZ65" s="111"/>
      <c r="CA65" s="111"/>
      <c r="CB65" s="111"/>
      <c r="CC65" s="111"/>
      <c r="CD65" s="112"/>
      <c r="CE65" s="85" t="s">
        <v>443</v>
      </c>
      <c r="CF65" s="86"/>
      <c r="CG65" s="111"/>
      <c r="CH65" s="111"/>
      <c r="CI65" s="111"/>
      <c r="CJ65" s="111"/>
      <c r="CK65" s="112"/>
      <c r="CQ65" s="58"/>
      <c r="CR65" s="59"/>
      <c r="CZ65" s="17"/>
      <c r="DA65" s="17"/>
      <c r="EO65" s="17"/>
      <c r="EP65" s="17"/>
      <c r="EQ65" s="17"/>
    </row>
    <row r="66" spans="1:147" s="60" customFormat="1" ht="15" customHeight="1" x14ac:dyDescent="0.15">
      <c r="A66" s="57"/>
      <c r="B66" s="377" t="s">
        <v>127</v>
      </c>
      <c r="C66" s="378"/>
      <c r="D66" s="378"/>
      <c r="E66" s="378"/>
      <c r="F66" s="378"/>
      <c r="G66" s="378"/>
      <c r="H66" s="378"/>
      <c r="I66" s="378"/>
      <c r="J66" s="379"/>
      <c r="K66" s="340" t="s">
        <v>349</v>
      </c>
      <c r="L66" s="340"/>
      <c r="M66" s="340"/>
      <c r="N66" s="340"/>
      <c r="O66" s="340"/>
      <c r="P66" s="340"/>
      <c r="Q66" s="340"/>
      <c r="R66" s="340"/>
      <c r="S66" s="340"/>
      <c r="T66" s="340"/>
      <c r="U66" s="340"/>
      <c r="V66" s="340"/>
      <c r="W66" s="340"/>
      <c r="X66" s="340"/>
      <c r="Y66" s="340"/>
      <c r="Z66" s="340"/>
      <c r="AA66" s="340"/>
      <c r="AB66" s="340"/>
      <c r="AC66" s="340"/>
      <c r="AD66" s="340"/>
      <c r="AE66" s="340"/>
      <c r="AF66" s="340"/>
      <c r="AG66" s="340"/>
      <c r="AH66" s="340"/>
      <c r="AI66" s="340"/>
      <c r="AJ66" s="17"/>
      <c r="AK66" s="17"/>
      <c r="AL66" s="17"/>
      <c r="AM66" s="17"/>
      <c r="AN66" s="17"/>
      <c r="AO66" s="17"/>
      <c r="AP66" s="17"/>
      <c r="AQ66" s="17"/>
      <c r="AR66" s="17"/>
      <c r="AS66" s="17"/>
      <c r="AT66" s="17"/>
      <c r="AU66" s="17"/>
      <c r="AV66" s="17"/>
      <c r="AW66" s="58"/>
      <c r="AX66" s="58"/>
      <c r="AZ66" s="23"/>
      <c r="BA66" s="74" t="s">
        <v>154</v>
      </c>
      <c r="BB66" s="75"/>
      <c r="BC66" s="75"/>
      <c r="BD66" s="75"/>
      <c r="BE66" s="75"/>
      <c r="BF66" s="75"/>
      <c r="BG66" s="75"/>
      <c r="BH66" s="75"/>
      <c r="BI66" s="76"/>
      <c r="BJ66" s="85" t="s">
        <v>441</v>
      </c>
      <c r="BK66" s="86"/>
      <c r="BL66" s="86"/>
      <c r="BM66" s="111"/>
      <c r="BN66" s="111"/>
      <c r="BO66" s="111"/>
      <c r="BP66" s="112"/>
      <c r="BQ66" s="85" t="s">
        <v>443</v>
      </c>
      <c r="BR66" s="111"/>
      <c r="BS66" s="86"/>
      <c r="BT66" s="111"/>
      <c r="BU66" s="111"/>
      <c r="BV66" s="111"/>
      <c r="BW66" s="112"/>
      <c r="BX66" s="109"/>
      <c r="BY66" s="110"/>
      <c r="BZ66" s="113"/>
      <c r="CA66" s="113"/>
      <c r="CB66" s="113"/>
      <c r="CC66" s="113"/>
      <c r="CD66" s="114"/>
      <c r="CE66" s="109"/>
      <c r="CF66" s="110"/>
      <c r="CG66" s="113"/>
      <c r="CH66" s="113"/>
      <c r="CI66" s="113"/>
      <c r="CJ66" s="113"/>
      <c r="CK66" s="114"/>
      <c r="CQ66" s="58"/>
      <c r="CR66" s="59"/>
      <c r="CZ66" s="17"/>
      <c r="DA66" s="17"/>
      <c r="EO66" s="17"/>
      <c r="EP66" s="17"/>
      <c r="EQ66" s="17"/>
    </row>
    <row r="67" spans="1:147" s="60" customFormat="1" ht="15" customHeight="1" x14ac:dyDescent="0.15">
      <c r="A67" s="57"/>
      <c r="B67" s="412" t="s">
        <v>350</v>
      </c>
      <c r="C67" s="412"/>
      <c r="D67" s="412"/>
      <c r="E67" s="412"/>
      <c r="F67" s="412"/>
      <c r="G67" s="412"/>
      <c r="H67" s="412"/>
      <c r="I67" s="412"/>
      <c r="J67" s="412"/>
      <c r="K67" s="339" t="s">
        <v>351</v>
      </c>
      <c r="L67" s="339"/>
      <c r="M67" s="339"/>
      <c r="N67" s="339"/>
      <c r="O67" s="339"/>
      <c r="P67" s="339"/>
      <c r="Q67" s="339"/>
      <c r="R67" s="339"/>
      <c r="S67" s="339"/>
      <c r="T67" s="339"/>
      <c r="U67" s="339"/>
      <c r="V67" s="339"/>
      <c r="W67" s="339"/>
      <c r="X67" s="339"/>
      <c r="Y67" s="339"/>
      <c r="Z67" s="339"/>
      <c r="AA67" s="339"/>
      <c r="AB67" s="339"/>
      <c r="AC67" s="339"/>
      <c r="AD67" s="339"/>
      <c r="AE67" s="339"/>
      <c r="AF67" s="339"/>
      <c r="AG67" s="339"/>
      <c r="AH67" s="339"/>
      <c r="AI67" s="339"/>
      <c r="AJ67" s="17"/>
      <c r="AK67" s="17"/>
      <c r="AL67" s="17"/>
      <c r="AM67" s="17"/>
      <c r="AN67" s="17"/>
      <c r="AO67" s="17"/>
      <c r="AP67" s="17"/>
      <c r="AQ67" s="17"/>
      <c r="AR67" s="17"/>
      <c r="AS67" s="17"/>
      <c r="AT67" s="17"/>
      <c r="AU67" s="17"/>
      <c r="AV67" s="17"/>
      <c r="AW67" s="58"/>
      <c r="AX67" s="58"/>
      <c r="AZ67" s="23"/>
      <c r="BA67" s="74" t="s">
        <v>155</v>
      </c>
      <c r="BB67" s="75"/>
      <c r="BC67" s="75"/>
      <c r="BD67" s="75"/>
      <c r="BE67" s="75"/>
      <c r="BF67" s="75"/>
      <c r="BG67" s="75"/>
      <c r="BH67" s="75"/>
      <c r="BI67" s="76"/>
      <c r="BJ67" s="85" t="s">
        <v>441</v>
      </c>
      <c r="BK67" s="86"/>
      <c r="BL67" s="86"/>
      <c r="BM67" s="111"/>
      <c r="BN67" s="111"/>
      <c r="BO67" s="111"/>
      <c r="BP67" s="112"/>
      <c r="BQ67" s="85" t="s">
        <v>446</v>
      </c>
      <c r="BR67" s="111"/>
      <c r="BS67" s="86"/>
      <c r="BT67" s="111"/>
      <c r="BU67" s="111"/>
      <c r="BV67" s="111"/>
      <c r="BW67" s="112"/>
      <c r="BX67" s="109"/>
      <c r="BY67" s="110"/>
      <c r="BZ67" s="113"/>
      <c r="CA67" s="113"/>
      <c r="CB67" s="113"/>
      <c r="CC67" s="113"/>
      <c r="CD67" s="114"/>
      <c r="CE67" s="109"/>
      <c r="CF67" s="110"/>
      <c r="CG67" s="113"/>
      <c r="CH67" s="113"/>
      <c r="CI67" s="113"/>
      <c r="CJ67" s="113"/>
      <c r="CK67" s="114"/>
      <c r="CQ67" s="58"/>
      <c r="CR67" s="59"/>
      <c r="CZ67" s="17"/>
      <c r="DA67" s="17"/>
      <c r="EO67" s="17"/>
      <c r="EP67" s="17"/>
      <c r="EQ67" s="17"/>
    </row>
    <row r="68" spans="1:147" s="60" customFormat="1" ht="15" customHeight="1" x14ac:dyDescent="0.15">
      <c r="A68" s="57"/>
      <c r="B68" s="412" t="s">
        <v>352</v>
      </c>
      <c r="C68" s="412"/>
      <c r="D68" s="412"/>
      <c r="E68" s="412"/>
      <c r="F68" s="412"/>
      <c r="G68" s="412"/>
      <c r="H68" s="412"/>
      <c r="I68" s="412"/>
      <c r="J68" s="412"/>
      <c r="K68" s="339"/>
      <c r="L68" s="339"/>
      <c r="M68" s="339"/>
      <c r="N68" s="339"/>
      <c r="O68" s="339"/>
      <c r="P68" s="339"/>
      <c r="Q68" s="339"/>
      <c r="R68" s="339"/>
      <c r="S68" s="339"/>
      <c r="T68" s="339"/>
      <c r="U68" s="339"/>
      <c r="V68" s="339"/>
      <c r="W68" s="339"/>
      <c r="X68" s="339"/>
      <c r="Y68" s="339"/>
      <c r="Z68" s="339"/>
      <c r="AA68" s="339"/>
      <c r="AB68" s="339"/>
      <c r="AC68" s="339"/>
      <c r="AD68" s="339"/>
      <c r="AE68" s="339"/>
      <c r="AF68" s="339"/>
      <c r="AG68" s="339"/>
      <c r="AH68" s="339"/>
      <c r="AI68" s="339"/>
      <c r="AJ68" s="17"/>
      <c r="AK68" s="17"/>
      <c r="AL68" s="17"/>
      <c r="AM68" s="17"/>
      <c r="AN68" s="17"/>
      <c r="AO68" s="17"/>
      <c r="AP68" s="17"/>
      <c r="AQ68" s="17"/>
      <c r="AR68" s="17"/>
      <c r="AS68" s="17"/>
      <c r="AT68" s="17"/>
      <c r="AU68" s="17"/>
      <c r="AV68" s="17"/>
      <c r="AW68" s="58"/>
      <c r="AX68" s="58"/>
      <c r="AZ68" s="23"/>
      <c r="BA68" s="74" t="s">
        <v>156</v>
      </c>
      <c r="BB68" s="75"/>
      <c r="BC68" s="75"/>
      <c r="BD68" s="75"/>
      <c r="BE68" s="75"/>
      <c r="BF68" s="75"/>
      <c r="BG68" s="75"/>
      <c r="BH68" s="75"/>
      <c r="BI68" s="76"/>
      <c r="BJ68" s="85" t="s">
        <v>441</v>
      </c>
      <c r="BK68" s="86"/>
      <c r="BL68" s="86"/>
      <c r="BM68" s="111"/>
      <c r="BN68" s="111"/>
      <c r="BO68" s="111"/>
      <c r="BP68" s="112"/>
      <c r="BQ68" s="85" t="s">
        <v>443</v>
      </c>
      <c r="BR68" s="111"/>
      <c r="BS68" s="86"/>
      <c r="BT68" s="111"/>
      <c r="BU68" s="111"/>
      <c r="BV68" s="111"/>
      <c r="BW68" s="112"/>
      <c r="BX68" s="109"/>
      <c r="BY68" s="110"/>
      <c r="BZ68" s="113"/>
      <c r="CA68" s="113"/>
      <c r="CB68" s="113"/>
      <c r="CC68" s="113"/>
      <c r="CD68" s="114"/>
      <c r="CE68" s="109"/>
      <c r="CF68" s="110"/>
      <c r="CG68" s="113"/>
      <c r="CH68" s="113"/>
      <c r="CI68" s="113"/>
      <c r="CJ68" s="113"/>
      <c r="CK68" s="114"/>
      <c r="CQ68" s="58"/>
      <c r="CR68" s="59"/>
      <c r="CZ68" s="17"/>
      <c r="DA68" s="17"/>
      <c r="EO68" s="17"/>
      <c r="EP68" s="17"/>
      <c r="EQ68" s="17"/>
    </row>
    <row r="69" spans="1:147" s="60" customFormat="1" ht="15" customHeight="1" x14ac:dyDescent="0.15">
      <c r="A69" s="57"/>
      <c r="B69" s="412" t="s">
        <v>353</v>
      </c>
      <c r="C69" s="412"/>
      <c r="D69" s="412"/>
      <c r="E69" s="412"/>
      <c r="F69" s="412"/>
      <c r="G69" s="412"/>
      <c r="H69" s="412"/>
      <c r="I69" s="412"/>
      <c r="J69" s="412"/>
      <c r="K69" s="339"/>
      <c r="L69" s="339"/>
      <c r="M69" s="339"/>
      <c r="N69" s="339"/>
      <c r="O69" s="339"/>
      <c r="P69" s="339"/>
      <c r="Q69" s="339"/>
      <c r="R69" s="339"/>
      <c r="S69" s="339"/>
      <c r="T69" s="339"/>
      <c r="U69" s="339"/>
      <c r="V69" s="339"/>
      <c r="W69" s="339"/>
      <c r="X69" s="339"/>
      <c r="Y69" s="339"/>
      <c r="Z69" s="339"/>
      <c r="AA69" s="339"/>
      <c r="AB69" s="339"/>
      <c r="AC69" s="339"/>
      <c r="AD69" s="339"/>
      <c r="AE69" s="339"/>
      <c r="AF69" s="339"/>
      <c r="AG69" s="339"/>
      <c r="AH69" s="339"/>
      <c r="AI69" s="339"/>
      <c r="AJ69" s="17"/>
      <c r="AK69" s="17"/>
      <c r="AL69" s="17"/>
      <c r="AM69" s="17"/>
      <c r="AN69" s="17"/>
      <c r="AO69" s="17"/>
      <c r="AP69" s="17"/>
      <c r="AQ69" s="17"/>
      <c r="AR69" s="17"/>
      <c r="AS69" s="17"/>
      <c r="AT69" s="17"/>
      <c r="AU69" s="17"/>
      <c r="AV69" s="17"/>
      <c r="AW69" s="58"/>
      <c r="AX69" s="58"/>
      <c r="AZ69" s="23"/>
      <c r="BA69" s="74" t="s">
        <v>434</v>
      </c>
      <c r="BB69" s="75"/>
      <c r="BC69" s="75"/>
      <c r="BD69" s="75"/>
      <c r="BE69" s="75"/>
      <c r="BF69" s="75"/>
      <c r="BG69" s="75"/>
      <c r="BH69" s="75"/>
      <c r="BI69" s="76"/>
      <c r="BJ69" s="85" t="s">
        <v>441</v>
      </c>
      <c r="BK69" s="86"/>
      <c r="BL69" s="86"/>
      <c r="BM69" s="111"/>
      <c r="BN69" s="111"/>
      <c r="BO69" s="111"/>
      <c r="BP69" s="112"/>
      <c r="BQ69" s="85" t="s">
        <v>443</v>
      </c>
      <c r="BR69" s="111"/>
      <c r="BS69" s="86"/>
      <c r="BT69" s="111"/>
      <c r="BU69" s="111"/>
      <c r="BV69" s="111"/>
      <c r="BW69" s="112"/>
      <c r="BX69" s="109"/>
      <c r="BY69" s="110"/>
      <c r="BZ69" s="113"/>
      <c r="CA69" s="113"/>
      <c r="CB69" s="113"/>
      <c r="CC69" s="113"/>
      <c r="CD69" s="114"/>
      <c r="CE69" s="109"/>
      <c r="CF69" s="110"/>
      <c r="CG69" s="113"/>
      <c r="CH69" s="113"/>
      <c r="CI69" s="113"/>
      <c r="CJ69" s="113"/>
      <c r="CK69" s="114"/>
      <c r="CQ69" s="58"/>
      <c r="CR69" s="59"/>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c r="EH69" s="17"/>
      <c r="EI69" s="17"/>
      <c r="EJ69" s="17"/>
      <c r="EK69" s="17"/>
      <c r="EL69" s="17"/>
      <c r="EM69" s="17"/>
      <c r="EN69" s="17"/>
      <c r="EO69" s="17"/>
      <c r="EP69" s="17"/>
      <c r="EQ69" s="17"/>
    </row>
    <row r="70" spans="1:147" s="60" customFormat="1" ht="15" customHeight="1" x14ac:dyDescent="0.15">
      <c r="A70" s="57"/>
      <c r="B70" s="412" t="s">
        <v>432</v>
      </c>
      <c r="C70" s="412"/>
      <c r="D70" s="412"/>
      <c r="E70" s="412"/>
      <c r="F70" s="412"/>
      <c r="G70" s="412"/>
      <c r="H70" s="412"/>
      <c r="I70" s="412"/>
      <c r="J70" s="412"/>
      <c r="K70" s="339"/>
      <c r="L70" s="339"/>
      <c r="M70" s="339"/>
      <c r="N70" s="339"/>
      <c r="O70" s="339"/>
      <c r="P70" s="339"/>
      <c r="Q70" s="339"/>
      <c r="R70" s="339"/>
      <c r="S70" s="339"/>
      <c r="T70" s="339"/>
      <c r="U70" s="339"/>
      <c r="V70" s="339"/>
      <c r="W70" s="339"/>
      <c r="X70" s="339"/>
      <c r="Y70" s="339"/>
      <c r="Z70" s="339"/>
      <c r="AA70" s="339"/>
      <c r="AB70" s="339"/>
      <c r="AC70" s="339"/>
      <c r="AD70" s="339"/>
      <c r="AE70" s="339"/>
      <c r="AF70" s="339"/>
      <c r="AG70" s="339"/>
      <c r="AH70" s="339"/>
      <c r="AI70" s="339"/>
      <c r="AJ70" s="17"/>
      <c r="AK70" s="17"/>
      <c r="AL70" s="17"/>
      <c r="AM70" s="17"/>
      <c r="AN70" s="17"/>
      <c r="AO70" s="17"/>
      <c r="AP70" s="17"/>
      <c r="AQ70" s="17"/>
      <c r="AR70" s="17"/>
      <c r="AS70" s="17"/>
      <c r="AT70" s="17"/>
      <c r="AU70" s="17"/>
      <c r="AV70" s="17"/>
      <c r="AW70" s="58"/>
      <c r="AX70" s="58"/>
      <c r="AZ70" s="23"/>
      <c r="BA70" s="85" t="s">
        <v>433</v>
      </c>
      <c r="BB70" s="86"/>
      <c r="BC70" s="86"/>
      <c r="BD70" s="86"/>
      <c r="BE70" s="86"/>
      <c r="BF70" s="86"/>
      <c r="BG70" s="86"/>
      <c r="BH70" s="86"/>
      <c r="BI70" s="87"/>
      <c r="BJ70" s="85" t="s">
        <v>441</v>
      </c>
      <c r="BK70" s="86"/>
      <c r="BL70" s="86"/>
      <c r="BM70" s="111"/>
      <c r="BN70" s="111"/>
      <c r="BO70" s="111"/>
      <c r="BP70" s="112"/>
      <c r="BQ70" s="85" t="s">
        <v>446</v>
      </c>
      <c r="BR70" s="111"/>
      <c r="BS70" s="86"/>
      <c r="BT70" s="111"/>
      <c r="BU70" s="111"/>
      <c r="BV70" s="111"/>
      <c r="BW70" s="112"/>
      <c r="BX70" s="85" t="s">
        <v>447</v>
      </c>
      <c r="BY70" s="86"/>
      <c r="BZ70" s="111"/>
      <c r="CA70" s="111"/>
      <c r="CB70" s="111"/>
      <c r="CC70" s="111"/>
      <c r="CD70" s="112"/>
      <c r="CE70" s="109"/>
      <c r="CF70" s="110"/>
      <c r="CG70" s="113"/>
      <c r="CH70" s="113"/>
      <c r="CI70" s="113"/>
      <c r="CJ70" s="113"/>
      <c r="CK70" s="114"/>
      <c r="CQ70" s="58"/>
      <c r="CR70" s="59"/>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c r="EC70" s="17"/>
      <c r="ED70" s="17"/>
      <c r="EE70" s="17"/>
      <c r="EF70" s="17"/>
      <c r="EG70" s="17"/>
      <c r="EH70" s="17"/>
      <c r="EI70" s="17"/>
      <c r="EJ70" s="17"/>
      <c r="EK70" s="17"/>
      <c r="EL70" s="17"/>
      <c r="EM70" s="17"/>
      <c r="EN70" s="17"/>
      <c r="EO70" s="17"/>
      <c r="EP70" s="17"/>
      <c r="EQ70" s="17"/>
    </row>
    <row r="71" spans="1:147" s="60" customFormat="1" ht="15" customHeight="1" x14ac:dyDescent="0.15">
      <c r="A71" s="5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58"/>
      <c r="AX71" s="58"/>
      <c r="AZ71" s="23"/>
      <c r="BA71" s="23" t="s">
        <v>445</v>
      </c>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Q71" s="58"/>
      <c r="CR71" s="59"/>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c r="EH71" s="17"/>
      <c r="EI71" s="17"/>
      <c r="EJ71" s="17"/>
      <c r="EK71" s="17"/>
      <c r="EL71" s="17"/>
      <c r="EM71" s="17"/>
      <c r="EN71" s="17"/>
      <c r="EO71" s="17"/>
      <c r="EP71" s="17"/>
      <c r="EQ71" s="17"/>
    </row>
    <row r="72" spans="1:147" s="60" customFormat="1" ht="15" customHeight="1" x14ac:dyDescent="0.15">
      <c r="A72" s="57"/>
      <c r="B72" s="58" t="s">
        <v>145</v>
      </c>
      <c r="AW72" s="58"/>
      <c r="AX72" s="58"/>
      <c r="CQ72" s="58"/>
      <c r="CR72" s="59"/>
      <c r="DA72" s="17"/>
    </row>
    <row r="73" spans="1:147" s="60" customFormat="1" ht="15" customHeight="1" thickBot="1" x14ac:dyDescent="0.2">
      <c r="A73" s="57"/>
      <c r="B73" s="58"/>
      <c r="C73" s="58" t="s">
        <v>337</v>
      </c>
      <c r="D73" s="58"/>
      <c r="E73" s="58"/>
      <c r="F73" s="58"/>
      <c r="G73" s="58"/>
      <c r="H73" s="58"/>
      <c r="I73" s="58"/>
      <c r="J73" s="58"/>
      <c r="K73" s="58"/>
      <c r="L73" s="58"/>
      <c r="M73" s="58"/>
      <c r="N73" s="58"/>
      <c r="O73" s="58"/>
      <c r="P73" s="58"/>
      <c r="Q73" s="58"/>
      <c r="R73" s="58"/>
      <c r="S73" s="58"/>
      <c r="T73" s="58"/>
      <c r="U73" s="58"/>
      <c r="W73" s="58" t="s">
        <v>150</v>
      </c>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60" t="s">
        <v>534</v>
      </c>
      <c r="CQ73" s="58"/>
      <c r="CR73" s="59"/>
      <c r="DA73" s="17"/>
    </row>
    <row r="74" spans="1:147" s="60" customFormat="1" ht="15" customHeight="1" thickBot="1" x14ac:dyDescent="0.25">
      <c r="A74" s="57"/>
      <c r="B74" s="58"/>
      <c r="C74" s="58"/>
      <c r="D74" s="77" t="s">
        <v>303</v>
      </c>
      <c r="E74" s="78"/>
      <c r="F74" s="78"/>
      <c r="G74" s="78"/>
      <c r="H74" s="78"/>
      <c r="I74" s="78"/>
      <c r="J74" s="78"/>
      <c r="K74" s="79"/>
      <c r="L74" s="80"/>
      <c r="M74" s="81"/>
      <c r="N74" s="81"/>
      <c r="O74" s="81"/>
      <c r="P74" s="81"/>
      <c r="Q74" s="81"/>
      <c r="R74" s="81"/>
      <c r="S74" s="82"/>
      <c r="T74" s="430" t="s">
        <v>146</v>
      </c>
      <c r="U74" s="431"/>
      <c r="W74" s="58"/>
      <c r="X74" s="77" t="s">
        <v>151</v>
      </c>
      <c r="Y74" s="78"/>
      <c r="Z74" s="78"/>
      <c r="AA74" s="78"/>
      <c r="AB74" s="78"/>
      <c r="AC74" s="78"/>
      <c r="AD74" s="78"/>
      <c r="AE74" s="79"/>
      <c r="AF74" s="80"/>
      <c r="AG74" s="81"/>
      <c r="AH74" s="81"/>
      <c r="AI74" s="81"/>
      <c r="AJ74" s="81"/>
      <c r="AK74" s="81"/>
      <c r="AL74" s="81"/>
      <c r="AM74" s="81"/>
      <c r="AN74" s="81"/>
      <c r="AO74" s="81"/>
      <c r="AP74" s="81"/>
      <c r="AQ74" s="81"/>
      <c r="AR74" s="81"/>
      <c r="AS74" s="430" t="s">
        <v>146</v>
      </c>
      <c r="AT74" s="431"/>
      <c r="AU74" s="58"/>
      <c r="AV74" s="58"/>
      <c r="AW74" s="58"/>
      <c r="AX74" s="58"/>
      <c r="AZ74" s="425" t="s">
        <v>535</v>
      </c>
      <c r="BA74" s="425"/>
      <c r="BB74" s="425"/>
      <c r="BC74" s="425"/>
      <c r="BD74" s="425"/>
      <c r="BE74" s="425"/>
      <c r="BF74" s="425"/>
      <c r="BG74" s="425"/>
      <c r="BH74" s="425"/>
      <c r="BI74" s="425"/>
      <c r="BJ74" s="425"/>
      <c r="BK74" s="425"/>
      <c r="BL74" s="425"/>
      <c r="BM74" s="425"/>
      <c r="BN74" s="425"/>
      <c r="BO74" s="425"/>
      <c r="BP74" s="425"/>
      <c r="BQ74" s="425"/>
      <c r="BR74" s="425"/>
      <c r="BS74" s="425"/>
      <c r="BT74" s="425"/>
      <c r="BU74" s="425" t="s">
        <v>536</v>
      </c>
      <c r="BV74" s="425"/>
      <c r="BW74" s="425"/>
      <c r="BX74" s="425"/>
      <c r="BY74" s="425"/>
      <c r="BZ74" s="425"/>
      <c r="CA74" s="425"/>
      <c r="CB74" s="425"/>
      <c r="CC74" s="425"/>
      <c r="CD74" s="425"/>
      <c r="CE74" s="425"/>
      <c r="CF74" s="425"/>
      <c r="CG74" s="425"/>
      <c r="CH74" s="425"/>
      <c r="CI74" s="425"/>
      <c r="CJ74" s="425"/>
      <c r="CK74" s="425"/>
      <c r="CL74" s="425"/>
      <c r="CM74" s="425"/>
      <c r="CN74" s="425"/>
      <c r="CO74" s="425"/>
      <c r="CP74" s="425"/>
      <c r="CQ74" s="425"/>
      <c r="CR74" s="59"/>
    </row>
    <row r="75" spans="1:147" s="60" customFormat="1" ht="15" customHeight="1" x14ac:dyDescent="0.2">
      <c r="A75" s="57"/>
      <c r="B75" s="58"/>
      <c r="C75" s="58"/>
      <c r="D75" s="58"/>
      <c r="E75" s="58"/>
      <c r="F75" s="58"/>
      <c r="G75" s="58"/>
      <c r="H75" s="58"/>
      <c r="L75" s="88" t="s">
        <v>147</v>
      </c>
      <c r="M75" s="83"/>
      <c r="N75" s="83"/>
      <c r="O75" s="83"/>
      <c r="P75" s="83"/>
      <c r="Q75" s="83"/>
      <c r="R75" s="83"/>
      <c r="S75" s="84"/>
      <c r="T75" s="58"/>
      <c r="U75" s="58"/>
      <c r="W75" s="58"/>
      <c r="X75" s="58"/>
      <c r="Y75" s="58"/>
      <c r="Z75" s="58"/>
      <c r="AA75" s="58"/>
      <c r="AB75" s="58"/>
      <c r="AC75" s="58"/>
      <c r="AD75" s="58"/>
      <c r="AE75" s="58"/>
      <c r="AF75" s="90" t="s">
        <v>152</v>
      </c>
      <c r="AG75" s="108"/>
      <c r="AH75" s="108"/>
      <c r="AI75" s="108"/>
      <c r="AJ75" s="108"/>
      <c r="AK75" s="108"/>
      <c r="AL75" s="108"/>
      <c r="AM75" s="108"/>
      <c r="AN75" s="108"/>
      <c r="AO75" s="108"/>
      <c r="AP75" s="108"/>
      <c r="AQ75" s="108"/>
      <c r="AR75" s="91"/>
      <c r="AU75" s="58"/>
      <c r="AV75" s="58"/>
      <c r="AW75" s="58"/>
      <c r="AX75" s="58"/>
      <c r="AZ75" s="426" t="s">
        <v>537</v>
      </c>
      <c r="BA75" s="426"/>
      <c r="BB75" s="426"/>
      <c r="BC75" s="426"/>
      <c r="BD75" s="426"/>
      <c r="BE75" s="426"/>
      <c r="BF75" s="426"/>
      <c r="BG75" s="426"/>
      <c r="BH75" s="426"/>
      <c r="BI75" s="426"/>
      <c r="BJ75" s="426"/>
      <c r="BK75" s="426"/>
      <c r="BL75" s="426"/>
      <c r="BM75" s="426"/>
      <c r="BN75" s="426"/>
      <c r="BO75" s="426"/>
      <c r="BP75" s="426"/>
      <c r="BQ75" s="426"/>
      <c r="BR75" s="426"/>
      <c r="BS75" s="426"/>
      <c r="BT75" s="426"/>
      <c r="BU75" s="426" t="s">
        <v>538</v>
      </c>
      <c r="BV75" s="426"/>
      <c r="BW75" s="426"/>
      <c r="BX75" s="426"/>
      <c r="BY75" s="426"/>
      <c r="BZ75" s="426"/>
      <c r="CA75" s="426"/>
      <c r="CB75" s="426"/>
      <c r="CC75" s="426"/>
      <c r="CD75" s="426"/>
      <c r="CE75" s="426"/>
      <c r="CF75" s="426"/>
      <c r="CG75" s="426"/>
      <c r="CH75" s="426"/>
      <c r="CI75" s="426"/>
      <c r="CJ75" s="426"/>
      <c r="CK75" s="426"/>
      <c r="CL75" s="426"/>
      <c r="CM75" s="426"/>
      <c r="CN75" s="426"/>
      <c r="CO75" s="426"/>
      <c r="CP75" s="426"/>
      <c r="CQ75" s="426"/>
      <c r="CR75" s="59"/>
    </row>
    <row r="76" spans="1:147" s="60" customFormat="1" ht="15" customHeight="1" x14ac:dyDescent="0.15">
      <c r="A76" s="57"/>
      <c r="B76" s="58"/>
      <c r="C76" s="58"/>
      <c r="D76" s="58"/>
      <c r="E76" s="58"/>
      <c r="F76" s="58"/>
      <c r="G76" s="58"/>
      <c r="H76" s="58"/>
      <c r="L76" s="89" t="s">
        <v>148</v>
      </c>
      <c r="M76" s="86"/>
      <c r="N76" s="86"/>
      <c r="O76" s="86"/>
      <c r="P76" s="86"/>
      <c r="Q76" s="86"/>
      <c r="R76" s="86"/>
      <c r="S76" s="87"/>
      <c r="T76" s="58"/>
      <c r="U76" s="58"/>
      <c r="W76" s="58"/>
      <c r="X76" s="58"/>
      <c r="Y76" s="58"/>
      <c r="Z76" s="58"/>
      <c r="AA76" s="58"/>
      <c r="AB76" s="58"/>
      <c r="AC76" s="58"/>
      <c r="AD76" s="58"/>
      <c r="AE76" s="58"/>
      <c r="AF76" s="85" t="s">
        <v>153</v>
      </c>
      <c r="AG76" s="86"/>
      <c r="AH76" s="86"/>
      <c r="AI76" s="86"/>
      <c r="AJ76" s="86"/>
      <c r="AK76" s="86"/>
      <c r="AL76" s="86"/>
      <c r="AM76" s="86"/>
      <c r="AN76" s="86"/>
      <c r="AO76" s="86"/>
      <c r="AP76" s="86"/>
      <c r="AQ76" s="86"/>
      <c r="AR76" s="87"/>
      <c r="AU76" s="58"/>
      <c r="AV76" s="58"/>
      <c r="AW76" s="58"/>
      <c r="AX76" s="58"/>
      <c r="AZ76" s="426"/>
      <c r="BA76" s="426"/>
      <c r="BB76" s="426"/>
      <c r="BC76" s="426"/>
      <c r="BD76" s="426"/>
      <c r="BE76" s="426"/>
      <c r="BF76" s="426"/>
      <c r="BG76" s="426"/>
      <c r="BH76" s="426"/>
      <c r="BI76" s="426"/>
      <c r="BJ76" s="426"/>
      <c r="BK76" s="426"/>
      <c r="BL76" s="426"/>
      <c r="BM76" s="426"/>
      <c r="BN76" s="426"/>
      <c r="BO76" s="426"/>
      <c r="BP76" s="426"/>
      <c r="BQ76" s="426"/>
      <c r="BR76" s="426"/>
      <c r="BS76" s="426"/>
      <c r="BT76" s="426"/>
      <c r="BU76" s="426"/>
      <c r="BV76" s="426"/>
      <c r="BW76" s="426"/>
      <c r="BX76" s="426"/>
      <c r="BY76" s="426"/>
      <c r="BZ76" s="426"/>
      <c r="CA76" s="426"/>
      <c r="CB76" s="426"/>
      <c r="CC76" s="426"/>
      <c r="CD76" s="426"/>
      <c r="CE76" s="426"/>
      <c r="CF76" s="426"/>
      <c r="CG76" s="426"/>
      <c r="CH76" s="426"/>
      <c r="CI76" s="426"/>
      <c r="CJ76" s="426"/>
      <c r="CK76" s="426"/>
      <c r="CL76" s="426"/>
      <c r="CM76" s="426"/>
      <c r="CN76" s="426"/>
      <c r="CO76" s="426"/>
      <c r="CP76" s="426"/>
      <c r="CQ76" s="426"/>
      <c r="CR76" s="59"/>
      <c r="DA76" s="17"/>
    </row>
    <row r="77" spans="1:147" s="60" customFormat="1" ht="15" customHeight="1" x14ac:dyDescent="0.15">
      <c r="A77" s="57"/>
      <c r="B77" s="58"/>
      <c r="C77" s="58"/>
      <c r="D77" s="58"/>
      <c r="E77" s="58"/>
      <c r="F77" s="58"/>
      <c r="G77" s="58"/>
      <c r="H77" s="58"/>
      <c r="L77" s="89" t="s">
        <v>149</v>
      </c>
      <c r="M77" s="86"/>
      <c r="N77" s="86"/>
      <c r="O77" s="86"/>
      <c r="P77" s="86"/>
      <c r="Q77" s="86"/>
      <c r="R77" s="86"/>
      <c r="S77" s="87"/>
      <c r="T77" s="58"/>
      <c r="U77" s="58"/>
      <c r="W77" s="58"/>
      <c r="X77" s="58"/>
      <c r="Y77" s="58"/>
      <c r="Z77" s="58"/>
      <c r="AA77" s="58"/>
      <c r="AB77" s="58"/>
      <c r="AC77" s="58"/>
      <c r="AD77" s="58"/>
      <c r="AE77" s="58"/>
      <c r="AF77" s="74" t="s">
        <v>154</v>
      </c>
      <c r="AG77" s="75"/>
      <c r="AH77" s="75"/>
      <c r="AI77" s="75"/>
      <c r="AJ77" s="75"/>
      <c r="AK77" s="75"/>
      <c r="AL77" s="75"/>
      <c r="AM77" s="75"/>
      <c r="AN77" s="75"/>
      <c r="AO77" s="75"/>
      <c r="AP77" s="75"/>
      <c r="AQ77" s="75"/>
      <c r="AR77" s="76"/>
      <c r="AU77" s="58"/>
      <c r="AV77" s="58"/>
      <c r="AW77" s="58"/>
      <c r="AX77" s="58"/>
      <c r="CQ77" s="58"/>
      <c r="CR77" s="59"/>
      <c r="DA77" s="17"/>
    </row>
    <row r="78" spans="1:147" s="60" customFormat="1" ht="15" customHeight="1" x14ac:dyDescent="0.15">
      <c r="A78" s="57"/>
      <c r="W78" s="58"/>
      <c r="X78" s="58"/>
      <c r="Y78" s="58"/>
      <c r="Z78" s="58"/>
      <c r="AA78" s="58"/>
      <c r="AB78" s="58"/>
      <c r="AC78" s="58"/>
      <c r="AD78" s="58"/>
      <c r="AE78" s="58"/>
      <c r="AF78" s="74" t="s">
        <v>155</v>
      </c>
      <c r="AG78" s="75"/>
      <c r="AH78" s="75"/>
      <c r="AI78" s="75"/>
      <c r="AJ78" s="75"/>
      <c r="AK78" s="75"/>
      <c r="AL78" s="75"/>
      <c r="AM78" s="75"/>
      <c r="AN78" s="75"/>
      <c r="AO78" s="75"/>
      <c r="AP78" s="75"/>
      <c r="AQ78" s="75"/>
      <c r="AR78" s="76"/>
      <c r="AU78" s="58"/>
      <c r="AV78" s="58"/>
      <c r="AW78" s="58"/>
      <c r="AX78" s="58"/>
      <c r="CQ78" s="58"/>
      <c r="CR78" s="59"/>
      <c r="DA78" s="17"/>
    </row>
    <row r="79" spans="1:147" s="60" customFormat="1" ht="15" customHeight="1" x14ac:dyDescent="0.15">
      <c r="A79" s="57"/>
      <c r="W79" s="58"/>
      <c r="X79" s="58"/>
      <c r="Y79" s="58"/>
      <c r="Z79" s="58"/>
      <c r="AA79" s="58"/>
      <c r="AB79" s="58"/>
      <c r="AC79" s="58"/>
      <c r="AD79" s="58"/>
      <c r="AE79" s="58"/>
      <c r="AF79" s="74" t="s">
        <v>156</v>
      </c>
      <c r="AG79" s="75"/>
      <c r="AH79" s="75"/>
      <c r="AI79" s="75"/>
      <c r="AJ79" s="75"/>
      <c r="AK79" s="75"/>
      <c r="AL79" s="75"/>
      <c r="AM79" s="75"/>
      <c r="AN79" s="75"/>
      <c r="AO79" s="75"/>
      <c r="AP79" s="75"/>
      <c r="AQ79" s="75"/>
      <c r="AR79" s="76"/>
      <c r="AU79" s="58"/>
      <c r="AV79" s="58"/>
      <c r="AW79" s="58"/>
      <c r="AX79" s="58"/>
      <c r="CQ79" s="58"/>
      <c r="CR79" s="59"/>
      <c r="DA79" s="17"/>
    </row>
    <row r="80" spans="1:147" s="60" customFormat="1" ht="15" customHeight="1" x14ac:dyDescent="0.15">
      <c r="A80" s="57"/>
      <c r="W80" s="58"/>
      <c r="X80" s="58"/>
      <c r="Y80" s="58"/>
      <c r="Z80" s="58"/>
      <c r="AA80" s="58"/>
      <c r="AB80" s="58"/>
      <c r="AC80" s="58"/>
      <c r="AD80" s="58"/>
      <c r="AE80" s="58"/>
      <c r="AF80" s="74" t="s">
        <v>434</v>
      </c>
      <c r="AG80" s="75"/>
      <c r="AH80" s="75"/>
      <c r="AI80" s="75"/>
      <c r="AJ80" s="75"/>
      <c r="AK80" s="75"/>
      <c r="AL80" s="75"/>
      <c r="AM80" s="75"/>
      <c r="AN80" s="75"/>
      <c r="AO80" s="75"/>
      <c r="AP80" s="75"/>
      <c r="AQ80" s="75"/>
      <c r="AR80" s="76"/>
      <c r="AU80" s="58"/>
      <c r="AV80" s="58"/>
      <c r="AW80" s="58"/>
      <c r="AX80" s="58"/>
      <c r="CQ80" s="58"/>
      <c r="CR80" s="59"/>
      <c r="DA80" s="17"/>
    </row>
    <row r="81" spans="1:133" s="60" customFormat="1" ht="15" customHeight="1" x14ac:dyDescent="0.15">
      <c r="A81" s="57"/>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85" t="s">
        <v>433</v>
      </c>
      <c r="AG81" s="86"/>
      <c r="AH81" s="86"/>
      <c r="AI81" s="86"/>
      <c r="AJ81" s="86"/>
      <c r="AK81" s="86"/>
      <c r="AL81" s="86"/>
      <c r="AM81" s="86"/>
      <c r="AN81" s="86"/>
      <c r="AO81" s="86"/>
      <c r="AP81" s="86"/>
      <c r="AQ81" s="86"/>
      <c r="AR81" s="87"/>
      <c r="AS81" s="58"/>
      <c r="AT81" s="58"/>
      <c r="AU81" s="58"/>
      <c r="AV81" s="58"/>
      <c r="AW81" s="58"/>
      <c r="AX81" s="58"/>
      <c r="CQ81" s="58"/>
      <c r="CR81" s="59"/>
      <c r="DA81" s="17"/>
    </row>
    <row r="82" spans="1:133" s="60" customFormat="1" ht="15" customHeight="1" x14ac:dyDescent="0.15">
      <c r="A82" s="57"/>
      <c r="AW82" s="58"/>
      <c r="AX82" s="58"/>
      <c r="CQ82" s="58"/>
      <c r="CR82" s="59"/>
      <c r="DA82" s="17"/>
      <c r="EC82" s="58"/>
    </row>
    <row r="83" spans="1:133" s="60" customFormat="1" ht="15" customHeight="1" x14ac:dyDescent="0.15">
      <c r="A83" s="57"/>
      <c r="AW83" s="58"/>
      <c r="AX83" s="58"/>
      <c r="CQ83" s="58"/>
      <c r="CR83" s="59"/>
      <c r="DA83" s="17"/>
    </row>
    <row r="84" spans="1:133" s="60" customFormat="1" ht="15" customHeight="1" x14ac:dyDescent="0.15">
      <c r="A84" s="57"/>
      <c r="AW84" s="58"/>
      <c r="AX84" s="58"/>
      <c r="CQ84" s="58"/>
      <c r="CR84" s="59"/>
      <c r="DA84" s="17"/>
      <c r="EC84" s="58"/>
    </row>
    <row r="85" spans="1:133" s="60" customFormat="1" ht="15" customHeight="1" x14ac:dyDescent="0.15">
      <c r="A85" s="57"/>
      <c r="AW85" s="58"/>
      <c r="AX85" s="58"/>
      <c r="CQ85" s="58"/>
      <c r="CR85" s="59"/>
      <c r="DA85" s="17"/>
      <c r="EC85" s="58"/>
    </row>
    <row r="86" spans="1:133" s="60" customFormat="1" ht="15" customHeight="1" x14ac:dyDescent="0.15">
      <c r="A86" s="57"/>
      <c r="AW86" s="58"/>
      <c r="AX86" s="58"/>
      <c r="CQ86" s="58"/>
      <c r="CR86" s="59"/>
      <c r="DA86" s="17"/>
      <c r="EC86" s="58"/>
    </row>
    <row r="87" spans="1:133" s="60" customFormat="1" ht="15" customHeight="1" x14ac:dyDescent="0.15">
      <c r="A87" s="57"/>
      <c r="AW87" s="58"/>
      <c r="AX87" s="58"/>
      <c r="CQ87" s="58"/>
      <c r="CR87" s="59"/>
      <c r="DA87" s="17"/>
      <c r="EC87" s="58"/>
    </row>
    <row r="88" spans="1:133" s="60" customFormat="1" ht="15" customHeight="1" x14ac:dyDescent="0.15">
      <c r="A88" s="57"/>
      <c r="AW88" s="58"/>
      <c r="AX88" s="58"/>
      <c r="AY88" s="17"/>
      <c r="CQ88" s="58"/>
      <c r="CR88" s="59"/>
      <c r="EC88" s="58"/>
    </row>
    <row r="89" spans="1:133" s="60" customFormat="1" ht="15" customHeight="1" x14ac:dyDescent="0.15">
      <c r="A89" s="57"/>
      <c r="AW89" s="58"/>
      <c r="AX89" s="58"/>
      <c r="AY89" s="17"/>
      <c r="CQ89" s="58"/>
      <c r="CR89" s="59"/>
      <c r="EC89" s="58"/>
    </row>
    <row r="90" spans="1:133" s="60" customFormat="1" ht="15" customHeight="1" thickBot="1" x14ac:dyDescent="0.25">
      <c r="A90" s="61"/>
      <c r="B90" s="96"/>
      <c r="C90" s="96"/>
      <c r="D90" s="96"/>
      <c r="E90" s="96"/>
      <c r="F90" s="96"/>
      <c r="G90" s="96"/>
      <c r="H90" s="96"/>
      <c r="I90" s="96"/>
      <c r="J90" s="96"/>
      <c r="K90" s="96"/>
      <c r="L90" s="96"/>
      <c r="M90" s="96"/>
      <c r="N90" s="96"/>
      <c r="O90" s="96"/>
      <c r="P90" s="96"/>
      <c r="Q90" s="96"/>
      <c r="R90" s="96"/>
      <c r="S90" s="96"/>
      <c r="T90" s="96"/>
      <c r="U90" s="96"/>
      <c r="V90" s="96"/>
      <c r="W90" s="96"/>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3"/>
    </row>
    <row r="91" spans="1:133" s="12" customFormat="1" ht="15" customHeight="1" x14ac:dyDescent="0.15">
      <c r="A91" s="427" t="s">
        <v>71</v>
      </c>
      <c r="B91" s="428"/>
      <c r="C91" s="428"/>
      <c r="D91" s="428"/>
      <c r="E91" s="428"/>
      <c r="F91" s="428"/>
      <c r="G91" s="428"/>
      <c r="H91" s="428"/>
      <c r="I91" s="428"/>
      <c r="J91" s="428"/>
      <c r="K91" s="428"/>
      <c r="L91" s="428"/>
      <c r="M91" s="428"/>
      <c r="N91" s="428"/>
      <c r="O91" s="428"/>
      <c r="P91" s="428"/>
      <c r="Q91" s="428"/>
      <c r="R91" s="428"/>
      <c r="S91" s="428"/>
      <c r="T91" s="428"/>
      <c r="U91" s="428"/>
      <c r="V91" s="428"/>
      <c r="W91" s="428"/>
      <c r="X91" s="428"/>
      <c r="Y91" s="428"/>
      <c r="Z91" s="428"/>
      <c r="AA91" s="428"/>
      <c r="AB91" s="428"/>
      <c r="AC91" s="428"/>
      <c r="AD91" s="428"/>
      <c r="AE91" s="428"/>
      <c r="AF91" s="428"/>
      <c r="AG91" s="428"/>
      <c r="AH91" s="428"/>
      <c r="AI91" s="428"/>
      <c r="AJ91" s="428"/>
      <c r="AK91" s="428"/>
      <c r="AL91" s="428"/>
      <c r="AM91" s="428"/>
      <c r="AN91" s="428"/>
      <c r="AO91" s="428"/>
      <c r="AP91" s="428"/>
      <c r="AQ91" s="428"/>
      <c r="AR91" s="428"/>
      <c r="AS91" s="428"/>
      <c r="AT91" s="428"/>
      <c r="AU91" s="428"/>
      <c r="AV91" s="428"/>
      <c r="AW91" s="428"/>
      <c r="AX91" s="428"/>
      <c r="AY91" s="428"/>
      <c r="AZ91" s="428"/>
      <c r="BA91" s="428"/>
      <c r="BB91" s="428"/>
      <c r="BC91" s="428"/>
      <c r="BD91" s="428"/>
      <c r="BE91" s="428"/>
      <c r="BF91" s="428"/>
      <c r="BG91" s="428"/>
      <c r="BH91" s="428"/>
      <c r="BI91" s="428"/>
      <c r="BJ91" s="428"/>
      <c r="BK91" s="428"/>
      <c r="BL91" s="428"/>
      <c r="BM91" s="428"/>
      <c r="BN91" s="428"/>
      <c r="BO91" s="428"/>
      <c r="BP91" s="428"/>
      <c r="BQ91" s="428"/>
      <c r="BR91" s="428"/>
      <c r="BS91" s="428"/>
      <c r="BT91" s="428"/>
      <c r="BU91" s="428"/>
      <c r="BV91" s="428"/>
      <c r="BW91" s="428"/>
      <c r="BX91" s="428"/>
      <c r="BY91" s="428"/>
      <c r="BZ91" s="428"/>
      <c r="CA91" s="428"/>
      <c r="CB91" s="428"/>
      <c r="CC91" s="428"/>
      <c r="CD91" s="428"/>
      <c r="CE91" s="428"/>
      <c r="CF91" s="428"/>
      <c r="CG91" s="428"/>
      <c r="CH91" s="428"/>
      <c r="CI91" s="428"/>
      <c r="CJ91" s="428"/>
      <c r="CK91" s="428"/>
      <c r="CL91" s="428"/>
      <c r="CM91" s="428"/>
      <c r="CN91" s="428"/>
      <c r="CO91" s="428"/>
      <c r="CP91" s="428"/>
      <c r="CQ91" s="428"/>
      <c r="CR91" s="429"/>
    </row>
    <row r="92" spans="1:133" s="60" customFormat="1" ht="15" customHeight="1" x14ac:dyDescent="0.2">
      <c r="A92" s="57"/>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c r="CG92" s="58"/>
      <c r="CH92" s="58"/>
      <c r="CI92" s="58"/>
      <c r="CJ92" s="58"/>
      <c r="CK92" s="58"/>
      <c r="CL92" s="58"/>
      <c r="CM92" s="58"/>
      <c r="CN92" s="58"/>
      <c r="CO92" s="58"/>
      <c r="CP92" s="58"/>
      <c r="CQ92" s="58"/>
      <c r="CR92" s="59"/>
    </row>
    <row r="93" spans="1:133" s="60" customFormat="1" ht="15" customHeight="1" x14ac:dyDescent="0.15">
      <c r="A93" s="57"/>
      <c r="B93" s="58" t="s">
        <v>160</v>
      </c>
      <c r="C93" s="58"/>
      <c r="D93" s="58"/>
      <c r="E93" s="58"/>
      <c r="F93" s="58"/>
      <c r="G93" s="58"/>
      <c r="H93" s="58"/>
      <c r="I93" s="58"/>
      <c r="J93" s="58"/>
      <c r="K93" s="58"/>
      <c r="L93" s="58"/>
      <c r="M93" s="58"/>
      <c r="N93" s="58"/>
      <c r="O93" s="58" t="s">
        <v>594</v>
      </c>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T93" s="58"/>
      <c r="AU93" s="58"/>
      <c r="AV93" s="58"/>
      <c r="AW93" s="58"/>
      <c r="AX93" s="58"/>
      <c r="AY93" s="58"/>
      <c r="AZ93" s="58" t="s">
        <v>593</v>
      </c>
      <c r="BA93" s="58"/>
      <c r="BB93" s="58"/>
      <c r="BC93" s="58"/>
      <c r="BD93" s="58"/>
      <c r="BE93" s="58"/>
      <c r="BF93" s="58"/>
      <c r="BG93" s="58"/>
      <c r="BH93" s="58"/>
      <c r="BI93" s="58"/>
      <c r="BJ93" s="58"/>
      <c r="BK93" s="58"/>
      <c r="BL93" s="58"/>
      <c r="BM93" s="17"/>
      <c r="BN93" s="17"/>
      <c r="BO93" s="17"/>
      <c r="BP93" s="17"/>
      <c r="BQ93" s="58" t="s">
        <v>596</v>
      </c>
      <c r="BR93" s="58"/>
      <c r="BS93" s="58"/>
      <c r="BT93" s="58"/>
      <c r="BU93" s="58"/>
      <c r="BV93" s="58"/>
      <c r="BW93" s="58"/>
      <c r="BX93" s="58"/>
      <c r="BY93" s="58"/>
      <c r="BZ93" s="58"/>
      <c r="CA93" s="58"/>
      <c r="CB93" s="58"/>
      <c r="CC93" s="58"/>
      <c r="CD93" s="58"/>
      <c r="CE93" s="58"/>
      <c r="CF93" s="58"/>
      <c r="CG93" s="58"/>
      <c r="CH93" s="58"/>
      <c r="CI93" s="58"/>
      <c r="CJ93" s="58"/>
      <c r="CK93" s="58"/>
      <c r="CL93" s="58"/>
      <c r="CM93" s="58"/>
      <c r="CR93" s="59"/>
      <c r="CT93" s="151"/>
    </row>
    <row r="94" spans="1:133" s="60" customFormat="1" ht="15" customHeight="1" x14ac:dyDescent="0.2">
      <c r="A94" s="57"/>
      <c r="B94" s="58"/>
      <c r="C94" s="340" t="s">
        <v>127</v>
      </c>
      <c r="D94" s="340"/>
      <c r="E94" s="340"/>
      <c r="F94" s="340"/>
      <c r="G94" s="340"/>
      <c r="H94" s="340"/>
      <c r="I94" s="340"/>
      <c r="J94" s="340"/>
      <c r="K94" s="340"/>
      <c r="L94" s="340"/>
      <c r="M94" s="340"/>
      <c r="N94" s="340"/>
      <c r="O94" s="340"/>
      <c r="P94" s="340"/>
      <c r="Q94" s="340" t="s">
        <v>161</v>
      </c>
      <c r="R94" s="340"/>
      <c r="S94" s="340"/>
      <c r="T94" s="340"/>
      <c r="U94" s="340"/>
      <c r="V94" s="340"/>
      <c r="W94" s="340"/>
      <c r="X94" s="340"/>
      <c r="Y94" s="340"/>
      <c r="Z94" s="340"/>
      <c r="AA94" s="340"/>
      <c r="AB94" s="340"/>
      <c r="AC94" s="340"/>
      <c r="AD94" s="340"/>
      <c r="AE94" s="340"/>
      <c r="AF94" s="340"/>
      <c r="AG94" s="340"/>
      <c r="AH94" s="340"/>
      <c r="AI94" s="340"/>
      <c r="AJ94" s="340"/>
      <c r="AK94" s="340"/>
      <c r="AL94" s="340"/>
      <c r="AM94" s="340"/>
      <c r="AN94" s="340"/>
      <c r="AO94" s="340"/>
      <c r="AP94" s="340"/>
      <c r="AQ94" s="340"/>
      <c r="AR94" s="340"/>
      <c r="AS94" s="340"/>
      <c r="AT94" s="58"/>
      <c r="AU94" s="58"/>
      <c r="AV94" s="58"/>
      <c r="AW94" s="58"/>
      <c r="AX94" s="58"/>
      <c r="AY94" s="58"/>
      <c r="AZ94" s="58"/>
      <c r="BA94" s="340" t="s">
        <v>127</v>
      </c>
      <c r="BB94" s="340"/>
      <c r="BC94" s="340"/>
      <c r="BD94" s="340"/>
      <c r="BE94" s="340"/>
      <c r="BF94" s="340"/>
      <c r="BG94" s="340"/>
      <c r="BH94" s="340"/>
      <c r="BI94" s="340"/>
      <c r="BJ94" s="340"/>
      <c r="BK94" s="340"/>
      <c r="BL94" s="340"/>
      <c r="BM94" s="340"/>
      <c r="BN94" s="340"/>
      <c r="BO94" s="340" t="s">
        <v>161</v>
      </c>
      <c r="BP94" s="340"/>
      <c r="BQ94" s="340"/>
      <c r="BR94" s="340"/>
      <c r="BS94" s="340"/>
      <c r="BT94" s="340"/>
      <c r="BU94" s="340"/>
      <c r="BV94" s="340"/>
      <c r="BW94" s="340"/>
      <c r="BX94" s="340"/>
      <c r="BY94" s="340"/>
      <c r="BZ94" s="340"/>
      <c r="CA94" s="340"/>
      <c r="CB94" s="340"/>
      <c r="CC94" s="340"/>
      <c r="CD94" s="340"/>
      <c r="CE94" s="340"/>
      <c r="CF94" s="340"/>
      <c r="CG94" s="340"/>
      <c r="CH94" s="340"/>
      <c r="CI94" s="340"/>
      <c r="CJ94" s="340"/>
      <c r="CK94" s="340"/>
      <c r="CL94" s="340"/>
      <c r="CM94" s="340"/>
      <c r="CN94" s="340"/>
      <c r="CO94" s="340"/>
      <c r="CP94" s="340"/>
      <c r="CQ94" s="340"/>
      <c r="CR94" s="59"/>
    </row>
    <row r="95" spans="1:133" s="60" customFormat="1" ht="15" customHeight="1" x14ac:dyDescent="0.2">
      <c r="A95" s="57"/>
      <c r="C95" s="339" t="s">
        <v>496</v>
      </c>
      <c r="D95" s="339"/>
      <c r="E95" s="339"/>
      <c r="F95" s="339"/>
      <c r="G95" s="339"/>
      <c r="H95" s="339"/>
      <c r="I95" s="339"/>
      <c r="J95" s="339"/>
      <c r="K95" s="339"/>
      <c r="L95" s="339"/>
      <c r="M95" s="339"/>
      <c r="N95" s="339"/>
      <c r="O95" s="339"/>
      <c r="P95" s="339"/>
      <c r="Q95" s="333" t="s">
        <v>166</v>
      </c>
      <c r="R95" s="333"/>
      <c r="S95" s="333"/>
      <c r="T95" s="333"/>
      <c r="U95" s="333"/>
      <c r="V95" s="333"/>
      <c r="W95" s="333"/>
      <c r="X95" s="333"/>
      <c r="Y95" s="333"/>
      <c r="Z95" s="333"/>
      <c r="AA95" s="333"/>
      <c r="AB95" s="333"/>
      <c r="AC95" s="333"/>
      <c r="AD95" s="333"/>
      <c r="AE95" s="333"/>
      <c r="AF95" s="333"/>
      <c r="AG95" s="333"/>
      <c r="AH95" s="333"/>
      <c r="AI95" s="333"/>
      <c r="AJ95" s="333"/>
      <c r="AK95" s="333"/>
      <c r="AL95" s="333"/>
      <c r="AM95" s="333"/>
      <c r="AN95" s="333"/>
      <c r="AO95" s="333"/>
      <c r="AP95" s="333"/>
      <c r="AQ95" s="333"/>
      <c r="AR95" s="333"/>
      <c r="AS95" s="333"/>
      <c r="AT95" s="58"/>
      <c r="AU95" s="58"/>
      <c r="AV95" s="58"/>
      <c r="AW95" s="58"/>
      <c r="AX95" s="58"/>
      <c r="AY95" s="58"/>
      <c r="BA95" s="339" t="s">
        <v>496</v>
      </c>
      <c r="BB95" s="339"/>
      <c r="BC95" s="339"/>
      <c r="BD95" s="339"/>
      <c r="BE95" s="339"/>
      <c r="BF95" s="339"/>
      <c r="BG95" s="339"/>
      <c r="BH95" s="339"/>
      <c r="BI95" s="339"/>
      <c r="BJ95" s="339"/>
      <c r="BK95" s="339"/>
      <c r="BL95" s="339"/>
      <c r="BM95" s="339"/>
      <c r="BN95" s="339"/>
      <c r="BO95" s="333" t="s">
        <v>166</v>
      </c>
      <c r="BP95" s="333"/>
      <c r="BQ95" s="333"/>
      <c r="BR95" s="333"/>
      <c r="BS95" s="333"/>
      <c r="BT95" s="333"/>
      <c r="BU95" s="333"/>
      <c r="BV95" s="333"/>
      <c r="BW95" s="333"/>
      <c r="BX95" s="333"/>
      <c r="BY95" s="333"/>
      <c r="BZ95" s="333"/>
      <c r="CA95" s="333"/>
      <c r="CB95" s="333"/>
      <c r="CC95" s="333"/>
      <c r="CD95" s="333"/>
      <c r="CE95" s="333"/>
      <c r="CF95" s="333"/>
      <c r="CG95" s="333"/>
      <c r="CH95" s="333"/>
      <c r="CI95" s="333"/>
      <c r="CJ95" s="333"/>
      <c r="CK95" s="333"/>
      <c r="CL95" s="333"/>
      <c r="CM95" s="333"/>
      <c r="CN95" s="333"/>
      <c r="CO95" s="333"/>
      <c r="CP95" s="333"/>
      <c r="CQ95" s="333"/>
      <c r="CR95" s="59"/>
    </row>
    <row r="96" spans="1:133" s="60" customFormat="1" ht="15" customHeight="1" x14ac:dyDescent="0.2">
      <c r="A96" s="57"/>
      <c r="C96" s="413" t="s">
        <v>162</v>
      </c>
      <c r="D96" s="414"/>
      <c r="E96" s="414"/>
      <c r="F96" s="414"/>
      <c r="G96" s="414"/>
      <c r="H96" s="414"/>
      <c r="I96" s="414"/>
      <c r="J96" s="414"/>
      <c r="K96" s="414"/>
      <c r="L96" s="414"/>
      <c r="M96" s="414"/>
      <c r="N96" s="414"/>
      <c r="O96" s="414"/>
      <c r="P96" s="415"/>
      <c r="Q96" s="419" t="s">
        <v>647</v>
      </c>
      <c r="R96" s="420"/>
      <c r="S96" s="420"/>
      <c r="T96" s="420"/>
      <c r="U96" s="420"/>
      <c r="V96" s="420"/>
      <c r="W96" s="420"/>
      <c r="X96" s="420"/>
      <c r="Y96" s="420"/>
      <c r="Z96" s="420"/>
      <c r="AA96" s="420"/>
      <c r="AB96" s="420"/>
      <c r="AC96" s="420"/>
      <c r="AD96" s="420"/>
      <c r="AE96" s="420"/>
      <c r="AF96" s="420"/>
      <c r="AG96" s="420"/>
      <c r="AH96" s="420"/>
      <c r="AI96" s="420"/>
      <c r="AJ96" s="420"/>
      <c r="AK96" s="420"/>
      <c r="AL96" s="420"/>
      <c r="AM96" s="420"/>
      <c r="AN96" s="420"/>
      <c r="AO96" s="420"/>
      <c r="AP96" s="420"/>
      <c r="AQ96" s="420"/>
      <c r="AR96" s="420"/>
      <c r="AS96" s="421"/>
      <c r="AT96" s="58"/>
      <c r="AU96" s="58"/>
      <c r="AV96" s="58"/>
      <c r="AW96" s="58"/>
      <c r="AX96" s="58"/>
      <c r="AY96" s="58"/>
      <c r="BA96" s="339" t="s">
        <v>162</v>
      </c>
      <c r="BB96" s="339"/>
      <c r="BC96" s="339"/>
      <c r="BD96" s="339"/>
      <c r="BE96" s="339"/>
      <c r="BF96" s="339"/>
      <c r="BG96" s="339"/>
      <c r="BH96" s="339"/>
      <c r="BI96" s="339"/>
      <c r="BJ96" s="339"/>
      <c r="BK96" s="339"/>
      <c r="BL96" s="339"/>
      <c r="BM96" s="339"/>
      <c r="BN96" s="339"/>
      <c r="BO96" s="333" t="s">
        <v>490</v>
      </c>
      <c r="BP96" s="333"/>
      <c r="BQ96" s="333"/>
      <c r="BR96" s="333"/>
      <c r="BS96" s="333"/>
      <c r="BT96" s="333"/>
      <c r="BU96" s="333"/>
      <c r="BV96" s="333"/>
      <c r="BW96" s="333"/>
      <c r="BX96" s="333"/>
      <c r="BY96" s="333"/>
      <c r="BZ96" s="333"/>
      <c r="CA96" s="333"/>
      <c r="CB96" s="333"/>
      <c r="CC96" s="333"/>
      <c r="CD96" s="333"/>
      <c r="CE96" s="333"/>
      <c r="CF96" s="333"/>
      <c r="CG96" s="333"/>
      <c r="CH96" s="333"/>
      <c r="CI96" s="333"/>
      <c r="CJ96" s="333"/>
      <c r="CK96" s="333"/>
      <c r="CL96" s="333"/>
      <c r="CM96" s="333"/>
      <c r="CN96" s="333"/>
      <c r="CO96" s="333"/>
      <c r="CP96" s="333"/>
      <c r="CQ96" s="333"/>
      <c r="CR96" s="59"/>
      <c r="CT96" s="167" t="s">
        <v>645</v>
      </c>
      <c r="CU96" s="167"/>
    </row>
    <row r="97" spans="1:147" s="60" customFormat="1" ht="15" customHeight="1" x14ac:dyDescent="0.2">
      <c r="A97" s="57"/>
      <c r="C97" s="416"/>
      <c r="D97" s="417"/>
      <c r="E97" s="417"/>
      <c r="F97" s="417"/>
      <c r="G97" s="417"/>
      <c r="H97" s="417"/>
      <c r="I97" s="417"/>
      <c r="J97" s="417"/>
      <c r="K97" s="417"/>
      <c r="L97" s="417"/>
      <c r="M97" s="417"/>
      <c r="N97" s="417"/>
      <c r="O97" s="417"/>
      <c r="P97" s="418"/>
      <c r="Q97" s="422"/>
      <c r="R97" s="423"/>
      <c r="S97" s="423"/>
      <c r="T97" s="423"/>
      <c r="U97" s="423"/>
      <c r="V97" s="423"/>
      <c r="W97" s="423"/>
      <c r="X97" s="423"/>
      <c r="Y97" s="423"/>
      <c r="Z97" s="423"/>
      <c r="AA97" s="423"/>
      <c r="AB97" s="423"/>
      <c r="AC97" s="423"/>
      <c r="AD97" s="423"/>
      <c r="AE97" s="423"/>
      <c r="AF97" s="423"/>
      <c r="AG97" s="423"/>
      <c r="AH97" s="423"/>
      <c r="AI97" s="423"/>
      <c r="AJ97" s="423"/>
      <c r="AK97" s="423"/>
      <c r="AL97" s="423"/>
      <c r="AM97" s="423"/>
      <c r="AN97" s="423"/>
      <c r="AO97" s="423"/>
      <c r="AP97" s="423"/>
      <c r="AQ97" s="423"/>
      <c r="AR97" s="423"/>
      <c r="AS97" s="424"/>
      <c r="AT97" s="58"/>
      <c r="AU97" s="58"/>
      <c r="AV97" s="58"/>
      <c r="AW97" s="58"/>
      <c r="AX97" s="58"/>
      <c r="AY97" s="58"/>
      <c r="BA97" s="339" t="s">
        <v>163</v>
      </c>
      <c r="BB97" s="339"/>
      <c r="BC97" s="339"/>
      <c r="BD97" s="339"/>
      <c r="BE97" s="339"/>
      <c r="BF97" s="339"/>
      <c r="BG97" s="339"/>
      <c r="BH97" s="339"/>
      <c r="BI97" s="339"/>
      <c r="BJ97" s="339"/>
      <c r="BK97" s="339"/>
      <c r="BL97" s="339"/>
      <c r="BM97" s="339"/>
      <c r="BN97" s="339"/>
      <c r="BO97" s="333" t="s">
        <v>490</v>
      </c>
      <c r="BP97" s="333"/>
      <c r="BQ97" s="333"/>
      <c r="BR97" s="333"/>
      <c r="BS97" s="333"/>
      <c r="BT97" s="333"/>
      <c r="BU97" s="333"/>
      <c r="BV97" s="333"/>
      <c r="BW97" s="333"/>
      <c r="BX97" s="333"/>
      <c r="BY97" s="333"/>
      <c r="BZ97" s="333"/>
      <c r="CA97" s="333"/>
      <c r="CB97" s="333"/>
      <c r="CC97" s="333"/>
      <c r="CD97" s="333"/>
      <c r="CE97" s="333"/>
      <c r="CF97" s="333"/>
      <c r="CG97" s="333"/>
      <c r="CH97" s="333"/>
      <c r="CI97" s="333"/>
      <c r="CJ97" s="333"/>
      <c r="CK97" s="333"/>
      <c r="CL97" s="333"/>
      <c r="CM97" s="333"/>
      <c r="CN97" s="333"/>
      <c r="CO97" s="333"/>
      <c r="CP97" s="333"/>
      <c r="CQ97" s="333"/>
      <c r="CR97" s="59"/>
      <c r="CT97" s="167"/>
      <c r="CU97" s="167"/>
    </row>
    <row r="98" spans="1:147" s="60" customFormat="1" ht="15" customHeight="1" x14ac:dyDescent="0.2">
      <c r="A98" s="57"/>
      <c r="C98" s="412" t="s">
        <v>163</v>
      </c>
      <c r="D98" s="412"/>
      <c r="E98" s="412"/>
      <c r="F98" s="412"/>
      <c r="G98" s="412"/>
      <c r="H98" s="412"/>
      <c r="I98" s="412"/>
      <c r="J98" s="412"/>
      <c r="K98" s="412"/>
      <c r="L98" s="412"/>
      <c r="M98" s="412"/>
      <c r="N98" s="412"/>
      <c r="O98" s="412"/>
      <c r="P98" s="412"/>
      <c r="Q98" s="419" t="s">
        <v>647</v>
      </c>
      <c r="R98" s="420"/>
      <c r="S98" s="420"/>
      <c r="T98" s="420"/>
      <c r="U98" s="420"/>
      <c r="V98" s="420"/>
      <c r="W98" s="420"/>
      <c r="X98" s="420"/>
      <c r="Y98" s="420"/>
      <c r="Z98" s="420"/>
      <c r="AA98" s="420"/>
      <c r="AB98" s="420"/>
      <c r="AC98" s="420"/>
      <c r="AD98" s="420"/>
      <c r="AE98" s="420"/>
      <c r="AF98" s="420"/>
      <c r="AG98" s="420"/>
      <c r="AH98" s="420"/>
      <c r="AI98" s="420"/>
      <c r="AJ98" s="420"/>
      <c r="AK98" s="420"/>
      <c r="AL98" s="420"/>
      <c r="AM98" s="420"/>
      <c r="AN98" s="420"/>
      <c r="AO98" s="420"/>
      <c r="AP98" s="420"/>
      <c r="AQ98" s="420"/>
      <c r="AR98" s="420"/>
      <c r="AS98" s="421"/>
      <c r="AT98" s="58"/>
      <c r="AU98" s="58"/>
      <c r="AV98" s="58"/>
      <c r="AW98" s="58"/>
      <c r="AX98" s="58"/>
      <c r="AY98" s="58"/>
      <c r="BA98" s="330" t="s">
        <v>164</v>
      </c>
      <c r="BB98" s="331"/>
      <c r="BC98" s="331"/>
      <c r="BD98" s="331"/>
      <c r="BE98" s="331"/>
      <c r="BF98" s="331"/>
      <c r="BG98" s="331"/>
      <c r="BH98" s="331"/>
      <c r="BI98" s="331"/>
      <c r="BJ98" s="331"/>
      <c r="BK98" s="331"/>
      <c r="BL98" s="331"/>
      <c r="BM98" s="331"/>
      <c r="BN98" s="332"/>
      <c r="BO98" s="333" t="s">
        <v>167</v>
      </c>
      <c r="BP98" s="333"/>
      <c r="BQ98" s="333"/>
      <c r="BR98" s="333"/>
      <c r="BS98" s="333"/>
      <c r="BT98" s="333"/>
      <c r="BU98" s="333"/>
      <c r="BV98" s="333"/>
      <c r="BW98" s="333"/>
      <c r="BX98" s="333"/>
      <c r="BY98" s="333"/>
      <c r="BZ98" s="333"/>
      <c r="CA98" s="333"/>
      <c r="CB98" s="333"/>
      <c r="CC98" s="333"/>
      <c r="CD98" s="333"/>
      <c r="CE98" s="333"/>
      <c r="CF98" s="333"/>
      <c r="CG98" s="333"/>
      <c r="CH98" s="333"/>
      <c r="CI98" s="333"/>
      <c r="CJ98" s="333"/>
      <c r="CK98" s="333"/>
      <c r="CL98" s="333"/>
      <c r="CM98" s="333"/>
      <c r="CN98" s="333"/>
      <c r="CO98" s="333"/>
      <c r="CP98" s="333"/>
      <c r="CQ98" s="333"/>
      <c r="CR98" s="59"/>
      <c r="CT98" s="167" t="s">
        <v>645</v>
      </c>
      <c r="CU98" s="167"/>
    </row>
    <row r="99" spans="1:147" s="60" customFormat="1" ht="15" customHeight="1" x14ac:dyDescent="0.2">
      <c r="A99" s="57"/>
      <c r="C99" s="412"/>
      <c r="D99" s="412"/>
      <c r="E99" s="412"/>
      <c r="F99" s="412"/>
      <c r="G99" s="412"/>
      <c r="H99" s="412"/>
      <c r="I99" s="412"/>
      <c r="J99" s="412"/>
      <c r="K99" s="412"/>
      <c r="L99" s="412"/>
      <c r="M99" s="412"/>
      <c r="N99" s="412"/>
      <c r="O99" s="412"/>
      <c r="P99" s="412"/>
      <c r="Q99" s="422"/>
      <c r="R99" s="423"/>
      <c r="S99" s="423"/>
      <c r="T99" s="423"/>
      <c r="U99" s="423"/>
      <c r="V99" s="423"/>
      <c r="W99" s="423"/>
      <c r="X99" s="423"/>
      <c r="Y99" s="423"/>
      <c r="Z99" s="423"/>
      <c r="AA99" s="423"/>
      <c r="AB99" s="423"/>
      <c r="AC99" s="423"/>
      <c r="AD99" s="423"/>
      <c r="AE99" s="423"/>
      <c r="AF99" s="423"/>
      <c r="AG99" s="423"/>
      <c r="AH99" s="423"/>
      <c r="AI99" s="423"/>
      <c r="AJ99" s="423"/>
      <c r="AK99" s="423"/>
      <c r="AL99" s="423"/>
      <c r="AM99" s="423"/>
      <c r="AN99" s="423"/>
      <c r="AO99" s="423"/>
      <c r="AP99" s="423"/>
      <c r="AQ99" s="423"/>
      <c r="AR99" s="423"/>
      <c r="AS99" s="424"/>
      <c r="AT99" s="58"/>
      <c r="AU99" s="58"/>
      <c r="AV99" s="58"/>
      <c r="AW99" s="58"/>
      <c r="AX99" s="58"/>
      <c r="AY99" s="58"/>
      <c r="BA99" s="330" t="s">
        <v>165</v>
      </c>
      <c r="BB99" s="331"/>
      <c r="BC99" s="331"/>
      <c r="BD99" s="331"/>
      <c r="BE99" s="331"/>
      <c r="BF99" s="331"/>
      <c r="BG99" s="331"/>
      <c r="BH99" s="331"/>
      <c r="BI99" s="331"/>
      <c r="BJ99" s="331"/>
      <c r="BK99" s="331"/>
      <c r="BL99" s="331"/>
      <c r="BM99" s="331"/>
      <c r="BN99" s="332"/>
      <c r="BO99" s="333" t="s">
        <v>168</v>
      </c>
      <c r="BP99" s="333"/>
      <c r="BQ99" s="333"/>
      <c r="BR99" s="333"/>
      <c r="BS99" s="333"/>
      <c r="BT99" s="333"/>
      <c r="BU99" s="333"/>
      <c r="BV99" s="333"/>
      <c r="BW99" s="333"/>
      <c r="BX99" s="333"/>
      <c r="BY99" s="333"/>
      <c r="BZ99" s="333"/>
      <c r="CA99" s="333"/>
      <c r="CB99" s="333"/>
      <c r="CC99" s="333"/>
      <c r="CD99" s="333"/>
      <c r="CE99" s="333"/>
      <c r="CF99" s="333"/>
      <c r="CG99" s="333"/>
      <c r="CH99" s="333"/>
      <c r="CI99" s="333"/>
      <c r="CJ99" s="333"/>
      <c r="CK99" s="333"/>
      <c r="CL99" s="333"/>
      <c r="CM99" s="333"/>
      <c r="CN99" s="333"/>
      <c r="CO99" s="333"/>
      <c r="CP99" s="333"/>
      <c r="CQ99" s="333"/>
      <c r="CR99" s="59"/>
    </row>
    <row r="100" spans="1:147" s="60" customFormat="1" ht="15" customHeight="1" x14ac:dyDescent="0.2">
      <c r="A100" s="57"/>
      <c r="B100" s="58"/>
      <c r="C100" s="330" t="s">
        <v>164</v>
      </c>
      <c r="D100" s="331"/>
      <c r="E100" s="331"/>
      <c r="F100" s="331"/>
      <c r="G100" s="331"/>
      <c r="H100" s="331"/>
      <c r="I100" s="331"/>
      <c r="J100" s="331"/>
      <c r="K100" s="331"/>
      <c r="L100" s="331"/>
      <c r="M100" s="331"/>
      <c r="N100" s="331"/>
      <c r="O100" s="331"/>
      <c r="P100" s="332"/>
      <c r="Q100" s="333" t="s">
        <v>167</v>
      </c>
      <c r="R100" s="333"/>
      <c r="S100" s="333"/>
      <c r="T100" s="333"/>
      <c r="U100" s="333"/>
      <c r="V100" s="333"/>
      <c r="W100" s="333"/>
      <c r="X100" s="333"/>
      <c r="Y100" s="333"/>
      <c r="Z100" s="333"/>
      <c r="AA100" s="333"/>
      <c r="AB100" s="333"/>
      <c r="AC100" s="333"/>
      <c r="AD100" s="333"/>
      <c r="AE100" s="333"/>
      <c r="AF100" s="333"/>
      <c r="AG100" s="333"/>
      <c r="AH100" s="333"/>
      <c r="AI100" s="333"/>
      <c r="AJ100" s="333"/>
      <c r="AK100" s="333"/>
      <c r="AL100" s="333"/>
      <c r="AM100" s="333"/>
      <c r="AN100" s="333"/>
      <c r="AO100" s="333"/>
      <c r="AP100" s="333"/>
      <c r="AQ100" s="333"/>
      <c r="AR100" s="333"/>
      <c r="AS100" s="333"/>
      <c r="AT100" s="58"/>
      <c r="AU100" s="58"/>
      <c r="AV100" s="58"/>
      <c r="AW100" s="58"/>
      <c r="AX100" s="58"/>
      <c r="AY100" s="58"/>
      <c r="BA100" s="330" t="s">
        <v>497</v>
      </c>
      <c r="BB100" s="331"/>
      <c r="BC100" s="331"/>
      <c r="BD100" s="331"/>
      <c r="BE100" s="331"/>
      <c r="BF100" s="331"/>
      <c r="BG100" s="331"/>
      <c r="BH100" s="331"/>
      <c r="BI100" s="331"/>
      <c r="BJ100" s="331"/>
      <c r="BK100" s="331"/>
      <c r="BL100" s="331"/>
      <c r="BM100" s="331"/>
      <c r="BN100" s="332"/>
      <c r="BO100" s="333"/>
      <c r="BP100" s="333"/>
      <c r="BQ100" s="333"/>
      <c r="BR100" s="333"/>
      <c r="BS100" s="333"/>
      <c r="BT100" s="333"/>
      <c r="BU100" s="333"/>
      <c r="BV100" s="333"/>
      <c r="BW100" s="333"/>
      <c r="BX100" s="333"/>
      <c r="BY100" s="333"/>
      <c r="BZ100" s="333"/>
      <c r="CA100" s="333"/>
      <c r="CB100" s="333"/>
      <c r="CC100" s="333"/>
      <c r="CD100" s="333"/>
      <c r="CE100" s="333"/>
      <c r="CF100" s="333"/>
      <c r="CG100" s="333"/>
      <c r="CH100" s="333"/>
      <c r="CI100" s="333"/>
      <c r="CJ100" s="333"/>
      <c r="CK100" s="333"/>
      <c r="CL100" s="333"/>
      <c r="CM100" s="333"/>
      <c r="CN100" s="333"/>
      <c r="CO100" s="333"/>
      <c r="CP100" s="333"/>
      <c r="CQ100" s="333"/>
      <c r="CR100" s="59"/>
    </row>
    <row r="101" spans="1:147" s="60" customFormat="1" ht="15" customHeight="1" x14ac:dyDescent="0.2">
      <c r="A101" s="57"/>
      <c r="B101" s="58"/>
      <c r="C101" s="330" t="s">
        <v>165</v>
      </c>
      <c r="D101" s="331"/>
      <c r="E101" s="331"/>
      <c r="F101" s="331"/>
      <c r="G101" s="331"/>
      <c r="H101" s="331"/>
      <c r="I101" s="331"/>
      <c r="J101" s="331"/>
      <c r="K101" s="331"/>
      <c r="L101" s="331"/>
      <c r="M101" s="331"/>
      <c r="N101" s="331"/>
      <c r="O101" s="331"/>
      <c r="P101" s="332"/>
      <c r="Q101" s="333" t="s">
        <v>168</v>
      </c>
      <c r="R101" s="333"/>
      <c r="S101" s="333"/>
      <c r="T101" s="333"/>
      <c r="U101" s="333"/>
      <c r="V101" s="333"/>
      <c r="W101" s="333"/>
      <c r="X101" s="333"/>
      <c r="Y101" s="333"/>
      <c r="Z101" s="333"/>
      <c r="AA101" s="333"/>
      <c r="AB101" s="333"/>
      <c r="AC101" s="333"/>
      <c r="AD101" s="333"/>
      <c r="AE101" s="333"/>
      <c r="AF101" s="333"/>
      <c r="AG101" s="333"/>
      <c r="AH101" s="333"/>
      <c r="AI101" s="333"/>
      <c r="AJ101" s="333"/>
      <c r="AK101" s="333"/>
      <c r="AL101" s="333"/>
      <c r="AM101" s="333"/>
      <c r="AN101" s="333"/>
      <c r="AO101" s="333"/>
      <c r="AP101" s="333"/>
      <c r="AQ101" s="333"/>
      <c r="AR101" s="333"/>
      <c r="AS101" s="333"/>
      <c r="AT101" s="58"/>
      <c r="AU101" s="58"/>
      <c r="AV101" s="58"/>
      <c r="AW101" s="58"/>
      <c r="AX101" s="58"/>
      <c r="AY101" s="58"/>
      <c r="BA101" s="330" t="s">
        <v>169</v>
      </c>
      <c r="BB101" s="331"/>
      <c r="BC101" s="331"/>
      <c r="BD101" s="331"/>
      <c r="BE101" s="331"/>
      <c r="BF101" s="331"/>
      <c r="BG101" s="331"/>
      <c r="BH101" s="331"/>
      <c r="BI101" s="331"/>
      <c r="BJ101" s="331"/>
      <c r="BK101" s="331"/>
      <c r="BL101" s="331"/>
      <c r="BM101" s="331"/>
      <c r="BN101" s="332"/>
      <c r="BO101" s="333"/>
      <c r="BP101" s="333"/>
      <c r="BQ101" s="333"/>
      <c r="BR101" s="333"/>
      <c r="BS101" s="333"/>
      <c r="BT101" s="333"/>
      <c r="BU101" s="333"/>
      <c r="BV101" s="333"/>
      <c r="BW101" s="333"/>
      <c r="BX101" s="333"/>
      <c r="BY101" s="333"/>
      <c r="BZ101" s="333"/>
      <c r="CA101" s="333"/>
      <c r="CB101" s="333"/>
      <c r="CC101" s="333"/>
      <c r="CD101" s="333"/>
      <c r="CE101" s="333"/>
      <c r="CF101" s="333"/>
      <c r="CG101" s="333"/>
      <c r="CH101" s="333"/>
      <c r="CI101" s="333"/>
      <c r="CJ101" s="333"/>
      <c r="CK101" s="333"/>
      <c r="CL101" s="333"/>
      <c r="CM101" s="333"/>
      <c r="CN101" s="333"/>
      <c r="CO101" s="333"/>
      <c r="CP101" s="333"/>
      <c r="CQ101" s="333"/>
      <c r="CR101" s="59"/>
    </row>
    <row r="102" spans="1:147" s="60" customFormat="1" ht="15" customHeight="1" x14ac:dyDescent="0.2">
      <c r="A102" s="57"/>
      <c r="B102" s="58"/>
      <c r="C102" s="330" t="s">
        <v>497</v>
      </c>
      <c r="D102" s="331"/>
      <c r="E102" s="331"/>
      <c r="F102" s="331"/>
      <c r="G102" s="331"/>
      <c r="H102" s="331"/>
      <c r="I102" s="331"/>
      <c r="J102" s="331"/>
      <c r="K102" s="331"/>
      <c r="L102" s="331"/>
      <c r="M102" s="331"/>
      <c r="N102" s="331"/>
      <c r="O102" s="331"/>
      <c r="P102" s="332"/>
      <c r="Q102" s="333"/>
      <c r="R102" s="333"/>
      <c r="S102" s="333"/>
      <c r="T102" s="333"/>
      <c r="U102" s="333"/>
      <c r="V102" s="333"/>
      <c r="W102" s="333"/>
      <c r="X102" s="333"/>
      <c r="Y102" s="333"/>
      <c r="Z102" s="333"/>
      <c r="AA102" s="333"/>
      <c r="AB102" s="333"/>
      <c r="AC102" s="333"/>
      <c r="AD102" s="333"/>
      <c r="AE102" s="333"/>
      <c r="AF102" s="333"/>
      <c r="AG102" s="333"/>
      <c r="AH102" s="333"/>
      <c r="AI102" s="333"/>
      <c r="AJ102" s="333"/>
      <c r="AK102" s="333"/>
      <c r="AL102" s="333"/>
      <c r="AM102" s="333"/>
      <c r="AN102" s="333"/>
      <c r="AO102" s="333"/>
      <c r="AP102" s="333"/>
      <c r="AQ102" s="333"/>
      <c r="AR102" s="333"/>
      <c r="AS102" s="333"/>
      <c r="AT102" s="58"/>
      <c r="AU102" s="58"/>
      <c r="AV102" s="58"/>
      <c r="AW102" s="58"/>
      <c r="AX102" s="58"/>
      <c r="AY102" s="58"/>
      <c r="BA102" s="330" t="s">
        <v>170</v>
      </c>
      <c r="BB102" s="331"/>
      <c r="BC102" s="331"/>
      <c r="BD102" s="331"/>
      <c r="BE102" s="331"/>
      <c r="BF102" s="331"/>
      <c r="BG102" s="331"/>
      <c r="BH102" s="331"/>
      <c r="BI102" s="331"/>
      <c r="BJ102" s="331"/>
      <c r="BK102" s="331"/>
      <c r="BL102" s="331"/>
      <c r="BM102" s="331"/>
      <c r="BN102" s="332"/>
      <c r="BO102" s="333" t="s">
        <v>491</v>
      </c>
      <c r="BP102" s="333"/>
      <c r="BQ102" s="333"/>
      <c r="BR102" s="333"/>
      <c r="BS102" s="333"/>
      <c r="BT102" s="333"/>
      <c r="BU102" s="333"/>
      <c r="BV102" s="333"/>
      <c r="BW102" s="333"/>
      <c r="BX102" s="333"/>
      <c r="BY102" s="333"/>
      <c r="BZ102" s="333"/>
      <c r="CA102" s="333"/>
      <c r="CB102" s="333"/>
      <c r="CC102" s="333"/>
      <c r="CD102" s="333"/>
      <c r="CE102" s="333"/>
      <c r="CF102" s="333"/>
      <c r="CG102" s="333"/>
      <c r="CH102" s="333"/>
      <c r="CI102" s="333"/>
      <c r="CJ102" s="333"/>
      <c r="CK102" s="333"/>
      <c r="CL102" s="333"/>
      <c r="CM102" s="333"/>
      <c r="CN102" s="333"/>
      <c r="CO102" s="333"/>
      <c r="CP102" s="333"/>
      <c r="CQ102" s="333"/>
      <c r="CR102" s="59"/>
    </row>
    <row r="103" spans="1:147" s="60" customFormat="1" ht="15" customHeight="1" x14ac:dyDescent="0.2">
      <c r="A103" s="57"/>
      <c r="B103" s="58"/>
      <c r="C103" s="330" t="s">
        <v>169</v>
      </c>
      <c r="D103" s="331"/>
      <c r="E103" s="331"/>
      <c r="F103" s="331"/>
      <c r="G103" s="331"/>
      <c r="H103" s="331"/>
      <c r="I103" s="331"/>
      <c r="J103" s="331"/>
      <c r="K103" s="331"/>
      <c r="L103" s="331"/>
      <c r="M103" s="331"/>
      <c r="N103" s="331"/>
      <c r="O103" s="331"/>
      <c r="P103" s="332"/>
      <c r="Q103" s="333"/>
      <c r="R103" s="333"/>
      <c r="S103" s="333"/>
      <c r="T103" s="333"/>
      <c r="U103" s="333"/>
      <c r="V103" s="333"/>
      <c r="W103" s="333"/>
      <c r="X103" s="333"/>
      <c r="Y103" s="333"/>
      <c r="Z103" s="333"/>
      <c r="AA103" s="333"/>
      <c r="AB103" s="333"/>
      <c r="AC103" s="333"/>
      <c r="AD103" s="333"/>
      <c r="AE103" s="333"/>
      <c r="AF103" s="333"/>
      <c r="AG103" s="333"/>
      <c r="AH103" s="333"/>
      <c r="AI103" s="333"/>
      <c r="AJ103" s="333"/>
      <c r="AK103" s="333"/>
      <c r="AL103" s="333"/>
      <c r="AM103" s="333"/>
      <c r="AN103" s="333"/>
      <c r="AO103" s="333"/>
      <c r="AP103" s="333"/>
      <c r="AQ103" s="333"/>
      <c r="AR103" s="333"/>
      <c r="AS103" s="333"/>
      <c r="AT103" s="58"/>
      <c r="AU103" s="58"/>
      <c r="AV103" s="58"/>
      <c r="AW103" s="58"/>
      <c r="AX103" s="58"/>
      <c r="AY103" s="58"/>
      <c r="BA103" s="330" t="s">
        <v>171</v>
      </c>
      <c r="BB103" s="331"/>
      <c r="BC103" s="331"/>
      <c r="BD103" s="331"/>
      <c r="BE103" s="331"/>
      <c r="BF103" s="331"/>
      <c r="BG103" s="331"/>
      <c r="BH103" s="331"/>
      <c r="BI103" s="331"/>
      <c r="BJ103" s="331"/>
      <c r="BK103" s="331"/>
      <c r="BL103" s="331"/>
      <c r="BM103" s="331"/>
      <c r="BN103" s="332"/>
      <c r="BO103" s="333" t="s">
        <v>492</v>
      </c>
      <c r="BP103" s="333"/>
      <c r="BQ103" s="333"/>
      <c r="BR103" s="333"/>
      <c r="BS103" s="333"/>
      <c r="BT103" s="333"/>
      <c r="BU103" s="333"/>
      <c r="BV103" s="333"/>
      <c r="BW103" s="333"/>
      <c r="BX103" s="333"/>
      <c r="BY103" s="333"/>
      <c r="BZ103" s="333"/>
      <c r="CA103" s="333"/>
      <c r="CB103" s="333"/>
      <c r="CC103" s="333"/>
      <c r="CD103" s="333"/>
      <c r="CE103" s="333"/>
      <c r="CF103" s="333"/>
      <c r="CG103" s="333"/>
      <c r="CH103" s="333"/>
      <c r="CI103" s="333"/>
      <c r="CJ103" s="333"/>
      <c r="CK103" s="333"/>
      <c r="CL103" s="333"/>
      <c r="CM103" s="333"/>
      <c r="CN103" s="333"/>
      <c r="CO103" s="333"/>
      <c r="CP103" s="333"/>
      <c r="CQ103" s="333"/>
      <c r="CR103" s="59"/>
    </row>
    <row r="104" spans="1:147" s="60" customFormat="1" ht="15" customHeight="1" x14ac:dyDescent="0.2">
      <c r="A104" s="57"/>
      <c r="B104" s="58"/>
      <c r="C104" s="330" t="s">
        <v>170</v>
      </c>
      <c r="D104" s="331"/>
      <c r="E104" s="331"/>
      <c r="F104" s="331"/>
      <c r="G104" s="331"/>
      <c r="H104" s="331"/>
      <c r="I104" s="331"/>
      <c r="J104" s="331"/>
      <c r="K104" s="331"/>
      <c r="L104" s="331"/>
      <c r="M104" s="331"/>
      <c r="N104" s="331"/>
      <c r="O104" s="331"/>
      <c r="P104" s="332"/>
      <c r="Q104" s="333" t="s">
        <v>175</v>
      </c>
      <c r="R104" s="333"/>
      <c r="S104" s="333"/>
      <c r="T104" s="333"/>
      <c r="U104" s="333"/>
      <c r="V104" s="333"/>
      <c r="W104" s="333"/>
      <c r="X104" s="333"/>
      <c r="Y104" s="333"/>
      <c r="Z104" s="333"/>
      <c r="AA104" s="333"/>
      <c r="AB104" s="333"/>
      <c r="AC104" s="333"/>
      <c r="AD104" s="333"/>
      <c r="AE104" s="333"/>
      <c r="AF104" s="333"/>
      <c r="AG104" s="333"/>
      <c r="AH104" s="333"/>
      <c r="AI104" s="333"/>
      <c r="AJ104" s="333"/>
      <c r="AK104" s="333"/>
      <c r="AL104" s="333"/>
      <c r="AM104" s="333"/>
      <c r="AN104" s="333"/>
      <c r="AO104" s="333"/>
      <c r="AP104" s="333"/>
      <c r="AQ104" s="333"/>
      <c r="AR104" s="333"/>
      <c r="AS104" s="333"/>
      <c r="AT104" s="58"/>
      <c r="AU104" s="58"/>
      <c r="AV104" s="58"/>
      <c r="AW104" s="58"/>
      <c r="AX104" s="58"/>
      <c r="AY104" s="58"/>
      <c r="BA104" s="330" t="s">
        <v>172</v>
      </c>
      <c r="BB104" s="331"/>
      <c r="BC104" s="331"/>
      <c r="BD104" s="331"/>
      <c r="BE104" s="331"/>
      <c r="BF104" s="331"/>
      <c r="BG104" s="331"/>
      <c r="BH104" s="331"/>
      <c r="BI104" s="331"/>
      <c r="BJ104" s="331"/>
      <c r="BK104" s="331"/>
      <c r="BL104" s="331"/>
      <c r="BM104" s="331"/>
      <c r="BN104" s="332"/>
      <c r="BO104" s="333" t="s">
        <v>176</v>
      </c>
      <c r="BP104" s="333"/>
      <c r="BQ104" s="333"/>
      <c r="BR104" s="333"/>
      <c r="BS104" s="333"/>
      <c r="BT104" s="333"/>
      <c r="BU104" s="333"/>
      <c r="BV104" s="333"/>
      <c r="BW104" s="333"/>
      <c r="BX104" s="333"/>
      <c r="BY104" s="333"/>
      <c r="BZ104" s="333"/>
      <c r="CA104" s="333"/>
      <c r="CB104" s="333"/>
      <c r="CC104" s="333"/>
      <c r="CD104" s="333"/>
      <c r="CE104" s="333"/>
      <c r="CF104" s="333"/>
      <c r="CG104" s="333"/>
      <c r="CH104" s="333"/>
      <c r="CI104" s="333"/>
      <c r="CJ104" s="333"/>
      <c r="CK104" s="333"/>
      <c r="CL104" s="333"/>
      <c r="CM104" s="333"/>
      <c r="CN104" s="333"/>
      <c r="CO104" s="333"/>
      <c r="CP104" s="333"/>
      <c r="CQ104" s="333"/>
      <c r="CR104" s="59"/>
    </row>
    <row r="105" spans="1:147" s="60" customFormat="1" ht="15" customHeight="1" x14ac:dyDescent="0.15">
      <c r="A105" s="57"/>
      <c r="B105" s="58"/>
      <c r="C105" s="330" t="s">
        <v>171</v>
      </c>
      <c r="D105" s="331"/>
      <c r="E105" s="331"/>
      <c r="F105" s="331"/>
      <c r="G105" s="331"/>
      <c r="H105" s="331"/>
      <c r="I105" s="331"/>
      <c r="J105" s="331"/>
      <c r="K105" s="331"/>
      <c r="L105" s="331"/>
      <c r="M105" s="331"/>
      <c r="N105" s="331"/>
      <c r="O105" s="331"/>
      <c r="P105" s="332"/>
      <c r="Q105" s="333" t="s">
        <v>346</v>
      </c>
      <c r="R105" s="333"/>
      <c r="S105" s="333"/>
      <c r="T105" s="333"/>
      <c r="U105" s="333"/>
      <c r="V105" s="333"/>
      <c r="W105" s="333"/>
      <c r="X105" s="333"/>
      <c r="Y105" s="333"/>
      <c r="Z105" s="333"/>
      <c r="AA105" s="333"/>
      <c r="AB105" s="333"/>
      <c r="AC105" s="333"/>
      <c r="AD105" s="333"/>
      <c r="AE105" s="333"/>
      <c r="AF105" s="333"/>
      <c r="AG105" s="333"/>
      <c r="AH105" s="333"/>
      <c r="AI105" s="333"/>
      <c r="AJ105" s="333"/>
      <c r="AK105" s="333"/>
      <c r="AL105" s="333"/>
      <c r="AM105" s="333"/>
      <c r="AN105" s="333"/>
      <c r="AO105" s="333"/>
      <c r="AP105" s="333"/>
      <c r="AQ105" s="333"/>
      <c r="AR105" s="333"/>
      <c r="AS105" s="333"/>
      <c r="AT105" s="58"/>
      <c r="AU105" s="58"/>
      <c r="AV105" s="58"/>
      <c r="AW105" s="58"/>
      <c r="AX105" s="58"/>
      <c r="AY105" s="58"/>
      <c r="BA105" s="330" t="s">
        <v>173</v>
      </c>
      <c r="BB105" s="331"/>
      <c r="BC105" s="331"/>
      <c r="BD105" s="331"/>
      <c r="BE105" s="331"/>
      <c r="BF105" s="331"/>
      <c r="BG105" s="331"/>
      <c r="BH105" s="331"/>
      <c r="BI105" s="331"/>
      <c r="BJ105" s="331"/>
      <c r="BK105" s="331"/>
      <c r="BL105" s="331"/>
      <c r="BM105" s="331"/>
      <c r="BN105" s="332"/>
      <c r="BO105" s="333" t="s">
        <v>176</v>
      </c>
      <c r="BP105" s="333"/>
      <c r="BQ105" s="333"/>
      <c r="BR105" s="333"/>
      <c r="BS105" s="333"/>
      <c r="BT105" s="333"/>
      <c r="BU105" s="333"/>
      <c r="BV105" s="333"/>
      <c r="BW105" s="333"/>
      <c r="BX105" s="333"/>
      <c r="BY105" s="333"/>
      <c r="BZ105" s="333"/>
      <c r="CA105" s="333"/>
      <c r="CB105" s="333"/>
      <c r="CC105" s="333"/>
      <c r="CD105" s="333"/>
      <c r="CE105" s="333"/>
      <c r="CF105" s="333"/>
      <c r="CG105" s="333"/>
      <c r="CH105" s="333"/>
      <c r="CI105" s="333"/>
      <c r="CJ105" s="333"/>
      <c r="CK105" s="333"/>
      <c r="CL105" s="333"/>
      <c r="CM105" s="333"/>
      <c r="CN105" s="333"/>
      <c r="CO105" s="333"/>
      <c r="CP105" s="333"/>
      <c r="CQ105" s="333"/>
      <c r="CR105" s="59"/>
      <c r="EN105" s="17"/>
      <c r="EO105" s="17"/>
      <c r="EP105" s="17"/>
      <c r="EQ105" s="17"/>
    </row>
    <row r="106" spans="1:147" s="60" customFormat="1" ht="15" customHeight="1" x14ac:dyDescent="0.15">
      <c r="A106" s="57"/>
      <c r="B106" s="58"/>
      <c r="C106" s="330" t="s">
        <v>172</v>
      </c>
      <c r="D106" s="331"/>
      <c r="E106" s="331"/>
      <c r="F106" s="331"/>
      <c r="G106" s="331"/>
      <c r="H106" s="331"/>
      <c r="I106" s="331"/>
      <c r="J106" s="331"/>
      <c r="K106" s="331"/>
      <c r="L106" s="331"/>
      <c r="M106" s="331"/>
      <c r="N106" s="331"/>
      <c r="O106" s="331"/>
      <c r="P106" s="332"/>
      <c r="Q106" s="333" t="s">
        <v>176</v>
      </c>
      <c r="R106" s="333"/>
      <c r="S106" s="333"/>
      <c r="T106" s="333"/>
      <c r="U106" s="333"/>
      <c r="V106" s="333"/>
      <c r="W106" s="333"/>
      <c r="X106" s="333"/>
      <c r="Y106" s="333"/>
      <c r="Z106" s="333"/>
      <c r="AA106" s="333"/>
      <c r="AB106" s="333"/>
      <c r="AC106" s="333"/>
      <c r="AD106" s="333"/>
      <c r="AE106" s="333"/>
      <c r="AF106" s="333"/>
      <c r="AG106" s="333"/>
      <c r="AH106" s="333"/>
      <c r="AI106" s="333"/>
      <c r="AJ106" s="333"/>
      <c r="AK106" s="333"/>
      <c r="AL106" s="333"/>
      <c r="AM106" s="333"/>
      <c r="AN106" s="333"/>
      <c r="AO106" s="333"/>
      <c r="AP106" s="333"/>
      <c r="AQ106" s="333"/>
      <c r="AR106" s="333"/>
      <c r="AS106" s="333"/>
      <c r="AT106" s="58"/>
      <c r="AU106" s="58"/>
      <c r="AV106" s="58"/>
      <c r="AW106" s="58"/>
      <c r="AX106" s="58"/>
      <c r="AY106" s="58"/>
      <c r="BA106" s="330" t="s">
        <v>174</v>
      </c>
      <c r="BB106" s="331"/>
      <c r="BC106" s="331"/>
      <c r="BD106" s="331"/>
      <c r="BE106" s="331"/>
      <c r="BF106" s="331"/>
      <c r="BG106" s="331"/>
      <c r="BH106" s="331"/>
      <c r="BI106" s="331"/>
      <c r="BJ106" s="331"/>
      <c r="BK106" s="331"/>
      <c r="BL106" s="331"/>
      <c r="BM106" s="331"/>
      <c r="BN106" s="332"/>
      <c r="BO106" s="333" t="s">
        <v>176</v>
      </c>
      <c r="BP106" s="333"/>
      <c r="BQ106" s="333"/>
      <c r="BR106" s="333"/>
      <c r="BS106" s="333"/>
      <c r="BT106" s="333"/>
      <c r="BU106" s="333"/>
      <c r="BV106" s="333"/>
      <c r="BW106" s="333"/>
      <c r="BX106" s="333"/>
      <c r="BY106" s="333"/>
      <c r="BZ106" s="333"/>
      <c r="CA106" s="333"/>
      <c r="CB106" s="333"/>
      <c r="CC106" s="333"/>
      <c r="CD106" s="333"/>
      <c r="CE106" s="333"/>
      <c r="CF106" s="333"/>
      <c r="CG106" s="333"/>
      <c r="CH106" s="333"/>
      <c r="CI106" s="333"/>
      <c r="CJ106" s="333"/>
      <c r="CK106" s="333"/>
      <c r="CL106" s="333"/>
      <c r="CM106" s="333"/>
      <c r="CN106" s="333"/>
      <c r="CO106" s="333"/>
      <c r="CP106" s="333"/>
      <c r="CQ106" s="333"/>
      <c r="CR106" s="59"/>
      <c r="EN106" s="17"/>
      <c r="EO106" s="17"/>
      <c r="EP106" s="17"/>
      <c r="EQ106" s="17"/>
    </row>
    <row r="107" spans="1:147" s="60" customFormat="1" ht="15" customHeight="1" x14ac:dyDescent="0.15">
      <c r="A107" s="57"/>
      <c r="B107" s="58"/>
      <c r="C107" s="330" t="s">
        <v>173</v>
      </c>
      <c r="D107" s="331"/>
      <c r="E107" s="331"/>
      <c r="F107" s="331"/>
      <c r="G107" s="331"/>
      <c r="H107" s="331"/>
      <c r="I107" s="331"/>
      <c r="J107" s="331"/>
      <c r="K107" s="331"/>
      <c r="L107" s="331"/>
      <c r="M107" s="331"/>
      <c r="N107" s="331"/>
      <c r="O107" s="331"/>
      <c r="P107" s="332"/>
      <c r="Q107" s="333" t="s">
        <v>176</v>
      </c>
      <c r="R107" s="333"/>
      <c r="S107" s="333"/>
      <c r="T107" s="333"/>
      <c r="U107" s="333"/>
      <c r="V107" s="333"/>
      <c r="W107" s="333"/>
      <c r="X107" s="333"/>
      <c r="Y107" s="333"/>
      <c r="Z107" s="333"/>
      <c r="AA107" s="333"/>
      <c r="AB107" s="333"/>
      <c r="AC107" s="333"/>
      <c r="AD107" s="333"/>
      <c r="AE107" s="333"/>
      <c r="AF107" s="333"/>
      <c r="AG107" s="333"/>
      <c r="AH107" s="333"/>
      <c r="AI107" s="333"/>
      <c r="AJ107" s="333"/>
      <c r="AK107" s="333"/>
      <c r="AL107" s="333"/>
      <c r="AM107" s="333"/>
      <c r="AN107" s="333"/>
      <c r="AO107" s="333"/>
      <c r="AP107" s="333"/>
      <c r="AQ107" s="333"/>
      <c r="AR107" s="333"/>
      <c r="AS107" s="333"/>
      <c r="AU107" s="58"/>
      <c r="AV107" s="58"/>
      <c r="AW107" s="58"/>
      <c r="AX107" s="58"/>
      <c r="AY107" s="58"/>
      <c r="CR107" s="59"/>
      <c r="EN107" s="17"/>
      <c r="EO107" s="17"/>
      <c r="EP107" s="17"/>
      <c r="EQ107" s="17"/>
    </row>
    <row r="108" spans="1:147" s="60" customFormat="1" ht="15" customHeight="1" x14ac:dyDescent="0.15">
      <c r="A108" s="57"/>
      <c r="B108" s="58"/>
      <c r="C108" s="330" t="s">
        <v>174</v>
      </c>
      <c r="D108" s="331"/>
      <c r="E108" s="331"/>
      <c r="F108" s="331"/>
      <c r="G108" s="331"/>
      <c r="H108" s="331"/>
      <c r="I108" s="331"/>
      <c r="J108" s="331"/>
      <c r="K108" s="331"/>
      <c r="L108" s="331"/>
      <c r="M108" s="331"/>
      <c r="N108" s="331"/>
      <c r="O108" s="331"/>
      <c r="P108" s="332"/>
      <c r="Q108" s="333" t="s">
        <v>176</v>
      </c>
      <c r="R108" s="333"/>
      <c r="S108" s="333"/>
      <c r="T108" s="333"/>
      <c r="U108" s="333"/>
      <c r="V108" s="333"/>
      <c r="W108" s="333"/>
      <c r="X108" s="333"/>
      <c r="Y108" s="333"/>
      <c r="Z108" s="333"/>
      <c r="AA108" s="333"/>
      <c r="AB108" s="333"/>
      <c r="AC108" s="333"/>
      <c r="AD108" s="333"/>
      <c r="AE108" s="333"/>
      <c r="AF108" s="333"/>
      <c r="AG108" s="333"/>
      <c r="AH108" s="333"/>
      <c r="AI108" s="333"/>
      <c r="AJ108" s="333"/>
      <c r="AK108" s="333"/>
      <c r="AL108" s="333"/>
      <c r="AM108" s="333"/>
      <c r="AN108" s="333"/>
      <c r="AO108" s="333"/>
      <c r="AP108" s="333"/>
      <c r="AQ108" s="333"/>
      <c r="AR108" s="333"/>
      <c r="AS108" s="333"/>
      <c r="AU108" s="58"/>
      <c r="AV108" s="58"/>
      <c r="AW108" s="58"/>
      <c r="AX108" s="58"/>
      <c r="AY108" s="58"/>
      <c r="AZ108" s="58" t="s">
        <v>269</v>
      </c>
      <c r="BA108" s="58"/>
      <c r="BB108" s="58"/>
      <c r="BC108" s="58"/>
      <c r="BD108" s="58"/>
      <c r="BE108" s="58"/>
      <c r="BF108" s="58"/>
      <c r="BG108" s="58"/>
      <c r="BH108" s="58"/>
      <c r="BI108" s="58"/>
      <c r="BJ108" s="58"/>
      <c r="BK108" s="58"/>
      <c r="BL108" s="58"/>
      <c r="BM108" s="58"/>
      <c r="BN108" s="58"/>
      <c r="BO108" s="58"/>
      <c r="BP108" s="58"/>
      <c r="BQ108" s="58"/>
      <c r="BR108" s="58"/>
      <c r="BS108" s="58" t="s">
        <v>595</v>
      </c>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c r="CP108" s="58"/>
      <c r="CQ108" s="58"/>
      <c r="CR108" s="59"/>
      <c r="CT108" s="166"/>
      <c r="EN108" s="17"/>
      <c r="EO108" s="17"/>
      <c r="EP108" s="17"/>
      <c r="EQ108" s="17"/>
    </row>
    <row r="109" spans="1:147" s="60" customFormat="1" ht="15" customHeight="1" x14ac:dyDescent="0.15">
      <c r="A109" s="57"/>
      <c r="B109" s="58"/>
      <c r="AU109" s="58"/>
      <c r="AV109" s="58"/>
      <c r="AW109" s="58"/>
      <c r="AX109" s="58"/>
      <c r="AY109" s="58"/>
      <c r="AZ109" s="58"/>
      <c r="BA109" s="340" t="s">
        <v>127</v>
      </c>
      <c r="BB109" s="340"/>
      <c r="BC109" s="340"/>
      <c r="BD109" s="340"/>
      <c r="BE109" s="340"/>
      <c r="BF109" s="340"/>
      <c r="BG109" s="340"/>
      <c r="BH109" s="340"/>
      <c r="BI109" s="340"/>
      <c r="BJ109" s="340"/>
      <c r="BK109" s="340"/>
      <c r="BL109" s="340"/>
      <c r="BM109" s="340"/>
      <c r="BN109" s="340"/>
      <c r="BO109" s="340" t="s">
        <v>161</v>
      </c>
      <c r="BP109" s="340"/>
      <c r="BQ109" s="340"/>
      <c r="BR109" s="340"/>
      <c r="BS109" s="340"/>
      <c r="BT109" s="340"/>
      <c r="BU109" s="340"/>
      <c r="BV109" s="340"/>
      <c r="BW109" s="340"/>
      <c r="BX109" s="340"/>
      <c r="BY109" s="340"/>
      <c r="BZ109" s="340"/>
      <c r="CA109" s="340"/>
      <c r="CB109" s="340"/>
      <c r="CC109" s="340"/>
      <c r="CD109" s="340"/>
      <c r="CE109" s="340"/>
      <c r="CF109" s="340"/>
      <c r="CG109" s="340"/>
      <c r="CH109" s="340"/>
      <c r="CI109" s="340"/>
      <c r="CJ109" s="340"/>
      <c r="CK109" s="340"/>
      <c r="CL109" s="340"/>
      <c r="CM109" s="58"/>
      <c r="CN109" s="58"/>
      <c r="CO109" s="58"/>
      <c r="CP109" s="58"/>
      <c r="CQ109" s="58"/>
      <c r="CR109" s="59"/>
      <c r="EN109" s="17"/>
      <c r="EO109" s="17"/>
      <c r="EP109" s="17"/>
      <c r="EQ109" s="17"/>
    </row>
    <row r="110" spans="1:147" s="60" customFormat="1" ht="15" customHeight="1" x14ac:dyDescent="0.15">
      <c r="A110" s="57"/>
      <c r="B110" s="58"/>
      <c r="AU110" s="58"/>
      <c r="AV110" s="58"/>
      <c r="AW110" s="58"/>
      <c r="AX110" s="58"/>
      <c r="AZ110" s="58"/>
      <c r="BA110" s="412" t="s">
        <v>270</v>
      </c>
      <c r="BB110" s="412"/>
      <c r="BC110" s="412"/>
      <c r="BD110" s="412"/>
      <c r="BE110" s="412"/>
      <c r="BF110" s="412"/>
      <c r="BG110" s="412"/>
      <c r="BH110" s="412"/>
      <c r="BI110" s="412"/>
      <c r="BJ110" s="412"/>
      <c r="BK110" s="412"/>
      <c r="BL110" s="412"/>
      <c r="BM110" s="412"/>
      <c r="BN110" s="412"/>
      <c r="BO110" s="333"/>
      <c r="BP110" s="333"/>
      <c r="BQ110" s="333"/>
      <c r="BR110" s="333"/>
      <c r="BS110" s="333"/>
      <c r="BT110" s="333"/>
      <c r="BU110" s="333"/>
      <c r="BV110" s="333"/>
      <c r="BW110" s="333"/>
      <c r="BX110" s="333"/>
      <c r="BY110" s="333"/>
      <c r="BZ110" s="333"/>
      <c r="CA110" s="333"/>
      <c r="CB110" s="333"/>
      <c r="CC110" s="333"/>
      <c r="CD110" s="333"/>
      <c r="CE110" s="333"/>
      <c r="CF110" s="333"/>
      <c r="CG110" s="333"/>
      <c r="CH110" s="333"/>
      <c r="CI110" s="333"/>
      <c r="CJ110" s="333"/>
      <c r="CK110" s="333"/>
      <c r="CL110" s="333"/>
      <c r="CQ110" s="58"/>
      <c r="CR110" s="59"/>
      <c r="EN110" s="17"/>
      <c r="EO110" s="17"/>
      <c r="EP110" s="17"/>
      <c r="EQ110" s="17"/>
    </row>
    <row r="111" spans="1:147" s="60" customFormat="1" ht="15" customHeight="1" x14ac:dyDescent="0.15">
      <c r="A111" s="57"/>
      <c r="B111" s="58"/>
      <c r="AU111" s="58"/>
      <c r="AV111" s="58"/>
      <c r="AW111" s="58"/>
      <c r="AX111" s="58"/>
      <c r="AZ111" s="58"/>
      <c r="BA111" s="412" t="s">
        <v>182</v>
      </c>
      <c r="BB111" s="412"/>
      <c r="BC111" s="412"/>
      <c r="BD111" s="412"/>
      <c r="BE111" s="412"/>
      <c r="BF111" s="412"/>
      <c r="BG111" s="412"/>
      <c r="BH111" s="412"/>
      <c r="BI111" s="412"/>
      <c r="BJ111" s="412"/>
      <c r="BK111" s="412"/>
      <c r="BL111" s="412"/>
      <c r="BM111" s="412"/>
      <c r="BN111" s="412"/>
      <c r="BO111" s="333"/>
      <c r="BP111" s="333"/>
      <c r="BQ111" s="333"/>
      <c r="BR111" s="333"/>
      <c r="BS111" s="333"/>
      <c r="BT111" s="333"/>
      <c r="BU111" s="333"/>
      <c r="BV111" s="333"/>
      <c r="BW111" s="333"/>
      <c r="BX111" s="333"/>
      <c r="BY111" s="333"/>
      <c r="BZ111" s="333"/>
      <c r="CA111" s="333"/>
      <c r="CB111" s="333"/>
      <c r="CC111" s="333"/>
      <c r="CD111" s="333"/>
      <c r="CE111" s="333"/>
      <c r="CF111" s="333"/>
      <c r="CG111" s="333"/>
      <c r="CH111" s="333"/>
      <c r="CI111" s="333"/>
      <c r="CJ111" s="333"/>
      <c r="CK111" s="333"/>
      <c r="CL111" s="333"/>
      <c r="CQ111" s="58"/>
      <c r="CR111" s="59"/>
      <c r="EN111" s="17"/>
      <c r="EO111" s="17"/>
      <c r="EP111" s="17"/>
      <c r="EQ111" s="17"/>
    </row>
    <row r="112" spans="1:147" s="60" customFormat="1" ht="15" customHeight="1" x14ac:dyDescent="0.15">
      <c r="A112" s="57"/>
      <c r="B112" s="58"/>
      <c r="AU112" s="58"/>
      <c r="AV112" s="58"/>
      <c r="AW112" s="58"/>
      <c r="AX112" s="58"/>
      <c r="BA112" s="412" t="s">
        <v>177</v>
      </c>
      <c r="BB112" s="412"/>
      <c r="BC112" s="412"/>
      <c r="BD112" s="412"/>
      <c r="BE112" s="412"/>
      <c r="BF112" s="412"/>
      <c r="BG112" s="412"/>
      <c r="BH112" s="412"/>
      <c r="BI112" s="412"/>
      <c r="BJ112" s="412"/>
      <c r="BK112" s="412"/>
      <c r="BL112" s="412"/>
      <c r="BM112" s="412"/>
      <c r="BN112" s="412"/>
      <c r="BO112" s="333" t="s">
        <v>188</v>
      </c>
      <c r="BP112" s="333"/>
      <c r="BQ112" s="333"/>
      <c r="BR112" s="333"/>
      <c r="BS112" s="333"/>
      <c r="BT112" s="333"/>
      <c r="BU112" s="333"/>
      <c r="BV112" s="333"/>
      <c r="BW112" s="333"/>
      <c r="BX112" s="333"/>
      <c r="BY112" s="333"/>
      <c r="BZ112" s="333"/>
      <c r="CA112" s="333"/>
      <c r="CB112" s="333"/>
      <c r="CC112" s="333"/>
      <c r="CD112" s="333"/>
      <c r="CE112" s="333"/>
      <c r="CF112" s="333"/>
      <c r="CG112" s="333"/>
      <c r="CH112" s="333"/>
      <c r="CI112" s="333"/>
      <c r="CJ112" s="333"/>
      <c r="CK112" s="333"/>
      <c r="CL112" s="333"/>
      <c r="CQ112" s="58"/>
      <c r="CR112" s="59"/>
      <c r="DA112" s="17"/>
      <c r="DB112" s="17"/>
      <c r="DC112" s="17"/>
      <c r="DD112" s="17"/>
      <c r="DE112" s="17"/>
      <c r="DF112" s="17"/>
      <c r="DG112" s="17"/>
      <c r="DH112" s="17"/>
      <c r="DI112" s="17"/>
      <c r="DJ112" s="17"/>
      <c r="DK112" s="17"/>
      <c r="DL112" s="17"/>
      <c r="DM112" s="17"/>
      <c r="DN112" s="17"/>
      <c r="DO112" s="17"/>
      <c r="DP112" s="17"/>
      <c r="DQ112" s="17"/>
      <c r="DR112" s="17"/>
      <c r="DS112" s="17"/>
      <c r="DT112" s="17"/>
      <c r="DU112" s="17"/>
      <c r="DV112" s="17"/>
      <c r="DW112" s="17"/>
      <c r="DX112" s="17"/>
      <c r="DY112" s="17"/>
      <c r="DZ112" s="17"/>
      <c r="EA112" s="17"/>
      <c r="EB112" s="17"/>
      <c r="EC112" s="17"/>
      <c r="ED112" s="17"/>
      <c r="EE112" s="17"/>
      <c r="EF112" s="17"/>
      <c r="EG112" s="17"/>
      <c r="EH112" s="17"/>
      <c r="EI112" s="17"/>
      <c r="EJ112" s="17"/>
      <c r="EK112" s="17"/>
      <c r="EL112" s="17"/>
      <c r="EM112" s="17"/>
      <c r="EN112" s="17"/>
      <c r="EO112" s="17"/>
      <c r="EP112" s="17"/>
      <c r="EQ112" s="17"/>
    </row>
    <row r="113" spans="1:147" s="60" customFormat="1" ht="15" customHeight="1" x14ac:dyDescent="0.15">
      <c r="A113" s="57"/>
      <c r="B113" s="58"/>
      <c r="AU113" s="58"/>
      <c r="AV113" s="58"/>
      <c r="AW113" s="58"/>
      <c r="AX113" s="58"/>
      <c r="BA113" s="412" t="s">
        <v>178</v>
      </c>
      <c r="BB113" s="412"/>
      <c r="BC113" s="412"/>
      <c r="BD113" s="412"/>
      <c r="BE113" s="412"/>
      <c r="BF113" s="412"/>
      <c r="BG113" s="412"/>
      <c r="BH113" s="412"/>
      <c r="BI113" s="412"/>
      <c r="BJ113" s="412"/>
      <c r="BK113" s="412"/>
      <c r="BL113" s="412"/>
      <c r="BM113" s="412"/>
      <c r="BN113" s="412"/>
      <c r="BO113" s="333" t="s">
        <v>271</v>
      </c>
      <c r="BP113" s="333"/>
      <c r="BQ113" s="333"/>
      <c r="BR113" s="333"/>
      <c r="BS113" s="333"/>
      <c r="BT113" s="333"/>
      <c r="BU113" s="333"/>
      <c r="BV113" s="333"/>
      <c r="BW113" s="333"/>
      <c r="BX113" s="333"/>
      <c r="BY113" s="333"/>
      <c r="BZ113" s="333"/>
      <c r="CA113" s="333"/>
      <c r="CB113" s="333"/>
      <c r="CC113" s="333"/>
      <c r="CD113" s="333"/>
      <c r="CE113" s="333"/>
      <c r="CF113" s="333"/>
      <c r="CG113" s="333"/>
      <c r="CH113" s="333"/>
      <c r="CI113" s="333"/>
      <c r="CJ113" s="333"/>
      <c r="CK113" s="333"/>
      <c r="CL113" s="333"/>
      <c r="CQ113" s="58"/>
      <c r="CR113" s="59"/>
      <c r="DA113" s="17"/>
      <c r="DB113" s="17"/>
      <c r="DC113" s="17"/>
      <c r="DD113" s="17"/>
      <c r="DE113" s="17"/>
      <c r="DF113" s="17"/>
      <c r="DG113" s="17"/>
      <c r="DH113" s="17"/>
      <c r="DI113" s="17"/>
      <c r="DJ113" s="17"/>
      <c r="DK113" s="17"/>
      <c r="DL113" s="17"/>
      <c r="DM113" s="17"/>
      <c r="DN113" s="17"/>
      <c r="DO113" s="17"/>
      <c r="DP113" s="17"/>
      <c r="DQ113" s="17"/>
      <c r="DR113" s="17"/>
      <c r="DS113" s="17"/>
      <c r="DT113" s="17"/>
      <c r="DU113" s="17"/>
      <c r="DV113" s="17"/>
      <c r="DW113" s="17"/>
      <c r="DX113" s="17"/>
      <c r="DY113" s="17"/>
      <c r="DZ113" s="17"/>
      <c r="EA113" s="17"/>
      <c r="EB113" s="17"/>
      <c r="EC113" s="17"/>
      <c r="ED113" s="17"/>
      <c r="EE113" s="17"/>
      <c r="EF113" s="17"/>
      <c r="EG113" s="17"/>
      <c r="EH113" s="17"/>
      <c r="EI113" s="17"/>
      <c r="EJ113" s="17"/>
      <c r="EK113" s="17"/>
      <c r="EL113" s="17"/>
      <c r="EM113" s="17"/>
      <c r="EN113" s="17"/>
      <c r="EO113" s="17"/>
      <c r="EP113" s="17"/>
      <c r="EQ113" s="17"/>
    </row>
    <row r="114" spans="1:147" s="60" customFormat="1" ht="15" customHeight="1" x14ac:dyDescent="0.15">
      <c r="A114" s="57"/>
      <c r="B114" s="17"/>
      <c r="BA114" s="412" t="s">
        <v>193</v>
      </c>
      <c r="BB114" s="412"/>
      <c r="BC114" s="412"/>
      <c r="BD114" s="412"/>
      <c r="BE114" s="412"/>
      <c r="BF114" s="412"/>
      <c r="BG114" s="412"/>
      <c r="BH114" s="412"/>
      <c r="BI114" s="412"/>
      <c r="BJ114" s="412"/>
      <c r="BK114" s="412"/>
      <c r="BL114" s="412"/>
      <c r="BM114" s="412"/>
      <c r="BN114" s="412"/>
      <c r="BO114" s="333" t="s">
        <v>200</v>
      </c>
      <c r="BP114" s="333"/>
      <c r="BQ114" s="333"/>
      <c r="BR114" s="333"/>
      <c r="BS114" s="333"/>
      <c r="BT114" s="333"/>
      <c r="BU114" s="333"/>
      <c r="BV114" s="333"/>
      <c r="BW114" s="333"/>
      <c r="BX114" s="333"/>
      <c r="BY114" s="333"/>
      <c r="BZ114" s="333"/>
      <c r="CA114" s="333"/>
      <c r="CB114" s="333"/>
      <c r="CC114" s="333"/>
      <c r="CD114" s="333"/>
      <c r="CE114" s="333"/>
      <c r="CF114" s="333"/>
      <c r="CG114" s="333"/>
      <c r="CH114" s="333"/>
      <c r="CI114" s="333"/>
      <c r="CJ114" s="333"/>
      <c r="CK114" s="333"/>
      <c r="CL114" s="333"/>
      <c r="CQ114" s="58"/>
      <c r="CR114" s="59"/>
      <c r="DA114" s="17"/>
      <c r="DB114" s="17"/>
      <c r="DC114" s="17"/>
      <c r="DD114" s="17"/>
      <c r="DE114" s="17"/>
      <c r="DF114" s="17"/>
      <c r="DG114" s="17"/>
      <c r="DH114" s="17"/>
      <c r="DI114" s="17"/>
      <c r="DJ114" s="17"/>
      <c r="DK114" s="17"/>
      <c r="DL114" s="17"/>
      <c r="DM114" s="17"/>
      <c r="DN114" s="17"/>
      <c r="DO114" s="17"/>
      <c r="DP114" s="17"/>
      <c r="DQ114" s="17"/>
      <c r="DR114" s="17"/>
      <c r="DS114" s="17"/>
      <c r="DT114" s="17"/>
      <c r="DU114" s="17"/>
      <c r="DV114" s="17"/>
      <c r="DW114" s="17"/>
      <c r="DX114" s="17"/>
      <c r="DY114" s="17"/>
      <c r="DZ114" s="17"/>
      <c r="EA114" s="17"/>
      <c r="EB114" s="17"/>
      <c r="EC114" s="17"/>
      <c r="ED114" s="17"/>
      <c r="EE114" s="17"/>
      <c r="EF114" s="17"/>
      <c r="EG114" s="17"/>
      <c r="EH114" s="17"/>
      <c r="EI114" s="17"/>
      <c r="EJ114" s="17"/>
      <c r="EK114" s="17"/>
      <c r="EL114" s="17"/>
      <c r="EM114" s="17"/>
      <c r="EN114" s="17"/>
      <c r="EO114" s="17"/>
      <c r="EP114" s="17"/>
      <c r="EQ114" s="17"/>
    </row>
    <row r="115" spans="1:147" s="60" customFormat="1" ht="15" customHeight="1" x14ac:dyDescent="0.15">
      <c r="A115" s="57"/>
      <c r="B115" s="17"/>
      <c r="AT115" s="58"/>
      <c r="AU115" s="58"/>
      <c r="AV115" s="58"/>
      <c r="AW115" s="58"/>
      <c r="AX115" s="58"/>
      <c r="BA115" s="412" t="s">
        <v>181</v>
      </c>
      <c r="BB115" s="412"/>
      <c r="BC115" s="412"/>
      <c r="BD115" s="412"/>
      <c r="BE115" s="412"/>
      <c r="BF115" s="412"/>
      <c r="BG115" s="412"/>
      <c r="BH115" s="412"/>
      <c r="BI115" s="412"/>
      <c r="BJ115" s="412"/>
      <c r="BK115" s="412"/>
      <c r="BL115" s="412"/>
      <c r="BM115" s="412"/>
      <c r="BN115" s="412"/>
      <c r="BO115" s="333" t="s">
        <v>199</v>
      </c>
      <c r="BP115" s="333"/>
      <c r="BQ115" s="333"/>
      <c r="BR115" s="333"/>
      <c r="BS115" s="333"/>
      <c r="BT115" s="333"/>
      <c r="BU115" s="333"/>
      <c r="BV115" s="333"/>
      <c r="BW115" s="333"/>
      <c r="BX115" s="333"/>
      <c r="BY115" s="333"/>
      <c r="BZ115" s="333"/>
      <c r="CA115" s="333"/>
      <c r="CB115" s="333"/>
      <c r="CC115" s="333"/>
      <c r="CD115" s="333"/>
      <c r="CE115" s="333"/>
      <c r="CF115" s="333"/>
      <c r="CG115" s="333"/>
      <c r="CH115" s="333"/>
      <c r="CI115" s="333"/>
      <c r="CJ115" s="333"/>
      <c r="CK115" s="333"/>
      <c r="CL115" s="333"/>
      <c r="CQ115" s="58"/>
      <c r="CR115" s="59"/>
      <c r="DA115" s="17"/>
      <c r="DB115" s="17"/>
      <c r="DC115" s="17"/>
      <c r="DD115" s="17"/>
      <c r="DE115" s="17"/>
      <c r="DF115" s="17"/>
      <c r="DG115" s="17"/>
      <c r="DH115" s="17"/>
      <c r="DI115" s="17"/>
      <c r="DJ115" s="17"/>
      <c r="DK115" s="17"/>
      <c r="DL115" s="17"/>
      <c r="DM115" s="17"/>
      <c r="DN115" s="17"/>
      <c r="DO115" s="17"/>
      <c r="DP115" s="17"/>
      <c r="DQ115" s="17"/>
      <c r="DR115" s="17"/>
      <c r="DS115" s="17"/>
      <c r="DT115" s="17"/>
      <c r="DU115" s="17"/>
      <c r="DV115" s="17"/>
      <c r="DW115" s="17"/>
      <c r="DX115" s="17"/>
      <c r="DY115" s="17"/>
      <c r="DZ115" s="17"/>
      <c r="EA115" s="17"/>
      <c r="EB115" s="17"/>
      <c r="EC115" s="17"/>
      <c r="ED115" s="17"/>
      <c r="EE115" s="17"/>
      <c r="EF115" s="17"/>
      <c r="EG115" s="17"/>
      <c r="EH115" s="17"/>
      <c r="EI115" s="17"/>
      <c r="EJ115" s="17"/>
      <c r="EK115" s="17"/>
      <c r="EL115" s="17"/>
      <c r="EM115" s="17"/>
      <c r="EN115" s="17"/>
      <c r="EO115" s="17"/>
    </row>
    <row r="116" spans="1:147" s="60" customFormat="1" ht="15" customHeight="1" x14ac:dyDescent="0.15">
      <c r="A116" s="57"/>
      <c r="B116" s="17"/>
      <c r="AT116" s="58"/>
      <c r="AU116" s="58"/>
      <c r="AV116" s="58"/>
      <c r="AW116" s="58"/>
      <c r="AX116" s="58"/>
      <c r="BA116" s="412" t="s">
        <v>180</v>
      </c>
      <c r="BB116" s="412"/>
      <c r="BC116" s="412"/>
      <c r="BD116" s="412"/>
      <c r="BE116" s="412"/>
      <c r="BF116" s="412"/>
      <c r="BG116" s="412"/>
      <c r="BH116" s="412"/>
      <c r="BI116" s="412"/>
      <c r="BJ116" s="412"/>
      <c r="BK116" s="412"/>
      <c r="BL116" s="412"/>
      <c r="BM116" s="412"/>
      <c r="BN116" s="412"/>
      <c r="BO116" s="333"/>
      <c r="BP116" s="333"/>
      <c r="BQ116" s="333"/>
      <c r="BR116" s="333"/>
      <c r="BS116" s="333"/>
      <c r="BT116" s="333"/>
      <c r="BU116" s="333"/>
      <c r="BV116" s="333"/>
      <c r="BW116" s="333"/>
      <c r="BX116" s="333"/>
      <c r="BY116" s="333"/>
      <c r="BZ116" s="333"/>
      <c r="CA116" s="333"/>
      <c r="CB116" s="333"/>
      <c r="CC116" s="333"/>
      <c r="CD116" s="333"/>
      <c r="CE116" s="333"/>
      <c r="CF116" s="333"/>
      <c r="CG116" s="333"/>
      <c r="CH116" s="333"/>
      <c r="CI116" s="333"/>
      <c r="CJ116" s="333"/>
      <c r="CK116" s="333"/>
      <c r="CL116" s="333"/>
      <c r="CQ116" s="58"/>
      <c r="CR116" s="59"/>
      <c r="DA116" s="17"/>
      <c r="DB116" s="17"/>
      <c r="DC116" s="17"/>
      <c r="DD116" s="17"/>
      <c r="DE116" s="17"/>
      <c r="DF116" s="17"/>
      <c r="DG116" s="17"/>
      <c r="DH116" s="17"/>
      <c r="DI116" s="17"/>
      <c r="DJ116" s="17"/>
      <c r="DK116" s="17"/>
      <c r="DL116" s="17"/>
      <c r="DM116" s="17"/>
      <c r="DN116" s="17"/>
      <c r="DO116" s="17"/>
      <c r="DP116" s="17"/>
      <c r="DQ116" s="17"/>
      <c r="DR116" s="17"/>
      <c r="DS116" s="17"/>
      <c r="DT116" s="17"/>
      <c r="DU116" s="17"/>
      <c r="DV116" s="17"/>
      <c r="DW116" s="17"/>
      <c r="DX116" s="17"/>
      <c r="DY116" s="17"/>
      <c r="DZ116" s="17"/>
      <c r="EA116" s="17"/>
      <c r="EB116" s="17"/>
      <c r="EC116" s="17"/>
      <c r="ED116" s="17"/>
      <c r="EE116" s="17"/>
      <c r="EF116" s="17"/>
      <c r="EG116" s="17"/>
      <c r="EH116" s="17"/>
      <c r="EI116" s="17"/>
      <c r="EJ116" s="17"/>
      <c r="EK116" s="17"/>
      <c r="EL116" s="17"/>
      <c r="EM116" s="17"/>
      <c r="EN116" s="17"/>
      <c r="EO116" s="17"/>
    </row>
    <row r="117" spans="1:147" s="60" customFormat="1" ht="15" customHeight="1" x14ac:dyDescent="0.15">
      <c r="A117" s="57"/>
      <c r="B117" s="17"/>
      <c r="AT117" s="58"/>
      <c r="AU117" s="58"/>
      <c r="AV117" s="58"/>
      <c r="AW117" s="58"/>
      <c r="AX117" s="58"/>
      <c r="BA117" s="412" t="s">
        <v>189</v>
      </c>
      <c r="BB117" s="412"/>
      <c r="BC117" s="412"/>
      <c r="BD117" s="412"/>
      <c r="BE117" s="412"/>
      <c r="BF117" s="412"/>
      <c r="BG117" s="412"/>
      <c r="BH117" s="412"/>
      <c r="BI117" s="412"/>
      <c r="BJ117" s="412"/>
      <c r="BK117" s="412"/>
      <c r="BL117" s="412"/>
      <c r="BM117" s="412"/>
      <c r="BN117" s="412"/>
      <c r="BO117" s="333"/>
      <c r="BP117" s="333"/>
      <c r="BQ117" s="333"/>
      <c r="BR117" s="333"/>
      <c r="BS117" s="333"/>
      <c r="BT117" s="333"/>
      <c r="BU117" s="333"/>
      <c r="BV117" s="333"/>
      <c r="BW117" s="333"/>
      <c r="BX117" s="333"/>
      <c r="BY117" s="333"/>
      <c r="BZ117" s="333"/>
      <c r="CA117" s="333"/>
      <c r="CB117" s="333"/>
      <c r="CC117" s="333"/>
      <c r="CD117" s="333"/>
      <c r="CE117" s="333"/>
      <c r="CF117" s="333"/>
      <c r="CG117" s="333"/>
      <c r="CH117" s="333"/>
      <c r="CI117" s="333"/>
      <c r="CJ117" s="333"/>
      <c r="CK117" s="333"/>
      <c r="CL117" s="333"/>
      <c r="CQ117" s="58"/>
      <c r="CR117" s="59"/>
      <c r="DA117" s="17"/>
      <c r="DB117" s="17"/>
      <c r="DC117" s="17"/>
      <c r="DD117" s="17"/>
      <c r="DE117" s="17"/>
      <c r="DF117" s="17"/>
      <c r="DG117" s="17"/>
      <c r="DH117" s="17"/>
      <c r="DI117" s="17"/>
      <c r="DJ117" s="17"/>
      <c r="DK117" s="17"/>
      <c r="DL117" s="17"/>
      <c r="DM117" s="17"/>
      <c r="DN117" s="17"/>
      <c r="DO117" s="17"/>
      <c r="DP117" s="17"/>
      <c r="DQ117" s="17"/>
      <c r="DR117" s="17"/>
      <c r="DS117" s="17"/>
      <c r="DT117" s="17"/>
      <c r="DU117" s="17"/>
      <c r="DV117" s="17"/>
      <c r="DW117" s="17"/>
      <c r="DX117" s="17"/>
      <c r="DY117" s="17"/>
      <c r="DZ117" s="17"/>
      <c r="EA117" s="17"/>
      <c r="EB117" s="17"/>
      <c r="EC117" s="17"/>
      <c r="ED117" s="17"/>
      <c r="EE117" s="17"/>
      <c r="EF117" s="17"/>
      <c r="EG117" s="17"/>
      <c r="EH117" s="17"/>
      <c r="EI117" s="17"/>
      <c r="EJ117" s="17"/>
      <c r="EK117" s="17"/>
      <c r="EL117" s="17"/>
      <c r="EM117" s="17"/>
      <c r="EN117" s="17"/>
      <c r="EO117" s="17"/>
    </row>
    <row r="118" spans="1:147" s="60" customFormat="1" ht="15" customHeight="1" x14ac:dyDescent="0.15">
      <c r="A118" s="57"/>
      <c r="B118" s="17"/>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BA118" s="412" t="s">
        <v>179</v>
      </c>
      <c r="BB118" s="412"/>
      <c r="BC118" s="412"/>
      <c r="BD118" s="412"/>
      <c r="BE118" s="412"/>
      <c r="BF118" s="412"/>
      <c r="BG118" s="412"/>
      <c r="BH118" s="412"/>
      <c r="BI118" s="412"/>
      <c r="BJ118" s="412"/>
      <c r="BK118" s="412"/>
      <c r="BL118" s="412"/>
      <c r="BM118" s="412"/>
      <c r="BN118" s="412"/>
      <c r="BO118" s="333"/>
      <c r="BP118" s="333"/>
      <c r="BQ118" s="333"/>
      <c r="BR118" s="333"/>
      <c r="BS118" s="333"/>
      <c r="BT118" s="333"/>
      <c r="BU118" s="333"/>
      <c r="BV118" s="333"/>
      <c r="BW118" s="333"/>
      <c r="BX118" s="333"/>
      <c r="BY118" s="333"/>
      <c r="BZ118" s="333"/>
      <c r="CA118" s="333"/>
      <c r="CB118" s="333"/>
      <c r="CC118" s="333"/>
      <c r="CD118" s="333"/>
      <c r="CE118" s="333"/>
      <c r="CF118" s="333"/>
      <c r="CG118" s="333"/>
      <c r="CH118" s="333"/>
      <c r="CI118" s="333"/>
      <c r="CJ118" s="333"/>
      <c r="CK118" s="333"/>
      <c r="CL118" s="333"/>
      <c r="CQ118" s="58"/>
      <c r="CR118" s="59"/>
      <c r="DA118" s="17"/>
      <c r="DB118" s="17"/>
      <c r="DC118" s="17"/>
      <c r="DD118" s="17"/>
      <c r="DE118" s="17"/>
      <c r="DF118" s="17"/>
      <c r="DG118" s="17"/>
      <c r="DH118" s="17"/>
      <c r="DI118" s="17"/>
      <c r="DJ118" s="17"/>
      <c r="DK118" s="17"/>
      <c r="DL118" s="17"/>
      <c r="DM118" s="17"/>
      <c r="DN118" s="17"/>
      <c r="DO118" s="17"/>
      <c r="DP118" s="17"/>
      <c r="DQ118" s="17"/>
      <c r="DR118" s="17"/>
      <c r="DS118" s="17"/>
      <c r="DT118" s="17"/>
      <c r="DU118" s="17"/>
      <c r="DV118" s="17"/>
      <c r="DW118" s="17"/>
      <c r="DX118" s="17"/>
      <c r="DY118" s="17"/>
      <c r="DZ118" s="17"/>
      <c r="EA118" s="17"/>
      <c r="EB118" s="17"/>
      <c r="EC118" s="17"/>
      <c r="ED118" s="17"/>
      <c r="EE118" s="17"/>
      <c r="EF118" s="17"/>
      <c r="EG118" s="17"/>
      <c r="EH118" s="17"/>
      <c r="EI118" s="17"/>
      <c r="EJ118" s="17"/>
      <c r="EK118" s="17"/>
      <c r="EL118" s="17"/>
      <c r="EM118" s="17"/>
      <c r="EN118" s="17"/>
      <c r="EO118" s="17"/>
    </row>
    <row r="119" spans="1:147" s="60" customFormat="1" ht="15" customHeight="1" x14ac:dyDescent="0.15">
      <c r="A119" s="57"/>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BA119" s="412" t="s">
        <v>194</v>
      </c>
      <c r="BB119" s="412"/>
      <c r="BC119" s="412"/>
      <c r="BD119" s="412"/>
      <c r="BE119" s="412"/>
      <c r="BF119" s="412"/>
      <c r="BG119" s="412"/>
      <c r="BH119" s="412"/>
      <c r="BI119" s="412"/>
      <c r="BJ119" s="412"/>
      <c r="BK119" s="412"/>
      <c r="BL119" s="412"/>
      <c r="BM119" s="412"/>
      <c r="BN119" s="412"/>
      <c r="BO119" s="333"/>
      <c r="BP119" s="333"/>
      <c r="BQ119" s="333"/>
      <c r="BR119" s="333"/>
      <c r="BS119" s="333"/>
      <c r="BT119" s="333"/>
      <c r="BU119" s="333"/>
      <c r="BV119" s="333"/>
      <c r="BW119" s="333"/>
      <c r="BX119" s="333"/>
      <c r="BY119" s="333"/>
      <c r="BZ119" s="333"/>
      <c r="CA119" s="333"/>
      <c r="CB119" s="333"/>
      <c r="CC119" s="333"/>
      <c r="CD119" s="333"/>
      <c r="CE119" s="333"/>
      <c r="CF119" s="333"/>
      <c r="CG119" s="333"/>
      <c r="CH119" s="333"/>
      <c r="CI119" s="333"/>
      <c r="CJ119" s="333"/>
      <c r="CK119" s="333"/>
      <c r="CL119" s="333"/>
      <c r="CQ119" s="58"/>
      <c r="CR119" s="59"/>
      <c r="CT119" s="151"/>
      <c r="DA119" s="17"/>
      <c r="DB119" s="17"/>
      <c r="DC119" s="17"/>
      <c r="DD119" s="17"/>
      <c r="DE119" s="17"/>
      <c r="DF119" s="17"/>
      <c r="DG119" s="17"/>
      <c r="DH119" s="17"/>
      <c r="DI119" s="17"/>
      <c r="DJ119" s="17"/>
      <c r="DK119" s="17"/>
      <c r="DL119" s="17"/>
      <c r="DM119" s="17"/>
      <c r="DN119" s="17"/>
      <c r="DO119" s="17"/>
      <c r="DP119" s="17"/>
      <c r="DQ119" s="17"/>
      <c r="DR119" s="17"/>
      <c r="DS119" s="17"/>
      <c r="DT119" s="17"/>
      <c r="DU119" s="17"/>
      <c r="DV119" s="17"/>
      <c r="DW119" s="17"/>
      <c r="DX119" s="17"/>
      <c r="DY119" s="17"/>
      <c r="DZ119" s="17"/>
      <c r="EA119" s="17"/>
      <c r="EB119" s="17"/>
      <c r="EC119" s="17"/>
      <c r="ED119" s="17"/>
      <c r="EE119" s="17"/>
      <c r="EF119" s="17"/>
      <c r="EG119" s="17"/>
      <c r="EH119" s="17"/>
      <c r="EI119" s="17"/>
      <c r="EJ119" s="17"/>
      <c r="EK119" s="17"/>
      <c r="EL119" s="17"/>
      <c r="EM119" s="17"/>
      <c r="EN119" s="17"/>
      <c r="EO119" s="17"/>
    </row>
    <row r="120" spans="1:147" s="60" customFormat="1" ht="15" customHeight="1" x14ac:dyDescent="0.15">
      <c r="A120" s="57"/>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BA120" s="412" t="s">
        <v>190</v>
      </c>
      <c r="BB120" s="412"/>
      <c r="BC120" s="412"/>
      <c r="BD120" s="412"/>
      <c r="BE120" s="412"/>
      <c r="BF120" s="412"/>
      <c r="BG120" s="412"/>
      <c r="BH120" s="412"/>
      <c r="BI120" s="412"/>
      <c r="BJ120" s="412"/>
      <c r="BK120" s="412"/>
      <c r="BL120" s="412"/>
      <c r="BM120" s="412"/>
      <c r="BN120" s="412"/>
      <c r="BO120" s="333"/>
      <c r="BP120" s="333"/>
      <c r="BQ120" s="333"/>
      <c r="BR120" s="333"/>
      <c r="BS120" s="333"/>
      <c r="BT120" s="333"/>
      <c r="BU120" s="333"/>
      <c r="BV120" s="333"/>
      <c r="BW120" s="333"/>
      <c r="BX120" s="333"/>
      <c r="BY120" s="333"/>
      <c r="BZ120" s="333"/>
      <c r="CA120" s="333"/>
      <c r="CB120" s="333"/>
      <c r="CC120" s="333"/>
      <c r="CD120" s="333"/>
      <c r="CE120" s="333"/>
      <c r="CF120" s="333"/>
      <c r="CG120" s="333"/>
      <c r="CH120" s="333"/>
      <c r="CI120" s="333"/>
      <c r="CJ120" s="333"/>
      <c r="CK120" s="333"/>
      <c r="CL120" s="333"/>
      <c r="CQ120" s="58"/>
      <c r="CR120" s="59"/>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c r="EC120" s="17"/>
      <c r="ED120" s="17"/>
      <c r="EE120" s="17"/>
      <c r="EF120" s="17"/>
      <c r="EG120" s="17"/>
      <c r="EH120" s="17"/>
      <c r="EI120" s="17"/>
      <c r="EJ120" s="17"/>
      <c r="EK120" s="17"/>
      <c r="EL120" s="17"/>
      <c r="EM120" s="17"/>
      <c r="EN120" s="17"/>
      <c r="EO120" s="17"/>
    </row>
    <row r="121" spans="1:147" s="60" customFormat="1" ht="15" customHeight="1" x14ac:dyDescent="0.15">
      <c r="A121" s="57"/>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BA121" s="412" t="s">
        <v>191</v>
      </c>
      <c r="BB121" s="412"/>
      <c r="BC121" s="412"/>
      <c r="BD121" s="412"/>
      <c r="BE121" s="412"/>
      <c r="BF121" s="412"/>
      <c r="BG121" s="412"/>
      <c r="BH121" s="412"/>
      <c r="BI121" s="412"/>
      <c r="BJ121" s="412"/>
      <c r="BK121" s="412"/>
      <c r="BL121" s="412"/>
      <c r="BM121" s="412"/>
      <c r="BN121" s="412"/>
      <c r="BO121" s="333"/>
      <c r="BP121" s="333"/>
      <c r="BQ121" s="333"/>
      <c r="BR121" s="333"/>
      <c r="BS121" s="333"/>
      <c r="BT121" s="333"/>
      <c r="BU121" s="333"/>
      <c r="BV121" s="333"/>
      <c r="BW121" s="333"/>
      <c r="BX121" s="333"/>
      <c r="BY121" s="333"/>
      <c r="BZ121" s="333"/>
      <c r="CA121" s="333"/>
      <c r="CB121" s="333"/>
      <c r="CC121" s="333"/>
      <c r="CD121" s="333"/>
      <c r="CE121" s="333"/>
      <c r="CF121" s="333"/>
      <c r="CG121" s="333"/>
      <c r="CH121" s="333"/>
      <c r="CI121" s="333"/>
      <c r="CJ121" s="333"/>
      <c r="CK121" s="333"/>
      <c r="CL121" s="333"/>
      <c r="CQ121" s="58"/>
      <c r="CR121" s="59"/>
      <c r="DA121" s="17"/>
      <c r="DB121" s="17"/>
      <c r="DC121" s="17"/>
      <c r="DD121" s="17"/>
      <c r="DE121" s="17"/>
      <c r="DF121" s="17"/>
      <c r="DG121" s="17"/>
      <c r="DH121" s="17"/>
      <c r="DI121" s="17"/>
      <c r="DJ121" s="17"/>
      <c r="DK121" s="17"/>
      <c r="DL121" s="17"/>
      <c r="DM121" s="17"/>
      <c r="DN121" s="17"/>
      <c r="DO121" s="17"/>
      <c r="DP121" s="17"/>
      <c r="DQ121" s="17"/>
      <c r="DR121" s="17"/>
      <c r="DS121" s="17"/>
      <c r="DT121" s="17"/>
      <c r="DU121" s="17"/>
      <c r="DV121" s="17"/>
      <c r="DW121" s="17"/>
      <c r="DX121" s="17"/>
      <c r="DY121" s="17"/>
      <c r="DZ121" s="17"/>
      <c r="EA121" s="17"/>
      <c r="EB121" s="17"/>
      <c r="EC121" s="17"/>
      <c r="ED121" s="17"/>
      <c r="EE121" s="17"/>
      <c r="EF121" s="17"/>
      <c r="EG121" s="17"/>
      <c r="EH121" s="17"/>
      <c r="EI121" s="17"/>
      <c r="EJ121" s="17"/>
      <c r="EK121" s="17"/>
      <c r="EL121" s="17"/>
      <c r="EM121" s="17"/>
      <c r="EN121" s="17"/>
      <c r="EO121" s="17"/>
    </row>
    <row r="122" spans="1:147" s="60" customFormat="1" ht="15" customHeight="1" x14ac:dyDescent="0.15">
      <c r="A122" s="57"/>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BA122" s="412" t="s">
        <v>183</v>
      </c>
      <c r="BB122" s="412"/>
      <c r="BC122" s="412"/>
      <c r="BD122" s="412"/>
      <c r="BE122" s="412"/>
      <c r="BF122" s="412"/>
      <c r="BG122" s="412"/>
      <c r="BH122" s="412"/>
      <c r="BI122" s="412"/>
      <c r="BJ122" s="412"/>
      <c r="BK122" s="412"/>
      <c r="BL122" s="412"/>
      <c r="BM122" s="412"/>
      <c r="BN122" s="412"/>
      <c r="BO122" s="333"/>
      <c r="BP122" s="333"/>
      <c r="BQ122" s="333"/>
      <c r="BR122" s="333"/>
      <c r="BS122" s="333"/>
      <c r="BT122" s="333"/>
      <c r="BU122" s="333"/>
      <c r="BV122" s="333"/>
      <c r="BW122" s="333"/>
      <c r="BX122" s="333"/>
      <c r="BY122" s="333"/>
      <c r="BZ122" s="333"/>
      <c r="CA122" s="333"/>
      <c r="CB122" s="333"/>
      <c r="CC122" s="333"/>
      <c r="CD122" s="333"/>
      <c r="CE122" s="333"/>
      <c r="CF122" s="333"/>
      <c r="CG122" s="333"/>
      <c r="CH122" s="333"/>
      <c r="CI122" s="333"/>
      <c r="CJ122" s="333"/>
      <c r="CK122" s="333"/>
      <c r="CL122" s="333"/>
      <c r="CQ122" s="58"/>
      <c r="CR122" s="59"/>
      <c r="DA122" s="17"/>
      <c r="DB122" s="17"/>
      <c r="DC122" s="17"/>
      <c r="DD122" s="17"/>
      <c r="DE122" s="17"/>
      <c r="DF122" s="17"/>
      <c r="DG122" s="17"/>
      <c r="DH122" s="17"/>
      <c r="DI122" s="17"/>
      <c r="DJ122" s="17"/>
      <c r="DK122" s="17"/>
      <c r="DL122" s="17"/>
      <c r="DM122" s="17"/>
      <c r="DN122" s="17"/>
      <c r="DO122" s="17"/>
      <c r="DP122" s="17"/>
      <c r="DQ122" s="17"/>
      <c r="DR122" s="17"/>
      <c r="DS122" s="17"/>
      <c r="DT122" s="17"/>
      <c r="DU122" s="17"/>
      <c r="DV122" s="17"/>
      <c r="DW122" s="17"/>
      <c r="DX122" s="17"/>
      <c r="DY122" s="17"/>
      <c r="DZ122" s="17"/>
      <c r="EA122" s="17"/>
      <c r="EB122" s="17"/>
      <c r="EC122" s="17"/>
      <c r="ED122" s="17"/>
      <c r="EE122" s="17"/>
      <c r="EF122" s="17"/>
      <c r="EG122" s="17"/>
      <c r="EH122" s="17"/>
      <c r="EI122" s="17"/>
      <c r="EJ122" s="17"/>
      <c r="EK122" s="17"/>
      <c r="EL122" s="17"/>
      <c r="EM122" s="17"/>
      <c r="EN122" s="17"/>
      <c r="EO122" s="17"/>
    </row>
    <row r="123" spans="1:147" s="60" customFormat="1" ht="15" customHeight="1" x14ac:dyDescent="0.15">
      <c r="A123" s="57"/>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BA123" s="412" t="s">
        <v>184</v>
      </c>
      <c r="BB123" s="412"/>
      <c r="BC123" s="412"/>
      <c r="BD123" s="412"/>
      <c r="BE123" s="412"/>
      <c r="BF123" s="412"/>
      <c r="BG123" s="412"/>
      <c r="BH123" s="412"/>
      <c r="BI123" s="412"/>
      <c r="BJ123" s="412"/>
      <c r="BK123" s="412"/>
      <c r="BL123" s="412"/>
      <c r="BM123" s="412"/>
      <c r="BN123" s="412"/>
      <c r="BO123" s="333"/>
      <c r="BP123" s="333"/>
      <c r="BQ123" s="333"/>
      <c r="BR123" s="333"/>
      <c r="BS123" s="333"/>
      <c r="BT123" s="333"/>
      <c r="BU123" s="333"/>
      <c r="BV123" s="333"/>
      <c r="BW123" s="333"/>
      <c r="BX123" s="333"/>
      <c r="BY123" s="333"/>
      <c r="BZ123" s="333"/>
      <c r="CA123" s="333"/>
      <c r="CB123" s="333"/>
      <c r="CC123" s="333"/>
      <c r="CD123" s="333"/>
      <c r="CE123" s="333"/>
      <c r="CF123" s="333"/>
      <c r="CG123" s="333"/>
      <c r="CH123" s="333"/>
      <c r="CI123" s="333"/>
      <c r="CJ123" s="333"/>
      <c r="CK123" s="333"/>
      <c r="CL123" s="333"/>
      <c r="CQ123" s="58"/>
      <c r="CR123" s="59"/>
      <c r="DA123" s="17"/>
      <c r="DB123" s="17"/>
      <c r="DC123" s="17"/>
      <c r="DD123" s="17"/>
      <c r="DE123" s="17"/>
      <c r="DF123" s="17"/>
      <c r="DG123" s="17"/>
      <c r="DH123" s="17"/>
      <c r="DI123" s="17"/>
      <c r="DJ123" s="17"/>
      <c r="DK123" s="17"/>
      <c r="DL123" s="17"/>
      <c r="DM123" s="17"/>
      <c r="DN123" s="17"/>
      <c r="DO123" s="17"/>
      <c r="DP123" s="17"/>
      <c r="DQ123" s="17"/>
      <c r="DR123" s="17"/>
      <c r="DS123" s="17"/>
      <c r="DT123" s="17"/>
      <c r="DU123" s="17"/>
      <c r="DV123" s="17"/>
      <c r="DW123" s="17"/>
      <c r="DX123" s="17"/>
      <c r="DY123" s="17"/>
      <c r="DZ123" s="17"/>
      <c r="EA123" s="17"/>
      <c r="EB123" s="17"/>
      <c r="EC123" s="17"/>
      <c r="ED123" s="17"/>
      <c r="EE123" s="17"/>
      <c r="EF123" s="17"/>
      <c r="EG123" s="17"/>
      <c r="EH123" s="17"/>
      <c r="EI123" s="17"/>
      <c r="EJ123" s="17"/>
      <c r="EK123" s="17"/>
      <c r="EL123" s="17"/>
      <c r="EM123" s="17"/>
      <c r="EN123" s="17"/>
      <c r="EO123" s="17"/>
    </row>
    <row r="124" spans="1:147" s="60" customFormat="1" ht="15" customHeight="1" x14ac:dyDescent="0.15">
      <c r="A124" s="57"/>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BA124" s="412" t="s">
        <v>185</v>
      </c>
      <c r="BB124" s="412"/>
      <c r="BC124" s="412"/>
      <c r="BD124" s="412"/>
      <c r="BE124" s="412"/>
      <c r="BF124" s="412"/>
      <c r="BG124" s="412"/>
      <c r="BH124" s="412"/>
      <c r="BI124" s="412"/>
      <c r="BJ124" s="412"/>
      <c r="BK124" s="412"/>
      <c r="BL124" s="412"/>
      <c r="BM124" s="412"/>
      <c r="BN124" s="412"/>
      <c r="BO124" s="333"/>
      <c r="BP124" s="333"/>
      <c r="BQ124" s="333"/>
      <c r="BR124" s="333"/>
      <c r="BS124" s="333"/>
      <c r="BT124" s="333"/>
      <c r="BU124" s="333"/>
      <c r="BV124" s="333"/>
      <c r="BW124" s="333"/>
      <c r="BX124" s="333"/>
      <c r="BY124" s="333"/>
      <c r="BZ124" s="333"/>
      <c r="CA124" s="333"/>
      <c r="CB124" s="333"/>
      <c r="CC124" s="333"/>
      <c r="CD124" s="333"/>
      <c r="CE124" s="333"/>
      <c r="CF124" s="333"/>
      <c r="CG124" s="333"/>
      <c r="CH124" s="333"/>
      <c r="CI124" s="333"/>
      <c r="CJ124" s="333"/>
      <c r="CK124" s="333"/>
      <c r="CL124" s="333"/>
      <c r="CM124" s="58"/>
      <c r="CN124" s="58"/>
      <c r="CO124" s="58"/>
      <c r="CP124" s="58"/>
      <c r="CQ124" s="58"/>
      <c r="CR124" s="59"/>
      <c r="DA124" s="17"/>
      <c r="DB124" s="17"/>
      <c r="DC124" s="17"/>
      <c r="DD124" s="17"/>
      <c r="DE124" s="17"/>
      <c r="DF124" s="17"/>
      <c r="DG124" s="17"/>
      <c r="DH124" s="17"/>
      <c r="DI124" s="17"/>
      <c r="DJ124" s="17"/>
      <c r="DK124" s="17"/>
      <c r="DL124" s="17"/>
      <c r="DM124" s="17"/>
      <c r="DN124" s="17"/>
      <c r="DO124" s="17"/>
      <c r="DP124" s="17"/>
      <c r="DQ124" s="17"/>
      <c r="DR124" s="17"/>
      <c r="DS124" s="17"/>
      <c r="DT124" s="17"/>
      <c r="DU124" s="17"/>
      <c r="DV124" s="17"/>
      <c r="DW124" s="17"/>
      <c r="DX124" s="17"/>
      <c r="DY124" s="17"/>
      <c r="DZ124" s="17"/>
      <c r="EA124" s="17"/>
      <c r="EB124" s="17"/>
      <c r="EC124" s="17"/>
      <c r="ED124" s="17"/>
      <c r="EE124" s="17"/>
      <c r="EF124" s="17"/>
      <c r="EG124" s="17"/>
      <c r="EH124" s="17"/>
      <c r="EI124" s="17"/>
      <c r="EJ124" s="17"/>
      <c r="EK124" s="17"/>
      <c r="EL124" s="17"/>
      <c r="EM124" s="17"/>
      <c r="EN124" s="17"/>
      <c r="EO124" s="17"/>
    </row>
    <row r="125" spans="1:147" s="60" customFormat="1" ht="15" customHeight="1" x14ac:dyDescent="0.15">
      <c r="A125" s="57"/>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BA125" s="412" t="s">
        <v>448</v>
      </c>
      <c r="BB125" s="412"/>
      <c r="BC125" s="412"/>
      <c r="BD125" s="412"/>
      <c r="BE125" s="412"/>
      <c r="BF125" s="412"/>
      <c r="BG125" s="412"/>
      <c r="BH125" s="412"/>
      <c r="BI125" s="412"/>
      <c r="BJ125" s="412"/>
      <c r="BK125" s="412"/>
      <c r="BL125" s="412"/>
      <c r="BM125" s="412"/>
      <c r="BN125" s="412"/>
      <c r="BO125" s="333"/>
      <c r="BP125" s="333"/>
      <c r="BQ125" s="333"/>
      <c r="BR125" s="333"/>
      <c r="BS125" s="333"/>
      <c r="BT125" s="333"/>
      <c r="BU125" s="333"/>
      <c r="BV125" s="333"/>
      <c r="BW125" s="333"/>
      <c r="BX125" s="333"/>
      <c r="BY125" s="333"/>
      <c r="BZ125" s="333"/>
      <c r="CA125" s="333"/>
      <c r="CB125" s="333"/>
      <c r="CC125" s="333"/>
      <c r="CD125" s="333"/>
      <c r="CE125" s="333"/>
      <c r="CF125" s="333"/>
      <c r="CG125" s="333"/>
      <c r="CH125" s="333"/>
      <c r="CI125" s="333"/>
      <c r="CJ125" s="333"/>
      <c r="CK125" s="333"/>
      <c r="CL125" s="333"/>
      <c r="CM125" s="58"/>
      <c r="CN125" s="58"/>
      <c r="CO125" s="58"/>
      <c r="CP125" s="58"/>
      <c r="CQ125" s="58"/>
      <c r="CR125" s="59"/>
      <c r="DA125" s="17"/>
      <c r="DB125" s="17"/>
      <c r="DC125" s="17"/>
      <c r="DD125" s="17"/>
      <c r="DE125" s="17"/>
      <c r="DF125" s="17"/>
      <c r="DG125" s="17"/>
      <c r="DH125" s="17"/>
      <c r="DI125" s="17"/>
      <c r="DJ125" s="17"/>
      <c r="DK125" s="17"/>
      <c r="DL125" s="17"/>
      <c r="DM125" s="17"/>
      <c r="DN125" s="17"/>
      <c r="DO125" s="17"/>
      <c r="DP125" s="17"/>
      <c r="DQ125" s="17"/>
      <c r="DR125" s="17"/>
      <c r="DS125" s="17"/>
      <c r="DT125" s="17"/>
      <c r="DU125" s="17"/>
      <c r="DV125" s="17"/>
      <c r="DW125" s="17"/>
      <c r="DX125" s="17"/>
      <c r="DY125" s="17"/>
      <c r="DZ125" s="17"/>
      <c r="EA125" s="17"/>
      <c r="EB125" s="17"/>
      <c r="EC125" s="17"/>
      <c r="ED125" s="17"/>
      <c r="EE125" s="17"/>
      <c r="EF125" s="17"/>
      <c r="EG125" s="17"/>
      <c r="EH125" s="17"/>
      <c r="EI125" s="17"/>
      <c r="EJ125" s="17"/>
      <c r="EK125" s="17"/>
      <c r="EL125" s="17"/>
      <c r="EM125" s="17"/>
      <c r="EN125" s="17"/>
      <c r="EO125" s="17"/>
    </row>
    <row r="126" spans="1:147" s="60" customFormat="1" ht="15" customHeight="1" x14ac:dyDescent="0.15">
      <c r="A126" s="57"/>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BA126" s="412" t="s">
        <v>186</v>
      </c>
      <c r="BB126" s="412"/>
      <c r="BC126" s="412"/>
      <c r="BD126" s="412"/>
      <c r="BE126" s="412"/>
      <c r="BF126" s="412"/>
      <c r="BG126" s="412"/>
      <c r="BH126" s="412"/>
      <c r="BI126" s="412"/>
      <c r="BJ126" s="412"/>
      <c r="BK126" s="412"/>
      <c r="BL126" s="412"/>
      <c r="BM126" s="412"/>
      <c r="BN126" s="412"/>
      <c r="BO126" s="333"/>
      <c r="BP126" s="333"/>
      <c r="BQ126" s="333"/>
      <c r="BR126" s="333"/>
      <c r="BS126" s="333"/>
      <c r="BT126" s="333"/>
      <c r="BU126" s="333"/>
      <c r="BV126" s="333"/>
      <c r="BW126" s="333"/>
      <c r="BX126" s="333"/>
      <c r="BY126" s="333"/>
      <c r="BZ126" s="333"/>
      <c r="CA126" s="333"/>
      <c r="CB126" s="333"/>
      <c r="CC126" s="333"/>
      <c r="CD126" s="333"/>
      <c r="CE126" s="333"/>
      <c r="CF126" s="333"/>
      <c r="CG126" s="333"/>
      <c r="CH126" s="333"/>
      <c r="CI126" s="333"/>
      <c r="CJ126" s="333"/>
      <c r="CK126" s="333"/>
      <c r="CL126" s="333"/>
      <c r="CM126" s="58"/>
      <c r="CN126" s="58"/>
      <c r="CO126" s="58"/>
      <c r="CP126" s="58"/>
      <c r="CQ126" s="58"/>
      <c r="CR126" s="59"/>
      <c r="DA126" s="17"/>
      <c r="DB126" s="17"/>
      <c r="DC126" s="17"/>
      <c r="DD126" s="17"/>
      <c r="DE126" s="17"/>
      <c r="DF126" s="17"/>
      <c r="DG126" s="17"/>
      <c r="DH126" s="17"/>
      <c r="DI126" s="17"/>
      <c r="DJ126" s="17"/>
      <c r="DK126" s="17"/>
      <c r="DL126" s="17"/>
      <c r="DM126" s="17"/>
      <c r="DN126" s="17"/>
      <c r="DO126" s="17"/>
      <c r="DP126" s="17"/>
      <c r="DQ126" s="17"/>
      <c r="DR126" s="17"/>
      <c r="DS126" s="17"/>
      <c r="DT126" s="17"/>
      <c r="DU126" s="17"/>
      <c r="DV126" s="17"/>
      <c r="DW126" s="17"/>
      <c r="DX126" s="17"/>
      <c r="DY126" s="17"/>
      <c r="DZ126" s="17"/>
      <c r="EA126" s="17"/>
      <c r="EB126" s="17"/>
      <c r="EC126" s="17"/>
      <c r="ED126" s="17"/>
      <c r="EE126" s="17"/>
      <c r="EF126" s="17"/>
      <c r="EG126" s="17"/>
      <c r="EH126" s="17"/>
      <c r="EI126" s="17"/>
      <c r="EJ126" s="17"/>
      <c r="EK126" s="17"/>
      <c r="EL126" s="17"/>
      <c r="EM126" s="17"/>
      <c r="EN126" s="17"/>
      <c r="EO126" s="17"/>
    </row>
    <row r="127" spans="1:147" s="60" customFormat="1" ht="15" customHeight="1" x14ac:dyDescent="0.15">
      <c r="A127" s="57"/>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BA127" s="412" t="s">
        <v>192</v>
      </c>
      <c r="BB127" s="412"/>
      <c r="BC127" s="412"/>
      <c r="BD127" s="412"/>
      <c r="BE127" s="412"/>
      <c r="BF127" s="412"/>
      <c r="BG127" s="412"/>
      <c r="BH127" s="412"/>
      <c r="BI127" s="412"/>
      <c r="BJ127" s="412"/>
      <c r="BK127" s="412"/>
      <c r="BL127" s="412"/>
      <c r="BM127" s="412"/>
      <c r="BN127" s="412"/>
      <c r="BO127" s="333"/>
      <c r="BP127" s="333"/>
      <c r="BQ127" s="333"/>
      <c r="BR127" s="333"/>
      <c r="BS127" s="333"/>
      <c r="BT127" s="333"/>
      <c r="BU127" s="333"/>
      <c r="BV127" s="333"/>
      <c r="BW127" s="333"/>
      <c r="BX127" s="333"/>
      <c r="BY127" s="333"/>
      <c r="BZ127" s="333"/>
      <c r="CA127" s="333"/>
      <c r="CB127" s="333"/>
      <c r="CC127" s="333"/>
      <c r="CD127" s="333"/>
      <c r="CE127" s="333"/>
      <c r="CF127" s="333"/>
      <c r="CG127" s="333"/>
      <c r="CH127" s="333"/>
      <c r="CI127" s="333"/>
      <c r="CJ127" s="333"/>
      <c r="CK127" s="333"/>
      <c r="CL127" s="333"/>
      <c r="CM127" s="58"/>
      <c r="CN127" s="58"/>
      <c r="CO127" s="58"/>
      <c r="CP127" s="58"/>
      <c r="CQ127" s="58"/>
      <c r="CR127" s="59"/>
      <c r="DA127" s="17"/>
      <c r="DB127" s="17"/>
      <c r="DC127" s="17"/>
      <c r="DD127" s="17"/>
      <c r="DE127" s="17"/>
      <c r="DF127" s="17"/>
      <c r="DG127" s="17"/>
      <c r="DH127" s="17"/>
      <c r="DI127" s="17"/>
      <c r="DJ127" s="17"/>
      <c r="DK127" s="17"/>
      <c r="DL127" s="17"/>
      <c r="DM127" s="17"/>
      <c r="DN127" s="17"/>
      <c r="DO127" s="17"/>
      <c r="DP127" s="17"/>
      <c r="DQ127" s="17"/>
      <c r="DR127" s="17"/>
      <c r="DS127" s="17"/>
      <c r="DT127" s="17"/>
      <c r="DU127" s="17"/>
      <c r="DV127" s="17"/>
      <c r="DW127" s="17"/>
      <c r="DX127" s="17"/>
      <c r="DY127" s="17"/>
      <c r="DZ127" s="17"/>
      <c r="EA127" s="17"/>
      <c r="EB127" s="17"/>
      <c r="EC127" s="17"/>
      <c r="ED127" s="17"/>
      <c r="EE127" s="17"/>
      <c r="EF127" s="17"/>
      <c r="EG127" s="17"/>
      <c r="EH127" s="17"/>
      <c r="EI127" s="17"/>
      <c r="EJ127" s="17"/>
      <c r="EK127" s="17"/>
      <c r="EL127" s="17"/>
      <c r="EM127" s="17"/>
      <c r="EN127" s="17"/>
      <c r="EO127" s="17"/>
    </row>
    <row r="128" spans="1:147" s="60" customFormat="1" ht="15" customHeight="1" x14ac:dyDescent="0.15">
      <c r="A128" s="57"/>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BA128" s="412" t="s">
        <v>524</v>
      </c>
      <c r="BB128" s="412"/>
      <c r="BC128" s="412"/>
      <c r="BD128" s="412"/>
      <c r="BE128" s="412"/>
      <c r="BF128" s="412"/>
      <c r="BG128" s="412"/>
      <c r="BH128" s="412"/>
      <c r="BI128" s="412"/>
      <c r="BJ128" s="412"/>
      <c r="BK128" s="412"/>
      <c r="BL128" s="412"/>
      <c r="BM128" s="412"/>
      <c r="BN128" s="412"/>
      <c r="BO128" s="333"/>
      <c r="BP128" s="333"/>
      <c r="BQ128" s="333"/>
      <c r="BR128" s="333"/>
      <c r="BS128" s="333"/>
      <c r="BT128" s="333"/>
      <c r="BU128" s="333"/>
      <c r="BV128" s="333"/>
      <c r="BW128" s="333"/>
      <c r="BX128" s="333"/>
      <c r="BY128" s="333"/>
      <c r="BZ128" s="333"/>
      <c r="CA128" s="333"/>
      <c r="CB128" s="333"/>
      <c r="CC128" s="333"/>
      <c r="CD128" s="333"/>
      <c r="CE128" s="333"/>
      <c r="CF128" s="333"/>
      <c r="CG128" s="333"/>
      <c r="CH128" s="333"/>
      <c r="CI128" s="333"/>
      <c r="CJ128" s="333"/>
      <c r="CK128" s="333"/>
      <c r="CL128" s="333"/>
      <c r="CM128" s="58"/>
      <c r="CN128" s="58"/>
      <c r="CO128" s="58"/>
      <c r="CP128" s="58"/>
      <c r="CQ128" s="58"/>
      <c r="CR128" s="59"/>
      <c r="DA128" s="17"/>
      <c r="DB128" s="1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c r="ED128" s="17"/>
      <c r="EE128" s="17"/>
      <c r="EF128" s="17"/>
      <c r="EG128" s="17"/>
      <c r="EH128" s="17"/>
      <c r="EI128" s="17"/>
      <c r="EJ128" s="17"/>
      <c r="EK128" s="17"/>
      <c r="EL128" s="17"/>
      <c r="EM128" s="17"/>
      <c r="EN128" s="17"/>
      <c r="EO128" s="17"/>
    </row>
    <row r="129" spans="1:145" s="60" customFormat="1" ht="15" customHeight="1" x14ac:dyDescent="0.15">
      <c r="A129" s="57"/>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BA129" s="412" t="s">
        <v>525</v>
      </c>
      <c r="BB129" s="412"/>
      <c r="BC129" s="412"/>
      <c r="BD129" s="412"/>
      <c r="BE129" s="412"/>
      <c r="BF129" s="412"/>
      <c r="BG129" s="412"/>
      <c r="BH129" s="412"/>
      <c r="BI129" s="412"/>
      <c r="BJ129" s="412"/>
      <c r="BK129" s="412"/>
      <c r="BL129" s="412"/>
      <c r="BM129" s="412"/>
      <c r="BN129" s="412"/>
      <c r="BO129" s="333"/>
      <c r="BP129" s="333"/>
      <c r="BQ129" s="333"/>
      <c r="BR129" s="333"/>
      <c r="BS129" s="333"/>
      <c r="BT129" s="333"/>
      <c r="BU129" s="333"/>
      <c r="BV129" s="333"/>
      <c r="BW129" s="333"/>
      <c r="BX129" s="333"/>
      <c r="BY129" s="333"/>
      <c r="BZ129" s="333"/>
      <c r="CA129" s="333"/>
      <c r="CB129" s="333"/>
      <c r="CC129" s="333"/>
      <c r="CD129" s="333"/>
      <c r="CE129" s="333"/>
      <c r="CF129" s="333"/>
      <c r="CG129" s="333"/>
      <c r="CH129" s="333"/>
      <c r="CI129" s="333"/>
      <c r="CJ129" s="333"/>
      <c r="CK129" s="333"/>
      <c r="CL129" s="333"/>
      <c r="CM129" s="58"/>
      <c r="CN129" s="58"/>
      <c r="CO129" s="58"/>
      <c r="CP129" s="58"/>
      <c r="CQ129" s="58"/>
      <c r="CR129" s="59"/>
      <c r="DA129" s="17"/>
      <c r="DB129" s="17"/>
      <c r="DC129" s="17"/>
      <c r="DD129" s="17"/>
      <c r="DE129" s="17"/>
      <c r="DF129" s="17"/>
      <c r="DG129" s="17"/>
      <c r="DH129" s="17"/>
      <c r="DI129" s="17"/>
      <c r="DJ129" s="17"/>
      <c r="DK129" s="17"/>
      <c r="DL129" s="17"/>
      <c r="DM129" s="17"/>
      <c r="DN129" s="17"/>
      <c r="DO129" s="17"/>
      <c r="DP129" s="17"/>
      <c r="DQ129" s="17"/>
      <c r="DR129" s="17"/>
      <c r="DS129" s="17"/>
      <c r="DT129" s="17"/>
      <c r="DU129" s="17"/>
      <c r="DV129" s="17"/>
      <c r="DW129" s="17"/>
      <c r="DX129" s="17"/>
      <c r="DY129" s="17"/>
      <c r="DZ129" s="17"/>
      <c r="EA129" s="17"/>
      <c r="EB129" s="17"/>
      <c r="EC129" s="17"/>
      <c r="ED129" s="17"/>
      <c r="EE129" s="17"/>
      <c r="EF129" s="17"/>
      <c r="EG129" s="17"/>
      <c r="EH129" s="17"/>
      <c r="EI129" s="17"/>
      <c r="EJ129" s="17"/>
      <c r="EK129" s="17"/>
      <c r="EL129" s="17"/>
      <c r="EM129" s="17"/>
      <c r="EN129" s="17"/>
      <c r="EO129" s="17"/>
    </row>
    <row r="130" spans="1:145" s="60" customFormat="1" ht="15" customHeight="1" x14ac:dyDescent="0.15">
      <c r="A130" s="57"/>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BA130" s="412" t="s">
        <v>526</v>
      </c>
      <c r="BB130" s="412"/>
      <c r="BC130" s="412"/>
      <c r="BD130" s="412"/>
      <c r="BE130" s="412"/>
      <c r="BF130" s="412"/>
      <c r="BG130" s="412"/>
      <c r="BH130" s="412"/>
      <c r="BI130" s="412"/>
      <c r="BJ130" s="412"/>
      <c r="BK130" s="412"/>
      <c r="BL130" s="412"/>
      <c r="BM130" s="412"/>
      <c r="BN130" s="412"/>
      <c r="BO130" s="333"/>
      <c r="BP130" s="333"/>
      <c r="BQ130" s="333"/>
      <c r="BR130" s="333"/>
      <c r="BS130" s="333"/>
      <c r="BT130" s="333"/>
      <c r="BU130" s="333"/>
      <c r="BV130" s="333"/>
      <c r="BW130" s="333"/>
      <c r="BX130" s="333"/>
      <c r="BY130" s="333"/>
      <c r="BZ130" s="333"/>
      <c r="CA130" s="333"/>
      <c r="CB130" s="333"/>
      <c r="CC130" s="333"/>
      <c r="CD130" s="333"/>
      <c r="CE130" s="333"/>
      <c r="CF130" s="333"/>
      <c r="CG130" s="333"/>
      <c r="CH130" s="333"/>
      <c r="CI130" s="333"/>
      <c r="CJ130" s="333"/>
      <c r="CK130" s="333"/>
      <c r="CL130" s="333"/>
      <c r="CM130" s="58"/>
      <c r="CN130" s="58"/>
      <c r="CO130" s="58"/>
      <c r="CP130" s="58"/>
      <c r="CQ130" s="58"/>
      <c r="CR130" s="59"/>
      <c r="DA130" s="17"/>
      <c r="DB130" s="17"/>
      <c r="DC130" s="17"/>
      <c r="DD130" s="17"/>
      <c r="DE130" s="17"/>
      <c r="DF130" s="17"/>
      <c r="DG130" s="17"/>
      <c r="DH130" s="17"/>
      <c r="DI130" s="17"/>
      <c r="DJ130" s="17"/>
      <c r="DK130" s="17"/>
      <c r="DL130" s="17"/>
      <c r="DM130" s="17"/>
      <c r="DN130" s="17"/>
      <c r="DO130" s="17"/>
      <c r="DP130" s="17"/>
      <c r="DQ130" s="17"/>
      <c r="DR130" s="17"/>
      <c r="DS130" s="17"/>
      <c r="DT130" s="17"/>
      <c r="DU130" s="17"/>
      <c r="DV130" s="17"/>
      <c r="DW130" s="17"/>
      <c r="DX130" s="17"/>
      <c r="DY130" s="17"/>
      <c r="DZ130" s="17"/>
      <c r="EA130" s="17"/>
      <c r="EB130" s="17"/>
      <c r="EC130" s="17"/>
      <c r="ED130" s="17"/>
      <c r="EE130" s="17"/>
      <c r="EF130" s="17"/>
      <c r="EG130" s="17"/>
      <c r="EH130" s="17"/>
      <c r="EI130" s="17"/>
      <c r="EJ130" s="17"/>
      <c r="EK130" s="17"/>
      <c r="EL130" s="17"/>
      <c r="EM130" s="17"/>
      <c r="EN130" s="17"/>
      <c r="EO130" s="17"/>
    </row>
    <row r="131" spans="1:145" s="60" customFormat="1" ht="15" customHeight="1" x14ac:dyDescent="0.15">
      <c r="A131" s="57"/>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BA131" s="412" t="s">
        <v>527</v>
      </c>
      <c r="BB131" s="412"/>
      <c r="BC131" s="412"/>
      <c r="BD131" s="412"/>
      <c r="BE131" s="412"/>
      <c r="BF131" s="412"/>
      <c r="BG131" s="412"/>
      <c r="BH131" s="412"/>
      <c r="BI131" s="412"/>
      <c r="BJ131" s="412"/>
      <c r="BK131" s="412"/>
      <c r="BL131" s="412"/>
      <c r="BM131" s="412"/>
      <c r="BN131" s="412"/>
      <c r="BO131" s="333"/>
      <c r="BP131" s="333"/>
      <c r="BQ131" s="333"/>
      <c r="BR131" s="333"/>
      <c r="BS131" s="333"/>
      <c r="BT131" s="333"/>
      <c r="BU131" s="333"/>
      <c r="BV131" s="333"/>
      <c r="BW131" s="333"/>
      <c r="BX131" s="333"/>
      <c r="BY131" s="333"/>
      <c r="BZ131" s="333"/>
      <c r="CA131" s="333"/>
      <c r="CB131" s="333"/>
      <c r="CC131" s="333"/>
      <c r="CD131" s="333"/>
      <c r="CE131" s="333"/>
      <c r="CF131" s="333"/>
      <c r="CG131" s="333"/>
      <c r="CH131" s="333"/>
      <c r="CI131" s="333"/>
      <c r="CJ131" s="333"/>
      <c r="CK131" s="333"/>
      <c r="CL131" s="333"/>
      <c r="CM131" s="58"/>
      <c r="CN131" s="58"/>
      <c r="CO131" s="58"/>
      <c r="CP131" s="58"/>
      <c r="CQ131" s="58"/>
      <c r="CR131" s="59"/>
      <c r="CT131" s="167" t="s">
        <v>645</v>
      </c>
      <c r="DA131" s="17"/>
      <c r="DB131" s="17"/>
      <c r="DC131" s="17"/>
      <c r="DD131" s="17"/>
      <c r="DE131" s="17"/>
      <c r="DF131" s="17"/>
      <c r="DG131" s="17"/>
      <c r="DH131" s="17"/>
      <c r="DI131" s="17"/>
      <c r="DJ131" s="17"/>
      <c r="DK131" s="17"/>
      <c r="DL131" s="17"/>
      <c r="DM131" s="17"/>
      <c r="DN131" s="17"/>
      <c r="DO131" s="17"/>
      <c r="DP131" s="17"/>
      <c r="DQ131" s="17"/>
      <c r="DR131" s="17"/>
      <c r="DS131" s="17"/>
      <c r="DT131" s="17"/>
      <c r="DU131" s="17"/>
      <c r="DV131" s="17"/>
      <c r="DW131" s="17"/>
      <c r="DX131" s="17"/>
      <c r="DY131" s="17"/>
      <c r="DZ131" s="17"/>
      <c r="EA131" s="17"/>
      <c r="EB131" s="17"/>
      <c r="EC131" s="17"/>
      <c r="ED131" s="17"/>
      <c r="EE131" s="17"/>
      <c r="EF131" s="17"/>
      <c r="EG131" s="17"/>
      <c r="EH131" s="17"/>
      <c r="EI131" s="17"/>
      <c r="EJ131" s="17"/>
      <c r="EK131" s="17"/>
      <c r="EL131" s="17"/>
      <c r="EM131" s="17"/>
      <c r="EN131" s="17"/>
      <c r="EO131" s="17"/>
    </row>
    <row r="132" spans="1:145" s="60" customFormat="1" ht="15" customHeight="1" x14ac:dyDescent="0.15">
      <c r="A132" s="57"/>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CL132" s="58"/>
      <c r="CM132" s="58"/>
      <c r="CN132" s="58"/>
      <c r="CO132" s="58"/>
      <c r="CP132" s="58"/>
      <c r="CQ132" s="58"/>
      <c r="CR132" s="59"/>
      <c r="DA132" s="17"/>
      <c r="DB132" s="17"/>
      <c r="DC132" s="17"/>
      <c r="DD132" s="17"/>
      <c r="DE132" s="17"/>
      <c r="DF132" s="17"/>
      <c r="DG132" s="17"/>
      <c r="DH132" s="17"/>
      <c r="DI132" s="17"/>
      <c r="DJ132" s="17"/>
      <c r="DK132" s="17"/>
      <c r="DL132" s="17"/>
      <c r="DM132" s="17"/>
      <c r="DN132" s="17"/>
      <c r="DO132" s="17"/>
      <c r="DP132" s="17"/>
      <c r="DQ132" s="17"/>
      <c r="DR132" s="17"/>
      <c r="DS132" s="17"/>
      <c r="DT132" s="17"/>
      <c r="DU132" s="17"/>
      <c r="DV132" s="17"/>
      <c r="DW132" s="17"/>
      <c r="DX132" s="17"/>
      <c r="DY132" s="17"/>
      <c r="DZ132" s="17"/>
      <c r="EA132" s="17"/>
      <c r="EB132" s="17"/>
      <c r="EC132" s="17"/>
      <c r="ED132" s="17"/>
      <c r="EE132" s="17"/>
      <c r="EF132" s="17"/>
      <c r="EG132" s="17"/>
      <c r="EH132" s="17"/>
      <c r="EI132" s="17"/>
      <c r="EJ132" s="17"/>
      <c r="EK132" s="17"/>
      <c r="EL132" s="17"/>
      <c r="EM132" s="17"/>
      <c r="EN132" s="17"/>
      <c r="EO132" s="17"/>
    </row>
    <row r="133" spans="1:145" s="60" customFormat="1" ht="15" customHeight="1" thickBot="1" x14ac:dyDescent="0.2">
      <c r="A133" s="61"/>
      <c r="B133" s="62"/>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c r="AB133" s="165"/>
      <c r="AC133" s="165"/>
      <c r="AD133" s="165"/>
      <c r="AE133" s="165"/>
      <c r="AF133" s="165"/>
      <c r="AG133" s="165"/>
      <c r="AH133" s="165"/>
      <c r="AI133" s="165"/>
      <c r="AJ133" s="165"/>
      <c r="AK133" s="165"/>
      <c r="AL133" s="165"/>
      <c r="AM133" s="165"/>
      <c r="AN133" s="165"/>
      <c r="AO133" s="165"/>
      <c r="AP133" s="165"/>
      <c r="AQ133" s="165"/>
      <c r="AR133" s="165"/>
      <c r="AS133" s="165"/>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3"/>
      <c r="DA133" s="17"/>
      <c r="DB133" s="17"/>
      <c r="DC133" s="17"/>
      <c r="DD133" s="17"/>
      <c r="DE133" s="17"/>
      <c r="DF133" s="17"/>
      <c r="DG133" s="17"/>
      <c r="DH133" s="17"/>
      <c r="DI133" s="17"/>
      <c r="DJ133" s="17"/>
      <c r="DK133" s="17"/>
      <c r="DL133" s="17"/>
      <c r="DM133" s="17"/>
      <c r="DN133" s="17"/>
      <c r="DO133" s="17"/>
      <c r="DP133" s="17"/>
      <c r="DQ133" s="17"/>
      <c r="DR133" s="17"/>
      <c r="DS133" s="17"/>
      <c r="DT133" s="17"/>
      <c r="DU133" s="17"/>
      <c r="DV133" s="17"/>
      <c r="DW133" s="17"/>
      <c r="DX133" s="17"/>
      <c r="DY133" s="17"/>
      <c r="DZ133" s="17"/>
      <c r="EA133" s="17"/>
      <c r="EB133" s="17"/>
      <c r="EC133" s="17"/>
      <c r="ED133" s="17"/>
      <c r="EE133" s="17"/>
      <c r="EF133" s="17"/>
      <c r="EG133" s="17"/>
      <c r="EH133" s="17"/>
      <c r="EI133" s="17"/>
      <c r="EJ133" s="17"/>
      <c r="EK133" s="17"/>
      <c r="EL133" s="17"/>
      <c r="EM133" s="17"/>
      <c r="EN133" s="17"/>
      <c r="EO133" s="17"/>
    </row>
    <row r="134" spans="1:145" ht="15" customHeight="1" x14ac:dyDescent="0.15">
      <c r="A134" s="396" t="s">
        <v>71</v>
      </c>
      <c r="B134" s="397"/>
      <c r="C134" s="397"/>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c r="AA134" s="397"/>
      <c r="AB134" s="397"/>
      <c r="AC134" s="397"/>
      <c r="AD134" s="397"/>
      <c r="AE134" s="397"/>
      <c r="AF134" s="397"/>
      <c r="AG134" s="397"/>
      <c r="AH134" s="397"/>
      <c r="AI134" s="397"/>
      <c r="AJ134" s="397"/>
      <c r="AK134" s="397"/>
      <c r="AL134" s="397"/>
      <c r="AM134" s="397"/>
      <c r="AN134" s="397"/>
      <c r="AO134" s="397"/>
      <c r="AP134" s="397"/>
      <c r="AQ134" s="397"/>
      <c r="AR134" s="397"/>
      <c r="AS134" s="397"/>
      <c r="AT134" s="397"/>
      <c r="AU134" s="397"/>
      <c r="AV134" s="397"/>
      <c r="AW134" s="397"/>
      <c r="AX134" s="397"/>
      <c r="AY134" s="397"/>
      <c r="AZ134" s="397"/>
      <c r="BA134" s="397"/>
      <c r="BB134" s="397"/>
      <c r="BC134" s="397"/>
      <c r="BD134" s="397"/>
      <c r="BE134" s="397"/>
      <c r="BF134" s="397"/>
      <c r="BG134" s="397"/>
      <c r="BH134" s="397"/>
      <c r="BI134" s="397"/>
      <c r="BJ134" s="397"/>
      <c r="BK134" s="397"/>
      <c r="BL134" s="397"/>
      <c r="BM134" s="397"/>
      <c r="BN134" s="397"/>
      <c r="BO134" s="397"/>
      <c r="BP134" s="397"/>
      <c r="BQ134" s="397"/>
      <c r="BR134" s="397"/>
      <c r="BS134" s="397"/>
      <c r="BT134" s="397"/>
      <c r="BU134" s="397"/>
      <c r="BV134" s="397"/>
      <c r="BW134" s="397"/>
      <c r="BX134" s="397"/>
      <c r="BY134" s="397"/>
      <c r="BZ134" s="397"/>
      <c r="CA134" s="397"/>
      <c r="CB134" s="397"/>
      <c r="CC134" s="397"/>
      <c r="CD134" s="397"/>
      <c r="CE134" s="397"/>
      <c r="CF134" s="397"/>
      <c r="CG134" s="397"/>
      <c r="CH134" s="397"/>
      <c r="CI134" s="397"/>
      <c r="CJ134" s="397"/>
      <c r="CK134" s="397"/>
      <c r="CL134" s="397"/>
      <c r="CM134" s="397"/>
      <c r="CN134" s="397"/>
      <c r="CO134" s="397"/>
      <c r="CP134" s="397"/>
      <c r="CQ134" s="397"/>
      <c r="CR134" s="398"/>
    </row>
    <row r="135" spans="1:145" ht="15" customHeight="1" x14ac:dyDescent="0.15">
      <c r="A135" s="57"/>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9"/>
    </row>
    <row r="136" spans="1:145" ht="15" customHeight="1" x14ac:dyDescent="0.15">
      <c r="A136" s="57"/>
      <c r="B136" s="58" t="s">
        <v>158</v>
      </c>
      <c r="C136" s="58"/>
      <c r="D136" s="58"/>
      <c r="E136" s="58"/>
      <c r="F136" s="58"/>
      <c r="G136" s="58"/>
      <c r="H136" s="58"/>
      <c r="I136" s="58"/>
      <c r="J136" s="58"/>
      <c r="K136" s="58"/>
      <c r="L136" s="58"/>
      <c r="M136" s="58"/>
      <c r="N136" s="58"/>
      <c r="O136" s="58"/>
      <c r="P136" s="58"/>
      <c r="Q136" s="58"/>
      <c r="R136" s="58"/>
      <c r="S136" s="58"/>
      <c r="T136" s="58" t="s">
        <v>597</v>
      </c>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CL136" s="58"/>
      <c r="CM136" s="58"/>
      <c r="CN136" s="58"/>
      <c r="CO136" s="58"/>
      <c r="CP136" s="58"/>
      <c r="CQ136" s="58"/>
      <c r="CR136" s="59"/>
      <c r="CT136" s="151"/>
    </row>
    <row r="137" spans="1:145" ht="15" customHeight="1" x14ac:dyDescent="0.15">
      <c r="A137" s="57"/>
      <c r="B137" s="58"/>
      <c r="C137" s="17" t="s">
        <v>455</v>
      </c>
      <c r="P137" s="17" t="s">
        <v>286</v>
      </c>
      <c r="AO137" s="58"/>
      <c r="AP137" s="58"/>
      <c r="AQ137" s="58"/>
      <c r="AR137" s="58"/>
      <c r="AS137" s="58"/>
      <c r="AT137" s="58"/>
      <c r="AU137" s="58"/>
      <c r="AV137" s="58"/>
      <c r="AW137" s="58"/>
      <c r="AX137" s="58"/>
      <c r="CL137" s="58"/>
      <c r="CM137" s="58"/>
      <c r="CN137" s="58"/>
      <c r="CO137" s="58"/>
      <c r="CP137" s="58"/>
      <c r="CQ137" s="58"/>
      <c r="CR137" s="59"/>
    </row>
    <row r="138" spans="1:145" ht="15" customHeight="1" x14ac:dyDescent="0.15">
      <c r="A138" s="57"/>
      <c r="B138" s="58"/>
      <c r="C138" s="377" t="s">
        <v>127</v>
      </c>
      <c r="D138" s="378"/>
      <c r="E138" s="378"/>
      <c r="F138" s="378"/>
      <c r="G138" s="378"/>
      <c r="H138" s="378"/>
      <c r="I138" s="378"/>
      <c r="J138" s="378"/>
      <c r="K138" s="378"/>
      <c r="L138" s="378"/>
      <c r="M138" s="378"/>
      <c r="N138" s="378"/>
      <c r="O138" s="378"/>
      <c r="P138" s="379"/>
      <c r="Q138" s="377" t="s">
        <v>161</v>
      </c>
      <c r="R138" s="378"/>
      <c r="S138" s="378"/>
      <c r="T138" s="378"/>
      <c r="U138" s="378"/>
      <c r="V138" s="378"/>
      <c r="W138" s="378"/>
      <c r="X138" s="378"/>
      <c r="Y138" s="378"/>
      <c r="Z138" s="378"/>
      <c r="AA138" s="378"/>
      <c r="AB138" s="378"/>
      <c r="AC138" s="378"/>
      <c r="AD138" s="378"/>
      <c r="AE138" s="378"/>
      <c r="AF138" s="378"/>
      <c r="AG138" s="378"/>
      <c r="AH138" s="378"/>
      <c r="AI138" s="378"/>
      <c r="AJ138" s="378"/>
      <c r="AK138" s="378"/>
      <c r="AL138" s="378"/>
      <c r="AM138" s="378"/>
      <c r="AN138" s="379"/>
      <c r="AO138" s="58"/>
      <c r="AP138" s="377" t="s">
        <v>127</v>
      </c>
      <c r="AQ138" s="378"/>
      <c r="AR138" s="378"/>
      <c r="AS138" s="378"/>
      <c r="AT138" s="378"/>
      <c r="AU138" s="378"/>
      <c r="AV138" s="378"/>
      <c r="AW138" s="378"/>
      <c r="AX138" s="378"/>
      <c r="AY138" s="378"/>
      <c r="AZ138" s="378"/>
      <c r="BA138" s="378"/>
      <c r="BB138" s="378"/>
      <c r="BC138" s="379"/>
      <c r="BD138" s="377" t="s">
        <v>161</v>
      </c>
      <c r="BE138" s="378"/>
      <c r="BF138" s="378"/>
      <c r="BG138" s="378"/>
      <c r="BH138" s="378"/>
      <c r="BI138" s="378"/>
      <c r="BJ138" s="378"/>
      <c r="BK138" s="378"/>
      <c r="BL138" s="378"/>
      <c r="BM138" s="378"/>
      <c r="BN138" s="378"/>
      <c r="BO138" s="378"/>
      <c r="BP138" s="378"/>
      <c r="BQ138" s="378"/>
      <c r="BR138" s="378"/>
      <c r="BS138" s="378"/>
      <c r="BT138" s="378"/>
      <c r="BU138" s="378"/>
      <c r="BV138" s="378"/>
      <c r="BW138" s="378"/>
      <c r="BX138" s="378"/>
      <c r="BY138" s="378"/>
      <c r="BZ138" s="378"/>
      <c r="CA138" s="379"/>
      <c r="CL138" s="58"/>
      <c r="CM138" s="60"/>
      <c r="CN138" s="60"/>
      <c r="CO138" s="60"/>
      <c r="CP138" s="60"/>
      <c r="CQ138" s="58"/>
      <c r="CR138" s="59"/>
    </row>
    <row r="139" spans="1:145" ht="15" customHeight="1" x14ac:dyDescent="0.15">
      <c r="A139" s="57"/>
      <c r="B139" s="58"/>
      <c r="C139" s="327" t="s">
        <v>203</v>
      </c>
      <c r="D139" s="328"/>
      <c r="E139" s="328"/>
      <c r="F139" s="328"/>
      <c r="G139" s="328"/>
      <c r="H139" s="328"/>
      <c r="I139" s="328"/>
      <c r="J139" s="328"/>
      <c r="K139" s="328"/>
      <c r="L139" s="328"/>
      <c r="M139" s="328"/>
      <c r="N139" s="328"/>
      <c r="O139" s="328"/>
      <c r="P139" s="329"/>
      <c r="Q139" s="318" t="s">
        <v>272</v>
      </c>
      <c r="R139" s="319"/>
      <c r="S139" s="319"/>
      <c r="T139" s="319"/>
      <c r="U139" s="319"/>
      <c r="V139" s="319"/>
      <c r="W139" s="319"/>
      <c r="X139" s="319"/>
      <c r="Y139" s="319"/>
      <c r="Z139" s="319"/>
      <c r="AA139" s="319"/>
      <c r="AB139" s="319"/>
      <c r="AC139" s="319"/>
      <c r="AD139" s="319"/>
      <c r="AE139" s="319"/>
      <c r="AF139" s="319"/>
      <c r="AG139" s="319"/>
      <c r="AH139" s="319"/>
      <c r="AI139" s="319"/>
      <c r="AJ139" s="319"/>
      <c r="AK139" s="319"/>
      <c r="AL139" s="319"/>
      <c r="AM139" s="319"/>
      <c r="AN139" s="320"/>
      <c r="AO139" s="58"/>
      <c r="AP139" s="309" t="s">
        <v>234</v>
      </c>
      <c r="AQ139" s="310"/>
      <c r="AR139" s="310"/>
      <c r="AS139" s="310"/>
      <c r="AT139" s="310"/>
      <c r="AU139" s="310"/>
      <c r="AV139" s="310"/>
      <c r="AW139" s="310"/>
      <c r="AX139" s="310"/>
      <c r="AY139" s="310"/>
      <c r="AZ139" s="310"/>
      <c r="BA139" s="310"/>
      <c r="BB139" s="310"/>
      <c r="BC139" s="311"/>
      <c r="BD139" s="312" t="s">
        <v>279</v>
      </c>
      <c r="BE139" s="313"/>
      <c r="BF139" s="313"/>
      <c r="BG139" s="313"/>
      <c r="BH139" s="313"/>
      <c r="BI139" s="313"/>
      <c r="BJ139" s="313"/>
      <c r="BK139" s="313"/>
      <c r="BL139" s="313"/>
      <c r="BM139" s="313"/>
      <c r="BN139" s="313"/>
      <c r="BO139" s="313"/>
      <c r="BP139" s="313"/>
      <c r="BQ139" s="313"/>
      <c r="BR139" s="313"/>
      <c r="BS139" s="313"/>
      <c r="BT139" s="313"/>
      <c r="BU139" s="313"/>
      <c r="BV139" s="313"/>
      <c r="BW139" s="313"/>
      <c r="BX139" s="313"/>
      <c r="BY139" s="313"/>
      <c r="BZ139" s="313"/>
      <c r="CA139" s="314"/>
      <c r="CL139" s="58"/>
      <c r="CM139" s="60"/>
      <c r="CN139" s="60"/>
      <c r="CO139" s="60"/>
      <c r="CP139" s="60"/>
      <c r="CQ139" s="58"/>
      <c r="CR139" s="59"/>
    </row>
    <row r="140" spans="1:145" ht="15" customHeight="1" x14ac:dyDescent="0.15">
      <c r="A140" s="57"/>
      <c r="B140" s="58"/>
      <c r="C140" s="327" t="s">
        <v>204</v>
      </c>
      <c r="D140" s="328"/>
      <c r="E140" s="328"/>
      <c r="F140" s="328"/>
      <c r="G140" s="328"/>
      <c r="H140" s="328"/>
      <c r="I140" s="328"/>
      <c r="J140" s="328"/>
      <c r="K140" s="328"/>
      <c r="L140" s="328"/>
      <c r="M140" s="328"/>
      <c r="N140" s="328"/>
      <c r="O140" s="328"/>
      <c r="P140" s="329"/>
      <c r="Q140" s="318" t="s">
        <v>273</v>
      </c>
      <c r="R140" s="319"/>
      <c r="S140" s="319"/>
      <c r="T140" s="319"/>
      <c r="U140" s="319"/>
      <c r="V140" s="319"/>
      <c r="W140" s="319"/>
      <c r="X140" s="319"/>
      <c r="Y140" s="319"/>
      <c r="Z140" s="319"/>
      <c r="AA140" s="319"/>
      <c r="AB140" s="319"/>
      <c r="AC140" s="319"/>
      <c r="AD140" s="319"/>
      <c r="AE140" s="319"/>
      <c r="AF140" s="319"/>
      <c r="AG140" s="319"/>
      <c r="AH140" s="319"/>
      <c r="AI140" s="319"/>
      <c r="AJ140" s="319"/>
      <c r="AK140" s="319"/>
      <c r="AL140" s="319"/>
      <c r="AM140" s="319"/>
      <c r="AN140" s="320"/>
      <c r="AO140" s="58"/>
      <c r="AP140" s="309" t="s">
        <v>235</v>
      </c>
      <c r="AQ140" s="310"/>
      <c r="AR140" s="310"/>
      <c r="AS140" s="310"/>
      <c r="AT140" s="310"/>
      <c r="AU140" s="310"/>
      <c r="AV140" s="310"/>
      <c r="AW140" s="310"/>
      <c r="AX140" s="310"/>
      <c r="AY140" s="310"/>
      <c r="AZ140" s="310"/>
      <c r="BA140" s="310"/>
      <c r="BB140" s="310"/>
      <c r="BC140" s="311"/>
      <c r="BD140" s="312" t="s">
        <v>279</v>
      </c>
      <c r="BE140" s="313"/>
      <c r="BF140" s="313"/>
      <c r="BG140" s="313"/>
      <c r="BH140" s="313"/>
      <c r="BI140" s="313"/>
      <c r="BJ140" s="313"/>
      <c r="BK140" s="313"/>
      <c r="BL140" s="313"/>
      <c r="BM140" s="313"/>
      <c r="BN140" s="313"/>
      <c r="BO140" s="313"/>
      <c r="BP140" s="313"/>
      <c r="BQ140" s="313"/>
      <c r="BR140" s="313"/>
      <c r="BS140" s="313"/>
      <c r="BT140" s="313"/>
      <c r="BU140" s="313"/>
      <c r="BV140" s="313"/>
      <c r="BW140" s="313"/>
      <c r="BX140" s="313"/>
      <c r="BY140" s="313"/>
      <c r="BZ140" s="313"/>
      <c r="CA140" s="314"/>
      <c r="CL140" s="58"/>
      <c r="CM140" s="60"/>
      <c r="CN140" s="60"/>
      <c r="CO140" s="60"/>
      <c r="CP140" s="60"/>
      <c r="CQ140" s="58"/>
      <c r="CR140" s="59"/>
    </row>
    <row r="141" spans="1:145" ht="15" customHeight="1" x14ac:dyDescent="0.15">
      <c r="A141" s="57"/>
      <c r="B141" s="58"/>
      <c r="C141" s="327" t="s">
        <v>205</v>
      </c>
      <c r="D141" s="328"/>
      <c r="E141" s="328"/>
      <c r="F141" s="328"/>
      <c r="G141" s="328"/>
      <c r="H141" s="328"/>
      <c r="I141" s="328"/>
      <c r="J141" s="328"/>
      <c r="K141" s="328"/>
      <c r="L141" s="328"/>
      <c r="M141" s="328"/>
      <c r="N141" s="328"/>
      <c r="O141" s="328"/>
      <c r="P141" s="329"/>
      <c r="Q141" s="318" t="s">
        <v>274</v>
      </c>
      <c r="R141" s="319"/>
      <c r="S141" s="319"/>
      <c r="T141" s="319"/>
      <c r="U141" s="319"/>
      <c r="V141" s="319"/>
      <c r="W141" s="319"/>
      <c r="X141" s="319"/>
      <c r="Y141" s="319"/>
      <c r="Z141" s="319"/>
      <c r="AA141" s="319"/>
      <c r="AB141" s="319"/>
      <c r="AC141" s="319"/>
      <c r="AD141" s="319"/>
      <c r="AE141" s="319"/>
      <c r="AF141" s="319"/>
      <c r="AG141" s="319"/>
      <c r="AH141" s="319"/>
      <c r="AI141" s="319"/>
      <c r="AJ141" s="319"/>
      <c r="AK141" s="319"/>
      <c r="AL141" s="319"/>
      <c r="AM141" s="319"/>
      <c r="AN141" s="320"/>
      <c r="AO141" s="58"/>
      <c r="AP141" s="309" t="s">
        <v>236</v>
      </c>
      <c r="AQ141" s="310"/>
      <c r="AR141" s="310"/>
      <c r="AS141" s="310"/>
      <c r="AT141" s="310"/>
      <c r="AU141" s="310"/>
      <c r="AV141" s="310"/>
      <c r="AW141" s="310"/>
      <c r="AX141" s="310"/>
      <c r="AY141" s="310"/>
      <c r="AZ141" s="310"/>
      <c r="BA141" s="310"/>
      <c r="BB141" s="310"/>
      <c r="BC141" s="311"/>
      <c r="BD141" s="312" t="s">
        <v>279</v>
      </c>
      <c r="BE141" s="313"/>
      <c r="BF141" s="313"/>
      <c r="BG141" s="313"/>
      <c r="BH141" s="313"/>
      <c r="BI141" s="313"/>
      <c r="BJ141" s="313"/>
      <c r="BK141" s="313"/>
      <c r="BL141" s="313"/>
      <c r="BM141" s="313"/>
      <c r="BN141" s="313"/>
      <c r="BO141" s="313"/>
      <c r="BP141" s="313"/>
      <c r="BQ141" s="313"/>
      <c r="BR141" s="313"/>
      <c r="BS141" s="313"/>
      <c r="BT141" s="313"/>
      <c r="BU141" s="313"/>
      <c r="BV141" s="313"/>
      <c r="BW141" s="313"/>
      <c r="BX141" s="313"/>
      <c r="BY141" s="313"/>
      <c r="BZ141" s="313"/>
      <c r="CA141" s="314"/>
      <c r="CL141" s="58"/>
      <c r="CM141" s="60"/>
      <c r="CN141" s="60"/>
      <c r="CO141" s="60"/>
      <c r="CP141" s="60"/>
      <c r="CQ141" s="58"/>
      <c r="CR141" s="59"/>
    </row>
    <row r="142" spans="1:145" ht="15" customHeight="1" x14ac:dyDescent="0.15">
      <c r="A142" s="57"/>
      <c r="B142" s="58"/>
      <c r="C142" s="309" t="s">
        <v>206</v>
      </c>
      <c r="D142" s="310"/>
      <c r="E142" s="310"/>
      <c r="F142" s="310"/>
      <c r="G142" s="310"/>
      <c r="H142" s="310"/>
      <c r="I142" s="310"/>
      <c r="J142" s="310"/>
      <c r="K142" s="310"/>
      <c r="L142" s="310"/>
      <c r="M142" s="310"/>
      <c r="N142" s="310"/>
      <c r="O142" s="310"/>
      <c r="P142" s="311"/>
      <c r="Q142" s="312" t="s">
        <v>277</v>
      </c>
      <c r="R142" s="313"/>
      <c r="S142" s="313"/>
      <c r="T142" s="313"/>
      <c r="U142" s="313"/>
      <c r="V142" s="313"/>
      <c r="W142" s="313"/>
      <c r="X142" s="313"/>
      <c r="Y142" s="313"/>
      <c r="Z142" s="313"/>
      <c r="AA142" s="313"/>
      <c r="AB142" s="313"/>
      <c r="AC142" s="313"/>
      <c r="AD142" s="313"/>
      <c r="AE142" s="313"/>
      <c r="AF142" s="313"/>
      <c r="AG142" s="313"/>
      <c r="AH142" s="313"/>
      <c r="AI142" s="313"/>
      <c r="AJ142" s="313"/>
      <c r="AK142" s="313"/>
      <c r="AL142" s="313"/>
      <c r="AM142" s="313"/>
      <c r="AN142" s="314"/>
      <c r="AO142" s="58"/>
      <c r="AP142" s="309" t="s">
        <v>237</v>
      </c>
      <c r="AQ142" s="310"/>
      <c r="AR142" s="310"/>
      <c r="AS142" s="310"/>
      <c r="AT142" s="310"/>
      <c r="AU142" s="310"/>
      <c r="AV142" s="310"/>
      <c r="AW142" s="310"/>
      <c r="AX142" s="310"/>
      <c r="AY142" s="310"/>
      <c r="AZ142" s="310"/>
      <c r="BA142" s="310"/>
      <c r="BB142" s="310"/>
      <c r="BC142" s="311"/>
      <c r="BD142" s="312" t="s">
        <v>279</v>
      </c>
      <c r="BE142" s="313"/>
      <c r="BF142" s="313"/>
      <c r="BG142" s="313"/>
      <c r="BH142" s="313"/>
      <c r="BI142" s="313"/>
      <c r="BJ142" s="313"/>
      <c r="BK142" s="313"/>
      <c r="BL142" s="313"/>
      <c r="BM142" s="313"/>
      <c r="BN142" s="313"/>
      <c r="BO142" s="313"/>
      <c r="BP142" s="313"/>
      <c r="BQ142" s="313"/>
      <c r="BR142" s="313"/>
      <c r="BS142" s="313"/>
      <c r="BT142" s="313"/>
      <c r="BU142" s="313"/>
      <c r="BV142" s="313"/>
      <c r="BW142" s="313"/>
      <c r="BX142" s="313"/>
      <c r="BY142" s="313"/>
      <c r="BZ142" s="313"/>
      <c r="CA142" s="314"/>
      <c r="CL142" s="58"/>
      <c r="CM142" s="60"/>
      <c r="CN142" s="60"/>
      <c r="CO142" s="60"/>
      <c r="CP142" s="60"/>
      <c r="CQ142" s="58"/>
      <c r="CR142" s="59"/>
    </row>
    <row r="143" spans="1:145" ht="15" customHeight="1" x14ac:dyDescent="0.15">
      <c r="A143" s="57"/>
      <c r="B143" s="58"/>
      <c r="C143" s="327" t="s">
        <v>207</v>
      </c>
      <c r="D143" s="328"/>
      <c r="E143" s="328"/>
      <c r="F143" s="328"/>
      <c r="G143" s="328"/>
      <c r="H143" s="328"/>
      <c r="I143" s="328"/>
      <c r="J143" s="328"/>
      <c r="K143" s="328"/>
      <c r="L143" s="328"/>
      <c r="M143" s="328"/>
      <c r="N143" s="328"/>
      <c r="O143" s="328"/>
      <c r="P143" s="329"/>
      <c r="Q143" s="318" t="s">
        <v>275</v>
      </c>
      <c r="R143" s="319"/>
      <c r="S143" s="319"/>
      <c r="T143" s="319"/>
      <c r="U143" s="319"/>
      <c r="V143" s="319"/>
      <c r="W143" s="319"/>
      <c r="X143" s="319"/>
      <c r="Y143" s="319"/>
      <c r="Z143" s="319"/>
      <c r="AA143" s="319"/>
      <c r="AB143" s="319"/>
      <c r="AC143" s="319"/>
      <c r="AD143" s="319"/>
      <c r="AE143" s="319"/>
      <c r="AF143" s="319"/>
      <c r="AG143" s="319"/>
      <c r="AH143" s="319"/>
      <c r="AI143" s="319"/>
      <c r="AJ143" s="319"/>
      <c r="AK143" s="319"/>
      <c r="AL143" s="319"/>
      <c r="AM143" s="319"/>
      <c r="AN143" s="320"/>
      <c r="AO143" s="58"/>
      <c r="AP143" s="309" t="s">
        <v>238</v>
      </c>
      <c r="AQ143" s="310"/>
      <c r="AR143" s="310"/>
      <c r="AS143" s="310"/>
      <c r="AT143" s="310"/>
      <c r="AU143" s="310"/>
      <c r="AV143" s="310"/>
      <c r="AW143" s="310"/>
      <c r="AX143" s="310"/>
      <c r="AY143" s="310"/>
      <c r="AZ143" s="310"/>
      <c r="BA143" s="310"/>
      <c r="BB143" s="310"/>
      <c r="BC143" s="311"/>
      <c r="BD143" s="312" t="s">
        <v>279</v>
      </c>
      <c r="BE143" s="313"/>
      <c r="BF143" s="313"/>
      <c r="BG143" s="313"/>
      <c r="BH143" s="313"/>
      <c r="BI143" s="313"/>
      <c r="BJ143" s="313"/>
      <c r="BK143" s="313"/>
      <c r="BL143" s="313"/>
      <c r="BM143" s="313"/>
      <c r="BN143" s="313"/>
      <c r="BO143" s="313"/>
      <c r="BP143" s="313"/>
      <c r="BQ143" s="313"/>
      <c r="BR143" s="313"/>
      <c r="BS143" s="313"/>
      <c r="BT143" s="313"/>
      <c r="BU143" s="313"/>
      <c r="BV143" s="313"/>
      <c r="BW143" s="313"/>
      <c r="BX143" s="313"/>
      <c r="BY143" s="313"/>
      <c r="BZ143" s="313"/>
      <c r="CA143" s="314"/>
      <c r="CL143" s="58"/>
      <c r="CM143" s="60"/>
      <c r="CN143" s="60"/>
      <c r="CO143" s="60"/>
      <c r="CP143" s="60"/>
      <c r="CQ143" s="58"/>
      <c r="CR143" s="59"/>
    </row>
    <row r="144" spans="1:145" ht="15" customHeight="1" x14ac:dyDescent="0.15">
      <c r="A144" s="57"/>
      <c r="B144" s="58"/>
      <c r="C144" s="309" t="s">
        <v>208</v>
      </c>
      <c r="D144" s="310"/>
      <c r="E144" s="310"/>
      <c r="F144" s="310"/>
      <c r="G144" s="310"/>
      <c r="H144" s="310"/>
      <c r="I144" s="310"/>
      <c r="J144" s="310"/>
      <c r="K144" s="310"/>
      <c r="L144" s="310"/>
      <c r="M144" s="310"/>
      <c r="N144" s="310"/>
      <c r="O144" s="310"/>
      <c r="P144" s="311"/>
      <c r="Q144" s="312" t="s">
        <v>276</v>
      </c>
      <c r="R144" s="313"/>
      <c r="S144" s="313"/>
      <c r="T144" s="313"/>
      <c r="U144" s="313"/>
      <c r="V144" s="313"/>
      <c r="W144" s="313"/>
      <c r="X144" s="313"/>
      <c r="Y144" s="313"/>
      <c r="Z144" s="313"/>
      <c r="AA144" s="313"/>
      <c r="AB144" s="313"/>
      <c r="AC144" s="313"/>
      <c r="AD144" s="313"/>
      <c r="AE144" s="313"/>
      <c r="AF144" s="313"/>
      <c r="AG144" s="313"/>
      <c r="AH144" s="313"/>
      <c r="AI144" s="313"/>
      <c r="AJ144" s="313"/>
      <c r="AK144" s="313"/>
      <c r="AL144" s="313"/>
      <c r="AM144" s="313"/>
      <c r="AN144" s="314"/>
      <c r="AO144" s="58"/>
      <c r="AP144" s="309" t="s">
        <v>239</v>
      </c>
      <c r="AQ144" s="310"/>
      <c r="AR144" s="310"/>
      <c r="AS144" s="310"/>
      <c r="AT144" s="310"/>
      <c r="AU144" s="310"/>
      <c r="AV144" s="310"/>
      <c r="AW144" s="310"/>
      <c r="AX144" s="310"/>
      <c r="AY144" s="310"/>
      <c r="AZ144" s="310"/>
      <c r="BA144" s="310"/>
      <c r="BB144" s="310"/>
      <c r="BC144" s="311"/>
      <c r="BD144" s="312" t="s">
        <v>279</v>
      </c>
      <c r="BE144" s="313"/>
      <c r="BF144" s="313"/>
      <c r="BG144" s="313"/>
      <c r="BH144" s="313"/>
      <c r="BI144" s="313"/>
      <c r="BJ144" s="313"/>
      <c r="BK144" s="313"/>
      <c r="BL144" s="313"/>
      <c r="BM144" s="313"/>
      <c r="BN144" s="313"/>
      <c r="BO144" s="313"/>
      <c r="BP144" s="313"/>
      <c r="BQ144" s="313"/>
      <c r="BR144" s="313"/>
      <c r="BS144" s="313"/>
      <c r="BT144" s="313"/>
      <c r="BU144" s="313"/>
      <c r="BV144" s="313"/>
      <c r="BW144" s="313"/>
      <c r="BX144" s="313"/>
      <c r="BY144" s="313"/>
      <c r="BZ144" s="313"/>
      <c r="CA144" s="314"/>
      <c r="CL144" s="58"/>
      <c r="CM144" s="60"/>
      <c r="CN144" s="60"/>
      <c r="CO144" s="60"/>
      <c r="CP144" s="60"/>
      <c r="CQ144" s="58"/>
      <c r="CR144" s="59"/>
    </row>
    <row r="145" spans="1:96" ht="15" customHeight="1" x14ac:dyDescent="0.15">
      <c r="A145" s="57"/>
      <c r="B145" s="58"/>
      <c r="C145" s="309" t="s">
        <v>209</v>
      </c>
      <c r="D145" s="310"/>
      <c r="E145" s="310"/>
      <c r="F145" s="310"/>
      <c r="G145" s="310"/>
      <c r="H145" s="310"/>
      <c r="I145" s="310"/>
      <c r="J145" s="310"/>
      <c r="K145" s="310"/>
      <c r="L145" s="310"/>
      <c r="M145" s="310"/>
      <c r="N145" s="310"/>
      <c r="O145" s="310"/>
      <c r="P145" s="311"/>
      <c r="Q145" s="312" t="s">
        <v>278</v>
      </c>
      <c r="R145" s="313"/>
      <c r="S145" s="313"/>
      <c r="T145" s="313"/>
      <c r="U145" s="313"/>
      <c r="V145" s="313"/>
      <c r="W145" s="313"/>
      <c r="X145" s="313"/>
      <c r="Y145" s="313"/>
      <c r="Z145" s="313"/>
      <c r="AA145" s="313"/>
      <c r="AB145" s="313"/>
      <c r="AC145" s="313"/>
      <c r="AD145" s="313"/>
      <c r="AE145" s="313"/>
      <c r="AF145" s="313"/>
      <c r="AG145" s="313"/>
      <c r="AH145" s="313"/>
      <c r="AI145" s="313"/>
      <c r="AJ145" s="313"/>
      <c r="AK145" s="313"/>
      <c r="AL145" s="313"/>
      <c r="AM145" s="313"/>
      <c r="AN145" s="314"/>
      <c r="AO145" s="58"/>
      <c r="AP145" s="309" t="s">
        <v>240</v>
      </c>
      <c r="AQ145" s="310"/>
      <c r="AR145" s="310"/>
      <c r="AS145" s="310"/>
      <c r="AT145" s="310"/>
      <c r="AU145" s="310"/>
      <c r="AV145" s="310"/>
      <c r="AW145" s="310"/>
      <c r="AX145" s="310"/>
      <c r="AY145" s="310"/>
      <c r="AZ145" s="310"/>
      <c r="BA145" s="310"/>
      <c r="BB145" s="310"/>
      <c r="BC145" s="311"/>
      <c r="BD145" s="312" t="s">
        <v>279</v>
      </c>
      <c r="BE145" s="313"/>
      <c r="BF145" s="313"/>
      <c r="BG145" s="313"/>
      <c r="BH145" s="313"/>
      <c r="BI145" s="313"/>
      <c r="BJ145" s="313"/>
      <c r="BK145" s="313"/>
      <c r="BL145" s="313"/>
      <c r="BM145" s="313"/>
      <c r="BN145" s="313"/>
      <c r="BO145" s="313"/>
      <c r="BP145" s="313"/>
      <c r="BQ145" s="313"/>
      <c r="BR145" s="313"/>
      <c r="BS145" s="313"/>
      <c r="BT145" s="313"/>
      <c r="BU145" s="313"/>
      <c r="BV145" s="313"/>
      <c r="BW145" s="313"/>
      <c r="BX145" s="313"/>
      <c r="BY145" s="313"/>
      <c r="BZ145" s="313"/>
      <c r="CA145" s="314"/>
      <c r="CL145" s="58"/>
      <c r="CM145" s="60"/>
      <c r="CN145" s="60"/>
      <c r="CO145" s="60"/>
      <c r="CP145" s="60"/>
      <c r="CQ145" s="58"/>
      <c r="CR145" s="59"/>
    </row>
    <row r="146" spans="1:96" ht="15" customHeight="1" x14ac:dyDescent="0.15">
      <c r="A146" s="57"/>
      <c r="B146" s="58"/>
      <c r="C146" s="309" t="s">
        <v>210</v>
      </c>
      <c r="D146" s="310"/>
      <c r="E146" s="310"/>
      <c r="F146" s="310"/>
      <c r="G146" s="310"/>
      <c r="H146" s="310"/>
      <c r="I146" s="310"/>
      <c r="J146" s="310"/>
      <c r="K146" s="310"/>
      <c r="L146" s="310"/>
      <c r="M146" s="310"/>
      <c r="N146" s="310"/>
      <c r="O146" s="310"/>
      <c r="P146" s="311"/>
      <c r="Q146" s="312" t="s">
        <v>279</v>
      </c>
      <c r="R146" s="313"/>
      <c r="S146" s="313"/>
      <c r="T146" s="313"/>
      <c r="U146" s="313"/>
      <c r="V146" s="313"/>
      <c r="W146" s="313"/>
      <c r="X146" s="313"/>
      <c r="Y146" s="313"/>
      <c r="Z146" s="313"/>
      <c r="AA146" s="313"/>
      <c r="AB146" s="313"/>
      <c r="AC146" s="313"/>
      <c r="AD146" s="313"/>
      <c r="AE146" s="313"/>
      <c r="AF146" s="313"/>
      <c r="AG146" s="313"/>
      <c r="AH146" s="313"/>
      <c r="AI146" s="313"/>
      <c r="AJ146" s="313"/>
      <c r="AK146" s="313"/>
      <c r="AL146" s="313"/>
      <c r="AM146" s="313"/>
      <c r="AN146" s="314"/>
      <c r="AO146" s="58"/>
      <c r="AP146" s="309" t="s">
        <v>241</v>
      </c>
      <c r="AQ146" s="310"/>
      <c r="AR146" s="310"/>
      <c r="AS146" s="310"/>
      <c r="AT146" s="310"/>
      <c r="AU146" s="310"/>
      <c r="AV146" s="310"/>
      <c r="AW146" s="310"/>
      <c r="AX146" s="310"/>
      <c r="AY146" s="310"/>
      <c r="AZ146" s="310"/>
      <c r="BA146" s="310"/>
      <c r="BB146" s="310"/>
      <c r="BC146" s="311"/>
      <c r="BD146" s="312" t="s">
        <v>279</v>
      </c>
      <c r="BE146" s="313"/>
      <c r="BF146" s="313"/>
      <c r="BG146" s="313"/>
      <c r="BH146" s="313"/>
      <c r="BI146" s="313"/>
      <c r="BJ146" s="313"/>
      <c r="BK146" s="313"/>
      <c r="BL146" s="313"/>
      <c r="BM146" s="313"/>
      <c r="BN146" s="313"/>
      <c r="BO146" s="313"/>
      <c r="BP146" s="313"/>
      <c r="BQ146" s="313"/>
      <c r="BR146" s="313"/>
      <c r="BS146" s="313"/>
      <c r="BT146" s="313"/>
      <c r="BU146" s="313"/>
      <c r="BV146" s="313"/>
      <c r="BW146" s="313"/>
      <c r="BX146" s="313"/>
      <c r="BY146" s="313"/>
      <c r="BZ146" s="313"/>
      <c r="CA146" s="314"/>
      <c r="CL146" s="58"/>
      <c r="CM146" s="60"/>
      <c r="CN146" s="60"/>
      <c r="CO146" s="60"/>
      <c r="CP146" s="60"/>
      <c r="CQ146" s="58"/>
      <c r="CR146" s="59"/>
    </row>
    <row r="147" spans="1:96" ht="15" customHeight="1" x14ac:dyDescent="0.15">
      <c r="A147" s="57"/>
      <c r="C147" s="309" t="s">
        <v>211</v>
      </c>
      <c r="D147" s="310"/>
      <c r="E147" s="310"/>
      <c r="F147" s="310"/>
      <c r="G147" s="310"/>
      <c r="H147" s="310"/>
      <c r="I147" s="310"/>
      <c r="J147" s="310"/>
      <c r="K147" s="310"/>
      <c r="L147" s="310"/>
      <c r="M147" s="310"/>
      <c r="N147" s="310"/>
      <c r="O147" s="310"/>
      <c r="P147" s="311"/>
      <c r="Q147" s="312" t="s">
        <v>280</v>
      </c>
      <c r="R147" s="313"/>
      <c r="S147" s="313"/>
      <c r="T147" s="313"/>
      <c r="U147" s="313"/>
      <c r="V147" s="313"/>
      <c r="W147" s="313"/>
      <c r="X147" s="313"/>
      <c r="Y147" s="313"/>
      <c r="Z147" s="313"/>
      <c r="AA147" s="313"/>
      <c r="AB147" s="313"/>
      <c r="AC147" s="313"/>
      <c r="AD147" s="313"/>
      <c r="AE147" s="313"/>
      <c r="AF147" s="313"/>
      <c r="AG147" s="313"/>
      <c r="AH147" s="313"/>
      <c r="AI147" s="313"/>
      <c r="AJ147" s="313"/>
      <c r="AK147" s="313"/>
      <c r="AL147" s="313"/>
      <c r="AM147" s="313"/>
      <c r="AN147" s="314"/>
      <c r="AO147" s="58"/>
      <c r="AP147" s="309" t="s">
        <v>242</v>
      </c>
      <c r="AQ147" s="310"/>
      <c r="AR147" s="310"/>
      <c r="AS147" s="310"/>
      <c r="AT147" s="310"/>
      <c r="AU147" s="310"/>
      <c r="AV147" s="310"/>
      <c r="AW147" s="310"/>
      <c r="AX147" s="310"/>
      <c r="AY147" s="310"/>
      <c r="AZ147" s="310"/>
      <c r="BA147" s="310"/>
      <c r="BB147" s="310"/>
      <c r="BC147" s="311"/>
      <c r="BD147" s="312" t="s">
        <v>287</v>
      </c>
      <c r="BE147" s="313"/>
      <c r="BF147" s="313"/>
      <c r="BG147" s="313"/>
      <c r="BH147" s="313"/>
      <c r="BI147" s="313"/>
      <c r="BJ147" s="313"/>
      <c r="BK147" s="313"/>
      <c r="BL147" s="313"/>
      <c r="BM147" s="313"/>
      <c r="BN147" s="313"/>
      <c r="BO147" s="313"/>
      <c r="BP147" s="313"/>
      <c r="BQ147" s="313"/>
      <c r="BR147" s="313"/>
      <c r="BS147" s="313"/>
      <c r="BT147" s="313"/>
      <c r="BU147" s="313"/>
      <c r="BV147" s="313"/>
      <c r="BW147" s="313"/>
      <c r="BX147" s="313"/>
      <c r="BY147" s="313"/>
      <c r="BZ147" s="313"/>
      <c r="CA147" s="314"/>
      <c r="CL147" s="58"/>
      <c r="CM147" s="60"/>
      <c r="CN147" s="60"/>
      <c r="CO147" s="60"/>
      <c r="CP147" s="60"/>
      <c r="CQ147" s="58"/>
      <c r="CR147" s="59"/>
    </row>
    <row r="148" spans="1:96" ht="15" customHeight="1" x14ac:dyDescent="0.15">
      <c r="A148" s="57"/>
      <c r="C148" s="309" t="s">
        <v>212</v>
      </c>
      <c r="D148" s="310"/>
      <c r="E148" s="310"/>
      <c r="F148" s="310"/>
      <c r="G148" s="310"/>
      <c r="H148" s="310"/>
      <c r="I148" s="310"/>
      <c r="J148" s="310"/>
      <c r="K148" s="310"/>
      <c r="L148" s="310"/>
      <c r="M148" s="310"/>
      <c r="N148" s="310"/>
      <c r="O148" s="310"/>
      <c r="P148" s="311"/>
      <c r="Q148" s="312" t="s">
        <v>280</v>
      </c>
      <c r="R148" s="313"/>
      <c r="S148" s="313"/>
      <c r="T148" s="313"/>
      <c r="U148" s="313"/>
      <c r="V148" s="313"/>
      <c r="W148" s="313"/>
      <c r="X148" s="313"/>
      <c r="Y148" s="313"/>
      <c r="Z148" s="313"/>
      <c r="AA148" s="313"/>
      <c r="AB148" s="313"/>
      <c r="AC148" s="313"/>
      <c r="AD148" s="313"/>
      <c r="AE148" s="313"/>
      <c r="AF148" s="313"/>
      <c r="AG148" s="313"/>
      <c r="AH148" s="313"/>
      <c r="AI148" s="313"/>
      <c r="AJ148" s="313"/>
      <c r="AK148" s="313"/>
      <c r="AL148" s="313"/>
      <c r="AM148" s="313"/>
      <c r="AN148" s="314"/>
      <c r="AO148" s="58"/>
      <c r="AP148" s="309" t="s">
        <v>243</v>
      </c>
      <c r="AQ148" s="310"/>
      <c r="AR148" s="310"/>
      <c r="AS148" s="310"/>
      <c r="AT148" s="310"/>
      <c r="AU148" s="310"/>
      <c r="AV148" s="310"/>
      <c r="AW148" s="310"/>
      <c r="AX148" s="310"/>
      <c r="AY148" s="310"/>
      <c r="AZ148" s="310"/>
      <c r="BA148" s="310"/>
      <c r="BB148" s="310"/>
      <c r="BC148" s="311"/>
      <c r="BD148" s="312" t="s">
        <v>287</v>
      </c>
      <c r="BE148" s="313"/>
      <c r="BF148" s="313"/>
      <c r="BG148" s="313"/>
      <c r="BH148" s="313"/>
      <c r="BI148" s="313"/>
      <c r="BJ148" s="313"/>
      <c r="BK148" s="313"/>
      <c r="BL148" s="313"/>
      <c r="BM148" s="313"/>
      <c r="BN148" s="313"/>
      <c r="BO148" s="313"/>
      <c r="BP148" s="313"/>
      <c r="BQ148" s="313"/>
      <c r="BR148" s="313"/>
      <c r="BS148" s="313"/>
      <c r="BT148" s="313"/>
      <c r="BU148" s="313"/>
      <c r="BV148" s="313"/>
      <c r="BW148" s="313"/>
      <c r="BX148" s="313"/>
      <c r="BY148" s="313"/>
      <c r="BZ148" s="313"/>
      <c r="CA148" s="314"/>
      <c r="CL148" s="58"/>
      <c r="CM148" s="60"/>
      <c r="CN148" s="60"/>
      <c r="CO148" s="60"/>
      <c r="CP148" s="60"/>
      <c r="CQ148" s="58"/>
      <c r="CR148" s="59"/>
    </row>
    <row r="149" spans="1:96" ht="15" customHeight="1" x14ac:dyDescent="0.15">
      <c r="A149" s="57"/>
      <c r="C149" s="309" t="s">
        <v>213</v>
      </c>
      <c r="D149" s="310"/>
      <c r="E149" s="310"/>
      <c r="F149" s="310"/>
      <c r="G149" s="310"/>
      <c r="H149" s="310"/>
      <c r="I149" s="310"/>
      <c r="J149" s="310"/>
      <c r="K149" s="310"/>
      <c r="L149" s="310"/>
      <c r="M149" s="310"/>
      <c r="N149" s="310"/>
      <c r="O149" s="310"/>
      <c r="P149" s="311"/>
      <c r="Q149" s="312" t="s">
        <v>280</v>
      </c>
      <c r="R149" s="313"/>
      <c r="S149" s="313"/>
      <c r="T149" s="313"/>
      <c r="U149" s="313"/>
      <c r="V149" s="313"/>
      <c r="W149" s="313"/>
      <c r="X149" s="313"/>
      <c r="Y149" s="313"/>
      <c r="Z149" s="313"/>
      <c r="AA149" s="313"/>
      <c r="AB149" s="313"/>
      <c r="AC149" s="313"/>
      <c r="AD149" s="313"/>
      <c r="AE149" s="313"/>
      <c r="AF149" s="313"/>
      <c r="AG149" s="313"/>
      <c r="AH149" s="313"/>
      <c r="AI149" s="313"/>
      <c r="AJ149" s="313"/>
      <c r="AK149" s="313"/>
      <c r="AL149" s="313"/>
      <c r="AM149" s="313"/>
      <c r="AN149" s="314"/>
      <c r="AO149" s="58"/>
      <c r="AP149" s="309" t="s">
        <v>244</v>
      </c>
      <c r="AQ149" s="310"/>
      <c r="AR149" s="310"/>
      <c r="AS149" s="310"/>
      <c r="AT149" s="310"/>
      <c r="AU149" s="310"/>
      <c r="AV149" s="310"/>
      <c r="AW149" s="310"/>
      <c r="AX149" s="310"/>
      <c r="AY149" s="310"/>
      <c r="AZ149" s="310"/>
      <c r="BA149" s="310"/>
      <c r="BB149" s="310"/>
      <c r="BC149" s="311"/>
      <c r="BD149" s="312" t="s">
        <v>287</v>
      </c>
      <c r="BE149" s="313"/>
      <c r="BF149" s="313"/>
      <c r="BG149" s="313"/>
      <c r="BH149" s="313"/>
      <c r="BI149" s="313"/>
      <c r="BJ149" s="313"/>
      <c r="BK149" s="313"/>
      <c r="BL149" s="313"/>
      <c r="BM149" s="313"/>
      <c r="BN149" s="313"/>
      <c r="BO149" s="313"/>
      <c r="BP149" s="313"/>
      <c r="BQ149" s="313"/>
      <c r="BR149" s="313"/>
      <c r="BS149" s="313"/>
      <c r="BT149" s="313"/>
      <c r="BU149" s="313"/>
      <c r="BV149" s="313"/>
      <c r="BW149" s="313"/>
      <c r="BX149" s="313"/>
      <c r="BY149" s="313"/>
      <c r="BZ149" s="313"/>
      <c r="CA149" s="314"/>
      <c r="CL149" s="58"/>
      <c r="CM149" s="60"/>
      <c r="CN149" s="60"/>
      <c r="CO149" s="60"/>
      <c r="CP149" s="60"/>
      <c r="CQ149" s="58"/>
      <c r="CR149" s="59"/>
    </row>
    <row r="150" spans="1:96" ht="15" customHeight="1" x14ac:dyDescent="0.15">
      <c r="A150" s="57"/>
      <c r="C150" s="309" t="s">
        <v>214</v>
      </c>
      <c r="D150" s="310"/>
      <c r="E150" s="310"/>
      <c r="F150" s="310"/>
      <c r="G150" s="310"/>
      <c r="H150" s="310"/>
      <c r="I150" s="310"/>
      <c r="J150" s="310"/>
      <c r="K150" s="310"/>
      <c r="L150" s="310"/>
      <c r="M150" s="310"/>
      <c r="N150" s="310"/>
      <c r="O150" s="310"/>
      <c r="P150" s="311"/>
      <c r="Q150" s="312" t="s">
        <v>281</v>
      </c>
      <c r="R150" s="313"/>
      <c r="S150" s="313"/>
      <c r="T150" s="313"/>
      <c r="U150" s="313"/>
      <c r="V150" s="313"/>
      <c r="W150" s="313"/>
      <c r="X150" s="313"/>
      <c r="Y150" s="313"/>
      <c r="Z150" s="313"/>
      <c r="AA150" s="313"/>
      <c r="AB150" s="313"/>
      <c r="AC150" s="313"/>
      <c r="AD150" s="313"/>
      <c r="AE150" s="313"/>
      <c r="AF150" s="313"/>
      <c r="AG150" s="313"/>
      <c r="AH150" s="313"/>
      <c r="AI150" s="313"/>
      <c r="AJ150" s="313"/>
      <c r="AK150" s="313"/>
      <c r="AL150" s="313"/>
      <c r="AM150" s="313"/>
      <c r="AN150" s="314"/>
      <c r="AO150" s="58"/>
      <c r="AP150" s="309" t="s">
        <v>245</v>
      </c>
      <c r="AQ150" s="310"/>
      <c r="AR150" s="310"/>
      <c r="AS150" s="310"/>
      <c r="AT150" s="310"/>
      <c r="AU150" s="310"/>
      <c r="AV150" s="310"/>
      <c r="AW150" s="310"/>
      <c r="AX150" s="310"/>
      <c r="AY150" s="310"/>
      <c r="AZ150" s="310"/>
      <c r="BA150" s="310"/>
      <c r="BB150" s="310"/>
      <c r="BC150" s="311"/>
      <c r="BD150" s="312" t="s">
        <v>287</v>
      </c>
      <c r="BE150" s="313"/>
      <c r="BF150" s="313"/>
      <c r="BG150" s="313"/>
      <c r="BH150" s="313"/>
      <c r="BI150" s="313"/>
      <c r="BJ150" s="313"/>
      <c r="BK150" s="313"/>
      <c r="BL150" s="313"/>
      <c r="BM150" s="313"/>
      <c r="BN150" s="313"/>
      <c r="BO150" s="313"/>
      <c r="BP150" s="313"/>
      <c r="BQ150" s="313"/>
      <c r="BR150" s="313"/>
      <c r="BS150" s="313"/>
      <c r="BT150" s="313"/>
      <c r="BU150" s="313"/>
      <c r="BV150" s="313"/>
      <c r="BW150" s="313"/>
      <c r="BX150" s="313"/>
      <c r="BY150" s="313"/>
      <c r="BZ150" s="313"/>
      <c r="CA150" s="314"/>
      <c r="CL150" s="58"/>
      <c r="CM150" s="60"/>
      <c r="CN150" s="60"/>
      <c r="CO150" s="60"/>
      <c r="CP150" s="60"/>
      <c r="CQ150" s="58"/>
      <c r="CR150" s="59"/>
    </row>
    <row r="151" spans="1:96" ht="15" customHeight="1" x14ac:dyDescent="0.15">
      <c r="A151" s="57"/>
      <c r="C151" s="309" t="s">
        <v>215</v>
      </c>
      <c r="D151" s="310"/>
      <c r="E151" s="310"/>
      <c r="F151" s="310"/>
      <c r="G151" s="310"/>
      <c r="H151" s="310"/>
      <c r="I151" s="310"/>
      <c r="J151" s="310"/>
      <c r="K151" s="310"/>
      <c r="L151" s="310"/>
      <c r="M151" s="310"/>
      <c r="N151" s="310"/>
      <c r="O151" s="310"/>
      <c r="P151" s="311"/>
      <c r="Q151" s="312" t="s">
        <v>282</v>
      </c>
      <c r="R151" s="313"/>
      <c r="S151" s="313"/>
      <c r="T151" s="313"/>
      <c r="U151" s="313"/>
      <c r="V151" s="313"/>
      <c r="W151" s="313"/>
      <c r="X151" s="313"/>
      <c r="Y151" s="313"/>
      <c r="Z151" s="313"/>
      <c r="AA151" s="313"/>
      <c r="AB151" s="313"/>
      <c r="AC151" s="313"/>
      <c r="AD151" s="313"/>
      <c r="AE151" s="313"/>
      <c r="AF151" s="313"/>
      <c r="AG151" s="313"/>
      <c r="AH151" s="313"/>
      <c r="AI151" s="313"/>
      <c r="AJ151" s="313"/>
      <c r="AK151" s="313"/>
      <c r="AL151" s="313"/>
      <c r="AM151" s="313"/>
      <c r="AN151" s="314"/>
      <c r="AO151" s="58"/>
      <c r="AP151" s="309" t="s">
        <v>246</v>
      </c>
      <c r="AQ151" s="310"/>
      <c r="AR151" s="310"/>
      <c r="AS151" s="310"/>
      <c r="AT151" s="310"/>
      <c r="AU151" s="310"/>
      <c r="AV151" s="310"/>
      <c r="AW151" s="310"/>
      <c r="AX151" s="310"/>
      <c r="AY151" s="310"/>
      <c r="AZ151" s="310"/>
      <c r="BA151" s="310"/>
      <c r="BB151" s="310"/>
      <c r="BC151" s="311"/>
      <c r="BD151" s="312" t="s">
        <v>287</v>
      </c>
      <c r="BE151" s="313"/>
      <c r="BF151" s="313"/>
      <c r="BG151" s="313"/>
      <c r="BH151" s="313"/>
      <c r="BI151" s="313"/>
      <c r="BJ151" s="313"/>
      <c r="BK151" s="313"/>
      <c r="BL151" s="313"/>
      <c r="BM151" s="313"/>
      <c r="BN151" s="313"/>
      <c r="BO151" s="313"/>
      <c r="BP151" s="313"/>
      <c r="BQ151" s="313"/>
      <c r="BR151" s="313"/>
      <c r="BS151" s="313"/>
      <c r="BT151" s="313"/>
      <c r="BU151" s="313"/>
      <c r="BV151" s="313"/>
      <c r="BW151" s="313"/>
      <c r="BX151" s="313"/>
      <c r="BY151" s="313"/>
      <c r="BZ151" s="313"/>
      <c r="CA151" s="314"/>
      <c r="CL151" s="58"/>
      <c r="CM151" s="60"/>
      <c r="CN151" s="60"/>
      <c r="CO151" s="60"/>
      <c r="CP151" s="60"/>
      <c r="CQ151" s="58"/>
      <c r="CR151" s="59"/>
    </row>
    <row r="152" spans="1:96" ht="15" customHeight="1" x14ac:dyDescent="0.15">
      <c r="A152" s="57"/>
      <c r="C152" s="315" t="s">
        <v>216</v>
      </c>
      <c r="D152" s="316"/>
      <c r="E152" s="316"/>
      <c r="F152" s="316"/>
      <c r="G152" s="316"/>
      <c r="H152" s="316"/>
      <c r="I152" s="316"/>
      <c r="J152" s="316"/>
      <c r="K152" s="316"/>
      <c r="L152" s="316"/>
      <c r="M152" s="316"/>
      <c r="N152" s="316"/>
      <c r="O152" s="316"/>
      <c r="P152" s="317"/>
      <c r="Q152" s="321" t="s">
        <v>449</v>
      </c>
      <c r="R152" s="322"/>
      <c r="S152" s="322"/>
      <c r="T152" s="322"/>
      <c r="U152" s="322"/>
      <c r="V152" s="322"/>
      <c r="W152" s="322"/>
      <c r="X152" s="322"/>
      <c r="Y152" s="322"/>
      <c r="Z152" s="322"/>
      <c r="AA152" s="322"/>
      <c r="AB152" s="322"/>
      <c r="AC152" s="322"/>
      <c r="AD152" s="322"/>
      <c r="AE152" s="322"/>
      <c r="AF152" s="322"/>
      <c r="AG152" s="322"/>
      <c r="AH152" s="322"/>
      <c r="AI152" s="322"/>
      <c r="AJ152" s="322"/>
      <c r="AK152" s="322"/>
      <c r="AL152" s="322"/>
      <c r="AM152" s="322"/>
      <c r="AN152" s="323"/>
      <c r="AO152" s="58"/>
      <c r="AP152" s="309" t="s">
        <v>247</v>
      </c>
      <c r="AQ152" s="310"/>
      <c r="AR152" s="310"/>
      <c r="AS152" s="310"/>
      <c r="AT152" s="310"/>
      <c r="AU152" s="310"/>
      <c r="AV152" s="310"/>
      <c r="AW152" s="310"/>
      <c r="AX152" s="310"/>
      <c r="AY152" s="310"/>
      <c r="AZ152" s="310"/>
      <c r="BA152" s="310"/>
      <c r="BB152" s="310"/>
      <c r="BC152" s="311"/>
      <c r="BD152" s="312" t="s">
        <v>287</v>
      </c>
      <c r="BE152" s="313"/>
      <c r="BF152" s="313"/>
      <c r="BG152" s="313"/>
      <c r="BH152" s="313"/>
      <c r="BI152" s="313"/>
      <c r="BJ152" s="313"/>
      <c r="BK152" s="313"/>
      <c r="BL152" s="313"/>
      <c r="BM152" s="313"/>
      <c r="BN152" s="313"/>
      <c r="BO152" s="313"/>
      <c r="BP152" s="313"/>
      <c r="BQ152" s="313"/>
      <c r="BR152" s="313"/>
      <c r="BS152" s="313"/>
      <c r="BT152" s="313"/>
      <c r="BU152" s="313"/>
      <c r="BV152" s="313"/>
      <c r="BW152" s="313"/>
      <c r="BX152" s="313"/>
      <c r="BY152" s="313"/>
      <c r="BZ152" s="313"/>
      <c r="CA152" s="314"/>
      <c r="CL152" s="58"/>
      <c r="CM152" s="58"/>
      <c r="CN152" s="58"/>
      <c r="CO152" s="58"/>
      <c r="CP152" s="58"/>
      <c r="CQ152" s="58"/>
      <c r="CR152" s="59"/>
    </row>
    <row r="153" spans="1:96" ht="15" customHeight="1" x14ac:dyDescent="0.15">
      <c r="A153" s="57"/>
      <c r="C153" s="315" t="s">
        <v>217</v>
      </c>
      <c r="D153" s="316"/>
      <c r="E153" s="316"/>
      <c r="F153" s="316"/>
      <c r="G153" s="316"/>
      <c r="H153" s="316"/>
      <c r="I153" s="316"/>
      <c r="J153" s="316"/>
      <c r="K153" s="316"/>
      <c r="L153" s="316"/>
      <c r="M153" s="316"/>
      <c r="N153" s="316"/>
      <c r="O153" s="316"/>
      <c r="P153" s="317"/>
      <c r="Q153" s="321" t="s">
        <v>449</v>
      </c>
      <c r="R153" s="322"/>
      <c r="S153" s="322"/>
      <c r="T153" s="322"/>
      <c r="U153" s="322"/>
      <c r="V153" s="322"/>
      <c r="W153" s="322"/>
      <c r="X153" s="322"/>
      <c r="Y153" s="322"/>
      <c r="Z153" s="322"/>
      <c r="AA153" s="322"/>
      <c r="AB153" s="322"/>
      <c r="AC153" s="322"/>
      <c r="AD153" s="322"/>
      <c r="AE153" s="322"/>
      <c r="AF153" s="322"/>
      <c r="AG153" s="322"/>
      <c r="AH153" s="322"/>
      <c r="AI153" s="322"/>
      <c r="AJ153" s="322"/>
      <c r="AK153" s="322"/>
      <c r="AL153" s="322"/>
      <c r="AM153" s="322"/>
      <c r="AN153" s="323"/>
      <c r="AO153" s="58"/>
      <c r="AP153" s="309" t="s">
        <v>248</v>
      </c>
      <c r="AQ153" s="310"/>
      <c r="AR153" s="310"/>
      <c r="AS153" s="310"/>
      <c r="AT153" s="310"/>
      <c r="AU153" s="310"/>
      <c r="AV153" s="310"/>
      <c r="AW153" s="310"/>
      <c r="AX153" s="310"/>
      <c r="AY153" s="310"/>
      <c r="AZ153" s="310"/>
      <c r="BA153" s="310"/>
      <c r="BB153" s="310"/>
      <c r="BC153" s="311"/>
      <c r="BD153" s="312" t="s">
        <v>287</v>
      </c>
      <c r="BE153" s="313"/>
      <c r="BF153" s="313"/>
      <c r="BG153" s="313"/>
      <c r="BH153" s="313"/>
      <c r="BI153" s="313"/>
      <c r="BJ153" s="313"/>
      <c r="BK153" s="313"/>
      <c r="BL153" s="313"/>
      <c r="BM153" s="313"/>
      <c r="BN153" s="313"/>
      <c r="BO153" s="313"/>
      <c r="BP153" s="313"/>
      <c r="BQ153" s="313"/>
      <c r="BR153" s="313"/>
      <c r="BS153" s="313"/>
      <c r="BT153" s="313"/>
      <c r="BU153" s="313"/>
      <c r="BV153" s="313"/>
      <c r="BW153" s="313"/>
      <c r="BX153" s="313"/>
      <c r="BY153" s="313"/>
      <c r="BZ153" s="313"/>
      <c r="CA153" s="314"/>
      <c r="CL153" s="58"/>
      <c r="CM153" s="58"/>
      <c r="CN153" s="58"/>
      <c r="CO153" s="58"/>
      <c r="CP153" s="58"/>
      <c r="CQ153" s="58"/>
      <c r="CR153" s="59"/>
    </row>
    <row r="154" spans="1:96" ht="15" customHeight="1" x14ac:dyDescent="0.15">
      <c r="A154" s="57"/>
      <c r="C154" s="327" t="s">
        <v>218</v>
      </c>
      <c r="D154" s="328"/>
      <c r="E154" s="328"/>
      <c r="F154" s="328"/>
      <c r="G154" s="328"/>
      <c r="H154" s="328"/>
      <c r="I154" s="328"/>
      <c r="J154" s="328"/>
      <c r="K154" s="328"/>
      <c r="L154" s="328"/>
      <c r="M154" s="328"/>
      <c r="N154" s="328"/>
      <c r="O154" s="328"/>
      <c r="P154" s="329"/>
      <c r="Q154" s="318" t="s">
        <v>283</v>
      </c>
      <c r="R154" s="319"/>
      <c r="S154" s="319"/>
      <c r="T154" s="319"/>
      <c r="U154" s="319"/>
      <c r="V154" s="319"/>
      <c r="W154" s="319"/>
      <c r="X154" s="319"/>
      <c r="Y154" s="319"/>
      <c r="Z154" s="319"/>
      <c r="AA154" s="319"/>
      <c r="AB154" s="319"/>
      <c r="AC154" s="319"/>
      <c r="AD154" s="319"/>
      <c r="AE154" s="319"/>
      <c r="AF154" s="319"/>
      <c r="AG154" s="319"/>
      <c r="AH154" s="319"/>
      <c r="AI154" s="319"/>
      <c r="AJ154" s="319"/>
      <c r="AK154" s="319"/>
      <c r="AL154" s="319"/>
      <c r="AM154" s="319"/>
      <c r="AN154" s="320"/>
      <c r="AO154" s="58"/>
      <c r="AP154" s="309" t="s">
        <v>249</v>
      </c>
      <c r="AQ154" s="310"/>
      <c r="AR154" s="310"/>
      <c r="AS154" s="310"/>
      <c r="AT154" s="310"/>
      <c r="AU154" s="310"/>
      <c r="AV154" s="310"/>
      <c r="AW154" s="310"/>
      <c r="AX154" s="310"/>
      <c r="AY154" s="310"/>
      <c r="AZ154" s="310"/>
      <c r="BA154" s="310"/>
      <c r="BB154" s="310"/>
      <c r="BC154" s="311"/>
      <c r="BD154" s="312" t="s">
        <v>287</v>
      </c>
      <c r="BE154" s="313"/>
      <c r="BF154" s="313"/>
      <c r="BG154" s="313"/>
      <c r="BH154" s="313"/>
      <c r="BI154" s="313"/>
      <c r="BJ154" s="313"/>
      <c r="BK154" s="313"/>
      <c r="BL154" s="313"/>
      <c r="BM154" s="313"/>
      <c r="BN154" s="313"/>
      <c r="BO154" s="313"/>
      <c r="BP154" s="313"/>
      <c r="BQ154" s="313"/>
      <c r="BR154" s="313"/>
      <c r="BS154" s="313"/>
      <c r="BT154" s="313"/>
      <c r="BU154" s="313"/>
      <c r="BV154" s="313"/>
      <c r="BW154" s="313"/>
      <c r="BX154" s="313"/>
      <c r="BY154" s="313"/>
      <c r="BZ154" s="313"/>
      <c r="CA154" s="314"/>
      <c r="CB154" s="58"/>
      <c r="CC154" s="58"/>
      <c r="CD154" s="58"/>
      <c r="CE154" s="58"/>
      <c r="CF154" s="58"/>
      <c r="CG154" s="58"/>
      <c r="CH154" s="58"/>
      <c r="CI154" s="58"/>
      <c r="CJ154" s="58"/>
      <c r="CK154" s="58"/>
      <c r="CL154" s="58"/>
      <c r="CM154" s="58"/>
      <c r="CN154" s="58"/>
      <c r="CO154" s="58"/>
      <c r="CP154" s="58"/>
      <c r="CQ154" s="58"/>
      <c r="CR154" s="59"/>
    </row>
    <row r="155" spans="1:96" ht="15" customHeight="1" x14ac:dyDescent="0.15">
      <c r="A155" s="57"/>
      <c r="C155" s="309" t="s">
        <v>219</v>
      </c>
      <c r="D155" s="310"/>
      <c r="E155" s="310"/>
      <c r="F155" s="310"/>
      <c r="G155" s="310"/>
      <c r="H155" s="310"/>
      <c r="I155" s="310"/>
      <c r="J155" s="310"/>
      <c r="K155" s="310"/>
      <c r="L155" s="310"/>
      <c r="M155" s="310"/>
      <c r="N155" s="310"/>
      <c r="O155" s="310"/>
      <c r="P155" s="311"/>
      <c r="Q155" s="312" t="s">
        <v>279</v>
      </c>
      <c r="R155" s="313"/>
      <c r="S155" s="313"/>
      <c r="T155" s="313"/>
      <c r="U155" s="313"/>
      <c r="V155" s="313"/>
      <c r="W155" s="313"/>
      <c r="X155" s="313"/>
      <c r="Y155" s="313"/>
      <c r="Z155" s="313"/>
      <c r="AA155" s="313"/>
      <c r="AB155" s="313"/>
      <c r="AC155" s="313"/>
      <c r="AD155" s="313"/>
      <c r="AE155" s="313"/>
      <c r="AF155" s="313"/>
      <c r="AG155" s="313"/>
      <c r="AH155" s="313"/>
      <c r="AI155" s="313"/>
      <c r="AJ155" s="313"/>
      <c r="AK155" s="313"/>
      <c r="AL155" s="313"/>
      <c r="AM155" s="313"/>
      <c r="AN155" s="314"/>
      <c r="AO155" s="58"/>
      <c r="AP155" s="309" t="s">
        <v>250</v>
      </c>
      <c r="AQ155" s="310"/>
      <c r="AR155" s="310"/>
      <c r="AS155" s="310"/>
      <c r="AT155" s="310"/>
      <c r="AU155" s="310"/>
      <c r="AV155" s="310"/>
      <c r="AW155" s="310"/>
      <c r="AX155" s="310"/>
      <c r="AY155" s="310"/>
      <c r="AZ155" s="310"/>
      <c r="BA155" s="310"/>
      <c r="BB155" s="310"/>
      <c r="BC155" s="311"/>
      <c r="BD155" s="312" t="s">
        <v>279</v>
      </c>
      <c r="BE155" s="313"/>
      <c r="BF155" s="313"/>
      <c r="BG155" s="313"/>
      <c r="BH155" s="313"/>
      <c r="BI155" s="313"/>
      <c r="BJ155" s="313"/>
      <c r="BK155" s="313"/>
      <c r="BL155" s="313"/>
      <c r="BM155" s="313"/>
      <c r="BN155" s="313"/>
      <c r="BO155" s="313"/>
      <c r="BP155" s="313"/>
      <c r="BQ155" s="313"/>
      <c r="BR155" s="313"/>
      <c r="BS155" s="313"/>
      <c r="BT155" s="313"/>
      <c r="BU155" s="313"/>
      <c r="BV155" s="313"/>
      <c r="BW155" s="313"/>
      <c r="BX155" s="313"/>
      <c r="BY155" s="313"/>
      <c r="BZ155" s="313"/>
      <c r="CA155" s="314"/>
      <c r="CL155" s="58"/>
      <c r="CM155" s="58"/>
      <c r="CN155" s="58"/>
      <c r="CO155" s="58"/>
      <c r="CP155" s="58"/>
      <c r="CQ155" s="58"/>
      <c r="CR155" s="59"/>
    </row>
    <row r="156" spans="1:96" ht="15" customHeight="1" x14ac:dyDescent="0.15">
      <c r="A156" s="57"/>
      <c r="C156" s="309" t="s">
        <v>220</v>
      </c>
      <c r="D156" s="310"/>
      <c r="E156" s="310"/>
      <c r="F156" s="310"/>
      <c r="G156" s="310"/>
      <c r="H156" s="310"/>
      <c r="I156" s="310"/>
      <c r="J156" s="310"/>
      <c r="K156" s="310"/>
      <c r="L156" s="310"/>
      <c r="M156" s="310"/>
      <c r="N156" s="310"/>
      <c r="O156" s="310"/>
      <c r="P156" s="311"/>
      <c r="Q156" s="312" t="s">
        <v>284</v>
      </c>
      <c r="R156" s="313"/>
      <c r="S156" s="313"/>
      <c r="T156" s="313"/>
      <c r="U156" s="313"/>
      <c r="V156" s="313"/>
      <c r="W156" s="313"/>
      <c r="X156" s="313"/>
      <c r="Y156" s="313"/>
      <c r="Z156" s="313"/>
      <c r="AA156" s="313"/>
      <c r="AB156" s="313"/>
      <c r="AC156" s="313"/>
      <c r="AD156" s="313"/>
      <c r="AE156" s="313"/>
      <c r="AF156" s="313"/>
      <c r="AG156" s="313"/>
      <c r="AH156" s="313"/>
      <c r="AI156" s="313"/>
      <c r="AJ156" s="313"/>
      <c r="AK156" s="313"/>
      <c r="AL156" s="313"/>
      <c r="AM156" s="313"/>
      <c r="AN156" s="314"/>
      <c r="AO156" s="58"/>
      <c r="AP156" s="309" t="s">
        <v>251</v>
      </c>
      <c r="AQ156" s="310"/>
      <c r="AR156" s="310"/>
      <c r="AS156" s="310"/>
      <c r="AT156" s="310"/>
      <c r="AU156" s="310"/>
      <c r="AV156" s="310"/>
      <c r="AW156" s="310"/>
      <c r="AX156" s="310"/>
      <c r="AY156" s="310"/>
      <c r="AZ156" s="310"/>
      <c r="BA156" s="310"/>
      <c r="BB156" s="310"/>
      <c r="BC156" s="311"/>
      <c r="BD156" s="312" t="s">
        <v>279</v>
      </c>
      <c r="BE156" s="313"/>
      <c r="BF156" s="313"/>
      <c r="BG156" s="313"/>
      <c r="BH156" s="313"/>
      <c r="BI156" s="313"/>
      <c r="BJ156" s="313"/>
      <c r="BK156" s="313"/>
      <c r="BL156" s="313"/>
      <c r="BM156" s="313"/>
      <c r="BN156" s="313"/>
      <c r="BO156" s="313"/>
      <c r="BP156" s="313"/>
      <c r="BQ156" s="313"/>
      <c r="BR156" s="313"/>
      <c r="BS156" s="313"/>
      <c r="BT156" s="313"/>
      <c r="BU156" s="313"/>
      <c r="BV156" s="313"/>
      <c r="BW156" s="313"/>
      <c r="BX156" s="313"/>
      <c r="BY156" s="313"/>
      <c r="BZ156" s="313"/>
      <c r="CA156" s="314"/>
      <c r="CL156" s="58"/>
      <c r="CM156" s="58"/>
      <c r="CN156" s="58"/>
      <c r="CO156" s="58"/>
      <c r="CP156" s="58"/>
      <c r="CQ156" s="58"/>
      <c r="CR156" s="59"/>
    </row>
    <row r="157" spans="1:96" ht="15" customHeight="1" x14ac:dyDescent="0.15">
      <c r="A157" s="57"/>
      <c r="C157" s="309" t="s">
        <v>498</v>
      </c>
      <c r="D157" s="310"/>
      <c r="E157" s="310"/>
      <c r="F157" s="310"/>
      <c r="G157" s="310"/>
      <c r="H157" s="310"/>
      <c r="I157" s="310"/>
      <c r="J157" s="310"/>
      <c r="K157" s="310"/>
      <c r="L157" s="310"/>
      <c r="M157" s="310"/>
      <c r="N157" s="310"/>
      <c r="O157" s="310"/>
      <c r="P157" s="311"/>
      <c r="Q157" s="324" t="s">
        <v>285</v>
      </c>
      <c r="R157" s="325"/>
      <c r="S157" s="325"/>
      <c r="T157" s="325"/>
      <c r="U157" s="325"/>
      <c r="V157" s="325"/>
      <c r="W157" s="325"/>
      <c r="X157" s="325"/>
      <c r="Y157" s="325"/>
      <c r="Z157" s="325"/>
      <c r="AA157" s="325"/>
      <c r="AB157" s="325"/>
      <c r="AC157" s="325"/>
      <c r="AD157" s="325"/>
      <c r="AE157" s="325"/>
      <c r="AF157" s="325"/>
      <c r="AG157" s="325"/>
      <c r="AH157" s="325"/>
      <c r="AI157" s="325"/>
      <c r="AJ157" s="325"/>
      <c r="AK157" s="325"/>
      <c r="AL157" s="325"/>
      <c r="AM157" s="325"/>
      <c r="AN157" s="326"/>
      <c r="AO157" s="58"/>
      <c r="AP157" s="309" t="s">
        <v>252</v>
      </c>
      <c r="AQ157" s="310"/>
      <c r="AR157" s="310"/>
      <c r="AS157" s="310"/>
      <c r="AT157" s="310"/>
      <c r="AU157" s="310"/>
      <c r="AV157" s="310"/>
      <c r="AW157" s="310"/>
      <c r="AX157" s="310"/>
      <c r="AY157" s="310"/>
      <c r="AZ157" s="310"/>
      <c r="BA157" s="310"/>
      <c r="BB157" s="310"/>
      <c r="BC157" s="311"/>
      <c r="BD157" s="312" t="s">
        <v>279</v>
      </c>
      <c r="BE157" s="313"/>
      <c r="BF157" s="313"/>
      <c r="BG157" s="313"/>
      <c r="BH157" s="313"/>
      <c r="BI157" s="313"/>
      <c r="BJ157" s="313"/>
      <c r="BK157" s="313"/>
      <c r="BL157" s="313"/>
      <c r="BM157" s="313"/>
      <c r="BN157" s="313"/>
      <c r="BO157" s="313"/>
      <c r="BP157" s="313"/>
      <c r="BQ157" s="313"/>
      <c r="BR157" s="313"/>
      <c r="BS157" s="313"/>
      <c r="BT157" s="313"/>
      <c r="BU157" s="313"/>
      <c r="BV157" s="313"/>
      <c r="BW157" s="313"/>
      <c r="BX157" s="313"/>
      <c r="BY157" s="313"/>
      <c r="BZ157" s="313"/>
      <c r="CA157" s="314"/>
      <c r="CL157" s="58"/>
      <c r="CM157" s="58"/>
      <c r="CN157" s="58"/>
      <c r="CO157" s="58"/>
      <c r="CP157" s="58"/>
      <c r="CQ157" s="58"/>
      <c r="CR157" s="59"/>
    </row>
    <row r="158" spans="1:96" ht="15" customHeight="1" x14ac:dyDescent="0.15">
      <c r="A158" s="57"/>
      <c r="C158" s="309" t="s">
        <v>221</v>
      </c>
      <c r="D158" s="310"/>
      <c r="E158" s="310"/>
      <c r="F158" s="310"/>
      <c r="G158" s="310"/>
      <c r="H158" s="310"/>
      <c r="I158" s="310"/>
      <c r="J158" s="310"/>
      <c r="K158" s="310"/>
      <c r="L158" s="310"/>
      <c r="M158" s="310"/>
      <c r="N158" s="310"/>
      <c r="O158" s="310"/>
      <c r="P158" s="311"/>
      <c r="Q158" s="312" t="s">
        <v>280</v>
      </c>
      <c r="R158" s="313"/>
      <c r="S158" s="313"/>
      <c r="T158" s="313"/>
      <c r="U158" s="313"/>
      <c r="V158" s="313"/>
      <c r="W158" s="313"/>
      <c r="X158" s="313"/>
      <c r="Y158" s="313"/>
      <c r="Z158" s="313"/>
      <c r="AA158" s="313"/>
      <c r="AB158" s="313"/>
      <c r="AC158" s="313"/>
      <c r="AD158" s="313"/>
      <c r="AE158" s="313"/>
      <c r="AF158" s="313"/>
      <c r="AG158" s="313"/>
      <c r="AH158" s="313"/>
      <c r="AI158" s="313"/>
      <c r="AJ158" s="313"/>
      <c r="AK158" s="313"/>
      <c r="AL158" s="313"/>
      <c r="AM158" s="313"/>
      <c r="AN158" s="314"/>
      <c r="AO158" s="58"/>
      <c r="AP158" s="309" t="s">
        <v>253</v>
      </c>
      <c r="AQ158" s="310"/>
      <c r="AR158" s="310"/>
      <c r="AS158" s="310"/>
      <c r="AT158" s="310"/>
      <c r="AU158" s="310"/>
      <c r="AV158" s="310"/>
      <c r="AW158" s="310"/>
      <c r="AX158" s="310"/>
      <c r="AY158" s="310"/>
      <c r="AZ158" s="310"/>
      <c r="BA158" s="310"/>
      <c r="BB158" s="310"/>
      <c r="BC158" s="311"/>
      <c r="BD158" s="312" t="s">
        <v>279</v>
      </c>
      <c r="BE158" s="313"/>
      <c r="BF158" s="313"/>
      <c r="BG158" s="313"/>
      <c r="BH158" s="313"/>
      <c r="BI158" s="313"/>
      <c r="BJ158" s="313"/>
      <c r="BK158" s="313"/>
      <c r="BL158" s="313"/>
      <c r="BM158" s="313"/>
      <c r="BN158" s="313"/>
      <c r="BO158" s="313"/>
      <c r="BP158" s="313"/>
      <c r="BQ158" s="313"/>
      <c r="BR158" s="313"/>
      <c r="BS158" s="313"/>
      <c r="BT158" s="313"/>
      <c r="BU158" s="313"/>
      <c r="BV158" s="313"/>
      <c r="BW158" s="313"/>
      <c r="BX158" s="313"/>
      <c r="BY158" s="313"/>
      <c r="BZ158" s="313"/>
      <c r="CA158" s="314"/>
      <c r="CL158" s="58"/>
      <c r="CM158" s="58"/>
      <c r="CN158" s="58"/>
      <c r="CO158" s="58"/>
      <c r="CP158" s="58"/>
      <c r="CQ158" s="58"/>
      <c r="CR158" s="59"/>
    </row>
    <row r="159" spans="1:96" ht="15" customHeight="1" x14ac:dyDescent="0.15">
      <c r="A159" s="57"/>
      <c r="C159" s="309" t="s">
        <v>222</v>
      </c>
      <c r="D159" s="310"/>
      <c r="E159" s="310"/>
      <c r="F159" s="310"/>
      <c r="G159" s="310"/>
      <c r="H159" s="310"/>
      <c r="I159" s="310"/>
      <c r="J159" s="310"/>
      <c r="K159" s="310"/>
      <c r="L159" s="310"/>
      <c r="M159" s="310"/>
      <c r="N159" s="310"/>
      <c r="O159" s="310"/>
      <c r="P159" s="311"/>
      <c r="Q159" s="312" t="s">
        <v>280</v>
      </c>
      <c r="R159" s="313"/>
      <c r="S159" s="313"/>
      <c r="T159" s="313"/>
      <c r="U159" s="313"/>
      <c r="V159" s="313"/>
      <c r="W159" s="313"/>
      <c r="X159" s="313"/>
      <c r="Y159" s="313"/>
      <c r="Z159" s="313"/>
      <c r="AA159" s="313"/>
      <c r="AB159" s="313"/>
      <c r="AC159" s="313"/>
      <c r="AD159" s="313"/>
      <c r="AE159" s="313"/>
      <c r="AF159" s="313"/>
      <c r="AG159" s="313"/>
      <c r="AH159" s="313"/>
      <c r="AI159" s="313"/>
      <c r="AJ159" s="313"/>
      <c r="AK159" s="313"/>
      <c r="AL159" s="313"/>
      <c r="AM159" s="313"/>
      <c r="AN159" s="314"/>
      <c r="AO159" s="58"/>
      <c r="AP159" s="309" t="s">
        <v>254</v>
      </c>
      <c r="AQ159" s="310"/>
      <c r="AR159" s="310"/>
      <c r="AS159" s="310"/>
      <c r="AT159" s="310"/>
      <c r="AU159" s="310"/>
      <c r="AV159" s="310"/>
      <c r="AW159" s="310"/>
      <c r="AX159" s="310"/>
      <c r="AY159" s="310"/>
      <c r="AZ159" s="310"/>
      <c r="BA159" s="310"/>
      <c r="BB159" s="310"/>
      <c r="BC159" s="311"/>
      <c r="BD159" s="312" t="s">
        <v>279</v>
      </c>
      <c r="BE159" s="313"/>
      <c r="BF159" s="313"/>
      <c r="BG159" s="313"/>
      <c r="BH159" s="313"/>
      <c r="BI159" s="313"/>
      <c r="BJ159" s="313"/>
      <c r="BK159" s="313"/>
      <c r="BL159" s="313"/>
      <c r="BM159" s="313"/>
      <c r="BN159" s="313"/>
      <c r="BO159" s="313"/>
      <c r="BP159" s="313"/>
      <c r="BQ159" s="313"/>
      <c r="BR159" s="313"/>
      <c r="BS159" s="313"/>
      <c r="BT159" s="313"/>
      <c r="BU159" s="313"/>
      <c r="BV159" s="313"/>
      <c r="BW159" s="313"/>
      <c r="BX159" s="313"/>
      <c r="BY159" s="313"/>
      <c r="BZ159" s="313"/>
      <c r="CA159" s="314"/>
      <c r="CL159" s="58"/>
      <c r="CM159" s="58"/>
      <c r="CN159" s="58"/>
      <c r="CO159" s="58"/>
      <c r="CP159" s="58"/>
      <c r="CQ159" s="58"/>
      <c r="CR159" s="59"/>
    </row>
    <row r="160" spans="1:96" ht="15" customHeight="1" x14ac:dyDescent="0.15">
      <c r="A160" s="57"/>
      <c r="C160" s="309" t="s">
        <v>223</v>
      </c>
      <c r="D160" s="310"/>
      <c r="E160" s="310"/>
      <c r="F160" s="310"/>
      <c r="G160" s="310"/>
      <c r="H160" s="310"/>
      <c r="I160" s="310"/>
      <c r="J160" s="310"/>
      <c r="K160" s="310"/>
      <c r="L160" s="310"/>
      <c r="M160" s="310"/>
      <c r="N160" s="310"/>
      <c r="O160" s="310"/>
      <c r="P160" s="311"/>
      <c r="Q160" s="312" t="s">
        <v>287</v>
      </c>
      <c r="R160" s="313"/>
      <c r="S160" s="313"/>
      <c r="T160" s="313"/>
      <c r="U160" s="313"/>
      <c r="V160" s="313"/>
      <c r="W160" s="313"/>
      <c r="X160" s="313"/>
      <c r="Y160" s="313"/>
      <c r="Z160" s="313"/>
      <c r="AA160" s="313"/>
      <c r="AB160" s="313"/>
      <c r="AC160" s="313"/>
      <c r="AD160" s="313"/>
      <c r="AE160" s="313"/>
      <c r="AF160" s="313"/>
      <c r="AG160" s="313"/>
      <c r="AH160" s="313"/>
      <c r="AI160" s="313"/>
      <c r="AJ160" s="313"/>
      <c r="AK160" s="313"/>
      <c r="AL160" s="313"/>
      <c r="AM160" s="313"/>
      <c r="AN160" s="314"/>
      <c r="AO160" s="58"/>
      <c r="AP160" s="309" t="s">
        <v>255</v>
      </c>
      <c r="AQ160" s="310"/>
      <c r="AR160" s="310"/>
      <c r="AS160" s="310"/>
      <c r="AT160" s="310"/>
      <c r="AU160" s="310"/>
      <c r="AV160" s="310"/>
      <c r="AW160" s="310"/>
      <c r="AX160" s="310"/>
      <c r="AY160" s="310"/>
      <c r="AZ160" s="310"/>
      <c r="BA160" s="310"/>
      <c r="BB160" s="310"/>
      <c r="BC160" s="311"/>
      <c r="BD160" s="312" t="s">
        <v>287</v>
      </c>
      <c r="BE160" s="313"/>
      <c r="BF160" s="313"/>
      <c r="BG160" s="313"/>
      <c r="BH160" s="313"/>
      <c r="BI160" s="313"/>
      <c r="BJ160" s="313"/>
      <c r="BK160" s="313"/>
      <c r="BL160" s="313"/>
      <c r="BM160" s="313"/>
      <c r="BN160" s="313"/>
      <c r="BO160" s="313"/>
      <c r="BP160" s="313"/>
      <c r="BQ160" s="313"/>
      <c r="BR160" s="313"/>
      <c r="BS160" s="313"/>
      <c r="BT160" s="313"/>
      <c r="BU160" s="313"/>
      <c r="BV160" s="313"/>
      <c r="BW160" s="313"/>
      <c r="BX160" s="313"/>
      <c r="BY160" s="313"/>
      <c r="BZ160" s="313"/>
      <c r="CA160" s="314"/>
      <c r="CL160" s="58"/>
      <c r="CM160" s="58"/>
      <c r="CN160" s="58"/>
      <c r="CO160" s="58"/>
      <c r="CP160" s="58"/>
      <c r="CQ160" s="58"/>
      <c r="CR160" s="59"/>
    </row>
    <row r="161" spans="1:98" ht="15" customHeight="1" x14ac:dyDescent="0.15">
      <c r="A161" s="57"/>
      <c r="C161" s="309" t="s">
        <v>499</v>
      </c>
      <c r="D161" s="310"/>
      <c r="E161" s="310"/>
      <c r="F161" s="310"/>
      <c r="G161" s="310"/>
      <c r="H161" s="310"/>
      <c r="I161" s="310"/>
      <c r="J161" s="310"/>
      <c r="K161" s="310"/>
      <c r="L161" s="310"/>
      <c r="M161" s="310"/>
      <c r="N161" s="310"/>
      <c r="O161" s="310"/>
      <c r="P161" s="311"/>
      <c r="Q161" s="312" t="s">
        <v>279</v>
      </c>
      <c r="R161" s="313"/>
      <c r="S161" s="313"/>
      <c r="T161" s="313"/>
      <c r="U161" s="313"/>
      <c r="V161" s="313"/>
      <c r="W161" s="313"/>
      <c r="X161" s="313"/>
      <c r="Y161" s="313"/>
      <c r="Z161" s="313"/>
      <c r="AA161" s="313"/>
      <c r="AB161" s="313"/>
      <c r="AC161" s="313"/>
      <c r="AD161" s="313"/>
      <c r="AE161" s="313"/>
      <c r="AF161" s="313"/>
      <c r="AG161" s="313"/>
      <c r="AH161" s="313"/>
      <c r="AI161" s="313"/>
      <c r="AJ161" s="313"/>
      <c r="AK161" s="313"/>
      <c r="AL161" s="313"/>
      <c r="AM161" s="313"/>
      <c r="AN161" s="314"/>
      <c r="AO161" s="58"/>
      <c r="AP161" s="309" t="s">
        <v>256</v>
      </c>
      <c r="AQ161" s="310"/>
      <c r="AR161" s="310"/>
      <c r="AS161" s="310"/>
      <c r="AT161" s="310"/>
      <c r="AU161" s="310"/>
      <c r="AV161" s="310"/>
      <c r="AW161" s="310"/>
      <c r="AX161" s="310"/>
      <c r="AY161" s="310"/>
      <c r="AZ161" s="310"/>
      <c r="BA161" s="310"/>
      <c r="BB161" s="310"/>
      <c r="BC161" s="311"/>
      <c r="BD161" s="312" t="s">
        <v>279</v>
      </c>
      <c r="BE161" s="313"/>
      <c r="BF161" s="313"/>
      <c r="BG161" s="313"/>
      <c r="BH161" s="313"/>
      <c r="BI161" s="313"/>
      <c r="BJ161" s="313"/>
      <c r="BK161" s="313"/>
      <c r="BL161" s="313"/>
      <c r="BM161" s="313"/>
      <c r="BN161" s="313"/>
      <c r="BO161" s="313"/>
      <c r="BP161" s="313"/>
      <c r="BQ161" s="313"/>
      <c r="BR161" s="313"/>
      <c r="BS161" s="313"/>
      <c r="BT161" s="313"/>
      <c r="BU161" s="313"/>
      <c r="BV161" s="313"/>
      <c r="BW161" s="313"/>
      <c r="BX161" s="313"/>
      <c r="BY161" s="313"/>
      <c r="BZ161" s="313"/>
      <c r="CA161" s="314"/>
      <c r="CL161" s="58"/>
      <c r="CM161" s="58"/>
      <c r="CN161" s="58"/>
      <c r="CO161" s="58"/>
      <c r="CP161" s="58"/>
      <c r="CQ161" s="58"/>
      <c r="CR161" s="59"/>
    </row>
    <row r="162" spans="1:98" ht="15" customHeight="1" x14ac:dyDescent="0.15">
      <c r="A162" s="57"/>
      <c r="C162" s="309" t="s">
        <v>224</v>
      </c>
      <c r="D162" s="310"/>
      <c r="E162" s="310"/>
      <c r="F162" s="310"/>
      <c r="G162" s="310"/>
      <c r="H162" s="310"/>
      <c r="I162" s="310"/>
      <c r="J162" s="310"/>
      <c r="K162" s="310"/>
      <c r="L162" s="310"/>
      <c r="M162" s="310"/>
      <c r="N162" s="310"/>
      <c r="O162" s="310"/>
      <c r="P162" s="311"/>
      <c r="Q162" s="312" t="s">
        <v>279</v>
      </c>
      <c r="R162" s="313"/>
      <c r="S162" s="313"/>
      <c r="T162" s="313"/>
      <c r="U162" s="313"/>
      <c r="V162" s="313"/>
      <c r="W162" s="313"/>
      <c r="X162" s="313"/>
      <c r="Y162" s="313"/>
      <c r="Z162" s="313"/>
      <c r="AA162" s="313"/>
      <c r="AB162" s="313"/>
      <c r="AC162" s="313"/>
      <c r="AD162" s="313"/>
      <c r="AE162" s="313"/>
      <c r="AF162" s="313"/>
      <c r="AG162" s="313"/>
      <c r="AH162" s="313"/>
      <c r="AI162" s="313"/>
      <c r="AJ162" s="313"/>
      <c r="AK162" s="313"/>
      <c r="AL162" s="313"/>
      <c r="AM162" s="313"/>
      <c r="AN162" s="314"/>
      <c r="AO162" s="58"/>
      <c r="AP162" s="309" t="s">
        <v>257</v>
      </c>
      <c r="AQ162" s="310"/>
      <c r="AR162" s="310"/>
      <c r="AS162" s="310"/>
      <c r="AT162" s="310"/>
      <c r="AU162" s="310"/>
      <c r="AV162" s="310"/>
      <c r="AW162" s="310"/>
      <c r="AX162" s="310"/>
      <c r="AY162" s="310"/>
      <c r="AZ162" s="310"/>
      <c r="BA162" s="310"/>
      <c r="BB162" s="310"/>
      <c r="BC162" s="311"/>
      <c r="BD162" s="312" t="s">
        <v>279</v>
      </c>
      <c r="BE162" s="313"/>
      <c r="BF162" s="313"/>
      <c r="BG162" s="313"/>
      <c r="BH162" s="313"/>
      <c r="BI162" s="313"/>
      <c r="BJ162" s="313"/>
      <c r="BK162" s="313"/>
      <c r="BL162" s="313"/>
      <c r="BM162" s="313"/>
      <c r="BN162" s="313"/>
      <c r="BO162" s="313"/>
      <c r="BP162" s="313"/>
      <c r="BQ162" s="313"/>
      <c r="BR162" s="313"/>
      <c r="BS162" s="313"/>
      <c r="BT162" s="313"/>
      <c r="BU162" s="313"/>
      <c r="BV162" s="313"/>
      <c r="BW162" s="313"/>
      <c r="BX162" s="313"/>
      <c r="BY162" s="313"/>
      <c r="BZ162" s="313"/>
      <c r="CA162" s="314"/>
      <c r="CL162" s="58"/>
      <c r="CM162" s="58"/>
      <c r="CN162" s="58"/>
      <c r="CO162" s="58"/>
      <c r="CP162" s="58"/>
      <c r="CQ162" s="58"/>
      <c r="CR162" s="59"/>
    </row>
    <row r="163" spans="1:98" ht="15" customHeight="1" x14ac:dyDescent="0.15">
      <c r="A163" s="57"/>
      <c r="B163" s="58"/>
      <c r="C163" s="309" t="s">
        <v>500</v>
      </c>
      <c r="D163" s="310"/>
      <c r="E163" s="310"/>
      <c r="F163" s="310"/>
      <c r="G163" s="310"/>
      <c r="H163" s="310"/>
      <c r="I163" s="310"/>
      <c r="J163" s="310"/>
      <c r="K163" s="310"/>
      <c r="L163" s="310"/>
      <c r="M163" s="310"/>
      <c r="N163" s="310"/>
      <c r="O163" s="310"/>
      <c r="P163" s="311"/>
      <c r="Q163" s="312" t="s">
        <v>279</v>
      </c>
      <c r="R163" s="313"/>
      <c r="S163" s="313"/>
      <c r="T163" s="313"/>
      <c r="U163" s="313"/>
      <c r="V163" s="313"/>
      <c r="W163" s="313"/>
      <c r="X163" s="313"/>
      <c r="Y163" s="313"/>
      <c r="Z163" s="313"/>
      <c r="AA163" s="313"/>
      <c r="AB163" s="313"/>
      <c r="AC163" s="313"/>
      <c r="AD163" s="313"/>
      <c r="AE163" s="313"/>
      <c r="AF163" s="313"/>
      <c r="AG163" s="313"/>
      <c r="AH163" s="313"/>
      <c r="AI163" s="313"/>
      <c r="AJ163" s="313"/>
      <c r="AK163" s="313"/>
      <c r="AL163" s="313"/>
      <c r="AM163" s="313"/>
      <c r="AN163" s="314"/>
      <c r="AO163" s="58"/>
      <c r="AP163" s="309" t="s">
        <v>258</v>
      </c>
      <c r="AQ163" s="310"/>
      <c r="AR163" s="310"/>
      <c r="AS163" s="310"/>
      <c r="AT163" s="310"/>
      <c r="AU163" s="310"/>
      <c r="AV163" s="310"/>
      <c r="AW163" s="310"/>
      <c r="AX163" s="310"/>
      <c r="AY163" s="310"/>
      <c r="AZ163" s="310"/>
      <c r="BA163" s="310"/>
      <c r="BB163" s="310"/>
      <c r="BC163" s="311"/>
      <c r="BD163" s="312" t="s">
        <v>279</v>
      </c>
      <c r="BE163" s="313"/>
      <c r="BF163" s="313"/>
      <c r="BG163" s="313"/>
      <c r="BH163" s="313"/>
      <c r="BI163" s="313"/>
      <c r="BJ163" s="313"/>
      <c r="BK163" s="313"/>
      <c r="BL163" s="313"/>
      <c r="BM163" s="313"/>
      <c r="BN163" s="313"/>
      <c r="BO163" s="313"/>
      <c r="BP163" s="313"/>
      <c r="BQ163" s="313"/>
      <c r="BR163" s="313"/>
      <c r="BS163" s="313"/>
      <c r="BT163" s="313"/>
      <c r="BU163" s="313"/>
      <c r="BV163" s="313"/>
      <c r="BW163" s="313"/>
      <c r="BX163" s="313"/>
      <c r="BY163" s="313"/>
      <c r="BZ163" s="313"/>
      <c r="CA163" s="314"/>
      <c r="CL163" s="58"/>
      <c r="CM163" s="58"/>
      <c r="CN163" s="58"/>
      <c r="CO163" s="58"/>
      <c r="CP163" s="58"/>
      <c r="CQ163" s="58"/>
      <c r="CR163" s="59"/>
    </row>
    <row r="164" spans="1:98" ht="15" customHeight="1" x14ac:dyDescent="0.15">
      <c r="A164" s="57"/>
      <c r="B164" s="58"/>
      <c r="C164" s="309" t="s">
        <v>225</v>
      </c>
      <c r="D164" s="310"/>
      <c r="E164" s="310"/>
      <c r="F164" s="310"/>
      <c r="G164" s="310"/>
      <c r="H164" s="310"/>
      <c r="I164" s="310"/>
      <c r="J164" s="310"/>
      <c r="K164" s="310"/>
      <c r="L164" s="310"/>
      <c r="M164" s="310"/>
      <c r="N164" s="310"/>
      <c r="O164" s="310"/>
      <c r="P164" s="311"/>
      <c r="Q164" s="312" t="s">
        <v>279</v>
      </c>
      <c r="R164" s="313"/>
      <c r="S164" s="313"/>
      <c r="T164" s="313"/>
      <c r="U164" s="313"/>
      <c r="V164" s="313"/>
      <c r="W164" s="313"/>
      <c r="X164" s="313"/>
      <c r="Y164" s="313"/>
      <c r="Z164" s="313"/>
      <c r="AA164" s="313"/>
      <c r="AB164" s="313"/>
      <c r="AC164" s="313"/>
      <c r="AD164" s="313"/>
      <c r="AE164" s="313"/>
      <c r="AF164" s="313"/>
      <c r="AG164" s="313"/>
      <c r="AH164" s="313"/>
      <c r="AI164" s="313"/>
      <c r="AJ164" s="313"/>
      <c r="AK164" s="313"/>
      <c r="AL164" s="313"/>
      <c r="AM164" s="313"/>
      <c r="AN164" s="314"/>
      <c r="AO164" s="58"/>
      <c r="AP164" s="315" t="s">
        <v>259</v>
      </c>
      <c r="AQ164" s="316"/>
      <c r="AR164" s="316"/>
      <c r="AS164" s="316"/>
      <c r="AT164" s="316"/>
      <c r="AU164" s="316"/>
      <c r="AV164" s="316"/>
      <c r="AW164" s="316"/>
      <c r="AX164" s="316"/>
      <c r="AY164" s="316"/>
      <c r="AZ164" s="316"/>
      <c r="BA164" s="316"/>
      <c r="BB164" s="316"/>
      <c r="BC164" s="317"/>
      <c r="BD164" s="321" t="s">
        <v>609</v>
      </c>
      <c r="BE164" s="322"/>
      <c r="BF164" s="322"/>
      <c r="BG164" s="322"/>
      <c r="BH164" s="322"/>
      <c r="BI164" s="322"/>
      <c r="BJ164" s="322"/>
      <c r="BK164" s="322"/>
      <c r="BL164" s="322"/>
      <c r="BM164" s="322"/>
      <c r="BN164" s="322"/>
      <c r="BO164" s="322"/>
      <c r="BP164" s="322"/>
      <c r="BQ164" s="322"/>
      <c r="BR164" s="322"/>
      <c r="BS164" s="322"/>
      <c r="BT164" s="322"/>
      <c r="BU164" s="322"/>
      <c r="BV164" s="322"/>
      <c r="BW164" s="322"/>
      <c r="BX164" s="322"/>
      <c r="BY164" s="322"/>
      <c r="BZ164" s="322"/>
      <c r="CA164" s="323"/>
      <c r="CB164" s="58"/>
      <c r="CC164" s="58"/>
      <c r="CD164" s="58"/>
      <c r="CE164" s="58"/>
      <c r="CF164" s="58"/>
      <c r="CG164" s="58"/>
      <c r="CH164" s="58"/>
      <c r="CI164" s="58"/>
      <c r="CJ164" s="58"/>
      <c r="CK164" s="58"/>
      <c r="CL164" s="58"/>
      <c r="CM164" s="58"/>
      <c r="CN164" s="58"/>
      <c r="CO164" s="58"/>
      <c r="CP164" s="58"/>
      <c r="CQ164" s="58"/>
      <c r="CR164" s="59"/>
      <c r="CT164" s="152"/>
    </row>
    <row r="165" spans="1:98" ht="15" customHeight="1" x14ac:dyDescent="0.15">
      <c r="A165" s="57"/>
      <c r="B165" s="58"/>
      <c r="C165" s="315" t="s">
        <v>501</v>
      </c>
      <c r="D165" s="316"/>
      <c r="E165" s="316"/>
      <c r="F165" s="316"/>
      <c r="G165" s="316"/>
      <c r="H165" s="316"/>
      <c r="I165" s="316"/>
      <c r="J165" s="316"/>
      <c r="K165" s="316"/>
      <c r="L165" s="316"/>
      <c r="M165" s="316"/>
      <c r="N165" s="316"/>
      <c r="O165" s="316"/>
      <c r="P165" s="317"/>
      <c r="Q165" s="318" t="s">
        <v>425</v>
      </c>
      <c r="R165" s="319"/>
      <c r="S165" s="319"/>
      <c r="T165" s="319"/>
      <c r="U165" s="319"/>
      <c r="V165" s="319"/>
      <c r="W165" s="319"/>
      <c r="X165" s="319"/>
      <c r="Y165" s="319"/>
      <c r="Z165" s="319"/>
      <c r="AA165" s="319"/>
      <c r="AB165" s="319"/>
      <c r="AC165" s="319"/>
      <c r="AD165" s="319"/>
      <c r="AE165" s="319"/>
      <c r="AF165" s="319"/>
      <c r="AG165" s="319"/>
      <c r="AH165" s="319"/>
      <c r="AI165" s="319"/>
      <c r="AJ165" s="319"/>
      <c r="AK165" s="319"/>
      <c r="AL165" s="319"/>
      <c r="AM165" s="319"/>
      <c r="AN165" s="320"/>
      <c r="AO165" s="58"/>
      <c r="AP165" s="309" t="s">
        <v>260</v>
      </c>
      <c r="AQ165" s="310"/>
      <c r="AR165" s="310"/>
      <c r="AS165" s="310"/>
      <c r="AT165" s="310"/>
      <c r="AU165" s="310"/>
      <c r="AV165" s="310"/>
      <c r="AW165" s="310"/>
      <c r="AX165" s="310"/>
      <c r="AY165" s="310"/>
      <c r="AZ165" s="310"/>
      <c r="BA165" s="310"/>
      <c r="BB165" s="310"/>
      <c r="BC165" s="311"/>
      <c r="BD165" s="312" t="s">
        <v>279</v>
      </c>
      <c r="BE165" s="313"/>
      <c r="BF165" s="313"/>
      <c r="BG165" s="313"/>
      <c r="BH165" s="313"/>
      <c r="BI165" s="313"/>
      <c r="BJ165" s="313"/>
      <c r="BK165" s="313"/>
      <c r="BL165" s="313"/>
      <c r="BM165" s="313"/>
      <c r="BN165" s="313"/>
      <c r="BO165" s="313"/>
      <c r="BP165" s="313"/>
      <c r="BQ165" s="313"/>
      <c r="BR165" s="313"/>
      <c r="BS165" s="313"/>
      <c r="BT165" s="313"/>
      <c r="BU165" s="313"/>
      <c r="BV165" s="313"/>
      <c r="BW165" s="313"/>
      <c r="BX165" s="313"/>
      <c r="BY165" s="313"/>
      <c r="BZ165" s="313"/>
      <c r="CA165" s="314"/>
      <c r="CB165" s="58"/>
      <c r="CC165" s="58"/>
      <c r="CD165" s="58"/>
      <c r="CE165" s="58"/>
      <c r="CF165" s="58"/>
      <c r="CG165" s="58"/>
      <c r="CH165" s="58"/>
      <c r="CI165" s="58"/>
      <c r="CJ165" s="58"/>
      <c r="CK165" s="58"/>
      <c r="CL165" s="58"/>
      <c r="CM165" s="58"/>
      <c r="CN165" s="58"/>
      <c r="CO165" s="58"/>
      <c r="CP165" s="58"/>
      <c r="CQ165" s="58"/>
      <c r="CR165" s="59"/>
    </row>
    <row r="166" spans="1:98" ht="15" customHeight="1" x14ac:dyDescent="0.15">
      <c r="A166" s="57"/>
      <c r="B166" s="58"/>
      <c r="C166" s="315" t="s">
        <v>502</v>
      </c>
      <c r="D166" s="316"/>
      <c r="E166" s="316"/>
      <c r="F166" s="316"/>
      <c r="G166" s="316"/>
      <c r="H166" s="316"/>
      <c r="I166" s="316"/>
      <c r="J166" s="316"/>
      <c r="K166" s="316"/>
      <c r="L166" s="316"/>
      <c r="M166" s="316"/>
      <c r="N166" s="316"/>
      <c r="O166" s="316"/>
      <c r="P166" s="317"/>
      <c r="Q166" s="318" t="s">
        <v>426</v>
      </c>
      <c r="R166" s="319"/>
      <c r="S166" s="319"/>
      <c r="T166" s="319"/>
      <c r="U166" s="319"/>
      <c r="V166" s="319"/>
      <c r="W166" s="319"/>
      <c r="X166" s="319"/>
      <c r="Y166" s="319"/>
      <c r="Z166" s="319"/>
      <c r="AA166" s="319"/>
      <c r="AB166" s="319"/>
      <c r="AC166" s="319"/>
      <c r="AD166" s="319"/>
      <c r="AE166" s="319"/>
      <c r="AF166" s="319"/>
      <c r="AG166" s="319"/>
      <c r="AH166" s="319"/>
      <c r="AI166" s="319"/>
      <c r="AJ166" s="319"/>
      <c r="AK166" s="319"/>
      <c r="AL166" s="319"/>
      <c r="AM166" s="319"/>
      <c r="AN166" s="320"/>
      <c r="AO166" s="58"/>
      <c r="AP166" s="309" t="s">
        <v>261</v>
      </c>
      <c r="AQ166" s="310"/>
      <c r="AR166" s="310"/>
      <c r="AS166" s="310"/>
      <c r="AT166" s="310"/>
      <c r="AU166" s="310"/>
      <c r="AV166" s="310"/>
      <c r="AW166" s="310"/>
      <c r="AX166" s="310"/>
      <c r="AY166" s="310"/>
      <c r="AZ166" s="310"/>
      <c r="BA166" s="310"/>
      <c r="BB166" s="310"/>
      <c r="BC166" s="311"/>
      <c r="BD166" s="312" t="s">
        <v>279</v>
      </c>
      <c r="BE166" s="313"/>
      <c r="BF166" s="313"/>
      <c r="BG166" s="313"/>
      <c r="BH166" s="313"/>
      <c r="BI166" s="313"/>
      <c r="BJ166" s="313"/>
      <c r="BK166" s="313"/>
      <c r="BL166" s="313"/>
      <c r="BM166" s="313"/>
      <c r="BN166" s="313"/>
      <c r="BO166" s="313"/>
      <c r="BP166" s="313"/>
      <c r="BQ166" s="313"/>
      <c r="BR166" s="313"/>
      <c r="BS166" s="313"/>
      <c r="BT166" s="313"/>
      <c r="BU166" s="313"/>
      <c r="BV166" s="313"/>
      <c r="BW166" s="313"/>
      <c r="BX166" s="313"/>
      <c r="BY166" s="313"/>
      <c r="BZ166" s="313"/>
      <c r="CA166" s="314"/>
      <c r="CB166" s="58"/>
      <c r="CC166" s="58"/>
      <c r="CD166" s="58"/>
      <c r="CE166" s="58"/>
      <c r="CF166" s="58"/>
      <c r="CG166" s="58"/>
      <c r="CH166" s="58"/>
      <c r="CI166" s="58"/>
      <c r="CJ166" s="58"/>
      <c r="CK166" s="58"/>
      <c r="CL166" s="58"/>
      <c r="CM166" s="58"/>
      <c r="CN166" s="58"/>
      <c r="CO166" s="58"/>
      <c r="CP166" s="58"/>
      <c r="CQ166" s="58"/>
      <c r="CR166" s="59"/>
    </row>
    <row r="167" spans="1:98" ht="15" customHeight="1" x14ac:dyDescent="0.15">
      <c r="A167" s="57"/>
      <c r="B167" s="58"/>
      <c r="C167" s="309" t="s">
        <v>503</v>
      </c>
      <c r="D167" s="310"/>
      <c r="E167" s="310"/>
      <c r="F167" s="310"/>
      <c r="G167" s="310"/>
      <c r="H167" s="310"/>
      <c r="I167" s="310"/>
      <c r="J167" s="310"/>
      <c r="K167" s="310"/>
      <c r="L167" s="310"/>
      <c r="M167" s="310"/>
      <c r="N167" s="310"/>
      <c r="O167" s="310"/>
      <c r="P167" s="311"/>
      <c r="Q167" s="312" t="s">
        <v>288</v>
      </c>
      <c r="R167" s="313"/>
      <c r="S167" s="313"/>
      <c r="T167" s="313"/>
      <c r="U167" s="313"/>
      <c r="V167" s="313"/>
      <c r="W167" s="313"/>
      <c r="X167" s="313"/>
      <c r="Y167" s="313"/>
      <c r="Z167" s="313"/>
      <c r="AA167" s="313"/>
      <c r="AB167" s="313"/>
      <c r="AC167" s="313"/>
      <c r="AD167" s="313"/>
      <c r="AE167" s="313"/>
      <c r="AF167" s="313"/>
      <c r="AG167" s="313"/>
      <c r="AH167" s="313"/>
      <c r="AI167" s="313"/>
      <c r="AJ167" s="313"/>
      <c r="AK167" s="313"/>
      <c r="AL167" s="313"/>
      <c r="AM167" s="313"/>
      <c r="AN167" s="314"/>
      <c r="AO167" s="58"/>
      <c r="AP167" s="309" t="s">
        <v>262</v>
      </c>
      <c r="AQ167" s="310"/>
      <c r="AR167" s="310"/>
      <c r="AS167" s="310"/>
      <c r="AT167" s="310"/>
      <c r="AU167" s="310"/>
      <c r="AV167" s="310"/>
      <c r="AW167" s="310"/>
      <c r="AX167" s="310"/>
      <c r="AY167" s="310"/>
      <c r="AZ167" s="310"/>
      <c r="BA167" s="310"/>
      <c r="BB167" s="310"/>
      <c r="BC167" s="311"/>
      <c r="BD167" s="312" t="s">
        <v>279</v>
      </c>
      <c r="BE167" s="313"/>
      <c r="BF167" s="313"/>
      <c r="BG167" s="313"/>
      <c r="BH167" s="313"/>
      <c r="BI167" s="313"/>
      <c r="BJ167" s="313"/>
      <c r="BK167" s="313"/>
      <c r="BL167" s="313"/>
      <c r="BM167" s="313"/>
      <c r="BN167" s="313"/>
      <c r="BO167" s="313"/>
      <c r="BP167" s="313"/>
      <c r="BQ167" s="313"/>
      <c r="BR167" s="313"/>
      <c r="BS167" s="313"/>
      <c r="BT167" s="313"/>
      <c r="BU167" s="313"/>
      <c r="BV167" s="313"/>
      <c r="BW167" s="313"/>
      <c r="BX167" s="313"/>
      <c r="BY167" s="313"/>
      <c r="BZ167" s="313"/>
      <c r="CA167" s="314"/>
      <c r="CB167" s="58"/>
      <c r="CC167" s="58"/>
      <c r="CD167" s="58"/>
      <c r="CE167" s="58"/>
      <c r="CF167" s="58"/>
      <c r="CG167" s="58"/>
      <c r="CH167" s="58"/>
      <c r="CI167" s="58"/>
      <c r="CJ167" s="58"/>
      <c r="CK167" s="58"/>
      <c r="CL167" s="58"/>
      <c r="CM167" s="58"/>
      <c r="CN167" s="58"/>
      <c r="CO167" s="58"/>
      <c r="CP167" s="58"/>
      <c r="CQ167" s="58"/>
      <c r="CR167" s="59"/>
    </row>
    <row r="168" spans="1:98" ht="15" customHeight="1" x14ac:dyDescent="0.15">
      <c r="A168" s="57"/>
      <c r="B168" s="58"/>
      <c r="C168" s="309" t="s">
        <v>226</v>
      </c>
      <c r="D168" s="310"/>
      <c r="E168" s="310"/>
      <c r="F168" s="310"/>
      <c r="G168" s="310"/>
      <c r="H168" s="310"/>
      <c r="I168" s="310"/>
      <c r="J168" s="310"/>
      <c r="K168" s="310"/>
      <c r="L168" s="310"/>
      <c r="M168" s="310"/>
      <c r="N168" s="310"/>
      <c r="O168" s="310"/>
      <c r="P168" s="311"/>
      <c r="Q168" s="312" t="s">
        <v>279</v>
      </c>
      <c r="R168" s="313"/>
      <c r="S168" s="313"/>
      <c r="T168" s="313"/>
      <c r="U168" s="313"/>
      <c r="V168" s="313"/>
      <c r="W168" s="313"/>
      <c r="X168" s="313"/>
      <c r="Y168" s="313"/>
      <c r="Z168" s="313"/>
      <c r="AA168" s="313"/>
      <c r="AB168" s="313"/>
      <c r="AC168" s="313"/>
      <c r="AD168" s="313"/>
      <c r="AE168" s="313"/>
      <c r="AF168" s="313"/>
      <c r="AG168" s="313"/>
      <c r="AH168" s="313"/>
      <c r="AI168" s="313"/>
      <c r="AJ168" s="313"/>
      <c r="AK168" s="313"/>
      <c r="AL168" s="313"/>
      <c r="AM168" s="313"/>
      <c r="AN168" s="314"/>
      <c r="AO168" s="58"/>
      <c r="AP168" s="309" t="s">
        <v>263</v>
      </c>
      <c r="AQ168" s="310"/>
      <c r="AR168" s="310"/>
      <c r="AS168" s="310"/>
      <c r="AT168" s="310"/>
      <c r="AU168" s="310"/>
      <c r="AV168" s="310"/>
      <c r="AW168" s="310"/>
      <c r="AX168" s="310"/>
      <c r="AY168" s="310"/>
      <c r="AZ168" s="310"/>
      <c r="BA168" s="310"/>
      <c r="BB168" s="310"/>
      <c r="BC168" s="311"/>
      <c r="BD168" s="312" t="s">
        <v>279</v>
      </c>
      <c r="BE168" s="313"/>
      <c r="BF168" s="313"/>
      <c r="BG168" s="313"/>
      <c r="BH168" s="313"/>
      <c r="BI168" s="313"/>
      <c r="BJ168" s="313"/>
      <c r="BK168" s="313"/>
      <c r="BL168" s="313"/>
      <c r="BM168" s="313"/>
      <c r="BN168" s="313"/>
      <c r="BO168" s="313"/>
      <c r="BP168" s="313"/>
      <c r="BQ168" s="313"/>
      <c r="BR168" s="313"/>
      <c r="BS168" s="313"/>
      <c r="BT168" s="313"/>
      <c r="BU168" s="313"/>
      <c r="BV168" s="313"/>
      <c r="BW168" s="313"/>
      <c r="BX168" s="313"/>
      <c r="BY168" s="313"/>
      <c r="BZ168" s="313"/>
      <c r="CA168" s="314"/>
      <c r="CB168" s="58"/>
      <c r="CC168" s="58"/>
      <c r="CD168" s="58"/>
      <c r="CE168" s="58"/>
      <c r="CF168" s="58"/>
      <c r="CG168" s="58"/>
      <c r="CH168" s="58"/>
      <c r="CI168" s="58"/>
      <c r="CJ168" s="58"/>
      <c r="CK168" s="58"/>
      <c r="CL168" s="58"/>
      <c r="CM168" s="58"/>
      <c r="CN168" s="58"/>
      <c r="CO168" s="58"/>
      <c r="CP168" s="58"/>
      <c r="CQ168" s="58"/>
      <c r="CR168" s="59"/>
    </row>
    <row r="169" spans="1:98" ht="15" customHeight="1" x14ac:dyDescent="0.15">
      <c r="A169" s="57"/>
      <c r="B169" s="58"/>
      <c r="C169" s="309" t="s">
        <v>227</v>
      </c>
      <c r="D169" s="310"/>
      <c r="E169" s="310"/>
      <c r="F169" s="310"/>
      <c r="G169" s="310"/>
      <c r="H169" s="310"/>
      <c r="I169" s="310"/>
      <c r="J169" s="310"/>
      <c r="K169" s="310"/>
      <c r="L169" s="310"/>
      <c r="M169" s="310"/>
      <c r="N169" s="310"/>
      <c r="O169" s="310"/>
      <c r="P169" s="311"/>
      <c r="Q169" s="312" t="s">
        <v>287</v>
      </c>
      <c r="R169" s="313"/>
      <c r="S169" s="313"/>
      <c r="T169" s="313"/>
      <c r="U169" s="313"/>
      <c r="V169" s="313"/>
      <c r="W169" s="313"/>
      <c r="X169" s="313"/>
      <c r="Y169" s="313"/>
      <c r="Z169" s="313"/>
      <c r="AA169" s="313"/>
      <c r="AB169" s="313"/>
      <c r="AC169" s="313"/>
      <c r="AD169" s="313"/>
      <c r="AE169" s="313"/>
      <c r="AF169" s="313"/>
      <c r="AG169" s="313"/>
      <c r="AH169" s="313"/>
      <c r="AI169" s="313"/>
      <c r="AJ169" s="313"/>
      <c r="AK169" s="313"/>
      <c r="AL169" s="313"/>
      <c r="AM169" s="313"/>
      <c r="AN169" s="314"/>
      <c r="AO169" s="58"/>
      <c r="AP169" s="309" t="s">
        <v>264</v>
      </c>
      <c r="AQ169" s="310"/>
      <c r="AR169" s="310"/>
      <c r="AS169" s="310"/>
      <c r="AT169" s="310"/>
      <c r="AU169" s="310"/>
      <c r="AV169" s="310"/>
      <c r="AW169" s="310"/>
      <c r="AX169" s="310"/>
      <c r="AY169" s="310"/>
      <c r="AZ169" s="310"/>
      <c r="BA169" s="310"/>
      <c r="BB169" s="310"/>
      <c r="BC169" s="311"/>
      <c r="BD169" s="312" t="s">
        <v>279</v>
      </c>
      <c r="BE169" s="313"/>
      <c r="BF169" s="313"/>
      <c r="BG169" s="313"/>
      <c r="BH169" s="313"/>
      <c r="BI169" s="313"/>
      <c r="BJ169" s="313"/>
      <c r="BK169" s="313"/>
      <c r="BL169" s="313"/>
      <c r="BM169" s="313"/>
      <c r="BN169" s="313"/>
      <c r="BO169" s="313"/>
      <c r="BP169" s="313"/>
      <c r="BQ169" s="313"/>
      <c r="BR169" s="313"/>
      <c r="BS169" s="313"/>
      <c r="BT169" s="313"/>
      <c r="BU169" s="313"/>
      <c r="BV169" s="313"/>
      <c r="BW169" s="313"/>
      <c r="BX169" s="313"/>
      <c r="BY169" s="313"/>
      <c r="BZ169" s="313"/>
      <c r="CA169" s="314"/>
      <c r="CB169" s="58"/>
      <c r="CC169" s="58"/>
      <c r="CD169" s="58"/>
      <c r="CE169" s="58"/>
      <c r="CF169" s="58"/>
      <c r="CG169" s="58"/>
      <c r="CH169" s="58"/>
      <c r="CI169" s="58"/>
      <c r="CJ169" s="58"/>
      <c r="CK169" s="58"/>
      <c r="CL169" s="58"/>
      <c r="CM169" s="58"/>
      <c r="CN169" s="58"/>
      <c r="CO169" s="58"/>
      <c r="CP169" s="58"/>
      <c r="CQ169" s="58"/>
      <c r="CR169" s="59"/>
    </row>
    <row r="170" spans="1:98" ht="15" customHeight="1" x14ac:dyDescent="0.15">
      <c r="A170" s="57"/>
      <c r="B170" s="58"/>
      <c r="C170" s="309" t="s">
        <v>228</v>
      </c>
      <c r="D170" s="310"/>
      <c r="E170" s="310"/>
      <c r="F170" s="310"/>
      <c r="G170" s="310"/>
      <c r="H170" s="310"/>
      <c r="I170" s="310"/>
      <c r="J170" s="310"/>
      <c r="K170" s="310"/>
      <c r="L170" s="310"/>
      <c r="M170" s="310"/>
      <c r="N170" s="310"/>
      <c r="O170" s="310"/>
      <c r="P170" s="311"/>
      <c r="Q170" s="312" t="s">
        <v>280</v>
      </c>
      <c r="R170" s="313"/>
      <c r="S170" s="313"/>
      <c r="T170" s="313"/>
      <c r="U170" s="313"/>
      <c r="V170" s="313"/>
      <c r="W170" s="313"/>
      <c r="X170" s="313"/>
      <c r="Y170" s="313"/>
      <c r="Z170" s="313"/>
      <c r="AA170" s="313"/>
      <c r="AB170" s="313"/>
      <c r="AC170" s="313"/>
      <c r="AD170" s="313"/>
      <c r="AE170" s="313"/>
      <c r="AF170" s="313"/>
      <c r="AG170" s="313"/>
      <c r="AH170" s="313"/>
      <c r="AI170" s="313"/>
      <c r="AJ170" s="313"/>
      <c r="AK170" s="313"/>
      <c r="AL170" s="313"/>
      <c r="AM170" s="313"/>
      <c r="AN170" s="314"/>
      <c r="AO170" s="58"/>
      <c r="AP170" s="309" t="s">
        <v>265</v>
      </c>
      <c r="AQ170" s="310"/>
      <c r="AR170" s="310"/>
      <c r="AS170" s="310"/>
      <c r="AT170" s="310"/>
      <c r="AU170" s="310"/>
      <c r="AV170" s="310"/>
      <c r="AW170" s="310"/>
      <c r="AX170" s="310"/>
      <c r="AY170" s="310"/>
      <c r="AZ170" s="310"/>
      <c r="BA170" s="310"/>
      <c r="BB170" s="310"/>
      <c r="BC170" s="311"/>
      <c r="BD170" s="312" t="s">
        <v>279</v>
      </c>
      <c r="BE170" s="313"/>
      <c r="BF170" s="313"/>
      <c r="BG170" s="313"/>
      <c r="BH170" s="313"/>
      <c r="BI170" s="313"/>
      <c r="BJ170" s="313"/>
      <c r="BK170" s="313"/>
      <c r="BL170" s="313"/>
      <c r="BM170" s="313"/>
      <c r="BN170" s="313"/>
      <c r="BO170" s="313"/>
      <c r="BP170" s="313"/>
      <c r="BQ170" s="313"/>
      <c r="BR170" s="313"/>
      <c r="BS170" s="313"/>
      <c r="BT170" s="313"/>
      <c r="BU170" s="313"/>
      <c r="BV170" s="313"/>
      <c r="BW170" s="313"/>
      <c r="BX170" s="313"/>
      <c r="BY170" s="313"/>
      <c r="BZ170" s="313"/>
      <c r="CA170" s="314"/>
      <c r="CB170" s="58"/>
      <c r="CC170" s="58"/>
      <c r="CD170" s="58"/>
      <c r="CE170" s="58"/>
      <c r="CF170" s="58"/>
      <c r="CG170" s="58"/>
      <c r="CH170" s="58"/>
      <c r="CI170" s="58"/>
      <c r="CJ170" s="58"/>
      <c r="CK170" s="58"/>
      <c r="CL170" s="58"/>
      <c r="CM170" s="58"/>
      <c r="CN170" s="58"/>
      <c r="CO170" s="58"/>
      <c r="CP170" s="58"/>
      <c r="CQ170" s="58"/>
      <c r="CR170" s="59"/>
    </row>
    <row r="171" spans="1:98" ht="15" customHeight="1" x14ac:dyDescent="0.15">
      <c r="A171" s="57"/>
      <c r="B171" s="58"/>
      <c r="C171" s="309" t="s">
        <v>229</v>
      </c>
      <c r="D171" s="310"/>
      <c r="E171" s="310"/>
      <c r="F171" s="310"/>
      <c r="G171" s="310"/>
      <c r="H171" s="310"/>
      <c r="I171" s="310"/>
      <c r="J171" s="310"/>
      <c r="K171" s="310"/>
      <c r="L171" s="310"/>
      <c r="M171" s="310"/>
      <c r="N171" s="310"/>
      <c r="O171" s="310"/>
      <c r="P171" s="311"/>
      <c r="Q171" s="312" t="s">
        <v>287</v>
      </c>
      <c r="R171" s="313"/>
      <c r="S171" s="313"/>
      <c r="T171" s="313"/>
      <c r="U171" s="313"/>
      <c r="V171" s="313"/>
      <c r="W171" s="313"/>
      <c r="X171" s="313"/>
      <c r="Y171" s="313"/>
      <c r="Z171" s="313"/>
      <c r="AA171" s="313"/>
      <c r="AB171" s="313"/>
      <c r="AC171" s="313"/>
      <c r="AD171" s="313"/>
      <c r="AE171" s="313"/>
      <c r="AF171" s="313"/>
      <c r="AG171" s="313"/>
      <c r="AH171" s="313"/>
      <c r="AI171" s="313"/>
      <c r="AJ171" s="313"/>
      <c r="AK171" s="313"/>
      <c r="AL171" s="313"/>
      <c r="AM171" s="313"/>
      <c r="AN171" s="314"/>
      <c r="AO171" s="58"/>
      <c r="AP171" s="309" t="s">
        <v>266</v>
      </c>
      <c r="AQ171" s="310"/>
      <c r="AR171" s="310"/>
      <c r="AS171" s="310"/>
      <c r="AT171" s="310"/>
      <c r="AU171" s="310"/>
      <c r="AV171" s="310"/>
      <c r="AW171" s="310"/>
      <c r="AX171" s="310"/>
      <c r="AY171" s="310"/>
      <c r="AZ171" s="310"/>
      <c r="BA171" s="310"/>
      <c r="BB171" s="310"/>
      <c r="BC171" s="311"/>
      <c r="BD171" s="312" t="s">
        <v>279</v>
      </c>
      <c r="BE171" s="313"/>
      <c r="BF171" s="313"/>
      <c r="BG171" s="313"/>
      <c r="BH171" s="313"/>
      <c r="BI171" s="313"/>
      <c r="BJ171" s="313"/>
      <c r="BK171" s="313"/>
      <c r="BL171" s="313"/>
      <c r="BM171" s="313"/>
      <c r="BN171" s="313"/>
      <c r="BO171" s="313"/>
      <c r="BP171" s="313"/>
      <c r="BQ171" s="313"/>
      <c r="BR171" s="313"/>
      <c r="BS171" s="313"/>
      <c r="BT171" s="313"/>
      <c r="BU171" s="313"/>
      <c r="BV171" s="313"/>
      <c r="BW171" s="313"/>
      <c r="BX171" s="313"/>
      <c r="BY171" s="313"/>
      <c r="BZ171" s="313"/>
      <c r="CA171" s="314"/>
      <c r="CB171" s="58"/>
      <c r="CC171" s="58"/>
      <c r="CD171" s="58"/>
      <c r="CE171" s="58"/>
      <c r="CF171" s="58"/>
      <c r="CG171" s="58"/>
      <c r="CH171" s="58"/>
      <c r="CI171" s="58"/>
      <c r="CJ171" s="58"/>
      <c r="CK171" s="58"/>
      <c r="CL171" s="58"/>
      <c r="CM171" s="58"/>
      <c r="CN171" s="58"/>
      <c r="CO171" s="58"/>
      <c r="CP171" s="58"/>
      <c r="CQ171" s="58"/>
      <c r="CR171" s="59"/>
    </row>
    <row r="172" spans="1:98" ht="15" customHeight="1" x14ac:dyDescent="0.15">
      <c r="A172" s="57"/>
      <c r="B172" s="58"/>
      <c r="C172" s="309" t="s">
        <v>230</v>
      </c>
      <c r="D172" s="310"/>
      <c r="E172" s="310"/>
      <c r="F172" s="310"/>
      <c r="G172" s="310"/>
      <c r="H172" s="310"/>
      <c r="I172" s="310"/>
      <c r="J172" s="310"/>
      <c r="K172" s="310"/>
      <c r="L172" s="310"/>
      <c r="M172" s="310"/>
      <c r="N172" s="310"/>
      <c r="O172" s="310"/>
      <c r="P172" s="311"/>
      <c r="Q172" s="312" t="s">
        <v>279</v>
      </c>
      <c r="R172" s="313"/>
      <c r="S172" s="313"/>
      <c r="T172" s="313"/>
      <c r="U172" s="313"/>
      <c r="V172" s="313"/>
      <c r="W172" s="313"/>
      <c r="X172" s="313"/>
      <c r="Y172" s="313"/>
      <c r="Z172" s="313"/>
      <c r="AA172" s="313"/>
      <c r="AB172" s="313"/>
      <c r="AC172" s="313"/>
      <c r="AD172" s="313"/>
      <c r="AE172" s="313"/>
      <c r="AF172" s="313"/>
      <c r="AG172" s="313"/>
      <c r="AH172" s="313"/>
      <c r="AI172" s="313"/>
      <c r="AJ172" s="313"/>
      <c r="AK172" s="313"/>
      <c r="AL172" s="313"/>
      <c r="AM172" s="313"/>
      <c r="AN172" s="314"/>
      <c r="AO172" s="58"/>
      <c r="AP172" s="309" t="s">
        <v>267</v>
      </c>
      <c r="AQ172" s="310"/>
      <c r="AR172" s="310"/>
      <c r="AS172" s="310"/>
      <c r="AT172" s="310"/>
      <c r="AU172" s="310"/>
      <c r="AV172" s="310"/>
      <c r="AW172" s="310"/>
      <c r="AX172" s="310"/>
      <c r="AY172" s="310"/>
      <c r="AZ172" s="310"/>
      <c r="BA172" s="310"/>
      <c r="BB172" s="310"/>
      <c r="BC172" s="311"/>
      <c r="BD172" s="312" t="s">
        <v>279</v>
      </c>
      <c r="BE172" s="313"/>
      <c r="BF172" s="313"/>
      <c r="BG172" s="313"/>
      <c r="BH172" s="313"/>
      <c r="BI172" s="313"/>
      <c r="BJ172" s="313"/>
      <c r="BK172" s="313"/>
      <c r="BL172" s="313"/>
      <c r="BM172" s="313"/>
      <c r="BN172" s="313"/>
      <c r="BO172" s="313"/>
      <c r="BP172" s="313"/>
      <c r="BQ172" s="313"/>
      <c r="BR172" s="313"/>
      <c r="BS172" s="313"/>
      <c r="BT172" s="313"/>
      <c r="BU172" s="313"/>
      <c r="BV172" s="313"/>
      <c r="BW172" s="313"/>
      <c r="BX172" s="313"/>
      <c r="BY172" s="313"/>
      <c r="BZ172" s="313"/>
      <c r="CA172" s="314"/>
      <c r="CB172" s="58"/>
      <c r="CC172" s="58"/>
      <c r="CD172" s="58"/>
      <c r="CE172" s="58"/>
      <c r="CF172" s="58"/>
      <c r="CG172" s="58"/>
      <c r="CH172" s="58"/>
      <c r="CI172" s="58"/>
      <c r="CJ172" s="58"/>
      <c r="CK172" s="58"/>
      <c r="CL172" s="58"/>
      <c r="CM172" s="58"/>
      <c r="CN172" s="58"/>
      <c r="CO172" s="58"/>
      <c r="CP172" s="58"/>
      <c r="CQ172" s="58"/>
      <c r="CR172" s="59"/>
    </row>
    <row r="173" spans="1:98" ht="15" customHeight="1" x14ac:dyDescent="0.15">
      <c r="A173" s="57"/>
      <c r="B173" s="58"/>
      <c r="C173" s="309" t="s">
        <v>231</v>
      </c>
      <c r="D173" s="310"/>
      <c r="E173" s="310"/>
      <c r="F173" s="310"/>
      <c r="G173" s="310"/>
      <c r="H173" s="310"/>
      <c r="I173" s="310"/>
      <c r="J173" s="310"/>
      <c r="K173" s="310"/>
      <c r="L173" s="310"/>
      <c r="M173" s="310"/>
      <c r="N173" s="310"/>
      <c r="O173" s="310"/>
      <c r="P173" s="311"/>
      <c r="Q173" s="312" t="s">
        <v>279</v>
      </c>
      <c r="R173" s="313"/>
      <c r="S173" s="313"/>
      <c r="T173" s="313"/>
      <c r="U173" s="313"/>
      <c r="V173" s="313"/>
      <c r="W173" s="313"/>
      <c r="X173" s="313"/>
      <c r="Y173" s="313"/>
      <c r="Z173" s="313"/>
      <c r="AA173" s="313"/>
      <c r="AB173" s="313"/>
      <c r="AC173" s="313"/>
      <c r="AD173" s="313"/>
      <c r="AE173" s="313"/>
      <c r="AF173" s="313"/>
      <c r="AG173" s="313"/>
      <c r="AH173" s="313"/>
      <c r="AI173" s="313"/>
      <c r="AJ173" s="313"/>
      <c r="AK173" s="313"/>
      <c r="AL173" s="313"/>
      <c r="AM173" s="313"/>
      <c r="AN173" s="314"/>
      <c r="AO173" s="58"/>
      <c r="AP173" s="309" t="s">
        <v>268</v>
      </c>
      <c r="AQ173" s="310"/>
      <c r="AR173" s="310"/>
      <c r="AS173" s="310"/>
      <c r="AT173" s="310"/>
      <c r="AU173" s="310"/>
      <c r="AV173" s="310"/>
      <c r="AW173" s="310"/>
      <c r="AX173" s="310"/>
      <c r="AY173" s="310"/>
      <c r="AZ173" s="310"/>
      <c r="BA173" s="310"/>
      <c r="BB173" s="310"/>
      <c r="BC173" s="311"/>
      <c r="BD173" s="312" t="s">
        <v>279</v>
      </c>
      <c r="BE173" s="313"/>
      <c r="BF173" s="313"/>
      <c r="BG173" s="313"/>
      <c r="BH173" s="313"/>
      <c r="BI173" s="313"/>
      <c r="BJ173" s="313"/>
      <c r="BK173" s="313"/>
      <c r="BL173" s="313"/>
      <c r="BM173" s="313"/>
      <c r="BN173" s="313"/>
      <c r="BO173" s="313"/>
      <c r="BP173" s="313"/>
      <c r="BQ173" s="313"/>
      <c r="BR173" s="313"/>
      <c r="BS173" s="313"/>
      <c r="BT173" s="313"/>
      <c r="BU173" s="313"/>
      <c r="BV173" s="313"/>
      <c r="BW173" s="313"/>
      <c r="BX173" s="313"/>
      <c r="BY173" s="313"/>
      <c r="BZ173" s="313"/>
      <c r="CA173" s="314"/>
      <c r="CB173" s="58"/>
      <c r="CC173" s="58"/>
      <c r="CD173" s="58"/>
      <c r="CE173" s="58"/>
      <c r="CF173" s="58"/>
      <c r="CG173" s="58"/>
      <c r="CH173" s="58"/>
      <c r="CI173" s="58"/>
      <c r="CJ173" s="58"/>
      <c r="CK173" s="58"/>
      <c r="CL173" s="58"/>
      <c r="CM173" s="58"/>
      <c r="CN173" s="58"/>
      <c r="CO173" s="58"/>
      <c r="CP173" s="58"/>
      <c r="CQ173" s="58"/>
      <c r="CR173" s="59"/>
    </row>
    <row r="174" spans="1:98" ht="15" customHeight="1" x14ac:dyDescent="0.15">
      <c r="A174" s="57"/>
      <c r="B174" s="23"/>
      <c r="C174" s="309" t="s">
        <v>232</v>
      </c>
      <c r="D174" s="310"/>
      <c r="E174" s="310"/>
      <c r="F174" s="310"/>
      <c r="G174" s="310"/>
      <c r="H174" s="310"/>
      <c r="I174" s="310"/>
      <c r="J174" s="310"/>
      <c r="K174" s="310"/>
      <c r="L174" s="310"/>
      <c r="M174" s="310"/>
      <c r="N174" s="310"/>
      <c r="O174" s="310"/>
      <c r="P174" s="311"/>
      <c r="Q174" s="312" t="s">
        <v>279</v>
      </c>
      <c r="R174" s="313"/>
      <c r="S174" s="313"/>
      <c r="T174" s="313"/>
      <c r="U174" s="313"/>
      <c r="V174" s="313"/>
      <c r="W174" s="313"/>
      <c r="X174" s="313"/>
      <c r="Y174" s="313"/>
      <c r="Z174" s="313"/>
      <c r="AA174" s="313"/>
      <c r="AB174" s="313"/>
      <c r="AC174" s="313"/>
      <c r="AD174" s="313"/>
      <c r="AE174" s="313"/>
      <c r="AF174" s="313"/>
      <c r="AG174" s="313"/>
      <c r="AH174" s="313"/>
      <c r="AI174" s="313"/>
      <c r="AJ174" s="313"/>
      <c r="AK174" s="313"/>
      <c r="AL174" s="313"/>
      <c r="AM174" s="313"/>
      <c r="AN174" s="314"/>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9"/>
    </row>
    <row r="175" spans="1:98" ht="15" customHeight="1" x14ac:dyDescent="0.15">
      <c r="A175" s="57"/>
      <c r="B175" s="23"/>
      <c r="C175" s="309" t="s">
        <v>233</v>
      </c>
      <c r="D175" s="310"/>
      <c r="E175" s="310"/>
      <c r="F175" s="310"/>
      <c r="G175" s="310"/>
      <c r="H175" s="310"/>
      <c r="I175" s="310"/>
      <c r="J175" s="310"/>
      <c r="K175" s="310"/>
      <c r="L175" s="310"/>
      <c r="M175" s="310"/>
      <c r="N175" s="310"/>
      <c r="O175" s="310"/>
      <c r="P175" s="311"/>
      <c r="Q175" s="312" t="s">
        <v>279</v>
      </c>
      <c r="R175" s="313"/>
      <c r="S175" s="313"/>
      <c r="T175" s="313"/>
      <c r="U175" s="313"/>
      <c r="V175" s="313"/>
      <c r="W175" s="313"/>
      <c r="X175" s="313"/>
      <c r="Y175" s="313"/>
      <c r="Z175" s="313"/>
      <c r="AA175" s="313"/>
      <c r="AB175" s="313"/>
      <c r="AC175" s="313"/>
      <c r="AD175" s="313"/>
      <c r="AE175" s="313"/>
      <c r="AF175" s="313"/>
      <c r="AG175" s="313"/>
      <c r="AH175" s="313"/>
      <c r="AI175" s="313"/>
      <c r="AJ175" s="313"/>
      <c r="AK175" s="313"/>
      <c r="AL175" s="313"/>
      <c r="AM175" s="313"/>
      <c r="AN175" s="314"/>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9"/>
    </row>
    <row r="176" spans="1:98" ht="15" customHeight="1" thickBot="1" x14ac:dyDescent="0.2">
      <c r="A176" s="61"/>
      <c r="B176" s="62"/>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c r="AF176" s="95"/>
      <c r="AG176" s="95"/>
      <c r="AH176" s="95"/>
      <c r="AI176" s="95"/>
      <c r="AJ176" s="95"/>
      <c r="AK176" s="95"/>
      <c r="AL176" s="95"/>
      <c r="AM176" s="95"/>
      <c r="AN176" s="95"/>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62"/>
      <c r="CF176" s="62"/>
      <c r="CG176" s="62"/>
      <c r="CH176" s="62"/>
      <c r="CI176" s="62"/>
      <c r="CJ176" s="62"/>
      <c r="CK176" s="62"/>
      <c r="CL176" s="62"/>
      <c r="CM176" s="62"/>
      <c r="CN176" s="62"/>
      <c r="CO176" s="62"/>
      <c r="CP176" s="62"/>
      <c r="CQ176" s="62"/>
      <c r="CR176" s="63"/>
    </row>
    <row r="177" spans="1:98" ht="15" customHeight="1" x14ac:dyDescent="0.15">
      <c r="A177" s="396" t="s">
        <v>71</v>
      </c>
      <c r="B177" s="397"/>
      <c r="C177" s="397"/>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c r="AA177" s="397"/>
      <c r="AB177" s="397"/>
      <c r="AC177" s="397"/>
      <c r="AD177" s="397"/>
      <c r="AE177" s="397"/>
      <c r="AF177" s="397"/>
      <c r="AG177" s="397"/>
      <c r="AH177" s="397"/>
      <c r="AI177" s="397"/>
      <c r="AJ177" s="397"/>
      <c r="AK177" s="397"/>
      <c r="AL177" s="397"/>
      <c r="AM177" s="397"/>
      <c r="AN177" s="397"/>
      <c r="AO177" s="397"/>
      <c r="AP177" s="397"/>
      <c r="AQ177" s="397"/>
      <c r="AR177" s="397"/>
      <c r="AS177" s="397"/>
      <c r="AT177" s="397"/>
      <c r="AU177" s="397"/>
      <c r="AV177" s="397"/>
      <c r="AW177" s="397"/>
      <c r="AX177" s="397"/>
      <c r="AY177" s="397"/>
      <c r="AZ177" s="397"/>
      <c r="BA177" s="397"/>
      <c r="BB177" s="397"/>
      <c r="BC177" s="397"/>
      <c r="BD177" s="397"/>
      <c r="BE177" s="397"/>
      <c r="BF177" s="397"/>
      <c r="BG177" s="397"/>
      <c r="BH177" s="397"/>
      <c r="BI177" s="397"/>
      <c r="BJ177" s="397"/>
      <c r="BK177" s="397"/>
      <c r="BL177" s="397"/>
      <c r="BM177" s="397"/>
      <c r="BN177" s="397"/>
      <c r="BO177" s="397"/>
      <c r="BP177" s="397"/>
      <c r="BQ177" s="397"/>
      <c r="BR177" s="397"/>
      <c r="BS177" s="397"/>
      <c r="BT177" s="397"/>
      <c r="BU177" s="397"/>
      <c r="BV177" s="397"/>
      <c r="BW177" s="397"/>
      <c r="BX177" s="397"/>
      <c r="BY177" s="397"/>
      <c r="BZ177" s="397"/>
      <c r="CA177" s="397"/>
      <c r="CB177" s="397"/>
      <c r="CC177" s="397"/>
      <c r="CD177" s="397"/>
      <c r="CE177" s="397"/>
      <c r="CF177" s="397"/>
      <c r="CG177" s="397"/>
      <c r="CH177" s="397"/>
      <c r="CI177" s="397"/>
      <c r="CJ177" s="397"/>
      <c r="CK177" s="397"/>
      <c r="CL177" s="397"/>
      <c r="CM177" s="397"/>
      <c r="CN177" s="397"/>
      <c r="CO177" s="397"/>
      <c r="CP177" s="397"/>
      <c r="CQ177" s="397"/>
      <c r="CR177" s="398"/>
    </row>
    <row r="178" spans="1:98" ht="15" customHeight="1" x14ac:dyDescent="0.15">
      <c r="A178" s="57"/>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9"/>
    </row>
    <row r="179" spans="1:98" ht="15" customHeight="1" x14ac:dyDescent="0.15">
      <c r="A179" s="57"/>
      <c r="B179" s="58" t="s">
        <v>158</v>
      </c>
      <c r="C179" s="58"/>
      <c r="D179" s="58"/>
      <c r="E179" s="58"/>
      <c r="F179" s="58"/>
      <c r="G179" s="58"/>
      <c r="H179" s="58"/>
      <c r="I179" s="58"/>
      <c r="J179" s="58"/>
      <c r="K179" s="58"/>
      <c r="L179" s="58"/>
      <c r="M179" s="58"/>
      <c r="N179" s="58"/>
      <c r="O179" s="58"/>
      <c r="P179" s="58"/>
      <c r="Q179" s="58"/>
      <c r="R179" s="58"/>
      <c r="S179" s="58"/>
      <c r="T179" s="58" t="s">
        <v>597</v>
      </c>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CL179" s="58"/>
      <c r="CM179" s="58"/>
      <c r="CN179" s="58"/>
      <c r="CO179" s="58"/>
      <c r="CP179" s="58"/>
      <c r="CQ179" s="58"/>
      <c r="CR179" s="59"/>
      <c r="CT179" s="151"/>
    </row>
    <row r="180" spans="1:98" ht="15" customHeight="1" x14ac:dyDescent="0.15">
      <c r="A180" s="57"/>
      <c r="B180" s="58"/>
      <c r="C180" s="17" t="s">
        <v>456</v>
      </c>
      <c r="P180" s="17" t="s">
        <v>286</v>
      </c>
      <c r="AO180" s="58"/>
      <c r="AP180" s="58"/>
      <c r="AQ180" s="58"/>
      <c r="AR180" s="58"/>
      <c r="AS180" s="58"/>
      <c r="AT180" s="58"/>
      <c r="AU180" s="58"/>
      <c r="AV180" s="58"/>
      <c r="AW180" s="58"/>
      <c r="AX180" s="58"/>
      <c r="CL180" s="58"/>
      <c r="CM180" s="58"/>
      <c r="CN180" s="58"/>
      <c r="CO180" s="58"/>
      <c r="CP180" s="58"/>
      <c r="CQ180" s="58"/>
      <c r="CR180" s="59"/>
    </row>
    <row r="181" spans="1:98" ht="15" customHeight="1" x14ac:dyDescent="0.15">
      <c r="A181" s="57"/>
      <c r="B181" s="58"/>
      <c r="C181" s="377" t="s">
        <v>127</v>
      </c>
      <c r="D181" s="378"/>
      <c r="E181" s="378"/>
      <c r="F181" s="378"/>
      <c r="G181" s="378"/>
      <c r="H181" s="378"/>
      <c r="I181" s="378"/>
      <c r="J181" s="378"/>
      <c r="K181" s="378"/>
      <c r="L181" s="378"/>
      <c r="M181" s="378"/>
      <c r="N181" s="378"/>
      <c r="O181" s="378"/>
      <c r="P181" s="379"/>
      <c r="Q181" s="377" t="s">
        <v>161</v>
      </c>
      <c r="R181" s="378"/>
      <c r="S181" s="378"/>
      <c r="T181" s="378"/>
      <c r="U181" s="378"/>
      <c r="V181" s="378"/>
      <c r="W181" s="378"/>
      <c r="X181" s="378"/>
      <c r="Y181" s="378"/>
      <c r="Z181" s="378"/>
      <c r="AA181" s="378"/>
      <c r="AB181" s="378"/>
      <c r="AC181" s="378"/>
      <c r="AD181" s="378"/>
      <c r="AE181" s="378"/>
      <c r="AF181" s="378"/>
      <c r="AG181" s="378"/>
      <c r="AH181" s="378"/>
      <c r="AI181" s="378"/>
      <c r="AJ181" s="378"/>
      <c r="AK181" s="378"/>
      <c r="AL181" s="378"/>
      <c r="AM181" s="378"/>
      <c r="AN181" s="379"/>
      <c r="AO181" s="58"/>
      <c r="AP181" s="377" t="s">
        <v>127</v>
      </c>
      <c r="AQ181" s="378"/>
      <c r="AR181" s="378"/>
      <c r="AS181" s="378"/>
      <c r="AT181" s="378"/>
      <c r="AU181" s="378"/>
      <c r="AV181" s="378"/>
      <c r="AW181" s="378"/>
      <c r="AX181" s="378"/>
      <c r="AY181" s="378"/>
      <c r="AZ181" s="378"/>
      <c r="BA181" s="378"/>
      <c r="BB181" s="378"/>
      <c r="BC181" s="379"/>
      <c r="BD181" s="377" t="s">
        <v>161</v>
      </c>
      <c r="BE181" s="378"/>
      <c r="BF181" s="378"/>
      <c r="BG181" s="378"/>
      <c r="BH181" s="378"/>
      <c r="BI181" s="378"/>
      <c r="BJ181" s="378"/>
      <c r="BK181" s="378"/>
      <c r="BL181" s="378"/>
      <c r="BM181" s="378"/>
      <c r="BN181" s="378"/>
      <c r="BO181" s="378"/>
      <c r="BP181" s="378"/>
      <c r="BQ181" s="378"/>
      <c r="BR181" s="378"/>
      <c r="BS181" s="378"/>
      <c r="BT181" s="378"/>
      <c r="BU181" s="378"/>
      <c r="BV181" s="378"/>
      <c r="BW181" s="378"/>
      <c r="BX181" s="378"/>
      <c r="BY181" s="378"/>
      <c r="BZ181" s="378"/>
      <c r="CA181" s="379"/>
      <c r="CL181" s="58"/>
      <c r="CM181" s="60"/>
      <c r="CN181" s="60"/>
      <c r="CO181" s="60"/>
      <c r="CP181" s="60"/>
      <c r="CQ181" s="58"/>
      <c r="CR181" s="59"/>
    </row>
    <row r="182" spans="1:98" ht="15" customHeight="1" x14ac:dyDescent="0.15">
      <c r="A182" s="57"/>
      <c r="B182" s="58"/>
      <c r="C182" s="327" t="s">
        <v>203</v>
      </c>
      <c r="D182" s="328"/>
      <c r="E182" s="328"/>
      <c r="F182" s="328"/>
      <c r="G182" s="328"/>
      <c r="H182" s="328"/>
      <c r="I182" s="328"/>
      <c r="J182" s="328"/>
      <c r="K182" s="328"/>
      <c r="L182" s="328"/>
      <c r="M182" s="328"/>
      <c r="N182" s="328"/>
      <c r="O182" s="328"/>
      <c r="P182" s="329"/>
      <c r="Q182" s="318" t="s">
        <v>272</v>
      </c>
      <c r="R182" s="319"/>
      <c r="S182" s="319"/>
      <c r="T182" s="319"/>
      <c r="U182" s="319"/>
      <c r="V182" s="319"/>
      <c r="W182" s="319"/>
      <c r="X182" s="319"/>
      <c r="Y182" s="319"/>
      <c r="Z182" s="319"/>
      <c r="AA182" s="319"/>
      <c r="AB182" s="319"/>
      <c r="AC182" s="319"/>
      <c r="AD182" s="319"/>
      <c r="AE182" s="319"/>
      <c r="AF182" s="319"/>
      <c r="AG182" s="319"/>
      <c r="AH182" s="319"/>
      <c r="AI182" s="319"/>
      <c r="AJ182" s="319"/>
      <c r="AK182" s="319"/>
      <c r="AL182" s="319"/>
      <c r="AM182" s="319"/>
      <c r="AN182" s="320"/>
      <c r="AO182" s="58"/>
      <c r="AP182" s="309" t="s">
        <v>234</v>
      </c>
      <c r="AQ182" s="310"/>
      <c r="AR182" s="310"/>
      <c r="AS182" s="310"/>
      <c r="AT182" s="310"/>
      <c r="AU182" s="310"/>
      <c r="AV182" s="310"/>
      <c r="AW182" s="310"/>
      <c r="AX182" s="310"/>
      <c r="AY182" s="310"/>
      <c r="AZ182" s="310"/>
      <c r="BA182" s="310"/>
      <c r="BB182" s="310"/>
      <c r="BC182" s="311"/>
      <c r="BD182" s="312" t="s">
        <v>279</v>
      </c>
      <c r="BE182" s="313"/>
      <c r="BF182" s="313"/>
      <c r="BG182" s="313"/>
      <c r="BH182" s="313"/>
      <c r="BI182" s="313"/>
      <c r="BJ182" s="313"/>
      <c r="BK182" s="313"/>
      <c r="BL182" s="313"/>
      <c r="BM182" s="313"/>
      <c r="BN182" s="313"/>
      <c r="BO182" s="313"/>
      <c r="BP182" s="313"/>
      <c r="BQ182" s="313"/>
      <c r="BR182" s="313"/>
      <c r="BS182" s="313"/>
      <c r="BT182" s="313"/>
      <c r="BU182" s="313"/>
      <c r="BV182" s="313"/>
      <c r="BW182" s="313"/>
      <c r="BX182" s="313"/>
      <c r="BY182" s="313"/>
      <c r="BZ182" s="313"/>
      <c r="CA182" s="314"/>
      <c r="CL182" s="58"/>
      <c r="CM182" s="60"/>
      <c r="CN182" s="60"/>
      <c r="CO182" s="60"/>
      <c r="CP182" s="60"/>
      <c r="CQ182" s="58"/>
      <c r="CR182" s="59"/>
    </row>
    <row r="183" spans="1:98" ht="15" customHeight="1" x14ac:dyDescent="0.15">
      <c r="A183" s="57"/>
      <c r="B183" s="58"/>
      <c r="C183" s="327" t="s">
        <v>204</v>
      </c>
      <c r="D183" s="328"/>
      <c r="E183" s="328"/>
      <c r="F183" s="328"/>
      <c r="G183" s="328"/>
      <c r="H183" s="328"/>
      <c r="I183" s="328"/>
      <c r="J183" s="328"/>
      <c r="K183" s="328"/>
      <c r="L183" s="328"/>
      <c r="M183" s="328"/>
      <c r="N183" s="328"/>
      <c r="O183" s="328"/>
      <c r="P183" s="329"/>
      <c r="Q183" s="318" t="s">
        <v>273</v>
      </c>
      <c r="R183" s="319"/>
      <c r="S183" s="319"/>
      <c r="T183" s="319"/>
      <c r="U183" s="319"/>
      <c r="V183" s="319"/>
      <c r="W183" s="319"/>
      <c r="X183" s="319"/>
      <c r="Y183" s="319"/>
      <c r="Z183" s="319"/>
      <c r="AA183" s="319"/>
      <c r="AB183" s="319"/>
      <c r="AC183" s="319"/>
      <c r="AD183" s="319"/>
      <c r="AE183" s="319"/>
      <c r="AF183" s="319"/>
      <c r="AG183" s="319"/>
      <c r="AH183" s="319"/>
      <c r="AI183" s="319"/>
      <c r="AJ183" s="319"/>
      <c r="AK183" s="319"/>
      <c r="AL183" s="319"/>
      <c r="AM183" s="319"/>
      <c r="AN183" s="320"/>
      <c r="AO183" s="58"/>
      <c r="AP183" s="309" t="s">
        <v>235</v>
      </c>
      <c r="AQ183" s="310"/>
      <c r="AR183" s="310"/>
      <c r="AS183" s="310"/>
      <c r="AT183" s="310"/>
      <c r="AU183" s="310"/>
      <c r="AV183" s="310"/>
      <c r="AW183" s="310"/>
      <c r="AX183" s="310"/>
      <c r="AY183" s="310"/>
      <c r="AZ183" s="310"/>
      <c r="BA183" s="310"/>
      <c r="BB183" s="310"/>
      <c r="BC183" s="311"/>
      <c r="BD183" s="312" t="s">
        <v>279</v>
      </c>
      <c r="BE183" s="313"/>
      <c r="BF183" s="313"/>
      <c r="BG183" s="313"/>
      <c r="BH183" s="313"/>
      <c r="BI183" s="313"/>
      <c r="BJ183" s="313"/>
      <c r="BK183" s="313"/>
      <c r="BL183" s="313"/>
      <c r="BM183" s="313"/>
      <c r="BN183" s="313"/>
      <c r="BO183" s="313"/>
      <c r="BP183" s="313"/>
      <c r="BQ183" s="313"/>
      <c r="BR183" s="313"/>
      <c r="BS183" s="313"/>
      <c r="BT183" s="313"/>
      <c r="BU183" s="313"/>
      <c r="BV183" s="313"/>
      <c r="BW183" s="313"/>
      <c r="BX183" s="313"/>
      <c r="BY183" s="313"/>
      <c r="BZ183" s="313"/>
      <c r="CA183" s="314"/>
      <c r="CL183" s="58"/>
      <c r="CM183" s="60"/>
      <c r="CN183" s="60"/>
      <c r="CO183" s="60"/>
      <c r="CP183" s="60"/>
      <c r="CQ183" s="58"/>
      <c r="CR183" s="59"/>
    </row>
    <row r="184" spans="1:98" ht="15" customHeight="1" x14ac:dyDescent="0.15">
      <c r="A184" s="57"/>
      <c r="B184" s="58"/>
      <c r="C184" s="327" t="s">
        <v>205</v>
      </c>
      <c r="D184" s="328"/>
      <c r="E184" s="328"/>
      <c r="F184" s="328"/>
      <c r="G184" s="328"/>
      <c r="H184" s="328"/>
      <c r="I184" s="328"/>
      <c r="J184" s="328"/>
      <c r="K184" s="328"/>
      <c r="L184" s="328"/>
      <c r="M184" s="328"/>
      <c r="N184" s="328"/>
      <c r="O184" s="328"/>
      <c r="P184" s="329"/>
      <c r="Q184" s="318" t="s">
        <v>274</v>
      </c>
      <c r="R184" s="319"/>
      <c r="S184" s="319"/>
      <c r="T184" s="319"/>
      <c r="U184" s="319"/>
      <c r="V184" s="319"/>
      <c r="W184" s="319"/>
      <c r="X184" s="319"/>
      <c r="Y184" s="319"/>
      <c r="Z184" s="319"/>
      <c r="AA184" s="319"/>
      <c r="AB184" s="319"/>
      <c r="AC184" s="319"/>
      <c r="AD184" s="319"/>
      <c r="AE184" s="319"/>
      <c r="AF184" s="319"/>
      <c r="AG184" s="319"/>
      <c r="AH184" s="319"/>
      <c r="AI184" s="319"/>
      <c r="AJ184" s="319"/>
      <c r="AK184" s="319"/>
      <c r="AL184" s="319"/>
      <c r="AM184" s="319"/>
      <c r="AN184" s="320"/>
      <c r="AO184" s="58"/>
      <c r="AP184" s="309" t="s">
        <v>236</v>
      </c>
      <c r="AQ184" s="310"/>
      <c r="AR184" s="310"/>
      <c r="AS184" s="310"/>
      <c r="AT184" s="310"/>
      <c r="AU184" s="310"/>
      <c r="AV184" s="310"/>
      <c r="AW184" s="310"/>
      <c r="AX184" s="310"/>
      <c r="AY184" s="310"/>
      <c r="AZ184" s="310"/>
      <c r="BA184" s="310"/>
      <c r="BB184" s="310"/>
      <c r="BC184" s="311"/>
      <c r="BD184" s="312" t="s">
        <v>279</v>
      </c>
      <c r="BE184" s="313"/>
      <c r="BF184" s="313"/>
      <c r="BG184" s="313"/>
      <c r="BH184" s="313"/>
      <c r="BI184" s="313"/>
      <c r="BJ184" s="313"/>
      <c r="BK184" s="313"/>
      <c r="BL184" s="313"/>
      <c r="BM184" s="313"/>
      <c r="BN184" s="313"/>
      <c r="BO184" s="313"/>
      <c r="BP184" s="313"/>
      <c r="BQ184" s="313"/>
      <c r="BR184" s="313"/>
      <c r="BS184" s="313"/>
      <c r="BT184" s="313"/>
      <c r="BU184" s="313"/>
      <c r="BV184" s="313"/>
      <c r="BW184" s="313"/>
      <c r="BX184" s="313"/>
      <c r="BY184" s="313"/>
      <c r="BZ184" s="313"/>
      <c r="CA184" s="314"/>
      <c r="CL184" s="58"/>
      <c r="CM184" s="60"/>
      <c r="CN184" s="60"/>
      <c r="CO184" s="60"/>
      <c r="CP184" s="60"/>
      <c r="CQ184" s="58"/>
      <c r="CR184" s="59"/>
    </row>
    <row r="185" spans="1:98" ht="15" customHeight="1" x14ac:dyDescent="0.15">
      <c r="A185" s="57"/>
      <c r="B185" s="58"/>
      <c r="C185" s="309" t="s">
        <v>206</v>
      </c>
      <c r="D185" s="310"/>
      <c r="E185" s="310"/>
      <c r="F185" s="310"/>
      <c r="G185" s="310"/>
      <c r="H185" s="310"/>
      <c r="I185" s="310"/>
      <c r="J185" s="310"/>
      <c r="K185" s="310"/>
      <c r="L185" s="310"/>
      <c r="M185" s="310"/>
      <c r="N185" s="310"/>
      <c r="O185" s="310"/>
      <c r="P185" s="311"/>
      <c r="Q185" s="312" t="s">
        <v>277</v>
      </c>
      <c r="R185" s="313"/>
      <c r="S185" s="313"/>
      <c r="T185" s="313"/>
      <c r="U185" s="313"/>
      <c r="V185" s="313"/>
      <c r="W185" s="313"/>
      <c r="X185" s="313"/>
      <c r="Y185" s="313"/>
      <c r="Z185" s="313"/>
      <c r="AA185" s="313"/>
      <c r="AB185" s="313"/>
      <c r="AC185" s="313"/>
      <c r="AD185" s="313"/>
      <c r="AE185" s="313"/>
      <c r="AF185" s="313"/>
      <c r="AG185" s="313"/>
      <c r="AH185" s="313"/>
      <c r="AI185" s="313"/>
      <c r="AJ185" s="313"/>
      <c r="AK185" s="313"/>
      <c r="AL185" s="313"/>
      <c r="AM185" s="313"/>
      <c r="AN185" s="314"/>
      <c r="AO185" s="58"/>
      <c r="AP185" s="309" t="s">
        <v>237</v>
      </c>
      <c r="AQ185" s="310"/>
      <c r="AR185" s="310"/>
      <c r="AS185" s="310"/>
      <c r="AT185" s="310"/>
      <c r="AU185" s="310"/>
      <c r="AV185" s="310"/>
      <c r="AW185" s="310"/>
      <c r="AX185" s="310"/>
      <c r="AY185" s="310"/>
      <c r="AZ185" s="310"/>
      <c r="BA185" s="310"/>
      <c r="BB185" s="310"/>
      <c r="BC185" s="311"/>
      <c r="BD185" s="312" t="s">
        <v>279</v>
      </c>
      <c r="BE185" s="313"/>
      <c r="BF185" s="313"/>
      <c r="BG185" s="313"/>
      <c r="BH185" s="313"/>
      <c r="BI185" s="313"/>
      <c r="BJ185" s="313"/>
      <c r="BK185" s="313"/>
      <c r="BL185" s="313"/>
      <c r="BM185" s="313"/>
      <c r="BN185" s="313"/>
      <c r="BO185" s="313"/>
      <c r="BP185" s="313"/>
      <c r="BQ185" s="313"/>
      <c r="BR185" s="313"/>
      <c r="BS185" s="313"/>
      <c r="BT185" s="313"/>
      <c r="BU185" s="313"/>
      <c r="BV185" s="313"/>
      <c r="BW185" s="313"/>
      <c r="BX185" s="313"/>
      <c r="BY185" s="313"/>
      <c r="BZ185" s="313"/>
      <c r="CA185" s="314"/>
      <c r="CL185" s="58"/>
      <c r="CM185" s="60"/>
      <c r="CN185" s="60"/>
      <c r="CO185" s="60"/>
      <c r="CP185" s="60"/>
      <c r="CQ185" s="58"/>
      <c r="CR185" s="59"/>
    </row>
    <row r="186" spans="1:98" ht="15" customHeight="1" x14ac:dyDescent="0.15">
      <c r="A186" s="57"/>
      <c r="B186" s="58"/>
      <c r="C186" s="327" t="s">
        <v>207</v>
      </c>
      <c r="D186" s="328"/>
      <c r="E186" s="328"/>
      <c r="F186" s="328"/>
      <c r="G186" s="328"/>
      <c r="H186" s="328"/>
      <c r="I186" s="328"/>
      <c r="J186" s="328"/>
      <c r="K186" s="328"/>
      <c r="L186" s="328"/>
      <c r="M186" s="328"/>
      <c r="N186" s="328"/>
      <c r="O186" s="328"/>
      <c r="P186" s="329"/>
      <c r="Q186" s="318" t="s">
        <v>275</v>
      </c>
      <c r="R186" s="319"/>
      <c r="S186" s="319"/>
      <c r="T186" s="319"/>
      <c r="U186" s="319"/>
      <c r="V186" s="319"/>
      <c r="W186" s="319"/>
      <c r="X186" s="319"/>
      <c r="Y186" s="319"/>
      <c r="Z186" s="319"/>
      <c r="AA186" s="319"/>
      <c r="AB186" s="319"/>
      <c r="AC186" s="319"/>
      <c r="AD186" s="319"/>
      <c r="AE186" s="319"/>
      <c r="AF186" s="319"/>
      <c r="AG186" s="319"/>
      <c r="AH186" s="319"/>
      <c r="AI186" s="319"/>
      <c r="AJ186" s="319"/>
      <c r="AK186" s="319"/>
      <c r="AL186" s="319"/>
      <c r="AM186" s="319"/>
      <c r="AN186" s="320"/>
      <c r="AO186" s="58"/>
      <c r="AP186" s="309" t="s">
        <v>238</v>
      </c>
      <c r="AQ186" s="310"/>
      <c r="AR186" s="310"/>
      <c r="AS186" s="310"/>
      <c r="AT186" s="310"/>
      <c r="AU186" s="310"/>
      <c r="AV186" s="310"/>
      <c r="AW186" s="310"/>
      <c r="AX186" s="310"/>
      <c r="AY186" s="310"/>
      <c r="AZ186" s="310"/>
      <c r="BA186" s="310"/>
      <c r="BB186" s="310"/>
      <c r="BC186" s="311"/>
      <c r="BD186" s="312" t="s">
        <v>279</v>
      </c>
      <c r="BE186" s="313"/>
      <c r="BF186" s="313"/>
      <c r="BG186" s="313"/>
      <c r="BH186" s="313"/>
      <c r="BI186" s="313"/>
      <c r="BJ186" s="313"/>
      <c r="BK186" s="313"/>
      <c r="BL186" s="313"/>
      <c r="BM186" s="313"/>
      <c r="BN186" s="313"/>
      <c r="BO186" s="313"/>
      <c r="BP186" s="313"/>
      <c r="BQ186" s="313"/>
      <c r="BR186" s="313"/>
      <c r="BS186" s="313"/>
      <c r="BT186" s="313"/>
      <c r="BU186" s="313"/>
      <c r="BV186" s="313"/>
      <c r="BW186" s="313"/>
      <c r="BX186" s="313"/>
      <c r="BY186" s="313"/>
      <c r="BZ186" s="313"/>
      <c r="CA186" s="314"/>
      <c r="CL186" s="58"/>
      <c r="CM186" s="60"/>
      <c r="CN186" s="60"/>
      <c r="CO186" s="60"/>
      <c r="CP186" s="60"/>
      <c r="CQ186" s="58"/>
      <c r="CR186" s="59"/>
    </row>
    <row r="187" spans="1:98" ht="15" customHeight="1" x14ac:dyDescent="0.15">
      <c r="A187" s="57"/>
      <c r="B187" s="58"/>
      <c r="C187" s="309" t="s">
        <v>208</v>
      </c>
      <c r="D187" s="310"/>
      <c r="E187" s="310"/>
      <c r="F187" s="310"/>
      <c r="G187" s="310"/>
      <c r="H187" s="310"/>
      <c r="I187" s="310"/>
      <c r="J187" s="310"/>
      <c r="K187" s="310"/>
      <c r="L187" s="310"/>
      <c r="M187" s="310"/>
      <c r="N187" s="310"/>
      <c r="O187" s="310"/>
      <c r="P187" s="311"/>
      <c r="Q187" s="312" t="s">
        <v>276</v>
      </c>
      <c r="R187" s="313"/>
      <c r="S187" s="313"/>
      <c r="T187" s="313"/>
      <c r="U187" s="313"/>
      <c r="V187" s="313"/>
      <c r="W187" s="313"/>
      <c r="X187" s="313"/>
      <c r="Y187" s="313"/>
      <c r="Z187" s="313"/>
      <c r="AA187" s="313"/>
      <c r="AB187" s="313"/>
      <c r="AC187" s="313"/>
      <c r="AD187" s="313"/>
      <c r="AE187" s="313"/>
      <c r="AF187" s="313"/>
      <c r="AG187" s="313"/>
      <c r="AH187" s="313"/>
      <c r="AI187" s="313"/>
      <c r="AJ187" s="313"/>
      <c r="AK187" s="313"/>
      <c r="AL187" s="313"/>
      <c r="AM187" s="313"/>
      <c r="AN187" s="314"/>
      <c r="AO187" s="58"/>
      <c r="AP187" s="309" t="s">
        <v>239</v>
      </c>
      <c r="AQ187" s="310"/>
      <c r="AR187" s="310"/>
      <c r="AS187" s="310"/>
      <c r="AT187" s="310"/>
      <c r="AU187" s="310"/>
      <c r="AV187" s="310"/>
      <c r="AW187" s="310"/>
      <c r="AX187" s="310"/>
      <c r="AY187" s="310"/>
      <c r="AZ187" s="310"/>
      <c r="BA187" s="310"/>
      <c r="BB187" s="310"/>
      <c r="BC187" s="311"/>
      <c r="BD187" s="312" t="s">
        <v>279</v>
      </c>
      <c r="BE187" s="313"/>
      <c r="BF187" s="313"/>
      <c r="BG187" s="313"/>
      <c r="BH187" s="313"/>
      <c r="BI187" s="313"/>
      <c r="BJ187" s="313"/>
      <c r="BK187" s="313"/>
      <c r="BL187" s="313"/>
      <c r="BM187" s="313"/>
      <c r="BN187" s="313"/>
      <c r="BO187" s="313"/>
      <c r="BP187" s="313"/>
      <c r="BQ187" s="313"/>
      <c r="BR187" s="313"/>
      <c r="BS187" s="313"/>
      <c r="BT187" s="313"/>
      <c r="BU187" s="313"/>
      <c r="BV187" s="313"/>
      <c r="BW187" s="313"/>
      <c r="BX187" s="313"/>
      <c r="BY187" s="313"/>
      <c r="BZ187" s="313"/>
      <c r="CA187" s="314"/>
      <c r="CL187" s="58"/>
      <c r="CM187" s="60"/>
      <c r="CN187" s="60"/>
      <c r="CO187" s="60"/>
      <c r="CP187" s="60"/>
      <c r="CQ187" s="58"/>
      <c r="CR187" s="59"/>
    </row>
    <row r="188" spans="1:98" ht="15" customHeight="1" x14ac:dyDescent="0.15">
      <c r="A188" s="57"/>
      <c r="B188" s="58"/>
      <c r="C188" s="309" t="s">
        <v>209</v>
      </c>
      <c r="D188" s="310"/>
      <c r="E188" s="310"/>
      <c r="F188" s="310"/>
      <c r="G188" s="310"/>
      <c r="H188" s="310"/>
      <c r="I188" s="310"/>
      <c r="J188" s="310"/>
      <c r="K188" s="310"/>
      <c r="L188" s="310"/>
      <c r="M188" s="310"/>
      <c r="N188" s="310"/>
      <c r="O188" s="310"/>
      <c r="P188" s="311"/>
      <c r="Q188" s="312" t="s">
        <v>278</v>
      </c>
      <c r="R188" s="313"/>
      <c r="S188" s="313"/>
      <c r="T188" s="313"/>
      <c r="U188" s="313"/>
      <c r="V188" s="313"/>
      <c r="W188" s="313"/>
      <c r="X188" s="313"/>
      <c r="Y188" s="313"/>
      <c r="Z188" s="313"/>
      <c r="AA188" s="313"/>
      <c r="AB188" s="313"/>
      <c r="AC188" s="313"/>
      <c r="AD188" s="313"/>
      <c r="AE188" s="313"/>
      <c r="AF188" s="313"/>
      <c r="AG188" s="313"/>
      <c r="AH188" s="313"/>
      <c r="AI188" s="313"/>
      <c r="AJ188" s="313"/>
      <c r="AK188" s="313"/>
      <c r="AL188" s="313"/>
      <c r="AM188" s="313"/>
      <c r="AN188" s="314"/>
      <c r="AO188" s="58"/>
      <c r="AP188" s="309" t="s">
        <v>240</v>
      </c>
      <c r="AQ188" s="310"/>
      <c r="AR188" s="310"/>
      <c r="AS188" s="310"/>
      <c r="AT188" s="310"/>
      <c r="AU188" s="310"/>
      <c r="AV188" s="310"/>
      <c r="AW188" s="310"/>
      <c r="AX188" s="310"/>
      <c r="AY188" s="310"/>
      <c r="AZ188" s="310"/>
      <c r="BA188" s="310"/>
      <c r="BB188" s="310"/>
      <c r="BC188" s="311"/>
      <c r="BD188" s="312" t="s">
        <v>279</v>
      </c>
      <c r="BE188" s="313"/>
      <c r="BF188" s="313"/>
      <c r="BG188" s="313"/>
      <c r="BH188" s="313"/>
      <c r="BI188" s="313"/>
      <c r="BJ188" s="313"/>
      <c r="BK188" s="313"/>
      <c r="BL188" s="313"/>
      <c r="BM188" s="313"/>
      <c r="BN188" s="313"/>
      <c r="BO188" s="313"/>
      <c r="BP188" s="313"/>
      <c r="BQ188" s="313"/>
      <c r="BR188" s="313"/>
      <c r="BS188" s="313"/>
      <c r="BT188" s="313"/>
      <c r="BU188" s="313"/>
      <c r="BV188" s="313"/>
      <c r="BW188" s="313"/>
      <c r="BX188" s="313"/>
      <c r="BY188" s="313"/>
      <c r="BZ188" s="313"/>
      <c r="CA188" s="314"/>
      <c r="CL188" s="58"/>
      <c r="CM188" s="60"/>
      <c r="CN188" s="60"/>
      <c r="CO188" s="60"/>
      <c r="CP188" s="60"/>
      <c r="CQ188" s="58"/>
      <c r="CR188" s="59"/>
    </row>
    <row r="189" spans="1:98" ht="15" customHeight="1" x14ac:dyDescent="0.15">
      <c r="A189" s="57"/>
      <c r="B189" s="58"/>
      <c r="C189" s="309" t="s">
        <v>210</v>
      </c>
      <c r="D189" s="310"/>
      <c r="E189" s="310"/>
      <c r="F189" s="310"/>
      <c r="G189" s="310"/>
      <c r="H189" s="310"/>
      <c r="I189" s="310"/>
      <c r="J189" s="310"/>
      <c r="K189" s="310"/>
      <c r="L189" s="310"/>
      <c r="M189" s="310"/>
      <c r="N189" s="310"/>
      <c r="O189" s="310"/>
      <c r="P189" s="311"/>
      <c r="Q189" s="312" t="s">
        <v>279</v>
      </c>
      <c r="R189" s="313"/>
      <c r="S189" s="313"/>
      <c r="T189" s="313"/>
      <c r="U189" s="313"/>
      <c r="V189" s="313"/>
      <c r="W189" s="313"/>
      <c r="X189" s="313"/>
      <c r="Y189" s="313"/>
      <c r="Z189" s="313"/>
      <c r="AA189" s="313"/>
      <c r="AB189" s="313"/>
      <c r="AC189" s="313"/>
      <c r="AD189" s="313"/>
      <c r="AE189" s="313"/>
      <c r="AF189" s="313"/>
      <c r="AG189" s="313"/>
      <c r="AH189" s="313"/>
      <c r="AI189" s="313"/>
      <c r="AJ189" s="313"/>
      <c r="AK189" s="313"/>
      <c r="AL189" s="313"/>
      <c r="AM189" s="313"/>
      <c r="AN189" s="314"/>
      <c r="AO189" s="58"/>
      <c r="AP189" s="309" t="s">
        <v>241</v>
      </c>
      <c r="AQ189" s="310"/>
      <c r="AR189" s="310"/>
      <c r="AS189" s="310"/>
      <c r="AT189" s="310"/>
      <c r="AU189" s="310"/>
      <c r="AV189" s="310"/>
      <c r="AW189" s="310"/>
      <c r="AX189" s="310"/>
      <c r="AY189" s="310"/>
      <c r="AZ189" s="310"/>
      <c r="BA189" s="310"/>
      <c r="BB189" s="310"/>
      <c r="BC189" s="311"/>
      <c r="BD189" s="312" t="s">
        <v>279</v>
      </c>
      <c r="BE189" s="313"/>
      <c r="BF189" s="313"/>
      <c r="BG189" s="313"/>
      <c r="BH189" s="313"/>
      <c r="BI189" s="313"/>
      <c r="BJ189" s="313"/>
      <c r="BK189" s="313"/>
      <c r="BL189" s="313"/>
      <c r="BM189" s="313"/>
      <c r="BN189" s="313"/>
      <c r="BO189" s="313"/>
      <c r="BP189" s="313"/>
      <c r="BQ189" s="313"/>
      <c r="BR189" s="313"/>
      <c r="BS189" s="313"/>
      <c r="BT189" s="313"/>
      <c r="BU189" s="313"/>
      <c r="BV189" s="313"/>
      <c r="BW189" s="313"/>
      <c r="BX189" s="313"/>
      <c r="BY189" s="313"/>
      <c r="BZ189" s="313"/>
      <c r="CA189" s="314"/>
      <c r="CL189" s="58"/>
      <c r="CM189" s="60"/>
      <c r="CN189" s="60"/>
      <c r="CO189" s="60"/>
      <c r="CP189" s="60"/>
      <c r="CQ189" s="58"/>
      <c r="CR189" s="59"/>
    </row>
    <row r="190" spans="1:98" ht="15" customHeight="1" x14ac:dyDescent="0.15">
      <c r="A190" s="57"/>
      <c r="C190" s="309" t="s">
        <v>211</v>
      </c>
      <c r="D190" s="310"/>
      <c r="E190" s="310"/>
      <c r="F190" s="310"/>
      <c r="G190" s="310"/>
      <c r="H190" s="310"/>
      <c r="I190" s="310"/>
      <c r="J190" s="310"/>
      <c r="K190" s="310"/>
      <c r="L190" s="310"/>
      <c r="M190" s="310"/>
      <c r="N190" s="310"/>
      <c r="O190" s="310"/>
      <c r="P190" s="311"/>
      <c r="Q190" s="312" t="s">
        <v>280</v>
      </c>
      <c r="R190" s="313"/>
      <c r="S190" s="313"/>
      <c r="T190" s="313"/>
      <c r="U190" s="313"/>
      <c r="V190" s="313"/>
      <c r="W190" s="313"/>
      <c r="X190" s="313"/>
      <c r="Y190" s="313"/>
      <c r="Z190" s="313"/>
      <c r="AA190" s="313"/>
      <c r="AB190" s="313"/>
      <c r="AC190" s="313"/>
      <c r="AD190" s="313"/>
      <c r="AE190" s="313"/>
      <c r="AF190" s="313"/>
      <c r="AG190" s="313"/>
      <c r="AH190" s="313"/>
      <c r="AI190" s="313"/>
      <c r="AJ190" s="313"/>
      <c r="AK190" s="313"/>
      <c r="AL190" s="313"/>
      <c r="AM190" s="313"/>
      <c r="AN190" s="314"/>
      <c r="AO190" s="58"/>
      <c r="AP190" s="309" t="s">
        <v>242</v>
      </c>
      <c r="AQ190" s="310"/>
      <c r="AR190" s="310"/>
      <c r="AS190" s="310"/>
      <c r="AT190" s="310"/>
      <c r="AU190" s="310"/>
      <c r="AV190" s="310"/>
      <c r="AW190" s="310"/>
      <c r="AX190" s="310"/>
      <c r="AY190" s="310"/>
      <c r="AZ190" s="310"/>
      <c r="BA190" s="310"/>
      <c r="BB190" s="310"/>
      <c r="BC190" s="311"/>
      <c r="BD190" s="312" t="s">
        <v>287</v>
      </c>
      <c r="BE190" s="313"/>
      <c r="BF190" s="313"/>
      <c r="BG190" s="313"/>
      <c r="BH190" s="313"/>
      <c r="BI190" s="313"/>
      <c r="BJ190" s="313"/>
      <c r="BK190" s="313"/>
      <c r="BL190" s="313"/>
      <c r="BM190" s="313"/>
      <c r="BN190" s="313"/>
      <c r="BO190" s="313"/>
      <c r="BP190" s="313"/>
      <c r="BQ190" s="313"/>
      <c r="BR190" s="313"/>
      <c r="BS190" s="313"/>
      <c r="BT190" s="313"/>
      <c r="BU190" s="313"/>
      <c r="BV190" s="313"/>
      <c r="BW190" s="313"/>
      <c r="BX190" s="313"/>
      <c r="BY190" s="313"/>
      <c r="BZ190" s="313"/>
      <c r="CA190" s="314"/>
      <c r="CL190" s="58"/>
      <c r="CM190" s="60"/>
      <c r="CN190" s="60"/>
      <c r="CO190" s="60"/>
      <c r="CP190" s="60"/>
      <c r="CQ190" s="58"/>
      <c r="CR190" s="59"/>
    </row>
    <row r="191" spans="1:98" ht="15" customHeight="1" x14ac:dyDescent="0.15">
      <c r="A191" s="57"/>
      <c r="C191" s="309" t="s">
        <v>212</v>
      </c>
      <c r="D191" s="310"/>
      <c r="E191" s="310"/>
      <c r="F191" s="310"/>
      <c r="G191" s="310"/>
      <c r="H191" s="310"/>
      <c r="I191" s="310"/>
      <c r="J191" s="310"/>
      <c r="K191" s="310"/>
      <c r="L191" s="310"/>
      <c r="M191" s="310"/>
      <c r="N191" s="310"/>
      <c r="O191" s="310"/>
      <c r="P191" s="311"/>
      <c r="Q191" s="312" t="s">
        <v>280</v>
      </c>
      <c r="R191" s="313"/>
      <c r="S191" s="313"/>
      <c r="T191" s="313"/>
      <c r="U191" s="313"/>
      <c r="V191" s="313"/>
      <c r="W191" s="313"/>
      <c r="X191" s="313"/>
      <c r="Y191" s="313"/>
      <c r="Z191" s="313"/>
      <c r="AA191" s="313"/>
      <c r="AB191" s="313"/>
      <c r="AC191" s="313"/>
      <c r="AD191" s="313"/>
      <c r="AE191" s="313"/>
      <c r="AF191" s="313"/>
      <c r="AG191" s="313"/>
      <c r="AH191" s="313"/>
      <c r="AI191" s="313"/>
      <c r="AJ191" s="313"/>
      <c r="AK191" s="313"/>
      <c r="AL191" s="313"/>
      <c r="AM191" s="313"/>
      <c r="AN191" s="314"/>
      <c r="AO191" s="58"/>
      <c r="AP191" s="309" t="s">
        <v>243</v>
      </c>
      <c r="AQ191" s="310"/>
      <c r="AR191" s="310"/>
      <c r="AS191" s="310"/>
      <c r="AT191" s="310"/>
      <c r="AU191" s="310"/>
      <c r="AV191" s="310"/>
      <c r="AW191" s="310"/>
      <c r="AX191" s="310"/>
      <c r="AY191" s="310"/>
      <c r="AZ191" s="310"/>
      <c r="BA191" s="310"/>
      <c r="BB191" s="310"/>
      <c r="BC191" s="311"/>
      <c r="BD191" s="312" t="s">
        <v>287</v>
      </c>
      <c r="BE191" s="313"/>
      <c r="BF191" s="313"/>
      <c r="BG191" s="313"/>
      <c r="BH191" s="313"/>
      <c r="BI191" s="313"/>
      <c r="BJ191" s="313"/>
      <c r="BK191" s="313"/>
      <c r="BL191" s="313"/>
      <c r="BM191" s="313"/>
      <c r="BN191" s="313"/>
      <c r="BO191" s="313"/>
      <c r="BP191" s="313"/>
      <c r="BQ191" s="313"/>
      <c r="BR191" s="313"/>
      <c r="BS191" s="313"/>
      <c r="BT191" s="313"/>
      <c r="BU191" s="313"/>
      <c r="BV191" s="313"/>
      <c r="BW191" s="313"/>
      <c r="BX191" s="313"/>
      <c r="BY191" s="313"/>
      <c r="BZ191" s="313"/>
      <c r="CA191" s="314"/>
      <c r="CL191" s="58"/>
      <c r="CM191" s="60"/>
      <c r="CN191" s="60"/>
      <c r="CO191" s="60"/>
      <c r="CP191" s="60"/>
      <c r="CQ191" s="58"/>
      <c r="CR191" s="59"/>
    </row>
    <row r="192" spans="1:98" ht="15" customHeight="1" x14ac:dyDescent="0.15">
      <c r="A192" s="57"/>
      <c r="C192" s="309" t="s">
        <v>213</v>
      </c>
      <c r="D192" s="310"/>
      <c r="E192" s="310"/>
      <c r="F192" s="310"/>
      <c r="G192" s="310"/>
      <c r="H192" s="310"/>
      <c r="I192" s="310"/>
      <c r="J192" s="310"/>
      <c r="K192" s="310"/>
      <c r="L192" s="310"/>
      <c r="M192" s="310"/>
      <c r="N192" s="310"/>
      <c r="O192" s="310"/>
      <c r="P192" s="311"/>
      <c r="Q192" s="312" t="s">
        <v>280</v>
      </c>
      <c r="R192" s="313"/>
      <c r="S192" s="313"/>
      <c r="T192" s="313"/>
      <c r="U192" s="313"/>
      <c r="V192" s="313"/>
      <c r="W192" s="313"/>
      <c r="X192" s="313"/>
      <c r="Y192" s="313"/>
      <c r="Z192" s="313"/>
      <c r="AA192" s="313"/>
      <c r="AB192" s="313"/>
      <c r="AC192" s="313"/>
      <c r="AD192" s="313"/>
      <c r="AE192" s="313"/>
      <c r="AF192" s="313"/>
      <c r="AG192" s="313"/>
      <c r="AH192" s="313"/>
      <c r="AI192" s="313"/>
      <c r="AJ192" s="313"/>
      <c r="AK192" s="313"/>
      <c r="AL192" s="313"/>
      <c r="AM192" s="313"/>
      <c r="AN192" s="314"/>
      <c r="AO192" s="58"/>
      <c r="AP192" s="309" t="s">
        <v>244</v>
      </c>
      <c r="AQ192" s="310"/>
      <c r="AR192" s="310"/>
      <c r="AS192" s="310"/>
      <c r="AT192" s="310"/>
      <c r="AU192" s="310"/>
      <c r="AV192" s="310"/>
      <c r="AW192" s="310"/>
      <c r="AX192" s="310"/>
      <c r="AY192" s="310"/>
      <c r="AZ192" s="310"/>
      <c r="BA192" s="310"/>
      <c r="BB192" s="310"/>
      <c r="BC192" s="311"/>
      <c r="BD192" s="312" t="s">
        <v>287</v>
      </c>
      <c r="BE192" s="313"/>
      <c r="BF192" s="313"/>
      <c r="BG192" s="313"/>
      <c r="BH192" s="313"/>
      <c r="BI192" s="313"/>
      <c r="BJ192" s="313"/>
      <c r="BK192" s="313"/>
      <c r="BL192" s="313"/>
      <c r="BM192" s="313"/>
      <c r="BN192" s="313"/>
      <c r="BO192" s="313"/>
      <c r="BP192" s="313"/>
      <c r="BQ192" s="313"/>
      <c r="BR192" s="313"/>
      <c r="BS192" s="313"/>
      <c r="BT192" s="313"/>
      <c r="BU192" s="313"/>
      <c r="BV192" s="313"/>
      <c r="BW192" s="313"/>
      <c r="BX192" s="313"/>
      <c r="BY192" s="313"/>
      <c r="BZ192" s="313"/>
      <c r="CA192" s="314"/>
      <c r="CL192" s="58"/>
      <c r="CM192" s="60"/>
      <c r="CN192" s="60"/>
      <c r="CO192" s="60"/>
      <c r="CP192" s="60"/>
      <c r="CQ192" s="58"/>
      <c r="CR192" s="59"/>
    </row>
    <row r="193" spans="1:98" ht="15" customHeight="1" x14ac:dyDescent="0.15">
      <c r="A193" s="57"/>
      <c r="C193" s="309" t="s">
        <v>214</v>
      </c>
      <c r="D193" s="310"/>
      <c r="E193" s="310"/>
      <c r="F193" s="310"/>
      <c r="G193" s="310"/>
      <c r="H193" s="310"/>
      <c r="I193" s="310"/>
      <c r="J193" s="310"/>
      <c r="K193" s="310"/>
      <c r="L193" s="310"/>
      <c r="M193" s="310"/>
      <c r="N193" s="310"/>
      <c r="O193" s="310"/>
      <c r="P193" s="311"/>
      <c r="Q193" s="312" t="s">
        <v>281</v>
      </c>
      <c r="R193" s="313"/>
      <c r="S193" s="313"/>
      <c r="T193" s="313"/>
      <c r="U193" s="313"/>
      <c r="V193" s="313"/>
      <c r="W193" s="313"/>
      <c r="X193" s="313"/>
      <c r="Y193" s="313"/>
      <c r="Z193" s="313"/>
      <c r="AA193" s="313"/>
      <c r="AB193" s="313"/>
      <c r="AC193" s="313"/>
      <c r="AD193" s="313"/>
      <c r="AE193" s="313"/>
      <c r="AF193" s="313"/>
      <c r="AG193" s="313"/>
      <c r="AH193" s="313"/>
      <c r="AI193" s="313"/>
      <c r="AJ193" s="313"/>
      <c r="AK193" s="313"/>
      <c r="AL193" s="313"/>
      <c r="AM193" s="313"/>
      <c r="AN193" s="314"/>
      <c r="AO193" s="58"/>
      <c r="AP193" s="309" t="s">
        <v>245</v>
      </c>
      <c r="AQ193" s="310"/>
      <c r="AR193" s="310"/>
      <c r="AS193" s="310"/>
      <c r="AT193" s="310"/>
      <c r="AU193" s="310"/>
      <c r="AV193" s="310"/>
      <c r="AW193" s="310"/>
      <c r="AX193" s="310"/>
      <c r="AY193" s="310"/>
      <c r="AZ193" s="310"/>
      <c r="BA193" s="310"/>
      <c r="BB193" s="310"/>
      <c r="BC193" s="311"/>
      <c r="BD193" s="312" t="s">
        <v>287</v>
      </c>
      <c r="BE193" s="313"/>
      <c r="BF193" s="313"/>
      <c r="BG193" s="313"/>
      <c r="BH193" s="313"/>
      <c r="BI193" s="313"/>
      <c r="BJ193" s="313"/>
      <c r="BK193" s="313"/>
      <c r="BL193" s="313"/>
      <c r="BM193" s="313"/>
      <c r="BN193" s="313"/>
      <c r="BO193" s="313"/>
      <c r="BP193" s="313"/>
      <c r="BQ193" s="313"/>
      <c r="BR193" s="313"/>
      <c r="BS193" s="313"/>
      <c r="BT193" s="313"/>
      <c r="BU193" s="313"/>
      <c r="BV193" s="313"/>
      <c r="BW193" s="313"/>
      <c r="BX193" s="313"/>
      <c r="BY193" s="313"/>
      <c r="BZ193" s="313"/>
      <c r="CA193" s="314"/>
      <c r="CL193" s="58"/>
      <c r="CM193" s="60"/>
      <c r="CN193" s="60"/>
      <c r="CO193" s="60"/>
      <c r="CP193" s="60"/>
      <c r="CQ193" s="58"/>
      <c r="CR193" s="59"/>
    </row>
    <row r="194" spans="1:98" ht="15" customHeight="1" x14ac:dyDescent="0.15">
      <c r="A194" s="57"/>
      <c r="C194" s="309" t="s">
        <v>215</v>
      </c>
      <c r="D194" s="310"/>
      <c r="E194" s="310"/>
      <c r="F194" s="310"/>
      <c r="G194" s="310"/>
      <c r="H194" s="310"/>
      <c r="I194" s="310"/>
      <c r="J194" s="310"/>
      <c r="K194" s="310"/>
      <c r="L194" s="310"/>
      <c r="M194" s="310"/>
      <c r="N194" s="310"/>
      <c r="O194" s="310"/>
      <c r="P194" s="311"/>
      <c r="Q194" s="312" t="s">
        <v>282</v>
      </c>
      <c r="R194" s="313"/>
      <c r="S194" s="313"/>
      <c r="T194" s="313"/>
      <c r="U194" s="313"/>
      <c r="V194" s="313"/>
      <c r="W194" s="313"/>
      <c r="X194" s="313"/>
      <c r="Y194" s="313"/>
      <c r="Z194" s="313"/>
      <c r="AA194" s="313"/>
      <c r="AB194" s="313"/>
      <c r="AC194" s="313"/>
      <c r="AD194" s="313"/>
      <c r="AE194" s="313"/>
      <c r="AF194" s="313"/>
      <c r="AG194" s="313"/>
      <c r="AH194" s="313"/>
      <c r="AI194" s="313"/>
      <c r="AJ194" s="313"/>
      <c r="AK194" s="313"/>
      <c r="AL194" s="313"/>
      <c r="AM194" s="313"/>
      <c r="AN194" s="314"/>
      <c r="AO194" s="58"/>
      <c r="AP194" s="309" t="s">
        <v>246</v>
      </c>
      <c r="AQ194" s="310"/>
      <c r="AR194" s="310"/>
      <c r="AS194" s="310"/>
      <c r="AT194" s="310"/>
      <c r="AU194" s="310"/>
      <c r="AV194" s="310"/>
      <c r="AW194" s="310"/>
      <c r="AX194" s="310"/>
      <c r="AY194" s="310"/>
      <c r="AZ194" s="310"/>
      <c r="BA194" s="310"/>
      <c r="BB194" s="310"/>
      <c r="BC194" s="311"/>
      <c r="BD194" s="312" t="s">
        <v>287</v>
      </c>
      <c r="BE194" s="313"/>
      <c r="BF194" s="313"/>
      <c r="BG194" s="313"/>
      <c r="BH194" s="313"/>
      <c r="BI194" s="313"/>
      <c r="BJ194" s="313"/>
      <c r="BK194" s="313"/>
      <c r="BL194" s="313"/>
      <c r="BM194" s="313"/>
      <c r="BN194" s="313"/>
      <c r="BO194" s="313"/>
      <c r="BP194" s="313"/>
      <c r="BQ194" s="313"/>
      <c r="BR194" s="313"/>
      <c r="BS194" s="313"/>
      <c r="BT194" s="313"/>
      <c r="BU194" s="313"/>
      <c r="BV194" s="313"/>
      <c r="BW194" s="313"/>
      <c r="BX194" s="313"/>
      <c r="BY194" s="313"/>
      <c r="BZ194" s="313"/>
      <c r="CA194" s="314"/>
      <c r="CL194" s="58"/>
      <c r="CM194" s="60"/>
      <c r="CN194" s="60"/>
      <c r="CO194" s="60"/>
      <c r="CP194" s="60"/>
      <c r="CQ194" s="58"/>
      <c r="CR194" s="59"/>
    </row>
    <row r="195" spans="1:98" ht="15" customHeight="1" x14ac:dyDescent="0.15">
      <c r="A195" s="57"/>
      <c r="C195" s="315" t="s">
        <v>216</v>
      </c>
      <c r="D195" s="316"/>
      <c r="E195" s="316"/>
      <c r="F195" s="316"/>
      <c r="G195" s="316"/>
      <c r="H195" s="316"/>
      <c r="I195" s="316"/>
      <c r="J195" s="316"/>
      <c r="K195" s="316"/>
      <c r="L195" s="316"/>
      <c r="M195" s="316"/>
      <c r="N195" s="316"/>
      <c r="O195" s="316"/>
      <c r="P195" s="317"/>
      <c r="Q195" s="321" t="s">
        <v>449</v>
      </c>
      <c r="R195" s="322"/>
      <c r="S195" s="322"/>
      <c r="T195" s="322"/>
      <c r="U195" s="322"/>
      <c r="V195" s="322"/>
      <c r="W195" s="322"/>
      <c r="X195" s="322"/>
      <c r="Y195" s="322"/>
      <c r="Z195" s="322"/>
      <c r="AA195" s="322"/>
      <c r="AB195" s="322"/>
      <c r="AC195" s="322"/>
      <c r="AD195" s="322"/>
      <c r="AE195" s="322"/>
      <c r="AF195" s="322"/>
      <c r="AG195" s="322"/>
      <c r="AH195" s="322"/>
      <c r="AI195" s="322"/>
      <c r="AJ195" s="322"/>
      <c r="AK195" s="322"/>
      <c r="AL195" s="322"/>
      <c r="AM195" s="322"/>
      <c r="AN195" s="323"/>
      <c r="AO195" s="58"/>
      <c r="AP195" s="309" t="s">
        <v>247</v>
      </c>
      <c r="AQ195" s="310"/>
      <c r="AR195" s="310"/>
      <c r="AS195" s="310"/>
      <c r="AT195" s="310"/>
      <c r="AU195" s="310"/>
      <c r="AV195" s="310"/>
      <c r="AW195" s="310"/>
      <c r="AX195" s="310"/>
      <c r="AY195" s="310"/>
      <c r="AZ195" s="310"/>
      <c r="BA195" s="310"/>
      <c r="BB195" s="310"/>
      <c r="BC195" s="311"/>
      <c r="BD195" s="312" t="s">
        <v>287</v>
      </c>
      <c r="BE195" s="313"/>
      <c r="BF195" s="313"/>
      <c r="BG195" s="313"/>
      <c r="BH195" s="313"/>
      <c r="BI195" s="313"/>
      <c r="BJ195" s="313"/>
      <c r="BK195" s="313"/>
      <c r="BL195" s="313"/>
      <c r="BM195" s="313"/>
      <c r="BN195" s="313"/>
      <c r="BO195" s="313"/>
      <c r="BP195" s="313"/>
      <c r="BQ195" s="313"/>
      <c r="BR195" s="313"/>
      <c r="BS195" s="313"/>
      <c r="BT195" s="313"/>
      <c r="BU195" s="313"/>
      <c r="BV195" s="313"/>
      <c r="BW195" s="313"/>
      <c r="BX195" s="313"/>
      <c r="BY195" s="313"/>
      <c r="BZ195" s="313"/>
      <c r="CA195" s="314"/>
      <c r="CL195" s="58"/>
      <c r="CM195" s="58"/>
      <c r="CN195" s="58"/>
      <c r="CO195" s="58"/>
      <c r="CP195" s="58"/>
      <c r="CQ195" s="58"/>
      <c r="CR195" s="59"/>
    </row>
    <row r="196" spans="1:98" ht="15" customHeight="1" x14ac:dyDescent="0.15">
      <c r="A196" s="57"/>
      <c r="C196" s="315" t="s">
        <v>217</v>
      </c>
      <c r="D196" s="316"/>
      <c r="E196" s="316"/>
      <c r="F196" s="316"/>
      <c r="G196" s="316"/>
      <c r="H196" s="316"/>
      <c r="I196" s="316"/>
      <c r="J196" s="316"/>
      <c r="K196" s="316"/>
      <c r="L196" s="316"/>
      <c r="M196" s="316"/>
      <c r="N196" s="316"/>
      <c r="O196" s="316"/>
      <c r="P196" s="317"/>
      <c r="Q196" s="321" t="s">
        <v>449</v>
      </c>
      <c r="R196" s="322"/>
      <c r="S196" s="322"/>
      <c r="T196" s="322"/>
      <c r="U196" s="322"/>
      <c r="V196" s="322"/>
      <c r="W196" s="322"/>
      <c r="X196" s="322"/>
      <c r="Y196" s="322"/>
      <c r="Z196" s="322"/>
      <c r="AA196" s="322"/>
      <c r="AB196" s="322"/>
      <c r="AC196" s="322"/>
      <c r="AD196" s="322"/>
      <c r="AE196" s="322"/>
      <c r="AF196" s="322"/>
      <c r="AG196" s="322"/>
      <c r="AH196" s="322"/>
      <c r="AI196" s="322"/>
      <c r="AJ196" s="322"/>
      <c r="AK196" s="322"/>
      <c r="AL196" s="322"/>
      <c r="AM196" s="322"/>
      <c r="AN196" s="323"/>
      <c r="AO196" s="58"/>
      <c r="AP196" s="309" t="s">
        <v>248</v>
      </c>
      <c r="AQ196" s="310"/>
      <c r="AR196" s="310"/>
      <c r="AS196" s="310"/>
      <c r="AT196" s="310"/>
      <c r="AU196" s="310"/>
      <c r="AV196" s="310"/>
      <c r="AW196" s="310"/>
      <c r="AX196" s="310"/>
      <c r="AY196" s="310"/>
      <c r="AZ196" s="310"/>
      <c r="BA196" s="310"/>
      <c r="BB196" s="310"/>
      <c r="BC196" s="311"/>
      <c r="BD196" s="312" t="s">
        <v>287</v>
      </c>
      <c r="BE196" s="313"/>
      <c r="BF196" s="313"/>
      <c r="BG196" s="313"/>
      <c r="BH196" s="313"/>
      <c r="BI196" s="313"/>
      <c r="BJ196" s="313"/>
      <c r="BK196" s="313"/>
      <c r="BL196" s="313"/>
      <c r="BM196" s="313"/>
      <c r="BN196" s="313"/>
      <c r="BO196" s="313"/>
      <c r="BP196" s="313"/>
      <c r="BQ196" s="313"/>
      <c r="BR196" s="313"/>
      <c r="BS196" s="313"/>
      <c r="BT196" s="313"/>
      <c r="BU196" s="313"/>
      <c r="BV196" s="313"/>
      <c r="BW196" s="313"/>
      <c r="BX196" s="313"/>
      <c r="BY196" s="313"/>
      <c r="BZ196" s="313"/>
      <c r="CA196" s="314"/>
      <c r="CL196" s="58"/>
      <c r="CM196" s="58"/>
      <c r="CN196" s="58"/>
      <c r="CO196" s="58"/>
      <c r="CP196" s="58"/>
      <c r="CQ196" s="58"/>
      <c r="CR196" s="59"/>
    </row>
    <row r="197" spans="1:98" ht="15" customHeight="1" x14ac:dyDescent="0.15">
      <c r="A197" s="57"/>
      <c r="C197" s="327" t="s">
        <v>218</v>
      </c>
      <c r="D197" s="328"/>
      <c r="E197" s="328"/>
      <c r="F197" s="328"/>
      <c r="G197" s="328"/>
      <c r="H197" s="328"/>
      <c r="I197" s="328"/>
      <c r="J197" s="328"/>
      <c r="K197" s="328"/>
      <c r="L197" s="328"/>
      <c r="M197" s="328"/>
      <c r="N197" s="328"/>
      <c r="O197" s="328"/>
      <c r="P197" s="329"/>
      <c r="Q197" s="318" t="s">
        <v>283</v>
      </c>
      <c r="R197" s="319"/>
      <c r="S197" s="319"/>
      <c r="T197" s="319"/>
      <c r="U197" s="319"/>
      <c r="V197" s="319"/>
      <c r="W197" s="319"/>
      <c r="X197" s="319"/>
      <c r="Y197" s="319"/>
      <c r="Z197" s="319"/>
      <c r="AA197" s="319"/>
      <c r="AB197" s="319"/>
      <c r="AC197" s="319"/>
      <c r="AD197" s="319"/>
      <c r="AE197" s="319"/>
      <c r="AF197" s="319"/>
      <c r="AG197" s="319"/>
      <c r="AH197" s="319"/>
      <c r="AI197" s="319"/>
      <c r="AJ197" s="319"/>
      <c r="AK197" s="319"/>
      <c r="AL197" s="319"/>
      <c r="AM197" s="319"/>
      <c r="AN197" s="320"/>
      <c r="AO197" s="58"/>
      <c r="AP197" s="309" t="s">
        <v>249</v>
      </c>
      <c r="AQ197" s="310"/>
      <c r="AR197" s="310"/>
      <c r="AS197" s="310"/>
      <c r="AT197" s="310"/>
      <c r="AU197" s="310"/>
      <c r="AV197" s="310"/>
      <c r="AW197" s="310"/>
      <c r="AX197" s="310"/>
      <c r="AY197" s="310"/>
      <c r="AZ197" s="310"/>
      <c r="BA197" s="310"/>
      <c r="BB197" s="310"/>
      <c r="BC197" s="311"/>
      <c r="BD197" s="312" t="s">
        <v>287</v>
      </c>
      <c r="BE197" s="313"/>
      <c r="BF197" s="313"/>
      <c r="BG197" s="313"/>
      <c r="BH197" s="313"/>
      <c r="BI197" s="313"/>
      <c r="BJ197" s="313"/>
      <c r="BK197" s="313"/>
      <c r="BL197" s="313"/>
      <c r="BM197" s="313"/>
      <c r="BN197" s="313"/>
      <c r="BO197" s="313"/>
      <c r="BP197" s="313"/>
      <c r="BQ197" s="313"/>
      <c r="BR197" s="313"/>
      <c r="BS197" s="313"/>
      <c r="BT197" s="313"/>
      <c r="BU197" s="313"/>
      <c r="BV197" s="313"/>
      <c r="BW197" s="313"/>
      <c r="BX197" s="313"/>
      <c r="BY197" s="313"/>
      <c r="BZ197" s="313"/>
      <c r="CA197" s="314"/>
      <c r="CB197" s="58"/>
      <c r="CC197" s="58"/>
      <c r="CD197" s="58"/>
      <c r="CE197" s="58"/>
      <c r="CF197" s="58"/>
      <c r="CG197" s="58"/>
      <c r="CH197" s="58"/>
      <c r="CI197" s="58"/>
      <c r="CJ197" s="58"/>
      <c r="CK197" s="58"/>
      <c r="CL197" s="58"/>
      <c r="CM197" s="58"/>
      <c r="CN197" s="58"/>
      <c r="CO197" s="58"/>
      <c r="CP197" s="58"/>
      <c r="CQ197" s="58"/>
      <c r="CR197" s="59"/>
    </row>
    <row r="198" spans="1:98" ht="15" customHeight="1" x14ac:dyDescent="0.15">
      <c r="A198" s="57"/>
      <c r="C198" s="309" t="s">
        <v>219</v>
      </c>
      <c r="D198" s="310"/>
      <c r="E198" s="310"/>
      <c r="F198" s="310"/>
      <c r="G198" s="310"/>
      <c r="H198" s="310"/>
      <c r="I198" s="310"/>
      <c r="J198" s="310"/>
      <c r="K198" s="310"/>
      <c r="L198" s="310"/>
      <c r="M198" s="310"/>
      <c r="N198" s="310"/>
      <c r="O198" s="310"/>
      <c r="P198" s="311"/>
      <c r="Q198" s="312" t="s">
        <v>279</v>
      </c>
      <c r="R198" s="313"/>
      <c r="S198" s="313"/>
      <c r="T198" s="313"/>
      <c r="U198" s="313"/>
      <c r="V198" s="313"/>
      <c r="W198" s="313"/>
      <c r="X198" s="313"/>
      <c r="Y198" s="313"/>
      <c r="Z198" s="313"/>
      <c r="AA198" s="313"/>
      <c r="AB198" s="313"/>
      <c r="AC198" s="313"/>
      <c r="AD198" s="313"/>
      <c r="AE198" s="313"/>
      <c r="AF198" s="313"/>
      <c r="AG198" s="313"/>
      <c r="AH198" s="313"/>
      <c r="AI198" s="313"/>
      <c r="AJ198" s="313"/>
      <c r="AK198" s="313"/>
      <c r="AL198" s="313"/>
      <c r="AM198" s="313"/>
      <c r="AN198" s="314"/>
      <c r="AO198" s="58"/>
      <c r="AP198" s="309" t="s">
        <v>250</v>
      </c>
      <c r="AQ198" s="310"/>
      <c r="AR198" s="310"/>
      <c r="AS198" s="310"/>
      <c r="AT198" s="310"/>
      <c r="AU198" s="310"/>
      <c r="AV198" s="310"/>
      <c r="AW198" s="310"/>
      <c r="AX198" s="310"/>
      <c r="AY198" s="310"/>
      <c r="AZ198" s="310"/>
      <c r="BA198" s="310"/>
      <c r="BB198" s="310"/>
      <c r="BC198" s="311"/>
      <c r="BD198" s="312" t="s">
        <v>279</v>
      </c>
      <c r="BE198" s="313"/>
      <c r="BF198" s="313"/>
      <c r="BG198" s="313"/>
      <c r="BH198" s="313"/>
      <c r="BI198" s="313"/>
      <c r="BJ198" s="313"/>
      <c r="BK198" s="313"/>
      <c r="BL198" s="313"/>
      <c r="BM198" s="313"/>
      <c r="BN198" s="313"/>
      <c r="BO198" s="313"/>
      <c r="BP198" s="313"/>
      <c r="BQ198" s="313"/>
      <c r="BR198" s="313"/>
      <c r="BS198" s="313"/>
      <c r="BT198" s="313"/>
      <c r="BU198" s="313"/>
      <c r="BV198" s="313"/>
      <c r="BW198" s="313"/>
      <c r="BX198" s="313"/>
      <c r="BY198" s="313"/>
      <c r="BZ198" s="313"/>
      <c r="CA198" s="314"/>
      <c r="CL198" s="58"/>
      <c r="CM198" s="58"/>
      <c r="CN198" s="58"/>
      <c r="CO198" s="58"/>
      <c r="CP198" s="58"/>
      <c r="CQ198" s="58"/>
      <c r="CR198" s="59"/>
    </row>
    <row r="199" spans="1:98" ht="15" customHeight="1" x14ac:dyDescent="0.15">
      <c r="A199" s="57"/>
      <c r="C199" s="309" t="s">
        <v>220</v>
      </c>
      <c r="D199" s="310"/>
      <c r="E199" s="310"/>
      <c r="F199" s="310"/>
      <c r="G199" s="310"/>
      <c r="H199" s="310"/>
      <c r="I199" s="310"/>
      <c r="J199" s="310"/>
      <c r="K199" s="310"/>
      <c r="L199" s="310"/>
      <c r="M199" s="310"/>
      <c r="N199" s="310"/>
      <c r="O199" s="310"/>
      <c r="P199" s="311"/>
      <c r="Q199" s="312" t="s">
        <v>284</v>
      </c>
      <c r="R199" s="313"/>
      <c r="S199" s="313"/>
      <c r="T199" s="313"/>
      <c r="U199" s="313"/>
      <c r="V199" s="313"/>
      <c r="W199" s="313"/>
      <c r="X199" s="313"/>
      <c r="Y199" s="313"/>
      <c r="Z199" s="313"/>
      <c r="AA199" s="313"/>
      <c r="AB199" s="313"/>
      <c r="AC199" s="313"/>
      <c r="AD199" s="313"/>
      <c r="AE199" s="313"/>
      <c r="AF199" s="313"/>
      <c r="AG199" s="313"/>
      <c r="AH199" s="313"/>
      <c r="AI199" s="313"/>
      <c r="AJ199" s="313"/>
      <c r="AK199" s="313"/>
      <c r="AL199" s="313"/>
      <c r="AM199" s="313"/>
      <c r="AN199" s="314"/>
      <c r="AO199" s="58"/>
      <c r="AP199" s="309" t="s">
        <v>251</v>
      </c>
      <c r="AQ199" s="310"/>
      <c r="AR199" s="310"/>
      <c r="AS199" s="310"/>
      <c r="AT199" s="310"/>
      <c r="AU199" s="310"/>
      <c r="AV199" s="310"/>
      <c r="AW199" s="310"/>
      <c r="AX199" s="310"/>
      <c r="AY199" s="310"/>
      <c r="AZ199" s="310"/>
      <c r="BA199" s="310"/>
      <c r="BB199" s="310"/>
      <c r="BC199" s="311"/>
      <c r="BD199" s="312" t="s">
        <v>279</v>
      </c>
      <c r="BE199" s="313"/>
      <c r="BF199" s="313"/>
      <c r="BG199" s="313"/>
      <c r="BH199" s="313"/>
      <c r="BI199" s="313"/>
      <c r="BJ199" s="313"/>
      <c r="BK199" s="313"/>
      <c r="BL199" s="313"/>
      <c r="BM199" s="313"/>
      <c r="BN199" s="313"/>
      <c r="BO199" s="313"/>
      <c r="BP199" s="313"/>
      <c r="BQ199" s="313"/>
      <c r="BR199" s="313"/>
      <c r="BS199" s="313"/>
      <c r="BT199" s="313"/>
      <c r="BU199" s="313"/>
      <c r="BV199" s="313"/>
      <c r="BW199" s="313"/>
      <c r="BX199" s="313"/>
      <c r="BY199" s="313"/>
      <c r="BZ199" s="313"/>
      <c r="CA199" s="314"/>
      <c r="CL199" s="58"/>
      <c r="CM199" s="58"/>
      <c r="CN199" s="58"/>
      <c r="CO199" s="58"/>
      <c r="CP199" s="58"/>
      <c r="CQ199" s="58"/>
      <c r="CR199" s="59"/>
    </row>
    <row r="200" spans="1:98" ht="15" customHeight="1" x14ac:dyDescent="0.15">
      <c r="A200" s="57"/>
      <c r="C200" s="309" t="s">
        <v>498</v>
      </c>
      <c r="D200" s="310"/>
      <c r="E200" s="310"/>
      <c r="F200" s="310"/>
      <c r="G200" s="310"/>
      <c r="H200" s="310"/>
      <c r="I200" s="310"/>
      <c r="J200" s="310"/>
      <c r="K200" s="310"/>
      <c r="L200" s="310"/>
      <c r="M200" s="310"/>
      <c r="N200" s="310"/>
      <c r="O200" s="310"/>
      <c r="P200" s="311"/>
      <c r="Q200" s="324" t="s">
        <v>347</v>
      </c>
      <c r="R200" s="325"/>
      <c r="S200" s="325"/>
      <c r="T200" s="325"/>
      <c r="U200" s="325"/>
      <c r="V200" s="325"/>
      <c r="W200" s="325"/>
      <c r="X200" s="325"/>
      <c r="Y200" s="325"/>
      <c r="Z200" s="325"/>
      <c r="AA200" s="325"/>
      <c r="AB200" s="325"/>
      <c r="AC200" s="325"/>
      <c r="AD200" s="325"/>
      <c r="AE200" s="325"/>
      <c r="AF200" s="325"/>
      <c r="AG200" s="325"/>
      <c r="AH200" s="325"/>
      <c r="AI200" s="325"/>
      <c r="AJ200" s="325"/>
      <c r="AK200" s="325"/>
      <c r="AL200" s="325"/>
      <c r="AM200" s="325"/>
      <c r="AN200" s="326"/>
      <c r="AO200" s="58"/>
      <c r="AP200" s="309" t="s">
        <v>252</v>
      </c>
      <c r="AQ200" s="310"/>
      <c r="AR200" s="310"/>
      <c r="AS200" s="310"/>
      <c r="AT200" s="310"/>
      <c r="AU200" s="310"/>
      <c r="AV200" s="310"/>
      <c r="AW200" s="310"/>
      <c r="AX200" s="310"/>
      <c r="AY200" s="310"/>
      <c r="AZ200" s="310"/>
      <c r="BA200" s="310"/>
      <c r="BB200" s="310"/>
      <c r="BC200" s="311"/>
      <c r="BD200" s="312" t="s">
        <v>279</v>
      </c>
      <c r="BE200" s="313"/>
      <c r="BF200" s="313"/>
      <c r="BG200" s="313"/>
      <c r="BH200" s="313"/>
      <c r="BI200" s="313"/>
      <c r="BJ200" s="313"/>
      <c r="BK200" s="313"/>
      <c r="BL200" s="313"/>
      <c r="BM200" s="313"/>
      <c r="BN200" s="313"/>
      <c r="BO200" s="313"/>
      <c r="BP200" s="313"/>
      <c r="BQ200" s="313"/>
      <c r="BR200" s="313"/>
      <c r="BS200" s="313"/>
      <c r="BT200" s="313"/>
      <c r="BU200" s="313"/>
      <c r="BV200" s="313"/>
      <c r="BW200" s="313"/>
      <c r="BX200" s="313"/>
      <c r="BY200" s="313"/>
      <c r="BZ200" s="313"/>
      <c r="CA200" s="314"/>
      <c r="CL200" s="58"/>
      <c r="CM200" s="58"/>
      <c r="CN200" s="58"/>
      <c r="CO200" s="58"/>
      <c r="CP200" s="58"/>
      <c r="CQ200" s="58"/>
      <c r="CR200" s="59"/>
    </row>
    <row r="201" spans="1:98" ht="15" customHeight="1" x14ac:dyDescent="0.15">
      <c r="A201" s="57"/>
      <c r="C201" s="309" t="s">
        <v>221</v>
      </c>
      <c r="D201" s="310"/>
      <c r="E201" s="310"/>
      <c r="F201" s="310"/>
      <c r="G201" s="310"/>
      <c r="H201" s="310"/>
      <c r="I201" s="310"/>
      <c r="J201" s="310"/>
      <c r="K201" s="310"/>
      <c r="L201" s="310"/>
      <c r="M201" s="310"/>
      <c r="N201" s="310"/>
      <c r="O201" s="310"/>
      <c r="P201" s="311"/>
      <c r="Q201" s="312" t="s">
        <v>280</v>
      </c>
      <c r="R201" s="313"/>
      <c r="S201" s="313"/>
      <c r="T201" s="313"/>
      <c r="U201" s="313"/>
      <c r="V201" s="313"/>
      <c r="W201" s="313"/>
      <c r="X201" s="313"/>
      <c r="Y201" s="313"/>
      <c r="Z201" s="313"/>
      <c r="AA201" s="313"/>
      <c r="AB201" s="313"/>
      <c r="AC201" s="313"/>
      <c r="AD201" s="313"/>
      <c r="AE201" s="313"/>
      <c r="AF201" s="313"/>
      <c r="AG201" s="313"/>
      <c r="AH201" s="313"/>
      <c r="AI201" s="313"/>
      <c r="AJ201" s="313"/>
      <c r="AK201" s="313"/>
      <c r="AL201" s="313"/>
      <c r="AM201" s="313"/>
      <c r="AN201" s="314"/>
      <c r="AO201" s="58"/>
      <c r="AP201" s="309" t="s">
        <v>253</v>
      </c>
      <c r="AQ201" s="310"/>
      <c r="AR201" s="310"/>
      <c r="AS201" s="310"/>
      <c r="AT201" s="310"/>
      <c r="AU201" s="310"/>
      <c r="AV201" s="310"/>
      <c r="AW201" s="310"/>
      <c r="AX201" s="310"/>
      <c r="AY201" s="310"/>
      <c r="AZ201" s="310"/>
      <c r="BA201" s="310"/>
      <c r="BB201" s="310"/>
      <c r="BC201" s="311"/>
      <c r="BD201" s="312" t="s">
        <v>279</v>
      </c>
      <c r="BE201" s="313"/>
      <c r="BF201" s="313"/>
      <c r="BG201" s="313"/>
      <c r="BH201" s="313"/>
      <c r="BI201" s="313"/>
      <c r="BJ201" s="313"/>
      <c r="BK201" s="313"/>
      <c r="BL201" s="313"/>
      <c r="BM201" s="313"/>
      <c r="BN201" s="313"/>
      <c r="BO201" s="313"/>
      <c r="BP201" s="313"/>
      <c r="BQ201" s="313"/>
      <c r="BR201" s="313"/>
      <c r="BS201" s="313"/>
      <c r="BT201" s="313"/>
      <c r="BU201" s="313"/>
      <c r="BV201" s="313"/>
      <c r="BW201" s="313"/>
      <c r="BX201" s="313"/>
      <c r="BY201" s="313"/>
      <c r="BZ201" s="313"/>
      <c r="CA201" s="314"/>
      <c r="CL201" s="58"/>
      <c r="CM201" s="58"/>
      <c r="CN201" s="58"/>
      <c r="CO201" s="58"/>
      <c r="CP201" s="58"/>
      <c r="CQ201" s="58"/>
      <c r="CR201" s="59"/>
    </row>
    <row r="202" spans="1:98" ht="15" customHeight="1" x14ac:dyDescent="0.15">
      <c r="A202" s="57"/>
      <c r="C202" s="309" t="s">
        <v>222</v>
      </c>
      <c r="D202" s="310"/>
      <c r="E202" s="310"/>
      <c r="F202" s="310"/>
      <c r="G202" s="310"/>
      <c r="H202" s="310"/>
      <c r="I202" s="310"/>
      <c r="J202" s="310"/>
      <c r="K202" s="310"/>
      <c r="L202" s="310"/>
      <c r="M202" s="310"/>
      <c r="N202" s="310"/>
      <c r="O202" s="310"/>
      <c r="P202" s="311"/>
      <c r="Q202" s="312" t="s">
        <v>280</v>
      </c>
      <c r="R202" s="313"/>
      <c r="S202" s="313"/>
      <c r="T202" s="313"/>
      <c r="U202" s="313"/>
      <c r="V202" s="313"/>
      <c r="W202" s="313"/>
      <c r="X202" s="313"/>
      <c r="Y202" s="313"/>
      <c r="Z202" s="313"/>
      <c r="AA202" s="313"/>
      <c r="AB202" s="313"/>
      <c r="AC202" s="313"/>
      <c r="AD202" s="313"/>
      <c r="AE202" s="313"/>
      <c r="AF202" s="313"/>
      <c r="AG202" s="313"/>
      <c r="AH202" s="313"/>
      <c r="AI202" s="313"/>
      <c r="AJ202" s="313"/>
      <c r="AK202" s="313"/>
      <c r="AL202" s="313"/>
      <c r="AM202" s="313"/>
      <c r="AN202" s="314"/>
      <c r="AO202" s="58"/>
      <c r="AP202" s="309" t="s">
        <v>254</v>
      </c>
      <c r="AQ202" s="310"/>
      <c r="AR202" s="310"/>
      <c r="AS202" s="310"/>
      <c r="AT202" s="310"/>
      <c r="AU202" s="310"/>
      <c r="AV202" s="310"/>
      <c r="AW202" s="310"/>
      <c r="AX202" s="310"/>
      <c r="AY202" s="310"/>
      <c r="AZ202" s="310"/>
      <c r="BA202" s="310"/>
      <c r="BB202" s="310"/>
      <c r="BC202" s="311"/>
      <c r="BD202" s="312" t="s">
        <v>279</v>
      </c>
      <c r="BE202" s="313"/>
      <c r="BF202" s="313"/>
      <c r="BG202" s="313"/>
      <c r="BH202" s="313"/>
      <c r="BI202" s="313"/>
      <c r="BJ202" s="313"/>
      <c r="BK202" s="313"/>
      <c r="BL202" s="313"/>
      <c r="BM202" s="313"/>
      <c r="BN202" s="313"/>
      <c r="BO202" s="313"/>
      <c r="BP202" s="313"/>
      <c r="BQ202" s="313"/>
      <c r="BR202" s="313"/>
      <c r="BS202" s="313"/>
      <c r="BT202" s="313"/>
      <c r="BU202" s="313"/>
      <c r="BV202" s="313"/>
      <c r="BW202" s="313"/>
      <c r="BX202" s="313"/>
      <c r="BY202" s="313"/>
      <c r="BZ202" s="313"/>
      <c r="CA202" s="314"/>
      <c r="CL202" s="58"/>
      <c r="CM202" s="58"/>
      <c r="CN202" s="58"/>
      <c r="CO202" s="58"/>
      <c r="CP202" s="58"/>
      <c r="CQ202" s="58"/>
      <c r="CR202" s="59"/>
    </row>
    <row r="203" spans="1:98" ht="15" customHeight="1" x14ac:dyDescent="0.15">
      <c r="A203" s="57"/>
      <c r="C203" s="309" t="s">
        <v>223</v>
      </c>
      <c r="D203" s="310"/>
      <c r="E203" s="310"/>
      <c r="F203" s="310"/>
      <c r="G203" s="310"/>
      <c r="H203" s="310"/>
      <c r="I203" s="310"/>
      <c r="J203" s="310"/>
      <c r="K203" s="310"/>
      <c r="L203" s="310"/>
      <c r="M203" s="310"/>
      <c r="N203" s="310"/>
      <c r="O203" s="310"/>
      <c r="P203" s="311"/>
      <c r="Q203" s="312" t="s">
        <v>287</v>
      </c>
      <c r="R203" s="313"/>
      <c r="S203" s="313"/>
      <c r="T203" s="313"/>
      <c r="U203" s="313"/>
      <c r="V203" s="313"/>
      <c r="W203" s="313"/>
      <c r="X203" s="313"/>
      <c r="Y203" s="313"/>
      <c r="Z203" s="313"/>
      <c r="AA203" s="313"/>
      <c r="AB203" s="313"/>
      <c r="AC203" s="313"/>
      <c r="AD203" s="313"/>
      <c r="AE203" s="313"/>
      <c r="AF203" s="313"/>
      <c r="AG203" s="313"/>
      <c r="AH203" s="313"/>
      <c r="AI203" s="313"/>
      <c r="AJ203" s="313"/>
      <c r="AK203" s="313"/>
      <c r="AL203" s="313"/>
      <c r="AM203" s="313"/>
      <c r="AN203" s="314"/>
      <c r="AO203" s="58"/>
      <c r="AP203" s="309" t="s">
        <v>255</v>
      </c>
      <c r="AQ203" s="310"/>
      <c r="AR203" s="310"/>
      <c r="AS203" s="310"/>
      <c r="AT203" s="310"/>
      <c r="AU203" s="310"/>
      <c r="AV203" s="310"/>
      <c r="AW203" s="310"/>
      <c r="AX203" s="310"/>
      <c r="AY203" s="310"/>
      <c r="AZ203" s="310"/>
      <c r="BA203" s="310"/>
      <c r="BB203" s="310"/>
      <c r="BC203" s="311"/>
      <c r="BD203" s="312" t="s">
        <v>287</v>
      </c>
      <c r="BE203" s="313"/>
      <c r="BF203" s="313"/>
      <c r="BG203" s="313"/>
      <c r="BH203" s="313"/>
      <c r="BI203" s="313"/>
      <c r="BJ203" s="313"/>
      <c r="BK203" s="313"/>
      <c r="BL203" s="313"/>
      <c r="BM203" s="313"/>
      <c r="BN203" s="313"/>
      <c r="BO203" s="313"/>
      <c r="BP203" s="313"/>
      <c r="BQ203" s="313"/>
      <c r="BR203" s="313"/>
      <c r="BS203" s="313"/>
      <c r="BT203" s="313"/>
      <c r="BU203" s="313"/>
      <c r="BV203" s="313"/>
      <c r="BW203" s="313"/>
      <c r="BX203" s="313"/>
      <c r="BY203" s="313"/>
      <c r="BZ203" s="313"/>
      <c r="CA203" s="314"/>
      <c r="CL203" s="58"/>
      <c r="CM203" s="58"/>
      <c r="CN203" s="58"/>
      <c r="CO203" s="58"/>
      <c r="CP203" s="58"/>
      <c r="CQ203" s="58"/>
      <c r="CR203" s="59"/>
    </row>
    <row r="204" spans="1:98" ht="15" customHeight="1" x14ac:dyDescent="0.15">
      <c r="A204" s="57"/>
      <c r="C204" s="309" t="s">
        <v>499</v>
      </c>
      <c r="D204" s="310"/>
      <c r="E204" s="310"/>
      <c r="F204" s="310"/>
      <c r="G204" s="310"/>
      <c r="H204" s="310"/>
      <c r="I204" s="310"/>
      <c r="J204" s="310"/>
      <c r="K204" s="310"/>
      <c r="L204" s="310"/>
      <c r="M204" s="310"/>
      <c r="N204" s="310"/>
      <c r="O204" s="310"/>
      <c r="P204" s="311"/>
      <c r="Q204" s="312" t="s">
        <v>279</v>
      </c>
      <c r="R204" s="313"/>
      <c r="S204" s="313"/>
      <c r="T204" s="313"/>
      <c r="U204" s="313"/>
      <c r="V204" s="313"/>
      <c r="W204" s="313"/>
      <c r="X204" s="313"/>
      <c r="Y204" s="313"/>
      <c r="Z204" s="313"/>
      <c r="AA204" s="313"/>
      <c r="AB204" s="313"/>
      <c r="AC204" s="313"/>
      <c r="AD204" s="313"/>
      <c r="AE204" s="313"/>
      <c r="AF204" s="313"/>
      <c r="AG204" s="313"/>
      <c r="AH204" s="313"/>
      <c r="AI204" s="313"/>
      <c r="AJ204" s="313"/>
      <c r="AK204" s="313"/>
      <c r="AL204" s="313"/>
      <c r="AM204" s="313"/>
      <c r="AN204" s="314"/>
      <c r="AO204" s="58"/>
      <c r="AP204" s="309" t="s">
        <v>256</v>
      </c>
      <c r="AQ204" s="310"/>
      <c r="AR204" s="310"/>
      <c r="AS204" s="310"/>
      <c r="AT204" s="310"/>
      <c r="AU204" s="310"/>
      <c r="AV204" s="310"/>
      <c r="AW204" s="310"/>
      <c r="AX204" s="310"/>
      <c r="AY204" s="310"/>
      <c r="AZ204" s="310"/>
      <c r="BA204" s="310"/>
      <c r="BB204" s="310"/>
      <c r="BC204" s="311"/>
      <c r="BD204" s="312" t="s">
        <v>279</v>
      </c>
      <c r="BE204" s="313"/>
      <c r="BF204" s="313"/>
      <c r="BG204" s="313"/>
      <c r="BH204" s="313"/>
      <c r="BI204" s="313"/>
      <c r="BJ204" s="313"/>
      <c r="BK204" s="313"/>
      <c r="BL204" s="313"/>
      <c r="BM204" s="313"/>
      <c r="BN204" s="313"/>
      <c r="BO204" s="313"/>
      <c r="BP204" s="313"/>
      <c r="BQ204" s="313"/>
      <c r="BR204" s="313"/>
      <c r="BS204" s="313"/>
      <c r="BT204" s="313"/>
      <c r="BU204" s="313"/>
      <c r="BV204" s="313"/>
      <c r="BW204" s="313"/>
      <c r="BX204" s="313"/>
      <c r="BY204" s="313"/>
      <c r="BZ204" s="313"/>
      <c r="CA204" s="314"/>
      <c r="CL204" s="58"/>
      <c r="CM204" s="58"/>
      <c r="CN204" s="58"/>
      <c r="CO204" s="58"/>
      <c r="CP204" s="58"/>
      <c r="CQ204" s="58"/>
      <c r="CR204" s="59"/>
    </row>
    <row r="205" spans="1:98" ht="15" customHeight="1" x14ac:dyDescent="0.15">
      <c r="A205" s="57"/>
      <c r="C205" s="309" t="s">
        <v>224</v>
      </c>
      <c r="D205" s="310"/>
      <c r="E205" s="310"/>
      <c r="F205" s="310"/>
      <c r="G205" s="310"/>
      <c r="H205" s="310"/>
      <c r="I205" s="310"/>
      <c r="J205" s="310"/>
      <c r="K205" s="310"/>
      <c r="L205" s="310"/>
      <c r="M205" s="310"/>
      <c r="N205" s="310"/>
      <c r="O205" s="310"/>
      <c r="P205" s="311"/>
      <c r="Q205" s="312" t="s">
        <v>279</v>
      </c>
      <c r="R205" s="313"/>
      <c r="S205" s="313"/>
      <c r="T205" s="313"/>
      <c r="U205" s="313"/>
      <c r="V205" s="313"/>
      <c r="W205" s="313"/>
      <c r="X205" s="313"/>
      <c r="Y205" s="313"/>
      <c r="Z205" s="313"/>
      <c r="AA205" s="313"/>
      <c r="AB205" s="313"/>
      <c r="AC205" s="313"/>
      <c r="AD205" s="313"/>
      <c r="AE205" s="313"/>
      <c r="AF205" s="313"/>
      <c r="AG205" s="313"/>
      <c r="AH205" s="313"/>
      <c r="AI205" s="313"/>
      <c r="AJ205" s="313"/>
      <c r="AK205" s="313"/>
      <c r="AL205" s="313"/>
      <c r="AM205" s="313"/>
      <c r="AN205" s="314"/>
      <c r="AO205" s="58"/>
      <c r="AP205" s="309" t="s">
        <v>257</v>
      </c>
      <c r="AQ205" s="310"/>
      <c r="AR205" s="310"/>
      <c r="AS205" s="310"/>
      <c r="AT205" s="310"/>
      <c r="AU205" s="310"/>
      <c r="AV205" s="310"/>
      <c r="AW205" s="310"/>
      <c r="AX205" s="310"/>
      <c r="AY205" s="310"/>
      <c r="AZ205" s="310"/>
      <c r="BA205" s="310"/>
      <c r="BB205" s="310"/>
      <c r="BC205" s="311"/>
      <c r="BD205" s="312" t="s">
        <v>279</v>
      </c>
      <c r="BE205" s="313"/>
      <c r="BF205" s="313"/>
      <c r="BG205" s="313"/>
      <c r="BH205" s="313"/>
      <c r="BI205" s="313"/>
      <c r="BJ205" s="313"/>
      <c r="BK205" s="313"/>
      <c r="BL205" s="313"/>
      <c r="BM205" s="313"/>
      <c r="BN205" s="313"/>
      <c r="BO205" s="313"/>
      <c r="BP205" s="313"/>
      <c r="BQ205" s="313"/>
      <c r="BR205" s="313"/>
      <c r="BS205" s="313"/>
      <c r="BT205" s="313"/>
      <c r="BU205" s="313"/>
      <c r="BV205" s="313"/>
      <c r="BW205" s="313"/>
      <c r="BX205" s="313"/>
      <c r="BY205" s="313"/>
      <c r="BZ205" s="313"/>
      <c r="CA205" s="314"/>
      <c r="CL205" s="58"/>
      <c r="CM205" s="58"/>
      <c r="CN205" s="58"/>
      <c r="CO205" s="58"/>
      <c r="CP205" s="58"/>
      <c r="CQ205" s="58"/>
      <c r="CR205" s="59"/>
    </row>
    <row r="206" spans="1:98" ht="15" customHeight="1" x14ac:dyDescent="0.15">
      <c r="A206" s="57"/>
      <c r="B206" s="58"/>
      <c r="C206" s="309" t="s">
        <v>500</v>
      </c>
      <c r="D206" s="310"/>
      <c r="E206" s="310"/>
      <c r="F206" s="310"/>
      <c r="G206" s="310"/>
      <c r="H206" s="310"/>
      <c r="I206" s="310"/>
      <c r="J206" s="310"/>
      <c r="K206" s="310"/>
      <c r="L206" s="310"/>
      <c r="M206" s="310"/>
      <c r="N206" s="310"/>
      <c r="O206" s="310"/>
      <c r="P206" s="311"/>
      <c r="Q206" s="312" t="s">
        <v>279</v>
      </c>
      <c r="R206" s="313"/>
      <c r="S206" s="313"/>
      <c r="T206" s="313"/>
      <c r="U206" s="313"/>
      <c r="V206" s="313"/>
      <c r="W206" s="313"/>
      <c r="X206" s="313"/>
      <c r="Y206" s="313"/>
      <c r="Z206" s="313"/>
      <c r="AA206" s="313"/>
      <c r="AB206" s="313"/>
      <c r="AC206" s="313"/>
      <c r="AD206" s="313"/>
      <c r="AE206" s="313"/>
      <c r="AF206" s="313"/>
      <c r="AG206" s="313"/>
      <c r="AH206" s="313"/>
      <c r="AI206" s="313"/>
      <c r="AJ206" s="313"/>
      <c r="AK206" s="313"/>
      <c r="AL206" s="313"/>
      <c r="AM206" s="313"/>
      <c r="AN206" s="314"/>
      <c r="AO206" s="58"/>
      <c r="AP206" s="309" t="s">
        <v>258</v>
      </c>
      <c r="AQ206" s="310"/>
      <c r="AR206" s="310"/>
      <c r="AS206" s="310"/>
      <c r="AT206" s="310"/>
      <c r="AU206" s="310"/>
      <c r="AV206" s="310"/>
      <c r="AW206" s="310"/>
      <c r="AX206" s="310"/>
      <c r="AY206" s="310"/>
      <c r="AZ206" s="310"/>
      <c r="BA206" s="310"/>
      <c r="BB206" s="310"/>
      <c r="BC206" s="311"/>
      <c r="BD206" s="312" t="s">
        <v>279</v>
      </c>
      <c r="BE206" s="313"/>
      <c r="BF206" s="313"/>
      <c r="BG206" s="313"/>
      <c r="BH206" s="313"/>
      <c r="BI206" s="313"/>
      <c r="BJ206" s="313"/>
      <c r="BK206" s="313"/>
      <c r="BL206" s="313"/>
      <c r="BM206" s="313"/>
      <c r="BN206" s="313"/>
      <c r="BO206" s="313"/>
      <c r="BP206" s="313"/>
      <c r="BQ206" s="313"/>
      <c r="BR206" s="313"/>
      <c r="BS206" s="313"/>
      <c r="BT206" s="313"/>
      <c r="BU206" s="313"/>
      <c r="BV206" s="313"/>
      <c r="BW206" s="313"/>
      <c r="BX206" s="313"/>
      <c r="BY206" s="313"/>
      <c r="BZ206" s="313"/>
      <c r="CA206" s="314"/>
      <c r="CL206" s="58"/>
      <c r="CM206" s="58"/>
      <c r="CN206" s="58"/>
      <c r="CO206" s="58"/>
      <c r="CP206" s="58"/>
      <c r="CQ206" s="58"/>
      <c r="CR206" s="59"/>
    </row>
    <row r="207" spans="1:98" ht="15" customHeight="1" x14ac:dyDescent="0.15">
      <c r="A207" s="57"/>
      <c r="B207" s="58"/>
      <c r="C207" s="309" t="s">
        <v>225</v>
      </c>
      <c r="D207" s="310"/>
      <c r="E207" s="310"/>
      <c r="F207" s="310"/>
      <c r="G207" s="310"/>
      <c r="H207" s="310"/>
      <c r="I207" s="310"/>
      <c r="J207" s="310"/>
      <c r="K207" s="310"/>
      <c r="L207" s="310"/>
      <c r="M207" s="310"/>
      <c r="N207" s="310"/>
      <c r="O207" s="310"/>
      <c r="P207" s="311"/>
      <c r="Q207" s="312" t="s">
        <v>279</v>
      </c>
      <c r="R207" s="313"/>
      <c r="S207" s="313"/>
      <c r="T207" s="313"/>
      <c r="U207" s="313"/>
      <c r="V207" s="313"/>
      <c r="W207" s="313"/>
      <c r="X207" s="313"/>
      <c r="Y207" s="313"/>
      <c r="Z207" s="313"/>
      <c r="AA207" s="313"/>
      <c r="AB207" s="313"/>
      <c r="AC207" s="313"/>
      <c r="AD207" s="313"/>
      <c r="AE207" s="313"/>
      <c r="AF207" s="313"/>
      <c r="AG207" s="313"/>
      <c r="AH207" s="313"/>
      <c r="AI207" s="313"/>
      <c r="AJ207" s="313"/>
      <c r="AK207" s="313"/>
      <c r="AL207" s="313"/>
      <c r="AM207" s="313"/>
      <c r="AN207" s="314"/>
      <c r="AO207" s="58"/>
      <c r="AP207" s="315" t="s">
        <v>259</v>
      </c>
      <c r="AQ207" s="316"/>
      <c r="AR207" s="316"/>
      <c r="AS207" s="316"/>
      <c r="AT207" s="316"/>
      <c r="AU207" s="316"/>
      <c r="AV207" s="316"/>
      <c r="AW207" s="316"/>
      <c r="AX207" s="316"/>
      <c r="AY207" s="316"/>
      <c r="AZ207" s="316"/>
      <c r="BA207" s="316"/>
      <c r="BB207" s="316"/>
      <c r="BC207" s="317"/>
      <c r="BD207" s="321" t="s">
        <v>609</v>
      </c>
      <c r="BE207" s="322"/>
      <c r="BF207" s="322"/>
      <c r="BG207" s="322"/>
      <c r="BH207" s="322"/>
      <c r="BI207" s="322"/>
      <c r="BJ207" s="322"/>
      <c r="BK207" s="322"/>
      <c r="BL207" s="322"/>
      <c r="BM207" s="322"/>
      <c r="BN207" s="322"/>
      <c r="BO207" s="322"/>
      <c r="BP207" s="322"/>
      <c r="BQ207" s="322"/>
      <c r="BR207" s="322"/>
      <c r="BS207" s="322"/>
      <c r="BT207" s="322"/>
      <c r="BU207" s="322"/>
      <c r="BV207" s="322"/>
      <c r="BW207" s="322"/>
      <c r="BX207" s="322"/>
      <c r="BY207" s="322"/>
      <c r="BZ207" s="322"/>
      <c r="CA207" s="323"/>
      <c r="CB207" s="58"/>
      <c r="CC207" s="58"/>
      <c r="CD207" s="58"/>
      <c r="CE207" s="58"/>
      <c r="CF207" s="58"/>
      <c r="CG207" s="58"/>
      <c r="CH207" s="58"/>
      <c r="CI207" s="58"/>
      <c r="CJ207" s="58"/>
      <c r="CK207" s="58"/>
      <c r="CL207" s="58"/>
      <c r="CM207" s="58"/>
      <c r="CN207" s="58"/>
      <c r="CO207" s="58"/>
      <c r="CP207" s="58"/>
      <c r="CQ207" s="58"/>
      <c r="CR207" s="59"/>
      <c r="CT207" s="152"/>
    </row>
    <row r="208" spans="1:98" ht="15" customHeight="1" x14ac:dyDescent="0.15">
      <c r="A208" s="57"/>
      <c r="B208" s="58"/>
      <c r="C208" s="315" t="s">
        <v>501</v>
      </c>
      <c r="D208" s="316"/>
      <c r="E208" s="316"/>
      <c r="F208" s="316"/>
      <c r="G208" s="316"/>
      <c r="H208" s="316"/>
      <c r="I208" s="316"/>
      <c r="J208" s="316"/>
      <c r="K208" s="316"/>
      <c r="L208" s="316"/>
      <c r="M208" s="316"/>
      <c r="N208" s="316"/>
      <c r="O208" s="316"/>
      <c r="P208" s="317"/>
      <c r="Q208" s="318" t="s">
        <v>425</v>
      </c>
      <c r="R208" s="319"/>
      <c r="S208" s="319"/>
      <c r="T208" s="319"/>
      <c r="U208" s="319"/>
      <c r="V208" s="319"/>
      <c r="W208" s="319"/>
      <c r="X208" s="319"/>
      <c r="Y208" s="319"/>
      <c r="Z208" s="319"/>
      <c r="AA208" s="319"/>
      <c r="AB208" s="319"/>
      <c r="AC208" s="319"/>
      <c r="AD208" s="319"/>
      <c r="AE208" s="319"/>
      <c r="AF208" s="319"/>
      <c r="AG208" s="319"/>
      <c r="AH208" s="319"/>
      <c r="AI208" s="319"/>
      <c r="AJ208" s="319"/>
      <c r="AK208" s="319"/>
      <c r="AL208" s="319"/>
      <c r="AM208" s="319"/>
      <c r="AN208" s="320"/>
      <c r="AO208" s="58"/>
      <c r="AP208" s="309" t="s">
        <v>260</v>
      </c>
      <c r="AQ208" s="310"/>
      <c r="AR208" s="310"/>
      <c r="AS208" s="310"/>
      <c r="AT208" s="310"/>
      <c r="AU208" s="310"/>
      <c r="AV208" s="310"/>
      <c r="AW208" s="310"/>
      <c r="AX208" s="310"/>
      <c r="AY208" s="310"/>
      <c r="AZ208" s="310"/>
      <c r="BA208" s="310"/>
      <c r="BB208" s="310"/>
      <c r="BC208" s="311"/>
      <c r="BD208" s="312" t="s">
        <v>279</v>
      </c>
      <c r="BE208" s="313"/>
      <c r="BF208" s="313"/>
      <c r="BG208" s="313"/>
      <c r="BH208" s="313"/>
      <c r="BI208" s="313"/>
      <c r="BJ208" s="313"/>
      <c r="BK208" s="313"/>
      <c r="BL208" s="313"/>
      <c r="BM208" s="313"/>
      <c r="BN208" s="313"/>
      <c r="BO208" s="313"/>
      <c r="BP208" s="313"/>
      <c r="BQ208" s="313"/>
      <c r="BR208" s="313"/>
      <c r="BS208" s="313"/>
      <c r="BT208" s="313"/>
      <c r="BU208" s="313"/>
      <c r="BV208" s="313"/>
      <c r="BW208" s="313"/>
      <c r="BX208" s="313"/>
      <c r="BY208" s="313"/>
      <c r="BZ208" s="313"/>
      <c r="CA208" s="314"/>
      <c r="CB208" s="58"/>
      <c r="CC208" s="58"/>
      <c r="CD208" s="58"/>
      <c r="CE208" s="58"/>
      <c r="CF208" s="58"/>
      <c r="CG208" s="58"/>
      <c r="CH208" s="58"/>
      <c r="CI208" s="58"/>
      <c r="CJ208" s="58"/>
      <c r="CK208" s="58"/>
      <c r="CL208" s="58"/>
      <c r="CM208" s="58"/>
      <c r="CN208" s="58"/>
      <c r="CO208" s="58"/>
      <c r="CP208" s="58"/>
      <c r="CQ208" s="58"/>
      <c r="CR208" s="59"/>
    </row>
    <row r="209" spans="1:96" ht="15" customHeight="1" x14ac:dyDescent="0.15">
      <c r="A209" s="57"/>
      <c r="B209" s="58"/>
      <c r="C209" s="315" t="s">
        <v>502</v>
      </c>
      <c r="D209" s="316"/>
      <c r="E209" s="316"/>
      <c r="F209" s="316"/>
      <c r="G209" s="316"/>
      <c r="H209" s="316"/>
      <c r="I209" s="316"/>
      <c r="J209" s="316"/>
      <c r="K209" s="316"/>
      <c r="L209" s="316"/>
      <c r="M209" s="316"/>
      <c r="N209" s="316"/>
      <c r="O209" s="316"/>
      <c r="P209" s="317"/>
      <c r="Q209" s="318" t="s">
        <v>426</v>
      </c>
      <c r="R209" s="319"/>
      <c r="S209" s="319"/>
      <c r="T209" s="319"/>
      <c r="U209" s="319"/>
      <c r="V209" s="319"/>
      <c r="W209" s="319"/>
      <c r="X209" s="319"/>
      <c r="Y209" s="319"/>
      <c r="Z209" s="319"/>
      <c r="AA209" s="319"/>
      <c r="AB209" s="319"/>
      <c r="AC209" s="319"/>
      <c r="AD209" s="319"/>
      <c r="AE209" s="319"/>
      <c r="AF209" s="319"/>
      <c r="AG209" s="319"/>
      <c r="AH209" s="319"/>
      <c r="AI209" s="319"/>
      <c r="AJ209" s="319"/>
      <c r="AK209" s="319"/>
      <c r="AL209" s="319"/>
      <c r="AM209" s="319"/>
      <c r="AN209" s="320"/>
      <c r="AO209" s="58"/>
      <c r="AP209" s="309" t="s">
        <v>261</v>
      </c>
      <c r="AQ209" s="310"/>
      <c r="AR209" s="310"/>
      <c r="AS209" s="310"/>
      <c r="AT209" s="310"/>
      <c r="AU209" s="310"/>
      <c r="AV209" s="310"/>
      <c r="AW209" s="310"/>
      <c r="AX209" s="310"/>
      <c r="AY209" s="310"/>
      <c r="AZ209" s="310"/>
      <c r="BA209" s="310"/>
      <c r="BB209" s="310"/>
      <c r="BC209" s="311"/>
      <c r="BD209" s="312" t="s">
        <v>279</v>
      </c>
      <c r="BE209" s="313"/>
      <c r="BF209" s="313"/>
      <c r="BG209" s="313"/>
      <c r="BH209" s="313"/>
      <c r="BI209" s="313"/>
      <c r="BJ209" s="313"/>
      <c r="BK209" s="313"/>
      <c r="BL209" s="313"/>
      <c r="BM209" s="313"/>
      <c r="BN209" s="313"/>
      <c r="BO209" s="313"/>
      <c r="BP209" s="313"/>
      <c r="BQ209" s="313"/>
      <c r="BR209" s="313"/>
      <c r="BS209" s="313"/>
      <c r="BT209" s="313"/>
      <c r="BU209" s="313"/>
      <c r="BV209" s="313"/>
      <c r="BW209" s="313"/>
      <c r="BX209" s="313"/>
      <c r="BY209" s="313"/>
      <c r="BZ209" s="313"/>
      <c r="CA209" s="314"/>
      <c r="CB209" s="58"/>
      <c r="CC209" s="58"/>
      <c r="CD209" s="58"/>
      <c r="CE209" s="58"/>
      <c r="CF209" s="58"/>
      <c r="CG209" s="58"/>
      <c r="CH209" s="58"/>
      <c r="CI209" s="58"/>
      <c r="CJ209" s="58"/>
      <c r="CK209" s="58"/>
      <c r="CL209" s="58"/>
      <c r="CM209" s="58"/>
      <c r="CN209" s="58"/>
      <c r="CO209" s="58"/>
      <c r="CP209" s="58"/>
      <c r="CQ209" s="58"/>
      <c r="CR209" s="59"/>
    </row>
    <row r="210" spans="1:96" ht="15" customHeight="1" x14ac:dyDescent="0.15">
      <c r="A210" s="57"/>
      <c r="B210" s="58"/>
      <c r="C210" s="309" t="s">
        <v>503</v>
      </c>
      <c r="D210" s="310"/>
      <c r="E210" s="310"/>
      <c r="F210" s="310"/>
      <c r="G210" s="310"/>
      <c r="H210" s="310"/>
      <c r="I210" s="310"/>
      <c r="J210" s="310"/>
      <c r="K210" s="310"/>
      <c r="L210" s="310"/>
      <c r="M210" s="310"/>
      <c r="N210" s="310"/>
      <c r="O210" s="310"/>
      <c r="P210" s="311"/>
      <c r="Q210" s="312" t="s">
        <v>288</v>
      </c>
      <c r="R210" s="313"/>
      <c r="S210" s="313"/>
      <c r="T210" s="313"/>
      <c r="U210" s="313"/>
      <c r="V210" s="313"/>
      <c r="W210" s="313"/>
      <c r="X210" s="313"/>
      <c r="Y210" s="313"/>
      <c r="Z210" s="313"/>
      <c r="AA210" s="313"/>
      <c r="AB210" s="313"/>
      <c r="AC210" s="313"/>
      <c r="AD210" s="313"/>
      <c r="AE210" s="313"/>
      <c r="AF210" s="313"/>
      <c r="AG210" s="313"/>
      <c r="AH210" s="313"/>
      <c r="AI210" s="313"/>
      <c r="AJ210" s="313"/>
      <c r="AK210" s="313"/>
      <c r="AL210" s="313"/>
      <c r="AM210" s="313"/>
      <c r="AN210" s="314"/>
      <c r="AO210" s="58"/>
      <c r="AP210" s="309" t="s">
        <v>262</v>
      </c>
      <c r="AQ210" s="310"/>
      <c r="AR210" s="310"/>
      <c r="AS210" s="310"/>
      <c r="AT210" s="310"/>
      <c r="AU210" s="310"/>
      <c r="AV210" s="310"/>
      <c r="AW210" s="310"/>
      <c r="AX210" s="310"/>
      <c r="AY210" s="310"/>
      <c r="AZ210" s="310"/>
      <c r="BA210" s="310"/>
      <c r="BB210" s="310"/>
      <c r="BC210" s="311"/>
      <c r="BD210" s="312" t="s">
        <v>279</v>
      </c>
      <c r="BE210" s="313"/>
      <c r="BF210" s="313"/>
      <c r="BG210" s="313"/>
      <c r="BH210" s="313"/>
      <c r="BI210" s="313"/>
      <c r="BJ210" s="313"/>
      <c r="BK210" s="313"/>
      <c r="BL210" s="313"/>
      <c r="BM210" s="313"/>
      <c r="BN210" s="313"/>
      <c r="BO210" s="313"/>
      <c r="BP210" s="313"/>
      <c r="BQ210" s="313"/>
      <c r="BR210" s="313"/>
      <c r="BS210" s="313"/>
      <c r="BT210" s="313"/>
      <c r="BU210" s="313"/>
      <c r="BV210" s="313"/>
      <c r="BW210" s="313"/>
      <c r="BX210" s="313"/>
      <c r="BY210" s="313"/>
      <c r="BZ210" s="313"/>
      <c r="CA210" s="314"/>
      <c r="CB210" s="58"/>
      <c r="CC210" s="58"/>
      <c r="CD210" s="58"/>
      <c r="CE210" s="58"/>
      <c r="CF210" s="58"/>
      <c r="CG210" s="58"/>
      <c r="CH210" s="58"/>
      <c r="CI210" s="58"/>
      <c r="CJ210" s="58"/>
      <c r="CK210" s="58"/>
      <c r="CL210" s="58"/>
      <c r="CM210" s="58"/>
      <c r="CN210" s="58"/>
      <c r="CO210" s="58"/>
      <c r="CP210" s="58"/>
      <c r="CQ210" s="58"/>
      <c r="CR210" s="59"/>
    </row>
    <row r="211" spans="1:96" ht="15" customHeight="1" x14ac:dyDescent="0.15">
      <c r="A211" s="57"/>
      <c r="B211" s="58"/>
      <c r="C211" s="309" t="s">
        <v>226</v>
      </c>
      <c r="D211" s="310"/>
      <c r="E211" s="310"/>
      <c r="F211" s="310"/>
      <c r="G211" s="310"/>
      <c r="H211" s="310"/>
      <c r="I211" s="310"/>
      <c r="J211" s="310"/>
      <c r="K211" s="310"/>
      <c r="L211" s="310"/>
      <c r="M211" s="310"/>
      <c r="N211" s="310"/>
      <c r="O211" s="310"/>
      <c r="P211" s="311"/>
      <c r="Q211" s="312" t="s">
        <v>279</v>
      </c>
      <c r="R211" s="313"/>
      <c r="S211" s="313"/>
      <c r="T211" s="313"/>
      <c r="U211" s="313"/>
      <c r="V211" s="313"/>
      <c r="W211" s="313"/>
      <c r="X211" s="313"/>
      <c r="Y211" s="313"/>
      <c r="Z211" s="313"/>
      <c r="AA211" s="313"/>
      <c r="AB211" s="313"/>
      <c r="AC211" s="313"/>
      <c r="AD211" s="313"/>
      <c r="AE211" s="313"/>
      <c r="AF211" s="313"/>
      <c r="AG211" s="313"/>
      <c r="AH211" s="313"/>
      <c r="AI211" s="313"/>
      <c r="AJ211" s="313"/>
      <c r="AK211" s="313"/>
      <c r="AL211" s="313"/>
      <c r="AM211" s="313"/>
      <c r="AN211" s="314"/>
      <c r="AO211" s="58"/>
      <c r="AP211" s="309" t="s">
        <v>263</v>
      </c>
      <c r="AQ211" s="310"/>
      <c r="AR211" s="310"/>
      <c r="AS211" s="310"/>
      <c r="AT211" s="310"/>
      <c r="AU211" s="310"/>
      <c r="AV211" s="310"/>
      <c r="AW211" s="310"/>
      <c r="AX211" s="310"/>
      <c r="AY211" s="310"/>
      <c r="AZ211" s="310"/>
      <c r="BA211" s="310"/>
      <c r="BB211" s="310"/>
      <c r="BC211" s="311"/>
      <c r="BD211" s="312" t="s">
        <v>279</v>
      </c>
      <c r="BE211" s="313"/>
      <c r="BF211" s="313"/>
      <c r="BG211" s="313"/>
      <c r="BH211" s="313"/>
      <c r="BI211" s="313"/>
      <c r="BJ211" s="313"/>
      <c r="BK211" s="313"/>
      <c r="BL211" s="313"/>
      <c r="BM211" s="313"/>
      <c r="BN211" s="313"/>
      <c r="BO211" s="313"/>
      <c r="BP211" s="313"/>
      <c r="BQ211" s="313"/>
      <c r="BR211" s="313"/>
      <c r="BS211" s="313"/>
      <c r="BT211" s="313"/>
      <c r="BU211" s="313"/>
      <c r="BV211" s="313"/>
      <c r="BW211" s="313"/>
      <c r="BX211" s="313"/>
      <c r="BY211" s="313"/>
      <c r="BZ211" s="313"/>
      <c r="CA211" s="314"/>
      <c r="CB211" s="58"/>
      <c r="CC211" s="58"/>
      <c r="CD211" s="58"/>
      <c r="CE211" s="58"/>
      <c r="CF211" s="58"/>
      <c r="CG211" s="58"/>
      <c r="CH211" s="58"/>
      <c r="CI211" s="58"/>
      <c r="CJ211" s="58"/>
      <c r="CK211" s="58"/>
      <c r="CL211" s="58"/>
      <c r="CM211" s="58"/>
      <c r="CN211" s="58"/>
      <c r="CO211" s="58"/>
      <c r="CP211" s="58"/>
      <c r="CQ211" s="58"/>
      <c r="CR211" s="59"/>
    </row>
    <row r="212" spans="1:96" ht="15" customHeight="1" x14ac:dyDescent="0.15">
      <c r="A212" s="57"/>
      <c r="B212" s="58"/>
      <c r="C212" s="309" t="s">
        <v>227</v>
      </c>
      <c r="D212" s="310"/>
      <c r="E212" s="310"/>
      <c r="F212" s="310"/>
      <c r="G212" s="310"/>
      <c r="H212" s="310"/>
      <c r="I212" s="310"/>
      <c r="J212" s="310"/>
      <c r="K212" s="310"/>
      <c r="L212" s="310"/>
      <c r="M212" s="310"/>
      <c r="N212" s="310"/>
      <c r="O212" s="310"/>
      <c r="P212" s="311"/>
      <c r="Q212" s="312" t="s">
        <v>287</v>
      </c>
      <c r="R212" s="313"/>
      <c r="S212" s="313"/>
      <c r="T212" s="313"/>
      <c r="U212" s="313"/>
      <c r="V212" s="313"/>
      <c r="W212" s="313"/>
      <c r="X212" s="313"/>
      <c r="Y212" s="313"/>
      <c r="Z212" s="313"/>
      <c r="AA212" s="313"/>
      <c r="AB212" s="313"/>
      <c r="AC212" s="313"/>
      <c r="AD212" s="313"/>
      <c r="AE212" s="313"/>
      <c r="AF212" s="313"/>
      <c r="AG212" s="313"/>
      <c r="AH212" s="313"/>
      <c r="AI212" s="313"/>
      <c r="AJ212" s="313"/>
      <c r="AK212" s="313"/>
      <c r="AL212" s="313"/>
      <c r="AM212" s="313"/>
      <c r="AN212" s="314"/>
      <c r="AO212" s="58"/>
      <c r="AP212" s="309" t="s">
        <v>264</v>
      </c>
      <c r="AQ212" s="310"/>
      <c r="AR212" s="310"/>
      <c r="AS212" s="310"/>
      <c r="AT212" s="310"/>
      <c r="AU212" s="310"/>
      <c r="AV212" s="310"/>
      <c r="AW212" s="310"/>
      <c r="AX212" s="310"/>
      <c r="AY212" s="310"/>
      <c r="AZ212" s="310"/>
      <c r="BA212" s="310"/>
      <c r="BB212" s="310"/>
      <c r="BC212" s="311"/>
      <c r="BD212" s="312" t="s">
        <v>279</v>
      </c>
      <c r="BE212" s="313"/>
      <c r="BF212" s="313"/>
      <c r="BG212" s="313"/>
      <c r="BH212" s="313"/>
      <c r="BI212" s="313"/>
      <c r="BJ212" s="313"/>
      <c r="BK212" s="313"/>
      <c r="BL212" s="313"/>
      <c r="BM212" s="313"/>
      <c r="BN212" s="313"/>
      <c r="BO212" s="313"/>
      <c r="BP212" s="313"/>
      <c r="BQ212" s="313"/>
      <c r="BR212" s="313"/>
      <c r="BS212" s="313"/>
      <c r="BT212" s="313"/>
      <c r="BU212" s="313"/>
      <c r="BV212" s="313"/>
      <c r="BW212" s="313"/>
      <c r="BX212" s="313"/>
      <c r="BY212" s="313"/>
      <c r="BZ212" s="313"/>
      <c r="CA212" s="314"/>
      <c r="CB212" s="58"/>
      <c r="CC212" s="58"/>
      <c r="CD212" s="58"/>
      <c r="CE212" s="58"/>
      <c r="CF212" s="58"/>
      <c r="CG212" s="58"/>
      <c r="CH212" s="58"/>
      <c r="CI212" s="58"/>
      <c r="CJ212" s="58"/>
      <c r="CK212" s="58"/>
      <c r="CL212" s="58"/>
      <c r="CM212" s="58"/>
      <c r="CN212" s="58"/>
      <c r="CO212" s="58"/>
      <c r="CP212" s="58"/>
      <c r="CQ212" s="58"/>
      <c r="CR212" s="59"/>
    </row>
    <row r="213" spans="1:96" ht="15" customHeight="1" x14ac:dyDescent="0.15">
      <c r="A213" s="57"/>
      <c r="B213" s="58"/>
      <c r="C213" s="309" t="s">
        <v>228</v>
      </c>
      <c r="D213" s="310"/>
      <c r="E213" s="310"/>
      <c r="F213" s="310"/>
      <c r="G213" s="310"/>
      <c r="H213" s="310"/>
      <c r="I213" s="310"/>
      <c r="J213" s="310"/>
      <c r="K213" s="310"/>
      <c r="L213" s="310"/>
      <c r="M213" s="310"/>
      <c r="N213" s="310"/>
      <c r="O213" s="310"/>
      <c r="P213" s="311"/>
      <c r="Q213" s="312" t="s">
        <v>280</v>
      </c>
      <c r="R213" s="313"/>
      <c r="S213" s="313"/>
      <c r="T213" s="313"/>
      <c r="U213" s="313"/>
      <c r="V213" s="313"/>
      <c r="W213" s="313"/>
      <c r="X213" s="313"/>
      <c r="Y213" s="313"/>
      <c r="Z213" s="313"/>
      <c r="AA213" s="313"/>
      <c r="AB213" s="313"/>
      <c r="AC213" s="313"/>
      <c r="AD213" s="313"/>
      <c r="AE213" s="313"/>
      <c r="AF213" s="313"/>
      <c r="AG213" s="313"/>
      <c r="AH213" s="313"/>
      <c r="AI213" s="313"/>
      <c r="AJ213" s="313"/>
      <c r="AK213" s="313"/>
      <c r="AL213" s="313"/>
      <c r="AM213" s="313"/>
      <c r="AN213" s="314"/>
      <c r="AO213" s="58"/>
      <c r="AP213" s="309" t="s">
        <v>265</v>
      </c>
      <c r="AQ213" s="310"/>
      <c r="AR213" s="310"/>
      <c r="AS213" s="310"/>
      <c r="AT213" s="310"/>
      <c r="AU213" s="310"/>
      <c r="AV213" s="310"/>
      <c r="AW213" s="310"/>
      <c r="AX213" s="310"/>
      <c r="AY213" s="310"/>
      <c r="AZ213" s="310"/>
      <c r="BA213" s="310"/>
      <c r="BB213" s="310"/>
      <c r="BC213" s="311"/>
      <c r="BD213" s="312" t="s">
        <v>279</v>
      </c>
      <c r="BE213" s="313"/>
      <c r="BF213" s="313"/>
      <c r="BG213" s="313"/>
      <c r="BH213" s="313"/>
      <c r="BI213" s="313"/>
      <c r="BJ213" s="313"/>
      <c r="BK213" s="313"/>
      <c r="BL213" s="313"/>
      <c r="BM213" s="313"/>
      <c r="BN213" s="313"/>
      <c r="BO213" s="313"/>
      <c r="BP213" s="313"/>
      <c r="BQ213" s="313"/>
      <c r="BR213" s="313"/>
      <c r="BS213" s="313"/>
      <c r="BT213" s="313"/>
      <c r="BU213" s="313"/>
      <c r="BV213" s="313"/>
      <c r="BW213" s="313"/>
      <c r="BX213" s="313"/>
      <c r="BY213" s="313"/>
      <c r="BZ213" s="313"/>
      <c r="CA213" s="314"/>
      <c r="CB213" s="58"/>
      <c r="CC213" s="58"/>
      <c r="CD213" s="58"/>
      <c r="CE213" s="58"/>
      <c r="CF213" s="58"/>
      <c r="CG213" s="58"/>
      <c r="CH213" s="58"/>
      <c r="CI213" s="58"/>
      <c r="CJ213" s="58"/>
      <c r="CK213" s="58"/>
      <c r="CL213" s="58"/>
      <c r="CM213" s="58"/>
      <c r="CN213" s="58"/>
      <c r="CO213" s="58"/>
      <c r="CP213" s="58"/>
      <c r="CQ213" s="58"/>
      <c r="CR213" s="59"/>
    </row>
    <row r="214" spans="1:96" ht="15" customHeight="1" x14ac:dyDescent="0.15">
      <c r="A214" s="57"/>
      <c r="B214" s="58"/>
      <c r="C214" s="309" t="s">
        <v>229</v>
      </c>
      <c r="D214" s="310"/>
      <c r="E214" s="310"/>
      <c r="F214" s="310"/>
      <c r="G214" s="310"/>
      <c r="H214" s="310"/>
      <c r="I214" s="310"/>
      <c r="J214" s="310"/>
      <c r="K214" s="310"/>
      <c r="L214" s="310"/>
      <c r="M214" s="310"/>
      <c r="N214" s="310"/>
      <c r="O214" s="310"/>
      <c r="P214" s="311"/>
      <c r="Q214" s="312" t="s">
        <v>287</v>
      </c>
      <c r="R214" s="313"/>
      <c r="S214" s="313"/>
      <c r="T214" s="313"/>
      <c r="U214" s="313"/>
      <c r="V214" s="313"/>
      <c r="W214" s="313"/>
      <c r="X214" s="313"/>
      <c r="Y214" s="313"/>
      <c r="Z214" s="313"/>
      <c r="AA214" s="313"/>
      <c r="AB214" s="313"/>
      <c r="AC214" s="313"/>
      <c r="AD214" s="313"/>
      <c r="AE214" s="313"/>
      <c r="AF214" s="313"/>
      <c r="AG214" s="313"/>
      <c r="AH214" s="313"/>
      <c r="AI214" s="313"/>
      <c r="AJ214" s="313"/>
      <c r="AK214" s="313"/>
      <c r="AL214" s="313"/>
      <c r="AM214" s="313"/>
      <c r="AN214" s="314"/>
      <c r="AO214" s="58"/>
      <c r="AP214" s="309" t="s">
        <v>266</v>
      </c>
      <c r="AQ214" s="310"/>
      <c r="AR214" s="310"/>
      <c r="AS214" s="310"/>
      <c r="AT214" s="310"/>
      <c r="AU214" s="310"/>
      <c r="AV214" s="310"/>
      <c r="AW214" s="310"/>
      <c r="AX214" s="310"/>
      <c r="AY214" s="310"/>
      <c r="AZ214" s="310"/>
      <c r="BA214" s="310"/>
      <c r="BB214" s="310"/>
      <c r="BC214" s="311"/>
      <c r="BD214" s="312" t="s">
        <v>279</v>
      </c>
      <c r="BE214" s="313"/>
      <c r="BF214" s="313"/>
      <c r="BG214" s="313"/>
      <c r="BH214" s="313"/>
      <c r="BI214" s="313"/>
      <c r="BJ214" s="313"/>
      <c r="BK214" s="313"/>
      <c r="BL214" s="313"/>
      <c r="BM214" s="313"/>
      <c r="BN214" s="313"/>
      <c r="BO214" s="313"/>
      <c r="BP214" s="313"/>
      <c r="BQ214" s="313"/>
      <c r="BR214" s="313"/>
      <c r="BS214" s="313"/>
      <c r="BT214" s="313"/>
      <c r="BU214" s="313"/>
      <c r="BV214" s="313"/>
      <c r="BW214" s="313"/>
      <c r="BX214" s="313"/>
      <c r="BY214" s="313"/>
      <c r="BZ214" s="313"/>
      <c r="CA214" s="314"/>
      <c r="CB214" s="58"/>
      <c r="CC214" s="58"/>
      <c r="CD214" s="58"/>
      <c r="CE214" s="58"/>
      <c r="CF214" s="58"/>
      <c r="CG214" s="58"/>
      <c r="CH214" s="58"/>
      <c r="CI214" s="58"/>
      <c r="CJ214" s="58"/>
      <c r="CK214" s="58"/>
      <c r="CL214" s="58"/>
      <c r="CM214" s="58"/>
      <c r="CN214" s="58"/>
      <c r="CO214" s="58"/>
      <c r="CP214" s="58"/>
      <c r="CQ214" s="58"/>
      <c r="CR214" s="59"/>
    </row>
    <row r="215" spans="1:96" ht="15" customHeight="1" x14ac:dyDescent="0.15">
      <c r="A215" s="57"/>
      <c r="B215" s="58"/>
      <c r="C215" s="309" t="s">
        <v>230</v>
      </c>
      <c r="D215" s="310"/>
      <c r="E215" s="310"/>
      <c r="F215" s="310"/>
      <c r="G215" s="310"/>
      <c r="H215" s="310"/>
      <c r="I215" s="310"/>
      <c r="J215" s="310"/>
      <c r="K215" s="310"/>
      <c r="L215" s="310"/>
      <c r="M215" s="310"/>
      <c r="N215" s="310"/>
      <c r="O215" s="310"/>
      <c r="P215" s="311"/>
      <c r="Q215" s="312" t="s">
        <v>279</v>
      </c>
      <c r="R215" s="313"/>
      <c r="S215" s="313"/>
      <c r="T215" s="313"/>
      <c r="U215" s="313"/>
      <c r="V215" s="313"/>
      <c r="W215" s="313"/>
      <c r="X215" s="313"/>
      <c r="Y215" s="313"/>
      <c r="Z215" s="313"/>
      <c r="AA215" s="313"/>
      <c r="AB215" s="313"/>
      <c r="AC215" s="313"/>
      <c r="AD215" s="313"/>
      <c r="AE215" s="313"/>
      <c r="AF215" s="313"/>
      <c r="AG215" s="313"/>
      <c r="AH215" s="313"/>
      <c r="AI215" s="313"/>
      <c r="AJ215" s="313"/>
      <c r="AK215" s="313"/>
      <c r="AL215" s="313"/>
      <c r="AM215" s="313"/>
      <c r="AN215" s="314"/>
      <c r="AO215" s="58"/>
      <c r="AP215" s="309" t="s">
        <v>267</v>
      </c>
      <c r="AQ215" s="310"/>
      <c r="AR215" s="310"/>
      <c r="AS215" s="310"/>
      <c r="AT215" s="310"/>
      <c r="AU215" s="310"/>
      <c r="AV215" s="310"/>
      <c r="AW215" s="310"/>
      <c r="AX215" s="310"/>
      <c r="AY215" s="310"/>
      <c r="AZ215" s="310"/>
      <c r="BA215" s="310"/>
      <c r="BB215" s="310"/>
      <c r="BC215" s="311"/>
      <c r="BD215" s="312" t="s">
        <v>279</v>
      </c>
      <c r="BE215" s="313"/>
      <c r="BF215" s="313"/>
      <c r="BG215" s="313"/>
      <c r="BH215" s="313"/>
      <c r="BI215" s="313"/>
      <c r="BJ215" s="313"/>
      <c r="BK215" s="313"/>
      <c r="BL215" s="313"/>
      <c r="BM215" s="313"/>
      <c r="BN215" s="313"/>
      <c r="BO215" s="313"/>
      <c r="BP215" s="313"/>
      <c r="BQ215" s="313"/>
      <c r="BR215" s="313"/>
      <c r="BS215" s="313"/>
      <c r="BT215" s="313"/>
      <c r="BU215" s="313"/>
      <c r="BV215" s="313"/>
      <c r="BW215" s="313"/>
      <c r="BX215" s="313"/>
      <c r="BY215" s="313"/>
      <c r="BZ215" s="313"/>
      <c r="CA215" s="314"/>
      <c r="CB215" s="58"/>
      <c r="CC215" s="58"/>
      <c r="CD215" s="58"/>
      <c r="CE215" s="58"/>
      <c r="CF215" s="58"/>
      <c r="CG215" s="58"/>
      <c r="CH215" s="58"/>
      <c r="CI215" s="58"/>
      <c r="CJ215" s="58"/>
      <c r="CK215" s="58"/>
      <c r="CL215" s="58"/>
      <c r="CM215" s="58"/>
      <c r="CN215" s="58"/>
      <c r="CO215" s="58"/>
      <c r="CP215" s="58"/>
      <c r="CQ215" s="58"/>
      <c r="CR215" s="59"/>
    </row>
    <row r="216" spans="1:96" ht="15" customHeight="1" x14ac:dyDescent="0.15">
      <c r="A216" s="57"/>
      <c r="B216" s="58"/>
      <c r="C216" s="309" t="s">
        <v>231</v>
      </c>
      <c r="D216" s="310"/>
      <c r="E216" s="310"/>
      <c r="F216" s="310"/>
      <c r="G216" s="310"/>
      <c r="H216" s="310"/>
      <c r="I216" s="310"/>
      <c r="J216" s="310"/>
      <c r="K216" s="310"/>
      <c r="L216" s="310"/>
      <c r="M216" s="310"/>
      <c r="N216" s="310"/>
      <c r="O216" s="310"/>
      <c r="P216" s="311"/>
      <c r="Q216" s="312" t="s">
        <v>279</v>
      </c>
      <c r="R216" s="313"/>
      <c r="S216" s="313"/>
      <c r="T216" s="313"/>
      <c r="U216" s="313"/>
      <c r="V216" s="313"/>
      <c r="W216" s="313"/>
      <c r="X216" s="313"/>
      <c r="Y216" s="313"/>
      <c r="Z216" s="313"/>
      <c r="AA216" s="313"/>
      <c r="AB216" s="313"/>
      <c r="AC216" s="313"/>
      <c r="AD216" s="313"/>
      <c r="AE216" s="313"/>
      <c r="AF216" s="313"/>
      <c r="AG216" s="313"/>
      <c r="AH216" s="313"/>
      <c r="AI216" s="313"/>
      <c r="AJ216" s="313"/>
      <c r="AK216" s="313"/>
      <c r="AL216" s="313"/>
      <c r="AM216" s="313"/>
      <c r="AN216" s="314"/>
      <c r="AO216" s="58"/>
      <c r="AP216" s="309" t="s">
        <v>268</v>
      </c>
      <c r="AQ216" s="310"/>
      <c r="AR216" s="310"/>
      <c r="AS216" s="310"/>
      <c r="AT216" s="310"/>
      <c r="AU216" s="310"/>
      <c r="AV216" s="310"/>
      <c r="AW216" s="310"/>
      <c r="AX216" s="310"/>
      <c r="AY216" s="310"/>
      <c r="AZ216" s="310"/>
      <c r="BA216" s="310"/>
      <c r="BB216" s="310"/>
      <c r="BC216" s="311"/>
      <c r="BD216" s="312" t="s">
        <v>279</v>
      </c>
      <c r="BE216" s="313"/>
      <c r="BF216" s="313"/>
      <c r="BG216" s="313"/>
      <c r="BH216" s="313"/>
      <c r="BI216" s="313"/>
      <c r="BJ216" s="313"/>
      <c r="BK216" s="313"/>
      <c r="BL216" s="313"/>
      <c r="BM216" s="313"/>
      <c r="BN216" s="313"/>
      <c r="BO216" s="313"/>
      <c r="BP216" s="313"/>
      <c r="BQ216" s="313"/>
      <c r="BR216" s="313"/>
      <c r="BS216" s="313"/>
      <c r="BT216" s="313"/>
      <c r="BU216" s="313"/>
      <c r="BV216" s="313"/>
      <c r="BW216" s="313"/>
      <c r="BX216" s="313"/>
      <c r="BY216" s="313"/>
      <c r="BZ216" s="313"/>
      <c r="CA216" s="314"/>
      <c r="CB216" s="58"/>
      <c r="CC216" s="58"/>
      <c r="CD216" s="58"/>
      <c r="CE216" s="58"/>
      <c r="CF216" s="58"/>
      <c r="CG216" s="58"/>
      <c r="CH216" s="58"/>
      <c r="CI216" s="58"/>
      <c r="CJ216" s="58"/>
      <c r="CK216" s="58"/>
      <c r="CL216" s="58"/>
      <c r="CM216" s="58"/>
      <c r="CN216" s="58"/>
      <c r="CO216" s="58"/>
      <c r="CP216" s="58"/>
      <c r="CQ216" s="58"/>
      <c r="CR216" s="59"/>
    </row>
    <row r="217" spans="1:96" ht="15" customHeight="1" x14ac:dyDescent="0.15">
      <c r="A217" s="57"/>
      <c r="B217" s="23"/>
      <c r="C217" s="309" t="s">
        <v>232</v>
      </c>
      <c r="D217" s="310"/>
      <c r="E217" s="310"/>
      <c r="F217" s="310"/>
      <c r="G217" s="310"/>
      <c r="H217" s="310"/>
      <c r="I217" s="310"/>
      <c r="J217" s="310"/>
      <c r="K217" s="310"/>
      <c r="L217" s="310"/>
      <c r="M217" s="310"/>
      <c r="N217" s="310"/>
      <c r="O217" s="310"/>
      <c r="P217" s="311"/>
      <c r="Q217" s="312" t="s">
        <v>279</v>
      </c>
      <c r="R217" s="313"/>
      <c r="S217" s="313"/>
      <c r="T217" s="313"/>
      <c r="U217" s="313"/>
      <c r="V217" s="313"/>
      <c r="W217" s="313"/>
      <c r="X217" s="313"/>
      <c r="Y217" s="313"/>
      <c r="Z217" s="313"/>
      <c r="AA217" s="313"/>
      <c r="AB217" s="313"/>
      <c r="AC217" s="313"/>
      <c r="AD217" s="313"/>
      <c r="AE217" s="313"/>
      <c r="AF217" s="313"/>
      <c r="AG217" s="313"/>
      <c r="AH217" s="313"/>
      <c r="AI217" s="313"/>
      <c r="AJ217" s="313"/>
      <c r="AK217" s="313"/>
      <c r="AL217" s="313"/>
      <c r="AM217" s="313"/>
      <c r="AN217" s="314"/>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9"/>
    </row>
    <row r="218" spans="1:96" ht="15" customHeight="1" x14ac:dyDescent="0.15">
      <c r="A218" s="57"/>
      <c r="B218" s="23"/>
      <c r="C218" s="309" t="s">
        <v>233</v>
      </c>
      <c r="D218" s="310"/>
      <c r="E218" s="310"/>
      <c r="F218" s="310"/>
      <c r="G218" s="310"/>
      <c r="H218" s="310"/>
      <c r="I218" s="310"/>
      <c r="J218" s="310"/>
      <c r="K218" s="310"/>
      <c r="L218" s="310"/>
      <c r="M218" s="310"/>
      <c r="N218" s="310"/>
      <c r="O218" s="310"/>
      <c r="P218" s="311"/>
      <c r="Q218" s="312" t="s">
        <v>279</v>
      </c>
      <c r="R218" s="313"/>
      <c r="S218" s="313"/>
      <c r="T218" s="313"/>
      <c r="U218" s="313"/>
      <c r="V218" s="313"/>
      <c r="W218" s="313"/>
      <c r="X218" s="313"/>
      <c r="Y218" s="313"/>
      <c r="Z218" s="313"/>
      <c r="AA218" s="313"/>
      <c r="AB218" s="313"/>
      <c r="AC218" s="313"/>
      <c r="AD218" s="313"/>
      <c r="AE218" s="313"/>
      <c r="AF218" s="313"/>
      <c r="AG218" s="313"/>
      <c r="AH218" s="313"/>
      <c r="AI218" s="313"/>
      <c r="AJ218" s="313"/>
      <c r="AK218" s="313"/>
      <c r="AL218" s="313"/>
      <c r="AM218" s="313"/>
      <c r="AN218" s="314"/>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9"/>
    </row>
    <row r="219" spans="1:96" ht="15" customHeight="1" thickBot="1" x14ac:dyDescent="0.2">
      <c r="A219" s="61"/>
      <c r="B219" s="62"/>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c r="AF219" s="95"/>
      <c r="AG219" s="95"/>
      <c r="AH219" s="95"/>
      <c r="AI219" s="95"/>
      <c r="AJ219" s="95"/>
      <c r="AK219" s="95"/>
      <c r="AL219" s="95"/>
      <c r="AM219" s="95"/>
      <c r="AN219" s="95"/>
      <c r="AO219" s="62"/>
      <c r="AP219" s="62"/>
      <c r="AQ219" s="62"/>
      <c r="AR219" s="62"/>
      <c r="AS219" s="62"/>
      <c r="AT219" s="62"/>
      <c r="AU219" s="62"/>
      <c r="AV219" s="62"/>
      <c r="AW219" s="62"/>
      <c r="AX219" s="62"/>
      <c r="AY219" s="62"/>
      <c r="AZ219" s="62"/>
      <c r="BA219" s="62"/>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3"/>
    </row>
  </sheetData>
  <mergeCells count="508">
    <mergeCell ref="C96:P97"/>
    <mergeCell ref="C98:P99"/>
    <mergeCell ref="Q98:AS99"/>
    <mergeCell ref="Q96:AS97"/>
    <mergeCell ref="BA105:BN105"/>
    <mergeCell ref="BO105:CQ105"/>
    <mergeCell ref="BU74:CQ74"/>
    <mergeCell ref="AZ74:BT74"/>
    <mergeCell ref="BU75:CQ76"/>
    <mergeCell ref="AZ75:BT76"/>
    <mergeCell ref="A91:CR91"/>
    <mergeCell ref="Q105:AS105"/>
    <mergeCell ref="AS74:AT74"/>
    <mergeCell ref="T74:U74"/>
    <mergeCell ref="BA106:BN106"/>
    <mergeCell ref="BO106:CQ106"/>
    <mergeCell ref="BA94:BN94"/>
    <mergeCell ref="BO94:CQ94"/>
    <mergeCell ref="BA100:BN100"/>
    <mergeCell ref="BO100:CQ100"/>
    <mergeCell ref="BA101:BN101"/>
    <mergeCell ref="BO101:CQ101"/>
    <mergeCell ref="BA102:BN102"/>
    <mergeCell ref="BO102:CQ102"/>
    <mergeCell ref="BA103:BN103"/>
    <mergeCell ref="BO103:CQ103"/>
    <mergeCell ref="BA104:BN104"/>
    <mergeCell ref="BO104:CQ104"/>
    <mergeCell ref="BA95:BN95"/>
    <mergeCell ref="BO95:CQ95"/>
    <mergeCell ref="BA96:BN96"/>
    <mergeCell ref="BO96:CQ96"/>
    <mergeCell ref="BO97:CQ97"/>
    <mergeCell ref="BA98:BN98"/>
    <mergeCell ref="BO98:CQ98"/>
    <mergeCell ref="BA99:BN99"/>
    <mergeCell ref="BO99:CQ99"/>
    <mergeCell ref="BA97:BN97"/>
    <mergeCell ref="K66:AI66"/>
    <mergeCell ref="B67:J67"/>
    <mergeCell ref="K67:AI67"/>
    <mergeCell ref="B68:J68"/>
    <mergeCell ref="K68:AI68"/>
    <mergeCell ref="B69:J69"/>
    <mergeCell ref="K69:AI69"/>
    <mergeCell ref="B70:J70"/>
    <mergeCell ref="K70:AI70"/>
    <mergeCell ref="B66:J66"/>
    <mergeCell ref="BA109:BN109"/>
    <mergeCell ref="BO109:CL109"/>
    <mergeCell ref="BA110:BN110"/>
    <mergeCell ref="BA125:BN125"/>
    <mergeCell ref="BO125:CL125"/>
    <mergeCell ref="BA119:BN119"/>
    <mergeCell ref="BO119:CL119"/>
    <mergeCell ref="BA115:BN115"/>
    <mergeCell ref="BO115:CL115"/>
    <mergeCell ref="BA122:BN122"/>
    <mergeCell ref="BO122:CL122"/>
    <mergeCell ref="BA123:BN123"/>
    <mergeCell ref="BO123:CL123"/>
    <mergeCell ref="BA124:BN124"/>
    <mergeCell ref="BO124:CL124"/>
    <mergeCell ref="BA120:BN120"/>
    <mergeCell ref="BO120:CL120"/>
    <mergeCell ref="BA121:BN121"/>
    <mergeCell ref="BO121:CL121"/>
    <mergeCell ref="BA111:BN111"/>
    <mergeCell ref="BO111:CL111"/>
    <mergeCell ref="BA118:BN118"/>
    <mergeCell ref="BO118:CL118"/>
    <mergeCell ref="BO110:CL110"/>
    <mergeCell ref="BA112:BN112"/>
    <mergeCell ref="BO112:CL112"/>
    <mergeCell ref="BA113:BN113"/>
    <mergeCell ref="BO113:CL113"/>
    <mergeCell ref="BA114:BN114"/>
    <mergeCell ref="BO114:CL114"/>
    <mergeCell ref="BA116:BN116"/>
    <mergeCell ref="BO116:CL116"/>
    <mergeCell ref="BA117:BN117"/>
    <mergeCell ref="BO117:CL117"/>
    <mergeCell ref="C218:P218"/>
    <mergeCell ref="Q218:AN218"/>
    <mergeCell ref="C213:P213"/>
    <mergeCell ref="Q213:AN213"/>
    <mergeCell ref="AP213:BC213"/>
    <mergeCell ref="BD213:CA213"/>
    <mergeCell ref="C214:P214"/>
    <mergeCell ref="Q214:AN214"/>
    <mergeCell ref="AP214:BC214"/>
    <mergeCell ref="BD214:CA214"/>
    <mergeCell ref="C215:P215"/>
    <mergeCell ref="Q215:AN215"/>
    <mergeCell ref="AP215:BC215"/>
    <mergeCell ref="BD215:CA215"/>
    <mergeCell ref="C212:P212"/>
    <mergeCell ref="Q212:AN212"/>
    <mergeCell ref="AP212:BC212"/>
    <mergeCell ref="BD212:CA212"/>
    <mergeCell ref="C216:P216"/>
    <mergeCell ref="Q216:AN216"/>
    <mergeCell ref="AP216:BC216"/>
    <mergeCell ref="BD216:CA216"/>
    <mergeCell ref="C217:P217"/>
    <mergeCell ref="Q217:AN217"/>
    <mergeCell ref="C209:P209"/>
    <mergeCell ref="Q209:AN209"/>
    <mergeCell ref="AP209:BC209"/>
    <mergeCell ref="BD209:CA209"/>
    <mergeCell ref="C210:P210"/>
    <mergeCell ref="Q210:AN210"/>
    <mergeCell ref="AP210:BC210"/>
    <mergeCell ref="BD210:CA210"/>
    <mergeCell ref="C211:P211"/>
    <mergeCell ref="Q211:AN211"/>
    <mergeCell ref="AP211:BC211"/>
    <mergeCell ref="BD211:CA211"/>
    <mergeCell ref="C206:P206"/>
    <mergeCell ref="Q206:AN206"/>
    <mergeCell ref="AP206:BC206"/>
    <mergeCell ref="BD206:CA206"/>
    <mergeCell ref="C207:P207"/>
    <mergeCell ref="Q207:AN207"/>
    <mergeCell ref="AP207:BC207"/>
    <mergeCell ref="BD207:CA207"/>
    <mergeCell ref="C208:P208"/>
    <mergeCell ref="Q208:AN208"/>
    <mergeCell ref="AP208:BC208"/>
    <mergeCell ref="BD208:CA208"/>
    <mergeCell ref="C203:P203"/>
    <mergeCell ref="Q203:AN203"/>
    <mergeCell ref="AP203:BC203"/>
    <mergeCell ref="BD203:CA203"/>
    <mergeCell ref="C204:P204"/>
    <mergeCell ref="Q204:AN204"/>
    <mergeCell ref="AP204:BC204"/>
    <mergeCell ref="BD204:CA204"/>
    <mergeCell ref="C205:P205"/>
    <mergeCell ref="Q205:AN205"/>
    <mergeCell ref="AP205:BC205"/>
    <mergeCell ref="BD205:CA205"/>
    <mergeCell ref="C200:P200"/>
    <mergeCell ref="Q200:AN200"/>
    <mergeCell ref="AP200:BC200"/>
    <mergeCell ref="BD200:CA200"/>
    <mergeCell ref="C201:P201"/>
    <mergeCell ref="Q201:AN201"/>
    <mergeCell ref="AP201:BC201"/>
    <mergeCell ref="BD201:CA201"/>
    <mergeCell ref="C202:P202"/>
    <mergeCell ref="Q202:AN202"/>
    <mergeCell ref="AP202:BC202"/>
    <mergeCell ref="BD202:CA202"/>
    <mergeCell ref="C197:P197"/>
    <mergeCell ref="Q197:AN197"/>
    <mergeCell ref="AP197:BC197"/>
    <mergeCell ref="BD197:CA197"/>
    <mergeCell ref="C198:P198"/>
    <mergeCell ref="Q198:AN198"/>
    <mergeCell ref="AP198:BC198"/>
    <mergeCell ref="BD198:CA198"/>
    <mergeCell ref="C199:P199"/>
    <mergeCell ref="Q199:AN199"/>
    <mergeCell ref="AP199:BC199"/>
    <mergeCell ref="BD199:CA199"/>
    <mergeCell ref="C194:P194"/>
    <mergeCell ref="Q194:AN194"/>
    <mergeCell ref="AP194:BC194"/>
    <mergeCell ref="BD194:CA194"/>
    <mergeCell ref="C195:P195"/>
    <mergeCell ref="Q195:AN195"/>
    <mergeCell ref="AP195:BC195"/>
    <mergeCell ref="BD195:CA195"/>
    <mergeCell ref="C196:P196"/>
    <mergeCell ref="Q196:AN196"/>
    <mergeCell ref="AP196:BC196"/>
    <mergeCell ref="BD196:CA196"/>
    <mergeCell ref="C191:P191"/>
    <mergeCell ref="Q191:AN191"/>
    <mergeCell ref="AP191:BC191"/>
    <mergeCell ref="BD191:CA191"/>
    <mergeCell ref="C192:P192"/>
    <mergeCell ref="Q192:AN192"/>
    <mergeCell ref="AP192:BC192"/>
    <mergeCell ref="BD192:CA192"/>
    <mergeCell ref="C193:P193"/>
    <mergeCell ref="Q193:AN193"/>
    <mergeCell ref="AP193:BC193"/>
    <mergeCell ref="BD193:CA193"/>
    <mergeCell ref="C188:P188"/>
    <mergeCell ref="Q188:AN188"/>
    <mergeCell ref="AP188:BC188"/>
    <mergeCell ref="BD188:CA188"/>
    <mergeCell ref="C189:P189"/>
    <mergeCell ref="Q189:AN189"/>
    <mergeCell ref="AP189:BC189"/>
    <mergeCell ref="BD189:CA189"/>
    <mergeCell ref="C190:P190"/>
    <mergeCell ref="Q190:AN190"/>
    <mergeCell ref="AP190:BC190"/>
    <mergeCell ref="BD190:CA190"/>
    <mergeCell ref="C185:P185"/>
    <mergeCell ref="Q185:AN185"/>
    <mergeCell ref="AP185:BC185"/>
    <mergeCell ref="BD185:CA185"/>
    <mergeCell ref="C186:P186"/>
    <mergeCell ref="Q186:AN186"/>
    <mergeCell ref="AP186:BC186"/>
    <mergeCell ref="BD186:CA186"/>
    <mergeCell ref="C187:P187"/>
    <mergeCell ref="Q187:AN187"/>
    <mergeCell ref="AP187:BC187"/>
    <mergeCell ref="BD187:CA187"/>
    <mergeCell ref="C182:P182"/>
    <mergeCell ref="Q182:AN182"/>
    <mergeCell ref="AP182:BC182"/>
    <mergeCell ref="BD182:CA182"/>
    <mergeCell ref="C183:P183"/>
    <mergeCell ref="Q183:AN183"/>
    <mergeCell ref="AP183:BC183"/>
    <mergeCell ref="BD183:CA183"/>
    <mergeCell ref="C184:P184"/>
    <mergeCell ref="Q184:AN184"/>
    <mergeCell ref="AP184:BC184"/>
    <mergeCell ref="BD184:CA184"/>
    <mergeCell ref="A177:CR177"/>
    <mergeCell ref="C181:P181"/>
    <mergeCell ref="Q181:AN181"/>
    <mergeCell ref="AP181:BC181"/>
    <mergeCell ref="BD181:CA181"/>
    <mergeCell ref="BA126:BN126"/>
    <mergeCell ref="BO126:CL126"/>
    <mergeCell ref="BA127:BN127"/>
    <mergeCell ref="BO127:CL127"/>
    <mergeCell ref="A134:CR134"/>
    <mergeCell ref="C138:P138"/>
    <mergeCell ref="Q138:AN138"/>
    <mergeCell ref="AP138:BC138"/>
    <mergeCell ref="BD138:CA138"/>
    <mergeCell ref="BA128:BN128"/>
    <mergeCell ref="BO128:CL128"/>
    <mergeCell ref="BA129:BN129"/>
    <mergeCell ref="BO129:CL129"/>
    <mergeCell ref="BA130:BN130"/>
    <mergeCell ref="BO130:CL130"/>
    <mergeCell ref="BA131:BN131"/>
    <mergeCell ref="BO131:CL131"/>
    <mergeCell ref="C141:P141"/>
    <mergeCell ref="Q141:AN141"/>
    <mergeCell ref="K41:AV41"/>
    <mergeCell ref="AW41:BH41"/>
    <mergeCell ref="AW44:BH44"/>
    <mergeCell ref="A40:J40"/>
    <mergeCell ref="K40:AV40"/>
    <mergeCell ref="AW40:BH40"/>
    <mergeCell ref="A42:J42"/>
    <mergeCell ref="K42:AV42"/>
    <mergeCell ref="AW42:BH42"/>
    <mergeCell ref="BA52:BG52"/>
    <mergeCell ref="BH52:BV52"/>
    <mergeCell ref="A48:CR48"/>
    <mergeCell ref="BT4:CR4"/>
    <mergeCell ref="A5:BH5"/>
    <mergeCell ref="BI5:CR5"/>
    <mergeCell ref="BI12:CR12"/>
    <mergeCell ref="A38:BH38"/>
    <mergeCell ref="BI38:CR38"/>
    <mergeCell ref="A4:H4"/>
    <mergeCell ref="I4:AK4"/>
    <mergeCell ref="AL4:AR4"/>
    <mergeCell ref="AS4:BH4"/>
    <mergeCell ref="BI4:BS4"/>
    <mergeCell ref="A43:J43"/>
    <mergeCell ref="K43:AV43"/>
    <mergeCell ref="AW43:BH43"/>
    <mergeCell ref="BI43:CR43"/>
    <mergeCell ref="A44:J44"/>
    <mergeCell ref="K44:AV44"/>
    <mergeCell ref="A39:J39"/>
    <mergeCell ref="K39:AV39"/>
    <mergeCell ref="AW39:BH39"/>
    <mergeCell ref="A41:J41"/>
    <mergeCell ref="A47:J47"/>
    <mergeCell ref="K47:AV47"/>
    <mergeCell ref="AW47:BH47"/>
    <mergeCell ref="A45:J45"/>
    <mergeCell ref="K45:AV45"/>
    <mergeCell ref="AW45:BH45"/>
    <mergeCell ref="A46:J46"/>
    <mergeCell ref="K46:AV46"/>
    <mergeCell ref="AW46:BH46"/>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B54:O54"/>
    <mergeCell ref="P54:T54"/>
    <mergeCell ref="U54:W54"/>
    <mergeCell ref="X54:AV54"/>
    <mergeCell ref="B51:O51"/>
    <mergeCell ref="P51:T51"/>
    <mergeCell ref="U51:W51"/>
    <mergeCell ref="X51:AV51"/>
    <mergeCell ref="B52:O52"/>
    <mergeCell ref="P52:T52"/>
    <mergeCell ref="U52:W52"/>
    <mergeCell ref="X52:AV52"/>
    <mergeCell ref="B53:O53"/>
    <mergeCell ref="P53:T53"/>
    <mergeCell ref="U53:W53"/>
    <mergeCell ref="X53:AV53"/>
    <mergeCell ref="B55:O55"/>
    <mergeCell ref="P55:T55"/>
    <mergeCell ref="U55:W55"/>
    <mergeCell ref="X55:AV55"/>
    <mergeCell ref="B56:O56"/>
    <mergeCell ref="P56:T56"/>
    <mergeCell ref="U56:W56"/>
    <mergeCell ref="X56:AV56"/>
    <mergeCell ref="C107:P107"/>
    <mergeCell ref="C94:P94"/>
    <mergeCell ref="C95:P95"/>
    <mergeCell ref="B57:I62"/>
    <mergeCell ref="J57:O59"/>
    <mergeCell ref="P57:T59"/>
    <mergeCell ref="C100:P100"/>
    <mergeCell ref="U57:W59"/>
    <mergeCell ref="X57:AV62"/>
    <mergeCell ref="J60:O62"/>
    <mergeCell ref="P60:T62"/>
    <mergeCell ref="U60:W62"/>
    <mergeCell ref="Q95:AS95"/>
    <mergeCell ref="Q94:AS94"/>
    <mergeCell ref="Q100:AS100"/>
    <mergeCell ref="Q101:AS101"/>
    <mergeCell ref="C108:P108"/>
    <mergeCell ref="C101:P101"/>
    <mergeCell ref="C102:P102"/>
    <mergeCell ref="C103:P103"/>
    <mergeCell ref="C104:P104"/>
    <mergeCell ref="C105:P105"/>
    <mergeCell ref="C106:P106"/>
    <mergeCell ref="Q102:AS102"/>
    <mergeCell ref="Q103:AS103"/>
    <mergeCell ref="Q104:AS104"/>
    <mergeCell ref="Q106:AS106"/>
    <mergeCell ref="Q107:AS107"/>
    <mergeCell ref="Q108:AS108"/>
    <mergeCell ref="AP141:BC141"/>
    <mergeCell ref="BD141:CA141"/>
    <mergeCell ref="C142:P142"/>
    <mergeCell ref="Q142:AN142"/>
    <mergeCell ref="AP142:BC142"/>
    <mergeCell ref="BD142:CA142"/>
    <mergeCell ref="C139:P139"/>
    <mergeCell ref="Q139:AN139"/>
    <mergeCell ref="AP139:BC139"/>
    <mergeCell ref="BD139:CA139"/>
    <mergeCell ref="C140:P140"/>
    <mergeCell ref="Q140:AN140"/>
    <mergeCell ref="AP140:BC140"/>
    <mergeCell ref="BD140:CA140"/>
    <mergeCell ref="C145:P145"/>
    <mergeCell ref="Q145:AN145"/>
    <mergeCell ref="AP145:BC145"/>
    <mergeCell ref="BD145:CA145"/>
    <mergeCell ref="C146:P146"/>
    <mergeCell ref="Q146:AN146"/>
    <mergeCell ref="AP146:BC146"/>
    <mergeCell ref="BD146:CA146"/>
    <mergeCell ref="C143:P143"/>
    <mergeCell ref="Q143:AN143"/>
    <mergeCell ref="AP143:BC143"/>
    <mergeCell ref="BD143:CA143"/>
    <mergeCell ref="C144:P144"/>
    <mergeCell ref="Q144:AN144"/>
    <mergeCell ref="AP144:BC144"/>
    <mergeCell ref="BD144:CA144"/>
    <mergeCell ref="C149:P149"/>
    <mergeCell ref="Q149:AN149"/>
    <mergeCell ref="AP149:BC149"/>
    <mergeCell ref="BD149:CA149"/>
    <mergeCell ref="C150:P150"/>
    <mergeCell ref="Q150:AN150"/>
    <mergeCell ref="AP150:BC150"/>
    <mergeCell ref="BD150:CA150"/>
    <mergeCell ref="C147:P147"/>
    <mergeCell ref="Q147:AN147"/>
    <mergeCell ref="AP147:BC147"/>
    <mergeCell ref="BD147:CA147"/>
    <mergeCell ref="C148:P148"/>
    <mergeCell ref="Q148:AN148"/>
    <mergeCell ref="AP148:BC148"/>
    <mergeCell ref="BD148:CA148"/>
    <mergeCell ref="C153:P153"/>
    <mergeCell ref="AP153:BC153"/>
    <mergeCell ref="BD153:CA153"/>
    <mergeCell ref="C154:P154"/>
    <mergeCell ref="Q154:AN154"/>
    <mergeCell ref="AP154:BC154"/>
    <mergeCell ref="BD154:CA154"/>
    <mergeCell ref="C151:P151"/>
    <mergeCell ref="Q151:AN151"/>
    <mergeCell ref="AP151:BC151"/>
    <mergeCell ref="BD151:CA151"/>
    <mergeCell ref="C152:P152"/>
    <mergeCell ref="AP152:BC152"/>
    <mergeCell ref="BD152:CA152"/>
    <mergeCell ref="Q152:AN152"/>
    <mergeCell ref="Q153:AN153"/>
    <mergeCell ref="C157:P157"/>
    <mergeCell ref="Q157:AN157"/>
    <mergeCell ref="AP157:BC157"/>
    <mergeCell ref="BD157:CA157"/>
    <mergeCell ref="C158:P158"/>
    <mergeCell ref="Q158:AN158"/>
    <mergeCell ref="AP158:BC158"/>
    <mergeCell ref="BD158:CA158"/>
    <mergeCell ref="C155:P155"/>
    <mergeCell ref="Q155:AN155"/>
    <mergeCell ref="AP155:BC155"/>
    <mergeCell ref="BD155:CA155"/>
    <mergeCell ref="C156:P156"/>
    <mergeCell ref="Q156:AN156"/>
    <mergeCell ref="AP156:BC156"/>
    <mergeCell ref="BD156:CA156"/>
    <mergeCell ref="C161:P161"/>
    <mergeCell ref="Q161:AN161"/>
    <mergeCell ref="AP161:BC161"/>
    <mergeCell ref="BD161:CA161"/>
    <mergeCell ref="C162:P162"/>
    <mergeCell ref="Q162:AN162"/>
    <mergeCell ref="AP162:BC162"/>
    <mergeCell ref="BD162:CA162"/>
    <mergeCell ref="C159:P159"/>
    <mergeCell ref="Q159:AN159"/>
    <mergeCell ref="AP159:BC159"/>
    <mergeCell ref="BD159:CA159"/>
    <mergeCell ref="C160:P160"/>
    <mergeCell ref="Q160:AN160"/>
    <mergeCell ref="AP160:BC160"/>
    <mergeCell ref="BD160:CA160"/>
    <mergeCell ref="C165:P165"/>
    <mergeCell ref="Q165:AN165"/>
    <mergeCell ref="AP165:BC165"/>
    <mergeCell ref="BD165:CA165"/>
    <mergeCell ref="C166:P166"/>
    <mergeCell ref="Q166:AN166"/>
    <mergeCell ref="AP166:BC166"/>
    <mergeCell ref="BD166:CA166"/>
    <mergeCell ref="C163:P163"/>
    <mergeCell ref="Q163:AN163"/>
    <mergeCell ref="AP163:BC163"/>
    <mergeCell ref="BD163:CA163"/>
    <mergeCell ref="C164:P164"/>
    <mergeCell ref="Q164:AN164"/>
    <mergeCell ref="AP164:BC164"/>
    <mergeCell ref="BD164:CA164"/>
    <mergeCell ref="C169:P169"/>
    <mergeCell ref="Q169:AN169"/>
    <mergeCell ref="AP169:BC169"/>
    <mergeCell ref="BD169:CA169"/>
    <mergeCell ref="C170:P170"/>
    <mergeCell ref="Q170:AN170"/>
    <mergeCell ref="AP170:BC170"/>
    <mergeCell ref="BD170:CA170"/>
    <mergeCell ref="C167:P167"/>
    <mergeCell ref="Q167:AN167"/>
    <mergeCell ref="AP167:BC167"/>
    <mergeCell ref="BD167:CA167"/>
    <mergeCell ref="C168:P168"/>
    <mergeCell ref="Q168:AN168"/>
    <mergeCell ref="AP168:BC168"/>
    <mergeCell ref="BD168:CA168"/>
    <mergeCell ref="C175:P175"/>
    <mergeCell ref="Q175:AN175"/>
    <mergeCell ref="C173:P173"/>
    <mergeCell ref="Q173:AN173"/>
    <mergeCell ref="AP173:BC173"/>
    <mergeCell ref="BD173:CA173"/>
    <mergeCell ref="C174:P174"/>
    <mergeCell ref="Q174:AN174"/>
    <mergeCell ref="C171:P171"/>
    <mergeCell ref="Q171:AN171"/>
    <mergeCell ref="AP171:BC171"/>
    <mergeCell ref="BD171:CA171"/>
    <mergeCell ref="C172:P172"/>
    <mergeCell ref="Q172:AN172"/>
    <mergeCell ref="AP172:BC172"/>
    <mergeCell ref="BD172:CA172"/>
  </mergeCells>
  <phoneticPr fontId="10"/>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7A4CC-2E01-4520-90DE-2E5DF29485EF}">
  <dimension ref="A1:DS219"/>
  <sheetViews>
    <sheetView view="pageBreakPreview" zoomScale="85" zoomScaleNormal="100" zoomScaleSheetLayoutView="85"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54" width="1.88671875" style="17"/>
    <col min="55" max="55" width="1.88671875" style="17" customWidth="1"/>
    <col min="56" max="85" width="1.88671875" style="17"/>
    <col min="86" max="86" width="1.88671875" style="17" customWidth="1"/>
    <col min="87" max="16384" width="1.88671875" style="17"/>
  </cols>
  <sheetData>
    <row r="1" spans="1:96" s="15" customFormat="1" ht="15" customHeight="1" x14ac:dyDescent="0.2">
      <c r="A1" s="267" t="s">
        <v>1</v>
      </c>
      <c r="B1" s="268"/>
      <c r="C1" s="268"/>
      <c r="D1" s="268"/>
      <c r="E1" s="268"/>
      <c r="F1" s="268"/>
      <c r="G1" s="268"/>
      <c r="H1" s="269"/>
      <c r="I1" s="270" t="str">
        <f>タイトル!I40</f>
        <v>　学生勤務管理システム</v>
      </c>
      <c r="J1" s="271"/>
      <c r="K1" s="271"/>
      <c r="L1" s="271"/>
      <c r="M1" s="271"/>
      <c r="N1" s="271"/>
      <c r="O1" s="271"/>
      <c r="P1" s="271"/>
      <c r="Q1" s="271"/>
      <c r="R1" s="271"/>
      <c r="S1" s="271"/>
      <c r="T1" s="271"/>
      <c r="U1" s="271"/>
      <c r="V1" s="271"/>
      <c r="W1" s="271"/>
      <c r="X1" s="271"/>
      <c r="Y1" s="271"/>
      <c r="Z1" s="271"/>
      <c r="AA1" s="271"/>
      <c r="AB1" s="271"/>
      <c r="AC1" s="271"/>
      <c r="AD1" s="272"/>
      <c r="AE1" s="273" t="s">
        <v>0</v>
      </c>
      <c r="AF1" s="274"/>
      <c r="AG1" s="274"/>
      <c r="AH1" s="274"/>
      <c r="AI1" s="274"/>
      <c r="AJ1" s="274"/>
      <c r="AK1" s="275"/>
      <c r="AL1" s="276" t="s">
        <v>54</v>
      </c>
      <c r="AM1" s="277"/>
      <c r="AN1" s="277"/>
      <c r="AO1" s="277"/>
      <c r="AP1" s="277"/>
      <c r="AQ1" s="277"/>
      <c r="AR1" s="277"/>
      <c r="AS1" s="277"/>
      <c r="AT1" s="277"/>
      <c r="AU1" s="277"/>
      <c r="AV1" s="277"/>
      <c r="AW1" s="277"/>
      <c r="AX1" s="277"/>
      <c r="AY1" s="277"/>
      <c r="AZ1" s="277"/>
      <c r="BA1" s="277"/>
      <c r="BB1" s="277"/>
      <c r="BC1" s="277"/>
      <c r="BD1" s="277"/>
      <c r="BE1" s="277"/>
      <c r="BF1" s="277"/>
      <c r="BG1" s="277"/>
      <c r="BH1" s="278"/>
      <c r="BI1" s="273" t="s">
        <v>12</v>
      </c>
      <c r="BJ1" s="274"/>
      <c r="BK1" s="274"/>
      <c r="BL1" s="275"/>
      <c r="BM1" s="279" t="str">
        <f>タイトル!I46</f>
        <v>木田　優</v>
      </c>
      <c r="BN1" s="280"/>
      <c r="BO1" s="280"/>
      <c r="BP1" s="280"/>
      <c r="BQ1" s="280"/>
      <c r="BR1" s="280"/>
      <c r="BS1" s="280"/>
      <c r="BT1" s="280"/>
      <c r="BU1" s="280"/>
      <c r="BV1" s="281"/>
      <c r="BW1" s="225">
        <f>タイトル!I47</f>
        <v>45196</v>
      </c>
      <c r="BX1" s="226"/>
      <c r="BY1" s="226"/>
      <c r="BZ1" s="226"/>
      <c r="CA1" s="226"/>
      <c r="CB1" s="226"/>
      <c r="CC1" s="226"/>
      <c r="CD1" s="226"/>
      <c r="CE1" s="227"/>
      <c r="CF1" s="228" t="s">
        <v>13</v>
      </c>
      <c r="CG1" s="229"/>
      <c r="CH1" s="229"/>
      <c r="CI1" s="229"/>
      <c r="CJ1" s="230"/>
      <c r="CK1" s="237" t="str">
        <f>タイトル!I50</f>
        <v>DUC010</v>
      </c>
      <c r="CL1" s="238"/>
      <c r="CM1" s="238"/>
      <c r="CN1" s="238"/>
      <c r="CO1" s="238"/>
      <c r="CP1" s="238"/>
      <c r="CQ1" s="238"/>
      <c r="CR1" s="239"/>
    </row>
    <row r="2" spans="1:96" s="15" customFormat="1" ht="15" customHeight="1" x14ac:dyDescent="0.2">
      <c r="A2" s="246" t="s">
        <v>14</v>
      </c>
      <c r="B2" s="247"/>
      <c r="C2" s="247"/>
      <c r="D2" s="247"/>
      <c r="E2" s="247"/>
      <c r="F2" s="247"/>
      <c r="G2" s="247"/>
      <c r="H2" s="248"/>
      <c r="I2" s="249" t="s">
        <v>55</v>
      </c>
      <c r="J2" s="250"/>
      <c r="K2" s="250"/>
      <c r="L2" s="250"/>
      <c r="M2" s="250"/>
      <c r="N2" s="250"/>
      <c r="O2" s="250"/>
      <c r="P2" s="250"/>
      <c r="Q2" s="250"/>
      <c r="R2" s="250"/>
      <c r="S2" s="250"/>
      <c r="T2" s="250"/>
      <c r="U2" s="250"/>
      <c r="V2" s="250"/>
      <c r="W2" s="250"/>
      <c r="X2" s="250"/>
      <c r="Y2" s="250"/>
      <c r="Z2" s="250"/>
      <c r="AA2" s="250"/>
      <c r="AB2" s="250"/>
      <c r="AC2" s="250"/>
      <c r="AD2" s="251"/>
      <c r="AE2" s="252" t="s">
        <v>32</v>
      </c>
      <c r="AF2" s="253"/>
      <c r="AG2" s="253"/>
      <c r="AH2" s="253"/>
      <c r="AI2" s="253"/>
      <c r="AJ2" s="253"/>
      <c r="AK2" s="254"/>
      <c r="AL2" s="255" t="str">
        <f>タイトル!I44</f>
        <v>　CZ-010_雇用情報マスタ</v>
      </c>
      <c r="AM2" s="256"/>
      <c r="AN2" s="256"/>
      <c r="AO2" s="256"/>
      <c r="AP2" s="256"/>
      <c r="AQ2" s="256"/>
      <c r="AR2" s="256"/>
      <c r="AS2" s="256"/>
      <c r="AT2" s="256"/>
      <c r="AU2" s="256"/>
      <c r="AV2" s="256"/>
      <c r="AW2" s="256"/>
      <c r="AX2" s="256"/>
      <c r="AY2" s="256"/>
      <c r="AZ2" s="256"/>
      <c r="BA2" s="256"/>
      <c r="BB2" s="256"/>
      <c r="BC2" s="256"/>
      <c r="BD2" s="256"/>
      <c r="BE2" s="256"/>
      <c r="BF2" s="256"/>
      <c r="BG2" s="256"/>
      <c r="BH2" s="257"/>
      <c r="BI2" s="258" t="s">
        <v>15</v>
      </c>
      <c r="BJ2" s="259"/>
      <c r="BK2" s="259"/>
      <c r="BL2" s="260"/>
      <c r="BM2" s="261" t="s">
        <v>336</v>
      </c>
      <c r="BN2" s="262"/>
      <c r="BO2" s="262"/>
      <c r="BP2" s="262"/>
      <c r="BQ2" s="262"/>
      <c r="BR2" s="262"/>
      <c r="BS2" s="262"/>
      <c r="BT2" s="262"/>
      <c r="BU2" s="262"/>
      <c r="BV2" s="263"/>
      <c r="BW2" s="264">
        <v>45642</v>
      </c>
      <c r="BX2" s="265"/>
      <c r="BY2" s="265"/>
      <c r="BZ2" s="265"/>
      <c r="CA2" s="265"/>
      <c r="CB2" s="265"/>
      <c r="CC2" s="265"/>
      <c r="CD2" s="265"/>
      <c r="CE2" s="266"/>
      <c r="CF2" s="231"/>
      <c r="CG2" s="232"/>
      <c r="CH2" s="232"/>
      <c r="CI2" s="232"/>
      <c r="CJ2" s="233"/>
      <c r="CK2" s="240"/>
      <c r="CL2" s="241"/>
      <c r="CM2" s="241"/>
      <c r="CN2" s="241"/>
      <c r="CO2" s="241"/>
      <c r="CP2" s="241"/>
      <c r="CQ2" s="241"/>
      <c r="CR2" s="242"/>
    </row>
    <row r="3" spans="1:96" s="15" customFormat="1" ht="15" customHeight="1" thickBot="1" x14ac:dyDescent="0.25">
      <c r="A3" s="282"/>
      <c r="B3" s="283"/>
      <c r="C3" s="283"/>
      <c r="D3" s="283"/>
      <c r="E3" s="283"/>
      <c r="F3" s="283"/>
      <c r="G3" s="283"/>
      <c r="H3" s="284"/>
      <c r="I3" s="285"/>
      <c r="J3" s="286"/>
      <c r="K3" s="286"/>
      <c r="L3" s="286"/>
      <c r="M3" s="286"/>
      <c r="N3" s="286"/>
      <c r="O3" s="286"/>
      <c r="P3" s="286"/>
      <c r="Q3" s="286"/>
      <c r="R3" s="286"/>
      <c r="S3" s="286"/>
      <c r="T3" s="286"/>
      <c r="U3" s="286"/>
      <c r="V3" s="286"/>
      <c r="W3" s="286"/>
      <c r="X3" s="286"/>
      <c r="Y3" s="286"/>
      <c r="Z3" s="286"/>
      <c r="AA3" s="286"/>
      <c r="AB3" s="286"/>
      <c r="AC3" s="286"/>
      <c r="AD3" s="287"/>
      <c r="AE3" s="234"/>
      <c r="AF3" s="235"/>
      <c r="AG3" s="235"/>
      <c r="AH3" s="235"/>
      <c r="AI3" s="235"/>
      <c r="AJ3" s="235"/>
      <c r="AK3" s="236"/>
      <c r="AL3" s="288"/>
      <c r="AM3" s="289"/>
      <c r="AN3" s="289"/>
      <c r="AO3" s="289"/>
      <c r="AP3" s="289"/>
      <c r="AQ3" s="289"/>
      <c r="AR3" s="289"/>
      <c r="AS3" s="289"/>
      <c r="AT3" s="289"/>
      <c r="AU3" s="289"/>
      <c r="AV3" s="289"/>
      <c r="AW3" s="289"/>
      <c r="AX3" s="289"/>
      <c r="AY3" s="289"/>
      <c r="AZ3" s="289"/>
      <c r="BA3" s="289"/>
      <c r="BB3" s="289"/>
      <c r="BC3" s="289"/>
      <c r="BD3" s="289"/>
      <c r="BE3" s="289"/>
      <c r="BF3" s="289"/>
      <c r="BG3" s="289"/>
      <c r="BH3" s="290"/>
      <c r="BI3" s="291"/>
      <c r="BJ3" s="292"/>
      <c r="BK3" s="292"/>
      <c r="BL3" s="293"/>
      <c r="BM3" s="294"/>
      <c r="BN3" s="295"/>
      <c r="BO3" s="295"/>
      <c r="BP3" s="295"/>
      <c r="BQ3" s="295"/>
      <c r="BR3" s="295"/>
      <c r="BS3" s="295"/>
      <c r="BT3" s="295"/>
      <c r="BU3" s="295"/>
      <c r="BV3" s="295"/>
      <c r="BW3" s="295"/>
      <c r="BX3" s="295"/>
      <c r="BY3" s="295"/>
      <c r="BZ3" s="295"/>
      <c r="CA3" s="295"/>
      <c r="CB3" s="295"/>
      <c r="CC3" s="295"/>
      <c r="CD3" s="295"/>
      <c r="CE3" s="296"/>
      <c r="CF3" s="234"/>
      <c r="CG3" s="235"/>
      <c r="CH3" s="235"/>
      <c r="CI3" s="235"/>
      <c r="CJ3" s="236"/>
      <c r="CK3" s="243"/>
      <c r="CL3" s="244"/>
      <c r="CM3" s="244"/>
      <c r="CN3" s="244"/>
      <c r="CO3" s="244"/>
      <c r="CP3" s="244"/>
      <c r="CQ3" s="244"/>
      <c r="CR3" s="245"/>
    </row>
    <row r="4" spans="1:96" s="16" customFormat="1" ht="15" customHeight="1" x14ac:dyDescent="0.2">
      <c r="A4" s="303" t="s">
        <v>56</v>
      </c>
      <c r="B4" s="304"/>
      <c r="C4" s="304"/>
      <c r="D4" s="304"/>
      <c r="E4" s="304"/>
      <c r="F4" s="304"/>
      <c r="G4" s="304"/>
      <c r="H4" s="304"/>
      <c r="I4" s="305" t="str">
        <f ca="1">"　" &amp; RIGHT(CELL("filename",A1),LEN(CELL("filename",A1))-FIND("]",CELL("filename",A1)))</f>
        <v>　雇用情報マスタ編集</v>
      </c>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c r="AL4" s="304" t="s">
        <v>57</v>
      </c>
      <c r="AM4" s="304"/>
      <c r="AN4" s="304"/>
      <c r="AO4" s="304"/>
      <c r="AP4" s="304"/>
      <c r="AQ4" s="304"/>
      <c r="AR4" s="304"/>
      <c r="AS4" s="469" t="s">
        <v>108</v>
      </c>
      <c r="AT4" s="469"/>
      <c r="AU4" s="469"/>
      <c r="AV4" s="469"/>
      <c r="AW4" s="469"/>
      <c r="AX4" s="469"/>
      <c r="AY4" s="469"/>
      <c r="AZ4" s="469"/>
      <c r="BA4" s="469"/>
      <c r="BB4" s="469"/>
      <c r="BC4" s="469"/>
      <c r="BD4" s="469"/>
      <c r="BE4" s="469"/>
      <c r="BF4" s="469"/>
      <c r="BG4" s="469"/>
      <c r="BH4" s="469"/>
      <c r="BI4" s="405" t="s">
        <v>35</v>
      </c>
      <c r="BJ4" s="406"/>
      <c r="BK4" s="406"/>
      <c r="BL4" s="406"/>
      <c r="BM4" s="406"/>
      <c r="BN4" s="406"/>
      <c r="BO4" s="406"/>
      <c r="BP4" s="406"/>
      <c r="BQ4" s="406"/>
      <c r="BR4" s="406"/>
      <c r="BS4" s="406"/>
      <c r="BT4" s="399" t="s">
        <v>87</v>
      </c>
      <c r="BU4" s="400"/>
      <c r="BV4" s="400"/>
      <c r="BW4" s="400"/>
      <c r="BX4" s="400"/>
      <c r="BY4" s="400"/>
      <c r="BZ4" s="400"/>
      <c r="CA4" s="400"/>
      <c r="CB4" s="400"/>
      <c r="CC4" s="400"/>
      <c r="CD4" s="400"/>
      <c r="CE4" s="400"/>
      <c r="CF4" s="400"/>
      <c r="CG4" s="400"/>
      <c r="CH4" s="400"/>
      <c r="CI4" s="400"/>
      <c r="CJ4" s="400"/>
      <c r="CK4" s="400"/>
      <c r="CL4" s="400"/>
      <c r="CM4" s="400"/>
      <c r="CN4" s="400"/>
      <c r="CO4" s="400"/>
      <c r="CP4" s="400"/>
      <c r="CQ4" s="400"/>
      <c r="CR4" s="401"/>
    </row>
    <row r="5" spans="1:96" s="12" customFormat="1" ht="15" customHeight="1" x14ac:dyDescent="0.15">
      <c r="A5" s="297" t="s">
        <v>58</v>
      </c>
      <c r="B5" s="298"/>
      <c r="C5" s="298"/>
      <c r="D5" s="298"/>
      <c r="E5" s="298"/>
      <c r="F5" s="298"/>
      <c r="G5" s="298"/>
      <c r="H5" s="298"/>
      <c r="I5" s="298"/>
      <c r="J5" s="298"/>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298"/>
      <c r="BD5" s="298"/>
      <c r="BE5" s="298"/>
      <c r="BF5" s="298"/>
      <c r="BG5" s="298"/>
      <c r="BH5" s="298"/>
      <c r="BI5" s="402" t="s">
        <v>59</v>
      </c>
      <c r="BJ5" s="402"/>
      <c r="BK5" s="402"/>
      <c r="BL5" s="402"/>
      <c r="BM5" s="402"/>
      <c r="BN5" s="402"/>
      <c r="BO5" s="402"/>
      <c r="BP5" s="402"/>
      <c r="BQ5" s="402"/>
      <c r="BR5" s="402"/>
      <c r="BS5" s="402"/>
      <c r="BT5" s="402"/>
      <c r="BU5" s="402"/>
      <c r="BV5" s="402"/>
      <c r="BW5" s="402"/>
      <c r="BX5" s="402"/>
      <c r="BY5" s="402"/>
      <c r="BZ5" s="402"/>
      <c r="CA5" s="402"/>
      <c r="CB5" s="402"/>
      <c r="CC5" s="402"/>
      <c r="CD5" s="402"/>
      <c r="CE5" s="402"/>
      <c r="CF5" s="402"/>
      <c r="CG5" s="402"/>
      <c r="CH5" s="402"/>
      <c r="CI5" s="402"/>
      <c r="CJ5" s="402"/>
      <c r="CK5" s="402"/>
      <c r="CL5" s="402"/>
      <c r="CM5" s="402"/>
      <c r="CN5" s="402"/>
      <c r="CO5" s="402"/>
      <c r="CP5" s="402"/>
      <c r="CQ5" s="402"/>
      <c r="CR5" s="403"/>
    </row>
    <row r="6" spans="1:96" s="13" customFormat="1" ht="15" customHeight="1" x14ac:dyDescent="0.15">
      <c r="A6" s="46"/>
      <c r="B6" s="47"/>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18"/>
      <c r="BI6" s="49"/>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1"/>
    </row>
    <row r="7" spans="1:96" s="13" customFormat="1" ht="15" customHeight="1" x14ac:dyDescent="0.15">
      <c r="A7" s="46"/>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2"/>
      <c r="BJ7" s="18" t="s">
        <v>60</v>
      </c>
      <c r="BK7" s="18" t="s">
        <v>109</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6"/>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2"/>
      <c r="BJ8" s="18"/>
      <c r="BK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6"/>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2"/>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6"/>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2"/>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6"/>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2"/>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6"/>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404" t="s">
        <v>61</v>
      </c>
      <c r="BJ12" s="298"/>
      <c r="BK12" s="298"/>
      <c r="BL12" s="298"/>
      <c r="BM12" s="298"/>
      <c r="BN12" s="298"/>
      <c r="BO12" s="298"/>
      <c r="BP12" s="298"/>
      <c r="BQ12" s="298"/>
      <c r="BR12" s="298"/>
      <c r="BS12" s="298"/>
      <c r="BT12" s="298"/>
      <c r="BU12" s="298"/>
      <c r="BV12" s="298"/>
      <c r="BW12" s="298"/>
      <c r="BX12" s="298"/>
      <c r="BY12" s="298"/>
      <c r="BZ12" s="298"/>
      <c r="CA12" s="298"/>
      <c r="CB12" s="298"/>
      <c r="CC12" s="298"/>
      <c r="CD12" s="298"/>
      <c r="CE12" s="298"/>
      <c r="CF12" s="298"/>
      <c r="CG12" s="298"/>
      <c r="CH12" s="298"/>
      <c r="CI12" s="298"/>
      <c r="CJ12" s="298"/>
      <c r="CK12" s="298"/>
      <c r="CL12" s="298"/>
      <c r="CM12" s="298"/>
      <c r="CN12" s="298"/>
      <c r="CO12" s="298"/>
      <c r="CP12" s="298"/>
      <c r="CQ12" s="298"/>
      <c r="CR12" s="299"/>
    </row>
    <row r="13" spans="1:96" s="13" customFormat="1" ht="15" customHeight="1" x14ac:dyDescent="0.15">
      <c r="A13" s="46"/>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2"/>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6"/>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2"/>
      <c r="BJ14" s="13" t="s">
        <v>62</v>
      </c>
      <c r="BK14" s="13" t="s">
        <v>306</v>
      </c>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6"/>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2"/>
      <c r="CQ15" s="18"/>
      <c r="CR15" s="19"/>
    </row>
    <row r="16" spans="1:96" s="13" customFormat="1" ht="15" customHeight="1" x14ac:dyDescent="0.15">
      <c r="A16" s="4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2"/>
      <c r="BJ16" s="18" t="s">
        <v>60</v>
      </c>
      <c r="BK16" s="13" t="s">
        <v>307</v>
      </c>
      <c r="CQ16" s="18"/>
      <c r="CR16" s="19"/>
    </row>
    <row r="17" spans="1:123" s="13" customFormat="1" ht="15" customHeight="1" x14ac:dyDescent="0.15">
      <c r="A17" s="46"/>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2"/>
      <c r="BL17" s="18"/>
      <c r="CQ17" s="18"/>
      <c r="CR17" s="19"/>
    </row>
    <row r="18" spans="1:123" s="13" customFormat="1" ht="15" customHeight="1" x14ac:dyDescent="0.15">
      <c r="A18" s="46"/>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2"/>
      <c r="BJ18" s="18" t="s">
        <v>60</v>
      </c>
      <c r="BK18" s="13" t="s">
        <v>73</v>
      </c>
      <c r="CQ18" s="18"/>
      <c r="CR18" s="19"/>
    </row>
    <row r="19" spans="1:123" s="13" customFormat="1" ht="15" customHeight="1" x14ac:dyDescent="0.15">
      <c r="A19" s="46"/>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2"/>
      <c r="BK19" s="13" t="s">
        <v>74</v>
      </c>
      <c r="CQ19" s="18"/>
      <c r="CR19" s="19"/>
    </row>
    <row r="20" spans="1:123" s="13" customFormat="1" ht="15" customHeight="1" x14ac:dyDescent="0.15">
      <c r="A20" s="46"/>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2"/>
      <c r="BJ20" s="18"/>
      <c r="CQ20" s="18"/>
      <c r="CR20" s="19"/>
    </row>
    <row r="21" spans="1:123" s="13" customFormat="1" ht="15" customHeight="1" x14ac:dyDescent="0.15">
      <c r="A21" s="46"/>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2"/>
      <c r="BJ21" s="18" t="s">
        <v>60</v>
      </c>
      <c r="BK21" s="13" t="s">
        <v>314</v>
      </c>
      <c r="BL21" s="18"/>
      <c r="BM21" s="18"/>
      <c r="CQ21" s="18"/>
      <c r="CR21" s="19"/>
    </row>
    <row r="22" spans="1:123" s="13" customFormat="1" ht="15" customHeight="1" x14ac:dyDescent="0.15">
      <c r="A22" s="46"/>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2"/>
      <c r="BK22" s="13" t="s">
        <v>315</v>
      </c>
      <c r="BW22" s="18"/>
      <c r="BX22" s="18"/>
      <c r="BY22" s="18"/>
      <c r="BZ22" s="18"/>
      <c r="CA22" s="18"/>
      <c r="CB22" s="18"/>
      <c r="CC22" s="18"/>
      <c r="CD22" s="18"/>
      <c r="CE22" s="18"/>
      <c r="CF22" s="18"/>
      <c r="CG22" s="18"/>
      <c r="CH22" s="18"/>
      <c r="CI22" s="18"/>
      <c r="CJ22" s="18"/>
      <c r="CK22" s="18"/>
      <c r="CL22" s="18"/>
      <c r="CM22" s="18"/>
      <c r="CN22" s="18"/>
      <c r="CO22" s="18"/>
      <c r="CP22" s="18"/>
      <c r="CQ22" s="18"/>
      <c r="CR22" s="19"/>
    </row>
    <row r="23" spans="1:123" s="13" customFormat="1" ht="15" customHeight="1" x14ac:dyDescent="0.15">
      <c r="A23" s="46"/>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2"/>
      <c r="BN23" s="18"/>
      <c r="BO23" s="18"/>
      <c r="BP23" s="18"/>
      <c r="BQ23" s="18"/>
      <c r="BR23" s="18"/>
      <c r="BS23" s="18"/>
      <c r="BT23" s="18"/>
      <c r="BU23" s="18"/>
      <c r="BV23" s="18"/>
      <c r="CQ23" s="18"/>
      <c r="CR23" s="19"/>
    </row>
    <row r="24" spans="1:123" s="13" customFormat="1" ht="15" customHeight="1" x14ac:dyDescent="0.15">
      <c r="A24" s="46"/>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2"/>
      <c r="BJ24" s="13" t="s">
        <v>508</v>
      </c>
      <c r="BK24" s="13" t="s">
        <v>509</v>
      </c>
      <c r="CQ24" s="18"/>
      <c r="CR24" s="19"/>
    </row>
    <row r="25" spans="1:123" s="13" customFormat="1" ht="15" customHeight="1" x14ac:dyDescent="0.15">
      <c r="A25" s="46"/>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2"/>
      <c r="BJ25" s="18"/>
      <c r="BK25" s="13" t="s">
        <v>510</v>
      </c>
      <c r="CQ25" s="18"/>
      <c r="CR25" s="19"/>
    </row>
    <row r="26" spans="1:123" s="13" customFormat="1" ht="15" customHeight="1" x14ac:dyDescent="0.15">
      <c r="A26" s="46"/>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2"/>
      <c r="BK26" s="13" t="s">
        <v>511</v>
      </c>
      <c r="CQ26" s="18"/>
      <c r="CR26" s="19"/>
    </row>
    <row r="27" spans="1:123" s="13" customFormat="1" ht="15" customHeight="1" x14ac:dyDescent="0.15">
      <c r="A27" s="46"/>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2"/>
      <c r="CQ27" s="18"/>
      <c r="CR27" s="19"/>
      <c r="CV27" s="18"/>
    </row>
    <row r="28" spans="1:123" s="13" customFormat="1" ht="15" customHeight="1" x14ac:dyDescent="0.15">
      <c r="A28" s="46"/>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2"/>
      <c r="BJ28" s="18"/>
      <c r="BW28" s="18"/>
      <c r="BX28" s="18"/>
      <c r="BY28" s="18"/>
      <c r="BZ28" s="18"/>
      <c r="CA28" s="18"/>
      <c r="CB28" s="18"/>
      <c r="CC28" s="18"/>
      <c r="CD28" s="18"/>
      <c r="CE28" s="18"/>
      <c r="CF28" s="18"/>
      <c r="CG28" s="18"/>
      <c r="CH28" s="18"/>
      <c r="CI28" s="18"/>
      <c r="CJ28" s="18"/>
      <c r="CK28" s="18"/>
      <c r="CL28" s="18"/>
      <c r="CM28" s="18"/>
      <c r="CN28" s="18"/>
      <c r="CO28" s="18"/>
      <c r="CP28" s="18"/>
      <c r="CQ28" s="18"/>
      <c r="CR28" s="19"/>
    </row>
    <row r="29" spans="1:123" s="13" customFormat="1" ht="15" customHeight="1" x14ac:dyDescent="0.15">
      <c r="A29" s="46"/>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2"/>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53"/>
      <c r="CM29" s="18"/>
      <c r="CN29" s="18"/>
      <c r="CO29" s="18"/>
      <c r="CP29" s="18"/>
      <c r="CQ29" s="18"/>
      <c r="CR29" s="19"/>
    </row>
    <row r="30" spans="1:123" s="13" customFormat="1" ht="15" customHeight="1" x14ac:dyDescent="0.15">
      <c r="A30" s="46"/>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2"/>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9"/>
    </row>
    <row r="31" spans="1:123" s="13" customFormat="1" ht="15" customHeight="1" x14ac:dyDescent="0.15">
      <c r="A31" s="46"/>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2"/>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9"/>
    </row>
    <row r="32" spans="1:123" s="13" customFormat="1" ht="15" customHeight="1" x14ac:dyDescent="0.15">
      <c r="A32" s="46"/>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2"/>
      <c r="BM32" s="18"/>
      <c r="BN32" s="18"/>
      <c r="BO32" s="18"/>
      <c r="BP32" s="18"/>
      <c r="BQ32" s="18"/>
      <c r="BR32" s="18"/>
      <c r="BS32" s="18"/>
      <c r="BT32" s="18"/>
      <c r="BU32" s="18"/>
      <c r="BV32" s="18"/>
      <c r="CQ32" s="18"/>
      <c r="CR32" s="19"/>
      <c r="DO32" s="18"/>
      <c r="DP32" s="18"/>
      <c r="DQ32" s="18"/>
      <c r="DR32" s="18"/>
      <c r="DS32" s="18"/>
    </row>
    <row r="33" spans="1:123" s="13" customFormat="1" ht="15" customHeight="1" x14ac:dyDescent="0.15">
      <c r="A33" s="46"/>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2"/>
      <c r="CQ33" s="18"/>
      <c r="CR33" s="19"/>
      <c r="DO33" s="18"/>
      <c r="DP33" s="18"/>
      <c r="DQ33" s="18"/>
      <c r="DR33" s="18"/>
      <c r="DS33" s="18"/>
    </row>
    <row r="34" spans="1:123" s="13" customFormat="1" ht="15" customHeight="1" x14ac:dyDescent="0.15">
      <c r="A34" s="46"/>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2"/>
      <c r="CQ34" s="18"/>
      <c r="CR34" s="19"/>
    </row>
    <row r="35" spans="1:123" s="13" customFormat="1" ht="15" customHeight="1" x14ac:dyDescent="0.15">
      <c r="A35" s="46"/>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2"/>
      <c r="CQ35" s="18"/>
      <c r="CR35" s="19"/>
    </row>
    <row r="36" spans="1:123" s="13" customFormat="1" ht="15" customHeight="1" x14ac:dyDescent="0.15">
      <c r="A36" s="46"/>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2"/>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2"/>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123" s="13" customFormat="1" ht="15" customHeight="1" x14ac:dyDescent="0.15">
      <c r="A38" s="297" t="s">
        <v>64</v>
      </c>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c r="AF38" s="298"/>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404" t="s">
        <v>65</v>
      </c>
      <c r="BJ38" s="298"/>
      <c r="BK38" s="298"/>
      <c r="BL38" s="298"/>
      <c r="BM38" s="298"/>
      <c r="BN38" s="298"/>
      <c r="BO38" s="298"/>
      <c r="BP38" s="298"/>
      <c r="BQ38" s="298"/>
      <c r="BR38" s="298"/>
      <c r="BS38" s="298"/>
      <c r="BT38" s="298"/>
      <c r="BU38" s="298"/>
      <c r="BV38" s="298"/>
      <c r="BW38" s="298"/>
      <c r="BX38" s="298"/>
      <c r="BY38" s="298"/>
      <c r="BZ38" s="298"/>
      <c r="CA38" s="298"/>
      <c r="CB38" s="298"/>
      <c r="CC38" s="298"/>
      <c r="CD38" s="298"/>
      <c r="CE38" s="298"/>
      <c r="CF38" s="298"/>
      <c r="CG38" s="298"/>
      <c r="CH38" s="298"/>
      <c r="CI38" s="298"/>
      <c r="CJ38" s="298"/>
      <c r="CK38" s="298"/>
      <c r="CL38" s="298"/>
      <c r="CM38" s="298"/>
      <c r="CN38" s="298"/>
      <c r="CO38" s="298"/>
      <c r="CP38" s="298"/>
      <c r="CQ38" s="298"/>
      <c r="CR38" s="299"/>
    </row>
    <row r="39" spans="1:123" s="13" customFormat="1" ht="15" customHeight="1" x14ac:dyDescent="0.15">
      <c r="A39" s="297" t="s">
        <v>66</v>
      </c>
      <c r="B39" s="298"/>
      <c r="C39" s="298"/>
      <c r="D39" s="298"/>
      <c r="E39" s="298"/>
      <c r="F39" s="298"/>
      <c r="G39" s="298"/>
      <c r="H39" s="298"/>
      <c r="I39" s="298"/>
      <c r="J39" s="407"/>
      <c r="K39" s="404" t="s">
        <v>67</v>
      </c>
      <c r="L39" s="298"/>
      <c r="M39" s="298"/>
      <c r="N39" s="298"/>
      <c r="O39" s="298"/>
      <c r="P39" s="298"/>
      <c r="Q39" s="298"/>
      <c r="R39" s="298"/>
      <c r="S39" s="298"/>
      <c r="T39" s="298"/>
      <c r="U39" s="298"/>
      <c r="V39" s="298"/>
      <c r="W39" s="298"/>
      <c r="X39" s="298"/>
      <c r="Y39" s="298"/>
      <c r="Z39" s="298"/>
      <c r="AA39" s="298"/>
      <c r="AB39" s="298"/>
      <c r="AC39" s="298"/>
      <c r="AD39" s="298"/>
      <c r="AE39" s="298"/>
      <c r="AF39" s="298"/>
      <c r="AG39" s="298"/>
      <c r="AH39" s="298"/>
      <c r="AI39" s="298"/>
      <c r="AJ39" s="298"/>
      <c r="AK39" s="298"/>
      <c r="AL39" s="298"/>
      <c r="AM39" s="298"/>
      <c r="AN39" s="298"/>
      <c r="AO39" s="298"/>
      <c r="AP39" s="298"/>
      <c r="AQ39" s="298"/>
      <c r="AR39" s="298"/>
      <c r="AS39" s="298"/>
      <c r="AT39" s="298"/>
      <c r="AU39" s="298"/>
      <c r="AV39" s="407"/>
      <c r="AW39" s="404" t="s">
        <v>68</v>
      </c>
      <c r="AX39" s="298"/>
      <c r="AY39" s="298"/>
      <c r="AZ39" s="298"/>
      <c r="BA39" s="298"/>
      <c r="BB39" s="298"/>
      <c r="BC39" s="298"/>
      <c r="BD39" s="298"/>
      <c r="BE39" s="298"/>
      <c r="BF39" s="298"/>
      <c r="BG39" s="298"/>
      <c r="BH39" s="407"/>
      <c r="BI39" s="52"/>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23" s="13" customFormat="1" ht="15" customHeight="1" x14ac:dyDescent="0.15">
      <c r="A40" s="408" t="s">
        <v>350</v>
      </c>
      <c r="B40" s="409"/>
      <c r="C40" s="409"/>
      <c r="D40" s="409"/>
      <c r="E40" s="409"/>
      <c r="F40" s="409"/>
      <c r="G40" s="409"/>
      <c r="H40" s="409"/>
      <c r="I40" s="409"/>
      <c r="J40" s="410"/>
      <c r="K40" s="411" t="s">
        <v>493</v>
      </c>
      <c r="L40" s="409"/>
      <c r="M40" s="409"/>
      <c r="N40" s="409"/>
      <c r="O40" s="409"/>
      <c r="P40" s="409"/>
      <c r="Q40" s="409"/>
      <c r="R40" s="409"/>
      <c r="S40" s="409"/>
      <c r="T40" s="409"/>
      <c r="U40" s="409"/>
      <c r="V40" s="409"/>
      <c r="W40" s="409"/>
      <c r="X40" s="409"/>
      <c r="Y40" s="409"/>
      <c r="Z40" s="409"/>
      <c r="AA40" s="409"/>
      <c r="AB40" s="409"/>
      <c r="AC40" s="409"/>
      <c r="AD40" s="409"/>
      <c r="AE40" s="409"/>
      <c r="AF40" s="409"/>
      <c r="AG40" s="409"/>
      <c r="AH40" s="409"/>
      <c r="AI40" s="409"/>
      <c r="AJ40" s="409"/>
      <c r="AK40" s="409"/>
      <c r="AL40" s="409"/>
      <c r="AM40" s="409"/>
      <c r="AN40" s="409"/>
      <c r="AO40" s="409"/>
      <c r="AP40" s="409"/>
      <c r="AQ40" s="409"/>
      <c r="AR40" s="409"/>
      <c r="AS40" s="409"/>
      <c r="AT40" s="409"/>
      <c r="AU40" s="409"/>
      <c r="AV40" s="410"/>
      <c r="AW40" s="411" t="s">
        <v>324</v>
      </c>
      <c r="AX40" s="409"/>
      <c r="AY40" s="409"/>
      <c r="AZ40" s="409"/>
      <c r="BA40" s="409"/>
      <c r="BB40" s="409"/>
      <c r="BC40" s="409"/>
      <c r="BD40" s="409"/>
      <c r="BE40" s="409"/>
      <c r="BF40" s="409"/>
      <c r="BG40" s="409"/>
      <c r="BH40" s="410"/>
      <c r="BI40" s="52"/>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23" s="13" customFormat="1" ht="15" customHeight="1" x14ac:dyDescent="0.15">
      <c r="A41" s="386" t="s">
        <v>72</v>
      </c>
      <c r="B41" s="387"/>
      <c r="C41" s="387"/>
      <c r="D41" s="387"/>
      <c r="E41" s="387"/>
      <c r="F41" s="387"/>
      <c r="G41" s="387"/>
      <c r="H41" s="387"/>
      <c r="I41" s="387"/>
      <c r="J41" s="388"/>
      <c r="K41" s="389" t="s">
        <v>72</v>
      </c>
      <c r="L41" s="387"/>
      <c r="M41" s="387"/>
      <c r="N41" s="387"/>
      <c r="O41" s="387"/>
      <c r="P41" s="387"/>
      <c r="Q41" s="387"/>
      <c r="R41" s="387"/>
      <c r="S41" s="387"/>
      <c r="T41" s="387"/>
      <c r="U41" s="387"/>
      <c r="V41" s="387"/>
      <c r="W41" s="387"/>
      <c r="X41" s="387"/>
      <c r="Y41" s="387"/>
      <c r="Z41" s="387"/>
      <c r="AA41" s="387"/>
      <c r="AB41" s="387"/>
      <c r="AC41" s="387"/>
      <c r="AD41" s="387"/>
      <c r="AE41" s="387"/>
      <c r="AF41" s="387"/>
      <c r="AG41" s="387"/>
      <c r="AH41" s="387"/>
      <c r="AI41" s="387"/>
      <c r="AJ41" s="387"/>
      <c r="AK41" s="387"/>
      <c r="AL41" s="387"/>
      <c r="AM41" s="387"/>
      <c r="AN41" s="387"/>
      <c r="AO41" s="387"/>
      <c r="AP41" s="387"/>
      <c r="AQ41" s="387"/>
      <c r="AR41" s="387"/>
      <c r="AS41" s="387"/>
      <c r="AT41" s="387"/>
      <c r="AU41" s="387"/>
      <c r="AV41" s="388"/>
      <c r="AW41" s="389" t="s">
        <v>323</v>
      </c>
      <c r="AX41" s="387"/>
      <c r="AY41" s="387"/>
      <c r="AZ41" s="387"/>
      <c r="BA41" s="387"/>
      <c r="BB41" s="387"/>
      <c r="BC41" s="387"/>
      <c r="BD41" s="387"/>
      <c r="BE41" s="387"/>
      <c r="BF41" s="387"/>
      <c r="BG41" s="387"/>
      <c r="BH41" s="388"/>
      <c r="BI41" s="52"/>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23" s="13" customFormat="1" ht="15" customHeight="1" x14ac:dyDescent="0.15">
      <c r="A42" s="386" t="s">
        <v>331</v>
      </c>
      <c r="B42" s="387"/>
      <c r="C42" s="387"/>
      <c r="D42" s="387"/>
      <c r="E42" s="387"/>
      <c r="F42" s="387"/>
      <c r="G42" s="387"/>
      <c r="H42" s="387"/>
      <c r="I42" s="387"/>
      <c r="J42" s="388"/>
      <c r="K42" s="389" t="s">
        <v>331</v>
      </c>
      <c r="L42" s="387"/>
      <c r="M42" s="387"/>
      <c r="N42" s="387"/>
      <c r="O42" s="387"/>
      <c r="P42" s="387"/>
      <c r="Q42" s="387"/>
      <c r="R42" s="387"/>
      <c r="S42" s="387"/>
      <c r="T42" s="387"/>
      <c r="U42" s="387"/>
      <c r="V42" s="387"/>
      <c r="W42" s="387"/>
      <c r="X42" s="387"/>
      <c r="Y42" s="387"/>
      <c r="Z42" s="387"/>
      <c r="AA42" s="387"/>
      <c r="AB42" s="387"/>
      <c r="AC42" s="387"/>
      <c r="AD42" s="387"/>
      <c r="AE42" s="387"/>
      <c r="AF42" s="387"/>
      <c r="AG42" s="387"/>
      <c r="AH42" s="387"/>
      <c r="AI42" s="387"/>
      <c r="AJ42" s="387"/>
      <c r="AK42" s="387"/>
      <c r="AL42" s="387"/>
      <c r="AM42" s="387"/>
      <c r="AN42" s="387"/>
      <c r="AO42" s="387"/>
      <c r="AP42" s="387"/>
      <c r="AQ42" s="387"/>
      <c r="AR42" s="387"/>
      <c r="AS42" s="387"/>
      <c r="AT42" s="387"/>
      <c r="AU42" s="387"/>
      <c r="AV42" s="388"/>
      <c r="AW42" s="389" t="s">
        <v>323</v>
      </c>
      <c r="AX42" s="387"/>
      <c r="AY42" s="387"/>
      <c r="AZ42" s="387"/>
      <c r="BA42" s="387"/>
      <c r="BB42" s="387"/>
      <c r="BC42" s="387"/>
      <c r="BD42" s="387"/>
      <c r="BE42" s="387"/>
      <c r="BF42" s="387"/>
      <c r="BG42" s="387"/>
      <c r="BH42" s="388"/>
      <c r="BI42" s="52"/>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123" s="13" customFormat="1" ht="15" customHeight="1" x14ac:dyDescent="0.15">
      <c r="A43" s="386" t="s">
        <v>322</v>
      </c>
      <c r="B43" s="387"/>
      <c r="C43" s="387"/>
      <c r="D43" s="387"/>
      <c r="E43" s="387"/>
      <c r="F43" s="387"/>
      <c r="G43" s="387"/>
      <c r="H43" s="387"/>
      <c r="I43" s="387"/>
      <c r="J43" s="388"/>
      <c r="K43" s="389" t="s">
        <v>322</v>
      </c>
      <c r="L43" s="387"/>
      <c r="M43" s="387"/>
      <c r="N43" s="387"/>
      <c r="O43" s="387"/>
      <c r="P43" s="387"/>
      <c r="Q43" s="387"/>
      <c r="R43" s="387"/>
      <c r="S43" s="387"/>
      <c r="T43" s="387"/>
      <c r="U43" s="387"/>
      <c r="V43" s="387"/>
      <c r="W43" s="387"/>
      <c r="X43" s="387"/>
      <c r="Y43" s="387"/>
      <c r="Z43" s="387"/>
      <c r="AA43" s="387"/>
      <c r="AB43" s="387"/>
      <c r="AC43" s="387"/>
      <c r="AD43" s="387"/>
      <c r="AE43" s="387"/>
      <c r="AF43" s="387"/>
      <c r="AG43" s="387"/>
      <c r="AH43" s="387"/>
      <c r="AI43" s="387"/>
      <c r="AJ43" s="387"/>
      <c r="AK43" s="387"/>
      <c r="AL43" s="387"/>
      <c r="AM43" s="387"/>
      <c r="AN43" s="387"/>
      <c r="AO43" s="387"/>
      <c r="AP43" s="387"/>
      <c r="AQ43" s="387"/>
      <c r="AR43" s="387"/>
      <c r="AS43" s="387"/>
      <c r="AT43" s="387"/>
      <c r="AU43" s="387"/>
      <c r="AV43" s="388"/>
      <c r="AW43" s="389" t="s">
        <v>323</v>
      </c>
      <c r="AX43" s="387"/>
      <c r="AY43" s="387"/>
      <c r="AZ43" s="387"/>
      <c r="BA43" s="387"/>
      <c r="BB43" s="387"/>
      <c r="BC43" s="387"/>
      <c r="BD43" s="387"/>
      <c r="BE43" s="387"/>
      <c r="BF43" s="387"/>
      <c r="BG43" s="387"/>
      <c r="BH43" s="388"/>
      <c r="BI43" s="404" t="s">
        <v>69</v>
      </c>
      <c r="BJ43" s="298"/>
      <c r="BK43" s="298"/>
      <c r="BL43" s="298"/>
      <c r="BM43" s="298"/>
      <c r="BN43" s="298"/>
      <c r="BO43" s="298"/>
      <c r="BP43" s="298"/>
      <c r="BQ43" s="298"/>
      <c r="BR43" s="298"/>
      <c r="BS43" s="298"/>
      <c r="BT43" s="298"/>
      <c r="BU43" s="298"/>
      <c r="BV43" s="298"/>
      <c r="BW43" s="298"/>
      <c r="BX43" s="298"/>
      <c r="BY43" s="298"/>
      <c r="BZ43" s="298"/>
      <c r="CA43" s="298"/>
      <c r="CB43" s="298"/>
      <c r="CC43" s="298"/>
      <c r="CD43" s="298"/>
      <c r="CE43" s="298"/>
      <c r="CF43" s="298"/>
      <c r="CG43" s="298"/>
      <c r="CH43" s="298"/>
      <c r="CI43" s="298"/>
      <c r="CJ43" s="298"/>
      <c r="CK43" s="298"/>
      <c r="CL43" s="298"/>
      <c r="CM43" s="298"/>
      <c r="CN43" s="298"/>
      <c r="CO43" s="298"/>
      <c r="CP43" s="298"/>
      <c r="CQ43" s="298"/>
      <c r="CR43" s="299"/>
      <c r="CT43" s="152"/>
    </row>
    <row r="44" spans="1:123" s="13" customFormat="1" ht="15" customHeight="1" x14ac:dyDescent="0.15">
      <c r="A44" s="386" t="s">
        <v>354</v>
      </c>
      <c r="B44" s="387"/>
      <c r="C44" s="387"/>
      <c r="D44" s="387"/>
      <c r="E44" s="387"/>
      <c r="F44" s="387"/>
      <c r="G44" s="387"/>
      <c r="H44" s="387"/>
      <c r="I44" s="387"/>
      <c r="J44" s="388"/>
      <c r="K44" s="389" t="s">
        <v>357</v>
      </c>
      <c r="L44" s="387"/>
      <c r="M44" s="387"/>
      <c r="N44" s="387"/>
      <c r="O44" s="387"/>
      <c r="P44" s="387"/>
      <c r="Q44" s="387"/>
      <c r="R44" s="387"/>
      <c r="S44" s="387"/>
      <c r="T44" s="387"/>
      <c r="U44" s="387"/>
      <c r="V44" s="387"/>
      <c r="W44" s="387"/>
      <c r="X44" s="387"/>
      <c r="Y44" s="387"/>
      <c r="Z44" s="387"/>
      <c r="AA44" s="387"/>
      <c r="AB44" s="387"/>
      <c r="AC44" s="387"/>
      <c r="AD44" s="387"/>
      <c r="AE44" s="387"/>
      <c r="AF44" s="387"/>
      <c r="AG44" s="387"/>
      <c r="AH44" s="387"/>
      <c r="AI44" s="387"/>
      <c r="AJ44" s="387"/>
      <c r="AK44" s="387"/>
      <c r="AL44" s="387"/>
      <c r="AM44" s="387"/>
      <c r="AN44" s="387"/>
      <c r="AO44" s="387"/>
      <c r="AP44" s="387"/>
      <c r="AQ44" s="387"/>
      <c r="AR44" s="387"/>
      <c r="AS44" s="387"/>
      <c r="AT44" s="387"/>
      <c r="AU44" s="387"/>
      <c r="AV44" s="388"/>
      <c r="AW44" s="389" t="s">
        <v>323</v>
      </c>
      <c r="AX44" s="387"/>
      <c r="AY44" s="387"/>
      <c r="AZ44" s="387"/>
      <c r="BA44" s="387"/>
      <c r="BB44" s="387"/>
      <c r="BC44" s="387"/>
      <c r="BD44" s="387"/>
      <c r="BE44" s="387"/>
      <c r="BF44" s="387"/>
      <c r="BG44" s="387"/>
      <c r="BH44" s="388"/>
      <c r="BI44" s="52"/>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23" s="13" customFormat="1" ht="15" customHeight="1" x14ac:dyDescent="0.15">
      <c r="A45" s="386" t="s">
        <v>355</v>
      </c>
      <c r="B45" s="387"/>
      <c r="C45" s="387"/>
      <c r="D45" s="387"/>
      <c r="E45" s="387"/>
      <c r="F45" s="387"/>
      <c r="G45" s="387"/>
      <c r="H45" s="387"/>
      <c r="I45" s="387"/>
      <c r="J45" s="388"/>
      <c r="K45" s="389" t="s">
        <v>358</v>
      </c>
      <c r="L45" s="387"/>
      <c r="M45" s="387"/>
      <c r="N45" s="387"/>
      <c r="O45" s="387"/>
      <c r="P45" s="387"/>
      <c r="Q45" s="387"/>
      <c r="R45" s="387"/>
      <c r="S45" s="387"/>
      <c r="T45" s="387"/>
      <c r="U45" s="387"/>
      <c r="V45" s="387"/>
      <c r="W45" s="387"/>
      <c r="X45" s="387"/>
      <c r="Y45" s="387"/>
      <c r="Z45" s="387"/>
      <c r="AA45" s="387"/>
      <c r="AB45" s="387"/>
      <c r="AC45" s="387"/>
      <c r="AD45" s="387"/>
      <c r="AE45" s="387"/>
      <c r="AF45" s="387"/>
      <c r="AG45" s="387"/>
      <c r="AH45" s="387"/>
      <c r="AI45" s="387"/>
      <c r="AJ45" s="387"/>
      <c r="AK45" s="387"/>
      <c r="AL45" s="387"/>
      <c r="AM45" s="387"/>
      <c r="AN45" s="387"/>
      <c r="AO45" s="387"/>
      <c r="AP45" s="387"/>
      <c r="AQ45" s="387"/>
      <c r="AR45" s="387"/>
      <c r="AS45" s="387"/>
      <c r="AT45" s="387"/>
      <c r="AU45" s="387"/>
      <c r="AV45" s="388"/>
      <c r="AW45" s="389" t="s">
        <v>323</v>
      </c>
      <c r="AX45" s="387"/>
      <c r="AY45" s="387"/>
      <c r="AZ45" s="387"/>
      <c r="BA45" s="387"/>
      <c r="BB45" s="387"/>
      <c r="BC45" s="387"/>
      <c r="BD45" s="387"/>
      <c r="BE45" s="387"/>
      <c r="BF45" s="387"/>
      <c r="BG45" s="387"/>
      <c r="BH45" s="388"/>
      <c r="BI45" s="52"/>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123" s="13" customFormat="1" ht="15" customHeight="1" x14ac:dyDescent="0.15">
      <c r="A46" s="386" t="s">
        <v>356</v>
      </c>
      <c r="B46" s="387"/>
      <c r="C46" s="387"/>
      <c r="D46" s="387"/>
      <c r="E46" s="387"/>
      <c r="F46" s="387"/>
      <c r="G46" s="387"/>
      <c r="H46" s="387"/>
      <c r="I46" s="387"/>
      <c r="J46" s="388"/>
      <c r="K46" s="389" t="s">
        <v>359</v>
      </c>
      <c r="L46" s="387"/>
      <c r="M46" s="387"/>
      <c r="N46" s="387"/>
      <c r="O46" s="387"/>
      <c r="P46" s="387"/>
      <c r="Q46" s="387"/>
      <c r="R46" s="387"/>
      <c r="S46" s="387"/>
      <c r="T46" s="387"/>
      <c r="U46" s="387"/>
      <c r="V46" s="387"/>
      <c r="W46" s="387"/>
      <c r="X46" s="387"/>
      <c r="Y46" s="387"/>
      <c r="Z46" s="387"/>
      <c r="AA46" s="387"/>
      <c r="AB46" s="387"/>
      <c r="AC46" s="387"/>
      <c r="AD46" s="387"/>
      <c r="AE46" s="387"/>
      <c r="AF46" s="387"/>
      <c r="AG46" s="387"/>
      <c r="AH46" s="387"/>
      <c r="AI46" s="387"/>
      <c r="AJ46" s="387"/>
      <c r="AK46" s="387"/>
      <c r="AL46" s="387"/>
      <c r="AM46" s="387"/>
      <c r="AN46" s="387"/>
      <c r="AO46" s="387"/>
      <c r="AP46" s="387"/>
      <c r="AQ46" s="387"/>
      <c r="AR46" s="387"/>
      <c r="AS46" s="387"/>
      <c r="AT46" s="387"/>
      <c r="AU46" s="387"/>
      <c r="AV46" s="388"/>
      <c r="AW46" s="389" t="s">
        <v>323</v>
      </c>
      <c r="AX46" s="387"/>
      <c r="AY46" s="387"/>
      <c r="AZ46" s="387"/>
      <c r="BA46" s="387"/>
      <c r="BB46" s="387"/>
      <c r="BC46" s="387"/>
      <c r="BD46" s="387"/>
      <c r="BE46" s="387"/>
      <c r="BF46" s="387"/>
      <c r="BG46" s="387"/>
      <c r="BH46" s="388"/>
      <c r="BI46" s="52"/>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23" s="13" customFormat="1" ht="15" customHeight="1" thickBot="1" x14ac:dyDescent="0.2">
      <c r="A47" s="382"/>
      <c r="B47" s="383"/>
      <c r="C47" s="383"/>
      <c r="D47" s="383"/>
      <c r="E47" s="383"/>
      <c r="F47" s="383"/>
      <c r="G47" s="383"/>
      <c r="H47" s="383"/>
      <c r="I47" s="383"/>
      <c r="J47" s="384"/>
      <c r="K47" s="385"/>
      <c r="L47" s="383"/>
      <c r="M47" s="383"/>
      <c r="N47" s="383"/>
      <c r="O47" s="383"/>
      <c r="P47" s="383"/>
      <c r="Q47" s="383"/>
      <c r="R47" s="383"/>
      <c r="S47" s="383"/>
      <c r="T47" s="383"/>
      <c r="U47" s="383"/>
      <c r="V47" s="383"/>
      <c r="W47" s="383"/>
      <c r="X47" s="383"/>
      <c r="Y47" s="383"/>
      <c r="Z47" s="383"/>
      <c r="AA47" s="383"/>
      <c r="AB47" s="383"/>
      <c r="AC47" s="383"/>
      <c r="AD47" s="383"/>
      <c r="AE47" s="383"/>
      <c r="AF47" s="383"/>
      <c r="AG47" s="383"/>
      <c r="AH47" s="383"/>
      <c r="AI47" s="383"/>
      <c r="AJ47" s="383"/>
      <c r="AK47" s="383"/>
      <c r="AL47" s="383"/>
      <c r="AM47" s="383"/>
      <c r="AN47" s="383"/>
      <c r="AO47" s="383"/>
      <c r="AP47" s="383"/>
      <c r="AQ47" s="383"/>
      <c r="AR47" s="383"/>
      <c r="AS47" s="383"/>
      <c r="AT47" s="383"/>
      <c r="AU47" s="383"/>
      <c r="AV47" s="384"/>
      <c r="AW47" s="385"/>
      <c r="AX47" s="383"/>
      <c r="AY47" s="383"/>
      <c r="AZ47" s="383"/>
      <c r="BA47" s="383"/>
      <c r="BB47" s="383"/>
      <c r="BC47" s="383"/>
      <c r="BD47" s="383"/>
      <c r="BE47" s="383"/>
      <c r="BF47" s="383"/>
      <c r="BG47" s="383"/>
      <c r="BH47" s="384"/>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row>
    <row r="48" spans="1:123" s="12" customFormat="1" ht="15" customHeight="1" x14ac:dyDescent="0.15">
      <c r="A48" s="297" t="s">
        <v>71</v>
      </c>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c r="AF48" s="298"/>
      <c r="AG48" s="298"/>
      <c r="AH48" s="298"/>
      <c r="AI48" s="298"/>
      <c r="AJ48" s="298"/>
      <c r="AK48" s="298"/>
      <c r="AL48" s="298"/>
      <c r="AM48" s="298"/>
      <c r="AN48" s="298"/>
      <c r="AO48" s="298"/>
      <c r="AP48" s="298"/>
      <c r="AQ48" s="298"/>
      <c r="AR48" s="298"/>
      <c r="AS48" s="298"/>
      <c r="AT48" s="298"/>
      <c r="AU48" s="298"/>
      <c r="AV48" s="298"/>
      <c r="AW48" s="298"/>
      <c r="AX48" s="298"/>
      <c r="AY48" s="298"/>
      <c r="AZ48" s="298"/>
      <c r="BA48" s="298"/>
      <c r="BB48" s="298"/>
      <c r="BC48" s="298"/>
      <c r="BD48" s="298"/>
      <c r="BE48" s="298"/>
      <c r="BF48" s="298"/>
      <c r="BG48" s="298"/>
      <c r="BH48" s="298"/>
      <c r="BI48" s="298"/>
      <c r="BJ48" s="298"/>
      <c r="BK48" s="298"/>
      <c r="BL48" s="298"/>
      <c r="BM48" s="298"/>
      <c r="BN48" s="298"/>
      <c r="BO48" s="298"/>
      <c r="BP48" s="298"/>
      <c r="BQ48" s="298"/>
      <c r="BR48" s="298"/>
      <c r="BS48" s="298"/>
      <c r="BT48" s="298"/>
      <c r="BU48" s="298"/>
      <c r="BV48" s="298"/>
      <c r="BW48" s="298"/>
      <c r="BX48" s="298"/>
      <c r="BY48" s="298"/>
      <c r="BZ48" s="298"/>
      <c r="CA48" s="298"/>
      <c r="CB48" s="298"/>
      <c r="CC48" s="298"/>
      <c r="CD48" s="298"/>
      <c r="CE48" s="298"/>
      <c r="CF48" s="298"/>
      <c r="CG48" s="298"/>
      <c r="CH48" s="298"/>
      <c r="CI48" s="298"/>
      <c r="CJ48" s="298"/>
      <c r="CK48" s="298"/>
      <c r="CL48" s="298"/>
      <c r="CM48" s="298"/>
      <c r="CN48" s="298"/>
      <c r="CO48" s="298"/>
      <c r="CP48" s="298"/>
      <c r="CQ48" s="298"/>
      <c r="CR48" s="299"/>
    </row>
    <row r="49" spans="1:96" s="60" customFormat="1" ht="15" customHeight="1" x14ac:dyDescent="0.2">
      <c r="A49" s="57"/>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9"/>
    </row>
    <row r="50" spans="1:96" s="60" customFormat="1" ht="15" customHeight="1" x14ac:dyDescent="0.2">
      <c r="A50" s="57"/>
      <c r="B50" s="58" t="s">
        <v>110</v>
      </c>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t="s">
        <v>289</v>
      </c>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9"/>
    </row>
    <row r="51" spans="1:96" s="60" customFormat="1" ht="15" customHeight="1" x14ac:dyDescent="0.15">
      <c r="A51" s="57"/>
      <c r="B51" s="58"/>
      <c r="C51" s="58" t="s">
        <v>453</v>
      </c>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377" t="s">
        <v>127</v>
      </c>
      <c r="AX51" s="378"/>
      <c r="AY51" s="378"/>
      <c r="AZ51" s="378"/>
      <c r="BA51" s="378"/>
      <c r="BB51" s="378"/>
      <c r="BC51" s="378"/>
      <c r="BD51" s="378"/>
      <c r="BE51" s="378"/>
      <c r="BF51" s="378"/>
      <c r="BG51" s="378"/>
      <c r="BH51" s="378"/>
      <c r="BI51" s="378"/>
      <c r="BJ51" s="379"/>
      <c r="BK51" s="377" t="s">
        <v>128</v>
      </c>
      <c r="BL51" s="378"/>
      <c r="BM51" s="378"/>
      <c r="BN51" s="378"/>
      <c r="BO51" s="379"/>
      <c r="BP51" s="377" t="s">
        <v>129</v>
      </c>
      <c r="BQ51" s="378"/>
      <c r="BR51" s="379"/>
      <c r="BS51" s="377" t="s">
        <v>130</v>
      </c>
      <c r="BT51" s="380"/>
      <c r="BU51" s="380"/>
      <c r="BV51" s="380"/>
      <c r="BW51" s="380"/>
      <c r="BX51" s="380"/>
      <c r="BY51" s="380"/>
      <c r="BZ51" s="380"/>
      <c r="CA51" s="380"/>
      <c r="CB51" s="380"/>
      <c r="CC51" s="380"/>
      <c r="CD51" s="380"/>
      <c r="CE51" s="380"/>
      <c r="CF51" s="380"/>
      <c r="CG51" s="380"/>
      <c r="CH51" s="380"/>
      <c r="CI51" s="380"/>
      <c r="CJ51" s="380"/>
      <c r="CK51" s="380"/>
      <c r="CL51" s="380"/>
      <c r="CM51" s="380"/>
      <c r="CN51" s="380"/>
      <c r="CO51" s="380"/>
      <c r="CP51" s="380"/>
      <c r="CQ51" s="381"/>
      <c r="CR51" s="59"/>
    </row>
    <row r="52" spans="1:96" s="60" customFormat="1" ht="15" customHeight="1" x14ac:dyDescent="0.2">
      <c r="A52" s="57"/>
      <c r="B52" s="58"/>
      <c r="C52" s="58" t="s">
        <v>454</v>
      </c>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412" t="s">
        <v>290</v>
      </c>
      <c r="AX52" s="412"/>
      <c r="AY52" s="412"/>
      <c r="AZ52" s="412"/>
      <c r="BA52" s="412"/>
      <c r="BB52" s="412"/>
      <c r="BC52" s="412"/>
      <c r="BD52" s="412"/>
      <c r="BE52" s="412"/>
      <c r="BF52" s="412"/>
      <c r="BG52" s="412"/>
      <c r="BH52" s="412"/>
      <c r="BI52" s="412"/>
      <c r="BJ52" s="412"/>
      <c r="BK52" s="335" t="s">
        <v>133</v>
      </c>
      <c r="BL52" s="335"/>
      <c r="BM52" s="335"/>
      <c r="BN52" s="335"/>
      <c r="BO52" s="335"/>
      <c r="BP52" s="335" t="s">
        <v>134</v>
      </c>
      <c r="BQ52" s="335"/>
      <c r="BR52" s="335"/>
      <c r="BS52" s="470" t="s">
        <v>304</v>
      </c>
      <c r="BT52" s="470"/>
      <c r="BU52" s="470"/>
      <c r="BV52" s="470"/>
      <c r="BW52" s="470"/>
      <c r="BX52" s="470"/>
      <c r="BY52" s="470"/>
      <c r="BZ52" s="470"/>
      <c r="CA52" s="470"/>
      <c r="CB52" s="470"/>
      <c r="CC52" s="470"/>
      <c r="CD52" s="470"/>
      <c r="CE52" s="470"/>
      <c r="CF52" s="470"/>
      <c r="CG52" s="470"/>
      <c r="CH52" s="470"/>
      <c r="CI52" s="470"/>
      <c r="CJ52" s="470"/>
      <c r="CK52" s="470"/>
      <c r="CL52" s="470"/>
      <c r="CM52" s="470"/>
      <c r="CN52" s="470"/>
      <c r="CO52" s="470"/>
      <c r="CP52" s="470"/>
      <c r="CQ52" s="470"/>
      <c r="CR52" s="59"/>
    </row>
    <row r="53" spans="1:96" s="60" customFormat="1" ht="15" customHeight="1" x14ac:dyDescent="0.2">
      <c r="A53" s="57"/>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412"/>
      <c r="AX53" s="412"/>
      <c r="AY53" s="412"/>
      <c r="AZ53" s="412"/>
      <c r="BA53" s="412"/>
      <c r="BB53" s="412"/>
      <c r="BC53" s="412"/>
      <c r="BD53" s="412"/>
      <c r="BE53" s="412"/>
      <c r="BF53" s="412"/>
      <c r="BG53" s="412"/>
      <c r="BH53" s="412"/>
      <c r="BI53" s="412"/>
      <c r="BJ53" s="412"/>
      <c r="BK53" s="335"/>
      <c r="BL53" s="335"/>
      <c r="BM53" s="335"/>
      <c r="BN53" s="335"/>
      <c r="BO53" s="335"/>
      <c r="BP53" s="335"/>
      <c r="BQ53" s="335"/>
      <c r="BR53" s="335"/>
      <c r="BS53" s="470"/>
      <c r="BT53" s="470"/>
      <c r="BU53" s="470"/>
      <c r="BV53" s="470"/>
      <c r="BW53" s="470"/>
      <c r="BX53" s="470"/>
      <c r="BY53" s="470"/>
      <c r="BZ53" s="470"/>
      <c r="CA53" s="470"/>
      <c r="CB53" s="470"/>
      <c r="CC53" s="470"/>
      <c r="CD53" s="470"/>
      <c r="CE53" s="470"/>
      <c r="CF53" s="470"/>
      <c r="CG53" s="470"/>
      <c r="CH53" s="470"/>
      <c r="CI53" s="470"/>
      <c r="CJ53" s="470"/>
      <c r="CK53" s="470"/>
      <c r="CL53" s="470"/>
      <c r="CM53" s="470"/>
      <c r="CN53" s="470"/>
      <c r="CO53" s="470"/>
      <c r="CP53" s="470"/>
      <c r="CQ53" s="470"/>
      <c r="CR53" s="59"/>
    </row>
    <row r="54" spans="1:96" s="60" customFormat="1" ht="15" customHeight="1" x14ac:dyDescent="0.2">
      <c r="A54" s="57"/>
      <c r="B54" s="58"/>
      <c r="C54" s="58" t="s">
        <v>113</v>
      </c>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412" t="s">
        <v>362</v>
      </c>
      <c r="AX54" s="412"/>
      <c r="AY54" s="412"/>
      <c r="AZ54" s="412"/>
      <c r="BA54" s="412"/>
      <c r="BB54" s="412"/>
      <c r="BC54" s="412"/>
      <c r="BD54" s="412"/>
      <c r="BE54" s="412"/>
      <c r="BF54" s="412"/>
      <c r="BG54" s="412"/>
      <c r="BH54" s="412"/>
      <c r="BI54" s="412"/>
      <c r="BJ54" s="412"/>
      <c r="BK54" s="335" t="s">
        <v>135</v>
      </c>
      <c r="BL54" s="335"/>
      <c r="BM54" s="335"/>
      <c r="BN54" s="335"/>
      <c r="BO54" s="335"/>
      <c r="BP54" s="335" t="s">
        <v>134</v>
      </c>
      <c r="BQ54" s="335"/>
      <c r="BR54" s="335"/>
      <c r="BS54" s="470" t="s">
        <v>364</v>
      </c>
      <c r="BT54" s="412"/>
      <c r="BU54" s="412"/>
      <c r="BV54" s="412"/>
      <c r="BW54" s="412"/>
      <c r="BX54" s="412"/>
      <c r="BY54" s="412"/>
      <c r="BZ54" s="412"/>
      <c r="CA54" s="412"/>
      <c r="CB54" s="412"/>
      <c r="CC54" s="412"/>
      <c r="CD54" s="412"/>
      <c r="CE54" s="412"/>
      <c r="CF54" s="412"/>
      <c r="CG54" s="412"/>
      <c r="CH54" s="412"/>
      <c r="CI54" s="412"/>
      <c r="CJ54" s="412"/>
      <c r="CK54" s="412"/>
      <c r="CL54" s="412"/>
      <c r="CM54" s="412"/>
      <c r="CN54" s="412"/>
      <c r="CO54" s="412"/>
      <c r="CP54" s="412"/>
      <c r="CQ54" s="412"/>
      <c r="CR54" s="59"/>
    </row>
    <row r="55" spans="1:96" s="60" customFormat="1" ht="15" customHeight="1" x14ac:dyDescent="0.2">
      <c r="A55" s="57"/>
      <c r="B55" s="58"/>
      <c r="C55" s="58"/>
      <c r="D55" s="457" t="s">
        <v>111</v>
      </c>
      <c r="E55" s="458"/>
      <c r="F55" s="458"/>
      <c r="G55" s="458"/>
      <c r="H55" s="458"/>
      <c r="I55" s="458"/>
      <c r="J55" s="459"/>
      <c r="K55" s="341"/>
      <c r="L55" s="342"/>
      <c r="M55" s="342"/>
      <c r="N55" s="342"/>
      <c r="O55" s="342"/>
      <c r="P55" s="342"/>
      <c r="Q55" s="342"/>
      <c r="R55" s="342"/>
      <c r="S55" s="342"/>
      <c r="T55" s="342"/>
      <c r="U55" s="342"/>
      <c r="V55" s="342"/>
      <c r="W55" s="342"/>
      <c r="X55" s="342"/>
      <c r="Y55" s="342"/>
      <c r="Z55" s="343"/>
      <c r="AA55" s="58"/>
      <c r="AB55" s="58"/>
      <c r="AC55" s="58"/>
      <c r="AD55" s="58"/>
      <c r="AE55" s="58"/>
      <c r="AF55" s="58"/>
      <c r="AG55" s="58"/>
      <c r="AH55" s="58"/>
      <c r="AI55" s="58"/>
      <c r="AJ55" s="58"/>
      <c r="AK55" s="58"/>
      <c r="AL55" s="58"/>
      <c r="AM55" s="58"/>
      <c r="AN55" s="58"/>
      <c r="AO55" s="58"/>
      <c r="AP55" s="58"/>
      <c r="AQ55" s="58"/>
      <c r="AR55" s="58"/>
      <c r="AS55" s="58"/>
      <c r="AT55" s="58"/>
      <c r="AU55" s="58"/>
      <c r="AV55" s="58"/>
      <c r="AW55" s="412"/>
      <c r="AX55" s="412"/>
      <c r="AY55" s="412"/>
      <c r="AZ55" s="412"/>
      <c r="BA55" s="412"/>
      <c r="BB55" s="412"/>
      <c r="BC55" s="412"/>
      <c r="BD55" s="412"/>
      <c r="BE55" s="412"/>
      <c r="BF55" s="412"/>
      <c r="BG55" s="412"/>
      <c r="BH55" s="412"/>
      <c r="BI55" s="412"/>
      <c r="BJ55" s="412"/>
      <c r="BK55" s="335"/>
      <c r="BL55" s="335"/>
      <c r="BM55" s="335"/>
      <c r="BN55" s="335"/>
      <c r="BO55" s="335"/>
      <c r="BP55" s="335"/>
      <c r="BQ55" s="335"/>
      <c r="BR55" s="335"/>
      <c r="BS55" s="412"/>
      <c r="BT55" s="412"/>
      <c r="BU55" s="412"/>
      <c r="BV55" s="412"/>
      <c r="BW55" s="412"/>
      <c r="BX55" s="412"/>
      <c r="BY55" s="412"/>
      <c r="BZ55" s="412"/>
      <c r="CA55" s="412"/>
      <c r="CB55" s="412"/>
      <c r="CC55" s="412"/>
      <c r="CD55" s="412"/>
      <c r="CE55" s="412"/>
      <c r="CF55" s="412"/>
      <c r="CG55" s="412"/>
      <c r="CH55" s="412"/>
      <c r="CI55" s="412"/>
      <c r="CJ55" s="412"/>
      <c r="CK55" s="412"/>
      <c r="CL55" s="412"/>
      <c r="CM55" s="412"/>
      <c r="CN55" s="412"/>
      <c r="CO55" s="412"/>
      <c r="CP55" s="412"/>
      <c r="CQ55" s="412"/>
      <c r="CR55" s="59"/>
    </row>
    <row r="56" spans="1:96" s="60" customFormat="1" ht="15" customHeight="1" x14ac:dyDescent="0.2">
      <c r="A56" s="57"/>
      <c r="B56" s="58"/>
      <c r="C56" s="58"/>
      <c r="D56" s="460"/>
      <c r="E56" s="461"/>
      <c r="F56" s="461"/>
      <c r="G56" s="461"/>
      <c r="H56" s="461"/>
      <c r="I56" s="461"/>
      <c r="J56" s="462"/>
      <c r="K56" s="347"/>
      <c r="L56" s="348"/>
      <c r="M56" s="348"/>
      <c r="N56" s="348"/>
      <c r="O56" s="348"/>
      <c r="P56" s="348"/>
      <c r="Q56" s="348"/>
      <c r="R56" s="348"/>
      <c r="S56" s="348"/>
      <c r="T56" s="348"/>
      <c r="U56" s="348"/>
      <c r="V56" s="348"/>
      <c r="W56" s="348"/>
      <c r="X56" s="348"/>
      <c r="Y56" s="348"/>
      <c r="Z56" s="349"/>
      <c r="AA56" s="58"/>
      <c r="AB56" s="58"/>
      <c r="AC56" s="58"/>
      <c r="AD56" s="58"/>
      <c r="AE56" s="58"/>
      <c r="AF56" s="58"/>
      <c r="AG56" s="58"/>
      <c r="AH56" s="58"/>
      <c r="AI56" s="58"/>
      <c r="AJ56" s="58"/>
      <c r="AK56" s="58"/>
      <c r="AL56" s="58"/>
      <c r="AM56" s="58"/>
      <c r="AN56" s="58"/>
      <c r="AO56" s="58"/>
      <c r="AP56" s="58"/>
      <c r="AQ56" s="58"/>
      <c r="AR56" s="58"/>
      <c r="AS56" s="58"/>
      <c r="AT56" s="58"/>
      <c r="AU56" s="58"/>
      <c r="AV56" s="58"/>
      <c r="AW56" s="339" t="s">
        <v>136</v>
      </c>
      <c r="AX56" s="339"/>
      <c r="AY56" s="339"/>
      <c r="AZ56" s="339"/>
      <c r="BA56" s="339"/>
      <c r="BB56" s="339"/>
      <c r="BC56" s="339"/>
      <c r="BD56" s="339"/>
      <c r="BE56" s="339"/>
      <c r="BF56" s="339"/>
      <c r="BG56" s="339"/>
      <c r="BH56" s="339"/>
      <c r="BI56" s="339"/>
      <c r="BJ56" s="339"/>
      <c r="BK56" s="335" t="s">
        <v>135</v>
      </c>
      <c r="BL56" s="335"/>
      <c r="BM56" s="335"/>
      <c r="BN56" s="335"/>
      <c r="BO56" s="335"/>
      <c r="BP56" s="336">
        <v>11</v>
      </c>
      <c r="BQ56" s="337"/>
      <c r="BR56" s="338"/>
      <c r="BS56" s="339" t="s">
        <v>309</v>
      </c>
      <c r="BT56" s="339"/>
      <c r="BU56" s="339"/>
      <c r="BV56" s="339"/>
      <c r="BW56" s="339"/>
      <c r="BX56" s="339"/>
      <c r="BY56" s="339"/>
      <c r="BZ56" s="339"/>
      <c r="CA56" s="339"/>
      <c r="CB56" s="339"/>
      <c r="CC56" s="339"/>
      <c r="CD56" s="339"/>
      <c r="CE56" s="339"/>
      <c r="CF56" s="339"/>
      <c r="CG56" s="339"/>
      <c r="CH56" s="339"/>
      <c r="CI56" s="339"/>
      <c r="CJ56" s="339"/>
      <c r="CK56" s="339"/>
      <c r="CL56" s="339"/>
      <c r="CM56" s="339"/>
      <c r="CN56" s="339"/>
      <c r="CO56" s="339"/>
      <c r="CP56" s="339"/>
      <c r="CQ56" s="339"/>
      <c r="CR56" s="59"/>
    </row>
    <row r="57" spans="1:96" s="60" customFormat="1" ht="15" customHeight="1" x14ac:dyDescent="0.2">
      <c r="A57" s="57"/>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339" t="s">
        <v>137</v>
      </c>
      <c r="AX57" s="339"/>
      <c r="AY57" s="339"/>
      <c r="AZ57" s="339"/>
      <c r="BA57" s="339"/>
      <c r="BB57" s="339"/>
      <c r="BC57" s="339"/>
      <c r="BD57" s="339"/>
      <c r="BE57" s="339"/>
      <c r="BF57" s="339"/>
      <c r="BG57" s="339"/>
      <c r="BH57" s="339"/>
      <c r="BI57" s="339"/>
      <c r="BJ57" s="339"/>
      <c r="BK57" s="335" t="s">
        <v>133</v>
      </c>
      <c r="BL57" s="335"/>
      <c r="BM57" s="335"/>
      <c r="BN57" s="335"/>
      <c r="BO57" s="335"/>
      <c r="BP57" s="336" t="s">
        <v>134</v>
      </c>
      <c r="BQ57" s="337"/>
      <c r="BR57" s="338"/>
      <c r="BS57" s="339" t="s">
        <v>291</v>
      </c>
      <c r="BT57" s="339"/>
      <c r="BU57" s="339"/>
      <c r="BV57" s="339"/>
      <c r="BW57" s="339"/>
      <c r="BX57" s="339"/>
      <c r="BY57" s="339"/>
      <c r="BZ57" s="339"/>
      <c r="CA57" s="339"/>
      <c r="CB57" s="339"/>
      <c r="CC57" s="339"/>
      <c r="CD57" s="339"/>
      <c r="CE57" s="339"/>
      <c r="CF57" s="339"/>
      <c r="CG57" s="339"/>
      <c r="CH57" s="339"/>
      <c r="CI57" s="339"/>
      <c r="CJ57" s="339"/>
      <c r="CK57" s="339"/>
      <c r="CL57" s="339"/>
      <c r="CM57" s="339"/>
      <c r="CN57" s="339"/>
      <c r="CO57" s="339"/>
      <c r="CP57" s="339"/>
      <c r="CQ57" s="339"/>
      <c r="CR57" s="59"/>
    </row>
    <row r="58" spans="1:96" s="60" customFormat="1" ht="15" customHeight="1" x14ac:dyDescent="0.2">
      <c r="A58" s="57"/>
      <c r="B58" s="58"/>
      <c r="C58" s="58" t="s">
        <v>112</v>
      </c>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339" t="s">
        <v>139</v>
      </c>
      <c r="AX58" s="339"/>
      <c r="AY58" s="339"/>
      <c r="AZ58" s="339"/>
      <c r="BA58" s="339"/>
      <c r="BB58" s="339"/>
      <c r="BC58" s="339"/>
      <c r="BD58" s="339"/>
      <c r="BE58" s="339"/>
      <c r="BF58" s="339"/>
      <c r="BG58" s="339"/>
      <c r="BH58" s="339"/>
      <c r="BI58" s="339"/>
      <c r="BJ58" s="339"/>
      <c r="BK58" s="335" t="s">
        <v>135</v>
      </c>
      <c r="BL58" s="335"/>
      <c r="BM58" s="335"/>
      <c r="BN58" s="335"/>
      <c r="BO58" s="335"/>
      <c r="BP58" s="336" t="s">
        <v>131</v>
      </c>
      <c r="BQ58" s="337"/>
      <c r="BR58" s="338"/>
      <c r="BS58" s="339" t="s">
        <v>132</v>
      </c>
      <c r="BT58" s="339"/>
      <c r="BU58" s="339"/>
      <c r="BV58" s="339"/>
      <c r="BW58" s="339"/>
      <c r="BX58" s="339"/>
      <c r="BY58" s="339"/>
      <c r="BZ58" s="339"/>
      <c r="CA58" s="339"/>
      <c r="CB58" s="339"/>
      <c r="CC58" s="339"/>
      <c r="CD58" s="339"/>
      <c r="CE58" s="339"/>
      <c r="CF58" s="339"/>
      <c r="CG58" s="339"/>
      <c r="CH58" s="339"/>
      <c r="CI58" s="339"/>
      <c r="CJ58" s="339"/>
      <c r="CK58" s="339"/>
      <c r="CL58" s="339"/>
      <c r="CM58" s="339"/>
      <c r="CN58" s="339"/>
      <c r="CO58" s="339"/>
      <c r="CP58" s="339"/>
      <c r="CQ58" s="339"/>
      <c r="CR58" s="59"/>
    </row>
    <row r="59" spans="1:96" s="60" customFormat="1" ht="15" customHeight="1" x14ac:dyDescent="0.2">
      <c r="A59" s="57"/>
      <c r="B59" s="58"/>
      <c r="C59" s="58"/>
      <c r="D59" s="457" t="s">
        <v>111</v>
      </c>
      <c r="E59" s="458"/>
      <c r="F59" s="458"/>
      <c r="G59" s="458"/>
      <c r="H59" s="458"/>
      <c r="I59" s="458"/>
      <c r="J59" s="459"/>
      <c r="K59" s="463"/>
      <c r="L59" s="464"/>
      <c r="M59" s="464"/>
      <c r="N59" s="464"/>
      <c r="O59" s="464"/>
      <c r="P59" s="464"/>
      <c r="Q59" s="464"/>
      <c r="R59" s="464"/>
      <c r="S59" s="464"/>
      <c r="T59" s="464"/>
      <c r="U59" s="464"/>
      <c r="V59" s="464"/>
      <c r="W59" s="464"/>
      <c r="X59" s="464"/>
      <c r="Y59" s="464"/>
      <c r="Z59" s="465"/>
      <c r="AA59" s="58"/>
      <c r="AB59" s="58"/>
      <c r="AC59" s="58"/>
      <c r="AD59" s="58"/>
      <c r="AE59" s="58"/>
      <c r="AF59" s="58"/>
      <c r="AG59" s="58"/>
      <c r="AH59" s="58"/>
      <c r="AI59" s="58"/>
      <c r="AJ59" s="58"/>
      <c r="AK59" s="58"/>
      <c r="AL59" s="58"/>
      <c r="AM59" s="58"/>
      <c r="AN59" s="58"/>
      <c r="AO59" s="58"/>
      <c r="AP59" s="58"/>
      <c r="AQ59" s="58"/>
      <c r="AR59" s="58"/>
      <c r="AS59" s="58"/>
      <c r="AT59" s="58"/>
      <c r="AU59" s="58"/>
      <c r="AV59" s="58"/>
      <c r="AW59" s="339" t="s">
        <v>140</v>
      </c>
      <c r="AX59" s="339"/>
      <c r="AY59" s="339"/>
      <c r="AZ59" s="339"/>
      <c r="BA59" s="339"/>
      <c r="BB59" s="339"/>
      <c r="BC59" s="339"/>
      <c r="BD59" s="339"/>
      <c r="BE59" s="339"/>
      <c r="BF59" s="339"/>
      <c r="BG59" s="339"/>
      <c r="BH59" s="339"/>
      <c r="BI59" s="339"/>
      <c r="BJ59" s="339"/>
      <c r="BK59" s="335" t="s">
        <v>135</v>
      </c>
      <c r="BL59" s="335"/>
      <c r="BM59" s="335"/>
      <c r="BN59" s="335"/>
      <c r="BO59" s="335"/>
      <c r="BP59" s="336" t="s">
        <v>131</v>
      </c>
      <c r="BQ59" s="337"/>
      <c r="BR59" s="338"/>
      <c r="BS59" s="339" t="s">
        <v>132</v>
      </c>
      <c r="BT59" s="339"/>
      <c r="BU59" s="339"/>
      <c r="BV59" s="339"/>
      <c r="BW59" s="339"/>
      <c r="BX59" s="339"/>
      <c r="BY59" s="339"/>
      <c r="BZ59" s="339"/>
      <c r="CA59" s="339"/>
      <c r="CB59" s="339"/>
      <c r="CC59" s="339"/>
      <c r="CD59" s="339"/>
      <c r="CE59" s="339"/>
      <c r="CF59" s="339"/>
      <c r="CG59" s="339"/>
      <c r="CH59" s="339"/>
      <c r="CI59" s="339"/>
      <c r="CJ59" s="339"/>
      <c r="CK59" s="339"/>
      <c r="CL59" s="339"/>
      <c r="CM59" s="339"/>
      <c r="CN59" s="339"/>
      <c r="CO59" s="339"/>
      <c r="CP59" s="339"/>
      <c r="CQ59" s="339"/>
      <c r="CR59" s="59"/>
    </row>
    <row r="60" spans="1:96" s="60" customFormat="1" ht="15" customHeight="1" x14ac:dyDescent="0.2">
      <c r="A60" s="57"/>
      <c r="B60" s="58"/>
      <c r="C60" s="58"/>
      <c r="D60" s="460"/>
      <c r="E60" s="461"/>
      <c r="F60" s="461"/>
      <c r="G60" s="461"/>
      <c r="H60" s="461"/>
      <c r="I60" s="461"/>
      <c r="J60" s="462"/>
      <c r="K60" s="466"/>
      <c r="L60" s="467"/>
      <c r="M60" s="467"/>
      <c r="N60" s="467"/>
      <c r="O60" s="467"/>
      <c r="P60" s="467"/>
      <c r="Q60" s="467"/>
      <c r="R60" s="467"/>
      <c r="S60" s="467"/>
      <c r="T60" s="467"/>
      <c r="U60" s="467"/>
      <c r="V60" s="467"/>
      <c r="W60" s="467"/>
      <c r="X60" s="467"/>
      <c r="Y60" s="467"/>
      <c r="Z60" s="46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9"/>
    </row>
    <row r="61" spans="1:96" s="60" customFormat="1" ht="15" customHeight="1" x14ac:dyDescent="0.2">
      <c r="A61" s="57"/>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23" t="s">
        <v>363</v>
      </c>
      <c r="BX61" s="58"/>
      <c r="BY61" s="58"/>
      <c r="BZ61" s="58"/>
      <c r="CA61" s="58"/>
      <c r="CB61" s="58"/>
      <c r="CC61" s="58"/>
      <c r="CD61" s="58"/>
      <c r="CE61" s="58"/>
      <c r="CF61" s="58"/>
      <c r="CG61" s="58"/>
      <c r="CH61" s="58"/>
      <c r="CI61" s="58"/>
      <c r="CJ61" s="58"/>
      <c r="CK61" s="58"/>
      <c r="CL61" s="58"/>
      <c r="CM61" s="58"/>
      <c r="CN61" s="58"/>
      <c r="CO61" s="58"/>
      <c r="CP61" s="58"/>
      <c r="CQ61" s="58"/>
      <c r="CR61" s="59"/>
    </row>
    <row r="62" spans="1:96" s="60" customFormat="1" ht="15" customHeight="1" thickBot="1" x14ac:dyDescent="0.25">
      <c r="A62" s="57"/>
      <c r="B62" s="58" t="s">
        <v>114</v>
      </c>
      <c r="C62" s="58" t="s">
        <v>115</v>
      </c>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60" t="s">
        <v>316</v>
      </c>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c r="CP62" s="58"/>
      <c r="CQ62" s="58"/>
      <c r="CR62" s="59"/>
    </row>
    <row r="63" spans="1:96" s="60" customFormat="1" ht="15" customHeight="1" x14ac:dyDescent="0.2">
      <c r="A63" s="57"/>
      <c r="B63" s="58"/>
      <c r="C63" s="58" t="s">
        <v>116</v>
      </c>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444" t="s">
        <v>293</v>
      </c>
      <c r="AX63" s="445"/>
      <c r="AY63" s="445"/>
      <c r="AZ63" s="445"/>
      <c r="BA63" s="445"/>
      <c r="BB63" s="445"/>
      <c r="BC63" s="445"/>
      <c r="BD63" s="445"/>
      <c r="BE63" s="445"/>
      <c r="BF63" s="445"/>
      <c r="BG63" s="445"/>
      <c r="BH63" s="445"/>
      <c r="BI63" s="445"/>
      <c r="BJ63" s="445"/>
      <c r="BK63" s="471" t="s">
        <v>135</v>
      </c>
      <c r="BL63" s="471"/>
      <c r="BM63" s="471"/>
      <c r="BN63" s="471"/>
      <c r="BO63" s="471"/>
      <c r="BP63" s="472">
        <v>8</v>
      </c>
      <c r="BQ63" s="473"/>
      <c r="BR63" s="474"/>
      <c r="BS63" s="445" t="s">
        <v>309</v>
      </c>
      <c r="BT63" s="445"/>
      <c r="BU63" s="445"/>
      <c r="BV63" s="445"/>
      <c r="BW63" s="445"/>
      <c r="BX63" s="445"/>
      <c r="BY63" s="445"/>
      <c r="BZ63" s="445"/>
      <c r="CA63" s="445"/>
      <c r="CB63" s="445"/>
      <c r="CC63" s="445"/>
      <c r="CD63" s="445"/>
      <c r="CE63" s="445"/>
      <c r="CF63" s="445"/>
      <c r="CG63" s="445"/>
      <c r="CH63" s="445"/>
      <c r="CI63" s="445"/>
      <c r="CJ63" s="445"/>
      <c r="CK63" s="445"/>
      <c r="CL63" s="445"/>
      <c r="CM63" s="445"/>
      <c r="CN63" s="445"/>
      <c r="CO63" s="445"/>
      <c r="CP63" s="445"/>
      <c r="CQ63" s="475"/>
      <c r="CR63" s="59"/>
    </row>
    <row r="64" spans="1:96" s="60" customFormat="1" ht="15" customHeight="1" x14ac:dyDescent="0.2">
      <c r="A64" s="57"/>
      <c r="B64" s="58"/>
      <c r="C64" s="58" t="s">
        <v>117</v>
      </c>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446" t="s">
        <v>292</v>
      </c>
      <c r="AX64" s="339"/>
      <c r="AY64" s="339"/>
      <c r="AZ64" s="339"/>
      <c r="BA64" s="339"/>
      <c r="BB64" s="339"/>
      <c r="BC64" s="339"/>
      <c r="BD64" s="339"/>
      <c r="BE64" s="339"/>
      <c r="BF64" s="339"/>
      <c r="BG64" s="339"/>
      <c r="BH64" s="339"/>
      <c r="BI64" s="339"/>
      <c r="BJ64" s="339"/>
      <c r="BK64" s="335" t="s">
        <v>135</v>
      </c>
      <c r="BL64" s="335"/>
      <c r="BM64" s="335"/>
      <c r="BN64" s="335"/>
      <c r="BO64" s="335"/>
      <c r="BP64" s="336">
        <v>3</v>
      </c>
      <c r="BQ64" s="337"/>
      <c r="BR64" s="338"/>
      <c r="BS64" s="339" t="s">
        <v>309</v>
      </c>
      <c r="BT64" s="339"/>
      <c r="BU64" s="339"/>
      <c r="BV64" s="339"/>
      <c r="BW64" s="339"/>
      <c r="BX64" s="339"/>
      <c r="BY64" s="339"/>
      <c r="BZ64" s="339"/>
      <c r="CA64" s="339"/>
      <c r="CB64" s="339"/>
      <c r="CC64" s="339"/>
      <c r="CD64" s="339"/>
      <c r="CE64" s="339"/>
      <c r="CF64" s="339"/>
      <c r="CG64" s="339"/>
      <c r="CH64" s="339"/>
      <c r="CI64" s="339"/>
      <c r="CJ64" s="339"/>
      <c r="CK64" s="339"/>
      <c r="CL64" s="339"/>
      <c r="CM64" s="339"/>
      <c r="CN64" s="339"/>
      <c r="CO64" s="339"/>
      <c r="CP64" s="339"/>
      <c r="CQ64" s="476"/>
      <c r="CR64" s="59"/>
    </row>
    <row r="65" spans="1:98" s="60" customFormat="1" ht="15" customHeight="1" x14ac:dyDescent="0.2">
      <c r="A65" s="57"/>
      <c r="B65" s="58"/>
      <c r="C65" s="58" t="s">
        <v>118</v>
      </c>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446" t="s">
        <v>141</v>
      </c>
      <c r="AX65" s="339"/>
      <c r="AY65" s="339"/>
      <c r="AZ65" s="339"/>
      <c r="BA65" s="339"/>
      <c r="BB65" s="339"/>
      <c r="BC65" s="339"/>
      <c r="BD65" s="339"/>
      <c r="BE65" s="339"/>
      <c r="BF65" s="339"/>
      <c r="BG65" s="339"/>
      <c r="BH65" s="339"/>
      <c r="BI65" s="339"/>
      <c r="BJ65" s="339"/>
      <c r="BK65" s="335" t="s">
        <v>133</v>
      </c>
      <c r="BL65" s="335"/>
      <c r="BM65" s="335"/>
      <c r="BN65" s="335"/>
      <c r="BO65" s="335"/>
      <c r="BP65" s="336" t="s">
        <v>134</v>
      </c>
      <c r="BQ65" s="337"/>
      <c r="BR65" s="338"/>
      <c r="BS65" s="339" t="s">
        <v>291</v>
      </c>
      <c r="BT65" s="339"/>
      <c r="BU65" s="339"/>
      <c r="BV65" s="339"/>
      <c r="BW65" s="339"/>
      <c r="BX65" s="339"/>
      <c r="BY65" s="339"/>
      <c r="BZ65" s="339"/>
      <c r="CA65" s="339"/>
      <c r="CB65" s="339"/>
      <c r="CC65" s="339"/>
      <c r="CD65" s="339"/>
      <c r="CE65" s="339"/>
      <c r="CF65" s="339"/>
      <c r="CG65" s="339"/>
      <c r="CH65" s="339"/>
      <c r="CI65" s="339"/>
      <c r="CJ65" s="339"/>
      <c r="CK65" s="339"/>
      <c r="CL65" s="339"/>
      <c r="CM65" s="339"/>
      <c r="CN65" s="339"/>
      <c r="CO65" s="339"/>
      <c r="CP65" s="339"/>
      <c r="CQ65" s="476"/>
      <c r="CR65" s="59"/>
    </row>
    <row r="66" spans="1:98" s="60" customFormat="1" ht="15" customHeight="1" x14ac:dyDescent="0.15">
      <c r="A66" s="57"/>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479" t="s">
        <v>294</v>
      </c>
      <c r="AX66" s="414"/>
      <c r="AY66" s="414"/>
      <c r="AZ66" s="414"/>
      <c r="BA66" s="414"/>
      <c r="BB66" s="414"/>
      <c r="BC66" s="414"/>
      <c r="BD66" s="414"/>
      <c r="BE66" s="414"/>
      <c r="BF66" s="414"/>
      <c r="BG66" s="414"/>
      <c r="BH66" s="414"/>
      <c r="BI66" s="414"/>
      <c r="BJ66" s="415"/>
      <c r="BK66" s="341" t="s">
        <v>135</v>
      </c>
      <c r="BL66" s="342"/>
      <c r="BM66" s="342"/>
      <c r="BN66" s="342"/>
      <c r="BO66" s="343"/>
      <c r="BP66" s="341" t="s">
        <v>134</v>
      </c>
      <c r="BQ66" s="342"/>
      <c r="BR66" s="343"/>
      <c r="BS66" s="477" t="s">
        <v>599</v>
      </c>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8"/>
      <c r="CR66" s="59"/>
      <c r="CT66" s="152"/>
    </row>
    <row r="67" spans="1:98" s="60" customFormat="1" ht="15" customHeight="1" x14ac:dyDescent="0.2">
      <c r="A67" s="57"/>
      <c r="B67" s="58"/>
      <c r="C67" s="58" t="s">
        <v>119</v>
      </c>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480"/>
      <c r="AX67" s="417"/>
      <c r="AY67" s="417"/>
      <c r="AZ67" s="417"/>
      <c r="BA67" s="417"/>
      <c r="BB67" s="417"/>
      <c r="BC67" s="417"/>
      <c r="BD67" s="417"/>
      <c r="BE67" s="417"/>
      <c r="BF67" s="417"/>
      <c r="BG67" s="417"/>
      <c r="BH67" s="417"/>
      <c r="BI67" s="417"/>
      <c r="BJ67" s="418"/>
      <c r="BK67" s="347"/>
      <c r="BL67" s="348"/>
      <c r="BM67" s="348"/>
      <c r="BN67" s="348"/>
      <c r="BO67" s="349"/>
      <c r="BP67" s="347"/>
      <c r="BQ67" s="348"/>
      <c r="BR67" s="349"/>
      <c r="BS67" s="487" t="s">
        <v>600</v>
      </c>
      <c r="BT67" s="488"/>
      <c r="BU67" s="488"/>
      <c r="BV67" s="488"/>
      <c r="BW67" s="488"/>
      <c r="BX67" s="488"/>
      <c r="BY67" s="488"/>
      <c r="BZ67" s="488"/>
      <c r="CA67" s="488"/>
      <c r="CB67" s="488"/>
      <c r="CC67" s="488"/>
      <c r="CD67" s="488"/>
      <c r="CE67" s="488"/>
      <c r="CF67" s="488"/>
      <c r="CG67" s="488"/>
      <c r="CH67" s="488"/>
      <c r="CI67" s="488"/>
      <c r="CJ67" s="488"/>
      <c r="CK67" s="488"/>
      <c r="CL67" s="488"/>
      <c r="CM67" s="488"/>
      <c r="CN67" s="488"/>
      <c r="CO67" s="488"/>
      <c r="CP67" s="488"/>
      <c r="CQ67" s="489"/>
      <c r="CR67" s="59"/>
    </row>
    <row r="68" spans="1:98" s="60" customFormat="1" ht="15" customHeight="1" x14ac:dyDescent="0.2">
      <c r="A68" s="57"/>
      <c r="B68" s="58"/>
      <c r="C68" s="58"/>
      <c r="D68" s="71" t="s">
        <v>124</v>
      </c>
      <c r="E68" s="72"/>
      <c r="F68" s="72"/>
      <c r="G68" s="72"/>
      <c r="H68" s="72"/>
      <c r="I68" s="72"/>
      <c r="J68" s="72"/>
      <c r="K68" s="72"/>
      <c r="L68" s="72"/>
      <c r="M68" s="72"/>
      <c r="N68" s="72"/>
      <c r="O68" s="72"/>
      <c r="P68" s="72"/>
      <c r="Q68" s="72"/>
      <c r="R68" s="72"/>
      <c r="S68" s="72"/>
      <c r="T68" s="72"/>
      <c r="U68" s="72"/>
      <c r="V68" s="72"/>
      <c r="W68" s="72"/>
      <c r="X68" s="72"/>
      <c r="Y68" s="72"/>
      <c r="Z68" s="73"/>
      <c r="AA68" s="58"/>
      <c r="AB68" s="58"/>
      <c r="AC68" s="58"/>
      <c r="AD68" s="58"/>
      <c r="AE68" s="58"/>
      <c r="AF68" s="58"/>
      <c r="AG68" s="58"/>
      <c r="AH68" s="58"/>
      <c r="AI68" s="58"/>
      <c r="AJ68" s="58"/>
      <c r="AK68" s="58"/>
      <c r="AL68" s="58"/>
      <c r="AM68" s="58"/>
      <c r="AN68" s="58"/>
      <c r="AO68" s="58"/>
      <c r="AP68" s="58"/>
      <c r="AQ68" s="58"/>
      <c r="AR68" s="58"/>
      <c r="AS68" s="58"/>
      <c r="AT68" s="58"/>
      <c r="AU68" s="58"/>
      <c r="AV68" s="58"/>
      <c r="AW68" s="446" t="s">
        <v>301</v>
      </c>
      <c r="AX68" s="339"/>
      <c r="AY68" s="339"/>
      <c r="AZ68" s="339"/>
      <c r="BA68" s="339"/>
      <c r="BB68" s="339"/>
      <c r="BC68" s="339"/>
      <c r="BD68" s="339"/>
      <c r="BE68" s="339"/>
      <c r="BF68" s="339"/>
      <c r="BG68" s="339"/>
      <c r="BH68" s="339"/>
      <c r="BI68" s="339"/>
      <c r="BJ68" s="339"/>
      <c r="BK68" s="335" t="s">
        <v>135</v>
      </c>
      <c r="BL68" s="335"/>
      <c r="BM68" s="335"/>
      <c r="BN68" s="335"/>
      <c r="BO68" s="335"/>
      <c r="BP68" s="336" t="s">
        <v>134</v>
      </c>
      <c r="BQ68" s="337"/>
      <c r="BR68" s="338"/>
      <c r="BS68" s="339" t="s">
        <v>132</v>
      </c>
      <c r="BT68" s="339"/>
      <c r="BU68" s="339"/>
      <c r="BV68" s="339"/>
      <c r="BW68" s="339"/>
      <c r="BX68" s="339"/>
      <c r="BY68" s="339"/>
      <c r="BZ68" s="339"/>
      <c r="CA68" s="339"/>
      <c r="CB68" s="339"/>
      <c r="CC68" s="339"/>
      <c r="CD68" s="339"/>
      <c r="CE68" s="339"/>
      <c r="CF68" s="339"/>
      <c r="CG68" s="339"/>
      <c r="CH68" s="339"/>
      <c r="CI68" s="339"/>
      <c r="CJ68" s="339"/>
      <c r="CK68" s="339"/>
      <c r="CL68" s="339"/>
      <c r="CM68" s="339"/>
      <c r="CN68" s="339"/>
      <c r="CO68" s="339"/>
      <c r="CP68" s="339"/>
      <c r="CQ68" s="476"/>
      <c r="CR68" s="59"/>
    </row>
    <row r="69" spans="1:98" s="60" customFormat="1" ht="15" customHeight="1" x14ac:dyDescent="0.2">
      <c r="A69" s="57"/>
      <c r="B69" s="58"/>
      <c r="C69" s="58"/>
      <c r="D69" s="74"/>
      <c r="E69" s="75"/>
      <c r="F69" s="75"/>
      <c r="G69" s="75"/>
      <c r="H69" s="75"/>
      <c r="I69" s="75"/>
      <c r="J69" s="75"/>
      <c r="K69" s="75"/>
      <c r="L69" s="75"/>
      <c r="M69" s="75"/>
      <c r="N69" s="75"/>
      <c r="O69" s="75"/>
      <c r="P69" s="75"/>
      <c r="Q69" s="75"/>
      <c r="R69" s="75"/>
      <c r="S69" s="75"/>
      <c r="T69" s="75"/>
      <c r="U69" s="75"/>
      <c r="V69" s="75"/>
      <c r="W69" s="75"/>
      <c r="X69" s="75"/>
      <c r="Y69" s="75"/>
      <c r="Z69" s="76"/>
      <c r="AA69" s="58"/>
      <c r="AB69" s="58"/>
      <c r="AC69" s="58"/>
      <c r="AD69" s="58"/>
      <c r="AE69" s="58"/>
      <c r="AF69" s="58"/>
      <c r="AG69" s="58"/>
      <c r="AH69" s="58"/>
      <c r="AI69" s="58"/>
      <c r="AJ69" s="58"/>
      <c r="AK69" s="58"/>
      <c r="AL69" s="58"/>
      <c r="AM69" s="58"/>
      <c r="AN69" s="58"/>
      <c r="AO69" s="58"/>
      <c r="AP69" s="58"/>
      <c r="AQ69" s="58"/>
      <c r="AR69" s="58"/>
      <c r="AS69" s="58"/>
      <c r="AT69" s="58"/>
      <c r="AU69" s="58"/>
      <c r="AV69" s="58"/>
      <c r="AW69" s="446" t="s">
        <v>295</v>
      </c>
      <c r="AX69" s="339"/>
      <c r="AY69" s="339"/>
      <c r="AZ69" s="339"/>
      <c r="BA69" s="339"/>
      <c r="BB69" s="339"/>
      <c r="BC69" s="339"/>
      <c r="BD69" s="339"/>
      <c r="BE69" s="339"/>
      <c r="BF69" s="339"/>
      <c r="BG69" s="339"/>
      <c r="BH69" s="339"/>
      <c r="BI69" s="339"/>
      <c r="BJ69" s="339"/>
      <c r="BK69" s="335" t="s">
        <v>135</v>
      </c>
      <c r="BL69" s="335"/>
      <c r="BM69" s="335"/>
      <c r="BN69" s="335"/>
      <c r="BO69" s="335"/>
      <c r="BP69" s="336" t="s">
        <v>134</v>
      </c>
      <c r="BQ69" s="337"/>
      <c r="BR69" s="338"/>
      <c r="BS69" s="339" t="s">
        <v>515</v>
      </c>
      <c r="BT69" s="339"/>
      <c r="BU69" s="339"/>
      <c r="BV69" s="339"/>
      <c r="BW69" s="339"/>
      <c r="BX69" s="339"/>
      <c r="BY69" s="339"/>
      <c r="BZ69" s="339"/>
      <c r="CA69" s="339"/>
      <c r="CB69" s="339"/>
      <c r="CC69" s="339"/>
      <c r="CD69" s="339"/>
      <c r="CE69" s="339"/>
      <c r="CF69" s="339"/>
      <c r="CG69" s="339"/>
      <c r="CH69" s="339"/>
      <c r="CI69" s="339"/>
      <c r="CJ69" s="339"/>
      <c r="CK69" s="339"/>
      <c r="CL69" s="339"/>
      <c r="CM69" s="339"/>
      <c r="CN69" s="339"/>
      <c r="CO69" s="339"/>
      <c r="CP69" s="339"/>
      <c r="CQ69" s="476"/>
      <c r="CR69" s="59"/>
    </row>
    <row r="70" spans="1:98" s="60" customFormat="1" ht="15" customHeight="1" thickBot="1" x14ac:dyDescent="0.25">
      <c r="A70" s="57"/>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481" t="s">
        <v>302</v>
      </c>
      <c r="AX70" s="482"/>
      <c r="AY70" s="482"/>
      <c r="AZ70" s="482"/>
      <c r="BA70" s="482"/>
      <c r="BB70" s="482"/>
      <c r="BC70" s="482"/>
      <c r="BD70" s="482"/>
      <c r="BE70" s="482"/>
      <c r="BF70" s="482"/>
      <c r="BG70" s="482"/>
      <c r="BH70" s="482"/>
      <c r="BI70" s="482"/>
      <c r="BJ70" s="482"/>
      <c r="BK70" s="483" t="s">
        <v>135</v>
      </c>
      <c r="BL70" s="483"/>
      <c r="BM70" s="483"/>
      <c r="BN70" s="483"/>
      <c r="BO70" s="483"/>
      <c r="BP70" s="484" t="s">
        <v>134</v>
      </c>
      <c r="BQ70" s="485"/>
      <c r="BR70" s="486"/>
      <c r="BS70" s="482" t="s">
        <v>516</v>
      </c>
      <c r="BT70" s="482"/>
      <c r="BU70" s="482"/>
      <c r="BV70" s="482"/>
      <c r="BW70" s="482"/>
      <c r="BX70" s="482"/>
      <c r="BY70" s="482"/>
      <c r="BZ70" s="482"/>
      <c r="CA70" s="482"/>
      <c r="CB70" s="482"/>
      <c r="CC70" s="482"/>
      <c r="CD70" s="482"/>
      <c r="CE70" s="482"/>
      <c r="CF70" s="482"/>
      <c r="CG70" s="482"/>
      <c r="CH70" s="482"/>
      <c r="CI70" s="482"/>
      <c r="CJ70" s="482"/>
      <c r="CK70" s="482"/>
      <c r="CL70" s="482"/>
      <c r="CM70" s="482"/>
      <c r="CN70" s="482"/>
      <c r="CO70" s="482"/>
      <c r="CP70" s="482"/>
      <c r="CQ70" s="490"/>
      <c r="CR70" s="59"/>
    </row>
    <row r="71" spans="1:98" s="60" customFormat="1" ht="15" customHeight="1" thickTop="1" x14ac:dyDescent="0.2">
      <c r="A71" s="57"/>
      <c r="B71" s="58"/>
      <c r="C71" s="58"/>
      <c r="D71" s="451" t="s">
        <v>120</v>
      </c>
      <c r="E71" s="452"/>
      <c r="F71" s="452"/>
      <c r="G71" s="452"/>
      <c r="H71" s="452"/>
      <c r="I71" s="453"/>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23" t="s">
        <v>604</v>
      </c>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R71" s="59"/>
    </row>
    <row r="72" spans="1:98" s="60" customFormat="1" ht="15" customHeight="1" thickBot="1" x14ac:dyDescent="0.25">
      <c r="A72" s="57"/>
      <c r="C72" s="58"/>
      <c r="D72" s="454"/>
      <c r="E72" s="455"/>
      <c r="F72" s="455"/>
      <c r="G72" s="455"/>
      <c r="H72" s="455"/>
      <c r="I72" s="456"/>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23" t="s">
        <v>605</v>
      </c>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R72" s="59"/>
    </row>
    <row r="73" spans="1:98" s="60" customFormat="1" ht="15" customHeight="1" thickTop="1" x14ac:dyDescent="0.2">
      <c r="A73" s="57"/>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23"/>
      <c r="AX73" s="23" t="s">
        <v>518</v>
      </c>
      <c r="AY73" s="23"/>
      <c r="AZ73" s="23"/>
      <c r="BA73" s="23"/>
      <c r="BB73" s="23" t="s">
        <v>519</v>
      </c>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R73" s="59"/>
    </row>
    <row r="74" spans="1:98" s="60" customFormat="1" ht="15" customHeight="1" x14ac:dyDescent="0.2">
      <c r="A74" s="57"/>
      <c r="B74" s="58"/>
      <c r="C74" s="58" t="s">
        <v>121</v>
      </c>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23"/>
      <c r="AX74" s="23"/>
      <c r="AY74" s="23"/>
      <c r="AZ74" s="23"/>
      <c r="BA74" s="23"/>
      <c r="BB74" s="23" t="s">
        <v>517</v>
      </c>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R74" s="59"/>
    </row>
    <row r="75" spans="1:98" s="60" customFormat="1" ht="15" customHeight="1" x14ac:dyDescent="0.2">
      <c r="A75" s="57"/>
      <c r="B75" s="58"/>
      <c r="C75" s="58"/>
      <c r="D75" s="71" t="s">
        <v>124</v>
      </c>
      <c r="E75" s="72"/>
      <c r="F75" s="72"/>
      <c r="G75" s="72"/>
      <c r="H75" s="72"/>
      <c r="I75" s="72"/>
      <c r="J75" s="72"/>
      <c r="K75" s="72"/>
      <c r="L75" s="72"/>
      <c r="M75" s="72"/>
      <c r="N75" s="72"/>
      <c r="O75" s="72"/>
      <c r="P75" s="72"/>
      <c r="Q75" s="72"/>
      <c r="R75" s="72"/>
      <c r="S75" s="72"/>
      <c r="T75" s="72"/>
      <c r="U75" s="72"/>
      <c r="V75" s="72"/>
      <c r="W75" s="72"/>
      <c r="X75" s="72"/>
      <c r="Y75" s="72"/>
      <c r="Z75" s="73"/>
      <c r="AA75" s="58"/>
      <c r="AB75" s="58"/>
      <c r="AC75" s="58"/>
      <c r="AD75" s="58"/>
      <c r="AE75" s="58"/>
      <c r="AF75" s="58"/>
      <c r="AG75" s="58"/>
      <c r="AH75" s="58"/>
      <c r="AI75" s="58"/>
      <c r="AJ75" s="58"/>
      <c r="AK75" s="58"/>
      <c r="AL75" s="58"/>
      <c r="AM75" s="58"/>
      <c r="AN75" s="58"/>
      <c r="AO75" s="58"/>
      <c r="AP75" s="58"/>
      <c r="AQ75" s="58"/>
      <c r="AR75" s="58"/>
      <c r="AS75" s="58"/>
      <c r="AT75" s="58"/>
      <c r="AU75" s="58"/>
      <c r="AV75" s="58"/>
      <c r="AW75" s="23"/>
      <c r="AX75" s="23"/>
      <c r="AY75" s="23"/>
      <c r="AZ75" s="23"/>
      <c r="BA75" s="23"/>
      <c r="BB75" s="23" t="s">
        <v>520</v>
      </c>
      <c r="BC75" s="23"/>
      <c r="BD75" s="23"/>
      <c r="BE75" s="23"/>
      <c r="BF75" s="23"/>
      <c r="BG75" s="23"/>
      <c r="BH75" s="23"/>
      <c r="BI75" s="23"/>
      <c r="BJ75" s="23"/>
      <c r="BK75" s="23"/>
      <c r="BL75" s="23"/>
      <c r="BM75" s="23"/>
      <c r="BN75" s="23"/>
      <c r="BO75" s="23"/>
      <c r="BP75" s="23"/>
      <c r="BQ75" s="23"/>
      <c r="BR75" s="23"/>
      <c r="BS75" s="23"/>
      <c r="BT75" s="23"/>
      <c r="BU75" s="23"/>
      <c r="BW75" s="23"/>
      <c r="BX75" s="23"/>
      <c r="BY75" s="23"/>
      <c r="BZ75" s="23"/>
      <c r="CA75" s="23"/>
      <c r="CB75" s="23"/>
      <c r="CC75" s="23"/>
      <c r="CD75" s="23"/>
      <c r="CE75" s="23"/>
      <c r="CF75" s="23"/>
      <c r="CG75" s="23"/>
      <c r="CH75" s="23"/>
      <c r="CI75" s="23"/>
      <c r="CJ75" s="23"/>
      <c r="CR75" s="59"/>
    </row>
    <row r="76" spans="1:98" s="60" customFormat="1" ht="15" customHeight="1" x14ac:dyDescent="0.2">
      <c r="A76" s="57"/>
      <c r="B76" s="58"/>
      <c r="C76" s="58"/>
      <c r="D76" s="74"/>
      <c r="E76" s="75"/>
      <c r="F76" s="75"/>
      <c r="G76" s="75"/>
      <c r="H76" s="75"/>
      <c r="I76" s="75"/>
      <c r="J76" s="75"/>
      <c r="K76" s="75"/>
      <c r="L76" s="75"/>
      <c r="M76" s="75"/>
      <c r="N76" s="75"/>
      <c r="O76" s="75"/>
      <c r="P76" s="75"/>
      <c r="Q76" s="75"/>
      <c r="R76" s="75"/>
      <c r="S76" s="75"/>
      <c r="T76" s="75"/>
      <c r="U76" s="75"/>
      <c r="V76" s="75"/>
      <c r="W76" s="75"/>
      <c r="X76" s="75"/>
      <c r="Y76" s="75"/>
      <c r="Z76" s="76"/>
      <c r="AA76" s="58"/>
      <c r="AB76" s="58"/>
      <c r="AC76" s="58"/>
      <c r="AD76" s="58"/>
      <c r="AE76" s="58"/>
      <c r="AF76" s="58"/>
      <c r="AG76" s="58"/>
      <c r="AH76" s="58"/>
      <c r="AI76" s="58"/>
      <c r="AJ76" s="58"/>
      <c r="AK76" s="58"/>
      <c r="AL76" s="58"/>
      <c r="AM76" s="58"/>
      <c r="AN76" s="58"/>
      <c r="AO76" s="58"/>
      <c r="AP76" s="58"/>
      <c r="AQ76" s="58"/>
      <c r="AR76" s="58"/>
      <c r="AS76" s="58"/>
      <c r="AT76" s="58"/>
      <c r="AU76" s="58"/>
      <c r="AV76" s="58"/>
      <c r="AW76" s="23"/>
      <c r="AX76" s="23"/>
      <c r="AY76" s="23"/>
      <c r="AZ76" s="23"/>
      <c r="BA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R76" s="59"/>
    </row>
    <row r="77" spans="1:98" s="60" customFormat="1" ht="15" customHeight="1" thickBot="1" x14ac:dyDescent="0.25">
      <c r="A77" s="57"/>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60" t="s">
        <v>457</v>
      </c>
      <c r="CR77" s="59"/>
    </row>
    <row r="78" spans="1:98" s="60" customFormat="1" ht="15" customHeight="1" thickTop="1" x14ac:dyDescent="0.2">
      <c r="A78" s="57"/>
      <c r="B78" s="58"/>
      <c r="C78" s="58"/>
      <c r="D78" s="451" t="s">
        <v>122</v>
      </c>
      <c r="E78" s="452"/>
      <c r="F78" s="452"/>
      <c r="G78" s="452"/>
      <c r="H78" s="452"/>
      <c r="I78" s="453"/>
      <c r="J78" s="451" t="s">
        <v>123</v>
      </c>
      <c r="K78" s="452"/>
      <c r="L78" s="452"/>
      <c r="M78" s="452"/>
      <c r="N78" s="452"/>
      <c r="O78" s="453"/>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444" t="s">
        <v>293</v>
      </c>
      <c r="AX78" s="445"/>
      <c r="AY78" s="445"/>
      <c r="AZ78" s="445"/>
      <c r="BA78" s="445"/>
      <c r="BB78" s="445"/>
      <c r="BC78" s="445"/>
      <c r="BD78" s="445"/>
      <c r="BE78" s="445"/>
      <c r="BF78" s="445"/>
      <c r="BG78" s="445"/>
      <c r="BH78" s="445"/>
      <c r="BI78" s="445"/>
      <c r="BJ78" s="445"/>
      <c r="BK78" s="471" t="s">
        <v>133</v>
      </c>
      <c r="BL78" s="471"/>
      <c r="BM78" s="471"/>
      <c r="BN78" s="471"/>
      <c r="BO78" s="471"/>
      <c r="BP78" s="471" t="s">
        <v>134</v>
      </c>
      <c r="BQ78" s="471"/>
      <c r="BR78" s="471"/>
      <c r="BS78" s="445" t="s">
        <v>319</v>
      </c>
      <c r="BT78" s="445"/>
      <c r="BU78" s="445"/>
      <c r="BV78" s="445"/>
      <c r="BW78" s="445"/>
      <c r="BX78" s="445"/>
      <c r="BY78" s="445"/>
      <c r="BZ78" s="445"/>
      <c r="CA78" s="445"/>
      <c r="CB78" s="445"/>
      <c r="CC78" s="445"/>
      <c r="CD78" s="445"/>
      <c r="CE78" s="445"/>
      <c r="CF78" s="445"/>
      <c r="CG78" s="445"/>
      <c r="CH78" s="445"/>
      <c r="CI78" s="445"/>
      <c r="CJ78" s="445"/>
      <c r="CK78" s="445"/>
      <c r="CL78" s="445"/>
      <c r="CM78" s="445"/>
      <c r="CN78" s="445"/>
      <c r="CO78" s="445"/>
      <c r="CP78" s="445"/>
      <c r="CQ78" s="475"/>
      <c r="CR78" s="59"/>
    </row>
    <row r="79" spans="1:98" s="60" customFormat="1" ht="15" customHeight="1" thickBot="1" x14ac:dyDescent="0.25">
      <c r="A79" s="57"/>
      <c r="B79" s="58"/>
      <c r="C79" s="58"/>
      <c r="D79" s="454"/>
      <c r="E79" s="455"/>
      <c r="F79" s="455"/>
      <c r="G79" s="455"/>
      <c r="H79" s="455"/>
      <c r="I79" s="456"/>
      <c r="J79" s="454"/>
      <c r="K79" s="455"/>
      <c r="L79" s="455"/>
      <c r="M79" s="455"/>
      <c r="N79" s="455"/>
      <c r="O79" s="456"/>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446" t="s">
        <v>292</v>
      </c>
      <c r="AX79" s="339"/>
      <c r="AY79" s="339"/>
      <c r="AZ79" s="339"/>
      <c r="BA79" s="339"/>
      <c r="BB79" s="339"/>
      <c r="BC79" s="339"/>
      <c r="BD79" s="339"/>
      <c r="BE79" s="339"/>
      <c r="BF79" s="339"/>
      <c r="BG79" s="339"/>
      <c r="BH79" s="339"/>
      <c r="BI79" s="339"/>
      <c r="BJ79" s="339"/>
      <c r="BK79" s="335" t="s">
        <v>133</v>
      </c>
      <c r="BL79" s="335"/>
      <c r="BM79" s="335"/>
      <c r="BN79" s="335"/>
      <c r="BO79" s="335"/>
      <c r="BP79" s="335" t="s">
        <v>134</v>
      </c>
      <c r="BQ79" s="335"/>
      <c r="BR79" s="335"/>
      <c r="BS79" s="339" t="s">
        <v>319</v>
      </c>
      <c r="BT79" s="339"/>
      <c r="BU79" s="339"/>
      <c r="BV79" s="339"/>
      <c r="BW79" s="339"/>
      <c r="BX79" s="339"/>
      <c r="BY79" s="339"/>
      <c r="BZ79" s="339"/>
      <c r="CA79" s="339"/>
      <c r="CB79" s="339"/>
      <c r="CC79" s="339"/>
      <c r="CD79" s="339"/>
      <c r="CE79" s="339"/>
      <c r="CF79" s="339"/>
      <c r="CG79" s="339"/>
      <c r="CH79" s="339"/>
      <c r="CI79" s="339"/>
      <c r="CJ79" s="339"/>
      <c r="CK79" s="339"/>
      <c r="CL79" s="339"/>
      <c r="CM79" s="339"/>
      <c r="CN79" s="339"/>
      <c r="CO79" s="339"/>
      <c r="CP79" s="339"/>
      <c r="CQ79" s="476"/>
      <c r="CR79" s="59"/>
    </row>
    <row r="80" spans="1:98" s="60" customFormat="1" ht="15" customHeight="1" thickTop="1" x14ac:dyDescent="0.2">
      <c r="A80" s="57"/>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446" t="s">
        <v>141</v>
      </c>
      <c r="AX80" s="339"/>
      <c r="AY80" s="339"/>
      <c r="AZ80" s="339"/>
      <c r="BA80" s="339"/>
      <c r="BB80" s="339"/>
      <c r="BC80" s="339"/>
      <c r="BD80" s="339"/>
      <c r="BE80" s="339"/>
      <c r="BF80" s="339"/>
      <c r="BG80" s="339"/>
      <c r="BH80" s="339"/>
      <c r="BI80" s="339"/>
      <c r="BJ80" s="339"/>
      <c r="BK80" s="335" t="s">
        <v>133</v>
      </c>
      <c r="BL80" s="335"/>
      <c r="BM80" s="335"/>
      <c r="BN80" s="335"/>
      <c r="BO80" s="335"/>
      <c r="BP80" s="335" t="s">
        <v>134</v>
      </c>
      <c r="BQ80" s="335"/>
      <c r="BR80" s="335"/>
      <c r="BS80" s="339" t="s">
        <v>319</v>
      </c>
      <c r="BT80" s="339"/>
      <c r="BU80" s="339"/>
      <c r="BV80" s="339"/>
      <c r="BW80" s="339"/>
      <c r="BX80" s="339"/>
      <c r="BY80" s="339"/>
      <c r="BZ80" s="339"/>
      <c r="CA80" s="339"/>
      <c r="CB80" s="339"/>
      <c r="CC80" s="339"/>
      <c r="CD80" s="339"/>
      <c r="CE80" s="339"/>
      <c r="CF80" s="339"/>
      <c r="CG80" s="339"/>
      <c r="CH80" s="339"/>
      <c r="CI80" s="339"/>
      <c r="CJ80" s="339"/>
      <c r="CK80" s="339"/>
      <c r="CL80" s="339"/>
      <c r="CM80" s="339"/>
      <c r="CN80" s="339"/>
      <c r="CO80" s="339"/>
      <c r="CP80" s="339"/>
      <c r="CQ80" s="476"/>
      <c r="CR80" s="59"/>
    </row>
    <row r="81" spans="1:96" s="60" customFormat="1" ht="15" customHeight="1" x14ac:dyDescent="0.2">
      <c r="A81" s="57"/>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446" t="s">
        <v>294</v>
      </c>
      <c r="AX81" s="339"/>
      <c r="AY81" s="339"/>
      <c r="AZ81" s="339"/>
      <c r="BA81" s="339"/>
      <c r="BB81" s="339"/>
      <c r="BC81" s="339"/>
      <c r="BD81" s="339"/>
      <c r="BE81" s="339"/>
      <c r="BF81" s="339"/>
      <c r="BG81" s="339"/>
      <c r="BH81" s="339"/>
      <c r="BI81" s="339"/>
      <c r="BJ81" s="339"/>
      <c r="BK81" s="335" t="s">
        <v>135</v>
      </c>
      <c r="BL81" s="335"/>
      <c r="BM81" s="335"/>
      <c r="BN81" s="335"/>
      <c r="BO81" s="335"/>
      <c r="BP81" s="335" t="s">
        <v>134</v>
      </c>
      <c r="BQ81" s="335"/>
      <c r="BR81" s="335"/>
      <c r="BS81" s="339" t="s">
        <v>317</v>
      </c>
      <c r="BT81" s="339"/>
      <c r="BU81" s="339"/>
      <c r="BV81" s="339"/>
      <c r="BW81" s="339"/>
      <c r="BX81" s="339"/>
      <c r="BY81" s="339"/>
      <c r="BZ81" s="339"/>
      <c r="CA81" s="339"/>
      <c r="CB81" s="339"/>
      <c r="CC81" s="339"/>
      <c r="CD81" s="339"/>
      <c r="CE81" s="339"/>
      <c r="CF81" s="339"/>
      <c r="CG81" s="339"/>
      <c r="CH81" s="339"/>
      <c r="CI81" s="339"/>
      <c r="CJ81" s="339"/>
      <c r="CK81" s="339"/>
      <c r="CL81" s="339"/>
      <c r="CM81" s="339"/>
      <c r="CN81" s="339"/>
      <c r="CO81" s="339"/>
      <c r="CP81" s="339"/>
      <c r="CQ81" s="476"/>
      <c r="CR81" s="59"/>
    </row>
    <row r="82" spans="1:96" s="60" customFormat="1" ht="15" customHeight="1" x14ac:dyDescent="0.2">
      <c r="A82" s="57"/>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446" t="s">
        <v>301</v>
      </c>
      <c r="AX82" s="339"/>
      <c r="AY82" s="339"/>
      <c r="AZ82" s="339"/>
      <c r="BA82" s="339"/>
      <c r="BB82" s="339"/>
      <c r="BC82" s="339"/>
      <c r="BD82" s="339"/>
      <c r="BE82" s="339"/>
      <c r="BF82" s="339"/>
      <c r="BG82" s="339"/>
      <c r="BH82" s="339"/>
      <c r="BI82" s="339"/>
      <c r="BJ82" s="339"/>
      <c r="BK82" s="335" t="s">
        <v>135</v>
      </c>
      <c r="BL82" s="335"/>
      <c r="BM82" s="335"/>
      <c r="BN82" s="335"/>
      <c r="BO82" s="335"/>
      <c r="BP82" s="335" t="s">
        <v>134</v>
      </c>
      <c r="BQ82" s="335"/>
      <c r="BR82" s="335"/>
      <c r="BS82" s="339" t="s">
        <v>318</v>
      </c>
      <c r="BT82" s="339"/>
      <c r="BU82" s="339"/>
      <c r="BV82" s="339"/>
      <c r="BW82" s="339"/>
      <c r="BX82" s="339"/>
      <c r="BY82" s="339"/>
      <c r="BZ82" s="339"/>
      <c r="CA82" s="339"/>
      <c r="CB82" s="339"/>
      <c r="CC82" s="339"/>
      <c r="CD82" s="339"/>
      <c r="CE82" s="339"/>
      <c r="CF82" s="339"/>
      <c r="CG82" s="339"/>
      <c r="CH82" s="339"/>
      <c r="CI82" s="339"/>
      <c r="CJ82" s="339"/>
      <c r="CK82" s="339"/>
      <c r="CL82" s="339"/>
      <c r="CM82" s="339"/>
      <c r="CN82" s="339"/>
      <c r="CO82" s="339"/>
      <c r="CP82" s="339"/>
      <c r="CQ82" s="476"/>
      <c r="CR82" s="59"/>
    </row>
    <row r="83" spans="1:96" s="60" customFormat="1" ht="15" customHeight="1" x14ac:dyDescent="0.2">
      <c r="A83" s="57"/>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446" t="s">
        <v>295</v>
      </c>
      <c r="AX83" s="339"/>
      <c r="AY83" s="339"/>
      <c r="AZ83" s="339"/>
      <c r="BA83" s="339"/>
      <c r="BB83" s="339"/>
      <c r="BC83" s="339"/>
      <c r="BD83" s="339"/>
      <c r="BE83" s="339"/>
      <c r="BF83" s="339"/>
      <c r="BG83" s="339"/>
      <c r="BH83" s="339"/>
      <c r="BI83" s="339"/>
      <c r="BJ83" s="339"/>
      <c r="BK83" s="335" t="s">
        <v>135</v>
      </c>
      <c r="BL83" s="335"/>
      <c r="BM83" s="335"/>
      <c r="BN83" s="335"/>
      <c r="BO83" s="335"/>
      <c r="BP83" s="335" t="s">
        <v>134</v>
      </c>
      <c r="BQ83" s="335"/>
      <c r="BR83" s="335"/>
      <c r="BS83" s="339" t="s">
        <v>321</v>
      </c>
      <c r="BT83" s="339"/>
      <c r="BU83" s="339"/>
      <c r="BV83" s="339"/>
      <c r="BW83" s="339"/>
      <c r="BX83" s="339"/>
      <c r="BY83" s="339"/>
      <c r="BZ83" s="339"/>
      <c r="CA83" s="339"/>
      <c r="CB83" s="339"/>
      <c r="CC83" s="339"/>
      <c r="CD83" s="339"/>
      <c r="CE83" s="339"/>
      <c r="CF83" s="339"/>
      <c r="CG83" s="339"/>
      <c r="CH83" s="339"/>
      <c r="CI83" s="339"/>
      <c r="CJ83" s="339"/>
      <c r="CK83" s="339"/>
      <c r="CL83" s="339"/>
      <c r="CM83" s="339"/>
      <c r="CN83" s="339"/>
      <c r="CO83" s="339"/>
      <c r="CP83" s="339"/>
      <c r="CQ83" s="476"/>
      <c r="CR83" s="59"/>
    </row>
    <row r="84" spans="1:96" s="60" customFormat="1" ht="15" customHeight="1" thickBot="1" x14ac:dyDescent="0.25">
      <c r="A84" s="57"/>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481" t="s">
        <v>144</v>
      </c>
      <c r="AX84" s="482"/>
      <c r="AY84" s="482"/>
      <c r="AZ84" s="482"/>
      <c r="BA84" s="482"/>
      <c r="BB84" s="482"/>
      <c r="BC84" s="482"/>
      <c r="BD84" s="482"/>
      <c r="BE84" s="482"/>
      <c r="BF84" s="482"/>
      <c r="BG84" s="482"/>
      <c r="BH84" s="482"/>
      <c r="BI84" s="482"/>
      <c r="BJ84" s="482"/>
      <c r="BK84" s="483" t="s">
        <v>135</v>
      </c>
      <c r="BL84" s="483"/>
      <c r="BM84" s="483"/>
      <c r="BN84" s="483"/>
      <c r="BO84" s="483"/>
      <c r="BP84" s="483" t="s">
        <v>134</v>
      </c>
      <c r="BQ84" s="483"/>
      <c r="BR84" s="483"/>
      <c r="BS84" s="482" t="s">
        <v>321</v>
      </c>
      <c r="BT84" s="482"/>
      <c r="BU84" s="482"/>
      <c r="BV84" s="482"/>
      <c r="BW84" s="482"/>
      <c r="BX84" s="482"/>
      <c r="BY84" s="482"/>
      <c r="BZ84" s="482"/>
      <c r="CA84" s="482"/>
      <c r="CB84" s="482"/>
      <c r="CC84" s="482"/>
      <c r="CD84" s="482"/>
      <c r="CE84" s="482"/>
      <c r="CF84" s="482"/>
      <c r="CG84" s="482"/>
      <c r="CH84" s="482"/>
      <c r="CI84" s="482"/>
      <c r="CJ84" s="482"/>
      <c r="CK84" s="482"/>
      <c r="CL84" s="482"/>
      <c r="CM84" s="482"/>
      <c r="CN84" s="482"/>
      <c r="CO84" s="482"/>
      <c r="CP84" s="482"/>
      <c r="CQ84" s="490"/>
      <c r="CR84" s="59"/>
    </row>
    <row r="85" spans="1:96" s="60" customFormat="1" ht="15" customHeight="1" x14ac:dyDescent="0.2">
      <c r="A85" s="57"/>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CR85" s="59"/>
    </row>
    <row r="86" spans="1:96" s="60" customFormat="1" ht="15" customHeight="1" x14ac:dyDescent="0.2">
      <c r="A86" s="57"/>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CR86" s="59"/>
    </row>
    <row r="87" spans="1:96" s="60" customFormat="1" ht="15" customHeight="1" x14ac:dyDescent="0.2">
      <c r="A87" s="57"/>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CR87" s="59"/>
    </row>
    <row r="88" spans="1:96" s="60" customFormat="1" ht="15" customHeight="1" x14ac:dyDescent="0.2">
      <c r="A88" s="57"/>
      <c r="B88" s="23"/>
      <c r="C88" s="23"/>
      <c r="D88" s="23"/>
      <c r="E88" s="23"/>
      <c r="F88" s="23"/>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CR88" s="59"/>
    </row>
    <row r="89" spans="1:96" s="60" customFormat="1" ht="15" customHeight="1" x14ac:dyDescent="0.2">
      <c r="A89" s="57"/>
      <c r="B89" s="23"/>
      <c r="C89" s="23"/>
      <c r="D89" s="23"/>
      <c r="E89" s="23"/>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CR89" s="59"/>
    </row>
    <row r="90" spans="1:96" s="60" customFormat="1" ht="15" customHeight="1" thickBot="1" x14ac:dyDescent="0.25">
      <c r="A90" s="61"/>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96"/>
      <c r="AX90" s="96"/>
      <c r="AY90" s="96"/>
      <c r="AZ90" s="96"/>
      <c r="BA90" s="96"/>
      <c r="BB90" s="96"/>
      <c r="BC90" s="96"/>
      <c r="BD90" s="96"/>
      <c r="BE90" s="96"/>
      <c r="BF90" s="96"/>
      <c r="BG90" s="96"/>
      <c r="BH90" s="96"/>
      <c r="BI90" s="96"/>
      <c r="BJ90" s="96"/>
      <c r="BK90" s="96"/>
      <c r="BL90" s="96"/>
      <c r="BM90" s="96"/>
      <c r="BN90" s="96"/>
      <c r="BO90" s="96"/>
      <c r="BP90" s="96"/>
      <c r="BQ90" s="96"/>
      <c r="BR90" s="96"/>
      <c r="BS90" s="96"/>
      <c r="BT90" s="96"/>
      <c r="BU90" s="96"/>
      <c r="BV90" s="96"/>
      <c r="BW90" s="96"/>
      <c r="BX90" s="96"/>
      <c r="BY90" s="96"/>
      <c r="BZ90" s="96"/>
      <c r="CA90" s="96"/>
      <c r="CB90" s="96"/>
      <c r="CC90" s="96"/>
      <c r="CD90" s="96"/>
      <c r="CE90" s="96"/>
      <c r="CF90" s="96"/>
      <c r="CG90" s="96"/>
      <c r="CH90" s="96"/>
      <c r="CI90" s="96"/>
      <c r="CJ90" s="96"/>
      <c r="CK90" s="96"/>
      <c r="CL90" s="96"/>
      <c r="CM90" s="96"/>
      <c r="CN90" s="96"/>
      <c r="CO90" s="96"/>
      <c r="CP90" s="96"/>
      <c r="CQ90" s="96"/>
      <c r="CR90" s="63"/>
    </row>
    <row r="91" spans="1:96" ht="15" customHeight="1" x14ac:dyDescent="0.15">
      <c r="A91" s="297" t="s">
        <v>71</v>
      </c>
      <c r="B91" s="298"/>
      <c r="C91" s="298"/>
      <c r="D91" s="298"/>
      <c r="E91" s="298"/>
      <c r="F91" s="298"/>
      <c r="G91" s="298"/>
      <c r="H91" s="298"/>
      <c r="I91" s="298"/>
      <c r="J91" s="298"/>
      <c r="K91" s="298"/>
      <c r="L91" s="298"/>
      <c r="M91" s="298"/>
      <c r="N91" s="298"/>
      <c r="O91" s="298"/>
      <c r="P91" s="298"/>
      <c r="Q91" s="298"/>
      <c r="R91" s="298"/>
      <c r="S91" s="298"/>
      <c r="T91" s="298"/>
      <c r="U91" s="298"/>
      <c r="V91" s="298"/>
      <c r="W91" s="298"/>
      <c r="X91" s="298"/>
      <c r="Y91" s="298"/>
      <c r="Z91" s="298"/>
      <c r="AA91" s="298"/>
      <c r="AB91" s="298"/>
      <c r="AC91" s="298"/>
      <c r="AD91" s="298"/>
      <c r="AE91" s="298"/>
      <c r="AF91" s="298"/>
      <c r="AG91" s="298"/>
      <c r="AH91" s="298"/>
      <c r="AI91" s="298"/>
      <c r="AJ91" s="298"/>
      <c r="AK91" s="298"/>
      <c r="AL91" s="298"/>
      <c r="AM91" s="298"/>
      <c r="AN91" s="298"/>
      <c r="AO91" s="298"/>
      <c r="AP91" s="298"/>
      <c r="AQ91" s="298"/>
      <c r="AR91" s="298"/>
      <c r="AS91" s="298"/>
      <c r="AT91" s="298"/>
      <c r="AU91" s="298"/>
      <c r="AV91" s="298"/>
      <c r="AW91" s="428"/>
      <c r="AX91" s="428"/>
      <c r="AY91" s="428"/>
      <c r="AZ91" s="428"/>
      <c r="BA91" s="428"/>
      <c r="BB91" s="428"/>
      <c r="BC91" s="428"/>
      <c r="BD91" s="428"/>
      <c r="BE91" s="428"/>
      <c r="BF91" s="428"/>
      <c r="BG91" s="428"/>
      <c r="BH91" s="428"/>
      <c r="BI91" s="428"/>
      <c r="BJ91" s="428"/>
      <c r="BK91" s="428"/>
      <c r="BL91" s="428"/>
      <c r="BM91" s="428"/>
      <c r="BN91" s="428"/>
      <c r="BO91" s="428"/>
      <c r="BP91" s="428"/>
      <c r="BQ91" s="428"/>
      <c r="BR91" s="428"/>
      <c r="BS91" s="428"/>
      <c r="BT91" s="428"/>
      <c r="BU91" s="428"/>
      <c r="BV91" s="428"/>
      <c r="BW91" s="428"/>
      <c r="BX91" s="428"/>
      <c r="BY91" s="428"/>
      <c r="BZ91" s="428"/>
      <c r="CA91" s="428"/>
      <c r="CB91" s="428"/>
      <c r="CC91" s="428"/>
      <c r="CD91" s="428"/>
      <c r="CE91" s="428"/>
      <c r="CF91" s="428"/>
      <c r="CG91" s="428"/>
      <c r="CH91" s="428"/>
      <c r="CI91" s="428"/>
      <c r="CJ91" s="428"/>
      <c r="CK91" s="428"/>
      <c r="CL91" s="428"/>
      <c r="CM91" s="428"/>
      <c r="CN91" s="428"/>
      <c r="CO91" s="428"/>
      <c r="CP91" s="428"/>
      <c r="CQ91" s="428"/>
      <c r="CR91" s="299"/>
    </row>
    <row r="92" spans="1:96" ht="15" customHeight="1" x14ac:dyDescent="0.15">
      <c r="A92" s="57"/>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c r="CG92" s="58"/>
      <c r="CH92" s="58"/>
      <c r="CI92" s="58"/>
      <c r="CJ92" s="58"/>
      <c r="CK92" s="58"/>
      <c r="CL92" s="58"/>
      <c r="CM92" s="58"/>
      <c r="CN92" s="58"/>
      <c r="CO92" s="58"/>
      <c r="CP92" s="58"/>
      <c r="CQ92" s="58"/>
      <c r="CR92" s="59"/>
    </row>
    <row r="93" spans="1:96" ht="15" customHeight="1" x14ac:dyDescent="0.15">
      <c r="A93" s="57"/>
      <c r="B93" s="58" t="s">
        <v>320</v>
      </c>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t="s">
        <v>371</v>
      </c>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c r="CA93" s="58"/>
      <c r="CB93" s="58"/>
      <c r="CC93" s="58"/>
      <c r="CD93" s="58"/>
      <c r="CE93" s="58"/>
      <c r="CF93" s="58"/>
      <c r="CG93" s="58"/>
      <c r="CH93" s="58"/>
      <c r="CI93" s="58"/>
      <c r="CJ93" s="58"/>
      <c r="CK93" s="58"/>
      <c r="CL93" s="58"/>
      <c r="CM93" s="58"/>
      <c r="CN93" s="58"/>
      <c r="CO93" s="58"/>
      <c r="CP93" s="58"/>
      <c r="CQ93" s="58"/>
      <c r="CR93" s="59"/>
    </row>
    <row r="94" spans="1:96" ht="15" customHeight="1" x14ac:dyDescent="0.15">
      <c r="A94" s="57"/>
      <c r="B94" s="377" t="s">
        <v>127</v>
      </c>
      <c r="C94" s="378"/>
      <c r="D94" s="378"/>
      <c r="E94" s="378"/>
      <c r="F94" s="378"/>
      <c r="G94" s="378"/>
      <c r="H94" s="378"/>
      <c r="I94" s="378"/>
      <c r="J94" s="378"/>
      <c r="K94" s="378"/>
      <c r="L94" s="378"/>
      <c r="M94" s="378"/>
      <c r="N94" s="378"/>
      <c r="O94" s="379"/>
      <c r="P94" s="377" t="s">
        <v>128</v>
      </c>
      <c r="Q94" s="378"/>
      <c r="R94" s="378"/>
      <c r="S94" s="378"/>
      <c r="T94" s="379"/>
      <c r="U94" s="377" t="s">
        <v>129</v>
      </c>
      <c r="V94" s="378"/>
      <c r="W94" s="379"/>
      <c r="X94" s="377" t="s">
        <v>130</v>
      </c>
      <c r="Y94" s="380"/>
      <c r="Z94" s="380"/>
      <c r="AA94" s="380"/>
      <c r="AB94" s="380"/>
      <c r="AC94" s="380"/>
      <c r="AD94" s="380"/>
      <c r="AE94" s="380"/>
      <c r="AF94" s="380"/>
      <c r="AG94" s="380"/>
      <c r="AH94" s="380"/>
      <c r="AI94" s="380"/>
      <c r="AJ94" s="380"/>
      <c r="AK94" s="380"/>
      <c r="AL94" s="380"/>
      <c r="AM94" s="380"/>
      <c r="AN94" s="380"/>
      <c r="AO94" s="380"/>
      <c r="AP94" s="380"/>
      <c r="AQ94" s="380"/>
      <c r="AR94" s="380"/>
      <c r="AS94" s="380"/>
      <c r="AT94" s="380"/>
      <c r="AU94" s="380"/>
      <c r="AV94" s="381"/>
      <c r="AW94" s="58"/>
      <c r="AX94" s="58"/>
      <c r="AY94" s="58"/>
      <c r="AZ94" s="60"/>
      <c r="BA94" s="60" t="s">
        <v>424</v>
      </c>
      <c r="BB94" s="60"/>
      <c r="BC94" s="60"/>
      <c r="BD94" s="60"/>
      <c r="BE94" s="60"/>
      <c r="BF94" s="60"/>
      <c r="BG94" s="60"/>
      <c r="BH94" s="60"/>
      <c r="BI94" s="60"/>
      <c r="BJ94" s="60"/>
      <c r="BK94" s="60"/>
      <c r="BL94" s="60"/>
      <c r="BM94" s="60"/>
      <c r="BN94" s="60"/>
      <c r="BO94" s="60"/>
      <c r="BP94" s="60"/>
      <c r="BQ94" s="60"/>
      <c r="BR94" s="60"/>
      <c r="BS94" s="60"/>
      <c r="BT94" s="60"/>
      <c r="BU94" s="60"/>
      <c r="BV94" s="60"/>
      <c r="BW94" s="60"/>
      <c r="BX94" s="60"/>
      <c r="BY94" s="60"/>
      <c r="BZ94" s="60"/>
      <c r="CA94" s="60"/>
      <c r="CB94" s="60"/>
      <c r="CC94" s="60"/>
      <c r="CD94" s="60"/>
      <c r="CE94" s="60"/>
      <c r="CF94" s="60"/>
      <c r="CG94" s="60"/>
      <c r="CH94" s="60"/>
      <c r="CI94" s="60"/>
      <c r="CJ94" s="60"/>
      <c r="CK94" s="60"/>
      <c r="CL94" s="60"/>
      <c r="CM94" s="58"/>
      <c r="CN94" s="58"/>
      <c r="CO94" s="58"/>
      <c r="CP94" s="58"/>
      <c r="CQ94" s="58"/>
      <c r="CR94" s="59"/>
    </row>
    <row r="95" spans="1:96" ht="15" customHeight="1" thickBot="1" x14ac:dyDescent="0.2">
      <c r="A95" s="57"/>
      <c r="B95" s="60" t="s">
        <v>458</v>
      </c>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58"/>
      <c r="AX95" s="58"/>
      <c r="AY95" s="58"/>
      <c r="AZ95" s="60"/>
      <c r="BA95" s="119"/>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0"/>
      <c r="BZ95" s="60"/>
      <c r="CA95" s="60"/>
      <c r="CB95" s="60"/>
      <c r="CC95" s="60"/>
      <c r="CD95" s="60"/>
      <c r="CE95" s="60"/>
      <c r="CF95" s="60"/>
      <c r="CG95" s="60"/>
      <c r="CH95" s="60"/>
      <c r="CI95" s="60"/>
      <c r="CJ95" s="60"/>
      <c r="CK95" s="60"/>
      <c r="CL95" s="60"/>
      <c r="CM95" s="58"/>
      <c r="CN95" s="58"/>
      <c r="CO95" s="60"/>
      <c r="CP95" s="60"/>
      <c r="CQ95" s="58"/>
      <c r="CR95" s="59"/>
    </row>
    <row r="96" spans="1:96" ht="15" customHeight="1" x14ac:dyDescent="0.15">
      <c r="A96" s="57"/>
      <c r="B96" s="444" t="s">
        <v>293</v>
      </c>
      <c r="C96" s="445"/>
      <c r="D96" s="445"/>
      <c r="E96" s="445"/>
      <c r="F96" s="445"/>
      <c r="G96" s="445"/>
      <c r="H96" s="445"/>
      <c r="I96" s="445"/>
      <c r="J96" s="445"/>
      <c r="K96" s="445"/>
      <c r="L96" s="445"/>
      <c r="M96" s="445"/>
      <c r="N96" s="445"/>
      <c r="O96" s="445"/>
      <c r="P96" s="471" t="s">
        <v>133</v>
      </c>
      <c r="Q96" s="471"/>
      <c r="R96" s="471"/>
      <c r="S96" s="471"/>
      <c r="T96" s="471"/>
      <c r="U96" s="471" t="s">
        <v>134</v>
      </c>
      <c r="V96" s="471"/>
      <c r="W96" s="471"/>
      <c r="X96" s="445" t="s">
        <v>319</v>
      </c>
      <c r="Y96" s="445"/>
      <c r="Z96" s="445"/>
      <c r="AA96" s="445"/>
      <c r="AB96" s="445"/>
      <c r="AC96" s="445"/>
      <c r="AD96" s="445"/>
      <c r="AE96" s="445"/>
      <c r="AF96" s="445"/>
      <c r="AG96" s="445"/>
      <c r="AH96" s="445"/>
      <c r="AI96" s="445"/>
      <c r="AJ96" s="445"/>
      <c r="AK96" s="445"/>
      <c r="AL96" s="445"/>
      <c r="AM96" s="445"/>
      <c r="AN96" s="445"/>
      <c r="AO96" s="445"/>
      <c r="AP96" s="445"/>
      <c r="AQ96" s="445"/>
      <c r="AR96" s="445"/>
      <c r="AS96" s="445"/>
      <c r="AT96" s="445"/>
      <c r="AU96" s="445"/>
      <c r="AV96" s="475"/>
      <c r="AW96" s="58"/>
      <c r="AX96" s="58"/>
      <c r="AY96" s="58"/>
      <c r="AZ96" s="60"/>
      <c r="BA96" s="435"/>
      <c r="BB96" s="436"/>
      <c r="BC96" s="437"/>
      <c r="BD96" s="435"/>
      <c r="BE96" s="436"/>
      <c r="BF96" s="437"/>
      <c r="BG96" s="435">
        <v>1</v>
      </c>
      <c r="BH96" s="436"/>
      <c r="BI96" s="437"/>
      <c r="BJ96" s="435">
        <v>0</v>
      </c>
      <c r="BK96" s="436"/>
      <c r="BL96" s="437"/>
      <c r="BM96" s="435">
        <v>1</v>
      </c>
      <c r="BN96" s="436"/>
      <c r="BO96" s="437"/>
      <c r="BP96" s="435" t="s">
        <v>383</v>
      </c>
      <c r="BQ96" s="436"/>
      <c r="BR96" s="437"/>
      <c r="BS96" s="435" t="s">
        <v>384</v>
      </c>
      <c r="BT96" s="436"/>
      <c r="BU96" s="437"/>
      <c r="BV96" s="435">
        <v>0</v>
      </c>
      <c r="BW96" s="436"/>
      <c r="BX96" s="437"/>
      <c r="BY96" s="435">
        <v>0</v>
      </c>
      <c r="BZ96" s="436"/>
      <c r="CA96" s="437"/>
      <c r="CB96" s="435">
        <v>1</v>
      </c>
      <c r="CC96" s="436"/>
      <c r="CD96" s="437"/>
      <c r="CE96" s="60"/>
      <c r="CF96" s="58"/>
      <c r="CG96" s="58"/>
      <c r="CH96" s="58"/>
      <c r="CI96" s="58"/>
      <c r="CJ96" s="58"/>
      <c r="CK96" s="58"/>
      <c r="CL96" s="60"/>
      <c r="CM96" s="60"/>
      <c r="CN96" s="60"/>
      <c r="CO96" s="60"/>
      <c r="CP96" s="60"/>
      <c r="CQ96" s="58"/>
      <c r="CR96" s="59"/>
    </row>
    <row r="97" spans="1:96" ht="15" customHeight="1" x14ac:dyDescent="0.15">
      <c r="A97" s="57"/>
      <c r="B97" s="446" t="s">
        <v>292</v>
      </c>
      <c r="C97" s="339"/>
      <c r="D97" s="339"/>
      <c r="E97" s="339"/>
      <c r="F97" s="339"/>
      <c r="G97" s="339"/>
      <c r="H97" s="339"/>
      <c r="I97" s="339"/>
      <c r="J97" s="339"/>
      <c r="K97" s="339"/>
      <c r="L97" s="339"/>
      <c r="M97" s="339"/>
      <c r="N97" s="339"/>
      <c r="O97" s="339"/>
      <c r="P97" s="335" t="s">
        <v>133</v>
      </c>
      <c r="Q97" s="335"/>
      <c r="R97" s="335"/>
      <c r="S97" s="335"/>
      <c r="T97" s="335"/>
      <c r="U97" s="335" t="s">
        <v>134</v>
      </c>
      <c r="V97" s="335"/>
      <c r="W97" s="335"/>
      <c r="X97" s="339" t="s">
        <v>319</v>
      </c>
      <c r="Y97" s="339"/>
      <c r="Z97" s="339"/>
      <c r="AA97" s="339"/>
      <c r="AB97" s="339"/>
      <c r="AC97" s="339"/>
      <c r="AD97" s="339"/>
      <c r="AE97" s="339"/>
      <c r="AF97" s="339"/>
      <c r="AG97" s="339"/>
      <c r="AH97" s="339"/>
      <c r="AI97" s="339"/>
      <c r="AJ97" s="339"/>
      <c r="AK97" s="339"/>
      <c r="AL97" s="339"/>
      <c r="AM97" s="339"/>
      <c r="AN97" s="339"/>
      <c r="AO97" s="339"/>
      <c r="AP97" s="339"/>
      <c r="AQ97" s="339"/>
      <c r="AR97" s="339"/>
      <c r="AS97" s="339"/>
      <c r="AT97" s="339"/>
      <c r="AU97" s="339"/>
      <c r="AV97" s="476"/>
      <c r="AW97" s="58"/>
      <c r="AX97" s="58"/>
      <c r="AY97" s="58"/>
      <c r="AZ97" s="60"/>
      <c r="BA97" s="438"/>
      <c r="BB97" s="439"/>
      <c r="BC97" s="440"/>
      <c r="BD97" s="438"/>
      <c r="BE97" s="439"/>
      <c r="BF97" s="440"/>
      <c r="BG97" s="438"/>
      <c r="BH97" s="439"/>
      <c r="BI97" s="440"/>
      <c r="BJ97" s="438"/>
      <c r="BK97" s="439"/>
      <c r="BL97" s="440"/>
      <c r="BM97" s="438"/>
      <c r="BN97" s="439"/>
      <c r="BO97" s="440"/>
      <c r="BP97" s="438"/>
      <c r="BQ97" s="439"/>
      <c r="BR97" s="440"/>
      <c r="BS97" s="438"/>
      <c r="BT97" s="439"/>
      <c r="BU97" s="440"/>
      <c r="BV97" s="438"/>
      <c r="BW97" s="439"/>
      <c r="BX97" s="440"/>
      <c r="BY97" s="438"/>
      <c r="BZ97" s="439"/>
      <c r="CA97" s="440"/>
      <c r="CB97" s="438"/>
      <c r="CC97" s="439"/>
      <c r="CD97" s="440"/>
      <c r="CE97" s="58"/>
      <c r="CF97" s="58"/>
      <c r="CG97" s="58"/>
      <c r="CH97" s="58"/>
      <c r="CI97" s="58"/>
      <c r="CJ97" s="58"/>
      <c r="CK97" s="58"/>
      <c r="CL97" s="60"/>
      <c r="CM97" s="60"/>
      <c r="CN97" s="60"/>
      <c r="CO97" s="60"/>
      <c r="CP97" s="60"/>
      <c r="CQ97" s="58"/>
      <c r="CR97" s="59"/>
    </row>
    <row r="98" spans="1:96" ht="15" customHeight="1" x14ac:dyDescent="0.15">
      <c r="A98" s="57"/>
      <c r="B98" s="446" t="s">
        <v>141</v>
      </c>
      <c r="C98" s="339"/>
      <c r="D98" s="339"/>
      <c r="E98" s="339"/>
      <c r="F98" s="339"/>
      <c r="G98" s="339"/>
      <c r="H98" s="339"/>
      <c r="I98" s="339"/>
      <c r="J98" s="339"/>
      <c r="K98" s="339"/>
      <c r="L98" s="339"/>
      <c r="M98" s="339"/>
      <c r="N98" s="339"/>
      <c r="O98" s="339"/>
      <c r="P98" s="335" t="s">
        <v>133</v>
      </c>
      <c r="Q98" s="335"/>
      <c r="R98" s="335"/>
      <c r="S98" s="335"/>
      <c r="T98" s="335"/>
      <c r="U98" s="335" t="s">
        <v>134</v>
      </c>
      <c r="V98" s="335"/>
      <c r="W98" s="335"/>
      <c r="X98" s="339" t="s">
        <v>319</v>
      </c>
      <c r="Y98" s="339"/>
      <c r="Z98" s="339"/>
      <c r="AA98" s="339"/>
      <c r="AB98" s="339"/>
      <c r="AC98" s="339"/>
      <c r="AD98" s="339"/>
      <c r="AE98" s="339"/>
      <c r="AF98" s="339"/>
      <c r="AG98" s="339"/>
      <c r="AH98" s="339"/>
      <c r="AI98" s="339"/>
      <c r="AJ98" s="339"/>
      <c r="AK98" s="339"/>
      <c r="AL98" s="339"/>
      <c r="AM98" s="339"/>
      <c r="AN98" s="339"/>
      <c r="AO98" s="339"/>
      <c r="AP98" s="339"/>
      <c r="AQ98" s="339"/>
      <c r="AR98" s="339"/>
      <c r="AS98" s="339"/>
      <c r="AT98" s="339"/>
      <c r="AU98" s="339"/>
      <c r="AV98" s="476"/>
      <c r="AW98" s="58"/>
      <c r="AX98" s="58"/>
      <c r="AY98" s="58"/>
      <c r="AZ98" s="60"/>
      <c r="BA98" s="438"/>
      <c r="BB98" s="439"/>
      <c r="BC98" s="440"/>
      <c r="BD98" s="438"/>
      <c r="BE98" s="439"/>
      <c r="BF98" s="440"/>
      <c r="BG98" s="438"/>
      <c r="BH98" s="439"/>
      <c r="BI98" s="440"/>
      <c r="BJ98" s="438"/>
      <c r="BK98" s="439"/>
      <c r="BL98" s="440"/>
      <c r="BM98" s="438"/>
      <c r="BN98" s="439"/>
      <c r="BO98" s="440"/>
      <c r="BP98" s="438"/>
      <c r="BQ98" s="439"/>
      <c r="BR98" s="440"/>
      <c r="BS98" s="438"/>
      <c r="BT98" s="439"/>
      <c r="BU98" s="440"/>
      <c r="BV98" s="438"/>
      <c r="BW98" s="439"/>
      <c r="BX98" s="440"/>
      <c r="BY98" s="438"/>
      <c r="BZ98" s="439"/>
      <c r="CA98" s="440"/>
      <c r="CB98" s="438"/>
      <c r="CC98" s="439"/>
      <c r="CD98" s="440"/>
      <c r="CE98" s="58"/>
      <c r="CF98" s="58"/>
      <c r="CG98" s="58"/>
      <c r="CH98" s="58"/>
      <c r="CI98" s="58"/>
      <c r="CJ98" s="58"/>
      <c r="CK98" s="58"/>
      <c r="CL98" s="60"/>
      <c r="CM98" s="60"/>
      <c r="CN98" s="60"/>
      <c r="CO98" s="60"/>
      <c r="CP98" s="60"/>
      <c r="CQ98" s="58"/>
      <c r="CR98" s="59"/>
    </row>
    <row r="99" spans="1:96" ht="15" customHeight="1" x14ac:dyDescent="0.15">
      <c r="A99" s="57"/>
      <c r="B99" s="446" t="s">
        <v>294</v>
      </c>
      <c r="C99" s="339"/>
      <c r="D99" s="339"/>
      <c r="E99" s="339"/>
      <c r="F99" s="339"/>
      <c r="G99" s="339"/>
      <c r="H99" s="339"/>
      <c r="I99" s="339"/>
      <c r="J99" s="339"/>
      <c r="K99" s="339"/>
      <c r="L99" s="339"/>
      <c r="M99" s="339"/>
      <c r="N99" s="339"/>
      <c r="O99" s="339"/>
      <c r="P99" s="335" t="s">
        <v>133</v>
      </c>
      <c r="Q99" s="335"/>
      <c r="R99" s="335"/>
      <c r="S99" s="335"/>
      <c r="T99" s="335"/>
      <c r="U99" s="335" t="s">
        <v>134</v>
      </c>
      <c r="V99" s="335"/>
      <c r="W99" s="335"/>
      <c r="X99" s="339" t="s">
        <v>319</v>
      </c>
      <c r="Y99" s="339"/>
      <c r="Z99" s="339"/>
      <c r="AA99" s="339"/>
      <c r="AB99" s="339"/>
      <c r="AC99" s="339"/>
      <c r="AD99" s="339"/>
      <c r="AE99" s="339"/>
      <c r="AF99" s="339"/>
      <c r="AG99" s="339"/>
      <c r="AH99" s="339"/>
      <c r="AI99" s="339"/>
      <c r="AJ99" s="339"/>
      <c r="AK99" s="339"/>
      <c r="AL99" s="339"/>
      <c r="AM99" s="339"/>
      <c r="AN99" s="339"/>
      <c r="AO99" s="339"/>
      <c r="AP99" s="339"/>
      <c r="AQ99" s="339"/>
      <c r="AR99" s="339"/>
      <c r="AS99" s="339"/>
      <c r="AT99" s="339"/>
      <c r="AU99" s="339"/>
      <c r="AV99" s="476"/>
      <c r="AW99" s="58"/>
      <c r="AX99" s="58"/>
      <c r="AY99" s="58"/>
      <c r="AZ99" s="60"/>
      <c r="BA99" s="441"/>
      <c r="BB99" s="442"/>
      <c r="BC99" s="443"/>
      <c r="BD99" s="441"/>
      <c r="BE99" s="442"/>
      <c r="BF99" s="443"/>
      <c r="BG99" s="441"/>
      <c r="BH99" s="442"/>
      <c r="BI99" s="443"/>
      <c r="BJ99" s="441"/>
      <c r="BK99" s="442"/>
      <c r="BL99" s="443"/>
      <c r="BM99" s="441"/>
      <c r="BN99" s="442"/>
      <c r="BO99" s="443"/>
      <c r="BP99" s="441"/>
      <c r="BQ99" s="442"/>
      <c r="BR99" s="443"/>
      <c r="BS99" s="441"/>
      <c r="BT99" s="442"/>
      <c r="BU99" s="443"/>
      <c r="BV99" s="441"/>
      <c r="BW99" s="442"/>
      <c r="BX99" s="443"/>
      <c r="BY99" s="441"/>
      <c r="BZ99" s="442"/>
      <c r="CA99" s="443"/>
      <c r="CB99" s="441"/>
      <c r="CC99" s="442"/>
      <c r="CD99" s="443"/>
      <c r="CE99" s="58"/>
      <c r="CF99" s="58"/>
      <c r="CG99" s="58"/>
      <c r="CH99" s="58"/>
      <c r="CI99" s="58"/>
      <c r="CJ99" s="58"/>
      <c r="CK99" s="58"/>
      <c r="CL99" s="60"/>
      <c r="CM99" s="60"/>
      <c r="CN99" s="60"/>
      <c r="CO99" s="60"/>
      <c r="CP99" s="60"/>
      <c r="CQ99" s="58"/>
      <c r="CR99" s="59"/>
    </row>
    <row r="100" spans="1:96" ht="15" customHeight="1" x14ac:dyDescent="0.15">
      <c r="A100" s="57"/>
      <c r="B100" s="446" t="s">
        <v>301</v>
      </c>
      <c r="C100" s="339"/>
      <c r="D100" s="339"/>
      <c r="E100" s="339"/>
      <c r="F100" s="339"/>
      <c r="G100" s="339"/>
      <c r="H100" s="339"/>
      <c r="I100" s="339"/>
      <c r="J100" s="339"/>
      <c r="K100" s="339"/>
      <c r="L100" s="339"/>
      <c r="M100" s="339"/>
      <c r="N100" s="339"/>
      <c r="O100" s="339"/>
      <c r="P100" s="335" t="s">
        <v>135</v>
      </c>
      <c r="Q100" s="335"/>
      <c r="R100" s="335"/>
      <c r="S100" s="335"/>
      <c r="T100" s="335"/>
      <c r="U100" s="335" t="s">
        <v>134</v>
      </c>
      <c r="V100" s="335"/>
      <c r="W100" s="335"/>
      <c r="X100" s="339" t="s">
        <v>318</v>
      </c>
      <c r="Y100" s="339"/>
      <c r="Z100" s="339"/>
      <c r="AA100" s="339"/>
      <c r="AB100" s="339"/>
      <c r="AC100" s="339"/>
      <c r="AD100" s="339"/>
      <c r="AE100" s="339"/>
      <c r="AF100" s="339"/>
      <c r="AG100" s="339"/>
      <c r="AH100" s="339"/>
      <c r="AI100" s="339"/>
      <c r="AJ100" s="339"/>
      <c r="AK100" s="339"/>
      <c r="AL100" s="339"/>
      <c r="AM100" s="339"/>
      <c r="AN100" s="339"/>
      <c r="AO100" s="339"/>
      <c r="AP100" s="339"/>
      <c r="AQ100" s="339"/>
      <c r="AR100" s="339"/>
      <c r="AS100" s="339"/>
      <c r="AT100" s="339"/>
      <c r="AU100" s="339"/>
      <c r="AV100" s="476"/>
      <c r="AW100" s="58"/>
      <c r="AX100" s="58"/>
      <c r="AY100" s="58"/>
      <c r="AZ100" s="60"/>
      <c r="BA100" s="432" t="s">
        <v>373</v>
      </c>
      <c r="BB100" s="433"/>
      <c r="BC100" s="434"/>
      <c r="BD100" s="432" t="s">
        <v>373</v>
      </c>
      <c r="BE100" s="433"/>
      <c r="BF100" s="434"/>
      <c r="BG100" s="432" t="s">
        <v>385</v>
      </c>
      <c r="BH100" s="433"/>
      <c r="BI100" s="433"/>
      <c r="BJ100" s="433"/>
      <c r="BK100" s="433"/>
      <c r="BL100" s="433"/>
      <c r="BM100" s="433"/>
      <c r="BN100" s="433"/>
      <c r="BO100" s="434"/>
      <c r="BP100" s="432" t="s">
        <v>386</v>
      </c>
      <c r="BQ100" s="433"/>
      <c r="BR100" s="433"/>
      <c r="BS100" s="433"/>
      <c r="BT100" s="433"/>
      <c r="BU100" s="434"/>
      <c r="BV100" s="432" t="s">
        <v>387</v>
      </c>
      <c r="BW100" s="433"/>
      <c r="BX100" s="434"/>
      <c r="BY100" s="432" t="s">
        <v>322</v>
      </c>
      <c r="BZ100" s="433"/>
      <c r="CA100" s="433"/>
      <c r="CB100" s="433"/>
      <c r="CC100" s="433"/>
      <c r="CD100" s="434"/>
      <c r="CE100" s="58"/>
      <c r="CF100" s="58"/>
      <c r="CG100" s="58"/>
      <c r="CH100" s="58"/>
      <c r="CI100" s="58"/>
      <c r="CJ100" s="58"/>
      <c r="CK100" s="58"/>
      <c r="CL100" s="60"/>
      <c r="CM100" s="60"/>
      <c r="CN100" s="60"/>
      <c r="CO100" s="60"/>
      <c r="CP100" s="60"/>
      <c r="CQ100" s="58"/>
      <c r="CR100" s="59"/>
    </row>
    <row r="101" spans="1:96" ht="15" customHeight="1" x14ac:dyDescent="0.15">
      <c r="A101" s="57"/>
      <c r="B101" s="446" t="s">
        <v>295</v>
      </c>
      <c r="C101" s="339"/>
      <c r="D101" s="339"/>
      <c r="E101" s="339"/>
      <c r="F101" s="339"/>
      <c r="G101" s="339"/>
      <c r="H101" s="339"/>
      <c r="I101" s="339"/>
      <c r="J101" s="339"/>
      <c r="K101" s="339"/>
      <c r="L101" s="339"/>
      <c r="M101" s="339"/>
      <c r="N101" s="339"/>
      <c r="O101" s="339"/>
      <c r="P101" s="335" t="s">
        <v>135</v>
      </c>
      <c r="Q101" s="335"/>
      <c r="R101" s="335"/>
      <c r="S101" s="335"/>
      <c r="T101" s="335"/>
      <c r="U101" s="335" t="s">
        <v>134</v>
      </c>
      <c r="V101" s="335"/>
      <c r="W101" s="335"/>
      <c r="X101" s="339" t="s">
        <v>321</v>
      </c>
      <c r="Y101" s="339"/>
      <c r="Z101" s="339"/>
      <c r="AA101" s="339"/>
      <c r="AB101" s="339"/>
      <c r="AC101" s="339"/>
      <c r="AD101" s="339"/>
      <c r="AE101" s="339"/>
      <c r="AF101" s="339"/>
      <c r="AG101" s="339"/>
      <c r="AH101" s="339"/>
      <c r="AI101" s="339"/>
      <c r="AJ101" s="339"/>
      <c r="AK101" s="339"/>
      <c r="AL101" s="339"/>
      <c r="AM101" s="339"/>
      <c r="AN101" s="339"/>
      <c r="AO101" s="339"/>
      <c r="AP101" s="339"/>
      <c r="AQ101" s="339"/>
      <c r="AR101" s="339"/>
      <c r="AS101" s="339"/>
      <c r="AT101" s="339"/>
      <c r="AU101" s="339"/>
      <c r="AV101" s="476"/>
      <c r="AW101" s="58"/>
      <c r="AX101" s="58"/>
      <c r="AY101" s="58"/>
      <c r="AZ101" s="60"/>
      <c r="BA101" s="60"/>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0"/>
      <c r="BX101" s="60"/>
      <c r="BY101" s="60"/>
      <c r="BZ101" s="60"/>
      <c r="CA101" s="60"/>
      <c r="CB101" s="60"/>
      <c r="CC101" s="60"/>
      <c r="CD101" s="60"/>
      <c r="CE101" s="60"/>
      <c r="CF101" s="60"/>
      <c r="CG101" s="58"/>
      <c r="CH101" s="58"/>
      <c r="CI101" s="58"/>
      <c r="CJ101" s="58"/>
      <c r="CK101" s="58"/>
      <c r="CL101" s="60"/>
      <c r="CM101" s="60"/>
      <c r="CN101" s="60"/>
      <c r="CO101" s="60"/>
      <c r="CP101" s="60"/>
      <c r="CQ101" s="58"/>
      <c r="CR101" s="59"/>
    </row>
    <row r="102" spans="1:96" ht="15" customHeight="1" thickBot="1" x14ac:dyDescent="0.2">
      <c r="A102" s="57"/>
      <c r="B102" s="481" t="s">
        <v>144</v>
      </c>
      <c r="C102" s="482"/>
      <c r="D102" s="482"/>
      <c r="E102" s="482"/>
      <c r="F102" s="482"/>
      <c r="G102" s="482"/>
      <c r="H102" s="482"/>
      <c r="I102" s="482"/>
      <c r="J102" s="482"/>
      <c r="K102" s="482"/>
      <c r="L102" s="482"/>
      <c r="M102" s="482"/>
      <c r="N102" s="482"/>
      <c r="O102" s="482"/>
      <c r="P102" s="483" t="s">
        <v>135</v>
      </c>
      <c r="Q102" s="483"/>
      <c r="R102" s="483"/>
      <c r="S102" s="483"/>
      <c r="T102" s="483"/>
      <c r="U102" s="483" t="s">
        <v>134</v>
      </c>
      <c r="V102" s="483"/>
      <c r="W102" s="483"/>
      <c r="X102" s="482" t="s">
        <v>321</v>
      </c>
      <c r="Y102" s="482"/>
      <c r="Z102" s="482"/>
      <c r="AA102" s="482"/>
      <c r="AB102" s="482"/>
      <c r="AC102" s="482"/>
      <c r="AD102" s="482"/>
      <c r="AE102" s="482"/>
      <c r="AF102" s="482"/>
      <c r="AG102" s="482"/>
      <c r="AH102" s="482"/>
      <c r="AI102" s="482"/>
      <c r="AJ102" s="482"/>
      <c r="AK102" s="482"/>
      <c r="AL102" s="482"/>
      <c r="AM102" s="482"/>
      <c r="AN102" s="482"/>
      <c r="AO102" s="482"/>
      <c r="AP102" s="482"/>
      <c r="AQ102" s="482"/>
      <c r="AR102" s="482"/>
      <c r="AS102" s="482"/>
      <c r="AT102" s="482"/>
      <c r="AU102" s="482"/>
      <c r="AV102" s="490"/>
      <c r="AW102" s="58"/>
      <c r="AX102" s="58"/>
      <c r="AY102" s="58"/>
      <c r="AZ102" s="60"/>
      <c r="BA102" s="58" t="s">
        <v>374</v>
      </c>
      <c r="BB102" s="120"/>
      <c r="BC102" s="120"/>
      <c r="BD102" s="58"/>
      <c r="BE102" s="58"/>
      <c r="BF102" s="58"/>
      <c r="BG102" s="58"/>
      <c r="BH102" s="58"/>
      <c r="BI102" s="58"/>
      <c r="BJ102" s="58"/>
      <c r="BK102" s="58"/>
      <c r="BL102" s="58" t="s">
        <v>375</v>
      </c>
      <c r="BM102" s="58"/>
      <c r="BN102" s="58" t="s">
        <v>376</v>
      </c>
      <c r="BO102" s="58"/>
      <c r="BP102" s="58"/>
      <c r="BQ102" s="58"/>
      <c r="BR102" s="58"/>
      <c r="BS102" s="58"/>
      <c r="BT102" s="58"/>
      <c r="BU102" s="60"/>
      <c r="BV102" s="60"/>
      <c r="BW102" s="60"/>
      <c r="BX102" s="60"/>
      <c r="BY102" s="60"/>
      <c r="BZ102" s="60"/>
      <c r="CA102" s="60"/>
      <c r="CB102" s="60"/>
      <c r="CC102" s="60"/>
      <c r="CD102" s="60"/>
      <c r="CE102" s="60"/>
      <c r="CF102" s="60"/>
      <c r="CG102" s="58"/>
      <c r="CH102" s="58"/>
      <c r="CI102" s="58"/>
      <c r="CJ102" s="58"/>
      <c r="CK102" s="58"/>
      <c r="CL102" s="60"/>
      <c r="CM102" s="60"/>
      <c r="CN102" s="60"/>
      <c r="CO102" s="60"/>
      <c r="CP102" s="60"/>
      <c r="CQ102" s="58"/>
      <c r="CR102" s="59"/>
    </row>
    <row r="103" spans="1:96" ht="15" customHeight="1" thickBot="1" x14ac:dyDescent="0.2">
      <c r="A103" s="57"/>
      <c r="B103" s="60" t="s">
        <v>456</v>
      </c>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58"/>
      <c r="AX103" s="58"/>
      <c r="AY103" s="58"/>
      <c r="AZ103" s="60"/>
      <c r="BA103" s="23"/>
      <c r="BB103" s="60"/>
      <c r="BC103" s="60"/>
      <c r="BD103" s="60"/>
      <c r="BE103" s="60"/>
      <c r="BF103" s="60"/>
      <c r="BG103" s="60"/>
      <c r="BH103" s="60"/>
      <c r="BI103" s="60"/>
      <c r="BJ103" s="60"/>
      <c r="BK103" s="60"/>
      <c r="BL103" s="60"/>
      <c r="BM103" s="60"/>
      <c r="BN103" s="23" t="s">
        <v>388</v>
      </c>
      <c r="BO103" s="60"/>
      <c r="BP103" s="60"/>
      <c r="BQ103" s="60"/>
      <c r="BR103" s="60"/>
      <c r="BS103" s="60"/>
      <c r="BT103" s="58"/>
      <c r="BU103" s="60"/>
      <c r="BV103" s="60"/>
      <c r="BW103" s="60"/>
      <c r="BX103" s="60"/>
      <c r="BY103" s="60"/>
      <c r="BZ103" s="60"/>
      <c r="CA103" s="60"/>
      <c r="CB103" s="60"/>
      <c r="CC103" s="60"/>
      <c r="CD103" s="60"/>
      <c r="CE103" s="60"/>
      <c r="CF103" s="60"/>
      <c r="CG103" s="60"/>
      <c r="CH103" s="58"/>
      <c r="CI103" s="58"/>
      <c r="CJ103" s="58"/>
      <c r="CK103" s="58"/>
      <c r="CL103" s="60"/>
      <c r="CM103" s="60"/>
      <c r="CN103" s="60"/>
      <c r="CO103" s="60"/>
      <c r="CP103" s="60"/>
      <c r="CQ103" s="58"/>
      <c r="CR103" s="59"/>
    </row>
    <row r="104" spans="1:96" ht="15" customHeight="1" x14ac:dyDescent="0.15">
      <c r="A104" s="57"/>
      <c r="B104" s="444" t="s">
        <v>293</v>
      </c>
      <c r="C104" s="445"/>
      <c r="D104" s="445"/>
      <c r="E104" s="445"/>
      <c r="F104" s="445"/>
      <c r="G104" s="445"/>
      <c r="H104" s="445"/>
      <c r="I104" s="445"/>
      <c r="J104" s="445"/>
      <c r="K104" s="445"/>
      <c r="L104" s="445"/>
      <c r="M104" s="445"/>
      <c r="N104" s="445"/>
      <c r="O104" s="445"/>
      <c r="P104" s="471" t="s">
        <v>133</v>
      </c>
      <c r="Q104" s="471"/>
      <c r="R104" s="471"/>
      <c r="S104" s="471"/>
      <c r="T104" s="471"/>
      <c r="U104" s="471" t="s">
        <v>134</v>
      </c>
      <c r="V104" s="471"/>
      <c r="W104" s="471"/>
      <c r="X104" s="445" t="s">
        <v>319</v>
      </c>
      <c r="Y104" s="445"/>
      <c r="Z104" s="445"/>
      <c r="AA104" s="445"/>
      <c r="AB104" s="445"/>
      <c r="AC104" s="445"/>
      <c r="AD104" s="445"/>
      <c r="AE104" s="445"/>
      <c r="AF104" s="445"/>
      <c r="AG104" s="445"/>
      <c r="AH104" s="445"/>
      <c r="AI104" s="445"/>
      <c r="AJ104" s="445"/>
      <c r="AK104" s="445"/>
      <c r="AL104" s="445"/>
      <c r="AM104" s="445"/>
      <c r="AN104" s="445"/>
      <c r="AO104" s="445"/>
      <c r="AP104" s="445"/>
      <c r="AQ104" s="445"/>
      <c r="AR104" s="445"/>
      <c r="AS104" s="445"/>
      <c r="AT104" s="445"/>
      <c r="AU104" s="445"/>
      <c r="AV104" s="475"/>
      <c r="AW104" s="58"/>
      <c r="AX104" s="58"/>
      <c r="AY104" s="58"/>
      <c r="AZ104" s="60"/>
      <c r="BA104" s="58" t="s">
        <v>377</v>
      </c>
      <c r="BB104" s="121"/>
      <c r="BC104" s="121"/>
      <c r="BD104" s="58"/>
      <c r="BE104" s="58"/>
      <c r="BF104" s="58"/>
      <c r="BG104" s="58"/>
      <c r="BH104" s="58"/>
      <c r="BI104" s="58"/>
      <c r="BJ104" s="58"/>
      <c r="BK104" s="58"/>
      <c r="BL104" s="58" t="s">
        <v>375</v>
      </c>
      <c r="BM104" s="58"/>
      <c r="BN104" s="58" t="s">
        <v>378</v>
      </c>
      <c r="BO104" s="58"/>
      <c r="BP104" s="60"/>
      <c r="BQ104" s="60"/>
      <c r="BR104" s="60"/>
      <c r="BS104" s="58"/>
      <c r="BT104" s="58"/>
      <c r="BU104" s="60"/>
      <c r="BV104" s="60"/>
      <c r="BW104" s="60"/>
      <c r="BX104" s="60"/>
      <c r="BY104" s="60"/>
      <c r="BZ104" s="60"/>
      <c r="CA104" s="60"/>
      <c r="CB104" s="60"/>
      <c r="CC104" s="60"/>
      <c r="CD104" s="60"/>
      <c r="CE104" s="60"/>
      <c r="CF104" s="60"/>
      <c r="CG104" s="60"/>
      <c r="CH104" s="58"/>
      <c r="CI104" s="58"/>
      <c r="CJ104" s="58"/>
      <c r="CK104" s="58"/>
      <c r="CL104" s="60"/>
      <c r="CM104" s="60"/>
      <c r="CN104" s="60"/>
      <c r="CO104" s="60"/>
      <c r="CP104" s="60"/>
      <c r="CQ104" s="58"/>
      <c r="CR104" s="59"/>
    </row>
    <row r="105" spans="1:96" ht="15" customHeight="1" x14ac:dyDescent="0.15">
      <c r="A105" s="57"/>
      <c r="B105" s="446" t="s">
        <v>292</v>
      </c>
      <c r="C105" s="339"/>
      <c r="D105" s="339"/>
      <c r="E105" s="339"/>
      <c r="F105" s="339"/>
      <c r="G105" s="339"/>
      <c r="H105" s="339"/>
      <c r="I105" s="339"/>
      <c r="J105" s="339"/>
      <c r="K105" s="339"/>
      <c r="L105" s="339"/>
      <c r="M105" s="339"/>
      <c r="N105" s="339"/>
      <c r="O105" s="339"/>
      <c r="P105" s="335" t="s">
        <v>133</v>
      </c>
      <c r="Q105" s="335"/>
      <c r="R105" s="335"/>
      <c r="S105" s="335"/>
      <c r="T105" s="335"/>
      <c r="U105" s="335" t="s">
        <v>134</v>
      </c>
      <c r="V105" s="335"/>
      <c r="W105" s="335"/>
      <c r="X105" s="339" t="s">
        <v>319</v>
      </c>
      <c r="Y105" s="339"/>
      <c r="Z105" s="339"/>
      <c r="AA105" s="339"/>
      <c r="AB105" s="339"/>
      <c r="AC105" s="339"/>
      <c r="AD105" s="339"/>
      <c r="AE105" s="339"/>
      <c r="AF105" s="339"/>
      <c r="AG105" s="339"/>
      <c r="AH105" s="339"/>
      <c r="AI105" s="339"/>
      <c r="AJ105" s="339"/>
      <c r="AK105" s="339"/>
      <c r="AL105" s="339"/>
      <c r="AM105" s="339"/>
      <c r="AN105" s="339"/>
      <c r="AO105" s="339"/>
      <c r="AP105" s="339"/>
      <c r="AQ105" s="339"/>
      <c r="AR105" s="339"/>
      <c r="AS105" s="339"/>
      <c r="AT105" s="339"/>
      <c r="AU105" s="339"/>
      <c r="AV105" s="476"/>
      <c r="AW105" s="58"/>
      <c r="AX105" s="58"/>
      <c r="AY105" s="58"/>
      <c r="AZ105" s="60"/>
      <c r="BA105" s="23"/>
      <c r="BB105" s="60"/>
      <c r="BC105" s="60"/>
      <c r="BD105" s="60"/>
      <c r="BE105" s="60"/>
      <c r="BF105" s="60"/>
      <c r="BG105" s="60"/>
      <c r="BH105" s="60"/>
      <c r="BI105" s="60"/>
      <c r="BJ105" s="60"/>
      <c r="BK105" s="60"/>
      <c r="BL105" s="60"/>
      <c r="BM105" s="60"/>
      <c r="BN105" s="23" t="s">
        <v>463</v>
      </c>
      <c r="BO105" s="60"/>
      <c r="BP105" s="58"/>
      <c r="BQ105" s="58"/>
      <c r="BR105" s="58"/>
      <c r="BS105" s="60"/>
      <c r="BT105" s="60"/>
      <c r="BU105" s="60"/>
      <c r="BV105" s="60"/>
      <c r="BW105" s="60"/>
      <c r="BX105" s="60"/>
      <c r="BY105" s="60"/>
      <c r="BZ105" s="60"/>
      <c r="CA105" s="60"/>
      <c r="CB105" s="60"/>
      <c r="CC105" s="60"/>
      <c r="CD105" s="60"/>
      <c r="CE105" s="60"/>
      <c r="CF105" s="60"/>
      <c r="CG105" s="60"/>
      <c r="CH105" s="58"/>
      <c r="CI105" s="58"/>
      <c r="CJ105" s="58"/>
      <c r="CK105" s="58"/>
      <c r="CL105" s="60"/>
      <c r="CM105" s="60"/>
      <c r="CN105" s="60"/>
      <c r="CO105" s="60"/>
      <c r="CP105" s="60"/>
      <c r="CQ105" s="58"/>
      <c r="CR105" s="59"/>
    </row>
    <row r="106" spans="1:96" ht="15" customHeight="1" x14ac:dyDescent="0.15">
      <c r="A106" s="57"/>
      <c r="B106" s="446" t="s">
        <v>141</v>
      </c>
      <c r="C106" s="339"/>
      <c r="D106" s="339"/>
      <c r="E106" s="339"/>
      <c r="F106" s="339"/>
      <c r="G106" s="339"/>
      <c r="H106" s="339"/>
      <c r="I106" s="339"/>
      <c r="J106" s="339"/>
      <c r="K106" s="339"/>
      <c r="L106" s="339"/>
      <c r="M106" s="339"/>
      <c r="N106" s="339"/>
      <c r="O106" s="339"/>
      <c r="P106" s="335" t="s">
        <v>133</v>
      </c>
      <c r="Q106" s="335"/>
      <c r="R106" s="335"/>
      <c r="S106" s="335"/>
      <c r="T106" s="335"/>
      <c r="U106" s="335" t="s">
        <v>134</v>
      </c>
      <c r="V106" s="335"/>
      <c r="W106" s="335"/>
      <c r="X106" s="339" t="s">
        <v>319</v>
      </c>
      <c r="Y106" s="339"/>
      <c r="Z106" s="339"/>
      <c r="AA106" s="339"/>
      <c r="AB106" s="339"/>
      <c r="AC106" s="339"/>
      <c r="AD106" s="339"/>
      <c r="AE106" s="339"/>
      <c r="AF106" s="339"/>
      <c r="AG106" s="339"/>
      <c r="AH106" s="339"/>
      <c r="AI106" s="339"/>
      <c r="AJ106" s="339"/>
      <c r="AK106" s="339"/>
      <c r="AL106" s="339"/>
      <c r="AM106" s="339"/>
      <c r="AN106" s="339"/>
      <c r="AO106" s="339"/>
      <c r="AP106" s="339"/>
      <c r="AQ106" s="339"/>
      <c r="AR106" s="339"/>
      <c r="AS106" s="339"/>
      <c r="AT106" s="339"/>
      <c r="AU106" s="339"/>
      <c r="AV106" s="476"/>
      <c r="AW106" s="58"/>
      <c r="AX106" s="58"/>
      <c r="AY106" s="58"/>
      <c r="AZ106" s="60"/>
      <c r="BA106" s="94"/>
      <c r="BB106" s="94"/>
      <c r="BC106" s="94"/>
      <c r="BD106" s="94"/>
      <c r="BE106" s="94"/>
      <c r="BF106" s="94"/>
      <c r="BG106" s="94"/>
      <c r="BH106" s="94"/>
      <c r="BI106" s="94"/>
      <c r="BJ106" s="94"/>
      <c r="BK106" s="94"/>
      <c r="BL106" s="94"/>
      <c r="BM106" s="94"/>
      <c r="BN106" s="94" t="s">
        <v>464</v>
      </c>
      <c r="BO106" s="94"/>
      <c r="BP106" s="94"/>
      <c r="BQ106" s="94"/>
      <c r="BR106" s="94"/>
      <c r="BS106" s="94"/>
      <c r="BT106" s="94"/>
      <c r="BU106" s="94"/>
      <c r="BV106" s="94"/>
      <c r="BW106" s="94"/>
      <c r="BX106" s="60"/>
      <c r="BY106" s="60"/>
      <c r="BZ106" s="60"/>
      <c r="CA106" s="60"/>
      <c r="CB106" s="60"/>
      <c r="CC106" s="60"/>
      <c r="CD106" s="60"/>
      <c r="CE106" s="60"/>
      <c r="CF106" s="60"/>
      <c r="CG106" s="60"/>
      <c r="CH106" s="58"/>
      <c r="CI106" s="58"/>
      <c r="CJ106" s="58"/>
      <c r="CK106" s="58"/>
      <c r="CL106" s="60"/>
      <c r="CM106" s="60"/>
      <c r="CN106" s="60"/>
      <c r="CO106" s="60"/>
      <c r="CP106" s="60"/>
      <c r="CQ106" s="58"/>
      <c r="CR106" s="59"/>
    </row>
    <row r="107" spans="1:96" ht="15" customHeight="1" x14ac:dyDescent="0.15">
      <c r="A107" s="57"/>
      <c r="B107" s="446" t="s">
        <v>294</v>
      </c>
      <c r="C107" s="339"/>
      <c r="D107" s="339"/>
      <c r="E107" s="339"/>
      <c r="F107" s="339"/>
      <c r="G107" s="339"/>
      <c r="H107" s="339"/>
      <c r="I107" s="339"/>
      <c r="J107" s="339"/>
      <c r="K107" s="339"/>
      <c r="L107" s="339"/>
      <c r="M107" s="339"/>
      <c r="N107" s="339"/>
      <c r="O107" s="339"/>
      <c r="P107" s="335" t="s">
        <v>133</v>
      </c>
      <c r="Q107" s="335"/>
      <c r="R107" s="335"/>
      <c r="S107" s="335"/>
      <c r="T107" s="335"/>
      <c r="U107" s="335" t="s">
        <v>134</v>
      </c>
      <c r="V107" s="335"/>
      <c r="W107" s="335"/>
      <c r="X107" s="339" t="s">
        <v>319</v>
      </c>
      <c r="Y107" s="339"/>
      <c r="Z107" s="339"/>
      <c r="AA107" s="339"/>
      <c r="AB107" s="339"/>
      <c r="AC107" s="339"/>
      <c r="AD107" s="339"/>
      <c r="AE107" s="339"/>
      <c r="AF107" s="339"/>
      <c r="AG107" s="339"/>
      <c r="AH107" s="339"/>
      <c r="AI107" s="339"/>
      <c r="AJ107" s="339"/>
      <c r="AK107" s="339"/>
      <c r="AL107" s="339"/>
      <c r="AM107" s="339"/>
      <c r="AN107" s="339"/>
      <c r="AO107" s="339"/>
      <c r="AP107" s="339"/>
      <c r="AQ107" s="339"/>
      <c r="AR107" s="339"/>
      <c r="AS107" s="339"/>
      <c r="AT107" s="339"/>
      <c r="AU107" s="339"/>
      <c r="AV107" s="476"/>
      <c r="AW107" s="58"/>
      <c r="AX107" s="58"/>
      <c r="AY107" s="58"/>
      <c r="AZ107" s="60"/>
      <c r="BA107" s="58" t="s">
        <v>379</v>
      </c>
      <c r="BB107" s="122"/>
      <c r="BC107" s="122"/>
      <c r="BD107" s="58"/>
      <c r="BE107" s="58"/>
      <c r="BF107" s="58"/>
      <c r="BG107" s="58"/>
      <c r="BH107" s="58"/>
      <c r="BI107" s="58"/>
      <c r="BJ107" s="58"/>
      <c r="BK107" s="58"/>
      <c r="BL107" s="58" t="s">
        <v>375</v>
      </c>
      <c r="BM107" s="58"/>
      <c r="BN107" s="58" t="s">
        <v>380</v>
      </c>
      <c r="BO107" s="58"/>
      <c r="BP107" s="60"/>
      <c r="BQ107" s="60"/>
      <c r="BR107" s="60"/>
      <c r="BS107" s="60"/>
      <c r="BT107" s="60"/>
      <c r="BU107" s="60"/>
      <c r="BV107" s="60"/>
      <c r="BW107" s="60"/>
      <c r="BX107" s="60"/>
      <c r="BY107" s="60"/>
      <c r="BZ107" s="60"/>
      <c r="CA107" s="60"/>
      <c r="CB107" s="60"/>
      <c r="CC107" s="60"/>
      <c r="CD107" s="60"/>
      <c r="CE107" s="60"/>
      <c r="CF107" s="60"/>
      <c r="CG107" s="60"/>
      <c r="CH107" s="58"/>
      <c r="CI107" s="58"/>
      <c r="CJ107" s="58"/>
      <c r="CK107" s="58"/>
      <c r="CL107" s="60"/>
      <c r="CM107" s="60"/>
      <c r="CN107" s="60"/>
      <c r="CO107" s="60"/>
      <c r="CP107" s="60"/>
      <c r="CQ107" s="58"/>
      <c r="CR107" s="59"/>
    </row>
    <row r="108" spans="1:96" ht="15" customHeight="1" x14ac:dyDescent="0.15">
      <c r="A108" s="57"/>
      <c r="B108" s="446" t="s">
        <v>301</v>
      </c>
      <c r="C108" s="339"/>
      <c r="D108" s="339"/>
      <c r="E108" s="339"/>
      <c r="F108" s="339"/>
      <c r="G108" s="339"/>
      <c r="H108" s="339"/>
      <c r="I108" s="339"/>
      <c r="J108" s="339"/>
      <c r="K108" s="339"/>
      <c r="L108" s="339"/>
      <c r="M108" s="339"/>
      <c r="N108" s="339"/>
      <c r="O108" s="339"/>
      <c r="P108" s="447" t="s">
        <v>135</v>
      </c>
      <c r="Q108" s="447"/>
      <c r="R108" s="447"/>
      <c r="S108" s="447"/>
      <c r="T108" s="447"/>
      <c r="U108" s="447" t="s">
        <v>134</v>
      </c>
      <c r="V108" s="447"/>
      <c r="W108" s="447"/>
      <c r="X108" s="334" t="s">
        <v>459</v>
      </c>
      <c r="Y108" s="334"/>
      <c r="Z108" s="334"/>
      <c r="AA108" s="334"/>
      <c r="AB108" s="334"/>
      <c r="AC108" s="334"/>
      <c r="AD108" s="334"/>
      <c r="AE108" s="334"/>
      <c r="AF108" s="334"/>
      <c r="AG108" s="334"/>
      <c r="AH108" s="334"/>
      <c r="AI108" s="334"/>
      <c r="AJ108" s="334"/>
      <c r="AK108" s="334"/>
      <c r="AL108" s="334"/>
      <c r="AM108" s="334"/>
      <c r="AN108" s="334"/>
      <c r="AO108" s="334"/>
      <c r="AP108" s="334"/>
      <c r="AQ108" s="334"/>
      <c r="AR108" s="334"/>
      <c r="AS108" s="334"/>
      <c r="AT108" s="334"/>
      <c r="AU108" s="334"/>
      <c r="AV108" s="491"/>
      <c r="AW108" s="58"/>
      <c r="AX108" s="58"/>
      <c r="AY108" s="58"/>
      <c r="AZ108" s="60"/>
      <c r="BA108" s="58"/>
      <c r="BB108" s="58"/>
      <c r="BC108" s="58"/>
      <c r="BD108" s="60"/>
      <c r="BE108" s="60"/>
      <c r="BF108" s="60"/>
      <c r="BG108" s="60"/>
      <c r="BH108" s="60"/>
      <c r="BI108" s="60"/>
      <c r="BJ108" s="60"/>
      <c r="BK108" s="60"/>
      <c r="BL108" s="60"/>
      <c r="BM108" s="60"/>
      <c r="BN108" s="23" t="s">
        <v>465</v>
      </c>
      <c r="BO108" s="60"/>
      <c r="BP108" s="60"/>
      <c r="BQ108" s="60"/>
      <c r="BR108" s="60"/>
      <c r="BS108" s="60"/>
      <c r="BT108" s="60"/>
      <c r="BU108" s="60"/>
      <c r="BV108" s="60"/>
      <c r="BW108" s="60"/>
      <c r="BX108" s="60"/>
      <c r="BY108" s="60"/>
      <c r="BZ108" s="60"/>
      <c r="CA108" s="60"/>
      <c r="CB108" s="60"/>
      <c r="CC108" s="60"/>
      <c r="CD108" s="60"/>
      <c r="CE108" s="60"/>
      <c r="CF108" s="58"/>
      <c r="CG108" s="58"/>
      <c r="CH108" s="58"/>
      <c r="CI108" s="58"/>
      <c r="CJ108" s="58"/>
      <c r="CK108" s="58"/>
      <c r="CL108" s="60"/>
      <c r="CM108" s="60"/>
      <c r="CN108" s="60"/>
      <c r="CO108" s="60"/>
      <c r="CP108" s="60"/>
      <c r="CQ108" s="58"/>
      <c r="CR108" s="59"/>
    </row>
    <row r="109" spans="1:96" ht="15" customHeight="1" x14ac:dyDescent="0.15">
      <c r="A109" s="57"/>
      <c r="B109" s="446" t="s">
        <v>295</v>
      </c>
      <c r="C109" s="339"/>
      <c r="D109" s="339"/>
      <c r="E109" s="339"/>
      <c r="F109" s="339"/>
      <c r="G109" s="339"/>
      <c r="H109" s="339"/>
      <c r="I109" s="339"/>
      <c r="J109" s="339"/>
      <c r="K109" s="339"/>
      <c r="L109" s="339"/>
      <c r="M109" s="339"/>
      <c r="N109" s="339"/>
      <c r="O109" s="339"/>
      <c r="P109" s="447" t="s">
        <v>135</v>
      </c>
      <c r="Q109" s="447"/>
      <c r="R109" s="447"/>
      <c r="S109" s="447"/>
      <c r="T109" s="447"/>
      <c r="U109" s="447" t="s">
        <v>134</v>
      </c>
      <c r="V109" s="447"/>
      <c r="W109" s="447"/>
      <c r="X109" s="334" t="s">
        <v>321</v>
      </c>
      <c r="Y109" s="334"/>
      <c r="Z109" s="334"/>
      <c r="AA109" s="334"/>
      <c r="AB109" s="334"/>
      <c r="AC109" s="334"/>
      <c r="AD109" s="334"/>
      <c r="AE109" s="334"/>
      <c r="AF109" s="334"/>
      <c r="AG109" s="334"/>
      <c r="AH109" s="334"/>
      <c r="AI109" s="334"/>
      <c r="AJ109" s="334"/>
      <c r="AK109" s="334"/>
      <c r="AL109" s="334"/>
      <c r="AM109" s="334"/>
      <c r="AN109" s="334"/>
      <c r="AO109" s="334"/>
      <c r="AP109" s="334"/>
      <c r="AQ109" s="334"/>
      <c r="AR109" s="334"/>
      <c r="AS109" s="334"/>
      <c r="AT109" s="334"/>
      <c r="AU109" s="334"/>
      <c r="AV109" s="491"/>
      <c r="AW109" s="58"/>
      <c r="AX109" s="58"/>
      <c r="AY109" s="58"/>
      <c r="AZ109" s="60"/>
      <c r="BA109" s="94"/>
      <c r="BB109" s="94"/>
      <c r="BC109" s="94"/>
      <c r="BD109" s="94"/>
      <c r="BE109" s="94"/>
      <c r="BF109" s="94"/>
      <c r="BG109" s="94"/>
      <c r="BH109" s="94"/>
      <c r="BI109" s="94"/>
      <c r="BJ109" s="94"/>
      <c r="BK109" s="94"/>
      <c r="BL109" s="94"/>
      <c r="BM109" s="94"/>
      <c r="BN109" s="94" t="s">
        <v>466</v>
      </c>
      <c r="BO109" s="94"/>
      <c r="BP109" s="94"/>
      <c r="BQ109" s="94"/>
      <c r="BR109" s="94"/>
      <c r="BS109" s="94"/>
      <c r="BT109" s="60"/>
      <c r="BU109" s="60"/>
      <c r="BV109" s="60"/>
      <c r="BW109" s="60"/>
      <c r="BX109" s="60"/>
      <c r="BY109" s="60"/>
      <c r="BZ109" s="60"/>
      <c r="CA109" s="60"/>
      <c r="CB109" s="60"/>
      <c r="CC109" s="60"/>
      <c r="CD109" s="60"/>
      <c r="CE109" s="60"/>
      <c r="CF109" s="58"/>
      <c r="CG109" s="58"/>
      <c r="CH109" s="58"/>
      <c r="CI109" s="58"/>
      <c r="CJ109" s="58"/>
      <c r="CK109" s="58"/>
      <c r="CL109" s="60"/>
      <c r="CM109" s="60"/>
      <c r="CN109" s="60"/>
      <c r="CO109" s="60"/>
      <c r="CP109" s="60"/>
      <c r="CQ109" s="58"/>
      <c r="CR109" s="59"/>
    </row>
    <row r="110" spans="1:96" ht="15" customHeight="1" thickBot="1" x14ac:dyDescent="0.2">
      <c r="A110" s="57"/>
      <c r="B110" s="481" t="s">
        <v>144</v>
      </c>
      <c r="C110" s="482"/>
      <c r="D110" s="482"/>
      <c r="E110" s="482"/>
      <c r="F110" s="482"/>
      <c r="G110" s="482"/>
      <c r="H110" s="482"/>
      <c r="I110" s="482"/>
      <c r="J110" s="482"/>
      <c r="K110" s="482"/>
      <c r="L110" s="482"/>
      <c r="M110" s="482"/>
      <c r="N110" s="482"/>
      <c r="O110" s="482"/>
      <c r="P110" s="495" t="s">
        <v>135</v>
      </c>
      <c r="Q110" s="495"/>
      <c r="R110" s="495"/>
      <c r="S110" s="495"/>
      <c r="T110" s="495"/>
      <c r="U110" s="495" t="s">
        <v>134</v>
      </c>
      <c r="V110" s="495"/>
      <c r="W110" s="495"/>
      <c r="X110" s="496" t="s">
        <v>321</v>
      </c>
      <c r="Y110" s="496"/>
      <c r="Z110" s="496"/>
      <c r="AA110" s="496"/>
      <c r="AB110" s="496"/>
      <c r="AC110" s="496"/>
      <c r="AD110" s="496"/>
      <c r="AE110" s="496"/>
      <c r="AF110" s="496"/>
      <c r="AG110" s="496"/>
      <c r="AH110" s="496"/>
      <c r="AI110" s="496"/>
      <c r="AJ110" s="496"/>
      <c r="AK110" s="496"/>
      <c r="AL110" s="496"/>
      <c r="AM110" s="496"/>
      <c r="AN110" s="496"/>
      <c r="AO110" s="496"/>
      <c r="AP110" s="496"/>
      <c r="AQ110" s="496"/>
      <c r="AR110" s="496"/>
      <c r="AS110" s="496"/>
      <c r="AT110" s="496"/>
      <c r="AU110" s="496"/>
      <c r="AV110" s="497"/>
      <c r="AW110" s="58"/>
      <c r="AX110" s="58"/>
      <c r="AY110" s="58"/>
      <c r="AZ110" s="60"/>
      <c r="BA110" s="58" t="s">
        <v>381</v>
      </c>
      <c r="BB110" s="58"/>
      <c r="BC110" s="58"/>
      <c r="BD110" s="58"/>
      <c r="BE110" s="58"/>
      <c r="BF110" s="58"/>
      <c r="BG110" s="58"/>
      <c r="BH110" s="58"/>
      <c r="BI110" s="58"/>
      <c r="BJ110" s="58"/>
      <c r="BK110" s="58"/>
      <c r="BL110" s="58" t="s">
        <v>375</v>
      </c>
      <c r="BM110" s="58"/>
      <c r="BN110" s="58" t="s">
        <v>382</v>
      </c>
      <c r="BO110" s="58"/>
      <c r="BP110" s="58"/>
      <c r="BQ110" s="60"/>
      <c r="BR110" s="60"/>
      <c r="BS110" s="60"/>
      <c r="BT110" s="60"/>
      <c r="BU110" s="60"/>
      <c r="BV110" s="60"/>
      <c r="BW110" s="60"/>
      <c r="BX110" s="60"/>
      <c r="BY110" s="60"/>
      <c r="BZ110" s="60"/>
      <c r="CA110" s="60"/>
      <c r="CB110" s="60"/>
      <c r="CC110" s="60"/>
      <c r="CD110" s="60"/>
      <c r="CE110" s="60"/>
      <c r="CF110" s="58"/>
      <c r="CG110" s="58"/>
      <c r="CH110" s="58"/>
      <c r="CI110" s="58"/>
      <c r="CJ110" s="58"/>
      <c r="CK110" s="58"/>
      <c r="CL110" s="60"/>
      <c r="CM110" s="60"/>
      <c r="CN110" s="60"/>
      <c r="CO110" s="60"/>
      <c r="CP110" s="58"/>
      <c r="CQ110" s="58"/>
      <c r="CR110" s="59"/>
    </row>
    <row r="111" spans="1:96" ht="15" customHeight="1" x14ac:dyDescent="0.15">
      <c r="A111" s="57"/>
      <c r="B111" s="339" t="s">
        <v>300</v>
      </c>
      <c r="C111" s="339"/>
      <c r="D111" s="339"/>
      <c r="E111" s="339"/>
      <c r="F111" s="339"/>
      <c r="G111" s="339"/>
      <c r="H111" s="339"/>
      <c r="I111" s="339"/>
      <c r="J111" s="339"/>
      <c r="K111" s="339"/>
      <c r="L111" s="339"/>
      <c r="M111" s="339"/>
      <c r="N111" s="339"/>
      <c r="O111" s="339"/>
      <c r="P111" s="447" t="s">
        <v>365</v>
      </c>
      <c r="Q111" s="447"/>
      <c r="R111" s="447"/>
      <c r="S111" s="447"/>
      <c r="T111" s="447"/>
      <c r="U111" s="448" t="s">
        <v>134</v>
      </c>
      <c r="V111" s="449"/>
      <c r="W111" s="450"/>
      <c r="X111" s="334" t="s">
        <v>132</v>
      </c>
      <c r="Y111" s="334"/>
      <c r="Z111" s="334"/>
      <c r="AA111" s="334"/>
      <c r="AB111" s="334"/>
      <c r="AC111" s="334"/>
      <c r="AD111" s="334"/>
      <c r="AE111" s="334"/>
      <c r="AF111" s="334"/>
      <c r="AG111" s="334"/>
      <c r="AH111" s="334"/>
      <c r="AI111" s="334"/>
      <c r="AJ111" s="334"/>
      <c r="AK111" s="334"/>
      <c r="AL111" s="334"/>
      <c r="AM111" s="334"/>
      <c r="AN111" s="334"/>
      <c r="AO111" s="334"/>
      <c r="AP111" s="334"/>
      <c r="AQ111" s="334"/>
      <c r="AR111" s="334"/>
      <c r="AS111" s="334"/>
      <c r="AT111" s="334"/>
      <c r="AU111" s="334"/>
      <c r="AV111" s="334"/>
      <c r="AW111" s="58"/>
      <c r="AX111" s="58"/>
      <c r="AY111" s="58"/>
      <c r="AZ111" s="60"/>
      <c r="BA111" s="60"/>
      <c r="BB111" s="60"/>
      <c r="BC111" s="60"/>
      <c r="BD111" s="60"/>
      <c r="BE111" s="60"/>
      <c r="BF111" s="60"/>
      <c r="BG111" s="60"/>
      <c r="BH111" s="60"/>
      <c r="BI111" s="60"/>
      <c r="BJ111" s="60"/>
      <c r="BK111" s="60"/>
      <c r="BL111" s="60"/>
      <c r="BM111" s="60"/>
      <c r="BN111" s="60" t="s">
        <v>389</v>
      </c>
      <c r="BO111" s="60"/>
      <c r="BP111" s="60"/>
      <c r="BQ111" s="60"/>
      <c r="BR111" s="60"/>
      <c r="BS111" s="60"/>
      <c r="BT111" s="60"/>
      <c r="BU111" s="60"/>
      <c r="BV111" s="60"/>
      <c r="BW111" s="60"/>
      <c r="BX111" s="60"/>
      <c r="BY111" s="60"/>
      <c r="BZ111" s="60"/>
      <c r="CA111" s="60"/>
      <c r="CB111" s="60"/>
      <c r="CC111" s="60"/>
      <c r="CD111" s="60"/>
      <c r="CE111" s="60"/>
      <c r="CF111" s="60"/>
      <c r="CG111" s="60"/>
      <c r="CH111" s="60"/>
      <c r="CI111" s="58"/>
      <c r="CJ111" s="58"/>
      <c r="CK111" s="58"/>
      <c r="CL111" s="60"/>
      <c r="CM111" s="60"/>
      <c r="CN111" s="60"/>
      <c r="CO111" s="60"/>
      <c r="CP111" s="58"/>
      <c r="CQ111" s="58"/>
      <c r="CR111" s="59"/>
    </row>
    <row r="112" spans="1:96" ht="15" customHeight="1" x14ac:dyDescent="0.15">
      <c r="A112" s="57"/>
      <c r="B112" s="339" t="s">
        <v>299</v>
      </c>
      <c r="C112" s="339"/>
      <c r="D112" s="339"/>
      <c r="E112" s="339"/>
      <c r="F112" s="339"/>
      <c r="G112" s="339"/>
      <c r="H112" s="339"/>
      <c r="I112" s="339"/>
      <c r="J112" s="339"/>
      <c r="K112" s="339"/>
      <c r="L112" s="339"/>
      <c r="M112" s="339"/>
      <c r="N112" s="339"/>
      <c r="O112" s="339"/>
      <c r="P112" s="447" t="s">
        <v>365</v>
      </c>
      <c r="Q112" s="447"/>
      <c r="R112" s="447"/>
      <c r="S112" s="447"/>
      <c r="T112" s="447"/>
      <c r="U112" s="448" t="s">
        <v>134</v>
      </c>
      <c r="V112" s="449"/>
      <c r="W112" s="450"/>
      <c r="X112" s="334" t="s">
        <v>132</v>
      </c>
      <c r="Y112" s="334"/>
      <c r="Z112" s="334"/>
      <c r="AA112" s="334"/>
      <c r="AB112" s="334"/>
      <c r="AC112" s="334"/>
      <c r="AD112" s="334"/>
      <c r="AE112" s="334"/>
      <c r="AF112" s="334"/>
      <c r="AG112" s="334"/>
      <c r="AH112" s="334"/>
      <c r="AI112" s="334"/>
      <c r="AJ112" s="334"/>
      <c r="AK112" s="334"/>
      <c r="AL112" s="334"/>
      <c r="AM112" s="334"/>
      <c r="AN112" s="334"/>
      <c r="AO112" s="334"/>
      <c r="AP112" s="334"/>
      <c r="AQ112" s="334"/>
      <c r="AR112" s="334"/>
      <c r="AS112" s="334"/>
      <c r="AT112" s="334"/>
      <c r="AU112" s="334"/>
      <c r="AV112" s="334"/>
      <c r="AW112" s="58"/>
      <c r="AX112" s="58"/>
      <c r="AY112" s="58"/>
      <c r="AZ112" s="58"/>
      <c r="BA112" s="60"/>
      <c r="BB112" s="60"/>
      <c r="BC112" s="60"/>
      <c r="BD112" s="60"/>
      <c r="BE112" s="60"/>
      <c r="BF112" s="60"/>
      <c r="BG112" s="60"/>
      <c r="BH112" s="60"/>
      <c r="BI112" s="60"/>
      <c r="BJ112" s="60"/>
      <c r="BK112" s="60"/>
      <c r="BL112" s="60"/>
      <c r="BM112" s="60"/>
      <c r="BN112" s="60" t="s">
        <v>543</v>
      </c>
      <c r="BO112" s="60"/>
      <c r="BP112" s="60"/>
      <c r="BQ112" s="60"/>
      <c r="BR112" s="60"/>
      <c r="BS112" s="60"/>
      <c r="BT112" s="58"/>
      <c r="BU112" s="60"/>
      <c r="BV112" s="60"/>
      <c r="BW112" s="60"/>
      <c r="BX112" s="60"/>
      <c r="BY112" s="60"/>
      <c r="BZ112" s="60"/>
      <c r="CA112" s="60"/>
      <c r="CB112" s="60"/>
      <c r="CC112" s="60"/>
      <c r="CD112" s="60"/>
      <c r="CE112" s="60"/>
      <c r="CF112" s="60"/>
      <c r="CG112" s="60"/>
      <c r="CH112" s="60"/>
      <c r="CI112" s="58"/>
      <c r="CJ112" s="58"/>
      <c r="CK112" s="58"/>
      <c r="CL112" s="60"/>
      <c r="CM112" s="60"/>
      <c r="CN112" s="60"/>
      <c r="CO112" s="60"/>
      <c r="CP112" s="58"/>
      <c r="CQ112" s="58"/>
      <c r="CR112" s="59"/>
    </row>
    <row r="113" spans="1:96" ht="15" customHeight="1" x14ac:dyDescent="0.15">
      <c r="A113" s="57"/>
      <c r="B113" s="339" t="s">
        <v>298</v>
      </c>
      <c r="C113" s="339"/>
      <c r="D113" s="339"/>
      <c r="E113" s="339"/>
      <c r="F113" s="339"/>
      <c r="G113" s="339"/>
      <c r="H113" s="339"/>
      <c r="I113" s="339"/>
      <c r="J113" s="339"/>
      <c r="K113" s="339"/>
      <c r="L113" s="339"/>
      <c r="M113" s="339"/>
      <c r="N113" s="339"/>
      <c r="O113" s="339"/>
      <c r="P113" s="447" t="s">
        <v>133</v>
      </c>
      <c r="Q113" s="447"/>
      <c r="R113" s="447"/>
      <c r="S113" s="447"/>
      <c r="T113" s="447"/>
      <c r="U113" s="448" t="s">
        <v>134</v>
      </c>
      <c r="V113" s="449"/>
      <c r="W113" s="450"/>
      <c r="X113" s="334" t="s">
        <v>132</v>
      </c>
      <c r="Y113" s="334"/>
      <c r="Z113" s="334"/>
      <c r="AA113" s="334"/>
      <c r="AB113" s="334"/>
      <c r="AC113" s="334"/>
      <c r="AD113" s="334"/>
      <c r="AE113" s="334"/>
      <c r="AF113" s="334"/>
      <c r="AG113" s="334"/>
      <c r="AH113" s="334"/>
      <c r="AI113" s="334"/>
      <c r="AJ113" s="334"/>
      <c r="AK113" s="334"/>
      <c r="AL113" s="334"/>
      <c r="AM113" s="334"/>
      <c r="AN113" s="334"/>
      <c r="AO113" s="334"/>
      <c r="AP113" s="334"/>
      <c r="AQ113" s="334"/>
      <c r="AR113" s="334"/>
      <c r="AS113" s="334"/>
      <c r="AT113" s="334"/>
      <c r="AU113" s="334"/>
      <c r="AV113" s="334"/>
      <c r="AW113" s="58"/>
      <c r="AX113" s="58"/>
      <c r="AY113" s="58"/>
      <c r="AZ113" s="58"/>
      <c r="BA113" s="60"/>
      <c r="BB113" s="60"/>
      <c r="BC113" s="60"/>
      <c r="BD113" s="60"/>
      <c r="BE113" s="60"/>
      <c r="BF113" s="60"/>
      <c r="BG113" s="60"/>
      <c r="BH113" s="60"/>
      <c r="BI113" s="60"/>
      <c r="BJ113" s="60"/>
      <c r="BK113" s="60"/>
      <c r="BL113" s="60"/>
      <c r="BM113" s="60"/>
      <c r="BN113" s="60"/>
      <c r="BO113" s="60" t="s">
        <v>544</v>
      </c>
      <c r="BP113" s="58"/>
      <c r="BQ113" s="58"/>
      <c r="BR113" s="58"/>
      <c r="BS113" s="58"/>
      <c r="BT113" s="94"/>
      <c r="BU113" s="94"/>
      <c r="BV113" s="60"/>
      <c r="BW113" s="60"/>
      <c r="BX113" s="60"/>
      <c r="BY113" s="60"/>
      <c r="BZ113" s="60"/>
      <c r="CA113" s="60"/>
      <c r="CB113" s="60"/>
      <c r="CC113" s="60"/>
      <c r="CD113" s="60"/>
      <c r="CE113" s="60"/>
      <c r="CF113" s="60"/>
      <c r="CG113" s="60"/>
      <c r="CH113" s="60"/>
      <c r="CI113" s="58"/>
      <c r="CJ113" s="58"/>
      <c r="CK113" s="58"/>
      <c r="CL113" s="60"/>
      <c r="CM113" s="60"/>
      <c r="CN113" s="60"/>
      <c r="CO113" s="60"/>
      <c r="CP113" s="58"/>
      <c r="CQ113" s="58"/>
      <c r="CR113" s="59"/>
    </row>
    <row r="114" spans="1:96" ht="15" customHeight="1" x14ac:dyDescent="0.15">
      <c r="A114" s="57"/>
      <c r="B114" s="339" t="s">
        <v>296</v>
      </c>
      <c r="C114" s="339"/>
      <c r="D114" s="339"/>
      <c r="E114" s="339"/>
      <c r="F114" s="339"/>
      <c r="G114" s="339"/>
      <c r="H114" s="339"/>
      <c r="I114" s="339"/>
      <c r="J114" s="339"/>
      <c r="K114" s="339"/>
      <c r="L114" s="339"/>
      <c r="M114" s="339"/>
      <c r="N114" s="339"/>
      <c r="O114" s="339"/>
      <c r="P114" s="447" t="s">
        <v>133</v>
      </c>
      <c r="Q114" s="447"/>
      <c r="R114" s="447"/>
      <c r="S114" s="447"/>
      <c r="T114" s="447"/>
      <c r="U114" s="448">
        <v>6</v>
      </c>
      <c r="V114" s="449"/>
      <c r="W114" s="450"/>
      <c r="X114" s="334" t="s">
        <v>309</v>
      </c>
      <c r="Y114" s="334"/>
      <c r="Z114" s="334"/>
      <c r="AA114" s="334"/>
      <c r="AB114" s="334"/>
      <c r="AC114" s="334"/>
      <c r="AD114" s="334"/>
      <c r="AE114" s="334"/>
      <c r="AF114" s="334"/>
      <c r="AG114" s="334"/>
      <c r="AH114" s="334"/>
      <c r="AI114" s="334"/>
      <c r="AJ114" s="334"/>
      <c r="AK114" s="334"/>
      <c r="AL114" s="334"/>
      <c r="AM114" s="334"/>
      <c r="AN114" s="334"/>
      <c r="AO114" s="334"/>
      <c r="AP114" s="334"/>
      <c r="AQ114" s="334"/>
      <c r="AR114" s="334"/>
      <c r="AS114" s="334"/>
      <c r="AT114" s="334"/>
      <c r="AU114" s="334"/>
      <c r="AV114" s="334"/>
      <c r="AW114" s="58"/>
      <c r="AX114" s="58"/>
      <c r="AY114" s="58"/>
      <c r="AZ114" s="58"/>
      <c r="BA114" s="58"/>
      <c r="BB114" s="23"/>
      <c r="BC114" s="23"/>
      <c r="BD114" s="23"/>
      <c r="BE114" s="23"/>
      <c r="BF114" s="23"/>
      <c r="BG114" s="23"/>
      <c r="BH114" s="23"/>
      <c r="BI114" s="23"/>
      <c r="BJ114" s="23"/>
      <c r="BK114" s="23"/>
      <c r="BL114" s="23"/>
      <c r="BM114" s="23"/>
      <c r="BN114" s="23"/>
      <c r="BO114" s="23"/>
      <c r="BP114" s="23" t="s">
        <v>521</v>
      </c>
      <c r="BQ114" s="23"/>
      <c r="BR114" s="23"/>
      <c r="BS114" s="23"/>
      <c r="BT114" s="23"/>
      <c r="BU114" s="23"/>
      <c r="BV114" s="23"/>
      <c r="BW114" s="23"/>
      <c r="BX114" s="23"/>
      <c r="BY114" s="23"/>
      <c r="BZ114" s="23"/>
      <c r="CA114" s="23"/>
      <c r="CB114" s="58"/>
      <c r="CC114" s="60"/>
      <c r="CD114" s="60"/>
      <c r="CE114" s="60"/>
      <c r="CF114" s="60"/>
      <c r="CG114" s="60"/>
      <c r="CH114" s="60"/>
      <c r="CI114" s="58"/>
      <c r="CJ114" s="58"/>
      <c r="CK114" s="58"/>
      <c r="CL114" s="60"/>
      <c r="CM114" s="60"/>
      <c r="CN114" s="60"/>
      <c r="CO114" s="60"/>
      <c r="CP114" s="58"/>
      <c r="CQ114" s="58"/>
      <c r="CR114" s="59"/>
    </row>
    <row r="115" spans="1:96" ht="15" customHeight="1" x14ac:dyDescent="0.15">
      <c r="A115" s="57"/>
      <c r="B115" s="339" t="s">
        <v>460</v>
      </c>
      <c r="C115" s="339"/>
      <c r="D115" s="339"/>
      <c r="E115" s="339"/>
      <c r="F115" s="339"/>
      <c r="G115" s="339"/>
      <c r="H115" s="339"/>
      <c r="I115" s="339"/>
      <c r="J115" s="339"/>
      <c r="K115" s="339"/>
      <c r="L115" s="339"/>
      <c r="M115" s="339"/>
      <c r="N115" s="339"/>
      <c r="O115" s="339"/>
      <c r="P115" s="447" t="s">
        <v>365</v>
      </c>
      <c r="Q115" s="447"/>
      <c r="R115" s="447"/>
      <c r="S115" s="447"/>
      <c r="T115" s="447"/>
      <c r="U115" s="448">
        <v>400</v>
      </c>
      <c r="V115" s="449"/>
      <c r="W115" s="450"/>
      <c r="X115" s="334"/>
      <c r="Y115" s="334"/>
      <c r="Z115" s="334"/>
      <c r="AA115" s="334"/>
      <c r="AB115" s="334"/>
      <c r="AC115" s="334"/>
      <c r="AD115" s="334"/>
      <c r="AE115" s="334"/>
      <c r="AF115" s="334"/>
      <c r="AG115" s="334"/>
      <c r="AH115" s="334"/>
      <c r="AI115" s="334"/>
      <c r="AJ115" s="334"/>
      <c r="AK115" s="334"/>
      <c r="AL115" s="334"/>
      <c r="AM115" s="334"/>
      <c r="AN115" s="334"/>
      <c r="AO115" s="334"/>
      <c r="AP115" s="334"/>
      <c r="AQ115" s="334"/>
      <c r="AR115" s="334"/>
      <c r="AS115" s="334"/>
      <c r="AT115" s="334"/>
      <c r="AU115" s="334"/>
      <c r="AV115" s="334"/>
      <c r="AW115" s="58"/>
      <c r="AX115" s="58"/>
      <c r="AY115" s="58"/>
      <c r="AZ115" s="58"/>
      <c r="BA115" s="60"/>
      <c r="BB115" s="23"/>
      <c r="BC115" s="23"/>
      <c r="BD115" s="23"/>
      <c r="BE115" s="23"/>
      <c r="BF115" s="23"/>
      <c r="BG115" s="23"/>
      <c r="BH115" s="23"/>
      <c r="BI115" s="23"/>
      <c r="BJ115" s="23"/>
      <c r="BK115" s="23"/>
      <c r="BL115" s="23"/>
      <c r="BM115" s="23"/>
      <c r="BN115" s="23"/>
      <c r="BO115" s="23"/>
      <c r="BP115" s="23"/>
      <c r="BQ115" s="17" t="s">
        <v>62</v>
      </c>
      <c r="BR115" s="23" t="s">
        <v>545</v>
      </c>
      <c r="BS115" s="23"/>
      <c r="BT115" s="23"/>
      <c r="BU115" s="23"/>
      <c r="BV115" s="23"/>
      <c r="BW115" s="23"/>
      <c r="BX115" s="23"/>
      <c r="BY115" s="23"/>
      <c r="BZ115" s="23"/>
      <c r="CA115" s="23"/>
      <c r="CB115" s="58"/>
      <c r="CD115" s="60"/>
      <c r="CE115" s="60"/>
      <c r="CF115" s="60"/>
      <c r="CG115" s="60"/>
      <c r="CH115" s="60"/>
      <c r="CI115" s="58"/>
      <c r="CJ115" s="58"/>
      <c r="CK115" s="58"/>
      <c r="CL115" s="60"/>
      <c r="CM115" s="60"/>
      <c r="CN115" s="60"/>
      <c r="CO115" s="60"/>
      <c r="CP115" s="58"/>
      <c r="CQ115" s="58"/>
      <c r="CR115" s="59"/>
    </row>
    <row r="116" spans="1:96" ht="15" customHeight="1" x14ac:dyDescent="0.15">
      <c r="A116" s="57"/>
      <c r="B116" s="339" t="s">
        <v>297</v>
      </c>
      <c r="C116" s="339"/>
      <c r="D116" s="339"/>
      <c r="E116" s="339"/>
      <c r="F116" s="339"/>
      <c r="G116" s="339"/>
      <c r="H116" s="339"/>
      <c r="I116" s="339"/>
      <c r="J116" s="339"/>
      <c r="K116" s="339"/>
      <c r="L116" s="339"/>
      <c r="M116" s="339"/>
      <c r="N116" s="339"/>
      <c r="O116" s="339"/>
      <c r="P116" s="335" t="s">
        <v>133</v>
      </c>
      <c r="Q116" s="335"/>
      <c r="R116" s="335"/>
      <c r="S116" s="335"/>
      <c r="T116" s="335"/>
      <c r="U116" s="335" t="s">
        <v>134</v>
      </c>
      <c r="V116" s="335"/>
      <c r="W116" s="335"/>
      <c r="X116" s="470" t="s">
        <v>305</v>
      </c>
      <c r="Y116" s="470"/>
      <c r="Z116" s="470"/>
      <c r="AA116" s="470"/>
      <c r="AB116" s="470"/>
      <c r="AC116" s="470"/>
      <c r="AD116" s="470"/>
      <c r="AE116" s="470"/>
      <c r="AF116" s="470"/>
      <c r="AG116" s="470"/>
      <c r="AH116" s="470"/>
      <c r="AI116" s="470"/>
      <c r="AJ116" s="470"/>
      <c r="AK116" s="470"/>
      <c r="AL116" s="470"/>
      <c r="AM116" s="470"/>
      <c r="AN116" s="470"/>
      <c r="AO116" s="470"/>
      <c r="AP116" s="470"/>
      <c r="AQ116" s="470"/>
      <c r="AR116" s="470"/>
      <c r="AS116" s="470"/>
      <c r="AT116" s="470"/>
      <c r="AU116" s="470"/>
      <c r="AV116" s="470"/>
      <c r="AW116" s="58"/>
      <c r="AX116" s="58"/>
      <c r="AY116" s="58"/>
      <c r="AZ116" s="58"/>
      <c r="BA116" s="60"/>
      <c r="BB116" s="23"/>
      <c r="BC116" s="23"/>
      <c r="BD116" s="23"/>
      <c r="BE116" s="23"/>
      <c r="BF116" s="23"/>
      <c r="BG116" s="23"/>
      <c r="BH116" s="23"/>
      <c r="BI116" s="23"/>
      <c r="BJ116" s="23"/>
      <c r="BK116" s="23"/>
      <c r="BL116" s="23"/>
      <c r="BM116" s="23"/>
      <c r="BN116" s="23"/>
      <c r="BO116" s="23"/>
      <c r="BP116" s="23"/>
      <c r="BR116" s="23" t="s">
        <v>546</v>
      </c>
      <c r="BS116" s="23"/>
      <c r="BT116" s="23"/>
      <c r="BU116" s="23"/>
      <c r="BV116" s="23"/>
      <c r="BW116" s="23"/>
      <c r="BX116" s="23"/>
      <c r="BY116" s="23"/>
      <c r="BZ116" s="23"/>
      <c r="CA116" s="23"/>
      <c r="CB116" s="58"/>
      <c r="CC116" s="58"/>
      <c r="CD116" s="58"/>
      <c r="CE116" s="58"/>
      <c r="CF116" s="58"/>
      <c r="CG116" s="58"/>
      <c r="CH116" s="58"/>
      <c r="CI116" s="58"/>
      <c r="CJ116" s="58"/>
      <c r="CK116" s="58"/>
      <c r="CL116" s="60"/>
      <c r="CM116" s="60"/>
      <c r="CN116" s="60"/>
      <c r="CO116" s="60"/>
      <c r="CP116" s="58"/>
      <c r="CQ116" s="58"/>
      <c r="CR116" s="59"/>
    </row>
    <row r="117" spans="1:96" ht="15" customHeight="1" x14ac:dyDescent="0.15">
      <c r="A117" s="57"/>
      <c r="B117" s="339"/>
      <c r="C117" s="339"/>
      <c r="D117" s="339"/>
      <c r="E117" s="339"/>
      <c r="F117" s="339"/>
      <c r="G117" s="339"/>
      <c r="H117" s="339"/>
      <c r="I117" s="339"/>
      <c r="J117" s="339"/>
      <c r="K117" s="339"/>
      <c r="L117" s="339"/>
      <c r="M117" s="339"/>
      <c r="N117" s="339"/>
      <c r="O117" s="339"/>
      <c r="P117" s="335"/>
      <c r="Q117" s="335"/>
      <c r="R117" s="335"/>
      <c r="S117" s="335"/>
      <c r="T117" s="335"/>
      <c r="U117" s="335"/>
      <c r="V117" s="335"/>
      <c r="W117" s="335"/>
      <c r="X117" s="470"/>
      <c r="Y117" s="470"/>
      <c r="Z117" s="470"/>
      <c r="AA117" s="470"/>
      <c r="AB117" s="470"/>
      <c r="AC117" s="470"/>
      <c r="AD117" s="470"/>
      <c r="AE117" s="470"/>
      <c r="AF117" s="470"/>
      <c r="AG117" s="470"/>
      <c r="AH117" s="470"/>
      <c r="AI117" s="470"/>
      <c r="AJ117" s="470"/>
      <c r="AK117" s="470"/>
      <c r="AL117" s="470"/>
      <c r="AM117" s="470"/>
      <c r="AN117" s="470"/>
      <c r="AO117" s="470"/>
      <c r="AP117" s="470"/>
      <c r="AQ117" s="470"/>
      <c r="AR117" s="470"/>
      <c r="AS117" s="470"/>
      <c r="AT117" s="470"/>
      <c r="AU117" s="470"/>
      <c r="AV117" s="470"/>
      <c r="AW117" s="58"/>
      <c r="AX117" s="58"/>
      <c r="AY117" s="58"/>
      <c r="AZ117" s="58"/>
      <c r="BA117" s="60"/>
      <c r="BB117" s="23"/>
      <c r="BC117" s="23"/>
      <c r="BD117" s="23"/>
      <c r="BE117" s="23"/>
      <c r="BF117" s="23"/>
      <c r="BG117" s="23"/>
      <c r="BH117" s="23"/>
      <c r="BI117" s="23"/>
      <c r="BJ117" s="23"/>
      <c r="BK117" s="23"/>
      <c r="BL117" s="23"/>
      <c r="BM117" s="23"/>
      <c r="BN117" s="23"/>
      <c r="BO117" s="23"/>
      <c r="BP117" s="23"/>
      <c r="BR117" s="23" t="s">
        <v>547</v>
      </c>
      <c r="BT117" s="23"/>
      <c r="BU117" s="23"/>
      <c r="BV117" s="23"/>
      <c r="BW117" s="23"/>
      <c r="BX117" s="23"/>
      <c r="BY117" s="23"/>
      <c r="BZ117" s="23"/>
      <c r="CA117" s="23"/>
      <c r="CB117" s="58"/>
      <c r="CC117" s="58"/>
      <c r="CD117" s="58"/>
      <c r="CE117" s="58"/>
      <c r="CF117" s="58"/>
      <c r="CG117" s="58"/>
      <c r="CH117" s="58"/>
      <c r="CI117" s="58"/>
      <c r="CJ117" s="58"/>
      <c r="CK117" s="58"/>
      <c r="CL117" s="60"/>
      <c r="CM117" s="60"/>
      <c r="CN117" s="60"/>
      <c r="CO117" s="60"/>
      <c r="CP117" s="58"/>
      <c r="CQ117" s="58"/>
      <c r="CR117" s="59"/>
    </row>
    <row r="118" spans="1:96" ht="15" customHeight="1" x14ac:dyDescent="0.15">
      <c r="A118" s="57"/>
      <c r="AW118" s="58"/>
      <c r="AX118" s="58"/>
      <c r="AY118" s="58"/>
      <c r="AZ118" s="58"/>
      <c r="BA118" s="60"/>
      <c r="BB118" s="58"/>
      <c r="BC118" s="58"/>
      <c r="BD118" s="58"/>
      <c r="BE118" s="58"/>
      <c r="BF118" s="58"/>
      <c r="BG118" s="58"/>
      <c r="BH118" s="58"/>
      <c r="BI118" s="58"/>
      <c r="BJ118" s="58"/>
      <c r="BK118" s="58"/>
      <c r="BL118" s="58"/>
      <c r="BM118" s="58"/>
      <c r="BN118" s="58"/>
      <c r="BO118" s="58"/>
      <c r="BP118" s="58"/>
      <c r="BQ118" s="17" t="s">
        <v>62</v>
      </c>
      <c r="BR118" s="58" t="s">
        <v>523</v>
      </c>
      <c r="BS118" s="58"/>
      <c r="BT118" s="58"/>
      <c r="BU118" s="58"/>
      <c r="BV118" s="58"/>
      <c r="BW118" s="58"/>
      <c r="BX118" s="60"/>
      <c r="BY118" s="58"/>
      <c r="BZ118" s="58"/>
      <c r="CA118" s="58"/>
      <c r="CB118" s="58"/>
      <c r="CC118" s="58"/>
      <c r="CD118" s="58"/>
      <c r="CE118" s="58"/>
      <c r="CF118" s="58"/>
      <c r="CG118" s="58"/>
      <c r="CH118" s="58"/>
      <c r="CI118" s="58"/>
      <c r="CJ118" s="58"/>
      <c r="CK118" s="58"/>
      <c r="CL118" s="60"/>
      <c r="CM118" s="60"/>
      <c r="CN118" s="60"/>
      <c r="CO118" s="60"/>
      <c r="CP118" s="58"/>
      <c r="CQ118" s="58"/>
      <c r="CR118" s="59"/>
    </row>
    <row r="119" spans="1:96" ht="15" customHeight="1" x14ac:dyDescent="0.15">
      <c r="A119" s="57"/>
      <c r="B119" s="23" t="s">
        <v>366</v>
      </c>
      <c r="C119" s="23" t="s">
        <v>367</v>
      </c>
      <c r="D119" s="23"/>
      <c r="E119" s="23"/>
      <c r="F119" s="23"/>
      <c r="G119" s="23"/>
      <c r="H119" s="23"/>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23" t="s">
        <v>549</v>
      </c>
      <c r="BS119" s="58"/>
      <c r="BT119" s="58"/>
      <c r="BU119" s="58"/>
      <c r="BV119" s="58"/>
      <c r="BW119" s="58"/>
      <c r="BX119" s="58"/>
      <c r="BY119" s="58"/>
      <c r="BZ119" s="58"/>
      <c r="CA119" s="58"/>
      <c r="CB119" s="58"/>
      <c r="CC119" s="58"/>
      <c r="CD119" s="58"/>
      <c r="CE119" s="58"/>
      <c r="CF119" s="58"/>
      <c r="CG119" s="58"/>
      <c r="CH119" s="58"/>
      <c r="CI119" s="58"/>
      <c r="CJ119" s="58"/>
      <c r="CK119" s="58"/>
      <c r="CL119" s="60"/>
      <c r="CM119" s="60"/>
      <c r="CN119" s="60"/>
      <c r="CO119" s="60"/>
      <c r="CP119" s="58"/>
      <c r="CQ119" s="58"/>
      <c r="CR119" s="59"/>
    </row>
    <row r="120" spans="1:96" ht="15" customHeight="1" x14ac:dyDescent="0.15">
      <c r="A120" s="57"/>
      <c r="B120" s="23"/>
      <c r="C120" s="23" t="s">
        <v>368</v>
      </c>
      <c r="D120" s="23"/>
      <c r="E120" s="23"/>
      <c r="F120" s="23"/>
      <c r="G120" s="23"/>
      <c r="H120" s="23"/>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R120" s="58" t="s">
        <v>550</v>
      </c>
      <c r="BS120" s="58"/>
      <c r="BT120" s="58"/>
      <c r="BU120" s="58"/>
      <c r="BV120" s="58"/>
      <c r="BW120" s="58"/>
      <c r="BX120" s="58"/>
      <c r="BY120" s="58"/>
      <c r="BZ120" s="58"/>
      <c r="CA120" s="58"/>
      <c r="CB120" s="58"/>
      <c r="CC120" s="58"/>
      <c r="CD120" s="58"/>
      <c r="CE120" s="58"/>
      <c r="CF120" s="58"/>
      <c r="CG120" s="58"/>
      <c r="CH120" s="58"/>
      <c r="CI120" s="58"/>
      <c r="CJ120" s="58"/>
      <c r="CK120" s="58"/>
      <c r="CL120" s="60"/>
      <c r="CM120" s="60"/>
      <c r="CN120" s="60"/>
      <c r="CO120" s="60"/>
      <c r="CP120" s="58"/>
      <c r="CQ120" s="58"/>
      <c r="CR120" s="59"/>
    </row>
    <row r="121" spans="1:96" ht="15" customHeight="1" x14ac:dyDescent="0.15">
      <c r="A121" s="57"/>
      <c r="B121" s="23"/>
      <c r="C121" s="23"/>
      <c r="D121" s="23"/>
      <c r="E121" s="23"/>
      <c r="F121" s="23"/>
      <c r="G121" s="23"/>
      <c r="H121" s="23"/>
      <c r="I121" s="58"/>
      <c r="J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CR121" s="59"/>
    </row>
    <row r="122" spans="1:96" ht="15" customHeight="1" x14ac:dyDescent="0.15">
      <c r="A122" s="57"/>
      <c r="B122" s="23" t="s">
        <v>461</v>
      </c>
      <c r="C122" s="23" t="s">
        <v>462</v>
      </c>
      <c r="D122" s="23"/>
      <c r="E122" s="23"/>
      <c r="F122" s="23"/>
      <c r="G122" s="23"/>
      <c r="H122" s="23"/>
      <c r="I122" s="58"/>
      <c r="J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CR122" s="59"/>
    </row>
    <row r="123" spans="1:96" ht="15" customHeight="1" x14ac:dyDescent="0.15">
      <c r="A123" s="57"/>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CR123" s="59"/>
    </row>
    <row r="124" spans="1:96" ht="15" customHeight="1" x14ac:dyDescent="0.15">
      <c r="A124" s="57"/>
      <c r="B124" s="23" t="s">
        <v>539</v>
      </c>
      <c r="C124" s="23"/>
      <c r="D124" s="23"/>
      <c r="E124" s="23"/>
      <c r="F124" s="23"/>
      <c r="G124" s="23"/>
      <c r="H124" s="23"/>
      <c r="I124" s="23"/>
      <c r="J124" s="23"/>
      <c r="K124" s="23"/>
      <c r="L124" s="23"/>
      <c r="M124" s="23"/>
      <c r="N124" s="23"/>
      <c r="O124" s="23"/>
      <c r="P124" s="58"/>
      <c r="Q124" s="58"/>
      <c r="R124" s="58"/>
      <c r="S124" s="58"/>
      <c r="T124" s="58"/>
      <c r="U124" s="58"/>
      <c r="V124" s="58"/>
      <c r="W124" s="58"/>
      <c r="X124" s="58"/>
      <c r="Y124" s="58"/>
      <c r="Z124" s="58"/>
      <c r="AA124" s="58"/>
      <c r="AB124" s="58"/>
      <c r="AC124" s="58"/>
      <c r="AD124" s="58"/>
      <c r="AE124" s="58"/>
      <c r="AF124" s="58" t="s">
        <v>386</v>
      </c>
      <c r="AG124" s="58"/>
      <c r="AH124" s="23"/>
      <c r="AI124" s="23"/>
      <c r="AJ124" s="23"/>
      <c r="AK124" s="23"/>
      <c r="AL124" s="23"/>
      <c r="AM124" s="23"/>
      <c r="AN124" s="23"/>
      <c r="AO124" s="23"/>
      <c r="AP124" s="23"/>
      <c r="AQ124" s="23"/>
      <c r="AR124" s="23"/>
      <c r="AS124" s="23"/>
      <c r="AT124" s="23"/>
      <c r="AU124" s="23"/>
      <c r="AV124" s="23"/>
      <c r="AW124" s="23"/>
      <c r="AX124" s="23"/>
      <c r="AY124" s="23"/>
      <c r="AZ124" s="58"/>
      <c r="BA124" s="58"/>
      <c r="BB124" s="58" t="s">
        <v>420</v>
      </c>
      <c r="BC124" s="58"/>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60"/>
      <c r="CM124" s="60"/>
      <c r="CN124" s="60"/>
      <c r="CO124" s="60"/>
      <c r="CP124" s="58"/>
      <c r="CQ124" s="58"/>
      <c r="CR124" s="59"/>
    </row>
    <row r="125" spans="1:96" ht="15" customHeight="1" x14ac:dyDescent="0.15">
      <c r="A125" s="57"/>
      <c r="B125" s="377" t="s">
        <v>127</v>
      </c>
      <c r="C125" s="378"/>
      <c r="D125" s="378"/>
      <c r="E125" s="378"/>
      <c r="F125" s="378"/>
      <c r="G125" s="378"/>
      <c r="H125" s="378"/>
      <c r="I125" s="378"/>
      <c r="J125" s="378"/>
      <c r="K125" s="378"/>
      <c r="L125" s="378"/>
      <c r="M125" s="378"/>
      <c r="N125" s="378"/>
      <c r="O125" s="379"/>
      <c r="P125" s="58"/>
      <c r="Q125" s="58"/>
      <c r="R125" s="58"/>
      <c r="S125" s="58"/>
      <c r="T125" s="58"/>
      <c r="U125" s="58"/>
      <c r="V125" s="58"/>
      <c r="W125" s="58"/>
      <c r="X125" s="58"/>
      <c r="Y125" s="58"/>
      <c r="Z125" s="58"/>
      <c r="AA125" s="58"/>
      <c r="AB125" s="58"/>
      <c r="AC125" s="58"/>
      <c r="AD125" s="58"/>
      <c r="AE125" s="58"/>
      <c r="AF125" s="58"/>
      <c r="AG125" s="123" t="s">
        <v>386</v>
      </c>
      <c r="AH125" s="124"/>
      <c r="AI125" s="124"/>
      <c r="AJ125" s="124"/>
      <c r="AK125" s="124"/>
      <c r="AL125" s="125"/>
      <c r="AM125" s="123" t="s">
        <v>72</v>
      </c>
      <c r="AN125" s="124"/>
      <c r="AO125" s="124"/>
      <c r="AP125" s="124"/>
      <c r="AQ125" s="124"/>
      <c r="AR125" s="124"/>
      <c r="AS125" s="124"/>
      <c r="AT125" s="124"/>
      <c r="AU125" s="125"/>
      <c r="AV125" s="123" t="s">
        <v>390</v>
      </c>
      <c r="AW125" s="124"/>
      <c r="AX125" s="124"/>
      <c r="AY125" s="125"/>
      <c r="AZ125" s="58"/>
      <c r="BA125" s="58"/>
      <c r="BB125" s="23"/>
      <c r="BC125" s="123" t="s">
        <v>407</v>
      </c>
      <c r="BD125" s="124"/>
      <c r="BE125" s="124"/>
      <c r="BF125" s="124"/>
      <c r="BG125" s="124"/>
      <c r="BH125" s="124"/>
      <c r="BI125" s="124"/>
      <c r="BJ125" s="124"/>
      <c r="BK125" s="124"/>
      <c r="BL125" s="125"/>
      <c r="BM125" s="123" t="s">
        <v>408</v>
      </c>
      <c r="BN125" s="124"/>
      <c r="BO125" s="124"/>
      <c r="BP125" s="124"/>
      <c r="BQ125" s="124"/>
      <c r="BR125" s="124"/>
      <c r="BS125" s="124"/>
      <c r="BT125" s="124"/>
      <c r="BU125" s="124"/>
      <c r="BV125" s="124"/>
      <c r="BW125" s="124"/>
      <c r="BX125" s="124"/>
      <c r="BY125" s="124"/>
      <c r="BZ125" s="124"/>
      <c r="CA125" s="125"/>
      <c r="CB125" s="123" t="s">
        <v>409</v>
      </c>
      <c r="CC125" s="124"/>
      <c r="CD125" s="124"/>
      <c r="CE125" s="124"/>
      <c r="CF125" s="124"/>
      <c r="CG125" s="125"/>
      <c r="CH125" s="123" t="s">
        <v>390</v>
      </c>
      <c r="CI125" s="124"/>
      <c r="CJ125" s="124"/>
      <c r="CK125" s="125"/>
      <c r="CL125" s="60"/>
      <c r="CM125" s="60"/>
      <c r="CN125" s="60"/>
      <c r="CO125" s="60"/>
      <c r="CP125" s="58"/>
      <c r="CQ125" s="58"/>
      <c r="CR125" s="59"/>
    </row>
    <row r="126" spans="1:96" ht="15" customHeight="1" x14ac:dyDescent="0.15">
      <c r="A126" s="57"/>
      <c r="B126" s="339" t="s">
        <v>362</v>
      </c>
      <c r="C126" s="339"/>
      <c r="D126" s="339"/>
      <c r="E126" s="339"/>
      <c r="F126" s="339"/>
      <c r="G126" s="339"/>
      <c r="H126" s="339"/>
      <c r="I126" s="339"/>
      <c r="J126" s="339"/>
      <c r="K126" s="339"/>
      <c r="L126" s="339"/>
      <c r="M126" s="339"/>
      <c r="N126" s="339"/>
      <c r="O126" s="339"/>
      <c r="P126" s="23"/>
      <c r="Q126" s="23"/>
      <c r="R126" s="23"/>
      <c r="S126" s="23"/>
      <c r="T126" s="23"/>
      <c r="U126" s="23"/>
      <c r="V126" s="23"/>
      <c r="W126" s="23"/>
      <c r="X126" s="58"/>
      <c r="Y126" s="58"/>
      <c r="Z126" s="58"/>
      <c r="AA126" s="58"/>
      <c r="AB126" s="58"/>
      <c r="AC126" s="58"/>
      <c r="AD126" s="58"/>
      <c r="AE126" s="58"/>
      <c r="AF126" s="58"/>
      <c r="AG126" s="85" t="s">
        <v>391</v>
      </c>
      <c r="AH126" s="86"/>
      <c r="AI126" s="86"/>
      <c r="AJ126" s="86"/>
      <c r="AK126" s="86"/>
      <c r="AL126" s="87"/>
      <c r="AM126" s="85" t="s">
        <v>392</v>
      </c>
      <c r="AN126" s="86"/>
      <c r="AO126" s="86"/>
      <c r="AP126" s="86"/>
      <c r="AQ126" s="86"/>
      <c r="AR126" s="86"/>
      <c r="AS126" s="86"/>
      <c r="AT126" s="86"/>
      <c r="AU126" s="87"/>
      <c r="AV126" s="126" t="s">
        <v>393</v>
      </c>
      <c r="AW126" s="127"/>
      <c r="AX126" s="127"/>
      <c r="AY126" s="128"/>
      <c r="AZ126" s="58"/>
      <c r="BA126" s="58"/>
      <c r="BB126" s="23"/>
      <c r="BC126" s="85">
        <v>1</v>
      </c>
      <c r="BD126" s="86"/>
      <c r="BE126" s="86"/>
      <c r="BF126" s="86"/>
      <c r="BG126" s="86"/>
      <c r="BH126" s="86"/>
      <c r="BI126" s="86"/>
      <c r="BJ126" s="86"/>
      <c r="BK126" s="86"/>
      <c r="BL126" s="87"/>
      <c r="BM126" s="85" t="s">
        <v>410</v>
      </c>
      <c r="BN126" s="86"/>
      <c r="BO126" s="86"/>
      <c r="BP126" s="86"/>
      <c r="BQ126" s="86"/>
      <c r="BR126" s="86"/>
      <c r="BS126" s="86"/>
      <c r="BT126" s="86"/>
      <c r="BU126" s="86"/>
      <c r="BV126" s="86"/>
      <c r="BW126" s="86"/>
      <c r="BX126" s="86"/>
      <c r="BY126" s="86"/>
      <c r="BZ126" s="86"/>
      <c r="CA126" s="87"/>
      <c r="CB126" s="85"/>
      <c r="CC126" s="86"/>
      <c r="CD126" s="86"/>
      <c r="CE126" s="86"/>
      <c r="CF126" s="86"/>
      <c r="CG126" s="87"/>
      <c r="CH126" s="126">
        <v>0</v>
      </c>
      <c r="CI126" s="127"/>
      <c r="CJ126" s="127"/>
      <c r="CK126" s="128"/>
      <c r="CL126" s="60"/>
      <c r="CM126" s="60"/>
      <c r="CN126" s="60"/>
      <c r="CO126" s="60"/>
      <c r="CP126" s="58"/>
      <c r="CQ126" s="58"/>
      <c r="CR126" s="59"/>
    </row>
    <row r="127" spans="1:96" ht="15" customHeight="1" x14ac:dyDescent="0.15">
      <c r="A127" s="57"/>
      <c r="B127" s="339" t="s">
        <v>136</v>
      </c>
      <c r="C127" s="339"/>
      <c r="D127" s="339"/>
      <c r="E127" s="339"/>
      <c r="F127" s="339"/>
      <c r="G127" s="339"/>
      <c r="H127" s="339"/>
      <c r="I127" s="339"/>
      <c r="J127" s="339"/>
      <c r="K127" s="339"/>
      <c r="L127" s="339"/>
      <c r="M127" s="339"/>
      <c r="N127" s="339"/>
      <c r="O127" s="339"/>
      <c r="P127" s="23"/>
      <c r="Q127" s="23"/>
      <c r="R127" s="23"/>
      <c r="S127" s="23"/>
      <c r="T127" s="23"/>
      <c r="U127" s="23"/>
      <c r="V127" s="23"/>
      <c r="W127" s="23"/>
      <c r="X127" s="58"/>
      <c r="Y127" s="58"/>
      <c r="Z127" s="58"/>
      <c r="AA127" s="58"/>
      <c r="AB127" s="58"/>
      <c r="AC127" s="58"/>
      <c r="AD127" s="58"/>
      <c r="AE127" s="58"/>
      <c r="AF127" s="58"/>
      <c r="AG127" s="85" t="s">
        <v>394</v>
      </c>
      <c r="AH127" s="86"/>
      <c r="AI127" s="86"/>
      <c r="AJ127" s="86"/>
      <c r="AK127" s="86"/>
      <c r="AL127" s="87"/>
      <c r="AM127" s="85" t="s">
        <v>395</v>
      </c>
      <c r="AN127" s="86"/>
      <c r="AO127" s="86"/>
      <c r="AP127" s="86"/>
      <c r="AQ127" s="86"/>
      <c r="AR127" s="86"/>
      <c r="AS127" s="86"/>
      <c r="AT127" s="86"/>
      <c r="AU127" s="87"/>
      <c r="AV127" s="126" t="s">
        <v>396</v>
      </c>
      <c r="AW127" s="127"/>
      <c r="AX127" s="127"/>
      <c r="AY127" s="128"/>
      <c r="AZ127" s="58"/>
      <c r="BA127" s="58"/>
      <c r="BB127" s="23"/>
      <c r="BC127" s="85">
        <v>3</v>
      </c>
      <c r="BD127" s="86"/>
      <c r="BE127" s="86"/>
      <c r="BF127" s="86"/>
      <c r="BG127" s="86"/>
      <c r="BH127" s="86"/>
      <c r="BI127" s="86"/>
      <c r="BJ127" s="86"/>
      <c r="BK127" s="86"/>
      <c r="BL127" s="87"/>
      <c r="BM127" s="85" t="s">
        <v>411</v>
      </c>
      <c r="BN127" s="86"/>
      <c r="BO127" s="86"/>
      <c r="BP127" s="86"/>
      <c r="BQ127" s="86"/>
      <c r="BR127" s="86"/>
      <c r="BS127" s="86"/>
      <c r="BT127" s="86"/>
      <c r="BU127" s="86"/>
      <c r="BV127" s="86"/>
      <c r="BW127" s="86"/>
      <c r="BX127" s="86"/>
      <c r="BY127" s="86"/>
      <c r="BZ127" s="86"/>
      <c r="CA127" s="87"/>
      <c r="CB127" s="85"/>
      <c r="CC127" s="86"/>
      <c r="CD127" s="86"/>
      <c r="CE127" s="86"/>
      <c r="CF127" s="86"/>
      <c r="CG127" s="87"/>
      <c r="CH127" s="126" t="s">
        <v>412</v>
      </c>
      <c r="CI127" s="127"/>
      <c r="CJ127" s="127"/>
      <c r="CK127" s="128"/>
      <c r="CL127" s="60"/>
      <c r="CM127" s="60"/>
      <c r="CN127" s="60"/>
      <c r="CO127" s="60"/>
      <c r="CP127" s="58"/>
      <c r="CQ127" s="58"/>
      <c r="CR127" s="59"/>
    </row>
    <row r="128" spans="1:96" ht="15" customHeight="1" x14ac:dyDescent="0.15">
      <c r="A128" s="57"/>
      <c r="B128" s="339" t="s">
        <v>139</v>
      </c>
      <c r="C128" s="339"/>
      <c r="D128" s="339"/>
      <c r="E128" s="339"/>
      <c r="F128" s="339"/>
      <c r="G128" s="339"/>
      <c r="H128" s="339"/>
      <c r="I128" s="339"/>
      <c r="J128" s="339"/>
      <c r="K128" s="339"/>
      <c r="L128" s="339"/>
      <c r="M128" s="339"/>
      <c r="N128" s="339"/>
      <c r="O128" s="339"/>
      <c r="P128" s="58"/>
      <c r="Q128" s="58"/>
      <c r="R128" s="58"/>
      <c r="S128" s="58"/>
      <c r="T128" s="58"/>
      <c r="U128" s="58"/>
      <c r="V128" s="58"/>
      <c r="W128" s="58"/>
      <c r="X128" s="58"/>
      <c r="Y128" s="58"/>
      <c r="Z128" s="58"/>
      <c r="AA128" s="58"/>
      <c r="AB128" s="58"/>
      <c r="AC128" s="58"/>
      <c r="AD128" s="58"/>
      <c r="AE128" s="58"/>
      <c r="AF128" s="58"/>
      <c r="AG128" s="85" t="s">
        <v>397</v>
      </c>
      <c r="AH128" s="86"/>
      <c r="AI128" s="86"/>
      <c r="AJ128" s="86"/>
      <c r="AK128" s="86"/>
      <c r="AL128" s="87"/>
      <c r="AM128" s="85" t="s">
        <v>398</v>
      </c>
      <c r="AN128" s="86"/>
      <c r="AO128" s="86"/>
      <c r="AP128" s="86"/>
      <c r="AQ128" s="86"/>
      <c r="AR128" s="86"/>
      <c r="AS128" s="86"/>
      <c r="AT128" s="86"/>
      <c r="AU128" s="87"/>
      <c r="AV128" s="126" t="s">
        <v>399</v>
      </c>
      <c r="AW128" s="127"/>
      <c r="AX128" s="127"/>
      <c r="AY128" s="128"/>
      <c r="AZ128" s="58"/>
      <c r="BA128" s="58"/>
      <c r="BB128" s="23"/>
      <c r="BC128" s="85">
        <v>4</v>
      </c>
      <c r="BD128" s="86"/>
      <c r="BE128" s="86"/>
      <c r="BF128" s="86"/>
      <c r="BG128" s="86"/>
      <c r="BH128" s="86"/>
      <c r="BI128" s="86"/>
      <c r="BJ128" s="86"/>
      <c r="BK128" s="86"/>
      <c r="BL128" s="87"/>
      <c r="BM128" s="85" t="s">
        <v>413</v>
      </c>
      <c r="BN128" s="86"/>
      <c r="BO128" s="86"/>
      <c r="BP128" s="86"/>
      <c r="BQ128" s="86"/>
      <c r="BR128" s="86"/>
      <c r="BS128" s="86"/>
      <c r="BT128" s="86"/>
      <c r="BU128" s="86"/>
      <c r="BV128" s="86"/>
      <c r="BW128" s="86"/>
      <c r="BX128" s="86"/>
      <c r="BY128" s="86"/>
      <c r="BZ128" s="86"/>
      <c r="CA128" s="87"/>
      <c r="CB128" s="85"/>
      <c r="CC128" s="86"/>
      <c r="CD128" s="86"/>
      <c r="CE128" s="86"/>
      <c r="CF128" s="86"/>
      <c r="CG128" s="87"/>
      <c r="CH128" s="126" t="s">
        <v>414</v>
      </c>
      <c r="CI128" s="127"/>
      <c r="CJ128" s="127"/>
      <c r="CK128" s="128"/>
      <c r="CL128" s="60"/>
      <c r="CM128" s="60"/>
      <c r="CN128" s="60"/>
      <c r="CO128" s="60"/>
      <c r="CP128" s="58"/>
      <c r="CQ128" s="58"/>
      <c r="CR128" s="59"/>
    </row>
    <row r="129" spans="1:96" ht="15" customHeight="1" x14ac:dyDescent="0.15">
      <c r="A129" s="57"/>
      <c r="B129" s="339" t="s">
        <v>540</v>
      </c>
      <c r="C129" s="339"/>
      <c r="D129" s="339"/>
      <c r="E129" s="339"/>
      <c r="F129" s="339"/>
      <c r="G129" s="339"/>
      <c r="H129" s="339"/>
      <c r="I129" s="339"/>
      <c r="J129" s="339"/>
      <c r="K129" s="339"/>
      <c r="L129" s="339"/>
      <c r="M129" s="339"/>
      <c r="N129" s="339"/>
      <c r="O129" s="339"/>
      <c r="P129" s="58"/>
      <c r="Q129" s="58"/>
      <c r="R129" s="58"/>
      <c r="S129" s="58"/>
      <c r="T129" s="58"/>
      <c r="U129" s="58"/>
      <c r="V129" s="58"/>
      <c r="W129" s="58"/>
      <c r="X129" s="58"/>
      <c r="Y129" s="58"/>
      <c r="Z129" s="58"/>
      <c r="AA129" s="58"/>
      <c r="AB129" s="58"/>
      <c r="AC129" s="58"/>
      <c r="AD129" s="58"/>
      <c r="AE129" s="58"/>
      <c r="AF129" s="58"/>
      <c r="AG129" s="85" t="s">
        <v>400</v>
      </c>
      <c r="AH129" s="86"/>
      <c r="AI129" s="86"/>
      <c r="AJ129" s="86"/>
      <c r="AK129" s="86"/>
      <c r="AL129" s="87"/>
      <c r="AM129" s="85" t="s">
        <v>401</v>
      </c>
      <c r="AN129" s="86"/>
      <c r="AO129" s="86"/>
      <c r="AP129" s="86"/>
      <c r="AQ129" s="86"/>
      <c r="AR129" s="86"/>
      <c r="AS129" s="86"/>
      <c r="AT129" s="86"/>
      <c r="AU129" s="87"/>
      <c r="AV129" s="126" t="s">
        <v>402</v>
      </c>
      <c r="AW129" s="127"/>
      <c r="AX129" s="127"/>
      <c r="AY129" s="128"/>
      <c r="AZ129" s="58"/>
      <c r="BA129" s="58"/>
      <c r="BB129" s="23"/>
      <c r="BC129" s="85">
        <v>5</v>
      </c>
      <c r="BD129" s="86"/>
      <c r="BE129" s="86"/>
      <c r="BF129" s="86"/>
      <c r="BG129" s="86"/>
      <c r="BH129" s="86"/>
      <c r="BI129" s="86"/>
      <c r="BJ129" s="86"/>
      <c r="BK129" s="86"/>
      <c r="BL129" s="87"/>
      <c r="BM129" s="85" t="s">
        <v>415</v>
      </c>
      <c r="BN129" s="86"/>
      <c r="BO129" s="86"/>
      <c r="BP129" s="86"/>
      <c r="BQ129" s="86"/>
      <c r="BR129" s="86"/>
      <c r="BS129" s="86"/>
      <c r="BT129" s="86"/>
      <c r="BU129" s="86"/>
      <c r="BV129" s="86"/>
      <c r="BW129" s="86"/>
      <c r="BX129" s="86"/>
      <c r="BY129" s="86"/>
      <c r="BZ129" s="86"/>
      <c r="CA129" s="87"/>
      <c r="CB129" s="85" t="s">
        <v>416</v>
      </c>
      <c r="CC129" s="86"/>
      <c r="CD129" s="86"/>
      <c r="CE129" s="86"/>
      <c r="CF129" s="86"/>
      <c r="CG129" s="87"/>
      <c r="CH129" s="126" t="s">
        <v>412</v>
      </c>
      <c r="CI129" s="127"/>
      <c r="CJ129" s="127"/>
      <c r="CK129" s="128"/>
      <c r="CL129" s="60"/>
      <c r="CM129" s="60"/>
      <c r="CN129" s="60"/>
      <c r="CO129" s="60"/>
      <c r="CP129" s="58"/>
      <c r="CQ129" s="58"/>
      <c r="CR129" s="59"/>
    </row>
    <row r="130" spans="1:96" ht="15" customHeight="1" x14ac:dyDescent="0.15">
      <c r="A130" s="57"/>
      <c r="B130" s="339" t="s">
        <v>541</v>
      </c>
      <c r="C130" s="339"/>
      <c r="D130" s="339"/>
      <c r="E130" s="339"/>
      <c r="F130" s="339"/>
      <c r="G130" s="339"/>
      <c r="H130" s="339"/>
      <c r="I130" s="339"/>
      <c r="J130" s="339"/>
      <c r="K130" s="339"/>
      <c r="L130" s="339"/>
      <c r="M130" s="339"/>
      <c r="N130" s="339"/>
      <c r="O130" s="339"/>
      <c r="P130" s="58"/>
      <c r="Q130" s="58"/>
      <c r="R130" s="58"/>
      <c r="S130" s="58"/>
      <c r="T130" s="58"/>
      <c r="U130" s="58"/>
      <c r="V130" s="58"/>
      <c r="W130" s="58"/>
      <c r="X130" s="58"/>
      <c r="Y130" s="58"/>
      <c r="Z130" s="58"/>
      <c r="AA130" s="58"/>
      <c r="AB130" s="58"/>
      <c r="AC130" s="58"/>
      <c r="AD130" s="58"/>
      <c r="AE130" s="58"/>
      <c r="AF130" s="58"/>
      <c r="AG130" s="85" t="s">
        <v>403</v>
      </c>
      <c r="AH130" s="86"/>
      <c r="AI130" s="86"/>
      <c r="AJ130" s="86"/>
      <c r="AK130" s="86"/>
      <c r="AL130" s="87"/>
      <c r="AM130" s="85" t="s">
        <v>156</v>
      </c>
      <c r="AN130" s="86"/>
      <c r="AO130" s="86"/>
      <c r="AP130" s="86"/>
      <c r="AQ130" s="86"/>
      <c r="AR130" s="86"/>
      <c r="AS130" s="86"/>
      <c r="AT130" s="86"/>
      <c r="AU130" s="87"/>
      <c r="AV130" s="126" t="s">
        <v>404</v>
      </c>
      <c r="AW130" s="127"/>
      <c r="AX130" s="127"/>
      <c r="AY130" s="128"/>
      <c r="AZ130" s="58"/>
      <c r="BA130" s="58"/>
      <c r="BB130" s="23"/>
      <c r="BC130" s="85">
        <v>5</v>
      </c>
      <c r="BD130" s="86"/>
      <c r="BE130" s="86"/>
      <c r="BF130" s="86"/>
      <c r="BG130" s="86"/>
      <c r="BH130" s="86"/>
      <c r="BI130" s="86"/>
      <c r="BJ130" s="86"/>
      <c r="BK130" s="86"/>
      <c r="BL130" s="87"/>
      <c r="BM130" s="85" t="s">
        <v>415</v>
      </c>
      <c r="BN130" s="86"/>
      <c r="BO130" s="86"/>
      <c r="BP130" s="86"/>
      <c r="BQ130" s="86"/>
      <c r="BR130" s="86"/>
      <c r="BS130" s="86"/>
      <c r="BT130" s="86"/>
      <c r="BU130" s="86"/>
      <c r="BV130" s="86"/>
      <c r="BW130" s="86"/>
      <c r="BX130" s="86"/>
      <c r="BY130" s="86"/>
      <c r="BZ130" s="86"/>
      <c r="CA130" s="87"/>
      <c r="CB130" s="85" t="s">
        <v>417</v>
      </c>
      <c r="CC130" s="86"/>
      <c r="CD130" s="86"/>
      <c r="CE130" s="86"/>
      <c r="CF130" s="86"/>
      <c r="CG130" s="87"/>
      <c r="CH130" s="126" t="s">
        <v>414</v>
      </c>
      <c r="CI130" s="127"/>
      <c r="CJ130" s="127"/>
      <c r="CK130" s="128"/>
      <c r="CL130" s="60"/>
      <c r="CM130" s="60"/>
      <c r="CN130" s="60"/>
      <c r="CO130" s="60"/>
      <c r="CP130" s="58"/>
      <c r="CQ130" s="58"/>
      <c r="CR130" s="59"/>
    </row>
    <row r="131" spans="1:96" ht="15" customHeight="1" x14ac:dyDescent="0.15">
      <c r="A131" s="57"/>
      <c r="P131" s="58"/>
      <c r="Q131" s="58"/>
      <c r="R131" s="58"/>
      <c r="S131" s="58"/>
      <c r="T131" s="58"/>
      <c r="U131" s="58"/>
      <c r="V131" s="58"/>
      <c r="W131" s="58"/>
      <c r="X131" s="58"/>
      <c r="Y131" s="58"/>
      <c r="Z131" s="58"/>
      <c r="AA131" s="58"/>
      <c r="AB131" s="58"/>
      <c r="AC131" s="58"/>
      <c r="AD131" s="58"/>
      <c r="AE131" s="58"/>
      <c r="AF131" s="58"/>
      <c r="AG131" s="85" t="s">
        <v>405</v>
      </c>
      <c r="AH131" s="86"/>
      <c r="AI131" s="86"/>
      <c r="AJ131" s="86"/>
      <c r="AK131" s="86"/>
      <c r="AL131" s="87"/>
      <c r="AM131" s="85" t="s">
        <v>422</v>
      </c>
      <c r="AN131" s="86"/>
      <c r="AO131" s="86"/>
      <c r="AP131" s="86"/>
      <c r="AQ131" s="86"/>
      <c r="AR131" s="86"/>
      <c r="AS131" s="86"/>
      <c r="AT131" s="86"/>
      <c r="AU131" s="87"/>
      <c r="AV131" s="126" t="s">
        <v>423</v>
      </c>
      <c r="AW131" s="127"/>
      <c r="AX131" s="127"/>
      <c r="AY131" s="128"/>
      <c r="AZ131" s="58"/>
      <c r="BA131" s="58"/>
      <c r="BB131" s="23"/>
      <c r="BC131" s="85">
        <v>6</v>
      </c>
      <c r="BD131" s="86"/>
      <c r="BE131" s="86"/>
      <c r="BF131" s="86"/>
      <c r="BG131" s="86"/>
      <c r="BH131" s="86"/>
      <c r="BI131" s="86"/>
      <c r="BJ131" s="86"/>
      <c r="BK131" s="86"/>
      <c r="BL131" s="87"/>
      <c r="BM131" s="85" t="s">
        <v>418</v>
      </c>
      <c r="BN131" s="86"/>
      <c r="BO131" s="86"/>
      <c r="BP131" s="86"/>
      <c r="BQ131" s="86"/>
      <c r="BR131" s="86"/>
      <c r="BS131" s="86"/>
      <c r="BT131" s="86"/>
      <c r="BU131" s="86"/>
      <c r="BV131" s="86"/>
      <c r="BW131" s="86"/>
      <c r="BX131" s="86"/>
      <c r="BY131" s="86"/>
      <c r="BZ131" s="86"/>
      <c r="CA131" s="87"/>
      <c r="CB131" s="85"/>
      <c r="CC131" s="86"/>
      <c r="CD131" s="86"/>
      <c r="CE131" s="86"/>
      <c r="CF131" s="86"/>
      <c r="CG131" s="87"/>
      <c r="CH131" s="126" t="s">
        <v>412</v>
      </c>
      <c r="CI131" s="127"/>
      <c r="CJ131" s="127"/>
      <c r="CK131" s="128"/>
      <c r="CL131" s="58"/>
      <c r="CM131" s="58"/>
      <c r="CN131" s="58"/>
      <c r="CO131" s="58"/>
      <c r="CP131" s="58"/>
      <c r="CQ131" s="58"/>
      <c r="CR131" s="59"/>
    </row>
    <row r="132" spans="1:96" ht="15" customHeight="1" x14ac:dyDescent="0.15">
      <c r="A132" s="57"/>
      <c r="P132" s="58"/>
      <c r="Q132" s="58"/>
      <c r="R132" s="58"/>
      <c r="S132" s="58"/>
      <c r="T132" s="58"/>
      <c r="U132" s="58"/>
      <c r="V132" s="58"/>
      <c r="W132" s="58"/>
      <c r="X132" s="58"/>
      <c r="Y132" s="58"/>
      <c r="Z132" s="58"/>
      <c r="AA132" s="58"/>
      <c r="AB132" s="58"/>
      <c r="AC132" s="58"/>
      <c r="AD132" s="58"/>
      <c r="AE132" s="58"/>
      <c r="AF132" s="58"/>
      <c r="AG132" s="129" t="s">
        <v>421</v>
      </c>
      <c r="AH132" s="86"/>
      <c r="AI132" s="86"/>
      <c r="AJ132" s="86"/>
      <c r="AK132" s="86"/>
      <c r="AL132" s="87"/>
      <c r="AM132" s="85" t="s">
        <v>433</v>
      </c>
      <c r="AN132" s="86"/>
      <c r="AO132" s="86"/>
      <c r="AP132" s="86"/>
      <c r="AQ132" s="86"/>
      <c r="AR132" s="86"/>
      <c r="AS132" s="86"/>
      <c r="AT132" s="86"/>
      <c r="AU132" s="87"/>
      <c r="AV132" s="126" t="s">
        <v>406</v>
      </c>
      <c r="AW132" s="127"/>
      <c r="AX132" s="127"/>
      <c r="AY132" s="128"/>
      <c r="AZ132" s="58"/>
      <c r="BA132" s="58"/>
      <c r="BB132" s="23"/>
      <c r="BC132" s="85">
        <v>9</v>
      </c>
      <c r="BD132" s="86"/>
      <c r="BE132" s="86"/>
      <c r="BF132" s="86"/>
      <c r="BG132" s="86"/>
      <c r="BH132" s="86"/>
      <c r="BI132" s="86"/>
      <c r="BJ132" s="86"/>
      <c r="BK132" s="86"/>
      <c r="BL132" s="87"/>
      <c r="BM132" s="85" t="s">
        <v>419</v>
      </c>
      <c r="BN132" s="86"/>
      <c r="BO132" s="86"/>
      <c r="BP132" s="86"/>
      <c r="BQ132" s="86"/>
      <c r="BR132" s="86"/>
      <c r="BS132" s="86"/>
      <c r="BT132" s="86"/>
      <c r="BU132" s="86"/>
      <c r="BV132" s="86"/>
      <c r="BW132" s="86"/>
      <c r="BX132" s="86"/>
      <c r="BY132" s="86"/>
      <c r="BZ132" s="86"/>
      <c r="CA132" s="87"/>
      <c r="CB132" s="85"/>
      <c r="CC132" s="86"/>
      <c r="CD132" s="86"/>
      <c r="CE132" s="86"/>
      <c r="CF132" s="86"/>
      <c r="CG132" s="87"/>
      <c r="CH132" s="126">
        <v>0</v>
      </c>
      <c r="CI132" s="127"/>
      <c r="CJ132" s="127"/>
      <c r="CK132" s="128"/>
      <c r="CL132" s="58"/>
      <c r="CM132" s="58"/>
      <c r="CN132" s="58"/>
      <c r="CO132" s="58"/>
      <c r="CP132" s="58"/>
      <c r="CQ132" s="58"/>
      <c r="CR132" s="59"/>
    </row>
    <row r="133" spans="1:96" ht="15" customHeight="1" thickBot="1" x14ac:dyDescent="0.2">
      <c r="A133" s="61"/>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3"/>
    </row>
    <row r="134" spans="1:96" ht="15" customHeight="1" x14ac:dyDescent="0.15">
      <c r="A134" s="396" t="s">
        <v>71</v>
      </c>
      <c r="B134" s="397"/>
      <c r="C134" s="397"/>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c r="AA134" s="397"/>
      <c r="AB134" s="397"/>
      <c r="AC134" s="397"/>
      <c r="AD134" s="397"/>
      <c r="AE134" s="397"/>
      <c r="AF134" s="397"/>
      <c r="AG134" s="397"/>
      <c r="AH134" s="397"/>
      <c r="AI134" s="397"/>
      <c r="AJ134" s="397"/>
      <c r="AK134" s="397"/>
      <c r="AL134" s="397"/>
      <c r="AM134" s="397"/>
      <c r="AN134" s="397"/>
      <c r="AO134" s="397"/>
      <c r="AP134" s="397"/>
      <c r="AQ134" s="397"/>
      <c r="AR134" s="397"/>
      <c r="AS134" s="397"/>
      <c r="AT134" s="397"/>
      <c r="AU134" s="397"/>
      <c r="AV134" s="397"/>
      <c r="AW134" s="397"/>
      <c r="AX134" s="397"/>
      <c r="AY134" s="397"/>
      <c r="AZ134" s="397"/>
      <c r="BA134" s="397"/>
      <c r="BB134" s="397"/>
      <c r="BC134" s="397"/>
      <c r="BD134" s="397"/>
      <c r="BE134" s="397"/>
      <c r="BF134" s="397"/>
      <c r="BG134" s="397"/>
      <c r="BH134" s="397"/>
      <c r="BI134" s="397"/>
      <c r="BJ134" s="397"/>
      <c r="BK134" s="397"/>
      <c r="BL134" s="397"/>
      <c r="BM134" s="397"/>
      <c r="BN134" s="397"/>
      <c r="BO134" s="397"/>
      <c r="BP134" s="397"/>
      <c r="BQ134" s="397"/>
      <c r="BR134" s="397"/>
      <c r="BS134" s="397"/>
      <c r="BT134" s="397"/>
      <c r="BU134" s="397"/>
      <c r="BV134" s="397"/>
      <c r="BW134" s="397"/>
      <c r="BX134" s="397"/>
      <c r="BY134" s="397"/>
      <c r="BZ134" s="397"/>
      <c r="CA134" s="397"/>
      <c r="CB134" s="397"/>
      <c r="CC134" s="397"/>
      <c r="CD134" s="397"/>
      <c r="CE134" s="397"/>
      <c r="CF134" s="397"/>
      <c r="CG134" s="397"/>
      <c r="CH134" s="397"/>
      <c r="CI134" s="397"/>
      <c r="CJ134" s="397"/>
      <c r="CK134" s="397"/>
      <c r="CL134" s="397"/>
      <c r="CM134" s="397"/>
      <c r="CN134" s="397"/>
      <c r="CO134" s="397"/>
      <c r="CP134" s="397"/>
      <c r="CQ134" s="397"/>
      <c r="CR134" s="398"/>
    </row>
    <row r="135" spans="1:96" ht="15" customHeight="1" x14ac:dyDescent="0.15">
      <c r="A135" s="140"/>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41"/>
    </row>
    <row r="136" spans="1:96" ht="15" customHeight="1" x14ac:dyDescent="0.15">
      <c r="A136" s="140"/>
      <c r="B136" s="58" t="s">
        <v>551</v>
      </c>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58" t="s">
        <v>570</v>
      </c>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41"/>
    </row>
    <row r="137" spans="1:96" ht="15" customHeight="1" x14ac:dyDescent="0.15">
      <c r="A137" s="140"/>
      <c r="B137" s="12"/>
      <c r="C137" s="425" t="s">
        <v>535</v>
      </c>
      <c r="D137" s="425"/>
      <c r="E137" s="425"/>
      <c r="F137" s="425"/>
      <c r="G137" s="425"/>
      <c r="H137" s="425"/>
      <c r="I137" s="425"/>
      <c r="J137" s="425"/>
      <c r="K137" s="425"/>
      <c r="L137" s="425"/>
      <c r="M137" s="425"/>
      <c r="N137" s="425"/>
      <c r="O137" s="425"/>
      <c r="P137" s="425"/>
      <c r="Q137" s="425"/>
      <c r="R137" s="425"/>
      <c r="S137" s="425"/>
      <c r="T137" s="425"/>
      <c r="U137" s="425"/>
      <c r="V137" s="425"/>
      <c r="W137" s="425"/>
      <c r="X137" s="425" t="s">
        <v>536</v>
      </c>
      <c r="Y137" s="425"/>
      <c r="Z137" s="425"/>
      <c r="AA137" s="425"/>
      <c r="AB137" s="425"/>
      <c r="AC137" s="425"/>
      <c r="AD137" s="425"/>
      <c r="AE137" s="425"/>
      <c r="AF137" s="425"/>
      <c r="AG137" s="425"/>
      <c r="AH137" s="425"/>
      <c r="AI137" s="425"/>
      <c r="AJ137" s="425"/>
      <c r="AK137" s="425"/>
      <c r="AL137" s="425"/>
      <c r="AM137" s="425"/>
      <c r="AN137" s="425"/>
      <c r="AO137" s="425"/>
      <c r="AP137" s="425"/>
      <c r="AQ137" s="425"/>
      <c r="AR137" s="425"/>
      <c r="AS137" s="425"/>
      <c r="AT137" s="425"/>
      <c r="AU137" s="12"/>
      <c r="AV137" s="12"/>
      <c r="AW137" s="12"/>
      <c r="AX137" s="12" t="s">
        <v>573</v>
      </c>
      <c r="AY137" s="12" t="s">
        <v>571</v>
      </c>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41"/>
    </row>
    <row r="138" spans="1:96" ht="15" customHeight="1" x14ac:dyDescent="0.15">
      <c r="A138" s="140"/>
      <c r="B138" s="12"/>
      <c r="C138" s="426" t="s">
        <v>552</v>
      </c>
      <c r="D138" s="426"/>
      <c r="E138" s="426"/>
      <c r="F138" s="426"/>
      <c r="G138" s="426"/>
      <c r="H138" s="426"/>
      <c r="I138" s="426"/>
      <c r="J138" s="426"/>
      <c r="K138" s="426"/>
      <c r="L138" s="426"/>
      <c r="M138" s="426"/>
      <c r="N138" s="426"/>
      <c r="O138" s="426"/>
      <c r="P138" s="426"/>
      <c r="Q138" s="426"/>
      <c r="R138" s="426"/>
      <c r="S138" s="426"/>
      <c r="T138" s="426"/>
      <c r="U138" s="426"/>
      <c r="V138" s="426"/>
      <c r="W138" s="426"/>
      <c r="X138" s="426" t="s">
        <v>553</v>
      </c>
      <c r="Y138" s="426"/>
      <c r="Z138" s="426"/>
      <c r="AA138" s="426"/>
      <c r="AB138" s="426"/>
      <c r="AC138" s="426"/>
      <c r="AD138" s="426"/>
      <c r="AE138" s="426"/>
      <c r="AF138" s="426"/>
      <c r="AG138" s="426"/>
      <c r="AH138" s="426"/>
      <c r="AI138" s="426"/>
      <c r="AJ138" s="426"/>
      <c r="AK138" s="426"/>
      <c r="AL138" s="426"/>
      <c r="AM138" s="426"/>
      <c r="AN138" s="426"/>
      <c r="AO138" s="426"/>
      <c r="AP138" s="426"/>
      <c r="AQ138" s="426"/>
      <c r="AR138" s="426"/>
      <c r="AS138" s="426"/>
      <c r="AT138" s="426"/>
      <c r="AU138" s="12"/>
      <c r="AV138" s="12"/>
      <c r="AW138" s="12"/>
      <c r="AX138" s="12"/>
      <c r="AY138" s="12" t="s">
        <v>572</v>
      </c>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41"/>
    </row>
    <row r="139" spans="1:96" ht="15" customHeight="1" x14ac:dyDescent="0.15">
      <c r="A139" s="140"/>
      <c r="B139" s="12"/>
      <c r="C139" s="426"/>
      <c r="D139" s="426"/>
      <c r="E139" s="426"/>
      <c r="F139" s="426"/>
      <c r="G139" s="426"/>
      <c r="H139" s="426"/>
      <c r="I139" s="426"/>
      <c r="J139" s="426"/>
      <c r="K139" s="426"/>
      <c r="L139" s="426"/>
      <c r="M139" s="426"/>
      <c r="N139" s="426"/>
      <c r="O139" s="426"/>
      <c r="P139" s="426"/>
      <c r="Q139" s="426"/>
      <c r="R139" s="426"/>
      <c r="S139" s="426"/>
      <c r="T139" s="426"/>
      <c r="U139" s="426"/>
      <c r="V139" s="426"/>
      <c r="W139" s="426"/>
      <c r="X139" s="426"/>
      <c r="Y139" s="426"/>
      <c r="Z139" s="426"/>
      <c r="AA139" s="426"/>
      <c r="AB139" s="426"/>
      <c r="AC139" s="426"/>
      <c r="AD139" s="426"/>
      <c r="AE139" s="426"/>
      <c r="AF139" s="426"/>
      <c r="AG139" s="426"/>
      <c r="AH139" s="426"/>
      <c r="AI139" s="426"/>
      <c r="AJ139" s="426"/>
      <c r="AK139" s="426"/>
      <c r="AL139" s="426"/>
      <c r="AM139" s="426"/>
      <c r="AN139" s="426"/>
      <c r="AO139" s="426"/>
      <c r="AP139" s="426"/>
      <c r="AQ139" s="426"/>
      <c r="AR139" s="426"/>
      <c r="AS139" s="426"/>
      <c r="AT139" s="426"/>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41"/>
    </row>
    <row r="140" spans="1:96" ht="15" customHeight="1" x14ac:dyDescent="0.15">
      <c r="A140" s="140"/>
      <c r="B140" s="12"/>
      <c r="C140" s="426" t="s">
        <v>554</v>
      </c>
      <c r="D140" s="426"/>
      <c r="E140" s="426"/>
      <c r="F140" s="426"/>
      <c r="G140" s="426"/>
      <c r="H140" s="426"/>
      <c r="I140" s="426"/>
      <c r="J140" s="426"/>
      <c r="K140" s="426"/>
      <c r="L140" s="426"/>
      <c r="M140" s="426"/>
      <c r="N140" s="426"/>
      <c r="O140" s="426"/>
      <c r="P140" s="426"/>
      <c r="Q140" s="426"/>
      <c r="R140" s="426"/>
      <c r="S140" s="426"/>
      <c r="T140" s="426"/>
      <c r="U140" s="426"/>
      <c r="V140" s="426"/>
      <c r="W140" s="426"/>
      <c r="X140" s="426" t="s">
        <v>555</v>
      </c>
      <c r="Y140" s="426"/>
      <c r="Z140" s="426"/>
      <c r="AA140" s="426"/>
      <c r="AB140" s="426"/>
      <c r="AC140" s="426"/>
      <c r="AD140" s="426"/>
      <c r="AE140" s="426"/>
      <c r="AF140" s="426"/>
      <c r="AG140" s="426"/>
      <c r="AH140" s="426"/>
      <c r="AI140" s="426"/>
      <c r="AJ140" s="426"/>
      <c r="AK140" s="426"/>
      <c r="AL140" s="426"/>
      <c r="AM140" s="426"/>
      <c r="AN140" s="426"/>
      <c r="AO140" s="426"/>
      <c r="AP140" s="426"/>
      <c r="AQ140" s="426"/>
      <c r="AR140" s="426"/>
      <c r="AS140" s="426"/>
      <c r="AT140" s="426"/>
      <c r="AU140" s="12"/>
      <c r="AV140" s="12"/>
      <c r="AW140" s="12"/>
      <c r="AX140" s="12"/>
      <c r="AY140" s="12" t="s">
        <v>576</v>
      </c>
      <c r="AZ140" s="12"/>
      <c r="BA140" s="12"/>
      <c r="BB140" s="12"/>
      <c r="BC140" s="12"/>
      <c r="BD140" s="12"/>
      <c r="BE140" s="12"/>
      <c r="BF140" s="12"/>
      <c r="BG140" s="12"/>
      <c r="BH140" s="12"/>
      <c r="BI140" s="144"/>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41"/>
    </row>
    <row r="141" spans="1:96" ht="15" customHeight="1" x14ac:dyDescent="0.15">
      <c r="A141" s="140"/>
      <c r="B141" s="12"/>
      <c r="C141" s="426"/>
      <c r="D141" s="426"/>
      <c r="E141" s="426"/>
      <c r="F141" s="426"/>
      <c r="G141" s="426"/>
      <c r="H141" s="426"/>
      <c r="I141" s="426"/>
      <c r="J141" s="426"/>
      <c r="K141" s="426"/>
      <c r="L141" s="426"/>
      <c r="M141" s="426"/>
      <c r="N141" s="426"/>
      <c r="O141" s="426"/>
      <c r="P141" s="426"/>
      <c r="Q141" s="426"/>
      <c r="R141" s="426"/>
      <c r="S141" s="426"/>
      <c r="T141" s="426"/>
      <c r="U141" s="426"/>
      <c r="V141" s="426"/>
      <c r="W141" s="426"/>
      <c r="X141" s="426"/>
      <c r="Y141" s="426"/>
      <c r="Z141" s="426"/>
      <c r="AA141" s="426"/>
      <c r="AB141" s="426"/>
      <c r="AC141" s="426"/>
      <c r="AD141" s="426"/>
      <c r="AE141" s="426"/>
      <c r="AF141" s="426"/>
      <c r="AG141" s="426"/>
      <c r="AH141" s="426"/>
      <c r="AI141" s="426"/>
      <c r="AJ141" s="426"/>
      <c r="AK141" s="426"/>
      <c r="AL141" s="426"/>
      <c r="AM141" s="426"/>
      <c r="AN141" s="426"/>
      <c r="AO141" s="426"/>
      <c r="AP141" s="426"/>
      <c r="AQ141" s="426"/>
      <c r="AR141" s="426"/>
      <c r="AS141" s="426"/>
      <c r="AT141" s="426"/>
      <c r="AU141" s="12"/>
      <c r="AV141" s="12"/>
      <c r="AW141" s="12"/>
      <c r="AX141" s="12"/>
      <c r="AY141" s="12"/>
      <c r="AZ141" s="502">
        <v>5</v>
      </c>
      <c r="BA141" s="503"/>
      <c r="BB141" s="503">
        <v>1</v>
      </c>
      <c r="BC141" s="504"/>
      <c r="BD141" s="12"/>
      <c r="BE141" s="335">
        <v>101250000</v>
      </c>
      <c r="BF141" s="335"/>
      <c r="BG141" s="335"/>
      <c r="BH141" s="335"/>
      <c r="BI141" s="335"/>
      <c r="BJ141" s="335"/>
      <c r="BK141" s="335">
        <v>1010005500</v>
      </c>
      <c r="BL141" s="335"/>
      <c r="BM141" s="335"/>
      <c r="BN141" s="335"/>
      <c r="BO141" s="335"/>
      <c r="BP141" s="335"/>
      <c r="BQ141" s="335">
        <v>2004915</v>
      </c>
      <c r="BR141" s="335"/>
      <c r="BS141" s="335"/>
      <c r="BT141" s="335"/>
      <c r="BU141" s="335"/>
      <c r="BV141" s="335"/>
      <c r="BY141" s="12"/>
      <c r="BZ141" s="12"/>
      <c r="CA141" s="12"/>
      <c r="CB141" s="12"/>
      <c r="CC141" s="12"/>
      <c r="CD141" s="12"/>
      <c r="CE141" s="12"/>
      <c r="CF141" s="12"/>
      <c r="CG141" s="12"/>
      <c r="CH141" s="12"/>
      <c r="CI141" s="12"/>
      <c r="CJ141" s="12"/>
      <c r="CK141" s="12"/>
      <c r="CL141" s="12"/>
      <c r="CM141" s="12"/>
      <c r="CN141" s="12"/>
      <c r="CO141" s="12"/>
      <c r="CP141" s="12"/>
      <c r="CQ141" s="12"/>
      <c r="CR141" s="141"/>
    </row>
    <row r="142" spans="1:96" ht="15" customHeight="1" x14ac:dyDescent="0.15">
      <c r="A142" s="140"/>
      <c r="B142" s="12"/>
      <c r="C142" s="426" t="s">
        <v>556</v>
      </c>
      <c r="D142" s="426"/>
      <c r="E142" s="426"/>
      <c r="F142" s="426"/>
      <c r="G142" s="426"/>
      <c r="H142" s="426"/>
      <c r="I142" s="426"/>
      <c r="J142" s="426"/>
      <c r="K142" s="426"/>
      <c r="L142" s="426"/>
      <c r="M142" s="426"/>
      <c r="N142" s="426"/>
      <c r="O142" s="426"/>
      <c r="P142" s="426"/>
      <c r="Q142" s="426"/>
      <c r="R142" s="426"/>
      <c r="S142" s="426"/>
      <c r="T142" s="426"/>
      <c r="U142" s="426"/>
      <c r="V142" s="426"/>
      <c r="W142" s="426"/>
      <c r="X142" s="426" t="s">
        <v>557</v>
      </c>
      <c r="Y142" s="426"/>
      <c r="Z142" s="426"/>
      <c r="AA142" s="426"/>
      <c r="AB142" s="426"/>
      <c r="AC142" s="426"/>
      <c r="AD142" s="426"/>
      <c r="AE142" s="426"/>
      <c r="AF142" s="426"/>
      <c r="AG142" s="426"/>
      <c r="AH142" s="426"/>
      <c r="AI142" s="426"/>
      <c r="AJ142" s="426"/>
      <c r="AK142" s="426"/>
      <c r="AL142" s="426"/>
      <c r="AM142" s="426"/>
      <c r="AN142" s="426"/>
      <c r="AO142" s="426"/>
      <c r="AP142" s="426"/>
      <c r="AQ142" s="426"/>
      <c r="AR142" s="426"/>
      <c r="AS142" s="426"/>
      <c r="AT142" s="426"/>
      <c r="AU142" s="12"/>
      <c r="AV142" s="12"/>
      <c r="AW142" s="12"/>
      <c r="AX142" s="12"/>
      <c r="AZ142" s="502"/>
      <c r="BA142" s="503"/>
      <c r="BB142" s="503"/>
      <c r="BC142" s="504"/>
      <c r="BD142" s="12"/>
      <c r="BE142" s="335"/>
      <c r="BF142" s="335"/>
      <c r="BG142" s="335"/>
      <c r="BH142" s="335"/>
      <c r="BI142" s="335"/>
      <c r="BJ142" s="335"/>
      <c r="BK142" s="335"/>
      <c r="BL142" s="335"/>
      <c r="BM142" s="335"/>
      <c r="BN142" s="335"/>
      <c r="BO142" s="335"/>
      <c r="BP142" s="335"/>
      <c r="BQ142" s="335"/>
      <c r="BR142" s="335"/>
      <c r="BS142" s="335"/>
      <c r="BT142" s="335"/>
      <c r="BU142" s="335"/>
      <c r="BV142" s="335"/>
      <c r="CQ142" s="12"/>
      <c r="CR142" s="141"/>
    </row>
    <row r="143" spans="1:96" ht="15" customHeight="1" x14ac:dyDescent="0.15">
      <c r="A143" s="140"/>
      <c r="B143" s="12"/>
      <c r="C143" s="426"/>
      <c r="D143" s="426"/>
      <c r="E143" s="426"/>
      <c r="F143" s="426"/>
      <c r="G143" s="426"/>
      <c r="H143" s="426"/>
      <c r="I143" s="426"/>
      <c r="J143" s="426"/>
      <c r="K143" s="426"/>
      <c r="L143" s="426"/>
      <c r="M143" s="426"/>
      <c r="N143" s="426"/>
      <c r="O143" s="426"/>
      <c r="P143" s="426"/>
      <c r="Q143" s="426"/>
      <c r="R143" s="426"/>
      <c r="S143" s="426"/>
      <c r="T143" s="426"/>
      <c r="U143" s="426"/>
      <c r="V143" s="426"/>
      <c r="W143" s="426"/>
      <c r="X143" s="426"/>
      <c r="Y143" s="426"/>
      <c r="Z143" s="426"/>
      <c r="AA143" s="426"/>
      <c r="AB143" s="426"/>
      <c r="AC143" s="426"/>
      <c r="AD143" s="426"/>
      <c r="AE143" s="426"/>
      <c r="AF143" s="426"/>
      <c r="AG143" s="426"/>
      <c r="AH143" s="426"/>
      <c r="AI143" s="426"/>
      <c r="AJ143" s="426"/>
      <c r="AK143" s="426"/>
      <c r="AL143" s="426"/>
      <c r="AM143" s="426"/>
      <c r="AN143" s="426"/>
      <c r="AO143" s="426"/>
      <c r="AP143" s="426"/>
      <c r="AQ143" s="426"/>
      <c r="AR143" s="426"/>
      <c r="AS143" s="426"/>
      <c r="AT143" s="426"/>
      <c r="AU143" s="12"/>
      <c r="AV143" s="12"/>
      <c r="AW143" s="12"/>
      <c r="AX143" s="12"/>
      <c r="AZ143" s="501" t="s">
        <v>548</v>
      </c>
      <c r="BA143" s="501"/>
      <c r="BB143" s="501"/>
      <c r="BC143" s="501"/>
      <c r="BD143" s="12"/>
      <c r="BE143" s="335" t="s">
        <v>574</v>
      </c>
      <c r="BF143" s="335"/>
      <c r="BG143" s="335"/>
      <c r="BH143" s="335"/>
      <c r="BI143" s="335"/>
      <c r="BJ143" s="335"/>
      <c r="BK143" s="335" t="s">
        <v>584</v>
      </c>
      <c r="BL143" s="335"/>
      <c r="BM143" s="335"/>
      <c r="BN143" s="335"/>
      <c r="BO143" s="335"/>
      <c r="BP143" s="335"/>
      <c r="BQ143" s="335" t="s">
        <v>585</v>
      </c>
      <c r="BR143" s="335"/>
      <c r="BS143" s="335"/>
      <c r="BT143" s="335"/>
      <c r="BU143" s="335"/>
      <c r="BV143" s="335"/>
      <c r="CQ143" s="12"/>
      <c r="CR143" s="141"/>
    </row>
    <row r="144" spans="1:96" ht="15" customHeight="1" x14ac:dyDescent="0.15">
      <c r="A144" s="140"/>
      <c r="B144" s="12"/>
      <c r="C144" s="426" t="s">
        <v>558</v>
      </c>
      <c r="D144" s="426"/>
      <c r="E144" s="426"/>
      <c r="F144" s="426"/>
      <c r="G144" s="426"/>
      <c r="H144" s="426"/>
      <c r="I144" s="426"/>
      <c r="J144" s="426"/>
      <c r="K144" s="426"/>
      <c r="L144" s="426"/>
      <c r="M144" s="426"/>
      <c r="N144" s="426"/>
      <c r="O144" s="426"/>
      <c r="P144" s="426"/>
      <c r="Q144" s="426"/>
      <c r="R144" s="426"/>
      <c r="S144" s="426"/>
      <c r="T144" s="426"/>
      <c r="U144" s="426"/>
      <c r="V144" s="426"/>
      <c r="W144" s="426"/>
      <c r="X144" s="426" t="s">
        <v>559</v>
      </c>
      <c r="Y144" s="426"/>
      <c r="Z144" s="426"/>
      <c r="AA144" s="426"/>
      <c r="AB144" s="426"/>
      <c r="AC144" s="426"/>
      <c r="AD144" s="426"/>
      <c r="AE144" s="426"/>
      <c r="AF144" s="426"/>
      <c r="AG144" s="426"/>
      <c r="AH144" s="426"/>
      <c r="AI144" s="426"/>
      <c r="AJ144" s="426"/>
      <c r="AK144" s="426"/>
      <c r="AL144" s="426"/>
      <c r="AM144" s="426"/>
      <c r="AN144" s="426"/>
      <c r="AO144" s="426"/>
      <c r="AP144" s="426"/>
      <c r="AQ144" s="426"/>
      <c r="AR144" s="426"/>
      <c r="AS144" s="426"/>
      <c r="AT144" s="426"/>
      <c r="AU144" s="12"/>
      <c r="AV144" s="12"/>
      <c r="AW144" s="12"/>
      <c r="AX144" s="12"/>
      <c r="CQ144" s="12"/>
      <c r="CR144" s="141"/>
    </row>
    <row r="145" spans="1:98" ht="15" customHeight="1" x14ac:dyDescent="0.15">
      <c r="A145" s="140"/>
      <c r="B145" s="12"/>
      <c r="C145" s="426"/>
      <c r="D145" s="426"/>
      <c r="E145" s="426"/>
      <c r="F145" s="426"/>
      <c r="G145" s="426"/>
      <c r="H145" s="426"/>
      <c r="I145" s="426"/>
      <c r="J145" s="426"/>
      <c r="K145" s="426"/>
      <c r="L145" s="426"/>
      <c r="M145" s="426"/>
      <c r="N145" s="426"/>
      <c r="O145" s="426"/>
      <c r="P145" s="426"/>
      <c r="Q145" s="426"/>
      <c r="R145" s="426"/>
      <c r="S145" s="426"/>
      <c r="T145" s="426"/>
      <c r="U145" s="426"/>
      <c r="V145" s="426"/>
      <c r="W145" s="426"/>
      <c r="X145" s="426"/>
      <c r="Y145" s="426"/>
      <c r="Z145" s="426"/>
      <c r="AA145" s="426"/>
      <c r="AB145" s="426"/>
      <c r="AC145" s="426"/>
      <c r="AD145" s="426"/>
      <c r="AE145" s="426"/>
      <c r="AF145" s="426"/>
      <c r="AG145" s="426"/>
      <c r="AH145" s="426"/>
      <c r="AI145" s="426"/>
      <c r="AJ145" s="426"/>
      <c r="AK145" s="426"/>
      <c r="AL145" s="426"/>
      <c r="AM145" s="426"/>
      <c r="AN145" s="426"/>
      <c r="AO145" s="426"/>
      <c r="AP145" s="426"/>
      <c r="AQ145" s="426"/>
      <c r="AR145" s="426"/>
      <c r="AS145" s="426"/>
      <c r="AT145" s="426"/>
      <c r="AU145" s="12"/>
      <c r="AV145" s="12"/>
      <c r="AW145" s="12"/>
      <c r="AX145" s="12"/>
      <c r="AY145" s="17" t="s">
        <v>575</v>
      </c>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41"/>
    </row>
    <row r="146" spans="1:98" ht="15" customHeight="1" x14ac:dyDescent="0.15">
      <c r="A146" s="140"/>
      <c r="B146" s="12"/>
      <c r="C146" s="426" t="s">
        <v>561</v>
      </c>
      <c r="D146" s="426"/>
      <c r="E146" s="426"/>
      <c r="F146" s="426"/>
      <c r="G146" s="426"/>
      <c r="H146" s="426"/>
      <c r="I146" s="426"/>
      <c r="J146" s="426"/>
      <c r="K146" s="426"/>
      <c r="L146" s="426"/>
      <c r="M146" s="426"/>
      <c r="N146" s="426"/>
      <c r="O146" s="426"/>
      <c r="P146" s="426"/>
      <c r="Q146" s="426"/>
      <c r="R146" s="426"/>
      <c r="S146" s="426"/>
      <c r="T146" s="426"/>
      <c r="U146" s="426"/>
      <c r="V146" s="426"/>
      <c r="W146" s="426"/>
      <c r="X146" s="426" t="s">
        <v>560</v>
      </c>
      <c r="Y146" s="426"/>
      <c r="Z146" s="426"/>
      <c r="AA146" s="426"/>
      <c r="AB146" s="426"/>
      <c r="AC146" s="426"/>
      <c r="AD146" s="426"/>
      <c r="AE146" s="426"/>
      <c r="AF146" s="426"/>
      <c r="AG146" s="426"/>
      <c r="AH146" s="426"/>
      <c r="AI146" s="426"/>
      <c r="AJ146" s="426"/>
      <c r="AK146" s="426"/>
      <c r="AL146" s="426"/>
      <c r="AM146" s="426"/>
      <c r="AN146" s="426"/>
      <c r="AO146" s="426"/>
      <c r="AP146" s="426"/>
      <c r="AQ146" s="426"/>
      <c r="AR146" s="426"/>
      <c r="AS146" s="426"/>
      <c r="AT146" s="426"/>
      <c r="AU146" s="12"/>
      <c r="AV146" s="12"/>
      <c r="AW146" s="12"/>
      <c r="AX146" s="12"/>
      <c r="AY146" s="12"/>
      <c r="AZ146" s="17" t="s">
        <v>589</v>
      </c>
      <c r="BX146" s="12"/>
      <c r="BY146" s="12"/>
      <c r="BZ146" s="12"/>
      <c r="CA146" s="12"/>
      <c r="CB146" s="12"/>
      <c r="CC146" s="12"/>
      <c r="CD146" s="12"/>
      <c r="CE146" s="12"/>
      <c r="CF146" s="12"/>
      <c r="CG146" s="12"/>
      <c r="CH146" s="12"/>
      <c r="CI146" s="12"/>
      <c r="CJ146" s="12"/>
      <c r="CK146" s="12"/>
      <c r="CL146" s="12"/>
      <c r="CM146" s="12"/>
      <c r="CN146" s="12"/>
      <c r="CO146" s="12"/>
      <c r="CP146" s="12"/>
      <c r="CQ146" s="12"/>
      <c r="CR146" s="141"/>
    </row>
    <row r="147" spans="1:98" ht="15" customHeight="1" x14ac:dyDescent="0.15">
      <c r="A147" s="140"/>
      <c r="B147" s="12"/>
      <c r="C147" s="426"/>
      <c r="D147" s="426"/>
      <c r="E147" s="426"/>
      <c r="F147" s="426"/>
      <c r="G147" s="426"/>
      <c r="H147" s="426"/>
      <c r="I147" s="426"/>
      <c r="J147" s="426"/>
      <c r="K147" s="426"/>
      <c r="L147" s="426"/>
      <c r="M147" s="426"/>
      <c r="N147" s="426"/>
      <c r="O147" s="426"/>
      <c r="P147" s="426"/>
      <c r="Q147" s="426"/>
      <c r="R147" s="426"/>
      <c r="S147" s="426"/>
      <c r="T147" s="426"/>
      <c r="U147" s="426"/>
      <c r="V147" s="426"/>
      <c r="W147" s="426"/>
      <c r="X147" s="426"/>
      <c r="Y147" s="426"/>
      <c r="Z147" s="426"/>
      <c r="AA147" s="426"/>
      <c r="AB147" s="426"/>
      <c r="AC147" s="426"/>
      <c r="AD147" s="426"/>
      <c r="AE147" s="426"/>
      <c r="AF147" s="426"/>
      <c r="AG147" s="426"/>
      <c r="AH147" s="426"/>
      <c r="AI147" s="426"/>
      <c r="AJ147" s="426"/>
      <c r="AK147" s="426"/>
      <c r="AL147" s="426"/>
      <c r="AM147" s="426"/>
      <c r="AN147" s="426"/>
      <c r="AO147" s="426"/>
      <c r="AP147" s="426"/>
      <c r="AQ147" s="426"/>
      <c r="AR147" s="426"/>
      <c r="AS147" s="426"/>
      <c r="AT147" s="426"/>
      <c r="AU147" s="12"/>
      <c r="AV147" s="12"/>
      <c r="AW147" s="12"/>
      <c r="AX147" s="12"/>
      <c r="AY147" s="12"/>
      <c r="AZ147" s="498">
        <v>1</v>
      </c>
      <c r="BA147" s="499"/>
      <c r="BB147" s="499">
        <v>0</v>
      </c>
      <c r="BC147" s="499"/>
      <c r="BD147" s="499">
        <v>1</v>
      </c>
      <c r="BE147" s="500"/>
      <c r="BF147" s="498" t="s">
        <v>580</v>
      </c>
      <c r="BG147" s="499"/>
      <c r="BH147" s="499" t="s">
        <v>581</v>
      </c>
      <c r="BI147" s="500"/>
      <c r="BJ147" s="335">
        <v>0</v>
      </c>
      <c r="BK147" s="335"/>
      <c r="BL147" s="502">
        <v>5</v>
      </c>
      <c r="BM147" s="503"/>
      <c r="BN147" s="503">
        <v>1</v>
      </c>
      <c r="BO147" s="504"/>
      <c r="BP147" s="12"/>
      <c r="BQ147" s="335">
        <v>101250000</v>
      </c>
      <c r="BR147" s="335"/>
      <c r="BS147" s="335"/>
      <c r="BT147" s="335"/>
      <c r="BU147" s="335"/>
      <c r="BV147" s="335"/>
      <c r="BW147" s="335">
        <v>1010005500</v>
      </c>
      <c r="BX147" s="335"/>
      <c r="BY147" s="335"/>
      <c r="BZ147" s="335"/>
      <c r="CA147" s="335"/>
      <c r="CB147" s="335"/>
      <c r="CC147" s="335">
        <v>2004915</v>
      </c>
      <c r="CD147" s="335"/>
      <c r="CE147" s="335"/>
      <c r="CF147" s="335"/>
      <c r="CG147" s="335"/>
      <c r="CH147" s="335"/>
      <c r="CQ147" s="12"/>
      <c r="CR147" s="141"/>
    </row>
    <row r="148" spans="1:98" ht="15" customHeight="1" x14ac:dyDescent="0.15">
      <c r="A148" s="140"/>
      <c r="C148" s="426" t="s">
        <v>563</v>
      </c>
      <c r="D148" s="426"/>
      <c r="E148" s="426"/>
      <c r="F148" s="426"/>
      <c r="G148" s="426"/>
      <c r="H148" s="426"/>
      <c r="I148" s="426"/>
      <c r="J148" s="426"/>
      <c r="K148" s="426"/>
      <c r="L148" s="426"/>
      <c r="M148" s="426"/>
      <c r="N148" s="426"/>
      <c r="O148" s="426"/>
      <c r="P148" s="426"/>
      <c r="Q148" s="426"/>
      <c r="R148" s="426"/>
      <c r="S148" s="426"/>
      <c r="T148" s="426"/>
      <c r="U148" s="426"/>
      <c r="V148" s="426"/>
      <c r="W148" s="426"/>
      <c r="X148" s="426" t="s">
        <v>562</v>
      </c>
      <c r="Y148" s="426"/>
      <c r="Z148" s="426"/>
      <c r="AA148" s="426"/>
      <c r="AB148" s="426"/>
      <c r="AC148" s="426"/>
      <c r="AD148" s="426"/>
      <c r="AE148" s="426"/>
      <c r="AF148" s="426"/>
      <c r="AG148" s="426"/>
      <c r="AH148" s="426"/>
      <c r="AI148" s="426"/>
      <c r="AJ148" s="426"/>
      <c r="AK148" s="426"/>
      <c r="AL148" s="426"/>
      <c r="AM148" s="426"/>
      <c r="AN148" s="426"/>
      <c r="AO148" s="426"/>
      <c r="AP148" s="426"/>
      <c r="AQ148" s="426"/>
      <c r="AR148" s="426"/>
      <c r="AS148" s="426"/>
      <c r="AT148" s="426"/>
      <c r="AU148" s="12"/>
      <c r="AV148" s="12"/>
      <c r="AW148" s="12"/>
      <c r="AX148" s="12"/>
      <c r="AY148" s="12"/>
      <c r="AZ148" s="498"/>
      <c r="BA148" s="499"/>
      <c r="BB148" s="499"/>
      <c r="BC148" s="499"/>
      <c r="BD148" s="499"/>
      <c r="BE148" s="500"/>
      <c r="BF148" s="498"/>
      <c r="BG148" s="499"/>
      <c r="BH148" s="499"/>
      <c r="BI148" s="500"/>
      <c r="BJ148" s="335"/>
      <c r="BK148" s="335"/>
      <c r="BL148" s="502"/>
      <c r="BM148" s="503"/>
      <c r="BN148" s="503"/>
      <c r="BO148" s="504"/>
      <c r="BP148" s="12"/>
      <c r="BQ148" s="335"/>
      <c r="BR148" s="335"/>
      <c r="BS148" s="335"/>
      <c r="BT148" s="335"/>
      <c r="BU148" s="335"/>
      <c r="BV148" s="335"/>
      <c r="BW148" s="335"/>
      <c r="BX148" s="335"/>
      <c r="BY148" s="335"/>
      <c r="BZ148" s="335"/>
      <c r="CA148" s="335"/>
      <c r="CB148" s="335"/>
      <c r="CC148" s="335"/>
      <c r="CD148" s="335"/>
      <c r="CE148" s="335"/>
      <c r="CF148" s="335"/>
      <c r="CG148" s="335"/>
      <c r="CH148" s="335"/>
      <c r="CJ148" s="148" t="s">
        <v>582</v>
      </c>
      <c r="CK148" s="149"/>
      <c r="CL148" s="149"/>
      <c r="CM148" s="150"/>
      <c r="CQ148" s="12"/>
      <c r="CR148" s="141"/>
    </row>
    <row r="149" spans="1:98" ht="15" customHeight="1" x14ac:dyDescent="0.15">
      <c r="A149" s="140"/>
      <c r="C149" s="426"/>
      <c r="D149" s="426"/>
      <c r="E149" s="426"/>
      <c r="F149" s="426"/>
      <c r="G149" s="426"/>
      <c r="H149" s="426"/>
      <c r="I149" s="426"/>
      <c r="J149" s="426"/>
      <c r="K149" s="426"/>
      <c r="L149" s="426"/>
      <c r="M149" s="426"/>
      <c r="N149" s="426"/>
      <c r="O149" s="426"/>
      <c r="P149" s="426"/>
      <c r="Q149" s="426"/>
      <c r="R149" s="426"/>
      <c r="S149" s="426"/>
      <c r="T149" s="426"/>
      <c r="U149" s="426"/>
      <c r="V149" s="426"/>
      <c r="W149" s="426"/>
      <c r="X149" s="426"/>
      <c r="Y149" s="426"/>
      <c r="Z149" s="426"/>
      <c r="AA149" s="426"/>
      <c r="AB149" s="426"/>
      <c r="AC149" s="426"/>
      <c r="AD149" s="426"/>
      <c r="AE149" s="426"/>
      <c r="AF149" s="426"/>
      <c r="AG149" s="426"/>
      <c r="AH149" s="426"/>
      <c r="AI149" s="426"/>
      <c r="AJ149" s="426"/>
      <c r="AK149" s="426"/>
      <c r="AL149" s="426"/>
      <c r="AM149" s="426"/>
      <c r="AN149" s="426"/>
      <c r="AO149" s="426"/>
      <c r="AP149" s="426"/>
      <c r="AQ149" s="426"/>
      <c r="AR149" s="426"/>
      <c r="AS149" s="426"/>
      <c r="AT149" s="426"/>
      <c r="AU149" s="12"/>
      <c r="AV149" s="12"/>
      <c r="AW149" s="12"/>
      <c r="AX149" s="12"/>
      <c r="AY149" s="12"/>
      <c r="AZ149" s="501" t="s">
        <v>577</v>
      </c>
      <c r="BA149" s="501"/>
      <c r="BB149" s="501"/>
      <c r="BC149" s="501"/>
      <c r="BD149" s="501"/>
      <c r="BE149" s="501"/>
      <c r="BF149" s="501" t="s">
        <v>578</v>
      </c>
      <c r="BG149" s="501"/>
      <c r="BH149" s="501"/>
      <c r="BI149" s="501"/>
      <c r="BJ149" s="501" t="s">
        <v>579</v>
      </c>
      <c r="BK149" s="501"/>
      <c r="BL149" s="501" t="s">
        <v>548</v>
      </c>
      <c r="BM149" s="501"/>
      <c r="BN149" s="501"/>
      <c r="BO149" s="501"/>
      <c r="BP149" s="12"/>
      <c r="BQ149" s="335" t="s">
        <v>574</v>
      </c>
      <c r="BR149" s="335"/>
      <c r="BS149" s="335"/>
      <c r="BT149" s="335"/>
      <c r="BU149" s="335"/>
      <c r="BV149" s="335"/>
      <c r="BW149" s="335" t="s">
        <v>584</v>
      </c>
      <c r="BX149" s="335"/>
      <c r="BY149" s="335"/>
      <c r="BZ149" s="335"/>
      <c r="CA149" s="335"/>
      <c r="CB149" s="335"/>
      <c r="CC149" s="335" t="s">
        <v>585</v>
      </c>
      <c r="CD149" s="335"/>
      <c r="CE149" s="335"/>
      <c r="CF149" s="335"/>
      <c r="CG149" s="335"/>
      <c r="CH149" s="335"/>
      <c r="CQ149" s="12"/>
      <c r="CR149" s="141"/>
    </row>
    <row r="150" spans="1:98" ht="15" customHeight="1" x14ac:dyDescent="0.15">
      <c r="A150" s="140"/>
      <c r="C150" s="426" t="s">
        <v>565</v>
      </c>
      <c r="D150" s="426"/>
      <c r="E150" s="426"/>
      <c r="F150" s="426"/>
      <c r="G150" s="426"/>
      <c r="H150" s="426"/>
      <c r="I150" s="426"/>
      <c r="J150" s="426"/>
      <c r="K150" s="426"/>
      <c r="L150" s="426"/>
      <c r="M150" s="426"/>
      <c r="N150" s="426"/>
      <c r="O150" s="426"/>
      <c r="P150" s="426"/>
      <c r="Q150" s="426"/>
      <c r="R150" s="426"/>
      <c r="S150" s="426"/>
      <c r="T150" s="426"/>
      <c r="U150" s="426"/>
      <c r="V150" s="426"/>
      <c r="W150" s="426"/>
      <c r="X150" s="426" t="s">
        <v>566</v>
      </c>
      <c r="Y150" s="426"/>
      <c r="Z150" s="426"/>
      <c r="AA150" s="426"/>
      <c r="AB150" s="426"/>
      <c r="AC150" s="426"/>
      <c r="AD150" s="426"/>
      <c r="AE150" s="426"/>
      <c r="AF150" s="426"/>
      <c r="AG150" s="426"/>
      <c r="AH150" s="426"/>
      <c r="AI150" s="426"/>
      <c r="AJ150" s="426"/>
      <c r="AK150" s="426"/>
      <c r="AL150" s="426"/>
      <c r="AM150" s="426"/>
      <c r="AN150" s="426"/>
      <c r="AO150" s="426"/>
      <c r="AP150" s="426"/>
      <c r="AQ150" s="426"/>
      <c r="AR150" s="426"/>
      <c r="AS150" s="426"/>
      <c r="AT150" s="426"/>
      <c r="AU150" s="12"/>
      <c r="AV150" s="12"/>
      <c r="AW150" s="12"/>
      <c r="AX150" s="12"/>
      <c r="AY150" s="12"/>
      <c r="BX150" s="12"/>
      <c r="BY150" s="12"/>
      <c r="BZ150" s="12"/>
      <c r="CA150" s="12"/>
      <c r="CB150" s="12"/>
      <c r="CC150" s="12"/>
      <c r="CD150" s="12"/>
      <c r="CE150" s="12"/>
      <c r="CF150" s="12"/>
      <c r="CG150" s="12"/>
      <c r="CH150" s="12"/>
      <c r="CI150" s="12"/>
      <c r="CJ150" s="12"/>
      <c r="CK150" s="12"/>
      <c r="CL150" s="12"/>
      <c r="CM150" s="12"/>
      <c r="CN150" s="12"/>
      <c r="CO150" s="12"/>
      <c r="CP150" s="12"/>
      <c r="CQ150" s="12"/>
      <c r="CR150" s="141"/>
    </row>
    <row r="151" spans="1:98" ht="15" customHeight="1" x14ac:dyDescent="0.15">
      <c r="A151" s="140"/>
      <c r="C151" s="426"/>
      <c r="D151" s="426"/>
      <c r="E151" s="426"/>
      <c r="F151" s="426"/>
      <c r="G151" s="426"/>
      <c r="H151" s="426"/>
      <c r="I151" s="426"/>
      <c r="J151" s="426"/>
      <c r="K151" s="426"/>
      <c r="L151" s="426"/>
      <c r="M151" s="426"/>
      <c r="N151" s="426"/>
      <c r="O151" s="426"/>
      <c r="P151" s="426"/>
      <c r="Q151" s="426"/>
      <c r="R151" s="426"/>
      <c r="S151" s="426"/>
      <c r="T151" s="426"/>
      <c r="U151" s="426"/>
      <c r="V151" s="426"/>
      <c r="W151" s="426"/>
      <c r="X151" s="426"/>
      <c r="Y151" s="426"/>
      <c r="Z151" s="426"/>
      <c r="AA151" s="426"/>
      <c r="AB151" s="426"/>
      <c r="AC151" s="426"/>
      <c r="AD151" s="426"/>
      <c r="AE151" s="426"/>
      <c r="AF151" s="426"/>
      <c r="AG151" s="426"/>
      <c r="AH151" s="426"/>
      <c r="AI151" s="426"/>
      <c r="AJ151" s="426"/>
      <c r="AK151" s="426"/>
      <c r="AL151" s="426"/>
      <c r="AM151" s="426"/>
      <c r="AN151" s="426"/>
      <c r="AO151" s="426"/>
      <c r="AP151" s="426"/>
      <c r="AQ151" s="426"/>
      <c r="AR151" s="426"/>
      <c r="AS151" s="426"/>
      <c r="AT151" s="426"/>
      <c r="AU151" s="12"/>
      <c r="AV151" s="12"/>
      <c r="AW151" s="12"/>
      <c r="AX151" s="12"/>
      <c r="AY151" s="12"/>
      <c r="AZ151" s="17" t="s">
        <v>589</v>
      </c>
      <c r="BX151" s="12"/>
      <c r="BY151" s="12"/>
      <c r="BZ151" s="12"/>
      <c r="CA151" s="12"/>
      <c r="CB151" s="12"/>
      <c r="CC151" s="12"/>
      <c r="CD151" s="12"/>
      <c r="CE151" s="12"/>
      <c r="CF151" s="12"/>
      <c r="CG151" s="12"/>
      <c r="CH151" s="12"/>
      <c r="CI151" s="12"/>
      <c r="CJ151" s="12"/>
      <c r="CK151" s="12"/>
      <c r="CL151" s="12"/>
      <c r="CM151" s="12"/>
      <c r="CQ151" s="12"/>
      <c r="CR151" s="141"/>
    </row>
    <row r="152" spans="1:98" ht="15" customHeight="1" x14ac:dyDescent="0.15">
      <c r="A152" s="140"/>
      <c r="C152" s="426" t="s">
        <v>568</v>
      </c>
      <c r="D152" s="426"/>
      <c r="E152" s="426"/>
      <c r="F152" s="426"/>
      <c r="G152" s="426"/>
      <c r="H152" s="426"/>
      <c r="I152" s="426"/>
      <c r="J152" s="426"/>
      <c r="K152" s="426"/>
      <c r="L152" s="426"/>
      <c r="M152" s="426"/>
      <c r="N152" s="426"/>
      <c r="O152" s="426"/>
      <c r="P152" s="426"/>
      <c r="Q152" s="426"/>
      <c r="R152" s="426"/>
      <c r="S152" s="426"/>
      <c r="T152" s="426"/>
      <c r="U152" s="426"/>
      <c r="V152" s="426"/>
      <c r="W152" s="426"/>
      <c r="X152" s="426" t="s">
        <v>567</v>
      </c>
      <c r="Y152" s="426"/>
      <c r="Z152" s="426"/>
      <c r="AA152" s="426"/>
      <c r="AB152" s="426"/>
      <c r="AC152" s="426"/>
      <c r="AD152" s="426"/>
      <c r="AE152" s="426"/>
      <c r="AF152" s="426"/>
      <c r="AG152" s="426"/>
      <c r="AH152" s="426"/>
      <c r="AI152" s="426"/>
      <c r="AJ152" s="426"/>
      <c r="AK152" s="426"/>
      <c r="AL152" s="426"/>
      <c r="AM152" s="426"/>
      <c r="AN152" s="426"/>
      <c r="AO152" s="426"/>
      <c r="AP152" s="426"/>
      <c r="AQ152" s="426"/>
      <c r="AR152" s="426"/>
      <c r="AS152" s="426"/>
      <c r="AT152" s="426"/>
      <c r="AU152" s="12"/>
      <c r="AV152" s="12"/>
      <c r="AW152" s="12"/>
      <c r="AX152" s="12"/>
      <c r="AY152" s="12"/>
      <c r="AZ152" s="498">
        <v>1</v>
      </c>
      <c r="BA152" s="499"/>
      <c r="BB152" s="499">
        <v>0</v>
      </c>
      <c r="BC152" s="499"/>
      <c r="BD152" s="499">
        <v>1</v>
      </c>
      <c r="BE152" s="500"/>
      <c r="BF152" s="498" t="s">
        <v>580</v>
      </c>
      <c r="BG152" s="499"/>
      <c r="BH152" s="499" t="s">
        <v>581</v>
      </c>
      <c r="BI152" s="500"/>
      <c r="BJ152" s="335">
        <v>0</v>
      </c>
      <c r="BK152" s="335"/>
      <c r="BL152" s="502">
        <v>5</v>
      </c>
      <c r="BM152" s="503"/>
      <c r="BN152" s="503">
        <v>2</v>
      </c>
      <c r="BO152" s="504"/>
      <c r="BP152" s="12"/>
      <c r="BQ152" s="335">
        <v>101250000</v>
      </c>
      <c r="BR152" s="335"/>
      <c r="BS152" s="335"/>
      <c r="BT152" s="335"/>
      <c r="BU152" s="335"/>
      <c r="BV152" s="335"/>
      <c r="BW152" s="335">
        <v>1010005500</v>
      </c>
      <c r="BX152" s="335"/>
      <c r="BY152" s="335"/>
      <c r="BZ152" s="335"/>
      <c r="CA152" s="335"/>
      <c r="CB152" s="335"/>
      <c r="CC152" s="335">
        <v>2004915</v>
      </c>
      <c r="CD152" s="335"/>
      <c r="CE152" s="335"/>
      <c r="CF152" s="335"/>
      <c r="CG152" s="335"/>
      <c r="CH152" s="335"/>
      <c r="CQ152" s="12"/>
      <c r="CR152" s="141"/>
    </row>
    <row r="153" spans="1:98" ht="15" customHeight="1" x14ac:dyDescent="0.15">
      <c r="A153" s="140"/>
      <c r="C153" s="426"/>
      <c r="D153" s="426"/>
      <c r="E153" s="426"/>
      <c r="F153" s="426"/>
      <c r="G153" s="426"/>
      <c r="H153" s="426"/>
      <c r="I153" s="426"/>
      <c r="J153" s="426"/>
      <c r="K153" s="426"/>
      <c r="L153" s="426"/>
      <c r="M153" s="426"/>
      <c r="N153" s="426"/>
      <c r="O153" s="426"/>
      <c r="P153" s="426"/>
      <c r="Q153" s="426"/>
      <c r="R153" s="426"/>
      <c r="S153" s="426"/>
      <c r="T153" s="426"/>
      <c r="U153" s="426"/>
      <c r="V153" s="426"/>
      <c r="W153" s="426"/>
      <c r="X153" s="426"/>
      <c r="Y153" s="426"/>
      <c r="Z153" s="426"/>
      <c r="AA153" s="426"/>
      <c r="AB153" s="426"/>
      <c r="AC153" s="426"/>
      <c r="AD153" s="426"/>
      <c r="AE153" s="426"/>
      <c r="AF153" s="426"/>
      <c r="AG153" s="426"/>
      <c r="AH153" s="426"/>
      <c r="AI153" s="426"/>
      <c r="AJ153" s="426"/>
      <c r="AK153" s="426"/>
      <c r="AL153" s="426"/>
      <c r="AM153" s="426"/>
      <c r="AN153" s="426"/>
      <c r="AO153" s="426"/>
      <c r="AP153" s="426"/>
      <c r="AQ153" s="426"/>
      <c r="AR153" s="426"/>
      <c r="AS153" s="426"/>
      <c r="AT153" s="426"/>
      <c r="AU153" s="12"/>
      <c r="AV153" s="12"/>
      <c r="AW153" s="12"/>
      <c r="AX153" s="12"/>
      <c r="AY153" s="12"/>
      <c r="AZ153" s="498"/>
      <c r="BA153" s="499"/>
      <c r="BB153" s="499"/>
      <c r="BC153" s="499"/>
      <c r="BD153" s="499"/>
      <c r="BE153" s="500"/>
      <c r="BF153" s="498"/>
      <c r="BG153" s="499"/>
      <c r="BH153" s="499"/>
      <c r="BI153" s="500"/>
      <c r="BJ153" s="335"/>
      <c r="BK153" s="335"/>
      <c r="BL153" s="502"/>
      <c r="BM153" s="503"/>
      <c r="BN153" s="503"/>
      <c r="BO153" s="504"/>
      <c r="BP153" s="12"/>
      <c r="BQ153" s="335"/>
      <c r="BR153" s="335"/>
      <c r="BS153" s="335"/>
      <c r="BT153" s="335"/>
      <c r="BU153" s="335"/>
      <c r="BV153" s="335"/>
      <c r="BW153" s="335"/>
      <c r="BX153" s="335"/>
      <c r="BY153" s="335"/>
      <c r="BZ153" s="335"/>
      <c r="CA153" s="335"/>
      <c r="CB153" s="335"/>
      <c r="CC153" s="335"/>
      <c r="CD153" s="335"/>
      <c r="CE153" s="335"/>
      <c r="CF153" s="335"/>
      <c r="CG153" s="335"/>
      <c r="CH153" s="335"/>
      <c r="CJ153" s="145" t="s">
        <v>583</v>
      </c>
      <c r="CK153" s="146"/>
      <c r="CL153" s="146"/>
      <c r="CM153" s="147"/>
      <c r="CQ153" s="12"/>
      <c r="CR153" s="141"/>
    </row>
    <row r="154" spans="1:98" ht="15" customHeight="1" x14ac:dyDescent="0.15">
      <c r="A154" s="140"/>
      <c r="C154" s="58" t="s">
        <v>564</v>
      </c>
      <c r="D154" s="58"/>
      <c r="E154" s="58"/>
      <c r="F154" s="58"/>
      <c r="G154" s="58"/>
      <c r="H154" s="58"/>
      <c r="I154" s="58"/>
      <c r="J154" s="23"/>
      <c r="K154" s="23"/>
      <c r="L154" s="23"/>
      <c r="M154" s="23"/>
      <c r="N154" s="23"/>
      <c r="O154" s="23"/>
      <c r="P154" s="23"/>
      <c r="Q154" s="23"/>
      <c r="R154" s="23"/>
      <c r="S154" s="23"/>
      <c r="T154" s="23"/>
      <c r="U154" s="23"/>
      <c r="V154" s="12"/>
      <c r="W154" s="12"/>
      <c r="X154" s="12"/>
      <c r="Y154" s="12"/>
      <c r="Z154" s="12"/>
      <c r="AA154" s="12"/>
      <c r="AB154" s="12"/>
      <c r="AC154" s="12"/>
      <c r="AD154" s="12"/>
      <c r="AE154" s="12"/>
      <c r="AF154" s="12"/>
      <c r="AG154" s="12"/>
      <c r="AH154" s="12"/>
      <c r="AI154" s="12"/>
      <c r="AU154" s="12"/>
      <c r="AV154" s="12"/>
      <c r="AW154" s="12"/>
      <c r="AX154" s="12"/>
      <c r="AZ154" s="501" t="s">
        <v>577</v>
      </c>
      <c r="BA154" s="501"/>
      <c r="BB154" s="501"/>
      <c r="BC154" s="501"/>
      <c r="BD154" s="501"/>
      <c r="BE154" s="501"/>
      <c r="BF154" s="501" t="s">
        <v>578</v>
      </c>
      <c r="BG154" s="501"/>
      <c r="BH154" s="501"/>
      <c r="BI154" s="501"/>
      <c r="BJ154" s="501" t="s">
        <v>579</v>
      </c>
      <c r="BK154" s="501"/>
      <c r="BL154" s="501" t="s">
        <v>548</v>
      </c>
      <c r="BM154" s="501"/>
      <c r="BN154" s="501"/>
      <c r="BO154" s="501"/>
      <c r="BP154" s="12"/>
      <c r="BQ154" s="335" t="s">
        <v>574</v>
      </c>
      <c r="BR154" s="335"/>
      <c r="BS154" s="335"/>
      <c r="BT154" s="335"/>
      <c r="BU154" s="335"/>
      <c r="BV154" s="335"/>
      <c r="BW154" s="335" t="s">
        <v>584</v>
      </c>
      <c r="BX154" s="335"/>
      <c r="BY154" s="335"/>
      <c r="BZ154" s="335"/>
      <c r="CA154" s="335"/>
      <c r="CB154" s="335"/>
      <c r="CC154" s="335" t="s">
        <v>585</v>
      </c>
      <c r="CD154" s="335"/>
      <c r="CE154" s="335"/>
      <c r="CF154" s="335"/>
      <c r="CG154" s="335"/>
      <c r="CH154" s="335"/>
      <c r="CQ154" s="12"/>
      <c r="CR154" s="141"/>
    </row>
    <row r="155" spans="1:98" ht="15" customHeight="1" x14ac:dyDescent="0.15">
      <c r="A155" s="140"/>
      <c r="C155" s="58" t="s">
        <v>569</v>
      </c>
      <c r="D155" s="58"/>
      <c r="E155" s="58"/>
      <c r="F155" s="58"/>
      <c r="G155" s="58"/>
      <c r="H155" s="58"/>
      <c r="I155" s="58"/>
      <c r="J155" s="23"/>
      <c r="K155" s="23"/>
      <c r="L155" s="23"/>
      <c r="M155" s="23"/>
      <c r="N155" s="23"/>
      <c r="O155" s="23"/>
      <c r="P155" s="23"/>
      <c r="Q155" s="23"/>
      <c r="R155" s="23"/>
      <c r="S155" s="23"/>
      <c r="T155" s="23"/>
      <c r="U155" s="23"/>
      <c r="V155" s="12"/>
      <c r="W155" s="12"/>
      <c r="X155" s="12"/>
      <c r="Y155" s="12"/>
      <c r="Z155" s="12"/>
      <c r="AA155" s="12"/>
      <c r="AB155" s="12"/>
      <c r="AC155" s="12"/>
      <c r="AD155" s="12"/>
      <c r="AE155" s="12"/>
      <c r="AF155" s="12"/>
      <c r="AG155" s="12"/>
      <c r="AH155" s="12"/>
      <c r="AI155" s="12"/>
      <c r="AU155" s="12"/>
      <c r="AV155" s="12"/>
      <c r="AW155" s="12"/>
      <c r="AX155" s="12"/>
      <c r="CQ155" s="12"/>
      <c r="CR155" s="141"/>
    </row>
    <row r="156" spans="1:98" ht="15" customHeight="1" x14ac:dyDescent="0.15">
      <c r="A156" s="140"/>
      <c r="AJ156" s="12"/>
      <c r="AK156" s="12"/>
      <c r="AL156" s="12"/>
      <c r="AM156" s="12"/>
      <c r="AN156" s="12"/>
      <c r="AO156" s="12"/>
      <c r="AP156" s="12"/>
      <c r="AQ156" s="12"/>
      <c r="AR156" s="12"/>
      <c r="AS156" s="12"/>
      <c r="AT156" s="12"/>
      <c r="AU156" s="12"/>
      <c r="AV156" s="12"/>
      <c r="AW156" s="12"/>
      <c r="AX156" s="12" t="s">
        <v>573</v>
      </c>
      <c r="AY156" s="17" t="s">
        <v>523</v>
      </c>
      <c r="CQ156" s="12"/>
      <c r="CR156" s="141"/>
    </row>
    <row r="157" spans="1:98" ht="15" customHeight="1" x14ac:dyDescent="0.15">
      <c r="A157" s="140"/>
      <c r="AJ157" s="12"/>
      <c r="AK157" s="12"/>
      <c r="AL157" s="12"/>
      <c r="AM157" s="12"/>
      <c r="AN157" s="12"/>
      <c r="AO157" s="12"/>
      <c r="AP157" s="12"/>
      <c r="AQ157" s="12"/>
      <c r="AR157" s="12"/>
      <c r="AS157" s="12"/>
      <c r="AT157" s="12"/>
      <c r="AU157" s="12"/>
      <c r="AV157" s="12"/>
      <c r="AW157" s="12"/>
      <c r="AX157" s="12"/>
      <c r="AY157" s="17" t="s">
        <v>549</v>
      </c>
      <c r="CQ157" s="12"/>
      <c r="CR157" s="141"/>
    </row>
    <row r="158" spans="1:98" ht="15" customHeight="1" x14ac:dyDescent="0.15">
      <c r="A158" s="140"/>
      <c r="B158" s="58" t="s">
        <v>601</v>
      </c>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7" t="s">
        <v>550</v>
      </c>
      <c r="CQ158" s="12"/>
      <c r="CR158" s="141"/>
    </row>
    <row r="159" spans="1:98" ht="15" customHeight="1" x14ac:dyDescent="0.15">
      <c r="A159" s="140"/>
      <c r="B159" s="12"/>
      <c r="C159" s="425" t="s">
        <v>602</v>
      </c>
      <c r="D159" s="425"/>
      <c r="E159" s="425"/>
      <c r="F159" s="425"/>
      <c r="G159" s="425"/>
      <c r="H159" s="425"/>
      <c r="I159" s="425"/>
      <c r="J159" s="425"/>
      <c r="K159" s="425"/>
      <c r="L159" s="425"/>
      <c r="M159" s="425"/>
      <c r="N159" s="425"/>
      <c r="O159" s="425"/>
      <c r="P159" s="425"/>
      <c r="Q159" s="425"/>
      <c r="R159" s="425"/>
      <c r="S159" s="425"/>
      <c r="T159" s="425"/>
      <c r="U159" s="425"/>
      <c r="V159" s="425"/>
      <c r="W159" s="425"/>
      <c r="X159" s="425" t="s">
        <v>603</v>
      </c>
      <c r="Y159" s="425"/>
      <c r="Z159" s="425"/>
      <c r="AA159" s="425"/>
      <c r="AB159" s="425"/>
      <c r="AC159" s="425"/>
      <c r="AD159" s="425"/>
      <c r="AE159" s="425"/>
      <c r="AF159" s="425"/>
      <c r="AG159" s="425"/>
      <c r="AH159" s="425"/>
      <c r="AI159" s="425"/>
      <c r="AJ159" s="425"/>
      <c r="AK159" s="425"/>
      <c r="AL159" s="425"/>
      <c r="AM159" s="425"/>
      <c r="AN159" s="425"/>
      <c r="AO159" s="425"/>
      <c r="AP159" s="425"/>
      <c r="AQ159" s="425"/>
      <c r="AR159" s="425"/>
      <c r="AS159" s="425"/>
      <c r="AT159" s="425"/>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41"/>
    </row>
    <row r="160" spans="1:98" ht="15" customHeight="1" x14ac:dyDescent="0.15">
      <c r="A160" s="140"/>
      <c r="C160" s="505" t="s">
        <v>635</v>
      </c>
      <c r="D160" s="505"/>
      <c r="E160" s="505"/>
      <c r="F160" s="505"/>
      <c r="G160" s="505"/>
      <c r="H160" s="505"/>
      <c r="I160" s="505"/>
      <c r="J160" s="505"/>
      <c r="K160" s="505"/>
      <c r="L160" s="505"/>
      <c r="M160" s="505"/>
      <c r="N160" s="505"/>
      <c r="O160" s="505"/>
      <c r="P160" s="505"/>
      <c r="Q160" s="505"/>
      <c r="R160" s="505"/>
      <c r="S160" s="505"/>
      <c r="T160" s="505"/>
      <c r="U160" s="505"/>
      <c r="V160" s="505"/>
      <c r="W160" s="505"/>
      <c r="X160" s="505" t="s">
        <v>606</v>
      </c>
      <c r="Y160" s="505"/>
      <c r="Z160" s="505"/>
      <c r="AA160" s="505"/>
      <c r="AB160" s="505"/>
      <c r="AC160" s="505"/>
      <c r="AD160" s="505"/>
      <c r="AE160" s="505"/>
      <c r="AF160" s="505"/>
      <c r="AG160" s="505"/>
      <c r="AH160" s="505"/>
      <c r="AI160" s="505"/>
      <c r="AJ160" s="505"/>
      <c r="AK160" s="505"/>
      <c r="AL160" s="505"/>
      <c r="AM160" s="505"/>
      <c r="AN160" s="505"/>
      <c r="AO160" s="505"/>
      <c r="AP160" s="505"/>
      <c r="AQ160" s="505"/>
      <c r="AR160" s="505"/>
      <c r="AS160" s="505"/>
      <c r="AT160" s="505"/>
      <c r="AU160" s="12"/>
      <c r="AV160" s="12"/>
      <c r="AW160" s="12"/>
      <c r="AX160" s="12"/>
      <c r="AY160" s="12" t="s">
        <v>576</v>
      </c>
      <c r="AZ160" s="12"/>
      <c r="BA160" s="12"/>
      <c r="BB160" s="12"/>
      <c r="BC160" s="12"/>
      <c r="BD160" s="12"/>
      <c r="BE160" s="12"/>
      <c r="BF160" s="12"/>
      <c r="BG160" s="12"/>
      <c r="BH160" s="12"/>
      <c r="BI160" s="144"/>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41"/>
      <c r="CT160" s="152"/>
    </row>
    <row r="161" spans="1:96" ht="15" customHeight="1" x14ac:dyDescent="0.15">
      <c r="A161" s="140"/>
      <c r="C161" s="505"/>
      <c r="D161" s="505"/>
      <c r="E161" s="505"/>
      <c r="F161" s="505"/>
      <c r="G161" s="505"/>
      <c r="H161" s="505"/>
      <c r="I161" s="505"/>
      <c r="J161" s="505"/>
      <c r="K161" s="505"/>
      <c r="L161" s="505"/>
      <c r="M161" s="505"/>
      <c r="N161" s="505"/>
      <c r="O161" s="505"/>
      <c r="P161" s="505"/>
      <c r="Q161" s="505"/>
      <c r="R161" s="505"/>
      <c r="S161" s="505"/>
      <c r="T161" s="505"/>
      <c r="U161" s="505"/>
      <c r="V161" s="505"/>
      <c r="W161" s="505"/>
      <c r="X161" s="505"/>
      <c r="Y161" s="505"/>
      <c r="Z161" s="505"/>
      <c r="AA161" s="505"/>
      <c r="AB161" s="505"/>
      <c r="AC161" s="505"/>
      <c r="AD161" s="505"/>
      <c r="AE161" s="505"/>
      <c r="AF161" s="505"/>
      <c r="AG161" s="505"/>
      <c r="AH161" s="505"/>
      <c r="AI161" s="505"/>
      <c r="AJ161" s="505"/>
      <c r="AK161" s="505"/>
      <c r="AL161" s="505"/>
      <c r="AM161" s="505"/>
      <c r="AN161" s="505"/>
      <c r="AO161" s="505"/>
      <c r="AP161" s="505"/>
      <c r="AQ161" s="505"/>
      <c r="AR161" s="505"/>
      <c r="AS161" s="505"/>
      <c r="AT161" s="505"/>
      <c r="AU161" s="12"/>
      <c r="AV161" s="12"/>
      <c r="AW161" s="12"/>
      <c r="AX161" s="12"/>
      <c r="AY161" s="12"/>
      <c r="AZ161" s="502">
        <v>5</v>
      </c>
      <c r="BA161" s="503"/>
      <c r="BB161" s="503">
        <v>1</v>
      </c>
      <c r="BC161" s="504"/>
      <c r="BD161" s="12"/>
      <c r="BE161" s="335">
        <v>101250000</v>
      </c>
      <c r="BF161" s="335"/>
      <c r="BG161" s="335"/>
      <c r="BH161" s="335"/>
      <c r="BI161" s="335"/>
      <c r="BJ161" s="335"/>
      <c r="BK161" s="335">
        <v>1010005500</v>
      </c>
      <c r="BL161" s="335"/>
      <c r="BM161" s="335"/>
      <c r="BN161" s="335"/>
      <c r="BO161" s="335"/>
      <c r="BP161" s="335"/>
      <c r="BQ161" s="335"/>
      <c r="BR161" s="335"/>
      <c r="BS161" s="335"/>
      <c r="BT161" s="335"/>
      <c r="BU161" s="335"/>
      <c r="BV161" s="335"/>
      <c r="BY161" s="12"/>
      <c r="BZ161" s="12"/>
      <c r="CA161" s="12"/>
      <c r="CB161" s="12"/>
      <c r="CC161" s="12"/>
      <c r="CD161" s="12"/>
      <c r="CE161" s="12"/>
      <c r="CF161" s="12"/>
      <c r="CG161" s="12"/>
      <c r="CH161" s="12"/>
      <c r="CI161" s="12"/>
      <c r="CJ161" s="12"/>
      <c r="CK161" s="12"/>
      <c r="CL161" s="12"/>
      <c r="CM161" s="12"/>
      <c r="CN161" s="12"/>
      <c r="CO161" s="12"/>
      <c r="CP161" s="12"/>
      <c r="CQ161" s="12"/>
      <c r="CR161" s="141"/>
    </row>
    <row r="162" spans="1:96" ht="15" customHeight="1" x14ac:dyDescent="0.15">
      <c r="A162" s="140"/>
      <c r="C162" s="58"/>
      <c r="D162" s="58"/>
      <c r="E162" s="58"/>
      <c r="F162" s="58"/>
      <c r="G162" s="58"/>
      <c r="H162" s="58"/>
      <c r="I162" s="58"/>
      <c r="J162" s="23"/>
      <c r="K162" s="23"/>
      <c r="L162" s="23"/>
      <c r="M162" s="23"/>
      <c r="N162" s="23"/>
      <c r="O162" s="23"/>
      <c r="P162" s="23"/>
      <c r="Q162" s="23"/>
      <c r="R162" s="23"/>
      <c r="S162" s="23"/>
      <c r="T162" s="23"/>
      <c r="U162" s="23"/>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Z162" s="502"/>
      <c r="BA162" s="503"/>
      <c r="BB162" s="503"/>
      <c r="BC162" s="504"/>
      <c r="BD162" s="12"/>
      <c r="BE162" s="335"/>
      <c r="BF162" s="335"/>
      <c r="BG162" s="335"/>
      <c r="BH162" s="335"/>
      <c r="BI162" s="335"/>
      <c r="BJ162" s="335"/>
      <c r="BK162" s="335"/>
      <c r="BL162" s="335"/>
      <c r="BM162" s="335"/>
      <c r="BN162" s="335"/>
      <c r="BO162" s="335"/>
      <c r="BP162" s="335"/>
      <c r="BQ162" s="335"/>
      <c r="BR162" s="335"/>
      <c r="BS162" s="335"/>
      <c r="BT162" s="335"/>
      <c r="BU162" s="335"/>
      <c r="BV162" s="335"/>
      <c r="CN162" s="12"/>
      <c r="CO162" s="12"/>
      <c r="CP162" s="12"/>
      <c r="CQ162" s="12"/>
      <c r="CR162" s="141"/>
    </row>
    <row r="163" spans="1:96" ht="15" customHeight="1" x14ac:dyDescent="0.15">
      <c r="A163" s="140"/>
      <c r="C163" s="58"/>
      <c r="D163" s="58"/>
      <c r="E163" s="58"/>
      <c r="F163" s="58"/>
      <c r="G163" s="58"/>
      <c r="H163" s="58"/>
      <c r="I163" s="58"/>
      <c r="J163" s="23"/>
      <c r="K163" s="23"/>
      <c r="L163" s="23"/>
      <c r="M163" s="23"/>
      <c r="N163" s="23"/>
      <c r="O163" s="23"/>
      <c r="P163" s="23"/>
      <c r="Q163" s="23"/>
      <c r="R163" s="23"/>
      <c r="S163" s="23"/>
      <c r="T163" s="23"/>
      <c r="U163" s="23"/>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Z163" s="501" t="s">
        <v>548</v>
      </c>
      <c r="BA163" s="501"/>
      <c r="BB163" s="501"/>
      <c r="BC163" s="501"/>
      <c r="BD163" s="12"/>
      <c r="BE163" s="335" t="s">
        <v>574</v>
      </c>
      <c r="BF163" s="335"/>
      <c r="BG163" s="335"/>
      <c r="BH163" s="335"/>
      <c r="BI163" s="335"/>
      <c r="BJ163" s="335"/>
      <c r="BK163" s="335" t="s">
        <v>584</v>
      </c>
      <c r="BL163" s="335"/>
      <c r="BM163" s="335"/>
      <c r="BN163" s="335"/>
      <c r="BO163" s="335"/>
      <c r="BP163" s="335"/>
      <c r="BQ163" s="335" t="s">
        <v>585</v>
      </c>
      <c r="BR163" s="335"/>
      <c r="BS163" s="335"/>
      <c r="BT163" s="335"/>
      <c r="BU163" s="335"/>
      <c r="BV163" s="335"/>
      <c r="CN163" s="12"/>
      <c r="CO163" s="12"/>
      <c r="CP163" s="12"/>
      <c r="CQ163" s="12"/>
      <c r="CR163" s="141"/>
    </row>
    <row r="164" spans="1:96" ht="15" customHeight="1" x14ac:dyDescent="0.15">
      <c r="A164" s="140"/>
      <c r="C164" s="58"/>
      <c r="D164" s="58"/>
      <c r="E164" s="58"/>
      <c r="F164" s="58"/>
      <c r="G164" s="58"/>
      <c r="H164" s="58"/>
      <c r="I164" s="58"/>
      <c r="J164" s="23"/>
      <c r="K164" s="23"/>
      <c r="L164" s="23"/>
      <c r="M164" s="23"/>
      <c r="N164" s="23"/>
      <c r="O164" s="23"/>
      <c r="P164" s="23"/>
      <c r="Q164" s="23"/>
      <c r="R164" s="23"/>
      <c r="S164" s="23"/>
      <c r="T164" s="23"/>
      <c r="U164" s="23"/>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CN164" s="12"/>
      <c r="CO164" s="12"/>
      <c r="CP164" s="12"/>
      <c r="CQ164" s="12"/>
      <c r="CR164" s="141"/>
    </row>
    <row r="165" spans="1:96" ht="15" customHeight="1" x14ac:dyDescent="0.15">
      <c r="A165" s="140"/>
      <c r="C165" s="58"/>
      <c r="D165" s="58"/>
      <c r="E165" s="58"/>
      <c r="F165" s="58"/>
      <c r="G165" s="58"/>
      <c r="H165" s="58"/>
      <c r="I165" s="58"/>
      <c r="J165" s="23"/>
      <c r="K165" s="23"/>
      <c r="L165" s="23"/>
      <c r="M165" s="23"/>
      <c r="N165" s="23"/>
      <c r="O165" s="23"/>
      <c r="P165" s="23"/>
      <c r="Q165" s="23"/>
      <c r="R165" s="23"/>
      <c r="S165" s="23"/>
      <c r="T165" s="23"/>
      <c r="U165" s="23"/>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7" t="s">
        <v>575</v>
      </c>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41"/>
    </row>
    <row r="166" spans="1:96" ht="15" customHeight="1" x14ac:dyDescent="0.15">
      <c r="A166" s="140"/>
      <c r="C166" s="58"/>
      <c r="D166" s="58"/>
      <c r="E166" s="58"/>
      <c r="F166" s="58"/>
      <c r="G166" s="58"/>
      <c r="H166" s="58"/>
      <c r="I166" s="58"/>
      <c r="J166" s="23"/>
      <c r="K166" s="23"/>
      <c r="L166" s="23"/>
      <c r="M166" s="23"/>
      <c r="N166" s="23"/>
      <c r="O166" s="23"/>
      <c r="P166" s="23"/>
      <c r="Q166" s="23"/>
      <c r="R166" s="23"/>
      <c r="S166" s="23"/>
      <c r="T166" s="23"/>
      <c r="U166" s="23"/>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7" t="s">
        <v>589</v>
      </c>
      <c r="BX166" s="12"/>
      <c r="BY166" s="12"/>
      <c r="BZ166" s="12"/>
      <c r="CA166" s="12"/>
      <c r="CB166" s="12"/>
      <c r="CC166" s="12"/>
      <c r="CD166" s="12"/>
      <c r="CE166" s="12"/>
      <c r="CF166" s="12"/>
      <c r="CG166" s="12"/>
      <c r="CH166" s="12"/>
      <c r="CI166" s="12"/>
      <c r="CJ166" s="12"/>
      <c r="CK166" s="12"/>
      <c r="CL166" s="12"/>
      <c r="CM166" s="12"/>
      <c r="CN166" s="12"/>
      <c r="CO166" s="12"/>
      <c r="CP166" s="12"/>
      <c r="CQ166" s="12"/>
      <c r="CR166" s="141"/>
    </row>
    <row r="167" spans="1:96" ht="15" customHeight="1" x14ac:dyDescent="0.15">
      <c r="A167" s="140"/>
      <c r="C167" s="58"/>
      <c r="D167" s="58"/>
      <c r="E167" s="58"/>
      <c r="F167" s="58"/>
      <c r="G167" s="58"/>
      <c r="H167" s="58"/>
      <c r="I167" s="58"/>
      <c r="J167" s="23"/>
      <c r="K167" s="23"/>
      <c r="L167" s="23"/>
      <c r="M167" s="23"/>
      <c r="N167" s="23"/>
      <c r="O167" s="23"/>
      <c r="P167" s="23"/>
      <c r="Q167" s="23"/>
      <c r="R167" s="23"/>
      <c r="S167" s="23"/>
      <c r="T167" s="23"/>
      <c r="U167" s="23"/>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498">
        <v>1</v>
      </c>
      <c r="BA167" s="499"/>
      <c r="BB167" s="499">
        <v>0</v>
      </c>
      <c r="BC167" s="499"/>
      <c r="BD167" s="499">
        <v>1</v>
      </c>
      <c r="BE167" s="500"/>
      <c r="BF167" s="498" t="s">
        <v>580</v>
      </c>
      <c r="BG167" s="499"/>
      <c r="BH167" s="499" t="s">
        <v>581</v>
      </c>
      <c r="BI167" s="500"/>
      <c r="BJ167" s="335">
        <v>0</v>
      </c>
      <c r="BK167" s="335"/>
      <c r="BL167" s="502">
        <v>5</v>
      </c>
      <c r="BM167" s="503"/>
      <c r="BN167" s="503">
        <v>1</v>
      </c>
      <c r="BO167" s="504"/>
      <c r="BP167" s="12"/>
      <c r="BQ167" s="335">
        <v>101250000</v>
      </c>
      <c r="BR167" s="335"/>
      <c r="BS167" s="335"/>
      <c r="BT167" s="335"/>
      <c r="BU167" s="335"/>
      <c r="BV167" s="335"/>
      <c r="BW167" s="335">
        <v>1010005500</v>
      </c>
      <c r="BX167" s="335"/>
      <c r="BY167" s="335"/>
      <c r="BZ167" s="335"/>
      <c r="CA167" s="335"/>
      <c r="CB167" s="335"/>
      <c r="CC167" s="335">
        <v>2004915</v>
      </c>
      <c r="CD167" s="335"/>
      <c r="CE167" s="335"/>
      <c r="CF167" s="335"/>
      <c r="CG167" s="335"/>
      <c r="CH167" s="335"/>
      <c r="CN167" s="12"/>
      <c r="CO167" s="12"/>
      <c r="CP167" s="12"/>
      <c r="CQ167" s="12"/>
      <c r="CR167" s="141"/>
    </row>
    <row r="168" spans="1:96" ht="15" customHeight="1" x14ac:dyDescent="0.15">
      <c r="A168" s="140"/>
      <c r="C168" s="58"/>
      <c r="D168" s="58"/>
      <c r="E168" s="58"/>
      <c r="F168" s="58"/>
      <c r="G168" s="58"/>
      <c r="H168" s="58"/>
      <c r="I168" s="58"/>
      <c r="J168" s="23"/>
      <c r="K168" s="23"/>
      <c r="L168" s="23"/>
      <c r="M168" s="23"/>
      <c r="N168" s="23"/>
      <c r="O168" s="23"/>
      <c r="P168" s="23"/>
      <c r="Q168" s="23"/>
      <c r="R168" s="23"/>
      <c r="S168" s="23"/>
      <c r="T168" s="23"/>
      <c r="U168" s="23"/>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498"/>
      <c r="BA168" s="499"/>
      <c r="BB168" s="499"/>
      <c r="BC168" s="499"/>
      <c r="BD168" s="499"/>
      <c r="BE168" s="500"/>
      <c r="BF168" s="498"/>
      <c r="BG168" s="499"/>
      <c r="BH168" s="499"/>
      <c r="BI168" s="500"/>
      <c r="BJ168" s="335"/>
      <c r="BK168" s="335"/>
      <c r="BL168" s="502"/>
      <c r="BM168" s="503"/>
      <c r="BN168" s="503"/>
      <c r="BO168" s="504"/>
      <c r="BP168" s="12"/>
      <c r="BQ168" s="335"/>
      <c r="BR168" s="335"/>
      <c r="BS168" s="335"/>
      <c r="BT168" s="335"/>
      <c r="BU168" s="335"/>
      <c r="BV168" s="335"/>
      <c r="BW168" s="335"/>
      <c r="BX168" s="335"/>
      <c r="BY168" s="335"/>
      <c r="BZ168" s="335"/>
      <c r="CA168" s="335"/>
      <c r="CB168" s="335"/>
      <c r="CC168" s="335"/>
      <c r="CD168" s="335"/>
      <c r="CE168" s="335"/>
      <c r="CF168" s="335"/>
      <c r="CG168" s="335"/>
      <c r="CH168" s="335"/>
      <c r="CJ168" s="145" t="s">
        <v>583</v>
      </c>
      <c r="CK168" s="146"/>
      <c r="CL168" s="146"/>
      <c r="CM168" s="147"/>
      <c r="CN168" s="12"/>
      <c r="CO168" s="12"/>
      <c r="CP168" s="12"/>
      <c r="CQ168" s="12"/>
      <c r="CR168" s="141"/>
    </row>
    <row r="169" spans="1:96" ht="15" customHeight="1" x14ac:dyDescent="0.15">
      <c r="A169" s="140"/>
      <c r="C169" s="58"/>
      <c r="D169" s="58"/>
      <c r="E169" s="58"/>
      <c r="F169" s="58"/>
      <c r="G169" s="58"/>
      <c r="H169" s="58"/>
      <c r="I169" s="58"/>
      <c r="J169" s="23"/>
      <c r="K169" s="23"/>
      <c r="L169" s="23"/>
      <c r="M169" s="23"/>
      <c r="N169" s="23"/>
      <c r="O169" s="23"/>
      <c r="P169" s="23"/>
      <c r="Q169" s="23"/>
      <c r="R169" s="23"/>
      <c r="S169" s="23"/>
      <c r="T169" s="23"/>
      <c r="U169" s="23"/>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501" t="s">
        <v>577</v>
      </c>
      <c r="BA169" s="501"/>
      <c r="BB169" s="501"/>
      <c r="BC169" s="501"/>
      <c r="BD169" s="501"/>
      <c r="BE169" s="501"/>
      <c r="BF169" s="501" t="s">
        <v>578</v>
      </c>
      <c r="BG169" s="501"/>
      <c r="BH169" s="501"/>
      <c r="BI169" s="501"/>
      <c r="BJ169" s="501" t="s">
        <v>579</v>
      </c>
      <c r="BK169" s="501"/>
      <c r="BL169" s="501" t="s">
        <v>548</v>
      </c>
      <c r="BM169" s="501"/>
      <c r="BN169" s="501"/>
      <c r="BO169" s="501"/>
      <c r="BP169" s="12"/>
      <c r="BQ169" s="335" t="s">
        <v>574</v>
      </c>
      <c r="BR169" s="335"/>
      <c r="BS169" s="335"/>
      <c r="BT169" s="335"/>
      <c r="BU169" s="335"/>
      <c r="BV169" s="335"/>
      <c r="BW169" s="335" t="s">
        <v>584</v>
      </c>
      <c r="BX169" s="335"/>
      <c r="BY169" s="335"/>
      <c r="BZ169" s="335"/>
      <c r="CA169" s="335"/>
      <c r="CB169" s="335"/>
      <c r="CC169" s="335" t="s">
        <v>585</v>
      </c>
      <c r="CD169" s="335"/>
      <c r="CE169" s="335"/>
      <c r="CF169" s="335"/>
      <c r="CG169" s="335"/>
      <c r="CH169" s="335"/>
      <c r="CN169" s="12"/>
      <c r="CO169" s="12"/>
      <c r="CP169" s="12"/>
      <c r="CQ169" s="12"/>
      <c r="CR169" s="141"/>
    </row>
    <row r="170" spans="1:96" ht="15" customHeight="1" x14ac:dyDescent="0.15">
      <c r="A170" s="140"/>
      <c r="C170" s="58"/>
      <c r="D170" s="58"/>
      <c r="E170" s="58"/>
      <c r="F170" s="58"/>
      <c r="G170" s="58"/>
      <c r="H170" s="58"/>
      <c r="I170" s="58"/>
      <c r="J170" s="23"/>
      <c r="K170" s="23"/>
      <c r="L170" s="23"/>
      <c r="M170" s="23"/>
      <c r="N170" s="23"/>
      <c r="O170" s="23"/>
      <c r="P170" s="23"/>
      <c r="Q170" s="23"/>
      <c r="R170" s="23"/>
      <c r="S170" s="23"/>
      <c r="T170" s="23"/>
      <c r="U170" s="23"/>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BX170" s="12"/>
      <c r="BY170" s="12"/>
      <c r="BZ170" s="12"/>
      <c r="CA170" s="12"/>
      <c r="CB170" s="12"/>
      <c r="CC170" s="12"/>
      <c r="CD170" s="12"/>
      <c r="CE170" s="12"/>
      <c r="CF170" s="12"/>
      <c r="CG170" s="12"/>
      <c r="CH170" s="12"/>
      <c r="CI170" s="12"/>
      <c r="CJ170" s="12"/>
      <c r="CK170" s="12"/>
      <c r="CL170" s="12"/>
      <c r="CM170" s="12"/>
      <c r="CN170" s="12"/>
      <c r="CO170" s="12"/>
      <c r="CP170" s="12"/>
      <c r="CQ170" s="12"/>
      <c r="CR170" s="141"/>
    </row>
    <row r="171" spans="1:96" ht="15" customHeight="1" x14ac:dyDescent="0.15">
      <c r="A171" s="140"/>
      <c r="C171" s="58"/>
      <c r="D171" s="58"/>
      <c r="E171" s="58"/>
      <c r="F171" s="58"/>
      <c r="G171" s="58"/>
      <c r="H171" s="58"/>
      <c r="I171" s="58"/>
      <c r="J171" s="23"/>
      <c r="K171" s="23"/>
      <c r="L171" s="23"/>
      <c r="M171" s="23"/>
      <c r="N171" s="23"/>
      <c r="O171" s="23"/>
      <c r="P171" s="23"/>
      <c r="Q171" s="23"/>
      <c r="R171" s="23"/>
      <c r="S171" s="23"/>
      <c r="T171" s="23"/>
      <c r="U171" s="23"/>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7" t="s">
        <v>589</v>
      </c>
      <c r="BX171" s="12"/>
      <c r="BY171" s="12"/>
      <c r="BZ171" s="12"/>
      <c r="CA171" s="12"/>
      <c r="CB171" s="12"/>
      <c r="CC171" s="12"/>
      <c r="CD171" s="12"/>
      <c r="CE171" s="12"/>
      <c r="CF171" s="12"/>
      <c r="CG171" s="12"/>
      <c r="CH171" s="12"/>
      <c r="CI171" s="12"/>
      <c r="CJ171" s="12"/>
      <c r="CK171" s="12"/>
      <c r="CL171" s="12"/>
      <c r="CM171" s="12"/>
      <c r="CN171" s="12"/>
      <c r="CO171" s="12"/>
      <c r="CP171" s="12"/>
      <c r="CQ171" s="12"/>
      <c r="CR171" s="141"/>
    </row>
    <row r="172" spans="1:96" ht="15" customHeight="1" x14ac:dyDescent="0.15">
      <c r="A172" s="140"/>
      <c r="C172" s="58"/>
      <c r="D172" s="58"/>
      <c r="E172" s="58"/>
      <c r="F172" s="58"/>
      <c r="G172" s="58"/>
      <c r="H172" s="58"/>
      <c r="I172" s="58"/>
      <c r="J172" s="23"/>
      <c r="K172" s="23"/>
      <c r="L172" s="23"/>
      <c r="M172" s="23"/>
      <c r="N172" s="23"/>
      <c r="O172" s="23"/>
      <c r="P172" s="23"/>
      <c r="Q172" s="23"/>
      <c r="R172" s="23"/>
      <c r="S172" s="23"/>
      <c r="T172" s="23"/>
      <c r="U172" s="23"/>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498">
        <v>1</v>
      </c>
      <c r="BA172" s="499"/>
      <c r="BB172" s="499">
        <v>0</v>
      </c>
      <c r="BC172" s="499"/>
      <c r="BD172" s="499">
        <v>1</v>
      </c>
      <c r="BE172" s="500"/>
      <c r="BF172" s="498" t="s">
        <v>580</v>
      </c>
      <c r="BG172" s="499"/>
      <c r="BH172" s="499" t="s">
        <v>581</v>
      </c>
      <c r="BI172" s="500"/>
      <c r="BJ172" s="335">
        <v>0</v>
      </c>
      <c r="BK172" s="335"/>
      <c r="BL172" s="502">
        <v>5</v>
      </c>
      <c r="BM172" s="503"/>
      <c r="BN172" s="503">
        <v>2</v>
      </c>
      <c r="BO172" s="504"/>
      <c r="BP172" s="12"/>
      <c r="BQ172" s="335">
        <v>101250000</v>
      </c>
      <c r="BR172" s="335"/>
      <c r="BS172" s="335"/>
      <c r="BT172" s="335"/>
      <c r="BU172" s="335"/>
      <c r="BV172" s="335"/>
      <c r="BW172" s="335">
        <v>1010005500</v>
      </c>
      <c r="BX172" s="335"/>
      <c r="BY172" s="335"/>
      <c r="BZ172" s="335"/>
      <c r="CA172" s="335"/>
      <c r="CB172" s="335"/>
      <c r="CC172" s="335">
        <v>2004915</v>
      </c>
      <c r="CD172" s="335"/>
      <c r="CE172" s="335"/>
      <c r="CF172" s="335"/>
      <c r="CG172" s="335"/>
      <c r="CH172" s="335"/>
      <c r="CN172" s="12"/>
      <c r="CO172" s="12"/>
      <c r="CP172" s="12"/>
      <c r="CQ172" s="12"/>
      <c r="CR172" s="141"/>
    </row>
    <row r="173" spans="1:96" ht="15" customHeight="1" x14ac:dyDescent="0.15">
      <c r="A173" s="140"/>
      <c r="C173" s="58"/>
      <c r="D173" s="58"/>
      <c r="E173" s="58"/>
      <c r="F173" s="58"/>
      <c r="G173" s="58"/>
      <c r="H173" s="58"/>
      <c r="I173" s="58"/>
      <c r="J173" s="23"/>
      <c r="K173" s="23"/>
      <c r="L173" s="23"/>
      <c r="M173" s="23"/>
      <c r="N173" s="23"/>
      <c r="O173" s="23"/>
      <c r="P173" s="23"/>
      <c r="Q173" s="23"/>
      <c r="R173" s="23"/>
      <c r="S173" s="23"/>
      <c r="T173" s="23"/>
      <c r="U173" s="23"/>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498"/>
      <c r="BA173" s="499"/>
      <c r="BB173" s="499"/>
      <c r="BC173" s="499"/>
      <c r="BD173" s="499"/>
      <c r="BE173" s="500"/>
      <c r="BF173" s="498"/>
      <c r="BG173" s="499"/>
      <c r="BH173" s="499"/>
      <c r="BI173" s="500"/>
      <c r="BJ173" s="335"/>
      <c r="BK173" s="335"/>
      <c r="BL173" s="502"/>
      <c r="BM173" s="503"/>
      <c r="BN173" s="503"/>
      <c r="BO173" s="504"/>
      <c r="BP173" s="12"/>
      <c r="BQ173" s="335"/>
      <c r="BR173" s="335"/>
      <c r="BS173" s="335"/>
      <c r="BT173" s="335"/>
      <c r="BU173" s="335"/>
      <c r="BV173" s="335"/>
      <c r="BW173" s="335"/>
      <c r="BX173" s="335"/>
      <c r="BY173" s="335"/>
      <c r="BZ173" s="335"/>
      <c r="CA173" s="335"/>
      <c r="CB173" s="335"/>
      <c r="CC173" s="335"/>
      <c r="CD173" s="335"/>
      <c r="CE173" s="335"/>
      <c r="CF173" s="335"/>
      <c r="CG173" s="335"/>
      <c r="CH173" s="335"/>
      <c r="CJ173" s="148" t="s">
        <v>582</v>
      </c>
      <c r="CK173" s="149"/>
      <c r="CL173" s="149"/>
      <c r="CM173" s="150"/>
      <c r="CN173" s="12"/>
      <c r="CO173" s="12"/>
      <c r="CP173" s="12"/>
      <c r="CQ173" s="12"/>
      <c r="CR173" s="141"/>
    </row>
    <row r="174" spans="1:96" ht="15" customHeight="1" x14ac:dyDescent="0.15">
      <c r="A174" s="140"/>
      <c r="C174" s="58"/>
      <c r="D174" s="58"/>
      <c r="E174" s="58"/>
      <c r="F174" s="58"/>
      <c r="G174" s="58"/>
      <c r="H174" s="58"/>
      <c r="I174" s="58"/>
      <c r="J174" s="23"/>
      <c r="K174" s="23"/>
      <c r="L174" s="23"/>
      <c r="M174" s="23"/>
      <c r="N174" s="23"/>
      <c r="O174" s="23"/>
      <c r="P174" s="23"/>
      <c r="Q174" s="23"/>
      <c r="R174" s="23"/>
      <c r="S174" s="23"/>
      <c r="T174" s="23"/>
      <c r="U174" s="23"/>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Z174" s="501" t="s">
        <v>577</v>
      </c>
      <c r="BA174" s="501"/>
      <c r="BB174" s="501"/>
      <c r="BC174" s="501"/>
      <c r="BD174" s="501"/>
      <c r="BE174" s="501"/>
      <c r="BF174" s="501" t="s">
        <v>578</v>
      </c>
      <c r="BG174" s="501"/>
      <c r="BH174" s="501"/>
      <c r="BI174" s="501"/>
      <c r="BJ174" s="501" t="s">
        <v>579</v>
      </c>
      <c r="BK174" s="501"/>
      <c r="BL174" s="501" t="s">
        <v>548</v>
      </c>
      <c r="BM174" s="501"/>
      <c r="BN174" s="501"/>
      <c r="BO174" s="501"/>
      <c r="BP174" s="12"/>
      <c r="BQ174" s="335" t="s">
        <v>574</v>
      </c>
      <c r="BR174" s="335"/>
      <c r="BS174" s="335"/>
      <c r="BT174" s="335"/>
      <c r="BU174" s="335"/>
      <c r="BV174" s="335"/>
      <c r="BW174" s="335" t="s">
        <v>584</v>
      </c>
      <c r="BX174" s="335"/>
      <c r="BY174" s="335"/>
      <c r="BZ174" s="335"/>
      <c r="CA174" s="335"/>
      <c r="CB174" s="335"/>
      <c r="CC174" s="335" t="s">
        <v>585</v>
      </c>
      <c r="CD174" s="335"/>
      <c r="CE174" s="335"/>
      <c r="CF174" s="335"/>
      <c r="CG174" s="335"/>
      <c r="CH174" s="335"/>
      <c r="CN174" s="12"/>
      <c r="CO174" s="12"/>
      <c r="CP174" s="12"/>
      <c r="CQ174" s="12"/>
      <c r="CR174" s="141"/>
    </row>
    <row r="175" spans="1:96" ht="15" customHeight="1" x14ac:dyDescent="0.15">
      <c r="A175" s="140"/>
      <c r="C175" s="58"/>
      <c r="D175" s="58"/>
      <c r="E175" s="58"/>
      <c r="F175" s="58"/>
      <c r="G175" s="58"/>
      <c r="H175" s="58"/>
      <c r="I175" s="58"/>
      <c r="J175" s="23"/>
      <c r="K175" s="23"/>
      <c r="L175" s="23"/>
      <c r="M175" s="23"/>
      <c r="N175" s="23"/>
      <c r="O175" s="23"/>
      <c r="P175" s="23"/>
      <c r="Q175" s="23"/>
      <c r="R175" s="23"/>
      <c r="S175" s="23"/>
      <c r="T175" s="23"/>
      <c r="U175" s="23"/>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41"/>
    </row>
    <row r="176" spans="1:96" ht="15" customHeight="1" thickBot="1" x14ac:dyDescent="0.2">
      <c r="A176" s="142"/>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c r="BW176" s="28"/>
      <c r="BX176" s="28"/>
      <c r="BY176" s="28"/>
      <c r="BZ176" s="28"/>
      <c r="CA176" s="28"/>
      <c r="CB176" s="28"/>
      <c r="CC176" s="28"/>
      <c r="CD176" s="28"/>
      <c r="CE176" s="28"/>
      <c r="CF176" s="28"/>
      <c r="CG176" s="28"/>
      <c r="CH176" s="28"/>
      <c r="CI176" s="28"/>
      <c r="CJ176" s="28"/>
      <c r="CK176" s="28"/>
      <c r="CL176" s="28"/>
      <c r="CM176" s="28"/>
      <c r="CN176" s="28"/>
      <c r="CO176" s="28"/>
      <c r="CP176" s="28"/>
      <c r="CQ176" s="28"/>
      <c r="CR176" s="143"/>
    </row>
    <row r="177" spans="1:96" ht="15" customHeight="1" x14ac:dyDescent="0.15">
      <c r="A177" s="396" t="s">
        <v>71</v>
      </c>
      <c r="B177" s="397"/>
      <c r="C177" s="397"/>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c r="AA177" s="397"/>
      <c r="AB177" s="397"/>
      <c r="AC177" s="397"/>
      <c r="AD177" s="397"/>
      <c r="AE177" s="397"/>
      <c r="AF177" s="397"/>
      <c r="AG177" s="397"/>
      <c r="AH177" s="397"/>
      <c r="AI177" s="397"/>
      <c r="AJ177" s="397"/>
      <c r="AK177" s="397"/>
      <c r="AL177" s="397"/>
      <c r="AM177" s="397"/>
      <c r="AN177" s="397"/>
      <c r="AO177" s="397"/>
      <c r="AP177" s="397"/>
      <c r="AQ177" s="397"/>
      <c r="AR177" s="397"/>
      <c r="AS177" s="397"/>
      <c r="AT177" s="397"/>
      <c r="AU177" s="397"/>
      <c r="AV177" s="397"/>
      <c r="AW177" s="397"/>
      <c r="AX177" s="397"/>
      <c r="AY177" s="397"/>
      <c r="AZ177" s="397"/>
      <c r="BA177" s="397"/>
      <c r="BB177" s="397"/>
      <c r="BC177" s="397"/>
      <c r="BD177" s="397"/>
      <c r="BE177" s="397"/>
      <c r="BF177" s="397"/>
      <c r="BG177" s="397"/>
      <c r="BH177" s="397"/>
      <c r="BI177" s="397"/>
      <c r="BJ177" s="397"/>
      <c r="BK177" s="397"/>
      <c r="BL177" s="397"/>
      <c r="BM177" s="397"/>
      <c r="BN177" s="397"/>
      <c r="BO177" s="397"/>
      <c r="BP177" s="397"/>
      <c r="BQ177" s="397"/>
      <c r="BR177" s="397"/>
      <c r="BS177" s="397"/>
      <c r="BT177" s="397"/>
      <c r="BU177" s="397"/>
      <c r="BV177" s="397"/>
      <c r="BW177" s="397"/>
      <c r="BX177" s="397"/>
      <c r="BY177" s="397"/>
      <c r="BZ177" s="397"/>
      <c r="CA177" s="397"/>
      <c r="CB177" s="397"/>
      <c r="CC177" s="397"/>
      <c r="CD177" s="397"/>
      <c r="CE177" s="397"/>
      <c r="CF177" s="397"/>
      <c r="CG177" s="397"/>
      <c r="CH177" s="397"/>
      <c r="CI177" s="397"/>
      <c r="CJ177" s="397"/>
      <c r="CK177" s="397"/>
      <c r="CL177" s="397"/>
      <c r="CM177" s="397"/>
      <c r="CN177" s="397"/>
      <c r="CO177" s="397"/>
      <c r="CP177" s="397"/>
      <c r="CQ177" s="397"/>
      <c r="CR177" s="398"/>
    </row>
    <row r="178" spans="1:96" ht="15" customHeight="1" x14ac:dyDescent="0.15">
      <c r="A178" s="115"/>
      <c r="CR178" s="116"/>
    </row>
    <row r="179" spans="1:96" ht="15" customHeight="1" x14ac:dyDescent="0.15">
      <c r="A179" s="115"/>
      <c r="B179" s="58" t="s">
        <v>145</v>
      </c>
      <c r="C179" s="60"/>
      <c r="D179" s="60"/>
      <c r="E179" s="60"/>
      <c r="F179" s="60"/>
      <c r="G179" s="60"/>
      <c r="H179" s="60"/>
      <c r="I179" s="60"/>
      <c r="J179" s="60"/>
      <c r="K179" s="60"/>
      <c r="L179" s="60"/>
      <c r="M179" s="60"/>
      <c r="N179" s="60"/>
      <c r="O179" s="60"/>
      <c r="P179" s="60"/>
      <c r="Q179" s="60"/>
      <c r="R179" s="60"/>
      <c r="S179" s="60"/>
      <c r="T179" s="60"/>
      <c r="U179" s="60"/>
      <c r="CR179" s="116"/>
    </row>
    <row r="180" spans="1:96" ht="15" customHeight="1" thickBot="1" x14ac:dyDescent="0.2">
      <c r="A180" s="115"/>
      <c r="B180" s="58"/>
      <c r="C180" s="58" t="s">
        <v>337</v>
      </c>
      <c r="D180" s="58"/>
      <c r="E180" s="58"/>
      <c r="F180" s="58"/>
      <c r="G180" s="58"/>
      <c r="H180" s="58"/>
      <c r="I180" s="58"/>
      <c r="J180" s="58"/>
      <c r="K180" s="58"/>
      <c r="L180" s="58"/>
      <c r="M180" s="58"/>
      <c r="N180" s="58"/>
      <c r="O180" s="58"/>
      <c r="P180" s="58"/>
      <c r="Q180" s="58"/>
      <c r="R180" s="58"/>
      <c r="S180" s="58"/>
      <c r="T180" s="58"/>
      <c r="U180" s="58"/>
      <c r="W180" s="58" t="s">
        <v>150</v>
      </c>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V180" s="17" t="s">
        <v>340</v>
      </c>
      <c r="BL180" s="58"/>
      <c r="CR180" s="116"/>
    </row>
    <row r="181" spans="1:96" ht="15" customHeight="1" thickBot="1" x14ac:dyDescent="0.2">
      <c r="A181" s="115"/>
      <c r="B181" s="58"/>
      <c r="C181" s="58"/>
      <c r="D181" s="77" t="s">
        <v>303</v>
      </c>
      <c r="E181" s="78"/>
      <c r="F181" s="78"/>
      <c r="G181" s="78"/>
      <c r="H181" s="78"/>
      <c r="I181" s="78"/>
      <c r="J181" s="78"/>
      <c r="K181" s="79"/>
      <c r="L181" s="80"/>
      <c r="M181" s="81"/>
      <c r="N181" s="81"/>
      <c r="O181" s="81"/>
      <c r="P181" s="81"/>
      <c r="Q181" s="81"/>
      <c r="R181" s="81"/>
      <c r="S181" s="82"/>
      <c r="T181" s="430" t="s">
        <v>146</v>
      </c>
      <c r="U181" s="431"/>
      <c r="W181" s="58"/>
      <c r="X181" s="77" t="s">
        <v>72</v>
      </c>
      <c r="Y181" s="78"/>
      <c r="Z181" s="78"/>
      <c r="AA181" s="78"/>
      <c r="AB181" s="78"/>
      <c r="AC181" s="78"/>
      <c r="AD181" s="78"/>
      <c r="AE181" s="79"/>
      <c r="AF181" s="80"/>
      <c r="AG181" s="81"/>
      <c r="AH181" s="81"/>
      <c r="AI181" s="81"/>
      <c r="AJ181" s="81"/>
      <c r="AK181" s="81"/>
      <c r="AL181" s="81"/>
      <c r="AM181" s="81"/>
      <c r="AN181" s="81"/>
      <c r="AO181" s="81"/>
      <c r="AP181" s="81"/>
      <c r="AQ181" s="81"/>
      <c r="AR181" s="81"/>
      <c r="AS181" s="430" t="s">
        <v>146</v>
      </c>
      <c r="AT181" s="431"/>
      <c r="AW181" s="492" t="s">
        <v>331</v>
      </c>
      <c r="AX181" s="493"/>
      <c r="AY181" s="493"/>
      <c r="AZ181" s="493"/>
      <c r="BA181" s="493"/>
      <c r="BB181" s="493"/>
      <c r="BC181" s="493"/>
      <c r="BD181" s="494"/>
      <c r="BE181" s="393"/>
      <c r="BF181" s="394"/>
      <c r="BG181" s="394"/>
      <c r="BH181" s="394"/>
      <c r="BI181" s="394"/>
      <c r="BJ181" s="394"/>
      <c r="BK181" s="394"/>
      <c r="BL181" s="394"/>
      <c r="BM181" s="394"/>
      <c r="BN181" s="394"/>
      <c r="BO181" s="394"/>
      <c r="BP181" s="394"/>
      <c r="BQ181" s="394"/>
      <c r="BR181" s="394"/>
      <c r="BS181" s="395"/>
      <c r="BT181" s="97" t="s">
        <v>341</v>
      </c>
      <c r="BU181" s="98"/>
      <c r="CR181" s="116"/>
    </row>
    <row r="182" spans="1:96" ht="15" customHeight="1" x14ac:dyDescent="0.15">
      <c r="A182" s="115"/>
      <c r="B182" s="58"/>
      <c r="C182" s="58"/>
      <c r="D182" s="58"/>
      <c r="E182" s="58"/>
      <c r="F182" s="58"/>
      <c r="G182" s="58"/>
      <c r="H182" s="58"/>
      <c r="I182" s="60"/>
      <c r="J182" s="60"/>
      <c r="K182" s="60"/>
      <c r="L182" s="88" t="s">
        <v>147</v>
      </c>
      <c r="M182" s="83"/>
      <c r="N182" s="83"/>
      <c r="O182" s="83"/>
      <c r="P182" s="83"/>
      <c r="Q182" s="83"/>
      <c r="R182" s="83"/>
      <c r="S182" s="84"/>
      <c r="T182" s="58"/>
      <c r="U182" s="58"/>
      <c r="W182" s="58"/>
      <c r="X182" s="58"/>
      <c r="Y182" s="58"/>
      <c r="Z182" s="58"/>
      <c r="AA182" s="58"/>
      <c r="AB182" s="58"/>
      <c r="AC182" s="58"/>
      <c r="AD182" s="58"/>
      <c r="AE182" s="58"/>
      <c r="AF182" s="90" t="s">
        <v>152</v>
      </c>
      <c r="AG182" s="108"/>
      <c r="AH182" s="108"/>
      <c r="AI182" s="108"/>
      <c r="AJ182" s="108"/>
      <c r="AK182" s="108"/>
      <c r="AL182" s="108"/>
      <c r="AM182" s="108"/>
      <c r="AN182" s="108"/>
      <c r="AO182" s="108"/>
      <c r="AP182" s="108"/>
      <c r="AQ182" s="108"/>
      <c r="AR182" s="91"/>
      <c r="AS182" s="60"/>
      <c r="AT182" s="60"/>
      <c r="AW182" s="60"/>
      <c r="AX182" s="60"/>
      <c r="AY182" s="60"/>
      <c r="AZ182" s="60"/>
      <c r="BA182" s="58"/>
      <c r="BB182" s="58"/>
      <c r="BC182" s="60"/>
      <c r="BE182" s="130" t="s">
        <v>342</v>
      </c>
      <c r="BF182" s="100"/>
      <c r="BG182" s="101"/>
      <c r="BH182" s="101"/>
      <c r="BI182" s="101"/>
      <c r="BJ182" s="83"/>
      <c r="BK182" s="83"/>
      <c r="BL182" s="83"/>
      <c r="BM182" s="83"/>
      <c r="BN182" s="83"/>
      <c r="BO182" s="83"/>
      <c r="BP182" s="83"/>
      <c r="BQ182" s="83"/>
      <c r="BR182" s="83"/>
      <c r="BS182" s="84"/>
      <c r="BT182" s="58"/>
      <c r="BU182" s="58"/>
      <c r="CR182" s="116"/>
    </row>
    <row r="183" spans="1:96" ht="15" customHeight="1" x14ac:dyDescent="0.15">
      <c r="A183" s="115"/>
      <c r="B183" s="58"/>
      <c r="C183" s="58"/>
      <c r="D183" s="58"/>
      <c r="E183" s="58"/>
      <c r="F183" s="58"/>
      <c r="G183" s="58"/>
      <c r="H183" s="58"/>
      <c r="I183" s="60"/>
      <c r="J183" s="60"/>
      <c r="K183" s="60"/>
      <c r="L183" s="89" t="s">
        <v>148</v>
      </c>
      <c r="M183" s="86"/>
      <c r="N183" s="86"/>
      <c r="O183" s="86"/>
      <c r="P183" s="86"/>
      <c r="Q183" s="86"/>
      <c r="R183" s="86"/>
      <c r="S183" s="87"/>
      <c r="T183" s="58"/>
      <c r="U183" s="58"/>
      <c r="W183" s="58"/>
      <c r="X183" s="58"/>
      <c r="Y183" s="58"/>
      <c r="Z183" s="58"/>
      <c r="AA183" s="58"/>
      <c r="AB183" s="58"/>
      <c r="AC183" s="58"/>
      <c r="AD183" s="58"/>
      <c r="AE183" s="58"/>
      <c r="AF183" s="85" t="s">
        <v>153</v>
      </c>
      <c r="AG183" s="86"/>
      <c r="AH183" s="86"/>
      <c r="AI183" s="86"/>
      <c r="AJ183" s="86"/>
      <c r="AK183" s="86"/>
      <c r="AL183" s="86"/>
      <c r="AM183" s="86"/>
      <c r="AN183" s="86"/>
      <c r="AO183" s="86"/>
      <c r="AP183" s="86"/>
      <c r="AQ183" s="86"/>
      <c r="AR183" s="87"/>
      <c r="AS183" s="60"/>
      <c r="AT183" s="60"/>
      <c r="AW183" s="60"/>
      <c r="AX183" s="60"/>
      <c r="AY183" s="60"/>
      <c r="AZ183" s="60"/>
      <c r="BA183" s="58"/>
      <c r="BB183" s="58"/>
      <c r="BC183" s="60"/>
      <c r="BE183" s="131" t="s">
        <v>343</v>
      </c>
      <c r="BF183" s="103"/>
      <c r="BG183" s="104"/>
      <c r="BH183" s="104"/>
      <c r="BI183" s="104"/>
      <c r="BJ183" s="86"/>
      <c r="BK183" s="86"/>
      <c r="BL183" s="86"/>
      <c r="BM183" s="86"/>
      <c r="BN183" s="86"/>
      <c r="BO183" s="86"/>
      <c r="BP183" s="86"/>
      <c r="BQ183" s="86"/>
      <c r="BR183" s="86"/>
      <c r="BS183" s="87"/>
      <c r="BT183" s="58"/>
      <c r="BU183" s="58"/>
      <c r="CR183" s="116"/>
    </row>
    <row r="184" spans="1:96" ht="15" customHeight="1" x14ac:dyDescent="0.15">
      <c r="A184" s="115"/>
      <c r="B184" s="58"/>
      <c r="C184" s="58"/>
      <c r="D184" s="58"/>
      <c r="E184" s="58"/>
      <c r="F184" s="58"/>
      <c r="G184" s="58"/>
      <c r="H184" s="58"/>
      <c r="I184" s="60"/>
      <c r="J184" s="60"/>
      <c r="K184" s="60"/>
      <c r="L184" s="89" t="s">
        <v>149</v>
      </c>
      <c r="M184" s="86"/>
      <c r="N184" s="86"/>
      <c r="O184" s="86"/>
      <c r="P184" s="86"/>
      <c r="Q184" s="86"/>
      <c r="R184" s="86"/>
      <c r="S184" s="87"/>
      <c r="T184" s="58"/>
      <c r="U184" s="58"/>
      <c r="W184" s="58"/>
      <c r="X184" s="58"/>
      <c r="Y184" s="58"/>
      <c r="Z184" s="58"/>
      <c r="AA184" s="58"/>
      <c r="AB184" s="58"/>
      <c r="AC184" s="58"/>
      <c r="AD184" s="58"/>
      <c r="AE184" s="58"/>
      <c r="AF184" s="74" t="s">
        <v>154</v>
      </c>
      <c r="AG184" s="75"/>
      <c r="AH184" s="75"/>
      <c r="AI184" s="75"/>
      <c r="AJ184" s="75"/>
      <c r="AK184" s="75"/>
      <c r="AL184" s="75"/>
      <c r="AM184" s="75"/>
      <c r="AN184" s="75"/>
      <c r="AO184" s="75"/>
      <c r="AP184" s="75"/>
      <c r="AQ184" s="75"/>
      <c r="AR184" s="76"/>
      <c r="AS184" s="60"/>
      <c r="AT184" s="60"/>
      <c r="AV184" s="58"/>
      <c r="AW184" s="60"/>
      <c r="AX184" s="60"/>
      <c r="AY184" s="60"/>
      <c r="AZ184" s="60"/>
      <c r="BA184" s="58"/>
      <c r="BB184" s="58"/>
      <c r="BC184" s="60"/>
      <c r="BE184" s="131" t="s">
        <v>344</v>
      </c>
      <c r="BF184" s="103"/>
      <c r="BG184" s="104"/>
      <c r="BH184" s="104"/>
      <c r="BI184" s="104"/>
      <c r="BJ184" s="86"/>
      <c r="BK184" s="86"/>
      <c r="BL184" s="86"/>
      <c r="BM184" s="86"/>
      <c r="BN184" s="86"/>
      <c r="BO184" s="86"/>
      <c r="BP184" s="86"/>
      <c r="BQ184" s="86"/>
      <c r="BR184" s="86"/>
      <c r="BS184" s="87"/>
      <c r="BT184" s="58"/>
      <c r="BU184" s="58"/>
      <c r="CR184" s="116"/>
    </row>
    <row r="185" spans="1:96" ht="15" customHeight="1" x14ac:dyDescent="0.15">
      <c r="A185" s="115"/>
      <c r="W185" s="58"/>
      <c r="X185" s="58"/>
      <c r="Y185" s="58"/>
      <c r="Z185" s="58"/>
      <c r="AA185" s="58"/>
      <c r="AB185" s="58"/>
      <c r="AC185" s="58"/>
      <c r="AD185" s="58"/>
      <c r="AE185" s="58"/>
      <c r="AF185" s="74" t="s">
        <v>155</v>
      </c>
      <c r="AG185" s="75"/>
      <c r="AH185" s="75"/>
      <c r="AI185" s="75"/>
      <c r="AJ185" s="75"/>
      <c r="AK185" s="75"/>
      <c r="AL185" s="75"/>
      <c r="AM185" s="75"/>
      <c r="AN185" s="75"/>
      <c r="AO185" s="75"/>
      <c r="AP185" s="75"/>
      <c r="AQ185" s="75"/>
      <c r="AR185" s="76"/>
      <c r="AS185" s="60"/>
      <c r="AT185" s="60"/>
      <c r="AW185" s="60"/>
      <c r="AX185" s="60"/>
      <c r="AY185" s="60"/>
      <c r="AZ185" s="60"/>
      <c r="BA185" s="58"/>
      <c r="BB185" s="58"/>
      <c r="BC185" s="60"/>
      <c r="BE185" s="131" t="s">
        <v>345</v>
      </c>
      <c r="BF185" s="103"/>
      <c r="BG185" s="104"/>
      <c r="BH185" s="104"/>
      <c r="BI185" s="104"/>
      <c r="BJ185" s="86"/>
      <c r="BK185" s="86"/>
      <c r="BL185" s="86"/>
      <c r="BM185" s="86"/>
      <c r="BN185" s="86"/>
      <c r="BO185" s="86"/>
      <c r="BP185" s="86"/>
      <c r="BQ185" s="86"/>
      <c r="BR185" s="86"/>
      <c r="BS185" s="87"/>
      <c r="BT185" s="58"/>
      <c r="BU185" s="58"/>
      <c r="CR185" s="116"/>
    </row>
    <row r="186" spans="1:96" ht="15" customHeight="1" x14ac:dyDescent="0.15">
      <c r="A186" s="115"/>
      <c r="W186" s="58"/>
      <c r="X186" s="58"/>
      <c r="Y186" s="58"/>
      <c r="Z186" s="58"/>
      <c r="AA186" s="58"/>
      <c r="AB186" s="58"/>
      <c r="AC186" s="58"/>
      <c r="AD186" s="58"/>
      <c r="AE186" s="58"/>
      <c r="AF186" s="74" t="s">
        <v>156</v>
      </c>
      <c r="AG186" s="75"/>
      <c r="AH186" s="75"/>
      <c r="AI186" s="75"/>
      <c r="AJ186" s="75"/>
      <c r="AK186" s="75"/>
      <c r="AL186" s="75"/>
      <c r="AM186" s="75"/>
      <c r="AN186" s="75"/>
      <c r="AO186" s="75"/>
      <c r="AP186" s="75"/>
      <c r="AQ186" s="75"/>
      <c r="AR186" s="76"/>
      <c r="AS186" s="60"/>
      <c r="AT186" s="60"/>
      <c r="BE186" s="58" t="s">
        <v>62</v>
      </c>
      <c r="CR186" s="116"/>
    </row>
    <row r="187" spans="1:96" ht="15" customHeight="1" x14ac:dyDescent="0.15">
      <c r="A187" s="115"/>
      <c r="W187" s="58"/>
      <c r="X187" s="58"/>
      <c r="Y187" s="58"/>
      <c r="Z187" s="58"/>
      <c r="AA187" s="58"/>
      <c r="AB187" s="58"/>
      <c r="AC187" s="58"/>
      <c r="AD187" s="58"/>
      <c r="AE187" s="58"/>
      <c r="AF187" s="74" t="s">
        <v>434</v>
      </c>
      <c r="AG187" s="75"/>
      <c r="AH187" s="75"/>
      <c r="AI187" s="75"/>
      <c r="AJ187" s="75"/>
      <c r="AK187" s="75"/>
      <c r="AL187" s="75"/>
      <c r="AM187" s="75"/>
      <c r="AN187" s="75"/>
      <c r="AO187" s="75"/>
      <c r="AP187" s="75"/>
      <c r="AQ187" s="75"/>
      <c r="AR187" s="76"/>
      <c r="AS187" s="60"/>
      <c r="AT187" s="60"/>
      <c r="BE187" s="60" t="s">
        <v>62</v>
      </c>
      <c r="CR187" s="116"/>
    </row>
    <row r="188" spans="1:96" ht="15" customHeight="1" x14ac:dyDescent="0.15">
      <c r="A188" s="115"/>
      <c r="W188" s="58"/>
      <c r="X188" s="58"/>
      <c r="Y188" s="58"/>
      <c r="Z188" s="58"/>
      <c r="AA188" s="58"/>
      <c r="AB188" s="58"/>
      <c r="AC188" s="58"/>
      <c r="AD188" s="58"/>
      <c r="AE188" s="58"/>
      <c r="AF188" s="85" t="s">
        <v>433</v>
      </c>
      <c r="AG188" s="86"/>
      <c r="AH188" s="86"/>
      <c r="AI188" s="86"/>
      <c r="AJ188" s="86"/>
      <c r="AK188" s="86"/>
      <c r="AL188" s="86"/>
      <c r="AM188" s="86"/>
      <c r="AN188" s="86"/>
      <c r="AO188" s="86"/>
      <c r="AP188" s="86"/>
      <c r="AQ188" s="86"/>
      <c r="AR188" s="87"/>
      <c r="AS188" s="58"/>
      <c r="AT188" s="58"/>
      <c r="BE188" s="60" t="s">
        <v>62</v>
      </c>
      <c r="CR188" s="116"/>
    </row>
    <row r="189" spans="1:96" ht="15" customHeight="1" x14ac:dyDescent="0.15">
      <c r="A189" s="115"/>
      <c r="CR189" s="116"/>
    </row>
    <row r="190" spans="1:96" ht="15" customHeight="1" thickBot="1" x14ac:dyDescent="0.2">
      <c r="A190" s="115"/>
      <c r="C190" s="17" t="s">
        <v>467</v>
      </c>
      <c r="S190" s="58"/>
      <c r="CR190" s="116"/>
    </row>
    <row r="191" spans="1:96" ht="15" customHeight="1" thickBot="1" x14ac:dyDescent="0.2">
      <c r="A191" s="115"/>
      <c r="D191" s="492" t="s">
        <v>468</v>
      </c>
      <c r="E191" s="493"/>
      <c r="F191" s="493"/>
      <c r="G191" s="493"/>
      <c r="H191" s="493"/>
      <c r="I191" s="493"/>
      <c r="J191" s="493"/>
      <c r="K191" s="494"/>
      <c r="L191" s="393"/>
      <c r="M191" s="394"/>
      <c r="N191" s="394"/>
      <c r="O191" s="394"/>
      <c r="P191" s="394"/>
      <c r="Q191" s="394"/>
      <c r="R191" s="394"/>
      <c r="S191" s="394"/>
      <c r="T191" s="394"/>
      <c r="U191" s="394"/>
      <c r="V191" s="394"/>
      <c r="W191" s="394"/>
      <c r="X191" s="394"/>
      <c r="Y191" s="394"/>
      <c r="Z191" s="395"/>
      <c r="AA191" s="97" t="s">
        <v>341</v>
      </c>
      <c r="AB191" s="98"/>
      <c r="CR191" s="116"/>
    </row>
    <row r="192" spans="1:96" ht="15" customHeight="1" x14ac:dyDescent="0.15">
      <c r="A192" s="115"/>
      <c r="L192" s="130" t="s">
        <v>469</v>
      </c>
      <c r="M192" s="100"/>
      <c r="N192" s="101"/>
      <c r="O192" s="101"/>
      <c r="P192" s="101"/>
      <c r="Q192" s="83"/>
      <c r="R192" s="83"/>
      <c r="S192" s="83"/>
      <c r="T192" s="83"/>
      <c r="U192" s="83"/>
      <c r="V192" s="83"/>
      <c r="W192" s="83"/>
      <c r="X192" s="83"/>
      <c r="Y192" s="83"/>
      <c r="Z192" s="84"/>
      <c r="CR192" s="116"/>
    </row>
    <row r="193" spans="1:96" ht="15" customHeight="1" x14ac:dyDescent="0.15">
      <c r="A193" s="115"/>
      <c r="L193" s="131" t="s">
        <v>470</v>
      </c>
      <c r="M193" s="103"/>
      <c r="N193" s="104"/>
      <c r="O193" s="104"/>
      <c r="P193" s="104"/>
      <c r="Q193" s="86"/>
      <c r="R193" s="86"/>
      <c r="S193" s="86"/>
      <c r="T193" s="86"/>
      <c r="U193" s="86"/>
      <c r="V193" s="86"/>
      <c r="W193" s="86"/>
      <c r="X193" s="86"/>
      <c r="Y193" s="86"/>
      <c r="Z193" s="87"/>
      <c r="CR193" s="116"/>
    </row>
    <row r="194" spans="1:96" ht="15" customHeight="1" x14ac:dyDescent="0.15">
      <c r="A194" s="115"/>
      <c r="L194" s="131" t="s">
        <v>471</v>
      </c>
      <c r="M194" s="103"/>
      <c r="N194" s="104"/>
      <c r="O194" s="104"/>
      <c r="P194" s="104"/>
      <c r="Q194" s="86"/>
      <c r="R194" s="86"/>
      <c r="S194" s="86"/>
      <c r="T194" s="86"/>
      <c r="U194" s="86"/>
      <c r="V194" s="86"/>
      <c r="W194" s="86"/>
      <c r="X194" s="86"/>
      <c r="Y194" s="86"/>
      <c r="Z194" s="87"/>
      <c r="CR194" s="116"/>
    </row>
    <row r="195" spans="1:96" ht="15" customHeight="1" x14ac:dyDescent="0.15">
      <c r="A195" s="115"/>
      <c r="L195" s="131" t="s">
        <v>472</v>
      </c>
      <c r="M195" s="103"/>
      <c r="N195" s="104"/>
      <c r="O195" s="104"/>
      <c r="P195" s="104"/>
      <c r="Q195" s="86"/>
      <c r="R195" s="86"/>
      <c r="S195" s="86"/>
      <c r="T195" s="86"/>
      <c r="U195" s="86"/>
      <c r="V195" s="86"/>
      <c r="W195" s="86"/>
      <c r="X195" s="86"/>
      <c r="Y195" s="86"/>
      <c r="Z195" s="87"/>
      <c r="CR195" s="116"/>
    </row>
    <row r="196" spans="1:96" ht="15" customHeight="1" x14ac:dyDescent="0.15">
      <c r="A196" s="115"/>
      <c r="L196" s="58" t="s">
        <v>62</v>
      </c>
      <c r="CR196" s="116"/>
    </row>
    <row r="197" spans="1:96" ht="15" customHeight="1" x14ac:dyDescent="0.15">
      <c r="A197" s="115"/>
      <c r="L197" s="60" t="s">
        <v>62</v>
      </c>
      <c r="CR197" s="116"/>
    </row>
    <row r="198" spans="1:96" ht="15" customHeight="1" x14ac:dyDescent="0.15">
      <c r="A198" s="115"/>
      <c r="B198" s="60"/>
      <c r="L198" s="60" t="s">
        <v>62</v>
      </c>
      <c r="CR198" s="116"/>
    </row>
    <row r="199" spans="1:96" ht="15" customHeight="1" x14ac:dyDescent="0.15">
      <c r="A199" s="115"/>
      <c r="B199" s="60"/>
      <c r="CR199" s="116"/>
    </row>
    <row r="200" spans="1:96" ht="15" customHeight="1" thickBot="1" x14ac:dyDescent="0.2">
      <c r="A200" s="115"/>
      <c r="C200" s="17" t="s">
        <v>473</v>
      </c>
      <c r="AD200" s="17" t="s">
        <v>474</v>
      </c>
      <c r="BE200" s="17" t="s">
        <v>475</v>
      </c>
      <c r="CR200" s="116"/>
    </row>
    <row r="201" spans="1:96" ht="15" customHeight="1" thickBot="1" x14ac:dyDescent="0.2">
      <c r="A201" s="115"/>
      <c r="D201" s="492" t="s">
        <v>354</v>
      </c>
      <c r="E201" s="493"/>
      <c r="F201" s="493"/>
      <c r="G201" s="493"/>
      <c r="H201" s="493"/>
      <c r="I201" s="493"/>
      <c r="J201" s="493"/>
      <c r="K201" s="494"/>
      <c r="L201" s="393"/>
      <c r="M201" s="394"/>
      <c r="N201" s="394"/>
      <c r="O201" s="394"/>
      <c r="P201" s="394"/>
      <c r="Q201" s="394"/>
      <c r="R201" s="394"/>
      <c r="S201" s="394"/>
      <c r="T201" s="394"/>
      <c r="U201" s="394"/>
      <c r="V201" s="394"/>
      <c r="W201" s="394"/>
      <c r="X201" s="394"/>
      <c r="Y201" s="394"/>
      <c r="Z201" s="395"/>
      <c r="AA201" s="97" t="s">
        <v>341</v>
      </c>
      <c r="AB201" s="98"/>
      <c r="AE201" s="492" t="s">
        <v>355</v>
      </c>
      <c r="AF201" s="493"/>
      <c r="AG201" s="493"/>
      <c r="AH201" s="493"/>
      <c r="AI201" s="493"/>
      <c r="AJ201" s="493"/>
      <c r="AK201" s="493"/>
      <c r="AL201" s="494"/>
      <c r="AM201" s="393"/>
      <c r="AN201" s="394"/>
      <c r="AO201" s="394"/>
      <c r="AP201" s="394"/>
      <c r="AQ201" s="394"/>
      <c r="AR201" s="394"/>
      <c r="AS201" s="394"/>
      <c r="AT201" s="394"/>
      <c r="AU201" s="394"/>
      <c r="AV201" s="394"/>
      <c r="AW201" s="394"/>
      <c r="AX201" s="394"/>
      <c r="AY201" s="394"/>
      <c r="AZ201" s="394"/>
      <c r="BA201" s="395"/>
      <c r="BB201" s="97" t="s">
        <v>341</v>
      </c>
      <c r="BC201" s="98"/>
      <c r="BF201" s="492" t="s">
        <v>356</v>
      </c>
      <c r="BG201" s="493"/>
      <c r="BH201" s="493"/>
      <c r="BI201" s="493"/>
      <c r="BJ201" s="493"/>
      <c r="BK201" s="493"/>
      <c r="BL201" s="493"/>
      <c r="BM201" s="494"/>
      <c r="BN201" s="393"/>
      <c r="BO201" s="394"/>
      <c r="BP201" s="394"/>
      <c r="BQ201" s="394"/>
      <c r="BR201" s="394"/>
      <c r="BS201" s="394"/>
      <c r="BT201" s="394"/>
      <c r="BU201" s="394"/>
      <c r="BV201" s="394"/>
      <c r="BW201" s="394"/>
      <c r="BX201" s="394"/>
      <c r="BY201" s="394"/>
      <c r="BZ201" s="394"/>
      <c r="CA201" s="394"/>
      <c r="CB201" s="395"/>
      <c r="CC201" s="97" t="s">
        <v>341</v>
      </c>
      <c r="CD201" s="98"/>
      <c r="CR201" s="116"/>
    </row>
    <row r="202" spans="1:96" ht="15" customHeight="1" x14ac:dyDescent="0.15">
      <c r="A202" s="115"/>
      <c r="L202" s="132" t="s">
        <v>476</v>
      </c>
      <c r="M202" s="133"/>
      <c r="N202" s="134"/>
      <c r="O202" s="134"/>
      <c r="P202" s="134"/>
      <c r="Q202" s="135"/>
      <c r="R202" s="135"/>
      <c r="S202" s="135"/>
      <c r="T202" s="135"/>
      <c r="U202" s="135"/>
      <c r="V202" s="135"/>
      <c r="W202" s="135"/>
      <c r="X202" s="135"/>
      <c r="Y202" s="135"/>
      <c r="Z202" s="136"/>
      <c r="AM202" s="132" t="s">
        <v>477</v>
      </c>
      <c r="AN202" s="133"/>
      <c r="AO202" s="134"/>
      <c r="AP202" s="134"/>
      <c r="AQ202" s="134"/>
      <c r="AR202" s="135"/>
      <c r="AS202" s="135"/>
      <c r="AT202" s="135"/>
      <c r="AU202" s="135"/>
      <c r="AV202" s="135"/>
      <c r="AW202" s="135"/>
      <c r="AX202" s="135"/>
      <c r="AY202" s="135"/>
      <c r="AZ202" s="135"/>
      <c r="BA202" s="136"/>
      <c r="BN202" s="132" t="s">
        <v>478</v>
      </c>
      <c r="BO202" s="133"/>
      <c r="BP202" s="134"/>
      <c r="BQ202" s="134"/>
      <c r="BR202" s="134"/>
      <c r="BS202" s="135"/>
      <c r="BT202" s="135"/>
      <c r="BU202" s="135"/>
      <c r="BV202" s="135"/>
      <c r="BW202" s="135"/>
      <c r="BX202" s="135"/>
      <c r="BY202" s="135"/>
      <c r="BZ202" s="135"/>
      <c r="CA202" s="135"/>
      <c r="CB202" s="136"/>
      <c r="CR202" s="116"/>
    </row>
    <row r="203" spans="1:96" ht="15" customHeight="1" x14ac:dyDescent="0.15">
      <c r="A203" s="115"/>
      <c r="L203" s="131" t="s">
        <v>476</v>
      </c>
      <c r="M203" s="103"/>
      <c r="N203" s="104"/>
      <c r="O203" s="104"/>
      <c r="P203" s="104"/>
      <c r="Q203" s="86"/>
      <c r="R203" s="86"/>
      <c r="S203" s="86"/>
      <c r="T203" s="86"/>
      <c r="U203" s="86"/>
      <c r="V203" s="86"/>
      <c r="W203" s="86"/>
      <c r="X203" s="86"/>
      <c r="Y203" s="86"/>
      <c r="Z203" s="87"/>
      <c r="AM203" s="131" t="s">
        <v>477</v>
      </c>
      <c r="AN203" s="103"/>
      <c r="AO203" s="104"/>
      <c r="AP203" s="104"/>
      <c r="AQ203" s="104"/>
      <c r="AR203" s="86"/>
      <c r="AS203" s="86"/>
      <c r="AT203" s="86"/>
      <c r="AU203" s="86"/>
      <c r="AV203" s="86"/>
      <c r="AW203" s="86"/>
      <c r="AX203" s="86"/>
      <c r="AY203" s="86"/>
      <c r="AZ203" s="86"/>
      <c r="BA203" s="87"/>
      <c r="BN203" s="131" t="s">
        <v>478</v>
      </c>
      <c r="BO203" s="103"/>
      <c r="BP203" s="104"/>
      <c r="BQ203" s="104"/>
      <c r="BR203" s="104"/>
      <c r="BS203" s="86"/>
      <c r="BT203" s="86"/>
      <c r="BU203" s="86"/>
      <c r="BV203" s="86"/>
      <c r="BW203" s="86"/>
      <c r="BX203" s="86"/>
      <c r="BY203" s="86"/>
      <c r="BZ203" s="86"/>
      <c r="CA203" s="86"/>
      <c r="CB203" s="87"/>
      <c r="CR203" s="116"/>
    </row>
    <row r="204" spans="1:96" ht="15" customHeight="1" x14ac:dyDescent="0.15">
      <c r="A204" s="115"/>
      <c r="L204" s="137" t="s">
        <v>476</v>
      </c>
      <c r="M204" s="138"/>
      <c r="N204" s="139"/>
      <c r="O204" s="139"/>
      <c r="P204" s="139"/>
      <c r="Q204" s="75"/>
      <c r="R204" s="75"/>
      <c r="S204" s="75"/>
      <c r="T204" s="75"/>
      <c r="U204" s="75"/>
      <c r="V204" s="75"/>
      <c r="W204" s="75"/>
      <c r="X204" s="75"/>
      <c r="Y204" s="75"/>
      <c r="Z204" s="76"/>
      <c r="AM204" s="137" t="s">
        <v>477</v>
      </c>
      <c r="AN204" s="138"/>
      <c r="AO204" s="139"/>
      <c r="AP204" s="139"/>
      <c r="AQ204" s="139"/>
      <c r="AR204" s="75"/>
      <c r="AS204" s="75"/>
      <c r="AT204" s="75"/>
      <c r="AU204" s="75"/>
      <c r="AV204" s="75"/>
      <c r="AW204" s="75"/>
      <c r="AX204" s="75"/>
      <c r="AY204" s="75"/>
      <c r="AZ204" s="75"/>
      <c r="BA204" s="76"/>
      <c r="BN204" s="137" t="s">
        <v>478</v>
      </c>
      <c r="BO204" s="138"/>
      <c r="BP204" s="139"/>
      <c r="BQ204" s="139"/>
      <c r="BR204" s="139"/>
      <c r="BS204" s="75"/>
      <c r="BT204" s="75"/>
      <c r="BU204" s="75"/>
      <c r="BV204" s="75"/>
      <c r="BW204" s="75"/>
      <c r="BX204" s="75"/>
      <c r="BY204" s="75"/>
      <c r="BZ204" s="75"/>
      <c r="CA204" s="75"/>
      <c r="CB204" s="76"/>
      <c r="CR204" s="116"/>
    </row>
    <row r="205" spans="1:96" ht="15" customHeight="1" x14ac:dyDescent="0.15">
      <c r="A205" s="115"/>
      <c r="CR205" s="116"/>
    </row>
    <row r="206" spans="1:96" ht="15" customHeight="1" x14ac:dyDescent="0.15">
      <c r="A206" s="115"/>
      <c r="D206" s="17" t="s">
        <v>505</v>
      </c>
      <c r="AE206" s="17" t="s">
        <v>506</v>
      </c>
      <c r="BF206" s="17" t="s">
        <v>507</v>
      </c>
      <c r="CR206" s="116"/>
    </row>
    <row r="207" spans="1:96" ht="15" customHeight="1" x14ac:dyDescent="0.15">
      <c r="A207" s="115"/>
      <c r="AE207" s="17" t="s">
        <v>479</v>
      </c>
      <c r="CR207" s="116"/>
    </row>
    <row r="208" spans="1:96" ht="15" customHeight="1" x14ac:dyDescent="0.15">
      <c r="A208" s="115"/>
      <c r="CR208" s="116"/>
    </row>
    <row r="209" spans="1:96" ht="15" customHeight="1" x14ac:dyDescent="0.15">
      <c r="A209" s="115"/>
      <c r="B209" s="94" t="s">
        <v>615</v>
      </c>
      <c r="C209" s="94" t="s">
        <v>633</v>
      </c>
      <c r="D209" s="94"/>
      <c r="E209" s="94"/>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R209" s="116"/>
    </row>
    <row r="210" spans="1:96" ht="15" customHeight="1" x14ac:dyDescent="0.15">
      <c r="A210" s="115"/>
      <c r="B210" s="94"/>
      <c r="D210" s="94" t="s">
        <v>634</v>
      </c>
      <c r="E210" s="94"/>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R210" s="116"/>
    </row>
    <row r="211" spans="1:96" ht="15" customHeight="1" x14ac:dyDescent="0.15">
      <c r="A211" s="115"/>
      <c r="B211" s="94"/>
      <c r="C211" s="94"/>
      <c r="D211" s="94" t="s">
        <v>643</v>
      </c>
      <c r="E211" s="94"/>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R211" s="116"/>
    </row>
    <row r="212" spans="1:96" ht="15" customHeight="1" x14ac:dyDescent="0.15">
      <c r="A212" s="115"/>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R212" s="116"/>
    </row>
    <row r="213" spans="1:96" ht="15" customHeight="1" x14ac:dyDescent="0.15">
      <c r="A213" s="115"/>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R213" s="116"/>
    </row>
    <row r="214" spans="1:96" ht="15" customHeight="1" x14ac:dyDescent="0.15">
      <c r="A214" s="115"/>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R214" s="116"/>
    </row>
    <row r="215" spans="1:96" ht="15" customHeight="1" x14ac:dyDescent="0.15">
      <c r="A215" s="115"/>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R215" s="116"/>
    </row>
    <row r="216" spans="1:96" ht="15" customHeight="1" x14ac:dyDescent="0.15">
      <c r="A216" s="115"/>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R216" s="116"/>
    </row>
    <row r="217" spans="1:96" ht="15" customHeight="1" x14ac:dyDescent="0.15">
      <c r="A217" s="115"/>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R217" s="116"/>
    </row>
    <row r="218" spans="1:96" ht="15" customHeight="1" x14ac:dyDescent="0.15">
      <c r="A218" s="115"/>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R218" s="116"/>
    </row>
    <row r="219" spans="1:96" ht="15" customHeight="1" thickBot="1" x14ac:dyDescent="0.2">
      <c r="A219" s="117"/>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c r="AF219" s="95"/>
      <c r="AG219" s="95"/>
      <c r="AH219" s="95"/>
      <c r="AI219" s="95"/>
      <c r="AJ219" s="95"/>
      <c r="AK219" s="95"/>
      <c r="AL219" s="95"/>
      <c r="AM219" s="95"/>
      <c r="AN219" s="95"/>
      <c r="AO219" s="95"/>
      <c r="AP219" s="95"/>
      <c r="AQ219" s="95"/>
      <c r="AR219" s="95"/>
      <c r="AS219" s="95"/>
      <c r="AT219" s="95"/>
      <c r="AU219" s="95"/>
      <c r="AV219" s="95"/>
      <c r="AW219" s="95"/>
      <c r="AX219" s="95"/>
      <c r="AY219" s="95"/>
      <c r="AZ219" s="95"/>
      <c r="BA219" s="95"/>
      <c r="BB219" s="95"/>
      <c r="BC219" s="95"/>
      <c r="BD219" s="95"/>
      <c r="BE219" s="95"/>
      <c r="BF219" s="95"/>
      <c r="BG219" s="95"/>
      <c r="BH219" s="95"/>
      <c r="BI219" s="95"/>
      <c r="BJ219" s="95"/>
      <c r="BK219" s="95"/>
      <c r="BL219" s="95"/>
      <c r="BM219" s="95"/>
      <c r="BN219" s="95"/>
      <c r="BO219" s="95"/>
      <c r="BP219" s="95"/>
      <c r="BQ219" s="95"/>
      <c r="BR219" s="95"/>
      <c r="BS219" s="95"/>
      <c r="BT219" s="95"/>
      <c r="BU219" s="95"/>
      <c r="BV219" s="95"/>
      <c r="BW219" s="95"/>
      <c r="BX219" s="95"/>
      <c r="BY219" s="95"/>
      <c r="BZ219" s="95"/>
      <c r="CA219" s="95"/>
      <c r="CB219" s="95"/>
      <c r="CC219" s="95"/>
      <c r="CD219" s="95"/>
      <c r="CE219" s="95"/>
      <c r="CF219" s="95"/>
      <c r="CG219" s="95"/>
      <c r="CH219" s="95"/>
      <c r="CI219" s="95"/>
      <c r="CJ219" s="95"/>
      <c r="CK219" s="95"/>
      <c r="CL219" s="95"/>
      <c r="CM219" s="95"/>
      <c r="CN219" s="95"/>
      <c r="CO219" s="95"/>
      <c r="CP219" s="95"/>
      <c r="CQ219" s="95"/>
      <c r="CR219" s="118"/>
    </row>
  </sheetData>
  <mergeCells count="386">
    <mergeCell ref="C160:W161"/>
    <mergeCell ref="X160:AT161"/>
    <mergeCell ref="C159:W159"/>
    <mergeCell ref="X159:AT159"/>
    <mergeCell ref="BW172:CB173"/>
    <mergeCell ref="CC172:CH173"/>
    <mergeCell ref="AZ174:BE174"/>
    <mergeCell ref="BF174:BI174"/>
    <mergeCell ref="BJ174:BK174"/>
    <mergeCell ref="BL174:BO174"/>
    <mergeCell ref="BQ174:BV174"/>
    <mergeCell ref="BW174:CB174"/>
    <mergeCell ref="CC174:CH174"/>
    <mergeCell ref="AZ172:BA173"/>
    <mergeCell ref="BB172:BC173"/>
    <mergeCell ref="BD172:BE173"/>
    <mergeCell ref="BF172:BG173"/>
    <mergeCell ref="BH172:BI173"/>
    <mergeCell ref="BJ172:BK173"/>
    <mergeCell ref="BL172:BM173"/>
    <mergeCell ref="BN172:BO173"/>
    <mergeCell ref="BQ172:BV173"/>
    <mergeCell ref="BW167:CB168"/>
    <mergeCell ref="CC167:CH168"/>
    <mergeCell ref="AZ169:BE169"/>
    <mergeCell ref="BF169:BI169"/>
    <mergeCell ref="BJ169:BK169"/>
    <mergeCell ref="BL169:BO169"/>
    <mergeCell ref="BQ169:BV169"/>
    <mergeCell ref="BW169:CB169"/>
    <mergeCell ref="CC169:CH169"/>
    <mergeCell ref="AZ167:BA168"/>
    <mergeCell ref="BB167:BC168"/>
    <mergeCell ref="BD167:BE168"/>
    <mergeCell ref="BF167:BG168"/>
    <mergeCell ref="BH167:BI168"/>
    <mergeCell ref="BJ167:BK168"/>
    <mergeCell ref="BL167:BM168"/>
    <mergeCell ref="BN167:BO168"/>
    <mergeCell ref="BQ167:BV168"/>
    <mergeCell ref="AZ161:BA162"/>
    <mergeCell ref="BB161:BC162"/>
    <mergeCell ref="BE161:BJ162"/>
    <mergeCell ref="BK161:BP162"/>
    <mergeCell ref="BQ161:BV162"/>
    <mergeCell ref="AZ163:BC163"/>
    <mergeCell ref="BE163:BJ163"/>
    <mergeCell ref="BK163:BP163"/>
    <mergeCell ref="BQ163:BV163"/>
    <mergeCell ref="AZ154:BE154"/>
    <mergeCell ref="BF154:BI154"/>
    <mergeCell ref="BJ154:BK154"/>
    <mergeCell ref="BL154:BO154"/>
    <mergeCell ref="BQ154:BV154"/>
    <mergeCell ref="BW154:CB154"/>
    <mergeCell ref="CC154:CH154"/>
    <mergeCell ref="AZ152:BA153"/>
    <mergeCell ref="BB152:BC153"/>
    <mergeCell ref="BD152:BE153"/>
    <mergeCell ref="BF152:BG153"/>
    <mergeCell ref="BH152:BI153"/>
    <mergeCell ref="BJ152:BK153"/>
    <mergeCell ref="BL152:BM153"/>
    <mergeCell ref="BN152:BO153"/>
    <mergeCell ref="BQ152:BV153"/>
    <mergeCell ref="BE141:BJ142"/>
    <mergeCell ref="BK141:BP142"/>
    <mergeCell ref="BQ141:BV142"/>
    <mergeCell ref="BE143:BJ143"/>
    <mergeCell ref="BK143:BP143"/>
    <mergeCell ref="BQ143:BV143"/>
    <mergeCell ref="AZ149:BE149"/>
    <mergeCell ref="BF147:BG148"/>
    <mergeCell ref="BH147:BI148"/>
    <mergeCell ref="BF149:BI149"/>
    <mergeCell ref="BJ147:BK148"/>
    <mergeCell ref="BL147:BM148"/>
    <mergeCell ref="BN147:BO148"/>
    <mergeCell ref="BJ149:BK149"/>
    <mergeCell ref="BL149:BO149"/>
    <mergeCell ref="AZ141:BA142"/>
    <mergeCell ref="BB141:BC142"/>
    <mergeCell ref="AZ143:BC143"/>
    <mergeCell ref="C150:W151"/>
    <mergeCell ref="X150:AT151"/>
    <mergeCell ref="C152:W153"/>
    <mergeCell ref="X152:AT153"/>
    <mergeCell ref="BQ149:BV149"/>
    <mergeCell ref="BW149:CB149"/>
    <mergeCell ref="CC149:CH149"/>
    <mergeCell ref="BQ147:BV148"/>
    <mergeCell ref="BW147:CB148"/>
    <mergeCell ref="CC147:CH148"/>
    <mergeCell ref="BW152:CB153"/>
    <mergeCell ref="CC152:CH153"/>
    <mergeCell ref="C140:W141"/>
    <mergeCell ref="X140:AT141"/>
    <mergeCell ref="C142:W143"/>
    <mergeCell ref="X142:AT143"/>
    <mergeCell ref="C144:W145"/>
    <mergeCell ref="X144:AT145"/>
    <mergeCell ref="C146:W147"/>
    <mergeCell ref="X146:AT147"/>
    <mergeCell ref="B125:O125"/>
    <mergeCell ref="B126:O126"/>
    <mergeCell ref="B127:O127"/>
    <mergeCell ref="B128:O128"/>
    <mergeCell ref="B129:O129"/>
    <mergeCell ref="B130:O130"/>
    <mergeCell ref="C137:W137"/>
    <mergeCell ref="X137:AT137"/>
    <mergeCell ref="C138:W139"/>
    <mergeCell ref="X138:AT139"/>
    <mergeCell ref="A134:CR134"/>
    <mergeCell ref="AZ147:BA148"/>
    <mergeCell ref="BB147:BC148"/>
    <mergeCell ref="BD147:BE148"/>
    <mergeCell ref="C148:W149"/>
    <mergeCell ref="X148:AT149"/>
    <mergeCell ref="BN201:CB201"/>
    <mergeCell ref="D191:K191"/>
    <mergeCell ref="L191:Z191"/>
    <mergeCell ref="D201:K201"/>
    <mergeCell ref="L201:Z201"/>
    <mergeCell ref="AE201:AL201"/>
    <mergeCell ref="AM201:BA201"/>
    <mergeCell ref="BF201:BM201"/>
    <mergeCell ref="B110:O110"/>
    <mergeCell ref="P110:T110"/>
    <mergeCell ref="U110:W110"/>
    <mergeCell ref="X110:AV110"/>
    <mergeCell ref="A177:CR177"/>
    <mergeCell ref="T181:U181"/>
    <mergeCell ref="AS181:AT181"/>
    <mergeCell ref="BE181:BS181"/>
    <mergeCell ref="AW181:BD181"/>
    <mergeCell ref="X114:AV114"/>
    <mergeCell ref="X116:AV117"/>
    <mergeCell ref="P116:T117"/>
    <mergeCell ref="B116:O117"/>
    <mergeCell ref="U116:W117"/>
    <mergeCell ref="B113:O113"/>
    <mergeCell ref="P113:T113"/>
    <mergeCell ref="U113:W113"/>
    <mergeCell ref="X113:AV113"/>
    <mergeCell ref="B115:O115"/>
    <mergeCell ref="P115:T115"/>
    <mergeCell ref="U115:W115"/>
    <mergeCell ref="X115:AV115"/>
    <mergeCell ref="X111:AV111"/>
    <mergeCell ref="B112:O112"/>
    <mergeCell ref="B107:O107"/>
    <mergeCell ref="P107:T107"/>
    <mergeCell ref="U107:W107"/>
    <mergeCell ref="X107:AV107"/>
    <mergeCell ref="B108:O108"/>
    <mergeCell ref="P108:T108"/>
    <mergeCell ref="U108:W108"/>
    <mergeCell ref="X108:AV108"/>
    <mergeCell ref="B109:O109"/>
    <mergeCell ref="P109:T109"/>
    <mergeCell ref="U109:W109"/>
    <mergeCell ref="X109:AV109"/>
    <mergeCell ref="P112:T112"/>
    <mergeCell ref="U112:W112"/>
    <mergeCell ref="X112:AV112"/>
    <mergeCell ref="B104:O104"/>
    <mergeCell ref="P104:T104"/>
    <mergeCell ref="U104:W104"/>
    <mergeCell ref="X104:AV104"/>
    <mergeCell ref="B105:O105"/>
    <mergeCell ref="P105:T105"/>
    <mergeCell ref="U105:W105"/>
    <mergeCell ref="X105:AV105"/>
    <mergeCell ref="B106:O106"/>
    <mergeCell ref="P106:T106"/>
    <mergeCell ref="U106:W106"/>
    <mergeCell ref="X106:AV106"/>
    <mergeCell ref="B100:O100"/>
    <mergeCell ref="P100:T100"/>
    <mergeCell ref="U100:W100"/>
    <mergeCell ref="X100:AV100"/>
    <mergeCell ref="B94:O94"/>
    <mergeCell ref="P94:T94"/>
    <mergeCell ref="U94:W94"/>
    <mergeCell ref="X94:AV94"/>
    <mergeCell ref="BD100:BF100"/>
    <mergeCell ref="U96:W96"/>
    <mergeCell ref="X96:AV96"/>
    <mergeCell ref="A91:CR91"/>
    <mergeCell ref="X97:AV97"/>
    <mergeCell ref="B98:O98"/>
    <mergeCell ref="P98:T98"/>
    <mergeCell ref="U98:W98"/>
    <mergeCell ref="X98:AV98"/>
    <mergeCell ref="B99:O99"/>
    <mergeCell ref="P99:T99"/>
    <mergeCell ref="U99:W99"/>
    <mergeCell ref="X99:AV99"/>
    <mergeCell ref="B102:O102"/>
    <mergeCell ref="P102:T102"/>
    <mergeCell ref="U102:W102"/>
    <mergeCell ref="X102:AV102"/>
    <mergeCell ref="BK78:BO78"/>
    <mergeCell ref="BP79:BR79"/>
    <mergeCell ref="BS79:CQ79"/>
    <mergeCell ref="BK80:BO80"/>
    <mergeCell ref="BP80:BR80"/>
    <mergeCell ref="BS80:CQ80"/>
    <mergeCell ref="BP78:BR78"/>
    <mergeCell ref="BS78:CQ78"/>
    <mergeCell ref="BK84:BO84"/>
    <mergeCell ref="BP84:BR84"/>
    <mergeCell ref="BS84:CQ84"/>
    <mergeCell ref="CB96:CD99"/>
    <mergeCell ref="BA100:BC100"/>
    <mergeCell ref="BK81:BO81"/>
    <mergeCell ref="B96:O96"/>
    <mergeCell ref="P96:T96"/>
    <mergeCell ref="B101:O101"/>
    <mergeCell ref="P101:T101"/>
    <mergeCell ref="U101:W101"/>
    <mergeCell ref="X101:AV101"/>
    <mergeCell ref="BP69:BR69"/>
    <mergeCell ref="BS69:CQ69"/>
    <mergeCell ref="BP65:BR65"/>
    <mergeCell ref="BS65:CQ65"/>
    <mergeCell ref="AW69:BJ69"/>
    <mergeCell ref="BK69:BO69"/>
    <mergeCell ref="BP81:BR81"/>
    <mergeCell ref="BS81:CQ81"/>
    <mergeCell ref="AW82:BJ82"/>
    <mergeCell ref="BK82:BO82"/>
    <mergeCell ref="BP82:BR82"/>
    <mergeCell ref="BS82:CQ82"/>
    <mergeCell ref="BS67:CQ67"/>
    <mergeCell ref="BS70:CQ70"/>
    <mergeCell ref="BS83:CQ83"/>
    <mergeCell ref="AW84:BJ84"/>
    <mergeCell ref="AW83:BJ83"/>
    <mergeCell ref="BK83:BO83"/>
    <mergeCell ref="BP83:BR83"/>
    <mergeCell ref="BK79:BO79"/>
    <mergeCell ref="AW70:BJ70"/>
    <mergeCell ref="BK70:BO70"/>
    <mergeCell ref="BP70:BR70"/>
    <mergeCell ref="AW63:BJ63"/>
    <mergeCell ref="BK63:BO63"/>
    <mergeCell ref="BP63:BR63"/>
    <mergeCell ref="BS63:CQ63"/>
    <mergeCell ref="AW64:BJ64"/>
    <mergeCell ref="BK64:BO64"/>
    <mergeCell ref="BP64:BR64"/>
    <mergeCell ref="BS64:CQ64"/>
    <mergeCell ref="AW68:BJ68"/>
    <mergeCell ref="BK68:BO68"/>
    <mergeCell ref="BP68:BR68"/>
    <mergeCell ref="BS68:CQ68"/>
    <mergeCell ref="BS66:CQ66"/>
    <mergeCell ref="AW65:BJ65"/>
    <mergeCell ref="BK65:BO65"/>
    <mergeCell ref="BP66:BR67"/>
    <mergeCell ref="BK66:BO67"/>
    <mergeCell ref="AW66:BJ67"/>
    <mergeCell ref="BK51:BO51"/>
    <mergeCell ref="BP51:BR51"/>
    <mergeCell ref="BS51:CQ51"/>
    <mergeCell ref="AW56:BJ56"/>
    <mergeCell ref="BK56:BO56"/>
    <mergeCell ref="BP56:BR56"/>
    <mergeCell ref="BS56:CQ56"/>
    <mergeCell ref="AW57:BJ57"/>
    <mergeCell ref="BK57:BO57"/>
    <mergeCell ref="BP57:BR57"/>
    <mergeCell ref="BS57:CQ57"/>
    <mergeCell ref="BS52:CQ53"/>
    <mergeCell ref="BP52:BR53"/>
    <mergeCell ref="BK52:BO53"/>
    <mergeCell ref="AW52:BJ53"/>
    <mergeCell ref="BK58:BO58"/>
    <mergeCell ref="BP58:BR58"/>
    <mergeCell ref="BS58:CQ58"/>
    <mergeCell ref="AW59:BJ59"/>
    <mergeCell ref="AW58:BJ58"/>
    <mergeCell ref="BK59:BO59"/>
    <mergeCell ref="BP59:BR59"/>
    <mergeCell ref="BS59:CQ59"/>
    <mergeCell ref="BS54:CQ55"/>
    <mergeCell ref="AW54:BJ55"/>
    <mergeCell ref="BK54:BO55"/>
    <mergeCell ref="BP54:BR55"/>
    <mergeCell ref="BW1:CE1"/>
    <mergeCell ref="CF1:CJ3"/>
    <mergeCell ref="CK1:CR3"/>
    <mergeCell ref="BT4:CR4"/>
    <mergeCell ref="A5:BH5"/>
    <mergeCell ref="BI5:CR5"/>
    <mergeCell ref="BI12:CR12"/>
    <mergeCell ref="A38:BH38"/>
    <mergeCell ref="BI38:CR38"/>
    <mergeCell ref="A4:H4"/>
    <mergeCell ref="I4:AK4"/>
    <mergeCell ref="AL4:AR4"/>
    <mergeCell ref="AS4:BH4"/>
    <mergeCell ref="BI4:BS4"/>
    <mergeCell ref="BW2:CE2"/>
    <mergeCell ref="A1:H1"/>
    <mergeCell ref="I1:AD1"/>
    <mergeCell ref="AE1:AK1"/>
    <mergeCell ref="AL1:BH1"/>
    <mergeCell ref="BI1:BL1"/>
    <mergeCell ref="BM1:BV1"/>
    <mergeCell ref="A39:J39"/>
    <mergeCell ref="K39:AV39"/>
    <mergeCell ref="AW51:BJ51"/>
    <mergeCell ref="A2:H2"/>
    <mergeCell ref="I2:AD2"/>
    <mergeCell ref="AE2:AK3"/>
    <mergeCell ref="AL2:BH2"/>
    <mergeCell ref="BI2:BL2"/>
    <mergeCell ref="BM2:BV2"/>
    <mergeCell ref="A3:H3"/>
    <mergeCell ref="I3:AD3"/>
    <mergeCell ref="AL3:BH3"/>
    <mergeCell ref="BI3:BL3"/>
    <mergeCell ref="BM3:CE3"/>
    <mergeCell ref="AW39:BH39"/>
    <mergeCell ref="A40:J40"/>
    <mergeCell ref="K40:AV40"/>
    <mergeCell ref="AW40:BH40"/>
    <mergeCell ref="A41:J41"/>
    <mergeCell ref="K41:AV41"/>
    <mergeCell ref="AW41:BH41"/>
    <mergeCell ref="AW47:BH47"/>
    <mergeCell ref="A48:CR48"/>
    <mergeCell ref="A45:J45"/>
    <mergeCell ref="K45:AV45"/>
    <mergeCell ref="AW45:BH45"/>
    <mergeCell ref="A46:J46"/>
    <mergeCell ref="K46:AV46"/>
    <mergeCell ref="AW46:BH46"/>
    <mergeCell ref="A42:J42"/>
    <mergeCell ref="K42:AV42"/>
    <mergeCell ref="AW42:BH42"/>
    <mergeCell ref="A43:J43"/>
    <mergeCell ref="K43:AV43"/>
    <mergeCell ref="AW43:BH43"/>
    <mergeCell ref="A44:J44"/>
    <mergeCell ref="K44:AV44"/>
    <mergeCell ref="BI43:CR43"/>
    <mergeCell ref="B111:O111"/>
    <mergeCell ref="B114:O114"/>
    <mergeCell ref="AW78:BJ78"/>
    <mergeCell ref="AW79:BJ79"/>
    <mergeCell ref="AW80:BJ80"/>
    <mergeCell ref="AW81:BJ81"/>
    <mergeCell ref="B97:O97"/>
    <mergeCell ref="P97:T97"/>
    <mergeCell ref="U97:W97"/>
    <mergeCell ref="P111:T111"/>
    <mergeCell ref="U111:W111"/>
    <mergeCell ref="P114:T114"/>
    <mergeCell ref="U114:W114"/>
    <mergeCell ref="AW44:BH44"/>
    <mergeCell ref="D78:I79"/>
    <mergeCell ref="J78:O79"/>
    <mergeCell ref="D55:J56"/>
    <mergeCell ref="K55:Z56"/>
    <mergeCell ref="D59:J60"/>
    <mergeCell ref="K59:Z60"/>
    <mergeCell ref="D71:I72"/>
    <mergeCell ref="A47:J47"/>
    <mergeCell ref="K47:AV47"/>
    <mergeCell ref="BV100:BX100"/>
    <mergeCell ref="BY100:CD100"/>
    <mergeCell ref="BA96:BC99"/>
    <mergeCell ref="BD96:BF99"/>
    <mergeCell ref="BG96:BI99"/>
    <mergeCell ref="BJ96:BL99"/>
    <mergeCell ref="BM96:BO99"/>
    <mergeCell ref="BP96:BR99"/>
    <mergeCell ref="BS96:BU99"/>
    <mergeCell ref="BV96:BX99"/>
    <mergeCell ref="BY96:CA99"/>
    <mergeCell ref="BG100:BO100"/>
    <mergeCell ref="BP100:BU100"/>
  </mergeCells>
  <phoneticPr fontId="2"/>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D65D8-F38C-402C-91FD-0B4233F18947}">
  <dimension ref="A1:DS133"/>
  <sheetViews>
    <sheetView view="pageBreakPreview" zoomScale="85" zoomScaleNormal="100" zoomScaleSheetLayoutView="85"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51" width="1.88671875" style="17"/>
    <col min="52" max="61" width="1.88671875" style="17" customWidth="1"/>
    <col min="62" max="83" width="1.88671875" style="17"/>
    <col min="84" max="84" width="1.88671875" style="17" customWidth="1"/>
    <col min="85" max="16384" width="1.88671875" style="17"/>
  </cols>
  <sheetData>
    <row r="1" spans="1:96" s="15" customFormat="1" ht="15" customHeight="1" x14ac:dyDescent="0.2">
      <c r="A1" s="267" t="s">
        <v>1</v>
      </c>
      <c r="B1" s="268"/>
      <c r="C1" s="268"/>
      <c r="D1" s="268"/>
      <c r="E1" s="268"/>
      <c r="F1" s="268"/>
      <c r="G1" s="268"/>
      <c r="H1" s="269"/>
      <c r="I1" s="270" t="str">
        <f>タイトル!I40</f>
        <v>　学生勤務管理システム</v>
      </c>
      <c r="J1" s="271"/>
      <c r="K1" s="271"/>
      <c r="L1" s="271"/>
      <c r="M1" s="271"/>
      <c r="N1" s="271"/>
      <c r="O1" s="271"/>
      <c r="P1" s="271"/>
      <c r="Q1" s="271"/>
      <c r="R1" s="271"/>
      <c r="S1" s="271"/>
      <c r="T1" s="271"/>
      <c r="U1" s="271"/>
      <c r="V1" s="271"/>
      <c r="W1" s="271"/>
      <c r="X1" s="271"/>
      <c r="Y1" s="271"/>
      <c r="Z1" s="271"/>
      <c r="AA1" s="271"/>
      <c r="AB1" s="271"/>
      <c r="AC1" s="271"/>
      <c r="AD1" s="272"/>
      <c r="AE1" s="273" t="s">
        <v>0</v>
      </c>
      <c r="AF1" s="274"/>
      <c r="AG1" s="274"/>
      <c r="AH1" s="274"/>
      <c r="AI1" s="274"/>
      <c r="AJ1" s="274"/>
      <c r="AK1" s="275"/>
      <c r="AL1" s="276" t="s">
        <v>54</v>
      </c>
      <c r="AM1" s="277"/>
      <c r="AN1" s="277"/>
      <c r="AO1" s="277"/>
      <c r="AP1" s="277"/>
      <c r="AQ1" s="277"/>
      <c r="AR1" s="277"/>
      <c r="AS1" s="277"/>
      <c r="AT1" s="277"/>
      <c r="AU1" s="277"/>
      <c r="AV1" s="277"/>
      <c r="AW1" s="277"/>
      <c r="AX1" s="277"/>
      <c r="AY1" s="277"/>
      <c r="AZ1" s="277"/>
      <c r="BA1" s="277"/>
      <c r="BB1" s="277"/>
      <c r="BC1" s="277"/>
      <c r="BD1" s="277"/>
      <c r="BE1" s="277"/>
      <c r="BF1" s="277"/>
      <c r="BG1" s="277"/>
      <c r="BH1" s="278"/>
      <c r="BI1" s="273" t="s">
        <v>12</v>
      </c>
      <c r="BJ1" s="274"/>
      <c r="BK1" s="274"/>
      <c r="BL1" s="275"/>
      <c r="BM1" s="279" t="str">
        <f>タイトル!I46</f>
        <v>木田　優</v>
      </c>
      <c r="BN1" s="280"/>
      <c r="BO1" s="280"/>
      <c r="BP1" s="280"/>
      <c r="BQ1" s="280"/>
      <c r="BR1" s="280"/>
      <c r="BS1" s="280"/>
      <c r="BT1" s="280"/>
      <c r="BU1" s="280"/>
      <c r="BV1" s="281"/>
      <c r="BW1" s="225">
        <f>タイトル!I47</f>
        <v>45196</v>
      </c>
      <c r="BX1" s="226"/>
      <c r="BY1" s="226"/>
      <c r="BZ1" s="226"/>
      <c r="CA1" s="226"/>
      <c r="CB1" s="226"/>
      <c r="CC1" s="226"/>
      <c r="CD1" s="226"/>
      <c r="CE1" s="227"/>
      <c r="CF1" s="228" t="s">
        <v>13</v>
      </c>
      <c r="CG1" s="229"/>
      <c r="CH1" s="229"/>
      <c r="CI1" s="229"/>
      <c r="CJ1" s="230"/>
      <c r="CK1" s="237" t="str">
        <f>タイトル!I50</f>
        <v>DUC010</v>
      </c>
      <c r="CL1" s="238"/>
      <c r="CM1" s="238"/>
      <c r="CN1" s="238"/>
      <c r="CO1" s="238"/>
      <c r="CP1" s="238"/>
      <c r="CQ1" s="238"/>
      <c r="CR1" s="239"/>
    </row>
    <row r="2" spans="1:96" s="15" customFormat="1" ht="15" customHeight="1" x14ac:dyDescent="0.2">
      <c r="A2" s="246" t="s">
        <v>14</v>
      </c>
      <c r="B2" s="247"/>
      <c r="C2" s="247"/>
      <c r="D2" s="247"/>
      <c r="E2" s="247"/>
      <c r="F2" s="247"/>
      <c r="G2" s="247"/>
      <c r="H2" s="248"/>
      <c r="I2" s="249" t="s">
        <v>55</v>
      </c>
      <c r="J2" s="250"/>
      <c r="K2" s="250"/>
      <c r="L2" s="250"/>
      <c r="M2" s="250"/>
      <c r="N2" s="250"/>
      <c r="O2" s="250"/>
      <c r="P2" s="250"/>
      <c r="Q2" s="250"/>
      <c r="R2" s="250"/>
      <c r="S2" s="250"/>
      <c r="T2" s="250"/>
      <c r="U2" s="250"/>
      <c r="V2" s="250"/>
      <c r="W2" s="250"/>
      <c r="X2" s="250"/>
      <c r="Y2" s="250"/>
      <c r="Z2" s="250"/>
      <c r="AA2" s="250"/>
      <c r="AB2" s="250"/>
      <c r="AC2" s="250"/>
      <c r="AD2" s="251"/>
      <c r="AE2" s="252" t="s">
        <v>32</v>
      </c>
      <c r="AF2" s="253"/>
      <c r="AG2" s="253"/>
      <c r="AH2" s="253"/>
      <c r="AI2" s="253"/>
      <c r="AJ2" s="253"/>
      <c r="AK2" s="254"/>
      <c r="AL2" s="255" t="str">
        <f>タイトル!I44</f>
        <v>　CZ-010_雇用情報マスタ</v>
      </c>
      <c r="AM2" s="256"/>
      <c r="AN2" s="256"/>
      <c r="AO2" s="256"/>
      <c r="AP2" s="256"/>
      <c r="AQ2" s="256"/>
      <c r="AR2" s="256"/>
      <c r="AS2" s="256"/>
      <c r="AT2" s="256"/>
      <c r="AU2" s="256"/>
      <c r="AV2" s="256"/>
      <c r="AW2" s="256"/>
      <c r="AX2" s="256"/>
      <c r="AY2" s="256"/>
      <c r="AZ2" s="256"/>
      <c r="BA2" s="256"/>
      <c r="BB2" s="256"/>
      <c r="BC2" s="256"/>
      <c r="BD2" s="256"/>
      <c r="BE2" s="256"/>
      <c r="BF2" s="256"/>
      <c r="BG2" s="256"/>
      <c r="BH2" s="257"/>
      <c r="BI2" s="258" t="s">
        <v>15</v>
      </c>
      <c r="BJ2" s="259"/>
      <c r="BK2" s="259"/>
      <c r="BL2" s="260"/>
      <c r="BM2" s="261" t="s">
        <v>336</v>
      </c>
      <c r="BN2" s="262"/>
      <c r="BO2" s="262"/>
      <c r="BP2" s="262"/>
      <c r="BQ2" s="262"/>
      <c r="BR2" s="262"/>
      <c r="BS2" s="262"/>
      <c r="BT2" s="262"/>
      <c r="BU2" s="262"/>
      <c r="BV2" s="263"/>
      <c r="BW2" s="264">
        <v>45706</v>
      </c>
      <c r="BX2" s="265"/>
      <c r="BY2" s="265"/>
      <c r="BZ2" s="265"/>
      <c r="CA2" s="265"/>
      <c r="CB2" s="265"/>
      <c r="CC2" s="265"/>
      <c r="CD2" s="265"/>
      <c r="CE2" s="266"/>
      <c r="CF2" s="231"/>
      <c r="CG2" s="232"/>
      <c r="CH2" s="232"/>
      <c r="CI2" s="232"/>
      <c r="CJ2" s="233"/>
      <c r="CK2" s="240"/>
      <c r="CL2" s="241"/>
      <c r="CM2" s="241"/>
      <c r="CN2" s="241"/>
      <c r="CO2" s="241"/>
      <c r="CP2" s="241"/>
      <c r="CQ2" s="241"/>
      <c r="CR2" s="242"/>
    </row>
    <row r="3" spans="1:96" s="15" customFormat="1" ht="15" customHeight="1" thickBot="1" x14ac:dyDescent="0.25">
      <c r="A3" s="282"/>
      <c r="B3" s="283"/>
      <c r="C3" s="283"/>
      <c r="D3" s="283"/>
      <c r="E3" s="283"/>
      <c r="F3" s="283"/>
      <c r="G3" s="283"/>
      <c r="H3" s="284"/>
      <c r="I3" s="285"/>
      <c r="J3" s="286"/>
      <c r="K3" s="286"/>
      <c r="L3" s="286"/>
      <c r="M3" s="286"/>
      <c r="N3" s="286"/>
      <c r="O3" s="286"/>
      <c r="P3" s="286"/>
      <c r="Q3" s="286"/>
      <c r="R3" s="286"/>
      <c r="S3" s="286"/>
      <c r="T3" s="286"/>
      <c r="U3" s="286"/>
      <c r="V3" s="286"/>
      <c r="W3" s="286"/>
      <c r="X3" s="286"/>
      <c r="Y3" s="286"/>
      <c r="Z3" s="286"/>
      <c r="AA3" s="286"/>
      <c r="AB3" s="286"/>
      <c r="AC3" s="286"/>
      <c r="AD3" s="287"/>
      <c r="AE3" s="234"/>
      <c r="AF3" s="235"/>
      <c r="AG3" s="235"/>
      <c r="AH3" s="235"/>
      <c r="AI3" s="235"/>
      <c r="AJ3" s="235"/>
      <c r="AK3" s="236"/>
      <c r="AL3" s="288"/>
      <c r="AM3" s="289"/>
      <c r="AN3" s="289"/>
      <c r="AO3" s="289"/>
      <c r="AP3" s="289"/>
      <c r="AQ3" s="289"/>
      <c r="AR3" s="289"/>
      <c r="AS3" s="289"/>
      <c r="AT3" s="289"/>
      <c r="AU3" s="289"/>
      <c r="AV3" s="289"/>
      <c r="AW3" s="289"/>
      <c r="AX3" s="289"/>
      <c r="AY3" s="289"/>
      <c r="AZ3" s="289"/>
      <c r="BA3" s="289"/>
      <c r="BB3" s="289"/>
      <c r="BC3" s="289"/>
      <c r="BD3" s="289"/>
      <c r="BE3" s="289"/>
      <c r="BF3" s="289"/>
      <c r="BG3" s="289"/>
      <c r="BH3" s="290"/>
      <c r="BI3" s="291"/>
      <c r="BJ3" s="292"/>
      <c r="BK3" s="292"/>
      <c r="BL3" s="293"/>
      <c r="BM3" s="294"/>
      <c r="BN3" s="295"/>
      <c r="BO3" s="295"/>
      <c r="BP3" s="295"/>
      <c r="BQ3" s="295"/>
      <c r="BR3" s="295"/>
      <c r="BS3" s="295"/>
      <c r="BT3" s="295"/>
      <c r="BU3" s="295"/>
      <c r="BV3" s="295"/>
      <c r="BW3" s="295"/>
      <c r="BX3" s="295"/>
      <c r="BY3" s="295"/>
      <c r="BZ3" s="295"/>
      <c r="CA3" s="295"/>
      <c r="CB3" s="295"/>
      <c r="CC3" s="295"/>
      <c r="CD3" s="295"/>
      <c r="CE3" s="296"/>
      <c r="CF3" s="234"/>
      <c r="CG3" s="235"/>
      <c r="CH3" s="235"/>
      <c r="CI3" s="235"/>
      <c r="CJ3" s="236"/>
      <c r="CK3" s="243"/>
      <c r="CL3" s="244"/>
      <c r="CM3" s="244"/>
      <c r="CN3" s="244"/>
      <c r="CO3" s="244"/>
      <c r="CP3" s="244"/>
      <c r="CQ3" s="244"/>
      <c r="CR3" s="245"/>
    </row>
    <row r="4" spans="1:96" s="16" customFormat="1" ht="15" customHeight="1" x14ac:dyDescent="0.2">
      <c r="A4" s="303" t="s">
        <v>56</v>
      </c>
      <c r="B4" s="304"/>
      <c r="C4" s="304"/>
      <c r="D4" s="304"/>
      <c r="E4" s="304"/>
      <c r="F4" s="304"/>
      <c r="G4" s="304"/>
      <c r="H4" s="304"/>
      <c r="I4" s="305" t="str">
        <f ca="1">"　" &amp; RIGHT(CELL("filename",A1),LEN(CELL("filename",A1))-FIND("]",CELL("filename",A1)))</f>
        <v>　雇用情報マスタ取込</v>
      </c>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c r="AL4" s="304" t="s">
        <v>57</v>
      </c>
      <c r="AM4" s="304"/>
      <c r="AN4" s="304"/>
      <c r="AO4" s="304"/>
      <c r="AP4" s="304"/>
      <c r="AQ4" s="304"/>
      <c r="AR4" s="304"/>
      <c r="AS4" s="306" t="s">
        <v>310</v>
      </c>
      <c r="AT4" s="306"/>
      <c r="AU4" s="306"/>
      <c r="AV4" s="306"/>
      <c r="AW4" s="306"/>
      <c r="AX4" s="306"/>
      <c r="AY4" s="306"/>
      <c r="AZ4" s="306"/>
      <c r="BA4" s="306"/>
      <c r="BB4" s="306"/>
      <c r="BC4" s="306"/>
      <c r="BD4" s="306"/>
      <c r="BE4" s="306"/>
      <c r="BF4" s="306"/>
      <c r="BG4" s="306"/>
      <c r="BH4" s="306"/>
      <c r="BI4" s="405" t="s">
        <v>35</v>
      </c>
      <c r="BJ4" s="406"/>
      <c r="BK4" s="406"/>
      <c r="BL4" s="406"/>
      <c r="BM4" s="406"/>
      <c r="BN4" s="406"/>
      <c r="BO4" s="406"/>
      <c r="BP4" s="406"/>
      <c r="BQ4" s="406"/>
      <c r="BR4" s="406"/>
      <c r="BS4" s="406"/>
      <c r="BT4" s="399" t="s">
        <v>87</v>
      </c>
      <c r="BU4" s="400"/>
      <c r="BV4" s="400"/>
      <c r="BW4" s="400"/>
      <c r="BX4" s="400"/>
      <c r="BY4" s="400"/>
      <c r="BZ4" s="400"/>
      <c r="CA4" s="400"/>
      <c r="CB4" s="400"/>
      <c r="CC4" s="400"/>
      <c r="CD4" s="400"/>
      <c r="CE4" s="400"/>
      <c r="CF4" s="400"/>
      <c r="CG4" s="400"/>
      <c r="CH4" s="400"/>
      <c r="CI4" s="400"/>
      <c r="CJ4" s="400"/>
      <c r="CK4" s="400"/>
      <c r="CL4" s="400"/>
      <c r="CM4" s="400"/>
      <c r="CN4" s="400"/>
      <c r="CO4" s="400"/>
      <c r="CP4" s="400"/>
      <c r="CQ4" s="400"/>
      <c r="CR4" s="401"/>
    </row>
    <row r="5" spans="1:96" s="12" customFormat="1" ht="15" customHeight="1" x14ac:dyDescent="0.15">
      <c r="A5" s="297" t="s">
        <v>58</v>
      </c>
      <c r="B5" s="298"/>
      <c r="C5" s="298"/>
      <c r="D5" s="298"/>
      <c r="E5" s="298"/>
      <c r="F5" s="298"/>
      <c r="G5" s="298"/>
      <c r="H5" s="298"/>
      <c r="I5" s="298"/>
      <c r="J5" s="298"/>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c r="AK5" s="298"/>
      <c r="AL5" s="298"/>
      <c r="AM5" s="298"/>
      <c r="AN5" s="298"/>
      <c r="AO5" s="298"/>
      <c r="AP5" s="298"/>
      <c r="AQ5" s="298"/>
      <c r="AR5" s="298"/>
      <c r="AS5" s="298"/>
      <c r="AT5" s="298"/>
      <c r="AU5" s="298"/>
      <c r="AV5" s="298"/>
      <c r="AW5" s="298"/>
      <c r="AX5" s="298"/>
      <c r="AY5" s="298"/>
      <c r="AZ5" s="298"/>
      <c r="BA5" s="298"/>
      <c r="BB5" s="298"/>
      <c r="BC5" s="298"/>
      <c r="BD5" s="298"/>
      <c r="BE5" s="298"/>
      <c r="BF5" s="298"/>
      <c r="BG5" s="298"/>
      <c r="BH5" s="298"/>
      <c r="BI5" s="402" t="s">
        <v>59</v>
      </c>
      <c r="BJ5" s="402"/>
      <c r="BK5" s="402"/>
      <c r="BL5" s="402"/>
      <c r="BM5" s="402"/>
      <c r="BN5" s="402"/>
      <c r="BO5" s="402"/>
      <c r="BP5" s="402"/>
      <c r="BQ5" s="402"/>
      <c r="BR5" s="402"/>
      <c r="BS5" s="402"/>
      <c r="BT5" s="402"/>
      <c r="BU5" s="402"/>
      <c r="BV5" s="402"/>
      <c r="BW5" s="402"/>
      <c r="BX5" s="402"/>
      <c r="BY5" s="402"/>
      <c r="BZ5" s="402"/>
      <c r="CA5" s="402"/>
      <c r="CB5" s="402"/>
      <c r="CC5" s="402"/>
      <c r="CD5" s="402"/>
      <c r="CE5" s="402"/>
      <c r="CF5" s="402"/>
      <c r="CG5" s="402"/>
      <c r="CH5" s="402"/>
      <c r="CI5" s="402"/>
      <c r="CJ5" s="402"/>
      <c r="CK5" s="402"/>
      <c r="CL5" s="402"/>
      <c r="CM5" s="402"/>
      <c r="CN5" s="402"/>
      <c r="CO5" s="402"/>
      <c r="CP5" s="402"/>
      <c r="CQ5" s="402"/>
      <c r="CR5" s="403"/>
    </row>
    <row r="6" spans="1:96" s="13" customFormat="1" ht="15" customHeight="1" x14ac:dyDescent="0.15">
      <c r="A6" s="46"/>
      <c r="B6" s="47"/>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18"/>
      <c r="BI6" s="49"/>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1"/>
    </row>
    <row r="7" spans="1:96" s="13" customFormat="1" ht="15" customHeight="1" x14ac:dyDescent="0.15">
      <c r="A7" s="46"/>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2"/>
      <c r="BJ7" s="18" t="s">
        <v>60</v>
      </c>
      <c r="BK7" s="18" t="s">
        <v>125</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6"/>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2"/>
      <c r="BJ8" s="18"/>
      <c r="BK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6"/>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2"/>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6"/>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2"/>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6"/>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2"/>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6"/>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404" t="s">
        <v>61</v>
      </c>
      <c r="BJ12" s="298"/>
      <c r="BK12" s="298"/>
      <c r="BL12" s="298"/>
      <c r="BM12" s="298"/>
      <c r="BN12" s="298"/>
      <c r="BO12" s="298"/>
      <c r="BP12" s="298"/>
      <c r="BQ12" s="298"/>
      <c r="BR12" s="298"/>
      <c r="BS12" s="298"/>
      <c r="BT12" s="298"/>
      <c r="BU12" s="298"/>
      <c r="BV12" s="298"/>
      <c r="BW12" s="298"/>
      <c r="BX12" s="298"/>
      <c r="BY12" s="298"/>
      <c r="BZ12" s="298"/>
      <c r="CA12" s="298"/>
      <c r="CB12" s="298"/>
      <c r="CC12" s="298"/>
      <c r="CD12" s="298"/>
      <c r="CE12" s="298"/>
      <c r="CF12" s="298"/>
      <c r="CG12" s="298"/>
      <c r="CH12" s="298"/>
      <c r="CI12" s="298"/>
      <c r="CJ12" s="298"/>
      <c r="CK12" s="298"/>
      <c r="CL12" s="298"/>
      <c r="CM12" s="298"/>
      <c r="CN12" s="298"/>
      <c r="CO12" s="298"/>
      <c r="CP12" s="298"/>
      <c r="CQ12" s="298"/>
      <c r="CR12" s="299"/>
    </row>
    <row r="13" spans="1:96" s="13" customFormat="1" ht="15" customHeight="1" x14ac:dyDescent="0.15">
      <c r="A13" s="46"/>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2"/>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6"/>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2"/>
      <c r="BJ14" s="13" t="s">
        <v>62</v>
      </c>
      <c r="BK14" s="13" t="s">
        <v>76</v>
      </c>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6"/>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2"/>
      <c r="CQ15" s="18"/>
      <c r="CR15" s="19"/>
    </row>
    <row r="16" spans="1:96" s="13" customFormat="1" ht="15" customHeight="1" x14ac:dyDescent="0.15">
      <c r="A16" s="4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2"/>
      <c r="BJ16" s="13" t="s">
        <v>62</v>
      </c>
      <c r="BK16" s="13" t="s">
        <v>77</v>
      </c>
      <c r="CQ16" s="18"/>
      <c r="CR16" s="19"/>
    </row>
    <row r="17" spans="1:123" s="13" customFormat="1" ht="15" customHeight="1" x14ac:dyDescent="0.15">
      <c r="A17" s="46"/>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2"/>
      <c r="BJ17" s="18"/>
      <c r="BK17" s="18"/>
      <c r="BL17" s="18"/>
      <c r="CQ17" s="18"/>
      <c r="CR17" s="19"/>
    </row>
    <row r="18" spans="1:123" s="13" customFormat="1" ht="15" customHeight="1" x14ac:dyDescent="0.15">
      <c r="A18" s="46"/>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2"/>
      <c r="BJ18" s="13" t="s">
        <v>62</v>
      </c>
      <c r="BK18" s="18" t="s">
        <v>313</v>
      </c>
      <c r="CQ18" s="18"/>
      <c r="CR18" s="19"/>
    </row>
    <row r="19" spans="1:123" s="13" customFormat="1" ht="15" customHeight="1" x14ac:dyDescent="0.15">
      <c r="A19" s="46"/>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2"/>
      <c r="BJ19" s="18"/>
      <c r="BK19" s="18" t="s">
        <v>311</v>
      </c>
      <c r="CQ19" s="18"/>
      <c r="CR19" s="19"/>
    </row>
    <row r="20" spans="1:123" s="13" customFormat="1" ht="15" customHeight="1" x14ac:dyDescent="0.15">
      <c r="A20" s="46"/>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2"/>
      <c r="BJ20" s="18"/>
      <c r="BK20" s="18"/>
      <c r="BL20" s="18" t="s">
        <v>312</v>
      </c>
      <c r="CQ20" s="18"/>
      <c r="CR20" s="19"/>
    </row>
    <row r="21" spans="1:123" s="13" customFormat="1" ht="15" customHeight="1" x14ac:dyDescent="0.15">
      <c r="A21" s="46"/>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2"/>
      <c r="BK21" s="18" t="s">
        <v>612</v>
      </c>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Q21" s="18"/>
      <c r="CR21" s="19"/>
    </row>
    <row r="22" spans="1:123" s="13" customFormat="1" ht="15" customHeight="1" x14ac:dyDescent="0.15">
      <c r="A22" s="46"/>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2"/>
      <c r="BJ22" s="18"/>
      <c r="BK22" s="18"/>
      <c r="BL22" s="18" t="s">
        <v>613</v>
      </c>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Q22" s="18"/>
      <c r="CR22" s="19"/>
    </row>
    <row r="23" spans="1:123" s="13" customFormat="1" ht="15" customHeight="1" x14ac:dyDescent="0.15">
      <c r="A23" s="46"/>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2"/>
      <c r="BJ23" s="18"/>
      <c r="BK23" s="18"/>
      <c r="BL23" s="18"/>
      <c r="CQ23" s="18"/>
      <c r="CR23" s="19"/>
    </row>
    <row r="24" spans="1:123" s="13" customFormat="1" ht="15" customHeight="1" x14ac:dyDescent="0.15">
      <c r="A24" s="46"/>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2"/>
      <c r="BJ24" s="18"/>
      <c r="BK24" s="18"/>
      <c r="BL24" s="18"/>
      <c r="CQ24" s="18"/>
      <c r="CR24" s="19"/>
    </row>
    <row r="25" spans="1:123" s="13" customFormat="1" ht="15" customHeight="1" x14ac:dyDescent="0.15">
      <c r="A25" s="46"/>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2"/>
      <c r="CQ25" s="18"/>
      <c r="CR25" s="19"/>
    </row>
    <row r="26" spans="1:123" s="13" customFormat="1" ht="15" customHeight="1" x14ac:dyDescent="0.15">
      <c r="A26" s="46"/>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2"/>
      <c r="CQ26" s="18"/>
      <c r="CR26" s="19"/>
    </row>
    <row r="27" spans="1:123" s="13" customFormat="1" ht="15" customHeight="1" x14ac:dyDescent="0.15">
      <c r="A27" s="46"/>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2"/>
      <c r="CQ27" s="18"/>
      <c r="CR27" s="19"/>
      <c r="CV27" s="18"/>
    </row>
    <row r="28" spans="1:123" s="13" customFormat="1" ht="15" customHeight="1" x14ac:dyDescent="0.15">
      <c r="A28" s="46"/>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2"/>
      <c r="CQ28" s="18"/>
      <c r="CR28" s="19"/>
    </row>
    <row r="29" spans="1:123" s="13" customFormat="1" ht="15" customHeight="1" x14ac:dyDescent="0.15">
      <c r="A29" s="46"/>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2"/>
      <c r="CQ29" s="18"/>
      <c r="CR29" s="19"/>
    </row>
    <row r="30" spans="1:123" s="13" customFormat="1" ht="15" customHeight="1" x14ac:dyDescent="0.15">
      <c r="A30" s="46"/>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2"/>
      <c r="BJ30" s="18"/>
      <c r="CQ30" s="18"/>
      <c r="CR30" s="19"/>
    </row>
    <row r="31" spans="1:123" s="13" customFormat="1" ht="15" customHeight="1" x14ac:dyDescent="0.15">
      <c r="A31" s="46"/>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2"/>
      <c r="CQ31" s="18"/>
      <c r="CR31" s="19"/>
    </row>
    <row r="32" spans="1:123" s="13" customFormat="1" ht="15" customHeight="1" x14ac:dyDescent="0.15">
      <c r="A32" s="46"/>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2"/>
      <c r="CQ32" s="18"/>
      <c r="CR32" s="19"/>
      <c r="DO32" s="18"/>
      <c r="DP32" s="18"/>
      <c r="DQ32" s="18"/>
      <c r="DR32" s="18"/>
      <c r="DS32" s="18"/>
    </row>
    <row r="33" spans="1:123" s="13" customFormat="1" ht="15" customHeight="1" x14ac:dyDescent="0.15">
      <c r="A33" s="46"/>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2"/>
      <c r="CQ33" s="18"/>
      <c r="CR33" s="19"/>
      <c r="DO33" s="18"/>
      <c r="DP33" s="18"/>
      <c r="DQ33" s="18"/>
      <c r="DR33" s="18"/>
      <c r="DS33" s="18"/>
    </row>
    <row r="34" spans="1:123" s="13" customFormat="1" ht="15" customHeight="1" x14ac:dyDescent="0.15">
      <c r="A34" s="46"/>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2"/>
      <c r="CQ34" s="18"/>
      <c r="CR34" s="19"/>
    </row>
    <row r="35" spans="1:123" s="13" customFormat="1" ht="15" customHeight="1" x14ac:dyDescent="0.15">
      <c r="A35" s="46"/>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2"/>
      <c r="CQ35" s="18"/>
      <c r="CR35" s="19"/>
    </row>
    <row r="36" spans="1:123" s="13" customFormat="1" ht="15" customHeight="1" x14ac:dyDescent="0.15">
      <c r="A36" s="46"/>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2"/>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2"/>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123" s="13" customFormat="1" ht="15" customHeight="1" x14ac:dyDescent="0.15">
      <c r="A38" s="297" t="s">
        <v>64</v>
      </c>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c r="AF38" s="298"/>
      <c r="AG38" s="298"/>
      <c r="AH38" s="298"/>
      <c r="AI38" s="298"/>
      <c r="AJ38" s="298"/>
      <c r="AK38" s="298"/>
      <c r="AL38" s="298"/>
      <c r="AM38" s="298"/>
      <c r="AN38" s="298"/>
      <c r="AO38" s="298"/>
      <c r="AP38" s="298"/>
      <c r="AQ38" s="298"/>
      <c r="AR38" s="298"/>
      <c r="AS38" s="298"/>
      <c r="AT38" s="298"/>
      <c r="AU38" s="298"/>
      <c r="AV38" s="298"/>
      <c r="AW38" s="298"/>
      <c r="AX38" s="298"/>
      <c r="AY38" s="298"/>
      <c r="AZ38" s="298"/>
      <c r="BA38" s="298"/>
      <c r="BB38" s="298"/>
      <c r="BC38" s="298"/>
      <c r="BD38" s="298"/>
      <c r="BE38" s="298"/>
      <c r="BF38" s="298"/>
      <c r="BG38" s="298"/>
      <c r="BH38" s="298"/>
      <c r="BI38" s="404" t="s">
        <v>65</v>
      </c>
      <c r="BJ38" s="298"/>
      <c r="BK38" s="298"/>
      <c r="BL38" s="298"/>
      <c r="BM38" s="298"/>
      <c r="BN38" s="298"/>
      <c r="BO38" s="298"/>
      <c r="BP38" s="298"/>
      <c r="BQ38" s="298"/>
      <c r="BR38" s="298"/>
      <c r="BS38" s="298"/>
      <c r="BT38" s="298"/>
      <c r="BU38" s="298"/>
      <c r="BV38" s="298"/>
      <c r="BW38" s="298"/>
      <c r="BX38" s="298"/>
      <c r="BY38" s="298"/>
      <c r="BZ38" s="298"/>
      <c r="CA38" s="298"/>
      <c r="CB38" s="298"/>
      <c r="CC38" s="298"/>
      <c r="CD38" s="298"/>
      <c r="CE38" s="298"/>
      <c r="CF38" s="298"/>
      <c r="CG38" s="298"/>
      <c r="CH38" s="298"/>
      <c r="CI38" s="298"/>
      <c r="CJ38" s="298"/>
      <c r="CK38" s="298"/>
      <c r="CL38" s="298"/>
      <c r="CM38" s="298"/>
      <c r="CN38" s="298"/>
      <c r="CO38" s="298"/>
      <c r="CP38" s="298"/>
      <c r="CQ38" s="298"/>
      <c r="CR38" s="299"/>
    </row>
    <row r="39" spans="1:123" s="13" customFormat="1" ht="15" customHeight="1" x14ac:dyDescent="0.15">
      <c r="A39" s="297" t="s">
        <v>66</v>
      </c>
      <c r="B39" s="298"/>
      <c r="C39" s="298"/>
      <c r="D39" s="298"/>
      <c r="E39" s="298"/>
      <c r="F39" s="298"/>
      <c r="G39" s="298"/>
      <c r="H39" s="298"/>
      <c r="I39" s="298"/>
      <c r="J39" s="407"/>
      <c r="K39" s="404" t="s">
        <v>67</v>
      </c>
      <c r="L39" s="298"/>
      <c r="M39" s="298"/>
      <c r="N39" s="298"/>
      <c r="O39" s="298"/>
      <c r="P39" s="298"/>
      <c r="Q39" s="298"/>
      <c r="R39" s="298"/>
      <c r="S39" s="298"/>
      <c r="T39" s="298"/>
      <c r="U39" s="298"/>
      <c r="V39" s="298"/>
      <c r="W39" s="298"/>
      <c r="X39" s="298"/>
      <c r="Y39" s="298"/>
      <c r="Z39" s="298"/>
      <c r="AA39" s="298"/>
      <c r="AB39" s="298"/>
      <c r="AC39" s="298"/>
      <c r="AD39" s="298"/>
      <c r="AE39" s="298"/>
      <c r="AF39" s="298"/>
      <c r="AG39" s="298"/>
      <c r="AH39" s="298"/>
      <c r="AI39" s="298"/>
      <c r="AJ39" s="298"/>
      <c r="AK39" s="298"/>
      <c r="AL39" s="298"/>
      <c r="AM39" s="298"/>
      <c r="AN39" s="298"/>
      <c r="AO39" s="298"/>
      <c r="AP39" s="298"/>
      <c r="AQ39" s="298"/>
      <c r="AR39" s="298"/>
      <c r="AS39" s="298"/>
      <c r="AT39" s="298"/>
      <c r="AU39" s="298"/>
      <c r="AV39" s="407"/>
      <c r="AW39" s="404" t="s">
        <v>68</v>
      </c>
      <c r="AX39" s="298"/>
      <c r="AY39" s="298"/>
      <c r="AZ39" s="298"/>
      <c r="BA39" s="298"/>
      <c r="BB39" s="298"/>
      <c r="BC39" s="298"/>
      <c r="BD39" s="298"/>
      <c r="BE39" s="298"/>
      <c r="BF39" s="298"/>
      <c r="BG39" s="298"/>
      <c r="BH39" s="407"/>
      <c r="BI39" s="52"/>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23" s="13" customFormat="1" ht="15" customHeight="1" x14ac:dyDescent="0.15">
      <c r="A40" s="408"/>
      <c r="B40" s="409"/>
      <c r="C40" s="409"/>
      <c r="D40" s="409"/>
      <c r="E40" s="409"/>
      <c r="F40" s="409"/>
      <c r="G40" s="409"/>
      <c r="H40" s="409"/>
      <c r="I40" s="409"/>
      <c r="J40" s="410"/>
      <c r="K40" s="509"/>
      <c r="L40" s="510"/>
      <c r="M40" s="510"/>
      <c r="N40" s="510"/>
      <c r="O40" s="510"/>
      <c r="P40" s="510"/>
      <c r="Q40" s="510"/>
      <c r="R40" s="510"/>
      <c r="S40" s="510"/>
      <c r="T40" s="510"/>
      <c r="U40" s="510"/>
      <c r="V40" s="510"/>
      <c r="W40" s="510"/>
      <c r="X40" s="510"/>
      <c r="Y40" s="510"/>
      <c r="Z40" s="510"/>
      <c r="AA40" s="510"/>
      <c r="AB40" s="510"/>
      <c r="AC40" s="510"/>
      <c r="AD40" s="510"/>
      <c r="AE40" s="510"/>
      <c r="AF40" s="510"/>
      <c r="AG40" s="510"/>
      <c r="AH40" s="510"/>
      <c r="AI40" s="510"/>
      <c r="AJ40" s="510"/>
      <c r="AK40" s="510"/>
      <c r="AL40" s="510"/>
      <c r="AM40" s="510"/>
      <c r="AN40" s="510"/>
      <c r="AO40" s="510"/>
      <c r="AP40" s="510"/>
      <c r="AQ40" s="510"/>
      <c r="AR40" s="510"/>
      <c r="AS40" s="510"/>
      <c r="AT40" s="510"/>
      <c r="AU40" s="510"/>
      <c r="AV40" s="511"/>
      <c r="AW40" s="509"/>
      <c r="AX40" s="510"/>
      <c r="AY40" s="510"/>
      <c r="AZ40" s="510"/>
      <c r="BA40" s="510"/>
      <c r="BB40" s="510"/>
      <c r="BC40" s="510"/>
      <c r="BD40" s="510"/>
      <c r="BE40" s="510"/>
      <c r="BF40" s="510"/>
      <c r="BG40" s="510"/>
      <c r="BH40" s="511"/>
      <c r="BI40" s="52"/>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23" s="13" customFormat="1" ht="15" customHeight="1" x14ac:dyDescent="0.15">
      <c r="A41" s="386"/>
      <c r="B41" s="387"/>
      <c r="C41" s="387"/>
      <c r="D41" s="387"/>
      <c r="E41" s="387"/>
      <c r="F41" s="387"/>
      <c r="G41" s="387"/>
      <c r="H41" s="387"/>
      <c r="I41" s="387"/>
      <c r="J41" s="388"/>
      <c r="K41" s="389"/>
      <c r="L41" s="387"/>
      <c r="M41" s="387"/>
      <c r="N41" s="387"/>
      <c r="O41" s="387"/>
      <c r="P41" s="387"/>
      <c r="Q41" s="387"/>
      <c r="R41" s="387"/>
      <c r="S41" s="387"/>
      <c r="T41" s="387"/>
      <c r="U41" s="387"/>
      <c r="V41" s="387"/>
      <c r="W41" s="387"/>
      <c r="X41" s="387"/>
      <c r="Y41" s="387"/>
      <c r="Z41" s="387"/>
      <c r="AA41" s="387"/>
      <c r="AB41" s="387"/>
      <c r="AC41" s="387"/>
      <c r="AD41" s="387"/>
      <c r="AE41" s="387"/>
      <c r="AF41" s="387"/>
      <c r="AG41" s="387"/>
      <c r="AH41" s="387"/>
      <c r="AI41" s="387"/>
      <c r="AJ41" s="387"/>
      <c r="AK41" s="387"/>
      <c r="AL41" s="387"/>
      <c r="AM41" s="387"/>
      <c r="AN41" s="387"/>
      <c r="AO41" s="387"/>
      <c r="AP41" s="387"/>
      <c r="AQ41" s="387"/>
      <c r="AR41" s="387"/>
      <c r="AS41" s="387"/>
      <c r="AT41" s="387"/>
      <c r="AU41" s="387"/>
      <c r="AV41" s="388"/>
      <c r="AW41" s="389"/>
      <c r="AX41" s="387"/>
      <c r="AY41" s="387"/>
      <c r="AZ41" s="387"/>
      <c r="BA41" s="387"/>
      <c r="BB41" s="387"/>
      <c r="BC41" s="387"/>
      <c r="BD41" s="387"/>
      <c r="BE41" s="387"/>
      <c r="BF41" s="387"/>
      <c r="BG41" s="387"/>
      <c r="BH41" s="388"/>
      <c r="BI41" s="52"/>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23" s="13" customFormat="1" ht="15" customHeight="1" x14ac:dyDescent="0.15">
      <c r="A42" s="386"/>
      <c r="B42" s="387"/>
      <c r="C42" s="387"/>
      <c r="D42" s="387"/>
      <c r="E42" s="387"/>
      <c r="F42" s="387"/>
      <c r="G42" s="387"/>
      <c r="H42" s="387"/>
      <c r="I42" s="387"/>
      <c r="J42" s="388"/>
      <c r="K42" s="389"/>
      <c r="L42" s="387"/>
      <c r="M42" s="387"/>
      <c r="N42" s="387"/>
      <c r="O42" s="387"/>
      <c r="P42" s="387"/>
      <c r="Q42" s="387"/>
      <c r="R42" s="387"/>
      <c r="S42" s="387"/>
      <c r="T42" s="387"/>
      <c r="U42" s="387"/>
      <c r="V42" s="387"/>
      <c r="W42" s="387"/>
      <c r="X42" s="387"/>
      <c r="Y42" s="387"/>
      <c r="Z42" s="387"/>
      <c r="AA42" s="387"/>
      <c r="AB42" s="387"/>
      <c r="AC42" s="387"/>
      <c r="AD42" s="387"/>
      <c r="AE42" s="387"/>
      <c r="AF42" s="387"/>
      <c r="AG42" s="387"/>
      <c r="AH42" s="387"/>
      <c r="AI42" s="387"/>
      <c r="AJ42" s="387"/>
      <c r="AK42" s="387"/>
      <c r="AL42" s="387"/>
      <c r="AM42" s="387"/>
      <c r="AN42" s="387"/>
      <c r="AO42" s="387"/>
      <c r="AP42" s="387"/>
      <c r="AQ42" s="387"/>
      <c r="AR42" s="387"/>
      <c r="AS42" s="387"/>
      <c r="AT42" s="387"/>
      <c r="AU42" s="387"/>
      <c r="AV42" s="388"/>
      <c r="AW42" s="389"/>
      <c r="AX42" s="387"/>
      <c r="AY42" s="387"/>
      <c r="AZ42" s="387"/>
      <c r="BA42" s="387"/>
      <c r="BB42" s="387"/>
      <c r="BC42" s="387"/>
      <c r="BD42" s="387"/>
      <c r="BE42" s="387"/>
      <c r="BF42" s="387"/>
      <c r="BG42" s="387"/>
      <c r="BH42" s="388"/>
      <c r="BI42" s="52"/>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123" s="13" customFormat="1" ht="15" customHeight="1" x14ac:dyDescent="0.15">
      <c r="A43" s="386"/>
      <c r="B43" s="387"/>
      <c r="C43" s="387"/>
      <c r="D43" s="387"/>
      <c r="E43" s="387"/>
      <c r="F43" s="387"/>
      <c r="G43" s="387"/>
      <c r="H43" s="387"/>
      <c r="I43" s="387"/>
      <c r="J43" s="388"/>
      <c r="K43" s="389"/>
      <c r="L43" s="387"/>
      <c r="M43" s="387"/>
      <c r="N43" s="387"/>
      <c r="O43" s="387"/>
      <c r="P43" s="387"/>
      <c r="Q43" s="387"/>
      <c r="R43" s="387"/>
      <c r="S43" s="387"/>
      <c r="T43" s="387"/>
      <c r="U43" s="387"/>
      <c r="V43" s="387"/>
      <c r="W43" s="387"/>
      <c r="X43" s="387"/>
      <c r="Y43" s="387"/>
      <c r="Z43" s="387"/>
      <c r="AA43" s="387"/>
      <c r="AB43" s="387"/>
      <c r="AC43" s="387"/>
      <c r="AD43" s="387"/>
      <c r="AE43" s="387"/>
      <c r="AF43" s="387"/>
      <c r="AG43" s="387"/>
      <c r="AH43" s="387"/>
      <c r="AI43" s="387"/>
      <c r="AJ43" s="387"/>
      <c r="AK43" s="387"/>
      <c r="AL43" s="387"/>
      <c r="AM43" s="387"/>
      <c r="AN43" s="387"/>
      <c r="AO43" s="387"/>
      <c r="AP43" s="387"/>
      <c r="AQ43" s="387"/>
      <c r="AR43" s="387"/>
      <c r="AS43" s="387"/>
      <c r="AT43" s="387"/>
      <c r="AU43" s="387"/>
      <c r="AV43" s="388"/>
      <c r="AW43" s="389"/>
      <c r="AX43" s="387"/>
      <c r="AY43" s="387"/>
      <c r="AZ43" s="387"/>
      <c r="BA43" s="387"/>
      <c r="BB43" s="387"/>
      <c r="BC43" s="387"/>
      <c r="BD43" s="387"/>
      <c r="BE43" s="387"/>
      <c r="BF43" s="387"/>
      <c r="BG43" s="387"/>
      <c r="BH43" s="388"/>
      <c r="BI43" s="404" t="s">
        <v>69</v>
      </c>
      <c r="BJ43" s="298"/>
      <c r="BK43" s="298"/>
      <c r="BL43" s="298"/>
      <c r="BM43" s="298"/>
      <c r="BN43" s="298"/>
      <c r="BO43" s="298"/>
      <c r="BP43" s="298"/>
      <c r="BQ43" s="298"/>
      <c r="BR43" s="298"/>
      <c r="BS43" s="298"/>
      <c r="BT43" s="298"/>
      <c r="BU43" s="298"/>
      <c r="BV43" s="298"/>
      <c r="BW43" s="298"/>
      <c r="BX43" s="298"/>
      <c r="BY43" s="298"/>
      <c r="BZ43" s="298"/>
      <c r="CA43" s="298"/>
      <c r="CB43" s="298"/>
      <c r="CC43" s="298"/>
      <c r="CD43" s="298"/>
      <c r="CE43" s="298"/>
      <c r="CF43" s="298"/>
      <c r="CG43" s="298"/>
      <c r="CH43" s="298"/>
      <c r="CI43" s="298"/>
      <c r="CJ43" s="298"/>
      <c r="CK43" s="298"/>
      <c r="CL43" s="298"/>
      <c r="CM43" s="298"/>
      <c r="CN43" s="298"/>
      <c r="CO43" s="298"/>
      <c r="CP43" s="298"/>
      <c r="CQ43" s="298"/>
      <c r="CR43" s="299"/>
    </row>
    <row r="44" spans="1:123" s="13" customFormat="1" ht="15" customHeight="1" x14ac:dyDescent="0.15">
      <c r="A44" s="386"/>
      <c r="B44" s="387"/>
      <c r="C44" s="387"/>
      <c r="D44" s="387"/>
      <c r="E44" s="387"/>
      <c r="F44" s="387"/>
      <c r="G44" s="387"/>
      <c r="H44" s="387"/>
      <c r="I44" s="387"/>
      <c r="J44" s="388"/>
      <c r="K44" s="389"/>
      <c r="L44" s="387"/>
      <c r="M44" s="387"/>
      <c r="N44" s="387"/>
      <c r="O44" s="387"/>
      <c r="P44" s="387"/>
      <c r="Q44" s="387"/>
      <c r="R44" s="387"/>
      <c r="S44" s="387"/>
      <c r="T44" s="387"/>
      <c r="U44" s="387"/>
      <c r="V44" s="387"/>
      <c r="W44" s="387"/>
      <c r="X44" s="387"/>
      <c r="Y44" s="387"/>
      <c r="Z44" s="387"/>
      <c r="AA44" s="387"/>
      <c r="AB44" s="387"/>
      <c r="AC44" s="387"/>
      <c r="AD44" s="387"/>
      <c r="AE44" s="387"/>
      <c r="AF44" s="387"/>
      <c r="AG44" s="387"/>
      <c r="AH44" s="387"/>
      <c r="AI44" s="387"/>
      <c r="AJ44" s="387"/>
      <c r="AK44" s="387"/>
      <c r="AL44" s="387"/>
      <c r="AM44" s="387"/>
      <c r="AN44" s="387"/>
      <c r="AO44" s="387"/>
      <c r="AP44" s="387"/>
      <c r="AQ44" s="387"/>
      <c r="AR44" s="387"/>
      <c r="AS44" s="387"/>
      <c r="AT44" s="387"/>
      <c r="AU44" s="387"/>
      <c r="AV44" s="388"/>
      <c r="AW44" s="389"/>
      <c r="AX44" s="387"/>
      <c r="AY44" s="387"/>
      <c r="AZ44" s="387"/>
      <c r="BA44" s="387"/>
      <c r="BB44" s="387"/>
      <c r="BC44" s="387"/>
      <c r="BD44" s="387"/>
      <c r="BE44" s="387"/>
      <c r="BF44" s="387"/>
      <c r="BG44" s="387"/>
      <c r="BH44" s="388"/>
      <c r="BI44" s="52"/>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23" s="13" customFormat="1" ht="15" customHeight="1" x14ac:dyDescent="0.15">
      <c r="A45" s="386"/>
      <c r="B45" s="387"/>
      <c r="C45" s="387"/>
      <c r="D45" s="387"/>
      <c r="E45" s="387"/>
      <c r="F45" s="387"/>
      <c r="G45" s="387"/>
      <c r="H45" s="387"/>
      <c r="I45" s="387"/>
      <c r="J45" s="388"/>
      <c r="K45" s="389"/>
      <c r="L45" s="387"/>
      <c r="M45" s="387"/>
      <c r="N45" s="387"/>
      <c r="O45" s="387"/>
      <c r="P45" s="387"/>
      <c r="Q45" s="387"/>
      <c r="R45" s="387"/>
      <c r="S45" s="387"/>
      <c r="T45" s="387"/>
      <c r="U45" s="387"/>
      <c r="V45" s="387"/>
      <c r="W45" s="387"/>
      <c r="X45" s="387"/>
      <c r="Y45" s="387"/>
      <c r="Z45" s="387"/>
      <c r="AA45" s="387"/>
      <c r="AB45" s="387"/>
      <c r="AC45" s="387"/>
      <c r="AD45" s="387"/>
      <c r="AE45" s="387"/>
      <c r="AF45" s="387"/>
      <c r="AG45" s="387"/>
      <c r="AH45" s="387"/>
      <c r="AI45" s="387"/>
      <c r="AJ45" s="387"/>
      <c r="AK45" s="387"/>
      <c r="AL45" s="387"/>
      <c r="AM45" s="387"/>
      <c r="AN45" s="387"/>
      <c r="AO45" s="387"/>
      <c r="AP45" s="387"/>
      <c r="AQ45" s="387"/>
      <c r="AR45" s="387"/>
      <c r="AS45" s="387"/>
      <c r="AT45" s="387"/>
      <c r="AU45" s="387"/>
      <c r="AV45" s="388"/>
      <c r="AW45" s="389"/>
      <c r="AX45" s="387"/>
      <c r="AY45" s="387"/>
      <c r="AZ45" s="387"/>
      <c r="BA45" s="387"/>
      <c r="BB45" s="387"/>
      <c r="BC45" s="387"/>
      <c r="BD45" s="387"/>
      <c r="BE45" s="387"/>
      <c r="BF45" s="387"/>
      <c r="BG45" s="387"/>
      <c r="BH45" s="388"/>
      <c r="BI45" s="52"/>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123" s="13" customFormat="1" ht="15" customHeight="1" x14ac:dyDescent="0.15">
      <c r="A46" s="386"/>
      <c r="B46" s="387"/>
      <c r="C46" s="387"/>
      <c r="D46" s="387"/>
      <c r="E46" s="387"/>
      <c r="F46" s="387"/>
      <c r="G46" s="387"/>
      <c r="H46" s="387"/>
      <c r="I46" s="387"/>
      <c r="J46" s="388"/>
      <c r="K46" s="389"/>
      <c r="L46" s="387"/>
      <c r="M46" s="387"/>
      <c r="N46" s="387"/>
      <c r="O46" s="387"/>
      <c r="P46" s="387"/>
      <c r="Q46" s="387"/>
      <c r="R46" s="387"/>
      <c r="S46" s="387"/>
      <c r="T46" s="387"/>
      <c r="U46" s="387"/>
      <c r="V46" s="387"/>
      <c r="W46" s="387"/>
      <c r="X46" s="387"/>
      <c r="Y46" s="387"/>
      <c r="Z46" s="387"/>
      <c r="AA46" s="387"/>
      <c r="AB46" s="387"/>
      <c r="AC46" s="387"/>
      <c r="AD46" s="387"/>
      <c r="AE46" s="387"/>
      <c r="AF46" s="387"/>
      <c r="AG46" s="387"/>
      <c r="AH46" s="387"/>
      <c r="AI46" s="387"/>
      <c r="AJ46" s="387"/>
      <c r="AK46" s="387"/>
      <c r="AL46" s="387"/>
      <c r="AM46" s="387"/>
      <c r="AN46" s="387"/>
      <c r="AO46" s="387"/>
      <c r="AP46" s="387"/>
      <c r="AQ46" s="387"/>
      <c r="AR46" s="387"/>
      <c r="AS46" s="387"/>
      <c r="AT46" s="387"/>
      <c r="AU46" s="387"/>
      <c r="AV46" s="388"/>
      <c r="AW46" s="389"/>
      <c r="AX46" s="387"/>
      <c r="AY46" s="387"/>
      <c r="AZ46" s="387"/>
      <c r="BA46" s="387"/>
      <c r="BB46" s="387"/>
      <c r="BC46" s="387"/>
      <c r="BD46" s="387"/>
      <c r="BE46" s="387"/>
      <c r="BF46" s="387"/>
      <c r="BG46" s="387"/>
      <c r="BH46" s="388"/>
      <c r="BI46" s="52"/>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23" s="13" customFormat="1" ht="15" customHeight="1" thickBot="1" x14ac:dyDescent="0.2">
      <c r="A47" s="382"/>
      <c r="B47" s="383"/>
      <c r="C47" s="383"/>
      <c r="D47" s="383"/>
      <c r="E47" s="383"/>
      <c r="F47" s="383"/>
      <c r="G47" s="383"/>
      <c r="H47" s="383"/>
      <c r="I47" s="383"/>
      <c r="J47" s="384"/>
      <c r="K47" s="385"/>
      <c r="L47" s="383"/>
      <c r="M47" s="383"/>
      <c r="N47" s="383"/>
      <c r="O47" s="383"/>
      <c r="P47" s="383"/>
      <c r="Q47" s="383"/>
      <c r="R47" s="383"/>
      <c r="S47" s="383"/>
      <c r="T47" s="383"/>
      <c r="U47" s="383"/>
      <c r="V47" s="383"/>
      <c r="W47" s="383"/>
      <c r="X47" s="383"/>
      <c r="Y47" s="383"/>
      <c r="Z47" s="383"/>
      <c r="AA47" s="383"/>
      <c r="AB47" s="383"/>
      <c r="AC47" s="383"/>
      <c r="AD47" s="383"/>
      <c r="AE47" s="383"/>
      <c r="AF47" s="383"/>
      <c r="AG47" s="383"/>
      <c r="AH47" s="383"/>
      <c r="AI47" s="383"/>
      <c r="AJ47" s="383"/>
      <c r="AK47" s="383"/>
      <c r="AL47" s="383"/>
      <c r="AM47" s="383"/>
      <c r="AN47" s="383"/>
      <c r="AO47" s="383"/>
      <c r="AP47" s="383"/>
      <c r="AQ47" s="383"/>
      <c r="AR47" s="383"/>
      <c r="AS47" s="383"/>
      <c r="AT47" s="383"/>
      <c r="AU47" s="383"/>
      <c r="AV47" s="384"/>
      <c r="AW47" s="385"/>
      <c r="AX47" s="383"/>
      <c r="AY47" s="383"/>
      <c r="AZ47" s="383"/>
      <c r="BA47" s="383"/>
      <c r="BB47" s="383"/>
      <c r="BC47" s="383"/>
      <c r="BD47" s="383"/>
      <c r="BE47" s="383"/>
      <c r="BF47" s="383"/>
      <c r="BG47" s="383"/>
      <c r="BH47" s="384"/>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row>
    <row r="48" spans="1:123" s="12" customFormat="1" ht="15" customHeight="1" x14ac:dyDescent="0.15">
      <c r="A48" s="297" t="s">
        <v>71</v>
      </c>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c r="AF48" s="298"/>
      <c r="AG48" s="298"/>
      <c r="AH48" s="298"/>
      <c r="AI48" s="298"/>
      <c r="AJ48" s="298"/>
      <c r="AK48" s="298"/>
      <c r="AL48" s="298"/>
      <c r="AM48" s="298"/>
      <c r="AN48" s="298"/>
      <c r="AO48" s="298"/>
      <c r="AP48" s="298"/>
      <c r="AQ48" s="298"/>
      <c r="AR48" s="298"/>
      <c r="AS48" s="298"/>
      <c r="AT48" s="298"/>
      <c r="AU48" s="298"/>
      <c r="AV48" s="298"/>
      <c r="AW48" s="298"/>
      <c r="AX48" s="298"/>
      <c r="AY48" s="298"/>
      <c r="AZ48" s="298"/>
      <c r="BA48" s="298"/>
      <c r="BB48" s="298"/>
      <c r="BC48" s="298"/>
      <c r="BD48" s="298"/>
      <c r="BE48" s="298"/>
      <c r="BF48" s="298"/>
      <c r="BG48" s="298"/>
      <c r="BH48" s="298"/>
      <c r="BI48" s="298"/>
      <c r="BJ48" s="298"/>
      <c r="BK48" s="298"/>
      <c r="BL48" s="298"/>
      <c r="BM48" s="298"/>
      <c r="BN48" s="298"/>
      <c r="BO48" s="298"/>
      <c r="BP48" s="298"/>
      <c r="BQ48" s="298"/>
      <c r="BR48" s="298"/>
      <c r="BS48" s="298"/>
      <c r="BT48" s="298"/>
      <c r="BU48" s="298"/>
      <c r="BV48" s="298"/>
      <c r="BW48" s="298"/>
      <c r="BX48" s="298"/>
      <c r="BY48" s="298"/>
      <c r="BZ48" s="298"/>
      <c r="CA48" s="298"/>
      <c r="CB48" s="298"/>
      <c r="CC48" s="298"/>
      <c r="CD48" s="298"/>
      <c r="CE48" s="298"/>
      <c r="CF48" s="298"/>
      <c r="CG48" s="298"/>
      <c r="CH48" s="298"/>
      <c r="CI48" s="298"/>
      <c r="CJ48" s="298"/>
      <c r="CK48" s="298"/>
      <c r="CL48" s="298"/>
      <c r="CM48" s="298"/>
      <c r="CN48" s="298"/>
      <c r="CO48" s="298"/>
      <c r="CP48" s="298"/>
      <c r="CQ48" s="298"/>
      <c r="CR48" s="299"/>
    </row>
    <row r="49" spans="1:96" s="60" customFormat="1" ht="15" customHeight="1" x14ac:dyDescent="0.2">
      <c r="A49" s="57"/>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9"/>
    </row>
    <row r="50" spans="1:96" s="60" customFormat="1" ht="15" customHeight="1" x14ac:dyDescent="0.2">
      <c r="A50" s="57"/>
      <c r="B50" s="58" t="s">
        <v>202</v>
      </c>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t="s">
        <v>371</v>
      </c>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9"/>
    </row>
    <row r="51" spans="1:96" s="60" customFormat="1" ht="15" customHeight="1" x14ac:dyDescent="0.2">
      <c r="A51" s="57"/>
      <c r="B51" s="58"/>
      <c r="C51" s="377" t="s">
        <v>127</v>
      </c>
      <c r="D51" s="378"/>
      <c r="E51" s="378"/>
      <c r="F51" s="378"/>
      <c r="G51" s="378"/>
      <c r="H51" s="378"/>
      <c r="I51" s="378"/>
      <c r="J51" s="378"/>
      <c r="K51" s="378"/>
      <c r="L51" s="378"/>
      <c r="M51" s="378"/>
      <c r="N51" s="378"/>
      <c r="O51" s="378"/>
      <c r="P51" s="379"/>
      <c r="Q51" s="377" t="s">
        <v>128</v>
      </c>
      <c r="R51" s="378"/>
      <c r="S51" s="378"/>
      <c r="T51" s="378"/>
      <c r="U51" s="379"/>
      <c r="V51" s="377" t="s">
        <v>161</v>
      </c>
      <c r="W51" s="378"/>
      <c r="X51" s="378"/>
      <c r="Y51" s="378"/>
      <c r="Z51" s="378"/>
      <c r="AA51" s="378"/>
      <c r="AB51" s="378"/>
      <c r="AC51" s="378"/>
      <c r="AD51" s="378"/>
      <c r="AE51" s="378"/>
      <c r="AF51" s="378"/>
      <c r="AG51" s="378"/>
      <c r="AH51" s="378"/>
      <c r="AI51" s="378"/>
      <c r="AJ51" s="378"/>
      <c r="AK51" s="378"/>
      <c r="AL51" s="378"/>
      <c r="AM51" s="378"/>
      <c r="AN51" s="378"/>
      <c r="AO51" s="378"/>
      <c r="AP51" s="378"/>
      <c r="AQ51" s="378"/>
      <c r="AR51" s="378"/>
      <c r="AS51" s="379"/>
      <c r="AY51" s="60" t="s">
        <v>424</v>
      </c>
      <c r="CK51" s="58"/>
      <c r="CL51" s="58"/>
      <c r="CM51" s="58"/>
      <c r="CN51" s="58"/>
      <c r="CO51" s="58"/>
      <c r="CP51" s="58"/>
      <c r="CQ51" s="58"/>
      <c r="CR51" s="59"/>
    </row>
    <row r="52" spans="1:96" s="60" customFormat="1" ht="15" customHeight="1" x14ac:dyDescent="0.2">
      <c r="A52" s="57"/>
      <c r="B52" s="58"/>
      <c r="C52" s="512" t="s">
        <v>187</v>
      </c>
      <c r="D52" s="512"/>
      <c r="E52" s="512"/>
      <c r="F52" s="512"/>
      <c r="G52" s="512"/>
      <c r="H52" s="512"/>
      <c r="I52" s="512"/>
      <c r="J52" s="512"/>
      <c r="K52" s="512"/>
      <c r="L52" s="512"/>
      <c r="M52" s="512"/>
      <c r="N52" s="512"/>
      <c r="O52" s="512"/>
      <c r="P52" s="512"/>
      <c r="Q52" s="335" t="s">
        <v>481</v>
      </c>
      <c r="R52" s="335"/>
      <c r="S52" s="335"/>
      <c r="T52" s="335"/>
      <c r="U52" s="335"/>
      <c r="V52" s="513" t="s">
        <v>201</v>
      </c>
      <c r="W52" s="513"/>
      <c r="X52" s="513"/>
      <c r="Y52" s="513"/>
      <c r="Z52" s="513"/>
      <c r="AA52" s="513"/>
      <c r="AB52" s="513"/>
      <c r="AC52" s="513"/>
      <c r="AD52" s="513"/>
      <c r="AE52" s="513"/>
      <c r="AF52" s="513"/>
      <c r="AG52" s="513"/>
      <c r="AH52" s="513"/>
      <c r="AI52" s="513"/>
      <c r="AJ52" s="513"/>
      <c r="AK52" s="513"/>
      <c r="AL52" s="513"/>
      <c r="AM52" s="513"/>
      <c r="AN52" s="513"/>
      <c r="AO52" s="513"/>
      <c r="AP52" s="513"/>
      <c r="AQ52" s="513"/>
      <c r="AR52" s="513"/>
      <c r="AS52" s="513"/>
      <c r="AY52" s="119"/>
      <c r="CK52" s="58"/>
      <c r="CL52" s="58"/>
      <c r="CQ52" s="58"/>
      <c r="CR52" s="59"/>
    </row>
    <row r="53" spans="1:96" s="60" customFormat="1" ht="15" customHeight="1" x14ac:dyDescent="0.2">
      <c r="A53" s="57"/>
      <c r="B53" s="58"/>
      <c r="C53" s="512"/>
      <c r="D53" s="512"/>
      <c r="E53" s="512"/>
      <c r="F53" s="512"/>
      <c r="G53" s="512"/>
      <c r="H53" s="512"/>
      <c r="I53" s="512"/>
      <c r="J53" s="512"/>
      <c r="K53" s="512"/>
      <c r="L53" s="512"/>
      <c r="M53" s="512"/>
      <c r="N53" s="512"/>
      <c r="O53" s="512"/>
      <c r="P53" s="512"/>
      <c r="Q53" s="335"/>
      <c r="R53" s="335"/>
      <c r="S53" s="335"/>
      <c r="T53" s="335"/>
      <c r="U53" s="335"/>
      <c r="V53" s="513"/>
      <c r="W53" s="513"/>
      <c r="X53" s="513"/>
      <c r="Y53" s="513"/>
      <c r="Z53" s="513"/>
      <c r="AA53" s="513"/>
      <c r="AB53" s="513"/>
      <c r="AC53" s="513"/>
      <c r="AD53" s="513"/>
      <c r="AE53" s="513"/>
      <c r="AF53" s="513"/>
      <c r="AG53" s="513"/>
      <c r="AH53" s="513"/>
      <c r="AI53" s="513"/>
      <c r="AJ53" s="513"/>
      <c r="AK53" s="513"/>
      <c r="AL53" s="513"/>
      <c r="AM53" s="513"/>
      <c r="AN53" s="513"/>
      <c r="AO53" s="513"/>
      <c r="AP53" s="513"/>
      <c r="AQ53" s="513"/>
      <c r="AR53" s="513"/>
      <c r="AS53" s="513"/>
      <c r="AY53" s="435"/>
      <c r="AZ53" s="436"/>
      <c r="BA53" s="437"/>
      <c r="BB53" s="435"/>
      <c r="BC53" s="436"/>
      <c r="BD53" s="437"/>
      <c r="BE53" s="435">
        <v>1</v>
      </c>
      <c r="BF53" s="436"/>
      <c r="BG53" s="437"/>
      <c r="BH53" s="435">
        <v>0</v>
      </c>
      <c r="BI53" s="436"/>
      <c r="BJ53" s="437"/>
      <c r="BK53" s="435">
        <v>1</v>
      </c>
      <c r="BL53" s="436"/>
      <c r="BM53" s="437"/>
      <c r="BN53" s="435" t="s">
        <v>383</v>
      </c>
      <c r="BO53" s="436"/>
      <c r="BP53" s="437"/>
      <c r="BQ53" s="435" t="s">
        <v>384</v>
      </c>
      <c r="BR53" s="436"/>
      <c r="BS53" s="437"/>
      <c r="BT53" s="435">
        <v>0</v>
      </c>
      <c r="BU53" s="436"/>
      <c r="BV53" s="437"/>
      <c r="BW53" s="435">
        <v>0</v>
      </c>
      <c r="BX53" s="436"/>
      <c r="BY53" s="437"/>
      <c r="BZ53" s="435">
        <v>1</v>
      </c>
      <c r="CA53" s="436"/>
      <c r="CB53" s="437"/>
      <c r="CD53" s="58"/>
      <c r="CE53" s="58"/>
      <c r="CF53" s="58"/>
      <c r="CG53" s="58"/>
      <c r="CH53" s="58"/>
      <c r="CI53" s="58"/>
      <c r="CQ53" s="58"/>
      <c r="CR53" s="59"/>
    </row>
    <row r="54" spans="1:96" s="60" customFormat="1" ht="15" customHeight="1" x14ac:dyDescent="0.2">
      <c r="A54" s="57"/>
      <c r="B54" s="58"/>
      <c r="C54" s="327" t="s">
        <v>182</v>
      </c>
      <c r="D54" s="328"/>
      <c r="E54" s="328"/>
      <c r="F54" s="328"/>
      <c r="G54" s="328"/>
      <c r="H54" s="328"/>
      <c r="I54" s="328"/>
      <c r="J54" s="328"/>
      <c r="K54" s="328"/>
      <c r="L54" s="328"/>
      <c r="M54" s="328"/>
      <c r="N54" s="328"/>
      <c r="O54" s="328"/>
      <c r="P54" s="329"/>
      <c r="Q54" s="335" t="s">
        <v>481</v>
      </c>
      <c r="R54" s="335"/>
      <c r="S54" s="335"/>
      <c r="T54" s="335"/>
      <c r="U54" s="335"/>
      <c r="V54" s="333"/>
      <c r="W54" s="333"/>
      <c r="X54" s="333"/>
      <c r="Y54" s="333"/>
      <c r="Z54" s="333"/>
      <c r="AA54" s="333"/>
      <c r="AB54" s="333"/>
      <c r="AC54" s="333"/>
      <c r="AD54" s="333"/>
      <c r="AE54" s="333"/>
      <c r="AF54" s="333"/>
      <c r="AG54" s="333"/>
      <c r="AH54" s="333"/>
      <c r="AI54" s="333"/>
      <c r="AJ54" s="333"/>
      <c r="AK54" s="333"/>
      <c r="AL54" s="333"/>
      <c r="AM54" s="333"/>
      <c r="AN54" s="333"/>
      <c r="AO54" s="333"/>
      <c r="AP54" s="333"/>
      <c r="AQ54" s="333"/>
      <c r="AR54" s="333"/>
      <c r="AS54" s="333"/>
      <c r="AY54" s="438"/>
      <c r="AZ54" s="439"/>
      <c r="BA54" s="440"/>
      <c r="BB54" s="438"/>
      <c r="BC54" s="439"/>
      <c r="BD54" s="440"/>
      <c r="BE54" s="438"/>
      <c r="BF54" s="439"/>
      <c r="BG54" s="440"/>
      <c r="BH54" s="438"/>
      <c r="BI54" s="439"/>
      <c r="BJ54" s="440"/>
      <c r="BK54" s="438"/>
      <c r="BL54" s="439"/>
      <c r="BM54" s="440"/>
      <c r="BN54" s="438"/>
      <c r="BO54" s="439"/>
      <c r="BP54" s="440"/>
      <c r="BQ54" s="438"/>
      <c r="BR54" s="439"/>
      <c r="BS54" s="440"/>
      <c r="BT54" s="438"/>
      <c r="BU54" s="439"/>
      <c r="BV54" s="440"/>
      <c r="BW54" s="438"/>
      <c r="BX54" s="439"/>
      <c r="BY54" s="440"/>
      <c r="BZ54" s="438"/>
      <c r="CA54" s="439"/>
      <c r="CB54" s="440"/>
      <c r="CC54" s="58"/>
      <c r="CD54" s="58"/>
      <c r="CE54" s="58"/>
      <c r="CF54" s="58"/>
      <c r="CG54" s="58"/>
      <c r="CH54" s="58"/>
      <c r="CI54" s="58"/>
      <c r="CQ54" s="58"/>
      <c r="CR54" s="59"/>
    </row>
    <row r="55" spans="1:96" s="60" customFormat="1" ht="15" customHeight="1" x14ac:dyDescent="0.2">
      <c r="A55" s="57"/>
      <c r="B55" s="58"/>
      <c r="C55" s="327" t="s">
        <v>177</v>
      </c>
      <c r="D55" s="328"/>
      <c r="E55" s="328"/>
      <c r="F55" s="328"/>
      <c r="G55" s="328"/>
      <c r="H55" s="328"/>
      <c r="I55" s="328"/>
      <c r="J55" s="328"/>
      <c r="K55" s="328"/>
      <c r="L55" s="328"/>
      <c r="M55" s="328"/>
      <c r="N55" s="328"/>
      <c r="O55" s="328"/>
      <c r="P55" s="329"/>
      <c r="Q55" s="335" t="s">
        <v>481</v>
      </c>
      <c r="R55" s="335"/>
      <c r="S55" s="335"/>
      <c r="T55" s="335"/>
      <c r="U55" s="335"/>
      <c r="V55" s="506" t="s">
        <v>586</v>
      </c>
      <c r="W55" s="507"/>
      <c r="X55" s="507"/>
      <c r="Y55" s="507"/>
      <c r="Z55" s="507"/>
      <c r="AA55" s="507"/>
      <c r="AB55" s="507"/>
      <c r="AC55" s="507"/>
      <c r="AD55" s="507"/>
      <c r="AE55" s="507"/>
      <c r="AF55" s="507"/>
      <c r="AG55" s="507"/>
      <c r="AH55" s="507"/>
      <c r="AI55" s="507"/>
      <c r="AJ55" s="507"/>
      <c r="AK55" s="507"/>
      <c r="AL55" s="507"/>
      <c r="AM55" s="507"/>
      <c r="AN55" s="507"/>
      <c r="AO55" s="507"/>
      <c r="AP55" s="507"/>
      <c r="AQ55" s="507"/>
      <c r="AR55" s="507"/>
      <c r="AS55" s="508"/>
      <c r="AY55" s="438"/>
      <c r="AZ55" s="439"/>
      <c r="BA55" s="440"/>
      <c r="BB55" s="438"/>
      <c r="BC55" s="439"/>
      <c r="BD55" s="440"/>
      <c r="BE55" s="438"/>
      <c r="BF55" s="439"/>
      <c r="BG55" s="440"/>
      <c r="BH55" s="438"/>
      <c r="BI55" s="439"/>
      <c r="BJ55" s="440"/>
      <c r="BK55" s="438"/>
      <c r="BL55" s="439"/>
      <c r="BM55" s="440"/>
      <c r="BN55" s="438"/>
      <c r="BO55" s="439"/>
      <c r="BP55" s="440"/>
      <c r="BQ55" s="438"/>
      <c r="BR55" s="439"/>
      <c r="BS55" s="440"/>
      <c r="BT55" s="438"/>
      <c r="BU55" s="439"/>
      <c r="BV55" s="440"/>
      <c r="BW55" s="438"/>
      <c r="BX55" s="439"/>
      <c r="BY55" s="440"/>
      <c r="BZ55" s="438"/>
      <c r="CA55" s="439"/>
      <c r="CB55" s="440"/>
      <c r="CC55" s="58"/>
      <c r="CD55" s="58"/>
      <c r="CE55" s="58"/>
      <c r="CF55" s="58"/>
      <c r="CG55" s="58"/>
      <c r="CH55" s="58"/>
      <c r="CI55" s="58"/>
      <c r="CQ55" s="58"/>
      <c r="CR55" s="59"/>
    </row>
    <row r="56" spans="1:96" s="60" customFormat="1" ht="15" customHeight="1" x14ac:dyDescent="0.2">
      <c r="A56" s="57"/>
      <c r="B56" s="58"/>
      <c r="C56" s="412" t="s">
        <v>178</v>
      </c>
      <c r="D56" s="412"/>
      <c r="E56" s="412"/>
      <c r="F56" s="412"/>
      <c r="G56" s="412"/>
      <c r="H56" s="412"/>
      <c r="I56" s="412"/>
      <c r="J56" s="412"/>
      <c r="K56" s="412"/>
      <c r="L56" s="412"/>
      <c r="M56" s="412"/>
      <c r="N56" s="412"/>
      <c r="O56" s="412"/>
      <c r="P56" s="412"/>
      <c r="Q56" s="335" t="s">
        <v>480</v>
      </c>
      <c r="R56" s="335"/>
      <c r="S56" s="335"/>
      <c r="T56" s="335"/>
      <c r="U56" s="335"/>
      <c r="V56" s="513" t="s">
        <v>486</v>
      </c>
      <c r="W56" s="513"/>
      <c r="X56" s="513"/>
      <c r="Y56" s="513"/>
      <c r="Z56" s="513"/>
      <c r="AA56" s="513"/>
      <c r="AB56" s="513"/>
      <c r="AC56" s="513"/>
      <c r="AD56" s="513"/>
      <c r="AE56" s="513"/>
      <c r="AF56" s="513"/>
      <c r="AG56" s="513"/>
      <c r="AH56" s="513"/>
      <c r="AI56" s="513"/>
      <c r="AJ56" s="513"/>
      <c r="AK56" s="513"/>
      <c r="AL56" s="513"/>
      <c r="AM56" s="513"/>
      <c r="AN56" s="513"/>
      <c r="AO56" s="513"/>
      <c r="AP56" s="513"/>
      <c r="AQ56" s="513"/>
      <c r="AR56" s="513"/>
      <c r="AS56" s="513"/>
      <c r="AY56" s="441"/>
      <c r="AZ56" s="442"/>
      <c r="BA56" s="443"/>
      <c r="BB56" s="441"/>
      <c r="BC56" s="442"/>
      <c r="BD56" s="443"/>
      <c r="BE56" s="441"/>
      <c r="BF56" s="442"/>
      <c r="BG56" s="443"/>
      <c r="BH56" s="441"/>
      <c r="BI56" s="442"/>
      <c r="BJ56" s="443"/>
      <c r="BK56" s="441"/>
      <c r="BL56" s="442"/>
      <c r="BM56" s="443"/>
      <c r="BN56" s="441"/>
      <c r="BO56" s="442"/>
      <c r="BP56" s="443"/>
      <c r="BQ56" s="441"/>
      <c r="BR56" s="442"/>
      <c r="BS56" s="443"/>
      <c r="BT56" s="441"/>
      <c r="BU56" s="442"/>
      <c r="BV56" s="443"/>
      <c r="BW56" s="441"/>
      <c r="BX56" s="442"/>
      <c r="BY56" s="443"/>
      <c r="BZ56" s="441"/>
      <c r="CA56" s="442"/>
      <c r="CB56" s="443"/>
      <c r="CC56" s="58"/>
      <c r="CD56" s="58"/>
      <c r="CE56" s="58"/>
      <c r="CF56" s="58"/>
      <c r="CG56" s="58"/>
      <c r="CH56" s="58"/>
      <c r="CI56" s="58"/>
      <c r="CQ56" s="58"/>
      <c r="CR56" s="59"/>
    </row>
    <row r="57" spans="1:96" s="60" customFormat="1" ht="15" customHeight="1" x14ac:dyDescent="0.2">
      <c r="A57" s="57"/>
      <c r="B57" s="58"/>
      <c r="C57" s="412"/>
      <c r="D57" s="412"/>
      <c r="E57" s="412"/>
      <c r="F57" s="412"/>
      <c r="G57" s="412"/>
      <c r="H57" s="412"/>
      <c r="I57" s="412"/>
      <c r="J57" s="412"/>
      <c r="K57" s="412"/>
      <c r="L57" s="412"/>
      <c r="M57" s="412"/>
      <c r="N57" s="412"/>
      <c r="O57" s="412"/>
      <c r="P57" s="412"/>
      <c r="Q57" s="335"/>
      <c r="R57" s="335"/>
      <c r="S57" s="335"/>
      <c r="T57" s="335"/>
      <c r="U57" s="335"/>
      <c r="V57" s="513"/>
      <c r="W57" s="513"/>
      <c r="X57" s="513"/>
      <c r="Y57" s="513"/>
      <c r="Z57" s="513"/>
      <c r="AA57" s="513"/>
      <c r="AB57" s="513"/>
      <c r="AC57" s="513"/>
      <c r="AD57" s="513"/>
      <c r="AE57" s="513"/>
      <c r="AF57" s="513"/>
      <c r="AG57" s="513"/>
      <c r="AH57" s="513"/>
      <c r="AI57" s="513"/>
      <c r="AJ57" s="513"/>
      <c r="AK57" s="513"/>
      <c r="AL57" s="513"/>
      <c r="AM57" s="513"/>
      <c r="AN57" s="513"/>
      <c r="AO57" s="513"/>
      <c r="AP57" s="513"/>
      <c r="AQ57" s="513"/>
      <c r="AR57" s="513"/>
      <c r="AS57" s="513"/>
      <c r="AY57" s="432" t="s">
        <v>373</v>
      </c>
      <c r="AZ57" s="433"/>
      <c r="BA57" s="434"/>
      <c r="BB57" s="432" t="s">
        <v>373</v>
      </c>
      <c r="BC57" s="433"/>
      <c r="BD57" s="434"/>
      <c r="BE57" s="432" t="s">
        <v>385</v>
      </c>
      <c r="BF57" s="433"/>
      <c r="BG57" s="433"/>
      <c r="BH57" s="433"/>
      <c r="BI57" s="433"/>
      <c r="BJ57" s="433"/>
      <c r="BK57" s="433"/>
      <c r="BL57" s="433"/>
      <c r="BM57" s="434"/>
      <c r="BN57" s="432" t="s">
        <v>386</v>
      </c>
      <c r="BO57" s="433"/>
      <c r="BP57" s="433"/>
      <c r="BQ57" s="433"/>
      <c r="BR57" s="433"/>
      <c r="BS57" s="434"/>
      <c r="BT57" s="432" t="s">
        <v>387</v>
      </c>
      <c r="BU57" s="433"/>
      <c r="BV57" s="434"/>
      <c r="BW57" s="432" t="s">
        <v>322</v>
      </c>
      <c r="BX57" s="433"/>
      <c r="BY57" s="433"/>
      <c r="BZ57" s="433"/>
      <c r="CA57" s="433"/>
      <c r="CB57" s="434"/>
      <c r="CC57" s="58"/>
      <c r="CD57" s="58"/>
      <c r="CE57" s="58"/>
      <c r="CF57" s="58"/>
      <c r="CG57" s="58"/>
      <c r="CH57" s="58"/>
      <c r="CI57" s="58"/>
      <c r="CQ57" s="58"/>
      <c r="CR57" s="59"/>
    </row>
    <row r="58" spans="1:96" s="60" customFormat="1" ht="15" customHeight="1" x14ac:dyDescent="0.2">
      <c r="A58" s="57"/>
      <c r="B58" s="58"/>
      <c r="C58" s="327" t="s">
        <v>193</v>
      </c>
      <c r="D58" s="328"/>
      <c r="E58" s="328"/>
      <c r="F58" s="328"/>
      <c r="G58" s="328"/>
      <c r="H58" s="328"/>
      <c r="I58" s="328"/>
      <c r="J58" s="328"/>
      <c r="K58" s="328"/>
      <c r="L58" s="328"/>
      <c r="M58" s="328"/>
      <c r="N58" s="328"/>
      <c r="O58" s="328"/>
      <c r="P58" s="329"/>
      <c r="Q58" s="335" t="s">
        <v>481</v>
      </c>
      <c r="R58" s="335"/>
      <c r="S58" s="335"/>
      <c r="T58" s="335"/>
      <c r="U58" s="335"/>
      <c r="V58" s="506" t="s">
        <v>200</v>
      </c>
      <c r="W58" s="507"/>
      <c r="X58" s="507"/>
      <c r="Y58" s="507"/>
      <c r="Z58" s="507"/>
      <c r="AA58" s="507"/>
      <c r="AB58" s="507"/>
      <c r="AC58" s="507"/>
      <c r="AD58" s="507"/>
      <c r="AE58" s="507"/>
      <c r="AF58" s="507"/>
      <c r="AG58" s="507"/>
      <c r="AH58" s="507"/>
      <c r="AI58" s="507"/>
      <c r="AJ58" s="507"/>
      <c r="AK58" s="507"/>
      <c r="AL58" s="507"/>
      <c r="AM58" s="507"/>
      <c r="AN58" s="507"/>
      <c r="AO58" s="507"/>
      <c r="AP58" s="507"/>
      <c r="AQ58" s="507"/>
      <c r="AR58" s="507"/>
      <c r="AS58" s="508"/>
      <c r="CE58" s="58"/>
      <c r="CF58" s="58"/>
      <c r="CG58" s="58"/>
      <c r="CH58" s="58"/>
      <c r="CI58" s="58"/>
      <c r="CQ58" s="58"/>
      <c r="CR58" s="59"/>
    </row>
    <row r="59" spans="1:96" s="60" customFormat="1" ht="15" customHeight="1" x14ac:dyDescent="0.2">
      <c r="A59" s="57"/>
      <c r="B59" s="58"/>
      <c r="C59" s="327" t="s">
        <v>181</v>
      </c>
      <c r="D59" s="328"/>
      <c r="E59" s="328"/>
      <c r="F59" s="328"/>
      <c r="G59" s="328"/>
      <c r="H59" s="328"/>
      <c r="I59" s="328"/>
      <c r="J59" s="328"/>
      <c r="K59" s="328"/>
      <c r="L59" s="328"/>
      <c r="M59" s="328"/>
      <c r="N59" s="328"/>
      <c r="O59" s="328"/>
      <c r="P59" s="329"/>
      <c r="Q59" s="335" t="s">
        <v>481</v>
      </c>
      <c r="R59" s="335"/>
      <c r="S59" s="335"/>
      <c r="T59" s="335"/>
      <c r="U59" s="335"/>
      <c r="V59" s="506" t="s">
        <v>199</v>
      </c>
      <c r="W59" s="507"/>
      <c r="X59" s="507"/>
      <c r="Y59" s="507"/>
      <c r="Z59" s="507"/>
      <c r="AA59" s="507"/>
      <c r="AB59" s="507"/>
      <c r="AC59" s="507"/>
      <c r="AD59" s="507"/>
      <c r="AE59" s="507"/>
      <c r="AF59" s="507"/>
      <c r="AG59" s="507"/>
      <c r="AH59" s="507"/>
      <c r="AI59" s="507"/>
      <c r="AJ59" s="507"/>
      <c r="AK59" s="507"/>
      <c r="AL59" s="507"/>
      <c r="AM59" s="507"/>
      <c r="AN59" s="507"/>
      <c r="AO59" s="507"/>
      <c r="AP59" s="507"/>
      <c r="AQ59" s="507"/>
      <c r="AR59" s="507"/>
      <c r="AS59" s="508"/>
      <c r="AY59" s="58" t="s">
        <v>374</v>
      </c>
      <c r="AZ59" s="120"/>
      <c r="BA59" s="120"/>
      <c r="BB59" s="58"/>
      <c r="BC59" s="58"/>
      <c r="BD59" s="58"/>
      <c r="BE59" s="58"/>
      <c r="BF59" s="58"/>
      <c r="BG59" s="58"/>
      <c r="BH59" s="58"/>
      <c r="BI59" s="58"/>
      <c r="BJ59" s="58" t="s">
        <v>375</v>
      </c>
      <c r="BK59" s="58"/>
      <c r="BL59" s="58" t="s">
        <v>376</v>
      </c>
      <c r="BM59" s="58"/>
      <c r="BN59" s="58"/>
      <c r="BO59" s="58"/>
      <c r="BP59" s="58"/>
      <c r="BQ59" s="58"/>
      <c r="BR59" s="58"/>
      <c r="CE59" s="58"/>
      <c r="CF59" s="58"/>
      <c r="CG59" s="58"/>
      <c r="CH59" s="58"/>
      <c r="CI59" s="58"/>
      <c r="CQ59" s="58"/>
      <c r="CR59" s="59"/>
    </row>
    <row r="60" spans="1:96" s="60" customFormat="1" ht="15" customHeight="1" x14ac:dyDescent="0.2">
      <c r="A60" s="57"/>
      <c r="B60" s="58"/>
      <c r="C60" s="327" t="s">
        <v>180</v>
      </c>
      <c r="D60" s="328"/>
      <c r="E60" s="328"/>
      <c r="F60" s="328"/>
      <c r="G60" s="328"/>
      <c r="H60" s="328"/>
      <c r="I60" s="328"/>
      <c r="J60" s="328"/>
      <c r="K60" s="328"/>
      <c r="L60" s="328"/>
      <c r="M60" s="328"/>
      <c r="N60" s="328"/>
      <c r="O60" s="328"/>
      <c r="P60" s="329"/>
      <c r="Q60" s="335" t="s">
        <v>482</v>
      </c>
      <c r="R60" s="335"/>
      <c r="S60" s="335"/>
      <c r="T60" s="335"/>
      <c r="U60" s="335"/>
      <c r="V60" s="506"/>
      <c r="W60" s="507"/>
      <c r="X60" s="507"/>
      <c r="Y60" s="507"/>
      <c r="Z60" s="507"/>
      <c r="AA60" s="507"/>
      <c r="AB60" s="507"/>
      <c r="AC60" s="507"/>
      <c r="AD60" s="507"/>
      <c r="AE60" s="507"/>
      <c r="AF60" s="507"/>
      <c r="AG60" s="507"/>
      <c r="AH60" s="507"/>
      <c r="AI60" s="507"/>
      <c r="AJ60" s="507"/>
      <c r="AK60" s="507"/>
      <c r="AL60" s="507"/>
      <c r="AM60" s="507"/>
      <c r="AN60" s="507"/>
      <c r="AO60" s="507"/>
      <c r="AP60" s="507"/>
      <c r="AQ60" s="507"/>
      <c r="AR60" s="507"/>
      <c r="AS60" s="508"/>
      <c r="AY60" s="23"/>
      <c r="BL60" s="23" t="s">
        <v>388</v>
      </c>
      <c r="BR60" s="58"/>
      <c r="CF60" s="58"/>
      <c r="CG60" s="58"/>
      <c r="CH60" s="58"/>
      <c r="CI60" s="58"/>
      <c r="CQ60" s="58"/>
      <c r="CR60" s="59"/>
    </row>
    <row r="61" spans="1:96" s="60" customFormat="1" ht="15" customHeight="1" x14ac:dyDescent="0.2">
      <c r="A61" s="57"/>
      <c r="B61" s="58"/>
      <c r="C61" s="327" t="s">
        <v>189</v>
      </c>
      <c r="D61" s="328"/>
      <c r="E61" s="328"/>
      <c r="F61" s="328"/>
      <c r="G61" s="328"/>
      <c r="H61" s="328"/>
      <c r="I61" s="328"/>
      <c r="J61" s="328"/>
      <c r="K61" s="328"/>
      <c r="L61" s="328"/>
      <c r="M61" s="328"/>
      <c r="N61" s="328"/>
      <c r="O61" s="328"/>
      <c r="P61" s="329"/>
      <c r="Q61" s="335" t="s">
        <v>482</v>
      </c>
      <c r="R61" s="335"/>
      <c r="S61" s="335"/>
      <c r="T61" s="335"/>
      <c r="U61" s="335"/>
      <c r="V61" s="506"/>
      <c r="W61" s="507"/>
      <c r="X61" s="507"/>
      <c r="Y61" s="507"/>
      <c r="Z61" s="507"/>
      <c r="AA61" s="507"/>
      <c r="AB61" s="507"/>
      <c r="AC61" s="507"/>
      <c r="AD61" s="507"/>
      <c r="AE61" s="507"/>
      <c r="AF61" s="507"/>
      <c r="AG61" s="507"/>
      <c r="AH61" s="507"/>
      <c r="AI61" s="507"/>
      <c r="AJ61" s="507"/>
      <c r="AK61" s="507"/>
      <c r="AL61" s="507"/>
      <c r="AM61" s="507"/>
      <c r="AN61" s="507"/>
      <c r="AO61" s="507"/>
      <c r="AP61" s="507"/>
      <c r="AQ61" s="507"/>
      <c r="AR61" s="507"/>
      <c r="AS61" s="508"/>
      <c r="AY61" s="58" t="s">
        <v>377</v>
      </c>
      <c r="AZ61" s="121"/>
      <c r="BA61" s="121"/>
      <c r="BB61" s="58"/>
      <c r="BC61" s="58"/>
      <c r="BD61" s="58"/>
      <c r="BE61" s="58"/>
      <c r="BF61" s="58"/>
      <c r="BG61" s="58"/>
      <c r="BH61" s="58"/>
      <c r="BI61" s="58"/>
      <c r="BJ61" s="58" t="s">
        <v>375</v>
      </c>
      <c r="BK61" s="58"/>
      <c r="BL61" s="58" t="s">
        <v>378</v>
      </c>
      <c r="BM61" s="58"/>
      <c r="BQ61" s="58"/>
      <c r="BR61" s="58"/>
      <c r="CF61" s="58"/>
      <c r="CG61" s="58"/>
      <c r="CH61" s="58"/>
      <c r="CI61" s="58"/>
      <c r="CQ61" s="58"/>
      <c r="CR61" s="59"/>
    </row>
    <row r="62" spans="1:96" s="60" customFormat="1" ht="15" customHeight="1" x14ac:dyDescent="0.15">
      <c r="A62" s="57"/>
      <c r="B62" s="17"/>
      <c r="C62" s="327" t="s">
        <v>179</v>
      </c>
      <c r="D62" s="328"/>
      <c r="E62" s="328"/>
      <c r="F62" s="328"/>
      <c r="G62" s="328"/>
      <c r="H62" s="328"/>
      <c r="I62" s="328"/>
      <c r="J62" s="328"/>
      <c r="K62" s="328"/>
      <c r="L62" s="328"/>
      <c r="M62" s="328"/>
      <c r="N62" s="328"/>
      <c r="O62" s="328"/>
      <c r="P62" s="329"/>
      <c r="Q62" s="335" t="s">
        <v>482</v>
      </c>
      <c r="R62" s="335"/>
      <c r="S62" s="335"/>
      <c r="T62" s="335"/>
      <c r="U62" s="335"/>
      <c r="V62" s="506"/>
      <c r="W62" s="507"/>
      <c r="X62" s="507"/>
      <c r="Y62" s="507"/>
      <c r="Z62" s="507"/>
      <c r="AA62" s="507"/>
      <c r="AB62" s="507"/>
      <c r="AC62" s="507"/>
      <c r="AD62" s="507"/>
      <c r="AE62" s="507"/>
      <c r="AF62" s="507"/>
      <c r="AG62" s="507"/>
      <c r="AH62" s="507"/>
      <c r="AI62" s="507"/>
      <c r="AJ62" s="507"/>
      <c r="AK62" s="507"/>
      <c r="AL62" s="507"/>
      <c r="AM62" s="507"/>
      <c r="AN62" s="507"/>
      <c r="AO62" s="507"/>
      <c r="AP62" s="507"/>
      <c r="AQ62" s="507"/>
      <c r="AR62" s="507"/>
      <c r="AS62" s="508"/>
      <c r="AY62" s="23"/>
      <c r="BL62" s="23" t="s">
        <v>463</v>
      </c>
      <c r="BN62" s="58"/>
      <c r="BO62" s="58"/>
      <c r="BP62" s="58"/>
      <c r="CF62" s="58"/>
      <c r="CG62" s="58"/>
      <c r="CH62" s="58"/>
      <c r="CI62" s="58"/>
      <c r="CQ62" s="58"/>
      <c r="CR62" s="59"/>
    </row>
    <row r="63" spans="1:96" s="60" customFormat="1" ht="15" customHeight="1" x14ac:dyDescent="0.15">
      <c r="A63" s="57"/>
      <c r="B63" s="17"/>
      <c r="C63" s="412" t="s">
        <v>590</v>
      </c>
      <c r="D63" s="412"/>
      <c r="E63" s="412"/>
      <c r="F63" s="412"/>
      <c r="G63" s="412"/>
      <c r="H63" s="412"/>
      <c r="I63" s="412"/>
      <c r="J63" s="412"/>
      <c r="K63" s="412"/>
      <c r="L63" s="412"/>
      <c r="M63" s="412"/>
      <c r="N63" s="412"/>
      <c r="O63" s="412"/>
      <c r="P63" s="412"/>
      <c r="Q63" s="335" t="s">
        <v>482</v>
      </c>
      <c r="R63" s="335"/>
      <c r="S63" s="335"/>
      <c r="T63" s="335"/>
      <c r="U63" s="335"/>
      <c r="V63" s="333"/>
      <c r="W63" s="333"/>
      <c r="X63" s="333"/>
      <c r="Y63" s="333"/>
      <c r="Z63" s="333"/>
      <c r="AA63" s="333"/>
      <c r="AB63" s="333"/>
      <c r="AC63" s="333"/>
      <c r="AD63" s="333"/>
      <c r="AE63" s="333"/>
      <c r="AF63" s="333"/>
      <c r="AG63" s="333"/>
      <c r="AH63" s="333"/>
      <c r="AI63" s="333"/>
      <c r="AJ63" s="333"/>
      <c r="AK63" s="333"/>
      <c r="AL63" s="333"/>
      <c r="AM63" s="333"/>
      <c r="AN63" s="333"/>
      <c r="AO63" s="333"/>
      <c r="AP63" s="333"/>
      <c r="AQ63" s="333"/>
      <c r="AR63" s="333"/>
      <c r="AS63" s="333"/>
      <c r="AT63" s="58"/>
      <c r="AU63" s="58"/>
      <c r="AY63" s="94"/>
      <c r="AZ63" s="94"/>
      <c r="BA63" s="94"/>
      <c r="BB63" s="94"/>
      <c r="BC63" s="94"/>
      <c r="BD63" s="94"/>
      <c r="BE63" s="94"/>
      <c r="BF63" s="94"/>
      <c r="BG63" s="94"/>
      <c r="BH63" s="94"/>
      <c r="BI63" s="94"/>
      <c r="BJ63" s="94"/>
      <c r="BK63" s="94"/>
      <c r="BL63" s="94" t="s">
        <v>464</v>
      </c>
      <c r="BM63" s="94"/>
      <c r="BN63" s="94"/>
      <c r="BO63" s="94"/>
      <c r="BP63" s="94"/>
      <c r="BQ63" s="94"/>
      <c r="BR63" s="94"/>
      <c r="BS63" s="94"/>
      <c r="BT63" s="94"/>
      <c r="BU63" s="94"/>
      <c r="CF63" s="58"/>
      <c r="CG63" s="58"/>
      <c r="CH63" s="58"/>
      <c r="CI63" s="58"/>
      <c r="CQ63" s="58"/>
      <c r="CR63" s="59"/>
    </row>
    <row r="64" spans="1:96" s="60" customFormat="1" ht="15" customHeight="1" x14ac:dyDescent="0.15">
      <c r="A64" s="57"/>
      <c r="B64" s="17"/>
      <c r="C64" s="412" t="s">
        <v>190</v>
      </c>
      <c r="D64" s="412"/>
      <c r="E64" s="412"/>
      <c r="F64" s="412"/>
      <c r="G64" s="412"/>
      <c r="H64" s="412"/>
      <c r="I64" s="412"/>
      <c r="J64" s="412"/>
      <c r="K64" s="412"/>
      <c r="L64" s="412"/>
      <c r="M64" s="412"/>
      <c r="N64" s="412"/>
      <c r="O64" s="412"/>
      <c r="P64" s="412"/>
      <c r="Q64" s="335" t="s">
        <v>481</v>
      </c>
      <c r="R64" s="335"/>
      <c r="S64" s="335"/>
      <c r="T64" s="335"/>
      <c r="U64" s="335"/>
      <c r="V64" s="333"/>
      <c r="W64" s="333"/>
      <c r="X64" s="333"/>
      <c r="Y64" s="333"/>
      <c r="Z64" s="333"/>
      <c r="AA64" s="333"/>
      <c r="AB64" s="333"/>
      <c r="AC64" s="333"/>
      <c r="AD64" s="333"/>
      <c r="AE64" s="333"/>
      <c r="AF64" s="333"/>
      <c r="AG64" s="333"/>
      <c r="AH64" s="333"/>
      <c r="AI64" s="333"/>
      <c r="AJ64" s="333"/>
      <c r="AK64" s="333"/>
      <c r="AL64" s="333"/>
      <c r="AM64" s="333"/>
      <c r="AN64" s="333"/>
      <c r="AO64" s="333"/>
      <c r="AP64" s="333"/>
      <c r="AQ64" s="333"/>
      <c r="AR64" s="333"/>
      <c r="AS64" s="333"/>
      <c r="AY64" s="58" t="s">
        <v>379</v>
      </c>
      <c r="AZ64" s="122"/>
      <c r="BA64" s="122"/>
      <c r="BB64" s="58"/>
      <c r="BC64" s="58"/>
      <c r="BD64" s="58"/>
      <c r="BE64" s="58"/>
      <c r="BF64" s="58"/>
      <c r="BG64" s="58"/>
      <c r="BH64" s="58"/>
      <c r="BI64" s="58"/>
      <c r="BJ64" s="58" t="s">
        <v>375</v>
      </c>
      <c r="BK64" s="58"/>
      <c r="BL64" s="58" t="s">
        <v>380</v>
      </c>
      <c r="BM64" s="58"/>
      <c r="CF64" s="58"/>
      <c r="CG64" s="58"/>
      <c r="CH64" s="58"/>
      <c r="CI64" s="58"/>
      <c r="CQ64" s="58"/>
      <c r="CR64" s="59"/>
    </row>
    <row r="65" spans="1:96" s="60" customFormat="1" ht="15" customHeight="1" x14ac:dyDescent="0.15">
      <c r="A65" s="57"/>
      <c r="B65" s="17"/>
      <c r="C65" s="412" t="s">
        <v>191</v>
      </c>
      <c r="D65" s="412"/>
      <c r="E65" s="412"/>
      <c r="F65" s="412"/>
      <c r="G65" s="412"/>
      <c r="H65" s="412"/>
      <c r="I65" s="412"/>
      <c r="J65" s="412"/>
      <c r="K65" s="412"/>
      <c r="L65" s="412"/>
      <c r="M65" s="412"/>
      <c r="N65" s="412"/>
      <c r="O65" s="412"/>
      <c r="P65" s="412"/>
      <c r="Q65" s="335" t="s">
        <v>481</v>
      </c>
      <c r="R65" s="335"/>
      <c r="S65" s="335"/>
      <c r="T65" s="335"/>
      <c r="U65" s="335"/>
      <c r="V65" s="333"/>
      <c r="W65" s="333"/>
      <c r="X65" s="333"/>
      <c r="Y65" s="333"/>
      <c r="Z65" s="333"/>
      <c r="AA65" s="333"/>
      <c r="AB65" s="333"/>
      <c r="AC65" s="333"/>
      <c r="AD65" s="333"/>
      <c r="AE65" s="333"/>
      <c r="AF65" s="333"/>
      <c r="AG65" s="333"/>
      <c r="AH65" s="333"/>
      <c r="AI65" s="333"/>
      <c r="AJ65" s="333"/>
      <c r="AK65" s="333"/>
      <c r="AL65" s="333"/>
      <c r="AM65" s="333"/>
      <c r="AN65" s="333"/>
      <c r="AO65" s="333"/>
      <c r="AP65" s="333"/>
      <c r="AQ65" s="333"/>
      <c r="AR65" s="333"/>
      <c r="AS65" s="333"/>
      <c r="AY65" s="58"/>
      <c r="AZ65" s="58"/>
      <c r="BA65" s="58"/>
      <c r="BL65" s="23" t="s">
        <v>465</v>
      </c>
      <c r="CD65" s="58"/>
      <c r="CE65" s="58"/>
      <c r="CF65" s="58"/>
      <c r="CG65" s="58"/>
      <c r="CH65" s="58"/>
      <c r="CI65" s="58"/>
      <c r="CQ65" s="58"/>
      <c r="CR65" s="59"/>
    </row>
    <row r="66" spans="1:96" s="60" customFormat="1" ht="15" customHeight="1" x14ac:dyDescent="0.15">
      <c r="A66" s="57"/>
      <c r="B66" s="17"/>
      <c r="C66" s="412" t="s">
        <v>183</v>
      </c>
      <c r="D66" s="412"/>
      <c r="E66" s="412"/>
      <c r="F66" s="412"/>
      <c r="G66" s="412"/>
      <c r="H66" s="412"/>
      <c r="I66" s="412"/>
      <c r="J66" s="412"/>
      <c r="K66" s="412"/>
      <c r="L66" s="412"/>
      <c r="M66" s="412"/>
      <c r="N66" s="412"/>
      <c r="O66" s="412"/>
      <c r="P66" s="412"/>
      <c r="Q66" s="335" t="s">
        <v>483</v>
      </c>
      <c r="R66" s="335"/>
      <c r="S66" s="335"/>
      <c r="T66" s="335"/>
      <c r="U66" s="335"/>
      <c r="V66" s="333"/>
      <c r="W66" s="333"/>
      <c r="X66" s="333"/>
      <c r="Y66" s="333"/>
      <c r="Z66" s="333"/>
      <c r="AA66" s="333"/>
      <c r="AB66" s="333"/>
      <c r="AC66" s="333"/>
      <c r="AD66" s="333"/>
      <c r="AE66" s="333"/>
      <c r="AF66" s="333"/>
      <c r="AG66" s="333"/>
      <c r="AH66" s="333"/>
      <c r="AI66" s="333"/>
      <c r="AJ66" s="333"/>
      <c r="AK66" s="333"/>
      <c r="AL66" s="333"/>
      <c r="AM66" s="333"/>
      <c r="AN66" s="333"/>
      <c r="AO66" s="333"/>
      <c r="AP66" s="333"/>
      <c r="AQ66" s="333"/>
      <c r="AR66" s="333"/>
      <c r="AS66" s="333"/>
      <c r="AY66" s="94"/>
      <c r="AZ66" s="94"/>
      <c r="BA66" s="94"/>
      <c r="BB66" s="94"/>
      <c r="BC66" s="94"/>
      <c r="BD66" s="94"/>
      <c r="BE66" s="94"/>
      <c r="BF66" s="94"/>
      <c r="BG66" s="94"/>
      <c r="BH66" s="94"/>
      <c r="BI66" s="94"/>
      <c r="BJ66" s="94"/>
      <c r="BK66" s="94"/>
      <c r="BL66" s="94" t="s">
        <v>466</v>
      </c>
      <c r="BM66" s="94"/>
      <c r="BN66" s="94"/>
      <c r="BO66" s="94"/>
      <c r="BP66" s="94"/>
      <c r="BQ66" s="94"/>
      <c r="CD66" s="58"/>
      <c r="CE66" s="58"/>
      <c r="CF66" s="58"/>
      <c r="CG66" s="58"/>
      <c r="CH66" s="58"/>
      <c r="CI66" s="58"/>
      <c r="CQ66" s="58"/>
      <c r="CR66" s="59"/>
    </row>
    <row r="67" spans="1:96" s="60" customFormat="1" ht="15" customHeight="1" x14ac:dyDescent="0.15">
      <c r="A67" s="57"/>
      <c r="B67" s="17"/>
      <c r="C67" s="412" t="s">
        <v>184</v>
      </c>
      <c r="D67" s="412"/>
      <c r="E67" s="412"/>
      <c r="F67" s="412"/>
      <c r="G67" s="412"/>
      <c r="H67" s="412"/>
      <c r="I67" s="412"/>
      <c r="J67" s="412"/>
      <c r="K67" s="412"/>
      <c r="L67" s="412"/>
      <c r="M67" s="412"/>
      <c r="N67" s="412"/>
      <c r="O67" s="412"/>
      <c r="P67" s="412"/>
      <c r="Q67" s="335" t="s">
        <v>483</v>
      </c>
      <c r="R67" s="335"/>
      <c r="S67" s="335"/>
      <c r="T67" s="335"/>
      <c r="U67" s="335"/>
      <c r="V67" s="333"/>
      <c r="W67" s="333"/>
      <c r="X67" s="333"/>
      <c r="Y67" s="333"/>
      <c r="Z67" s="333"/>
      <c r="AA67" s="333"/>
      <c r="AB67" s="333"/>
      <c r="AC67" s="333"/>
      <c r="AD67" s="333"/>
      <c r="AE67" s="333"/>
      <c r="AF67" s="333"/>
      <c r="AG67" s="333"/>
      <c r="AH67" s="333"/>
      <c r="AI67" s="333"/>
      <c r="AJ67" s="333"/>
      <c r="AK67" s="333"/>
      <c r="AL67" s="333"/>
      <c r="AM67" s="333"/>
      <c r="AN67" s="333"/>
      <c r="AO67" s="333"/>
      <c r="AP67" s="333"/>
      <c r="AQ67" s="333"/>
      <c r="AR67" s="333"/>
      <c r="AS67" s="333"/>
      <c r="AY67" s="58" t="s">
        <v>381</v>
      </c>
      <c r="AZ67" s="58"/>
      <c r="BA67" s="58"/>
      <c r="BB67" s="58"/>
      <c r="BC67" s="58"/>
      <c r="BD67" s="58"/>
      <c r="BE67" s="58"/>
      <c r="BF67" s="58"/>
      <c r="BG67" s="58"/>
      <c r="BH67" s="58"/>
      <c r="BI67" s="58"/>
      <c r="BJ67" s="58" t="s">
        <v>375</v>
      </c>
      <c r="BK67" s="58"/>
      <c r="BL67" s="58" t="s">
        <v>382</v>
      </c>
      <c r="BM67" s="58"/>
      <c r="BN67" s="58"/>
      <c r="CD67" s="58"/>
      <c r="CE67" s="58"/>
      <c r="CF67" s="58"/>
      <c r="CG67" s="58"/>
      <c r="CH67" s="58"/>
      <c r="CI67" s="58"/>
      <c r="CN67" s="58"/>
      <c r="CO67" s="58"/>
      <c r="CP67" s="58"/>
      <c r="CQ67" s="58"/>
      <c r="CR67" s="59"/>
    </row>
    <row r="68" spans="1:96" s="60" customFormat="1" ht="15" customHeight="1" x14ac:dyDescent="0.15">
      <c r="A68" s="57"/>
      <c r="B68" s="17"/>
      <c r="C68" s="412" t="s">
        <v>185</v>
      </c>
      <c r="D68" s="412"/>
      <c r="E68" s="412"/>
      <c r="F68" s="412"/>
      <c r="G68" s="412"/>
      <c r="H68" s="412"/>
      <c r="I68" s="412"/>
      <c r="J68" s="412"/>
      <c r="K68" s="412"/>
      <c r="L68" s="412"/>
      <c r="M68" s="412"/>
      <c r="N68" s="412"/>
      <c r="O68" s="412"/>
      <c r="P68" s="412"/>
      <c r="Q68" s="335" t="s">
        <v>483</v>
      </c>
      <c r="R68" s="335"/>
      <c r="S68" s="335"/>
      <c r="T68" s="335"/>
      <c r="U68" s="335"/>
      <c r="V68" s="333"/>
      <c r="W68" s="333"/>
      <c r="X68" s="333"/>
      <c r="Y68" s="333"/>
      <c r="Z68" s="333"/>
      <c r="AA68" s="333"/>
      <c r="AB68" s="333"/>
      <c r="AC68" s="333"/>
      <c r="AD68" s="333"/>
      <c r="AE68" s="333"/>
      <c r="AF68" s="333"/>
      <c r="AG68" s="333"/>
      <c r="AH68" s="333"/>
      <c r="AI68" s="333"/>
      <c r="AJ68" s="333"/>
      <c r="AK68" s="333"/>
      <c r="AL68" s="333"/>
      <c r="AM68" s="333"/>
      <c r="AN68" s="333"/>
      <c r="AO68" s="333"/>
      <c r="AP68" s="333"/>
      <c r="AQ68" s="333"/>
      <c r="AR68" s="333"/>
      <c r="AS68" s="333"/>
      <c r="BL68" s="60" t="s">
        <v>389</v>
      </c>
      <c r="CG68" s="58"/>
      <c r="CH68" s="58"/>
      <c r="CI68" s="58"/>
      <c r="CN68" s="58"/>
      <c r="CO68" s="58"/>
      <c r="CP68" s="58"/>
      <c r="CQ68" s="58"/>
      <c r="CR68" s="59"/>
    </row>
    <row r="69" spans="1:96" s="60" customFormat="1" ht="15" customHeight="1" x14ac:dyDescent="0.15">
      <c r="A69" s="57"/>
      <c r="B69" s="17"/>
      <c r="C69" s="412" t="s">
        <v>448</v>
      </c>
      <c r="D69" s="412"/>
      <c r="E69" s="412"/>
      <c r="F69" s="412"/>
      <c r="G69" s="412"/>
      <c r="H69" s="412"/>
      <c r="I69" s="412"/>
      <c r="J69" s="412"/>
      <c r="K69" s="412"/>
      <c r="L69" s="412"/>
      <c r="M69" s="412"/>
      <c r="N69" s="412"/>
      <c r="O69" s="412"/>
      <c r="P69" s="412"/>
      <c r="Q69" s="335" t="s">
        <v>482</v>
      </c>
      <c r="R69" s="335"/>
      <c r="S69" s="335"/>
      <c r="T69" s="335"/>
      <c r="U69" s="335"/>
      <c r="V69" s="333"/>
      <c r="W69" s="333"/>
      <c r="X69" s="333"/>
      <c r="Y69" s="333"/>
      <c r="Z69" s="333"/>
      <c r="AA69" s="333"/>
      <c r="AB69" s="333"/>
      <c r="AC69" s="333"/>
      <c r="AD69" s="333"/>
      <c r="AE69" s="333"/>
      <c r="AF69" s="333"/>
      <c r="AG69" s="333"/>
      <c r="AH69" s="333"/>
      <c r="AI69" s="333"/>
      <c r="AJ69" s="333"/>
      <c r="AK69" s="333"/>
      <c r="AL69" s="333"/>
      <c r="AM69" s="333"/>
      <c r="AN69" s="333"/>
      <c r="AO69" s="333"/>
      <c r="AP69" s="333"/>
      <c r="AQ69" s="333"/>
      <c r="AR69" s="333"/>
      <c r="AS69" s="333"/>
      <c r="AT69" s="58"/>
      <c r="AU69" s="58"/>
      <c r="AV69" s="58"/>
      <c r="AW69" s="58"/>
      <c r="AX69" s="58"/>
      <c r="BL69" s="60" t="s">
        <v>587</v>
      </c>
      <c r="BR69" s="58"/>
      <c r="CG69" s="58"/>
      <c r="CH69" s="58"/>
      <c r="CI69" s="58"/>
      <c r="CN69" s="58"/>
      <c r="CO69" s="58"/>
      <c r="CP69" s="58"/>
      <c r="CQ69" s="58"/>
      <c r="CR69" s="59"/>
    </row>
    <row r="70" spans="1:96" s="60" customFormat="1" ht="15" customHeight="1" x14ac:dyDescent="0.15">
      <c r="A70" s="57"/>
      <c r="B70" s="17"/>
      <c r="C70" s="412" t="s">
        <v>186</v>
      </c>
      <c r="D70" s="412"/>
      <c r="E70" s="412"/>
      <c r="F70" s="412"/>
      <c r="G70" s="412"/>
      <c r="H70" s="412"/>
      <c r="I70" s="412"/>
      <c r="J70" s="412"/>
      <c r="K70" s="412"/>
      <c r="L70" s="412"/>
      <c r="M70" s="412"/>
      <c r="N70" s="412"/>
      <c r="O70" s="412"/>
      <c r="P70" s="412"/>
      <c r="Q70" s="335" t="s">
        <v>588</v>
      </c>
      <c r="R70" s="335"/>
      <c r="S70" s="335"/>
      <c r="T70" s="335"/>
      <c r="U70" s="335"/>
      <c r="V70" s="513" t="s">
        <v>201</v>
      </c>
      <c r="W70" s="513"/>
      <c r="X70" s="513"/>
      <c r="Y70" s="513"/>
      <c r="Z70" s="513"/>
      <c r="AA70" s="513"/>
      <c r="AB70" s="513"/>
      <c r="AC70" s="513"/>
      <c r="AD70" s="513"/>
      <c r="AE70" s="513"/>
      <c r="AF70" s="513"/>
      <c r="AG70" s="513"/>
      <c r="AH70" s="513"/>
      <c r="AI70" s="513"/>
      <c r="AJ70" s="513"/>
      <c r="AK70" s="513"/>
      <c r="AL70" s="513"/>
      <c r="AM70" s="513"/>
      <c r="AN70" s="513"/>
      <c r="AO70" s="513"/>
      <c r="AP70" s="513"/>
      <c r="AQ70" s="513"/>
      <c r="AR70" s="513"/>
      <c r="AS70" s="513"/>
      <c r="AT70" s="58"/>
      <c r="AU70" s="58"/>
      <c r="AV70" s="58"/>
      <c r="AW70" s="58"/>
      <c r="AX70" s="58"/>
      <c r="BN70" s="58"/>
      <c r="BO70" s="58"/>
      <c r="BP70" s="58"/>
      <c r="BQ70" s="58"/>
      <c r="BR70" s="94"/>
      <c r="BS70" s="94"/>
      <c r="CG70" s="58"/>
      <c r="CH70" s="58"/>
      <c r="CI70" s="58"/>
      <c r="CN70" s="58"/>
      <c r="CO70" s="58"/>
      <c r="CP70" s="58"/>
      <c r="CQ70" s="58"/>
      <c r="CR70" s="59"/>
    </row>
    <row r="71" spans="1:96" s="60" customFormat="1" ht="15" customHeight="1" x14ac:dyDescent="0.15">
      <c r="A71" s="57"/>
      <c r="B71" s="17"/>
      <c r="C71" s="412"/>
      <c r="D71" s="412"/>
      <c r="E71" s="412"/>
      <c r="F71" s="412"/>
      <c r="G71" s="412"/>
      <c r="H71" s="412"/>
      <c r="I71" s="412"/>
      <c r="J71" s="412"/>
      <c r="K71" s="412"/>
      <c r="L71" s="412"/>
      <c r="M71" s="412"/>
      <c r="N71" s="412"/>
      <c r="O71" s="412"/>
      <c r="P71" s="412"/>
      <c r="Q71" s="335"/>
      <c r="R71" s="335"/>
      <c r="S71" s="335"/>
      <c r="T71" s="335"/>
      <c r="U71" s="335"/>
      <c r="V71" s="513"/>
      <c r="W71" s="513"/>
      <c r="X71" s="513"/>
      <c r="Y71" s="513"/>
      <c r="Z71" s="513"/>
      <c r="AA71" s="513"/>
      <c r="AB71" s="513"/>
      <c r="AC71" s="513"/>
      <c r="AD71" s="513"/>
      <c r="AE71" s="513"/>
      <c r="AF71" s="513"/>
      <c r="AG71" s="513"/>
      <c r="AH71" s="513"/>
      <c r="AI71" s="513"/>
      <c r="AJ71" s="513"/>
      <c r="AK71" s="513"/>
      <c r="AL71" s="513"/>
      <c r="AM71" s="513"/>
      <c r="AN71" s="513"/>
      <c r="AO71" s="513"/>
      <c r="AP71" s="513"/>
      <c r="AQ71" s="513"/>
      <c r="AR71" s="513"/>
      <c r="AS71" s="513"/>
      <c r="AT71" s="58"/>
      <c r="AU71" s="58"/>
      <c r="AV71" s="58"/>
      <c r="AW71" s="58"/>
      <c r="AX71" s="58"/>
      <c r="AY71" s="58"/>
      <c r="AZ71" s="58" t="s">
        <v>386</v>
      </c>
      <c r="BA71" s="58"/>
      <c r="BB71" s="23"/>
      <c r="BC71" s="23"/>
      <c r="BD71" s="23"/>
      <c r="BE71" s="23"/>
      <c r="BF71" s="23"/>
      <c r="BG71" s="23"/>
      <c r="BH71" s="23"/>
      <c r="BI71" s="23"/>
      <c r="BJ71" s="23"/>
      <c r="BK71" s="23"/>
      <c r="BL71" s="23"/>
      <c r="BM71" s="23"/>
      <c r="BN71" s="23"/>
      <c r="BO71" s="23"/>
      <c r="BP71" s="23"/>
      <c r="BQ71" s="23"/>
      <c r="BR71" s="23"/>
      <c r="BS71" s="23"/>
      <c r="CG71" s="58"/>
      <c r="CH71" s="58"/>
      <c r="CI71" s="58"/>
      <c r="CN71" s="58"/>
      <c r="CO71" s="58"/>
      <c r="CP71" s="58"/>
      <c r="CQ71" s="58"/>
      <c r="CR71" s="59"/>
    </row>
    <row r="72" spans="1:96" s="60" customFormat="1" ht="15" customHeight="1" x14ac:dyDescent="0.15">
      <c r="A72" s="57"/>
      <c r="B72" s="17"/>
      <c r="C72" s="412" t="s">
        <v>192</v>
      </c>
      <c r="D72" s="412"/>
      <c r="E72" s="412"/>
      <c r="F72" s="412"/>
      <c r="G72" s="412"/>
      <c r="H72" s="412"/>
      <c r="I72" s="412"/>
      <c r="J72" s="412"/>
      <c r="K72" s="412"/>
      <c r="L72" s="412"/>
      <c r="M72" s="412"/>
      <c r="N72" s="412"/>
      <c r="O72" s="412"/>
      <c r="P72" s="412"/>
      <c r="Q72" s="335" t="s">
        <v>483</v>
      </c>
      <c r="R72" s="335"/>
      <c r="S72" s="335"/>
      <c r="T72" s="335"/>
      <c r="U72" s="335"/>
      <c r="V72" s="333"/>
      <c r="W72" s="333"/>
      <c r="X72" s="333"/>
      <c r="Y72" s="333"/>
      <c r="Z72" s="333"/>
      <c r="AA72" s="333"/>
      <c r="AB72" s="333"/>
      <c r="AC72" s="333"/>
      <c r="AD72" s="333"/>
      <c r="AE72" s="333"/>
      <c r="AF72" s="333"/>
      <c r="AG72" s="333"/>
      <c r="AH72" s="333"/>
      <c r="AI72" s="333"/>
      <c r="AJ72" s="333"/>
      <c r="AK72" s="333"/>
      <c r="AL72" s="333"/>
      <c r="AM72" s="333"/>
      <c r="AN72" s="333"/>
      <c r="AO72" s="333"/>
      <c r="AP72" s="333"/>
      <c r="AQ72" s="333"/>
      <c r="AR72" s="333"/>
      <c r="AS72" s="333"/>
      <c r="AT72" s="58"/>
      <c r="AU72" s="58"/>
      <c r="AV72" s="58"/>
      <c r="AW72" s="58"/>
      <c r="AX72" s="58"/>
      <c r="AZ72" s="58"/>
      <c r="BA72" s="123" t="s">
        <v>386</v>
      </c>
      <c r="BB72" s="124"/>
      <c r="BC72" s="124"/>
      <c r="BD72" s="124"/>
      <c r="BE72" s="124"/>
      <c r="BF72" s="125"/>
      <c r="BG72" s="123" t="s">
        <v>72</v>
      </c>
      <c r="BH72" s="124"/>
      <c r="BI72" s="124"/>
      <c r="BJ72" s="124"/>
      <c r="BK72" s="124"/>
      <c r="BL72" s="124"/>
      <c r="BM72" s="124"/>
      <c r="BN72" s="124"/>
      <c r="BO72" s="125"/>
      <c r="BP72" s="123" t="s">
        <v>390</v>
      </c>
      <c r="BQ72" s="124"/>
      <c r="BR72" s="124"/>
      <c r="BS72" s="125"/>
      <c r="CG72" s="58"/>
      <c r="CH72" s="58"/>
      <c r="CI72" s="58"/>
      <c r="CN72" s="58"/>
      <c r="CO72" s="58"/>
      <c r="CP72" s="58"/>
      <c r="CQ72" s="58"/>
      <c r="CR72" s="59"/>
    </row>
    <row r="73" spans="1:96" s="60" customFormat="1" ht="15" customHeight="1" x14ac:dyDescent="0.15">
      <c r="A73" s="57"/>
      <c r="B73" s="17"/>
      <c r="AT73" s="58"/>
      <c r="AU73" s="58"/>
      <c r="AV73" s="58"/>
      <c r="AW73" s="58"/>
      <c r="AX73" s="58"/>
      <c r="AZ73" s="58"/>
      <c r="BA73" s="85" t="s">
        <v>391</v>
      </c>
      <c r="BB73" s="86"/>
      <c r="BC73" s="86"/>
      <c r="BD73" s="86"/>
      <c r="BE73" s="86"/>
      <c r="BF73" s="87"/>
      <c r="BG73" s="85" t="s">
        <v>392</v>
      </c>
      <c r="BH73" s="86"/>
      <c r="BI73" s="86"/>
      <c r="BJ73" s="86"/>
      <c r="BK73" s="86"/>
      <c r="BL73" s="86"/>
      <c r="BM73" s="86"/>
      <c r="BN73" s="86"/>
      <c r="BO73" s="87"/>
      <c r="BP73" s="126" t="s">
        <v>393</v>
      </c>
      <c r="BQ73" s="127"/>
      <c r="BR73" s="127"/>
      <c r="BS73" s="128"/>
      <c r="BT73" s="58"/>
      <c r="BU73" s="58"/>
      <c r="BV73" s="58"/>
      <c r="BW73" s="58"/>
      <c r="BX73" s="58"/>
      <c r="BY73" s="58"/>
      <c r="BZ73" s="58"/>
      <c r="CA73" s="58"/>
      <c r="CB73" s="58"/>
      <c r="CC73" s="58"/>
      <c r="CD73" s="58"/>
      <c r="CE73" s="58"/>
      <c r="CF73" s="58"/>
      <c r="CG73" s="58"/>
      <c r="CH73" s="58"/>
      <c r="CI73" s="58"/>
      <c r="CN73" s="58"/>
      <c r="CO73" s="58"/>
      <c r="CP73" s="58"/>
      <c r="CQ73" s="58"/>
      <c r="CR73" s="59"/>
    </row>
    <row r="74" spans="1:96" s="60" customFormat="1" ht="15" customHeight="1" x14ac:dyDescent="0.15">
      <c r="A74" s="57"/>
      <c r="B74" s="17"/>
      <c r="C74" s="94" t="s">
        <v>195</v>
      </c>
      <c r="D74" s="94"/>
      <c r="E74" s="94"/>
      <c r="F74" s="94"/>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58"/>
      <c r="AP74" s="58"/>
      <c r="AQ74" s="58"/>
      <c r="AR74" s="58"/>
      <c r="AS74" s="58"/>
      <c r="AT74" s="58"/>
      <c r="AU74" s="58"/>
      <c r="AV74" s="58"/>
      <c r="AW74" s="58"/>
      <c r="AX74" s="58"/>
      <c r="AZ74" s="58"/>
      <c r="BA74" s="85" t="s">
        <v>394</v>
      </c>
      <c r="BB74" s="86"/>
      <c r="BC74" s="86"/>
      <c r="BD74" s="86"/>
      <c r="BE74" s="86"/>
      <c r="BF74" s="87"/>
      <c r="BG74" s="85" t="s">
        <v>395</v>
      </c>
      <c r="BH74" s="86"/>
      <c r="BI74" s="86"/>
      <c r="BJ74" s="86"/>
      <c r="BK74" s="86"/>
      <c r="BL74" s="86"/>
      <c r="BM74" s="86"/>
      <c r="BN74" s="86"/>
      <c r="BO74" s="87"/>
      <c r="BP74" s="126" t="s">
        <v>396</v>
      </c>
      <c r="BQ74" s="127"/>
      <c r="BR74" s="127"/>
      <c r="BS74" s="128"/>
      <c r="BT74" s="58"/>
      <c r="BU74" s="58"/>
      <c r="BV74" s="58"/>
      <c r="BW74" s="58"/>
      <c r="BX74" s="58"/>
      <c r="BY74" s="58"/>
      <c r="BZ74" s="58"/>
      <c r="CA74" s="58"/>
      <c r="CB74" s="58"/>
      <c r="CC74" s="58"/>
      <c r="CD74" s="58"/>
      <c r="CE74" s="58"/>
      <c r="CF74" s="58"/>
      <c r="CG74" s="58"/>
      <c r="CH74" s="58"/>
      <c r="CI74" s="58"/>
      <c r="CN74" s="58"/>
      <c r="CO74" s="58"/>
      <c r="CP74" s="58"/>
      <c r="CQ74" s="58"/>
      <c r="CR74" s="59"/>
    </row>
    <row r="75" spans="1:96" s="60" customFormat="1" ht="15" customHeight="1" x14ac:dyDescent="0.15">
      <c r="A75" s="57"/>
      <c r="B75" s="58"/>
      <c r="C75" s="58"/>
      <c r="D75" s="58" t="s">
        <v>196</v>
      </c>
      <c r="E75" s="58"/>
      <c r="F75" s="58"/>
      <c r="G75" s="94"/>
      <c r="H75" s="94"/>
      <c r="I75" s="94"/>
      <c r="J75" s="94"/>
      <c r="K75" s="94"/>
      <c r="L75" s="94"/>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58"/>
      <c r="AP75" s="58"/>
      <c r="AQ75" s="58"/>
      <c r="AR75" s="58"/>
      <c r="AS75" s="58"/>
      <c r="AT75" s="58"/>
      <c r="AU75" s="58"/>
      <c r="AV75" s="58"/>
      <c r="AW75" s="58"/>
      <c r="AX75" s="58"/>
      <c r="AZ75" s="58"/>
      <c r="BA75" s="85" t="s">
        <v>397</v>
      </c>
      <c r="BB75" s="86"/>
      <c r="BC75" s="86"/>
      <c r="BD75" s="86"/>
      <c r="BE75" s="86"/>
      <c r="BF75" s="87"/>
      <c r="BG75" s="85" t="s">
        <v>398</v>
      </c>
      <c r="BH75" s="86"/>
      <c r="BI75" s="86"/>
      <c r="BJ75" s="86"/>
      <c r="BK75" s="86"/>
      <c r="BL75" s="86"/>
      <c r="BM75" s="86"/>
      <c r="BN75" s="86"/>
      <c r="BO75" s="87"/>
      <c r="BP75" s="126" t="s">
        <v>399</v>
      </c>
      <c r="BQ75" s="127"/>
      <c r="BR75" s="127"/>
      <c r="BS75" s="128"/>
      <c r="BT75" s="58"/>
      <c r="BU75" s="58"/>
      <c r="BV75" s="58"/>
      <c r="BW75" s="58"/>
      <c r="BX75" s="58"/>
      <c r="BY75" s="58"/>
      <c r="BZ75" s="58"/>
      <c r="CA75" s="58"/>
      <c r="CB75" s="58"/>
      <c r="CC75" s="58"/>
      <c r="CD75" s="58"/>
      <c r="CE75" s="58"/>
      <c r="CF75" s="58"/>
      <c r="CG75" s="58"/>
      <c r="CH75" s="58"/>
      <c r="CI75" s="58"/>
      <c r="CN75" s="58"/>
      <c r="CO75" s="58"/>
      <c r="CP75" s="58"/>
      <c r="CQ75" s="58"/>
      <c r="CR75" s="59"/>
    </row>
    <row r="76" spans="1:96" s="60" customFormat="1" ht="15" customHeight="1" x14ac:dyDescent="0.2">
      <c r="A76" s="57"/>
      <c r="B76" s="58"/>
      <c r="C76" s="58"/>
      <c r="D76" s="58" t="s">
        <v>197</v>
      </c>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85" t="s">
        <v>400</v>
      </c>
      <c r="BB76" s="86"/>
      <c r="BC76" s="86"/>
      <c r="BD76" s="86"/>
      <c r="BE76" s="86"/>
      <c r="BF76" s="87"/>
      <c r="BG76" s="85" t="s">
        <v>401</v>
      </c>
      <c r="BH76" s="86"/>
      <c r="BI76" s="86"/>
      <c r="BJ76" s="86"/>
      <c r="BK76" s="86"/>
      <c r="BL76" s="86"/>
      <c r="BM76" s="86"/>
      <c r="BN76" s="86"/>
      <c r="BO76" s="87"/>
      <c r="BP76" s="126" t="s">
        <v>402</v>
      </c>
      <c r="BQ76" s="127"/>
      <c r="BR76" s="127"/>
      <c r="BS76" s="128"/>
      <c r="BT76" s="58"/>
      <c r="BU76" s="58"/>
      <c r="BV76" s="58"/>
      <c r="BW76" s="58"/>
      <c r="BX76" s="58"/>
      <c r="BY76" s="58"/>
      <c r="BZ76" s="58"/>
      <c r="CA76" s="58"/>
      <c r="CB76" s="58"/>
      <c r="CC76" s="58"/>
      <c r="CD76" s="58"/>
      <c r="CE76" s="58"/>
      <c r="CF76" s="58"/>
      <c r="CG76" s="58"/>
      <c r="CH76" s="58"/>
      <c r="CI76" s="58"/>
      <c r="CN76" s="58"/>
      <c r="CO76" s="58"/>
      <c r="CP76" s="58"/>
      <c r="CQ76" s="58"/>
      <c r="CR76" s="59"/>
    </row>
    <row r="77" spans="1:96" s="60" customFormat="1" ht="15" customHeight="1" x14ac:dyDescent="0.2">
      <c r="A77" s="57"/>
      <c r="B77" s="58"/>
      <c r="C77" s="58"/>
      <c r="D77" s="58" t="s">
        <v>198</v>
      </c>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85" t="s">
        <v>403</v>
      </c>
      <c r="BB77" s="86"/>
      <c r="BC77" s="86"/>
      <c r="BD77" s="86"/>
      <c r="BE77" s="86"/>
      <c r="BF77" s="87"/>
      <c r="BG77" s="85" t="s">
        <v>156</v>
      </c>
      <c r="BH77" s="86"/>
      <c r="BI77" s="86"/>
      <c r="BJ77" s="86"/>
      <c r="BK77" s="86"/>
      <c r="BL77" s="86"/>
      <c r="BM77" s="86"/>
      <c r="BN77" s="86"/>
      <c r="BO77" s="87"/>
      <c r="BP77" s="126" t="s">
        <v>404</v>
      </c>
      <c r="BQ77" s="127"/>
      <c r="BR77" s="127"/>
      <c r="BS77" s="128"/>
      <c r="BT77" s="58"/>
      <c r="BU77" s="58"/>
      <c r="BV77" s="58"/>
      <c r="BW77" s="58"/>
      <c r="BX77" s="58"/>
      <c r="BY77" s="58"/>
      <c r="BZ77" s="58"/>
      <c r="CA77" s="58"/>
      <c r="CB77" s="58"/>
      <c r="CC77" s="58"/>
      <c r="CD77" s="58"/>
      <c r="CE77" s="58"/>
      <c r="CF77" s="58"/>
      <c r="CG77" s="58"/>
      <c r="CH77" s="58"/>
      <c r="CI77" s="58"/>
      <c r="CN77" s="58"/>
      <c r="CO77" s="58"/>
      <c r="CP77" s="58"/>
      <c r="CQ77" s="58"/>
      <c r="CR77" s="59"/>
    </row>
    <row r="78" spans="1:96" s="60" customFormat="1" ht="15" customHeight="1" x14ac:dyDescent="0.2">
      <c r="A78" s="57"/>
      <c r="B78" s="58"/>
      <c r="C78" s="23"/>
      <c r="D78" s="23"/>
      <c r="E78" s="23"/>
      <c r="F78" s="23"/>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85" t="s">
        <v>405</v>
      </c>
      <c r="BB78" s="86"/>
      <c r="BC78" s="86"/>
      <c r="BD78" s="86"/>
      <c r="BE78" s="86"/>
      <c r="BF78" s="87"/>
      <c r="BG78" s="85" t="s">
        <v>422</v>
      </c>
      <c r="BH78" s="86"/>
      <c r="BI78" s="86"/>
      <c r="BJ78" s="86"/>
      <c r="BK78" s="86"/>
      <c r="BL78" s="86"/>
      <c r="BM78" s="86"/>
      <c r="BN78" s="86"/>
      <c r="BO78" s="87"/>
      <c r="BP78" s="126" t="s">
        <v>423</v>
      </c>
      <c r="BQ78" s="127"/>
      <c r="BR78" s="127"/>
      <c r="BS78" s="128"/>
      <c r="CN78" s="58"/>
      <c r="CO78" s="58"/>
      <c r="CP78" s="58"/>
      <c r="CQ78" s="58"/>
      <c r="CR78" s="59"/>
    </row>
    <row r="79" spans="1:96" s="60" customFormat="1" ht="15" customHeight="1" x14ac:dyDescent="0.15">
      <c r="A79" s="57"/>
      <c r="B79" s="58"/>
      <c r="C79" s="23" t="s">
        <v>591</v>
      </c>
      <c r="D79" s="23"/>
      <c r="E79" s="23"/>
      <c r="F79" s="23"/>
      <c r="G79" s="23"/>
      <c r="H79" s="23"/>
      <c r="I79" s="23"/>
      <c r="J79" s="23"/>
      <c r="K79" s="23"/>
      <c r="L79" s="23"/>
      <c r="M79" s="23"/>
      <c r="N79" s="23"/>
      <c r="O79" s="94"/>
      <c r="P79" s="94"/>
      <c r="Q79" s="94"/>
      <c r="R79" s="94"/>
      <c r="S79" s="94"/>
      <c r="T79" s="94"/>
      <c r="U79" s="94"/>
      <c r="V79" s="94"/>
      <c r="W79" s="94"/>
      <c r="X79" s="94"/>
      <c r="Y79" s="94"/>
      <c r="Z79" s="94"/>
      <c r="AA79" s="94"/>
      <c r="AB79" s="94"/>
      <c r="AC79" s="94"/>
      <c r="AD79" s="94"/>
      <c r="AE79" s="94"/>
      <c r="AF79" s="94"/>
      <c r="AG79" s="58"/>
      <c r="AH79" s="58"/>
      <c r="AI79" s="58"/>
      <c r="AJ79" s="58"/>
      <c r="AK79" s="58"/>
      <c r="AL79" s="58"/>
      <c r="AM79" s="58"/>
      <c r="AN79" s="58"/>
      <c r="AO79" s="58"/>
      <c r="AP79" s="58"/>
      <c r="AQ79" s="58"/>
      <c r="AR79" s="58"/>
      <c r="AS79" s="58"/>
      <c r="AT79" s="58"/>
      <c r="AU79" s="58"/>
      <c r="AV79" s="58"/>
      <c r="AW79" s="58"/>
      <c r="AX79" s="58"/>
      <c r="AY79" s="58"/>
      <c r="AZ79" s="58"/>
      <c r="BA79" s="129" t="s">
        <v>421</v>
      </c>
      <c r="BB79" s="86"/>
      <c r="BC79" s="86"/>
      <c r="BD79" s="86"/>
      <c r="BE79" s="86"/>
      <c r="BF79" s="87"/>
      <c r="BG79" s="85" t="s">
        <v>433</v>
      </c>
      <c r="BH79" s="86"/>
      <c r="BI79" s="86"/>
      <c r="BJ79" s="86"/>
      <c r="BK79" s="86"/>
      <c r="BL79" s="86"/>
      <c r="BM79" s="86"/>
      <c r="BN79" s="86"/>
      <c r="BO79" s="87"/>
      <c r="BP79" s="126" t="s">
        <v>406</v>
      </c>
      <c r="BQ79" s="127"/>
      <c r="BR79" s="127"/>
      <c r="BS79" s="128"/>
      <c r="BT79" s="17"/>
      <c r="BU79" s="17"/>
      <c r="BV79" s="17"/>
      <c r="BW79" s="17"/>
      <c r="BX79" s="17"/>
      <c r="BY79" s="17"/>
      <c r="BZ79" s="17"/>
      <c r="CA79" s="17"/>
      <c r="CB79" s="17"/>
      <c r="CC79" s="17"/>
      <c r="CD79" s="17"/>
      <c r="CE79" s="17"/>
      <c r="CF79" s="17"/>
      <c r="CG79" s="17"/>
      <c r="CH79" s="17"/>
      <c r="CI79" s="17"/>
      <c r="CN79" s="58"/>
      <c r="CO79" s="58"/>
      <c r="CP79" s="58"/>
      <c r="CQ79" s="58"/>
      <c r="CR79" s="59"/>
    </row>
    <row r="80" spans="1:96" s="60" customFormat="1" ht="15" customHeight="1" x14ac:dyDescent="0.15">
      <c r="A80" s="57"/>
      <c r="B80" s="58"/>
      <c r="C80" s="23"/>
      <c r="D80" s="23" t="s">
        <v>62</v>
      </c>
      <c r="E80" s="23" t="s">
        <v>636</v>
      </c>
      <c r="F80" s="23"/>
      <c r="G80" s="23"/>
      <c r="H80" s="23"/>
      <c r="I80" s="23"/>
      <c r="J80" s="23"/>
      <c r="K80" s="23"/>
      <c r="L80" s="23"/>
      <c r="M80" s="23"/>
      <c r="N80" s="23"/>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N80" s="58"/>
      <c r="CO80" s="58"/>
      <c r="CP80" s="58"/>
      <c r="CQ80" s="58"/>
      <c r="CR80" s="59"/>
    </row>
    <row r="81" spans="1:96" s="60" customFormat="1" ht="15" customHeight="1" x14ac:dyDescent="0.2">
      <c r="A81" s="57"/>
      <c r="B81" s="58"/>
      <c r="C81" s="23"/>
      <c r="D81" s="60" t="s">
        <v>62</v>
      </c>
      <c r="E81" s="23" t="s">
        <v>608</v>
      </c>
      <c r="AJ81" s="58"/>
      <c r="AK81" s="58"/>
      <c r="AL81" s="58"/>
      <c r="AM81" s="58"/>
      <c r="AN81" s="58"/>
      <c r="AO81" s="58"/>
      <c r="AP81" s="58"/>
      <c r="AQ81" s="58"/>
      <c r="AR81" s="58"/>
      <c r="AS81" s="58"/>
      <c r="AT81" s="58"/>
      <c r="AU81" s="58"/>
      <c r="AV81" s="58"/>
      <c r="AW81" s="58"/>
      <c r="AX81" s="58"/>
      <c r="AY81" s="58"/>
      <c r="AZ81" s="58" t="s">
        <v>420</v>
      </c>
      <c r="BA81" s="58"/>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N81" s="58"/>
      <c r="CO81" s="58"/>
      <c r="CP81" s="58"/>
      <c r="CQ81" s="58"/>
      <c r="CR81" s="59"/>
    </row>
    <row r="82" spans="1:96" s="60" customFormat="1" ht="15" customHeight="1" x14ac:dyDescent="0.2">
      <c r="A82" s="57"/>
      <c r="B82" s="58"/>
      <c r="C82" s="23"/>
      <c r="E82" s="23" t="s">
        <v>487</v>
      </c>
      <c r="L82" s="94"/>
      <c r="M82" s="94"/>
      <c r="N82" s="94"/>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23"/>
      <c r="BA82" s="123" t="s">
        <v>407</v>
      </c>
      <c r="BB82" s="124"/>
      <c r="BC82" s="124"/>
      <c r="BD82" s="124"/>
      <c r="BE82" s="124"/>
      <c r="BF82" s="124"/>
      <c r="BG82" s="124"/>
      <c r="BH82" s="124"/>
      <c r="BI82" s="124"/>
      <c r="BJ82" s="125"/>
      <c r="BK82" s="123" t="s">
        <v>408</v>
      </c>
      <c r="BL82" s="124"/>
      <c r="BM82" s="124"/>
      <c r="BN82" s="124"/>
      <c r="BO82" s="124"/>
      <c r="BP82" s="124"/>
      <c r="BQ82" s="124"/>
      <c r="BR82" s="124"/>
      <c r="BS82" s="124"/>
      <c r="BT82" s="124"/>
      <c r="BU82" s="124"/>
      <c r="BV82" s="124"/>
      <c r="BW82" s="124"/>
      <c r="BX82" s="124"/>
      <c r="BY82" s="125"/>
      <c r="BZ82" s="123" t="s">
        <v>409</v>
      </c>
      <c r="CA82" s="124"/>
      <c r="CB82" s="124"/>
      <c r="CC82" s="124"/>
      <c r="CD82" s="124"/>
      <c r="CE82" s="125"/>
      <c r="CF82" s="123" t="s">
        <v>390</v>
      </c>
      <c r="CG82" s="124"/>
      <c r="CH82" s="124"/>
      <c r="CI82" s="125"/>
      <c r="CN82" s="58"/>
      <c r="CO82" s="58"/>
      <c r="CP82" s="58"/>
      <c r="CQ82" s="58"/>
      <c r="CR82" s="59"/>
    </row>
    <row r="83" spans="1:96" s="60" customFormat="1" ht="15" customHeight="1" x14ac:dyDescent="0.2">
      <c r="A83" s="57"/>
      <c r="B83" s="58"/>
      <c r="C83" s="23"/>
      <c r="AT83" s="58"/>
      <c r="AU83" s="58"/>
      <c r="AV83" s="58"/>
      <c r="AW83" s="58"/>
      <c r="AX83" s="58"/>
      <c r="AY83" s="58"/>
      <c r="AZ83" s="23"/>
      <c r="BA83" s="85">
        <v>1</v>
      </c>
      <c r="BB83" s="86"/>
      <c r="BC83" s="86"/>
      <c r="BD83" s="86"/>
      <c r="BE83" s="86"/>
      <c r="BF83" s="86"/>
      <c r="BG83" s="86"/>
      <c r="BH83" s="86"/>
      <c r="BI83" s="86"/>
      <c r="BJ83" s="87"/>
      <c r="BK83" s="85" t="s">
        <v>410</v>
      </c>
      <c r="BL83" s="86"/>
      <c r="BM83" s="86"/>
      <c r="BN83" s="86"/>
      <c r="BO83" s="86"/>
      <c r="BP83" s="86"/>
      <c r="BQ83" s="86"/>
      <c r="BR83" s="86"/>
      <c r="BS83" s="86"/>
      <c r="BT83" s="86"/>
      <c r="BU83" s="86"/>
      <c r="BV83" s="86"/>
      <c r="BW83" s="86"/>
      <c r="BX83" s="86"/>
      <c r="BY83" s="87"/>
      <c r="BZ83" s="85"/>
      <c r="CA83" s="86"/>
      <c r="CB83" s="86"/>
      <c r="CC83" s="86"/>
      <c r="CD83" s="86"/>
      <c r="CE83" s="87"/>
      <c r="CF83" s="126">
        <v>0</v>
      </c>
      <c r="CG83" s="127"/>
      <c r="CH83" s="127"/>
      <c r="CI83" s="128"/>
      <c r="CN83" s="58"/>
      <c r="CO83" s="58"/>
      <c r="CP83" s="58"/>
      <c r="CQ83" s="58"/>
      <c r="CR83" s="59"/>
    </row>
    <row r="84" spans="1:96" s="60" customFormat="1" ht="15" customHeight="1" x14ac:dyDescent="0.2">
      <c r="A84" s="57"/>
      <c r="B84" s="58"/>
      <c r="C84" s="23" t="s">
        <v>366</v>
      </c>
      <c r="D84" s="94" t="s">
        <v>367</v>
      </c>
      <c r="E84" s="94"/>
      <c r="F84" s="94"/>
      <c r="G84" s="94"/>
      <c r="H84" s="94"/>
      <c r="I84" s="94"/>
      <c r="J84" s="94"/>
      <c r="K84" s="94"/>
      <c r="L84" s="94"/>
      <c r="M84" s="94"/>
      <c r="N84" s="94"/>
      <c r="O84" s="58"/>
      <c r="P84" s="58"/>
      <c r="Q84" s="58"/>
      <c r="R84" s="58"/>
      <c r="S84" s="58"/>
      <c r="T84" s="58"/>
      <c r="U84" s="58"/>
      <c r="V84" s="58"/>
      <c r="W84" s="58"/>
      <c r="X84" s="58"/>
      <c r="Y84" s="58"/>
      <c r="Z84" s="58"/>
      <c r="AA84" s="58"/>
      <c r="AB84" s="58"/>
      <c r="AC84" s="58"/>
      <c r="AD84" s="58"/>
      <c r="AE84" s="58"/>
      <c r="AT84" s="58"/>
      <c r="AU84" s="58"/>
      <c r="AV84" s="58"/>
      <c r="AW84" s="58"/>
      <c r="AX84" s="58"/>
      <c r="AY84" s="58"/>
      <c r="AZ84" s="23"/>
      <c r="BA84" s="85">
        <v>3</v>
      </c>
      <c r="BB84" s="86"/>
      <c r="BC84" s="86"/>
      <c r="BD84" s="86"/>
      <c r="BE84" s="86"/>
      <c r="BF84" s="86"/>
      <c r="BG84" s="86"/>
      <c r="BH84" s="86"/>
      <c r="BI84" s="86"/>
      <c r="BJ84" s="87"/>
      <c r="BK84" s="85" t="s">
        <v>411</v>
      </c>
      <c r="BL84" s="86"/>
      <c r="BM84" s="86"/>
      <c r="BN84" s="86"/>
      <c r="BO84" s="86"/>
      <c r="BP84" s="86"/>
      <c r="BQ84" s="86"/>
      <c r="BR84" s="86"/>
      <c r="BS84" s="86"/>
      <c r="BT84" s="86"/>
      <c r="BU84" s="86"/>
      <c r="BV84" s="86"/>
      <c r="BW84" s="86"/>
      <c r="BX84" s="86"/>
      <c r="BY84" s="87"/>
      <c r="BZ84" s="85"/>
      <c r="CA84" s="86"/>
      <c r="CB84" s="86"/>
      <c r="CC84" s="86"/>
      <c r="CD84" s="86"/>
      <c r="CE84" s="87"/>
      <c r="CF84" s="126" t="s">
        <v>412</v>
      </c>
      <c r="CG84" s="127"/>
      <c r="CH84" s="127"/>
      <c r="CI84" s="128"/>
      <c r="CN84" s="58"/>
      <c r="CO84" s="58"/>
      <c r="CP84" s="58"/>
      <c r="CQ84" s="58"/>
      <c r="CR84" s="59"/>
    </row>
    <row r="85" spans="1:96" s="60" customFormat="1" ht="15" customHeight="1" x14ac:dyDescent="0.2">
      <c r="A85" s="57"/>
      <c r="B85" s="58"/>
      <c r="C85" s="23"/>
      <c r="D85" s="23" t="s">
        <v>368</v>
      </c>
      <c r="E85" s="94"/>
      <c r="G85" s="94"/>
      <c r="H85" s="94"/>
      <c r="I85" s="94"/>
      <c r="J85" s="94"/>
      <c r="K85" s="94"/>
      <c r="O85" s="58"/>
      <c r="P85" s="58"/>
      <c r="Q85" s="58"/>
      <c r="R85" s="58"/>
      <c r="S85" s="58"/>
      <c r="T85" s="58"/>
      <c r="U85" s="58"/>
      <c r="V85" s="58"/>
      <c r="W85" s="58"/>
      <c r="X85" s="58"/>
      <c r="Y85" s="58"/>
      <c r="Z85" s="58"/>
      <c r="AA85" s="58"/>
      <c r="AB85" s="58"/>
      <c r="AC85" s="58"/>
      <c r="AD85" s="58"/>
      <c r="AE85" s="58"/>
      <c r="AS85" s="58"/>
      <c r="AT85" s="58"/>
      <c r="AU85" s="58"/>
      <c r="AV85" s="58"/>
      <c r="AW85" s="58"/>
      <c r="AX85" s="58"/>
      <c r="AY85" s="58"/>
      <c r="AZ85" s="23"/>
      <c r="BA85" s="85">
        <v>4</v>
      </c>
      <c r="BB85" s="86"/>
      <c r="BC85" s="86"/>
      <c r="BD85" s="86"/>
      <c r="BE85" s="86"/>
      <c r="BF85" s="86"/>
      <c r="BG85" s="86"/>
      <c r="BH85" s="86"/>
      <c r="BI85" s="86"/>
      <c r="BJ85" s="87"/>
      <c r="BK85" s="85" t="s">
        <v>413</v>
      </c>
      <c r="BL85" s="86"/>
      <c r="BM85" s="86"/>
      <c r="BN85" s="86"/>
      <c r="BO85" s="86"/>
      <c r="BP85" s="86"/>
      <c r="BQ85" s="86"/>
      <c r="BR85" s="86"/>
      <c r="BS85" s="86"/>
      <c r="BT85" s="86"/>
      <c r="BU85" s="86"/>
      <c r="BV85" s="86"/>
      <c r="BW85" s="86"/>
      <c r="BX85" s="86"/>
      <c r="BY85" s="87"/>
      <c r="BZ85" s="85"/>
      <c r="CA85" s="86"/>
      <c r="CB85" s="86"/>
      <c r="CC85" s="86"/>
      <c r="CD85" s="86"/>
      <c r="CE85" s="87"/>
      <c r="CF85" s="126" t="s">
        <v>414</v>
      </c>
      <c r="CG85" s="127"/>
      <c r="CH85" s="127"/>
      <c r="CI85" s="128"/>
      <c r="CN85" s="58"/>
      <c r="CO85" s="58"/>
      <c r="CP85" s="58"/>
      <c r="CQ85" s="58"/>
      <c r="CR85" s="59"/>
    </row>
    <row r="86" spans="1:96" s="60" customFormat="1" ht="15" customHeight="1" x14ac:dyDescent="0.2">
      <c r="A86" s="57"/>
      <c r="B86" s="58"/>
      <c r="AF86" s="58"/>
      <c r="AG86" s="58"/>
      <c r="AH86" s="58"/>
      <c r="AI86" s="58"/>
      <c r="AJ86" s="58"/>
      <c r="AK86" s="58"/>
      <c r="AL86" s="58"/>
      <c r="AM86" s="58"/>
      <c r="AN86" s="58"/>
      <c r="AO86" s="58"/>
      <c r="AP86" s="58"/>
      <c r="AQ86" s="58"/>
      <c r="AR86" s="58"/>
      <c r="AS86" s="58"/>
      <c r="AT86" s="58"/>
      <c r="AU86" s="58"/>
      <c r="AV86" s="58"/>
      <c r="AW86" s="58"/>
      <c r="AX86" s="58"/>
      <c r="AY86" s="58"/>
      <c r="AZ86" s="23"/>
      <c r="BA86" s="85">
        <v>5</v>
      </c>
      <c r="BB86" s="86"/>
      <c r="BC86" s="86"/>
      <c r="BD86" s="86"/>
      <c r="BE86" s="86"/>
      <c r="BF86" s="86"/>
      <c r="BG86" s="86"/>
      <c r="BH86" s="86"/>
      <c r="BI86" s="86"/>
      <c r="BJ86" s="87"/>
      <c r="BK86" s="85" t="s">
        <v>415</v>
      </c>
      <c r="BL86" s="86"/>
      <c r="BM86" s="86"/>
      <c r="BN86" s="86"/>
      <c r="BO86" s="86"/>
      <c r="BP86" s="86"/>
      <c r="BQ86" s="86"/>
      <c r="BR86" s="86"/>
      <c r="BS86" s="86"/>
      <c r="BT86" s="86"/>
      <c r="BU86" s="86"/>
      <c r="BV86" s="86"/>
      <c r="BW86" s="86"/>
      <c r="BX86" s="86"/>
      <c r="BY86" s="87"/>
      <c r="BZ86" s="85" t="s">
        <v>416</v>
      </c>
      <c r="CA86" s="86"/>
      <c r="CB86" s="86"/>
      <c r="CC86" s="86"/>
      <c r="CD86" s="86"/>
      <c r="CE86" s="87"/>
      <c r="CF86" s="126" t="s">
        <v>412</v>
      </c>
      <c r="CG86" s="127"/>
      <c r="CH86" s="127"/>
      <c r="CI86" s="128"/>
      <c r="CN86" s="58"/>
      <c r="CO86" s="58"/>
      <c r="CP86" s="58"/>
      <c r="CQ86" s="58"/>
      <c r="CR86" s="59"/>
    </row>
    <row r="87" spans="1:96" s="60" customFormat="1" ht="15" customHeight="1" x14ac:dyDescent="0.2">
      <c r="A87" s="57"/>
      <c r="B87" s="58"/>
      <c r="C87" s="58" t="s">
        <v>429</v>
      </c>
      <c r="D87" s="58" t="s">
        <v>484</v>
      </c>
      <c r="E87" s="58"/>
      <c r="F87" s="58"/>
      <c r="G87" s="58"/>
      <c r="H87" s="58"/>
      <c r="I87" s="58"/>
      <c r="J87" s="58"/>
      <c r="K87" s="58"/>
      <c r="L87" s="58"/>
      <c r="M87" s="58"/>
      <c r="N87" s="58"/>
      <c r="O87" s="58"/>
      <c r="AF87" s="58"/>
      <c r="AG87" s="58"/>
      <c r="AH87" s="58"/>
      <c r="AI87" s="58"/>
      <c r="AJ87" s="58"/>
      <c r="AK87" s="58"/>
      <c r="AL87" s="58"/>
      <c r="AM87" s="58"/>
      <c r="AN87" s="58"/>
      <c r="AO87" s="58"/>
      <c r="AP87" s="58"/>
      <c r="AQ87" s="58"/>
      <c r="AR87" s="58"/>
      <c r="AS87" s="58"/>
      <c r="AT87" s="58"/>
      <c r="AU87" s="58"/>
      <c r="AV87" s="58"/>
      <c r="AW87" s="58"/>
      <c r="AX87" s="58"/>
      <c r="AY87" s="58"/>
      <c r="AZ87" s="23"/>
      <c r="BA87" s="85">
        <v>5</v>
      </c>
      <c r="BB87" s="86"/>
      <c r="BC87" s="86"/>
      <c r="BD87" s="86"/>
      <c r="BE87" s="86"/>
      <c r="BF87" s="86"/>
      <c r="BG87" s="86"/>
      <c r="BH87" s="86"/>
      <c r="BI87" s="86"/>
      <c r="BJ87" s="87"/>
      <c r="BK87" s="85" t="s">
        <v>415</v>
      </c>
      <c r="BL87" s="86"/>
      <c r="BM87" s="86"/>
      <c r="BN87" s="86"/>
      <c r="BO87" s="86"/>
      <c r="BP87" s="86"/>
      <c r="BQ87" s="86"/>
      <c r="BR87" s="86"/>
      <c r="BS87" s="86"/>
      <c r="BT87" s="86"/>
      <c r="BU87" s="86"/>
      <c r="BV87" s="86"/>
      <c r="BW87" s="86"/>
      <c r="BX87" s="86"/>
      <c r="BY87" s="87"/>
      <c r="BZ87" s="85" t="s">
        <v>417</v>
      </c>
      <c r="CA87" s="86"/>
      <c r="CB87" s="86"/>
      <c r="CC87" s="86"/>
      <c r="CD87" s="86"/>
      <c r="CE87" s="87"/>
      <c r="CF87" s="126" t="s">
        <v>414</v>
      </c>
      <c r="CG87" s="127"/>
      <c r="CH87" s="127"/>
      <c r="CI87" s="128"/>
      <c r="CN87" s="58"/>
      <c r="CO87" s="58"/>
      <c r="CP87" s="58"/>
      <c r="CQ87" s="58"/>
      <c r="CR87" s="59"/>
    </row>
    <row r="88" spans="1:96" s="60" customFormat="1" ht="15" customHeight="1" x14ac:dyDescent="0.2">
      <c r="A88" s="57"/>
      <c r="B88" s="23"/>
      <c r="C88" s="23"/>
      <c r="D88" s="58" t="s">
        <v>485</v>
      </c>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23"/>
      <c r="BA88" s="85">
        <v>6</v>
      </c>
      <c r="BB88" s="86"/>
      <c r="BC88" s="86"/>
      <c r="BD88" s="86"/>
      <c r="BE88" s="86"/>
      <c r="BF88" s="86"/>
      <c r="BG88" s="86"/>
      <c r="BH88" s="86"/>
      <c r="BI88" s="86"/>
      <c r="BJ88" s="87"/>
      <c r="BK88" s="85" t="s">
        <v>418</v>
      </c>
      <c r="BL88" s="86"/>
      <c r="BM88" s="86"/>
      <c r="BN88" s="86"/>
      <c r="BO88" s="86"/>
      <c r="BP88" s="86"/>
      <c r="BQ88" s="86"/>
      <c r="BR88" s="86"/>
      <c r="BS88" s="86"/>
      <c r="BT88" s="86"/>
      <c r="BU88" s="86"/>
      <c r="BV88" s="86"/>
      <c r="BW88" s="86"/>
      <c r="BX88" s="86"/>
      <c r="BY88" s="87"/>
      <c r="BZ88" s="85"/>
      <c r="CA88" s="86"/>
      <c r="CB88" s="86"/>
      <c r="CC88" s="86"/>
      <c r="CD88" s="86"/>
      <c r="CE88" s="87"/>
      <c r="CF88" s="126" t="s">
        <v>412</v>
      </c>
      <c r="CG88" s="127"/>
      <c r="CH88" s="127"/>
      <c r="CI88" s="128"/>
      <c r="CJ88" s="58"/>
      <c r="CK88" s="58"/>
      <c r="CL88" s="58"/>
      <c r="CM88" s="58"/>
      <c r="CN88" s="58"/>
      <c r="CO88" s="58"/>
      <c r="CP88" s="58"/>
      <c r="CQ88" s="58"/>
      <c r="CR88" s="59"/>
    </row>
    <row r="89" spans="1:96" s="60" customFormat="1" ht="15" customHeight="1" x14ac:dyDescent="0.2">
      <c r="A89" s="57"/>
      <c r="B89" s="23"/>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23"/>
      <c r="BA89" s="85">
        <v>9</v>
      </c>
      <c r="BB89" s="86"/>
      <c r="BC89" s="86"/>
      <c r="BD89" s="86"/>
      <c r="BE89" s="86"/>
      <c r="BF89" s="86"/>
      <c r="BG89" s="86"/>
      <c r="BH89" s="86"/>
      <c r="BI89" s="86"/>
      <c r="BJ89" s="87"/>
      <c r="BK89" s="85" t="s">
        <v>419</v>
      </c>
      <c r="BL89" s="86"/>
      <c r="BM89" s="86"/>
      <c r="BN89" s="86"/>
      <c r="BO89" s="86"/>
      <c r="BP89" s="86"/>
      <c r="BQ89" s="86"/>
      <c r="BR89" s="86"/>
      <c r="BS89" s="86"/>
      <c r="BT89" s="86"/>
      <c r="BU89" s="86"/>
      <c r="BV89" s="86"/>
      <c r="BW89" s="86"/>
      <c r="BX89" s="86"/>
      <c r="BY89" s="87"/>
      <c r="BZ89" s="85"/>
      <c r="CA89" s="86"/>
      <c r="CB89" s="86"/>
      <c r="CC89" s="86"/>
      <c r="CD89" s="86"/>
      <c r="CE89" s="87"/>
      <c r="CF89" s="126">
        <v>0</v>
      </c>
      <c r="CG89" s="127"/>
      <c r="CH89" s="127"/>
      <c r="CI89" s="128"/>
      <c r="CJ89" s="58"/>
      <c r="CK89" s="58"/>
      <c r="CL89" s="58"/>
      <c r="CM89" s="58"/>
      <c r="CN89" s="58"/>
      <c r="CO89" s="58"/>
      <c r="CP89" s="58"/>
      <c r="CQ89" s="58"/>
      <c r="CR89" s="59"/>
    </row>
    <row r="90" spans="1:96" s="60" customFormat="1" ht="15" customHeight="1" thickBot="1" x14ac:dyDescent="0.25">
      <c r="A90" s="61"/>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3"/>
    </row>
    <row r="91" spans="1:96" ht="15" customHeight="1" x14ac:dyDescent="0.15">
      <c r="A91" s="396" t="s">
        <v>71</v>
      </c>
      <c r="B91" s="397"/>
      <c r="C91" s="397"/>
      <c r="D91" s="397"/>
      <c r="E91" s="397"/>
      <c r="F91" s="397"/>
      <c r="G91" s="397"/>
      <c r="H91" s="397"/>
      <c r="I91" s="397"/>
      <c r="J91" s="397"/>
      <c r="K91" s="397"/>
      <c r="L91" s="397"/>
      <c r="M91" s="397"/>
      <c r="N91" s="397"/>
      <c r="O91" s="397"/>
      <c r="P91" s="397"/>
      <c r="Q91" s="397"/>
      <c r="R91" s="397"/>
      <c r="S91" s="397"/>
      <c r="T91" s="397"/>
      <c r="U91" s="397"/>
      <c r="V91" s="397"/>
      <c r="W91" s="397"/>
      <c r="X91" s="397"/>
      <c r="Y91" s="397"/>
      <c r="Z91" s="397"/>
      <c r="AA91" s="397"/>
      <c r="AB91" s="397"/>
      <c r="AC91" s="397"/>
      <c r="AD91" s="397"/>
      <c r="AE91" s="397"/>
      <c r="AF91" s="397"/>
      <c r="AG91" s="397"/>
      <c r="AH91" s="397"/>
      <c r="AI91" s="397"/>
      <c r="AJ91" s="397"/>
      <c r="AK91" s="397"/>
      <c r="AL91" s="397"/>
      <c r="AM91" s="397"/>
      <c r="AN91" s="397"/>
      <c r="AO91" s="397"/>
      <c r="AP91" s="397"/>
      <c r="AQ91" s="397"/>
      <c r="AR91" s="397"/>
      <c r="AS91" s="397"/>
      <c r="AT91" s="397"/>
      <c r="AU91" s="397"/>
      <c r="AV91" s="397"/>
      <c r="AW91" s="397"/>
      <c r="AX91" s="397"/>
      <c r="AY91" s="397"/>
      <c r="AZ91" s="397"/>
      <c r="BA91" s="397"/>
      <c r="BB91" s="397"/>
      <c r="BC91" s="397"/>
      <c r="BD91" s="397"/>
      <c r="BE91" s="397"/>
      <c r="BF91" s="397"/>
      <c r="BG91" s="397"/>
      <c r="BH91" s="397"/>
      <c r="BI91" s="397"/>
      <c r="BJ91" s="397"/>
      <c r="BK91" s="397"/>
      <c r="BL91" s="397"/>
      <c r="BM91" s="397"/>
      <c r="BN91" s="397"/>
      <c r="BO91" s="397"/>
      <c r="BP91" s="397"/>
      <c r="BQ91" s="397"/>
      <c r="BR91" s="397"/>
      <c r="BS91" s="397"/>
      <c r="BT91" s="397"/>
      <c r="BU91" s="397"/>
      <c r="BV91" s="397"/>
      <c r="BW91" s="397"/>
      <c r="BX91" s="397"/>
      <c r="BY91" s="397"/>
      <c r="BZ91" s="397"/>
      <c r="CA91" s="397"/>
      <c r="CB91" s="397"/>
      <c r="CC91" s="397"/>
      <c r="CD91" s="397"/>
      <c r="CE91" s="397"/>
      <c r="CF91" s="397"/>
      <c r="CG91" s="397"/>
      <c r="CH91" s="397"/>
      <c r="CI91" s="397"/>
      <c r="CJ91" s="397"/>
      <c r="CK91" s="397"/>
      <c r="CL91" s="397"/>
      <c r="CM91" s="397"/>
      <c r="CN91" s="397"/>
      <c r="CO91" s="397"/>
      <c r="CP91" s="397"/>
      <c r="CQ91" s="397"/>
      <c r="CR91" s="398"/>
    </row>
    <row r="92" spans="1:96" ht="15" customHeight="1" x14ac:dyDescent="0.15">
      <c r="A92" s="115"/>
      <c r="R92" s="156"/>
      <c r="CR92" s="116"/>
    </row>
    <row r="93" spans="1:96" ht="15" customHeight="1" x14ac:dyDescent="0.15">
      <c r="A93" s="115"/>
      <c r="B93" s="23" t="s">
        <v>114</v>
      </c>
      <c r="C93" s="23" t="s">
        <v>640</v>
      </c>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12"/>
      <c r="CF93" s="12"/>
      <c r="CG93" s="12"/>
      <c r="CH93" s="12"/>
      <c r="CI93" s="12"/>
      <c r="CJ93" s="12"/>
      <c r="CK93" s="12"/>
      <c r="CL93" s="12"/>
      <c r="CM93" s="12"/>
      <c r="CN93" s="12"/>
      <c r="CO93" s="12"/>
      <c r="CP93" s="12"/>
      <c r="CR93" s="116"/>
    </row>
    <row r="94" spans="1:96" ht="15" customHeight="1" x14ac:dyDescent="0.15">
      <c r="A94" s="115"/>
      <c r="B94" s="23"/>
      <c r="C94" s="94" t="s">
        <v>641</v>
      </c>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12"/>
      <c r="CF94" s="12"/>
      <c r="CG94" s="12"/>
      <c r="CH94" s="12"/>
      <c r="CI94" s="12"/>
      <c r="CJ94" s="12"/>
      <c r="CK94" s="12"/>
      <c r="CL94" s="12"/>
      <c r="CM94" s="12"/>
      <c r="CN94" s="12"/>
      <c r="CO94" s="12"/>
      <c r="CP94" s="12"/>
      <c r="CR94" s="116"/>
    </row>
    <row r="95" spans="1:96" ht="15" customHeight="1" x14ac:dyDescent="0.15">
      <c r="A95" s="115"/>
      <c r="B95" s="23"/>
      <c r="C95" s="23" t="s">
        <v>642</v>
      </c>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12"/>
      <c r="CF95" s="12"/>
      <c r="CG95" s="12"/>
      <c r="CH95" s="12"/>
      <c r="CI95" s="12"/>
      <c r="CJ95" s="12"/>
      <c r="CK95" s="12"/>
      <c r="CL95" s="12"/>
      <c r="CM95" s="12"/>
      <c r="CN95" s="12"/>
      <c r="CO95" s="12"/>
      <c r="CP95" s="12"/>
      <c r="CR95" s="116"/>
    </row>
    <row r="96" spans="1:96" ht="15" customHeight="1" x14ac:dyDescent="0.15">
      <c r="A96" s="115"/>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12"/>
      <c r="CF96" s="12"/>
      <c r="CG96" s="12"/>
      <c r="CH96" s="12"/>
      <c r="CI96" s="12"/>
      <c r="CJ96" s="12"/>
      <c r="CK96" s="12"/>
      <c r="CL96" s="12"/>
      <c r="CM96" s="12"/>
      <c r="CN96" s="12"/>
      <c r="CO96" s="12"/>
      <c r="CP96" s="12"/>
      <c r="CR96" s="116"/>
    </row>
    <row r="97" spans="1:96" ht="15" customHeight="1" x14ac:dyDescent="0.15">
      <c r="A97" s="115"/>
      <c r="B97" s="23" t="s">
        <v>615</v>
      </c>
      <c r="C97" s="23" t="s">
        <v>616</v>
      </c>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12"/>
      <c r="CF97" s="12"/>
      <c r="CG97" s="12"/>
      <c r="CH97" s="12"/>
      <c r="CI97" s="12"/>
      <c r="CJ97" s="12"/>
      <c r="CK97" s="12"/>
      <c r="CL97" s="12"/>
      <c r="CM97" s="12"/>
      <c r="CN97" s="12"/>
      <c r="CO97" s="12"/>
      <c r="CP97" s="12"/>
      <c r="CR97" s="116"/>
    </row>
    <row r="98" spans="1:96" ht="15" customHeight="1" x14ac:dyDescent="0.15">
      <c r="A98" s="115"/>
      <c r="B98" s="23"/>
      <c r="C98" s="23" t="s">
        <v>624</v>
      </c>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12"/>
      <c r="CJ98" s="12"/>
      <c r="CK98" s="12"/>
      <c r="CL98" s="12"/>
      <c r="CM98" s="12"/>
      <c r="CN98" s="12"/>
      <c r="CO98" s="12"/>
      <c r="CP98" s="12"/>
      <c r="CR98" s="116"/>
    </row>
    <row r="99" spans="1:96" ht="15" customHeight="1" x14ac:dyDescent="0.15">
      <c r="A99" s="115"/>
      <c r="B99" s="23"/>
      <c r="C99" s="94" t="s">
        <v>638</v>
      </c>
      <c r="D99" s="94"/>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12"/>
      <c r="CF99" s="12"/>
      <c r="CG99" s="12"/>
      <c r="CH99" s="12"/>
      <c r="CI99" s="12"/>
      <c r="CJ99" s="12"/>
      <c r="CK99" s="12"/>
      <c r="CL99" s="12"/>
      <c r="CM99" s="12"/>
      <c r="CN99" s="12"/>
      <c r="CO99" s="12"/>
      <c r="CP99" s="12"/>
      <c r="CR99" s="116"/>
    </row>
    <row r="100" spans="1:96" ht="15" customHeight="1" x14ac:dyDescent="0.15">
      <c r="A100" s="115"/>
      <c r="B100" s="23"/>
      <c r="C100" s="94" t="s">
        <v>623</v>
      </c>
      <c r="D100" s="23" t="s">
        <v>622</v>
      </c>
      <c r="E100" s="23"/>
      <c r="F100" s="23"/>
      <c r="G100" s="23"/>
      <c r="H100" s="94"/>
      <c r="I100" s="94"/>
      <c r="J100" s="94"/>
      <c r="K100" s="94"/>
      <c r="L100" s="94"/>
      <c r="M100" s="94"/>
      <c r="N100" s="94"/>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12"/>
      <c r="CJ100" s="12"/>
      <c r="CK100" s="12"/>
      <c r="CL100" s="12"/>
      <c r="CM100" s="12"/>
      <c r="CN100" s="12"/>
      <c r="CO100" s="12"/>
      <c r="CP100" s="12"/>
      <c r="CR100" s="116"/>
    </row>
    <row r="101" spans="1:96" ht="15" customHeight="1" x14ac:dyDescent="0.15">
      <c r="A101" s="115"/>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12"/>
      <c r="CJ101" s="12"/>
      <c r="CK101" s="12"/>
      <c r="CL101" s="12"/>
      <c r="CM101" s="12"/>
      <c r="CN101" s="12"/>
      <c r="CO101" s="12"/>
      <c r="CP101" s="12"/>
      <c r="CR101" s="116"/>
    </row>
    <row r="102" spans="1:96" ht="15" customHeight="1" x14ac:dyDescent="0.15">
      <c r="A102" s="115"/>
      <c r="B102" s="23"/>
      <c r="C102" s="23"/>
      <c r="D102" s="23"/>
      <c r="E102" s="162" t="s">
        <v>629</v>
      </c>
      <c r="F102" s="163"/>
      <c r="G102" s="163"/>
      <c r="H102" s="163"/>
      <c r="I102" s="163"/>
      <c r="J102" s="163"/>
      <c r="K102" s="163"/>
      <c r="L102" s="164"/>
      <c r="R102" s="159" t="s">
        <v>617</v>
      </c>
      <c r="S102" s="160"/>
      <c r="T102" s="160"/>
      <c r="U102" s="160"/>
      <c r="V102" s="160"/>
      <c r="W102" s="160"/>
      <c r="X102" s="160"/>
      <c r="Y102" s="161"/>
      <c r="AA102" s="23"/>
      <c r="AE102" s="159" t="s">
        <v>618</v>
      </c>
      <c r="AF102" s="160"/>
      <c r="AG102" s="160"/>
      <c r="AH102" s="160"/>
      <c r="AI102" s="160"/>
      <c r="AJ102" s="160"/>
      <c r="AK102" s="160"/>
      <c r="AL102" s="161"/>
      <c r="AN102" s="23"/>
      <c r="AO102" s="23"/>
      <c r="AP102" s="23"/>
      <c r="AQ102" s="23"/>
      <c r="AR102" s="159" t="s">
        <v>619</v>
      </c>
      <c r="AS102" s="160"/>
      <c r="AT102" s="160"/>
      <c r="AU102" s="160"/>
      <c r="AV102" s="160"/>
      <c r="AW102" s="160"/>
      <c r="AX102" s="160"/>
      <c r="AY102" s="161"/>
      <c r="AZ102" s="23"/>
      <c r="BA102" s="23"/>
      <c r="CH102" s="23"/>
      <c r="CI102" s="12"/>
      <c r="CJ102" s="12"/>
      <c r="CK102" s="12"/>
      <c r="CL102" s="12"/>
      <c r="CM102" s="12"/>
      <c r="CN102" s="12"/>
      <c r="CO102" s="12"/>
      <c r="CP102" s="12"/>
      <c r="CR102" s="116"/>
    </row>
    <row r="103" spans="1:96" ht="15" customHeight="1" thickBot="1" x14ac:dyDescent="0.2">
      <c r="A103" s="115"/>
      <c r="B103" s="23"/>
      <c r="C103" s="23"/>
      <c r="D103" s="23"/>
      <c r="E103" s="517" t="s">
        <v>631</v>
      </c>
      <c r="F103" s="517"/>
      <c r="G103" s="517"/>
      <c r="H103" s="517"/>
      <c r="I103" s="517"/>
      <c r="J103" s="517"/>
      <c r="K103" s="517"/>
      <c r="L103" s="517"/>
      <c r="M103" s="95"/>
      <c r="N103" s="95"/>
      <c r="O103" s="95"/>
      <c r="P103" s="95"/>
      <c r="Q103" s="154"/>
      <c r="R103" s="516" t="s">
        <v>637</v>
      </c>
      <c r="S103" s="516"/>
      <c r="T103" s="516"/>
      <c r="U103" s="516"/>
      <c r="V103" s="516"/>
      <c r="W103" s="516"/>
      <c r="X103" s="516"/>
      <c r="Y103" s="516"/>
      <c r="Z103" s="95"/>
      <c r="AA103" s="27"/>
      <c r="AB103" s="95"/>
      <c r="AC103" s="95"/>
      <c r="AD103" s="154"/>
      <c r="AE103" s="516" t="s">
        <v>637</v>
      </c>
      <c r="AF103" s="516"/>
      <c r="AG103" s="516"/>
      <c r="AH103" s="516"/>
      <c r="AI103" s="516"/>
      <c r="AJ103" s="516"/>
      <c r="AK103" s="516"/>
      <c r="AL103" s="516"/>
      <c r="AM103" s="153"/>
      <c r="AN103" s="27"/>
      <c r="AO103" s="27"/>
      <c r="AP103" s="27"/>
      <c r="AQ103" s="27"/>
      <c r="AR103" s="516" t="s">
        <v>637</v>
      </c>
      <c r="AS103" s="516"/>
      <c r="AT103" s="516"/>
      <c r="AU103" s="516"/>
      <c r="AV103" s="516"/>
      <c r="AW103" s="516"/>
      <c r="AX103" s="516"/>
      <c r="AY103" s="516"/>
      <c r="AZ103" s="23"/>
      <c r="BA103" s="23"/>
      <c r="CH103" s="23"/>
      <c r="CI103" s="12"/>
      <c r="CJ103" s="12"/>
      <c r="CK103" s="12"/>
      <c r="CL103" s="12"/>
      <c r="CM103" s="12"/>
      <c r="CN103" s="12"/>
      <c r="CO103" s="12"/>
      <c r="CP103" s="12"/>
      <c r="CR103" s="116"/>
    </row>
    <row r="104" spans="1:96" ht="15" customHeight="1" x14ac:dyDescent="0.15">
      <c r="A104" s="115"/>
      <c r="B104" s="23"/>
      <c r="C104" s="23"/>
      <c r="D104" s="23"/>
      <c r="E104" s="517"/>
      <c r="F104" s="517"/>
      <c r="G104" s="517"/>
      <c r="H104" s="517"/>
      <c r="I104" s="517"/>
      <c r="J104" s="517"/>
      <c r="K104" s="517"/>
      <c r="L104" s="517"/>
      <c r="R104" s="516"/>
      <c r="S104" s="516"/>
      <c r="T104" s="516"/>
      <c r="U104" s="516"/>
      <c r="V104" s="516"/>
      <c r="W104" s="516"/>
      <c r="X104" s="516"/>
      <c r="Y104" s="516"/>
      <c r="AA104" s="23"/>
      <c r="AE104" s="516"/>
      <c r="AF104" s="516"/>
      <c r="AG104" s="516"/>
      <c r="AH104" s="516"/>
      <c r="AI104" s="516"/>
      <c r="AJ104" s="516"/>
      <c r="AK104" s="516"/>
      <c r="AL104" s="516"/>
      <c r="AN104" s="23"/>
      <c r="AO104" s="23"/>
      <c r="AP104" s="23"/>
      <c r="AQ104" s="23"/>
      <c r="AR104" s="516"/>
      <c r="AS104" s="516"/>
      <c r="AT104" s="516"/>
      <c r="AU104" s="516"/>
      <c r="AV104" s="516"/>
      <c r="AW104" s="516"/>
      <c r="AX104" s="516"/>
      <c r="AY104" s="516"/>
      <c r="AZ104" s="23"/>
      <c r="BA104" s="23"/>
      <c r="CH104" s="23"/>
      <c r="CI104" s="12"/>
      <c r="CJ104" s="12"/>
      <c r="CK104" s="12"/>
      <c r="CL104" s="12"/>
      <c r="CM104" s="12"/>
      <c r="CN104" s="12"/>
      <c r="CO104" s="12"/>
      <c r="CP104" s="12"/>
      <c r="CR104" s="116"/>
    </row>
    <row r="105" spans="1:96" ht="15" customHeight="1" thickBot="1" x14ac:dyDescent="0.2">
      <c r="A105" s="115"/>
      <c r="B105" s="23"/>
      <c r="C105" s="23"/>
      <c r="D105" s="23"/>
      <c r="E105" s="516" t="s">
        <v>625</v>
      </c>
      <c r="F105" s="516"/>
      <c r="G105" s="516"/>
      <c r="H105" s="516"/>
      <c r="I105" s="516"/>
      <c r="J105" s="516"/>
      <c r="K105" s="516"/>
      <c r="L105" s="516"/>
      <c r="M105" s="95"/>
      <c r="N105" s="95"/>
      <c r="O105" s="95"/>
      <c r="R105" s="517" t="s">
        <v>621</v>
      </c>
      <c r="S105" s="517"/>
      <c r="T105" s="517"/>
      <c r="U105" s="517"/>
      <c r="V105" s="517"/>
      <c r="W105" s="517"/>
      <c r="X105" s="517"/>
      <c r="Y105" s="517"/>
      <c r="Z105" s="95"/>
      <c r="AA105" s="27"/>
      <c r="AB105" s="95"/>
      <c r="AC105" s="95"/>
      <c r="AD105" s="154"/>
      <c r="AE105" s="516" t="s">
        <v>621</v>
      </c>
      <c r="AF105" s="516"/>
      <c r="AG105" s="516"/>
      <c r="AH105" s="516"/>
      <c r="AI105" s="516"/>
      <c r="AJ105" s="516"/>
      <c r="AK105" s="516"/>
      <c r="AL105" s="516"/>
      <c r="AN105" s="23"/>
      <c r="AO105" s="23"/>
      <c r="AP105" s="27"/>
      <c r="AQ105" s="27"/>
      <c r="AR105" s="516" t="s">
        <v>627</v>
      </c>
      <c r="AS105" s="516"/>
      <c r="AT105" s="516"/>
      <c r="AU105" s="516"/>
      <c r="AV105" s="516"/>
      <c r="AW105" s="516"/>
      <c r="AX105" s="516"/>
      <c r="AY105" s="516"/>
      <c r="AZ105" s="23"/>
      <c r="BA105" s="23"/>
      <c r="CH105" s="23"/>
      <c r="CI105" s="12"/>
      <c r="CJ105" s="12"/>
      <c r="CK105" s="12"/>
      <c r="CL105" s="12"/>
      <c r="CM105" s="12"/>
      <c r="CN105" s="12"/>
      <c r="CO105" s="12"/>
      <c r="CP105" s="12"/>
      <c r="CR105" s="116"/>
    </row>
    <row r="106" spans="1:96" ht="15" customHeight="1" x14ac:dyDescent="0.15">
      <c r="A106" s="115"/>
      <c r="B106" s="23"/>
      <c r="C106" s="23"/>
      <c r="D106" s="23"/>
      <c r="E106" s="516"/>
      <c r="F106" s="516"/>
      <c r="G106" s="516"/>
      <c r="H106" s="516"/>
      <c r="I106" s="516"/>
      <c r="J106" s="516"/>
      <c r="K106" s="516"/>
      <c r="L106" s="516"/>
      <c r="P106" s="115"/>
      <c r="R106" s="517"/>
      <c r="S106" s="517"/>
      <c r="T106" s="517"/>
      <c r="U106" s="517"/>
      <c r="V106" s="517"/>
      <c r="W106" s="517"/>
      <c r="X106" s="517"/>
      <c r="Y106" s="517"/>
      <c r="AA106" s="23"/>
      <c r="AE106" s="516"/>
      <c r="AF106" s="516"/>
      <c r="AG106" s="516"/>
      <c r="AH106" s="516"/>
      <c r="AI106" s="516"/>
      <c r="AJ106" s="516"/>
      <c r="AK106" s="516"/>
      <c r="AL106" s="516"/>
      <c r="AN106" s="23"/>
      <c r="AO106" s="23"/>
      <c r="AP106" s="22"/>
      <c r="AQ106" s="23"/>
      <c r="AR106" s="516"/>
      <c r="AS106" s="516"/>
      <c r="AT106" s="516"/>
      <c r="AU106" s="516"/>
      <c r="AV106" s="516"/>
      <c r="AW106" s="516"/>
      <c r="AX106" s="516"/>
      <c r="AY106" s="516"/>
      <c r="AZ106" s="23"/>
      <c r="BA106" s="23"/>
      <c r="CH106" s="23"/>
      <c r="CI106" s="12"/>
      <c r="CJ106" s="12"/>
      <c r="CK106" s="12"/>
      <c r="CL106" s="12"/>
      <c r="CM106" s="12"/>
      <c r="CN106" s="12"/>
      <c r="CO106" s="12"/>
      <c r="CP106" s="12"/>
      <c r="CR106" s="116"/>
    </row>
    <row r="107" spans="1:96" ht="15" customHeight="1" thickBot="1" x14ac:dyDescent="0.2">
      <c r="A107" s="115"/>
      <c r="B107" s="23"/>
      <c r="C107" s="23"/>
      <c r="D107" s="23"/>
      <c r="E107" s="516" t="s">
        <v>626</v>
      </c>
      <c r="F107" s="516"/>
      <c r="G107" s="516"/>
      <c r="H107" s="516"/>
      <c r="I107" s="516"/>
      <c r="J107" s="516"/>
      <c r="K107" s="516"/>
      <c r="L107" s="516"/>
      <c r="M107" s="95"/>
      <c r="N107" s="95"/>
      <c r="P107" s="117"/>
      <c r="Q107" s="154"/>
      <c r="R107" s="516" t="s">
        <v>625</v>
      </c>
      <c r="S107" s="516"/>
      <c r="T107" s="516"/>
      <c r="U107" s="516"/>
      <c r="V107" s="516"/>
      <c r="W107" s="516"/>
      <c r="X107" s="516"/>
      <c r="Y107" s="516"/>
      <c r="Z107" s="158"/>
      <c r="AA107" s="23"/>
      <c r="AB107" s="23"/>
      <c r="AC107" s="27"/>
      <c r="AD107" s="155"/>
      <c r="AE107" s="516" t="s">
        <v>626</v>
      </c>
      <c r="AF107" s="516"/>
      <c r="AG107" s="516"/>
      <c r="AH107" s="516"/>
      <c r="AI107" s="516"/>
      <c r="AJ107" s="516"/>
      <c r="AK107" s="516"/>
      <c r="AL107" s="516"/>
      <c r="AN107" s="23"/>
      <c r="AO107" s="23"/>
      <c r="AP107" s="22"/>
      <c r="AQ107" s="23"/>
      <c r="AR107" s="23"/>
      <c r="AS107" s="23"/>
      <c r="AT107" s="23"/>
      <c r="AU107" s="23"/>
      <c r="AV107" s="23"/>
      <c r="AW107" s="23"/>
      <c r="AX107" s="23"/>
      <c r="AY107" s="23"/>
      <c r="AZ107" s="23"/>
      <c r="BA107" s="23"/>
      <c r="CH107" s="23"/>
      <c r="CI107" s="12"/>
      <c r="CJ107" s="12"/>
      <c r="CK107" s="12"/>
      <c r="CL107" s="12"/>
      <c r="CM107" s="12"/>
      <c r="CN107" s="12"/>
      <c r="CO107" s="12"/>
      <c r="CP107" s="12"/>
      <c r="CR107" s="116"/>
    </row>
    <row r="108" spans="1:96" ht="15" customHeight="1" x14ac:dyDescent="0.15">
      <c r="A108" s="115"/>
      <c r="B108" s="23"/>
      <c r="C108" s="23"/>
      <c r="D108" s="23"/>
      <c r="E108" s="516"/>
      <c r="F108" s="516"/>
      <c r="G108" s="516"/>
      <c r="H108" s="516"/>
      <c r="I108" s="516"/>
      <c r="J108" s="516"/>
      <c r="K108" s="516"/>
      <c r="L108" s="516"/>
      <c r="O108" s="115"/>
      <c r="R108" s="516"/>
      <c r="S108" s="516"/>
      <c r="T108" s="516"/>
      <c r="U108" s="516"/>
      <c r="V108" s="516"/>
      <c r="W108" s="516"/>
      <c r="X108" s="516"/>
      <c r="Y108" s="516"/>
      <c r="AA108" s="23"/>
      <c r="AB108" s="23"/>
      <c r="AC108" s="22"/>
      <c r="AD108" s="23"/>
      <c r="AE108" s="516"/>
      <c r="AF108" s="516"/>
      <c r="AG108" s="516"/>
      <c r="AH108" s="516"/>
      <c r="AI108" s="516"/>
      <c r="AJ108" s="516"/>
      <c r="AK108" s="516"/>
      <c r="AL108" s="516"/>
      <c r="AN108" s="23"/>
      <c r="AO108" s="23"/>
      <c r="AP108" s="22"/>
      <c r="AQ108" s="23"/>
      <c r="AR108" s="23"/>
      <c r="AS108" s="23"/>
      <c r="AT108" s="23"/>
      <c r="AU108" s="23"/>
      <c r="AV108" s="23"/>
      <c r="AW108" s="23"/>
      <c r="AX108" s="23"/>
      <c r="AY108" s="23"/>
      <c r="AZ108" s="23"/>
      <c r="BA108" s="23"/>
      <c r="CH108" s="23"/>
      <c r="CI108" s="12"/>
      <c r="CJ108" s="12"/>
      <c r="CK108" s="12"/>
      <c r="CL108" s="12"/>
      <c r="CM108" s="12"/>
      <c r="CN108" s="12"/>
      <c r="CO108" s="12"/>
      <c r="CP108" s="12"/>
      <c r="CR108" s="116"/>
    </row>
    <row r="109" spans="1:96" ht="15" customHeight="1" thickBot="1" x14ac:dyDescent="0.2">
      <c r="A109" s="115"/>
      <c r="B109" s="23"/>
      <c r="C109" s="23"/>
      <c r="D109" s="23"/>
      <c r="E109" s="516" t="s">
        <v>627</v>
      </c>
      <c r="F109" s="516"/>
      <c r="G109" s="516"/>
      <c r="H109" s="516"/>
      <c r="I109" s="516"/>
      <c r="J109" s="516"/>
      <c r="K109" s="516"/>
      <c r="L109" s="516"/>
      <c r="M109" s="153"/>
      <c r="O109" s="117"/>
      <c r="P109" s="95"/>
      <c r="Q109" s="95"/>
      <c r="R109" s="95"/>
      <c r="S109" s="95"/>
      <c r="T109" s="95"/>
      <c r="U109" s="95"/>
      <c r="V109" s="95"/>
      <c r="W109" s="95"/>
      <c r="X109" s="95"/>
      <c r="Y109" s="27"/>
      <c r="Z109" s="95"/>
      <c r="AA109" s="27"/>
      <c r="AB109" s="27"/>
      <c r="AC109" s="22"/>
      <c r="AD109" s="23"/>
      <c r="AN109" s="23"/>
      <c r="AO109" s="23"/>
      <c r="AP109" s="22"/>
      <c r="AQ109" s="23"/>
      <c r="AR109" s="23"/>
      <c r="AS109" s="23"/>
      <c r="AT109" s="23"/>
      <c r="AU109" s="23"/>
      <c r="AV109" s="23"/>
      <c r="AW109" s="23"/>
      <c r="AX109" s="23"/>
      <c r="AY109" s="23"/>
      <c r="AZ109" s="23"/>
      <c r="BA109" s="23"/>
      <c r="CH109" s="23"/>
      <c r="CI109" s="12"/>
      <c r="CJ109" s="12"/>
      <c r="CK109" s="12"/>
      <c r="CL109" s="12"/>
      <c r="CM109" s="12"/>
      <c r="CN109" s="12"/>
      <c r="CO109" s="12"/>
      <c r="CP109" s="12"/>
      <c r="CR109" s="116"/>
    </row>
    <row r="110" spans="1:96" ht="15" customHeight="1" x14ac:dyDescent="0.15">
      <c r="A110" s="115"/>
      <c r="B110" s="23"/>
      <c r="C110" s="23"/>
      <c r="D110" s="23"/>
      <c r="E110" s="516"/>
      <c r="F110" s="516"/>
      <c r="G110" s="516"/>
      <c r="H110" s="516"/>
      <c r="I110" s="516"/>
      <c r="J110" s="516"/>
      <c r="K110" s="516"/>
      <c r="L110" s="516"/>
      <c r="M110" s="23"/>
      <c r="N110" s="22"/>
      <c r="AA110" s="23"/>
      <c r="AB110" s="23"/>
      <c r="AC110" s="23"/>
      <c r="AD110" s="23"/>
      <c r="AO110" s="24"/>
      <c r="AP110" s="22"/>
      <c r="AQ110" s="23"/>
      <c r="AR110" s="23"/>
      <c r="AS110" s="23"/>
      <c r="AT110" s="23"/>
      <c r="AU110" s="23"/>
      <c r="AV110" s="23"/>
      <c r="AW110" s="23"/>
      <c r="AX110" s="23"/>
      <c r="AY110" s="23"/>
      <c r="AZ110" s="23"/>
      <c r="BA110" s="23"/>
      <c r="BI110" s="23"/>
      <c r="CH110" s="23"/>
      <c r="CI110" s="12"/>
      <c r="CJ110" s="12"/>
      <c r="CK110" s="12"/>
      <c r="CL110" s="12"/>
      <c r="CM110" s="12"/>
      <c r="CN110" s="12"/>
      <c r="CO110" s="12"/>
      <c r="CP110" s="12"/>
      <c r="CR110" s="116"/>
    </row>
    <row r="111" spans="1:96" ht="15" customHeight="1" thickBot="1" x14ac:dyDescent="0.2">
      <c r="A111" s="115"/>
      <c r="B111" s="23"/>
      <c r="E111" s="23"/>
      <c r="F111" s="23"/>
      <c r="G111" s="23"/>
      <c r="H111" s="23"/>
      <c r="I111" s="23"/>
      <c r="J111" s="23"/>
      <c r="K111" s="23"/>
      <c r="L111" s="23"/>
      <c r="N111" s="26"/>
      <c r="O111" s="27"/>
      <c r="P111" s="27"/>
      <c r="Q111" s="95"/>
      <c r="R111" s="95"/>
      <c r="S111" s="95"/>
      <c r="T111" s="95"/>
      <c r="U111" s="95"/>
      <c r="V111" s="95"/>
      <c r="W111" s="95"/>
      <c r="X111" s="27"/>
      <c r="Y111" s="27"/>
      <c r="Z111" s="27"/>
      <c r="AA111" s="27"/>
      <c r="AB111" s="27"/>
      <c r="AC111" s="27"/>
      <c r="AD111" s="27"/>
      <c r="AE111" s="27"/>
      <c r="AF111" s="27"/>
      <c r="AG111" s="27"/>
      <c r="AH111" s="27"/>
      <c r="AI111" s="27"/>
      <c r="AJ111" s="27"/>
      <c r="AK111" s="27"/>
      <c r="AL111" s="27"/>
      <c r="AM111" s="95"/>
      <c r="AN111" s="27"/>
      <c r="AO111" s="30"/>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12"/>
      <c r="CJ111" s="12"/>
      <c r="CK111" s="12"/>
      <c r="CL111" s="12"/>
      <c r="CM111" s="12"/>
      <c r="CN111" s="12"/>
      <c r="CO111" s="12"/>
      <c r="CP111" s="12"/>
      <c r="CR111" s="116"/>
    </row>
    <row r="112" spans="1:96" ht="15" customHeight="1" x14ac:dyDescent="0.15">
      <c r="A112" s="115"/>
      <c r="B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12"/>
      <c r="CJ112" s="12"/>
      <c r="CK112" s="12"/>
      <c r="CL112" s="12"/>
      <c r="CM112" s="12"/>
      <c r="CN112" s="12"/>
      <c r="CO112" s="12"/>
      <c r="CP112" s="12"/>
      <c r="CR112" s="116"/>
    </row>
    <row r="113" spans="1:96" ht="15" customHeight="1" x14ac:dyDescent="0.15">
      <c r="A113" s="115"/>
      <c r="B113" s="23"/>
      <c r="C113" s="94" t="s">
        <v>623</v>
      </c>
      <c r="D113" s="23" t="s">
        <v>628</v>
      </c>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12"/>
      <c r="CF113" s="12"/>
      <c r="CG113" s="12"/>
      <c r="CH113" s="12"/>
      <c r="CI113" s="12"/>
      <c r="CJ113" s="12"/>
      <c r="CK113" s="12"/>
      <c r="CL113" s="12"/>
      <c r="CM113" s="12"/>
      <c r="CN113" s="12"/>
      <c r="CO113" s="12"/>
      <c r="CP113" s="12"/>
      <c r="CR113" s="116"/>
    </row>
    <row r="114" spans="1:96" ht="15" customHeight="1" x14ac:dyDescent="0.15">
      <c r="A114" s="115"/>
      <c r="B114" s="12"/>
      <c r="C114" s="12"/>
      <c r="D114" s="23" t="s">
        <v>644</v>
      </c>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R114" s="116"/>
    </row>
    <row r="115" spans="1:96" ht="15" customHeight="1" x14ac:dyDescent="0.15">
      <c r="A115" s="115"/>
      <c r="B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12"/>
      <c r="CF115" s="12"/>
      <c r="CG115" s="12"/>
      <c r="CH115" s="12"/>
      <c r="CI115" s="12"/>
      <c r="CJ115" s="12"/>
      <c r="CK115" s="12"/>
      <c r="CL115" s="12"/>
      <c r="CM115" s="12"/>
      <c r="CN115" s="12"/>
      <c r="CO115" s="12"/>
      <c r="CP115" s="12"/>
      <c r="CR115" s="116"/>
    </row>
    <row r="116" spans="1:96" ht="15" customHeight="1" x14ac:dyDescent="0.15">
      <c r="A116" s="115"/>
      <c r="B116" s="23"/>
      <c r="E116" s="162" t="s">
        <v>629</v>
      </c>
      <c r="F116" s="163"/>
      <c r="G116" s="163"/>
      <c r="H116" s="163"/>
      <c r="I116" s="163"/>
      <c r="J116" s="163"/>
      <c r="K116" s="163"/>
      <c r="L116" s="164"/>
      <c r="R116" s="159" t="s">
        <v>617</v>
      </c>
      <c r="S116" s="160"/>
      <c r="T116" s="160"/>
      <c r="U116" s="160"/>
      <c r="V116" s="160"/>
      <c r="W116" s="160"/>
      <c r="X116" s="160"/>
      <c r="Y116" s="161"/>
      <c r="AA116" s="23"/>
      <c r="AE116" s="159" t="s">
        <v>618</v>
      </c>
      <c r="AF116" s="160"/>
      <c r="AG116" s="160"/>
      <c r="AH116" s="160"/>
      <c r="AI116" s="160"/>
      <c r="AJ116" s="160"/>
      <c r="AK116" s="160"/>
      <c r="AL116" s="161"/>
      <c r="AN116" s="23"/>
      <c r="AO116" s="23"/>
      <c r="AP116" s="23"/>
      <c r="AQ116" s="23"/>
      <c r="AR116" s="159" t="s">
        <v>619</v>
      </c>
      <c r="AS116" s="160"/>
      <c r="AT116" s="160"/>
      <c r="AU116" s="160"/>
      <c r="AV116" s="160"/>
      <c r="AW116" s="160"/>
      <c r="AX116" s="160"/>
      <c r="AY116" s="161"/>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12"/>
      <c r="CF116" s="12"/>
      <c r="CG116" s="12"/>
      <c r="CH116" s="12"/>
      <c r="CI116" s="12"/>
      <c r="CJ116" s="12"/>
      <c r="CK116" s="12"/>
      <c r="CL116" s="12"/>
      <c r="CM116" s="12"/>
      <c r="CN116" s="12"/>
      <c r="CO116" s="12"/>
      <c r="CP116" s="12"/>
      <c r="CR116" s="116"/>
    </row>
    <row r="117" spans="1:96" ht="15" customHeight="1" thickBot="1" x14ac:dyDescent="0.2">
      <c r="A117" s="115"/>
      <c r="B117" s="23"/>
      <c r="E117" s="518" t="s">
        <v>630</v>
      </c>
      <c r="F117" s="518"/>
      <c r="G117" s="518"/>
      <c r="H117" s="518"/>
      <c r="I117" s="518"/>
      <c r="J117" s="518"/>
      <c r="K117" s="518"/>
      <c r="L117" s="518"/>
      <c r="M117" s="158"/>
      <c r="Q117" s="157"/>
      <c r="R117" s="514" t="s">
        <v>620</v>
      </c>
      <c r="S117" s="514"/>
      <c r="T117" s="514"/>
      <c r="U117" s="514"/>
      <c r="V117" s="514"/>
      <c r="W117" s="514"/>
      <c r="X117" s="514"/>
      <c r="Y117" s="514"/>
      <c r="Z117" s="153"/>
      <c r="AA117" s="27"/>
      <c r="AB117" s="95"/>
      <c r="AC117" s="95"/>
      <c r="AD117" s="154"/>
      <c r="AE117" s="514" t="s">
        <v>620</v>
      </c>
      <c r="AF117" s="514"/>
      <c r="AG117" s="514"/>
      <c r="AH117" s="514"/>
      <c r="AI117" s="514"/>
      <c r="AJ117" s="514"/>
      <c r="AK117" s="514"/>
      <c r="AL117" s="514"/>
      <c r="AM117" s="153"/>
      <c r="AN117" s="27"/>
      <c r="AO117" s="95"/>
      <c r="AP117" s="95"/>
      <c r="AQ117" s="154"/>
      <c r="AR117" s="514" t="s">
        <v>620</v>
      </c>
      <c r="AS117" s="514"/>
      <c r="AT117" s="514"/>
      <c r="AU117" s="514"/>
      <c r="AV117" s="514"/>
      <c r="AW117" s="514"/>
      <c r="AX117" s="514"/>
      <c r="AY117" s="514"/>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12"/>
      <c r="CF117" s="12"/>
      <c r="CG117" s="12"/>
      <c r="CH117" s="12"/>
      <c r="CI117" s="12"/>
      <c r="CJ117" s="12"/>
      <c r="CK117" s="12"/>
      <c r="CL117" s="12"/>
      <c r="CM117" s="12"/>
      <c r="CN117" s="12"/>
      <c r="CO117" s="12"/>
      <c r="CP117" s="12"/>
      <c r="CR117" s="116"/>
    </row>
    <row r="118" spans="1:96" ht="15" customHeight="1" x14ac:dyDescent="0.15">
      <c r="A118" s="115"/>
      <c r="B118" s="23"/>
      <c r="E118" s="518"/>
      <c r="F118" s="518"/>
      <c r="G118" s="518"/>
      <c r="H118" s="518"/>
      <c r="I118" s="518"/>
      <c r="J118" s="518"/>
      <c r="K118" s="518"/>
      <c r="L118" s="518"/>
      <c r="R118" s="514"/>
      <c r="S118" s="514"/>
      <c r="T118" s="514"/>
      <c r="U118" s="514"/>
      <c r="V118" s="514"/>
      <c r="W118" s="514"/>
      <c r="X118" s="514"/>
      <c r="Y118" s="514"/>
      <c r="AA118" s="23"/>
      <c r="AE118" s="514"/>
      <c r="AF118" s="514"/>
      <c r="AG118" s="514"/>
      <c r="AH118" s="514"/>
      <c r="AI118" s="514"/>
      <c r="AJ118" s="514"/>
      <c r="AK118" s="514"/>
      <c r="AL118" s="514"/>
      <c r="AN118" s="23"/>
      <c r="AO118" s="23"/>
      <c r="AP118" s="23"/>
      <c r="AQ118" s="23"/>
      <c r="AR118" s="514"/>
      <c r="AS118" s="514"/>
      <c r="AT118" s="514"/>
      <c r="AU118" s="514"/>
      <c r="AV118" s="514"/>
      <c r="AW118" s="514"/>
      <c r="AX118" s="514"/>
      <c r="AY118" s="514"/>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12"/>
      <c r="CF118" s="12"/>
      <c r="CG118" s="12"/>
      <c r="CH118" s="12"/>
      <c r="CI118" s="12"/>
      <c r="CJ118" s="12"/>
      <c r="CK118" s="12"/>
      <c r="CL118" s="12"/>
      <c r="CM118" s="12"/>
      <c r="CN118" s="12"/>
      <c r="CO118" s="12"/>
      <c r="CP118" s="12"/>
      <c r="CR118" s="116"/>
    </row>
    <row r="119" spans="1:96" ht="15" customHeight="1" thickBot="1" x14ac:dyDescent="0.2">
      <c r="A119" s="115"/>
      <c r="B119" s="23"/>
      <c r="E119" s="516" t="s">
        <v>625</v>
      </c>
      <c r="F119" s="516"/>
      <c r="G119" s="516"/>
      <c r="H119" s="516"/>
      <c r="I119" s="516"/>
      <c r="J119" s="516"/>
      <c r="K119" s="516"/>
      <c r="L119" s="516"/>
      <c r="M119" s="95"/>
      <c r="N119" s="95"/>
      <c r="O119" s="95"/>
      <c r="R119" s="515" t="s">
        <v>621</v>
      </c>
      <c r="S119" s="515"/>
      <c r="T119" s="515"/>
      <c r="U119" s="515"/>
      <c r="V119" s="515"/>
      <c r="W119" s="515"/>
      <c r="X119" s="515"/>
      <c r="Y119" s="515"/>
      <c r="Z119" s="153"/>
      <c r="AA119" s="27"/>
      <c r="AB119" s="95"/>
      <c r="AC119" s="95"/>
      <c r="AD119" s="154"/>
      <c r="AE119" s="514" t="s">
        <v>621</v>
      </c>
      <c r="AF119" s="514"/>
      <c r="AG119" s="514"/>
      <c r="AH119" s="514"/>
      <c r="AI119" s="514"/>
      <c r="AJ119" s="514"/>
      <c r="AK119" s="514"/>
      <c r="AL119" s="514"/>
      <c r="AN119" s="23"/>
      <c r="AO119" s="23"/>
      <c r="AP119" s="27"/>
      <c r="AQ119" s="27"/>
      <c r="AR119" s="516" t="s">
        <v>627</v>
      </c>
      <c r="AS119" s="516"/>
      <c r="AT119" s="516"/>
      <c r="AU119" s="516"/>
      <c r="AV119" s="516"/>
      <c r="AW119" s="516"/>
      <c r="AX119" s="516"/>
      <c r="AY119" s="516"/>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12"/>
      <c r="CF119" s="12"/>
      <c r="CG119" s="12"/>
      <c r="CH119" s="12"/>
      <c r="CI119" s="12"/>
      <c r="CJ119" s="12"/>
      <c r="CK119" s="12"/>
      <c r="CL119" s="12"/>
      <c r="CM119" s="12"/>
      <c r="CN119" s="12"/>
      <c r="CO119" s="12"/>
      <c r="CP119" s="12"/>
      <c r="CR119" s="116"/>
    </row>
    <row r="120" spans="1:96" ht="15" customHeight="1" x14ac:dyDescent="0.15">
      <c r="A120" s="115"/>
      <c r="B120" s="23"/>
      <c r="E120" s="516"/>
      <c r="F120" s="516"/>
      <c r="G120" s="516"/>
      <c r="H120" s="516"/>
      <c r="I120" s="516"/>
      <c r="J120" s="516"/>
      <c r="K120" s="516"/>
      <c r="L120" s="516"/>
      <c r="P120" s="115"/>
      <c r="R120" s="515"/>
      <c r="S120" s="515"/>
      <c r="T120" s="515"/>
      <c r="U120" s="515"/>
      <c r="V120" s="515"/>
      <c r="W120" s="515"/>
      <c r="X120" s="515"/>
      <c r="Y120" s="515"/>
      <c r="Z120" s="158"/>
      <c r="AA120" s="23"/>
      <c r="AD120" s="157"/>
      <c r="AE120" s="514"/>
      <c r="AF120" s="514"/>
      <c r="AG120" s="514"/>
      <c r="AH120" s="514"/>
      <c r="AI120" s="514"/>
      <c r="AJ120" s="514"/>
      <c r="AK120" s="514"/>
      <c r="AL120" s="514"/>
      <c r="AN120" s="23"/>
      <c r="AO120" s="23"/>
      <c r="AP120" s="22"/>
      <c r="AQ120" s="23"/>
      <c r="AR120" s="516"/>
      <c r="AS120" s="516"/>
      <c r="AT120" s="516"/>
      <c r="AU120" s="516"/>
      <c r="AV120" s="516"/>
      <c r="AW120" s="516"/>
      <c r="AX120" s="516"/>
      <c r="AY120" s="516"/>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12"/>
      <c r="CF120" s="12"/>
      <c r="CG120" s="12"/>
      <c r="CH120" s="12"/>
      <c r="CI120" s="12"/>
      <c r="CJ120" s="12"/>
      <c r="CK120" s="12"/>
      <c r="CL120" s="12"/>
      <c r="CM120" s="12"/>
      <c r="CN120" s="12"/>
      <c r="CO120" s="12"/>
      <c r="CP120" s="12"/>
      <c r="CR120" s="116"/>
    </row>
    <row r="121" spans="1:96" ht="15" customHeight="1" thickBot="1" x14ac:dyDescent="0.2">
      <c r="A121" s="115"/>
      <c r="B121" s="23"/>
      <c r="E121" s="516" t="s">
        <v>626</v>
      </c>
      <c r="F121" s="516"/>
      <c r="G121" s="516"/>
      <c r="H121" s="516"/>
      <c r="I121" s="516"/>
      <c r="J121" s="516"/>
      <c r="K121" s="516"/>
      <c r="L121" s="516"/>
      <c r="M121" s="95"/>
      <c r="N121" s="95"/>
      <c r="P121" s="117"/>
      <c r="Q121" s="154"/>
      <c r="R121" s="516" t="s">
        <v>625</v>
      </c>
      <c r="S121" s="516"/>
      <c r="T121" s="516"/>
      <c r="U121" s="516"/>
      <c r="V121" s="516"/>
      <c r="W121" s="516"/>
      <c r="X121" s="516"/>
      <c r="Y121" s="516"/>
      <c r="Z121" s="158"/>
      <c r="AA121" s="23"/>
      <c r="AB121" s="23"/>
      <c r="AC121" s="27"/>
      <c r="AD121" s="155"/>
      <c r="AE121" s="516" t="s">
        <v>626</v>
      </c>
      <c r="AF121" s="516"/>
      <c r="AG121" s="516"/>
      <c r="AH121" s="516"/>
      <c r="AI121" s="516"/>
      <c r="AJ121" s="516"/>
      <c r="AK121" s="516"/>
      <c r="AL121" s="516"/>
      <c r="AN121" s="23"/>
      <c r="AO121" s="23"/>
      <c r="AP121" s="22"/>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12"/>
      <c r="CF121" s="12"/>
      <c r="CG121" s="12"/>
      <c r="CH121" s="12"/>
      <c r="CI121" s="12"/>
      <c r="CJ121" s="12"/>
      <c r="CK121" s="12"/>
      <c r="CL121" s="12"/>
      <c r="CM121" s="12"/>
      <c r="CN121" s="12"/>
      <c r="CO121" s="12"/>
      <c r="CP121" s="12"/>
      <c r="CR121" s="116"/>
    </row>
    <row r="122" spans="1:96" ht="15" customHeight="1" x14ac:dyDescent="0.15">
      <c r="A122" s="115"/>
      <c r="B122" s="23"/>
      <c r="E122" s="516"/>
      <c r="F122" s="516"/>
      <c r="G122" s="516"/>
      <c r="H122" s="516"/>
      <c r="I122" s="516"/>
      <c r="J122" s="516"/>
      <c r="K122" s="516"/>
      <c r="L122" s="516"/>
      <c r="O122" s="115"/>
      <c r="R122" s="516"/>
      <c r="S122" s="516"/>
      <c r="T122" s="516"/>
      <c r="U122" s="516"/>
      <c r="V122" s="516"/>
      <c r="W122" s="516"/>
      <c r="X122" s="516"/>
      <c r="Y122" s="516"/>
      <c r="Z122" s="158"/>
      <c r="AA122" s="23"/>
      <c r="AB122" s="23"/>
      <c r="AC122" s="22"/>
      <c r="AD122" s="23"/>
      <c r="AE122" s="516"/>
      <c r="AF122" s="516"/>
      <c r="AG122" s="516"/>
      <c r="AH122" s="516"/>
      <c r="AI122" s="516"/>
      <c r="AJ122" s="516"/>
      <c r="AK122" s="516"/>
      <c r="AL122" s="516"/>
      <c r="AN122" s="23"/>
      <c r="AO122" s="23"/>
      <c r="AP122" s="22"/>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12"/>
      <c r="CF122" s="12"/>
      <c r="CG122" s="12"/>
      <c r="CH122" s="12"/>
      <c r="CI122" s="12"/>
      <c r="CJ122" s="12"/>
      <c r="CK122" s="12"/>
      <c r="CL122" s="12"/>
      <c r="CM122" s="12"/>
      <c r="CN122" s="12"/>
      <c r="CO122" s="12"/>
      <c r="CP122" s="12"/>
      <c r="CR122" s="116"/>
    </row>
    <row r="123" spans="1:96" ht="15" customHeight="1" thickBot="1" x14ac:dyDescent="0.2">
      <c r="A123" s="115"/>
      <c r="B123" s="23"/>
      <c r="E123" s="516" t="s">
        <v>627</v>
      </c>
      <c r="F123" s="516"/>
      <c r="G123" s="516"/>
      <c r="H123" s="516"/>
      <c r="I123" s="516"/>
      <c r="J123" s="516"/>
      <c r="K123" s="516"/>
      <c r="L123" s="516"/>
      <c r="M123" s="153"/>
      <c r="O123" s="117"/>
      <c r="P123" s="95"/>
      <c r="Q123" s="95"/>
      <c r="R123" s="95"/>
      <c r="S123" s="95"/>
      <c r="T123" s="95"/>
      <c r="U123" s="95"/>
      <c r="V123" s="95"/>
      <c r="W123" s="95"/>
      <c r="X123" s="95"/>
      <c r="Y123" s="27"/>
      <c r="Z123" s="95"/>
      <c r="AA123" s="27"/>
      <c r="AB123" s="27"/>
      <c r="AC123" s="22"/>
      <c r="AD123" s="23"/>
      <c r="AN123" s="23"/>
      <c r="AO123" s="23"/>
      <c r="AP123" s="22"/>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12"/>
      <c r="CF123" s="12"/>
      <c r="CG123" s="12"/>
      <c r="CH123" s="12"/>
      <c r="CI123" s="12"/>
      <c r="CJ123" s="12"/>
      <c r="CK123" s="12"/>
      <c r="CL123" s="12"/>
      <c r="CM123" s="12"/>
      <c r="CN123" s="12"/>
      <c r="CO123" s="12"/>
      <c r="CP123" s="12"/>
      <c r="CR123" s="116"/>
    </row>
    <row r="124" spans="1:96" ht="15" customHeight="1" x14ac:dyDescent="0.15">
      <c r="A124" s="115"/>
      <c r="B124" s="23"/>
      <c r="E124" s="516"/>
      <c r="F124" s="516"/>
      <c r="G124" s="516"/>
      <c r="H124" s="516"/>
      <c r="I124" s="516"/>
      <c r="J124" s="516"/>
      <c r="K124" s="516"/>
      <c r="L124" s="516"/>
      <c r="M124" s="23"/>
      <c r="N124" s="22"/>
      <c r="AA124" s="23"/>
      <c r="AB124" s="23"/>
      <c r="AC124" s="23"/>
      <c r="AD124" s="23"/>
      <c r="AO124" s="24"/>
      <c r="AP124" s="22"/>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12"/>
      <c r="CF124" s="12"/>
      <c r="CG124" s="12"/>
      <c r="CH124" s="12"/>
      <c r="CI124" s="12"/>
      <c r="CJ124" s="12"/>
      <c r="CK124" s="12"/>
      <c r="CL124" s="12"/>
      <c r="CM124" s="12"/>
      <c r="CN124" s="12"/>
      <c r="CO124" s="12"/>
      <c r="CP124" s="12"/>
      <c r="CR124" s="116"/>
    </row>
    <row r="125" spans="1:96" ht="15" customHeight="1" thickBot="1" x14ac:dyDescent="0.2">
      <c r="A125" s="115"/>
      <c r="B125" s="23"/>
      <c r="E125" s="23"/>
      <c r="F125" s="23"/>
      <c r="G125" s="23"/>
      <c r="H125" s="23"/>
      <c r="I125" s="23"/>
      <c r="J125" s="23"/>
      <c r="K125" s="23"/>
      <c r="L125" s="23"/>
      <c r="N125" s="26"/>
      <c r="O125" s="27"/>
      <c r="P125" s="27"/>
      <c r="Q125" s="95"/>
      <c r="R125" s="95"/>
      <c r="S125" s="95"/>
      <c r="T125" s="95"/>
      <c r="U125" s="95"/>
      <c r="V125" s="95"/>
      <c r="W125" s="95"/>
      <c r="X125" s="27"/>
      <c r="Y125" s="27"/>
      <c r="Z125" s="27"/>
      <c r="AA125" s="27"/>
      <c r="AB125" s="27"/>
      <c r="AC125" s="27"/>
      <c r="AD125" s="27"/>
      <c r="AE125" s="27"/>
      <c r="AF125" s="27"/>
      <c r="AG125" s="27"/>
      <c r="AH125" s="27"/>
      <c r="AI125" s="27"/>
      <c r="AJ125" s="27"/>
      <c r="AK125" s="27"/>
      <c r="AL125" s="27"/>
      <c r="AM125" s="95"/>
      <c r="AN125" s="27"/>
      <c r="AO125" s="30"/>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12"/>
      <c r="CF125" s="12"/>
      <c r="CG125" s="12"/>
      <c r="CH125" s="12"/>
      <c r="CI125" s="12"/>
      <c r="CJ125" s="12"/>
      <c r="CK125" s="12"/>
      <c r="CL125" s="12"/>
      <c r="CM125" s="12"/>
      <c r="CN125" s="12"/>
      <c r="CO125" s="12"/>
      <c r="CP125" s="12"/>
      <c r="CR125" s="116"/>
    </row>
    <row r="126" spans="1:96" ht="15" customHeight="1" x14ac:dyDescent="0.15">
      <c r="A126" s="115"/>
      <c r="B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12"/>
      <c r="CF126" s="12"/>
      <c r="CG126" s="12"/>
      <c r="CH126" s="12"/>
      <c r="CI126" s="12"/>
      <c r="CJ126" s="12"/>
      <c r="CK126" s="12"/>
      <c r="CL126" s="12"/>
      <c r="CM126" s="12"/>
      <c r="CN126" s="12"/>
      <c r="CO126" s="12"/>
      <c r="CP126" s="12"/>
      <c r="CR126" s="116"/>
    </row>
    <row r="127" spans="1:96" ht="15" customHeight="1" x14ac:dyDescent="0.15">
      <c r="A127" s="115"/>
      <c r="B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12"/>
      <c r="CF127" s="12"/>
      <c r="CG127" s="12"/>
      <c r="CH127" s="12"/>
      <c r="CI127" s="12"/>
      <c r="CJ127" s="12"/>
      <c r="CK127" s="12"/>
      <c r="CL127" s="12"/>
      <c r="CM127" s="12"/>
      <c r="CN127" s="12"/>
      <c r="CO127" s="12"/>
      <c r="CP127" s="12"/>
      <c r="CR127" s="116"/>
    </row>
    <row r="128" spans="1:96" ht="15" customHeight="1" x14ac:dyDescent="0.15">
      <c r="A128" s="115"/>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R128" s="116"/>
    </row>
    <row r="129" spans="1:96" ht="15" customHeight="1" x14ac:dyDescent="0.15">
      <c r="A129" s="115"/>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R129" s="116"/>
    </row>
    <row r="130" spans="1:96" ht="15" customHeight="1" x14ac:dyDescent="0.15">
      <c r="A130" s="115"/>
      <c r="CR130" s="116"/>
    </row>
    <row r="131" spans="1:96" ht="15" customHeight="1" x14ac:dyDescent="0.15">
      <c r="A131" s="115"/>
      <c r="CR131" s="116"/>
    </row>
    <row r="132" spans="1:96" ht="15" customHeight="1" x14ac:dyDescent="0.15">
      <c r="A132" s="115"/>
      <c r="CR132" s="116"/>
    </row>
    <row r="133" spans="1:96" ht="15" customHeight="1" thickBot="1" x14ac:dyDescent="0.2">
      <c r="A133" s="117"/>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95"/>
      <c r="AO133" s="95"/>
      <c r="AP133" s="95"/>
      <c r="AQ133" s="95"/>
      <c r="AR133" s="95"/>
      <c r="AS133" s="95"/>
      <c r="AT133" s="95"/>
      <c r="AU133" s="95"/>
      <c r="AV133" s="95"/>
      <c r="AW133" s="95"/>
      <c r="AX133" s="95"/>
      <c r="AY133" s="95"/>
      <c r="AZ133" s="95"/>
      <c r="BA133" s="95"/>
      <c r="BB133" s="95"/>
      <c r="BC133" s="95"/>
      <c r="BD133" s="95"/>
      <c r="BE133" s="95"/>
      <c r="BF133" s="95"/>
      <c r="BG133" s="95"/>
      <c r="BH133" s="95"/>
      <c r="BI133" s="95"/>
      <c r="BJ133" s="95"/>
      <c r="BK133" s="95"/>
      <c r="BL133" s="95"/>
      <c r="BM133" s="95"/>
      <c r="BN133" s="95"/>
      <c r="BO133" s="95"/>
      <c r="BP133" s="95"/>
      <c r="BQ133" s="95"/>
      <c r="BR133" s="95"/>
      <c r="BS133" s="95"/>
      <c r="BT133" s="95"/>
      <c r="BU133" s="95"/>
      <c r="BV133" s="95"/>
      <c r="BW133" s="95"/>
      <c r="BX133" s="95"/>
      <c r="BY133" s="95"/>
      <c r="BZ133" s="95"/>
      <c r="CA133" s="95"/>
      <c r="CB133" s="95"/>
      <c r="CC133" s="95"/>
      <c r="CD133" s="95"/>
      <c r="CE133" s="95"/>
      <c r="CF133" s="95"/>
      <c r="CG133" s="95"/>
      <c r="CH133" s="95"/>
      <c r="CI133" s="95"/>
      <c r="CJ133" s="95"/>
      <c r="CK133" s="95"/>
      <c r="CL133" s="95"/>
      <c r="CM133" s="95"/>
      <c r="CN133" s="95"/>
      <c r="CO133" s="95"/>
      <c r="CP133" s="95"/>
      <c r="CQ133" s="95"/>
      <c r="CR133" s="118"/>
    </row>
  </sheetData>
  <mergeCells count="159">
    <mergeCell ref="AR117:AY118"/>
    <mergeCell ref="E119:L120"/>
    <mergeCell ref="Q69:U69"/>
    <mergeCell ref="C65:P65"/>
    <mergeCell ref="AE119:AL120"/>
    <mergeCell ref="AR119:AY120"/>
    <mergeCell ref="E121:L122"/>
    <mergeCell ref="R121:Y122"/>
    <mergeCell ref="E123:L124"/>
    <mergeCell ref="AE121:AL122"/>
    <mergeCell ref="A91:CR91"/>
    <mergeCell ref="R107:Y108"/>
    <mergeCell ref="R105:Y106"/>
    <mergeCell ref="R103:Y104"/>
    <mergeCell ref="E109:L110"/>
    <mergeCell ref="E107:L108"/>
    <mergeCell ref="E105:L106"/>
    <mergeCell ref="E103:L104"/>
    <mergeCell ref="AE107:AL108"/>
    <mergeCell ref="AE105:AL106"/>
    <mergeCell ref="AE103:AL104"/>
    <mergeCell ref="AR105:AY106"/>
    <mergeCell ref="AR103:AY104"/>
    <mergeCell ref="E117:L118"/>
    <mergeCell ref="R117:Y118"/>
    <mergeCell ref="AE117:AL118"/>
    <mergeCell ref="R119:Y120"/>
    <mergeCell ref="V65:AS65"/>
    <mergeCell ref="C63:P63"/>
    <mergeCell ref="V63:AS63"/>
    <mergeCell ref="C72:P72"/>
    <mergeCell ref="V72:AS72"/>
    <mergeCell ref="C68:P68"/>
    <mergeCell ref="V68:AS68"/>
    <mergeCell ref="C69:P69"/>
    <mergeCell ref="V69:AS69"/>
    <mergeCell ref="C70:P71"/>
    <mergeCell ref="V70:AS71"/>
    <mergeCell ref="C66:P66"/>
    <mergeCell ref="V66:AS66"/>
    <mergeCell ref="C67:P67"/>
    <mergeCell ref="V67:AS67"/>
    <mergeCell ref="Q70:U71"/>
    <mergeCell ref="Q72:U72"/>
    <mergeCell ref="Q63:U63"/>
    <mergeCell ref="Q64:U64"/>
    <mergeCell ref="Q65:U65"/>
    <mergeCell ref="Q66:U66"/>
    <mergeCell ref="Q67:U67"/>
    <mergeCell ref="Q68:U68"/>
    <mergeCell ref="BZ53:CB56"/>
    <mergeCell ref="Q51:U51"/>
    <mergeCell ref="Q52:U53"/>
    <mergeCell ref="Q54:U54"/>
    <mergeCell ref="Q55:U55"/>
    <mergeCell ref="Q56:U57"/>
    <mergeCell ref="Q58:U58"/>
    <mergeCell ref="Q59:U59"/>
    <mergeCell ref="Q60:U60"/>
    <mergeCell ref="BT57:BV57"/>
    <mergeCell ref="BW57:CB57"/>
    <mergeCell ref="BT53:BV56"/>
    <mergeCell ref="BW53:BY56"/>
    <mergeCell ref="AY57:BA57"/>
    <mergeCell ref="BB57:BD57"/>
    <mergeCell ref="BE57:BM57"/>
    <mergeCell ref="BN57:BS57"/>
    <mergeCell ref="C51:P51"/>
    <mergeCell ref="V51:AS51"/>
    <mergeCell ref="C52:P53"/>
    <mergeCell ref="V52:AS53"/>
    <mergeCell ref="BE53:BG56"/>
    <mergeCell ref="BH53:BJ56"/>
    <mergeCell ref="BK53:BM56"/>
    <mergeCell ref="BN53:BP56"/>
    <mergeCell ref="BQ53:BS56"/>
    <mergeCell ref="AY53:BA56"/>
    <mergeCell ref="BB53:BD56"/>
    <mergeCell ref="C55:P55"/>
    <mergeCell ref="V55:AS55"/>
    <mergeCell ref="C54:P54"/>
    <mergeCell ref="V54:AS54"/>
    <mergeCell ref="C56:P57"/>
    <mergeCell ref="V56:AS57"/>
    <mergeCell ref="A47:J47"/>
    <mergeCell ref="K47:AV47"/>
    <mergeCell ref="AW47:BH47"/>
    <mergeCell ref="A48:CR48"/>
    <mergeCell ref="A45:J45"/>
    <mergeCell ref="K45:AV45"/>
    <mergeCell ref="AW45:BH45"/>
    <mergeCell ref="A46:J46"/>
    <mergeCell ref="K46:AV46"/>
    <mergeCell ref="AW46:BH46"/>
    <mergeCell ref="A42:J42"/>
    <mergeCell ref="K42:AV42"/>
    <mergeCell ref="AW42:BH42"/>
    <mergeCell ref="A43:J43"/>
    <mergeCell ref="K43:AV43"/>
    <mergeCell ref="AW43:BH43"/>
    <mergeCell ref="BI43:CR43"/>
    <mergeCell ref="A44:J44"/>
    <mergeCell ref="K44:AV44"/>
    <mergeCell ref="AW44:BH44"/>
    <mergeCell ref="A39:J39"/>
    <mergeCell ref="K39:AV39"/>
    <mergeCell ref="AW39:BH39"/>
    <mergeCell ref="A40:J40"/>
    <mergeCell ref="K40:AV40"/>
    <mergeCell ref="AW40:BH40"/>
    <mergeCell ref="A41:J41"/>
    <mergeCell ref="K41:AV41"/>
    <mergeCell ref="AW41:BH41"/>
    <mergeCell ref="BT4:CR4"/>
    <mergeCell ref="A5:BH5"/>
    <mergeCell ref="BI5:CR5"/>
    <mergeCell ref="BI12:CR12"/>
    <mergeCell ref="A38:BH38"/>
    <mergeCell ref="BI38:CR38"/>
    <mergeCell ref="A4:H4"/>
    <mergeCell ref="I4:AK4"/>
    <mergeCell ref="AL4:AR4"/>
    <mergeCell ref="AS4:BH4"/>
    <mergeCell ref="BI4:BS4"/>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C58:P58"/>
    <mergeCell ref="V58:AS58"/>
    <mergeCell ref="C59:P59"/>
    <mergeCell ref="V59:AS59"/>
    <mergeCell ref="Q61:U61"/>
    <mergeCell ref="C64:P64"/>
    <mergeCell ref="V64:AS64"/>
    <mergeCell ref="C60:P60"/>
    <mergeCell ref="V60:AS60"/>
    <mergeCell ref="C61:P61"/>
    <mergeCell ref="V61:AS61"/>
    <mergeCell ref="C62:P62"/>
    <mergeCell ref="V62:AS62"/>
    <mergeCell ref="Q62:U62"/>
  </mergeCells>
  <phoneticPr fontId="2"/>
  <pageMargins left="0.39370078740157483" right="0.16" top="0.78740157480314965" bottom="0.39370078740157483" header="0.59055118110236227" footer="0.19685039370078741"/>
  <pageSetup paperSize="9" scale="80" firstPageNumber="4" orientation="landscape" r:id="rId1"/>
  <headerFooter alignWithMargins="0">
    <oddFooter>&amp;C&amp;P　/　&amp;N&amp;R株式会社　京信システムサービス</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9</vt:i4>
      </vt:variant>
    </vt:vector>
  </HeadingPairs>
  <TitlesOfParts>
    <vt:vector size="15" baseType="lpstr">
      <vt:lpstr>タイトル</vt:lpstr>
      <vt:lpstr>改訂履歴</vt:lpstr>
      <vt:lpstr>機能概要・画面遷移図</vt:lpstr>
      <vt:lpstr>雇用情報マスタ</vt:lpstr>
      <vt:lpstr>雇用情報マスタ編集</vt:lpstr>
      <vt:lpstr>雇用情報マスタ取込</vt:lpstr>
      <vt:lpstr>タイトル!Print_Area</vt:lpstr>
      <vt:lpstr>雇用情報マスタ!Print_Area</vt:lpstr>
      <vt:lpstr>雇用情報マスタ取込!Print_Area</vt:lpstr>
      <vt:lpstr>雇用情報マスタ編集!Print_Area</vt:lpstr>
      <vt:lpstr>改訂履歴!Print_Titles</vt:lpstr>
      <vt:lpstr>機能概要・画面遷移図!Print_Titles</vt:lpstr>
      <vt:lpstr>雇用情報マスタ!Print_Titles</vt:lpstr>
      <vt:lpstr>雇用情報マスタ取込!Print_Titles</vt:lpstr>
      <vt:lpstr>雇用情報マスタ編集!Print_Titles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川勝　恭子</dc:creator>
  <cp:lastModifiedBy>明石　 啓吾</cp:lastModifiedBy>
  <cp:lastPrinted>2024-12-16T00:46:46Z</cp:lastPrinted>
  <dcterms:created xsi:type="dcterms:W3CDTF">2006-03-07T04:00:40Z</dcterms:created>
  <dcterms:modified xsi:type="dcterms:W3CDTF">2025-10-21T05:22:18Z</dcterms:modified>
</cp:coreProperties>
</file>
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C000_基本設計\010_機能設計書\CZ_マスタ\"/>
    </mc:Choice>
  </mc:AlternateContent>
  <xr:revisionPtr revIDLastSave="0" documentId="13_ncr:1_{B05ECDC5-4D8D-4EA0-BECC-29F635A62858}" xr6:coauthVersionLast="47" xr6:coauthVersionMax="47" xr10:uidLastSave="{00000000-0000-0000-0000-000000000000}"/>
  <bookViews>
    <workbookView xWindow="-120" yWindow="-120" windowWidth="29040" windowHeight="15840" tabRatio="584" xr2:uid="{00000000-000D-0000-FFFF-FFFF00000000}"/>
  </bookViews>
  <sheets>
    <sheet name="タイトル" sheetId="266" r:id="rId1"/>
    <sheet name="改訂履歴" sheetId="6" r:id="rId2"/>
    <sheet name="機能概要・画面遷移図" sheetId="270" r:id="rId3"/>
    <sheet name="社員マスタ" sheetId="271" r:id="rId4"/>
    <sheet name="社員マスタ編集" sheetId="272" r:id="rId5"/>
  </sheets>
  <definedNames>
    <definedName name="_Toc94971774" localSheetId="2">機能概要・画面遷移図!#REF!</definedName>
    <definedName name="_Toc94971775" localSheetId="2">機能概要・画面遷移図!#REF!</definedName>
    <definedName name="_xlnm.Print_Area" localSheetId="0">タイトル!$A$1:$AC$36</definedName>
    <definedName name="_xlnm.Print_Area" localSheetId="3">社員マスタ!$A$1:$CR$90</definedName>
    <definedName name="_xlnm.Print_Area" localSheetId="4">社員マスタ編集!$A$1:$CR$219</definedName>
    <definedName name="_xlnm.Print_Titles" localSheetId="1">改訂履歴!$1:$4</definedName>
    <definedName name="_xlnm.Print_Titles" localSheetId="2">機能概要・画面遷移図!$1:$4</definedName>
    <definedName name="_xlnm.Print_Titles" localSheetId="3">社員マスタ!$1:$4</definedName>
    <definedName name="_xlnm.Print_Titles" localSheetId="4">社員マスタ編集!$1:$4</definedName>
  </definedNames>
  <calcPr calcId="191029"/>
</workbook>
</file>

<file path=xl/calcChain.xml><?xml version="1.0" encoding="utf-8"?>
<calcChain xmlns="http://schemas.openxmlformats.org/spreadsheetml/2006/main">
  <c r="CK1" i="270" l="1"/>
  <c r="CK1" i="272"/>
  <c r="CK1" i="271"/>
  <c r="I4" i="272" l="1"/>
  <c r="AL2" i="272"/>
  <c r="BW1" i="272"/>
  <c r="BM1" i="272"/>
  <c r="I1" i="272"/>
  <c r="AL2" i="271" l="1"/>
  <c r="BW1" i="271"/>
  <c r="BM1" i="271"/>
  <c r="I1" i="271"/>
  <c r="I4" i="271"/>
  <c r="I51" i="266" l="1"/>
  <c r="AS4" i="270" l="1"/>
  <c r="I4" i="270"/>
  <c r="J5" i="6" l="1"/>
  <c r="I49" i="266" s="1"/>
  <c r="AL2" i="270" l="1"/>
  <c r="I2" i="270"/>
  <c r="BW1" i="270"/>
  <c r="BM1" i="270"/>
  <c r="AL1" i="270"/>
  <c r="I1" i="270"/>
  <c r="G11" i="266" l="1"/>
  <c r="G14" i="266"/>
  <c r="G17" i="266"/>
  <c r="G20" i="266"/>
  <c r="J27" i="266"/>
  <c r="J29" i="2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H3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変更内容を簡潔に記述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00000000-0006-0000-0200-000001000000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BCFF89B1-AFF0-429F-981D-4C99B1C25344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TOBA Tetsuya</author>
  </authors>
  <commentList>
    <comment ref="A2" authorId="0" shapeId="0" xr:uid="{E54D7A67-24BD-4A5C-AB14-37937ABE8001}">
      <text>
        <r>
          <rPr>
            <sz val="9"/>
            <color indexed="81"/>
            <rFont val="ＭＳ Ｐゴシック"/>
            <family val="3"/>
            <charset val="128"/>
          </rPr>
          <t>人事システム
給与システム
システム基盤 等を書く</t>
        </r>
      </text>
    </comment>
  </commentList>
</comments>
</file>

<file path=xl/sharedStrings.xml><?xml version="1.0" encoding="utf-8"?>
<sst xmlns="http://schemas.openxmlformats.org/spreadsheetml/2006/main" count="850" uniqueCount="360">
  <si>
    <t>工　　　　程</t>
    <rPh sb="0" eb="1">
      <t>コウ</t>
    </rPh>
    <rPh sb="5" eb="6">
      <t>ホド</t>
    </rPh>
    <phoneticPr fontId="2"/>
  </si>
  <si>
    <t>システム名</t>
    <rPh sb="4" eb="5">
      <t>メイ</t>
    </rPh>
    <phoneticPr fontId="2"/>
  </si>
  <si>
    <t>改訂履歴</t>
    <rPh sb="0" eb="2">
      <t>カイテイ</t>
    </rPh>
    <rPh sb="2" eb="4">
      <t>リレキ</t>
    </rPh>
    <phoneticPr fontId="2"/>
  </si>
  <si>
    <t>区分</t>
    <rPh sb="0" eb="2">
      <t>クブン</t>
    </rPh>
    <phoneticPr fontId="2"/>
  </si>
  <si>
    <t>頁</t>
    <rPh sb="0" eb="1">
      <t>ページ</t>
    </rPh>
    <phoneticPr fontId="2"/>
  </si>
  <si>
    <t>新規／改訂日</t>
    <rPh sb="0" eb="2">
      <t>シンキ</t>
    </rPh>
    <rPh sb="3" eb="5">
      <t>カイテイ</t>
    </rPh>
    <rPh sb="5" eb="6">
      <t>ビ</t>
    </rPh>
    <phoneticPr fontId="2"/>
  </si>
  <si>
    <t>改訂箇所</t>
    <rPh sb="0" eb="2">
      <t>カイテイ</t>
    </rPh>
    <rPh sb="2" eb="4">
      <t>カショ</t>
    </rPh>
    <phoneticPr fontId="2"/>
  </si>
  <si>
    <t>改訂理由</t>
    <rPh sb="0" eb="2">
      <t>カイテイ</t>
    </rPh>
    <rPh sb="2" eb="4">
      <t>リユウ</t>
    </rPh>
    <phoneticPr fontId="2"/>
  </si>
  <si>
    <t>新規／改訂者</t>
    <rPh sb="0" eb="2">
      <t>シンキ</t>
    </rPh>
    <rPh sb="3" eb="5">
      <t>カイテイ</t>
    </rPh>
    <rPh sb="5" eb="6">
      <t>シャ</t>
    </rPh>
    <phoneticPr fontId="2"/>
  </si>
  <si>
    <t>　※ページ毎に個別入力</t>
    <rPh sb="5" eb="6">
      <t>ゴト</t>
    </rPh>
    <rPh sb="7" eb="9">
      <t>コベツ</t>
    </rPh>
    <rPh sb="9" eb="11">
      <t>ニュウリョク</t>
    </rPh>
    <phoneticPr fontId="2"/>
  </si>
  <si>
    <t>タイトル項目埋め込み内容</t>
    <rPh sb="4" eb="6">
      <t>コウモク</t>
    </rPh>
    <rPh sb="6" eb="7">
      <t>ウ</t>
    </rPh>
    <rPh sb="8" eb="9">
      <t>コ</t>
    </rPh>
    <rPh sb="10" eb="12">
      <t>ナイヨウ</t>
    </rPh>
    <phoneticPr fontId="2"/>
  </si>
  <si>
    <t>新規</t>
    <rPh sb="0" eb="2">
      <t>シンキ</t>
    </rPh>
    <phoneticPr fontId="2"/>
  </si>
  <si>
    <t>作　成</t>
    <rPh sb="0" eb="1">
      <t>サク</t>
    </rPh>
    <rPh sb="2" eb="3">
      <t>シゲル</t>
    </rPh>
    <phoneticPr fontId="2"/>
  </si>
  <si>
    <t>管理記号</t>
    <rPh sb="0" eb="2">
      <t>カンリ</t>
    </rPh>
    <rPh sb="2" eb="4">
      <t>キゴウ</t>
    </rPh>
    <phoneticPr fontId="2"/>
  </si>
  <si>
    <t>サブシステム名</t>
    <rPh sb="6" eb="7">
      <t>メイ</t>
    </rPh>
    <phoneticPr fontId="2"/>
  </si>
  <si>
    <t>改　訂</t>
    <rPh sb="0" eb="1">
      <t>アラタ</t>
    </rPh>
    <rPh sb="2" eb="3">
      <t>テイ</t>
    </rPh>
    <phoneticPr fontId="2"/>
  </si>
  <si>
    <t>No</t>
    <phoneticPr fontId="2"/>
  </si>
  <si>
    <t>Ver</t>
    <phoneticPr fontId="2"/>
  </si>
  <si>
    <t>新規作成</t>
    <rPh sb="0" eb="2">
      <t>シンキ</t>
    </rPh>
    <rPh sb="2" eb="4">
      <t>サクセイ</t>
    </rPh>
    <phoneticPr fontId="2"/>
  </si>
  <si>
    <t>見出し部タイトル制御テーブル</t>
    <rPh sb="0" eb="2">
      <t>ミダ</t>
    </rPh>
    <rPh sb="3" eb="4">
      <t>ブ</t>
    </rPh>
    <rPh sb="8" eb="10">
      <t>セイギョ</t>
    </rPh>
    <phoneticPr fontId="2"/>
  </si>
  <si>
    <t>タイトル項目</t>
    <rPh sb="4" eb="6">
      <t>コウモク</t>
    </rPh>
    <phoneticPr fontId="2"/>
  </si>
  <si>
    <t>　①システム名</t>
    <rPh sb="6" eb="7">
      <t>メイ</t>
    </rPh>
    <phoneticPr fontId="2"/>
  </si>
  <si>
    <t>　②サブシステム名</t>
    <rPh sb="8" eb="9">
      <t>メイ</t>
    </rPh>
    <phoneticPr fontId="2"/>
  </si>
  <si>
    <t>　③分類名</t>
    <rPh sb="2" eb="4">
      <t>ブンルイ</t>
    </rPh>
    <rPh sb="4" eb="5">
      <t>メイ</t>
    </rPh>
    <phoneticPr fontId="2"/>
  </si>
  <si>
    <t>　④作業工程名</t>
    <rPh sb="2" eb="4">
      <t>サギョウ</t>
    </rPh>
    <rPh sb="4" eb="6">
      <t>コウテイ</t>
    </rPh>
    <rPh sb="6" eb="7">
      <t>メイ</t>
    </rPh>
    <phoneticPr fontId="2"/>
  </si>
  <si>
    <t>　⑤ドキュメント代表名</t>
    <rPh sb="8" eb="10">
      <t>ダイヒョウ</t>
    </rPh>
    <rPh sb="10" eb="11">
      <t>メイ</t>
    </rPh>
    <phoneticPr fontId="2"/>
  </si>
  <si>
    <t>　⑥ドキュメント詳細名</t>
    <rPh sb="8" eb="10">
      <t>ショウサイ</t>
    </rPh>
    <rPh sb="10" eb="11">
      <t>メイ</t>
    </rPh>
    <phoneticPr fontId="2"/>
  </si>
  <si>
    <t>　⑦作成者</t>
    <rPh sb="2" eb="5">
      <t>サクセイシャ</t>
    </rPh>
    <phoneticPr fontId="2"/>
  </si>
  <si>
    <t>　⑧作成日</t>
    <rPh sb="2" eb="5">
      <t>サクセイビ</t>
    </rPh>
    <phoneticPr fontId="2"/>
  </si>
  <si>
    <t>　⑦改定者</t>
    <rPh sb="2" eb="4">
      <t>カイテイ</t>
    </rPh>
    <rPh sb="4" eb="5">
      <t>シャ</t>
    </rPh>
    <phoneticPr fontId="2"/>
  </si>
  <si>
    <t>　⑧改定日</t>
    <rPh sb="2" eb="4">
      <t>カイテイ</t>
    </rPh>
    <rPh sb="4" eb="5">
      <t>ビ</t>
    </rPh>
    <phoneticPr fontId="2"/>
  </si>
  <si>
    <t>　⑨管理記号</t>
    <rPh sb="2" eb="4">
      <t>カンリ</t>
    </rPh>
    <rPh sb="4" eb="6">
      <t>キゴウ</t>
    </rPh>
    <phoneticPr fontId="2"/>
  </si>
  <si>
    <t>ドキュメント</t>
    <phoneticPr fontId="2"/>
  </si>
  <si>
    <t xml:space="preserve">　 </t>
    <phoneticPr fontId="2"/>
  </si>
  <si>
    <t>　⑩Ｖｅｒ</t>
    <phoneticPr fontId="2"/>
  </si>
  <si>
    <t>　利用想定ユーザー</t>
    <rPh sb="1" eb="3">
      <t>リヨウ</t>
    </rPh>
    <rPh sb="3" eb="5">
      <t>ソウテイ</t>
    </rPh>
    <phoneticPr fontId="2"/>
  </si>
  <si>
    <t>　機能名称</t>
    <rPh sb="1" eb="3">
      <t>キノウ</t>
    </rPh>
    <rPh sb="3" eb="5">
      <t>メイショウ</t>
    </rPh>
    <phoneticPr fontId="2"/>
  </si>
  <si>
    <t>　機能ＩＤ</t>
    <rPh sb="1" eb="3">
      <t>キノウ</t>
    </rPh>
    <phoneticPr fontId="2"/>
  </si>
  <si>
    <t>　機能設計</t>
    <rPh sb="1" eb="3">
      <t>キノウ</t>
    </rPh>
    <rPh sb="3" eb="5">
      <t>セッケイ</t>
    </rPh>
    <phoneticPr fontId="2"/>
  </si>
  <si>
    <t>機　　能　　概　　要</t>
    <rPh sb="0" eb="1">
      <t>キ</t>
    </rPh>
    <rPh sb="3" eb="4">
      <t>ノウ</t>
    </rPh>
    <rPh sb="6" eb="7">
      <t>オオムネ</t>
    </rPh>
    <rPh sb="9" eb="10">
      <t>ヨウ</t>
    </rPh>
    <phoneticPr fontId="2"/>
  </si>
  <si>
    <t>画　　面　　遷　　移　　図</t>
    <rPh sb="0" eb="1">
      <t>ガ</t>
    </rPh>
    <rPh sb="3" eb="4">
      <t>メン</t>
    </rPh>
    <rPh sb="6" eb="7">
      <t>セン</t>
    </rPh>
    <rPh sb="9" eb="10">
      <t>ウツ</t>
    </rPh>
    <rPh sb="12" eb="13">
      <t>ズ</t>
    </rPh>
    <phoneticPr fontId="2"/>
  </si>
  <si>
    <t>　共通機能</t>
    <rPh sb="1" eb="3">
      <t>キョウツウ</t>
    </rPh>
    <rPh sb="3" eb="5">
      <t>キノウ</t>
    </rPh>
    <phoneticPr fontId="2"/>
  </si>
  <si>
    <t>○ホーム画面</t>
    <rPh sb="4" eb="6">
      <t>ガメン</t>
    </rPh>
    <phoneticPr fontId="2"/>
  </si>
  <si>
    <t>DUC010</t>
    <phoneticPr fontId="2"/>
  </si>
  <si>
    <t>　学生勤務管理システム</t>
    <rPh sb="1" eb="3">
      <t>ガクセイ</t>
    </rPh>
    <rPh sb="3" eb="5">
      <t>キンム</t>
    </rPh>
    <rPh sb="5" eb="7">
      <t>カンリ</t>
    </rPh>
    <phoneticPr fontId="2"/>
  </si>
  <si>
    <t>木田　優</t>
    <rPh sb="0" eb="2">
      <t>キダ</t>
    </rPh>
    <rPh sb="3" eb="4">
      <t>マサル</t>
    </rPh>
    <phoneticPr fontId="2"/>
  </si>
  <si>
    <t>木田　優</t>
    <rPh sb="0" eb="2">
      <t>キダ</t>
    </rPh>
    <rPh sb="3" eb="4">
      <t>マサル</t>
    </rPh>
    <phoneticPr fontId="2"/>
  </si>
  <si>
    <t>機能</t>
    <rPh sb="0" eb="2">
      <t>キノウ</t>
    </rPh>
    <phoneticPr fontId="2"/>
  </si>
  <si>
    <t>戻るボタン</t>
    <rPh sb="0" eb="1">
      <t>モド</t>
    </rPh>
    <phoneticPr fontId="11"/>
  </si>
  <si>
    <t>○社員マスタ画面</t>
    <rPh sb="1" eb="3">
      <t>シャイン</t>
    </rPh>
    <rPh sb="6" eb="8">
      <t>ガメン</t>
    </rPh>
    <phoneticPr fontId="2"/>
  </si>
  <si>
    <t>社員マスタボタン</t>
    <rPh sb="0" eb="2">
      <t>シャイン</t>
    </rPh>
    <phoneticPr fontId="11"/>
  </si>
  <si>
    <t>○社員マスタ編集画面</t>
    <rPh sb="1" eb="3">
      <t>シャイン</t>
    </rPh>
    <rPh sb="6" eb="8">
      <t>ヘンシュウ</t>
    </rPh>
    <rPh sb="8" eb="10">
      <t>ガメン</t>
    </rPh>
    <phoneticPr fontId="2"/>
  </si>
  <si>
    <t>　機能設計</t>
  </si>
  <si>
    <t>　共通機能</t>
  </si>
  <si>
    <t>　画面名称</t>
    <rPh sb="1" eb="3">
      <t>ガメン</t>
    </rPh>
    <rPh sb="3" eb="5">
      <t>メイショウ</t>
    </rPh>
    <phoneticPr fontId="2"/>
  </si>
  <si>
    <t>　画面ＩＤ</t>
    <rPh sb="1" eb="3">
      <t>ガメン</t>
    </rPh>
    <phoneticPr fontId="2"/>
  </si>
  <si>
    <t>画面レイアウト</t>
    <rPh sb="0" eb="2">
      <t>ガメン</t>
    </rPh>
    <phoneticPr fontId="2"/>
  </si>
  <si>
    <t>機能概要</t>
    <rPh sb="0" eb="2">
      <t>キノウ</t>
    </rPh>
    <rPh sb="2" eb="4">
      <t>ガイヨウ</t>
    </rPh>
    <phoneticPr fontId="2"/>
  </si>
  <si>
    <t>・</t>
    <phoneticPr fontId="10"/>
  </si>
  <si>
    <t>画面説明　（処理内容・アクション等）</t>
    <rPh sb="0" eb="2">
      <t>ガメン</t>
    </rPh>
    <rPh sb="2" eb="4">
      <t>セツメイ</t>
    </rPh>
    <rPh sb="6" eb="8">
      <t>ショリ</t>
    </rPh>
    <rPh sb="8" eb="10">
      <t>ナイヨウ</t>
    </rPh>
    <rPh sb="16" eb="17">
      <t>トウ</t>
    </rPh>
    <phoneticPr fontId="2"/>
  </si>
  <si>
    <t>・</t>
    <phoneticPr fontId="2"/>
  </si>
  <si>
    <t>リストボックス</t>
    <phoneticPr fontId="2"/>
  </si>
  <si>
    <t>権限による画面制御</t>
    <rPh sb="0" eb="2">
      <t>ケンゲン</t>
    </rPh>
    <rPh sb="5" eb="7">
      <t>ガメン</t>
    </rPh>
    <rPh sb="7" eb="9">
      <t>セイギョ</t>
    </rPh>
    <phoneticPr fontId="10"/>
  </si>
  <si>
    <t>項目名</t>
    <rPh sb="0" eb="2">
      <t>コウモク</t>
    </rPh>
    <rPh sb="2" eb="3">
      <t>メイ</t>
    </rPh>
    <phoneticPr fontId="2"/>
  </si>
  <si>
    <t>内容</t>
    <rPh sb="0" eb="2">
      <t>ナイヨウ</t>
    </rPh>
    <phoneticPr fontId="10"/>
  </si>
  <si>
    <t>並び順</t>
    <rPh sb="0" eb="1">
      <t>ナラ</t>
    </rPh>
    <rPh sb="2" eb="3">
      <t>ジュン</t>
    </rPh>
    <phoneticPr fontId="10"/>
  </si>
  <si>
    <t>一覧の並び順</t>
    <rPh sb="0" eb="2">
      <t>イチラン</t>
    </rPh>
    <rPh sb="3" eb="4">
      <t>ナラ</t>
    </rPh>
    <rPh sb="5" eb="6">
      <t>ジュン</t>
    </rPh>
    <phoneticPr fontId="2"/>
  </si>
  <si>
    <t>画　面　補　足　説　明</t>
    <rPh sb="0" eb="1">
      <t>ガ</t>
    </rPh>
    <rPh sb="2" eb="3">
      <t>メン</t>
    </rPh>
    <rPh sb="4" eb="5">
      <t>タスク</t>
    </rPh>
    <rPh sb="6" eb="7">
      <t>アシ</t>
    </rPh>
    <rPh sb="8" eb="9">
      <t>セツ</t>
    </rPh>
    <rPh sb="10" eb="11">
      <t>メイ</t>
    </rPh>
    <phoneticPr fontId="2"/>
  </si>
  <si>
    <t>留学生</t>
    <rPh sb="0" eb="3">
      <t>リュウガクセイ</t>
    </rPh>
    <phoneticPr fontId="2"/>
  </si>
  <si>
    <t>社員ＩＤ（昇順）</t>
    <rPh sb="0" eb="2">
      <t>シャイン</t>
    </rPh>
    <rPh sb="5" eb="7">
      <t>ショウジュン</t>
    </rPh>
    <phoneticPr fontId="2"/>
  </si>
  <si>
    <t>表示する行を切り替える。</t>
    <rPh sb="0" eb="2">
      <t>ヒョウジ</t>
    </rPh>
    <rPh sb="4" eb="5">
      <t>ギョウ</t>
    </rPh>
    <rPh sb="6" eb="7">
      <t>キ</t>
    </rPh>
    <rPh sb="8" eb="9">
      <t>カ</t>
    </rPh>
    <phoneticPr fontId="2"/>
  </si>
  <si>
    <t>氏名は非活性で表示する。</t>
    <rPh sb="0" eb="2">
      <t>シメイ</t>
    </rPh>
    <rPh sb="3" eb="6">
      <t>ヒカッセイ</t>
    </rPh>
    <rPh sb="7" eb="9">
      <t>ヒョウジ</t>
    </rPh>
    <phoneticPr fontId="2"/>
  </si>
  <si>
    <t>英字氏名は非活性で表示する。</t>
    <rPh sb="0" eb="2">
      <t>エイジ</t>
    </rPh>
    <rPh sb="2" eb="4">
      <t>シメイ</t>
    </rPh>
    <rPh sb="5" eb="8">
      <t>ヒカッセイ</t>
    </rPh>
    <rPh sb="9" eb="11">
      <t>ヒョウジ</t>
    </rPh>
    <phoneticPr fontId="2"/>
  </si>
  <si>
    <t>メールアドレスは非活性で表示する。</t>
    <rPh sb="8" eb="11">
      <t>ヒカッセイ</t>
    </rPh>
    <rPh sb="12" eb="14">
      <t>ヒョウジ</t>
    </rPh>
    <phoneticPr fontId="2"/>
  </si>
  <si>
    <t>留学生は非活性で表示する。</t>
    <rPh sb="0" eb="3">
      <t>リュウガクセイ</t>
    </rPh>
    <rPh sb="4" eb="7">
      <t>ヒカッセイ</t>
    </rPh>
    <rPh sb="8" eb="10">
      <t>ヒョウジ</t>
    </rPh>
    <phoneticPr fontId="2"/>
  </si>
  <si>
    <t>　CZ-020_社員マスタ</t>
    <rPh sb="8" eb="10">
      <t>シャイン</t>
    </rPh>
    <phoneticPr fontId="2"/>
  </si>
  <si>
    <t>　管理者</t>
    <rPh sb="1" eb="4">
      <t>カンリシャ</t>
    </rPh>
    <phoneticPr fontId="10"/>
  </si>
  <si>
    <t>社員マスタを登録・編集する時に使用する。</t>
    <rPh sb="0" eb="2">
      <t>シャイン</t>
    </rPh>
    <rPh sb="6" eb="8">
      <t>トウロク</t>
    </rPh>
    <rPh sb="9" eb="11">
      <t>ヘンシュウ</t>
    </rPh>
    <rPh sb="13" eb="14">
      <t>トキ</t>
    </rPh>
    <rPh sb="15" eb="17">
      <t>シヨウ</t>
    </rPh>
    <phoneticPr fontId="2"/>
  </si>
  <si>
    <t>（CC-020-01G）</t>
    <phoneticPr fontId="2"/>
  </si>
  <si>
    <t>（CZ-020-01G）</t>
    <phoneticPr fontId="2"/>
  </si>
  <si>
    <t>（CZ-020-02G）</t>
    <phoneticPr fontId="2"/>
  </si>
  <si>
    <t>選択ボタン</t>
    <rPh sb="0" eb="2">
      <t>センタク</t>
    </rPh>
    <phoneticPr fontId="11"/>
  </si>
  <si>
    <t>or</t>
    <phoneticPr fontId="11"/>
  </si>
  <si>
    <t>新規作成ボタン</t>
    <rPh sb="0" eb="2">
      <t>シンキ</t>
    </rPh>
    <rPh sb="2" eb="4">
      <t>サクセイ</t>
    </rPh>
    <phoneticPr fontId="11"/>
  </si>
  <si>
    <t>社員マスタの照会、登録・編集画面への遷移元画面。</t>
    <rPh sb="0" eb="2">
      <t>シャイン</t>
    </rPh>
    <rPh sb="6" eb="8">
      <t>ショウカイ</t>
    </rPh>
    <rPh sb="9" eb="11">
      <t>トウロク</t>
    </rPh>
    <rPh sb="12" eb="14">
      <t>ヘンシュウ</t>
    </rPh>
    <rPh sb="14" eb="16">
      <t>ガメン</t>
    </rPh>
    <rPh sb="18" eb="20">
      <t>センイ</t>
    </rPh>
    <rPh sb="20" eb="21">
      <t>モト</t>
    </rPh>
    <rPh sb="21" eb="23">
      <t>ガメン</t>
    </rPh>
    <phoneticPr fontId="2"/>
  </si>
  <si>
    <t>社員検索ボタンを押下すると、社員選択ポップアップを表示する。</t>
    <rPh sb="0" eb="2">
      <t>シャイン</t>
    </rPh>
    <rPh sb="2" eb="4">
      <t>ケンサク</t>
    </rPh>
    <rPh sb="8" eb="10">
      <t>オウカ</t>
    </rPh>
    <rPh sb="14" eb="16">
      <t>シャイン</t>
    </rPh>
    <rPh sb="16" eb="18">
      <t>センタク</t>
    </rPh>
    <rPh sb="25" eb="27">
      <t>ヒョウジ</t>
    </rPh>
    <phoneticPr fontId="2"/>
  </si>
  <si>
    <t>検索結果の行は30行を最大とし、31行目以降はページング機能を使用して</t>
    <rPh sb="0" eb="2">
      <t>ケンサク</t>
    </rPh>
    <rPh sb="2" eb="4">
      <t>ケッカ</t>
    </rPh>
    <rPh sb="5" eb="6">
      <t>ギョウ</t>
    </rPh>
    <rPh sb="9" eb="10">
      <t>ギョウ</t>
    </rPh>
    <rPh sb="11" eb="13">
      <t>サイダイ</t>
    </rPh>
    <rPh sb="18" eb="20">
      <t>ギョウメ</t>
    </rPh>
    <rPh sb="20" eb="22">
      <t>イコウ</t>
    </rPh>
    <rPh sb="28" eb="30">
      <t>キノウ</t>
    </rPh>
    <rPh sb="31" eb="33">
      <t>シヨウ</t>
    </rPh>
    <phoneticPr fontId="2"/>
  </si>
  <si>
    <t>選択ボタンを押下すると、社員マスタ編集画面を表示する。</t>
    <rPh sb="0" eb="2">
      <t>センタク</t>
    </rPh>
    <rPh sb="6" eb="8">
      <t>オウカ</t>
    </rPh>
    <rPh sb="12" eb="14">
      <t>シャイン</t>
    </rPh>
    <rPh sb="17" eb="19">
      <t>ヘンシュウ</t>
    </rPh>
    <rPh sb="19" eb="21">
      <t>ガメン</t>
    </rPh>
    <rPh sb="22" eb="24">
      <t>ヒョウジ</t>
    </rPh>
    <phoneticPr fontId="2"/>
  </si>
  <si>
    <t>※画面補足説明参照</t>
    <rPh sb="1" eb="3">
      <t>ガメン</t>
    </rPh>
    <rPh sb="3" eb="5">
      <t>ホソク</t>
    </rPh>
    <rPh sb="5" eb="7">
      <t>セツメイ</t>
    </rPh>
    <rPh sb="7" eb="9">
      <t>サンショウ</t>
    </rPh>
    <phoneticPr fontId="2"/>
  </si>
  <si>
    <t>昇順</t>
  </si>
  <si>
    <t>○入力項目</t>
    <rPh sb="1" eb="3">
      <t>ニュウリョク</t>
    </rPh>
    <rPh sb="3" eb="5">
      <t>コウモク</t>
    </rPh>
    <phoneticPr fontId="10"/>
  </si>
  <si>
    <t>項目名</t>
    <rPh sb="0" eb="2">
      <t>コウモク</t>
    </rPh>
    <rPh sb="2" eb="3">
      <t>メイ</t>
    </rPh>
    <phoneticPr fontId="10"/>
  </si>
  <si>
    <t>入力必須</t>
    <rPh sb="0" eb="2">
      <t>ニュウリョク</t>
    </rPh>
    <rPh sb="2" eb="4">
      <t>ヒッス</t>
    </rPh>
    <phoneticPr fontId="10"/>
  </si>
  <si>
    <t>桁数</t>
    <rPh sb="0" eb="2">
      <t>ケタスウ</t>
    </rPh>
    <phoneticPr fontId="10"/>
  </si>
  <si>
    <t>入力制限等</t>
    <rPh sb="0" eb="2">
      <t>ニュウリョク</t>
    </rPh>
    <rPh sb="2" eb="4">
      <t>セイゲン</t>
    </rPh>
    <rPh sb="4" eb="5">
      <t>トウ</t>
    </rPh>
    <phoneticPr fontId="10"/>
  </si>
  <si>
    <t>○</t>
    <phoneticPr fontId="10"/>
  </si>
  <si>
    <t>-</t>
    <phoneticPr fontId="10"/>
  </si>
  <si>
    <t>社員ＩＤ</t>
    <rPh sb="0" eb="2">
      <t>シャイン</t>
    </rPh>
    <phoneticPr fontId="10"/>
  </si>
  <si>
    <t>○入力項目（検索条件）</t>
    <rPh sb="1" eb="3">
      <t>ニュウリョク</t>
    </rPh>
    <rPh sb="3" eb="5">
      <t>コウモク</t>
    </rPh>
    <rPh sb="6" eb="8">
      <t>ケンサク</t>
    </rPh>
    <rPh sb="8" eb="10">
      <t>ジョウケン</t>
    </rPh>
    <phoneticPr fontId="10"/>
  </si>
  <si>
    <t>×</t>
    <phoneticPr fontId="10"/>
  </si>
  <si>
    <t>半角数字、前方一致</t>
    <rPh sb="0" eb="2">
      <t>ハンカク</t>
    </rPh>
    <rPh sb="2" eb="4">
      <t>スウジ</t>
    </rPh>
    <rPh sb="5" eb="7">
      <t>ゼンポウ</t>
    </rPh>
    <rPh sb="7" eb="9">
      <t>イッチ</t>
    </rPh>
    <phoneticPr fontId="2"/>
  </si>
  <si>
    <t>氏名</t>
    <rPh sb="0" eb="2">
      <t>シメイ</t>
    </rPh>
    <phoneticPr fontId="10"/>
  </si>
  <si>
    <t>英字氏名</t>
    <rPh sb="0" eb="2">
      <t>エイジ</t>
    </rPh>
    <rPh sb="2" eb="4">
      <t>シメイ</t>
    </rPh>
    <phoneticPr fontId="10"/>
  </si>
  <si>
    <t>メールアドレス</t>
    <phoneticPr fontId="10"/>
  </si>
  <si>
    <t>課程</t>
    <rPh sb="0" eb="2">
      <t>カテイ</t>
    </rPh>
    <phoneticPr fontId="2"/>
  </si>
  <si>
    <t>－</t>
    <phoneticPr fontId="2"/>
  </si>
  <si>
    <t>リストボックス</t>
    <phoneticPr fontId="2"/>
  </si>
  <si>
    <t>留学生</t>
    <rPh sb="0" eb="3">
      <t>リュウガクセイ</t>
    </rPh>
    <phoneticPr fontId="10"/>
  </si>
  <si>
    <t>給与支給</t>
    <rPh sb="0" eb="2">
      <t>キュウヨ</t>
    </rPh>
    <rPh sb="2" eb="4">
      <t>シキュウ</t>
    </rPh>
    <phoneticPr fontId="2"/>
  </si>
  <si>
    <t>給与支給</t>
    <rPh sb="0" eb="2">
      <t>キュウヨ</t>
    </rPh>
    <rPh sb="2" eb="4">
      <t>シキュウ</t>
    </rPh>
    <phoneticPr fontId="10"/>
  </si>
  <si>
    <t>○出力項目</t>
    <rPh sb="1" eb="3">
      <t>シュツリョク</t>
    </rPh>
    <rPh sb="3" eb="5">
      <t>コウモク</t>
    </rPh>
    <phoneticPr fontId="2"/>
  </si>
  <si>
    <t>編集内容等</t>
    <rPh sb="0" eb="2">
      <t>ヘンシュウ</t>
    </rPh>
    <rPh sb="2" eb="4">
      <t>ナイヨウ</t>
    </rPh>
    <rPh sb="4" eb="5">
      <t>トウ</t>
    </rPh>
    <phoneticPr fontId="2"/>
  </si>
  <si>
    <t>ユーザ区分</t>
    <rPh sb="3" eb="5">
      <t>クブン</t>
    </rPh>
    <phoneticPr fontId="2"/>
  </si>
  <si>
    <t>新規作成ボタンを押下すると、社員マスタ編集画面を表示する。</t>
    <rPh sb="0" eb="2">
      <t>シンキ</t>
    </rPh>
    <rPh sb="2" eb="4">
      <t>サクセイ</t>
    </rPh>
    <rPh sb="8" eb="10">
      <t>オウカ</t>
    </rPh>
    <rPh sb="14" eb="16">
      <t>シャイン</t>
    </rPh>
    <rPh sb="19" eb="21">
      <t>ヘンシュウ</t>
    </rPh>
    <rPh sb="21" eb="23">
      <t>ガメン</t>
    </rPh>
    <rPh sb="24" eb="26">
      <t>ヒョウジ</t>
    </rPh>
    <phoneticPr fontId="2"/>
  </si>
  <si>
    <t>CZ-020-01G</t>
    <phoneticPr fontId="2"/>
  </si>
  <si>
    <t>CZ-020-02G</t>
    <phoneticPr fontId="2"/>
  </si>
  <si>
    <t>SSO認証の社員情報を編集する場合に表示される画面。</t>
    <rPh sb="3" eb="5">
      <t>ニンショウ</t>
    </rPh>
    <rPh sb="6" eb="8">
      <t>シャイン</t>
    </rPh>
    <rPh sb="8" eb="10">
      <t>ジョウホウ</t>
    </rPh>
    <rPh sb="11" eb="13">
      <t>ヘンシュウ</t>
    </rPh>
    <rPh sb="15" eb="17">
      <t>バアイ</t>
    </rPh>
    <rPh sb="18" eb="20">
      <t>ヒョウジ</t>
    </rPh>
    <rPh sb="23" eb="25">
      <t>ガメン</t>
    </rPh>
    <phoneticPr fontId="2"/>
  </si>
  <si>
    <t>▼</t>
  </si>
  <si>
    <t>↓</t>
    <phoneticPr fontId="2"/>
  </si>
  <si>
    <t>社員IDは非活性で表示する。</t>
    <rPh sb="0" eb="2">
      <t>シャイン</t>
    </rPh>
    <rPh sb="5" eb="8">
      <t>ヒカッセイ</t>
    </rPh>
    <rPh sb="9" eb="11">
      <t>ヒョウジ</t>
    </rPh>
    <phoneticPr fontId="2"/>
  </si>
  <si>
    <t>・</t>
    <phoneticPr fontId="2"/>
  </si>
  <si>
    <t>雇用部課は非活性で表示する。</t>
    <rPh sb="0" eb="2">
      <t>コヨウ</t>
    </rPh>
    <rPh sb="2" eb="4">
      <t>ブカ</t>
    </rPh>
    <rPh sb="5" eb="8">
      <t>ヒカッセイ</t>
    </rPh>
    <rPh sb="9" eb="11">
      <t>ヒョウジ</t>
    </rPh>
    <phoneticPr fontId="2"/>
  </si>
  <si>
    <t>学生在学年次は非活性で表示する。</t>
    <rPh sb="0" eb="2">
      <t>ガクセイ</t>
    </rPh>
    <rPh sb="2" eb="4">
      <t>ザイガク</t>
    </rPh>
    <rPh sb="4" eb="6">
      <t>ネンジ</t>
    </rPh>
    <rPh sb="7" eb="10">
      <t>ヒカッセイ</t>
    </rPh>
    <rPh sb="11" eb="13">
      <t>ヒョウジ</t>
    </rPh>
    <phoneticPr fontId="2"/>
  </si>
  <si>
    <t>項番（昇順）</t>
    <rPh sb="0" eb="2">
      <t>コウバン</t>
    </rPh>
    <rPh sb="3" eb="5">
      <t>ショウジュン</t>
    </rPh>
    <phoneticPr fontId="2"/>
  </si>
  <si>
    <t>更新ボタンを押下すると、社員マスタの情報を更新する。</t>
    <rPh sb="0" eb="2">
      <t>コウシン</t>
    </rPh>
    <rPh sb="6" eb="8">
      <t>オウカ</t>
    </rPh>
    <rPh sb="12" eb="14">
      <t>シャイン</t>
    </rPh>
    <rPh sb="18" eb="20">
      <t>ジョウホウ</t>
    </rPh>
    <rPh sb="21" eb="23">
      <t>コウシン</t>
    </rPh>
    <phoneticPr fontId="2"/>
  </si>
  <si>
    <t>△</t>
    <phoneticPr fontId="10"/>
  </si>
  <si>
    <t>半角数字</t>
    <rPh sb="0" eb="4">
      <t>ハンカクスウジ</t>
    </rPh>
    <phoneticPr fontId="2"/>
  </si>
  <si>
    <t>○入力項目（一覧表）</t>
    <rPh sb="1" eb="3">
      <t>ニュウリョク</t>
    </rPh>
    <rPh sb="3" eb="5">
      <t>コウモク</t>
    </rPh>
    <rPh sb="6" eb="8">
      <t>イチラン</t>
    </rPh>
    <rPh sb="8" eb="9">
      <t>ヒョウ</t>
    </rPh>
    <phoneticPr fontId="10"/>
  </si>
  <si>
    <t>設定値</t>
    <rPh sb="0" eb="3">
      <t>セッテイチ</t>
    </rPh>
    <phoneticPr fontId="10"/>
  </si>
  <si>
    <t>※1</t>
    <phoneticPr fontId="10"/>
  </si>
  <si>
    <r>
      <rPr>
        <vertAlign val="superscript"/>
        <sz val="10"/>
        <rFont val="ＭＳ ゴシック"/>
        <family val="3"/>
        <charset val="128"/>
      </rPr>
      <t>※１</t>
    </r>
    <r>
      <rPr>
        <sz val="10"/>
        <rFont val="ＭＳ ゴシック"/>
        <family val="3"/>
        <charset val="128"/>
      </rPr>
      <t>登録できる文字の形式、桁数は一覧に表示されている形式と桁数を参照</t>
    </r>
    <rPh sb="2" eb="4">
      <t>トウロク</t>
    </rPh>
    <rPh sb="7" eb="9">
      <t>モジ</t>
    </rPh>
    <rPh sb="10" eb="12">
      <t>ケイシキ</t>
    </rPh>
    <rPh sb="13" eb="15">
      <t>ケタスウ</t>
    </rPh>
    <rPh sb="16" eb="18">
      <t>イチラン</t>
    </rPh>
    <rPh sb="19" eb="21">
      <t>ヒョウジ</t>
    </rPh>
    <rPh sb="26" eb="28">
      <t>ケイシキ</t>
    </rPh>
    <rPh sb="29" eb="31">
      <t>ケタスウ</t>
    </rPh>
    <rPh sb="32" eb="34">
      <t>サンショウ</t>
    </rPh>
    <phoneticPr fontId="10"/>
  </si>
  <si>
    <t>ローカルユーザの社員情報を編集する場合に表示される画面。</t>
    <rPh sb="8" eb="10">
      <t>シャイン</t>
    </rPh>
    <rPh sb="10" eb="12">
      <t>ジョウホウ</t>
    </rPh>
    <rPh sb="13" eb="15">
      <t>ヘンシュウ</t>
    </rPh>
    <rPh sb="17" eb="19">
      <t>バアイ</t>
    </rPh>
    <rPh sb="20" eb="22">
      <t>ヒョウジ</t>
    </rPh>
    <rPh sb="25" eb="27">
      <t>ガメン</t>
    </rPh>
    <phoneticPr fontId="2"/>
  </si>
  <si>
    <t>社員情報を作成、編集する時に使用する。</t>
    <rPh sb="0" eb="2">
      <t>シャイン</t>
    </rPh>
    <rPh sb="2" eb="4">
      <t>ジョウホウ</t>
    </rPh>
    <rPh sb="5" eb="7">
      <t>サクセイ</t>
    </rPh>
    <rPh sb="8" eb="10">
      <t>ヘンシュウ</t>
    </rPh>
    <rPh sb="12" eb="13">
      <t>トキ</t>
    </rPh>
    <rPh sb="14" eb="16">
      <t>シヨウ</t>
    </rPh>
    <phoneticPr fontId="2"/>
  </si>
  <si>
    <t>更新</t>
    <rPh sb="0" eb="2">
      <t>コウシン</t>
    </rPh>
    <phoneticPr fontId="2"/>
  </si>
  <si>
    <t>削除</t>
    <rPh sb="0" eb="2">
      <t>サクジョ</t>
    </rPh>
    <phoneticPr fontId="2"/>
  </si>
  <si>
    <t>表示される画面となる。</t>
    <phoneticPr fontId="2"/>
  </si>
  <si>
    <t>給与支給は非活性で表示する。</t>
    <rPh sb="0" eb="2">
      <t>キュウヨ</t>
    </rPh>
    <rPh sb="2" eb="4">
      <t>シキュウ</t>
    </rPh>
    <rPh sb="5" eb="8">
      <t>ヒカッセイ</t>
    </rPh>
    <rPh sb="9" eb="11">
      <t>ヒョウジ</t>
    </rPh>
    <phoneticPr fontId="2"/>
  </si>
  <si>
    <t>新規登録の場合は、社員IDは活性化し、空白で表示する。</t>
    <rPh sb="0" eb="2">
      <t>シンキ</t>
    </rPh>
    <rPh sb="2" eb="4">
      <t>トウロク</t>
    </rPh>
    <rPh sb="5" eb="7">
      <t>バアイ</t>
    </rPh>
    <rPh sb="9" eb="11">
      <t>シャイン</t>
    </rPh>
    <rPh sb="14" eb="17">
      <t>カッセイカ</t>
    </rPh>
    <rPh sb="19" eb="21">
      <t>クウハク</t>
    </rPh>
    <rPh sb="22" eb="24">
      <t>ヒョウジ</t>
    </rPh>
    <phoneticPr fontId="2"/>
  </si>
  <si>
    <t>留学生フラグ</t>
    <rPh sb="0" eb="3">
      <t>リュウガクセイ</t>
    </rPh>
    <phoneticPr fontId="2"/>
  </si>
  <si>
    <t>給与支給区分</t>
    <rPh sb="0" eb="2">
      <t>キュウヨ</t>
    </rPh>
    <rPh sb="2" eb="4">
      <t>シキュウ</t>
    </rPh>
    <rPh sb="4" eb="6">
      <t>クブン</t>
    </rPh>
    <phoneticPr fontId="2"/>
  </si>
  <si>
    <t>〇</t>
    <phoneticPr fontId="2"/>
  </si>
  <si>
    <t>登録モード、編集モードの切替</t>
    <rPh sb="0" eb="2">
      <t>トウロク</t>
    </rPh>
    <rPh sb="6" eb="8">
      <t>ヘンシュウ</t>
    </rPh>
    <rPh sb="12" eb="14">
      <t>キリカエ</t>
    </rPh>
    <phoneticPr fontId="2"/>
  </si>
  <si>
    <t>登録モード、編集モードではフッタ部のボタンの表示を変更する。</t>
    <rPh sb="0" eb="2">
      <t>トウロク</t>
    </rPh>
    <rPh sb="6" eb="8">
      <t>ヘンシュウ</t>
    </rPh>
    <rPh sb="16" eb="17">
      <t>ブ</t>
    </rPh>
    <rPh sb="22" eb="24">
      <t>ヒョウジ</t>
    </rPh>
    <rPh sb="25" eb="27">
      <t>ヘンコウ</t>
    </rPh>
    <phoneticPr fontId="2"/>
  </si>
  <si>
    <t>登録モード</t>
    <rPh sb="0" eb="2">
      <t>トウロク</t>
    </rPh>
    <phoneticPr fontId="2"/>
  </si>
  <si>
    <t>登録</t>
    <rPh sb="0" eb="2">
      <t>トウロク</t>
    </rPh>
    <phoneticPr fontId="2"/>
  </si>
  <si>
    <t>編集モード</t>
    <rPh sb="0" eb="2">
      <t>ヘンシュウ</t>
    </rPh>
    <phoneticPr fontId="2"/>
  </si>
  <si>
    <t>社員マスタ画面の新規作成ボタンを押下し、社員編集画面を表示した場合は、登録モードとする。</t>
    <rPh sb="0" eb="2">
      <t>シャイン</t>
    </rPh>
    <rPh sb="5" eb="7">
      <t>ガメン</t>
    </rPh>
    <rPh sb="8" eb="10">
      <t>シンキ</t>
    </rPh>
    <rPh sb="10" eb="12">
      <t>サクセイ</t>
    </rPh>
    <rPh sb="16" eb="18">
      <t>オウカ</t>
    </rPh>
    <rPh sb="20" eb="22">
      <t>シャイン</t>
    </rPh>
    <rPh sb="22" eb="24">
      <t>ヘンシュウ</t>
    </rPh>
    <rPh sb="24" eb="26">
      <t>ガメン</t>
    </rPh>
    <rPh sb="27" eb="29">
      <t>ヒョウジ</t>
    </rPh>
    <rPh sb="31" eb="33">
      <t>バアイ</t>
    </rPh>
    <rPh sb="35" eb="37">
      <t>トウロク</t>
    </rPh>
    <phoneticPr fontId="2"/>
  </si>
  <si>
    <t>社員マスタ画面の選択ボタンを押下し、社員編集画面を表示した場合は、編集モードとする。</t>
    <rPh sb="0" eb="2">
      <t>シャイン</t>
    </rPh>
    <rPh sb="5" eb="7">
      <t>ガメン</t>
    </rPh>
    <rPh sb="8" eb="10">
      <t>センタク</t>
    </rPh>
    <rPh sb="14" eb="16">
      <t>オウカ</t>
    </rPh>
    <rPh sb="18" eb="20">
      <t>シャイン</t>
    </rPh>
    <rPh sb="20" eb="22">
      <t>ヘンシュウ</t>
    </rPh>
    <rPh sb="22" eb="24">
      <t>ガメン</t>
    </rPh>
    <rPh sb="25" eb="27">
      <t>ヒョウジ</t>
    </rPh>
    <rPh sb="29" eb="31">
      <t>バアイ</t>
    </rPh>
    <rPh sb="33" eb="35">
      <t>ヘンシュウ</t>
    </rPh>
    <phoneticPr fontId="2"/>
  </si>
  <si>
    <t>社員ID</t>
    <rPh sb="0" eb="2">
      <t>シャイン</t>
    </rPh>
    <phoneticPr fontId="10"/>
  </si>
  <si>
    <t>学生在学年次</t>
    <rPh sb="0" eb="2">
      <t>ガクセイ</t>
    </rPh>
    <rPh sb="2" eb="4">
      <t>ザイガク</t>
    </rPh>
    <rPh sb="4" eb="6">
      <t>ネンジ</t>
    </rPh>
    <phoneticPr fontId="10"/>
  </si>
  <si>
    <t>半角数字</t>
    <rPh sb="0" eb="4">
      <t>ハンカクスウジ</t>
    </rPh>
    <phoneticPr fontId="10"/>
  </si>
  <si>
    <t>表示項目</t>
    <rPh sb="0" eb="2">
      <t>ヒョウジ</t>
    </rPh>
    <rPh sb="2" eb="4">
      <t>コウモク</t>
    </rPh>
    <phoneticPr fontId="10"/>
  </si>
  <si>
    <t>-</t>
    <phoneticPr fontId="2"/>
  </si>
  <si>
    <t>雇用部課</t>
    <rPh sb="0" eb="2">
      <t>コヨウ</t>
    </rPh>
    <rPh sb="2" eb="4">
      <t>ブカ</t>
    </rPh>
    <phoneticPr fontId="10"/>
  </si>
  <si>
    <t>新規登録</t>
    <rPh sb="0" eb="2">
      <t>シンキ</t>
    </rPh>
    <rPh sb="2" eb="4">
      <t>トウロク</t>
    </rPh>
    <phoneticPr fontId="10"/>
  </si>
  <si>
    <t>学生在学年次</t>
    <rPh sb="0" eb="2">
      <t>ガクセイ</t>
    </rPh>
    <rPh sb="2" eb="6">
      <t>ザイガクネンジ</t>
    </rPh>
    <phoneticPr fontId="10"/>
  </si>
  <si>
    <t>必須項目</t>
    <rPh sb="0" eb="4">
      <t>ヒッスコウモク</t>
    </rPh>
    <phoneticPr fontId="2"/>
  </si>
  <si>
    <t>活性</t>
    <rPh sb="0" eb="2">
      <t>カッセイ</t>
    </rPh>
    <phoneticPr fontId="2"/>
  </si>
  <si>
    <t>表示項目</t>
    <rPh sb="0" eb="4">
      <t>ヒョウジコウモク</t>
    </rPh>
    <phoneticPr fontId="2"/>
  </si>
  <si>
    <t>非活性</t>
    <rPh sb="0" eb="1">
      <t>ヒ</t>
    </rPh>
    <rPh sb="1" eb="3">
      <t>カッセイ</t>
    </rPh>
    <phoneticPr fontId="2"/>
  </si>
  <si>
    <t>学生/教職員</t>
    <rPh sb="0" eb="2">
      <t>ガクセイ</t>
    </rPh>
    <rPh sb="3" eb="6">
      <t>キョウショクイン</t>
    </rPh>
    <phoneticPr fontId="2"/>
  </si>
  <si>
    <t>学生</t>
    <rPh sb="0" eb="2">
      <t>ガクセイ</t>
    </rPh>
    <phoneticPr fontId="2"/>
  </si>
  <si>
    <t>編集
(SSO認証)</t>
    <rPh sb="0" eb="2">
      <t>ヘンシュウ</t>
    </rPh>
    <rPh sb="7" eb="9">
      <t>ニンショウ</t>
    </rPh>
    <phoneticPr fontId="10"/>
  </si>
  <si>
    <t>教員</t>
    <rPh sb="0" eb="2">
      <t>キョウイン</t>
    </rPh>
    <phoneticPr fontId="2"/>
  </si>
  <si>
    <t>職員</t>
    <rPh sb="0" eb="2">
      <t>ショクイン</t>
    </rPh>
    <phoneticPr fontId="2"/>
  </si>
  <si>
    <t>社員ID</t>
    <rPh sb="0" eb="2">
      <t>シャイン</t>
    </rPh>
    <phoneticPr fontId="2"/>
  </si>
  <si>
    <t>氏名</t>
    <rPh sb="0" eb="2">
      <t>シメイ</t>
    </rPh>
    <phoneticPr fontId="2"/>
  </si>
  <si>
    <t>英字氏名</t>
    <rPh sb="0" eb="2">
      <t>エイジ</t>
    </rPh>
    <rPh sb="2" eb="4">
      <t>シメイ</t>
    </rPh>
    <phoneticPr fontId="2"/>
  </si>
  <si>
    <t>社員マスタに学生、承認者、担当者、管理者を判別するユーザ区分を追加</t>
    <rPh sb="0" eb="2">
      <t>シャイン</t>
    </rPh>
    <rPh sb="6" eb="8">
      <t>ガクセイ</t>
    </rPh>
    <rPh sb="9" eb="12">
      <t>ショウニンシャ</t>
    </rPh>
    <rPh sb="13" eb="16">
      <t>タントウシャ</t>
    </rPh>
    <rPh sb="17" eb="20">
      <t>カンリシャ</t>
    </rPh>
    <rPh sb="21" eb="23">
      <t>ハンベツ</t>
    </rPh>
    <rPh sb="28" eb="30">
      <t>クブン</t>
    </rPh>
    <rPh sb="31" eb="33">
      <t>ツイカ</t>
    </rPh>
    <phoneticPr fontId="2"/>
  </si>
  <si>
    <t>社員マスタ</t>
    <rPh sb="0" eb="2">
      <t>シャイン</t>
    </rPh>
    <phoneticPr fontId="2"/>
  </si>
  <si>
    <t>変更</t>
    <rPh sb="0" eb="2">
      <t>ヘンコウ</t>
    </rPh>
    <phoneticPr fontId="2"/>
  </si>
  <si>
    <t>専任教員</t>
  </si>
  <si>
    <t>特別任用教授</t>
  </si>
  <si>
    <t>有期雇用教員(退職金有)</t>
  </si>
  <si>
    <t>有期雇用教員(退職金無)</t>
  </si>
  <si>
    <t>中高嘱託講師</t>
  </si>
  <si>
    <t>特別任用教諭</t>
  </si>
  <si>
    <t>大学・女子大学嘱託講師</t>
  </si>
  <si>
    <t>専任職員</t>
  </si>
  <si>
    <t>教員</t>
    <rPh sb="0" eb="2">
      <t>キョウイン</t>
    </rPh>
    <phoneticPr fontId="3"/>
  </si>
  <si>
    <t>ユーザ区分名称</t>
    <rPh sb="3" eb="5">
      <t>クブン</t>
    </rPh>
    <rPh sb="5" eb="7">
      <t>メイショウ</t>
    </rPh>
    <phoneticPr fontId="2"/>
  </si>
  <si>
    <t>社員所属</t>
    <rPh sb="0" eb="2">
      <t>シャイン</t>
    </rPh>
    <rPh sb="2" eb="4">
      <t>ショゾク</t>
    </rPh>
    <phoneticPr fontId="2"/>
  </si>
  <si>
    <t>社員所属</t>
    <rPh sb="0" eb="2">
      <t>シャイン</t>
    </rPh>
    <rPh sb="2" eb="4">
      <t>ショゾク</t>
    </rPh>
    <phoneticPr fontId="10"/>
  </si>
  <si>
    <t>社員所属は非活性で表示する。</t>
    <rPh sb="0" eb="2">
      <t>シャイン</t>
    </rPh>
    <rPh sb="2" eb="4">
      <t>ショゾク</t>
    </rPh>
    <rPh sb="5" eb="8">
      <t>ヒカッセイ</t>
    </rPh>
    <rPh sb="9" eb="11">
      <t>ヒョウジ</t>
    </rPh>
    <phoneticPr fontId="2"/>
  </si>
  <si>
    <t>〇</t>
    <phoneticPr fontId="10"/>
  </si>
  <si>
    <t>学生/教員/職員所属コードを社員所属コードに統一</t>
    <rPh sb="0" eb="2">
      <t>ガクセイ</t>
    </rPh>
    <rPh sb="3" eb="5">
      <t>キョウイン</t>
    </rPh>
    <rPh sb="6" eb="8">
      <t>ショクイン</t>
    </rPh>
    <rPh sb="8" eb="10">
      <t>ショゾク</t>
    </rPh>
    <rPh sb="14" eb="16">
      <t>シャイン</t>
    </rPh>
    <rPh sb="16" eb="18">
      <t>ショゾク</t>
    </rPh>
    <rPh sb="22" eb="24">
      <t>トウイツ</t>
    </rPh>
    <phoneticPr fontId="2"/>
  </si>
  <si>
    <t>社員マスタ編集</t>
    <rPh sb="0" eb="2">
      <t>シャイン</t>
    </rPh>
    <rPh sb="5" eb="7">
      <t>ヘンシュウ</t>
    </rPh>
    <phoneticPr fontId="2"/>
  </si>
  <si>
    <t>木田　優</t>
    <phoneticPr fontId="3"/>
  </si>
  <si>
    <t>社員マスタ</t>
    <rPh sb="0" eb="2">
      <t>シャイン</t>
    </rPh>
    <phoneticPr fontId="2"/>
  </si>
  <si>
    <t>社員所属は雇用部課に該当する所属を表示する。</t>
    <rPh sb="0" eb="2">
      <t>シャイン</t>
    </rPh>
    <rPh sb="2" eb="4">
      <t>ショゾク</t>
    </rPh>
    <rPh sb="5" eb="9">
      <t>コヨウブカ</t>
    </rPh>
    <rPh sb="10" eb="12">
      <t>ガイトウ</t>
    </rPh>
    <rPh sb="14" eb="16">
      <t>ショゾク</t>
    </rPh>
    <rPh sb="17" eb="19">
      <t>ヒョウジ</t>
    </rPh>
    <phoneticPr fontId="2"/>
  </si>
  <si>
    <t>社員所属</t>
    <rPh sb="0" eb="4">
      <t>シャインショゾク</t>
    </rPh>
    <phoneticPr fontId="2"/>
  </si>
  <si>
    <t>雇用部課</t>
    <rPh sb="0" eb="4">
      <t>コヨウブカ</t>
    </rPh>
    <phoneticPr fontId="2"/>
  </si>
  <si>
    <t>社員役職</t>
    <rPh sb="0" eb="2">
      <t>シャイン</t>
    </rPh>
    <rPh sb="2" eb="4">
      <t>ヤクショク</t>
    </rPh>
    <phoneticPr fontId="2"/>
  </si>
  <si>
    <t>雇用部課</t>
    <rPh sb="0" eb="4">
      <t>コヨウブカ</t>
    </rPh>
    <phoneticPr fontId="10"/>
  </si>
  <si>
    <t>社員所属</t>
    <rPh sb="0" eb="4">
      <t>シャインショゾク</t>
    </rPh>
    <phoneticPr fontId="10"/>
  </si>
  <si>
    <t>社員役職</t>
    <rPh sb="0" eb="4">
      <t>シャインヤクショク</t>
    </rPh>
    <phoneticPr fontId="10"/>
  </si>
  <si>
    <t>課程</t>
    <rPh sb="0" eb="2">
      <t>カテイ</t>
    </rPh>
    <phoneticPr fontId="10"/>
  </si>
  <si>
    <t>雇用部課</t>
    <rPh sb="0" eb="2">
      <t>コヨウ</t>
    </rPh>
    <rPh sb="2" eb="4">
      <t>ブカ</t>
    </rPh>
    <phoneticPr fontId="2"/>
  </si>
  <si>
    <t>雇用部課を選択すると</t>
    <rPh sb="0" eb="4">
      <t>コヨウブカ</t>
    </rPh>
    <phoneticPr fontId="2"/>
  </si>
  <si>
    <t>雇用部課が一致する社員所属のみをリストボックスに表示する。</t>
    <rPh sb="0" eb="4">
      <t>コヨウブカ</t>
    </rPh>
    <rPh sb="5" eb="7">
      <t>イッチ</t>
    </rPh>
    <rPh sb="9" eb="13">
      <t>シャインショゾク</t>
    </rPh>
    <rPh sb="24" eb="26">
      <t>ヒョウジ</t>
    </rPh>
    <phoneticPr fontId="2"/>
  </si>
  <si>
    <t>神学部・研究科</t>
    <phoneticPr fontId="3"/>
  </si>
  <si>
    <t>神学部･神学研究科</t>
  </si>
  <si>
    <t>神学部･神学研究科事務室</t>
  </si>
  <si>
    <t>神学部･神学研究科事務室教務係</t>
  </si>
  <si>
    <t>神学部･神学研究科事務室研究室係</t>
  </si>
  <si>
    <t>〇リストボックス</t>
    <phoneticPr fontId="3"/>
  </si>
  <si>
    <t>【雇用部課】【社員所属】</t>
    <rPh sb="1" eb="5">
      <t>コヨウブカ</t>
    </rPh>
    <rPh sb="7" eb="11">
      <t>シャインショゾク</t>
    </rPh>
    <phoneticPr fontId="3"/>
  </si>
  <si>
    <t>【社員役職】</t>
    <rPh sb="1" eb="3">
      <t>シャイン</t>
    </rPh>
    <rPh sb="3" eb="5">
      <t>ヤクショク</t>
    </rPh>
    <phoneticPr fontId="3"/>
  </si>
  <si>
    <t>社員役職</t>
    <rPh sb="0" eb="4">
      <t>シャインヤクショク</t>
    </rPh>
    <phoneticPr fontId="2"/>
  </si>
  <si>
    <t>総長</t>
  </si>
  <si>
    <t>理事長</t>
  </si>
  <si>
    <t>常務理事</t>
  </si>
  <si>
    <t>常勤監事</t>
  </si>
  <si>
    <t>教授</t>
  </si>
  <si>
    <t>【課程】</t>
    <rPh sb="1" eb="3">
      <t>カテイ</t>
    </rPh>
    <phoneticPr fontId="3"/>
  </si>
  <si>
    <t>学部</t>
    <rPh sb="0" eb="2">
      <t>ガクブ</t>
    </rPh>
    <phoneticPr fontId="2"/>
  </si>
  <si>
    <t>博士課程　前期課程・修士課程</t>
    <rPh sb="0" eb="2">
      <t>ハカセ</t>
    </rPh>
    <rPh sb="2" eb="4">
      <t>カテイ</t>
    </rPh>
    <rPh sb="5" eb="7">
      <t>ゼンキ</t>
    </rPh>
    <rPh sb="7" eb="9">
      <t>カテイ</t>
    </rPh>
    <rPh sb="10" eb="12">
      <t>シュウシ</t>
    </rPh>
    <rPh sb="12" eb="14">
      <t>カテイ</t>
    </rPh>
    <phoneticPr fontId="2"/>
  </si>
  <si>
    <t>博士課程　後期課程</t>
    <rPh sb="0" eb="2">
      <t>ハカセ</t>
    </rPh>
    <rPh sb="2" eb="4">
      <t>カテイ</t>
    </rPh>
    <rPh sb="5" eb="7">
      <t>コウキ</t>
    </rPh>
    <rPh sb="7" eb="9">
      <t>カテイ</t>
    </rPh>
    <phoneticPr fontId="2"/>
  </si>
  <si>
    <t>博士課程　一貫制</t>
    <rPh sb="0" eb="2">
      <t>ハカセ</t>
    </rPh>
    <rPh sb="2" eb="4">
      <t>カテイ</t>
    </rPh>
    <rPh sb="5" eb="7">
      <t>イッカン</t>
    </rPh>
    <rPh sb="7" eb="8">
      <t>セイ</t>
    </rPh>
    <phoneticPr fontId="2"/>
  </si>
  <si>
    <t>専門職学位課程</t>
    <rPh sb="0" eb="2">
      <t>センモン</t>
    </rPh>
    <rPh sb="2" eb="3">
      <t>ショク</t>
    </rPh>
    <rPh sb="3" eb="5">
      <t>ガクイ</t>
    </rPh>
    <rPh sb="5" eb="7">
      <t>カテイ</t>
    </rPh>
    <phoneticPr fontId="2"/>
  </si>
  <si>
    <t>その他</t>
    <rPh sb="2" eb="3">
      <t>タ</t>
    </rPh>
    <phoneticPr fontId="2"/>
  </si>
  <si>
    <t>学生</t>
    <rPh sb="0" eb="2">
      <t>ガクセイ</t>
    </rPh>
    <phoneticPr fontId="3"/>
  </si>
  <si>
    <t>教員</t>
    <rPh sb="0" eb="2">
      <t>キョウイン</t>
    </rPh>
    <phoneticPr fontId="3"/>
  </si>
  <si>
    <t>【留学生】</t>
    <rPh sb="1" eb="4">
      <t>リュウガクセイ</t>
    </rPh>
    <phoneticPr fontId="3"/>
  </si>
  <si>
    <t>あり</t>
    <phoneticPr fontId="3"/>
  </si>
  <si>
    <t>なし</t>
    <phoneticPr fontId="3"/>
  </si>
  <si>
    <t>【給与支給】</t>
    <rPh sb="1" eb="5">
      <t>キュウヨシキュウ</t>
    </rPh>
    <phoneticPr fontId="3"/>
  </si>
  <si>
    <t>給与支給</t>
    <rPh sb="0" eb="4">
      <t>キュウヨシキュウ</t>
    </rPh>
    <phoneticPr fontId="2"/>
  </si>
  <si>
    <t>管理者</t>
    <rPh sb="0" eb="3">
      <t>カンリシャ</t>
    </rPh>
    <phoneticPr fontId="3"/>
  </si>
  <si>
    <t>検索条件の見直し</t>
    <rPh sb="0" eb="4">
      <t>ケンサクジョウケン</t>
    </rPh>
    <rPh sb="5" eb="7">
      <t>ミナオ</t>
    </rPh>
    <phoneticPr fontId="2"/>
  </si>
  <si>
    <t>ユーザ区分</t>
    <rPh sb="3" eb="5">
      <t>クブン</t>
    </rPh>
    <phoneticPr fontId="10"/>
  </si>
  <si>
    <t>【ユーザ区分】</t>
    <rPh sb="4" eb="6">
      <t>クブン</t>
    </rPh>
    <phoneticPr fontId="3"/>
  </si>
  <si>
    <t>担当者</t>
    <rPh sb="0" eb="3">
      <t>タントウシャ</t>
    </rPh>
    <phoneticPr fontId="3"/>
  </si>
  <si>
    <t>〇リストボックス</t>
    <phoneticPr fontId="2"/>
  </si>
  <si>
    <t>課程を追加
SSO認証社員の権限の変更は不可</t>
    <rPh sb="0" eb="2">
      <t>カテイ</t>
    </rPh>
    <rPh sb="3" eb="5">
      <t>ツイカ</t>
    </rPh>
    <rPh sb="9" eb="11">
      <t>ニンショウ</t>
    </rPh>
    <rPh sb="11" eb="13">
      <t>シャイン</t>
    </rPh>
    <rPh sb="14" eb="16">
      <t>ケンゲン</t>
    </rPh>
    <rPh sb="17" eb="19">
      <t>ヘンコウ</t>
    </rPh>
    <rPh sb="20" eb="22">
      <t>フカ</t>
    </rPh>
    <phoneticPr fontId="2"/>
  </si>
  <si>
    <t>社員役職は非活性で表示する。</t>
    <rPh sb="0" eb="2">
      <t>シャイン</t>
    </rPh>
    <rPh sb="2" eb="4">
      <t>ヤクショク</t>
    </rPh>
    <rPh sb="5" eb="8">
      <t>ヒカッセイ</t>
    </rPh>
    <rPh sb="9" eb="11">
      <t>ヒョウジ</t>
    </rPh>
    <phoneticPr fontId="2"/>
  </si>
  <si>
    <t>課程は非活性で表示する。</t>
    <rPh sb="0" eb="2">
      <t>カテイ</t>
    </rPh>
    <rPh sb="3" eb="6">
      <t>ヒカッセイ</t>
    </rPh>
    <rPh sb="7" eb="9">
      <t>ヒョウジ</t>
    </rPh>
    <phoneticPr fontId="2"/>
  </si>
  <si>
    <t>する。※画面補足説明参照</t>
    <rPh sb="4" eb="12">
      <t>ガメンホソクセツメイサンショウ</t>
    </rPh>
    <phoneticPr fontId="2"/>
  </si>
  <si>
    <t>社員役職</t>
    <rPh sb="0" eb="2">
      <t>シャイン</t>
    </rPh>
    <rPh sb="2" eb="4">
      <t>ヤクショク</t>
    </rPh>
    <phoneticPr fontId="10"/>
  </si>
  <si>
    <t>任意項目</t>
    <rPh sb="0" eb="2">
      <t>ニンイ</t>
    </rPh>
    <rPh sb="2" eb="4">
      <t>コウモク</t>
    </rPh>
    <phoneticPr fontId="2"/>
  </si>
  <si>
    <t>・</t>
    <phoneticPr fontId="2"/>
  </si>
  <si>
    <t>【社員所属】</t>
    <rPh sb="1" eb="3">
      <t>シャイン</t>
    </rPh>
    <rPh sb="3" eb="5">
      <t>ショゾク</t>
    </rPh>
    <phoneticPr fontId="2"/>
  </si>
  <si>
    <t>・</t>
    <phoneticPr fontId="3"/>
  </si>
  <si>
    <t>氏名に入力された情報で英字氏名、カナも部分一致検索を行う。</t>
    <rPh sb="0" eb="2">
      <t>シメイ</t>
    </rPh>
    <rPh sb="3" eb="5">
      <t>ニュウリョク</t>
    </rPh>
    <rPh sb="8" eb="10">
      <t>ジョウホウ</t>
    </rPh>
    <rPh sb="11" eb="15">
      <t>エイジシメイ</t>
    </rPh>
    <rPh sb="19" eb="23">
      <t>ブブンイッチ</t>
    </rPh>
    <rPh sb="23" eb="25">
      <t>ケンサク</t>
    </rPh>
    <rPh sb="26" eb="27">
      <t>オコナ</t>
    </rPh>
    <phoneticPr fontId="3"/>
  </si>
  <si>
    <t>教員コードを追加</t>
    <rPh sb="0" eb="2">
      <t>キョウイン</t>
    </rPh>
    <rPh sb="6" eb="8">
      <t>ツイカ</t>
    </rPh>
    <phoneticPr fontId="2"/>
  </si>
  <si>
    <t>検索条件の氏名に入力された情報から英字氏名、カナも検索する</t>
    <rPh sb="0" eb="4">
      <t>ケンサクジョウケン</t>
    </rPh>
    <rPh sb="5" eb="7">
      <t>シメイ</t>
    </rPh>
    <rPh sb="8" eb="10">
      <t>ニュウリョク</t>
    </rPh>
    <rPh sb="13" eb="15">
      <t>ジョウホウ</t>
    </rPh>
    <rPh sb="17" eb="21">
      <t>エイジシメイ</t>
    </rPh>
    <rPh sb="25" eb="27">
      <t>ケンサク</t>
    </rPh>
    <phoneticPr fontId="2"/>
  </si>
  <si>
    <t>社員マスタ</t>
    <rPh sb="0" eb="2">
      <t>シャイン</t>
    </rPh>
    <phoneticPr fontId="2"/>
  </si>
  <si>
    <t>社員マスタ、編集</t>
    <rPh sb="0" eb="2">
      <t>シャイン</t>
    </rPh>
    <rPh sb="6" eb="8">
      <t>ヘンシュウ</t>
    </rPh>
    <phoneticPr fontId="2"/>
  </si>
  <si>
    <t>教員コード</t>
    <rPh sb="0" eb="2">
      <t>キョウイン</t>
    </rPh>
    <phoneticPr fontId="10"/>
  </si>
  <si>
    <t>半角数字</t>
    <rPh sb="0" eb="4">
      <t>ハンカクスウジ</t>
    </rPh>
    <phoneticPr fontId="3"/>
  </si>
  <si>
    <t>社員マスタ連携マトリックスの修正</t>
    <rPh sb="0" eb="2">
      <t>シャイン</t>
    </rPh>
    <rPh sb="5" eb="7">
      <t>レンケイ</t>
    </rPh>
    <rPh sb="14" eb="16">
      <t>シュウセイ</t>
    </rPh>
    <phoneticPr fontId="2"/>
  </si>
  <si>
    <t>学生/教職員、権限を削除し、ユーザ区分を追加
教員コードを追加
UA有効フラグを追加</t>
    <rPh sb="0" eb="2">
      <t>ガクセイ</t>
    </rPh>
    <rPh sb="3" eb="6">
      <t>キョウショクイン</t>
    </rPh>
    <rPh sb="7" eb="9">
      <t>ケンゲン</t>
    </rPh>
    <rPh sb="10" eb="12">
      <t>サクジョ</t>
    </rPh>
    <rPh sb="17" eb="19">
      <t>クブン</t>
    </rPh>
    <rPh sb="20" eb="22">
      <t>ツイカ</t>
    </rPh>
    <rPh sb="23" eb="25">
      <t>キョウイン</t>
    </rPh>
    <rPh sb="29" eb="31">
      <t>ツイカ</t>
    </rPh>
    <rPh sb="34" eb="36">
      <t>ユウコウ</t>
    </rPh>
    <rPh sb="40" eb="42">
      <t>ツイカ</t>
    </rPh>
    <phoneticPr fontId="2"/>
  </si>
  <si>
    <t>ユーザ区分は非活性で表示する。</t>
    <rPh sb="3" eb="5">
      <t>クブン</t>
    </rPh>
    <rPh sb="6" eb="9">
      <t>ヒカッセイ</t>
    </rPh>
    <rPh sb="10" eb="12">
      <t>ヒョウジ</t>
    </rPh>
    <phoneticPr fontId="2"/>
  </si>
  <si>
    <t>教員コードは非活性で表示する。</t>
    <rPh sb="0" eb="2">
      <t>キョウイン</t>
    </rPh>
    <rPh sb="6" eb="9">
      <t>ヒカッセイ</t>
    </rPh>
    <rPh sb="10" eb="12">
      <t>ヒョウジ</t>
    </rPh>
    <phoneticPr fontId="2"/>
  </si>
  <si>
    <t>留学生フラグはユーザ区分が学生のみ活性化する。</t>
    <rPh sb="0" eb="3">
      <t>リュウガクセイ</t>
    </rPh>
    <rPh sb="10" eb="12">
      <t>クブン</t>
    </rPh>
    <rPh sb="13" eb="15">
      <t>ガクセイ</t>
    </rPh>
    <rPh sb="17" eb="20">
      <t>カッセイカ</t>
    </rPh>
    <phoneticPr fontId="2"/>
  </si>
  <si>
    <t>【雇用部課】</t>
    <rPh sb="1" eb="5">
      <t>コヨウブカ</t>
    </rPh>
    <phoneticPr fontId="2"/>
  </si>
  <si>
    <t>101：法人事務室</t>
    <rPh sb="4" eb="9">
      <t>ホウジンジムシツ</t>
    </rPh>
    <phoneticPr fontId="2"/>
  </si>
  <si>
    <t>102：監査室</t>
    <rPh sb="4" eb="6">
      <t>カンサ</t>
    </rPh>
    <rPh sb="6" eb="7">
      <t>シツ</t>
    </rPh>
    <phoneticPr fontId="2"/>
  </si>
  <si>
    <t>103：募金課</t>
    <rPh sb="4" eb="7">
      <t>ボキンカ</t>
    </rPh>
    <phoneticPr fontId="2"/>
  </si>
  <si>
    <t>104：150周年記念事務室</t>
    <rPh sb="7" eb="9">
      <t>シュウネン</t>
    </rPh>
    <rPh sb="9" eb="11">
      <t>キネン</t>
    </rPh>
    <rPh sb="11" eb="14">
      <t>ジムシツ</t>
    </rPh>
    <phoneticPr fontId="2"/>
  </si>
  <si>
    <t>※選択された雇用部課に紐づく</t>
    <rPh sb="1" eb="3">
      <t>センタク</t>
    </rPh>
    <rPh sb="6" eb="10">
      <t>コヨウブカ</t>
    </rPh>
    <rPh sb="11" eb="12">
      <t>ヒモ</t>
    </rPh>
    <phoneticPr fontId="2"/>
  </si>
  <si>
    <t>木田　優</t>
    <phoneticPr fontId="2"/>
  </si>
  <si>
    <t>英字氏名、カナを含む部分一致</t>
    <rPh sb="0" eb="4">
      <t>エイジシメイ</t>
    </rPh>
    <rPh sb="8" eb="9">
      <t>フク</t>
    </rPh>
    <rPh sb="10" eb="14">
      <t>ブブンイッチ</t>
    </rPh>
    <phoneticPr fontId="2"/>
  </si>
  <si>
    <t>アカウントのロックと解除を追加</t>
    <rPh sb="10" eb="12">
      <t>カイジョ</t>
    </rPh>
    <rPh sb="13" eb="15">
      <t>ツイカ</t>
    </rPh>
    <phoneticPr fontId="2"/>
  </si>
  <si>
    <t>社員マスタ</t>
    <rPh sb="0" eb="2">
      <t>シャイン</t>
    </rPh>
    <phoneticPr fontId="2"/>
  </si>
  <si>
    <t>検索条件、一覧内容を変更</t>
    <rPh sb="0" eb="4">
      <t>ケンサクジョウケン</t>
    </rPh>
    <rPh sb="5" eb="7">
      <t>イチラン</t>
    </rPh>
    <rPh sb="7" eb="9">
      <t>ナイヨウ</t>
    </rPh>
    <rPh sb="10" eb="12">
      <t>ヘンコウ</t>
    </rPh>
    <phoneticPr fontId="2"/>
  </si>
  <si>
    <t>認証</t>
    <rPh sb="0" eb="2">
      <t>ニンショウ</t>
    </rPh>
    <phoneticPr fontId="2"/>
  </si>
  <si>
    <t>認証区分　＋　有効フラグ</t>
    <rPh sb="0" eb="4">
      <t>ニンショウクブン</t>
    </rPh>
    <rPh sb="7" eb="9">
      <t>ユウコウ</t>
    </rPh>
    <phoneticPr fontId="3"/>
  </si>
  <si>
    <t>有効フラグ</t>
    <rPh sb="0" eb="2">
      <t>ユウコウ</t>
    </rPh>
    <phoneticPr fontId="10"/>
  </si>
  <si>
    <t>有効フラグ</t>
    <rPh sb="0" eb="2">
      <t>ユウコウ</t>
    </rPh>
    <phoneticPr fontId="3"/>
  </si>
  <si>
    <t>SSO認証</t>
    <rPh sb="3" eb="5">
      <t>ニンショウ</t>
    </rPh>
    <phoneticPr fontId="3"/>
  </si>
  <si>
    <t>【有効フラグ】</t>
    <rPh sb="1" eb="3">
      <t>ユウコウ</t>
    </rPh>
    <phoneticPr fontId="3"/>
  </si>
  <si>
    <t>有効フラグ</t>
    <rPh sb="0" eb="2">
      <t>ユウコウ</t>
    </rPh>
    <phoneticPr fontId="2"/>
  </si>
  <si>
    <t>有効</t>
    <rPh sb="0" eb="2">
      <t>ユウコウ</t>
    </rPh>
    <phoneticPr fontId="3"/>
  </si>
  <si>
    <t>無効</t>
    <rPh sb="0" eb="2">
      <t>ムコウ</t>
    </rPh>
    <phoneticPr fontId="3"/>
  </si>
  <si>
    <t>有効フラグは非活性で表示する。</t>
    <rPh sb="0" eb="2">
      <t>ユウコウ</t>
    </rPh>
    <rPh sb="6" eb="9">
      <t>ヒカッセイ</t>
    </rPh>
    <rPh sb="10" eb="12">
      <t>ヒョウジ</t>
    </rPh>
    <phoneticPr fontId="2"/>
  </si>
  <si>
    <t>※ユーザ区分が学生の場合は、代理承認は非活性とする。</t>
    <rPh sb="4" eb="6">
      <t>クブン</t>
    </rPh>
    <rPh sb="7" eb="9">
      <t>ガクセイ</t>
    </rPh>
    <rPh sb="10" eb="12">
      <t>バアイ</t>
    </rPh>
    <rPh sb="14" eb="18">
      <t>ダイリショウニン</t>
    </rPh>
    <rPh sb="19" eb="22">
      <t>ヒカッセイ</t>
    </rPh>
    <phoneticPr fontId="2"/>
  </si>
  <si>
    <t>社員マスタ編集</t>
    <rPh sb="0" eb="2">
      <t>シャイン</t>
    </rPh>
    <rPh sb="5" eb="7">
      <t>ヘンシュウ</t>
    </rPh>
    <phoneticPr fontId="2"/>
  </si>
  <si>
    <t>ローカルユーザの有効フラグ制御を追加</t>
    <rPh sb="8" eb="10">
      <t>ユウコウ</t>
    </rPh>
    <rPh sb="13" eb="15">
      <t>セイギョ</t>
    </rPh>
    <rPh sb="16" eb="18">
      <t>ツイカ</t>
    </rPh>
    <phoneticPr fontId="2"/>
  </si>
  <si>
    <t>メールアドレス</t>
    <phoneticPr fontId="2"/>
  </si>
  <si>
    <t>社員所属</t>
    <rPh sb="0" eb="4">
      <t>シャインショゾク</t>
    </rPh>
    <phoneticPr fontId="2"/>
  </si>
  <si>
    <t>教員コード</t>
    <rPh sb="0" eb="2">
      <t>キョウイン</t>
    </rPh>
    <phoneticPr fontId="2"/>
  </si>
  <si>
    <t>学生在学年次</t>
    <rPh sb="0" eb="2">
      <t>ガクセイ</t>
    </rPh>
    <rPh sb="2" eb="4">
      <t>ザイガク</t>
    </rPh>
    <rPh sb="4" eb="6">
      <t>ネンジ</t>
    </rPh>
    <phoneticPr fontId="2"/>
  </si>
  <si>
    <t>半角英数字、登録モードの場合のみ活性</t>
    <rPh sb="0" eb="2">
      <t>ハンカク</t>
    </rPh>
    <rPh sb="2" eb="5">
      <t>エイスウジ</t>
    </rPh>
    <rPh sb="6" eb="8">
      <t>トウロク</t>
    </rPh>
    <rPh sb="12" eb="14">
      <t>バアイ</t>
    </rPh>
    <rPh sb="16" eb="18">
      <t>カッセイ</t>
    </rPh>
    <phoneticPr fontId="2"/>
  </si>
  <si>
    <t>姓</t>
    <rPh sb="0" eb="1">
      <t>セイ</t>
    </rPh>
    <phoneticPr fontId="2"/>
  </si>
  <si>
    <t>名</t>
    <rPh sb="0" eb="1">
      <t>メイ</t>
    </rPh>
    <phoneticPr fontId="2"/>
  </si>
  <si>
    <t>給与支給</t>
    <rPh sb="0" eb="4">
      <t>キュウヨシキュウ</t>
    </rPh>
    <phoneticPr fontId="10"/>
  </si>
  <si>
    <t>氏名（姓）</t>
    <rPh sb="0" eb="2">
      <t>シメイ</t>
    </rPh>
    <rPh sb="3" eb="4">
      <t>セイ</t>
    </rPh>
    <phoneticPr fontId="10"/>
  </si>
  <si>
    <t>氏名（名）</t>
    <rPh sb="0" eb="2">
      <t>シメイ</t>
    </rPh>
    <rPh sb="3" eb="4">
      <t>メイ</t>
    </rPh>
    <phoneticPr fontId="10"/>
  </si>
  <si>
    <t>変更</t>
    <rPh sb="0" eb="2">
      <t>ヘンコウ</t>
    </rPh>
    <phoneticPr fontId="2"/>
  </si>
  <si>
    <t>社員マスタ編集</t>
    <rPh sb="0" eb="2">
      <t>シャイン</t>
    </rPh>
    <rPh sb="5" eb="7">
      <t>ヘンシュウ</t>
    </rPh>
    <phoneticPr fontId="2"/>
  </si>
  <si>
    <t>ローカルユーザーの時の有効フラグを必須項目に変更</t>
    <rPh sb="9" eb="10">
      <t>トキ</t>
    </rPh>
    <rPh sb="11" eb="13">
      <t>ユウコウ</t>
    </rPh>
    <rPh sb="17" eb="21">
      <t>ヒッスコウモク</t>
    </rPh>
    <rPh sb="22" eb="24">
      <t>ヘンコウ</t>
    </rPh>
    <phoneticPr fontId="2"/>
  </si>
  <si>
    <t>承認権限の設定仕様を変更</t>
    <rPh sb="0" eb="4">
      <t>ショウニンケンゲン</t>
    </rPh>
    <rPh sb="5" eb="7">
      <t>セッテイ</t>
    </rPh>
    <rPh sb="7" eb="9">
      <t>シヨウ</t>
    </rPh>
    <rPh sb="10" eb="12">
      <t>ヘンコウ</t>
    </rPh>
    <phoneticPr fontId="2"/>
  </si>
  <si>
    <t>ローカルユーザの場合、社員IDの先頭に『gk』を必ず付与する。</t>
    <rPh sb="8" eb="10">
      <t>バアイ</t>
    </rPh>
    <rPh sb="11" eb="13">
      <t>シャイン</t>
    </rPh>
    <rPh sb="16" eb="18">
      <t>セントウ</t>
    </rPh>
    <rPh sb="24" eb="25">
      <t>カナラ</t>
    </rPh>
    <rPh sb="26" eb="28">
      <t>フヨ</t>
    </rPh>
    <phoneticPr fontId="2"/>
  </si>
  <si>
    <t>編集時の表示ではgk以降を非活性で表示する。</t>
    <rPh sb="0" eb="3">
      <t>ヘンシュウジ</t>
    </rPh>
    <rPh sb="4" eb="6">
      <t>ヒョウジ</t>
    </rPh>
    <rPh sb="10" eb="12">
      <t>イコウ</t>
    </rPh>
    <rPh sb="13" eb="16">
      <t>ヒカッセイ</t>
    </rPh>
    <rPh sb="17" eb="19">
      <t>ヒョウジ</t>
    </rPh>
    <phoneticPr fontId="2"/>
  </si>
  <si>
    <t>社員マスタ
社員マスタ編集</t>
    <rPh sb="0" eb="2">
      <t>シャイン</t>
    </rPh>
    <rPh sb="6" eb="8">
      <t>シャイン</t>
    </rPh>
    <rPh sb="11" eb="13">
      <t>ヘンシュウ</t>
    </rPh>
    <phoneticPr fontId="2"/>
  </si>
  <si>
    <t>代理承認を兼任・代理承認に変更するため、仕様を変更</t>
    <rPh sb="0" eb="4">
      <t>ダイリショウニン</t>
    </rPh>
    <rPh sb="5" eb="7">
      <t>ケンニン</t>
    </rPh>
    <rPh sb="8" eb="12">
      <t>ダイリショウニン</t>
    </rPh>
    <rPh sb="13" eb="15">
      <t>ヘンコウ</t>
    </rPh>
    <rPh sb="20" eb="22">
      <t>シヨウ</t>
    </rPh>
    <rPh sb="23" eb="25">
      <t>ヘンコウ</t>
    </rPh>
    <phoneticPr fontId="2"/>
  </si>
  <si>
    <t>ローカル</t>
    <phoneticPr fontId="3"/>
  </si>
  <si>
    <t>兼任・代理承認者検索ボタンを押下すると、社員選択ポップアップを</t>
    <rPh sb="0" eb="2">
      <t>ケンニン</t>
    </rPh>
    <rPh sb="3" eb="5">
      <t>ダイリ</t>
    </rPh>
    <rPh sb="5" eb="8">
      <t>ショウニンシャ</t>
    </rPh>
    <rPh sb="8" eb="10">
      <t>ケンサク</t>
    </rPh>
    <rPh sb="14" eb="16">
      <t>オウカ</t>
    </rPh>
    <rPh sb="20" eb="22">
      <t>シャイン</t>
    </rPh>
    <rPh sb="22" eb="24">
      <t>センタク</t>
    </rPh>
    <phoneticPr fontId="2"/>
  </si>
  <si>
    <t>表示する。</t>
    <phoneticPr fontId="2"/>
  </si>
  <si>
    <t>※学生を選択した場合は、エラーメッセージを表示する。</t>
    <phoneticPr fontId="2"/>
  </si>
  <si>
    <t>兼任・代理承認者を設定する時に使用する。</t>
    <rPh sb="0" eb="2">
      <t>ケンニン</t>
    </rPh>
    <rPh sb="3" eb="5">
      <t>ダイリ</t>
    </rPh>
    <rPh sb="5" eb="7">
      <t>ショウニン</t>
    </rPh>
    <rPh sb="9" eb="11">
      <t>セッテイ</t>
    </rPh>
    <rPh sb="13" eb="14">
      <t>トキ</t>
    </rPh>
    <rPh sb="15" eb="17">
      <t>シヨウ</t>
    </rPh>
    <phoneticPr fontId="2"/>
  </si>
  <si>
    <t>兼任・代理承認</t>
    <rPh sb="0" eb="2">
      <t>ケンニン</t>
    </rPh>
    <rPh sb="3" eb="7">
      <t>ダイリショウニン</t>
    </rPh>
    <phoneticPr fontId="2"/>
  </si>
  <si>
    <t>昇順</t>
    <rPh sb="0" eb="2">
      <t>ショウジュン</t>
    </rPh>
    <phoneticPr fontId="2"/>
  </si>
  <si>
    <t>リストボックス</t>
    <phoneticPr fontId="10"/>
  </si>
  <si>
    <t>兼任・代理承認</t>
    <rPh sb="0" eb="2">
      <t>ケンニン</t>
    </rPh>
    <rPh sb="3" eb="7">
      <t>ダイリショウニン</t>
    </rPh>
    <phoneticPr fontId="10"/>
  </si>
  <si>
    <t>兼任・代理承認者コード1</t>
    <rPh sb="0" eb="2">
      <t>ケンニン</t>
    </rPh>
    <rPh sb="3" eb="7">
      <t>ダイリショウニン</t>
    </rPh>
    <rPh sb="7" eb="8">
      <t>シャ</t>
    </rPh>
    <phoneticPr fontId="10"/>
  </si>
  <si>
    <t>兼任・代理承認者名1</t>
    <rPh sb="0" eb="2">
      <t>ケンニン</t>
    </rPh>
    <rPh sb="3" eb="7">
      <t>ダイリショウニン</t>
    </rPh>
    <rPh sb="7" eb="8">
      <t>シャ</t>
    </rPh>
    <rPh sb="8" eb="9">
      <t>メイ</t>
    </rPh>
    <phoneticPr fontId="10"/>
  </si>
  <si>
    <t>兼任・代理承認者コード2</t>
    <rPh sb="0" eb="2">
      <t>ケンニン</t>
    </rPh>
    <rPh sb="3" eb="7">
      <t>ダイリショウニン</t>
    </rPh>
    <rPh sb="7" eb="8">
      <t>シャ</t>
    </rPh>
    <phoneticPr fontId="10"/>
  </si>
  <si>
    <t>兼任・代理承認者名2</t>
    <rPh sb="0" eb="2">
      <t>ケンニン</t>
    </rPh>
    <rPh sb="3" eb="7">
      <t>ダイリショウニン</t>
    </rPh>
    <rPh sb="7" eb="8">
      <t>シャ</t>
    </rPh>
    <rPh sb="8" eb="9">
      <t>メイ</t>
    </rPh>
    <phoneticPr fontId="10"/>
  </si>
  <si>
    <t>兼任・代理承認者コード3</t>
    <rPh sb="0" eb="2">
      <t>ケンニン</t>
    </rPh>
    <rPh sb="3" eb="7">
      <t>ダイリショウニン</t>
    </rPh>
    <rPh sb="7" eb="8">
      <t>シャ</t>
    </rPh>
    <phoneticPr fontId="10"/>
  </si>
  <si>
    <t>兼任・代理承認者名3</t>
    <rPh sb="0" eb="2">
      <t>ケンニン</t>
    </rPh>
    <rPh sb="3" eb="7">
      <t>ダイリショウニン</t>
    </rPh>
    <rPh sb="7" eb="8">
      <t>シャ</t>
    </rPh>
    <rPh sb="8" eb="9">
      <t>メイ</t>
    </rPh>
    <phoneticPr fontId="10"/>
  </si>
  <si>
    <t>〇兼任・代理承認者</t>
    <rPh sb="1" eb="3">
      <t>ケンニン</t>
    </rPh>
    <rPh sb="4" eb="8">
      <t>ダイリショウニン</t>
    </rPh>
    <phoneticPr fontId="2"/>
  </si>
  <si>
    <t>兼任・代理承認が『許可する』になっている場合のみ、活性化する。</t>
    <rPh sb="0" eb="2">
      <t>ケンニン</t>
    </rPh>
    <rPh sb="3" eb="7">
      <t>ダイリショウニン</t>
    </rPh>
    <rPh sb="9" eb="11">
      <t>キョカ</t>
    </rPh>
    <rPh sb="20" eb="22">
      <t>バアイ</t>
    </rPh>
    <rPh sb="25" eb="28">
      <t>カッセイカ</t>
    </rPh>
    <phoneticPr fontId="2"/>
  </si>
  <si>
    <t>兼任・代理承認が『許可しない』の場合は非活性で表示する。</t>
    <rPh sb="0" eb="2">
      <t>ケンニン</t>
    </rPh>
    <rPh sb="3" eb="5">
      <t>ダイリ</t>
    </rPh>
    <rPh sb="5" eb="7">
      <t>ショウニン</t>
    </rPh>
    <rPh sb="9" eb="11">
      <t>キョカ</t>
    </rPh>
    <rPh sb="16" eb="18">
      <t>バアイ</t>
    </rPh>
    <rPh sb="19" eb="20">
      <t>ヒ</t>
    </rPh>
    <rPh sb="20" eb="22">
      <t>カッセイ</t>
    </rPh>
    <rPh sb="23" eb="25">
      <t>ヒョウジ</t>
    </rPh>
    <phoneticPr fontId="2"/>
  </si>
  <si>
    <t>兼任・代理承認を『許可する』から『許可しない』に切り替えるときに、兼任・代理承認者の項目は全てクリアする。</t>
    <rPh sb="0" eb="2">
      <t>ケンニン</t>
    </rPh>
    <rPh sb="3" eb="7">
      <t>ダイリショウニン</t>
    </rPh>
    <rPh sb="9" eb="11">
      <t>キョカ</t>
    </rPh>
    <rPh sb="17" eb="19">
      <t>キョカ</t>
    </rPh>
    <rPh sb="24" eb="25">
      <t>キ</t>
    </rPh>
    <rPh sb="26" eb="27">
      <t>カ</t>
    </rPh>
    <rPh sb="33" eb="35">
      <t>ケンニン</t>
    </rPh>
    <rPh sb="36" eb="38">
      <t>ダイリ</t>
    </rPh>
    <rPh sb="38" eb="41">
      <t>ショウニンシャ</t>
    </rPh>
    <rPh sb="42" eb="44">
      <t>コウモク</t>
    </rPh>
    <rPh sb="45" eb="46">
      <t>スベ</t>
    </rPh>
    <phoneticPr fontId="2"/>
  </si>
  <si>
    <t>ユーザIDは非活性で表示する。</t>
    <rPh sb="6" eb="9">
      <t>ヒカッセイ</t>
    </rPh>
    <rPh sb="10" eb="12">
      <t>ヒョウジ</t>
    </rPh>
    <phoneticPr fontId="2"/>
  </si>
  <si>
    <t>ユーザID</t>
    <phoneticPr fontId="2"/>
  </si>
  <si>
    <t>雇用部課～学生年次までユーザ区分により、項目の活性/非活性を制御</t>
    <rPh sb="0" eb="4">
      <t>コヨウブカ</t>
    </rPh>
    <rPh sb="5" eb="9">
      <t>ガクセイネンジ</t>
    </rPh>
    <rPh sb="14" eb="16">
      <t>クブン</t>
    </rPh>
    <rPh sb="20" eb="22">
      <t>コウモク</t>
    </rPh>
    <rPh sb="23" eb="25">
      <t>カッセイ</t>
    </rPh>
    <rPh sb="26" eb="29">
      <t>ヒカッセイ</t>
    </rPh>
    <rPh sb="30" eb="32">
      <t>セイギョ</t>
    </rPh>
    <phoneticPr fontId="2"/>
  </si>
  <si>
    <t>兼任・代理承認</t>
    <rPh sb="0" eb="2">
      <t>ケンニン</t>
    </rPh>
    <rPh sb="3" eb="7">
      <t>ダイリショウニン</t>
    </rPh>
    <phoneticPr fontId="2"/>
  </si>
  <si>
    <t>ユーザID</t>
    <phoneticPr fontId="10"/>
  </si>
  <si>
    <t>SSO認証でログインさせる場合に入力</t>
    <rPh sb="3" eb="5">
      <t>ニンショウ</t>
    </rPh>
    <rPh sb="13" eb="15">
      <t>バアイ</t>
    </rPh>
    <rPh sb="16" eb="18">
      <t>ニュウリョク</t>
    </rPh>
    <phoneticPr fontId="2"/>
  </si>
  <si>
    <t>社員マスタのローカル区分がTRUE（ローカル）又は、社員マスタの新規登録時に</t>
    <rPh sb="0" eb="2">
      <t>シャイン</t>
    </rPh>
    <rPh sb="10" eb="12">
      <t>クブン</t>
    </rPh>
    <rPh sb="23" eb="24">
      <t>マタ</t>
    </rPh>
    <rPh sb="26" eb="28">
      <t>シャイン</t>
    </rPh>
    <rPh sb="32" eb="34">
      <t>シンキ</t>
    </rPh>
    <rPh sb="34" eb="36">
      <t>トウロク</t>
    </rPh>
    <rPh sb="36" eb="37">
      <t>ジ</t>
    </rPh>
    <phoneticPr fontId="2"/>
  </si>
  <si>
    <t>兼任・代理承認を『許可する』から『許可しない』に切り替えるときに、兼任・代理承認者の項目は</t>
    <rPh sb="0" eb="2">
      <t>ケンニン</t>
    </rPh>
    <rPh sb="3" eb="7">
      <t>ダイリショウニン</t>
    </rPh>
    <rPh sb="9" eb="11">
      <t>キョカ</t>
    </rPh>
    <rPh sb="17" eb="19">
      <t>キョカ</t>
    </rPh>
    <rPh sb="24" eb="25">
      <t>キ</t>
    </rPh>
    <rPh sb="26" eb="27">
      <t>カ</t>
    </rPh>
    <rPh sb="33" eb="35">
      <t>ケンニン</t>
    </rPh>
    <rPh sb="36" eb="38">
      <t>ダイリ</t>
    </rPh>
    <rPh sb="38" eb="41">
      <t>ショウニンシャ</t>
    </rPh>
    <rPh sb="42" eb="44">
      <t>コウモク</t>
    </rPh>
    <phoneticPr fontId="2"/>
  </si>
  <si>
    <t>全てクリアする。</t>
    <phoneticPr fontId="2"/>
  </si>
  <si>
    <t>編集
(ローカル)</t>
    <rPh sb="0" eb="2">
      <t>ヘンシュウ</t>
    </rPh>
    <phoneticPr fontId="10"/>
  </si>
  <si>
    <t>任意項目</t>
    <rPh sb="0" eb="4">
      <t>ニンイコウモク</t>
    </rPh>
    <phoneticPr fontId="2"/>
  </si>
  <si>
    <t>英字氏名（名）</t>
    <rPh sb="0" eb="4">
      <t>エイジシメイ</t>
    </rPh>
    <rPh sb="5" eb="6">
      <t>メイ</t>
    </rPh>
    <phoneticPr fontId="10"/>
  </si>
  <si>
    <t>兼任・代理承認者コード1</t>
    <rPh sb="0" eb="2">
      <t>ケンニン</t>
    </rPh>
    <rPh sb="3" eb="5">
      <t>ダイリ</t>
    </rPh>
    <rPh sb="5" eb="8">
      <t>ショウニンシャ</t>
    </rPh>
    <phoneticPr fontId="10"/>
  </si>
  <si>
    <t>兼任・代理承認者名1</t>
    <rPh sb="0" eb="2">
      <t>ケンニン</t>
    </rPh>
    <rPh sb="3" eb="5">
      <t>ダイリ</t>
    </rPh>
    <rPh sb="5" eb="8">
      <t>ショウニンシャ</t>
    </rPh>
    <rPh sb="8" eb="9">
      <t>メイ</t>
    </rPh>
    <phoneticPr fontId="10"/>
  </si>
  <si>
    <t>兼任・代理承認者コード2</t>
    <rPh sb="0" eb="2">
      <t>ケンニン</t>
    </rPh>
    <rPh sb="3" eb="5">
      <t>ダイリ</t>
    </rPh>
    <rPh sb="5" eb="8">
      <t>ショウニンシャ</t>
    </rPh>
    <phoneticPr fontId="10"/>
  </si>
  <si>
    <t>兼任・代理承認者名2</t>
    <rPh sb="0" eb="2">
      <t>ケンニン</t>
    </rPh>
    <rPh sb="3" eb="5">
      <t>ダイリ</t>
    </rPh>
    <rPh sb="5" eb="8">
      <t>ショウニンシャ</t>
    </rPh>
    <rPh sb="8" eb="9">
      <t>メイ</t>
    </rPh>
    <phoneticPr fontId="10"/>
  </si>
  <si>
    <t>兼任・代理承認者コード3</t>
    <rPh sb="0" eb="2">
      <t>ケンニン</t>
    </rPh>
    <rPh sb="3" eb="5">
      <t>ダイリ</t>
    </rPh>
    <rPh sb="5" eb="8">
      <t>ショウニンシャ</t>
    </rPh>
    <phoneticPr fontId="10"/>
  </si>
  <si>
    <t>兼任・代理承認者名3</t>
    <rPh sb="0" eb="2">
      <t>ケンニン</t>
    </rPh>
    <rPh sb="3" eb="5">
      <t>ダイリ</t>
    </rPh>
    <rPh sb="5" eb="8">
      <t>ショウニンシャ</t>
    </rPh>
    <rPh sb="8" eb="9">
      <t>メイ</t>
    </rPh>
    <phoneticPr fontId="10"/>
  </si>
  <si>
    <t>担当者</t>
    <rPh sb="0" eb="2">
      <t>タントウ</t>
    </rPh>
    <rPh sb="2" eb="3">
      <t>シャ</t>
    </rPh>
    <phoneticPr fontId="3"/>
  </si>
  <si>
    <t>【兼任・代理承認】</t>
    <rPh sb="1" eb="3">
      <t>ケンニン</t>
    </rPh>
    <rPh sb="4" eb="6">
      <t>ダイリ</t>
    </rPh>
    <rPh sb="6" eb="8">
      <t>ショウニン</t>
    </rPh>
    <phoneticPr fontId="3"/>
  </si>
  <si>
    <t>許可する</t>
    <rPh sb="0" eb="2">
      <t>キョカ</t>
    </rPh>
    <phoneticPr fontId="3"/>
  </si>
  <si>
    <t>許可しない</t>
    <rPh sb="0" eb="2">
      <t>キョカ</t>
    </rPh>
    <phoneticPr fontId="3"/>
  </si>
  <si>
    <t>認証区分</t>
    <rPh sb="0" eb="4">
      <t>ニンショウクブン</t>
    </rPh>
    <phoneticPr fontId="2"/>
  </si>
  <si>
    <t>認証区分</t>
    <rPh sb="0" eb="4">
      <t>ニンショウクブン</t>
    </rPh>
    <phoneticPr fontId="10"/>
  </si>
  <si>
    <t>認証区分による項目の非活性/活性制御について</t>
    <rPh sb="0" eb="4">
      <t>ニンショウクブン</t>
    </rPh>
    <rPh sb="7" eb="9">
      <t>コウモク</t>
    </rPh>
    <rPh sb="10" eb="13">
      <t>ヒカッセイ</t>
    </rPh>
    <rPh sb="14" eb="16">
      <t>カッセイ</t>
    </rPh>
    <phoneticPr fontId="2"/>
  </si>
  <si>
    <t>認証区分＝ローカル認証の社員、又は、新規登録する際は以下の項目を必須項目とし、項目を活性化する。</t>
    <rPh sb="0" eb="4">
      <t>ニンショウクブン</t>
    </rPh>
    <rPh sb="9" eb="11">
      <t>ニンショウ</t>
    </rPh>
    <rPh sb="12" eb="14">
      <t>シャイン</t>
    </rPh>
    <rPh sb="15" eb="16">
      <t>マタ</t>
    </rPh>
    <rPh sb="18" eb="20">
      <t>シンキ</t>
    </rPh>
    <rPh sb="20" eb="22">
      <t>トウロク</t>
    </rPh>
    <rPh sb="24" eb="25">
      <t>サイ</t>
    </rPh>
    <rPh sb="26" eb="28">
      <t>イカ</t>
    </rPh>
    <rPh sb="29" eb="31">
      <t>コウモク</t>
    </rPh>
    <rPh sb="32" eb="34">
      <t>ヒッスウ</t>
    </rPh>
    <rPh sb="34" eb="36">
      <t>コウモク</t>
    </rPh>
    <rPh sb="39" eb="41">
      <t>コウモク</t>
    </rPh>
    <rPh sb="42" eb="45">
      <t>カッセイカ</t>
    </rPh>
    <phoneticPr fontId="2"/>
  </si>
  <si>
    <t>戻るボタンの廃止</t>
    <rPh sb="0" eb="1">
      <t>モド</t>
    </rPh>
    <rPh sb="6" eb="8">
      <t>ハイシ</t>
    </rPh>
    <phoneticPr fontId="2"/>
  </si>
  <si>
    <t>画面遷移図</t>
    <rPh sb="0" eb="5">
      <t>ガメンセンイズ</t>
    </rPh>
    <phoneticPr fontId="2"/>
  </si>
  <si>
    <t>認証区分</t>
    <rPh sb="0" eb="4">
      <t>ニンショウクブン</t>
    </rPh>
    <phoneticPr fontId="3"/>
  </si>
  <si>
    <t>【認証区分】</t>
    <rPh sb="1" eb="3">
      <t>ニンショウ</t>
    </rPh>
    <rPh sb="3" eb="5">
      <t>クブン</t>
    </rPh>
    <phoneticPr fontId="3"/>
  </si>
  <si>
    <t>認証区分は非活性で表示する。</t>
    <rPh sb="0" eb="4">
      <t>ニンショウクブン</t>
    </rPh>
    <rPh sb="5" eb="8">
      <t>ヒカッセイ</t>
    </rPh>
    <rPh sb="9" eb="11">
      <t>ヒョウジ</t>
    </rPh>
    <phoneticPr fontId="2"/>
  </si>
  <si>
    <t>社員マスタの認証区分が0（SSO認証）の場合に表示される画面となる。</t>
    <rPh sb="0" eb="2">
      <t>シャイン</t>
    </rPh>
    <rPh sb="6" eb="8">
      <t>ニンショウ</t>
    </rPh>
    <rPh sb="8" eb="10">
      <t>クブン</t>
    </rPh>
    <rPh sb="16" eb="18">
      <t>ニンショウ</t>
    </rPh>
    <rPh sb="20" eb="22">
      <t>バアイ</t>
    </rPh>
    <rPh sb="23" eb="25">
      <t>ヒョウジ</t>
    </rPh>
    <rPh sb="28" eb="30">
      <t>ガメン</t>
    </rPh>
    <phoneticPr fontId="2"/>
  </si>
  <si>
    <t>○エラーメッセージ</t>
    <phoneticPr fontId="10"/>
  </si>
  <si>
    <t>エラー条件</t>
    <rPh sb="3" eb="5">
      <t>ジョウケン</t>
    </rPh>
    <phoneticPr fontId="10"/>
  </si>
  <si>
    <t>エラーメッセージ</t>
    <phoneticPr fontId="10"/>
  </si>
  <si>
    <t>登録・更新するユーザIDが有効な社員マスタとして、既に登録済みの場合</t>
    <rPh sb="0" eb="2">
      <t>トウロク</t>
    </rPh>
    <rPh sb="3" eb="5">
      <t>コウシン</t>
    </rPh>
    <rPh sb="13" eb="15">
      <t>ユウコウ</t>
    </rPh>
    <rPh sb="16" eb="18">
      <t>シャイン</t>
    </rPh>
    <rPh sb="25" eb="26">
      <t>スデ</t>
    </rPh>
    <rPh sb="27" eb="29">
      <t>トウロク</t>
    </rPh>
    <rPh sb="29" eb="30">
      <t>ズ</t>
    </rPh>
    <rPh sb="32" eb="34">
      <t>バアイ</t>
    </rPh>
    <phoneticPr fontId="10"/>
  </si>
  <si>
    <t>指定されたユーザIDは既に存在しています。</t>
    <rPh sb="0" eb="2">
      <t>シテイ</t>
    </rPh>
    <rPh sb="11" eb="12">
      <t>スデ</t>
    </rPh>
    <rPh sb="13" eb="15">
      <t>ソンザイ</t>
    </rPh>
    <phoneticPr fontId="10"/>
  </si>
  <si>
    <t>ユーザ区分が教員且つ、同一教員コードが有効な社員マスタとして、既に登録済みの場合</t>
    <rPh sb="3" eb="5">
      <t>クブン</t>
    </rPh>
    <rPh sb="6" eb="8">
      <t>キョウイン</t>
    </rPh>
    <rPh sb="8" eb="9">
      <t>カ</t>
    </rPh>
    <rPh sb="11" eb="13">
      <t>ドウイツ</t>
    </rPh>
    <rPh sb="13" eb="15">
      <t>キョウイン</t>
    </rPh>
    <rPh sb="19" eb="21">
      <t>ユウコウ</t>
    </rPh>
    <rPh sb="22" eb="24">
      <t>シャイン</t>
    </rPh>
    <rPh sb="31" eb="32">
      <t>スデ</t>
    </rPh>
    <rPh sb="33" eb="35">
      <t>トウロク</t>
    </rPh>
    <rPh sb="35" eb="36">
      <t>ズ</t>
    </rPh>
    <rPh sb="38" eb="40">
      <t>バアイ</t>
    </rPh>
    <phoneticPr fontId="10"/>
  </si>
  <si>
    <t>指定された教員コードは既に存在しています。</t>
    <phoneticPr fontId="10"/>
  </si>
  <si>
    <r>
      <t>英字氏名</t>
    </r>
    <r>
      <rPr>
        <strike/>
        <sz val="10"/>
        <rFont val="ＭＳ ゴシック"/>
        <family val="3"/>
        <charset val="128"/>
      </rPr>
      <t>（姓）</t>
    </r>
    <rPh sb="0" eb="4">
      <t>エイジシメイ</t>
    </rPh>
    <rPh sb="5" eb="6">
      <t>セイ</t>
    </rPh>
    <phoneticPr fontId="10"/>
  </si>
  <si>
    <t>〇</t>
    <phoneticPr fontId="2"/>
  </si>
  <si>
    <t>社員マスタ連携</t>
    <rPh sb="0" eb="2">
      <t>シャイン</t>
    </rPh>
    <rPh sb="5" eb="7">
      <t>レンケイ</t>
    </rPh>
    <phoneticPr fontId="2"/>
  </si>
  <si>
    <t>社員マスタは夜間処理のCZ-800_統合DB連携で、毎日更新されます。</t>
    <rPh sb="0" eb="2">
      <t>シャイン</t>
    </rPh>
    <rPh sb="6" eb="10">
      <t>ヤカンショリ</t>
    </rPh>
    <rPh sb="18" eb="20">
      <t>トウゴウ</t>
    </rPh>
    <rPh sb="22" eb="24">
      <t>レンケイ</t>
    </rPh>
    <rPh sb="26" eb="28">
      <t>マイニチ</t>
    </rPh>
    <rPh sb="28" eb="30">
      <t>コウシン</t>
    </rPh>
    <phoneticPr fontId="2"/>
  </si>
  <si>
    <t>連携内容については、CZ-800_統合DB連携を参照ください。</t>
    <rPh sb="0" eb="2">
      <t>レンケイ</t>
    </rPh>
    <rPh sb="2" eb="4">
      <t>ナイヨウ</t>
    </rPh>
    <rPh sb="17" eb="19">
      <t>トウゴウ</t>
    </rPh>
    <rPh sb="21" eb="23">
      <t>レンケイ</t>
    </rPh>
    <rPh sb="24" eb="26">
      <t>サンショウ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</si>
</sst>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.00_ 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20"/>
      <name val="ＭＳ 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0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vertAlign val="superscript"/>
      <sz val="10"/>
      <name val="ＭＳ ゴシック"/>
      <family val="3"/>
      <charset val="128"/>
    </font>
    <font>
      <strike/>
      <sz val="10"/>
      <name val="ＭＳ 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8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0" fontId="5" fillId="0" borderId="0" xfId="0" applyFont="1"/>
    <xf numFmtId="0" fontId="5" fillId="0" borderId="0" xfId="0" applyFont="1" applyAlignment="1">
      <alignment vertical="center"/>
    </xf>
    <xf numFmtId="0" fontId="9" fillId="0" borderId="0" xfId="0" applyFont="1"/>
    <xf numFmtId="0" fontId="4" fillId="0" borderId="0" xfId="0" applyFont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12" fillId="0" borderId="0" xfId="0" applyFont="1"/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2" xfId="0" applyFont="1" applyBorder="1"/>
    <xf numFmtId="0" fontId="12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13" fillId="6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0" xfId="0" applyFont="1" applyFill="1"/>
    <xf numFmtId="0" fontId="6" fillId="6" borderId="4" xfId="0" applyFont="1" applyFill="1" applyBorder="1"/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6" fillId="6" borderId="7" xfId="0" applyFont="1" applyFill="1" applyBorder="1"/>
    <xf numFmtId="0" fontId="6" fillId="6" borderId="8" xfId="0" applyFont="1" applyFill="1" applyBorder="1"/>
    <xf numFmtId="0" fontId="14" fillId="0" borderId="9" xfId="0" applyFont="1" applyBorder="1" applyAlignment="1">
      <alignment vertical="center"/>
    </xf>
    <xf numFmtId="0" fontId="14" fillId="0" borderId="0" xfId="0" quotePrefix="1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8" borderId="19" xfId="0" applyFont="1" applyFill="1" applyBorder="1" applyAlignment="1">
      <alignment vertical="center"/>
    </xf>
    <xf numFmtId="0" fontId="6" fillId="8" borderId="15" xfId="0" applyFont="1" applyFill="1" applyBorder="1" applyAlignment="1">
      <alignment vertical="center"/>
    </xf>
    <xf numFmtId="0" fontId="6" fillId="9" borderId="56" xfId="0" applyFont="1" applyFill="1" applyBorder="1" applyAlignment="1">
      <alignment horizontal="centerContinuous" vertical="center" shrinkToFit="1"/>
    </xf>
    <xf numFmtId="0" fontId="6" fillId="9" borderId="58" xfId="0" applyFont="1" applyFill="1" applyBorder="1" applyAlignment="1">
      <alignment horizontal="centerContinuous" vertical="center" shrinkToFit="1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4" fillId="0" borderId="10" xfId="0" applyFont="1" applyBorder="1"/>
    <xf numFmtId="0" fontId="16" fillId="6" borderId="26" xfId="0" applyFont="1" applyFill="1" applyBorder="1" applyAlignment="1">
      <alignment horizontal="left" vertical="center"/>
    </xf>
    <xf numFmtId="0" fontId="6" fillId="6" borderId="26" xfId="0" applyFont="1" applyFill="1" applyBorder="1" applyAlignment="1">
      <alignment horizontal="left" vertical="center"/>
    </xf>
    <xf numFmtId="0" fontId="6" fillId="6" borderId="27" xfId="0" applyFont="1" applyFill="1" applyBorder="1" applyAlignment="1">
      <alignment horizontal="left" vertical="center"/>
    </xf>
    <xf numFmtId="0" fontId="16" fillId="6" borderId="15" xfId="0" applyFont="1" applyFill="1" applyBorder="1" applyAlignment="1">
      <alignment horizontal="left" vertical="center"/>
    </xf>
    <xf numFmtId="0" fontId="6" fillId="6" borderId="15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17" fillId="6" borderId="25" xfId="0" applyFont="1" applyFill="1" applyBorder="1" applyAlignment="1">
      <alignment horizontal="left" vertical="center"/>
    </xf>
    <xf numFmtId="0" fontId="17" fillId="6" borderId="26" xfId="0" applyFont="1" applyFill="1" applyBorder="1" applyAlignment="1">
      <alignment horizontal="left" vertical="center"/>
    </xf>
    <xf numFmtId="0" fontId="17" fillId="6" borderId="19" xfId="0" applyFont="1" applyFill="1" applyBorder="1" applyAlignment="1">
      <alignment horizontal="left" vertical="center"/>
    </xf>
    <xf numFmtId="0" fontId="17" fillId="6" borderId="15" xfId="0" applyFont="1" applyFill="1" applyBorder="1" applyAlignment="1">
      <alignment horizontal="left" vertical="center"/>
    </xf>
    <xf numFmtId="0" fontId="17" fillId="6" borderId="25" xfId="0" applyFont="1" applyFill="1" applyBorder="1" applyAlignment="1">
      <alignment vertical="center"/>
    </xf>
    <xf numFmtId="0" fontId="15" fillId="6" borderId="26" xfId="0" applyFont="1" applyFill="1" applyBorder="1" applyAlignment="1">
      <alignment vertical="center"/>
    </xf>
    <xf numFmtId="0" fontId="15" fillId="6" borderId="27" xfId="0" applyFont="1" applyFill="1" applyBorder="1" applyAlignment="1">
      <alignment vertical="center"/>
    </xf>
    <xf numFmtId="0" fontId="17" fillId="6" borderId="19" xfId="0" applyFont="1" applyFill="1" applyBorder="1" applyAlignment="1">
      <alignment vertical="center"/>
    </xf>
    <xf numFmtId="0" fontId="15" fillId="6" borderId="15" xfId="0" applyFont="1" applyFill="1" applyBorder="1" applyAlignment="1">
      <alignment vertical="center"/>
    </xf>
    <xf numFmtId="0" fontId="15" fillId="6" borderId="16" xfId="0" applyFont="1" applyFill="1" applyBorder="1" applyAlignment="1">
      <alignment vertical="center"/>
    </xf>
    <xf numFmtId="0" fontId="15" fillId="6" borderId="15" xfId="0" applyFont="1" applyFill="1" applyBorder="1" applyAlignment="1">
      <alignment horizontal="left" vertical="center"/>
    </xf>
    <xf numFmtId="0" fontId="15" fillId="6" borderId="16" xfId="0" applyFont="1" applyFill="1" applyBorder="1" applyAlignment="1">
      <alignment horizontal="left" vertical="center"/>
    </xf>
    <xf numFmtId="0" fontId="17" fillId="6" borderId="26" xfId="0" applyFont="1" applyFill="1" applyBorder="1" applyAlignment="1">
      <alignment vertical="center"/>
    </xf>
    <xf numFmtId="0" fontId="17" fillId="6" borderId="27" xfId="0" applyFont="1" applyFill="1" applyBorder="1" applyAlignment="1">
      <alignment vertical="center"/>
    </xf>
    <xf numFmtId="0" fontId="17" fillId="6" borderId="15" xfId="0" applyFont="1" applyFill="1" applyBorder="1" applyAlignment="1">
      <alignment vertical="center"/>
    </xf>
    <xf numFmtId="0" fontId="17" fillId="6" borderId="16" xfId="0" applyFont="1" applyFill="1" applyBorder="1" applyAlignment="1">
      <alignment vertical="center"/>
    </xf>
    <xf numFmtId="0" fontId="17" fillId="6" borderId="16" xfId="0" applyFont="1" applyFill="1" applyBorder="1" applyAlignment="1">
      <alignment horizontal="left" vertical="center"/>
    </xf>
    <xf numFmtId="0" fontId="17" fillId="6" borderId="73" xfId="0" applyFont="1" applyFill="1" applyBorder="1" applyAlignment="1">
      <alignment vertical="center" shrinkToFit="1"/>
    </xf>
    <xf numFmtId="0" fontId="17" fillId="6" borderId="23" xfId="0" applyFont="1" applyFill="1" applyBorder="1" applyAlignment="1">
      <alignment vertical="center" shrinkToFit="1"/>
    </xf>
    <xf numFmtId="0" fontId="4" fillId="0" borderId="6" xfId="0" applyFont="1" applyBorder="1"/>
    <xf numFmtId="0" fontId="4" fillId="0" borderId="7" xfId="0" applyFont="1" applyBorder="1"/>
    <xf numFmtId="0" fontId="15" fillId="0" borderId="12" xfId="0" applyFont="1" applyBorder="1" applyAlignment="1">
      <alignment vertical="center"/>
    </xf>
    <xf numFmtId="0" fontId="4" fillId="0" borderId="9" xfId="0" applyFont="1" applyBorder="1"/>
    <xf numFmtId="0" fontId="6" fillId="0" borderId="74" xfId="0" applyFont="1" applyBorder="1" applyAlignment="1">
      <alignment horizontal="left" vertical="center"/>
    </xf>
    <xf numFmtId="0" fontId="6" fillId="0" borderId="52" xfId="0" applyFont="1" applyBorder="1" applyAlignment="1">
      <alignment horizontal="left" vertical="center"/>
    </xf>
    <xf numFmtId="0" fontId="6" fillId="0" borderId="75" xfId="0" applyFont="1" applyBorder="1" applyAlignment="1">
      <alignment horizontal="left" vertical="center"/>
    </xf>
    <xf numFmtId="0" fontId="6" fillId="0" borderId="76" xfId="0" applyFont="1" applyBorder="1" applyAlignment="1">
      <alignment horizontal="left" vertical="center"/>
    </xf>
    <xf numFmtId="0" fontId="6" fillId="0" borderId="77" xfId="0" applyFont="1" applyBorder="1" applyAlignment="1">
      <alignment horizontal="left" vertical="center"/>
    </xf>
    <xf numFmtId="0" fontId="6" fillId="0" borderId="78" xfId="0" applyFont="1" applyBorder="1" applyAlignment="1">
      <alignment horizontal="left" vertical="center"/>
    </xf>
    <xf numFmtId="0" fontId="15" fillId="0" borderId="61" xfId="0" applyFont="1" applyBorder="1" applyAlignment="1">
      <alignment vertical="center"/>
    </xf>
    <xf numFmtId="0" fontId="6" fillId="0" borderId="61" xfId="0" applyFont="1" applyBorder="1" applyAlignment="1">
      <alignment horizontal="left" vertical="center"/>
    </xf>
    <xf numFmtId="0" fontId="6" fillId="0" borderId="79" xfId="0" applyFont="1" applyBorder="1" applyAlignment="1">
      <alignment horizontal="left" vertical="center"/>
    </xf>
    <xf numFmtId="0" fontId="5" fillId="5" borderId="21" xfId="0" applyFont="1" applyFill="1" applyBorder="1" applyAlignment="1">
      <alignment vertical="center"/>
    </xf>
    <xf numFmtId="0" fontId="5" fillId="3" borderId="21" xfId="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21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4" fontId="5" fillId="0" borderId="21" xfId="0" applyNumberFormat="1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/>
    </xf>
    <xf numFmtId="31" fontId="4" fillId="0" borderId="21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4" fillId="0" borderId="21" xfId="0" applyFont="1" applyBorder="1" applyAlignment="1">
      <alignment horizontal="left" vertical="center"/>
    </xf>
    <xf numFmtId="0" fontId="6" fillId="4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vertical="center"/>
    </xf>
    <xf numFmtId="0" fontId="4" fillId="6" borderId="21" xfId="0" applyFont="1" applyFill="1" applyBorder="1" applyAlignment="1">
      <alignment horizontal="left" vertical="center"/>
    </xf>
    <xf numFmtId="0" fontId="4" fillId="6" borderId="19" xfId="0" applyFont="1" applyFill="1" applyBorder="1" applyAlignment="1">
      <alignment vertical="center"/>
    </xf>
    <xf numFmtId="0" fontId="4" fillId="6" borderId="15" xfId="0" applyFont="1" applyFill="1" applyBorder="1" applyAlignment="1">
      <alignment vertical="center"/>
    </xf>
    <xf numFmtId="0" fontId="4" fillId="6" borderId="16" xfId="0" applyFont="1" applyFill="1" applyBorder="1" applyAlignment="1">
      <alignment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6" fontId="4" fillId="6" borderId="19" xfId="0" applyNumberFormat="1" applyFont="1" applyFill="1" applyBorder="1" applyAlignment="1">
      <alignment horizontal="center" vertical="center"/>
    </xf>
    <xf numFmtId="176" fontId="4" fillId="6" borderId="15" xfId="0" applyNumberFormat="1" applyFont="1" applyFill="1" applyBorder="1" applyAlignment="1">
      <alignment horizontal="center" vertical="center"/>
    </xf>
    <xf numFmtId="176" fontId="4" fillId="6" borderId="16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49" fontId="6" fillId="4" borderId="6" xfId="0" applyNumberFormat="1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177" fontId="4" fillId="6" borderId="19" xfId="0" applyNumberFormat="1" applyFont="1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177" fontId="4" fillId="6" borderId="16" xfId="0" applyNumberFormat="1" applyFont="1" applyFill="1" applyBorder="1" applyAlignment="1">
      <alignment horizontal="center" vertical="center"/>
    </xf>
    <xf numFmtId="31" fontId="5" fillId="0" borderId="25" xfId="1" applyNumberFormat="1" applyFont="1" applyBorder="1" applyAlignment="1">
      <alignment horizontal="center" vertical="center"/>
    </xf>
    <xf numFmtId="31" fontId="5" fillId="0" borderId="26" xfId="1" applyNumberFormat="1" applyFont="1" applyBorder="1" applyAlignment="1">
      <alignment horizontal="center" vertical="center"/>
    </xf>
    <xf numFmtId="31" fontId="5" fillId="0" borderId="27" xfId="1" applyNumberFormat="1" applyFont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2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13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0" fontId="5" fillId="4" borderId="15" xfId="1" applyFont="1" applyFill="1" applyBorder="1" applyAlignment="1">
      <alignment vertical="center"/>
    </xf>
    <xf numFmtId="0" fontId="5" fillId="4" borderId="16" xfId="1" applyFont="1" applyFill="1" applyBorder="1" applyAlignment="1">
      <alignment vertical="center"/>
    </xf>
    <xf numFmtId="0" fontId="5" fillId="0" borderId="19" xfId="1" applyFont="1" applyBorder="1" applyAlignment="1">
      <alignment vertical="center" wrapText="1"/>
    </xf>
    <xf numFmtId="0" fontId="5" fillId="0" borderId="15" xfId="1" applyFont="1" applyBorder="1" applyAlignment="1">
      <alignment vertical="center" wrapText="1"/>
    </xf>
    <xf numFmtId="0" fontId="5" fillId="0" borderId="16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31" fontId="5" fillId="0" borderId="19" xfId="1" applyNumberFormat="1" applyFont="1" applyBorder="1" applyAlignment="1">
      <alignment horizontal="center" vertical="center"/>
    </xf>
    <xf numFmtId="31" fontId="5" fillId="0" borderId="15" xfId="1" applyNumberFormat="1" applyFont="1" applyBorder="1" applyAlignment="1">
      <alignment horizontal="center" vertical="center"/>
    </xf>
    <xf numFmtId="31" fontId="5" fillId="0" borderId="16" xfId="1" applyNumberFormat="1" applyFont="1" applyBorder="1" applyAlignment="1">
      <alignment horizontal="center" vertical="center"/>
    </xf>
    <xf numFmtId="0" fontId="5" fillId="4" borderId="28" xfId="1" applyFont="1" applyFill="1" applyBorder="1" applyAlignment="1">
      <alignment vertical="center"/>
    </xf>
    <xf numFmtId="0" fontId="5" fillId="4" borderId="26" xfId="1" applyFont="1" applyFill="1" applyBorder="1" applyAlignment="1">
      <alignment vertical="center"/>
    </xf>
    <xf numFmtId="0" fontId="5" fillId="4" borderId="27" xfId="1" applyFont="1" applyFill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6" xfId="1" applyFont="1" applyBorder="1" applyAlignment="1">
      <alignment vertical="center"/>
    </xf>
    <xf numFmtId="0" fontId="5" fillId="0" borderId="27" xfId="1" applyFont="1" applyBorder="1" applyAlignment="1">
      <alignment vertical="center"/>
    </xf>
    <xf numFmtId="0" fontId="5" fillId="4" borderId="25" xfId="1" applyFont="1" applyFill="1" applyBorder="1" applyAlignment="1">
      <alignment horizontal="center" vertical="center"/>
    </xf>
    <xf numFmtId="0" fontId="5" fillId="4" borderId="26" xfId="1" applyFont="1" applyFill="1" applyBorder="1" applyAlignment="1">
      <alignment horizontal="center" vertical="center"/>
    </xf>
    <xf numFmtId="0" fontId="5" fillId="4" borderId="27" xfId="1" applyFont="1" applyFill="1" applyBorder="1" applyAlignment="1">
      <alignment horizontal="center" vertical="center"/>
    </xf>
    <xf numFmtId="0" fontId="5" fillId="0" borderId="25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27" xfId="1" applyFont="1" applyBorder="1" applyAlignment="1">
      <alignment horizontal="left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4" borderId="29" xfId="1" applyFont="1" applyFill="1" applyBorder="1" applyAlignment="1">
      <alignment vertical="center"/>
    </xf>
    <xf numFmtId="0" fontId="5" fillId="4" borderId="30" xfId="1" applyFont="1" applyFill="1" applyBorder="1" applyAlignment="1">
      <alignment vertical="center"/>
    </xf>
    <xf numFmtId="0" fontId="5" fillId="4" borderId="31" xfId="1" applyFont="1" applyFill="1" applyBorder="1" applyAlignment="1">
      <alignment vertical="center"/>
    </xf>
    <xf numFmtId="0" fontId="5" fillId="0" borderId="32" xfId="1" applyFont="1" applyBorder="1" applyAlignment="1">
      <alignment vertical="center" wrapText="1"/>
    </xf>
    <xf numFmtId="0" fontId="5" fillId="0" borderId="30" xfId="1" applyFont="1" applyBorder="1" applyAlignment="1">
      <alignment vertical="center" wrapText="1"/>
    </xf>
    <xf numFmtId="0" fontId="5" fillId="0" borderId="31" xfId="1" applyFont="1" applyBorder="1" applyAlignment="1">
      <alignment vertical="center" wrapText="1"/>
    </xf>
    <xf numFmtId="0" fontId="5" fillId="0" borderId="1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8" xfId="1" applyFont="1" applyBorder="1" applyAlignment="1">
      <alignment horizontal="left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5" fillId="4" borderId="31" xfId="1" applyFont="1" applyFill="1" applyBorder="1" applyAlignment="1">
      <alignment horizontal="center" vertical="center"/>
    </xf>
    <xf numFmtId="0" fontId="5" fillId="0" borderId="32" xfId="1" applyFont="1" applyBorder="1" applyAlignment="1">
      <alignment horizontal="left" vertical="center"/>
    </xf>
    <xf numFmtId="0" fontId="5" fillId="0" borderId="30" xfId="1" applyFont="1" applyBorder="1" applyAlignment="1">
      <alignment horizontal="left" vertical="center"/>
    </xf>
    <xf numFmtId="0" fontId="5" fillId="0" borderId="31" xfId="1" applyFont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4" borderId="36" xfId="0" applyFont="1" applyFill="1" applyBorder="1" applyAlignment="1">
      <alignment vertical="center"/>
    </xf>
    <xf numFmtId="0" fontId="5" fillId="4" borderId="3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5" xfId="0" applyFont="1" applyBorder="1" applyAlignment="1">
      <alignment horizontal="center" vertical="center"/>
    </xf>
    <xf numFmtId="0" fontId="5" fillId="4" borderId="33" xfId="0" applyFont="1" applyFill="1" applyBorder="1" applyAlignment="1">
      <alignment horizontal="left" vertical="center"/>
    </xf>
    <xf numFmtId="0" fontId="5" fillId="4" borderId="23" xfId="0" applyFont="1" applyFill="1" applyBorder="1" applyAlignment="1">
      <alignment horizontal="left" vertical="center"/>
    </xf>
    <xf numFmtId="0" fontId="17" fillId="10" borderId="56" xfId="0" applyFont="1" applyFill="1" applyBorder="1" applyAlignment="1">
      <alignment horizontal="left" vertical="center" shrinkToFit="1"/>
    </xf>
    <xf numFmtId="0" fontId="17" fillId="10" borderId="57" xfId="0" applyFont="1" applyFill="1" applyBorder="1" applyAlignment="1">
      <alignment horizontal="left" vertical="center" shrinkToFit="1"/>
    </xf>
    <xf numFmtId="0" fontId="17" fillId="10" borderId="58" xfId="0" applyFont="1" applyFill="1" applyBorder="1" applyAlignment="1">
      <alignment horizontal="left" vertical="center" shrinkToFit="1"/>
    </xf>
    <xf numFmtId="0" fontId="17" fillId="0" borderId="73" xfId="0" applyFont="1" applyBorder="1" applyAlignment="1">
      <alignment horizontal="center" vertic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4" xfId="0" applyFont="1" applyBorder="1" applyAlignment="1">
      <alignment horizontal="center" vertical="center" shrinkToFit="1"/>
    </xf>
    <xf numFmtId="0" fontId="6" fillId="0" borderId="56" xfId="0" applyFont="1" applyBorder="1" applyAlignment="1">
      <alignment horizontal="center" vertical="center" shrinkToFit="1"/>
    </xf>
    <xf numFmtId="0" fontId="6" fillId="0" borderId="57" xfId="0" applyFont="1" applyBorder="1" applyAlignment="1">
      <alignment horizontal="center" vertical="center" shrinkToFit="1"/>
    </xf>
    <xf numFmtId="0" fontId="6" fillId="0" borderId="58" xfId="0" applyFont="1" applyBorder="1" applyAlignment="1">
      <alignment horizontal="center" vertical="center" shrinkToFit="1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0" fontId="17" fillId="0" borderId="56" xfId="0" applyFont="1" applyBorder="1" applyAlignment="1">
      <alignment horizontal="left" vertical="center" shrinkToFit="1"/>
    </xf>
    <xf numFmtId="0" fontId="17" fillId="0" borderId="57" xfId="0" applyFont="1" applyBorder="1" applyAlignment="1">
      <alignment horizontal="left" vertical="center" shrinkToFit="1"/>
    </xf>
    <xf numFmtId="0" fontId="17" fillId="0" borderId="58" xfId="0" applyFont="1" applyBorder="1" applyAlignment="1">
      <alignment horizontal="left" vertical="center" shrinkToFit="1"/>
    </xf>
    <xf numFmtId="0" fontId="6" fillId="6" borderId="21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71" xfId="0" applyFont="1" applyFill="1" applyBorder="1" applyAlignment="1">
      <alignment horizontal="center" vertical="center"/>
    </xf>
    <xf numFmtId="0" fontId="5" fillId="4" borderId="72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4" fillId="6" borderId="51" xfId="0" applyFont="1" applyFill="1" applyBorder="1" applyAlignment="1">
      <alignment horizontal="left" vertical="center" shrinkToFit="1"/>
    </xf>
    <xf numFmtId="0" fontId="4" fillId="6" borderId="52" xfId="0" applyFont="1" applyFill="1" applyBorder="1" applyAlignment="1">
      <alignment horizontal="left" vertical="center" shrinkToFit="1"/>
    </xf>
    <xf numFmtId="0" fontId="4" fillId="6" borderId="53" xfId="0" applyFont="1" applyFill="1" applyBorder="1" applyAlignment="1">
      <alignment horizontal="left" vertical="center" shrinkToFit="1"/>
    </xf>
    <xf numFmtId="0" fontId="4" fillId="6" borderId="54" xfId="0" applyFont="1" applyFill="1" applyBorder="1" applyAlignment="1">
      <alignment horizontal="left" vertical="center" shrinkToFit="1"/>
    </xf>
    <xf numFmtId="0" fontId="4" fillId="0" borderId="43" xfId="0" applyFont="1" applyBorder="1" applyAlignment="1">
      <alignment horizontal="left" vertical="center" shrinkToFit="1"/>
    </xf>
    <xf numFmtId="0" fontId="4" fillId="0" borderId="44" xfId="0" applyFont="1" applyBorder="1" applyAlignment="1">
      <alignment horizontal="left" vertical="center" shrinkToFit="1"/>
    </xf>
    <xf numFmtId="0" fontId="4" fillId="0" borderId="45" xfId="0" applyFont="1" applyBorder="1" applyAlignment="1">
      <alignment horizontal="left" vertical="center" shrinkToFit="1"/>
    </xf>
    <xf numFmtId="0" fontId="4" fillId="0" borderId="46" xfId="0" applyFont="1" applyBorder="1" applyAlignment="1">
      <alignment horizontal="left" vertical="center" shrinkToFit="1"/>
    </xf>
    <xf numFmtId="0" fontId="4" fillId="6" borderId="43" xfId="0" applyFont="1" applyFill="1" applyBorder="1" applyAlignment="1">
      <alignment horizontal="left" vertical="center" shrinkToFit="1"/>
    </xf>
    <xf numFmtId="0" fontId="4" fillId="6" borderId="44" xfId="0" applyFont="1" applyFill="1" applyBorder="1" applyAlignment="1">
      <alignment horizontal="left" vertical="center" shrinkToFit="1"/>
    </xf>
    <xf numFmtId="0" fontId="4" fillId="6" borderId="45" xfId="0" applyFont="1" applyFill="1" applyBorder="1" applyAlignment="1">
      <alignment horizontal="left" vertical="center" shrinkToFit="1"/>
    </xf>
    <xf numFmtId="0" fontId="4" fillId="6" borderId="46" xfId="0" applyFont="1" applyFill="1" applyBorder="1" applyAlignment="1">
      <alignment horizontal="left" vertical="center" shrinkToFit="1"/>
    </xf>
    <xf numFmtId="0" fontId="4" fillId="6" borderId="47" xfId="0" applyFont="1" applyFill="1" applyBorder="1" applyAlignment="1">
      <alignment horizontal="left" vertical="center" shrinkToFit="1"/>
    </xf>
    <xf numFmtId="0" fontId="4" fillId="6" borderId="48" xfId="0" applyFont="1" applyFill="1" applyBorder="1" applyAlignment="1">
      <alignment horizontal="left" vertical="center" shrinkToFit="1"/>
    </xf>
    <xf numFmtId="0" fontId="4" fillId="6" borderId="49" xfId="0" applyFont="1" applyFill="1" applyBorder="1" applyAlignment="1">
      <alignment horizontal="left" vertical="center" shrinkToFit="1"/>
    </xf>
    <xf numFmtId="0" fontId="4" fillId="6" borderId="50" xfId="0" applyFont="1" applyFill="1" applyBorder="1" applyAlignment="1">
      <alignment horizontal="left" vertical="center" shrinkToFit="1"/>
    </xf>
    <xf numFmtId="0" fontId="6" fillId="0" borderId="55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6" borderId="21" xfId="0" applyFont="1" applyFill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5" fillId="4" borderId="59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0" xfId="0" applyFont="1" applyFill="1" applyBorder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15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6" fillId="8" borderId="21" xfId="0" applyFont="1" applyFill="1" applyBorder="1" applyAlignment="1">
      <alignment horizontal="center" vertical="center"/>
    </xf>
    <xf numFmtId="0" fontId="6" fillId="12" borderId="19" xfId="0" applyFont="1" applyFill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6" fillId="12" borderId="16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6" borderId="16" xfId="0" applyFont="1" applyFill="1" applyBorder="1" applyAlignment="1">
      <alignment vertical="center"/>
    </xf>
    <xf numFmtId="0" fontId="6" fillId="12" borderId="19" xfId="0" applyFont="1" applyFill="1" applyBorder="1" applyAlignment="1">
      <alignment vertical="center"/>
    </xf>
    <xf numFmtId="0" fontId="6" fillId="12" borderId="15" xfId="0" applyFont="1" applyFill="1" applyBorder="1" applyAlignment="1">
      <alignment vertical="center"/>
    </xf>
    <xf numFmtId="0" fontId="6" fillId="12" borderId="16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center" shrinkToFit="1"/>
    </xf>
    <xf numFmtId="0" fontId="4" fillId="0" borderId="52" xfId="0" applyFont="1" applyBorder="1" applyAlignment="1">
      <alignment horizontal="left" vertical="center" shrinkToFit="1"/>
    </xf>
    <xf numFmtId="0" fontId="4" fillId="0" borderId="53" xfId="0" applyFont="1" applyBorder="1" applyAlignment="1">
      <alignment horizontal="left" vertical="center" shrinkToFit="1"/>
    </xf>
    <xf numFmtId="0" fontId="4" fillId="0" borderId="54" xfId="0" applyFont="1" applyBorder="1" applyAlignment="1">
      <alignment horizontal="left" vertical="center" shrinkToFit="1"/>
    </xf>
    <xf numFmtId="0" fontId="5" fillId="4" borderId="37" xfId="0" applyFont="1" applyFill="1" applyBorder="1" applyAlignment="1">
      <alignment horizontal="center" vertical="center"/>
    </xf>
    <xf numFmtId="0" fontId="17" fillId="0" borderId="56" xfId="0" applyFont="1" applyBorder="1" applyAlignment="1">
      <alignment horizontal="center" vertical="center" shrinkToFit="1"/>
    </xf>
    <xf numFmtId="0" fontId="17" fillId="0" borderId="57" xfId="0" applyFont="1" applyBorder="1" applyAlignment="1">
      <alignment horizontal="center" vertical="center" shrinkToFit="1"/>
    </xf>
    <xf numFmtId="0" fontId="17" fillId="0" borderId="58" xfId="0" applyFont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/>
    </xf>
    <xf numFmtId="0" fontId="6" fillId="8" borderId="21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4" fillId="0" borderId="3" xfId="0" applyFont="1" applyBorder="1" applyAlignment="1">
      <alignment horizontal="left" vertical="center" shrinkToFit="1"/>
    </xf>
    <xf numFmtId="0" fontId="4" fillId="0" borderId="47" xfId="0" applyFont="1" applyBorder="1" applyAlignment="1">
      <alignment horizontal="left" vertical="center" shrinkToFit="1"/>
    </xf>
    <xf numFmtId="0" fontId="4" fillId="0" borderId="48" xfId="0" applyFont="1" applyBorder="1" applyAlignment="1">
      <alignment horizontal="left" vertical="center" shrinkToFit="1"/>
    </xf>
    <xf numFmtId="0" fontId="4" fillId="0" borderId="49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left" vertical="center" shrinkToFit="1"/>
    </xf>
    <xf numFmtId="0" fontId="18" fillId="0" borderId="21" xfId="0" applyFont="1" applyBorder="1" applyAlignment="1">
      <alignment horizontal="center" vertical="center"/>
    </xf>
    <xf numFmtId="0" fontId="6" fillId="0" borderId="63" xfId="0" applyFont="1" applyBorder="1" applyAlignment="1">
      <alignment horizontal="left" vertical="center" shrinkToFit="1"/>
    </xf>
    <xf numFmtId="0" fontId="6" fillId="0" borderId="61" xfId="0" applyFont="1" applyBorder="1" applyAlignment="1">
      <alignment horizontal="left" vertical="center" shrinkToFit="1"/>
    </xf>
    <xf numFmtId="0" fontId="6" fillId="0" borderId="62" xfId="0" applyFont="1" applyBorder="1" applyAlignment="1">
      <alignment horizontal="left" vertical="center" shrinkToFit="1"/>
    </xf>
    <xf numFmtId="0" fontId="4" fillId="0" borderId="60" xfId="0" applyFont="1" applyBorder="1" applyAlignment="1">
      <alignment horizontal="left" vertical="center" shrinkToFit="1"/>
    </xf>
    <xf numFmtId="0" fontId="4" fillId="0" borderId="61" xfId="0" applyFont="1" applyBorder="1" applyAlignment="1">
      <alignment horizontal="left" vertical="center" shrinkToFit="1"/>
    </xf>
    <xf numFmtId="0" fontId="4" fillId="0" borderId="62" xfId="0" applyFont="1" applyBorder="1" applyAlignment="1">
      <alignment horizontal="left" vertical="center" shrinkToFit="1"/>
    </xf>
    <xf numFmtId="0" fontId="4" fillId="0" borderId="63" xfId="0" applyFont="1" applyBorder="1" applyAlignment="1">
      <alignment horizontal="left" vertical="center" shrinkToFit="1"/>
    </xf>
    <xf numFmtId="0" fontId="15" fillId="11" borderId="21" xfId="0" applyFont="1" applyFill="1" applyBorder="1" applyAlignment="1">
      <alignment horizontal="center" vertical="center"/>
    </xf>
    <xf numFmtId="0" fontId="16" fillId="7" borderId="64" xfId="0" applyFont="1" applyFill="1" applyBorder="1" applyAlignment="1">
      <alignment horizontal="center" vertical="center"/>
    </xf>
    <xf numFmtId="0" fontId="16" fillId="7" borderId="65" xfId="0" applyFont="1" applyFill="1" applyBorder="1" applyAlignment="1">
      <alignment horizontal="center" vertical="center"/>
    </xf>
    <xf numFmtId="0" fontId="16" fillId="7" borderId="66" xfId="0" applyFont="1" applyFill="1" applyBorder="1" applyAlignment="1">
      <alignment horizontal="center" vertical="center"/>
    </xf>
    <xf numFmtId="0" fontId="16" fillId="7" borderId="67" xfId="0" applyFont="1" applyFill="1" applyBorder="1" applyAlignment="1">
      <alignment horizontal="center" vertical="center"/>
    </xf>
    <xf numFmtId="0" fontId="16" fillId="7" borderId="68" xfId="0" applyFont="1" applyFill="1" applyBorder="1" applyAlignment="1">
      <alignment horizontal="center" vertical="center"/>
    </xf>
    <xf numFmtId="0" fontId="16" fillId="7" borderId="69" xfId="0" applyFont="1" applyFill="1" applyBorder="1" applyAlignment="1">
      <alignment horizontal="center" vertical="center"/>
    </xf>
    <xf numFmtId="0" fontId="15" fillId="0" borderId="21" xfId="0" applyFont="1" applyBorder="1" applyAlignment="1">
      <alignment vertical="center" wrapText="1"/>
    </xf>
    <xf numFmtId="0" fontId="4" fillId="0" borderId="40" xfId="0" applyFont="1" applyFill="1" applyBorder="1" applyAlignment="1">
      <alignment horizontal="left" vertical="center" shrinkToFit="1"/>
    </xf>
    <xf numFmtId="0" fontId="4" fillId="0" borderId="41" xfId="0" applyFont="1" applyFill="1" applyBorder="1" applyAlignment="1">
      <alignment horizontal="left" vertical="center" shrinkToFit="1"/>
    </xf>
    <xf numFmtId="0" fontId="4" fillId="0" borderId="42" xfId="0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left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6" fillId="0" borderId="0" xfId="0" applyFont="1" applyFill="1" applyAlignment="1">
      <alignment horizontal="left" vertical="center"/>
    </xf>
    <xf numFmtId="0" fontId="6" fillId="6" borderId="19" xfId="0" applyFont="1" applyFill="1" applyBorder="1" applyAlignment="1">
      <alignment vertical="center" shrinkToFit="1"/>
    </xf>
    <xf numFmtId="0" fontId="6" fillId="6" borderId="15" xfId="0" applyFont="1" applyFill="1" applyBorder="1" applyAlignment="1">
      <alignment vertical="center" shrinkToFit="1"/>
    </xf>
    <xf numFmtId="0" fontId="6" fillId="6" borderId="16" xfId="0" applyFont="1" applyFill="1" applyBorder="1" applyAlignment="1">
      <alignment vertical="center" shrinkToFit="1"/>
    </xf>
    <xf numFmtId="0" fontId="6" fillId="0" borderId="9" xfId="0" applyFont="1" applyFill="1" applyBorder="1" applyAlignment="1">
      <alignment horizontal="left" vertical="center"/>
    </xf>
    <xf numFmtId="0" fontId="6" fillId="0" borderId="0" xfId="0" applyFont="1" applyFill="1"/>
  </cellXfs>
  <cellStyles count="2">
    <cellStyle name="標準" xfId="0" builtinId="0"/>
    <cellStyle name="標準_概念_要件定義書（原紙本文EAI-HUB用）_プライオリティ規約（修正版20020430_MQプライオリティ追加)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21</xdr:col>
      <xdr:colOff>0</xdr:colOff>
      <xdr:row>7</xdr:row>
      <xdr:rowOff>0</xdr:rowOff>
    </xdr:to>
    <xdr:sp macro="" textlink="">
      <xdr:nvSpPr>
        <xdr:cNvPr id="373761" name="Text Box 1">
          <a:extLst>
            <a:ext uri="{FF2B5EF4-FFF2-40B4-BE49-F238E27FC236}">
              <a16:creationId xmlns:a16="http://schemas.microsoft.com/office/drawing/2014/main" id="{00000000-0008-0000-0000-000001B40500}"/>
            </a:ext>
          </a:extLst>
        </xdr:cNvPr>
        <xdr:cNvSpPr txBox="1">
          <a:spLocks noChangeArrowheads="1"/>
        </xdr:cNvSpPr>
      </xdr:nvSpPr>
      <xdr:spPr bwMode="auto">
        <a:xfrm>
          <a:off x="2743200" y="171450"/>
          <a:ext cx="44577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同志社大学様</a:t>
          </a:r>
        </a:p>
      </xdr:txBody>
    </xdr:sp>
    <xdr:clientData/>
  </xdr:twoCellAnchor>
  <xdr:twoCellAnchor>
    <xdr:from>
      <xdr:col>8</xdr:col>
      <xdr:colOff>133350</xdr:colOff>
      <xdr:row>5</xdr:row>
      <xdr:rowOff>66675</xdr:rowOff>
    </xdr:from>
    <xdr:to>
      <xdr:col>19</xdr:col>
      <xdr:colOff>285750</xdr:colOff>
      <xdr:row>5</xdr:row>
      <xdr:rowOff>66675</xdr:rowOff>
    </xdr:to>
    <xdr:sp macro="" textlink="">
      <xdr:nvSpPr>
        <xdr:cNvPr id="373762" name="Line 2">
          <a:extLst>
            <a:ext uri="{FF2B5EF4-FFF2-40B4-BE49-F238E27FC236}">
              <a16:creationId xmlns:a16="http://schemas.microsoft.com/office/drawing/2014/main" id="{00000000-0008-0000-0000-000002B40500}"/>
            </a:ext>
          </a:extLst>
        </xdr:cNvPr>
        <xdr:cNvSpPr>
          <a:spLocks noChangeShapeType="1"/>
        </xdr:cNvSpPr>
      </xdr:nvSpPr>
      <xdr:spPr bwMode="auto">
        <a:xfrm flipV="1">
          <a:off x="2876550" y="923925"/>
          <a:ext cx="39243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10</xdr:col>
      <xdr:colOff>168088</xdr:colOff>
      <xdr:row>30</xdr:row>
      <xdr:rowOff>22412</xdr:rowOff>
    </xdr:from>
    <xdr:to>
      <xdr:col>18</xdr:col>
      <xdr:colOff>92377</xdr:colOff>
      <xdr:row>34</xdr:row>
      <xdr:rowOff>64433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E590B2-5BF9-4CFA-8812-66DFA89EA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1912" y="5065059"/>
          <a:ext cx="2703347" cy="71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19050</xdr:colOff>
      <xdr:row>16</xdr:row>
      <xdr:rowOff>11206</xdr:rowOff>
    </xdr:from>
    <xdr:to>
      <xdr:col>32</xdr:col>
      <xdr:colOff>66675</xdr:colOff>
      <xdr:row>17</xdr:row>
      <xdr:rowOff>114300</xdr:rowOff>
    </xdr:to>
    <xdr:sp macro="" textlink="">
      <xdr:nvSpPr>
        <xdr:cNvPr id="3" name="右矢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 bwMode="auto">
        <a:xfrm>
          <a:off x="3019425" y="3059206"/>
          <a:ext cx="1619250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9525</xdr:colOff>
      <xdr:row>15</xdr:row>
      <xdr:rowOff>104775</xdr:rowOff>
    </xdr:from>
    <xdr:to>
      <xdr:col>63</xdr:col>
      <xdr:colOff>57150</xdr:colOff>
      <xdr:row>17</xdr:row>
      <xdr:rowOff>17369</xdr:rowOff>
    </xdr:to>
    <xdr:sp macro="" textlink="">
      <xdr:nvSpPr>
        <xdr:cNvPr id="2" name="右矢印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7439025" y="2962275"/>
          <a:ext cx="1619250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0</xdr:colOff>
      <xdr:row>20</xdr:row>
      <xdr:rowOff>66675</xdr:rowOff>
    </xdr:from>
    <xdr:to>
      <xdr:col>63</xdr:col>
      <xdr:colOff>28574</xdr:colOff>
      <xdr:row>21</xdr:row>
      <xdr:rowOff>169769</xdr:rowOff>
    </xdr:to>
    <xdr:sp macro="" textlink="">
      <xdr:nvSpPr>
        <xdr:cNvPr id="6" name="右矢印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 bwMode="auto">
        <a:xfrm flipH="1">
          <a:off x="7429500" y="3876675"/>
          <a:ext cx="1600199" cy="293594"/>
        </a:xfrm>
        <a:prstGeom prst="rightArrow">
          <a:avLst>
            <a:gd name="adj1" fmla="val 50000"/>
            <a:gd name="adj2" fmla="val 85687"/>
          </a:avLst>
        </a:prstGeom>
        <a:pattFill prst="dkDnDiag">
          <a:fgClr>
            <a:schemeClr val="tx1">
              <a:lumMod val="75000"/>
              <a:lumOff val="25000"/>
            </a:schemeClr>
          </a:fgClr>
          <a:bgClr>
            <a:schemeClr val="bg1"/>
          </a:bgClr>
        </a:pattFill>
        <a:ln>
          <a:noFill/>
          <a:headEnd type="none" w="med" len="med"/>
          <a:tailEnd type="none" w="med" len="med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ctr"/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18</xdr:col>
      <xdr:colOff>123744</xdr:colOff>
      <xdr:row>19</xdr:row>
      <xdr:rowOff>44823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F07F748-35E4-4B9E-8857-93E6620DB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518" y="2635624"/>
          <a:ext cx="2006332" cy="986117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14</xdr:row>
      <xdr:rowOff>0</xdr:rowOff>
    </xdr:from>
    <xdr:to>
      <xdr:col>50</xdr:col>
      <xdr:colOff>16381</xdr:colOff>
      <xdr:row>22</xdr:row>
      <xdr:rowOff>134471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B9B8BE71-A7F7-7C71-A00E-2F4C15C95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2667000"/>
          <a:ext cx="2347205" cy="1658471"/>
        </a:xfrm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14</xdr:row>
      <xdr:rowOff>0</xdr:rowOff>
    </xdr:from>
    <xdr:to>
      <xdr:col>80</xdr:col>
      <xdr:colOff>112058</xdr:colOff>
      <xdr:row>22</xdr:row>
      <xdr:rowOff>95017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768AF1B-382C-A45F-FDAF-8E261AC0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68971" y="2667000"/>
          <a:ext cx="2297205" cy="16190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56</xdr:col>
      <xdr:colOff>91994</xdr:colOff>
      <xdr:row>36</xdr:row>
      <xdr:rowOff>11206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A06A58-DB0E-4823-96DA-80FA8D890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" y="1143000"/>
          <a:ext cx="8104200" cy="57262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57</xdr:col>
      <xdr:colOff>0</xdr:colOff>
      <xdr:row>36</xdr:row>
      <xdr:rowOff>34487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B009E4D-2F5F-4067-8AFF-3F95FB853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676" y="1143000"/>
          <a:ext cx="8157883" cy="57494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58</xdr:col>
      <xdr:colOff>67236</xdr:colOff>
      <xdr:row>122</xdr:row>
      <xdr:rowOff>10210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CC1517D-F7C8-9855-B9AD-5920F7671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76" y="17335500"/>
          <a:ext cx="8370795" cy="5915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scene3d>
          <a:camera prst="orthographicFront">
            <a:rot lat="0" lon="0" rev="0"/>
          </a:camera>
          <a:lightRig rig="threePt" dir="t"/>
        </a:scene3d>
      </a:spPr>
      <a:bodyPr vertOverflow="clip" wrap="square" lIns="18288" tIns="0" rIns="0" bIns="0" rtlCol="0" anchor="ctr" upright="1"/>
      <a:lstStyle>
        <a:defPPr algn="ctr">
          <a:defRPr kumimoji="1" sz="1100"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wrap="square" rtlCol="0" anchor="t"/>
      <a:lstStyle>
        <a:defPPr>
          <a:defRPr kumimoji="1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10:AB51"/>
  <sheetViews>
    <sheetView tabSelected="1" zoomScale="85" zoomScaleNormal="85" workbookViewId="0"/>
  </sheetViews>
  <sheetFormatPr defaultRowHeight="13.5" x14ac:dyDescent="0.15"/>
  <cols>
    <col min="1" max="32" width="4.5" customWidth="1"/>
  </cols>
  <sheetData>
    <row r="10" spans="7:24" x14ac:dyDescent="0.15"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5"/>
    </row>
    <row r="11" spans="7:24" ht="13.5" customHeight="1" x14ac:dyDescent="0.15">
      <c r="G11" s="117" t="str">
        <f>I40</f>
        <v>　学生勤務管理システム</v>
      </c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6"/>
    </row>
    <row r="12" spans="7:24" ht="13.5" customHeight="1" x14ac:dyDescent="0.15">
      <c r="G12" s="117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6"/>
    </row>
    <row r="13" spans="7:24" x14ac:dyDescent="0.15"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</row>
    <row r="14" spans="7:24" ht="13.5" customHeight="1" x14ac:dyDescent="0.15">
      <c r="G14" s="117" t="str">
        <f>I44</f>
        <v>　CZ-020_社員マスタ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6"/>
    </row>
    <row r="15" spans="7:24" ht="13.5" customHeight="1" x14ac:dyDescent="0.15">
      <c r="G15" s="117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6"/>
    </row>
    <row r="16" spans="7:24" x14ac:dyDescent="0.15"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</row>
    <row r="17" spans="7:24" ht="13.5" customHeight="1" x14ac:dyDescent="0.15">
      <c r="G17" s="117" t="str">
        <f>I42</f>
        <v xml:space="preserve">　 </v>
      </c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6"/>
    </row>
    <row r="18" spans="7:24" ht="13.5" customHeight="1" x14ac:dyDescent="0.15">
      <c r="G18" s="117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6"/>
    </row>
    <row r="19" spans="7:24" x14ac:dyDescent="0.15">
      <c r="G19" s="7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6"/>
    </row>
    <row r="20" spans="7:24" ht="13.5" customHeight="1" x14ac:dyDescent="0.15">
      <c r="G20" s="117" t="str">
        <f>I51</f>
        <v>【 Ver 1.07 】</v>
      </c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6"/>
    </row>
    <row r="21" spans="7:24" ht="13.5" customHeight="1" x14ac:dyDescent="0.15">
      <c r="G21" s="117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6"/>
    </row>
    <row r="22" spans="7:24" x14ac:dyDescent="0.15"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/>
    </row>
    <row r="27" spans="7:24" s="1" customFormat="1" x14ac:dyDescent="0.15">
      <c r="J27" s="113" t="str">
        <f>TEXT(I47,"yyyy年")&amp;IF(LEFT(TEXT(I47,"mm"),1)="0"," ","")&amp;TEXT(I47,"m月")&amp;IF(LEFT(TEXT(I47,"dd"),1)="0"," ","")&amp;TEXT(I47,"d日")&amp;"作成"</f>
        <v>2023年 9月28日作成</v>
      </c>
      <c r="K27" s="114"/>
      <c r="L27" s="114"/>
      <c r="M27" s="114"/>
      <c r="N27" s="114"/>
      <c r="O27" s="114"/>
      <c r="P27" s="114"/>
      <c r="Q27" s="114"/>
      <c r="R27" s="114"/>
      <c r="S27" s="114"/>
      <c r="T27" s="114"/>
    </row>
    <row r="28" spans="7:24" s="1" customFormat="1" x14ac:dyDescent="0.15"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</row>
    <row r="29" spans="7:24" s="1" customFormat="1" x14ac:dyDescent="0.15">
      <c r="J29" s="113" t="str">
        <f>IF(I49="　※ページ毎に個別入力","    年  月  日改訂",TEXT(I49,"yyyy年")&amp;IF(LEFT(TEXT(I49,"mm"),1)="0"," ","")&amp;TEXT(I49,"m月")&amp;IF(LEFT(TEXT(I49,"dd"),1)="0"," ","")&amp;TEXT(I49,"d日")&amp;"改訂")</f>
        <v>2024年 1月24日改訂</v>
      </c>
      <c r="K29" s="114"/>
      <c r="L29" s="114"/>
      <c r="M29" s="114"/>
      <c r="N29" s="114"/>
      <c r="O29" s="114"/>
      <c r="P29" s="114"/>
      <c r="Q29" s="114"/>
      <c r="R29" s="114"/>
      <c r="S29" s="114"/>
      <c r="T29" s="114"/>
    </row>
    <row r="30" spans="7:24" s="1" customFormat="1" x14ac:dyDescent="0.15"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</row>
    <row r="38" spans="2:28" ht="23.25" customHeight="1" x14ac:dyDescent="0.15">
      <c r="B38" s="116" t="s">
        <v>19</v>
      </c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</row>
    <row r="39" spans="2:28" ht="23.25" customHeight="1" x14ac:dyDescent="0.15">
      <c r="B39" s="112" t="s">
        <v>20</v>
      </c>
      <c r="C39" s="112"/>
      <c r="D39" s="112"/>
      <c r="E39" s="112"/>
      <c r="F39" s="112"/>
      <c r="G39" s="112"/>
      <c r="H39" s="112"/>
      <c r="I39" s="112" t="s">
        <v>10</v>
      </c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  <c r="AA39" s="112"/>
      <c r="AB39" s="112"/>
    </row>
    <row r="40" spans="2:28" ht="23.25" customHeight="1" x14ac:dyDescent="0.15">
      <c r="B40" s="111" t="s">
        <v>21</v>
      </c>
      <c r="C40" s="111"/>
      <c r="D40" s="111"/>
      <c r="E40" s="111"/>
      <c r="F40" s="111"/>
      <c r="G40" s="111"/>
      <c r="H40" s="111"/>
      <c r="I40" s="115" t="s">
        <v>44</v>
      </c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</row>
    <row r="41" spans="2:28" ht="23.25" customHeight="1" x14ac:dyDescent="0.15">
      <c r="B41" s="111" t="s">
        <v>22</v>
      </c>
      <c r="C41" s="111"/>
      <c r="D41" s="111"/>
      <c r="E41" s="111"/>
      <c r="F41" s="111"/>
      <c r="G41" s="111"/>
      <c r="H41" s="111"/>
      <c r="I41" s="115" t="s">
        <v>41</v>
      </c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</row>
    <row r="42" spans="2:28" ht="23.25" customHeight="1" x14ac:dyDescent="0.15">
      <c r="B42" s="111" t="s">
        <v>23</v>
      </c>
      <c r="C42" s="111"/>
      <c r="D42" s="111"/>
      <c r="E42" s="111"/>
      <c r="F42" s="111"/>
      <c r="G42" s="111"/>
      <c r="H42" s="111"/>
      <c r="I42" s="115" t="s">
        <v>33</v>
      </c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</row>
    <row r="43" spans="2:28" ht="23.25" customHeight="1" x14ac:dyDescent="0.15">
      <c r="B43" s="111" t="s">
        <v>24</v>
      </c>
      <c r="C43" s="111"/>
      <c r="D43" s="111"/>
      <c r="E43" s="111"/>
      <c r="F43" s="111"/>
      <c r="G43" s="111"/>
      <c r="H43" s="111"/>
      <c r="I43" s="115" t="s">
        <v>38</v>
      </c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</row>
    <row r="44" spans="2:28" ht="23.25" customHeight="1" x14ac:dyDescent="0.15">
      <c r="B44" s="111" t="s">
        <v>25</v>
      </c>
      <c r="C44" s="111"/>
      <c r="D44" s="111"/>
      <c r="E44" s="111"/>
      <c r="F44" s="111"/>
      <c r="G44" s="111"/>
      <c r="H44" s="111"/>
      <c r="I44" s="115" t="s">
        <v>75</v>
      </c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</row>
    <row r="45" spans="2:28" ht="23.25" customHeight="1" x14ac:dyDescent="0.15">
      <c r="B45" s="111" t="s">
        <v>26</v>
      </c>
      <c r="C45" s="111"/>
      <c r="D45" s="111"/>
      <c r="E45" s="111"/>
      <c r="F45" s="111"/>
      <c r="G45" s="111"/>
      <c r="H45" s="111"/>
      <c r="I45" s="115" t="s">
        <v>9</v>
      </c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</row>
    <row r="46" spans="2:28" ht="23.25" customHeight="1" x14ac:dyDescent="0.15">
      <c r="B46" s="111" t="s">
        <v>27</v>
      </c>
      <c r="C46" s="111"/>
      <c r="D46" s="111"/>
      <c r="E46" s="111"/>
      <c r="F46" s="111"/>
      <c r="G46" s="111"/>
      <c r="H46" s="111"/>
      <c r="I46" s="115" t="s">
        <v>45</v>
      </c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</row>
    <row r="47" spans="2:28" ht="23.25" customHeight="1" x14ac:dyDescent="0.15">
      <c r="B47" s="111" t="s">
        <v>28</v>
      </c>
      <c r="C47" s="111"/>
      <c r="D47" s="111"/>
      <c r="E47" s="111"/>
      <c r="F47" s="111"/>
      <c r="G47" s="111"/>
      <c r="H47" s="111"/>
      <c r="I47" s="119">
        <v>45197</v>
      </c>
      <c r="J47" s="120"/>
      <c r="K47" s="120"/>
      <c r="L47" s="120"/>
      <c r="M47" s="120"/>
      <c r="N47" s="120"/>
      <c r="O47" s="120"/>
      <c r="P47" s="120"/>
      <c r="Q47" s="120"/>
      <c r="R47" s="120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 spans="2:28" ht="23.25" customHeight="1" x14ac:dyDescent="0.15">
      <c r="B48" s="111" t="s">
        <v>29</v>
      </c>
      <c r="C48" s="111"/>
      <c r="D48" s="111"/>
      <c r="E48" s="111"/>
      <c r="F48" s="111"/>
      <c r="G48" s="111"/>
      <c r="H48" s="111"/>
      <c r="I48" s="115" t="s">
        <v>9</v>
      </c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</row>
    <row r="49" spans="2:28" ht="23.25" customHeight="1" x14ac:dyDescent="0.15">
      <c r="B49" s="111" t="s">
        <v>30</v>
      </c>
      <c r="C49" s="111"/>
      <c r="D49" s="111"/>
      <c r="E49" s="111"/>
      <c r="F49" s="111"/>
      <c r="G49" s="111"/>
      <c r="H49" s="111"/>
      <c r="I49" s="115" t="str">
        <f>TEXT(MAX(改訂履歴!J5:J993),"yyyy/mm/dd")</f>
        <v>2024/01/24</v>
      </c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</row>
    <row r="50" spans="2:28" ht="23.25" customHeight="1" x14ac:dyDescent="0.15">
      <c r="B50" s="111" t="s">
        <v>31</v>
      </c>
      <c r="C50" s="111"/>
      <c r="D50" s="111"/>
      <c r="E50" s="111"/>
      <c r="F50" s="111"/>
      <c r="G50" s="111"/>
      <c r="H50" s="111"/>
      <c r="I50" s="115" t="s">
        <v>43</v>
      </c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</row>
    <row r="51" spans="2:28" ht="23.25" customHeight="1" x14ac:dyDescent="0.15">
      <c r="B51" s="111" t="s">
        <v>34</v>
      </c>
      <c r="C51" s="111"/>
      <c r="D51" s="111"/>
      <c r="E51" s="111"/>
      <c r="F51" s="111"/>
      <c r="G51" s="111"/>
      <c r="H51" s="111"/>
      <c r="I51" s="115" t="str">
        <f>"【 Ver " &amp; TEXT(MAX(改訂履歴!E5:E993),"0.00") &amp; " 】"</f>
        <v>【 Ver 1.07 】</v>
      </c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</row>
  </sheetData>
  <mergeCells count="33">
    <mergeCell ref="B51:H51"/>
    <mergeCell ref="I51:AB51"/>
    <mergeCell ref="B49:H49"/>
    <mergeCell ref="I49:AB49"/>
    <mergeCell ref="B50:H50"/>
    <mergeCell ref="I50:AB50"/>
    <mergeCell ref="B48:H48"/>
    <mergeCell ref="I48:AB48"/>
    <mergeCell ref="B44:H44"/>
    <mergeCell ref="B45:H45"/>
    <mergeCell ref="B46:H46"/>
    <mergeCell ref="B47:H47"/>
    <mergeCell ref="I45:AB45"/>
    <mergeCell ref="I46:AB46"/>
    <mergeCell ref="I47:AB47"/>
    <mergeCell ref="I44:AB44"/>
    <mergeCell ref="G11:W12"/>
    <mergeCell ref="G14:W15"/>
    <mergeCell ref="G17:W18"/>
    <mergeCell ref="G20:W21"/>
    <mergeCell ref="I42:AB42"/>
    <mergeCell ref="B41:H41"/>
    <mergeCell ref="B42:H42"/>
    <mergeCell ref="B43:H43"/>
    <mergeCell ref="B39:H39"/>
    <mergeCell ref="J27:T28"/>
    <mergeCell ref="J29:T30"/>
    <mergeCell ref="I40:AB40"/>
    <mergeCell ref="I41:AB41"/>
    <mergeCell ref="I39:AB39"/>
    <mergeCell ref="B38:AB38"/>
    <mergeCell ref="B40:H40"/>
    <mergeCell ref="I43:AB43"/>
  </mergeCells>
  <phoneticPr fontId="2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26"/>
  <sheetViews>
    <sheetView zoomScale="85" zoomScaleNormal="85" workbookViewId="0"/>
  </sheetViews>
  <sheetFormatPr defaultColWidth="1.875" defaultRowHeight="15" customHeight="1" x14ac:dyDescent="0.15"/>
  <cols>
    <col min="1" max="4" width="1.875" style="1" customWidth="1"/>
    <col min="5" max="9" width="1.875" style="14" customWidth="1"/>
    <col min="10" max="26" width="1.875" style="1" customWidth="1"/>
    <col min="27" max="33" width="2.375" style="1" customWidth="1"/>
    <col min="34" max="16384" width="1.875" style="1"/>
  </cols>
  <sheetData>
    <row r="1" spans="1:76" ht="15" customHeight="1" x14ac:dyDescent="0.15">
      <c r="A1" s="1" t="s">
        <v>2</v>
      </c>
    </row>
    <row r="3" spans="1:76" s="2" customFormat="1" ht="15" customHeight="1" x14ac:dyDescent="0.15">
      <c r="A3" s="130" t="s">
        <v>16</v>
      </c>
      <c r="B3" s="130"/>
      <c r="C3" s="130"/>
      <c r="D3" s="130"/>
      <c r="E3" s="149" t="s">
        <v>17</v>
      </c>
      <c r="F3" s="150"/>
      <c r="G3" s="150"/>
      <c r="H3" s="150"/>
      <c r="I3" s="151"/>
      <c r="J3" s="140" t="s">
        <v>5</v>
      </c>
      <c r="K3" s="141"/>
      <c r="L3" s="141"/>
      <c r="M3" s="141"/>
      <c r="N3" s="141"/>
      <c r="O3" s="141"/>
      <c r="P3" s="141"/>
      <c r="Q3" s="142"/>
      <c r="R3" s="130" t="s">
        <v>3</v>
      </c>
      <c r="S3" s="130"/>
      <c r="T3" s="130"/>
      <c r="U3" s="130"/>
      <c r="V3" s="130"/>
      <c r="W3" s="130" t="s">
        <v>6</v>
      </c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 t="s">
        <v>7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30"/>
      <c r="BO3" s="130"/>
      <c r="BP3" s="130"/>
      <c r="BQ3" s="130"/>
      <c r="BR3" s="130" t="s">
        <v>8</v>
      </c>
      <c r="BS3" s="130"/>
      <c r="BT3" s="130"/>
      <c r="BU3" s="130"/>
      <c r="BV3" s="130"/>
      <c r="BW3" s="130"/>
      <c r="BX3" s="130"/>
    </row>
    <row r="4" spans="1:76" s="2" customFormat="1" ht="15" customHeight="1" x14ac:dyDescent="0.15">
      <c r="A4" s="130"/>
      <c r="B4" s="130"/>
      <c r="C4" s="130"/>
      <c r="D4" s="130"/>
      <c r="E4" s="152"/>
      <c r="F4" s="153"/>
      <c r="G4" s="153"/>
      <c r="H4" s="153"/>
      <c r="I4" s="154"/>
      <c r="J4" s="143"/>
      <c r="K4" s="144"/>
      <c r="L4" s="144"/>
      <c r="M4" s="144"/>
      <c r="N4" s="144"/>
      <c r="O4" s="144"/>
      <c r="P4" s="144"/>
      <c r="Q4" s="145"/>
      <c r="R4" s="130"/>
      <c r="S4" s="130"/>
      <c r="T4" s="130"/>
      <c r="U4" s="130"/>
      <c r="V4" s="130"/>
      <c r="W4" s="130" t="s">
        <v>4</v>
      </c>
      <c r="X4" s="130"/>
      <c r="Y4" s="130"/>
      <c r="Z4" s="130"/>
      <c r="AA4" s="130" t="s">
        <v>47</v>
      </c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</row>
    <row r="5" spans="1:76" ht="20.100000000000001" customHeight="1" x14ac:dyDescent="0.15">
      <c r="A5" s="136">
        <v>1</v>
      </c>
      <c r="B5" s="136"/>
      <c r="C5" s="136"/>
      <c r="D5" s="136"/>
      <c r="E5" s="155">
        <v>1</v>
      </c>
      <c r="F5" s="156"/>
      <c r="G5" s="156"/>
      <c r="H5" s="156"/>
      <c r="I5" s="157"/>
      <c r="J5" s="146">
        <f>タイトル!I47</f>
        <v>45197</v>
      </c>
      <c r="K5" s="147"/>
      <c r="L5" s="147"/>
      <c r="M5" s="147"/>
      <c r="N5" s="147"/>
      <c r="O5" s="147"/>
      <c r="P5" s="147"/>
      <c r="Q5" s="148"/>
      <c r="R5" s="137" t="s">
        <v>11</v>
      </c>
      <c r="S5" s="138"/>
      <c r="T5" s="138"/>
      <c r="U5" s="138"/>
      <c r="V5" s="139"/>
      <c r="W5" s="133"/>
      <c r="X5" s="134"/>
      <c r="Y5" s="134"/>
      <c r="Z5" s="135"/>
      <c r="AA5" s="133"/>
      <c r="AB5" s="134"/>
      <c r="AC5" s="134"/>
      <c r="AD5" s="134"/>
      <c r="AE5" s="134"/>
      <c r="AF5" s="134"/>
      <c r="AG5" s="135"/>
      <c r="AH5" s="131" t="s">
        <v>18</v>
      </c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1"/>
      <c r="BF5" s="131"/>
      <c r="BG5" s="131"/>
      <c r="BH5" s="131"/>
      <c r="BI5" s="131"/>
      <c r="BJ5" s="131"/>
      <c r="BK5" s="131"/>
      <c r="BL5" s="131"/>
      <c r="BM5" s="131"/>
      <c r="BN5" s="131"/>
      <c r="BO5" s="131"/>
      <c r="BP5" s="131"/>
      <c r="BQ5" s="131"/>
      <c r="BR5" s="132" t="s">
        <v>46</v>
      </c>
      <c r="BS5" s="132"/>
      <c r="BT5" s="132"/>
      <c r="BU5" s="132"/>
      <c r="BV5" s="132"/>
      <c r="BW5" s="132"/>
      <c r="BX5" s="132"/>
    </row>
    <row r="6" spans="1:76" ht="20.100000000000001" customHeight="1" x14ac:dyDescent="0.15">
      <c r="A6" s="121">
        <v>2</v>
      </c>
      <c r="B6" s="121"/>
      <c r="C6" s="121"/>
      <c r="D6" s="121"/>
      <c r="E6" s="122">
        <v>1.01</v>
      </c>
      <c r="F6" s="122"/>
      <c r="G6" s="122"/>
      <c r="H6" s="122"/>
      <c r="I6" s="122"/>
      <c r="J6" s="123">
        <v>45209</v>
      </c>
      <c r="K6" s="123"/>
      <c r="L6" s="123"/>
      <c r="M6" s="123"/>
      <c r="N6" s="123"/>
      <c r="O6" s="123"/>
      <c r="P6" s="123"/>
      <c r="Q6" s="123"/>
      <c r="R6" s="121" t="s">
        <v>170</v>
      </c>
      <c r="S6" s="121"/>
      <c r="T6" s="121"/>
      <c r="U6" s="121"/>
      <c r="V6" s="121"/>
      <c r="W6" s="127"/>
      <c r="X6" s="127"/>
      <c r="Y6" s="127"/>
      <c r="Z6" s="127"/>
      <c r="AA6" s="127" t="s">
        <v>169</v>
      </c>
      <c r="AB6" s="127"/>
      <c r="AC6" s="127"/>
      <c r="AD6" s="127"/>
      <c r="AE6" s="127"/>
      <c r="AF6" s="127"/>
      <c r="AG6" s="127"/>
      <c r="AH6" s="128" t="s">
        <v>168</v>
      </c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B6" s="127"/>
      <c r="BC6" s="127"/>
      <c r="BD6" s="127"/>
      <c r="BE6" s="127"/>
      <c r="BF6" s="127"/>
      <c r="BG6" s="127"/>
      <c r="BH6" s="127"/>
      <c r="BI6" s="127"/>
      <c r="BJ6" s="127"/>
      <c r="BK6" s="127"/>
      <c r="BL6" s="127"/>
      <c r="BM6" s="127"/>
      <c r="BN6" s="127"/>
      <c r="BO6" s="127"/>
      <c r="BP6" s="127"/>
      <c r="BQ6" s="127"/>
      <c r="BR6" s="129" t="s">
        <v>45</v>
      </c>
      <c r="BS6" s="129"/>
      <c r="BT6" s="129"/>
      <c r="BU6" s="129"/>
      <c r="BV6" s="129"/>
      <c r="BW6" s="129"/>
      <c r="BX6" s="129"/>
    </row>
    <row r="7" spans="1:76" ht="20.100000000000001" customHeight="1" x14ac:dyDescent="0.15">
      <c r="A7" s="121">
        <v>3</v>
      </c>
      <c r="B7" s="121"/>
      <c r="C7" s="121"/>
      <c r="D7" s="121"/>
      <c r="E7" s="122"/>
      <c r="F7" s="122"/>
      <c r="G7" s="122"/>
      <c r="H7" s="122"/>
      <c r="I7" s="122"/>
      <c r="J7" s="123">
        <v>45209</v>
      </c>
      <c r="K7" s="123"/>
      <c r="L7" s="123"/>
      <c r="M7" s="123"/>
      <c r="N7" s="123"/>
      <c r="O7" s="123"/>
      <c r="P7" s="123"/>
      <c r="Q7" s="123"/>
      <c r="R7" s="121" t="s">
        <v>170</v>
      </c>
      <c r="S7" s="121"/>
      <c r="T7" s="121"/>
      <c r="U7" s="121"/>
      <c r="V7" s="121"/>
      <c r="W7" s="127"/>
      <c r="X7" s="127"/>
      <c r="Y7" s="127"/>
      <c r="Z7" s="127"/>
      <c r="AA7" s="127" t="s">
        <v>169</v>
      </c>
      <c r="AB7" s="127"/>
      <c r="AC7" s="127"/>
      <c r="AD7" s="127"/>
      <c r="AE7" s="127"/>
      <c r="AF7" s="127"/>
      <c r="AG7" s="127"/>
      <c r="AH7" s="128" t="s">
        <v>185</v>
      </c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127"/>
      <c r="AY7" s="127"/>
      <c r="AZ7" s="127"/>
      <c r="BA7" s="127"/>
      <c r="BB7" s="127"/>
      <c r="BC7" s="127"/>
      <c r="BD7" s="127"/>
      <c r="BE7" s="127"/>
      <c r="BF7" s="127"/>
      <c r="BG7" s="127"/>
      <c r="BH7" s="127"/>
      <c r="BI7" s="127"/>
      <c r="BJ7" s="127"/>
      <c r="BK7" s="127"/>
      <c r="BL7" s="127"/>
      <c r="BM7" s="127"/>
      <c r="BN7" s="127"/>
      <c r="BO7" s="127"/>
      <c r="BP7" s="127"/>
      <c r="BQ7" s="127"/>
      <c r="BR7" s="129" t="s">
        <v>45</v>
      </c>
      <c r="BS7" s="129"/>
      <c r="BT7" s="129"/>
      <c r="BU7" s="129"/>
      <c r="BV7" s="129"/>
      <c r="BW7" s="129"/>
      <c r="BX7" s="129"/>
    </row>
    <row r="8" spans="1:76" ht="20.100000000000001" customHeight="1" x14ac:dyDescent="0.15">
      <c r="A8" s="121">
        <v>4</v>
      </c>
      <c r="B8" s="121"/>
      <c r="C8" s="121"/>
      <c r="D8" s="121"/>
      <c r="E8" s="122"/>
      <c r="F8" s="122"/>
      <c r="G8" s="122"/>
      <c r="H8" s="122"/>
      <c r="I8" s="122"/>
      <c r="J8" s="123">
        <v>45209</v>
      </c>
      <c r="K8" s="123"/>
      <c r="L8" s="123"/>
      <c r="M8" s="123"/>
      <c r="N8" s="123"/>
      <c r="O8" s="123"/>
      <c r="P8" s="123"/>
      <c r="Q8" s="123"/>
      <c r="R8" s="121" t="s">
        <v>170</v>
      </c>
      <c r="S8" s="121"/>
      <c r="T8" s="121"/>
      <c r="U8" s="121"/>
      <c r="V8" s="121"/>
      <c r="W8" s="127"/>
      <c r="X8" s="127"/>
      <c r="Y8" s="127"/>
      <c r="Z8" s="127"/>
      <c r="AA8" s="127" t="s">
        <v>186</v>
      </c>
      <c r="AB8" s="127"/>
      <c r="AC8" s="127"/>
      <c r="AD8" s="127"/>
      <c r="AE8" s="127"/>
      <c r="AF8" s="127"/>
      <c r="AG8" s="127"/>
      <c r="AH8" s="128" t="s">
        <v>185</v>
      </c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9" t="s">
        <v>45</v>
      </c>
      <c r="BS8" s="129"/>
      <c r="BT8" s="129"/>
      <c r="BU8" s="129"/>
      <c r="BV8" s="129"/>
      <c r="BW8" s="129"/>
      <c r="BX8" s="129"/>
    </row>
    <row r="9" spans="1:76" ht="20.100000000000001" customHeight="1" x14ac:dyDescent="0.15">
      <c r="A9" s="121">
        <v>5</v>
      </c>
      <c r="B9" s="121"/>
      <c r="C9" s="121"/>
      <c r="D9" s="121"/>
      <c r="E9" s="122"/>
      <c r="F9" s="122"/>
      <c r="G9" s="122"/>
      <c r="H9" s="122"/>
      <c r="I9" s="122"/>
      <c r="J9" s="123">
        <v>45212</v>
      </c>
      <c r="K9" s="123"/>
      <c r="L9" s="123"/>
      <c r="M9" s="123"/>
      <c r="N9" s="123"/>
      <c r="O9" s="123"/>
      <c r="P9" s="123"/>
      <c r="Q9" s="123"/>
      <c r="R9" s="121" t="s">
        <v>170</v>
      </c>
      <c r="S9" s="121"/>
      <c r="T9" s="121"/>
      <c r="U9" s="121"/>
      <c r="V9" s="121"/>
      <c r="W9" s="127"/>
      <c r="X9" s="127"/>
      <c r="Y9" s="127"/>
      <c r="Z9" s="127"/>
      <c r="AA9" s="127" t="s">
        <v>188</v>
      </c>
      <c r="AB9" s="127"/>
      <c r="AC9" s="127"/>
      <c r="AD9" s="127"/>
      <c r="AE9" s="127"/>
      <c r="AF9" s="127"/>
      <c r="AG9" s="127"/>
      <c r="AH9" s="128" t="s">
        <v>229</v>
      </c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9" t="s">
        <v>45</v>
      </c>
      <c r="BS9" s="129"/>
      <c r="BT9" s="129"/>
      <c r="BU9" s="129"/>
      <c r="BV9" s="129"/>
      <c r="BW9" s="129"/>
      <c r="BX9" s="129"/>
    </row>
    <row r="10" spans="1:76" ht="39.950000000000003" customHeight="1" x14ac:dyDescent="0.15">
      <c r="A10" s="121">
        <v>6</v>
      </c>
      <c r="B10" s="121"/>
      <c r="C10" s="121"/>
      <c r="D10" s="121"/>
      <c r="E10" s="122"/>
      <c r="F10" s="122"/>
      <c r="G10" s="122"/>
      <c r="H10" s="122"/>
      <c r="I10" s="122"/>
      <c r="J10" s="123">
        <v>45212</v>
      </c>
      <c r="K10" s="123"/>
      <c r="L10" s="123"/>
      <c r="M10" s="123"/>
      <c r="N10" s="123"/>
      <c r="O10" s="123"/>
      <c r="P10" s="123"/>
      <c r="Q10" s="123"/>
      <c r="R10" s="121" t="s">
        <v>170</v>
      </c>
      <c r="S10" s="121"/>
      <c r="T10" s="121"/>
      <c r="U10" s="121"/>
      <c r="V10" s="121"/>
      <c r="W10" s="127"/>
      <c r="X10" s="127"/>
      <c r="Y10" s="127"/>
      <c r="Z10" s="127"/>
      <c r="AA10" s="127" t="s">
        <v>186</v>
      </c>
      <c r="AB10" s="127"/>
      <c r="AC10" s="127"/>
      <c r="AD10" s="127"/>
      <c r="AE10" s="127"/>
      <c r="AF10" s="127"/>
      <c r="AG10" s="127"/>
      <c r="AH10" s="128" t="s">
        <v>234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9" t="s">
        <v>45</v>
      </c>
      <c r="BS10" s="129"/>
      <c r="BT10" s="129"/>
      <c r="BU10" s="129"/>
      <c r="BV10" s="129"/>
      <c r="BW10" s="129"/>
      <c r="BX10" s="129"/>
    </row>
    <row r="11" spans="1:76" ht="20.100000000000001" customHeight="1" x14ac:dyDescent="0.15">
      <c r="A11" s="121">
        <v>7</v>
      </c>
      <c r="B11" s="121"/>
      <c r="C11" s="121"/>
      <c r="D11" s="121"/>
      <c r="E11" s="122">
        <v>1.02</v>
      </c>
      <c r="F11" s="122"/>
      <c r="G11" s="122"/>
      <c r="H11" s="122"/>
      <c r="I11" s="122"/>
      <c r="J11" s="123">
        <v>45216</v>
      </c>
      <c r="K11" s="123"/>
      <c r="L11" s="123"/>
      <c r="M11" s="123"/>
      <c r="N11" s="123"/>
      <c r="O11" s="123"/>
      <c r="P11" s="123"/>
      <c r="Q11" s="123"/>
      <c r="R11" s="121" t="s">
        <v>170</v>
      </c>
      <c r="S11" s="121"/>
      <c r="T11" s="121"/>
      <c r="U11" s="121"/>
      <c r="V11" s="121"/>
      <c r="W11" s="127"/>
      <c r="X11" s="127"/>
      <c r="Y11" s="127"/>
      <c r="Z11" s="127"/>
      <c r="AA11" s="128" t="s">
        <v>247</v>
      </c>
      <c r="AB11" s="127"/>
      <c r="AC11" s="127"/>
      <c r="AD11" s="127"/>
      <c r="AE11" s="127"/>
      <c r="AF11" s="127"/>
      <c r="AG11" s="127"/>
      <c r="AH11" s="128" t="s">
        <v>244</v>
      </c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9" t="s">
        <v>45</v>
      </c>
      <c r="BS11" s="129"/>
      <c r="BT11" s="129"/>
      <c r="BU11" s="129"/>
      <c r="BV11" s="129"/>
      <c r="BW11" s="129"/>
      <c r="BX11" s="129"/>
    </row>
    <row r="12" spans="1:76" ht="20.100000000000001" customHeight="1" x14ac:dyDescent="0.15">
      <c r="A12" s="121">
        <v>8</v>
      </c>
      <c r="B12" s="121"/>
      <c r="C12" s="121"/>
      <c r="D12" s="121"/>
      <c r="E12" s="122"/>
      <c r="F12" s="122"/>
      <c r="G12" s="122"/>
      <c r="H12" s="122"/>
      <c r="I12" s="122"/>
      <c r="J12" s="123">
        <v>45216</v>
      </c>
      <c r="K12" s="123"/>
      <c r="L12" s="123"/>
      <c r="M12" s="123"/>
      <c r="N12" s="123"/>
      <c r="O12" s="123"/>
      <c r="P12" s="123"/>
      <c r="Q12" s="123"/>
      <c r="R12" s="121" t="s">
        <v>170</v>
      </c>
      <c r="S12" s="121"/>
      <c r="T12" s="121"/>
      <c r="U12" s="121"/>
      <c r="V12" s="121"/>
      <c r="W12" s="127"/>
      <c r="X12" s="127"/>
      <c r="Y12" s="127"/>
      <c r="Z12" s="127"/>
      <c r="AA12" s="128" t="s">
        <v>246</v>
      </c>
      <c r="AB12" s="127"/>
      <c r="AC12" s="127"/>
      <c r="AD12" s="127"/>
      <c r="AE12" s="127"/>
      <c r="AF12" s="127"/>
      <c r="AG12" s="127"/>
      <c r="AH12" s="128" t="s">
        <v>245</v>
      </c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9" t="s">
        <v>45</v>
      </c>
      <c r="BS12" s="129"/>
      <c r="BT12" s="129"/>
      <c r="BU12" s="129"/>
      <c r="BV12" s="129"/>
      <c r="BW12" s="129"/>
      <c r="BX12" s="129"/>
    </row>
    <row r="13" spans="1:76" ht="20.100000000000001" customHeight="1" x14ac:dyDescent="0.15">
      <c r="A13" s="121">
        <v>9</v>
      </c>
      <c r="B13" s="121"/>
      <c r="C13" s="121"/>
      <c r="D13" s="121"/>
      <c r="E13" s="122"/>
      <c r="F13" s="122"/>
      <c r="G13" s="122"/>
      <c r="H13" s="122"/>
      <c r="I13" s="122"/>
      <c r="J13" s="123">
        <v>45216</v>
      </c>
      <c r="K13" s="123"/>
      <c r="L13" s="123"/>
      <c r="M13" s="123"/>
      <c r="N13" s="123"/>
      <c r="O13" s="123"/>
      <c r="P13" s="123"/>
      <c r="Q13" s="123"/>
      <c r="R13" s="121" t="s">
        <v>170</v>
      </c>
      <c r="S13" s="121"/>
      <c r="T13" s="121"/>
      <c r="U13" s="121"/>
      <c r="V13" s="121"/>
      <c r="W13" s="127"/>
      <c r="X13" s="127"/>
      <c r="Y13" s="127"/>
      <c r="Z13" s="127"/>
      <c r="AA13" s="128" t="s">
        <v>246</v>
      </c>
      <c r="AB13" s="127"/>
      <c r="AC13" s="127"/>
      <c r="AD13" s="127"/>
      <c r="AE13" s="127"/>
      <c r="AF13" s="127"/>
      <c r="AG13" s="127"/>
      <c r="AH13" s="128" t="s">
        <v>250</v>
      </c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9" t="s">
        <v>45</v>
      </c>
      <c r="BS13" s="129"/>
      <c r="BT13" s="129"/>
      <c r="BU13" s="129"/>
      <c r="BV13" s="129"/>
      <c r="BW13" s="129"/>
      <c r="BX13" s="129"/>
    </row>
    <row r="14" spans="1:76" ht="50.1" customHeight="1" x14ac:dyDescent="0.15">
      <c r="A14" s="121">
        <v>10</v>
      </c>
      <c r="B14" s="121"/>
      <c r="C14" s="121"/>
      <c r="D14" s="121"/>
      <c r="E14" s="122"/>
      <c r="F14" s="122"/>
      <c r="G14" s="122"/>
      <c r="H14" s="122"/>
      <c r="I14" s="122"/>
      <c r="J14" s="123">
        <v>45216</v>
      </c>
      <c r="K14" s="123"/>
      <c r="L14" s="123"/>
      <c r="M14" s="123"/>
      <c r="N14" s="123"/>
      <c r="O14" s="123"/>
      <c r="P14" s="123"/>
      <c r="Q14" s="123"/>
      <c r="R14" s="121" t="s">
        <v>170</v>
      </c>
      <c r="S14" s="121"/>
      <c r="T14" s="121"/>
      <c r="U14" s="121"/>
      <c r="V14" s="121"/>
      <c r="W14" s="127"/>
      <c r="X14" s="127"/>
      <c r="Y14" s="127"/>
      <c r="Z14" s="127"/>
      <c r="AA14" s="127" t="s">
        <v>186</v>
      </c>
      <c r="AB14" s="127"/>
      <c r="AC14" s="127"/>
      <c r="AD14" s="127"/>
      <c r="AE14" s="127"/>
      <c r="AF14" s="127"/>
      <c r="AG14" s="127"/>
      <c r="AH14" s="128" t="s">
        <v>251</v>
      </c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9" t="s">
        <v>45</v>
      </c>
      <c r="BS14" s="129"/>
      <c r="BT14" s="129"/>
      <c r="BU14" s="129"/>
      <c r="BV14" s="129"/>
      <c r="BW14" s="129"/>
      <c r="BX14" s="129"/>
    </row>
    <row r="15" spans="1:76" ht="20.100000000000001" customHeight="1" x14ac:dyDescent="0.15">
      <c r="A15" s="121">
        <v>11</v>
      </c>
      <c r="B15" s="121"/>
      <c r="C15" s="121"/>
      <c r="D15" s="121"/>
      <c r="E15" s="122"/>
      <c r="F15" s="122"/>
      <c r="G15" s="122"/>
      <c r="H15" s="122"/>
      <c r="I15" s="122"/>
      <c r="J15" s="123">
        <v>45223</v>
      </c>
      <c r="K15" s="123"/>
      <c r="L15" s="123"/>
      <c r="M15" s="123"/>
      <c r="N15" s="123"/>
      <c r="O15" s="123"/>
      <c r="P15" s="123"/>
      <c r="Q15" s="123"/>
      <c r="R15" s="121" t="s">
        <v>170</v>
      </c>
      <c r="S15" s="121"/>
      <c r="T15" s="121"/>
      <c r="U15" s="121"/>
      <c r="V15" s="121"/>
      <c r="W15" s="127"/>
      <c r="X15" s="127"/>
      <c r="Y15" s="127"/>
      <c r="Z15" s="127"/>
      <c r="AA15" s="127" t="s">
        <v>186</v>
      </c>
      <c r="AB15" s="127"/>
      <c r="AC15" s="127"/>
      <c r="AD15" s="127"/>
      <c r="AE15" s="127"/>
      <c r="AF15" s="127"/>
      <c r="AG15" s="127"/>
      <c r="AH15" s="128" t="s">
        <v>263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9" t="s">
        <v>45</v>
      </c>
      <c r="BS15" s="129"/>
      <c r="BT15" s="129"/>
      <c r="BU15" s="129"/>
      <c r="BV15" s="129"/>
      <c r="BW15" s="129"/>
      <c r="BX15" s="129"/>
    </row>
    <row r="16" spans="1:76" ht="20.100000000000001" customHeight="1" x14ac:dyDescent="0.15">
      <c r="A16" s="121">
        <v>12</v>
      </c>
      <c r="B16" s="121"/>
      <c r="C16" s="121"/>
      <c r="D16" s="121"/>
      <c r="E16" s="122">
        <v>1.03</v>
      </c>
      <c r="F16" s="122"/>
      <c r="G16" s="122"/>
      <c r="H16" s="122"/>
      <c r="I16" s="122"/>
      <c r="J16" s="123">
        <v>45238</v>
      </c>
      <c r="K16" s="123"/>
      <c r="L16" s="123"/>
      <c r="M16" s="123"/>
      <c r="N16" s="123"/>
      <c r="O16" s="123"/>
      <c r="P16" s="123"/>
      <c r="Q16" s="123"/>
      <c r="R16" s="121" t="s">
        <v>170</v>
      </c>
      <c r="S16" s="121"/>
      <c r="T16" s="121"/>
      <c r="U16" s="121"/>
      <c r="V16" s="121"/>
      <c r="W16" s="127"/>
      <c r="X16" s="127"/>
      <c r="Y16" s="127"/>
      <c r="Z16" s="127"/>
      <c r="AA16" s="127" t="s">
        <v>264</v>
      </c>
      <c r="AB16" s="127"/>
      <c r="AC16" s="127"/>
      <c r="AD16" s="127"/>
      <c r="AE16" s="127"/>
      <c r="AF16" s="127"/>
      <c r="AG16" s="127"/>
      <c r="AH16" s="128" t="s">
        <v>265</v>
      </c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9" t="s">
        <v>45</v>
      </c>
      <c r="BS16" s="129"/>
      <c r="BT16" s="129"/>
      <c r="BU16" s="129"/>
      <c r="BV16" s="129"/>
      <c r="BW16" s="129"/>
      <c r="BX16" s="129"/>
    </row>
    <row r="17" spans="1:76" ht="20.100000000000001" customHeight="1" x14ac:dyDescent="0.15">
      <c r="A17" s="121">
        <v>13</v>
      </c>
      <c r="B17" s="121"/>
      <c r="C17" s="121"/>
      <c r="D17" s="121"/>
      <c r="E17" s="122"/>
      <c r="F17" s="122"/>
      <c r="G17" s="122"/>
      <c r="H17" s="122"/>
      <c r="I17" s="122"/>
      <c r="J17" s="123">
        <v>45238</v>
      </c>
      <c r="K17" s="123"/>
      <c r="L17" s="123"/>
      <c r="M17" s="123"/>
      <c r="N17" s="123"/>
      <c r="O17" s="123"/>
      <c r="P17" s="123"/>
      <c r="Q17" s="123"/>
      <c r="R17" s="121" t="s">
        <v>170</v>
      </c>
      <c r="S17" s="121"/>
      <c r="T17" s="121"/>
      <c r="U17" s="121"/>
      <c r="V17" s="121"/>
      <c r="W17" s="127"/>
      <c r="X17" s="127"/>
      <c r="Y17" s="127"/>
      <c r="Z17" s="127"/>
      <c r="AA17" s="127" t="s">
        <v>277</v>
      </c>
      <c r="AB17" s="127"/>
      <c r="AC17" s="127"/>
      <c r="AD17" s="127"/>
      <c r="AE17" s="127"/>
      <c r="AF17" s="127"/>
      <c r="AG17" s="127"/>
      <c r="AH17" s="128" t="s">
        <v>278</v>
      </c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9" t="s">
        <v>45</v>
      </c>
      <c r="BS17" s="129"/>
      <c r="BT17" s="129"/>
      <c r="BU17" s="129"/>
      <c r="BV17" s="129"/>
      <c r="BW17" s="129"/>
      <c r="BX17" s="129"/>
    </row>
    <row r="18" spans="1:76" ht="20.100000000000001" customHeight="1" x14ac:dyDescent="0.15">
      <c r="A18" s="121">
        <v>14</v>
      </c>
      <c r="B18" s="121"/>
      <c r="C18" s="121"/>
      <c r="D18" s="121"/>
      <c r="E18" s="122">
        <v>1.04</v>
      </c>
      <c r="F18" s="122"/>
      <c r="G18" s="122"/>
      <c r="H18" s="122"/>
      <c r="I18" s="122"/>
      <c r="J18" s="123">
        <v>45247</v>
      </c>
      <c r="K18" s="123"/>
      <c r="L18" s="123"/>
      <c r="M18" s="123"/>
      <c r="N18" s="123"/>
      <c r="O18" s="123"/>
      <c r="P18" s="123"/>
      <c r="Q18" s="123"/>
      <c r="R18" s="124" t="s">
        <v>289</v>
      </c>
      <c r="S18" s="125"/>
      <c r="T18" s="125"/>
      <c r="U18" s="125"/>
      <c r="V18" s="126"/>
      <c r="W18" s="127"/>
      <c r="X18" s="127"/>
      <c r="Y18" s="127"/>
      <c r="Z18" s="127"/>
      <c r="AA18" s="127" t="s">
        <v>290</v>
      </c>
      <c r="AB18" s="127"/>
      <c r="AC18" s="127"/>
      <c r="AD18" s="127"/>
      <c r="AE18" s="127"/>
      <c r="AF18" s="127"/>
      <c r="AG18" s="127"/>
      <c r="AH18" s="128" t="s">
        <v>291</v>
      </c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9" t="s">
        <v>45</v>
      </c>
      <c r="BS18" s="129"/>
      <c r="BT18" s="129"/>
      <c r="BU18" s="129"/>
      <c r="BV18" s="129"/>
      <c r="BW18" s="129"/>
      <c r="BX18" s="129"/>
    </row>
    <row r="19" spans="1:76" ht="20.100000000000001" customHeight="1" x14ac:dyDescent="0.15">
      <c r="A19" s="121">
        <v>15</v>
      </c>
      <c r="B19" s="121"/>
      <c r="C19" s="121"/>
      <c r="D19" s="121"/>
      <c r="E19" s="122">
        <v>1.05</v>
      </c>
      <c r="F19" s="122"/>
      <c r="G19" s="122"/>
      <c r="H19" s="122"/>
      <c r="I19" s="122"/>
      <c r="J19" s="123">
        <v>45250</v>
      </c>
      <c r="K19" s="123"/>
      <c r="L19" s="123"/>
      <c r="M19" s="123"/>
      <c r="N19" s="123"/>
      <c r="O19" s="123"/>
      <c r="P19" s="123"/>
      <c r="Q19" s="123"/>
      <c r="R19" s="124" t="s">
        <v>170</v>
      </c>
      <c r="S19" s="125"/>
      <c r="T19" s="125"/>
      <c r="U19" s="125"/>
      <c r="V19" s="126"/>
      <c r="W19" s="127"/>
      <c r="X19" s="127"/>
      <c r="Y19" s="127"/>
      <c r="Z19" s="127"/>
      <c r="AA19" s="127" t="s">
        <v>169</v>
      </c>
      <c r="AB19" s="127"/>
      <c r="AC19" s="127"/>
      <c r="AD19" s="127"/>
      <c r="AE19" s="127"/>
      <c r="AF19" s="127"/>
      <c r="AG19" s="127"/>
      <c r="AH19" s="128" t="s">
        <v>292</v>
      </c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9" t="s">
        <v>45</v>
      </c>
      <c r="BS19" s="129"/>
      <c r="BT19" s="129"/>
      <c r="BU19" s="129"/>
      <c r="BV19" s="129"/>
      <c r="BW19" s="129"/>
      <c r="BX19" s="129"/>
    </row>
    <row r="20" spans="1:76" ht="30" customHeight="1" x14ac:dyDescent="0.15">
      <c r="A20" s="121">
        <v>16</v>
      </c>
      <c r="B20" s="121"/>
      <c r="C20" s="121"/>
      <c r="D20" s="121"/>
      <c r="E20" s="122">
        <v>1.06</v>
      </c>
      <c r="F20" s="122"/>
      <c r="G20" s="122"/>
      <c r="H20" s="122"/>
      <c r="I20" s="122"/>
      <c r="J20" s="123">
        <v>45261</v>
      </c>
      <c r="K20" s="123"/>
      <c r="L20" s="123"/>
      <c r="M20" s="123"/>
      <c r="N20" s="123"/>
      <c r="O20" s="123"/>
      <c r="P20" s="123"/>
      <c r="Q20" s="123"/>
      <c r="R20" s="124" t="s">
        <v>170</v>
      </c>
      <c r="S20" s="125"/>
      <c r="T20" s="125"/>
      <c r="U20" s="125"/>
      <c r="V20" s="126"/>
      <c r="W20" s="127"/>
      <c r="X20" s="127"/>
      <c r="Y20" s="127"/>
      <c r="Z20" s="127"/>
      <c r="AA20" s="128" t="s">
        <v>295</v>
      </c>
      <c r="AB20" s="127"/>
      <c r="AC20" s="127"/>
      <c r="AD20" s="127"/>
      <c r="AE20" s="127"/>
      <c r="AF20" s="127"/>
      <c r="AG20" s="127"/>
      <c r="AH20" s="128" t="s">
        <v>296</v>
      </c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9" t="s">
        <v>45</v>
      </c>
      <c r="BS20" s="129"/>
      <c r="BT20" s="129"/>
      <c r="BU20" s="129"/>
      <c r="BV20" s="129"/>
      <c r="BW20" s="129"/>
      <c r="BX20" s="129"/>
    </row>
    <row r="21" spans="1:76" ht="20.100000000000001" customHeight="1" x14ac:dyDescent="0.15">
      <c r="A21" s="121">
        <v>17</v>
      </c>
      <c r="B21" s="121"/>
      <c r="C21" s="121"/>
      <c r="D21" s="121"/>
      <c r="E21" s="122">
        <v>1.07</v>
      </c>
      <c r="F21" s="122"/>
      <c r="G21" s="122"/>
      <c r="H21" s="122"/>
      <c r="I21" s="122"/>
      <c r="J21" s="123">
        <v>45315</v>
      </c>
      <c r="K21" s="123"/>
      <c r="L21" s="123"/>
      <c r="M21" s="123"/>
      <c r="N21" s="123"/>
      <c r="O21" s="123"/>
      <c r="P21" s="123"/>
      <c r="Q21" s="123"/>
      <c r="R21" s="124" t="s">
        <v>170</v>
      </c>
      <c r="S21" s="125"/>
      <c r="T21" s="125"/>
      <c r="U21" s="125"/>
      <c r="V21" s="126"/>
      <c r="W21" s="127"/>
      <c r="X21" s="127"/>
      <c r="Y21" s="127"/>
      <c r="Z21" s="127"/>
      <c r="AA21" s="128" t="s">
        <v>343</v>
      </c>
      <c r="AB21" s="127"/>
      <c r="AC21" s="127"/>
      <c r="AD21" s="127"/>
      <c r="AE21" s="127"/>
      <c r="AF21" s="127"/>
      <c r="AG21" s="127"/>
      <c r="AH21" s="128" t="s">
        <v>342</v>
      </c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9" t="s">
        <v>45</v>
      </c>
      <c r="BS21" s="129"/>
      <c r="BT21" s="129"/>
      <c r="BU21" s="129"/>
      <c r="BV21" s="129"/>
      <c r="BW21" s="129"/>
      <c r="BX21" s="129"/>
    </row>
    <row r="22" spans="1:76" ht="20.100000000000001" customHeight="1" x14ac:dyDescent="0.15">
      <c r="A22" s="121"/>
      <c r="B22" s="121"/>
      <c r="C22" s="121"/>
      <c r="D22" s="121"/>
      <c r="E22" s="122"/>
      <c r="F22" s="122"/>
      <c r="G22" s="122"/>
      <c r="H22" s="122"/>
      <c r="I22" s="122"/>
      <c r="J22" s="123"/>
      <c r="K22" s="123"/>
      <c r="L22" s="123"/>
      <c r="M22" s="123"/>
      <c r="N22" s="123"/>
      <c r="O22" s="123"/>
      <c r="P22" s="123"/>
      <c r="Q22" s="123"/>
      <c r="R22" s="121"/>
      <c r="S22" s="121"/>
      <c r="T22" s="121"/>
      <c r="U22" s="121"/>
      <c r="V22" s="121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8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9"/>
      <c r="BS22" s="129"/>
      <c r="BT22" s="129"/>
      <c r="BU22" s="129"/>
      <c r="BV22" s="129"/>
      <c r="BW22" s="129"/>
      <c r="BX22" s="129"/>
    </row>
    <row r="23" spans="1:76" ht="20.100000000000001" customHeight="1" x14ac:dyDescent="0.15">
      <c r="A23" s="121"/>
      <c r="B23" s="121"/>
      <c r="C23" s="121"/>
      <c r="D23" s="121"/>
      <c r="E23" s="122"/>
      <c r="F23" s="122"/>
      <c r="G23" s="122"/>
      <c r="H23" s="122"/>
      <c r="I23" s="122"/>
      <c r="J23" s="123"/>
      <c r="K23" s="123"/>
      <c r="L23" s="123"/>
      <c r="M23" s="123"/>
      <c r="N23" s="123"/>
      <c r="O23" s="123"/>
      <c r="P23" s="123"/>
      <c r="Q23" s="123"/>
      <c r="R23" s="121"/>
      <c r="S23" s="121"/>
      <c r="T23" s="121"/>
      <c r="U23" s="121"/>
      <c r="V23" s="121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8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9"/>
      <c r="BS23" s="129"/>
      <c r="BT23" s="129"/>
      <c r="BU23" s="129"/>
      <c r="BV23" s="129"/>
      <c r="BW23" s="129"/>
      <c r="BX23" s="129"/>
    </row>
    <row r="24" spans="1:76" ht="20.100000000000001" customHeight="1" x14ac:dyDescent="0.15">
      <c r="A24" s="121"/>
      <c r="B24" s="121"/>
      <c r="C24" s="121"/>
      <c r="D24" s="121"/>
      <c r="E24" s="122"/>
      <c r="F24" s="122"/>
      <c r="G24" s="122"/>
      <c r="H24" s="122"/>
      <c r="I24" s="122"/>
      <c r="J24" s="123"/>
      <c r="K24" s="123"/>
      <c r="L24" s="123"/>
      <c r="M24" s="123"/>
      <c r="N24" s="123"/>
      <c r="O24" s="123"/>
      <c r="P24" s="123"/>
      <c r="Q24" s="123"/>
      <c r="R24" s="121"/>
      <c r="S24" s="121"/>
      <c r="T24" s="121"/>
      <c r="U24" s="121"/>
      <c r="V24" s="121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8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9"/>
      <c r="BS24" s="129"/>
      <c r="BT24" s="129"/>
      <c r="BU24" s="129"/>
      <c r="BV24" s="129"/>
      <c r="BW24" s="129"/>
      <c r="BX24" s="129"/>
    </row>
    <row r="25" spans="1:76" ht="20.100000000000001" customHeight="1" x14ac:dyDescent="0.15">
      <c r="A25" s="121"/>
      <c r="B25" s="121"/>
      <c r="C25" s="121"/>
      <c r="D25" s="121"/>
      <c r="E25" s="122"/>
      <c r="F25" s="122"/>
      <c r="G25" s="122"/>
      <c r="H25" s="122"/>
      <c r="I25" s="122"/>
      <c r="J25" s="123"/>
      <c r="K25" s="123"/>
      <c r="L25" s="123"/>
      <c r="M25" s="123"/>
      <c r="N25" s="123"/>
      <c r="O25" s="123"/>
      <c r="P25" s="123"/>
      <c r="Q25" s="123"/>
      <c r="R25" s="121"/>
      <c r="S25" s="121"/>
      <c r="T25" s="121"/>
      <c r="U25" s="121"/>
      <c r="V25" s="121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8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9"/>
      <c r="BS25" s="129"/>
      <c r="BT25" s="129"/>
      <c r="BU25" s="129"/>
      <c r="BV25" s="129"/>
      <c r="BW25" s="129"/>
      <c r="BX25" s="129"/>
    </row>
    <row r="26" spans="1:76" ht="20.100000000000001" customHeight="1" x14ac:dyDescent="0.15">
      <c r="A26" s="121"/>
      <c r="B26" s="121"/>
      <c r="C26" s="121"/>
      <c r="D26" s="121"/>
      <c r="E26" s="122"/>
      <c r="F26" s="122"/>
      <c r="G26" s="122"/>
      <c r="H26" s="122"/>
      <c r="I26" s="122"/>
      <c r="J26" s="123"/>
      <c r="K26" s="123"/>
      <c r="L26" s="123"/>
      <c r="M26" s="123"/>
      <c r="N26" s="123"/>
      <c r="O26" s="123"/>
      <c r="P26" s="123"/>
      <c r="Q26" s="123"/>
      <c r="R26" s="121"/>
      <c r="S26" s="121"/>
      <c r="T26" s="121"/>
      <c r="U26" s="121"/>
      <c r="V26" s="121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8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9"/>
      <c r="BS26" s="129"/>
      <c r="BT26" s="129"/>
      <c r="BU26" s="129"/>
      <c r="BV26" s="129"/>
      <c r="BW26" s="129"/>
      <c r="BX26" s="129"/>
    </row>
  </sheetData>
  <mergeCells count="185">
    <mergeCell ref="A10:D10"/>
    <mergeCell ref="E10:I10"/>
    <mergeCell ref="J10:Q10"/>
    <mergeCell ref="R10:V10"/>
    <mergeCell ref="AH9:BQ9"/>
    <mergeCell ref="BR9:BX9"/>
    <mergeCell ref="W12:Z12"/>
    <mergeCell ref="AA12:AG12"/>
    <mergeCell ref="AH12:BQ12"/>
    <mergeCell ref="BR12:BX12"/>
    <mergeCell ref="A12:D12"/>
    <mergeCell ref="E12:I12"/>
    <mergeCell ref="J12:Q12"/>
    <mergeCell ref="R12:V12"/>
    <mergeCell ref="AH11:BQ11"/>
    <mergeCell ref="BR11:BX11"/>
    <mergeCell ref="A11:D11"/>
    <mergeCell ref="E11:I11"/>
    <mergeCell ref="J11:Q11"/>
    <mergeCell ref="R11:V11"/>
    <mergeCell ref="W11:Z11"/>
    <mergeCell ref="AA11:AG11"/>
    <mergeCell ref="AH8:BQ8"/>
    <mergeCell ref="BR8:BX8"/>
    <mergeCell ref="AA8:AG8"/>
    <mergeCell ref="W8:Z8"/>
    <mergeCell ref="BR7:BX7"/>
    <mergeCell ref="AH7:BQ7"/>
    <mergeCell ref="R9:V9"/>
    <mergeCell ref="W10:Z10"/>
    <mergeCell ref="AA10:AG10"/>
    <mergeCell ref="AH10:BQ10"/>
    <mergeCell ref="BR10:BX10"/>
    <mergeCell ref="R7:V7"/>
    <mergeCell ref="J8:Q8"/>
    <mergeCell ref="R8:V8"/>
    <mergeCell ref="W9:Z9"/>
    <mergeCell ref="AA9:AG9"/>
    <mergeCell ref="A5:D5"/>
    <mergeCell ref="R5:V5"/>
    <mergeCell ref="W7:Z7"/>
    <mergeCell ref="AA7:AG7"/>
    <mergeCell ref="A3:D4"/>
    <mergeCell ref="J3:Q4"/>
    <mergeCell ref="A9:D9"/>
    <mergeCell ref="E9:I9"/>
    <mergeCell ref="J9:Q9"/>
    <mergeCell ref="A8:D8"/>
    <mergeCell ref="E8:I8"/>
    <mergeCell ref="A6:D6"/>
    <mergeCell ref="E6:I6"/>
    <mergeCell ref="J6:Q6"/>
    <mergeCell ref="J5:Q5"/>
    <mergeCell ref="E3:I4"/>
    <mergeCell ref="E5:I5"/>
    <mergeCell ref="A7:D7"/>
    <mergeCell ref="E7:I7"/>
    <mergeCell ref="J7:Q7"/>
    <mergeCell ref="R3:V4"/>
    <mergeCell ref="R6:V6"/>
    <mergeCell ref="BR3:BX4"/>
    <mergeCell ref="AH3:BQ4"/>
    <mergeCell ref="AH5:BQ5"/>
    <mergeCell ref="BR5:BX5"/>
    <mergeCell ref="W6:Z6"/>
    <mergeCell ref="AA6:AG6"/>
    <mergeCell ref="AH6:BQ6"/>
    <mergeCell ref="BR6:BX6"/>
    <mergeCell ref="AA4:AG4"/>
    <mergeCell ref="W3:AG3"/>
    <mergeCell ref="W4:Z4"/>
    <mergeCell ref="W5:Z5"/>
    <mergeCell ref="AA5:AG5"/>
    <mergeCell ref="AA13:AG13"/>
    <mergeCell ref="AH13:BQ13"/>
    <mergeCell ref="BR13:BX13"/>
    <mergeCell ref="A14:D14"/>
    <mergeCell ref="E14:I14"/>
    <mergeCell ref="J14:Q14"/>
    <mergeCell ref="R14:V14"/>
    <mergeCell ref="W14:Z14"/>
    <mergeCell ref="AA14:AG14"/>
    <mergeCell ref="AH14:BQ14"/>
    <mergeCell ref="BR14:BX14"/>
    <mergeCell ref="A13:D13"/>
    <mergeCell ref="E13:I13"/>
    <mergeCell ref="J13:Q13"/>
    <mergeCell ref="R13:V13"/>
    <mergeCell ref="W13:Z13"/>
    <mergeCell ref="A15:D15"/>
    <mergeCell ref="E15:I15"/>
    <mergeCell ref="J15:Q15"/>
    <mergeCell ref="R15:V15"/>
    <mergeCell ref="W15:Z15"/>
    <mergeCell ref="AA15:AG15"/>
    <mergeCell ref="AH15:BQ15"/>
    <mergeCell ref="BR15:BX15"/>
    <mergeCell ref="AA16:AG16"/>
    <mergeCell ref="AH16:BQ16"/>
    <mergeCell ref="BR16:BX16"/>
    <mergeCell ref="A17:D17"/>
    <mergeCell ref="E17:I17"/>
    <mergeCell ref="J17:Q17"/>
    <mergeCell ref="R17:V17"/>
    <mergeCell ref="W17:Z17"/>
    <mergeCell ref="AA17:AG17"/>
    <mergeCell ref="AH17:BQ17"/>
    <mergeCell ref="BR17:BX17"/>
    <mergeCell ref="A16:D16"/>
    <mergeCell ref="E16:I16"/>
    <mergeCell ref="J16:Q16"/>
    <mergeCell ref="R16:V16"/>
    <mergeCell ref="W16:Z16"/>
    <mergeCell ref="AA18:AG18"/>
    <mergeCell ref="AH18:BQ18"/>
    <mergeCell ref="BR18:BX18"/>
    <mergeCell ref="A19:D19"/>
    <mergeCell ref="E19:I19"/>
    <mergeCell ref="J19:Q19"/>
    <mergeCell ref="R19:V19"/>
    <mergeCell ref="W19:Z19"/>
    <mergeCell ref="AA19:AG19"/>
    <mergeCell ref="AH19:BQ19"/>
    <mergeCell ref="BR19:BX19"/>
    <mergeCell ref="A18:D18"/>
    <mergeCell ref="E18:I18"/>
    <mergeCell ref="J18:Q18"/>
    <mergeCell ref="R18:V18"/>
    <mergeCell ref="W18:Z18"/>
    <mergeCell ref="AA21:AG21"/>
    <mergeCell ref="AH21:BQ21"/>
    <mergeCell ref="BR21:BX21"/>
    <mergeCell ref="A22:D22"/>
    <mergeCell ref="E22:I22"/>
    <mergeCell ref="J22:Q22"/>
    <mergeCell ref="R22:V22"/>
    <mergeCell ref="W22:Z22"/>
    <mergeCell ref="AA22:AG22"/>
    <mergeCell ref="AH22:BQ22"/>
    <mergeCell ref="BR22:BX22"/>
    <mergeCell ref="A21:D21"/>
    <mergeCell ref="E21:I21"/>
    <mergeCell ref="J21:Q21"/>
    <mergeCell ref="R21:V21"/>
    <mergeCell ref="W21:Z21"/>
    <mergeCell ref="AA25:AG25"/>
    <mergeCell ref="AH25:BQ25"/>
    <mergeCell ref="BR25:BX25"/>
    <mergeCell ref="A24:D24"/>
    <mergeCell ref="E24:I24"/>
    <mergeCell ref="J24:Q24"/>
    <mergeCell ref="R24:V24"/>
    <mergeCell ref="W24:Z24"/>
    <mergeCell ref="A23:D23"/>
    <mergeCell ref="E23:I23"/>
    <mergeCell ref="J23:Q23"/>
    <mergeCell ref="R23:V23"/>
    <mergeCell ref="W23:Z23"/>
    <mergeCell ref="AA23:AG23"/>
    <mergeCell ref="AH23:BQ23"/>
    <mergeCell ref="BR23:BX23"/>
    <mergeCell ref="A20:D20"/>
    <mergeCell ref="E20:I20"/>
    <mergeCell ref="J20:Q20"/>
    <mergeCell ref="R20:V20"/>
    <mergeCell ref="W20:Z20"/>
    <mergeCell ref="AA20:AG20"/>
    <mergeCell ref="AH20:BQ20"/>
    <mergeCell ref="BR20:BX20"/>
    <mergeCell ref="AA26:AG26"/>
    <mergeCell ref="AH26:BQ26"/>
    <mergeCell ref="BR26:BX26"/>
    <mergeCell ref="A26:D26"/>
    <mergeCell ref="E26:I26"/>
    <mergeCell ref="J26:Q26"/>
    <mergeCell ref="R26:V26"/>
    <mergeCell ref="W26:Z26"/>
    <mergeCell ref="AA24:AG24"/>
    <mergeCell ref="AH24:BQ24"/>
    <mergeCell ref="BR24:BX24"/>
    <mergeCell ref="A25:D25"/>
    <mergeCell ref="E25:I25"/>
    <mergeCell ref="J25:Q25"/>
    <mergeCell ref="R25:V25"/>
    <mergeCell ref="W25:Z25"/>
  </mergeCells>
  <phoneticPr fontId="2"/>
  <pageMargins left="0.21" right="0.2" top="0.78740157480314965" bottom="0.39370078740157483" header="0.59055118110236227" footer="0.19685039370078741"/>
  <pageSetup paperSize="9" orientation="landscape" r:id="rId1"/>
  <headerFooter alignWithMargins="0">
    <oddFooter>&amp;R&amp;9株式会社　京信システムサービス&amp;C&amp;11&amp;P　/　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CR47"/>
  <sheetViews>
    <sheetView zoomScale="85" zoomScaleNormal="85" workbookViewId="0">
      <pane ySplit="3" topLeftCell="A4" activePane="bottomLeft" state="frozen"/>
      <selection activeCell="J6" sqref="J6:Q6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200" t="s">
        <v>1</v>
      </c>
      <c r="B1" s="201"/>
      <c r="C1" s="201"/>
      <c r="D1" s="201"/>
      <c r="E1" s="201"/>
      <c r="F1" s="201"/>
      <c r="G1" s="201"/>
      <c r="H1" s="202"/>
      <c r="I1" s="203" t="str">
        <f>タイトル!I40</f>
        <v>　学生勤務管理システム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5"/>
      <c r="AE1" s="206" t="s">
        <v>0</v>
      </c>
      <c r="AF1" s="207"/>
      <c r="AG1" s="207"/>
      <c r="AH1" s="207"/>
      <c r="AI1" s="207"/>
      <c r="AJ1" s="207"/>
      <c r="AK1" s="208"/>
      <c r="AL1" s="209" t="str">
        <f>タイトル!I43</f>
        <v>　機能設計</v>
      </c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1"/>
      <c r="BI1" s="206" t="s">
        <v>12</v>
      </c>
      <c r="BJ1" s="207"/>
      <c r="BK1" s="207"/>
      <c r="BL1" s="208"/>
      <c r="BM1" s="212" t="str">
        <f>タイトル!I46</f>
        <v>木田　優</v>
      </c>
      <c r="BN1" s="213"/>
      <c r="BO1" s="213"/>
      <c r="BP1" s="213"/>
      <c r="BQ1" s="213"/>
      <c r="BR1" s="213"/>
      <c r="BS1" s="213"/>
      <c r="BT1" s="213"/>
      <c r="BU1" s="213"/>
      <c r="BV1" s="214"/>
      <c r="BW1" s="158">
        <f>タイトル!I47</f>
        <v>45197</v>
      </c>
      <c r="BX1" s="159"/>
      <c r="BY1" s="159"/>
      <c r="BZ1" s="159"/>
      <c r="CA1" s="159"/>
      <c r="CB1" s="159"/>
      <c r="CC1" s="159"/>
      <c r="CD1" s="159"/>
      <c r="CE1" s="160"/>
      <c r="CF1" s="161" t="s">
        <v>13</v>
      </c>
      <c r="CG1" s="162"/>
      <c r="CH1" s="162"/>
      <c r="CI1" s="162"/>
      <c r="CJ1" s="163"/>
      <c r="CK1" s="170" t="str">
        <f>タイトル!I50</f>
        <v>DUC010</v>
      </c>
      <c r="CL1" s="171"/>
      <c r="CM1" s="171"/>
      <c r="CN1" s="171"/>
      <c r="CO1" s="171"/>
      <c r="CP1" s="171"/>
      <c r="CQ1" s="171"/>
      <c r="CR1" s="172"/>
    </row>
    <row r="2" spans="1:96" s="15" customFormat="1" ht="15" customHeight="1" x14ac:dyDescent="0.15">
      <c r="A2" s="179" t="s">
        <v>14</v>
      </c>
      <c r="B2" s="180"/>
      <c r="C2" s="180"/>
      <c r="D2" s="180"/>
      <c r="E2" s="180"/>
      <c r="F2" s="180"/>
      <c r="G2" s="180"/>
      <c r="H2" s="181"/>
      <c r="I2" s="182" t="str">
        <f>タイトル!I41</f>
        <v>　共通機能</v>
      </c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4"/>
      <c r="AE2" s="185" t="s">
        <v>32</v>
      </c>
      <c r="AF2" s="186"/>
      <c r="AG2" s="186"/>
      <c r="AH2" s="186"/>
      <c r="AI2" s="186"/>
      <c r="AJ2" s="186"/>
      <c r="AK2" s="187"/>
      <c r="AL2" s="188" t="str">
        <f>タイトル!I44</f>
        <v>　CZ-020_社員マスタ</v>
      </c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90"/>
      <c r="BI2" s="191" t="s">
        <v>15</v>
      </c>
      <c r="BJ2" s="192"/>
      <c r="BK2" s="192"/>
      <c r="BL2" s="193"/>
      <c r="BM2" s="194"/>
      <c r="BN2" s="195"/>
      <c r="BO2" s="195"/>
      <c r="BP2" s="195"/>
      <c r="BQ2" s="195"/>
      <c r="BR2" s="195"/>
      <c r="BS2" s="195"/>
      <c r="BT2" s="195"/>
      <c r="BU2" s="195"/>
      <c r="BV2" s="196"/>
      <c r="BW2" s="197"/>
      <c r="BX2" s="198"/>
      <c r="BY2" s="198"/>
      <c r="BZ2" s="198"/>
      <c r="CA2" s="198"/>
      <c r="CB2" s="198"/>
      <c r="CC2" s="198"/>
      <c r="CD2" s="198"/>
      <c r="CE2" s="199"/>
      <c r="CF2" s="164"/>
      <c r="CG2" s="165"/>
      <c r="CH2" s="165"/>
      <c r="CI2" s="165"/>
      <c r="CJ2" s="166"/>
      <c r="CK2" s="173"/>
      <c r="CL2" s="174"/>
      <c r="CM2" s="174"/>
      <c r="CN2" s="174"/>
      <c r="CO2" s="174"/>
      <c r="CP2" s="174"/>
      <c r="CQ2" s="174"/>
      <c r="CR2" s="175"/>
    </row>
    <row r="3" spans="1:96" s="15" customFormat="1" ht="15" customHeight="1" thickBot="1" x14ac:dyDescent="0.2">
      <c r="A3" s="215"/>
      <c r="B3" s="216"/>
      <c r="C3" s="216"/>
      <c r="D3" s="216"/>
      <c r="E3" s="216"/>
      <c r="F3" s="216"/>
      <c r="G3" s="216"/>
      <c r="H3" s="217"/>
      <c r="I3" s="218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20"/>
      <c r="AE3" s="167"/>
      <c r="AF3" s="168"/>
      <c r="AG3" s="168"/>
      <c r="AH3" s="168"/>
      <c r="AI3" s="168"/>
      <c r="AJ3" s="168"/>
      <c r="AK3" s="169"/>
      <c r="AL3" s="221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3"/>
      <c r="BI3" s="224"/>
      <c r="BJ3" s="225"/>
      <c r="BK3" s="225"/>
      <c r="BL3" s="226"/>
      <c r="BM3" s="227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9"/>
      <c r="CF3" s="167"/>
      <c r="CG3" s="168"/>
      <c r="CH3" s="168"/>
      <c r="CI3" s="168"/>
      <c r="CJ3" s="169"/>
      <c r="CK3" s="176"/>
      <c r="CL3" s="177"/>
      <c r="CM3" s="177"/>
      <c r="CN3" s="177"/>
      <c r="CO3" s="177"/>
      <c r="CP3" s="177"/>
      <c r="CQ3" s="177"/>
      <c r="CR3" s="178"/>
    </row>
    <row r="4" spans="1:96" s="16" customFormat="1" ht="15" customHeight="1" x14ac:dyDescent="0.15">
      <c r="A4" s="236" t="s">
        <v>36</v>
      </c>
      <c r="B4" s="237"/>
      <c r="C4" s="237"/>
      <c r="D4" s="237"/>
      <c r="E4" s="237"/>
      <c r="F4" s="237"/>
      <c r="G4" s="237"/>
      <c r="H4" s="237"/>
      <c r="I4" s="238" t="str">
        <f>"　" &amp; RIGHT(タイトル!I44,LEN(タイトル!I44)-8)</f>
        <v>　社員マスタ</v>
      </c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7" t="s">
        <v>37</v>
      </c>
      <c r="AM4" s="237"/>
      <c r="AN4" s="237"/>
      <c r="AO4" s="237"/>
      <c r="AP4" s="237"/>
      <c r="AQ4" s="237"/>
      <c r="AR4" s="237"/>
      <c r="AS4" s="239" t="str">
        <f>LEFT(タイトル!I44,7)</f>
        <v>　CZ-020</v>
      </c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40" t="s">
        <v>35</v>
      </c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33" t="s">
        <v>76</v>
      </c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5"/>
    </row>
    <row r="5" spans="1:96" s="13" customFormat="1" ht="15" customHeight="1" x14ac:dyDescent="0.15">
      <c r="A5" s="230" t="s">
        <v>39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231"/>
      <c r="BN5" s="231"/>
      <c r="BO5" s="231"/>
      <c r="BP5" s="231"/>
      <c r="BQ5" s="231"/>
      <c r="BR5" s="231"/>
      <c r="BS5" s="231"/>
      <c r="BT5" s="231"/>
      <c r="BU5" s="231"/>
      <c r="BV5" s="231"/>
      <c r="BW5" s="231"/>
      <c r="BX5" s="231"/>
      <c r="BY5" s="231"/>
      <c r="BZ5" s="231"/>
      <c r="CA5" s="231"/>
      <c r="CB5" s="231"/>
      <c r="CC5" s="231"/>
      <c r="CD5" s="231"/>
      <c r="CE5" s="231"/>
      <c r="CF5" s="231"/>
      <c r="CG5" s="231"/>
      <c r="CH5" s="231"/>
      <c r="CI5" s="231"/>
      <c r="CJ5" s="231"/>
      <c r="CK5" s="231"/>
      <c r="CL5" s="231"/>
      <c r="CM5" s="231"/>
      <c r="CN5" s="231"/>
      <c r="CO5" s="231"/>
      <c r="CP5" s="231"/>
      <c r="CQ5" s="231"/>
      <c r="CR5" s="232"/>
    </row>
    <row r="6" spans="1:96" s="13" customFormat="1" ht="15" customHeight="1" x14ac:dyDescent="0.15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9"/>
    </row>
    <row r="7" spans="1:96" s="13" customFormat="1" ht="15" customHeight="1" x14ac:dyDescent="0.15">
      <c r="A7" s="20"/>
      <c r="B7" s="18" t="s">
        <v>77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20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20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2" customFormat="1" ht="15" customHeight="1" x14ac:dyDescent="0.15">
      <c r="A10" s="230" t="s">
        <v>40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1"/>
      <c r="AR10" s="231"/>
      <c r="AS10" s="231"/>
      <c r="AT10" s="231"/>
      <c r="AU10" s="231"/>
      <c r="AV10" s="231"/>
      <c r="AW10" s="231"/>
      <c r="AX10" s="231"/>
      <c r="AY10" s="231"/>
      <c r="AZ10" s="231"/>
      <c r="BA10" s="231"/>
      <c r="BB10" s="231"/>
      <c r="BC10" s="231"/>
      <c r="BD10" s="231"/>
      <c r="BE10" s="231"/>
      <c r="BF10" s="231"/>
      <c r="BG10" s="231"/>
      <c r="BH10" s="231"/>
      <c r="BI10" s="231"/>
      <c r="BJ10" s="231"/>
      <c r="BK10" s="231"/>
      <c r="BL10" s="231"/>
      <c r="BM10" s="231"/>
      <c r="BN10" s="231"/>
      <c r="BO10" s="231"/>
      <c r="BP10" s="231"/>
      <c r="BQ10" s="231"/>
      <c r="BR10" s="231"/>
      <c r="BS10" s="231"/>
      <c r="BT10" s="231"/>
      <c r="BU10" s="231"/>
      <c r="BV10" s="231"/>
      <c r="BW10" s="231"/>
      <c r="BX10" s="231"/>
      <c r="BY10" s="231"/>
      <c r="BZ10" s="231"/>
      <c r="CA10" s="231"/>
      <c r="CB10" s="231"/>
      <c r="CC10" s="231"/>
      <c r="CD10" s="231"/>
      <c r="CE10" s="231"/>
      <c r="CF10" s="231"/>
      <c r="CG10" s="231"/>
      <c r="CH10" s="231"/>
      <c r="CI10" s="231"/>
      <c r="CJ10" s="231"/>
      <c r="CK10" s="231"/>
      <c r="CL10" s="231"/>
      <c r="CM10" s="231"/>
      <c r="CN10" s="231"/>
      <c r="CO10" s="231"/>
      <c r="CP10" s="231"/>
      <c r="CQ10" s="231"/>
      <c r="CR10" s="232"/>
    </row>
    <row r="11" spans="1:96" s="13" customFormat="1" ht="15" customHeight="1" x14ac:dyDescent="0.15">
      <c r="A11" s="22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4"/>
    </row>
    <row r="12" spans="1:96" s="13" customFormat="1" ht="15" customHeight="1" x14ac:dyDescent="0.15">
      <c r="A12" s="22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4"/>
    </row>
    <row r="13" spans="1:96" s="13" customFormat="1" ht="15" customHeight="1" x14ac:dyDescent="0.15">
      <c r="A13" s="22"/>
      <c r="B13" s="23"/>
      <c r="C13" s="31" t="s">
        <v>42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12"/>
      <c r="AH13" s="31" t="s">
        <v>49</v>
      </c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3"/>
      <c r="AZ13" s="23"/>
      <c r="BA13" s="21" t="s">
        <v>83</v>
      </c>
      <c r="BB13" s="23"/>
      <c r="BC13" s="23"/>
      <c r="BD13" s="23"/>
      <c r="BE13" s="23"/>
      <c r="BF13" s="23"/>
      <c r="BG13" s="23"/>
      <c r="BH13" s="23"/>
      <c r="BI13" s="23"/>
      <c r="BJ13" s="12"/>
      <c r="BK13" s="12"/>
      <c r="BL13" s="12"/>
      <c r="BM13" s="31" t="s">
        <v>51</v>
      </c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4"/>
    </row>
    <row r="14" spans="1:96" s="13" customFormat="1" ht="15" customHeight="1" x14ac:dyDescent="0.15">
      <c r="A14" s="22"/>
      <c r="B14" s="23"/>
      <c r="C14" s="34"/>
      <c r="D14" s="35" t="s">
        <v>78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7"/>
      <c r="S14" s="36"/>
      <c r="T14" s="38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12"/>
      <c r="AH14" s="34"/>
      <c r="AI14" s="35" t="s">
        <v>79</v>
      </c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7"/>
      <c r="AX14" s="36"/>
      <c r="AY14" s="38"/>
      <c r="AZ14" s="23"/>
      <c r="BA14" s="21" t="s">
        <v>82</v>
      </c>
      <c r="BB14" s="23"/>
      <c r="BC14" s="23"/>
      <c r="BD14" s="23"/>
      <c r="BE14" s="23"/>
      <c r="BF14" s="23"/>
      <c r="BG14" s="23"/>
      <c r="BH14" s="23"/>
      <c r="BI14" s="23"/>
      <c r="BJ14" s="12"/>
      <c r="BK14" s="12"/>
      <c r="BL14" s="12"/>
      <c r="BM14" s="34"/>
      <c r="BN14" s="35" t="s">
        <v>80</v>
      </c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7"/>
      <c r="CC14" s="36"/>
      <c r="CD14" s="38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4"/>
    </row>
    <row r="15" spans="1:96" s="13" customFormat="1" ht="15" customHeight="1" x14ac:dyDescent="0.15">
      <c r="A15" s="22"/>
      <c r="B15" s="23"/>
      <c r="C15" s="34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9"/>
      <c r="R15" s="37"/>
      <c r="S15" s="36"/>
      <c r="T15" s="38"/>
      <c r="U15" s="23"/>
      <c r="V15" s="21" t="s">
        <v>50</v>
      </c>
      <c r="W15" s="23"/>
      <c r="X15" s="23"/>
      <c r="Y15" s="23"/>
      <c r="Z15" s="23"/>
      <c r="AA15" s="23"/>
      <c r="AB15" s="23"/>
      <c r="AC15" s="23"/>
      <c r="AD15" s="23"/>
      <c r="AE15" s="12"/>
      <c r="AH15" s="34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9"/>
      <c r="AW15" s="37"/>
      <c r="AX15" s="36"/>
      <c r="AY15" s="38"/>
      <c r="AZ15" s="25"/>
      <c r="BA15" s="21" t="s">
        <v>81</v>
      </c>
      <c r="BB15" s="23"/>
      <c r="BC15" s="23"/>
      <c r="BD15" s="23"/>
      <c r="BE15" s="23"/>
      <c r="BF15" s="23"/>
      <c r="BG15" s="23"/>
      <c r="BH15" s="23"/>
      <c r="BI15" s="23"/>
      <c r="BJ15" s="12"/>
      <c r="BK15" s="12"/>
      <c r="BL15" s="12"/>
      <c r="BM15" s="34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9"/>
      <c r="CB15" s="37"/>
      <c r="CC15" s="36"/>
      <c r="CD15" s="38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4"/>
    </row>
    <row r="16" spans="1:96" s="13" customFormat="1" ht="15" customHeight="1" x14ac:dyDescent="0.15">
      <c r="A16" s="22"/>
      <c r="B16" s="23"/>
      <c r="C16" s="34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8"/>
      <c r="U16" s="23"/>
      <c r="V16" s="23"/>
      <c r="W16" s="23"/>
      <c r="X16" s="23"/>
      <c r="Y16" s="12"/>
      <c r="Z16" s="12"/>
      <c r="AA16" s="12"/>
      <c r="AB16" s="12"/>
      <c r="AC16" s="12"/>
      <c r="AD16" s="12"/>
      <c r="AE16" s="12"/>
      <c r="AH16" s="34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8"/>
      <c r="AZ16" s="23"/>
      <c r="BA16" s="25"/>
      <c r="BB16" s="23"/>
      <c r="BC16" s="23"/>
      <c r="BD16" s="23"/>
      <c r="BE16" s="23"/>
      <c r="BF16" s="23"/>
      <c r="BG16" s="23"/>
      <c r="BH16" s="23"/>
      <c r="BI16" s="23"/>
      <c r="BJ16" s="12"/>
      <c r="BK16" s="12"/>
      <c r="BL16" s="12"/>
      <c r="BM16" s="34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8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4"/>
    </row>
    <row r="17" spans="1:96" s="13" customFormat="1" ht="15" customHeight="1" x14ac:dyDescent="0.15">
      <c r="A17" s="22"/>
      <c r="B17" s="23"/>
      <c r="C17" s="34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8"/>
      <c r="U17" s="23"/>
      <c r="V17" s="23"/>
      <c r="W17" s="23"/>
      <c r="X17" s="23"/>
      <c r="Y17" s="12"/>
      <c r="Z17" s="12"/>
      <c r="AA17" s="12"/>
      <c r="AB17" s="12"/>
      <c r="AC17" s="12"/>
      <c r="AD17" s="12"/>
      <c r="AE17" s="12"/>
      <c r="AH17" s="34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8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12"/>
      <c r="BK17" s="12"/>
      <c r="BL17" s="12"/>
      <c r="BM17" s="34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8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4"/>
    </row>
    <row r="18" spans="1:96" s="13" customFormat="1" ht="15" customHeight="1" x14ac:dyDescent="0.15">
      <c r="A18" s="22"/>
      <c r="B18" s="23"/>
      <c r="C18" s="34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8"/>
      <c r="U18" s="23"/>
      <c r="V18" s="12"/>
      <c r="X18" s="23"/>
      <c r="Y18" s="12"/>
      <c r="Z18" s="12"/>
      <c r="AA18" s="12"/>
      <c r="AB18" s="12"/>
      <c r="AC18" s="12"/>
      <c r="AD18" s="12"/>
      <c r="AE18" s="12"/>
      <c r="AH18" s="34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8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12"/>
      <c r="BK18" s="12"/>
      <c r="BL18" s="12"/>
      <c r="BM18" s="34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8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4"/>
    </row>
    <row r="19" spans="1:96" s="13" customFormat="1" ht="15" customHeight="1" x14ac:dyDescent="0.15">
      <c r="A19" s="22"/>
      <c r="B19" s="23"/>
      <c r="C19" s="34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8"/>
      <c r="U19" s="23"/>
      <c r="V19" s="23"/>
      <c r="W19" s="23"/>
      <c r="X19" s="23"/>
      <c r="Y19" s="12"/>
      <c r="Z19" s="12"/>
      <c r="AA19" s="12"/>
      <c r="AB19" s="12"/>
      <c r="AC19" s="12"/>
      <c r="AD19" s="12"/>
      <c r="AE19" s="12"/>
      <c r="AH19" s="34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8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12"/>
      <c r="BK19" s="12"/>
      <c r="BL19" s="12"/>
      <c r="BM19" s="34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8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4"/>
    </row>
    <row r="20" spans="1:96" s="13" customFormat="1" ht="15" customHeight="1" x14ac:dyDescent="0.15">
      <c r="A20" s="22"/>
      <c r="B20" s="23"/>
      <c r="C20" s="34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8"/>
      <c r="U20" s="23"/>
      <c r="V20" s="21"/>
      <c r="W20" s="23"/>
      <c r="X20" s="23"/>
      <c r="Y20" s="23"/>
      <c r="Z20" s="23"/>
      <c r="AA20" s="23"/>
      <c r="AB20" s="23"/>
      <c r="AC20" s="23"/>
      <c r="AD20" s="23"/>
      <c r="AE20" s="23"/>
      <c r="AH20" s="34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8"/>
      <c r="AZ20" s="23"/>
      <c r="BA20" s="21" t="s">
        <v>48</v>
      </c>
      <c r="BB20" s="23"/>
      <c r="BC20" s="23"/>
      <c r="BD20" s="23"/>
      <c r="BE20" s="23"/>
      <c r="BF20" s="23"/>
      <c r="BG20" s="23"/>
      <c r="BH20" s="23"/>
      <c r="BI20" s="23"/>
      <c r="BJ20" s="12"/>
      <c r="BK20" s="12"/>
      <c r="BL20" s="12"/>
      <c r="BM20" s="34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8"/>
      <c r="CE20" s="23"/>
      <c r="CF20" s="23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24"/>
    </row>
    <row r="21" spans="1:96" s="13" customFormat="1" ht="15" customHeight="1" x14ac:dyDescent="0.15">
      <c r="A21" s="22"/>
      <c r="B21" s="23"/>
      <c r="C21" s="34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8"/>
      <c r="U21" s="23"/>
      <c r="X21" s="23"/>
      <c r="Y21" s="23"/>
      <c r="Z21" s="23"/>
      <c r="AA21" s="23"/>
      <c r="AB21" s="23"/>
      <c r="AC21" s="23"/>
      <c r="AD21" s="23"/>
      <c r="AE21" s="23"/>
      <c r="AH21" s="34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8"/>
      <c r="AZ21" s="23"/>
      <c r="BA21" s="21"/>
      <c r="BB21" s="23"/>
      <c r="BC21" s="23"/>
      <c r="BD21" s="23"/>
      <c r="BE21" s="23"/>
      <c r="BF21" s="23"/>
      <c r="BG21" s="23"/>
      <c r="BH21" s="23"/>
      <c r="BI21" s="23"/>
      <c r="BJ21" s="12"/>
      <c r="BK21" s="12"/>
      <c r="BL21" s="12"/>
      <c r="BM21" s="34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8"/>
      <c r="CE21" s="23"/>
      <c r="CF21" s="23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24"/>
    </row>
    <row r="22" spans="1:96" s="13" customFormat="1" ht="15" customHeight="1" x14ac:dyDescent="0.15">
      <c r="A22" s="22"/>
      <c r="B22" s="23"/>
      <c r="C22" s="34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9"/>
      <c r="S22" s="39"/>
      <c r="T22" s="40"/>
      <c r="U22" s="12"/>
      <c r="Y22" s="12"/>
      <c r="Z22" s="12"/>
      <c r="AA22" s="12"/>
      <c r="AB22" s="12"/>
      <c r="AC22" s="12"/>
      <c r="AD22" s="12"/>
      <c r="AE22" s="23"/>
      <c r="AH22" s="34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9"/>
      <c r="AX22" s="39"/>
      <c r="AY22" s="40"/>
      <c r="AZ22" s="23"/>
      <c r="BA22" s="23"/>
      <c r="BB22" s="12"/>
      <c r="BC22" s="23"/>
      <c r="BD22" s="23"/>
      <c r="BE22" s="23"/>
      <c r="BF22" s="23"/>
      <c r="BG22" s="23"/>
      <c r="BH22" s="23"/>
      <c r="BI22" s="23"/>
      <c r="BJ22" s="12"/>
      <c r="BK22" s="12"/>
      <c r="BL22" s="12"/>
      <c r="BM22" s="34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9"/>
      <c r="CC22" s="39"/>
      <c r="CD22" s="40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4"/>
    </row>
    <row r="23" spans="1:96" s="13" customFormat="1" ht="15" customHeight="1" x14ac:dyDescent="0.15">
      <c r="A23" s="22"/>
      <c r="B23" s="23"/>
      <c r="C23" s="41"/>
      <c r="D23" s="42"/>
      <c r="E23" s="42"/>
      <c r="F23" s="42"/>
      <c r="G23" s="43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4"/>
      <c r="S23" s="44"/>
      <c r="T23" s="45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23"/>
      <c r="AH23" s="41"/>
      <c r="AI23" s="42"/>
      <c r="AJ23" s="42"/>
      <c r="AK23" s="42"/>
      <c r="AL23" s="43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4"/>
      <c r="AX23" s="44"/>
      <c r="AY23" s="45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12"/>
      <c r="BK23" s="12"/>
      <c r="BL23" s="12"/>
      <c r="BM23" s="41"/>
      <c r="BN23" s="42"/>
      <c r="BO23" s="42"/>
      <c r="BP23" s="42"/>
      <c r="BQ23" s="43"/>
      <c r="BR23" s="42"/>
      <c r="BS23" s="42"/>
      <c r="BT23" s="42"/>
      <c r="BU23" s="42"/>
      <c r="BV23" s="42"/>
      <c r="BW23" s="42"/>
      <c r="BX23" s="42"/>
      <c r="BY23" s="42"/>
      <c r="BZ23" s="42"/>
      <c r="CA23" s="42"/>
      <c r="CB23" s="44"/>
      <c r="CC23" s="44"/>
      <c r="CD23" s="45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4"/>
    </row>
    <row r="24" spans="1:96" s="13" customFormat="1" ht="15" customHeight="1" x14ac:dyDescent="0.1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1"/>
      <c r="BC24" s="23"/>
      <c r="BD24" s="23"/>
      <c r="BE24" s="23"/>
      <c r="BF24" s="23"/>
      <c r="BG24" s="23"/>
      <c r="BH24" s="23"/>
      <c r="BI24" s="23"/>
      <c r="BJ24" s="12"/>
      <c r="BK24" s="12"/>
      <c r="BL24" s="12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4"/>
    </row>
    <row r="25" spans="1:96" s="13" customFormat="1" ht="15" customHeight="1" x14ac:dyDescent="0.1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21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4"/>
    </row>
    <row r="26" spans="1:96" s="13" customFormat="1" ht="15" customHeight="1" x14ac:dyDescent="0.1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4"/>
    </row>
    <row r="27" spans="1:96" s="13" customFormat="1" ht="15" customHeight="1" x14ac:dyDescent="0.1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4"/>
    </row>
    <row r="28" spans="1:96" s="13" customFormat="1" ht="15" customHeight="1" x14ac:dyDescent="0.1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4"/>
    </row>
    <row r="29" spans="1:96" s="13" customFormat="1" ht="15" customHeight="1" x14ac:dyDescent="0.1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24"/>
    </row>
    <row r="30" spans="1:96" s="13" customFormat="1" ht="15" customHeight="1" x14ac:dyDescent="0.1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24"/>
    </row>
    <row r="31" spans="1:96" s="13" customFormat="1" ht="15" customHeight="1" x14ac:dyDescent="0.1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4"/>
    </row>
    <row r="32" spans="1:96" s="13" customFormat="1" ht="15" customHeight="1" x14ac:dyDescent="0.1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4"/>
    </row>
    <row r="33" spans="1:96" s="13" customFormat="1" ht="15" customHeight="1" x14ac:dyDescent="0.1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4"/>
    </row>
    <row r="34" spans="1:96" s="13" customFormat="1" ht="15" customHeight="1" x14ac:dyDescent="0.1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4"/>
    </row>
    <row r="35" spans="1:96" s="13" customFormat="1" ht="15" customHeight="1" x14ac:dyDescent="0.1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4"/>
    </row>
    <row r="36" spans="1:96" s="13" customFormat="1" ht="15" customHeight="1" x14ac:dyDescent="0.1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4"/>
    </row>
    <row r="37" spans="1:96" s="13" customFormat="1" ht="15" customHeight="1" x14ac:dyDescent="0.1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4"/>
    </row>
    <row r="38" spans="1:96" s="13" customFormat="1" ht="15" customHeight="1" x14ac:dyDescent="0.1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24"/>
    </row>
    <row r="39" spans="1:96" s="13" customFormat="1" ht="15" customHeight="1" x14ac:dyDescent="0.1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4"/>
    </row>
    <row r="40" spans="1:96" s="13" customFormat="1" ht="15" customHeight="1" x14ac:dyDescent="0.1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4"/>
    </row>
    <row r="41" spans="1:96" s="13" customFormat="1" ht="15" customHeight="1" x14ac:dyDescent="0.1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4"/>
    </row>
    <row r="42" spans="1:96" s="13" customFormat="1" ht="15" customHeight="1" x14ac:dyDescent="0.1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4"/>
    </row>
    <row r="43" spans="1:96" s="13" customFormat="1" ht="15" customHeight="1" x14ac:dyDescent="0.1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4"/>
    </row>
    <row r="44" spans="1:96" s="13" customFormat="1" ht="15" customHeight="1" x14ac:dyDescent="0.1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4"/>
    </row>
    <row r="45" spans="1:96" s="13" customFormat="1" ht="15" customHeight="1" x14ac:dyDescent="0.1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4"/>
    </row>
    <row r="46" spans="1:96" s="13" customFormat="1" ht="15" customHeight="1" x14ac:dyDescent="0.1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W46" s="12"/>
      <c r="BX46" s="12"/>
      <c r="BY46" s="12"/>
      <c r="BZ46" s="12"/>
      <c r="CA46" s="12"/>
      <c r="CB46" s="12"/>
      <c r="CC46" s="12"/>
      <c r="CD46" s="12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4"/>
    </row>
    <row r="47" spans="1:96" s="13" customFormat="1" ht="15" customHeight="1" thickBot="1" x14ac:dyDescent="0.2">
      <c r="A47" s="26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8"/>
      <c r="BL47" s="28"/>
      <c r="BM47" s="29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30"/>
    </row>
  </sheetData>
  <mergeCells count="29">
    <mergeCell ref="A5:CR5"/>
    <mergeCell ref="BT4:CR4"/>
    <mergeCell ref="A10:CR10"/>
    <mergeCell ref="A4:H4"/>
    <mergeCell ref="I4:AK4"/>
    <mergeCell ref="AL4:AR4"/>
    <mergeCell ref="AS4:BH4"/>
    <mergeCell ref="BI4:BS4"/>
    <mergeCell ref="A3:H3"/>
    <mergeCell ref="I3:AD3"/>
    <mergeCell ref="AL3:BH3"/>
    <mergeCell ref="BI3:BL3"/>
    <mergeCell ref="BM3:CE3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</mergeCells>
  <phoneticPr fontId="11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0F2C-3176-4C84-8A9E-7C40F6F1A806}">
  <sheetPr codeName="Sheet1"/>
  <dimension ref="A1:ET90"/>
  <sheetViews>
    <sheetView view="pageBreakPreview" zoomScale="85" zoomScaleNormal="85" zoomScaleSheetLayoutView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96" s="15" customFormat="1" ht="15" customHeight="1" x14ac:dyDescent="0.15">
      <c r="A1" s="200" t="s">
        <v>1</v>
      </c>
      <c r="B1" s="201"/>
      <c r="C1" s="201"/>
      <c r="D1" s="201"/>
      <c r="E1" s="201"/>
      <c r="F1" s="201"/>
      <c r="G1" s="201"/>
      <c r="H1" s="202"/>
      <c r="I1" s="203" t="str">
        <f>タイトル!I40</f>
        <v>　学生勤務管理システム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5"/>
      <c r="AE1" s="206" t="s">
        <v>0</v>
      </c>
      <c r="AF1" s="207"/>
      <c r="AG1" s="207"/>
      <c r="AH1" s="207"/>
      <c r="AI1" s="207"/>
      <c r="AJ1" s="207"/>
      <c r="AK1" s="208"/>
      <c r="AL1" s="209" t="s">
        <v>52</v>
      </c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1"/>
      <c r="BI1" s="206" t="s">
        <v>12</v>
      </c>
      <c r="BJ1" s="207"/>
      <c r="BK1" s="207"/>
      <c r="BL1" s="208"/>
      <c r="BM1" s="212" t="str">
        <f>タイトル!I46</f>
        <v>木田　優</v>
      </c>
      <c r="BN1" s="213"/>
      <c r="BO1" s="213"/>
      <c r="BP1" s="213"/>
      <c r="BQ1" s="213"/>
      <c r="BR1" s="213"/>
      <c r="BS1" s="213"/>
      <c r="BT1" s="213"/>
      <c r="BU1" s="213"/>
      <c r="BV1" s="214"/>
      <c r="BW1" s="158">
        <f>タイトル!I47</f>
        <v>45197</v>
      </c>
      <c r="BX1" s="159"/>
      <c r="BY1" s="159"/>
      <c r="BZ1" s="159"/>
      <c r="CA1" s="159"/>
      <c r="CB1" s="159"/>
      <c r="CC1" s="159"/>
      <c r="CD1" s="159"/>
      <c r="CE1" s="160"/>
      <c r="CF1" s="161" t="s">
        <v>13</v>
      </c>
      <c r="CG1" s="162"/>
      <c r="CH1" s="162"/>
      <c r="CI1" s="162"/>
      <c r="CJ1" s="163"/>
      <c r="CK1" s="170" t="str">
        <f>タイトル!I50</f>
        <v>DUC010</v>
      </c>
      <c r="CL1" s="171"/>
      <c r="CM1" s="171"/>
      <c r="CN1" s="171"/>
      <c r="CO1" s="171"/>
      <c r="CP1" s="171"/>
      <c r="CQ1" s="171"/>
      <c r="CR1" s="172"/>
    </row>
    <row r="2" spans="1:96" s="15" customFormat="1" ht="15" customHeight="1" x14ac:dyDescent="0.15">
      <c r="A2" s="179" t="s">
        <v>14</v>
      </c>
      <c r="B2" s="180"/>
      <c r="C2" s="180"/>
      <c r="D2" s="180"/>
      <c r="E2" s="180"/>
      <c r="F2" s="180"/>
      <c r="G2" s="180"/>
      <c r="H2" s="181"/>
      <c r="I2" s="182" t="s">
        <v>53</v>
      </c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4"/>
      <c r="AE2" s="185" t="s">
        <v>32</v>
      </c>
      <c r="AF2" s="186"/>
      <c r="AG2" s="186"/>
      <c r="AH2" s="186"/>
      <c r="AI2" s="186"/>
      <c r="AJ2" s="186"/>
      <c r="AK2" s="187"/>
      <c r="AL2" s="188" t="str">
        <f>タイトル!I44</f>
        <v>　CZ-020_社員マスタ</v>
      </c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90"/>
      <c r="BI2" s="191" t="s">
        <v>15</v>
      </c>
      <c r="BJ2" s="192"/>
      <c r="BK2" s="192"/>
      <c r="BL2" s="193"/>
      <c r="BM2" s="194" t="s">
        <v>187</v>
      </c>
      <c r="BN2" s="195"/>
      <c r="BO2" s="195"/>
      <c r="BP2" s="195"/>
      <c r="BQ2" s="195"/>
      <c r="BR2" s="195"/>
      <c r="BS2" s="195"/>
      <c r="BT2" s="195"/>
      <c r="BU2" s="195"/>
      <c r="BV2" s="196"/>
      <c r="BW2" s="197">
        <v>45238</v>
      </c>
      <c r="BX2" s="198"/>
      <c r="BY2" s="198"/>
      <c r="BZ2" s="198"/>
      <c r="CA2" s="198"/>
      <c r="CB2" s="198"/>
      <c r="CC2" s="198"/>
      <c r="CD2" s="198"/>
      <c r="CE2" s="199"/>
      <c r="CF2" s="164"/>
      <c r="CG2" s="165"/>
      <c r="CH2" s="165"/>
      <c r="CI2" s="165"/>
      <c r="CJ2" s="166"/>
      <c r="CK2" s="173"/>
      <c r="CL2" s="174"/>
      <c r="CM2" s="174"/>
      <c r="CN2" s="174"/>
      <c r="CO2" s="174"/>
      <c r="CP2" s="174"/>
      <c r="CQ2" s="174"/>
      <c r="CR2" s="175"/>
    </row>
    <row r="3" spans="1:96" s="15" customFormat="1" ht="15" customHeight="1" thickBot="1" x14ac:dyDescent="0.2">
      <c r="A3" s="215"/>
      <c r="B3" s="216"/>
      <c r="C3" s="216"/>
      <c r="D3" s="216"/>
      <c r="E3" s="216"/>
      <c r="F3" s="216"/>
      <c r="G3" s="216"/>
      <c r="H3" s="217"/>
      <c r="I3" s="218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20"/>
      <c r="AE3" s="167"/>
      <c r="AF3" s="168"/>
      <c r="AG3" s="168"/>
      <c r="AH3" s="168"/>
      <c r="AI3" s="168"/>
      <c r="AJ3" s="168"/>
      <c r="AK3" s="169"/>
      <c r="AL3" s="221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3"/>
      <c r="BI3" s="224"/>
      <c r="BJ3" s="225"/>
      <c r="BK3" s="225"/>
      <c r="BL3" s="226"/>
      <c r="BM3" s="227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9"/>
      <c r="CF3" s="167"/>
      <c r="CG3" s="168"/>
      <c r="CH3" s="168"/>
      <c r="CI3" s="168"/>
      <c r="CJ3" s="169"/>
      <c r="CK3" s="176"/>
      <c r="CL3" s="177"/>
      <c r="CM3" s="177"/>
      <c r="CN3" s="177"/>
      <c r="CO3" s="177"/>
      <c r="CP3" s="177"/>
      <c r="CQ3" s="177"/>
      <c r="CR3" s="178"/>
    </row>
    <row r="4" spans="1:96" s="16" customFormat="1" ht="15" customHeight="1" thickBot="1" x14ac:dyDescent="0.2">
      <c r="A4" s="236" t="s">
        <v>54</v>
      </c>
      <c r="B4" s="237"/>
      <c r="C4" s="237"/>
      <c r="D4" s="237"/>
      <c r="E4" s="237"/>
      <c r="F4" s="237"/>
      <c r="G4" s="237"/>
      <c r="H4" s="237"/>
      <c r="I4" s="238" t="str">
        <f ca="1">"　" &amp; RIGHT(CELL("filename",A1),LEN(CELL("filename",A1))-FIND("]",CELL("filename",A1)))</f>
        <v>　社員マスタ</v>
      </c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7" t="s">
        <v>55</v>
      </c>
      <c r="AM4" s="237"/>
      <c r="AN4" s="237"/>
      <c r="AO4" s="237"/>
      <c r="AP4" s="237"/>
      <c r="AQ4" s="237"/>
      <c r="AR4" s="237"/>
      <c r="AS4" s="239" t="s">
        <v>114</v>
      </c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40" t="s">
        <v>35</v>
      </c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33" t="s">
        <v>76</v>
      </c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5"/>
    </row>
    <row r="5" spans="1:96" s="12" customFormat="1" ht="15" customHeight="1" x14ac:dyDescent="0.15">
      <c r="A5" s="262" t="s">
        <v>56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  <c r="AJ5" s="263"/>
      <c r="AK5" s="263"/>
      <c r="AL5" s="263"/>
      <c r="AM5" s="263"/>
      <c r="AN5" s="263"/>
      <c r="AO5" s="263"/>
      <c r="AP5" s="263"/>
      <c r="AQ5" s="263"/>
      <c r="AR5" s="263"/>
      <c r="AS5" s="263"/>
      <c r="AT5" s="263"/>
      <c r="AU5" s="263"/>
      <c r="AV5" s="263"/>
      <c r="AW5" s="263"/>
      <c r="AX5" s="263"/>
      <c r="AY5" s="263"/>
      <c r="AZ5" s="263"/>
      <c r="BA5" s="263"/>
      <c r="BB5" s="263"/>
      <c r="BC5" s="263"/>
      <c r="BD5" s="263"/>
      <c r="BE5" s="263"/>
      <c r="BF5" s="263"/>
      <c r="BG5" s="263"/>
      <c r="BH5" s="263"/>
      <c r="BI5" s="264" t="s">
        <v>57</v>
      </c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4"/>
      <c r="BV5" s="264"/>
      <c r="BW5" s="264"/>
      <c r="BX5" s="264"/>
      <c r="BY5" s="264"/>
      <c r="BZ5" s="264"/>
      <c r="CA5" s="264"/>
      <c r="CB5" s="264"/>
      <c r="CC5" s="264"/>
      <c r="CD5" s="264"/>
      <c r="CE5" s="264"/>
      <c r="CF5" s="264"/>
      <c r="CG5" s="264"/>
      <c r="CH5" s="264"/>
      <c r="CI5" s="264"/>
      <c r="CJ5" s="264"/>
      <c r="CK5" s="264"/>
      <c r="CL5" s="264"/>
      <c r="CM5" s="264"/>
      <c r="CN5" s="264"/>
      <c r="CO5" s="264"/>
      <c r="CP5" s="264"/>
      <c r="CQ5" s="264"/>
      <c r="CR5" s="265"/>
    </row>
    <row r="6" spans="1:96" s="13" customFormat="1" ht="15" customHeight="1" x14ac:dyDescent="0.15">
      <c r="A6" s="46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18"/>
      <c r="BI6" s="49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1"/>
    </row>
    <row r="7" spans="1:96" s="13" customFormat="1" ht="15" customHeight="1" x14ac:dyDescent="0.15">
      <c r="A7" s="4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52"/>
      <c r="BJ7" s="18" t="s">
        <v>58</v>
      </c>
      <c r="BK7" s="18" t="s">
        <v>84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</row>
    <row r="8" spans="1:96" s="13" customFormat="1" ht="15" customHeight="1" x14ac:dyDescent="0.15">
      <c r="A8" s="4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52"/>
      <c r="BJ8" s="18"/>
      <c r="BK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</row>
    <row r="9" spans="1:96" s="13" customFormat="1" ht="15" customHeight="1" x14ac:dyDescent="0.15">
      <c r="A9" s="4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52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</row>
    <row r="10" spans="1:96" s="13" customFormat="1" ht="15" customHeight="1" x14ac:dyDescent="0.15">
      <c r="A10" s="4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52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</row>
    <row r="11" spans="1:96" s="13" customFormat="1" ht="15" customHeight="1" x14ac:dyDescent="0.15">
      <c r="A11" s="4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52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</row>
    <row r="12" spans="1:96" s="13" customFormat="1" ht="15" customHeight="1" x14ac:dyDescent="0.15">
      <c r="A12" s="4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66" t="s">
        <v>59</v>
      </c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1"/>
      <c r="CQ12" s="231"/>
      <c r="CR12" s="232"/>
    </row>
    <row r="13" spans="1:96" s="13" customFormat="1" ht="15" customHeight="1" x14ac:dyDescent="0.15">
      <c r="A13" s="4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52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</row>
    <row r="14" spans="1:96" s="13" customFormat="1" ht="15" customHeight="1" x14ac:dyDescent="0.15">
      <c r="A14" s="4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52"/>
      <c r="BJ14" s="13" t="s">
        <v>60</v>
      </c>
      <c r="BK14" s="13" t="s">
        <v>85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</row>
    <row r="15" spans="1:96" s="13" customFormat="1" ht="15" customHeight="1" x14ac:dyDescent="0.15">
      <c r="A15" s="4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52"/>
      <c r="CQ15" s="18"/>
      <c r="CR15" s="19"/>
    </row>
    <row r="16" spans="1:96" s="13" customFormat="1" ht="15" customHeight="1" x14ac:dyDescent="0.15">
      <c r="A16" s="4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52"/>
      <c r="BJ16" s="13" t="s">
        <v>242</v>
      </c>
      <c r="BK16" s="13" t="s">
        <v>243</v>
      </c>
      <c r="CQ16" s="18"/>
      <c r="CR16" s="19"/>
    </row>
    <row r="17" spans="1:123" s="13" customFormat="1" ht="15" customHeight="1" x14ac:dyDescent="0.15">
      <c r="A17" s="4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52"/>
      <c r="CQ17" s="18"/>
      <c r="CR17" s="19"/>
    </row>
    <row r="18" spans="1:123" s="13" customFormat="1" ht="15" customHeight="1" x14ac:dyDescent="0.15">
      <c r="A18" s="4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52"/>
      <c r="BJ18" s="13" t="s">
        <v>60</v>
      </c>
      <c r="BK18" s="13" t="s">
        <v>189</v>
      </c>
      <c r="CQ18" s="18"/>
      <c r="CR18" s="19"/>
    </row>
    <row r="19" spans="1:123" s="13" customFormat="1" ht="15" customHeight="1" x14ac:dyDescent="0.15">
      <c r="A19" s="4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52"/>
      <c r="BJ19" s="18"/>
      <c r="BK19" s="13" t="s">
        <v>88</v>
      </c>
      <c r="BL19" s="18"/>
      <c r="CQ19" s="18"/>
      <c r="CR19" s="19"/>
    </row>
    <row r="20" spans="1:123" s="13" customFormat="1" ht="15" customHeight="1" x14ac:dyDescent="0.15">
      <c r="A20" s="4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52"/>
      <c r="BJ20" s="18"/>
      <c r="CQ20" s="18"/>
      <c r="CR20" s="19"/>
    </row>
    <row r="21" spans="1:123" s="13" customFormat="1" ht="15" customHeight="1" x14ac:dyDescent="0.15">
      <c r="A21" s="4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52"/>
      <c r="BJ21" s="18" t="s">
        <v>60</v>
      </c>
      <c r="BK21" s="18" t="s">
        <v>86</v>
      </c>
      <c r="BL21" s="18"/>
      <c r="CQ21" s="18"/>
      <c r="CR21" s="19"/>
    </row>
    <row r="22" spans="1:123" s="13" customFormat="1" ht="15" customHeight="1" x14ac:dyDescent="0.15">
      <c r="A22" s="4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52"/>
      <c r="BJ22" s="18"/>
      <c r="BK22" s="18" t="s">
        <v>70</v>
      </c>
      <c r="BL22" s="18"/>
      <c r="CQ22" s="18"/>
      <c r="CR22" s="19"/>
    </row>
    <row r="23" spans="1:123" s="13" customFormat="1" ht="15" customHeight="1" x14ac:dyDescent="0.15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52"/>
      <c r="CQ23" s="18"/>
      <c r="CR23" s="19"/>
    </row>
    <row r="24" spans="1:123" s="13" customFormat="1" ht="15" customHeight="1" x14ac:dyDescent="0.15">
      <c r="A24" s="4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52"/>
      <c r="BJ24" s="13" t="s">
        <v>60</v>
      </c>
      <c r="BK24" s="13" t="s">
        <v>87</v>
      </c>
      <c r="CQ24" s="18"/>
      <c r="CR24" s="19"/>
    </row>
    <row r="25" spans="1:123" s="13" customFormat="1" ht="15" customHeight="1" x14ac:dyDescent="0.15">
      <c r="A25" s="4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52"/>
      <c r="CQ25" s="18"/>
      <c r="CR25" s="19"/>
    </row>
    <row r="26" spans="1:123" s="13" customFormat="1" ht="15" customHeight="1" x14ac:dyDescent="0.15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52"/>
      <c r="BJ26" s="13" t="s">
        <v>60</v>
      </c>
      <c r="BK26" s="13" t="s">
        <v>113</v>
      </c>
      <c r="CQ26" s="18"/>
      <c r="CR26" s="19"/>
    </row>
    <row r="27" spans="1:123" s="13" customFormat="1" ht="15" customHeight="1" x14ac:dyDescent="0.15">
      <c r="A27" s="4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52"/>
      <c r="CQ27" s="18"/>
      <c r="CR27" s="19"/>
      <c r="CV27" s="18"/>
    </row>
    <row r="28" spans="1:123" s="13" customFormat="1" ht="15" customHeight="1" x14ac:dyDescent="0.15">
      <c r="A28" s="4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52"/>
      <c r="CQ28" s="18"/>
      <c r="CR28" s="19"/>
    </row>
    <row r="29" spans="1:123" s="13" customFormat="1" ht="15" customHeight="1" x14ac:dyDescent="0.15">
      <c r="A29" s="4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52"/>
      <c r="CQ29" s="18"/>
      <c r="CR29" s="19"/>
    </row>
    <row r="30" spans="1:123" s="13" customFormat="1" ht="15" customHeight="1" x14ac:dyDescent="0.15">
      <c r="A30" s="4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52"/>
      <c r="BJ30" s="18"/>
      <c r="CQ30" s="18"/>
      <c r="CR30" s="19"/>
    </row>
    <row r="31" spans="1:123" s="13" customFormat="1" ht="15" customHeight="1" x14ac:dyDescent="0.15">
      <c r="A31" s="4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52"/>
      <c r="CQ31" s="18"/>
      <c r="CR31" s="19"/>
    </row>
    <row r="32" spans="1:123" s="13" customFormat="1" ht="15" customHeight="1" x14ac:dyDescent="0.15">
      <c r="A32" s="4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52"/>
      <c r="CQ32" s="18"/>
      <c r="CR32" s="19"/>
      <c r="DO32" s="18"/>
      <c r="DP32" s="18"/>
      <c r="DQ32" s="18"/>
      <c r="DR32" s="18"/>
      <c r="DS32" s="18"/>
    </row>
    <row r="33" spans="1:150" s="13" customFormat="1" ht="15" customHeight="1" x14ac:dyDescent="0.15">
      <c r="A33" s="4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52"/>
      <c r="CQ33" s="18"/>
      <c r="CR33" s="19"/>
      <c r="DO33" s="18"/>
      <c r="DP33" s="18"/>
      <c r="DQ33" s="18"/>
      <c r="DR33" s="18"/>
      <c r="DS33" s="18"/>
    </row>
    <row r="34" spans="1:150" s="13" customFormat="1" ht="15" customHeight="1" x14ac:dyDescent="0.15">
      <c r="A34" s="4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52"/>
      <c r="CQ34" s="18"/>
      <c r="CR34" s="19"/>
      <c r="DO34" s="18"/>
      <c r="DP34" s="18"/>
      <c r="DQ34" s="18"/>
      <c r="DR34" s="18"/>
      <c r="DS34" s="18"/>
    </row>
    <row r="35" spans="1:150" s="13" customFormat="1" ht="15" customHeight="1" x14ac:dyDescent="0.15">
      <c r="A35" s="4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52"/>
      <c r="CQ35" s="18"/>
      <c r="CR35" s="19"/>
    </row>
    <row r="36" spans="1:150" s="13" customFormat="1" ht="15" customHeight="1" x14ac:dyDescent="0.15">
      <c r="A36" s="4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52"/>
      <c r="CQ36" s="18"/>
      <c r="CR36" s="19"/>
    </row>
    <row r="37" spans="1:150" s="13" customFormat="1" ht="15" customHeight="1" x14ac:dyDescent="0.15">
      <c r="A37" s="101"/>
      <c r="BI37" s="98"/>
      <c r="BJ37" s="99"/>
      <c r="BK37" s="99"/>
      <c r="BL37" s="99"/>
      <c r="BM37" s="99"/>
      <c r="BN37" s="99"/>
      <c r="BO37" s="99"/>
      <c r="BP37" s="99"/>
      <c r="BQ37" s="99"/>
      <c r="BR37" s="99"/>
      <c r="BS37" s="99"/>
      <c r="CR37" s="72"/>
    </row>
    <row r="38" spans="1:150" s="13" customFormat="1" ht="15" customHeight="1" x14ac:dyDescent="0.15">
      <c r="A38" s="230" t="s">
        <v>61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66" t="s">
        <v>62</v>
      </c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  <c r="BW38" s="231"/>
      <c r="BX38" s="231"/>
      <c r="BY38" s="231"/>
      <c r="BZ38" s="231"/>
      <c r="CA38" s="231"/>
      <c r="CB38" s="231"/>
      <c r="CC38" s="231"/>
      <c r="CD38" s="231"/>
      <c r="CE38" s="231"/>
      <c r="CF38" s="231"/>
      <c r="CG38" s="231"/>
      <c r="CH38" s="231"/>
      <c r="CI38" s="231"/>
      <c r="CJ38" s="231"/>
      <c r="CK38" s="231"/>
      <c r="CL38" s="231"/>
      <c r="CM38" s="231"/>
      <c r="CN38" s="231"/>
      <c r="CO38" s="231"/>
      <c r="CP38" s="231"/>
      <c r="CQ38" s="231"/>
      <c r="CR38" s="232"/>
    </row>
    <row r="39" spans="1:150" s="13" customFormat="1" ht="15" customHeight="1" x14ac:dyDescent="0.15">
      <c r="A39" s="230" t="s">
        <v>63</v>
      </c>
      <c r="B39" s="231"/>
      <c r="C39" s="231"/>
      <c r="D39" s="231"/>
      <c r="E39" s="231"/>
      <c r="F39" s="231"/>
      <c r="G39" s="231"/>
      <c r="H39" s="231"/>
      <c r="I39" s="231"/>
      <c r="J39" s="267"/>
      <c r="K39" s="266" t="s">
        <v>64</v>
      </c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67"/>
      <c r="AW39" s="266" t="s">
        <v>65</v>
      </c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67"/>
      <c r="CR39" s="72"/>
    </row>
    <row r="40" spans="1:150" s="13" customFormat="1" ht="15" customHeight="1" x14ac:dyDescent="0.15">
      <c r="A40" s="276" t="s">
        <v>112</v>
      </c>
      <c r="B40" s="277"/>
      <c r="C40" s="277"/>
      <c r="D40" s="277"/>
      <c r="E40" s="277"/>
      <c r="F40" s="277"/>
      <c r="G40" s="277"/>
      <c r="H40" s="277"/>
      <c r="I40" s="277"/>
      <c r="J40" s="278"/>
      <c r="K40" s="279" t="s">
        <v>112</v>
      </c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77"/>
      <c r="AH40" s="277"/>
      <c r="AI40" s="277"/>
      <c r="AJ40" s="277"/>
      <c r="AK40" s="277"/>
      <c r="AL40" s="277"/>
      <c r="AM40" s="277"/>
      <c r="AN40" s="277"/>
      <c r="AO40" s="277"/>
      <c r="AP40" s="277"/>
      <c r="AQ40" s="277"/>
      <c r="AR40" s="277"/>
      <c r="AS40" s="277"/>
      <c r="AT40" s="277"/>
      <c r="AU40" s="277"/>
      <c r="AV40" s="278"/>
      <c r="AW40" s="271" t="s">
        <v>89</v>
      </c>
      <c r="AX40" s="269"/>
      <c r="AY40" s="269"/>
      <c r="AZ40" s="269"/>
      <c r="BA40" s="269"/>
      <c r="BB40" s="269"/>
      <c r="BC40" s="269"/>
      <c r="BD40" s="269"/>
      <c r="BE40" s="269"/>
      <c r="BF40" s="269"/>
      <c r="BG40" s="269"/>
      <c r="BH40" s="270"/>
      <c r="BI40" s="52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50" s="13" customFormat="1" ht="15" customHeight="1" x14ac:dyDescent="0.15">
      <c r="A41" s="268" t="s">
        <v>191</v>
      </c>
      <c r="B41" s="269"/>
      <c r="C41" s="269"/>
      <c r="D41" s="269"/>
      <c r="E41" s="269"/>
      <c r="F41" s="269"/>
      <c r="G41" s="269"/>
      <c r="H41" s="269"/>
      <c r="I41" s="269"/>
      <c r="J41" s="270"/>
      <c r="K41" s="271" t="s">
        <v>191</v>
      </c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69"/>
      <c r="AO41" s="269"/>
      <c r="AP41" s="269"/>
      <c r="AQ41" s="269"/>
      <c r="AR41" s="269"/>
      <c r="AS41" s="269"/>
      <c r="AT41" s="269"/>
      <c r="AU41" s="269"/>
      <c r="AV41" s="270"/>
      <c r="AW41" s="271" t="s">
        <v>89</v>
      </c>
      <c r="AX41" s="269"/>
      <c r="AY41" s="269"/>
      <c r="AZ41" s="269"/>
      <c r="BA41" s="269"/>
      <c r="BB41" s="269"/>
      <c r="BC41" s="269"/>
      <c r="BD41" s="269"/>
      <c r="BE41" s="269"/>
      <c r="BF41" s="269"/>
      <c r="BG41" s="269"/>
      <c r="BH41" s="270"/>
      <c r="BI41" s="52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50" s="13" customFormat="1" ht="15" customHeight="1" x14ac:dyDescent="0.15">
      <c r="A42" s="268" t="s">
        <v>181</v>
      </c>
      <c r="B42" s="269"/>
      <c r="C42" s="269"/>
      <c r="D42" s="269"/>
      <c r="E42" s="269"/>
      <c r="F42" s="269"/>
      <c r="G42" s="269"/>
      <c r="H42" s="269"/>
      <c r="I42" s="269"/>
      <c r="J42" s="270"/>
      <c r="K42" s="271" t="s">
        <v>181</v>
      </c>
      <c r="L42" s="269"/>
      <c r="M42" s="269"/>
      <c r="N42" s="269"/>
      <c r="O42" s="269"/>
      <c r="P42" s="269"/>
      <c r="Q42" s="269"/>
      <c r="R42" s="269"/>
      <c r="S42" s="269"/>
      <c r="T42" s="269"/>
      <c r="U42" s="269"/>
      <c r="V42" s="269"/>
      <c r="W42" s="269"/>
      <c r="X42" s="269"/>
      <c r="Y42" s="269"/>
      <c r="Z42" s="269"/>
      <c r="AA42" s="269"/>
      <c r="AB42" s="269"/>
      <c r="AC42" s="269"/>
      <c r="AD42" s="269"/>
      <c r="AE42" s="269"/>
      <c r="AF42" s="269"/>
      <c r="AG42" s="269"/>
      <c r="AH42" s="269"/>
      <c r="AI42" s="269"/>
      <c r="AJ42" s="269"/>
      <c r="AK42" s="269"/>
      <c r="AL42" s="269"/>
      <c r="AM42" s="269"/>
      <c r="AN42" s="269"/>
      <c r="AO42" s="269"/>
      <c r="AP42" s="269"/>
      <c r="AQ42" s="269"/>
      <c r="AR42" s="269"/>
      <c r="AS42" s="269"/>
      <c r="AT42" s="269"/>
      <c r="AU42" s="269"/>
      <c r="AV42" s="270"/>
      <c r="AW42" s="271" t="s">
        <v>89</v>
      </c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70"/>
      <c r="BI42" s="52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50" s="13" customFormat="1" ht="15" customHeight="1" x14ac:dyDescent="0.15">
      <c r="A43" s="268" t="s">
        <v>192</v>
      </c>
      <c r="B43" s="269"/>
      <c r="C43" s="269"/>
      <c r="D43" s="269"/>
      <c r="E43" s="269"/>
      <c r="F43" s="269"/>
      <c r="G43" s="269"/>
      <c r="H43" s="269"/>
      <c r="I43" s="269"/>
      <c r="J43" s="270"/>
      <c r="K43" s="271" t="s">
        <v>192</v>
      </c>
      <c r="L43" s="269"/>
      <c r="M43" s="269"/>
      <c r="N43" s="269"/>
      <c r="O43" s="269"/>
      <c r="P43" s="269"/>
      <c r="Q43" s="269"/>
      <c r="R43" s="269"/>
      <c r="S43" s="269"/>
      <c r="T43" s="269"/>
      <c r="U43" s="269"/>
      <c r="V43" s="269"/>
      <c r="W43" s="269"/>
      <c r="X43" s="269"/>
      <c r="Y43" s="269"/>
      <c r="Z43" s="269"/>
      <c r="AA43" s="269"/>
      <c r="AB43" s="269"/>
      <c r="AC43" s="269"/>
      <c r="AD43" s="269"/>
      <c r="AE43" s="269"/>
      <c r="AF43" s="269"/>
      <c r="AG43" s="269"/>
      <c r="AH43" s="269"/>
      <c r="AI43" s="269"/>
      <c r="AJ43" s="269"/>
      <c r="AK43" s="269"/>
      <c r="AL43" s="269"/>
      <c r="AM43" s="269"/>
      <c r="AN43" s="269"/>
      <c r="AO43" s="269"/>
      <c r="AP43" s="269"/>
      <c r="AQ43" s="269"/>
      <c r="AR43" s="269"/>
      <c r="AS43" s="269"/>
      <c r="AT43" s="269"/>
      <c r="AU43" s="269"/>
      <c r="AV43" s="270"/>
      <c r="AW43" s="271" t="s">
        <v>89</v>
      </c>
      <c r="AX43" s="269"/>
      <c r="AY43" s="269"/>
      <c r="AZ43" s="269"/>
      <c r="BA43" s="269"/>
      <c r="BB43" s="269"/>
      <c r="BC43" s="269"/>
      <c r="BD43" s="269"/>
      <c r="BE43" s="269"/>
      <c r="BF43" s="269"/>
      <c r="BG43" s="269"/>
      <c r="BH43" s="270"/>
      <c r="BI43" s="266" t="s">
        <v>66</v>
      </c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  <c r="BX43" s="231"/>
      <c r="BY43" s="231"/>
      <c r="BZ43" s="231"/>
      <c r="CA43" s="231"/>
      <c r="CB43" s="231"/>
      <c r="CC43" s="231"/>
      <c r="CD43" s="231"/>
      <c r="CE43" s="231"/>
      <c r="CF43" s="231"/>
      <c r="CG43" s="231"/>
      <c r="CH43" s="231"/>
      <c r="CI43" s="231"/>
      <c r="CJ43" s="231"/>
      <c r="CK43" s="231"/>
      <c r="CL43" s="231"/>
      <c r="CM43" s="231"/>
      <c r="CN43" s="231"/>
      <c r="CO43" s="231"/>
      <c r="CP43" s="231"/>
      <c r="CQ43" s="231"/>
      <c r="CR43" s="232"/>
    </row>
    <row r="44" spans="1:150" s="13" customFormat="1" ht="15" customHeight="1" x14ac:dyDescent="0.15">
      <c r="A44" s="272" t="s">
        <v>344</v>
      </c>
      <c r="B44" s="273"/>
      <c r="C44" s="273"/>
      <c r="D44" s="273"/>
      <c r="E44" s="273"/>
      <c r="F44" s="273"/>
      <c r="G44" s="273"/>
      <c r="H44" s="273"/>
      <c r="I44" s="273"/>
      <c r="J44" s="274"/>
      <c r="K44" s="275" t="s">
        <v>344</v>
      </c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4"/>
      <c r="AW44" s="271" t="s">
        <v>89</v>
      </c>
      <c r="AX44" s="269"/>
      <c r="AY44" s="269"/>
      <c r="AZ44" s="269"/>
      <c r="BA44" s="269"/>
      <c r="BB44" s="269"/>
      <c r="BC44" s="269"/>
      <c r="BD44" s="269"/>
      <c r="BE44" s="269"/>
      <c r="BF44" s="269"/>
      <c r="BG44" s="269"/>
      <c r="BH44" s="270"/>
      <c r="BI44" s="52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50" s="13" customFormat="1" ht="15" customHeight="1" x14ac:dyDescent="0.15">
      <c r="A45" s="276" t="s">
        <v>269</v>
      </c>
      <c r="B45" s="277"/>
      <c r="C45" s="277"/>
      <c r="D45" s="277"/>
      <c r="E45" s="277"/>
      <c r="F45" s="277"/>
      <c r="G45" s="277"/>
      <c r="H45" s="277"/>
      <c r="I45" s="277"/>
      <c r="J45" s="278"/>
      <c r="K45" s="279" t="s">
        <v>269</v>
      </c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  <c r="AL45" s="277"/>
      <c r="AM45" s="277"/>
      <c r="AN45" s="277"/>
      <c r="AO45" s="277"/>
      <c r="AP45" s="277"/>
      <c r="AQ45" s="277"/>
      <c r="AR45" s="277"/>
      <c r="AS45" s="277"/>
      <c r="AT45" s="277"/>
      <c r="AU45" s="277"/>
      <c r="AV45" s="278"/>
      <c r="AW45" s="271" t="s">
        <v>89</v>
      </c>
      <c r="AX45" s="269"/>
      <c r="AY45" s="269"/>
      <c r="AZ45" s="269"/>
      <c r="BA45" s="269"/>
      <c r="BB45" s="269"/>
      <c r="BC45" s="269"/>
      <c r="BD45" s="269"/>
      <c r="BE45" s="269"/>
      <c r="BF45" s="269"/>
      <c r="BG45" s="269"/>
      <c r="BH45" s="270"/>
      <c r="BI45" s="52"/>
      <c r="BJ45" s="18" t="s">
        <v>69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50" s="13" customFormat="1" ht="15" customHeight="1" x14ac:dyDescent="0.15">
      <c r="A46" s="276"/>
      <c r="B46" s="277"/>
      <c r="C46" s="277"/>
      <c r="D46" s="277"/>
      <c r="E46" s="277"/>
      <c r="F46" s="277"/>
      <c r="G46" s="277"/>
      <c r="H46" s="277"/>
      <c r="I46" s="277"/>
      <c r="J46" s="278"/>
      <c r="K46" s="279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  <c r="AL46" s="277"/>
      <c r="AM46" s="277"/>
      <c r="AN46" s="277"/>
      <c r="AO46" s="277"/>
      <c r="AP46" s="277"/>
      <c r="AQ46" s="277"/>
      <c r="AR46" s="277"/>
      <c r="AS46" s="277"/>
      <c r="AT46" s="277"/>
      <c r="AU46" s="277"/>
      <c r="AV46" s="278"/>
      <c r="AW46" s="271"/>
      <c r="AX46" s="269"/>
      <c r="AY46" s="269"/>
      <c r="AZ46" s="269"/>
      <c r="BA46" s="269"/>
      <c r="BB46" s="269"/>
      <c r="BC46" s="269"/>
      <c r="BD46" s="269"/>
      <c r="BE46" s="269"/>
      <c r="BF46" s="269"/>
      <c r="BG46" s="269"/>
      <c r="BH46" s="270"/>
      <c r="BI46" s="52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50" s="13" customFormat="1" ht="15" customHeight="1" thickBot="1" x14ac:dyDescent="0.2">
      <c r="A47" s="280"/>
      <c r="B47" s="281"/>
      <c r="C47" s="281"/>
      <c r="D47" s="281"/>
      <c r="E47" s="281"/>
      <c r="F47" s="281"/>
      <c r="G47" s="281"/>
      <c r="H47" s="281"/>
      <c r="I47" s="281"/>
      <c r="J47" s="282"/>
      <c r="K47" s="283"/>
      <c r="L47" s="281"/>
      <c r="M47" s="281"/>
      <c r="N47" s="281"/>
      <c r="O47" s="281"/>
      <c r="P47" s="281"/>
      <c r="Q47" s="281"/>
      <c r="R47" s="281"/>
      <c r="S47" s="281"/>
      <c r="T47" s="281"/>
      <c r="U47" s="281"/>
      <c r="V47" s="281"/>
      <c r="W47" s="281"/>
      <c r="X47" s="281"/>
      <c r="Y47" s="281"/>
      <c r="Z47" s="281"/>
      <c r="AA47" s="281"/>
      <c r="AB47" s="281"/>
      <c r="AC47" s="281"/>
      <c r="AD47" s="281"/>
      <c r="AE47" s="281"/>
      <c r="AF47" s="281"/>
      <c r="AG47" s="281"/>
      <c r="AH47" s="281"/>
      <c r="AI47" s="281"/>
      <c r="AJ47" s="281"/>
      <c r="AK47" s="281"/>
      <c r="AL47" s="281"/>
      <c r="AM47" s="281"/>
      <c r="AN47" s="281"/>
      <c r="AO47" s="281"/>
      <c r="AP47" s="281"/>
      <c r="AQ47" s="281"/>
      <c r="AR47" s="281"/>
      <c r="AS47" s="281"/>
      <c r="AT47" s="281"/>
      <c r="AU47" s="281"/>
      <c r="AV47" s="282"/>
      <c r="AW47" s="283"/>
      <c r="AX47" s="281"/>
      <c r="AY47" s="281"/>
      <c r="AZ47" s="281"/>
      <c r="BA47" s="281"/>
      <c r="BB47" s="281"/>
      <c r="BC47" s="281"/>
      <c r="BD47" s="281"/>
      <c r="BE47" s="281"/>
      <c r="BF47" s="281"/>
      <c r="BG47" s="281"/>
      <c r="BH47" s="282"/>
      <c r="BI47" s="53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5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</row>
    <row r="48" spans="1:150" s="12" customFormat="1" ht="15" customHeight="1" x14ac:dyDescent="0.15">
      <c r="A48" s="297" t="s">
        <v>67</v>
      </c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8"/>
      <c r="AR48" s="298"/>
      <c r="AS48" s="298"/>
      <c r="AT48" s="298"/>
      <c r="AU48" s="298"/>
      <c r="AV48" s="298"/>
      <c r="AW48" s="298"/>
      <c r="AX48" s="298"/>
      <c r="AY48" s="298"/>
      <c r="AZ48" s="298"/>
      <c r="BA48" s="298"/>
      <c r="BB48" s="298"/>
      <c r="BC48" s="298"/>
      <c r="BD48" s="298"/>
      <c r="BE48" s="298"/>
      <c r="BF48" s="298"/>
      <c r="BG48" s="298"/>
      <c r="BH48" s="298"/>
      <c r="BI48" s="298"/>
      <c r="BJ48" s="298"/>
      <c r="BK48" s="298"/>
      <c r="BL48" s="298"/>
      <c r="BM48" s="298"/>
      <c r="BN48" s="298"/>
      <c r="BO48" s="298"/>
      <c r="BP48" s="298"/>
      <c r="BQ48" s="298"/>
      <c r="BR48" s="298"/>
      <c r="BS48" s="298"/>
      <c r="BT48" s="298"/>
      <c r="BU48" s="298"/>
      <c r="BV48" s="298"/>
      <c r="BW48" s="298"/>
      <c r="BX48" s="298"/>
      <c r="BY48" s="298"/>
      <c r="BZ48" s="298"/>
      <c r="CA48" s="298"/>
      <c r="CB48" s="298"/>
      <c r="CC48" s="298"/>
      <c r="CD48" s="298"/>
      <c r="CE48" s="298"/>
      <c r="CF48" s="298"/>
      <c r="CG48" s="298"/>
      <c r="CH48" s="298"/>
      <c r="CI48" s="298"/>
      <c r="CJ48" s="298"/>
      <c r="CK48" s="298"/>
      <c r="CL48" s="298"/>
      <c r="CM48" s="298"/>
      <c r="CN48" s="298"/>
      <c r="CO48" s="298"/>
      <c r="CP48" s="298"/>
      <c r="CQ48" s="298"/>
      <c r="CR48" s="299"/>
    </row>
    <row r="49" spans="1:150" s="59" customFormat="1" ht="15" customHeight="1" x14ac:dyDescent="0.15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8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</row>
    <row r="50" spans="1:150" s="59" customFormat="1" ht="15" customHeight="1" x14ac:dyDescent="0.15">
      <c r="A50" s="56"/>
      <c r="B50" s="57" t="s">
        <v>98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 t="s">
        <v>110</v>
      </c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8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</row>
    <row r="51" spans="1:150" s="59" customFormat="1" ht="15" customHeight="1" x14ac:dyDescent="0.15">
      <c r="A51" s="56"/>
      <c r="B51" s="300" t="s">
        <v>91</v>
      </c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2"/>
      <c r="P51" s="300" t="s">
        <v>92</v>
      </c>
      <c r="Q51" s="301"/>
      <c r="R51" s="301"/>
      <c r="S51" s="301"/>
      <c r="T51" s="302"/>
      <c r="U51" s="300" t="s">
        <v>93</v>
      </c>
      <c r="V51" s="301"/>
      <c r="W51" s="302"/>
      <c r="X51" s="300" t="s">
        <v>94</v>
      </c>
      <c r="Y51" s="303"/>
      <c r="Z51" s="303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4"/>
      <c r="AW51" s="57"/>
      <c r="AX51" s="57"/>
      <c r="AY51" s="63" t="s">
        <v>91</v>
      </c>
      <c r="AZ51" s="64"/>
      <c r="BA51" s="64"/>
      <c r="BB51" s="64"/>
      <c r="BC51" s="64"/>
      <c r="BD51" s="64"/>
      <c r="BE51" s="64"/>
      <c r="BF51" s="64"/>
      <c r="BG51" s="64"/>
      <c r="BH51" s="305" t="s">
        <v>111</v>
      </c>
      <c r="BI51" s="305"/>
      <c r="BJ51" s="305"/>
      <c r="BK51" s="305"/>
      <c r="BL51" s="305"/>
      <c r="BM51" s="305"/>
      <c r="BN51" s="305"/>
      <c r="BO51" s="305"/>
      <c r="BP51" s="305"/>
      <c r="BQ51" s="305"/>
      <c r="BR51" s="305"/>
      <c r="BS51" s="305"/>
      <c r="BT51" s="305"/>
      <c r="BU51" s="305"/>
      <c r="BV51" s="305"/>
      <c r="BW51" s="305"/>
      <c r="BX51" s="305"/>
      <c r="BY51" s="305"/>
      <c r="BZ51" s="305"/>
      <c r="CA51" s="305"/>
      <c r="CB51" s="305"/>
      <c r="CC51" s="305"/>
      <c r="CD51" s="305"/>
      <c r="CE51" s="305"/>
      <c r="CF51" s="305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8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</row>
    <row r="52" spans="1:150" s="59" customFormat="1" ht="15" customHeight="1" x14ac:dyDescent="0.15">
      <c r="A52" s="56"/>
      <c r="B52" s="293" t="s">
        <v>97</v>
      </c>
      <c r="C52" s="293"/>
      <c r="D52" s="293"/>
      <c r="E52" s="293"/>
      <c r="F52" s="293"/>
      <c r="G52" s="293"/>
      <c r="H52" s="293"/>
      <c r="I52" s="293"/>
      <c r="J52" s="293"/>
      <c r="K52" s="293"/>
      <c r="L52" s="293"/>
      <c r="M52" s="293"/>
      <c r="N52" s="293"/>
      <c r="O52" s="293"/>
      <c r="P52" s="294" t="s">
        <v>99</v>
      </c>
      <c r="Q52" s="294"/>
      <c r="R52" s="294"/>
      <c r="S52" s="294"/>
      <c r="T52" s="294"/>
      <c r="U52" s="290">
        <v>11</v>
      </c>
      <c r="V52" s="291"/>
      <c r="W52" s="292"/>
      <c r="X52" s="293" t="s">
        <v>100</v>
      </c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57"/>
      <c r="AX52" s="57"/>
      <c r="AY52" s="287" t="s">
        <v>165</v>
      </c>
      <c r="AZ52" s="288"/>
      <c r="BA52" s="288"/>
      <c r="BB52" s="288"/>
      <c r="BC52" s="288"/>
      <c r="BD52" s="288"/>
      <c r="BE52" s="288"/>
      <c r="BF52" s="288"/>
      <c r="BG52" s="289"/>
      <c r="BH52" s="284"/>
      <c r="BI52" s="285"/>
      <c r="BJ52" s="285"/>
      <c r="BK52" s="285"/>
      <c r="BL52" s="285"/>
      <c r="BM52" s="285"/>
      <c r="BN52" s="285"/>
      <c r="BO52" s="285"/>
      <c r="BP52" s="285"/>
      <c r="BQ52" s="285"/>
      <c r="BR52" s="285"/>
      <c r="BS52" s="285"/>
      <c r="BT52" s="285"/>
      <c r="BU52" s="285"/>
      <c r="BV52" s="285"/>
      <c r="BW52" s="285"/>
      <c r="BX52" s="285"/>
      <c r="BY52" s="285"/>
      <c r="BZ52" s="285"/>
      <c r="CA52" s="285"/>
      <c r="CB52" s="285"/>
      <c r="CC52" s="285"/>
      <c r="CD52" s="285"/>
      <c r="CE52" s="285"/>
      <c r="CF52" s="286"/>
      <c r="CG52" s="57"/>
      <c r="CH52" s="57"/>
      <c r="CI52" s="57"/>
      <c r="CJ52" s="57"/>
      <c r="CK52" s="57"/>
      <c r="CL52" s="57"/>
      <c r="CQ52" s="57"/>
      <c r="CR52" s="58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</row>
    <row r="53" spans="1:150" s="59" customFormat="1" ht="15" customHeight="1" x14ac:dyDescent="0.15">
      <c r="A53" s="56"/>
      <c r="B53" s="293" t="s">
        <v>101</v>
      </c>
      <c r="C53" s="293"/>
      <c r="D53" s="293"/>
      <c r="E53" s="293"/>
      <c r="F53" s="293"/>
      <c r="G53" s="293"/>
      <c r="H53" s="293"/>
      <c r="I53" s="293"/>
      <c r="J53" s="293"/>
      <c r="K53" s="293"/>
      <c r="L53" s="293"/>
      <c r="M53" s="293"/>
      <c r="N53" s="293"/>
      <c r="O53" s="293"/>
      <c r="P53" s="294" t="s">
        <v>99</v>
      </c>
      <c r="Q53" s="294"/>
      <c r="R53" s="294"/>
      <c r="S53" s="294"/>
      <c r="T53" s="294"/>
      <c r="U53" s="290">
        <v>100</v>
      </c>
      <c r="V53" s="291"/>
      <c r="W53" s="292"/>
      <c r="X53" s="293" t="s">
        <v>262</v>
      </c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57"/>
      <c r="AX53" s="57"/>
      <c r="AY53" s="287" t="s">
        <v>166</v>
      </c>
      <c r="AZ53" s="288"/>
      <c r="BA53" s="288"/>
      <c r="BB53" s="288"/>
      <c r="BC53" s="288"/>
      <c r="BD53" s="288"/>
      <c r="BE53" s="288"/>
      <c r="BF53" s="288"/>
      <c r="BG53" s="289"/>
      <c r="BH53" s="284"/>
      <c r="BI53" s="285"/>
      <c r="BJ53" s="285"/>
      <c r="BK53" s="285"/>
      <c r="BL53" s="285"/>
      <c r="BM53" s="285"/>
      <c r="BN53" s="285"/>
      <c r="BO53" s="285"/>
      <c r="BP53" s="285"/>
      <c r="BQ53" s="285"/>
      <c r="BR53" s="285"/>
      <c r="BS53" s="285"/>
      <c r="BT53" s="285"/>
      <c r="BU53" s="285"/>
      <c r="BV53" s="285"/>
      <c r="BW53" s="285"/>
      <c r="BX53" s="285"/>
      <c r="BY53" s="285"/>
      <c r="BZ53" s="285"/>
      <c r="CA53" s="285"/>
      <c r="CB53" s="285"/>
      <c r="CC53" s="285"/>
      <c r="CD53" s="285"/>
      <c r="CE53" s="285"/>
      <c r="CF53" s="286"/>
      <c r="CG53" s="57"/>
      <c r="CH53" s="57"/>
      <c r="CI53" s="57"/>
      <c r="CJ53" s="57"/>
      <c r="CK53" s="57"/>
      <c r="CL53" s="57"/>
      <c r="CQ53" s="57"/>
      <c r="CR53" s="58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</row>
    <row r="54" spans="1:150" s="59" customFormat="1" ht="15" customHeight="1" x14ac:dyDescent="0.15">
      <c r="A54" s="56"/>
      <c r="B54" s="257" t="s">
        <v>230</v>
      </c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58" t="s">
        <v>184</v>
      </c>
      <c r="Q54" s="258"/>
      <c r="R54" s="258"/>
      <c r="S54" s="258"/>
      <c r="T54" s="258"/>
      <c r="U54" s="259" t="s">
        <v>105</v>
      </c>
      <c r="V54" s="260"/>
      <c r="W54" s="261"/>
      <c r="X54" s="257" t="s">
        <v>61</v>
      </c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  <c r="AW54" s="57"/>
      <c r="AX54" s="57"/>
      <c r="AY54" s="295" t="s">
        <v>112</v>
      </c>
      <c r="AZ54" s="295"/>
      <c r="BA54" s="295"/>
      <c r="BB54" s="295"/>
      <c r="BC54" s="295"/>
      <c r="BD54" s="295"/>
      <c r="BE54" s="295"/>
      <c r="BF54" s="295"/>
      <c r="BG54" s="295"/>
      <c r="BH54" s="257" t="s">
        <v>180</v>
      </c>
      <c r="BI54" s="257"/>
      <c r="BJ54" s="257"/>
      <c r="BK54" s="257"/>
      <c r="BL54" s="257"/>
      <c r="BM54" s="257"/>
      <c r="BN54" s="257"/>
      <c r="BO54" s="257"/>
      <c r="BP54" s="257"/>
      <c r="BQ54" s="257"/>
      <c r="BR54" s="257"/>
      <c r="BS54" s="257"/>
      <c r="BT54" s="257"/>
      <c r="BU54" s="257"/>
      <c r="BV54" s="257"/>
      <c r="BW54" s="257"/>
      <c r="BX54" s="257"/>
      <c r="BY54" s="257"/>
      <c r="BZ54" s="257"/>
      <c r="CA54" s="257"/>
      <c r="CB54" s="257"/>
      <c r="CC54" s="257"/>
      <c r="CD54" s="257"/>
      <c r="CE54" s="257"/>
      <c r="CF54" s="257"/>
      <c r="CG54" s="57"/>
      <c r="CH54" s="57"/>
      <c r="CI54" s="57"/>
      <c r="CJ54" s="57"/>
      <c r="CK54" s="57"/>
      <c r="CL54" s="57"/>
      <c r="CQ54" s="57"/>
      <c r="CR54" s="58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</row>
    <row r="55" spans="1:150" s="59" customFormat="1" ht="15" customHeight="1" x14ac:dyDescent="0.15">
      <c r="A55" s="56"/>
      <c r="B55" s="257" t="s">
        <v>248</v>
      </c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8" t="s">
        <v>99</v>
      </c>
      <c r="Q55" s="258"/>
      <c r="R55" s="258"/>
      <c r="S55" s="258"/>
      <c r="T55" s="258"/>
      <c r="U55" s="259">
        <v>6</v>
      </c>
      <c r="V55" s="260"/>
      <c r="W55" s="261"/>
      <c r="X55" s="257" t="s">
        <v>249</v>
      </c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  <c r="AS55" s="257"/>
      <c r="AT55" s="257"/>
      <c r="AU55" s="257"/>
      <c r="AV55" s="257"/>
      <c r="AW55" s="57"/>
      <c r="AX55" s="57"/>
      <c r="AY55" s="296" t="s">
        <v>181</v>
      </c>
      <c r="AZ55" s="296"/>
      <c r="BA55" s="296"/>
      <c r="BB55" s="296"/>
      <c r="BC55" s="296"/>
      <c r="BD55" s="296"/>
      <c r="BE55" s="296"/>
      <c r="BF55" s="296"/>
      <c r="BG55" s="296"/>
      <c r="BH55" s="296"/>
      <c r="BI55" s="296"/>
      <c r="BJ55" s="296"/>
      <c r="BK55" s="296"/>
      <c r="BL55" s="296"/>
      <c r="BM55" s="296"/>
      <c r="BN55" s="296"/>
      <c r="BO55" s="296"/>
      <c r="BP55" s="296"/>
      <c r="BQ55" s="296"/>
      <c r="BR55" s="296"/>
      <c r="BS55" s="296"/>
      <c r="BT55" s="296"/>
      <c r="BU55" s="296"/>
      <c r="BV55" s="296"/>
      <c r="BW55" s="296"/>
      <c r="BX55" s="296"/>
      <c r="BY55" s="296"/>
      <c r="BZ55" s="296"/>
      <c r="CA55" s="296"/>
      <c r="CB55" s="296"/>
      <c r="CC55" s="296"/>
      <c r="CD55" s="296"/>
      <c r="CE55" s="296"/>
      <c r="CF55" s="296"/>
      <c r="CG55" s="57"/>
      <c r="CH55" s="57"/>
      <c r="CI55" s="57"/>
      <c r="CJ55" s="57"/>
      <c r="CK55" s="57"/>
      <c r="CL55" s="57"/>
      <c r="CQ55" s="57"/>
      <c r="CR55" s="58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</row>
    <row r="56" spans="1:150" s="59" customFormat="1" ht="15" customHeight="1" x14ac:dyDescent="0.15">
      <c r="A56" s="56"/>
      <c r="B56" s="257" t="s">
        <v>193</v>
      </c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58" t="s">
        <v>99</v>
      </c>
      <c r="Q56" s="258"/>
      <c r="R56" s="258"/>
      <c r="S56" s="258"/>
      <c r="T56" s="258"/>
      <c r="U56" s="259" t="s">
        <v>105</v>
      </c>
      <c r="V56" s="260"/>
      <c r="W56" s="261"/>
      <c r="X56" s="257" t="s">
        <v>106</v>
      </c>
      <c r="Y56" s="257"/>
      <c r="Z56" s="257"/>
      <c r="AA56" s="257"/>
      <c r="AB56" s="257"/>
      <c r="AC56" s="257"/>
      <c r="AD56" s="257"/>
      <c r="AE56" s="257"/>
      <c r="AF56" s="257"/>
      <c r="AG56" s="257"/>
      <c r="AH56" s="257"/>
      <c r="AI56" s="257"/>
      <c r="AJ56" s="257"/>
      <c r="AK56" s="257"/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57"/>
      <c r="AW56" s="57"/>
      <c r="AX56" s="57"/>
      <c r="AY56" s="295" t="s">
        <v>192</v>
      </c>
      <c r="AZ56" s="295"/>
      <c r="BA56" s="295"/>
      <c r="BB56" s="295"/>
      <c r="BC56" s="295"/>
      <c r="BD56" s="295"/>
      <c r="BE56" s="295"/>
      <c r="BF56" s="295"/>
      <c r="BG56" s="295"/>
      <c r="BH56" s="295"/>
      <c r="BI56" s="295"/>
      <c r="BJ56" s="295"/>
      <c r="BK56" s="295"/>
      <c r="BL56" s="295"/>
      <c r="BM56" s="295"/>
      <c r="BN56" s="295"/>
      <c r="BO56" s="295"/>
      <c r="BP56" s="295"/>
      <c r="BQ56" s="295"/>
      <c r="BR56" s="295"/>
      <c r="BS56" s="295"/>
      <c r="BT56" s="295"/>
      <c r="BU56" s="295"/>
      <c r="BV56" s="295"/>
      <c r="BW56" s="295"/>
      <c r="BX56" s="295"/>
      <c r="BY56" s="295"/>
      <c r="BZ56" s="295"/>
      <c r="CA56" s="295"/>
      <c r="CB56" s="295"/>
      <c r="CC56" s="295"/>
      <c r="CD56" s="295"/>
      <c r="CE56" s="295"/>
      <c r="CF56" s="295"/>
      <c r="CG56" s="57"/>
      <c r="CH56" s="57"/>
      <c r="CI56" s="57"/>
      <c r="CJ56" s="57"/>
      <c r="CK56" s="57"/>
      <c r="CL56" s="57"/>
      <c r="CQ56" s="57"/>
      <c r="CR56" s="58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</row>
    <row r="57" spans="1:150" s="59" customFormat="1" ht="15" customHeight="1" x14ac:dyDescent="0.15">
      <c r="A57" s="56"/>
      <c r="B57" s="257" t="s">
        <v>194</v>
      </c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58" t="s">
        <v>99</v>
      </c>
      <c r="Q57" s="258"/>
      <c r="R57" s="258"/>
      <c r="S57" s="258"/>
      <c r="T57" s="258"/>
      <c r="U57" s="259" t="s">
        <v>105</v>
      </c>
      <c r="V57" s="260"/>
      <c r="W57" s="261"/>
      <c r="X57" s="257" t="s">
        <v>106</v>
      </c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57"/>
      <c r="AW57" s="57"/>
      <c r="AX57" s="57"/>
      <c r="AY57" s="295" t="s">
        <v>266</v>
      </c>
      <c r="AZ57" s="295"/>
      <c r="BA57" s="295"/>
      <c r="BB57" s="295"/>
      <c r="BC57" s="295"/>
      <c r="BD57" s="295"/>
      <c r="BE57" s="295"/>
      <c r="BF57" s="295"/>
      <c r="BG57" s="295"/>
      <c r="BH57" s="295" t="s">
        <v>267</v>
      </c>
      <c r="BI57" s="295"/>
      <c r="BJ57" s="295"/>
      <c r="BK57" s="295"/>
      <c r="BL57" s="295"/>
      <c r="BM57" s="295"/>
      <c r="BN57" s="295"/>
      <c r="BO57" s="295"/>
      <c r="BP57" s="295"/>
      <c r="BQ57" s="295"/>
      <c r="BR57" s="295"/>
      <c r="BS57" s="295"/>
      <c r="BT57" s="295"/>
      <c r="BU57" s="295"/>
      <c r="BV57" s="295"/>
      <c r="BW57" s="295"/>
      <c r="BX57" s="295"/>
      <c r="BY57" s="295"/>
      <c r="BZ57" s="295"/>
      <c r="CA57" s="295"/>
      <c r="CB57" s="295"/>
      <c r="CC57" s="295"/>
      <c r="CD57" s="295"/>
      <c r="CE57" s="295"/>
      <c r="CF57" s="295"/>
      <c r="CG57" s="57"/>
      <c r="CH57" s="57"/>
      <c r="CI57" s="57"/>
      <c r="CJ57" s="57"/>
      <c r="CK57" s="57"/>
      <c r="CL57" s="57"/>
      <c r="CQ57" s="57"/>
      <c r="CR57" s="58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</row>
    <row r="58" spans="1:150" s="59" customFormat="1" ht="15" customHeight="1" x14ac:dyDescent="0.15">
      <c r="A58" s="56"/>
      <c r="B58" s="257" t="s">
        <v>195</v>
      </c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58" t="s">
        <v>99</v>
      </c>
      <c r="Q58" s="258"/>
      <c r="R58" s="258"/>
      <c r="S58" s="258"/>
      <c r="T58" s="258"/>
      <c r="U58" s="259" t="s">
        <v>105</v>
      </c>
      <c r="V58" s="260"/>
      <c r="W58" s="261"/>
      <c r="X58" s="257" t="s">
        <v>61</v>
      </c>
      <c r="Y58" s="257"/>
      <c r="Z58" s="257"/>
      <c r="AA58" s="257"/>
      <c r="AB58" s="257"/>
      <c r="AC58" s="257"/>
      <c r="AD58" s="257"/>
      <c r="AE58" s="257"/>
      <c r="AF58" s="257"/>
      <c r="AG58" s="257"/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57"/>
      <c r="AW58" s="57"/>
      <c r="AX58" s="57"/>
      <c r="CI58" s="57"/>
      <c r="CJ58" s="57"/>
      <c r="CK58" s="57"/>
      <c r="CL58" s="57"/>
      <c r="CQ58" s="57"/>
      <c r="CR58" s="58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</row>
    <row r="59" spans="1:150" s="59" customFormat="1" ht="15" customHeight="1" x14ac:dyDescent="0.15">
      <c r="A59" s="56"/>
      <c r="B59" s="257" t="s">
        <v>339</v>
      </c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58" t="s">
        <v>99</v>
      </c>
      <c r="Q59" s="258"/>
      <c r="R59" s="258"/>
      <c r="S59" s="258"/>
      <c r="T59" s="258"/>
      <c r="U59" s="259" t="s">
        <v>105</v>
      </c>
      <c r="V59" s="260"/>
      <c r="W59" s="261"/>
      <c r="X59" s="257" t="s">
        <v>61</v>
      </c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257"/>
      <c r="AT59" s="257"/>
      <c r="AU59" s="257"/>
      <c r="AV59" s="257"/>
      <c r="AW59" s="57"/>
      <c r="AX59" s="57"/>
      <c r="CI59" s="57"/>
      <c r="CJ59" s="57"/>
      <c r="CK59" s="57"/>
      <c r="CL59" s="57"/>
      <c r="CQ59" s="57"/>
      <c r="CR59" s="58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</row>
    <row r="60" spans="1:150" s="59" customFormat="1" ht="15" customHeight="1" x14ac:dyDescent="0.15">
      <c r="A60" s="56"/>
      <c r="B60" s="257" t="s">
        <v>268</v>
      </c>
      <c r="C60" s="257"/>
      <c r="D60" s="257"/>
      <c r="E60" s="257"/>
      <c r="F60" s="257"/>
      <c r="G60" s="257"/>
      <c r="H60" s="257"/>
      <c r="I60" s="257"/>
      <c r="J60" s="257"/>
      <c r="K60" s="257"/>
      <c r="L60" s="257"/>
      <c r="M60" s="257"/>
      <c r="N60" s="257"/>
      <c r="O60" s="257"/>
      <c r="P60" s="258" t="s">
        <v>99</v>
      </c>
      <c r="Q60" s="258"/>
      <c r="R60" s="258"/>
      <c r="S60" s="258"/>
      <c r="T60" s="258"/>
      <c r="U60" s="259" t="s">
        <v>105</v>
      </c>
      <c r="V60" s="260"/>
      <c r="W60" s="261"/>
      <c r="X60" s="257" t="s">
        <v>61</v>
      </c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/>
      <c r="AT60" s="257"/>
      <c r="AU60" s="257"/>
      <c r="AV60" s="257"/>
      <c r="AW60" s="57"/>
      <c r="AX60" s="57"/>
      <c r="CI60" s="57"/>
      <c r="CJ60" s="57"/>
      <c r="CK60" s="57"/>
      <c r="CL60" s="57"/>
      <c r="CQ60" s="57"/>
      <c r="CR60" s="58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</row>
    <row r="61" spans="1:150" s="59" customFormat="1" ht="15" customHeight="1" x14ac:dyDescent="0.15">
      <c r="A61" s="56"/>
      <c r="AW61" s="57"/>
      <c r="AX61" s="57"/>
      <c r="CI61" s="57"/>
      <c r="CJ61" s="57"/>
      <c r="CK61" s="57"/>
      <c r="CL61" s="57"/>
      <c r="CQ61" s="57"/>
      <c r="CR61" s="58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</row>
    <row r="62" spans="1:150" s="59" customFormat="1" ht="15" customHeight="1" x14ac:dyDescent="0.15">
      <c r="A62" s="56"/>
      <c r="B62" s="59" t="s">
        <v>205</v>
      </c>
      <c r="AW62" s="57"/>
      <c r="AX62" s="57"/>
      <c r="CI62" s="57"/>
      <c r="CJ62" s="57"/>
      <c r="CK62" s="57"/>
      <c r="CL62" s="57"/>
      <c r="CQ62" s="57"/>
      <c r="CR62" s="58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</row>
    <row r="63" spans="1:150" s="59" customFormat="1" ht="15" customHeight="1" thickBot="1" x14ac:dyDescent="0.2">
      <c r="A63" s="56"/>
      <c r="C63" s="59" t="s">
        <v>231</v>
      </c>
      <c r="K63" s="57"/>
      <c r="L63" s="57"/>
      <c r="M63" s="57"/>
      <c r="N63" s="57"/>
      <c r="O63" s="57"/>
      <c r="P63" s="57"/>
      <c r="Q63" s="57"/>
      <c r="R63" s="57"/>
      <c r="S63" s="57"/>
      <c r="T63" s="57"/>
      <c r="V63" s="59" t="s">
        <v>207</v>
      </c>
      <c r="CI63" s="57"/>
      <c r="CJ63" s="57"/>
      <c r="CK63" s="57"/>
      <c r="CL63" s="57"/>
      <c r="CQ63" s="57"/>
      <c r="CR63" s="58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</row>
    <row r="64" spans="1:150" s="59" customFormat="1" ht="15" customHeight="1" thickBot="1" x14ac:dyDescent="0.2">
      <c r="A64" s="56"/>
      <c r="D64" s="242" t="s">
        <v>112</v>
      </c>
      <c r="E64" s="243"/>
      <c r="F64" s="243"/>
      <c r="G64" s="243"/>
      <c r="H64" s="243"/>
      <c r="I64" s="243"/>
      <c r="J64" s="244"/>
      <c r="K64" s="245"/>
      <c r="L64" s="246"/>
      <c r="M64" s="246"/>
      <c r="N64" s="246"/>
      <c r="O64" s="246"/>
      <c r="P64" s="246"/>
      <c r="Q64" s="246"/>
      <c r="R64" s="247"/>
      <c r="S64" s="65" t="s">
        <v>117</v>
      </c>
      <c r="T64" s="66"/>
      <c r="W64" s="242" t="s">
        <v>208</v>
      </c>
      <c r="X64" s="243"/>
      <c r="Y64" s="243"/>
      <c r="Z64" s="243"/>
      <c r="AA64" s="243"/>
      <c r="AB64" s="243"/>
      <c r="AC64" s="244"/>
      <c r="AD64" s="245"/>
      <c r="AE64" s="246"/>
      <c r="AF64" s="246"/>
      <c r="AG64" s="246"/>
      <c r="AH64" s="246"/>
      <c r="AI64" s="246"/>
      <c r="AJ64" s="246"/>
      <c r="AK64" s="247"/>
      <c r="AL64" s="65" t="s">
        <v>117</v>
      </c>
      <c r="AM64" s="66"/>
      <c r="CI64" s="57"/>
      <c r="CJ64" s="57"/>
      <c r="CK64" s="57"/>
      <c r="CL64" s="57"/>
      <c r="CQ64" s="57"/>
      <c r="CR64" s="58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</row>
    <row r="65" spans="1:150" s="59" customFormat="1" ht="15" customHeight="1" x14ac:dyDescent="0.15">
      <c r="A65" s="56"/>
      <c r="I65" s="57"/>
      <c r="J65" s="57"/>
      <c r="K65" s="83" t="s">
        <v>221</v>
      </c>
      <c r="L65" s="84"/>
      <c r="M65" s="84"/>
      <c r="N65" s="84"/>
      <c r="O65" s="84"/>
      <c r="P65" s="84"/>
      <c r="Q65" s="84"/>
      <c r="R65" s="85"/>
      <c r="AD65" s="83" t="s">
        <v>209</v>
      </c>
      <c r="AE65" s="84"/>
      <c r="AF65" s="84"/>
      <c r="AG65" s="84"/>
      <c r="AH65" s="84"/>
      <c r="AI65" s="84"/>
      <c r="AJ65" s="84"/>
      <c r="AK65" s="85"/>
      <c r="CI65" s="57"/>
      <c r="CJ65" s="57"/>
      <c r="CK65" s="57"/>
      <c r="CL65" s="57"/>
      <c r="CQ65" s="57"/>
      <c r="CR65" s="58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</row>
    <row r="66" spans="1:150" s="59" customFormat="1" ht="15" customHeight="1" x14ac:dyDescent="0.15">
      <c r="A66" s="56"/>
      <c r="I66" s="57"/>
      <c r="J66" s="57"/>
      <c r="K66" s="86" t="s">
        <v>179</v>
      </c>
      <c r="L66" s="87"/>
      <c r="M66" s="87"/>
      <c r="N66" s="87"/>
      <c r="O66" s="87"/>
      <c r="P66" s="87"/>
      <c r="Q66" s="87"/>
      <c r="R66" s="88"/>
      <c r="AD66" s="86" t="s">
        <v>210</v>
      </c>
      <c r="AE66" s="87"/>
      <c r="AF66" s="87"/>
      <c r="AG66" s="87"/>
      <c r="AH66" s="87"/>
      <c r="AI66" s="87"/>
      <c r="AJ66" s="87"/>
      <c r="AK66" s="88"/>
      <c r="CG66" s="57"/>
      <c r="CH66" s="57"/>
      <c r="CI66" s="57"/>
      <c r="CJ66" s="57"/>
      <c r="CK66" s="57"/>
      <c r="CL66" s="57"/>
      <c r="CQ66" s="57"/>
      <c r="CR66" s="58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</row>
    <row r="67" spans="1:150" s="59" customFormat="1" ht="15" customHeight="1" x14ac:dyDescent="0.15">
      <c r="A67" s="56"/>
      <c r="I67" s="57"/>
      <c r="J67" s="57"/>
      <c r="K67" s="86" t="s">
        <v>232</v>
      </c>
      <c r="L67" s="87"/>
      <c r="M67" s="87"/>
      <c r="N67" s="87"/>
      <c r="O67" s="87"/>
      <c r="P67" s="87"/>
      <c r="Q67" s="87"/>
      <c r="R67" s="88"/>
      <c r="AD67" s="86" t="s">
        <v>211</v>
      </c>
      <c r="AE67" s="87"/>
      <c r="AF67" s="87"/>
      <c r="AG67" s="87"/>
      <c r="AH67" s="87"/>
      <c r="AI67" s="87"/>
      <c r="AJ67" s="87"/>
      <c r="AK67" s="88"/>
      <c r="CG67" s="57"/>
      <c r="CH67" s="57"/>
      <c r="CI67" s="57"/>
      <c r="CJ67" s="57"/>
      <c r="CK67" s="57"/>
      <c r="CL67" s="57"/>
      <c r="CQ67" s="57"/>
      <c r="CR67" s="58"/>
    </row>
    <row r="68" spans="1:150" s="59" customFormat="1" ht="15" customHeight="1" x14ac:dyDescent="0.15">
      <c r="A68" s="56"/>
      <c r="B68" s="23"/>
      <c r="K68" s="86" t="s">
        <v>228</v>
      </c>
      <c r="L68" s="87"/>
      <c r="M68" s="87"/>
      <c r="N68" s="87"/>
      <c r="O68" s="87"/>
      <c r="P68" s="87"/>
      <c r="Q68" s="87"/>
      <c r="R68" s="88"/>
      <c r="AD68" s="86" t="s">
        <v>212</v>
      </c>
      <c r="AE68" s="87"/>
      <c r="AF68" s="87"/>
      <c r="AG68" s="87"/>
      <c r="AH68" s="87"/>
      <c r="AI68" s="87"/>
      <c r="AJ68" s="87"/>
      <c r="AK68" s="88"/>
      <c r="CG68" s="57"/>
      <c r="CH68" s="57"/>
      <c r="CI68" s="57"/>
      <c r="CJ68" s="57"/>
      <c r="CK68" s="57"/>
      <c r="CL68" s="57"/>
      <c r="CQ68" s="57"/>
      <c r="CR68" s="58"/>
    </row>
    <row r="69" spans="1:150" s="59" customFormat="1" ht="15" customHeight="1" x14ac:dyDescent="0.15">
      <c r="A69" s="56"/>
      <c r="B69" s="23"/>
      <c r="V69" s="57"/>
      <c r="W69" s="57"/>
      <c r="X69" s="57"/>
      <c r="Y69" s="57"/>
      <c r="Z69" s="57"/>
      <c r="AA69" s="57"/>
      <c r="AB69" s="57"/>
      <c r="AC69" s="57"/>
      <c r="AD69" s="81" t="s">
        <v>213</v>
      </c>
      <c r="AE69" s="89"/>
      <c r="AF69" s="89"/>
      <c r="AG69" s="89"/>
      <c r="AH69" s="89"/>
      <c r="AI69" s="89"/>
      <c r="AJ69" s="89"/>
      <c r="AK69" s="90"/>
      <c r="AL69" s="57"/>
      <c r="AM69" s="57"/>
      <c r="CG69" s="57"/>
      <c r="CH69" s="57"/>
      <c r="CI69" s="57"/>
      <c r="CJ69" s="57"/>
      <c r="CK69" s="57"/>
      <c r="CL69" s="57"/>
      <c r="CQ69" s="57"/>
      <c r="CR69" s="58"/>
    </row>
    <row r="70" spans="1:150" s="59" customFormat="1" ht="15" customHeight="1" x14ac:dyDescent="0.15">
      <c r="A70" s="56"/>
      <c r="B70" s="57"/>
      <c r="CG70" s="57"/>
      <c r="CH70" s="57"/>
      <c r="CI70" s="57"/>
      <c r="CJ70" s="57"/>
      <c r="CK70" s="57"/>
      <c r="CL70" s="57"/>
      <c r="CQ70" s="57"/>
      <c r="CR70" s="58"/>
    </row>
    <row r="71" spans="1:150" s="59" customFormat="1" ht="15" customHeight="1" x14ac:dyDescent="0.15">
      <c r="A71" s="56"/>
      <c r="B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8"/>
    </row>
    <row r="72" spans="1:150" s="59" customFormat="1" ht="15" customHeight="1" x14ac:dyDescent="0.15">
      <c r="A72" s="56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8"/>
    </row>
    <row r="73" spans="1:150" s="59" customFormat="1" ht="15" customHeight="1" thickBot="1" x14ac:dyDescent="0.2">
      <c r="A73" s="56"/>
      <c r="C73" s="57" t="s">
        <v>206</v>
      </c>
      <c r="AW73" s="57"/>
      <c r="AX73" s="57"/>
      <c r="CP73" s="57"/>
      <c r="CQ73" s="57"/>
      <c r="CR73" s="58"/>
    </row>
    <row r="74" spans="1:150" s="59" customFormat="1" ht="15" customHeight="1" thickBot="1" x14ac:dyDescent="0.2">
      <c r="A74" s="56"/>
      <c r="D74" s="242" t="s">
        <v>197</v>
      </c>
      <c r="E74" s="243"/>
      <c r="F74" s="243"/>
      <c r="G74" s="243"/>
      <c r="H74" s="243"/>
      <c r="I74" s="243"/>
      <c r="J74" s="244"/>
      <c r="K74" s="248"/>
      <c r="L74" s="249"/>
      <c r="M74" s="249"/>
      <c r="N74" s="249"/>
      <c r="O74" s="249"/>
      <c r="P74" s="249"/>
      <c r="Q74" s="249"/>
      <c r="R74" s="249"/>
      <c r="S74" s="249"/>
      <c r="T74" s="249"/>
      <c r="U74" s="249"/>
      <c r="V74" s="249"/>
      <c r="W74" s="249"/>
      <c r="X74" s="249"/>
      <c r="Y74" s="250"/>
      <c r="Z74" s="65" t="s">
        <v>117</v>
      </c>
      <c r="AA74" s="66"/>
      <c r="AB74" s="242" t="s">
        <v>190</v>
      </c>
      <c r="AC74" s="243"/>
      <c r="AD74" s="243"/>
      <c r="AE74" s="243"/>
      <c r="AF74" s="243"/>
      <c r="AG74" s="243"/>
      <c r="AH74" s="244"/>
      <c r="AI74" s="251"/>
      <c r="AJ74" s="252"/>
      <c r="AK74" s="252"/>
      <c r="AL74" s="252"/>
      <c r="AM74" s="252"/>
      <c r="AN74" s="252"/>
      <c r="AO74" s="252"/>
      <c r="AP74" s="252"/>
      <c r="AQ74" s="252"/>
      <c r="AR74" s="252"/>
      <c r="AS74" s="252"/>
      <c r="AT74" s="252"/>
      <c r="AU74" s="252"/>
      <c r="AV74" s="252"/>
      <c r="AW74" s="253"/>
      <c r="AX74" s="65" t="s">
        <v>117</v>
      </c>
      <c r="AY74" s="66"/>
      <c r="AZ74" s="57"/>
      <c r="CP74" s="57"/>
      <c r="CQ74" s="57"/>
      <c r="CR74" s="58"/>
    </row>
    <row r="75" spans="1:150" s="59" customFormat="1" ht="15" customHeight="1" x14ac:dyDescent="0.15">
      <c r="A75" s="56"/>
      <c r="D75" s="57" t="s">
        <v>118</v>
      </c>
      <c r="E75" s="57" t="s">
        <v>198</v>
      </c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CP75" s="57"/>
      <c r="CQ75" s="57"/>
      <c r="CR75" s="58"/>
    </row>
    <row r="76" spans="1:150" s="59" customFormat="1" ht="15" customHeight="1" thickBot="1" x14ac:dyDescent="0.2">
      <c r="A76" s="56"/>
      <c r="D76" s="59" t="s">
        <v>118</v>
      </c>
      <c r="E76" s="23" t="s">
        <v>199</v>
      </c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CP76" s="57"/>
      <c r="CQ76" s="57"/>
      <c r="CR76" s="58"/>
    </row>
    <row r="77" spans="1:150" s="59" customFormat="1" ht="15" customHeight="1" thickBot="1" x14ac:dyDescent="0.2">
      <c r="A77" s="56"/>
      <c r="D77" s="242" t="s">
        <v>197</v>
      </c>
      <c r="E77" s="243"/>
      <c r="F77" s="243"/>
      <c r="G77" s="243"/>
      <c r="H77" s="243"/>
      <c r="I77" s="243"/>
      <c r="J77" s="244"/>
      <c r="K77" s="254" t="s">
        <v>200</v>
      </c>
      <c r="L77" s="255"/>
      <c r="M77" s="255"/>
      <c r="N77" s="255"/>
      <c r="O77" s="255"/>
      <c r="P77" s="255"/>
      <c r="Q77" s="255"/>
      <c r="R77" s="255"/>
      <c r="S77" s="255"/>
      <c r="T77" s="255"/>
      <c r="U77" s="255"/>
      <c r="V77" s="255"/>
      <c r="W77" s="255"/>
      <c r="X77" s="255"/>
      <c r="Y77" s="256"/>
      <c r="Z77" s="65" t="s">
        <v>117</v>
      </c>
      <c r="AA77" s="66"/>
      <c r="AB77" s="242" t="s">
        <v>190</v>
      </c>
      <c r="AC77" s="243"/>
      <c r="AD77" s="243"/>
      <c r="AE77" s="243"/>
      <c r="AF77" s="243"/>
      <c r="AG77" s="243"/>
      <c r="AH77" s="244"/>
      <c r="AI77" s="251"/>
      <c r="AJ77" s="252"/>
      <c r="AK77" s="252"/>
      <c r="AL77" s="252"/>
      <c r="AM77" s="252"/>
      <c r="AN77" s="252"/>
      <c r="AO77" s="252"/>
      <c r="AP77" s="252"/>
      <c r="AQ77" s="252"/>
      <c r="AR77" s="252"/>
      <c r="AS77" s="252"/>
      <c r="AT77" s="252"/>
      <c r="AU77" s="252"/>
      <c r="AV77" s="252"/>
      <c r="AW77" s="253"/>
      <c r="AX77" s="65" t="s">
        <v>117</v>
      </c>
      <c r="AY77" s="66"/>
      <c r="AZ77" s="57"/>
      <c r="CP77" s="57"/>
      <c r="CQ77" s="57"/>
      <c r="CR77" s="58"/>
    </row>
    <row r="78" spans="1:150" s="59" customFormat="1" ht="15" customHeight="1" x14ac:dyDescent="0.15">
      <c r="A78" s="5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  <c r="AF78" s="57"/>
      <c r="AG78" s="57"/>
      <c r="AI78" s="79" t="s">
        <v>201</v>
      </c>
      <c r="AJ78" s="80"/>
      <c r="AK78" s="73"/>
      <c r="AL78" s="73"/>
      <c r="AM78" s="73"/>
      <c r="AN78" s="74"/>
      <c r="AO78" s="74"/>
      <c r="AP78" s="74"/>
      <c r="AQ78" s="74"/>
      <c r="AR78" s="74"/>
      <c r="AS78" s="74"/>
      <c r="AT78" s="74"/>
      <c r="AU78" s="74"/>
      <c r="AV78" s="74"/>
      <c r="AW78" s="75"/>
      <c r="AX78" s="57"/>
      <c r="AY78" s="57"/>
      <c r="AZ78" s="57"/>
      <c r="CP78" s="57"/>
      <c r="CQ78" s="57"/>
      <c r="CR78" s="58"/>
    </row>
    <row r="79" spans="1:150" s="59" customFormat="1" ht="15" customHeight="1" x14ac:dyDescent="0.15">
      <c r="A79" s="56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F79" s="57"/>
      <c r="AG79" s="57"/>
      <c r="AI79" s="81" t="s">
        <v>202</v>
      </c>
      <c r="AJ79" s="82"/>
      <c r="AK79" s="76"/>
      <c r="AL79" s="76"/>
      <c r="AM79" s="76"/>
      <c r="AN79" s="77"/>
      <c r="AO79" s="77"/>
      <c r="AP79" s="77"/>
      <c r="AQ79" s="77"/>
      <c r="AR79" s="77"/>
      <c r="AS79" s="77"/>
      <c r="AT79" s="77"/>
      <c r="AU79" s="77"/>
      <c r="AV79" s="77"/>
      <c r="AW79" s="78"/>
      <c r="AX79" s="57"/>
      <c r="AY79" s="57"/>
      <c r="AZ79" s="57"/>
      <c r="BS79" s="57"/>
      <c r="CP79" s="57"/>
      <c r="CQ79" s="57"/>
      <c r="CR79" s="58"/>
    </row>
    <row r="80" spans="1:150" s="59" customFormat="1" ht="15" customHeight="1" x14ac:dyDescent="0.15">
      <c r="A80" s="56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  <c r="AF80" s="57"/>
      <c r="AG80" s="57"/>
      <c r="AI80" s="81" t="s">
        <v>203</v>
      </c>
      <c r="AJ80" s="82"/>
      <c r="AK80" s="76"/>
      <c r="AL80" s="76"/>
      <c r="AM80" s="76"/>
      <c r="AN80" s="77"/>
      <c r="AO80" s="77"/>
      <c r="AP80" s="77"/>
      <c r="AQ80" s="77"/>
      <c r="AR80" s="77"/>
      <c r="AS80" s="77"/>
      <c r="AT80" s="77"/>
      <c r="AU80" s="77"/>
      <c r="AV80" s="77"/>
      <c r="AW80" s="78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CP80" s="57"/>
      <c r="CQ80" s="57"/>
      <c r="CR80" s="58"/>
    </row>
    <row r="81" spans="1:96" s="59" customFormat="1" ht="15" customHeight="1" x14ac:dyDescent="0.15">
      <c r="A81" s="5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AF81" s="57"/>
      <c r="AG81" s="57"/>
      <c r="AI81" s="81" t="s">
        <v>204</v>
      </c>
      <c r="AJ81" s="82"/>
      <c r="AK81" s="76"/>
      <c r="AL81" s="76"/>
      <c r="AM81" s="76"/>
      <c r="AN81" s="77"/>
      <c r="AO81" s="77"/>
      <c r="AP81" s="77"/>
      <c r="AQ81" s="77"/>
      <c r="AR81" s="77"/>
      <c r="AS81" s="77"/>
      <c r="AT81" s="77"/>
      <c r="AU81" s="77"/>
      <c r="AV81" s="77"/>
      <c r="AW81" s="78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CP81" s="57"/>
      <c r="CQ81" s="57"/>
      <c r="CR81" s="58"/>
    </row>
    <row r="82" spans="1:96" s="59" customFormat="1" ht="15" customHeight="1" x14ac:dyDescent="0.15">
      <c r="A82" s="56"/>
      <c r="B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8"/>
    </row>
    <row r="83" spans="1:96" s="59" customFormat="1" ht="15" customHeight="1" thickBot="1" x14ac:dyDescent="0.2">
      <c r="A83" s="56"/>
      <c r="B83" s="57"/>
      <c r="C83" s="59" t="s">
        <v>345</v>
      </c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9" t="s">
        <v>271</v>
      </c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CM83" s="57"/>
      <c r="CN83" s="57"/>
      <c r="CO83" s="57"/>
      <c r="CP83" s="57"/>
      <c r="CQ83" s="57"/>
      <c r="CR83" s="58"/>
    </row>
    <row r="84" spans="1:96" s="59" customFormat="1" ht="15" customHeight="1" thickBot="1" x14ac:dyDescent="0.2">
      <c r="A84" s="56"/>
      <c r="B84" s="57"/>
      <c r="D84" s="242" t="s">
        <v>338</v>
      </c>
      <c r="E84" s="243"/>
      <c r="F84" s="243"/>
      <c r="G84" s="243"/>
      <c r="H84" s="243"/>
      <c r="I84" s="243"/>
      <c r="J84" s="244"/>
      <c r="K84" s="245"/>
      <c r="L84" s="246"/>
      <c r="M84" s="246"/>
      <c r="N84" s="246"/>
      <c r="O84" s="246"/>
      <c r="P84" s="246"/>
      <c r="Q84" s="246"/>
      <c r="R84" s="247"/>
      <c r="S84" s="65" t="s">
        <v>117</v>
      </c>
      <c r="T84" s="66"/>
      <c r="U84" s="57"/>
      <c r="W84" s="242" t="s">
        <v>272</v>
      </c>
      <c r="X84" s="243"/>
      <c r="Y84" s="243"/>
      <c r="Z84" s="243"/>
      <c r="AA84" s="243"/>
      <c r="AB84" s="243"/>
      <c r="AC84" s="244"/>
      <c r="AD84" s="245"/>
      <c r="AE84" s="246"/>
      <c r="AF84" s="246"/>
      <c r="AG84" s="246"/>
      <c r="AH84" s="246"/>
      <c r="AI84" s="246"/>
      <c r="AJ84" s="246"/>
      <c r="AK84" s="247"/>
      <c r="AL84" s="65" t="s">
        <v>117</v>
      </c>
      <c r="AM84" s="66"/>
      <c r="CM84" s="57"/>
      <c r="CN84" s="57"/>
      <c r="CO84" s="57"/>
      <c r="CP84" s="57"/>
      <c r="CQ84" s="57"/>
      <c r="CR84" s="58"/>
    </row>
    <row r="85" spans="1:96" s="59" customFormat="1" ht="15" customHeight="1" x14ac:dyDescent="0.15">
      <c r="A85" s="56"/>
      <c r="B85" s="57"/>
      <c r="I85" s="57"/>
      <c r="J85" s="57"/>
      <c r="K85" s="83" t="s">
        <v>270</v>
      </c>
      <c r="L85" s="84"/>
      <c r="M85" s="84"/>
      <c r="N85" s="84"/>
      <c r="O85" s="84"/>
      <c r="P85" s="84"/>
      <c r="Q85" s="84"/>
      <c r="R85" s="85"/>
      <c r="U85" s="57"/>
      <c r="AB85" s="57"/>
      <c r="AC85" s="57"/>
      <c r="AD85" s="83" t="s">
        <v>273</v>
      </c>
      <c r="AE85" s="84"/>
      <c r="AF85" s="84"/>
      <c r="AG85" s="84"/>
      <c r="AH85" s="84"/>
      <c r="AI85" s="84"/>
      <c r="AJ85" s="84"/>
      <c r="AK85" s="85"/>
      <c r="CM85" s="57"/>
      <c r="CN85" s="57"/>
      <c r="CO85" s="57"/>
      <c r="CP85" s="57"/>
      <c r="CQ85" s="57"/>
      <c r="CR85" s="58"/>
    </row>
    <row r="86" spans="1:96" s="59" customFormat="1" ht="15" customHeight="1" x14ac:dyDescent="0.15">
      <c r="A86" s="56"/>
      <c r="B86" s="57"/>
      <c r="I86" s="57"/>
      <c r="J86" s="57"/>
      <c r="K86" s="86" t="s">
        <v>297</v>
      </c>
      <c r="L86" s="87"/>
      <c r="M86" s="87"/>
      <c r="N86" s="87"/>
      <c r="O86" s="87"/>
      <c r="P86" s="87"/>
      <c r="Q86" s="87"/>
      <c r="R86" s="88"/>
      <c r="AB86" s="57"/>
      <c r="AC86" s="57"/>
      <c r="AD86" s="86" t="s">
        <v>274</v>
      </c>
      <c r="AE86" s="87"/>
      <c r="AF86" s="87"/>
      <c r="AG86" s="87"/>
      <c r="AH86" s="87"/>
      <c r="AI86" s="87"/>
      <c r="AJ86" s="87"/>
      <c r="AK86" s="88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8"/>
    </row>
    <row r="87" spans="1:96" s="59" customFormat="1" ht="15" customHeight="1" x14ac:dyDescent="0.15">
      <c r="A87" s="56"/>
      <c r="B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8"/>
    </row>
    <row r="88" spans="1:96" s="59" customFormat="1" ht="15" customHeight="1" x14ac:dyDescent="0.15">
      <c r="A88" s="56"/>
      <c r="B88" s="23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8"/>
    </row>
    <row r="89" spans="1:96" s="59" customFormat="1" ht="15" customHeight="1" x14ac:dyDescent="0.15">
      <c r="A89" s="56"/>
      <c r="B89" s="23"/>
      <c r="C89" s="23"/>
      <c r="D89" s="23"/>
      <c r="E89" s="23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8"/>
    </row>
    <row r="90" spans="1:96" s="59" customFormat="1" ht="15" customHeight="1" thickBot="1" x14ac:dyDescent="0.2">
      <c r="A90" s="60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2"/>
    </row>
  </sheetData>
  <mergeCells count="130">
    <mergeCell ref="AY57:BG57"/>
    <mergeCell ref="BH57:CF57"/>
    <mergeCell ref="AY55:BG55"/>
    <mergeCell ref="BH55:CF55"/>
    <mergeCell ref="AY56:BG56"/>
    <mergeCell ref="BH56:CF56"/>
    <mergeCell ref="AY54:BG54"/>
    <mergeCell ref="A48:CR48"/>
    <mergeCell ref="B51:O51"/>
    <mergeCell ref="P51:T51"/>
    <mergeCell ref="U51:W51"/>
    <mergeCell ref="X51:AV51"/>
    <mergeCell ref="B52:O52"/>
    <mergeCell ref="P52:T52"/>
    <mergeCell ref="U52:W52"/>
    <mergeCell ref="X52:AV52"/>
    <mergeCell ref="BH51:CF51"/>
    <mergeCell ref="U57:W57"/>
    <mergeCell ref="X57:AV57"/>
    <mergeCell ref="P55:T55"/>
    <mergeCell ref="U55:W55"/>
    <mergeCell ref="X55:AV55"/>
    <mergeCell ref="P56:T56"/>
    <mergeCell ref="U56:W56"/>
    <mergeCell ref="A47:J47"/>
    <mergeCell ref="K47:AV47"/>
    <mergeCell ref="AW46:BH46"/>
    <mergeCell ref="AW47:BH47"/>
    <mergeCell ref="BH54:CF54"/>
    <mergeCell ref="BH52:CF52"/>
    <mergeCell ref="BH53:CF53"/>
    <mergeCell ref="AY52:BG52"/>
    <mergeCell ref="AY53:BG53"/>
    <mergeCell ref="U53:W53"/>
    <mergeCell ref="X53:AV53"/>
    <mergeCell ref="B53:O53"/>
    <mergeCell ref="P53:T53"/>
    <mergeCell ref="BI43:CR43"/>
    <mergeCell ref="A45:J45"/>
    <mergeCell ref="K45:AV45"/>
    <mergeCell ref="AW44:BH44"/>
    <mergeCell ref="A43:J43"/>
    <mergeCell ref="K43:AV43"/>
    <mergeCell ref="AW41:BH41"/>
    <mergeCell ref="A46:J46"/>
    <mergeCell ref="K46:AV46"/>
    <mergeCell ref="AW45:BH45"/>
    <mergeCell ref="A39:J39"/>
    <mergeCell ref="K39:AV39"/>
    <mergeCell ref="AW39:BH39"/>
    <mergeCell ref="A41:J41"/>
    <mergeCell ref="K41:AV41"/>
    <mergeCell ref="AW40:BH40"/>
    <mergeCell ref="A44:J44"/>
    <mergeCell ref="K44:AV44"/>
    <mergeCell ref="AW43:BH43"/>
    <mergeCell ref="A40:J40"/>
    <mergeCell ref="K40:AV40"/>
    <mergeCell ref="A42:J42"/>
    <mergeCell ref="K42:AV42"/>
    <mergeCell ref="AW42:BH42"/>
    <mergeCell ref="BT4:CR4"/>
    <mergeCell ref="A5:BH5"/>
    <mergeCell ref="BI5:CR5"/>
    <mergeCell ref="BI12:CR12"/>
    <mergeCell ref="A38:BH38"/>
    <mergeCell ref="BI38:CR38"/>
    <mergeCell ref="A4:H4"/>
    <mergeCell ref="I4:AK4"/>
    <mergeCell ref="AL4:AR4"/>
    <mergeCell ref="AS4:BH4"/>
    <mergeCell ref="BI4:BS4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B60:O60"/>
    <mergeCell ref="P60:T60"/>
    <mergeCell ref="U60:W60"/>
    <mergeCell ref="X60:AV60"/>
    <mergeCell ref="X56:AV56"/>
    <mergeCell ref="P57:T57"/>
    <mergeCell ref="B54:O54"/>
    <mergeCell ref="P54:T54"/>
    <mergeCell ref="U54:W54"/>
    <mergeCell ref="X54:AV54"/>
    <mergeCell ref="B55:O55"/>
    <mergeCell ref="B56:O56"/>
    <mergeCell ref="B57:O57"/>
    <mergeCell ref="D84:J84"/>
    <mergeCell ref="K84:R84"/>
    <mergeCell ref="W84:AC84"/>
    <mergeCell ref="AD84:AK84"/>
    <mergeCell ref="AB74:AH74"/>
    <mergeCell ref="K74:Y74"/>
    <mergeCell ref="AI74:AW74"/>
    <mergeCell ref="K77:Y77"/>
    <mergeCell ref="B58:O58"/>
    <mergeCell ref="P58:T58"/>
    <mergeCell ref="U58:W58"/>
    <mergeCell ref="X58:AV58"/>
    <mergeCell ref="AB77:AH77"/>
    <mergeCell ref="AI77:AW77"/>
    <mergeCell ref="W64:AC64"/>
    <mergeCell ref="AD64:AK64"/>
    <mergeCell ref="D74:J74"/>
    <mergeCell ref="D77:J77"/>
    <mergeCell ref="D64:J64"/>
    <mergeCell ref="K64:R64"/>
    <mergeCell ref="B59:O59"/>
    <mergeCell ref="P59:T59"/>
    <mergeCell ref="U59:W59"/>
    <mergeCell ref="X59:AV59"/>
  </mergeCells>
  <phoneticPr fontId="3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64E7A-0EE5-4539-B6E6-BA6FD4551B32}">
  <sheetPr codeName="Sheet2"/>
  <dimension ref="A1:DS219"/>
  <sheetViews>
    <sheetView view="pageBreakPreview" zoomScale="85" zoomScaleNormal="85" zoomScaleSheetLayoutView="85" workbookViewId="0">
      <pane ySplit="3" topLeftCell="A4" activePane="bottomLeft" state="frozen"/>
      <selection activeCell="W7" sqref="W7:Z7"/>
      <selection pane="bottomLeft" activeCell="A4" sqref="A4:H4"/>
    </sheetView>
  </sheetViews>
  <sheetFormatPr defaultColWidth="1.875" defaultRowHeight="15" customHeight="1" x14ac:dyDescent="0.15"/>
  <cols>
    <col min="1" max="16384" width="1.875" style="17"/>
  </cols>
  <sheetData>
    <row r="1" spans="1:102" s="15" customFormat="1" ht="15" customHeight="1" x14ac:dyDescent="0.15">
      <c r="A1" s="200" t="s">
        <v>1</v>
      </c>
      <c r="B1" s="201"/>
      <c r="C1" s="201"/>
      <c r="D1" s="201"/>
      <c r="E1" s="201"/>
      <c r="F1" s="201"/>
      <c r="G1" s="201"/>
      <c r="H1" s="202"/>
      <c r="I1" s="203" t="str">
        <f>タイトル!I40</f>
        <v>　学生勤務管理システム</v>
      </c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5"/>
      <c r="AE1" s="206" t="s">
        <v>0</v>
      </c>
      <c r="AF1" s="207"/>
      <c r="AG1" s="207"/>
      <c r="AH1" s="207"/>
      <c r="AI1" s="207"/>
      <c r="AJ1" s="207"/>
      <c r="AK1" s="208"/>
      <c r="AL1" s="209" t="s">
        <v>52</v>
      </c>
      <c r="AM1" s="210"/>
      <c r="AN1" s="210"/>
      <c r="AO1" s="210"/>
      <c r="AP1" s="210"/>
      <c r="AQ1" s="210"/>
      <c r="AR1" s="210"/>
      <c r="AS1" s="210"/>
      <c r="AT1" s="210"/>
      <c r="AU1" s="210"/>
      <c r="AV1" s="210"/>
      <c r="AW1" s="210"/>
      <c r="AX1" s="210"/>
      <c r="AY1" s="210"/>
      <c r="AZ1" s="210"/>
      <c r="BA1" s="210"/>
      <c r="BB1" s="210"/>
      <c r="BC1" s="210"/>
      <c r="BD1" s="210"/>
      <c r="BE1" s="210"/>
      <c r="BF1" s="210"/>
      <c r="BG1" s="210"/>
      <c r="BH1" s="211"/>
      <c r="BI1" s="206" t="s">
        <v>12</v>
      </c>
      <c r="BJ1" s="207"/>
      <c r="BK1" s="207"/>
      <c r="BL1" s="208"/>
      <c r="BM1" s="212" t="str">
        <f>タイトル!I46</f>
        <v>木田　優</v>
      </c>
      <c r="BN1" s="213"/>
      <c r="BO1" s="213"/>
      <c r="BP1" s="213"/>
      <c r="BQ1" s="213"/>
      <c r="BR1" s="213"/>
      <c r="BS1" s="213"/>
      <c r="BT1" s="213"/>
      <c r="BU1" s="213"/>
      <c r="BV1" s="214"/>
      <c r="BW1" s="158">
        <f>タイトル!I47</f>
        <v>45197</v>
      </c>
      <c r="BX1" s="159"/>
      <c r="BY1" s="159"/>
      <c r="BZ1" s="159"/>
      <c r="CA1" s="159"/>
      <c r="CB1" s="159"/>
      <c r="CC1" s="159"/>
      <c r="CD1" s="159"/>
      <c r="CE1" s="160"/>
      <c r="CF1" s="161" t="s">
        <v>13</v>
      </c>
      <c r="CG1" s="162"/>
      <c r="CH1" s="162"/>
      <c r="CI1" s="162"/>
      <c r="CJ1" s="163"/>
      <c r="CK1" s="170" t="str">
        <f>タイトル!I50</f>
        <v>DUC010</v>
      </c>
      <c r="CL1" s="171"/>
      <c r="CM1" s="171"/>
      <c r="CN1" s="171"/>
      <c r="CO1" s="171"/>
      <c r="CP1" s="171"/>
      <c r="CQ1" s="171"/>
      <c r="CR1" s="172"/>
    </row>
    <row r="2" spans="1:102" s="15" customFormat="1" ht="15" customHeight="1" x14ac:dyDescent="0.15">
      <c r="A2" s="179" t="s">
        <v>14</v>
      </c>
      <c r="B2" s="180"/>
      <c r="C2" s="180"/>
      <c r="D2" s="180"/>
      <c r="E2" s="180"/>
      <c r="F2" s="180"/>
      <c r="G2" s="180"/>
      <c r="H2" s="181"/>
      <c r="I2" s="182" t="s">
        <v>53</v>
      </c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4"/>
      <c r="AE2" s="185" t="s">
        <v>32</v>
      </c>
      <c r="AF2" s="186"/>
      <c r="AG2" s="186"/>
      <c r="AH2" s="186"/>
      <c r="AI2" s="186"/>
      <c r="AJ2" s="186"/>
      <c r="AK2" s="187"/>
      <c r="AL2" s="188" t="str">
        <f>タイトル!I44</f>
        <v>　CZ-020_社員マスタ</v>
      </c>
      <c r="AM2" s="189"/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90"/>
      <c r="BI2" s="191" t="s">
        <v>15</v>
      </c>
      <c r="BJ2" s="192"/>
      <c r="BK2" s="192"/>
      <c r="BL2" s="193"/>
      <c r="BM2" s="194" t="s">
        <v>261</v>
      </c>
      <c r="BN2" s="195"/>
      <c r="BO2" s="195"/>
      <c r="BP2" s="195"/>
      <c r="BQ2" s="195"/>
      <c r="BR2" s="195"/>
      <c r="BS2" s="195"/>
      <c r="BT2" s="195"/>
      <c r="BU2" s="195"/>
      <c r="BV2" s="196"/>
      <c r="BW2" s="197">
        <v>45261</v>
      </c>
      <c r="BX2" s="198"/>
      <c r="BY2" s="198"/>
      <c r="BZ2" s="198"/>
      <c r="CA2" s="198"/>
      <c r="CB2" s="198"/>
      <c r="CC2" s="198"/>
      <c r="CD2" s="198"/>
      <c r="CE2" s="199"/>
      <c r="CF2" s="164"/>
      <c r="CG2" s="165"/>
      <c r="CH2" s="165"/>
      <c r="CI2" s="165"/>
      <c r="CJ2" s="166"/>
      <c r="CK2" s="173"/>
      <c r="CL2" s="174"/>
      <c r="CM2" s="174"/>
      <c r="CN2" s="174"/>
      <c r="CO2" s="174"/>
      <c r="CP2" s="174"/>
      <c r="CQ2" s="174"/>
      <c r="CR2" s="175"/>
    </row>
    <row r="3" spans="1:102" s="15" customFormat="1" ht="15" customHeight="1" thickBot="1" x14ac:dyDescent="0.2">
      <c r="A3" s="215"/>
      <c r="B3" s="216"/>
      <c r="C3" s="216"/>
      <c r="D3" s="216"/>
      <c r="E3" s="216"/>
      <c r="F3" s="216"/>
      <c r="G3" s="216"/>
      <c r="H3" s="217"/>
      <c r="I3" s="218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  <c r="AC3" s="219"/>
      <c r="AD3" s="220"/>
      <c r="AE3" s="167"/>
      <c r="AF3" s="168"/>
      <c r="AG3" s="168"/>
      <c r="AH3" s="168"/>
      <c r="AI3" s="168"/>
      <c r="AJ3" s="168"/>
      <c r="AK3" s="169"/>
      <c r="AL3" s="221"/>
      <c r="AM3" s="222"/>
      <c r="AN3" s="222"/>
      <c r="AO3" s="222"/>
      <c r="AP3" s="222"/>
      <c r="AQ3" s="222"/>
      <c r="AR3" s="222"/>
      <c r="AS3" s="222"/>
      <c r="AT3" s="222"/>
      <c r="AU3" s="222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22"/>
      <c r="BG3" s="222"/>
      <c r="BH3" s="223"/>
      <c r="BI3" s="224"/>
      <c r="BJ3" s="225"/>
      <c r="BK3" s="225"/>
      <c r="BL3" s="226"/>
      <c r="BM3" s="227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9"/>
      <c r="CF3" s="167"/>
      <c r="CG3" s="168"/>
      <c r="CH3" s="168"/>
      <c r="CI3" s="168"/>
      <c r="CJ3" s="169"/>
      <c r="CK3" s="176"/>
      <c r="CL3" s="177"/>
      <c r="CM3" s="177"/>
      <c r="CN3" s="177"/>
      <c r="CO3" s="177"/>
      <c r="CP3" s="177"/>
      <c r="CQ3" s="177"/>
      <c r="CR3" s="178"/>
    </row>
    <row r="4" spans="1:102" s="16" customFormat="1" ht="15" customHeight="1" x14ac:dyDescent="0.15">
      <c r="A4" s="236" t="s">
        <v>54</v>
      </c>
      <c r="B4" s="237"/>
      <c r="C4" s="237"/>
      <c r="D4" s="237"/>
      <c r="E4" s="237"/>
      <c r="F4" s="237"/>
      <c r="G4" s="237"/>
      <c r="H4" s="237"/>
      <c r="I4" s="238" t="str">
        <f ca="1">"　" &amp; RIGHT(CELL("filename",A1),LEN(CELL("filename",A1))-FIND("]",CELL("filename",A1)))</f>
        <v>　社員マスタ編集</v>
      </c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8"/>
      <c r="Y4" s="238"/>
      <c r="Z4" s="238"/>
      <c r="AA4" s="238"/>
      <c r="AB4" s="238"/>
      <c r="AC4" s="238"/>
      <c r="AD4" s="238"/>
      <c r="AE4" s="238"/>
      <c r="AF4" s="238"/>
      <c r="AG4" s="238"/>
      <c r="AH4" s="238"/>
      <c r="AI4" s="238"/>
      <c r="AJ4" s="238"/>
      <c r="AK4" s="238"/>
      <c r="AL4" s="237" t="s">
        <v>55</v>
      </c>
      <c r="AM4" s="237"/>
      <c r="AN4" s="237"/>
      <c r="AO4" s="237"/>
      <c r="AP4" s="237"/>
      <c r="AQ4" s="237"/>
      <c r="AR4" s="237"/>
      <c r="AS4" s="239" t="s">
        <v>115</v>
      </c>
      <c r="AT4" s="239"/>
      <c r="AU4" s="239"/>
      <c r="AV4" s="239"/>
      <c r="AW4" s="239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351" t="s">
        <v>35</v>
      </c>
      <c r="BJ4" s="352"/>
      <c r="BK4" s="352"/>
      <c r="BL4" s="352"/>
      <c r="BM4" s="352"/>
      <c r="BN4" s="352"/>
      <c r="BO4" s="352"/>
      <c r="BP4" s="352"/>
      <c r="BQ4" s="352"/>
      <c r="BR4" s="352"/>
      <c r="BS4" s="352"/>
      <c r="BT4" s="346" t="s">
        <v>76</v>
      </c>
      <c r="BU4" s="347"/>
      <c r="BV4" s="347"/>
      <c r="BW4" s="347"/>
      <c r="BX4" s="347"/>
      <c r="BY4" s="347"/>
      <c r="BZ4" s="347"/>
      <c r="CA4" s="347"/>
      <c r="CB4" s="347"/>
      <c r="CC4" s="347"/>
      <c r="CD4" s="347"/>
      <c r="CE4" s="347"/>
      <c r="CF4" s="347"/>
      <c r="CG4" s="347"/>
      <c r="CH4" s="347"/>
      <c r="CI4" s="347"/>
      <c r="CJ4" s="347"/>
      <c r="CK4" s="347"/>
      <c r="CL4" s="347"/>
      <c r="CM4" s="347"/>
      <c r="CN4" s="347"/>
      <c r="CO4" s="347"/>
      <c r="CP4" s="347"/>
      <c r="CQ4" s="347"/>
      <c r="CR4" s="348"/>
    </row>
    <row r="5" spans="1:102" s="12" customFormat="1" ht="15" customHeight="1" x14ac:dyDescent="0.15">
      <c r="A5" s="230" t="s">
        <v>56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1"/>
      <c r="AI5" s="231"/>
      <c r="AJ5" s="231"/>
      <c r="AK5" s="231"/>
      <c r="AL5" s="231"/>
      <c r="AM5" s="231"/>
      <c r="AN5" s="231"/>
      <c r="AO5" s="231"/>
      <c r="AP5" s="231"/>
      <c r="AQ5" s="231"/>
      <c r="AR5" s="231"/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349" t="s">
        <v>57</v>
      </c>
      <c r="BJ5" s="349"/>
      <c r="BK5" s="349"/>
      <c r="BL5" s="349"/>
      <c r="BM5" s="349"/>
      <c r="BN5" s="349"/>
      <c r="BO5" s="349"/>
      <c r="BP5" s="349"/>
      <c r="BQ5" s="349"/>
      <c r="BR5" s="349"/>
      <c r="BS5" s="349"/>
      <c r="BT5" s="349"/>
      <c r="BU5" s="349"/>
      <c r="BV5" s="349"/>
      <c r="BW5" s="349"/>
      <c r="BX5" s="349"/>
      <c r="BY5" s="349"/>
      <c r="BZ5" s="349"/>
      <c r="CA5" s="349"/>
      <c r="CB5" s="349"/>
      <c r="CC5" s="349"/>
      <c r="CD5" s="349"/>
      <c r="CE5" s="349"/>
      <c r="CF5" s="349"/>
      <c r="CG5" s="349"/>
      <c r="CH5" s="349"/>
      <c r="CI5" s="349"/>
      <c r="CJ5" s="349"/>
      <c r="CK5" s="349"/>
      <c r="CL5" s="349"/>
      <c r="CM5" s="349"/>
      <c r="CN5" s="349"/>
      <c r="CO5" s="349"/>
      <c r="CP5" s="349"/>
      <c r="CQ5" s="349"/>
      <c r="CR5" s="350"/>
    </row>
    <row r="6" spans="1:102" s="13" customFormat="1" ht="15" customHeight="1" x14ac:dyDescent="0.15">
      <c r="A6" s="46"/>
      <c r="B6" s="47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18"/>
      <c r="BI6" s="49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1"/>
      <c r="CX6" s="48"/>
    </row>
    <row r="7" spans="1:102" s="13" customFormat="1" ht="15" customHeight="1" x14ac:dyDescent="0.15">
      <c r="A7" s="4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52"/>
      <c r="BJ7" s="18" t="s">
        <v>58</v>
      </c>
      <c r="BK7" s="18" t="s">
        <v>116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9"/>
      <c r="CX7" s="18"/>
    </row>
    <row r="8" spans="1:102" s="13" customFormat="1" ht="15" customHeight="1" x14ac:dyDescent="0.15">
      <c r="A8" s="4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52"/>
      <c r="BJ8" s="18"/>
      <c r="BK8" s="18" t="s">
        <v>301</v>
      </c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9"/>
      <c r="CX8" s="18"/>
    </row>
    <row r="9" spans="1:102" s="13" customFormat="1" ht="15" customHeight="1" x14ac:dyDescent="0.15">
      <c r="A9" s="4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52"/>
      <c r="BJ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9"/>
      <c r="CX9" s="18"/>
    </row>
    <row r="10" spans="1:102" s="13" customFormat="1" ht="15" customHeight="1" x14ac:dyDescent="0.15">
      <c r="A10" s="4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52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9"/>
      <c r="CX10" s="18"/>
    </row>
    <row r="11" spans="1:102" s="13" customFormat="1" ht="15" customHeight="1" x14ac:dyDescent="0.15">
      <c r="A11" s="4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52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9"/>
      <c r="CX11" s="18"/>
    </row>
    <row r="12" spans="1:102" s="13" customFormat="1" ht="15" customHeight="1" x14ac:dyDescent="0.15">
      <c r="A12" s="4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66" t="s">
        <v>59</v>
      </c>
      <c r="BJ12" s="231"/>
      <c r="BK12" s="231"/>
      <c r="BL12" s="231"/>
      <c r="BM12" s="231"/>
      <c r="BN12" s="231"/>
      <c r="BO12" s="231"/>
      <c r="BP12" s="231"/>
      <c r="BQ12" s="231"/>
      <c r="BR12" s="231"/>
      <c r="BS12" s="231"/>
      <c r="BT12" s="231"/>
      <c r="BU12" s="231"/>
      <c r="BV12" s="231"/>
      <c r="BW12" s="231"/>
      <c r="BX12" s="231"/>
      <c r="BY12" s="231"/>
      <c r="BZ12" s="231"/>
      <c r="CA12" s="231"/>
      <c r="CB12" s="231"/>
      <c r="CC12" s="231"/>
      <c r="CD12" s="231"/>
      <c r="CE12" s="231"/>
      <c r="CF12" s="231"/>
      <c r="CG12" s="231"/>
      <c r="CH12" s="231"/>
      <c r="CI12" s="231"/>
      <c r="CJ12" s="231"/>
      <c r="CK12" s="231"/>
      <c r="CL12" s="231"/>
      <c r="CM12" s="231"/>
      <c r="CN12" s="231"/>
      <c r="CO12" s="231"/>
      <c r="CP12" s="231"/>
      <c r="CQ12" s="231"/>
      <c r="CR12" s="232"/>
      <c r="CX12" s="18"/>
    </row>
    <row r="13" spans="1:102" s="13" customFormat="1" ht="15" customHeight="1" x14ac:dyDescent="0.15">
      <c r="A13" s="4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52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9"/>
      <c r="CX13" s="18"/>
    </row>
    <row r="14" spans="1:102" s="13" customFormat="1" ht="15" customHeight="1" x14ac:dyDescent="0.15">
      <c r="A14" s="4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52"/>
      <c r="BJ14" s="18" t="s">
        <v>60</v>
      </c>
      <c r="BK14" s="18" t="s">
        <v>119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9"/>
      <c r="CX14" s="18"/>
    </row>
    <row r="15" spans="1:102" s="13" customFormat="1" ht="15" customHeight="1" x14ac:dyDescent="0.15">
      <c r="A15" s="4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52"/>
      <c r="BJ15" s="18" t="s">
        <v>60</v>
      </c>
      <c r="BK15" s="18" t="s">
        <v>316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9"/>
      <c r="CX15" s="18"/>
    </row>
    <row r="16" spans="1:102" s="13" customFormat="1" ht="15" customHeight="1" x14ac:dyDescent="0.15">
      <c r="A16" s="4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52"/>
      <c r="BJ16" s="18" t="s">
        <v>60</v>
      </c>
      <c r="BK16" s="18" t="s">
        <v>71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9"/>
      <c r="CX16" s="18"/>
    </row>
    <row r="17" spans="1:123" s="13" customFormat="1" ht="15" customHeight="1" x14ac:dyDescent="0.15">
      <c r="A17" s="4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52"/>
      <c r="BJ17" s="18" t="s">
        <v>60</v>
      </c>
      <c r="BK17" s="18" t="s">
        <v>72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9"/>
      <c r="CX17" s="18"/>
    </row>
    <row r="18" spans="1:123" s="13" customFormat="1" ht="15" customHeight="1" x14ac:dyDescent="0.15">
      <c r="A18" s="4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52"/>
      <c r="BJ18" s="18" t="s">
        <v>60</v>
      </c>
      <c r="BK18" s="18" t="s">
        <v>73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9"/>
      <c r="CX18" s="18"/>
    </row>
    <row r="19" spans="1:123" s="13" customFormat="1" ht="15" customHeight="1" x14ac:dyDescent="0.15">
      <c r="A19" s="4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52"/>
      <c r="BJ19" s="18" t="s">
        <v>60</v>
      </c>
      <c r="BK19" s="18" t="s">
        <v>252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9"/>
      <c r="CX19" s="18"/>
    </row>
    <row r="20" spans="1:123" s="13" customFormat="1" ht="15" customHeight="1" x14ac:dyDescent="0.15">
      <c r="A20" s="4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52"/>
      <c r="BJ20" s="18" t="s">
        <v>60</v>
      </c>
      <c r="BK20" s="18" t="s">
        <v>74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9"/>
      <c r="CX20" s="18"/>
    </row>
    <row r="21" spans="1:123" s="13" customFormat="1" ht="15" customHeight="1" x14ac:dyDescent="0.15">
      <c r="A21" s="46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52"/>
      <c r="BJ21" s="18" t="s">
        <v>60</v>
      </c>
      <c r="BK21" s="18" t="s">
        <v>136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9"/>
      <c r="CX21" s="18"/>
    </row>
    <row r="22" spans="1:123" s="13" customFormat="1" ht="15" customHeight="1" x14ac:dyDescent="0.15">
      <c r="A22" s="4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52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9"/>
      <c r="CX22" s="18"/>
    </row>
    <row r="23" spans="1:123" s="13" customFormat="1" ht="15" customHeight="1" x14ac:dyDescent="0.15">
      <c r="A23" s="4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52"/>
      <c r="BJ23" s="18" t="s">
        <v>120</v>
      </c>
      <c r="BK23" s="18" t="s">
        <v>298</v>
      </c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9"/>
      <c r="CX23" s="18"/>
    </row>
    <row r="24" spans="1:123" s="13" customFormat="1" ht="15" customHeight="1" x14ac:dyDescent="0.15">
      <c r="A24" s="46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52"/>
      <c r="BJ24" s="18"/>
      <c r="BK24" s="18" t="s">
        <v>299</v>
      </c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9"/>
      <c r="CX24" s="18"/>
    </row>
    <row r="25" spans="1:123" s="13" customFormat="1" ht="15" customHeight="1" x14ac:dyDescent="0.15">
      <c r="A25" s="4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52"/>
      <c r="BK25" s="18" t="s">
        <v>300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9"/>
      <c r="CX25" s="18"/>
    </row>
    <row r="26" spans="1:123" s="13" customFormat="1" ht="15" customHeight="1" x14ac:dyDescent="0.15">
      <c r="A26" s="4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52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9"/>
      <c r="CX26" s="18"/>
    </row>
    <row r="27" spans="1:123" s="13" customFormat="1" ht="15" customHeight="1" x14ac:dyDescent="0.15">
      <c r="A27" s="4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52"/>
      <c r="BJ27" s="18" t="s">
        <v>60</v>
      </c>
      <c r="BK27" s="18" t="s">
        <v>121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9"/>
      <c r="CV27" s="18"/>
      <c r="CX27" s="18"/>
    </row>
    <row r="28" spans="1:123" s="13" customFormat="1" ht="15" customHeight="1" x14ac:dyDescent="0.15">
      <c r="A28" s="46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52"/>
      <c r="BJ28" s="18" t="s">
        <v>60</v>
      </c>
      <c r="BK28" s="18" t="s">
        <v>183</v>
      </c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9"/>
      <c r="CX28" s="18"/>
    </row>
    <row r="29" spans="1:123" s="13" customFormat="1" ht="15" customHeight="1" x14ac:dyDescent="0.15">
      <c r="A29" s="46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52"/>
      <c r="BJ29" s="18" t="s">
        <v>60</v>
      </c>
      <c r="BK29" s="18" t="s">
        <v>235</v>
      </c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9"/>
      <c r="CX29" s="18"/>
    </row>
    <row r="30" spans="1:123" s="13" customFormat="1" ht="15" customHeight="1" x14ac:dyDescent="0.15">
      <c r="A30" s="4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52"/>
      <c r="BJ30" s="18" t="s">
        <v>60</v>
      </c>
      <c r="BK30" s="18" t="s">
        <v>253</v>
      </c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9"/>
      <c r="CX30" s="18"/>
    </row>
    <row r="31" spans="1:123" s="13" customFormat="1" ht="15" customHeight="1" x14ac:dyDescent="0.15">
      <c r="A31" s="46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52"/>
      <c r="BJ31" s="18" t="s">
        <v>60</v>
      </c>
      <c r="BK31" s="18" t="s">
        <v>236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9"/>
      <c r="CX31" s="18"/>
    </row>
    <row r="32" spans="1:123" s="13" customFormat="1" ht="15" customHeight="1" x14ac:dyDescent="0.15">
      <c r="A32" s="46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52"/>
      <c r="BJ32" s="18" t="s">
        <v>60</v>
      </c>
      <c r="BK32" s="18" t="s">
        <v>122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9"/>
      <c r="CX32" s="18"/>
      <c r="DO32" s="18"/>
      <c r="DP32" s="18"/>
      <c r="DQ32" s="18"/>
      <c r="DR32" s="18"/>
      <c r="DS32" s="18"/>
    </row>
    <row r="33" spans="1:123" s="13" customFormat="1" ht="15" customHeight="1" x14ac:dyDescent="0.15">
      <c r="A33" s="46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52"/>
      <c r="BJ33" s="18" t="s">
        <v>60</v>
      </c>
      <c r="BK33" s="18" t="s">
        <v>346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9"/>
      <c r="CX33" s="18"/>
      <c r="DO33" s="18"/>
      <c r="DP33" s="18"/>
      <c r="DQ33" s="18"/>
      <c r="DR33" s="18"/>
      <c r="DS33" s="18"/>
    </row>
    <row r="34" spans="1:123" s="13" customFormat="1" ht="15" customHeight="1" x14ac:dyDescent="0.15">
      <c r="A34" s="4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52"/>
      <c r="BJ34" s="18" t="s">
        <v>60</v>
      </c>
      <c r="BK34" s="18" t="s">
        <v>275</v>
      </c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9"/>
      <c r="CX34" s="18"/>
    </row>
    <row r="35" spans="1:123" s="13" customFormat="1" ht="15" customHeight="1" x14ac:dyDescent="0.15">
      <c r="A35" s="4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52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9"/>
      <c r="CX35" s="18"/>
    </row>
    <row r="36" spans="1:123" s="13" customFormat="1" ht="15" customHeight="1" x14ac:dyDescent="0.15">
      <c r="A36" s="4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52"/>
      <c r="BJ36" s="18" t="s">
        <v>60</v>
      </c>
      <c r="BK36" s="18" t="s">
        <v>124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9"/>
      <c r="CX36" s="18"/>
    </row>
    <row r="37" spans="1:123" s="13" customFormat="1" ht="15" customHeight="1" x14ac:dyDescent="0.15">
      <c r="A37" s="20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52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9"/>
      <c r="CX37" s="18"/>
    </row>
    <row r="38" spans="1:123" s="13" customFormat="1" ht="15" customHeight="1" x14ac:dyDescent="0.15">
      <c r="A38" s="230" t="s">
        <v>61</v>
      </c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31"/>
      <c r="Z38" s="231"/>
      <c r="AA38" s="231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231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66" t="s">
        <v>62</v>
      </c>
      <c r="BJ38" s="231"/>
      <c r="BK38" s="231"/>
      <c r="BL38" s="231"/>
      <c r="BM38" s="231"/>
      <c r="BN38" s="231"/>
      <c r="BO38" s="231"/>
      <c r="BP38" s="231"/>
      <c r="BQ38" s="231"/>
      <c r="BR38" s="231"/>
      <c r="BS38" s="231"/>
      <c r="BT38" s="231"/>
      <c r="BU38" s="231"/>
      <c r="BV38" s="231"/>
      <c r="BW38" s="231"/>
      <c r="BX38" s="231"/>
      <c r="BY38" s="231"/>
      <c r="BZ38" s="231"/>
      <c r="CA38" s="231"/>
      <c r="CB38" s="231"/>
      <c r="CC38" s="231"/>
      <c r="CD38" s="231"/>
      <c r="CE38" s="231"/>
      <c r="CF38" s="231"/>
      <c r="CG38" s="231"/>
      <c r="CH38" s="231"/>
      <c r="CI38" s="231"/>
      <c r="CJ38" s="231"/>
      <c r="CK38" s="231"/>
      <c r="CL38" s="231"/>
      <c r="CM38" s="231"/>
      <c r="CN38" s="231"/>
      <c r="CO38" s="231"/>
      <c r="CP38" s="231"/>
      <c r="CQ38" s="231"/>
      <c r="CR38" s="232"/>
    </row>
    <row r="39" spans="1:123" s="13" customFormat="1" ht="15" customHeight="1" x14ac:dyDescent="0.15">
      <c r="A39" s="230" t="s">
        <v>63</v>
      </c>
      <c r="B39" s="231"/>
      <c r="C39" s="231"/>
      <c r="D39" s="231"/>
      <c r="E39" s="231"/>
      <c r="F39" s="231"/>
      <c r="G39" s="231"/>
      <c r="H39" s="231"/>
      <c r="I39" s="231"/>
      <c r="J39" s="267"/>
      <c r="K39" s="266" t="s">
        <v>64</v>
      </c>
      <c r="L39" s="231"/>
      <c r="M39" s="231"/>
      <c r="N39" s="231"/>
      <c r="O39" s="231"/>
      <c r="P39" s="231"/>
      <c r="Q39" s="231"/>
      <c r="R39" s="231"/>
      <c r="S39" s="2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267"/>
      <c r="AW39" s="266" t="s">
        <v>65</v>
      </c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67"/>
      <c r="BI39" s="52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9"/>
    </row>
    <row r="40" spans="1:123" s="13" customFormat="1" ht="15" customHeight="1" x14ac:dyDescent="0.15">
      <c r="A40" s="376" t="s">
        <v>302</v>
      </c>
      <c r="B40" s="377"/>
      <c r="C40" s="377"/>
      <c r="D40" s="377"/>
      <c r="E40" s="377"/>
      <c r="F40" s="377"/>
      <c r="G40" s="377"/>
      <c r="H40" s="377"/>
      <c r="I40" s="377"/>
      <c r="J40" s="378"/>
      <c r="K40" s="379" t="s">
        <v>302</v>
      </c>
      <c r="L40" s="380"/>
      <c r="M40" s="380"/>
      <c r="N40" s="380"/>
      <c r="O40" s="380"/>
      <c r="P40" s="380"/>
      <c r="Q40" s="380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  <c r="AL40" s="380"/>
      <c r="AM40" s="380"/>
      <c r="AN40" s="380"/>
      <c r="AO40" s="380"/>
      <c r="AP40" s="380"/>
      <c r="AQ40" s="380"/>
      <c r="AR40" s="380"/>
      <c r="AS40" s="380"/>
      <c r="AT40" s="380"/>
      <c r="AU40" s="380"/>
      <c r="AV40" s="381"/>
      <c r="AW40" s="353" t="s">
        <v>303</v>
      </c>
      <c r="AX40" s="354"/>
      <c r="AY40" s="354"/>
      <c r="AZ40" s="354"/>
      <c r="BA40" s="354"/>
      <c r="BB40" s="354"/>
      <c r="BC40" s="354"/>
      <c r="BD40" s="354"/>
      <c r="BE40" s="354"/>
      <c r="BF40" s="354"/>
      <c r="BG40" s="354"/>
      <c r="BH40" s="355"/>
      <c r="BI40" s="52"/>
      <c r="BJ40" s="18" t="s">
        <v>347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9"/>
    </row>
    <row r="41" spans="1:123" s="13" customFormat="1" ht="15" customHeight="1" x14ac:dyDescent="0.15">
      <c r="A41" s="272"/>
      <c r="B41" s="273"/>
      <c r="C41" s="273"/>
      <c r="D41" s="273"/>
      <c r="E41" s="273"/>
      <c r="F41" s="273"/>
      <c r="G41" s="273"/>
      <c r="H41" s="273"/>
      <c r="I41" s="273"/>
      <c r="J41" s="274"/>
      <c r="K41" s="275"/>
      <c r="L41" s="273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3"/>
      <c r="Y41" s="273"/>
      <c r="Z41" s="273"/>
      <c r="AA41" s="273"/>
      <c r="AB41" s="273"/>
      <c r="AC41" s="273"/>
      <c r="AD41" s="273"/>
      <c r="AE41" s="273"/>
      <c r="AF41" s="273"/>
      <c r="AG41" s="273"/>
      <c r="AH41" s="273"/>
      <c r="AI41" s="273"/>
      <c r="AJ41" s="273"/>
      <c r="AK41" s="273"/>
      <c r="AL41" s="273"/>
      <c r="AM41" s="273"/>
      <c r="AN41" s="273"/>
      <c r="AO41" s="273"/>
      <c r="AP41" s="273"/>
      <c r="AQ41" s="273"/>
      <c r="AR41" s="273"/>
      <c r="AS41" s="273"/>
      <c r="AT41" s="273"/>
      <c r="AU41" s="273"/>
      <c r="AV41" s="274"/>
      <c r="AW41" s="275"/>
      <c r="AX41" s="273"/>
      <c r="AY41" s="273"/>
      <c r="AZ41" s="273"/>
      <c r="BA41" s="273"/>
      <c r="BB41" s="273"/>
      <c r="BC41" s="273"/>
      <c r="BD41" s="273"/>
      <c r="BE41" s="273"/>
      <c r="BF41" s="273"/>
      <c r="BG41" s="273"/>
      <c r="BH41" s="274"/>
      <c r="BI41" s="52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9"/>
    </row>
    <row r="42" spans="1:123" s="13" customFormat="1" ht="15" customHeight="1" x14ac:dyDescent="0.15">
      <c r="A42" s="272"/>
      <c r="B42" s="273"/>
      <c r="C42" s="273"/>
      <c r="D42" s="273"/>
      <c r="E42" s="273"/>
      <c r="F42" s="273"/>
      <c r="G42" s="273"/>
      <c r="H42" s="273"/>
      <c r="I42" s="273"/>
      <c r="J42" s="274"/>
      <c r="K42" s="275"/>
      <c r="L42" s="273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  <c r="AJ42" s="273"/>
      <c r="AK42" s="273"/>
      <c r="AL42" s="273"/>
      <c r="AM42" s="273"/>
      <c r="AN42" s="273"/>
      <c r="AO42" s="273"/>
      <c r="AP42" s="273"/>
      <c r="AQ42" s="273"/>
      <c r="AR42" s="273"/>
      <c r="AS42" s="273"/>
      <c r="AT42" s="273"/>
      <c r="AU42" s="273"/>
      <c r="AV42" s="274"/>
      <c r="AW42" s="275"/>
      <c r="AX42" s="273"/>
      <c r="AY42" s="273"/>
      <c r="AZ42" s="273"/>
      <c r="BA42" s="273"/>
      <c r="BB42" s="273"/>
      <c r="BC42" s="273"/>
      <c r="BD42" s="273"/>
      <c r="BE42" s="273"/>
      <c r="BF42" s="273"/>
      <c r="BG42" s="273"/>
      <c r="BH42" s="274"/>
      <c r="BI42" s="52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9"/>
    </row>
    <row r="43" spans="1:123" s="13" customFormat="1" ht="15" customHeight="1" x14ac:dyDescent="0.15">
      <c r="A43" s="272"/>
      <c r="B43" s="273"/>
      <c r="C43" s="273"/>
      <c r="D43" s="273"/>
      <c r="E43" s="273"/>
      <c r="F43" s="273"/>
      <c r="G43" s="273"/>
      <c r="H43" s="273"/>
      <c r="I43" s="273"/>
      <c r="J43" s="274"/>
      <c r="K43" s="275"/>
      <c r="L43" s="273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3"/>
      <c r="Y43" s="273"/>
      <c r="Z43" s="273"/>
      <c r="AA43" s="273"/>
      <c r="AB43" s="273"/>
      <c r="AC43" s="273"/>
      <c r="AD43" s="273"/>
      <c r="AE43" s="273"/>
      <c r="AF43" s="273"/>
      <c r="AG43" s="273"/>
      <c r="AH43" s="273"/>
      <c r="AI43" s="273"/>
      <c r="AJ43" s="273"/>
      <c r="AK43" s="273"/>
      <c r="AL43" s="273"/>
      <c r="AM43" s="273"/>
      <c r="AN43" s="273"/>
      <c r="AO43" s="273"/>
      <c r="AP43" s="273"/>
      <c r="AQ43" s="273"/>
      <c r="AR43" s="273"/>
      <c r="AS43" s="273"/>
      <c r="AT43" s="273"/>
      <c r="AU43" s="273"/>
      <c r="AV43" s="274"/>
      <c r="AW43" s="275"/>
      <c r="AX43" s="273"/>
      <c r="AY43" s="273"/>
      <c r="AZ43" s="273"/>
      <c r="BA43" s="273"/>
      <c r="BB43" s="273"/>
      <c r="BC43" s="273"/>
      <c r="BD43" s="273"/>
      <c r="BE43" s="273"/>
      <c r="BF43" s="273"/>
      <c r="BG43" s="273"/>
      <c r="BH43" s="274"/>
      <c r="BI43" s="266" t="s">
        <v>66</v>
      </c>
      <c r="BJ43" s="231"/>
      <c r="BK43" s="231"/>
      <c r="BL43" s="231"/>
      <c r="BM43" s="231"/>
      <c r="BN43" s="231"/>
      <c r="BO43" s="231"/>
      <c r="BP43" s="231"/>
      <c r="BQ43" s="231"/>
      <c r="BR43" s="231"/>
      <c r="BS43" s="231"/>
      <c r="BT43" s="231"/>
      <c r="BU43" s="231"/>
      <c r="BV43" s="231"/>
      <c r="BW43" s="231"/>
      <c r="BX43" s="231"/>
      <c r="BY43" s="231"/>
      <c r="BZ43" s="231"/>
      <c r="CA43" s="231"/>
      <c r="CB43" s="231"/>
      <c r="CC43" s="231"/>
      <c r="CD43" s="231"/>
      <c r="CE43" s="231"/>
      <c r="CF43" s="231"/>
      <c r="CG43" s="231"/>
      <c r="CH43" s="231"/>
      <c r="CI43" s="231"/>
      <c r="CJ43" s="231"/>
      <c r="CK43" s="231"/>
      <c r="CL43" s="231"/>
      <c r="CM43" s="231"/>
      <c r="CN43" s="231"/>
      <c r="CO43" s="231"/>
      <c r="CP43" s="231"/>
      <c r="CQ43" s="231"/>
      <c r="CR43" s="232"/>
    </row>
    <row r="44" spans="1:123" s="13" customFormat="1" ht="15" customHeight="1" x14ac:dyDescent="0.15">
      <c r="A44" s="272"/>
      <c r="B44" s="273"/>
      <c r="C44" s="273"/>
      <c r="D44" s="273"/>
      <c r="E44" s="273"/>
      <c r="F44" s="273"/>
      <c r="G44" s="273"/>
      <c r="H44" s="273"/>
      <c r="I44" s="273"/>
      <c r="J44" s="274"/>
      <c r="K44" s="275"/>
      <c r="L44" s="273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  <c r="AJ44" s="273"/>
      <c r="AK44" s="273"/>
      <c r="AL44" s="273"/>
      <c r="AM44" s="273"/>
      <c r="AN44" s="273"/>
      <c r="AO44" s="273"/>
      <c r="AP44" s="273"/>
      <c r="AQ44" s="273"/>
      <c r="AR44" s="273"/>
      <c r="AS44" s="273"/>
      <c r="AT44" s="273"/>
      <c r="AU44" s="273"/>
      <c r="AV44" s="274"/>
      <c r="AW44" s="275"/>
      <c r="AX44" s="273"/>
      <c r="AY44" s="273"/>
      <c r="AZ44" s="273"/>
      <c r="BA44" s="273"/>
      <c r="BB44" s="273"/>
      <c r="BC44" s="273"/>
      <c r="BD44" s="273"/>
      <c r="BE44" s="273"/>
      <c r="BF44" s="273"/>
      <c r="BG44" s="273"/>
      <c r="BH44" s="274"/>
      <c r="BI44" s="52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9"/>
    </row>
    <row r="45" spans="1:123" s="13" customFormat="1" ht="15" customHeight="1" x14ac:dyDescent="0.15">
      <c r="A45" s="272"/>
      <c r="B45" s="273"/>
      <c r="C45" s="273"/>
      <c r="D45" s="273"/>
      <c r="E45" s="273"/>
      <c r="F45" s="273"/>
      <c r="G45" s="273"/>
      <c r="H45" s="273"/>
      <c r="I45" s="273"/>
      <c r="J45" s="274"/>
      <c r="K45" s="275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  <c r="AJ45" s="273"/>
      <c r="AK45" s="273"/>
      <c r="AL45" s="273"/>
      <c r="AM45" s="273"/>
      <c r="AN45" s="273"/>
      <c r="AO45" s="273"/>
      <c r="AP45" s="273"/>
      <c r="AQ45" s="273"/>
      <c r="AR45" s="273"/>
      <c r="AS45" s="273"/>
      <c r="AT45" s="273"/>
      <c r="AU45" s="273"/>
      <c r="AV45" s="274"/>
      <c r="AW45" s="275"/>
      <c r="AX45" s="273"/>
      <c r="AY45" s="273"/>
      <c r="AZ45" s="273"/>
      <c r="BA45" s="273"/>
      <c r="BB45" s="273"/>
      <c r="BC45" s="273"/>
      <c r="BD45" s="273"/>
      <c r="BE45" s="273"/>
      <c r="BF45" s="273"/>
      <c r="BG45" s="273"/>
      <c r="BH45" s="274"/>
      <c r="BI45" s="52"/>
      <c r="BJ45" s="18" t="s">
        <v>123</v>
      </c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9"/>
    </row>
    <row r="46" spans="1:123" s="13" customFormat="1" ht="15" customHeight="1" x14ac:dyDescent="0.15">
      <c r="A46" s="272"/>
      <c r="B46" s="273"/>
      <c r="C46" s="273"/>
      <c r="D46" s="273"/>
      <c r="E46" s="273"/>
      <c r="F46" s="273"/>
      <c r="G46" s="273"/>
      <c r="H46" s="273"/>
      <c r="I46" s="273"/>
      <c r="J46" s="274"/>
      <c r="K46" s="275"/>
      <c r="L46" s="273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3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4"/>
      <c r="AW46" s="275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4"/>
      <c r="BI46" s="52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9"/>
    </row>
    <row r="47" spans="1:123" s="13" customFormat="1" ht="15" customHeight="1" thickBot="1" x14ac:dyDescent="0.2">
      <c r="A47" s="356"/>
      <c r="B47" s="357"/>
      <c r="C47" s="357"/>
      <c r="D47" s="357"/>
      <c r="E47" s="357"/>
      <c r="F47" s="357"/>
      <c r="G47" s="357"/>
      <c r="H47" s="357"/>
      <c r="I47" s="357"/>
      <c r="J47" s="358"/>
      <c r="K47" s="359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7"/>
      <c r="AB47" s="357"/>
      <c r="AC47" s="357"/>
      <c r="AD47" s="357"/>
      <c r="AE47" s="357"/>
      <c r="AF47" s="357"/>
      <c r="AG47" s="357"/>
      <c r="AH47" s="357"/>
      <c r="AI47" s="357"/>
      <c r="AJ47" s="357"/>
      <c r="AK47" s="357"/>
      <c r="AL47" s="357"/>
      <c r="AM47" s="357"/>
      <c r="AN47" s="357"/>
      <c r="AO47" s="357"/>
      <c r="AP47" s="357"/>
      <c r="AQ47" s="357"/>
      <c r="AR47" s="357"/>
      <c r="AS47" s="357"/>
      <c r="AT47" s="357"/>
      <c r="AU47" s="357"/>
      <c r="AV47" s="358"/>
      <c r="AW47" s="359"/>
      <c r="AX47" s="357"/>
      <c r="AY47" s="357"/>
      <c r="AZ47" s="357"/>
      <c r="BA47" s="357"/>
      <c r="BB47" s="357"/>
      <c r="BC47" s="357"/>
      <c r="BD47" s="357"/>
      <c r="BE47" s="357"/>
      <c r="BF47" s="357"/>
      <c r="BG47" s="357"/>
      <c r="BH47" s="358"/>
      <c r="BI47" s="53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5"/>
    </row>
    <row r="48" spans="1:123" s="12" customFormat="1" ht="15" customHeight="1" x14ac:dyDescent="0.15">
      <c r="A48" s="230" t="s">
        <v>67</v>
      </c>
      <c r="B48" s="231"/>
      <c r="C48" s="231"/>
      <c r="D48" s="231"/>
      <c r="E48" s="231"/>
      <c r="F48" s="231"/>
      <c r="G48" s="231"/>
      <c r="H48" s="231"/>
      <c r="I48" s="231"/>
      <c r="J48" s="231"/>
      <c r="K48" s="231"/>
      <c r="L48" s="231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  <c r="AF48" s="231"/>
      <c r="AG48" s="231"/>
      <c r="AH48" s="231"/>
      <c r="AI48" s="231"/>
      <c r="AJ48" s="231"/>
      <c r="AK48" s="231"/>
      <c r="AL48" s="231"/>
      <c r="AM48" s="231"/>
      <c r="AN48" s="231"/>
      <c r="AO48" s="231"/>
      <c r="AP48" s="231"/>
      <c r="AQ48" s="231"/>
      <c r="AR48" s="231"/>
      <c r="AS48" s="231"/>
      <c r="AT48" s="231"/>
      <c r="AU48" s="231"/>
      <c r="AV48" s="231"/>
      <c r="AW48" s="231"/>
      <c r="AX48" s="231"/>
      <c r="AY48" s="231"/>
      <c r="AZ48" s="231"/>
      <c r="BA48" s="231"/>
      <c r="BB48" s="231"/>
      <c r="BC48" s="231"/>
      <c r="BD48" s="231"/>
      <c r="BE48" s="231"/>
      <c r="BF48" s="231"/>
      <c r="BG48" s="231"/>
      <c r="BH48" s="231"/>
      <c r="BI48" s="231"/>
      <c r="BJ48" s="231"/>
      <c r="BK48" s="231"/>
      <c r="BL48" s="231"/>
      <c r="BM48" s="231"/>
      <c r="BN48" s="231"/>
      <c r="BO48" s="231"/>
      <c r="BP48" s="231"/>
      <c r="BQ48" s="231"/>
      <c r="BR48" s="231"/>
      <c r="BS48" s="231"/>
      <c r="BT48" s="231"/>
      <c r="BU48" s="231"/>
      <c r="BV48" s="231"/>
      <c r="BW48" s="231"/>
      <c r="BX48" s="231"/>
      <c r="BY48" s="231"/>
      <c r="BZ48" s="231"/>
      <c r="CA48" s="231"/>
      <c r="CB48" s="231"/>
      <c r="CC48" s="231"/>
      <c r="CD48" s="231"/>
      <c r="CE48" s="231"/>
      <c r="CF48" s="231"/>
      <c r="CG48" s="231"/>
      <c r="CH48" s="231"/>
      <c r="CI48" s="231"/>
      <c r="CJ48" s="231"/>
      <c r="CK48" s="231"/>
      <c r="CL48" s="231"/>
      <c r="CM48" s="231"/>
      <c r="CN48" s="231"/>
      <c r="CO48" s="231"/>
      <c r="CP48" s="231"/>
      <c r="CQ48" s="231"/>
      <c r="CR48" s="232"/>
    </row>
    <row r="49" spans="1:96" s="59" customFormat="1" ht="15" customHeight="1" x14ac:dyDescent="0.15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8"/>
    </row>
    <row r="50" spans="1:96" s="59" customFormat="1" ht="15" customHeight="1" x14ac:dyDescent="0.15">
      <c r="A50" s="56"/>
      <c r="B50" s="57" t="s">
        <v>90</v>
      </c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 t="s">
        <v>233</v>
      </c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8"/>
    </row>
    <row r="51" spans="1:96" s="59" customFormat="1" ht="15" customHeight="1" thickBot="1" x14ac:dyDescent="0.2">
      <c r="A51" s="56"/>
      <c r="B51" s="300" t="s">
        <v>91</v>
      </c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2"/>
      <c r="P51" s="300" t="s">
        <v>92</v>
      </c>
      <c r="Q51" s="301"/>
      <c r="R51" s="301"/>
      <c r="S51" s="301"/>
      <c r="T51" s="302"/>
      <c r="U51" s="300" t="s">
        <v>93</v>
      </c>
      <c r="V51" s="301"/>
      <c r="W51" s="302"/>
      <c r="X51" s="300" t="s">
        <v>94</v>
      </c>
      <c r="Y51" s="301"/>
      <c r="Z51" s="301"/>
      <c r="AA51" s="301"/>
      <c r="AB51" s="301"/>
      <c r="AC51" s="301"/>
      <c r="AD51" s="301"/>
      <c r="AE51" s="301"/>
      <c r="AF51" s="301"/>
      <c r="AG51" s="301"/>
      <c r="AH51" s="301"/>
      <c r="AI51" s="301"/>
      <c r="AJ51" s="301"/>
      <c r="AK51" s="301"/>
      <c r="AL51" s="301"/>
      <c r="AM51" s="301"/>
      <c r="AN51" s="301"/>
      <c r="AO51" s="301"/>
      <c r="AP51" s="301"/>
      <c r="AQ51" s="301"/>
      <c r="AR51" s="301"/>
      <c r="AS51" s="301"/>
      <c r="AT51" s="302"/>
      <c r="AU51" s="57"/>
      <c r="AV51" s="57"/>
      <c r="AW51" s="57"/>
      <c r="AX51" s="57"/>
      <c r="AY51" s="57"/>
      <c r="AZ51" s="59" t="s">
        <v>335</v>
      </c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8"/>
    </row>
    <row r="52" spans="1:96" s="59" customFormat="1" ht="15" customHeight="1" thickBot="1" x14ac:dyDescent="0.2">
      <c r="A52" s="56"/>
      <c r="B52" s="257" t="s">
        <v>305</v>
      </c>
      <c r="C52" s="257"/>
      <c r="D52" s="257"/>
      <c r="E52" s="257"/>
      <c r="F52" s="257"/>
      <c r="G52" s="257"/>
      <c r="H52" s="257"/>
      <c r="I52" s="257"/>
      <c r="J52" s="257"/>
      <c r="K52" s="257"/>
      <c r="L52" s="257"/>
      <c r="M52" s="257"/>
      <c r="N52" s="257"/>
      <c r="O52" s="257"/>
      <c r="P52" s="294" t="s">
        <v>95</v>
      </c>
      <c r="Q52" s="294"/>
      <c r="R52" s="294"/>
      <c r="S52" s="294"/>
      <c r="T52" s="294"/>
      <c r="U52" s="290" t="s">
        <v>96</v>
      </c>
      <c r="V52" s="291"/>
      <c r="W52" s="292"/>
      <c r="X52" s="335" t="s">
        <v>304</v>
      </c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  <c r="AI52" s="336"/>
      <c r="AJ52" s="336"/>
      <c r="AK52" s="336"/>
      <c r="AL52" s="336"/>
      <c r="AM52" s="336"/>
      <c r="AN52" s="336"/>
      <c r="AO52" s="336"/>
      <c r="AP52" s="336"/>
      <c r="AQ52" s="336"/>
      <c r="AR52" s="336"/>
      <c r="AS52" s="336"/>
      <c r="AT52" s="337"/>
      <c r="AU52" s="57"/>
      <c r="AV52" s="57"/>
      <c r="AW52" s="57"/>
      <c r="AX52" s="57"/>
      <c r="AY52" s="57"/>
      <c r="BA52" s="242" t="s">
        <v>319</v>
      </c>
      <c r="BB52" s="243"/>
      <c r="BC52" s="243"/>
      <c r="BD52" s="243"/>
      <c r="BE52" s="243"/>
      <c r="BF52" s="243"/>
      <c r="BG52" s="244"/>
      <c r="BH52" s="245"/>
      <c r="BI52" s="246"/>
      <c r="BJ52" s="246"/>
      <c r="BK52" s="246"/>
      <c r="BL52" s="246"/>
      <c r="BM52" s="246"/>
      <c r="BN52" s="246"/>
      <c r="BO52" s="247"/>
      <c r="BP52" s="65" t="s">
        <v>117</v>
      </c>
      <c r="BQ52" s="66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Q52" s="57"/>
      <c r="CR52" s="58"/>
    </row>
    <row r="53" spans="1:96" s="59" customFormat="1" ht="15" customHeight="1" x14ac:dyDescent="0.15">
      <c r="A53" s="56"/>
      <c r="B53" s="257" t="s">
        <v>306</v>
      </c>
      <c r="C53" s="257"/>
      <c r="D53" s="257"/>
      <c r="E53" s="257"/>
      <c r="F53" s="257"/>
      <c r="G53" s="257"/>
      <c r="H53" s="257"/>
      <c r="I53" s="257"/>
      <c r="J53" s="257"/>
      <c r="K53" s="257"/>
      <c r="L53" s="257"/>
      <c r="M53" s="257"/>
      <c r="N53" s="257"/>
      <c r="O53" s="257"/>
      <c r="P53" s="294" t="s">
        <v>125</v>
      </c>
      <c r="Q53" s="294"/>
      <c r="R53" s="294"/>
      <c r="S53" s="294"/>
      <c r="T53" s="294"/>
      <c r="U53" s="290">
        <v>11</v>
      </c>
      <c r="V53" s="291"/>
      <c r="W53" s="292"/>
      <c r="X53" s="335" t="s">
        <v>150</v>
      </c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  <c r="AI53" s="336"/>
      <c r="AJ53" s="336"/>
      <c r="AK53" s="336"/>
      <c r="AL53" s="336"/>
      <c r="AM53" s="336"/>
      <c r="AN53" s="336"/>
      <c r="AO53" s="336"/>
      <c r="AP53" s="336"/>
      <c r="AQ53" s="336"/>
      <c r="AR53" s="336"/>
      <c r="AS53" s="336"/>
      <c r="AT53" s="337"/>
      <c r="AU53" s="57"/>
      <c r="AV53" s="57"/>
      <c r="AW53" s="57"/>
      <c r="AX53" s="57"/>
      <c r="AY53" s="57"/>
      <c r="BF53" s="57"/>
      <c r="BG53" s="57"/>
      <c r="BH53" s="83" t="s">
        <v>337</v>
      </c>
      <c r="BI53" s="84"/>
      <c r="BJ53" s="84"/>
      <c r="BK53" s="84"/>
      <c r="BL53" s="84"/>
      <c r="BM53" s="84"/>
      <c r="BN53" s="84"/>
      <c r="BO53" s="85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Q53" s="57"/>
      <c r="CR53" s="58"/>
    </row>
    <row r="54" spans="1:96" s="59" customFormat="1" ht="15" customHeight="1" x14ac:dyDescent="0.15">
      <c r="A54" s="56"/>
      <c r="B54" s="257" t="s">
        <v>307</v>
      </c>
      <c r="C54" s="257"/>
      <c r="D54" s="257"/>
      <c r="E54" s="257"/>
      <c r="F54" s="257"/>
      <c r="G54" s="257"/>
      <c r="H54" s="257"/>
      <c r="I54" s="257"/>
      <c r="J54" s="257"/>
      <c r="K54" s="257"/>
      <c r="L54" s="257"/>
      <c r="M54" s="257"/>
      <c r="N54" s="257"/>
      <c r="O54" s="257"/>
      <c r="P54" s="294" t="s">
        <v>99</v>
      </c>
      <c r="Q54" s="294"/>
      <c r="R54" s="294"/>
      <c r="S54" s="294"/>
      <c r="T54" s="294"/>
      <c r="U54" s="290" t="s">
        <v>96</v>
      </c>
      <c r="V54" s="291"/>
      <c r="W54" s="292"/>
      <c r="X54" s="335" t="s">
        <v>151</v>
      </c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  <c r="AI54" s="336"/>
      <c r="AJ54" s="336"/>
      <c r="AK54" s="336"/>
      <c r="AL54" s="336"/>
      <c r="AM54" s="336"/>
      <c r="AN54" s="336"/>
      <c r="AO54" s="336"/>
      <c r="AP54" s="336"/>
      <c r="AQ54" s="336"/>
      <c r="AR54" s="336"/>
      <c r="AS54" s="336"/>
      <c r="AT54" s="337"/>
      <c r="AU54" s="57"/>
      <c r="AV54" s="57"/>
      <c r="AW54" s="57"/>
      <c r="AX54" s="57"/>
      <c r="AY54" s="57"/>
      <c r="BF54" s="57"/>
      <c r="BG54" s="57"/>
      <c r="BH54" s="86" t="s">
        <v>336</v>
      </c>
      <c r="BI54" s="87"/>
      <c r="BJ54" s="87"/>
      <c r="BK54" s="87"/>
      <c r="BL54" s="87"/>
      <c r="BM54" s="87"/>
      <c r="BN54" s="87"/>
      <c r="BO54" s="88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Q54" s="57"/>
      <c r="CR54" s="58"/>
    </row>
    <row r="55" spans="1:96" s="59" customFormat="1" ht="15" customHeight="1" x14ac:dyDescent="0.15">
      <c r="A55" s="56"/>
      <c r="B55" s="257" t="s">
        <v>308</v>
      </c>
      <c r="C55" s="257"/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94" t="s">
        <v>125</v>
      </c>
      <c r="Q55" s="294"/>
      <c r="R55" s="294"/>
      <c r="S55" s="294"/>
      <c r="T55" s="294"/>
      <c r="U55" s="290">
        <v>11</v>
      </c>
      <c r="V55" s="291"/>
      <c r="W55" s="292"/>
      <c r="X55" s="335" t="s">
        <v>150</v>
      </c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  <c r="AI55" s="336"/>
      <c r="AJ55" s="336"/>
      <c r="AK55" s="336"/>
      <c r="AL55" s="336"/>
      <c r="AM55" s="336"/>
      <c r="AN55" s="336"/>
      <c r="AO55" s="336"/>
      <c r="AP55" s="336"/>
      <c r="AQ55" s="336"/>
      <c r="AR55" s="336"/>
      <c r="AS55" s="336"/>
      <c r="AT55" s="33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Q55" s="57"/>
      <c r="CR55" s="58"/>
    </row>
    <row r="56" spans="1:96" s="59" customFormat="1" ht="15" customHeight="1" x14ac:dyDescent="0.15">
      <c r="A56" s="56"/>
      <c r="B56" s="257" t="s">
        <v>309</v>
      </c>
      <c r="C56" s="257"/>
      <c r="D56" s="257"/>
      <c r="E56" s="257"/>
      <c r="F56" s="257"/>
      <c r="G56" s="257"/>
      <c r="H56" s="257"/>
      <c r="I56" s="257"/>
      <c r="J56" s="257"/>
      <c r="K56" s="257"/>
      <c r="L56" s="257"/>
      <c r="M56" s="257"/>
      <c r="N56" s="257"/>
      <c r="O56" s="257"/>
      <c r="P56" s="294" t="s">
        <v>99</v>
      </c>
      <c r="Q56" s="294"/>
      <c r="R56" s="294"/>
      <c r="S56" s="294"/>
      <c r="T56" s="294"/>
      <c r="U56" s="290" t="s">
        <v>96</v>
      </c>
      <c r="V56" s="291"/>
      <c r="W56" s="292"/>
      <c r="X56" s="335" t="s">
        <v>151</v>
      </c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  <c r="AI56" s="336"/>
      <c r="AJ56" s="336"/>
      <c r="AK56" s="336"/>
      <c r="AL56" s="336"/>
      <c r="AM56" s="336"/>
      <c r="AN56" s="336"/>
      <c r="AO56" s="336"/>
      <c r="AP56" s="336"/>
      <c r="AQ56" s="336"/>
      <c r="AR56" s="336"/>
      <c r="AS56" s="336"/>
      <c r="AT56" s="33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Q56" s="57"/>
      <c r="CR56" s="58"/>
    </row>
    <row r="57" spans="1:96" s="59" customFormat="1" ht="15" customHeight="1" x14ac:dyDescent="0.15">
      <c r="A57" s="56"/>
      <c r="B57" s="257" t="s">
        <v>310</v>
      </c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7"/>
      <c r="O57" s="257"/>
      <c r="P57" s="294" t="s">
        <v>125</v>
      </c>
      <c r="Q57" s="294"/>
      <c r="R57" s="294"/>
      <c r="S57" s="294"/>
      <c r="T57" s="294"/>
      <c r="U57" s="290">
        <v>11</v>
      </c>
      <c r="V57" s="291"/>
      <c r="W57" s="292"/>
      <c r="X57" s="335" t="s">
        <v>150</v>
      </c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  <c r="AI57" s="336"/>
      <c r="AJ57" s="336"/>
      <c r="AK57" s="336"/>
      <c r="AL57" s="336"/>
      <c r="AM57" s="336"/>
      <c r="AN57" s="336"/>
      <c r="AO57" s="336"/>
      <c r="AP57" s="336"/>
      <c r="AQ57" s="336"/>
      <c r="AR57" s="336"/>
      <c r="AS57" s="336"/>
      <c r="AT57" s="33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Q57" s="57"/>
      <c r="CR57" s="58"/>
    </row>
    <row r="58" spans="1:96" s="59" customFormat="1" ht="15" customHeight="1" x14ac:dyDescent="0.15">
      <c r="A58" s="56"/>
      <c r="B58" s="257" t="s">
        <v>311</v>
      </c>
      <c r="C58" s="257"/>
      <c r="D58" s="257"/>
      <c r="E58" s="257"/>
      <c r="F58" s="257"/>
      <c r="G58" s="257"/>
      <c r="H58" s="257"/>
      <c r="I58" s="257"/>
      <c r="J58" s="257"/>
      <c r="K58" s="257"/>
      <c r="L58" s="257"/>
      <c r="M58" s="257"/>
      <c r="N58" s="257"/>
      <c r="O58" s="257"/>
      <c r="P58" s="294" t="s">
        <v>99</v>
      </c>
      <c r="Q58" s="294"/>
      <c r="R58" s="294"/>
      <c r="S58" s="294"/>
      <c r="T58" s="294"/>
      <c r="U58" s="290" t="s">
        <v>96</v>
      </c>
      <c r="V58" s="291"/>
      <c r="W58" s="292"/>
      <c r="X58" s="335" t="s">
        <v>151</v>
      </c>
      <c r="Y58" s="336"/>
      <c r="Z58" s="336"/>
      <c r="AA58" s="336"/>
      <c r="AB58" s="336"/>
      <c r="AC58" s="336"/>
      <c r="AD58" s="336"/>
      <c r="AE58" s="336"/>
      <c r="AF58" s="336"/>
      <c r="AG58" s="336"/>
      <c r="AH58" s="336"/>
      <c r="AI58" s="336"/>
      <c r="AJ58" s="336"/>
      <c r="AK58" s="336"/>
      <c r="AL58" s="336"/>
      <c r="AM58" s="336"/>
      <c r="AN58" s="336"/>
      <c r="AO58" s="336"/>
      <c r="AP58" s="336"/>
      <c r="AQ58" s="336"/>
      <c r="AR58" s="336"/>
      <c r="AS58" s="336"/>
      <c r="AT58" s="33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Q58" s="57"/>
      <c r="CR58" s="58"/>
    </row>
    <row r="59" spans="1:96" s="59" customFormat="1" ht="15" customHeight="1" x14ac:dyDescent="0.15">
      <c r="A59" s="56"/>
      <c r="AU59" s="57"/>
      <c r="AV59" s="57"/>
      <c r="AW59" s="57"/>
      <c r="AX59" s="57"/>
      <c r="AY59" s="57"/>
      <c r="AZ59" s="382" t="s">
        <v>356</v>
      </c>
      <c r="BA59" s="382" t="s">
        <v>357</v>
      </c>
      <c r="BB59" s="382"/>
      <c r="BC59" s="382"/>
      <c r="BD59" s="382"/>
      <c r="BE59" s="382"/>
      <c r="BF59" s="382"/>
      <c r="BG59" s="382"/>
      <c r="BH59" s="382"/>
      <c r="BI59" s="382"/>
      <c r="BJ59" s="382"/>
      <c r="BK59" s="382"/>
      <c r="BL59" s="382"/>
      <c r="BM59" s="382"/>
      <c r="BN59" s="382"/>
      <c r="BO59" s="382"/>
      <c r="BP59" s="382"/>
      <c r="BQ59" s="382"/>
      <c r="BR59" s="382"/>
      <c r="BS59" s="382"/>
      <c r="BT59" s="382"/>
      <c r="BU59" s="382"/>
      <c r="BV59" s="382"/>
      <c r="BW59" s="382"/>
      <c r="BX59" s="382"/>
      <c r="BY59" s="382"/>
      <c r="BZ59" s="382"/>
      <c r="CA59" s="382"/>
      <c r="CB59" s="382"/>
      <c r="CC59" s="382"/>
      <c r="CD59" s="382"/>
      <c r="CE59" s="382"/>
      <c r="CF59" s="382"/>
      <c r="CG59" s="382"/>
      <c r="CH59" s="382"/>
      <c r="CI59" s="382"/>
      <c r="CJ59" s="57"/>
      <c r="CK59" s="57"/>
      <c r="CL59" s="57"/>
      <c r="CQ59" s="57"/>
      <c r="CR59" s="58"/>
    </row>
    <row r="60" spans="1:96" s="59" customFormat="1" ht="15" customHeight="1" x14ac:dyDescent="0.15">
      <c r="A60" s="56"/>
      <c r="B60" s="57" t="s">
        <v>312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382"/>
      <c r="BA60" s="382" t="s">
        <v>358</v>
      </c>
      <c r="BB60" s="382"/>
      <c r="BC60" s="382"/>
      <c r="BD60" s="382"/>
      <c r="BE60" s="382"/>
      <c r="BF60" s="382"/>
      <c r="BG60" s="382"/>
      <c r="BH60" s="382"/>
      <c r="BI60" s="382"/>
      <c r="BJ60" s="382"/>
      <c r="BK60" s="382"/>
      <c r="BL60" s="382"/>
      <c r="BM60" s="382"/>
      <c r="BN60" s="382"/>
      <c r="BO60" s="382"/>
      <c r="BP60" s="382"/>
      <c r="BQ60" s="382"/>
      <c r="BR60" s="382"/>
      <c r="BS60" s="382"/>
      <c r="BT60" s="382"/>
      <c r="BU60" s="382"/>
      <c r="BV60" s="382"/>
      <c r="BW60" s="382"/>
      <c r="BX60" s="382"/>
      <c r="BY60" s="382"/>
      <c r="BZ60" s="382"/>
      <c r="CA60" s="382"/>
      <c r="CB60" s="382"/>
      <c r="CC60" s="382"/>
      <c r="CD60" s="382"/>
      <c r="CE60" s="382"/>
      <c r="CF60" s="382"/>
      <c r="CG60" s="382"/>
      <c r="CH60" s="382"/>
      <c r="CI60" s="382"/>
      <c r="CJ60" s="57"/>
      <c r="CK60" s="57"/>
      <c r="CL60" s="57"/>
      <c r="CQ60" s="57"/>
      <c r="CR60" s="58"/>
    </row>
    <row r="61" spans="1:96" s="59" customFormat="1" ht="15" customHeight="1" x14ac:dyDescent="0.15">
      <c r="A61" s="56"/>
      <c r="B61" s="57"/>
      <c r="C61" s="57" t="s">
        <v>313</v>
      </c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  <c r="AS61" s="57"/>
      <c r="AT61" s="57"/>
      <c r="AU61" s="57"/>
      <c r="AV61" s="57"/>
      <c r="AW61" s="57"/>
      <c r="AX61" s="57"/>
      <c r="AY61" s="57"/>
      <c r="AZ61" s="382"/>
      <c r="BA61" s="382" t="s">
        <v>359</v>
      </c>
      <c r="BB61" s="382"/>
      <c r="BC61" s="382"/>
      <c r="BD61" s="382"/>
      <c r="BE61" s="382"/>
      <c r="BF61" s="382"/>
      <c r="BG61" s="382"/>
      <c r="BH61" s="382"/>
      <c r="BI61" s="382"/>
      <c r="BJ61" s="382"/>
      <c r="BK61" s="382"/>
      <c r="BL61" s="382"/>
      <c r="BM61" s="382"/>
      <c r="BN61" s="382"/>
      <c r="BO61" s="382"/>
      <c r="BP61" s="382"/>
      <c r="BQ61" s="382"/>
      <c r="BR61" s="382"/>
      <c r="BS61" s="382"/>
      <c r="BT61" s="382"/>
      <c r="BU61" s="382"/>
      <c r="BV61" s="382"/>
      <c r="BW61" s="382"/>
      <c r="BX61" s="382"/>
      <c r="BY61" s="382"/>
      <c r="BZ61" s="382"/>
      <c r="CA61" s="382"/>
      <c r="CB61" s="382"/>
      <c r="CC61" s="382"/>
      <c r="CD61" s="382"/>
      <c r="CE61" s="382"/>
      <c r="CF61" s="382"/>
      <c r="CG61" s="382"/>
      <c r="CH61" s="382"/>
      <c r="CI61" s="382"/>
      <c r="CJ61" s="57"/>
      <c r="CK61" s="57"/>
      <c r="CL61" s="57"/>
      <c r="CQ61" s="57"/>
      <c r="CR61" s="58"/>
    </row>
    <row r="62" spans="1:96" s="59" customFormat="1" ht="15" customHeight="1" x14ac:dyDescent="0.15">
      <c r="A62" s="56"/>
      <c r="B62" s="57"/>
      <c r="C62" s="57" t="s">
        <v>314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CK62" s="57"/>
      <c r="CL62" s="57"/>
      <c r="CQ62" s="57"/>
      <c r="CR62" s="58"/>
    </row>
    <row r="63" spans="1:96" s="59" customFormat="1" ht="15" customHeight="1" x14ac:dyDescent="0.15">
      <c r="A63" s="56"/>
      <c r="B63" s="57"/>
      <c r="C63" s="57" t="s">
        <v>315</v>
      </c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CK63" s="57"/>
      <c r="CL63" s="57"/>
      <c r="CQ63" s="57"/>
      <c r="CR63" s="58"/>
    </row>
    <row r="64" spans="1:96" s="59" customFormat="1" ht="15" customHeight="1" x14ac:dyDescent="0.15">
      <c r="A64" s="56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CK64" s="57"/>
      <c r="CL64" s="57"/>
      <c r="CQ64" s="57"/>
      <c r="CR64" s="58"/>
    </row>
    <row r="65" spans="1:96" s="59" customFormat="1" ht="15" customHeight="1" x14ac:dyDescent="0.15">
      <c r="A65" s="56"/>
      <c r="B65" s="57" t="s">
        <v>127</v>
      </c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7"/>
      <c r="BS65" s="57"/>
      <c r="BT65" s="57"/>
      <c r="BU65" s="57"/>
      <c r="BV65" s="57"/>
      <c r="BW65" s="57"/>
      <c r="BX65" s="57"/>
      <c r="BY65" s="57"/>
      <c r="BZ65" s="57"/>
      <c r="CA65" s="57"/>
      <c r="CB65" s="57"/>
      <c r="CC65" s="57"/>
      <c r="CD65" s="57"/>
      <c r="CE65" s="57"/>
      <c r="CF65" s="57"/>
      <c r="CG65" s="57"/>
      <c r="CH65" s="57"/>
      <c r="CI65" s="57"/>
      <c r="CJ65" s="57"/>
      <c r="CK65" s="57"/>
      <c r="CL65" s="57"/>
      <c r="CQ65" s="57"/>
      <c r="CR65" s="58"/>
    </row>
    <row r="66" spans="1:96" s="59" customFormat="1" ht="15" customHeight="1" x14ac:dyDescent="0.15">
      <c r="A66" s="56"/>
      <c r="B66" s="300" t="s">
        <v>91</v>
      </c>
      <c r="C66" s="301"/>
      <c r="D66" s="301"/>
      <c r="E66" s="301"/>
      <c r="F66" s="301"/>
      <c r="G66" s="301"/>
      <c r="H66" s="301"/>
      <c r="I66" s="301"/>
      <c r="J66" s="301"/>
      <c r="K66" s="301"/>
      <c r="L66" s="301"/>
      <c r="M66" s="301"/>
      <c r="N66" s="301"/>
      <c r="O66" s="302"/>
      <c r="P66" s="300" t="s">
        <v>92</v>
      </c>
      <c r="Q66" s="301"/>
      <c r="R66" s="301"/>
      <c r="S66" s="301"/>
      <c r="T66" s="302"/>
      <c r="U66" s="300" t="s">
        <v>93</v>
      </c>
      <c r="V66" s="301"/>
      <c r="W66" s="302"/>
      <c r="X66" s="300" t="s">
        <v>94</v>
      </c>
      <c r="Y66" s="301"/>
      <c r="Z66" s="301"/>
      <c r="AA66" s="301"/>
      <c r="AB66" s="301"/>
      <c r="AC66" s="301"/>
      <c r="AD66" s="301"/>
      <c r="AE66" s="301"/>
      <c r="AF66" s="301"/>
      <c r="AG66" s="301"/>
      <c r="AH66" s="301"/>
      <c r="AI66" s="301"/>
      <c r="AJ66" s="301"/>
      <c r="AK66" s="301"/>
      <c r="AL66" s="301"/>
      <c r="AM66" s="301"/>
      <c r="AN66" s="301"/>
      <c r="AO66" s="301"/>
      <c r="AP66" s="301"/>
      <c r="AQ66" s="301"/>
      <c r="AR66" s="301"/>
      <c r="AS66" s="301"/>
      <c r="AT66" s="302"/>
      <c r="AU66" s="57"/>
      <c r="AV66" s="57"/>
      <c r="AW66" s="57"/>
      <c r="AX66" s="57"/>
      <c r="AY66" s="57"/>
      <c r="AZ66" s="57"/>
      <c r="BA66" s="57"/>
      <c r="BB66" s="57"/>
      <c r="BC66" s="57"/>
      <c r="BD66" s="57"/>
      <c r="BE66" s="57"/>
      <c r="BF66" s="57"/>
      <c r="BG66" s="57"/>
      <c r="BH66" s="57"/>
      <c r="BI66" s="57"/>
      <c r="BJ66" s="57"/>
      <c r="BK66" s="57"/>
      <c r="BL66" s="57"/>
      <c r="BM66" s="57"/>
      <c r="BN66" s="57"/>
      <c r="BO66" s="57"/>
      <c r="BP66" s="57"/>
      <c r="BQ66" s="57"/>
      <c r="BR66" s="57"/>
      <c r="BS66" s="57"/>
      <c r="BT66" s="57"/>
      <c r="BU66" s="57"/>
      <c r="BV66" s="57"/>
      <c r="BW66" s="57"/>
      <c r="BX66" s="57"/>
      <c r="BY66" s="57"/>
      <c r="BZ66" s="57"/>
      <c r="CA66" s="57"/>
      <c r="CB66" s="57"/>
      <c r="CC66" s="57"/>
      <c r="CD66" s="57"/>
      <c r="CE66" s="57"/>
      <c r="CF66" s="57"/>
      <c r="CG66" s="57"/>
      <c r="CH66" s="57"/>
      <c r="CI66" s="57"/>
      <c r="CJ66" s="57"/>
      <c r="CK66" s="57"/>
      <c r="CL66" s="57"/>
      <c r="CQ66" s="57"/>
      <c r="CR66" s="58"/>
    </row>
    <row r="67" spans="1:96" s="59" customFormat="1" ht="15" customHeight="1" x14ac:dyDescent="0.15">
      <c r="A67" s="56"/>
      <c r="B67" s="296" t="s">
        <v>128</v>
      </c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6"/>
      <c r="P67" s="294" t="s">
        <v>99</v>
      </c>
      <c r="Q67" s="294"/>
      <c r="R67" s="294"/>
      <c r="S67" s="294"/>
      <c r="T67" s="294"/>
      <c r="U67" s="360" t="s">
        <v>129</v>
      </c>
      <c r="V67" s="360"/>
      <c r="W67" s="360"/>
      <c r="X67" s="338" t="s">
        <v>130</v>
      </c>
      <c r="Y67" s="339"/>
      <c r="Z67" s="339"/>
      <c r="AA67" s="339"/>
      <c r="AB67" s="339"/>
      <c r="AC67" s="339"/>
      <c r="AD67" s="339"/>
      <c r="AE67" s="339"/>
      <c r="AF67" s="339"/>
      <c r="AG67" s="339"/>
      <c r="AH67" s="339"/>
      <c r="AI67" s="339"/>
      <c r="AJ67" s="339"/>
      <c r="AK67" s="339"/>
      <c r="AL67" s="339"/>
      <c r="AM67" s="339"/>
      <c r="AN67" s="339"/>
      <c r="AO67" s="339"/>
      <c r="AP67" s="339"/>
      <c r="AQ67" s="339"/>
      <c r="AR67" s="339"/>
      <c r="AS67" s="339"/>
      <c r="AT67" s="340"/>
      <c r="AU67" s="57"/>
      <c r="AV67" s="57"/>
      <c r="AW67" s="57"/>
      <c r="AX67" s="57"/>
      <c r="AY67" s="57"/>
      <c r="AZ67" s="57"/>
      <c r="BA67" s="57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7"/>
      <c r="BS67" s="57"/>
      <c r="BT67" s="57"/>
      <c r="BU67" s="57"/>
      <c r="BV67" s="57"/>
      <c r="BW67" s="57"/>
      <c r="BX67" s="57"/>
      <c r="BY67" s="57"/>
      <c r="BZ67" s="57"/>
      <c r="CA67" s="57"/>
      <c r="CB67" s="57"/>
      <c r="CC67" s="57"/>
      <c r="CD67" s="57"/>
      <c r="CE67" s="57"/>
      <c r="CF67" s="57"/>
      <c r="CG67" s="57"/>
      <c r="CH67" s="57"/>
      <c r="CI67" s="57"/>
      <c r="CJ67" s="57"/>
      <c r="CK67" s="57"/>
      <c r="CL67" s="57"/>
      <c r="CQ67" s="57"/>
      <c r="CR67" s="58"/>
    </row>
    <row r="68" spans="1:96" s="59" customFormat="1" ht="15" customHeight="1" x14ac:dyDescent="0.15">
      <c r="A68" s="5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6"/>
      <c r="P68" s="294"/>
      <c r="Q68" s="294"/>
      <c r="R68" s="294"/>
      <c r="S68" s="294"/>
      <c r="T68" s="294"/>
      <c r="U68" s="360"/>
      <c r="V68" s="360"/>
      <c r="W68" s="360"/>
      <c r="X68" s="341"/>
      <c r="Y68" s="342"/>
      <c r="Z68" s="342"/>
      <c r="AA68" s="342"/>
      <c r="AB68" s="342"/>
      <c r="AC68" s="342"/>
      <c r="AD68" s="342"/>
      <c r="AE68" s="342"/>
      <c r="AF68" s="342"/>
      <c r="AG68" s="342"/>
      <c r="AH68" s="342"/>
      <c r="AI68" s="342"/>
      <c r="AJ68" s="342"/>
      <c r="AK68" s="342"/>
      <c r="AL68" s="342"/>
      <c r="AM68" s="342"/>
      <c r="AN68" s="342"/>
      <c r="AO68" s="342"/>
      <c r="AP68" s="342"/>
      <c r="AQ68" s="342"/>
      <c r="AR68" s="342"/>
      <c r="AS68" s="342"/>
      <c r="AT68" s="343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57"/>
      <c r="BG68" s="57"/>
      <c r="BH68" s="57"/>
      <c r="BI68" s="57"/>
      <c r="BJ68" s="57"/>
      <c r="BK68" s="57"/>
      <c r="BL68" s="57"/>
      <c r="BM68" s="57"/>
      <c r="BN68" s="57"/>
      <c r="BO68" s="57"/>
      <c r="BP68" s="57"/>
      <c r="BQ68" s="57"/>
      <c r="BR68" s="57"/>
      <c r="BS68" s="57"/>
      <c r="BT68" s="57"/>
      <c r="BU68" s="57"/>
      <c r="BV68" s="57"/>
      <c r="BW68" s="57"/>
      <c r="BX68" s="57"/>
      <c r="BY68" s="57"/>
      <c r="BZ68" s="57"/>
      <c r="CA68" s="57"/>
      <c r="CB68" s="57"/>
      <c r="CC68" s="57"/>
      <c r="CD68" s="57"/>
      <c r="CE68" s="57"/>
      <c r="CF68" s="57"/>
      <c r="CG68" s="57"/>
      <c r="CH68" s="57"/>
      <c r="CI68" s="57"/>
      <c r="CJ68" s="57"/>
      <c r="CK68" s="57"/>
      <c r="CL68" s="57"/>
      <c r="CQ68" s="57"/>
      <c r="CR68" s="58"/>
    </row>
    <row r="69" spans="1:96" s="59" customFormat="1" ht="15" customHeight="1" x14ac:dyDescent="0.15">
      <c r="A69" s="56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  <c r="AS69" s="57"/>
      <c r="AT69" s="57"/>
      <c r="AU69" s="57"/>
      <c r="AV69" s="57"/>
      <c r="AW69" s="57"/>
      <c r="AX69" s="57"/>
      <c r="AY69" s="57"/>
      <c r="AZ69" s="57"/>
      <c r="BA69" s="57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7"/>
      <c r="BS69" s="57"/>
      <c r="BT69" s="57"/>
      <c r="BU69" s="57"/>
      <c r="BV69" s="57"/>
      <c r="BW69" s="57"/>
      <c r="BX69" s="57"/>
      <c r="BY69" s="57"/>
      <c r="BZ69" s="57"/>
      <c r="CA69" s="57"/>
      <c r="CB69" s="57"/>
      <c r="CC69" s="57"/>
      <c r="CD69" s="57"/>
      <c r="CE69" s="57"/>
      <c r="CF69" s="57"/>
      <c r="CG69" s="57"/>
      <c r="CH69" s="57"/>
      <c r="CI69" s="57"/>
      <c r="CJ69" s="57"/>
      <c r="CK69" s="57"/>
      <c r="CL69" s="57"/>
      <c r="CQ69" s="57"/>
      <c r="CR69" s="58"/>
    </row>
    <row r="70" spans="1:96" s="59" customFormat="1" ht="15" customHeight="1" x14ac:dyDescent="0.15">
      <c r="A70" s="56"/>
      <c r="B70" s="57" t="s">
        <v>110</v>
      </c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  <c r="AS70" s="57"/>
      <c r="AT70" s="57"/>
      <c r="AU70" s="57"/>
      <c r="AV70" s="57"/>
      <c r="AW70" s="57"/>
      <c r="AX70" s="57"/>
      <c r="AY70" s="57"/>
      <c r="AZ70" s="57"/>
      <c r="BA70" s="57"/>
      <c r="BB70" s="57"/>
      <c r="BC70" s="57"/>
      <c r="BD70" s="57"/>
      <c r="BE70" s="57"/>
      <c r="BF70" s="57"/>
      <c r="BG70" s="57"/>
      <c r="BH70" s="57"/>
      <c r="BI70" s="57"/>
      <c r="BJ70" s="57"/>
      <c r="BK70" s="57"/>
      <c r="BL70" s="57"/>
      <c r="BM70" s="57"/>
      <c r="BN70" s="57"/>
      <c r="BO70" s="57"/>
      <c r="BP70" s="57"/>
      <c r="BQ70" s="57"/>
      <c r="BR70" s="57"/>
      <c r="BS70" s="57"/>
      <c r="BT70" s="57"/>
      <c r="BU70" s="57"/>
      <c r="BV70" s="57"/>
      <c r="BW70" s="57"/>
      <c r="BX70" s="57"/>
      <c r="BY70" s="57"/>
      <c r="BZ70" s="57"/>
      <c r="CA70" s="57"/>
      <c r="CB70" s="57"/>
      <c r="CC70" s="57"/>
      <c r="CD70" s="57"/>
      <c r="CE70" s="57"/>
      <c r="CF70" s="57"/>
      <c r="CG70" s="57"/>
      <c r="CH70" s="57"/>
      <c r="CI70" s="57"/>
      <c r="CJ70" s="57"/>
      <c r="CK70" s="57"/>
      <c r="CL70" s="57"/>
      <c r="CM70" s="57"/>
      <c r="CN70" s="57"/>
      <c r="CO70" s="57"/>
      <c r="CP70" s="57"/>
      <c r="CQ70" s="57"/>
      <c r="CR70" s="58"/>
    </row>
    <row r="71" spans="1:96" s="59" customFormat="1" ht="15" customHeight="1" x14ac:dyDescent="0.15">
      <c r="A71" s="56"/>
      <c r="B71" s="300" t="s">
        <v>91</v>
      </c>
      <c r="C71" s="301"/>
      <c r="D71" s="301"/>
      <c r="E71" s="301"/>
      <c r="F71" s="301"/>
      <c r="G71" s="301"/>
      <c r="H71" s="301"/>
      <c r="I71" s="301"/>
      <c r="J71" s="302"/>
      <c r="K71" s="305" t="s">
        <v>111</v>
      </c>
      <c r="L71" s="305"/>
      <c r="M71" s="305"/>
      <c r="N71" s="305"/>
      <c r="O71" s="305"/>
      <c r="P71" s="305"/>
      <c r="Q71" s="305"/>
      <c r="R71" s="305"/>
      <c r="S71" s="305"/>
      <c r="T71" s="305"/>
      <c r="U71" s="305"/>
      <c r="V71" s="305"/>
      <c r="W71" s="305"/>
      <c r="X71" s="305"/>
      <c r="Y71" s="305"/>
      <c r="Z71" s="305"/>
      <c r="AA71" s="305"/>
      <c r="AB71" s="305"/>
      <c r="AC71" s="305"/>
      <c r="AD71" s="305"/>
      <c r="AE71" s="305"/>
      <c r="AF71" s="305"/>
      <c r="AG71" s="305"/>
      <c r="AH71" s="305"/>
      <c r="AI71" s="305"/>
      <c r="AJ71" s="57"/>
      <c r="AK71" s="57"/>
      <c r="AL71" s="57"/>
      <c r="AM71" s="57"/>
      <c r="AN71" s="57"/>
      <c r="AO71" s="57"/>
      <c r="AP71" s="57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7"/>
      <c r="BS71" s="57"/>
      <c r="BT71" s="57"/>
      <c r="BU71" s="57"/>
      <c r="BV71" s="57"/>
      <c r="BW71" s="57"/>
      <c r="BX71" s="57"/>
      <c r="BY71" s="57"/>
      <c r="BZ71" s="57"/>
      <c r="CA71" s="57"/>
      <c r="CB71" s="57"/>
      <c r="CC71" s="57"/>
      <c r="CD71" s="57"/>
      <c r="CE71" s="57"/>
      <c r="CF71" s="57"/>
      <c r="CG71" s="57"/>
      <c r="CH71" s="57"/>
      <c r="CI71" s="57"/>
      <c r="CJ71" s="57"/>
      <c r="CK71" s="57"/>
      <c r="CL71" s="57"/>
      <c r="CM71" s="57"/>
      <c r="CN71" s="57"/>
      <c r="CO71" s="57"/>
      <c r="CP71" s="57"/>
      <c r="CQ71" s="57"/>
      <c r="CR71" s="58"/>
    </row>
    <row r="72" spans="1:96" s="59" customFormat="1" ht="15" customHeight="1" x14ac:dyDescent="0.15">
      <c r="A72" s="56"/>
      <c r="B72" s="296" t="s">
        <v>165</v>
      </c>
      <c r="C72" s="296"/>
      <c r="D72" s="296"/>
      <c r="E72" s="296"/>
      <c r="F72" s="296"/>
      <c r="G72" s="296"/>
      <c r="H72" s="296"/>
      <c r="I72" s="296"/>
      <c r="J72" s="296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93"/>
      <c r="AB72" s="293"/>
      <c r="AC72" s="293"/>
      <c r="AD72" s="293"/>
      <c r="AE72" s="293"/>
      <c r="AF72" s="293"/>
      <c r="AG72" s="293"/>
      <c r="AH72" s="293"/>
      <c r="AI72" s="293"/>
      <c r="AJ72" s="57"/>
      <c r="AK72" s="57"/>
      <c r="AL72" s="57"/>
      <c r="AM72" s="57"/>
      <c r="AN72" s="57"/>
      <c r="AO72" s="57"/>
      <c r="AP72" s="57"/>
      <c r="AQ72" s="57"/>
      <c r="AR72" s="57"/>
      <c r="AS72" s="57"/>
      <c r="AT72" s="57"/>
      <c r="AU72" s="57"/>
      <c r="AV72" s="57"/>
      <c r="AW72" s="57"/>
      <c r="AX72" s="57"/>
      <c r="AY72" s="57"/>
      <c r="AZ72" s="57"/>
      <c r="BA72" s="57"/>
      <c r="BB72" s="57"/>
      <c r="BC72" s="57"/>
      <c r="BD72" s="57"/>
      <c r="BE72" s="57"/>
      <c r="BF72" s="57"/>
      <c r="BG72" s="57"/>
      <c r="BH72" s="57"/>
      <c r="BI72" s="57"/>
      <c r="BJ72" s="57"/>
      <c r="BK72" s="57"/>
      <c r="BL72" s="57"/>
      <c r="BM72" s="57"/>
      <c r="BN72" s="57"/>
      <c r="BO72" s="57"/>
      <c r="BP72" s="57"/>
      <c r="BQ72" s="57"/>
      <c r="BR72" s="57"/>
      <c r="BS72" s="57"/>
      <c r="BT72" s="57"/>
      <c r="BU72" s="57"/>
      <c r="BV72" s="57"/>
      <c r="BW72" s="57"/>
      <c r="BX72" s="57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57"/>
      <c r="CM72" s="57"/>
      <c r="CN72" s="57"/>
      <c r="CO72" s="57"/>
      <c r="CP72" s="57"/>
      <c r="CQ72" s="57"/>
      <c r="CR72" s="58"/>
    </row>
    <row r="73" spans="1:96" s="59" customFormat="1" ht="15" customHeight="1" x14ac:dyDescent="0.15">
      <c r="A73" s="56"/>
      <c r="B73" s="296" t="s">
        <v>317</v>
      </c>
      <c r="C73" s="296"/>
      <c r="D73" s="296"/>
      <c r="E73" s="296"/>
      <c r="F73" s="296"/>
      <c r="G73" s="296"/>
      <c r="H73" s="296"/>
      <c r="I73" s="296"/>
      <c r="J73" s="296"/>
      <c r="K73" s="293"/>
      <c r="L73" s="293"/>
      <c r="M73" s="293"/>
      <c r="N73" s="293"/>
      <c r="O73" s="293"/>
      <c r="P73" s="293"/>
      <c r="Q73" s="293"/>
      <c r="R73" s="293"/>
      <c r="S73" s="293"/>
      <c r="T73" s="293"/>
      <c r="U73" s="293"/>
      <c r="V73" s="293"/>
      <c r="W73" s="293"/>
      <c r="X73" s="293"/>
      <c r="Y73" s="293"/>
      <c r="Z73" s="293"/>
      <c r="AA73" s="293"/>
      <c r="AB73" s="293"/>
      <c r="AC73" s="293"/>
      <c r="AD73" s="293"/>
      <c r="AE73" s="293"/>
      <c r="AF73" s="293"/>
      <c r="AG73" s="293"/>
      <c r="AH73" s="293"/>
      <c r="AI73" s="293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7"/>
      <c r="BS73" s="57"/>
      <c r="BT73" s="57"/>
      <c r="BU73" s="57"/>
      <c r="BV73" s="57"/>
      <c r="BW73" s="57"/>
      <c r="BX73" s="57"/>
      <c r="BY73" s="57"/>
      <c r="BZ73" s="57"/>
      <c r="CA73" s="57"/>
      <c r="CB73" s="57"/>
      <c r="CC73" s="57"/>
      <c r="CD73" s="57"/>
      <c r="CE73" s="57"/>
      <c r="CF73" s="57"/>
      <c r="CG73" s="57"/>
      <c r="CH73" s="57"/>
      <c r="CI73" s="57"/>
      <c r="CJ73" s="57"/>
      <c r="CK73" s="57"/>
      <c r="CL73" s="57"/>
      <c r="CM73" s="57"/>
      <c r="CN73" s="57"/>
      <c r="CO73" s="57"/>
      <c r="CP73" s="57"/>
      <c r="CQ73" s="57"/>
      <c r="CR73" s="58"/>
    </row>
    <row r="74" spans="1:96" s="59" customFormat="1" ht="15" customHeight="1" x14ac:dyDescent="0.15">
      <c r="A74" s="56"/>
      <c r="B74" s="296" t="s">
        <v>166</v>
      </c>
      <c r="C74" s="296"/>
      <c r="D74" s="296"/>
      <c r="E74" s="296"/>
      <c r="F74" s="296"/>
      <c r="G74" s="296"/>
      <c r="H74" s="296"/>
      <c r="I74" s="296"/>
      <c r="J74" s="296"/>
      <c r="K74" s="293"/>
      <c r="L74" s="293"/>
      <c r="M74" s="293"/>
      <c r="N74" s="293"/>
      <c r="O74" s="293"/>
      <c r="P74" s="293"/>
      <c r="Q74" s="293"/>
      <c r="R74" s="293"/>
      <c r="S74" s="293"/>
      <c r="T74" s="293"/>
      <c r="U74" s="293"/>
      <c r="V74" s="293"/>
      <c r="W74" s="293"/>
      <c r="X74" s="293"/>
      <c r="Y74" s="293"/>
      <c r="Z74" s="293"/>
      <c r="AA74" s="293"/>
      <c r="AB74" s="293"/>
      <c r="AC74" s="293"/>
      <c r="AD74" s="293"/>
      <c r="AE74" s="293"/>
      <c r="AF74" s="293"/>
      <c r="AG74" s="293"/>
      <c r="AH74" s="293"/>
      <c r="AI74" s="293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7"/>
      <c r="BD74" s="57"/>
      <c r="BE74" s="57"/>
      <c r="BF74" s="57"/>
      <c r="BG74" s="57"/>
      <c r="BH74" s="57"/>
      <c r="BI74" s="57"/>
      <c r="BJ74" s="57"/>
      <c r="BK74" s="57"/>
      <c r="BL74" s="57"/>
      <c r="BM74" s="57"/>
      <c r="BN74" s="57"/>
      <c r="BO74" s="57"/>
      <c r="BP74" s="57"/>
      <c r="BQ74" s="57"/>
      <c r="BR74" s="57"/>
      <c r="BS74" s="57"/>
      <c r="BT74" s="57"/>
      <c r="BU74" s="57"/>
      <c r="BV74" s="57"/>
      <c r="BW74" s="57"/>
      <c r="BX74" s="57"/>
      <c r="BY74" s="57"/>
      <c r="BZ74" s="57"/>
      <c r="CA74" s="57"/>
      <c r="CB74" s="57"/>
      <c r="CC74" s="57"/>
      <c r="CD74" s="57"/>
      <c r="CE74" s="57"/>
      <c r="CF74" s="57"/>
      <c r="CG74" s="57"/>
      <c r="CH74" s="57"/>
      <c r="CI74" s="57"/>
      <c r="CJ74" s="57"/>
      <c r="CK74" s="57"/>
      <c r="CL74" s="57"/>
      <c r="CM74" s="57"/>
      <c r="CN74" s="57"/>
      <c r="CO74" s="57"/>
      <c r="CP74" s="57"/>
      <c r="CQ74" s="57"/>
      <c r="CR74" s="58"/>
    </row>
    <row r="75" spans="1:96" s="59" customFormat="1" ht="15" customHeight="1" x14ac:dyDescent="0.15">
      <c r="A75" s="56"/>
      <c r="B75" s="296" t="s">
        <v>167</v>
      </c>
      <c r="C75" s="296"/>
      <c r="D75" s="296"/>
      <c r="E75" s="296"/>
      <c r="F75" s="296"/>
      <c r="G75" s="296"/>
      <c r="H75" s="296"/>
      <c r="I75" s="296"/>
      <c r="J75" s="296"/>
      <c r="K75" s="293"/>
      <c r="L75" s="293"/>
      <c r="M75" s="293"/>
      <c r="N75" s="293"/>
      <c r="O75" s="293"/>
      <c r="P75" s="293"/>
      <c r="Q75" s="293"/>
      <c r="R75" s="293"/>
      <c r="S75" s="293"/>
      <c r="T75" s="293"/>
      <c r="U75" s="293"/>
      <c r="V75" s="293"/>
      <c r="W75" s="293"/>
      <c r="X75" s="293"/>
      <c r="Y75" s="293"/>
      <c r="Z75" s="293"/>
      <c r="AA75" s="293"/>
      <c r="AB75" s="293"/>
      <c r="AC75" s="293"/>
      <c r="AD75" s="293"/>
      <c r="AE75" s="293"/>
      <c r="AF75" s="293"/>
      <c r="AG75" s="293"/>
      <c r="AH75" s="293"/>
      <c r="AI75" s="293"/>
      <c r="AJ75" s="57"/>
      <c r="AK75" s="57"/>
      <c r="AL75" s="57"/>
      <c r="AM75" s="57"/>
      <c r="AN75" s="57"/>
      <c r="AO75" s="57"/>
      <c r="AP75" s="57"/>
      <c r="AQ75" s="57"/>
      <c r="AR75" s="57"/>
      <c r="AS75" s="57"/>
      <c r="AT75" s="57"/>
      <c r="AU75" s="57"/>
      <c r="AV75" s="57"/>
      <c r="AW75" s="57"/>
      <c r="AX75" s="57"/>
      <c r="AY75" s="57"/>
      <c r="AZ75" s="57"/>
      <c r="BA75" s="57"/>
      <c r="BB75" s="57"/>
      <c r="BC75" s="57"/>
      <c r="BD75" s="57"/>
      <c r="BE75" s="57"/>
      <c r="BF75" s="57"/>
      <c r="BG75" s="57"/>
      <c r="BH75" s="57"/>
      <c r="BI75" s="57"/>
      <c r="BJ75" s="57"/>
      <c r="BK75" s="57"/>
      <c r="BL75" s="57"/>
      <c r="BM75" s="57"/>
      <c r="BN75" s="57"/>
      <c r="BO75" s="57"/>
      <c r="BP75" s="57"/>
      <c r="BQ75" s="57"/>
      <c r="BR75" s="57"/>
      <c r="BS75" s="57"/>
      <c r="BT75" s="57"/>
      <c r="BU75" s="57"/>
      <c r="BV75" s="57"/>
      <c r="BW75" s="57"/>
      <c r="BX75" s="57"/>
      <c r="BY75" s="57"/>
      <c r="BZ75" s="57"/>
      <c r="CA75" s="57"/>
      <c r="CB75" s="57"/>
      <c r="CC75" s="57"/>
      <c r="CD75" s="57"/>
      <c r="CE75" s="57"/>
      <c r="CF75" s="57"/>
      <c r="CG75" s="57"/>
      <c r="CH75" s="57"/>
      <c r="CI75" s="57"/>
      <c r="CJ75" s="57"/>
      <c r="CK75" s="57"/>
      <c r="CL75" s="57"/>
      <c r="CM75" s="57"/>
      <c r="CN75" s="57"/>
      <c r="CO75" s="57"/>
      <c r="CP75" s="57"/>
      <c r="CQ75" s="57"/>
      <c r="CR75" s="58"/>
    </row>
    <row r="76" spans="1:96" s="59" customFormat="1" ht="15" customHeight="1" x14ac:dyDescent="0.15">
      <c r="A76" s="56"/>
      <c r="B76" s="296" t="s">
        <v>279</v>
      </c>
      <c r="C76" s="296"/>
      <c r="D76" s="296"/>
      <c r="E76" s="296"/>
      <c r="F76" s="296"/>
      <c r="G76" s="296"/>
      <c r="H76" s="296"/>
      <c r="I76" s="296"/>
      <c r="J76" s="296"/>
      <c r="K76" s="293"/>
      <c r="L76" s="293"/>
      <c r="M76" s="293"/>
      <c r="N76" s="293"/>
      <c r="O76" s="293"/>
      <c r="P76" s="293"/>
      <c r="Q76" s="293"/>
      <c r="R76" s="293"/>
      <c r="S76" s="293"/>
      <c r="T76" s="293"/>
      <c r="U76" s="293"/>
      <c r="V76" s="293"/>
      <c r="W76" s="293"/>
      <c r="X76" s="293"/>
      <c r="Y76" s="293"/>
      <c r="Z76" s="293"/>
      <c r="AA76" s="293"/>
      <c r="AB76" s="293"/>
      <c r="AC76" s="293"/>
      <c r="AD76" s="293"/>
      <c r="AE76" s="293"/>
      <c r="AF76" s="293"/>
      <c r="AG76" s="293"/>
      <c r="AH76" s="293"/>
      <c r="AI76" s="293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  <c r="AY76" s="57"/>
      <c r="AZ76" s="57"/>
      <c r="BA76" s="57"/>
      <c r="BB76" s="57"/>
      <c r="BC76" s="57"/>
      <c r="BD76" s="57"/>
      <c r="BE76" s="57"/>
      <c r="BF76" s="57"/>
      <c r="BG76" s="57"/>
      <c r="BH76" s="57"/>
      <c r="BI76" s="57"/>
      <c r="BJ76" s="57"/>
      <c r="BK76" s="57"/>
      <c r="BL76" s="57"/>
      <c r="BM76" s="57"/>
      <c r="BN76" s="57"/>
      <c r="BO76" s="57"/>
      <c r="BP76" s="57"/>
      <c r="BQ76" s="57"/>
      <c r="BR76" s="57"/>
      <c r="BS76" s="57"/>
      <c r="BT76" s="57"/>
      <c r="BU76" s="57"/>
      <c r="BV76" s="57"/>
      <c r="BW76" s="57"/>
      <c r="BX76" s="57"/>
      <c r="BY76" s="57"/>
      <c r="BZ76" s="57"/>
      <c r="CA76" s="57"/>
      <c r="CB76" s="57"/>
      <c r="CC76" s="57"/>
      <c r="CD76" s="57"/>
      <c r="CE76" s="57"/>
      <c r="CF76" s="57"/>
      <c r="CG76" s="57"/>
      <c r="CH76" s="57"/>
      <c r="CI76" s="57"/>
      <c r="CJ76" s="57"/>
      <c r="CK76" s="57"/>
      <c r="CL76" s="57"/>
      <c r="CM76" s="57"/>
      <c r="CN76" s="57"/>
      <c r="CO76" s="57"/>
      <c r="CP76" s="57"/>
      <c r="CQ76" s="57"/>
      <c r="CR76" s="58"/>
    </row>
    <row r="77" spans="1:96" s="59" customFormat="1" ht="15" customHeight="1" x14ac:dyDescent="0.15">
      <c r="A77" s="56"/>
      <c r="B77" s="296" t="s">
        <v>112</v>
      </c>
      <c r="C77" s="296"/>
      <c r="D77" s="296"/>
      <c r="E77" s="296"/>
      <c r="F77" s="296"/>
      <c r="G77" s="296"/>
      <c r="H77" s="296"/>
      <c r="I77" s="296"/>
      <c r="J77" s="296"/>
      <c r="K77" s="293"/>
      <c r="L77" s="293"/>
      <c r="M77" s="293"/>
      <c r="N77" s="293"/>
      <c r="O77" s="293"/>
      <c r="P77" s="293"/>
      <c r="Q77" s="293"/>
      <c r="R77" s="293"/>
      <c r="S77" s="293"/>
      <c r="T77" s="293"/>
      <c r="U77" s="293"/>
      <c r="V77" s="293"/>
      <c r="W77" s="293"/>
      <c r="X77" s="293"/>
      <c r="Y77" s="293"/>
      <c r="Z77" s="293"/>
      <c r="AA77" s="293"/>
      <c r="AB77" s="293"/>
      <c r="AC77" s="293"/>
      <c r="AD77" s="293"/>
      <c r="AE77" s="293"/>
      <c r="AF77" s="293"/>
      <c r="AG77" s="293"/>
      <c r="AH77" s="293"/>
      <c r="AI77" s="293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  <c r="AY77" s="57"/>
      <c r="AZ77" s="57"/>
      <c r="BA77" s="57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7"/>
      <c r="BS77" s="57"/>
      <c r="BT77" s="57"/>
      <c r="BU77" s="57"/>
      <c r="BV77" s="57"/>
      <c r="BW77" s="57"/>
      <c r="BX77" s="57"/>
      <c r="BY77" s="57"/>
      <c r="BZ77" s="57"/>
      <c r="CA77" s="57"/>
      <c r="CB77" s="57"/>
      <c r="CC77" s="57"/>
      <c r="CD77" s="57"/>
      <c r="CE77" s="57"/>
      <c r="CF77" s="57"/>
      <c r="CG77" s="57"/>
      <c r="CH77" s="57"/>
      <c r="CI77" s="57"/>
      <c r="CJ77" s="57"/>
      <c r="CK77" s="57"/>
      <c r="CL77" s="57"/>
      <c r="CM77" s="57"/>
      <c r="CN77" s="57"/>
      <c r="CO77" s="57"/>
      <c r="CP77" s="57"/>
      <c r="CQ77" s="57"/>
      <c r="CR77" s="58"/>
    </row>
    <row r="78" spans="1:96" s="59" customFormat="1" ht="15" customHeight="1" x14ac:dyDescent="0.15">
      <c r="A78" s="56"/>
      <c r="B78" s="296" t="s">
        <v>68</v>
      </c>
      <c r="C78" s="296"/>
      <c r="D78" s="296"/>
      <c r="E78" s="296"/>
      <c r="F78" s="296"/>
      <c r="G78" s="296"/>
      <c r="H78" s="296"/>
      <c r="I78" s="296"/>
      <c r="J78" s="296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93"/>
      <c r="AB78" s="293"/>
      <c r="AC78" s="293"/>
      <c r="AD78" s="293"/>
      <c r="AE78" s="293"/>
      <c r="AF78" s="293"/>
      <c r="AG78" s="293"/>
      <c r="AH78" s="293"/>
      <c r="AI78" s="293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  <c r="AY78" s="57"/>
      <c r="AZ78" s="57"/>
      <c r="BA78" s="57"/>
      <c r="BB78" s="57"/>
      <c r="BC78" s="57"/>
      <c r="BD78" s="57"/>
      <c r="BE78" s="57"/>
      <c r="BF78" s="57"/>
      <c r="BG78" s="57"/>
      <c r="BH78" s="57"/>
      <c r="BI78" s="57"/>
      <c r="BJ78" s="57"/>
      <c r="BK78" s="57"/>
      <c r="BL78" s="57"/>
      <c r="BM78" s="57"/>
      <c r="BN78" s="57"/>
      <c r="BO78" s="57"/>
      <c r="BP78" s="57"/>
      <c r="BQ78" s="57"/>
      <c r="BR78" s="57"/>
      <c r="BS78" s="57"/>
      <c r="BT78" s="57"/>
      <c r="BU78" s="57"/>
      <c r="BV78" s="57"/>
      <c r="BW78" s="57"/>
      <c r="BX78" s="57"/>
      <c r="BY78" s="57"/>
      <c r="BZ78" s="57"/>
      <c r="CA78" s="57"/>
      <c r="CB78" s="57"/>
      <c r="CC78" s="57"/>
      <c r="CD78" s="57"/>
      <c r="CE78" s="57"/>
      <c r="CF78" s="57"/>
      <c r="CG78" s="57"/>
      <c r="CH78" s="57"/>
      <c r="CI78" s="57"/>
      <c r="CJ78" s="57"/>
      <c r="CK78" s="57"/>
      <c r="CL78" s="57"/>
      <c r="CM78" s="57"/>
      <c r="CN78" s="57"/>
      <c r="CO78" s="57"/>
      <c r="CP78" s="57"/>
      <c r="CQ78" s="57"/>
      <c r="CR78" s="58"/>
    </row>
    <row r="79" spans="1:96" s="59" customFormat="1" ht="15" customHeight="1" x14ac:dyDescent="0.15">
      <c r="A79" s="56"/>
      <c r="B79" s="296" t="s">
        <v>227</v>
      </c>
      <c r="C79" s="296"/>
      <c r="D79" s="296"/>
      <c r="E79" s="296"/>
      <c r="F79" s="296"/>
      <c r="G79" s="296"/>
      <c r="H79" s="296"/>
      <c r="I79" s="296"/>
      <c r="J79" s="296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93"/>
      <c r="AB79" s="293"/>
      <c r="AC79" s="293"/>
      <c r="AD79" s="293"/>
      <c r="AE79" s="293"/>
      <c r="AF79" s="293"/>
      <c r="AG79" s="293"/>
      <c r="AH79" s="293"/>
      <c r="AI79" s="293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7"/>
      <c r="BS79" s="57"/>
      <c r="BT79" s="57"/>
      <c r="BU79" s="57"/>
      <c r="BV79" s="57"/>
      <c r="BW79" s="57"/>
      <c r="BX79" s="57"/>
      <c r="BY79" s="57"/>
      <c r="BZ79" s="57"/>
      <c r="CA79" s="57"/>
      <c r="CB79" s="57"/>
      <c r="CC79" s="57"/>
      <c r="CD79" s="57"/>
      <c r="CE79" s="57"/>
      <c r="CF79" s="57"/>
      <c r="CG79" s="57"/>
      <c r="CH79" s="57"/>
      <c r="CI79" s="57"/>
      <c r="CJ79" s="57"/>
      <c r="CK79" s="57"/>
      <c r="CL79" s="57"/>
      <c r="CM79" s="57"/>
      <c r="CN79" s="57"/>
      <c r="CO79" s="57"/>
      <c r="CP79" s="57"/>
      <c r="CQ79" s="57"/>
      <c r="CR79" s="58"/>
    </row>
    <row r="80" spans="1:96" s="59" customFormat="1" ht="15" customHeight="1" x14ac:dyDescent="0.15">
      <c r="A80" s="56"/>
      <c r="B80" s="296" t="s">
        <v>191</v>
      </c>
      <c r="C80" s="296"/>
      <c r="D80" s="296"/>
      <c r="E80" s="296"/>
      <c r="F80" s="296"/>
      <c r="G80" s="296"/>
      <c r="H80" s="296"/>
      <c r="I80" s="296"/>
      <c r="J80" s="296"/>
      <c r="K80" s="293"/>
      <c r="L80" s="293"/>
      <c r="M80" s="293"/>
      <c r="N80" s="293"/>
      <c r="O80" s="293"/>
      <c r="P80" s="293"/>
      <c r="Q80" s="293"/>
      <c r="R80" s="293"/>
      <c r="S80" s="293"/>
      <c r="T80" s="293"/>
      <c r="U80" s="293"/>
      <c r="V80" s="293"/>
      <c r="W80" s="293"/>
      <c r="X80" s="293"/>
      <c r="Y80" s="293"/>
      <c r="Z80" s="293"/>
      <c r="AA80" s="293"/>
      <c r="AB80" s="293"/>
      <c r="AC80" s="293"/>
      <c r="AD80" s="293"/>
      <c r="AE80" s="293"/>
      <c r="AF80" s="293"/>
      <c r="AG80" s="293"/>
      <c r="AH80" s="293"/>
      <c r="AI80" s="293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  <c r="AY80" s="57"/>
      <c r="AZ80" s="57"/>
      <c r="BA80" s="57"/>
      <c r="BB80" s="57"/>
      <c r="BC80" s="57"/>
      <c r="BD80" s="57"/>
      <c r="BE80" s="57"/>
      <c r="BF80" s="57"/>
      <c r="BG80" s="57"/>
      <c r="BH80" s="57"/>
      <c r="BI80" s="57"/>
      <c r="BJ80" s="57"/>
      <c r="BK80" s="57"/>
      <c r="BL80" s="57"/>
      <c r="BM80" s="57"/>
      <c r="BN80" s="57"/>
      <c r="BO80" s="57"/>
      <c r="BP80" s="57"/>
      <c r="BQ80" s="57"/>
      <c r="BR80" s="57"/>
      <c r="BS80" s="57"/>
      <c r="BT80" s="57"/>
      <c r="BU80" s="57"/>
      <c r="BV80" s="57"/>
      <c r="BW80" s="57"/>
      <c r="BX80" s="57"/>
      <c r="BY80" s="57"/>
      <c r="BZ80" s="57"/>
      <c r="CA80" s="57"/>
      <c r="CB80" s="57"/>
      <c r="CC80" s="57"/>
      <c r="CD80" s="57"/>
      <c r="CE80" s="57"/>
      <c r="CF80" s="57"/>
      <c r="CG80" s="57"/>
      <c r="CH80" s="57"/>
      <c r="CI80" s="57"/>
      <c r="CJ80" s="57"/>
      <c r="CK80" s="57"/>
      <c r="CL80" s="57"/>
      <c r="CM80" s="57"/>
      <c r="CN80" s="57"/>
      <c r="CO80" s="57"/>
      <c r="CP80" s="57"/>
      <c r="CQ80" s="57"/>
      <c r="CR80" s="58"/>
    </row>
    <row r="81" spans="1:96" s="59" customFormat="1" ht="15" customHeight="1" x14ac:dyDescent="0.15">
      <c r="A81" s="56"/>
      <c r="B81" s="296" t="s">
        <v>280</v>
      </c>
      <c r="C81" s="296"/>
      <c r="D81" s="296"/>
      <c r="E81" s="296"/>
      <c r="F81" s="296"/>
      <c r="G81" s="296"/>
      <c r="H81" s="296"/>
      <c r="I81" s="296"/>
      <c r="J81" s="296"/>
      <c r="K81" s="293"/>
      <c r="L81" s="293"/>
      <c r="M81" s="293"/>
      <c r="N81" s="293"/>
      <c r="O81" s="293"/>
      <c r="P81" s="293"/>
      <c r="Q81" s="293"/>
      <c r="R81" s="293"/>
      <c r="S81" s="293"/>
      <c r="T81" s="293"/>
      <c r="U81" s="293"/>
      <c r="V81" s="293"/>
      <c r="W81" s="293"/>
      <c r="X81" s="293"/>
      <c r="Y81" s="293"/>
      <c r="Z81" s="293"/>
      <c r="AA81" s="293"/>
      <c r="AB81" s="293"/>
      <c r="AC81" s="293"/>
      <c r="AD81" s="293"/>
      <c r="AE81" s="293"/>
      <c r="AF81" s="293"/>
      <c r="AG81" s="293"/>
      <c r="AH81" s="293"/>
      <c r="AI81" s="293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57"/>
      <c r="AZ81" s="57"/>
      <c r="BA81" s="57"/>
      <c r="BB81" s="57"/>
      <c r="BC81" s="57"/>
      <c r="BD81" s="57"/>
      <c r="BE81" s="57"/>
      <c r="BF81" s="57"/>
      <c r="BG81" s="57"/>
      <c r="BH81" s="57"/>
      <c r="BI81" s="57"/>
      <c r="BJ81" s="57"/>
      <c r="BK81" s="57"/>
      <c r="BL81" s="57"/>
      <c r="BM81" s="57"/>
      <c r="BN81" s="57"/>
      <c r="BO81" s="57"/>
      <c r="BP81" s="57"/>
      <c r="BQ81" s="57"/>
      <c r="BR81" s="57"/>
      <c r="BS81" s="57"/>
      <c r="BT81" s="57"/>
      <c r="BU81" s="57"/>
      <c r="BV81" s="57"/>
      <c r="BW81" s="57"/>
      <c r="BX81" s="57"/>
      <c r="BY81" s="57"/>
      <c r="BZ81" s="57"/>
      <c r="CA81" s="57"/>
      <c r="CB81" s="57"/>
      <c r="CC81" s="57"/>
      <c r="CD81" s="57"/>
      <c r="CE81" s="57"/>
      <c r="CF81" s="57"/>
      <c r="CG81" s="57"/>
      <c r="CH81" s="57"/>
      <c r="CI81" s="57"/>
      <c r="CJ81" s="57"/>
      <c r="CK81" s="57"/>
      <c r="CL81" s="57"/>
      <c r="CM81" s="57"/>
      <c r="CN81" s="57"/>
      <c r="CO81" s="57"/>
      <c r="CP81" s="57"/>
      <c r="CQ81" s="57"/>
      <c r="CR81" s="58"/>
    </row>
    <row r="82" spans="1:96" s="59" customFormat="1" ht="15" customHeight="1" x14ac:dyDescent="0.15">
      <c r="A82" s="56"/>
      <c r="B82" s="296" t="s">
        <v>208</v>
      </c>
      <c r="C82" s="296"/>
      <c r="D82" s="296"/>
      <c r="E82" s="296"/>
      <c r="F82" s="296"/>
      <c r="G82" s="296"/>
      <c r="H82" s="296"/>
      <c r="I82" s="296"/>
      <c r="J82" s="296"/>
      <c r="K82" s="293"/>
      <c r="L82" s="293"/>
      <c r="M82" s="293"/>
      <c r="N82" s="293"/>
      <c r="O82" s="293"/>
      <c r="P82" s="293"/>
      <c r="Q82" s="293"/>
      <c r="R82" s="293"/>
      <c r="S82" s="293"/>
      <c r="T82" s="293"/>
      <c r="U82" s="293"/>
      <c r="V82" s="293"/>
      <c r="W82" s="293"/>
      <c r="X82" s="293"/>
      <c r="Y82" s="293"/>
      <c r="Z82" s="293"/>
      <c r="AA82" s="293"/>
      <c r="AB82" s="293"/>
      <c r="AC82" s="293"/>
      <c r="AD82" s="293"/>
      <c r="AE82" s="293"/>
      <c r="AF82" s="293"/>
      <c r="AG82" s="293"/>
      <c r="AH82" s="293"/>
      <c r="AI82" s="293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57"/>
      <c r="BS82" s="57"/>
      <c r="BT82" s="57"/>
      <c r="BU82" s="57"/>
      <c r="BV82" s="57"/>
      <c r="BW82" s="57"/>
      <c r="BX82" s="57"/>
      <c r="BY82" s="57"/>
      <c r="BZ82" s="57"/>
      <c r="CA82" s="57"/>
      <c r="CB82" s="57"/>
      <c r="CC82" s="57"/>
      <c r="CD82" s="57"/>
      <c r="CE82" s="57"/>
      <c r="CF82" s="57"/>
      <c r="CG82" s="57"/>
      <c r="CH82" s="57"/>
      <c r="CI82" s="57"/>
      <c r="CJ82" s="57"/>
      <c r="CK82" s="57"/>
      <c r="CL82" s="57"/>
      <c r="CM82" s="57"/>
      <c r="CN82" s="57"/>
      <c r="CO82" s="57"/>
      <c r="CP82" s="57"/>
      <c r="CQ82" s="57"/>
      <c r="CR82" s="58"/>
    </row>
    <row r="83" spans="1:96" s="59" customFormat="1" ht="15" customHeight="1" x14ac:dyDescent="0.15">
      <c r="A83" s="56"/>
      <c r="B83" s="296" t="s">
        <v>281</v>
      </c>
      <c r="C83" s="296"/>
      <c r="D83" s="296"/>
      <c r="E83" s="296"/>
      <c r="F83" s="296"/>
      <c r="G83" s="296"/>
      <c r="H83" s="296"/>
      <c r="I83" s="296"/>
      <c r="J83" s="296"/>
      <c r="K83" s="293"/>
      <c r="L83" s="293"/>
      <c r="M83" s="293"/>
      <c r="N83" s="293"/>
      <c r="O83" s="293"/>
      <c r="P83" s="293"/>
      <c r="Q83" s="293"/>
      <c r="R83" s="293"/>
      <c r="S83" s="293"/>
      <c r="T83" s="293"/>
      <c r="U83" s="293"/>
      <c r="V83" s="293"/>
      <c r="W83" s="293"/>
      <c r="X83" s="293"/>
      <c r="Y83" s="293"/>
      <c r="Z83" s="293"/>
      <c r="AA83" s="293"/>
      <c r="AB83" s="293"/>
      <c r="AC83" s="293"/>
      <c r="AD83" s="293"/>
      <c r="AE83" s="293"/>
      <c r="AF83" s="293"/>
      <c r="AG83" s="293"/>
      <c r="AH83" s="293"/>
      <c r="AI83" s="293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57"/>
      <c r="AZ83" s="57"/>
      <c r="BA83" s="57"/>
      <c r="BB83" s="57"/>
      <c r="BC83" s="57"/>
      <c r="BD83" s="57"/>
      <c r="BE83" s="57"/>
      <c r="BF83" s="57"/>
      <c r="BG83" s="57"/>
      <c r="BH83" s="57"/>
      <c r="BI83" s="57"/>
      <c r="BJ83" s="57"/>
      <c r="BK83" s="57"/>
      <c r="BL83" s="57"/>
      <c r="BM83" s="57"/>
      <c r="BN83" s="57"/>
      <c r="BO83" s="57"/>
      <c r="BP83" s="57"/>
      <c r="BQ83" s="57"/>
      <c r="BR83" s="57"/>
      <c r="BS83" s="57"/>
      <c r="BT83" s="57"/>
      <c r="BU83" s="57"/>
      <c r="BV83" s="57"/>
      <c r="BW83" s="57"/>
      <c r="BX83" s="57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8"/>
    </row>
    <row r="84" spans="1:96" s="59" customFormat="1" ht="15" customHeight="1" x14ac:dyDescent="0.15">
      <c r="A84" s="56"/>
      <c r="B84" s="296" t="s">
        <v>104</v>
      </c>
      <c r="C84" s="296"/>
      <c r="D84" s="296"/>
      <c r="E84" s="296"/>
      <c r="F84" s="296"/>
      <c r="G84" s="296"/>
      <c r="H84" s="296"/>
      <c r="I84" s="296"/>
      <c r="J84" s="296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93"/>
      <c r="AB84" s="293"/>
      <c r="AC84" s="293"/>
      <c r="AD84" s="293"/>
      <c r="AE84" s="293"/>
      <c r="AF84" s="293"/>
      <c r="AG84" s="293"/>
      <c r="AH84" s="293"/>
      <c r="AI84" s="293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57"/>
      <c r="AZ84" s="57"/>
      <c r="BA84" s="57"/>
      <c r="BB84" s="57"/>
      <c r="BC84" s="57"/>
      <c r="BD84" s="57"/>
      <c r="BE84" s="57"/>
      <c r="BF84" s="57"/>
      <c r="BG84" s="57"/>
      <c r="BH84" s="57"/>
      <c r="BI84" s="57"/>
      <c r="BJ84" s="57"/>
      <c r="BK84" s="57"/>
      <c r="BL84" s="57"/>
      <c r="BM84" s="57"/>
      <c r="BN84" s="57"/>
      <c r="BO84" s="57"/>
      <c r="BP84" s="57"/>
      <c r="BQ84" s="57"/>
      <c r="BR84" s="57"/>
      <c r="BS84" s="57"/>
      <c r="BT84" s="57"/>
      <c r="BU84" s="57"/>
      <c r="BV84" s="57"/>
      <c r="BW84" s="57"/>
      <c r="BX84" s="57"/>
      <c r="BY84" s="57"/>
      <c r="BZ84" s="57"/>
      <c r="CA84" s="57"/>
      <c r="CB84" s="57"/>
      <c r="CC84" s="57"/>
      <c r="CD84" s="57"/>
      <c r="CE84" s="57"/>
      <c r="CF84" s="57"/>
      <c r="CG84" s="57"/>
      <c r="CH84" s="57"/>
      <c r="CI84" s="57"/>
      <c r="CJ84" s="57"/>
      <c r="CK84" s="57"/>
      <c r="CL84" s="57"/>
      <c r="CM84" s="57"/>
      <c r="CN84" s="57"/>
      <c r="CO84" s="57"/>
      <c r="CP84" s="57"/>
      <c r="CQ84" s="57"/>
      <c r="CR84" s="58"/>
    </row>
    <row r="85" spans="1:96" s="59" customFormat="1" ht="15" customHeight="1" x14ac:dyDescent="0.15">
      <c r="A85" s="56"/>
      <c r="B85" s="296" t="s">
        <v>282</v>
      </c>
      <c r="C85" s="296"/>
      <c r="D85" s="296"/>
      <c r="E85" s="296"/>
      <c r="F85" s="296"/>
      <c r="G85" s="296"/>
      <c r="H85" s="296"/>
      <c r="I85" s="296"/>
      <c r="J85" s="296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93"/>
      <c r="AB85" s="293"/>
      <c r="AC85" s="293"/>
      <c r="AD85" s="293"/>
      <c r="AE85" s="293"/>
      <c r="AF85" s="293"/>
      <c r="AG85" s="293"/>
      <c r="AH85" s="293"/>
      <c r="AI85" s="293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  <c r="AY85" s="57"/>
      <c r="AZ85" s="57"/>
      <c r="BA85" s="57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7"/>
      <c r="BS85" s="57"/>
      <c r="BT85" s="57"/>
      <c r="BU85" s="57"/>
      <c r="BV85" s="57"/>
      <c r="BW85" s="57"/>
      <c r="BX85" s="57"/>
      <c r="BY85" s="57"/>
      <c r="BZ85" s="57"/>
      <c r="CA85" s="57"/>
      <c r="CB85" s="57"/>
      <c r="CC85" s="57"/>
      <c r="CD85" s="57"/>
      <c r="CE85" s="57"/>
      <c r="CF85" s="57"/>
      <c r="CG85" s="57"/>
      <c r="CH85" s="57"/>
      <c r="CI85" s="57"/>
      <c r="CJ85" s="57"/>
      <c r="CK85" s="57"/>
      <c r="CL85" s="57"/>
      <c r="CM85" s="57"/>
      <c r="CN85" s="57"/>
      <c r="CO85" s="57"/>
      <c r="CP85" s="57"/>
      <c r="CQ85" s="57"/>
      <c r="CR85" s="58"/>
    </row>
    <row r="86" spans="1:96" s="59" customFormat="1" ht="15" customHeight="1" x14ac:dyDescent="0.15">
      <c r="A86" s="56"/>
      <c r="B86" s="295" t="s">
        <v>338</v>
      </c>
      <c r="C86" s="295"/>
      <c r="D86" s="295"/>
      <c r="E86" s="295"/>
      <c r="F86" s="295"/>
      <c r="G86" s="295"/>
      <c r="H86" s="295"/>
      <c r="I86" s="295"/>
      <c r="J86" s="295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  <c r="AY86" s="57"/>
      <c r="AZ86" s="57"/>
      <c r="BA86" s="57"/>
      <c r="BB86" s="57"/>
      <c r="BC86" s="57"/>
      <c r="BD86" s="57"/>
      <c r="BE86" s="57"/>
      <c r="BF86" s="57"/>
      <c r="BG86" s="57"/>
      <c r="BH86" s="57"/>
      <c r="BI86" s="57"/>
      <c r="BJ86" s="57"/>
      <c r="BK86" s="57"/>
      <c r="BL86" s="57"/>
      <c r="BM86" s="57"/>
      <c r="BN86" s="57"/>
      <c r="BO86" s="57"/>
      <c r="BP86" s="57"/>
      <c r="BQ86" s="57"/>
      <c r="BR86" s="57"/>
      <c r="BS86" s="57"/>
      <c r="BT86" s="57"/>
      <c r="BU86" s="57"/>
      <c r="BV86" s="57"/>
      <c r="BW86" s="57"/>
      <c r="BX86" s="57"/>
      <c r="BY86" s="57"/>
      <c r="BZ86" s="57"/>
      <c r="CA86" s="57"/>
      <c r="CB86" s="57"/>
      <c r="CC86" s="57"/>
      <c r="CD86" s="57"/>
      <c r="CE86" s="57"/>
      <c r="CF86" s="57"/>
      <c r="CG86" s="57"/>
      <c r="CH86" s="57"/>
      <c r="CI86" s="57"/>
      <c r="CJ86" s="57"/>
      <c r="CK86" s="57"/>
      <c r="CL86" s="57"/>
      <c r="CM86" s="57"/>
      <c r="CN86" s="57"/>
      <c r="CO86" s="57"/>
      <c r="CP86" s="57"/>
      <c r="CQ86" s="57"/>
      <c r="CR86" s="58"/>
    </row>
    <row r="87" spans="1:96" s="59" customFormat="1" ht="15" customHeight="1" x14ac:dyDescent="0.15">
      <c r="A87" s="56"/>
      <c r="B87" s="295" t="s">
        <v>272</v>
      </c>
      <c r="C87" s="295"/>
      <c r="D87" s="295"/>
      <c r="E87" s="295"/>
      <c r="F87" s="295"/>
      <c r="G87" s="295"/>
      <c r="H87" s="295"/>
      <c r="I87" s="295"/>
      <c r="J87" s="295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7"/>
      <c r="AA87" s="257"/>
      <c r="AB87" s="257"/>
      <c r="AC87" s="257"/>
      <c r="AD87" s="257"/>
      <c r="AE87" s="257"/>
      <c r="AF87" s="257"/>
      <c r="AG87" s="257"/>
      <c r="AH87" s="257"/>
      <c r="AI87" s="2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  <c r="AY87" s="57"/>
      <c r="AZ87" s="57"/>
      <c r="BA87" s="57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7"/>
      <c r="BS87" s="57"/>
      <c r="BT87" s="57"/>
      <c r="BU87" s="57"/>
      <c r="BV87" s="57"/>
      <c r="BW87" s="57"/>
      <c r="BX87" s="57"/>
      <c r="BY87" s="57"/>
      <c r="BZ87" s="57"/>
      <c r="CA87" s="57"/>
      <c r="CB87" s="57"/>
      <c r="CC87" s="57"/>
      <c r="CD87" s="57"/>
      <c r="CE87" s="57"/>
      <c r="CF87" s="57"/>
      <c r="CG87" s="57"/>
      <c r="CH87" s="57"/>
      <c r="CI87" s="57"/>
      <c r="CJ87" s="57"/>
      <c r="CK87" s="57"/>
      <c r="CL87" s="57"/>
      <c r="CM87" s="57"/>
      <c r="CN87" s="57"/>
      <c r="CO87" s="57"/>
      <c r="CP87" s="57"/>
      <c r="CQ87" s="57"/>
      <c r="CR87" s="58"/>
    </row>
    <row r="88" spans="1:96" s="59" customFormat="1" ht="15" customHeight="1" x14ac:dyDescent="0.15">
      <c r="A88" s="56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57"/>
      <c r="BS88" s="57"/>
      <c r="BT88" s="57"/>
      <c r="BU88" s="57"/>
      <c r="BV88" s="57"/>
      <c r="BW88" s="57"/>
      <c r="BX88" s="57"/>
      <c r="BY88" s="57"/>
      <c r="BZ88" s="57"/>
      <c r="CA88" s="57"/>
      <c r="CB88" s="57"/>
      <c r="CC88" s="57"/>
      <c r="CD88" s="57"/>
      <c r="CE88" s="57"/>
      <c r="CF88" s="57"/>
      <c r="CG88" s="57"/>
      <c r="CH88" s="57"/>
      <c r="CI88" s="57"/>
      <c r="CJ88" s="57"/>
      <c r="CK88" s="57"/>
      <c r="CL88" s="57"/>
      <c r="CM88" s="57"/>
      <c r="CN88" s="57"/>
      <c r="CO88" s="57"/>
      <c r="CP88" s="57"/>
      <c r="CQ88" s="57"/>
      <c r="CR88" s="58"/>
    </row>
    <row r="89" spans="1:96" s="59" customFormat="1" ht="15" customHeight="1" x14ac:dyDescent="0.15">
      <c r="A89" s="56"/>
      <c r="B89" s="23"/>
      <c r="C89" s="23"/>
      <c r="D89" s="23"/>
      <c r="E89" s="23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  <c r="AY89" s="57"/>
      <c r="AZ89" s="57"/>
      <c r="BA89" s="57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7"/>
      <c r="BS89" s="57"/>
      <c r="BT89" s="57"/>
      <c r="BU89" s="57"/>
      <c r="BV89" s="57"/>
      <c r="BW89" s="57"/>
      <c r="BX89" s="57"/>
      <c r="BY89" s="57"/>
      <c r="BZ89" s="57"/>
      <c r="CA89" s="57"/>
      <c r="CB89" s="57"/>
      <c r="CC89" s="57"/>
      <c r="CD89" s="57"/>
      <c r="CE89" s="57"/>
      <c r="CF89" s="57"/>
      <c r="CG89" s="57"/>
      <c r="CH89" s="57"/>
      <c r="CI89" s="57"/>
      <c r="CJ89" s="57"/>
      <c r="CK89" s="57"/>
      <c r="CL89" s="57"/>
      <c r="CM89" s="57"/>
      <c r="CN89" s="57"/>
      <c r="CO89" s="57"/>
      <c r="CP89" s="57"/>
      <c r="CQ89" s="57"/>
      <c r="CR89" s="58"/>
    </row>
    <row r="90" spans="1:96" s="59" customFormat="1" ht="15" customHeight="1" thickBot="1" x14ac:dyDescent="0.2">
      <c r="A90" s="60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/>
      <c r="BZ90" s="61"/>
      <c r="CA90" s="61"/>
      <c r="CB90" s="61"/>
      <c r="CC90" s="61"/>
      <c r="CD90" s="61"/>
      <c r="CE90" s="61"/>
      <c r="CF90" s="61"/>
      <c r="CG90" s="61"/>
      <c r="CH90" s="61"/>
      <c r="CI90" s="61"/>
      <c r="CJ90" s="61"/>
      <c r="CK90" s="61"/>
      <c r="CL90" s="61"/>
      <c r="CM90" s="61"/>
      <c r="CN90" s="61"/>
      <c r="CO90" s="61"/>
      <c r="CP90" s="61"/>
      <c r="CQ90" s="61"/>
      <c r="CR90" s="62"/>
    </row>
    <row r="91" spans="1:96" s="13" customFormat="1" ht="15" customHeight="1" x14ac:dyDescent="0.15">
      <c r="A91" s="46"/>
      <c r="B91" s="47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18"/>
      <c r="BI91" s="49"/>
      <c r="BJ91" s="50"/>
      <c r="BK91" s="50"/>
      <c r="BL91" s="50"/>
      <c r="BM91" s="50"/>
      <c r="BN91" s="50"/>
      <c r="BO91" s="50"/>
      <c r="BP91" s="50"/>
      <c r="BQ91" s="50"/>
      <c r="BR91" s="50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  <c r="CQ91" s="50"/>
      <c r="CR91" s="51"/>
    </row>
    <row r="92" spans="1:96" s="13" customFormat="1" ht="15" customHeight="1" x14ac:dyDescent="0.15">
      <c r="A92" s="46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52"/>
      <c r="BJ92" s="18" t="s">
        <v>58</v>
      </c>
      <c r="BK92" s="18" t="s">
        <v>131</v>
      </c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9"/>
    </row>
    <row r="93" spans="1:96" s="13" customFormat="1" ht="15" customHeight="1" x14ac:dyDescent="0.15">
      <c r="A93" s="4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52"/>
      <c r="BJ93" s="18"/>
      <c r="BK93" s="18" t="s">
        <v>132</v>
      </c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9"/>
    </row>
    <row r="94" spans="1:96" s="13" customFormat="1" ht="15" customHeight="1" x14ac:dyDescent="0.15">
      <c r="A94" s="46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52"/>
      <c r="BJ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9"/>
    </row>
    <row r="95" spans="1:96" s="13" customFormat="1" ht="15" customHeight="1" x14ac:dyDescent="0.15">
      <c r="A95" s="46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52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9"/>
    </row>
    <row r="96" spans="1:96" s="13" customFormat="1" ht="15" customHeight="1" x14ac:dyDescent="0.15">
      <c r="A96" s="46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52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9"/>
    </row>
    <row r="97" spans="1:100" s="13" customFormat="1" ht="15" customHeight="1" x14ac:dyDescent="0.15">
      <c r="A97" s="46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266" t="s">
        <v>59</v>
      </c>
      <c r="BJ97" s="231"/>
      <c r="BK97" s="231"/>
      <c r="BL97" s="231"/>
      <c r="BM97" s="231"/>
      <c r="BN97" s="231"/>
      <c r="BO97" s="231"/>
      <c r="BP97" s="231"/>
      <c r="BQ97" s="231"/>
      <c r="BR97" s="231"/>
      <c r="BS97" s="231"/>
      <c r="BT97" s="231"/>
      <c r="BU97" s="231"/>
      <c r="BV97" s="231"/>
      <c r="BW97" s="231"/>
      <c r="BX97" s="231"/>
      <c r="BY97" s="231"/>
      <c r="BZ97" s="231"/>
      <c r="CA97" s="231"/>
      <c r="CB97" s="231"/>
      <c r="CC97" s="231"/>
      <c r="CD97" s="231"/>
      <c r="CE97" s="231"/>
      <c r="CF97" s="231"/>
      <c r="CG97" s="231"/>
      <c r="CH97" s="231"/>
      <c r="CI97" s="231"/>
      <c r="CJ97" s="231"/>
      <c r="CK97" s="231"/>
      <c r="CL97" s="231"/>
      <c r="CM97" s="231"/>
      <c r="CN97" s="231"/>
      <c r="CO97" s="231"/>
      <c r="CP97" s="231"/>
      <c r="CQ97" s="231"/>
      <c r="CR97" s="232"/>
    </row>
    <row r="98" spans="1:100" s="13" customFormat="1" ht="15" customHeight="1" x14ac:dyDescent="0.15">
      <c r="A98" s="46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52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9"/>
    </row>
    <row r="99" spans="1:100" s="13" customFormat="1" ht="15" customHeight="1" x14ac:dyDescent="0.15">
      <c r="A99" s="46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52"/>
      <c r="BJ99" s="13" t="s">
        <v>60</v>
      </c>
      <c r="BK99" s="18" t="s">
        <v>137</v>
      </c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9"/>
    </row>
    <row r="100" spans="1:100" s="13" customFormat="1" ht="15" customHeight="1" x14ac:dyDescent="0.15">
      <c r="A100" s="46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52"/>
      <c r="BK100" s="18" t="s">
        <v>293</v>
      </c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Q100" s="18"/>
      <c r="CR100" s="19"/>
    </row>
    <row r="101" spans="1:100" s="13" customFormat="1" ht="15" customHeight="1" x14ac:dyDescent="0.15">
      <c r="A101" s="46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52"/>
      <c r="BK101" s="18" t="s">
        <v>294</v>
      </c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R101" s="19"/>
    </row>
    <row r="102" spans="1:100" s="13" customFormat="1" ht="15" customHeight="1" x14ac:dyDescent="0.15">
      <c r="A102" s="46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52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Q102" s="18"/>
      <c r="CR102" s="19"/>
    </row>
    <row r="103" spans="1:100" s="13" customFormat="1" ht="15" customHeight="1" x14ac:dyDescent="0.15">
      <c r="A103" s="46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52"/>
      <c r="BJ103" s="18" t="s">
        <v>60</v>
      </c>
      <c r="BK103" s="18" t="s">
        <v>254</v>
      </c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Q103" s="18"/>
      <c r="CR103" s="19"/>
    </row>
    <row r="104" spans="1:100" s="13" customFormat="1" ht="15" customHeight="1" x14ac:dyDescent="0.15">
      <c r="A104" s="46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52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Q104" s="18"/>
      <c r="CR104" s="19"/>
    </row>
    <row r="105" spans="1:100" s="13" customFormat="1" ht="15" customHeight="1" x14ac:dyDescent="0.15">
      <c r="A105" s="46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52"/>
      <c r="BJ105" s="18" t="s">
        <v>60</v>
      </c>
      <c r="BK105" s="18" t="s">
        <v>298</v>
      </c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Q105" s="18"/>
      <c r="CR105" s="19"/>
    </row>
    <row r="106" spans="1:100" s="13" customFormat="1" ht="15" customHeight="1" x14ac:dyDescent="0.15">
      <c r="A106" s="46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52"/>
      <c r="BJ106" s="18"/>
      <c r="BK106" s="18" t="s">
        <v>299</v>
      </c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Q106" s="18"/>
      <c r="CR106" s="19"/>
    </row>
    <row r="107" spans="1:100" s="13" customFormat="1" ht="15" customHeight="1" x14ac:dyDescent="0.15">
      <c r="A107" s="46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52"/>
      <c r="BK107" s="18" t="s">
        <v>300</v>
      </c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Q107" s="18"/>
      <c r="CR107" s="19"/>
    </row>
    <row r="108" spans="1:100" s="13" customFormat="1" ht="15" customHeight="1" x14ac:dyDescent="0.15">
      <c r="A108" s="46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52"/>
      <c r="BK108" s="18" t="s">
        <v>276</v>
      </c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R108" s="19"/>
    </row>
    <row r="109" spans="1:100" s="13" customFormat="1" ht="15" customHeight="1" x14ac:dyDescent="0.15">
      <c r="A109" s="46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52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Q109" s="18"/>
      <c r="CR109" s="19"/>
    </row>
    <row r="110" spans="1:100" s="13" customFormat="1" ht="15" customHeight="1" x14ac:dyDescent="0.15">
      <c r="A110" s="46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52"/>
      <c r="BJ110" s="13" t="s">
        <v>60</v>
      </c>
      <c r="BK110" s="18" t="s">
        <v>318</v>
      </c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Q110" s="18"/>
      <c r="CR110" s="19"/>
    </row>
    <row r="111" spans="1:100" s="13" customFormat="1" ht="15" customHeight="1" x14ac:dyDescent="0.15">
      <c r="A111" s="46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52"/>
      <c r="BK111" s="18" t="s">
        <v>237</v>
      </c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Q111" s="18"/>
      <c r="CR111" s="19"/>
    </row>
    <row r="112" spans="1:100" s="13" customFormat="1" ht="15" customHeight="1" x14ac:dyDescent="0.15">
      <c r="A112" s="4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52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Q112" s="18"/>
      <c r="CR112" s="19"/>
      <c r="CV112" s="18"/>
    </row>
    <row r="113" spans="1:123" s="13" customFormat="1" ht="15" customHeight="1" x14ac:dyDescent="0.15">
      <c r="A113" s="46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52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Q113" s="18"/>
      <c r="CR113" s="19"/>
    </row>
    <row r="114" spans="1:123" s="13" customFormat="1" ht="15" customHeight="1" x14ac:dyDescent="0.15">
      <c r="A114" s="4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52"/>
      <c r="BJ114" s="18"/>
      <c r="CQ114" s="18"/>
      <c r="CR114" s="19"/>
    </row>
    <row r="115" spans="1:123" s="13" customFormat="1" ht="15" customHeight="1" x14ac:dyDescent="0.15">
      <c r="A115" s="46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52"/>
      <c r="BJ115" s="18"/>
      <c r="CQ115" s="18"/>
      <c r="CR115" s="19"/>
    </row>
    <row r="116" spans="1:123" s="13" customFormat="1" ht="15" customHeight="1" x14ac:dyDescent="0.15">
      <c r="A116" s="4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52"/>
      <c r="CQ116" s="18"/>
      <c r="CR116" s="19"/>
    </row>
    <row r="117" spans="1:123" s="13" customFormat="1" ht="15" customHeight="1" x14ac:dyDescent="0.15">
      <c r="A117" s="4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52"/>
      <c r="CQ117" s="18"/>
      <c r="CR117" s="19"/>
      <c r="DO117" s="18"/>
      <c r="DP117" s="18"/>
      <c r="DQ117" s="18"/>
      <c r="DR117" s="18"/>
      <c r="DS117" s="18"/>
    </row>
    <row r="118" spans="1:123" s="13" customFormat="1" ht="15" customHeight="1" x14ac:dyDescent="0.15">
      <c r="A118" s="4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52"/>
      <c r="CQ118" s="18"/>
      <c r="CR118" s="19"/>
      <c r="DO118" s="18"/>
      <c r="DP118" s="18"/>
      <c r="DQ118" s="18"/>
      <c r="DR118" s="18"/>
      <c r="DS118" s="18"/>
    </row>
    <row r="119" spans="1:123" s="13" customFormat="1" ht="15" customHeight="1" x14ac:dyDescent="0.15">
      <c r="A119" s="4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52"/>
      <c r="CQ119" s="18"/>
      <c r="CR119" s="19"/>
    </row>
    <row r="120" spans="1:123" s="13" customFormat="1" ht="15" customHeight="1" x14ac:dyDescent="0.15">
      <c r="A120" s="4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52"/>
      <c r="CQ120" s="18"/>
      <c r="CR120" s="19"/>
    </row>
    <row r="121" spans="1:123" s="13" customFormat="1" ht="15" customHeight="1" x14ac:dyDescent="0.15">
      <c r="A121" s="4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52"/>
      <c r="CQ121" s="18"/>
      <c r="CR121" s="19"/>
    </row>
    <row r="122" spans="1:123" s="13" customFormat="1" ht="15" customHeight="1" x14ac:dyDescent="0.15">
      <c r="A122" s="4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52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9"/>
    </row>
    <row r="123" spans="1:123" s="13" customFormat="1" ht="15" customHeight="1" x14ac:dyDescent="0.15">
      <c r="A123" s="20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52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9"/>
    </row>
    <row r="124" spans="1:123" s="13" customFormat="1" ht="15" customHeight="1" x14ac:dyDescent="0.15">
      <c r="A124" s="230" t="s">
        <v>61</v>
      </c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  <c r="Y124" s="231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1"/>
      <c r="AK124" s="231"/>
      <c r="AL124" s="231"/>
      <c r="AM124" s="231"/>
      <c r="AN124" s="231"/>
      <c r="AO124" s="231"/>
      <c r="AP124" s="231"/>
      <c r="AQ124" s="231"/>
      <c r="AR124" s="231"/>
      <c r="AS124" s="231"/>
      <c r="AT124" s="231"/>
      <c r="AU124" s="231"/>
      <c r="AV124" s="231"/>
      <c r="AW124" s="231"/>
      <c r="AX124" s="231"/>
      <c r="AY124" s="231"/>
      <c r="AZ124" s="231"/>
      <c r="BA124" s="231"/>
      <c r="BB124" s="231"/>
      <c r="BC124" s="231"/>
      <c r="BD124" s="231"/>
      <c r="BE124" s="231"/>
      <c r="BF124" s="231"/>
      <c r="BG124" s="231"/>
      <c r="BH124" s="231"/>
      <c r="BI124" s="266" t="s">
        <v>62</v>
      </c>
      <c r="BJ124" s="231"/>
      <c r="BK124" s="231"/>
      <c r="BL124" s="231"/>
      <c r="BM124" s="231"/>
      <c r="BN124" s="231"/>
      <c r="BO124" s="231"/>
      <c r="BP124" s="231"/>
      <c r="BQ124" s="231"/>
      <c r="BR124" s="231"/>
      <c r="BS124" s="231"/>
      <c r="BT124" s="231"/>
      <c r="BU124" s="231"/>
      <c r="BV124" s="231"/>
      <c r="BW124" s="231"/>
      <c r="BX124" s="231"/>
      <c r="BY124" s="231"/>
      <c r="BZ124" s="231"/>
      <c r="CA124" s="231"/>
      <c r="CB124" s="231"/>
      <c r="CC124" s="231"/>
      <c r="CD124" s="231"/>
      <c r="CE124" s="231"/>
      <c r="CF124" s="231"/>
      <c r="CG124" s="231"/>
      <c r="CH124" s="231"/>
      <c r="CI124" s="231"/>
      <c r="CJ124" s="231"/>
      <c r="CK124" s="231"/>
      <c r="CL124" s="231"/>
      <c r="CM124" s="231"/>
      <c r="CN124" s="231"/>
      <c r="CO124" s="231"/>
      <c r="CP124" s="231"/>
      <c r="CQ124" s="231"/>
      <c r="CR124" s="232"/>
    </row>
    <row r="125" spans="1:123" s="13" customFormat="1" ht="15" customHeight="1" x14ac:dyDescent="0.15">
      <c r="A125" s="230" t="s">
        <v>63</v>
      </c>
      <c r="B125" s="231"/>
      <c r="C125" s="231"/>
      <c r="D125" s="231"/>
      <c r="E125" s="231"/>
      <c r="F125" s="231"/>
      <c r="G125" s="231"/>
      <c r="H125" s="231"/>
      <c r="I125" s="231"/>
      <c r="J125" s="267"/>
      <c r="K125" s="266" t="s">
        <v>64</v>
      </c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  <c r="Y125" s="231"/>
      <c r="Z125" s="231"/>
      <c r="AA125" s="231"/>
      <c r="AB125" s="231"/>
      <c r="AC125" s="231"/>
      <c r="AD125" s="231"/>
      <c r="AE125" s="231"/>
      <c r="AF125" s="231"/>
      <c r="AG125" s="231"/>
      <c r="AH125" s="231"/>
      <c r="AI125" s="231"/>
      <c r="AJ125" s="231"/>
      <c r="AK125" s="231"/>
      <c r="AL125" s="231"/>
      <c r="AM125" s="231"/>
      <c r="AN125" s="231"/>
      <c r="AO125" s="231"/>
      <c r="AP125" s="231"/>
      <c r="AQ125" s="231"/>
      <c r="AR125" s="231"/>
      <c r="AS125" s="231"/>
      <c r="AT125" s="231"/>
      <c r="AU125" s="231"/>
      <c r="AV125" s="267"/>
      <c r="AW125" s="266" t="s">
        <v>65</v>
      </c>
      <c r="AX125" s="231"/>
      <c r="AY125" s="231"/>
      <c r="AZ125" s="231"/>
      <c r="BA125" s="231"/>
      <c r="BB125" s="231"/>
      <c r="BC125" s="231"/>
      <c r="BD125" s="231"/>
      <c r="BE125" s="231"/>
      <c r="BF125" s="231"/>
      <c r="BG125" s="231"/>
      <c r="BH125" s="267"/>
      <c r="BI125" s="52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9"/>
    </row>
    <row r="126" spans="1:123" s="13" customFormat="1" ht="15" customHeight="1" x14ac:dyDescent="0.15">
      <c r="A126" s="272" t="s">
        <v>112</v>
      </c>
      <c r="B126" s="273"/>
      <c r="C126" s="273"/>
      <c r="D126" s="273"/>
      <c r="E126" s="273"/>
      <c r="F126" s="273"/>
      <c r="G126" s="273"/>
      <c r="H126" s="273"/>
      <c r="I126" s="273"/>
      <c r="J126" s="274"/>
      <c r="K126" s="275" t="s">
        <v>112</v>
      </c>
      <c r="L126" s="273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3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  <c r="AJ126" s="273"/>
      <c r="AK126" s="273"/>
      <c r="AL126" s="273"/>
      <c r="AM126" s="273"/>
      <c r="AN126" s="273"/>
      <c r="AO126" s="273"/>
      <c r="AP126" s="273"/>
      <c r="AQ126" s="273"/>
      <c r="AR126" s="273"/>
      <c r="AS126" s="273"/>
      <c r="AT126" s="273"/>
      <c r="AU126" s="273"/>
      <c r="AV126" s="274"/>
      <c r="AW126" s="275" t="s">
        <v>89</v>
      </c>
      <c r="AX126" s="273"/>
      <c r="AY126" s="273"/>
      <c r="AZ126" s="273"/>
      <c r="BA126" s="273"/>
      <c r="BB126" s="273"/>
      <c r="BC126" s="273"/>
      <c r="BD126" s="273"/>
      <c r="BE126" s="273"/>
      <c r="BF126" s="273"/>
      <c r="BG126" s="273"/>
      <c r="BH126" s="274"/>
      <c r="BI126" s="52"/>
      <c r="BJ126" s="18" t="s">
        <v>322</v>
      </c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9"/>
    </row>
    <row r="127" spans="1:123" s="13" customFormat="1" ht="15" customHeight="1" x14ac:dyDescent="0.15">
      <c r="A127" s="272" t="s">
        <v>68</v>
      </c>
      <c r="B127" s="273"/>
      <c r="C127" s="273"/>
      <c r="D127" s="273"/>
      <c r="E127" s="273"/>
      <c r="F127" s="273"/>
      <c r="G127" s="273"/>
      <c r="H127" s="273"/>
      <c r="I127" s="273"/>
      <c r="J127" s="274"/>
      <c r="K127" s="275" t="s">
        <v>138</v>
      </c>
      <c r="L127" s="273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3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  <c r="AJ127" s="273"/>
      <c r="AK127" s="273"/>
      <c r="AL127" s="273"/>
      <c r="AM127" s="273"/>
      <c r="AN127" s="273"/>
      <c r="AO127" s="273"/>
      <c r="AP127" s="273"/>
      <c r="AQ127" s="273"/>
      <c r="AR127" s="273"/>
      <c r="AS127" s="273"/>
      <c r="AT127" s="273"/>
      <c r="AU127" s="273"/>
      <c r="AV127" s="274"/>
      <c r="AW127" s="275" t="s">
        <v>89</v>
      </c>
      <c r="AX127" s="273"/>
      <c r="AY127" s="273"/>
      <c r="AZ127" s="273"/>
      <c r="BA127" s="273"/>
      <c r="BB127" s="273"/>
      <c r="BC127" s="273"/>
      <c r="BD127" s="273"/>
      <c r="BE127" s="273"/>
      <c r="BF127" s="273"/>
      <c r="BG127" s="273"/>
      <c r="BH127" s="274"/>
      <c r="BI127" s="52"/>
      <c r="BJ127" s="18" t="s">
        <v>135</v>
      </c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9"/>
    </row>
    <row r="128" spans="1:123" s="13" customFormat="1" ht="15" customHeight="1" x14ac:dyDescent="0.15">
      <c r="A128" s="327" t="s">
        <v>108</v>
      </c>
      <c r="B128" s="328"/>
      <c r="C128" s="328"/>
      <c r="D128" s="328"/>
      <c r="E128" s="328"/>
      <c r="F128" s="328"/>
      <c r="G128" s="328"/>
      <c r="H128" s="328"/>
      <c r="I128" s="328"/>
      <c r="J128" s="329"/>
      <c r="K128" s="279" t="s">
        <v>139</v>
      </c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  <c r="AI128" s="277"/>
      <c r="AJ128" s="277"/>
      <c r="AK128" s="277"/>
      <c r="AL128" s="277"/>
      <c r="AM128" s="277"/>
      <c r="AN128" s="277"/>
      <c r="AO128" s="277"/>
      <c r="AP128" s="277"/>
      <c r="AQ128" s="277"/>
      <c r="AR128" s="277"/>
      <c r="AS128" s="277"/>
      <c r="AT128" s="277"/>
      <c r="AU128" s="277"/>
      <c r="AV128" s="278"/>
      <c r="AW128" s="330" t="s">
        <v>89</v>
      </c>
      <c r="AX128" s="328"/>
      <c r="AY128" s="328"/>
      <c r="AZ128" s="328"/>
      <c r="BA128" s="328"/>
      <c r="BB128" s="328"/>
      <c r="BC128" s="328"/>
      <c r="BD128" s="328"/>
      <c r="BE128" s="328"/>
      <c r="BF128" s="328"/>
      <c r="BG128" s="328"/>
      <c r="BH128" s="329"/>
      <c r="BI128" s="52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9"/>
    </row>
    <row r="129" spans="1:96" s="13" customFormat="1" ht="15" customHeight="1" x14ac:dyDescent="0.15">
      <c r="A129" s="276" t="s">
        <v>319</v>
      </c>
      <c r="B129" s="277"/>
      <c r="C129" s="277"/>
      <c r="D129" s="277"/>
      <c r="E129" s="277"/>
      <c r="F129" s="277"/>
      <c r="G129" s="277"/>
      <c r="H129" s="277"/>
      <c r="I129" s="277"/>
      <c r="J129" s="278"/>
      <c r="K129" s="279" t="s">
        <v>319</v>
      </c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7"/>
      <c r="AL129" s="277"/>
      <c r="AM129" s="277"/>
      <c r="AN129" s="277"/>
      <c r="AO129" s="277"/>
      <c r="AP129" s="277"/>
      <c r="AQ129" s="277"/>
      <c r="AR129" s="277"/>
      <c r="AS129" s="277"/>
      <c r="AT129" s="277"/>
      <c r="AU129" s="277"/>
      <c r="AV129" s="278"/>
      <c r="AW129" s="279" t="s">
        <v>89</v>
      </c>
      <c r="AX129" s="277"/>
      <c r="AY129" s="277"/>
      <c r="AZ129" s="277"/>
      <c r="BA129" s="277"/>
      <c r="BB129" s="277"/>
      <c r="BC129" s="277"/>
      <c r="BD129" s="277"/>
      <c r="BE129" s="277"/>
      <c r="BF129" s="277"/>
      <c r="BG129" s="277"/>
      <c r="BH129" s="278"/>
      <c r="BI129" s="266" t="s">
        <v>66</v>
      </c>
      <c r="BJ129" s="231"/>
      <c r="BK129" s="231"/>
      <c r="BL129" s="231"/>
      <c r="BM129" s="231"/>
      <c r="BN129" s="231"/>
      <c r="BO129" s="231"/>
      <c r="BP129" s="231"/>
      <c r="BQ129" s="231"/>
      <c r="BR129" s="231"/>
      <c r="BS129" s="231"/>
      <c r="BT129" s="231"/>
      <c r="BU129" s="231"/>
      <c r="BV129" s="231"/>
      <c r="BW129" s="231"/>
      <c r="BX129" s="231"/>
      <c r="BY129" s="231"/>
      <c r="BZ129" s="231"/>
      <c r="CA129" s="231"/>
      <c r="CB129" s="231"/>
      <c r="CC129" s="231"/>
      <c r="CD129" s="231"/>
      <c r="CE129" s="231"/>
      <c r="CF129" s="231"/>
      <c r="CG129" s="231"/>
      <c r="CH129" s="231"/>
      <c r="CI129" s="231"/>
      <c r="CJ129" s="231"/>
      <c r="CK129" s="231"/>
      <c r="CL129" s="231"/>
      <c r="CM129" s="231"/>
      <c r="CN129" s="231"/>
      <c r="CO129" s="231"/>
      <c r="CP129" s="231"/>
      <c r="CQ129" s="231"/>
      <c r="CR129" s="232"/>
    </row>
    <row r="130" spans="1:96" s="13" customFormat="1" ht="15" customHeight="1" x14ac:dyDescent="0.15">
      <c r="A130" s="272" t="s">
        <v>191</v>
      </c>
      <c r="B130" s="273"/>
      <c r="C130" s="273"/>
      <c r="D130" s="273"/>
      <c r="E130" s="273"/>
      <c r="F130" s="273"/>
      <c r="G130" s="273"/>
      <c r="H130" s="273"/>
      <c r="I130" s="273"/>
      <c r="J130" s="274"/>
      <c r="K130" s="275" t="s">
        <v>191</v>
      </c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273"/>
      <c r="AP130" s="273"/>
      <c r="AQ130" s="273"/>
      <c r="AR130" s="273"/>
      <c r="AS130" s="273"/>
      <c r="AT130" s="273"/>
      <c r="AU130" s="273"/>
      <c r="AV130" s="274"/>
      <c r="AW130" s="361" t="s">
        <v>89</v>
      </c>
      <c r="AX130" s="362"/>
      <c r="AY130" s="362"/>
      <c r="AZ130" s="362"/>
      <c r="BA130" s="362"/>
      <c r="BB130" s="362"/>
      <c r="BC130" s="362"/>
      <c r="BD130" s="362"/>
      <c r="BE130" s="362"/>
      <c r="BF130" s="362"/>
      <c r="BG130" s="362"/>
      <c r="BH130" s="363"/>
      <c r="BI130" s="52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9"/>
    </row>
    <row r="131" spans="1:96" s="13" customFormat="1" ht="15" customHeight="1" x14ac:dyDescent="0.15">
      <c r="A131" s="364" t="s">
        <v>181</v>
      </c>
      <c r="B131" s="365"/>
      <c r="C131" s="365"/>
      <c r="D131" s="365"/>
      <c r="E131" s="365"/>
      <c r="F131" s="365"/>
      <c r="G131" s="365"/>
      <c r="H131" s="365"/>
      <c r="I131" s="365"/>
      <c r="J131" s="366"/>
      <c r="K131" s="367" t="s">
        <v>190</v>
      </c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  <c r="AE131" s="365"/>
      <c r="AF131" s="365"/>
      <c r="AG131" s="365"/>
      <c r="AH131" s="365"/>
      <c r="AI131" s="365"/>
      <c r="AJ131" s="365"/>
      <c r="AK131" s="365"/>
      <c r="AL131" s="365"/>
      <c r="AM131" s="365"/>
      <c r="AN131" s="365"/>
      <c r="AO131" s="365"/>
      <c r="AP131" s="365"/>
      <c r="AQ131" s="365"/>
      <c r="AR131" s="365"/>
      <c r="AS131" s="365"/>
      <c r="AT131" s="365"/>
      <c r="AU131" s="365"/>
      <c r="AV131" s="366"/>
      <c r="AW131" s="275" t="s">
        <v>89</v>
      </c>
      <c r="AX131" s="273"/>
      <c r="AY131" s="273"/>
      <c r="AZ131" s="273"/>
      <c r="BA131" s="273"/>
      <c r="BB131" s="273"/>
      <c r="BC131" s="273"/>
      <c r="BD131" s="273"/>
      <c r="BE131" s="273"/>
      <c r="BF131" s="273"/>
      <c r="BG131" s="273"/>
      <c r="BH131" s="274"/>
      <c r="BI131" s="52"/>
      <c r="BJ131" s="18" t="s">
        <v>123</v>
      </c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9"/>
    </row>
    <row r="132" spans="1:96" s="13" customFormat="1" ht="15" customHeight="1" x14ac:dyDescent="0.15">
      <c r="A132" s="272" t="s">
        <v>192</v>
      </c>
      <c r="B132" s="273"/>
      <c r="C132" s="273"/>
      <c r="D132" s="273"/>
      <c r="E132" s="273"/>
      <c r="F132" s="273"/>
      <c r="G132" s="273"/>
      <c r="H132" s="273"/>
      <c r="I132" s="273"/>
      <c r="J132" s="274"/>
      <c r="K132" s="275" t="s">
        <v>192</v>
      </c>
      <c r="L132" s="273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3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  <c r="AJ132" s="273"/>
      <c r="AK132" s="273"/>
      <c r="AL132" s="273"/>
      <c r="AM132" s="273"/>
      <c r="AN132" s="273"/>
      <c r="AO132" s="273"/>
      <c r="AP132" s="273"/>
      <c r="AQ132" s="273"/>
      <c r="AR132" s="273"/>
      <c r="AS132" s="273"/>
      <c r="AT132" s="273"/>
      <c r="AU132" s="273"/>
      <c r="AV132" s="274"/>
      <c r="AW132" s="275" t="s">
        <v>89</v>
      </c>
      <c r="AX132" s="273"/>
      <c r="AY132" s="273"/>
      <c r="AZ132" s="273"/>
      <c r="BA132" s="273"/>
      <c r="BB132" s="273"/>
      <c r="BC132" s="273"/>
      <c r="BD132" s="273"/>
      <c r="BE132" s="273"/>
      <c r="BF132" s="273"/>
      <c r="BG132" s="273"/>
      <c r="BH132" s="274"/>
      <c r="BI132" s="52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9"/>
    </row>
    <row r="133" spans="1:96" s="13" customFormat="1" ht="15" customHeight="1" thickBot="1" x14ac:dyDescent="0.2">
      <c r="A133" s="356" t="s">
        <v>104</v>
      </c>
      <c r="B133" s="357"/>
      <c r="C133" s="357"/>
      <c r="D133" s="357"/>
      <c r="E133" s="357"/>
      <c r="F133" s="357"/>
      <c r="G133" s="357"/>
      <c r="H133" s="357"/>
      <c r="I133" s="357"/>
      <c r="J133" s="358"/>
      <c r="K133" s="359" t="s">
        <v>104</v>
      </c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357"/>
      <c r="AB133" s="357"/>
      <c r="AC133" s="357"/>
      <c r="AD133" s="357"/>
      <c r="AE133" s="357"/>
      <c r="AF133" s="357"/>
      <c r="AG133" s="357"/>
      <c r="AH133" s="357"/>
      <c r="AI133" s="357"/>
      <c r="AJ133" s="357"/>
      <c r="AK133" s="357"/>
      <c r="AL133" s="357"/>
      <c r="AM133" s="357"/>
      <c r="AN133" s="357"/>
      <c r="AO133" s="357"/>
      <c r="AP133" s="357"/>
      <c r="AQ133" s="357"/>
      <c r="AR133" s="357"/>
      <c r="AS133" s="357"/>
      <c r="AT133" s="357"/>
      <c r="AU133" s="357"/>
      <c r="AV133" s="358"/>
      <c r="AW133" s="359" t="s">
        <v>89</v>
      </c>
      <c r="AX133" s="357"/>
      <c r="AY133" s="357"/>
      <c r="AZ133" s="357"/>
      <c r="BA133" s="357"/>
      <c r="BB133" s="357"/>
      <c r="BC133" s="357"/>
      <c r="BD133" s="357"/>
      <c r="BE133" s="357"/>
      <c r="BF133" s="357"/>
      <c r="BG133" s="357"/>
      <c r="BH133" s="358"/>
      <c r="BI133" s="53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5"/>
    </row>
    <row r="134" spans="1:96" s="12" customFormat="1" ht="15" customHeight="1" x14ac:dyDescent="0.15">
      <c r="A134" s="297" t="s">
        <v>67</v>
      </c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  <c r="AH134" s="298"/>
      <c r="AI134" s="298"/>
      <c r="AJ134" s="298"/>
      <c r="AK134" s="298"/>
      <c r="AL134" s="298"/>
      <c r="AM134" s="298"/>
      <c r="AN134" s="298"/>
      <c r="AO134" s="298"/>
      <c r="AP134" s="298"/>
      <c r="AQ134" s="298"/>
      <c r="AR134" s="298"/>
      <c r="AS134" s="298"/>
      <c r="AT134" s="298"/>
      <c r="AU134" s="298"/>
      <c r="AV134" s="298"/>
      <c r="AW134" s="298"/>
      <c r="AX134" s="298"/>
      <c r="AY134" s="298"/>
      <c r="AZ134" s="298"/>
      <c r="BA134" s="298"/>
      <c r="BB134" s="298"/>
      <c r="BC134" s="298"/>
      <c r="BD134" s="298"/>
      <c r="BE134" s="298"/>
      <c r="BF134" s="298"/>
      <c r="BG134" s="298"/>
      <c r="BH134" s="298"/>
      <c r="BI134" s="231"/>
      <c r="BJ134" s="231"/>
      <c r="BK134" s="231"/>
      <c r="BL134" s="231"/>
      <c r="BM134" s="231"/>
      <c r="BN134" s="231"/>
      <c r="BO134" s="231"/>
      <c r="BP134" s="231"/>
      <c r="BQ134" s="231"/>
      <c r="BR134" s="231"/>
      <c r="BS134" s="231"/>
      <c r="BT134" s="231"/>
      <c r="BU134" s="231"/>
      <c r="BV134" s="231"/>
      <c r="BW134" s="231"/>
      <c r="BX134" s="231"/>
      <c r="BY134" s="231"/>
      <c r="BZ134" s="231"/>
      <c r="CA134" s="231"/>
      <c r="CB134" s="231"/>
      <c r="CC134" s="231"/>
      <c r="CD134" s="231"/>
      <c r="CE134" s="231"/>
      <c r="CF134" s="231"/>
      <c r="CG134" s="231"/>
      <c r="CH134" s="231"/>
      <c r="CI134" s="231"/>
      <c r="CJ134" s="231"/>
      <c r="CK134" s="231"/>
      <c r="CL134" s="231"/>
      <c r="CM134" s="231"/>
      <c r="CN134" s="231"/>
      <c r="CO134" s="231"/>
      <c r="CP134" s="231"/>
      <c r="CQ134" s="231"/>
      <c r="CR134" s="232"/>
    </row>
    <row r="135" spans="1:96" s="59" customFormat="1" ht="15" customHeight="1" x14ac:dyDescent="0.15">
      <c r="A135" s="56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  <c r="AY135" s="57"/>
      <c r="AZ135" s="57"/>
      <c r="BA135" s="57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7"/>
      <c r="BS135" s="57"/>
      <c r="BT135" s="57"/>
      <c r="BU135" s="57"/>
      <c r="BV135" s="57"/>
      <c r="BW135" s="57"/>
      <c r="BX135" s="57"/>
      <c r="BY135" s="57"/>
      <c r="BZ135" s="57"/>
      <c r="CA135" s="57"/>
      <c r="CB135" s="57"/>
      <c r="CC135" s="57"/>
      <c r="CD135" s="57"/>
      <c r="CE135" s="57"/>
      <c r="CF135" s="57"/>
      <c r="CG135" s="57"/>
      <c r="CH135" s="57"/>
      <c r="CI135" s="57"/>
      <c r="CJ135" s="57"/>
      <c r="CK135" s="57"/>
      <c r="CL135" s="57"/>
      <c r="CM135" s="57"/>
      <c r="CN135" s="57"/>
      <c r="CO135" s="57"/>
      <c r="CP135" s="57"/>
      <c r="CQ135" s="57"/>
      <c r="CR135" s="58"/>
    </row>
    <row r="136" spans="1:96" s="59" customFormat="1" ht="15" customHeight="1" x14ac:dyDescent="0.15">
      <c r="A136" s="56"/>
      <c r="B136" s="57" t="s">
        <v>140</v>
      </c>
      <c r="C136" s="57" t="s">
        <v>141</v>
      </c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 t="s">
        <v>312</v>
      </c>
      <c r="AY136" s="57"/>
      <c r="AZ136" s="57"/>
      <c r="BA136" s="57"/>
      <c r="BB136" s="57"/>
      <c r="BC136" s="57"/>
      <c r="BD136" s="57"/>
      <c r="BE136" s="57"/>
      <c r="BF136" s="57"/>
      <c r="BG136" s="57"/>
      <c r="BH136" s="57"/>
      <c r="BI136" s="57"/>
      <c r="BJ136" s="57"/>
      <c r="BK136" s="57"/>
      <c r="BL136" s="57"/>
      <c r="BM136" s="57"/>
      <c r="BN136" s="57"/>
      <c r="BO136" s="57"/>
      <c r="BP136" s="57"/>
      <c r="BQ136" s="57"/>
      <c r="BR136" s="57"/>
      <c r="BS136" s="57"/>
      <c r="BT136" s="57"/>
      <c r="BU136" s="57"/>
      <c r="BV136" s="57"/>
      <c r="BW136" s="57"/>
      <c r="BX136" s="57"/>
      <c r="BY136" s="57"/>
      <c r="BZ136" s="57"/>
      <c r="CA136" s="57"/>
      <c r="CB136" s="57"/>
      <c r="CC136" s="57"/>
      <c r="CD136" s="57"/>
      <c r="CE136" s="57"/>
      <c r="CF136" s="57"/>
      <c r="CG136" s="57"/>
      <c r="CH136" s="57"/>
      <c r="CI136" s="57"/>
      <c r="CJ136" s="57"/>
      <c r="CK136" s="57"/>
      <c r="CL136" s="57"/>
      <c r="CM136" s="57"/>
      <c r="CN136" s="57"/>
      <c r="CO136" s="57"/>
      <c r="CP136" s="57"/>
      <c r="CQ136" s="57"/>
      <c r="CR136" s="58"/>
    </row>
    <row r="137" spans="1:96" s="59" customFormat="1" ht="15" customHeight="1" x14ac:dyDescent="0.15">
      <c r="A137" s="56"/>
      <c r="B137" s="57"/>
      <c r="C137" s="57" t="s">
        <v>146</v>
      </c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  <c r="AY137" s="57" t="s">
        <v>313</v>
      </c>
      <c r="AZ137" s="57"/>
      <c r="BA137" s="57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7"/>
      <c r="BS137" s="57"/>
      <c r="BT137" s="57"/>
      <c r="BU137" s="57"/>
      <c r="BV137" s="57"/>
      <c r="BW137" s="57"/>
      <c r="BX137" s="57"/>
      <c r="BY137" s="57"/>
      <c r="BZ137" s="57"/>
      <c r="CA137" s="57"/>
      <c r="CB137" s="57"/>
      <c r="CC137" s="57"/>
      <c r="CD137" s="57"/>
      <c r="CE137" s="57"/>
      <c r="CF137" s="57"/>
      <c r="CG137" s="57"/>
      <c r="CH137" s="57"/>
      <c r="CI137" s="57"/>
      <c r="CJ137" s="57"/>
      <c r="CK137" s="57"/>
      <c r="CL137" s="57"/>
      <c r="CM137" s="57"/>
      <c r="CN137" s="57"/>
      <c r="CO137" s="57"/>
      <c r="CP137" s="57"/>
      <c r="CQ137" s="57"/>
      <c r="CR137" s="58"/>
    </row>
    <row r="138" spans="1:96" s="59" customFormat="1" ht="15" customHeight="1" x14ac:dyDescent="0.15">
      <c r="A138" s="56"/>
      <c r="B138" s="57"/>
      <c r="C138" s="57" t="s">
        <v>147</v>
      </c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  <c r="AY138" s="57" t="s">
        <v>314</v>
      </c>
      <c r="AZ138" s="57"/>
      <c r="BA138" s="57"/>
      <c r="CQ138" s="57"/>
      <c r="CR138" s="58"/>
    </row>
    <row r="139" spans="1:96" s="59" customFormat="1" ht="15" customHeight="1" x14ac:dyDescent="0.15">
      <c r="A139" s="56"/>
      <c r="B139" s="57"/>
      <c r="C139" s="57" t="s">
        <v>142</v>
      </c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  <c r="AY139" s="57" t="s">
        <v>323</v>
      </c>
      <c r="AZ139" s="57"/>
      <c r="BA139" s="57"/>
      <c r="CQ139" s="57"/>
      <c r="CR139" s="58"/>
    </row>
    <row r="140" spans="1:96" s="59" customFormat="1" ht="15" customHeight="1" x14ac:dyDescent="0.15">
      <c r="A140" s="56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Y140" s="59" t="s">
        <v>324</v>
      </c>
      <c r="CQ140" s="57"/>
      <c r="CR140" s="58"/>
    </row>
    <row r="141" spans="1:96" s="59" customFormat="1" ht="15" customHeight="1" x14ac:dyDescent="0.15">
      <c r="A141" s="56"/>
      <c r="B141" s="57"/>
      <c r="C141" s="57" t="s">
        <v>143</v>
      </c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T141" s="57" t="s">
        <v>145</v>
      </c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7"/>
      <c r="AP141" s="57"/>
      <c r="AQ141" s="57"/>
      <c r="AR141" s="57"/>
      <c r="AS141" s="57"/>
      <c r="AT141" s="57"/>
      <c r="AU141" s="57"/>
      <c r="AV141" s="57"/>
      <c r="AW141" s="57"/>
      <c r="CQ141" s="57"/>
      <c r="CR141" s="58"/>
    </row>
    <row r="142" spans="1:96" s="59" customFormat="1" ht="15" customHeight="1" thickBot="1" x14ac:dyDescent="0.2">
      <c r="A142" s="56"/>
      <c r="B142" s="57"/>
      <c r="C142" s="102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4"/>
      <c r="R142" s="57"/>
      <c r="S142" s="57"/>
      <c r="T142" s="102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4"/>
      <c r="AI142" s="57"/>
      <c r="AJ142" s="57"/>
      <c r="AK142" s="57"/>
      <c r="AL142" s="57"/>
      <c r="AM142" s="57"/>
      <c r="AN142" s="57"/>
      <c r="AO142" s="57"/>
      <c r="AP142" s="57"/>
      <c r="AQ142" s="57"/>
      <c r="AR142" s="57"/>
      <c r="AS142" s="57"/>
      <c r="AT142" s="57"/>
      <c r="AU142" s="57"/>
      <c r="AV142" s="57"/>
      <c r="AW142" s="57"/>
      <c r="AX142" s="57" t="s">
        <v>140</v>
      </c>
      <c r="AY142" s="57" t="s">
        <v>340</v>
      </c>
      <c r="AZ142" s="57"/>
      <c r="CQ142" s="57"/>
      <c r="CR142" s="58"/>
    </row>
    <row r="143" spans="1:96" s="59" customFormat="1" ht="15" customHeight="1" thickTop="1" x14ac:dyDescent="0.15">
      <c r="A143" s="56"/>
      <c r="B143" s="57"/>
      <c r="C143" s="105"/>
      <c r="D143" s="369" t="s">
        <v>144</v>
      </c>
      <c r="E143" s="370"/>
      <c r="F143" s="370"/>
      <c r="G143" s="370"/>
      <c r="H143" s="370"/>
      <c r="I143" s="371"/>
      <c r="J143" s="57"/>
      <c r="K143" s="57"/>
      <c r="L143" s="57"/>
      <c r="M143" s="57"/>
      <c r="N143" s="57"/>
      <c r="O143" s="57"/>
      <c r="P143" s="57"/>
      <c r="Q143" s="106"/>
      <c r="R143" s="57"/>
      <c r="S143" s="57"/>
      <c r="T143" s="105"/>
      <c r="U143" s="369" t="s">
        <v>133</v>
      </c>
      <c r="V143" s="370"/>
      <c r="W143" s="370"/>
      <c r="X143" s="370"/>
      <c r="Y143" s="370"/>
      <c r="Z143" s="371"/>
      <c r="AA143" s="369" t="s">
        <v>134</v>
      </c>
      <c r="AB143" s="370"/>
      <c r="AC143" s="370"/>
      <c r="AD143" s="370"/>
      <c r="AE143" s="370"/>
      <c r="AF143" s="371"/>
      <c r="AG143" s="57"/>
      <c r="AH143" s="106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 t="s">
        <v>341</v>
      </c>
      <c r="AZ143" s="57"/>
      <c r="CQ143" s="57"/>
      <c r="CR143" s="58"/>
    </row>
    <row r="144" spans="1:96" s="59" customFormat="1" ht="15" customHeight="1" thickBot="1" x14ac:dyDescent="0.2">
      <c r="A144" s="56"/>
      <c r="B144" s="57"/>
      <c r="C144" s="105"/>
      <c r="D144" s="372"/>
      <c r="E144" s="373"/>
      <c r="F144" s="373"/>
      <c r="G144" s="373"/>
      <c r="H144" s="373"/>
      <c r="I144" s="374"/>
      <c r="J144" s="57"/>
      <c r="K144" s="57"/>
      <c r="L144" s="57"/>
      <c r="M144" s="57"/>
      <c r="N144" s="57"/>
      <c r="O144" s="57"/>
      <c r="P144" s="57"/>
      <c r="Q144" s="106"/>
      <c r="R144" s="57"/>
      <c r="S144" s="57"/>
      <c r="T144" s="105"/>
      <c r="U144" s="372"/>
      <c r="V144" s="373"/>
      <c r="W144" s="373"/>
      <c r="X144" s="373"/>
      <c r="Y144" s="373"/>
      <c r="Z144" s="374"/>
      <c r="AA144" s="372"/>
      <c r="AB144" s="373"/>
      <c r="AC144" s="373"/>
      <c r="AD144" s="373"/>
      <c r="AE144" s="373"/>
      <c r="AF144" s="374"/>
      <c r="AG144" s="57"/>
      <c r="AH144" s="106"/>
      <c r="AI144" s="57"/>
      <c r="AJ144" s="57"/>
      <c r="AK144" s="57"/>
      <c r="AL144" s="57"/>
      <c r="AM144" s="57"/>
      <c r="AN144" s="57"/>
      <c r="AO144" s="57"/>
      <c r="AP144" s="57"/>
      <c r="AQ144" s="57"/>
      <c r="AR144" s="57"/>
      <c r="AS144" s="57"/>
      <c r="AT144" s="57"/>
      <c r="AU144" s="57"/>
      <c r="AV144" s="57"/>
      <c r="AW144" s="57"/>
      <c r="AX144" s="57"/>
      <c r="AY144" s="317" t="s">
        <v>91</v>
      </c>
      <c r="AZ144" s="318"/>
      <c r="BA144" s="318"/>
      <c r="BB144" s="318"/>
      <c r="BC144" s="318"/>
      <c r="BD144" s="318"/>
      <c r="BE144" s="318"/>
      <c r="BF144" s="319"/>
      <c r="BG144" s="317" t="s">
        <v>154</v>
      </c>
      <c r="BH144" s="318"/>
      <c r="BI144" s="318"/>
      <c r="BJ144" s="318"/>
      <c r="BK144" s="318"/>
      <c r="BL144" s="319"/>
      <c r="BM144" s="326" t="s">
        <v>162</v>
      </c>
      <c r="BN144" s="318"/>
      <c r="BO144" s="318"/>
      <c r="BP144" s="318"/>
      <c r="BQ144" s="318"/>
      <c r="BR144" s="319"/>
      <c r="BS144" s="345" t="s">
        <v>325</v>
      </c>
      <c r="BT144" s="305"/>
      <c r="BU144" s="305"/>
      <c r="BV144" s="305"/>
      <c r="BW144" s="305"/>
      <c r="BX144" s="305"/>
      <c r="BY144" s="305" t="s">
        <v>160</v>
      </c>
      <c r="BZ144" s="305"/>
      <c r="CA144" s="305"/>
      <c r="CB144" s="305"/>
      <c r="CC144" s="305"/>
      <c r="CD144" s="305"/>
      <c r="CE144" s="305"/>
      <c r="CF144" s="305"/>
      <c r="CG144" s="305"/>
      <c r="CH144" s="305"/>
      <c r="CI144" s="305"/>
      <c r="CJ144" s="305"/>
      <c r="CK144" s="305"/>
      <c r="CL144" s="305"/>
      <c r="CM144" s="305"/>
      <c r="CN144" s="305"/>
      <c r="CO144" s="305"/>
      <c r="CP144" s="305"/>
      <c r="CQ144" s="57"/>
      <c r="CR144" s="58"/>
    </row>
    <row r="145" spans="1:96" s="59" customFormat="1" ht="15" customHeight="1" thickTop="1" x14ac:dyDescent="0.15">
      <c r="A145" s="56"/>
      <c r="B145" s="57"/>
      <c r="C145" s="107"/>
      <c r="D145" s="108"/>
      <c r="E145" s="108"/>
      <c r="F145" s="108"/>
      <c r="G145" s="108"/>
      <c r="H145" s="108"/>
      <c r="I145" s="108"/>
      <c r="J145" s="109"/>
      <c r="K145" s="109"/>
      <c r="L145" s="109"/>
      <c r="M145" s="109"/>
      <c r="N145" s="109"/>
      <c r="O145" s="109"/>
      <c r="P145" s="109"/>
      <c r="Q145" s="110"/>
      <c r="R145" s="57"/>
      <c r="S145" s="57"/>
      <c r="T145" s="107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  <c r="AF145" s="108"/>
      <c r="AG145" s="109"/>
      <c r="AH145" s="110"/>
      <c r="AI145" s="57"/>
      <c r="AJ145" s="57"/>
      <c r="AK145" s="57"/>
      <c r="AL145" s="57"/>
      <c r="AM145" s="57"/>
      <c r="AN145" s="57"/>
      <c r="AO145" s="57"/>
      <c r="AP145" s="57"/>
      <c r="AQ145" s="57"/>
      <c r="AR145" s="57"/>
      <c r="AS145" s="57"/>
      <c r="AT145" s="57"/>
      <c r="AU145" s="57"/>
      <c r="AV145" s="57"/>
      <c r="AW145" s="57"/>
      <c r="AY145" s="320"/>
      <c r="AZ145" s="321"/>
      <c r="BA145" s="321"/>
      <c r="BB145" s="321"/>
      <c r="BC145" s="321"/>
      <c r="BD145" s="321"/>
      <c r="BE145" s="321"/>
      <c r="BF145" s="322"/>
      <c r="BG145" s="323"/>
      <c r="BH145" s="324"/>
      <c r="BI145" s="324"/>
      <c r="BJ145" s="324"/>
      <c r="BK145" s="324"/>
      <c r="BL145" s="325"/>
      <c r="BM145" s="320"/>
      <c r="BN145" s="321"/>
      <c r="BO145" s="321"/>
      <c r="BP145" s="321"/>
      <c r="BQ145" s="321"/>
      <c r="BR145" s="322"/>
      <c r="BS145" s="305"/>
      <c r="BT145" s="305"/>
      <c r="BU145" s="305"/>
      <c r="BV145" s="305"/>
      <c r="BW145" s="305"/>
      <c r="BX145" s="305"/>
      <c r="BY145" s="300" t="s">
        <v>161</v>
      </c>
      <c r="BZ145" s="301"/>
      <c r="CA145" s="301"/>
      <c r="CB145" s="301"/>
      <c r="CC145" s="301"/>
      <c r="CD145" s="302"/>
      <c r="CE145" s="300" t="s">
        <v>163</v>
      </c>
      <c r="CF145" s="301"/>
      <c r="CG145" s="301"/>
      <c r="CH145" s="301"/>
      <c r="CI145" s="301"/>
      <c r="CJ145" s="302"/>
      <c r="CK145" s="300" t="s">
        <v>164</v>
      </c>
      <c r="CL145" s="301"/>
      <c r="CM145" s="301"/>
      <c r="CN145" s="301"/>
      <c r="CO145" s="301"/>
      <c r="CP145" s="302"/>
      <c r="CQ145" s="57"/>
      <c r="CR145" s="58"/>
    </row>
    <row r="146" spans="1:96" s="59" customFormat="1" ht="15" customHeight="1" x14ac:dyDescent="0.15">
      <c r="A146" s="56"/>
      <c r="R146" s="57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  <c r="AM146" s="57"/>
      <c r="AN146" s="57"/>
      <c r="AO146" s="57"/>
      <c r="AP146" s="57"/>
      <c r="AQ146" s="57"/>
      <c r="AR146" s="57"/>
      <c r="AS146" s="57"/>
      <c r="AT146" s="57"/>
      <c r="AU146" s="57"/>
      <c r="AV146" s="57"/>
      <c r="AW146" s="57"/>
      <c r="AY146" s="309" t="s">
        <v>148</v>
      </c>
      <c r="AZ146" s="310"/>
      <c r="BA146" s="310"/>
      <c r="BB146" s="310"/>
      <c r="BC146" s="310"/>
      <c r="BD146" s="310"/>
      <c r="BE146" s="310"/>
      <c r="BF146" s="311"/>
      <c r="BG146" s="259" t="s">
        <v>156</v>
      </c>
      <c r="BH146" s="260"/>
      <c r="BI146" s="260"/>
      <c r="BJ146" s="260"/>
      <c r="BK146" s="260"/>
      <c r="BL146" s="261"/>
      <c r="BM146" s="259" t="s">
        <v>158</v>
      </c>
      <c r="BN146" s="260"/>
      <c r="BO146" s="260"/>
      <c r="BP146" s="260"/>
      <c r="BQ146" s="260"/>
      <c r="BR146" s="261"/>
      <c r="BS146" s="259" t="s">
        <v>158</v>
      </c>
      <c r="BT146" s="260"/>
      <c r="BU146" s="260"/>
      <c r="BV146" s="260"/>
      <c r="BW146" s="260"/>
      <c r="BX146" s="261"/>
      <c r="BY146" s="259" t="s">
        <v>157</v>
      </c>
      <c r="BZ146" s="260"/>
      <c r="CA146" s="260"/>
      <c r="CB146" s="260"/>
      <c r="CC146" s="260"/>
      <c r="CD146" s="261"/>
      <c r="CE146" s="259" t="s">
        <v>157</v>
      </c>
      <c r="CF146" s="260"/>
      <c r="CG146" s="260"/>
      <c r="CH146" s="260"/>
      <c r="CI146" s="260"/>
      <c r="CJ146" s="261"/>
      <c r="CK146" s="259" t="s">
        <v>157</v>
      </c>
      <c r="CL146" s="260"/>
      <c r="CM146" s="260"/>
      <c r="CN146" s="260"/>
      <c r="CO146" s="260"/>
      <c r="CP146" s="261"/>
      <c r="CQ146" s="57"/>
      <c r="CR146" s="58"/>
    </row>
    <row r="147" spans="1:96" s="59" customFormat="1" ht="15" customHeight="1" x14ac:dyDescent="0.15">
      <c r="A147" s="56"/>
      <c r="B147" s="57" t="s">
        <v>90</v>
      </c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  <c r="AM147" s="57"/>
      <c r="AN147" s="57"/>
      <c r="AO147" s="57"/>
      <c r="AP147" s="57"/>
      <c r="AQ147" s="57"/>
      <c r="AR147" s="57"/>
      <c r="AS147" s="57"/>
      <c r="AT147" s="57"/>
      <c r="AU147" s="57"/>
      <c r="AV147" s="57"/>
      <c r="AW147" s="57"/>
      <c r="AY147" s="309" t="s">
        <v>320</v>
      </c>
      <c r="AZ147" s="310"/>
      <c r="BA147" s="310"/>
      <c r="BB147" s="310"/>
      <c r="BC147" s="310"/>
      <c r="BD147" s="310"/>
      <c r="BE147" s="310"/>
      <c r="BF147" s="311"/>
      <c r="BG147" s="259" t="s">
        <v>326</v>
      </c>
      <c r="BH147" s="260"/>
      <c r="BI147" s="260"/>
      <c r="BJ147" s="260"/>
      <c r="BK147" s="260"/>
      <c r="BL147" s="261"/>
      <c r="BM147" s="259" t="s">
        <v>158</v>
      </c>
      <c r="BN147" s="260"/>
      <c r="BO147" s="260"/>
      <c r="BP147" s="260"/>
      <c r="BQ147" s="260"/>
      <c r="BR147" s="261"/>
      <c r="BS147" s="259" t="s">
        <v>326</v>
      </c>
      <c r="BT147" s="260"/>
      <c r="BU147" s="260"/>
      <c r="BV147" s="260"/>
      <c r="BW147" s="260"/>
      <c r="BX147" s="261"/>
      <c r="BY147" s="259" t="s">
        <v>157</v>
      </c>
      <c r="BZ147" s="260"/>
      <c r="CA147" s="260"/>
      <c r="CB147" s="260"/>
      <c r="CC147" s="260"/>
      <c r="CD147" s="261"/>
      <c r="CE147" s="259" t="s">
        <v>157</v>
      </c>
      <c r="CF147" s="260"/>
      <c r="CG147" s="260"/>
      <c r="CH147" s="260"/>
      <c r="CI147" s="260"/>
      <c r="CJ147" s="261"/>
      <c r="CK147" s="259" t="s">
        <v>157</v>
      </c>
      <c r="CL147" s="260"/>
      <c r="CM147" s="260"/>
      <c r="CN147" s="260"/>
      <c r="CO147" s="260"/>
      <c r="CP147" s="261"/>
      <c r="CQ147" s="57"/>
      <c r="CR147" s="58"/>
    </row>
    <row r="148" spans="1:96" s="59" customFormat="1" ht="15" customHeight="1" x14ac:dyDescent="0.15">
      <c r="A148" s="56"/>
      <c r="B148" s="300" t="s">
        <v>91</v>
      </c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2"/>
      <c r="P148" s="300" t="s">
        <v>92</v>
      </c>
      <c r="Q148" s="301"/>
      <c r="R148" s="301"/>
      <c r="S148" s="301"/>
      <c r="T148" s="302"/>
      <c r="U148" s="300" t="s">
        <v>93</v>
      </c>
      <c r="V148" s="301"/>
      <c r="W148" s="302"/>
      <c r="X148" s="305" t="s">
        <v>94</v>
      </c>
      <c r="Y148" s="305"/>
      <c r="Z148" s="305"/>
      <c r="AA148" s="305"/>
      <c r="AB148" s="305"/>
      <c r="AC148" s="305"/>
      <c r="AD148" s="305"/>
      <c r="AE148" s="305"/>
      <c r="AF148" s="305"/>
      <c r="AG148" s="305"/>
      <c r="AH148" s="305"/>
      <c r="AI148" s="305"/>
      <c r="AJ148" s="305"/>
      <c r="AK148" s="305"/>
      <c r="AL148" s="305"/>
      <c r="AM148" s="305"/>
      <c r="AN148" s="305"/>
      <c r="AO148" s="305"/>
      <c r="AP148" s="305"/>
      <c r="AQ148" s="305"/>
      <c r="AR148" s="305"/>
      <c r="AS148" s="305"/>
      <c r="AT148" s="305"/>
      <c r="AU148" s="57"/>
      <c r="AV148" s="57"/>
      <c r="AW148" s="57"/>
      <c r="AY148" s="309" t="s">
        <v>287</v>
      </c>
      <c r="AZ148" s="310"/>
      <c r="BA148" s="310"/>
      <c r="BB148" s="310"/>
      <c r="BC148" s="310"/>
      <c r="BD148" s="310"/>
      <c r="BE148" s="310"/>
      <c r="BF148" s="311"/>
      <c r="BG148" s="259" t="s">
        <v>156</v>
      </c>
      <c r="BH148" s="260"/>
      <c r="BI148" s="260"/>
      <c r="BJ148" s="260"/>
      <c r="BK148" s="260"/>
      <c r="BL148" s="261"/>
      <c r="BM148" s="259" t="s">
        <v>158</v>
      </c>
      <c r="BN148" s="260"/>
      <c r="BO148" s="260"/>
      <c r="BP148" s="260"/>
      <c r="BQ148" s="260"/>
      <c r="BR148" s="261"/>
      <c r="BS148" s="259" t="s">
        <v>156</v>
      </c>
      <c r="BT148" s="260"/>
      <c r="BU148" s="260"/>
      <c r="BV148" s="260"/>
      <c r="BW148" s="260"/>
      <c r="BX148" s="261"/>
      <c r="BY148" s="259" t="s">
        <v>157</v>
      </c>
      <c r="BZ148" s="260"/>
      <c r="CA148" s="260"/>
      <c r="CB148" s="260"/>
      <c r="CC148" s="260"/>
      <c r="CD148" s="261"/>
      <c r="CE148" s="259" t="s">
        <v>157</v>
      </c>
      <c r="CF148" s="260"/>
      <c r="CG148" s="260"/>
      <c r="CH148" s="260"/>
      <c r="CI148" s="260"/>
      <c r="CJ148" s="261"/>
      <c r="CK148" s="259" t="s">
        <v>157</v>
      </c>
      <c r="CL148" s="260"/>
      <c r="CM148" s="260"/>
      <c r="CN148" s="260"/>
      <c r="CO148" s="260"/>
      <c r="CP148" s="261"/>
      <c r="CQ148" s="57"/>
      <c r="CR148" s="58"/>
    </row>
    <row r="149" spans="1:96" s="59" customFormat="1" ht="15" customHeight="1" x14ac:dyDescent="0.15">
      <c r="A149" s="56"/>
      <c r="B149" s="293" t="s">
        <v>148</v>
      </c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3"/>
      <c r="P149" s="294" t="s">
        <v>95</v>
      </c>
      <c r="Q149" s="294"/>
      <c r="R149" s="294"/>
      <c r="S149" s="294"/>
      <c r="T149" s="294"/>
      <c r="U149" s="290">
        <v>8</v>
      </c>
      <c r="V149" s="291"/>
      <c r="W149" s="292"/>
      <c r="X149" s="296" t="s">
        <v>283</v>
      </c>
      <c r="Y149" s="296"/>
      <c r="Z149" s="296"/>
      <c r="AA149" s="296"/>
      <c r="AB149" s="296"/>
      <c r="AC149" s="296"/>
      <c r="AD149" s="296"/>
      <c r="AE149" s="296"/>
      <c r="AF149" s="296"/>
      <c r="AG149" s="296"/>
      <c r="AH149" s="296"/>
      <c r="AI149" s="296"/>
      <c r="AJ149" s="296"/>
      <c r="AK149" s="296"/>
      <c r="AL149" s="296"/>
      <c r="AM149" s="296"/>
      <c r="AN149" s="296"/>
      <c r="AO149" s="296"/>
      <c r="AP149" s="296"/>
      <c r="AQ149" s="296"/>
      <c r="AR149" s="296"/>
      <c r="AS149" s="296"/>
      <c r="AT149" s="296"/>
      <c r="AU149" s="57"/>
      <c r="AV149" s="57"/>
      <c r="AW149" s="57"/>
      <c r="AY149" s="309" t="s">
        <v>288</v>
      </c>
      <c r="AZ149" s="310"/>
      <c r="BA149" s="310"/>
      <c r="BB149" s="310"/>
      <c r="BC149" s="310"/>
      <c r="BD149" s="310"/>
      <c r="BE149" s="310"/>
      <c r="BF149" s="311"/>
      <c r="BG149" s="259" t="s">
        <v>156</v>
      </c>
      <c r="BH149" s="260"/>
      <c r="BI149" s="260"/>
      <c r="BJ149" s="260"/>
      <c r="BK149" s="260"/>
      <c r="BL149" s="261"/>
      <c r="BM149" s="259" t="s">
        <v>158</v>
      </c>
      <c r="BN149" s="260"/>
      <c r="BO149" s="260"/>
      <c r="BP149" s="260"/>
      <c r="BQ149" s="260"/>
      <c r="BR149" s="261"/>
      <c r="BS149" s="259" t="s">
        <v>156</v>
      </c>
      <c r="BT149" s="260"/>
      <c r="BU149" s="260"/>
      <c r="BV149" s="260"/>
      <c r="BW149" s="260"/>
      <c r="BX149" s="261"/>
      <c r="BY149" s="259" t="s">
        <v>157</v>
      </c>
      <c r="BZ149" s="260"/>
      <c r="CA149" s="260"/>
      <c r="CB149" s="260"/>
      <c r="CC149" s="260"/>
      <c r="CD149" s="261"/>
      <c r="CE149" s="259" t="s">
        <v>157</v>
      </c>
      <c r="CF149" s="260"/>
      <c r="CG149" s="260"/>
      <c r="CH149" s="260"/>
      <c r="CI149" s="260"/>
      <c r="CJ149" s="261"/>
      <c r="CK149" s="259" t="s">
        <v>157</v>
      </c>
      <c r="CL149" s="260"/>
      <c r="CM149" s="260"/>
      <c r="CN149" s="260"/>
      <c r="CO149" s="260"/>
      <c r="CP149" s="261"/>
      <c r="CQ149" s="57"/>
      <c r="CR149" s="58"/>
    </row>
    <row r="150" spans="1:96" s="59" customFormat="1" ht="15" customHeight="1" x14ac:dyDescent="0.15">
      <c r="A150" s="56"/>
      <c r="B150" s="293" t="s">
        <v>320</v>
      </c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4" t="s">
        <v>99</v>
      </c>
      <c r="Q150" s="294"/>
      <c r="R150" s="294"/>
      <c r="S150" s="294"/>
      <c r="T150" s="294"/>
      <c r="U150" s="290">
        <v>8</v>
      </c>
      <c r="V150" s="291"/>
      <c r="W150" s="292"/>
      <c r="X150" s="296" t="s">
        <v>321</v>
      </c>
      <c r="Y150" s="296"/>
      <c r="Z150" s="296"/>
      <c r="AA150" s="296"/>
      <c r="AB150" s="296"/>
      <c r="AC150" s="296"/>
      <c r="AD150" s="296"/>
      <c r="AE150" s="296"/>
      <c r="AF150" s="296"/>
      <c r="AG150" s="296"/>
      <c r="AH150" s="296"/>
      <c r="AI150" s="296"/>
      <c r="AJ150" s="296"/>
      <c r="AK150" s="296"/>
      <c r="AL150" s="296"/>
      <c r="AM150" s="296"/>
      <c r="AN150" s="296"/>
      <c r="AO150" s="296"/>
      <c r="AP150" s="296"/>
      <c r="AQ150" s="296"/>
      <c r="AR150" s="296"/>
      <c r="AS150" s="296"/>
      <c r="AT150" s="296"/>
      <c r="AU150" s="57"/>
      <c r="AV150" s="57"/>
      <c r="AY150" s="309" t="s">
        <v>355</v>
      </c>
      <c r="AZ150" s="310"/>
      <c r="BA150" s="310"/>
      <c r="BB150" s="310"/>
      <c r="BC150" s="310"/>
      <c r="BD150" s="310"/>
      <c r="BE150" s="310"/>
      <c r="BF150" s="311"/>
      <c r="BG150" s="259" t="s">
        <v>156</v>
      </c>
      <c r="BH150" s="260"/>
      <c r="BI150" s="260"/>
      <c r="BJ150" s="260"/>
      <c r="BK150" s="260"/>
      <c r="BL150" s="261"/>
      <c r="BM150" s="259" t="s">
        <v>158</v>
      </c>
      <c r="BN150" s="260"/>
      <c r="BO150" s="260"/>
      <c r="BP150" s="260"/>
      <c r="BQ150" s="260"/>
      <c r="BR150" s="261"/>
      <c r="BS150" s="259" t="s">
        <v>156</v>
      </c>
      <c r="BT150" s="260"/>
      <c r="BU150" s="260"/>
      <c r="BV150" s="260"/>
      <c r="BW150" s="260"/>
      <c r="BX150" s="261"/>
      <c r="BY150" s="259" t="s">
        <v>157</v>
      </c>
      <c r="BZ150" s="260"/>
      <c r="CA150" s="260"/>
      <c r="CB150" s="260"/>
      <c r="CC150" s="260"/>
      <c r="CD150" s="261"/>
      <c r="CE150" s="259" t="s">
        <v>157</v>
      </c>
      <c r="CF150" s="260"/>
      <c r="CG150" s="260"/>
      <c r="CH150" s="260"/>
      <c r="CI150" s="260"/>
      <c r="CJ150" s="261"/>
      <c r="CK150" s="259" t="s">
        <v>157</v>
      </c>
      <c r="CL150" s="260"/>
      <c r="CM150" s="260"/>
      <c r="CN150" s="260"/>
      <c r="CO150" s="260"/>
      <c r="CP150" s="261"/>
      <c r="CQ150" s="57"/>
      <c r="CR150" s="58"/>
    </row>
    <row r="151" spans="1:96" s="59" customFormat="1" ht="15" customHeight="1" x14ac:dyDescent="0.15">
      <c r="A151" s="56"/>
      <c r="B151" s="287" t="s">
        <v>101</v>
      </c>
      <c r="C151" s="288"/>
      <c r="D151" s="288"/>
      <c r="E151" s="288"/>
      <c r="F151" s="288"/>
      <c r="G151" s="296" t="s">
        <v>284</v>
      </c>
      <c r="H151" s="296"/>
      <c r="I151" s="296"/>
      <c r="J151" s="296"/>
      <c r="K151" s="296"/>
      <c r="L151" s="296"/>
      <c r="M151" s="296"/>
      <c r="N151" s="296"/>
      <c r="O151" s="296"/>
      <c r="P151" s="294" t="s">
        <v>95</v>
      </c>
      <c r="Q151" s="294"/>
      <c r="R151" s="294"/>
      <c r="S151" s="294"/>
      <c r="T151" s="294"/>
      <c r="U151" s="290">
        <v>30</v>
      </c>
      <c r="V151" s="291"/>
      <c r="W151" s="292"/>
      <c r="X151" s="296"/>
      <c r="Y151" s="296"/>
      <c r="Z151" s="296"/>
      <c r="AA151" s="296"/>
      <c r="AB151" s="296"/>
      <c r="AC151" s="296"/>
      <c r="AD151" s="296"/>
      <c r="AE151" s="296"/>
      <c r="AF151" s="296"/>
      <c r="AG151" s="296"/>
      <c r="AH151" s="296"/>
      <c r="AI151" s="296"/>
      <c r="AJ151" s="296"/>
      <c r="AK151" s="296"/>
      <c r="AL151" s="296"/>
      <c r="AM151" s="296"/>
      <c r="AN151" s="296"/>
      <c r="AO151" s="296"/>
      <c r="AP151" s="296"/>
      <c r="AQ151" s="296"/>
      <c r="AR151" s="296"/>
      <c r="AS151" s="296"/>
      <c r="AT151" s="296"/>
      <c r="AU151" s="57"/>
      <c r="AV151" s="57"/>
      <c r="AW151" s="57"/>
      <c r="AY151" s="312" t="s">
        <v>327</v>
      </c>
      <c r="AZ151" s="313"/>
      <c r="BA151" s="313"/>
      <c r="BB151" s="313"/>
      <c r="BC151" s="313"/>
      <c r="BD151" s="313"/>
      <c r="BE151" s="313"/>
      <c r="BF151" s="314"/>
      <c r="BG151" s="306" t="s">
        <v>156</v>
      </c>
      <c r="BH151" s="307"/>
      <c r="BI151" s="307"/>
      <c r="BJ151" s="307"/>
      <c r="BK151" s="307"/>
      <c r="BL151" s="308"/>
      <c r="BM151" s="306" t="s">
        <v>158</v>
      </c>
      <c r="BN151" s="307"/>
      <c r="BO151" s="307"/>
      <c r="BP151" s="307"/>
      <c r="BQ151" s="307"/>
      <c r="BR151" s="308"/>
      <c r="BS151" s="306" t="s">
        <v>156</v>
      </c>
      <c r="BT151" s="307"/>
      <c r="BU151" s="307"/>
      <c r="BV151" s="307"/>
      <c r="BW151" s="307"/>
      <c r="BX151" s="308"/>
      <c r="BY151" s="306" t="s">
        <v>157</v>
      </c>
      <c r="BZ151" s="307"/>
      <c r="CA151" s="307"/>
      <c r="CB151" s="307"/>
      <c r="CC151" s="307"/>
      <c r="CD151" s="308"/>
      <c r="CE151" s="306" t="s">
        <v>157</v>
      </c>
      <c r="CF151" s="307"/>
      <c r="CG151" s="307"/>
      <c r="CH151" s="307"/>
      <c r="CI151" s="307"/>
      <c r="CJ151" s="308"/>
      <c r="CK151" s="306" t="s">
        <v>157</v>
      </c>
      <c r="CL151" s="307"/>
      <c r="CM151" s="307"/>
      <c r="CN151" s="307"/>
      <c r="CO151" s="307"/>
      <c r="CP151" s="308"/>
      <c r="CQ151" s="57"/>
      <c r="CR151" s="58"/>
    </row>
    <row r="152" spans="1:96" s="59" customFormat="1" ht="15" customHeight="1" x14ac:dyDescent="0.15">
      <c r="A152" s="56"/>
      <c r="B152" s="315"/>
      <c r="C152" s="316"/>
      <c r="D152" s="316"/>
      <c r="E152" s="316"/>
      <c r="F152" s="316"/>
      <c r="G152" s="296" t="s">
        <v>285</v>
      </c>
      <c r="H152" s="296"/>
      <c r="I152" s="296"/>
      <c r="J152" s="296"/>
      <c r="K152" s="296"/>
      <c r="L152" s="296"/>
      <c r="M152" s="296"/>
      <c r="N152" s="296"/>
      <c r="O152" s="296"/>
      <c r="P152" s="294" t="s">
        <v>95</v>
      </c>
      <c r="Q152" s="294"/>
      <c r="R152" s="294"/>
      <c r="S152" s="294"/>
      <c r="T152" s="294"/>
      <c r="U152" s="290">
        <v>30</v>
      </c>
      <c r="V152" s="291"/>
      <c r="W152" s="292"/>
      <c r="X152" s="296"/>
      <c r="Y152" s="296"/>
      <c r="Z152" s="296"/>
      <c r="AA152" s="296"/>
      <c r="AB152" s="296"/>
      <c r="AC152" s="296"/>
      <c r="AD152" s="296"/>
      <c r="AE152" s="296"/>
      <c r="AF152" s="296"/>
      <c r="AG152" s="296"/>
      <c r="AH152" s="296"/>
      <c r="AI152" s="296"/>
      <c r="AJ152" s="296"/>
      <c r="AK152" s="296"/>
      <c r="AL152" s="296"/>
      <c r="AM152" s="296"/>
      <c r="AN152" s="296"/>
      <c r="AO152" s="296"/>
      <c r="AP152" s="296"/>
      <c r="AQ152" s="296"/>
      <c r="AR152" s="296"/>
      <c r="AS152" s="296"/>
      <c r="AT152" s="296"/>
      <c r="AU152" s="57"/>
      <c r="AV152" s="57"/>
      <c r="AW152" s="57"/>
      <c r="AY152" s="309" t="s">
        <v>103</v>
      </c>
      <c r="AZ152" s="310"/>
      <c r="BA152" s="310"/>
      <c r="BB152" s="310"/>
      <c r="BC152" s="310"/>
      <c r="BD152" s="310"/>
      <c r="BE152" s="310"/>
      <c r="BF152" s="311"/>
      <c r="BG152" s="259" t="s">
        <v>156</v>
      </c>
      <c r="BH152" s="260"/>
      <c r="BI152" s="260"/>
      <c r="BJ152" s="260"/>
      <c r="BK152" s="260"/>
      <c r="BL152" s="261"/>
      <c r="BM152" s="259" t="s">
        <v>158</v>
      </c>
      <c r="BN152" s="260"/>
      <c r="BO152" s="260"/>
      <c r="BP152" s="260"/>
      <c r="BQ152" s="260"/>
      <c r="BR152" s="261"/>
      <c r="BS152" s="259" t="s">
        <v>156</v>
      </c>
      <c r="BT152" s="260"/>
      <c r="BU152" s="260"/>
      <c r="BV152" s="260"/>
      <c r="BW152" s="260"/>
      <c r="BX152" s="261"/>
      <c r="BY152" s="259" t="s">
        <v>157</v>
      </c>
      <c r="BZ152" s="260"/>
      <c r="CA152" s="260"/>
      <c r="CB152" s="260"/>
      <c r="CC152" s="260"/>
      <c r="CD152" s="261"/>
      <c r="CE152" s="259" t="s">
        <v>157</v>
      </c>
      <c r="CF152" s="260"/>
      <c r="CG152" s="260"/>
      <c r="CH152" s="260"/>
      <c r="CI152" s="260"/>
      <c r="CJ152" s="261"/>
      <c r="CK152" s="259" t="s">
        <v>157</v>
      </c>
      <c r="CL152" s="260"/>
      <c r="CM152" s="260"/>
      <c r="CN152" s="260"/>
      <c r="CO152" s="260"/>
      <c r="CP152" s="261"/>
      <c r="CQ152" s="57"/>
      <c r="CR152" s="58"/>
    </row>
    <row r="153" spans="1:96" s="59" customFormat="1" ht="15" customHeight="1" x14ac:dyDescent="0.15">
      <c r="A153" s="56"/>
      <c r="B153" s="287" t="s">
        <v>102</v>
      </c>
      <c r="C153" s="288"/>
      <c r="D153" s="288"/>
      <c r="E153" s="288"/>
      <c r="F153" s="288"/>
      <c r="G153" s="296" t="s">
        <v>284</v>
      </c>
      <c r="H153" s="296"/>
      <c r="I153" s="296"/>
      <c r="J153" s="296"/>
      <c r="K153" s="296"/>
      <c r="L153" s="296"/>
      <c r="M153" s="296"/>
      <c r="N153" s="296"/>
      <c r="O153" s="296"/>
      <c r="P153" s="294" t="s">
        <v>95</v>
      </c>
      <c r="Q153" s="294"/>
      <c r="R153" s="294"/>
      <c r="S153" s="294"/>
      <c r="T153" s="294"/>
      <c r="U153" s="290">
        <v>30</v>
      </c>
      <c r="V153" s="291"/>
      <c r="W153" s="292"/>
      <c r="X153" s="296"/>
      <c r="Y153" s="296"/>
      <c r="Z153" s="296"/>
      <c r="AA153" s="296"/>
      <c r="AB153" s="296"/>
      <c r="AC153" s="296"/>
      <c r="AD153" s="296"/>
      <c r="AE153" s="296"/>
      <c r="AF153" s="296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296"/>
      <c r="AQ153" s="296"/>
      <c r="AR153" s="296"/>
      <c r="AS153" s="296"/>
      <c r="AT153" s="296"/>
      <c r="AU153" s="57"/>
      <c r="AV153" s="57"/>
      <c r="AW153" s="57"/>
      <c r="AY153" s="309" t="s">
        <v>230</v>
      </c>
      <c r="AZ153" s="310"/>
      <c r="BA153" s="310"/>
      <c r="BB153" s="310"/>
      <c r="BC153" s="310"/>
      <c r="BD153" s="310"/>
      <c r="BE153" s="310"/>
      <c r="BF153" s="311"/>
      <c r="BG153" s="259" t="s">
        <v>156</v>
      </c>
      <c r="BH153" s="260"/>
      <c r="BI153" s="260"/>
      <c r="BJ153" s="260"/>
      <c r="BK153" s="260"/>
      <c r="BL153" s="261"/>
      <c r="BM153" s="259" t="s">
        <v>158</v>
      </c>
      <c r="BN153" s="260"/>
      <c r="BO153" s="260"/>
      <c r="BP153" s="260"/>
      <c r="BQ153" s="260"/>
      <c r="BR153" s="261"/>
      <c r="BS153" s="259" t="s">
        <v>156</v>
      </c>
      <c r="BT153" s="260"/>
      <c r="BU153" s="260"/>
      <c r="BV153" s="260"/>
      <c r="BW153" s="260"/>
      <c r="BX153" s="261"/>
      <c r="BY153" s="259" t="s">
        <v>157</v>
      </c>
      <c r="BZ153" s="260"/>
      <c r="CA153" s="260"/>
      <c r="CB153" s="260"/>
      <c r="CC153" s="260"/>
      <c r="CD153" s="261"/>
      <c r="CE153" s="259" t="s">
        <v>157</v>
      </c>
      <c r="CF153" s="260"/>
      <c r="CG153" s="260"/>
      <c r="CH153" s="260"/>
      <c r="CI153" s="260"/>
      <c r="CJ153" s="261"/>
      <c r="CK153" s="259" t="s">
        <v>157</v>
      </c>
      <c r="CL153" s="260"/>
      <c r="CM153" s="260"/>
      <c r="CN153" s="260"/>
      <c r="CO153" s="260"/>
      <c r="CP153" s="261"/>
      <c r="CQ153" s="57"/>
      <c r="CR153" s="58"/>
    </row>
    <row r="154" spans="1:96" s="59" customFormat="1" ht="15" customHeight="1" x14ac:dyDescent="0.15">
      <c r="A154" s="56"/>
      <c r="B154" s="315"/>
      <c r="C154" s="316"/>
      <c r="D154" s="316"/>
      <c r="E154" s="316"/>
      <c r="F154" s="316"/>
      <c r="G154" s="296" t="s">
        <v>285</v>
      </c>
      <c r="H154" s="296"/>
      <c r="I154" s="296"/>
      <c r="J154" s="296"/>
      <c r="K154" s="296"/>
      <c r="L154" s="296"/>
      <c r="M154" s="296"/>
      <c r="N154" s="296"/>
      <c r="O154" s="296"/>
      <c r="P154" s="294" t="s">
        <v>95</v>
      </c>
      <c r="Q154" s="294"/>
      <c r="R154" s="294"/>
      <c r="S154" s="294"/>
      <c r="T154" s="294"/>
      <c r="U154" s="290">
        <v>30</v>
      </c>
      <c r="V154" s="291"/>
      <c r="W154" s="292"/>
      <c r="X154" s="296"/>
      <c r="Y154" s="296"/>
      <c r="Z154" s="296"/>
      <c r="AA154" s="296"/>
      <c r="AB154" s="296"/>
      <c r="AC154" s="296"/>
      <c r="AD154" s="296"/>
      <c r="AE154" s="296"/>
      <c r="AF154" s="296"/>
      <c r="AG154" s="296"/>
      <c r="AH154" s="296"/>
      <c r="AI154" s="296"/>
      <c r="AJ154" s="296"/>
      <c r="AK154" s="296"/>
      <c r="AL154" s="296"/>
      <c r="AM154" s="296"/>
      <c r="AN154" s="296"/>
      <c r="AO154" s="296"/>
      <c r="AP154" s="296"/>
      <c r="AQ154" s="296"/>
      <c r="AR154" s="296"/>
      <c r="AS154" s="296"/>
      <c r="AT154" s="296"/>
      <c r="AU154" s="57"/>
      <c r="AV154" s="57"/>
      <c r="AW154" s="57"/>
      <c r="AY154" s="309" t="s">
        <v>107</v>
      </c>
      <c r="AZ154" s="310"/>
      <c r="BA154" s="310"/>
      <c r="BB154" s="310"/>
      <c r="BC154" s="310"/>
      <c r="BD154" s="310"/>
      <c r="BE154" s="310"/>
      <c r="BF154" s="311"/>
      <c r="BG154" s="259" t="s">
        <v>239</v>
      </c>
      <c r="BH154" s="260"/>
      <c r="BI154" s="260"/>
      <c r="BJ154" s="260"/>
      <c r="BK154" s="260"/>
      <c r="BL154" s="261"/>
      <c r="BM154" s="259" t="s">
        <v>158</v>
      </c>
      <c r="BN154" s="260"/>
      <c r="BO154" s="260"/>
      <c r="BP154" s="260"/>
      <c r="BQ154" s="260"/>
      <c r="BR154" s="261"/>
      <c r="BS154" s="259" t="s">
        <v>239</v>
      </c>
      <c r="BT154" s="260"/>
      <c r="BU154" s="260"/>
      <c r="BV154" s="260"/>
      <c r="BW154" s="260"/>
      <c r="BX154" s="261"/>
      <c r="BY154" s="259" t="s">
        <v>157</v>
      </c>
      <c r="BZ154" s="260"/>
      <c r="CA154" s="260"/>
      <c r="CB154" s="260"/>
      <c r="CC154" s="260"/>
      <c r="CD154" s="261"/>
      <c r="CE154" s="259" t="s">
        <v>159</v>
      </c>
      <c r="CF154" s="260"/>
      <c r="CG154" s="260"/>
      <c r="CH154" s="260"/>
      <c r="CI154" s="260"/>
      <c r="CJ154" s="261"/>
      <c r="CK154" s="259" t="s">
        <v>159</v>
      </c>
      <c r="CL154" s="260"/>
      <c r="CM154" s="260"/>
      <c r="CN154" s="260"/>
      <c r="CO154" s="260"/>
      <c r="CP154" s="261"/>
      <c r="CQ154" s="57"/>
      <c r="CR154" s="58"/>
    </row>
    <row r="155" spans="1:96" s="59" customFormat="1" ht="15" customHeight="1" x14ac:dyDescent="0.15">
      <c r="A155" s="56"/>
      <c r="B155" s="293" t="s">
        <v>103</v>
      </c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4" t="s">
        <v>95</v>
      </c>
      <c r="Q155" s="294"/>
      <c r="R155" s="294"/>
      <c r="S155" s="294"/>
      <c r="T155" s="294"/>
      <c r="U155" s="290">
        <v>200</v>
      </c>
      <c r="V155" s="291"/>
      <c r="W155" s="292"/>
      <c r="X155" s="296" t="s">
        <v>126</v>
      </c>
      <c r="Y155" s="296"/>
      <c r="Z155" s="296"/>
      <c r="AA155" s="296"/>
      <c r="AB155" s="296"/>
      <c r="AC155" s="296"/>
      <c r="AD155" s="296"/>
      <c r="AE155" s="296"/>
      <c r="AF155" s="296"/>
      <c r="AG155" s="296"/>
      <c r="AH155" s="296"/>
      <c r="AI155" s="296"/>
      <c r="AJ155" s="296"/>
      <c r="AK155" s="296"/>
      <c r="AL155" s="296"/>
      <c r="AM155" s="296"/>
      <c r="AN155" s="296"/>
      <c r="AO155" s="296"/>
      <c r="AP155" s="296"/>
      <c r="AQ155" s="296"/>
      <c r="AR155" s="296"/>
      <c r="AS155" s="296"/>
      <c r="AT155" s="296"/>
      <c r="AU155" s="57"/>
      <c r="AV155" s="57"/>
      <c r="AW155" s="57"/>
      <c r="AY155" s="309" t="s">
        <v>286</v>
      </c>
      <c r="AZ155" s="310"/>
      <c r="BA155" s="310"/>
      <c r="BB155" s="310"/>
      <c r="BC155" s="310"/>
      <c r="BD155" s="310"/>
      <c r="BE155" s="310"/>
      <c r="BF155" s="311"/>
      <c r="BG155" s="259" t="s">
        <v>156</v>
      </c>
      <c r="BH155" s="260"/>
      <c r="BI155" s="260"/>
      <c r="BJ155" s="260"/>
      <c r="BK155" s="260"/>
      <c r="BL155" s="261"/>
      <c r="BM155" s="259" t="s">
        <v>158</v>
      </c>
      <c r="BN155" s="260"/>
      <c r="BO155" s="260"/>
      <c r="BP155" s="260"/>
      <c r="BQ155" s="260"/>
      <c r="BR155" s="261"/>
      <c r="BS155" s="259" t="s">
        <v>156</v>
      </c>
      <c r="BT155" s="260"/>
      <c r="BU155" s="260"/>
      <c r="BV155" s="260"/>
      <c r="BW155" s="260"/>
      <c r="BX155" s="261"/>
      <c r="BY155" s="259" t="s">
        <v>159</v>
      </c>
      <c r="BZ155" s="260"/>
      <c r="CA155" s="260"/>
      <c r="CB155" s="260"/>
      <c r="CC155" s="260"/>
      <c r="CD155" s="261"/>
      <c r="CE155" s="259" t="s">
        <v>157</v>
      </c>
      <c r="CF155" s="260"/>
      <c r="CG155" s="260"/>
      <c r="CH155" s="260"/>
      <c r="CI155" s="260"/>
      <c r="CJ155" s="261"/>
      <c r="CK155" s="259" t="s">
        <v>157</v>
      </c>
      <c r="CL155" s="260"/>
      <c r="CM155" s="260"/>
      <c r="CN155" s="260"/>
      <c r="CO155" s="260"/>
      <c r="CP155" s="261"/>
      <c r="CQ155" s="57"/>
      <c r="CR155" s="58"/>
    </row>
    <row r="156" spans="1:96" s="59" customFormat="1" ht="15" customHeight="1" x14ac:dyDescent="0.15">
      <c r="A156" s="56"/>
      <c r="B156" s="257" t="s">
        <v>230</v>
      </c>
      <c r="C156" s="257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7"/>
      <c r="P156" s="294" t="s">
        <v>95</v>
      </c>
      <c r="Q156" s="294"/>
      <c r="R156" s="294"/>
      <c r="S156" s="294"/>
      <c r="T156" s="294"/>
      <c r="U156" s="290" t="s">
        <v>152</v>
      </c>
      <c r="V156" s="291"/>
      <c r="W156" s="292"/>
      <c r="X156" s="296" t="s">
        <v>61</v>
      </c>
      <c r="Y156" s="296"/>
      <c r="Z156" s="296"/>
      <c r="AA156" s="296"/>
      <c r="AB156" s="296"/>
      <c r="AC156" s="296"/>
      <c r="AD156" s="296"/>
      <c r="AE156" s="296"/>
      <c r="AF156" s="296"/>
      <c r="AG156" s="296"/>
      <c r="AH156" s="296"/>
      <c r="AI156" s="296"/>
      <c r="AJ156" s="296"/>
      <c r="AK156" s="296"/>
      <c r="AL156" s="296"/>
      <c r="AM156" s="296"/>
      <c r="AN156" s="296"/>
      <c r="AO156" s="296"/>
      <c r="AP156" s="296"/>
      <c r="AQ156" s="296"/>
      <c r="AR156" s="296"/>
      <c r="AS156" s="296"/>
      <c r="AT156" s="296"/>
      <c r="AU156" s="57"/>
      <c r="AV156" s="57"/>
      <c r="AW156" s="57"/>
      <c r="AY156" s="309" t="s">
        <v>305</v>
      </c>
      <c r="AZ156" s="310"/>
      <c r="BA156" s="310"/>
      <c r="BB156" s="310"/>
      <c r="BC156" s="310"/>
      <c r="BD156" s="310"/>
      <c r="BE156" s="310"/>
      <c r="BF156" s="311"/>
      <c r="BG156" s="259" t="s">
        <v>239</v>
      </c>
      <c r="BH156" s="260"/>
      <c r="BI156" s="260"/>
      <c r="BJ156" s="260"/>
      <c r="BK156" s="260"/>
      <c r="BL156" s="261"/>
      <c r="BM156" s="259" t="s">
        <v>239</v>
      </c>
      <c r="BN156" s="260"/>
      <c r="BO156" s="260"/>
      <c r="BP156" s="260"/>
      <c r="BQ156" s="260"/>
      <c r="BR156" s="261"/>
      <c r="BS156" s="259" t="s">
        <v>239</v>
      </c>
      <c r="BT156" s="260"/>
      <c r="BU156" s="260"/>
      <c r="BV156" s="260"/>
      <c r="BW156" s="260"/>
      <c r="BX156" s="261"/>
      <c r="BY156" s="259" t="s">
        <v>159</v>
      </c>
      <c r="BZ156" s="260"/>
      <c r="CA156" s="260"/>
      <c r="CB156" s="260"/>
      <c r="CC156" s="260"/>
      <c r="CD156" s="261"/>
      <c r="CE156" s="259" t="s">
        <v>157</v>
      </c>
      <c r="CF156" s="260"/>
      <c r="CG156" s="260"/>
      <c r="CH156" s="260"/>
      <c r="CI156" s="260"/>
      <c r="CJ156" s="261"/>
      <c r="CK156" s="259" t="s">
        <v>157</v>
      </c>
      <c r="CL156" s="260"/>
      <c r="CM156" s="260"/>
      <c r="CN156" s="260"/>
      <c r="CO156" s="260"/>
      <c r="CP156" s="261"/>
      <c r="CQ156" s="57"/>
      <c r="CR156" s="58"/>
    </row>
    <row r="157" spans="1:96" s="59" customFormat="1" ht="15" customHeight="1" x14ac:dyDescent="0.15">
      <c r="A157" s="56"/>
      <c r="B157" s="257" t="s">
        <v>107</v>
      </c>
      <c r="C157" s="257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7"/>
      <c r="P157" s="294" t="s">
        <v>99</v>
      </c>
      <c r="Q157" s="294"/>
      <c r="R157" s="294"/>
      <c r="S157" s="294"/>
      <c r="T157" s="294"/>
      <c r="U157" s="290" t="s">
        <v>152</v>
      </c>
      <c r="V157" s="291"/>
      <c r="W157" s="292"/>
      <c r="X157" s="296" t="s">
        <v>61</v>
      </c>
      <c r="Y157" s="296"/>
      <c r="Z157" s="296"/>
      <c r="AA157" s="296"/>
      <c r="AB157" s="296"/>
      <c r="AC157" s="296"/>
      <c r="AD157" s="296"/>
      <c r="AE157" s="296"/>
      <c r="AF157" s="296"/>
      <c r="AG157" s="296"/>
      <c r="AH157" s="296"/>
      <c r="AI157" s="296"/>
      <c r="AJ157" s="296"/>
      <c r="AK157" s="296"/>
      <c r="AL157" s="296"/>
      <c r="AM157" s="296"/>
      <c r="AN157" s="296"/>
      <c r="AO157" s="296"/>
      <c r="AP157" s="296"/>
      <c r="AQ157" s="296"/>
      <c r="AR157" s="296"/>
      <c r="AS157" s="296"/>
      <c r="AT157" s="296"/>
      <c r="AU157" s="57"/>
      <c r="AV157" s="57"/>
      <c r="AW157" s="57"/>
      <c r="AY157" s="383" t="s">
        <v>328</v>
      </c>
      <c r="AZ157" s="384"/>
      <c r="BA157" s="384"/>
      <c r="BB157" s="384"/>
      <c r="BC157" s="384"/>
      <c r="BD157" s="384"/>
      <c r="BE157" s="384"/>
      <c r="BF157" s="385"/>
      <c r="BG157" s="259" t="s">
        <v>239</v>
      </c>
      <c r="BH157" s="260"/>
      <c r="BI157" s="260"/>
      <c r="BJ157" s="260"/>
      <c r="BK157" s="260"/>
      <c r="BL157" s="261"/>
      <c r="BM157" s="259" t="s">
        <v>239</v>
      </c>
      <c r="BN157" s="260"/>
      <c r="BO157" s="260"/>
      <c r="BP157" s="260"/>
      <c r="BQ157" s="260"/>
      <c r="BR157" s="261"/>
      <c r="BS157" s="259" t="s">
        <v>239</v>
      </c>
      <c r="BT157" s="260"/>
      <c r="BU157" s="260"/>
      <c r="BV157" s="260"/>
      <c r="BW157" s="260"/>
      <c r="BX157" s="261"/>
      <c r="BY157" s="259" t="s">
        <v>159</v>
      </c>
      <c r="BZ157" s="260"/>
      <c r="CA157" s="260"/>
      <c r="CB157" s="260"/>
      <c r="CC157" s="260"/>
      <c r="CD157" s="261"/>
      <c r="CE157" s="259" t="s">
        <v>157</v>
      </c>
      <c r="CF157" s="260"/>
      <c r="CG157" s="260"/>
      <c r="CH157" s="260"/>
      <c r="CI157" s="260"/>
      <c r="CJ157" s="261"/>
      <c r="CK157" s="259" t="s">
        <v>157</v>
      </c>
      <c r="CL157" s="260"/>
      <c r="CM157" s="260"/>
      <c r="CN157" s="260"/>
      <c r="CO157" s="260"/>
      <c r="CP157" s="261"/>
      <c r="CQ157" s="57"/>
      <c r="CR157" s="58"/>
    </row>
    <row r="158" spans="1:96" s="59" customFormat="1" ht="15" customHeight="1" x14ac:dyDescent="0.15">
      <c r="A158" s="56"/>
      <c r="B158" s="257" t="s">
        <v>109</v>
      </c>
      <c r="C158" s="257"/>
      <c r="D158" s="257"/>
      <c r="E158" s="257"/>
      <c r="F158" s="257"/>
      <c r="G158" s="257"/>
      <c r="H158" s="257"/>
      <c r="I158" s="257"/>
      <c r="J158" s="257"/>
      <c r="K158" s="257"/>
      <c r="L158" s="257"/>
      <c r="M158" s="257"/>
      <c r="N158" s="257"/>
      <c r="O158" s="257"/>
      <c r="P158" s="294" t="s">
        <v>95</v>
      </c>
      <c r="Q158" s="294"/>
      <c r="R158" s="294"/>
      <c r="S158" s="294"/>
      <c r="T158" s="294"/>
      <c r="U158" s="290" t="s">
        <v>152</v>
      </c>
      <c r="V158" s="291"/>
      <c r="W158" s="292"/>
      <c r="X158" s="296" t="s">
        <v>61</v>
      </c>
      <c r="Y158" s="296"/>
      <c r="Z158" s="296"/>
      <c r="AA158" s="296"/>
      <c r="AB158" s="296"/>
      <c r="AC158" s="296"/>
      <c r="AD158" s="296"/>
      <c r="AE158" s="296"/>
      <c r="AF158" s="296"/>
      <c r="AG158" s="296"/>
      <c r="AH158" s="296"/>
      <c r="AI158" s="296"/>
      <c r="AJ158" s="296"/>
      <c r="AK158" s="296"/>
      <c r="AL158" s="296"/>
      <c r="AM158" s="296"/>
      <c r="AN158" s="296"/>
      <c r="AO158" s="296"/>
      <c r="AP158" s="296"/>
      <c r="AQ158" s="296"/>
      <c r="AR158" s="296"/>
      <c r="AS158" s="296"/>
      <c r="AT158" s="296"/>
      <c r="AU158" s="57"/>
      <c r="AV158" s="57"/>
      <c r="AW158" s="57"/>
      <c r="AY158" s="383" t="s">
        <v>329</v>
      </c>
      <c r="AZ158" s="384"/>
      <c r="BA158" s="384"/>
      <c r="BB158" s="384"/>
      <c r="BC158" s="384"/>
      <c r="BD158" s="384"/>
      <c r="BE158" s="384"/>
      <c r="BF158" s="385"/>
      <c r="BG158" s="259" t="s">
        <v>239</v>
      </c>
      <c r="BH158" s="260"/>
      <c r="BI158" s="260"/>
      <c r="BJ158" s="260"/>
      <c r="BK158" s="260"/>
      <c r="BL158" s="261"/>
      <c r="BM158" s="259" t="s">
        <v>239</v>
      </c>
      <c r="BN158" s="260"/>
      <c r="BO158" s="260"/>
      <c r="BP158" s="260"/>
      <c r="BQ158" s="260"/>
      <c r="BR158" s="261"/>
      <c r="BS158" s="259" t="s">
        <v>239</v>
      </c>
      <c r="BT158" s="260"/>
      <c r="BU158" s="260"/>
      <c r="BV158" s="260"/>
      <c r="BW158" s="260"/>
      <c r="BX158" s="261"/>
      <c r="BY158" s="259" t="s">
        <v>159</v>
      </c>
      <c r="BZ158" s="260"/>
      <c r="CA158" s="260"/>
      <c r="CB158" s="260"/>
      <c r="CC158" s="260"/>
      <c r="CD158" s="261"/>
      <c r="CE158" s="259" t="s">
        <v>157</v>
      </c>
      <c r="CF158" s="260"/>
      <c r="CG158" s="260"/>
      <c r="CH158" s="260"/>
      <c r="CI158" s="260"/>
      <c r="CJ158" s="261"/>
      <c r="CK158" s="259" t="s">
        <v>157</v>
      </c>
      <c r="CL158" s="260"/>
      <c r="CM158" s="260"/>
      <c r="CN158" s="260"/>
      <c r="CO158" s="260"/>
      <c r="CP158" s="261"/>
      <c r="CQ158" s="57"/>
      <c r="CR158" s="58"/>
    </row>
    <row r="159" spans="1:96" s="59" customFormat="1" ht="15" customHeight="1" x14ac:dyDescent="0.15">
      <c r="A159" s="56"/>
      <c r="B159" s="257" t="s">
        <v>305</v>
      </c>
      <c r="C159" s="257"/>
      <c r="D159" s="257"/>
      <c r="E159" s="257"/>
      <c r="F159" s="257"/>
      <c r="G159" s="257"/>
      <c r="H159" s="257"/>
      <c r="I159" s="257"/>
      <c r="J159" s="257"/>
      <c r="K159" s="257"/>
      <c r="L159" s="257"/>
      <c r="M159" s="257"/>
      <c r="N159" s="257"/>
      <c r="O159" s="257"/>
      <c r="P159" s="294" t="s">
        <v>95</v>
      </c>
      <c r="Q159" s="294"/>
      <c r="R159" s="294"/>
      <c r="S159" s="294"/>
      <c r="T159" s="294"/>
      <c r="U159" s="290" t="s">
        <v>96</v>
      </c>
      <c r="V159" s="291"/>
      <c r="W159" s="292"/>
      <c r="X159" s="335" t="s">
        <v>304</v>
      </c>
      <c r="Y159" s="336"/>
      <c r="Z159" s="336"/>
      <c r="AA159" s="336"/>
      <c r="AB159" s="336"/>
      <c r="AC159" s="336"/>
      <c r="AD159" s="336"/>
      <c r="AE159" s="336"/>
      <c r="AF159" s="336"/>
      <c r="AG159" s="336"/>
      <c r="AH159" s="336"/>
      <c r="AI159" s="336"/>
      <c r="AJ159" s="336"/>
      <c r="AK159" s="336"/>
      <c r="AL159" s="336"/>
      <c r="AM159" s="336"/>
      <c r="AN159" s="336"/>
      <c r="AO159" s="336"/>
      <c r="AP159" s="336"/>
      <c r="AQ159" s="336"/>
      <c r="AR159" s="336"/>
      <c r="AS159" s="336"/>
      <c r="AT159" s="337"/>
      <c r="AU159" s="57"/>
      <c r="AV159" s="57"/>
      <c r="AW159" s="57"/>
      <c r="AY159" s="383" t="s">
        <v>330</v>
      </c>
      <c r="AZ159" s="384"/>
      <c r="BA159" s="384"/>
      <c r="BB159" s="384"/>
      <c r="BC159" s="384"/>
      <c r="BD159" s="384"/>
      <c r="BE159" s="384"/>
      <c r="BF159" s="385"/>
      <c r="BG159" s="259" t="s">
        <v>239</v>
      </c>
      <c r="BH159" s="260"/>
      <c r="BI159" s="260"/>
      <c r="BJ159" s="260"/>
      <c r="BK159" s="260"/>
      <c r="BL159" s="261"/>
      <c r="BM159" s="259" t="s">
        <v>239</v>
      </c>
      <c r="BN159" s="260"/>
      <c r="BO159" s="260"/>
      <c r="BP159" s="260"/>
      <c r="BQ159" s="260"/>
      <c r="BR159" s="261"/>
      <c r="BS159" s="259" t="s">
        <v>239</v>
      </c>
      <c r="BT159" s="260"/>
      <c r="BU159" s="260"/>
      <c r="BV159" s="260"/>
      <c r="BW159" s="260"/>
      <c r="BX159" s="261"/>
      <c r="BY159" s="259" t="s">
        <v>159</v>
      </c>
      <c r="BZ159" s="260"/>
      <c r="CA159" s="260"/>
      <c r="CB159" s="260"/>
      <c r="CC159" s="260"/>
      <c r="CD159" s="261"/>
      <c r="CE159" s="259" t="s">
        <v>157</v>
      </c>
      <c r="CF159" s="260"/>
      <c r="CG159" s="260"/>
      <c r="CH159" s="260"/>
      <c r="CI159" s="260"/>
      <c r="CJ159" s="261"/>
      <c r="CK159" s="259" t="s">
        <v>157</v>
      </c>
      <c r="CL159" s="260"/>
      <c r="CM159" s="260"/>
      <c r="CN159" s="260"/>
      <c r="CO159" s="260"/>
      <c r="CP159" s="261"/>
      <c r="CQ159" s="57"/>
      <c r="CR159" s="58"/>
    </row>
    <row r="160" spans="1:96" s="59" customFormat="1" ht="15" customHeight="1" x14ac:dyDescent="0.15">
      <c r="A160" s="56"/>
      <c r="B160" s="257" t="s">
        <v>306</v>
      </c>
      <c r="C160" s="257"/>
      <c r="D160" s="257"/>
      <c r="E160" s="257"/>
      <c r="F160" s="257"/>
      <c r="G160" s="257"/>
      <c r="H160" s="257"/>
      <c r="I160" s="257"/>
      <c r="J160" s="257"/>
      <c r="K160" s="257"/>
      <c r="L160" s="257"/>
      <c r="M160" s="257"/>
      <c r="N160" s="257"/>
      <c r="O160" s="257"/>
      <c r="P160" s="294" t="s">
        <v>125</v>
      </c>
      <c r="Q160" s="294"/>
      <c r="R160" s="294"/>
      <c r="S160" s="294"/>
      <c r="T160" s="294"/>
      <c r="U160" s="290">
        <v>11</v>
      </c>
      <c r="V160" s="291"/>
      <c r="W160" s="292"/>
      <c r="X160" s="335" t="s">
        <v>150</v>
      </c>
      <c r="Y160" s="336"/>
      <c r="Z160" s="336"/>
      <c r="AA160" s="336"/>
      <c r="AB160" s="336"/>
      <c r="AC160" s="336"/>
      <c r="AD160" s="336"/>
      <c r="AE160" s="336"/>
      <c r="AF160" s="336"/>
      <c r="AG160" s="336"/>
      <c r="AH160" s="336"/>
      <c r="AI160" s="336"/>
      <c r="AJ160" s="336"/>
      <c r="AK160" s="336"/>
      <c r="AL160" s="336"/>
      <c r="AM160" s="336"/>
      <c r="AN160" s="336"/>
      <c r="AO160" s="336"/>
      <c r="AP160" s="336"/>
      <c r="AQ160" s="336"/>
      <c r="AR160" s="336"/>
      <c r="AS160" s="336"/>
      <c r="AT160" s="337"/>
      <c r="AU160" s="57"/>
      <c r="AV160" s="57"/>
      <c r="AW160" s="57"/>
      <c r="AY160" s="383" t="s">
        <v>331</v>
      </c>
      <c r="AZ160" s="384"/>
      <c r="BA160" s="384"/>
      <c r="BB160" s="384"/>
      <c r="BC160" s="384"/>
      <c r="BD160" s="384"/>
      <c r="BE160" s="384"/>
      <c r="BF160" s="385"/>
      <c r="BG160" s="259" t="s">
        <v>239</v>
      </c>
      <c r="BH160" s="260"/>
      <c r="BI160" s="260"/>
      <c r="BJ160" s="260"/>
      <c r="BK160" s="260"/>
      <c r="BL160" s="261"/>
      <c r="BM160" s="259" t="s">
        <v>239</v>
      </c>
      <c r="BN160" s="260"/>
      <c r="BO160" s="260"/>
      <c r="BP160" s="260"/>
      <c r="BQ160" s="260"/>
      <c r="BR160" s="261"/>
      <c r="BS160" s="259" t="s">
        <v>239</v>
      </c>
      <c r="BT160" s="260"/>
      <c r="BU160" s="260"/>
      <c r="BV160" s="260"/>
      <c r="BW160" s="260"/>
      <c r="BX160" s="261"/>
      <c r="BY160" s="259" t="s">
        <v>159</v>
      </c>
      <c r="BZ160" s="260"/>
      <c r="CA160" s="260"/>
      <c r="CB160" s="260"/>
      <c r="CC160" s="260"/>
      <c r="CD160" s="261"/>
      <c r="CE160" s="259" t="s">
        <v>157</v>
      </c>
      <c r="CF160" s="260"/>
      <c r="CG160" s="260"/>
      <c r="CH160" s="260"/>
      <c r="CI160" s="260"/>
      <c r="CJ160" s="261"/>
      <c r="CK160" s="259" t="s">
        <v>157</v>
      </c>
      <c r="CL160" s="260"/>
      <c r="CM160" s="260"/>
      <c r="CN160" s="260"/>
      <c r="CO160" s="260"/>
      <c r="CP160" s="261"/>
      <c r="CQ160" s="57"/>
      <c r="CR160" s="58"/>
    </row>
    <row r="161" spans="1:96" s="59" customFormat="1" ht="15" customHeight="1" x14ac:dyDescent="0.15">
      <c r="A161" s="56"/>
      <c r="B161" s="257" t="s">
        <v>307</v>
      </c>
      <c r="C161" s="257"/>
      <c r="D161" s="257"/>
      <c r="E161" s="257"/>
      <c r="F161" s="257"/>
      <c r="G161" s="257"/>
      <c r="H161" s="257"/>
      <c r="I161" s="257"/>
      <c r="J161" s="257"/>
      <c r="K161" s="257"/>
      <c r="L161" s="257"/>
      <c r="M161" s="257"/>
      <c r="N161" s="257"/>
      <c r="O161" s="257"/>
      <c r="P161" s="294" t="s">
        <v>99</v>
      </c>
      <c r="Q161" s="294"/>
      <c r="R161" s="294"/>
      <c r="S161" s="294"/>
      <c r="T161" s="294"/>
      <c r="U161" s="290" t="s">
        <v>96</v>
      </c>
      <c r="V161" s="291"/>
      <c r="W161" s="292"/>
      <c r="X161" s="335" t="s">
        <v>151</v>
      </c>
      <c r="Y161" s="336"/>
      <c r="Z161" s="336"/>
      <c r="AA161" s="336"/>
      <c r="AB161" s="336"/>
      <c r="AC161" s="336"/>
      <c r="AD161" s="336"/>
      <c r="AE161" s="336"/>
      <c r="AF161" s="336"/>
      <c r="AG161" s="336"/>
      <c r="AH161" s="336"/>
      <c r="AI161" s="336"/>
      <c r="AJ161" s="336"/>
      <c r="AK161" s="336"/>
      <c r="AL161" s="336"/>
      <c r="AM161" s="336"/>
      <c r="AN161" s="336"/>
      <c r="AO161" s="336"/>
      <c r="AP161" s="336"/>
      <c r="AQ161" s="336"/>
      <c r="AR161" s="336"/>
      <c r="AS161" s="336"/>
      <c r="AT161" s="337"/>
      <c r="AU161" s="57"/>
      <c r="AV161" s="57"/>
      <c r="AW161" s="57"/>
      <c r="AY161" s="383" t="s">
        <v>332</v>
      </c>
      <c r="AZ161" s="384"/>
      <c r="BA161" s="384"/>
      <c r="BB161" s="384"/>
      <c r="BC161" s="384"/>
      <c r="BD161" s="384"/>
      <c r="BE161" s="384"/>
      <c r="BF161" s="385"/>
      <c r="BG161" s="259" t="s">
        <v>239</v>
      </c>
      <c r="BH161" s="260"/>
      <c r="BI161" s="260"/>
      <c r="BJ161" s="260"/>
      <c r="BK161" s="260"/>
      <c r="BL161" s="261"/>
      <c r="BM161" s="259" t="s">
        <v>239</v>
      </c>
      <c r="BN161" s="260"/>
      <c r="BO161" s="260"/>
      <c r="BP161" s="260"/>
      <c r="BQ161" s="260"/>
      <c r="BR161" s="261"/>
      <c r="BS161" s="259" t="s">
        <v>239</v>
      </c>
      <c r="BT161" s="260"/>
      <c r="BU161" s="260"/>
      <c r="BV161" s="260"/>
      <c r="BW161" s="260"/>
      <c r="BX161" s="261"/>
      <c r="BY161" s="259" t="s">
        <v>159</v>
      </c>
      <c r="BZ161" s="260"/>
      <c r="CA161" s="260"/>
      <c r="CB161" s="260"/>
      <c r="CC161" s="260"/>
      <c r="CD161" s="261"/>
      <c r="CE161" s="259" t="s">
        <v>157</v>
      </c>
      <c r="CF161" s="260"/>
      <c r="CG161" s="260"/>
      <c r="CH161" s="260"/>
      <c r="CI161" s="260"/>
      <c r="CJ161" s="261"/>
      <c r="CK161" s="259" t="s">
        <v>157</v>
      </c>
      <c r="CL161" s="260"/>
      <c r="CM161" s="260"/>
      <c r="CN161" s="260"/>
      <c r="CO161" s="260"/>
      <c r="CP161" s="261"/>
      <c r="CQ161" s="57"/>
      <c r="CR161" s="58"/>
    </row>
    <row r="162" spans="1:96" s="59" customFormat="1" ht="15" customHeight="1" x14ac:dyDescent="0.15">
      <c r="A162" s="56"/>
      <c r="B162" s="257" t="s">
        <v>308</v>
      </c>
      <c r="C162" s="257"/>
      <c r="D162" s="257"/>
      <c r="E162" s="257"/>
      <c r="F162" s="257"/>
      <c r="G162" s="257"/>
      <c r="H162" s="257"/>
      <c r="I162" s="257"/>
      <c r="J162" s="257"/>
      <c r="K162" s="257"/>
      <c r="L162" s="257"/>
      <c r="M162" s="257"/>
      <c r="N162" s="257"/>
      <c r="O162" s="257"/>
      <c r="P162" s="294" t="s">
        <v>125</v>
      </c>
      <c r="Q162" s="294"/>
      <c r="R162" s="294"/>
      <c r="S162" s="294"/>
      <c r="T162" s="294"/>
      <c r="U162" s="290">
        <v>11</v>
      </c>
      <c r="V162" s="291"/>
      <c r="W162" s="292"/>
      <c r="X162" s="335" t="s">
        <v>150</v>
      </c>
      <c r="Y162" s="336"/>
      <c r="Z162" s="336"/>
      <c r="AA162" s="336"/>
      <c r="AB162" s="336"/>
      <c r="AC162" s="336"/>
      <c r="AD162" s="336"/>
      <c r="AE162" s="336"/>
      <c r="AF162" s="336"/>
      <c r="AG162" s="336"/>
      <c r="AH162" s="336"/>
      <c r="AI162" s="336"/>
      <c r="AJ162" s="336"/>
      <c r="AK162" s="336"/>
      <c r="AL162" s="336"/>
      <c r="AM162" s="336"/>
      <c r="AN162" s="336"/>
      <c r="AO162" s="336"/>
      <c r="AP162" s="336"/>
      <c r="AQ162" s="336"/>
      <c r="AR162" s="336"/>
      <c r="AS162" s="336"/>
      <c r="AT162" s="337"/>
      <c r="AU162" s="57"/>
      <c r="AV162" s="57"/>
      <c r="AW162" s="57"/>
      <c r="AY162" s="383" t="s">
        <v>333</v>
      </c>
      <c r="AZ162" s="384"/>
      <c r="BA162" s="384"/>
      <c r="BB162" s="384"/>
      <c r="BC162" s="384"/>
      <c r="BD162" s="384"/>
      <c r="BE162" s="384"/>
      <c r="BF162" s="385"/>
      <c r="BG162" s="259" t="s">
        <v>239</v>
      </c>
      <c r="BH162" s="260"/>
      <c r="BI162" s="260"/>
      <c r="BJ162" s="260"/>
      <c r="BK162" s="260"/>
      <c r="BL162" s="261"/>
      <c r="BM162" s="259" t="s">
        <v>239</v>
      </c>
      <c r="BN162" s="260"/>
      <c r="BO162" s="260"/>
      <c r="BP162" s="260"/>
      <c r="BQ162" s="260"/>
      <c r="BR162" s="261"/>
      <c r="BS162" s="259" t="s">
        <v>239</v>
      </c>
      <c r="BT162" s="260"/>
      <c r="BU162" s="260"/>
      <c r="BV162" s="260"/>
      <c r="BW162" s="260"/>
      <c r="BX162" s="261"/>
      <c r="BY162" s="259" t="s">
        <v>159</v>
      </c>
      <c r="BZ162" s="260"/>
      <c r="CA162" s="260"/>
      <c r="CB162" s="260"/>
      <c r="CC162" s="260"/>
      <c r="CD162" s="261"/>
      <c r="CE162" s="259" t="s">
        <v>157</v>
      </c>
      <c r="CF162" s="260"/>
      <c r="CG162" s="260"/>
      <c r="CH162" s="260"/>
      <c r="CI162" s="260"/>
      <c r="CJ162" s="261"/>
      <c r="CK162" s="259" t="s">
        <v>157</v>
      </c>
      <c r="CL162" s="260"/>
      <c r="CM162" s="260"/>
      <c r="CN162" s="260"/>
      <c r="CO162" s="260"/>
      <c r="CP162" s="261"/>
      <c r="CQ162" s="57"/>
      <c r="CR162" s="58"/>
    </row>
    <row r="163" spans="1:96" s="59" customFormat="1" ht="15" customHeight="1" x14ac:dyDescent="0.15">
      <c r="A163" s="56"/>
      <c r="B163" s="257" t="s">
        <v>309</v>
      </c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94" t="s">
        <v>99</v>
      </c>
      <c r="Q163" s="294"/>
      <c r="R163" s="294"/>
      <c r="S163" s="294"/>
      <c r="T163" s="294"/>
      <c r="U163" s="290" t="s">
        <v>96</v>
      </c>
      <c r="V163" s="291"/>
      <c r="W163" s="292"/>
      <c r="X163" s="335" t="s">
        <v>151</v>
      </c>
      <c r="Y163" s="336"/>
      <c r="Z163" s="336"/>
      <c r="AA163" s="336"/>
      <c r="AB163" s="336"/>
      <c r="AC163" s="336"/>
      <c r="AD163" s="336"/>
      <c r="AE163" s="336"/>
      <c r="AF163" s="336"/>
      <c r="AG163" s="336"/>
      <c r="AH163" s="336"/>
      <c r="AI163" s="336"/>
      <c r="AJ163" s="336"/>
      <c r="AK163" s="336"/>
      <c r="AL163" s="336"/>
      <c r="AM163" s="336"/>
      <c r="AN163" s="336"/>
      <c r="AO163" s="336"/>
      <c r="AP163" s="336"/>
      <c r="AQ163" s="336"/>
      <c r="AR163" s="336"/>
      <c r="AS163" s="336"/>
      <c r="AT163" s="337"/>
      <c r="AU163" s="57"/>
      <c r="AV163" s="57"/>
      <c r="AW163" s="57"/>
      <c r="AY163" s="309" t="s">
        <v>153</v>
      </c>
      <c r="AZ163" s="310"/>
      <c r="BA163" s="310"/>
      <c r="BB163" s="310"/>
      <c r="BC163" s="310"/>
      <c r="BD163" s="310"/>
      <c r="BE163" s="310"/>
      <c r="BF163" s="311"/>
      <c r="BG163" s="259" t="s">
        <v>156</v>
      </c>
      <c r="BH163" s="260"/>
      <c r="BI163" s="260"/>
      <c r="BJ163" s="260"/>
      <c r="BK163" s="260"/>
      <c r="BL163" s="261"/>
      <c r="BM163" s="259" t="s">
        <v>158</v>
      </c>
      <c r="BN163" s="260"/>
      <c r="BO163" s="260"/>
      <c r="BP163" s="260"/>
      <c r="BQ163" s="260"/>
      <c r="BR163" s="261"/>
      <c r="BS163" s="259" t="s">
        <v>156</v>
      </c>
      <c r="BT163" s="260"/>
      <c r="BU163" s="260"/>
      <c r="BV163" s="260"/>
      <c r="BW163" s="260"/>
      <c r="BX163" s="261"/>
      <c r="BY163" s="259" t="s">
        <v>159</v>
      </c>
      <c r="BZ163" s="260"/>
      <c r="CA163" s="260"/>
      <c r="CB163" s="260"/>
      <c r="CC163" s="260"/>
      <c r="CD163" s="261"/>
      <c r="CE163" s="259" t="s">
        <v>157</v>
      </c>
      <c r="CF163" s="260"/>
      <c r="CG163" s="260"/>
      <c r="CH163" s="260"/>
      <c r="CI163" s="260"/>
      <c r="CJ163" s="261"/>
      <c r="CK163" s="259" t="s">
        <v>157</v>
      </c>
      <c r="CL163" s="260"/>
      <c r="CM163" s="260"/>
      <c r="CN163" s="260"/>
      <c r="CO163" s="260"/>
      <c r="CP163" s="261"/>
      <c r="CQ163" s="57"/>
      <c r="CR163" s="58"/>
    </row>
    <row r="164" spans="1:96" s="59" customFormat="1" ht="15" customHeight="1" x14ac:dyDescent="0.15">
      <c r="A164" s="56"/>
      <c r="B164" s="257" t="s">
        <v>310</v>
      </c>
      <c r="C164" s="257"/>
      <c r="D164" s="257"/>
      <c r="E164" s="257"/>
      <c r="F164" s="257"/>
      <c r="G164" s="257"/>
      <c r="H164" s="257"/>
      <c r="I164" s="257"/>
      <c r="J164" s="257"/>
      <c r="K164" s="257"/>
      <c r="L164" s="257"/>
      <c r="M164" s="257"/>
      <c r="N164" s="257"/>
      <c r="O164" s="257"/>
      <c r="P164" s="294" t="s">
        <v>125</v>
      </c>
      <c r="Q164" s="294"/>
      <c r="R164" s="294"/>
      <c r="S164" s="294"/>
      <c r="T164" s="294"/>
      <c r="U164" s="290">
        <v>11</v>
      </c>
      <c r="V164" s="291"/>
      <c r="W164" s="292"/>
      <c r="X164" s="335" t="s">
        <v>150</v>
      </c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  <c r="AI164" s="336"/>
      <c r="AJ164" s="336"/>
      <c r="AK164" s="336"/>
      <c r="AL164" s="336"/>
      <c r="AM164" s="336"/>
      <c r="AN164" s="336"/>
      <c r="AO164" s="336"/>
      <c r="AP164" s="336"/>
      <c r="AQ164" s="336"/>
      <c r="AR164" s="336"/>
      <c r="AS164" s="336"/>
      <c r="AT164" s="337"/>
      <c r="AU164" s="57"/>
      <c r="AV164" s="57"/>
      <c r="AW164" s="57"/>
      <c r="AY164" s="309" t="s">
        <v>182</v>
      </c>
      <c r="AZ164" s="310"/>
      <c r="BA164" s="310"/>
      <c r="BB164" s="310"/>
      <c r="BC164" s="310"/>
      <c r="BD164" s="310"/>
      <c r="BE164" s="310"/>
      <c r="BF164" s="311"/>
      <c r="BG164" s="259" t="s">
        <v>156</v>
      </c>
      <c r="BH164" s="260"/>
      <c r="BI164" s="260"/>
      <c r="BJ164" s="260"/>
      <c r="BK164" s="260"/>
      <c r="BL164" s="261"/>
      <c r="BM164" s="259" t="s">
        <v>158</v>
      </c>
      <c r="BN164" s="260"/>
      <c r="BO164" s="260"/>
      <c r="BP164" s="260"/>
      <c r="BQ164" s="260"/>
      <c r="BR164" s="261"/>
      <c r="BS164" s="259" t="s">
        <v>156</v>
      </c>
      <c r="BT164" s="260"/>
      <c r="BU164" s="260"/>
      <c r="BV164" s="260"/>
      <c r="BW164" s="260"/>
      <c r="BX164" s="261"/>
      <c r="BY164" s="259" t="s">
        <v>159</v>
      </c>
      <c r="BZ164" s="260"/>
      <c r="CA164" s="260"/>
      <c r="CB164" s="260"/>
      <c r="CC164" s="260"/>
      <c r="CD164" s="261"/>
      <c r="CE164" s="259" t="s">
        <v>157</v>
      </c>
      <c r="CF164" s="260"/>
      <c r="CG164" s="260"/>
      <c r="CH164" s="260"/>
      <c r="CI164" s="260"/>
      <c r="CJ164" s="261"/>
      <c r="CK164" s="259" t="s">
        <v>157</v>
      </c>
      <c r="CL164" s="260"/>
      <c r="CM164" s="260"/>
      <c r="CN164" s="260"/>
      <c r="CO164" s="260"/>
      <c r="CP164" s="261"/>
      <c r="CQ164" s="57"/>
      <c r="CR164" s="58"/>
    </row>
    <row r="165" spans="1:96" s="59" customFormat="1" ht="15" customHeight="1" x14ac:dyDescent="0.15">
      <c r="A165" s="56"/>
      <c r="B165" s="257" t="s">
        <v>311</v>
      </c>
      <c r="C165" s="257"/>
      <c r="D165" s="257"/>
      <c r="E165" s="257"/>
      <c r="F165" s="257"/>
      <c r="G165" s="257"/>
      <c r="H165" s="257"/>
      <c r="I165" s="257"/>
      <c r="J165" s="257"/>
      <c r="K165" s="257"/>
      <c r="L165" s="257"/>
      <c r="M165" s="257"/>
      <c r="N165" s="257"/>
      <c r="O165" s="257"/>
      <c r="P165" s="294" t="s">
        <v>99</v>
      </c>
      <c r="Q165" s="294"/>
      <c r="R165" s="294"/>
      <c r="S165" s="294"/>
      <c r="T165" s="294"/>
      <c r="U165" s="290" t="s">
        <v>96</v>
      </c>
      <c r="V165" s="291"/>
      <c r="W165" s="292"/>
      <c r="X165" s="335" t="s">
        <v>151</v>
      </c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  <c r="AI165" s="336"/>
      <c r="AJ165" s="336"/>
      <c r="AK165" s="336"/>
      <c r="AL165" s="336"/>
      <c r="AM165" s="336"/>
      <c r="AN165" s="336"/>
      <c r="AO165" s="336"/>
      <c r="AP165" s="336"/>
      <c r="AQ165" s="336"/>
      <c r="AR165" s="336"/>
      <c r="AS165" s="336"/>
      <c r="AT165" s="337"/>
      <c r="AU165" s="57"/>
      <c r="AV165" s="57"/>
      <c r="AW165" s="57"/>
      <c r="AX165" s="57"/>
      <c r="AY165" s="309" t="s">
        <v>238</v>
      </c>
      <c r="AZ165" s="310"/>
      <c r="BA165" s="310"/>
      <c r="BB165" s="310"/>
      <c r="BC165" s="310"/>
      <c r="BD165" s="310"/>
      <c r="BE165" s="310"/>
      <c r="BF165" s="311"/>
      <c r="BG165" s="259" t="s">
        <v>156</v>
      </c>
      <c r="BH165" s="260"/>
      <c r="BI165" s="260"/>
      <c r="BJ165" s="260"/>
      <c r="BK165" s="260"/>
      <c r="BL165" s="261"/>
      <c r="BM165" s="259" t="s">
        <v>158</v>
      </c>
      <c r="BN165" s="260"/>
      <c r="BO165" s="260"/>
      <c r="BP165" s="260"/>
      <c r="BQ165" s="260"/>
      <c r="BR165" s="261"/>
      <c r="BS165" s="259" t="s">
        <v>156</v>
      </c>
      <c r="BT165" s="260"/>
      <c r="BU165" s="260"/>
      <c r="BV165" s="260"/>
      <c r="BW165" s="260"/>
      <c r="BX165" s="261"/>
      <c r="BY165" s="259" t="s">
        <v>159</v>
      </c>
      <c r="BZ165" s="260"/>
      <c r="CA165" s="260"/>
      <c r="CB165" s="260"/>
      <c r="CC165" s="260"/>
      <c r="CD165" s="261"/>
      <c r="CE165" s="259" t="s">
        <v>157</v>
      </c>
      <c r="CF165" s="260"/>
      <c r="CG165" s="260"/>
      <c r="CH165" s="260"/>
      <c r="CI165" s="260"/>
      <c r="CJ165" s="261"/>
      <c r="CK165" s="259" t="s">
        <v>157</v>
      </c>
      <c r="CL165" s="260"/>
      <c r="CM165" s="260"/>
      <c r="CN165" s="260"/>
      <c r="CO165" s="260"/>
      <c r="CP165" s="261"/>
      <c r="CQ165" s="57"/>
      <c r="CR165" s="58"/>
    </row>
    <row r="166" spans="1:96" s="59" customFormat="1" ht="15" customHeight="1" x14ac:dyDescent="0.15">
      <c r="A166" s="56"/>
      <c r="B166" s="257" t="s">
        <v>193</v>
      </c>
      <c r="C166" s="257"/>
      <c r="D166" s="257"/>
      <c r="E166" s="257"/>
      <c r="F166" s="257"/>
      <c r="G166" s="257"/>
      <c r="H166" s="257"/>
      <c r="I166" s="257"/>
      <c r="J166" s="257"/>
      <c r="K166" s="257"/>
      <c r="L166" s="257"/>
      <c r="M166" s="257"/>
      <c r="N166" s="257"/>
      <c r="O166" s="257"/>
      <c r="P166" s="294" t="s">
        <v>125</v>
      </c>
      <c r="Q166" s="294"/>
      <c r="R166" s="294"/>
      <c r="S166" s="294"/>
      <c r="T166" s="294"/>
      <c r="U166" s="290" t="s">
        <v>152</v>
      </c>
      <c r="V166" s="291"/>
      <c r="W166" s="292"/>
      <c r="X166" s="296" t="s">
        <v>61</v>
      </c>
      <c r="Y166" s="296"/>
      <c r="Z166" s="296"/>
      <c r="AA166" s="296"/>
      <c r="AB166" s="296"/>
      <c r="AC166" s="296"/>
      <c r="AD166" s="296"/>
      <c r="AE166" s="296"/>
      <c r="AF166" s="296"/>
      <c r="AG166" s="296"/>
      <c r="AH166" s="296"/>
      <c r="AI166" s="296"/>
      <c r="AJ166" s="296"/>
      <c r="AK166" s="296"/>
      <c r="AL166" s="296"/>
      <c r="AM166" s="296"/>
      <c r="AN166" s="296"/>
      <c r="AO166" s="296"/>
      <c r="AP166" s="296"/>
      <c r="AQ166" s="296"/>
      <c r="AR166" s="296"/>
      <c r="AS166" s="296"/>
      <c r="AT166" s="296"/>
      <c r="AU166" s="57"/>
      <c r="AV166" s="57"/>
      <c r="AW166" s="57"/>
      <c r="AY166" s="309" t="s">
        <v>248</v>
      </c>
      <c r="AZ166" s="310"/>
      <c r="BA166" s="310"/>
      <c r="BB166" s="310"/>
      <c r="BC166" s="310"/>
      <c r="BD166" s="310"/>
      <c r="BE166" s="310"/>
      <c r="BF166" s="311"/>
      <c r="BG166" s="290" t="s">
        <v>156</v>
      </c>
      <c r="BH166" s="291"/>
      <c r="BI166" s="291"/>
      <c r="BJ166" s="291"/>
      <c r="BK166" s="291"/>
      <c r="BL166" s="292"/>
      <c r="BM166" s="259" t="s">
        <v>158</v>
      </c>
      <c r="BN166" s="260"/>
      <c r="BO166" s="260"/>
      <c r="BP166" s="260"/>
      <c r="BQ166" s="260"/>
      <c r="BR166" s="261"/>
      <c r="BS166" s="290" t="s">
        <v>156</v>
      </c>
      <c r="BT166" s="291"/>
      <c r="BU166" s="291"/>
      <c r="BV166" s="291"/>
      <c r="BW166" s="291"/>
      <c r="BX166" s="292"/>
      <c r="BY166" s="259" t="s">
        <v>159</v>
      </c>
      <c r="BZ166" s="260"/>
      <c r="CA166" s="260"/>
      <c r="CB166" s="260"/>
      <c r="CC166" s="260"/>
      <c r="CD166" s="261"/>
      <c r="CE166" s="259" t="s">
        <v>157</v>
      </c>
      <c r="CF166" s="260"/>
      <c r="CG166" s="260"/>
      <c r="CH166" s="260"/>
      <c r="CI166" s="260"/>
      <c r="CJ166" s="261"/>
      <c r="CK166" s="259" t="s">
        <v>159</v>
      </c>
      <c r="CL166" s="260"/>
      <c r="CM166" s="260"/>
      <c r="CN166" s="260"/>
      <c r="CO166" s="260"/>
      <c r="CP166" s="261"/>
      <c r="CQ166" s="57"/>
      <c r="CR166" s="58"/>
    </row>
    <row r="167" spans="1:96" s="59" customFormat="1" ht="15" customHeight="1" x14ac:dyDescent="0.15">
      <c r="A167" s="56"/>
      <c r="B167" s="257" t="s">
        <v>194</v>
      </c>
      <c r="C167" s="257"/>
      <c r="D167" s="257"/>
      <c r="E167" s="257"/>
      <c r="F167" s="257"/>
      <c r="G167" s="257"/>
      <c r="H167" s="257"/>
      <c r="I167" s="257"/>
      <c r="J167" s="257"/>
      <c r="K167" s="257"/>
      <c r="L167" s="257"/>
      <c r="M167" s="257"/>
      <c r="N167" s="257"/>
      <c r="O167" s="257"/>
      <c r="P167" s="294" t="s">
        <v>125</v>
      </c>
      <c r="Q167" s="294"/>
      <c r="R167" s="294"/>
      <c r="S167" s="294"/>
      <c r="T167" s="294"/>
      <c r="U167" s="290" t="s">
        <v>152</v>
      </c>
      <c r="V167" s="291"/>
      <c r="W167" s="292"/>
      <c r="X167" s="296" t="s">
        <v>61</v>
      </c>
      <c r="Y167" s="296"/>
      <c r="Z167" s="296"/>
      <c r="AA167" s="296"/>
      <c r="AB167" s="296"/>
      <c r="AC167" s="296"/>
      <c r="AD167" s="296"/>
      <c r="AE167" s="296"/>
      <c r="AF167" s="296"/>
      <c r="AG167" s="296"/>
      <c r="AH167" s="296"/>
      <c r="AI167" s="296"/>
      <c r="AJ167" s="296"/>
      <c r="AK167" s="296"/>
      <c r="AL167" s="296"/>
      <c r="AM167" s="296"/>
      <c r="AN167" s="296"/>
      <c r="AO167" s="296"/>
      <c r="AP167" s="296"/>
      <c r="AQ167" s="296"/>
      <c r="AR167" s="296"/>
      <c r="AS167" s="296"/>
      <c r="AT167" s="296"/>
      <c r="AU167" s="57"/>
      <c r="AV167" s="57"/>
      <c r="AW167" s="57"/>
      <c r="AY167" s="309" t="s">
        <v>196</v>
      </c>
      <c r="AZ167" s="310"/>
      <c r="BA167" s="310"/>
      <c r="BB167" s="310"/>
      <c r="BC167" s="310"/>
      <c r="BD167" s="310"/>
      <c r="BE167" s="310"/>
      <c r="BF167" s="311"/>
      <c r="BG167" s="259" t="s">
        <v>156</v>
      </c>
      <c r="BH167" s="260"/>
      <c r="BI167" s="260"/>
      <c r="BJ167" s="260"/>
      <c r="BK167" s="260"/>
      <c r="BL167" s="261"/>
      <c r="BM167" s="259" t="s">
        <v>158</v>
      </c>
      <c r="BN167" s="260"/>
      <c r="BO167" s="260"/>
      <c r="BP167" s="260"/>
      <c r="BQ167" s="260"/>
      <c r="BR167" s="261"/>
      <c r="BS167" s="259" t="s">
        <v>156</v>
      </c>
      <c r="BT167" s="260"/>
      <c r="BU167" s="260"/>
      <c r="BV167" s="260"/>
      <c r="BW167" s="260"/>
      <c r="BX167" s="261"/>
      <c r="BY167" s="259" t="s">
        <v>157</v>
      </c>
      <c r="BZ167" s="260"/>
      <c r="CA167" s="260"/>
      <c r="CB167" s="260"/>
      <c r="CC167" s="260"/>
      <c r="CD167" s="261"/>
      <c r="CE167" s="259" t="s">
        <v>159</v>
      </c>
      <c r="CF167" s="260"/>
      <c r="CG167" s="260"/>
      <c r="CH167" s="260"/>
      <c r="CI167" s="260"/>
      <c r="CJ167" s="261"/>
      <c r="CK167" s="259" t="s">
        <v>159</v>
      </c>
      <c r="CL167" s="260"/>
      <c r="CM167" s="260"/>
      <c r="CN167" s="260"/>
      <c r="CO167" s="260"/>
      <c r="CP167" s="261"/>
      <c r="CQ167" s="57"/>
      <c r="CR167" s="58"/>
    </row>
    <row r="168" spans="1:96" s="59" customFormat="1" ht="15" customHeight="1" x14ac:dyDescent="0.15">
      <c r="A168" s="56"/>
      <c r="B168" s="257" t="s">
        <v>238</v>
      </c>
      <c r="C168" s="257"/>
      <c r="D168" s="257"/>
      <c r="E168" s="257"/>
      <c r="F168" s="257"/>
      <c r="G168" s="257"/>
      <c r="H168" s="257"/>
      <c r="I168" s="257"/>
      <c r="J168" s="257"/>
      <c r="K168" s="257"/>
      <c r="L168" s="257"/>
      <c r="M168" s="257"/>
      <c r="N168" s="257"/>
      <c r="O168" s="257"/>
      <c r="P168" s="294" t="s">
        <v>125</v>
      </c>
      <c r="Q168" s="294"/>
      <c r="R168" s="294"/>
      <c r="S168" s="294"/>
      <c r="T168" s="294"/>
      <c r="U168" s="290" t="s">
        <v>152</v>
      </c>
      <c r="V168" s="291"/>
      <c r="W168" s="292"/>
      <c r="X168" s="296" t="s">
        <v>61</v>
      </c>
      <c r="Y168" s="296"/>
      <c r="Z168" s="296"/>
      <c r="AA168" s="296"/>
      <c r="AB168" s="296"/>
      <c r="AC168" s="296"/>
      <c r="AD168" s="296"/>
      <c r="AE168" s="296"/>
      <c r="AF168" s="296"/>
      <c r="AG168" s="296"/>
      <c r="AH168" s="296"/>
      <c r="AI168" s="296"/>
      <c r="AJ168" s="296"/>
      <c r="AK168" s="296"/>
      <c r="AL168" s="296"/>
      <c r="AM168" s="296"/>
      <c r="AN168" s="296"/>
      <c r="AO168" s="296"/>
      <c r="AP168" s="296"/>
      <c r="AQ168" s="296"/>
      <c r="AR168" s="296"/>
      <c r="AS168" s="296"/>
      <c r="AT168" s="296"/>
      <c r="AU168" s="57"/>
      <c r="AV168" s="57"/>
      <c r="AW168" s="57"/>
      <c r="AY168" s="309" t="s">
        <v>155</v>
      </c>
      <c r="AZ168" s="310"/>
      <c r="BA168" s="310"/>
      <c r="BB168" s="310"/>
      <c r="BC168" s="310"/>
      <c r="BD168" s="310"/>
      <c r="BE168" s="310"/>
      <c r="BF168" s="311"/>
      <c r="BG168" s="259" t="s">
        <v>239</v>
      </c>
      <c r="BH168" s="260"/>
      <c r="BI168" s="260"/>
      <c r="BJ168" s="260"/>
      <c r="BK168" s="260"/>
      <c r="BL168" s="261"/>
      <c r="BM168" s="259" t="s">
        <v>158</v>
      </c>
      <c r="BN168" s="260"/>
      <c r="BO168" s="260"/>
      <c r="BP168" s="260"/>
      <c r="BQ168" s="260"/>
      <c r="BR168" s="261"/>
      <c r="BS168" s="259" t="s">
        <v>239</v>
      </c>
      <c r="BT168" s="260"/>
      <c r="BU168" s="260"/>
      <c r="BV168" s="260"/>
      <c r="BW168" s="260"/>
      <c r="BX168" s="261"/>
      <c r="BY168" s="259" t="s">
        <v>157</v>
      </c>
      <c r="BZ168" s="260"/>
      <c r="CA168" s="260"/>
      <c r="CB168" s="260"/>
      <c r="CC168" s="260"/>
      <c r="CD168" s="261"/>
      <c r="CE168" s="259" t="s">
        <v>159</v>
      </c>
      <c r="CF168" s="260"/>
      <c r="CG168" s="260"/>
      <c r="CH168" s="260"/>
      <c r="CI168" s="260"/>
      <c r="CJ168" s="261"/>
      <c r="CK168" s="259" t="s">
        <v>159</v>
      </c>
      <c r="CL168" s="260"/>
      <c r="CM168" s="260"/>
      <c r="CN168" s="260"/>
      <c r="CO168" s="260"/>
      <c r="CP168" s="261"/>
      <c r="CQ168" s="57"/>
      <c r="CR168" s="58"/>
    </row>
    <row r="169" spans="1:96" s="59" customFormat="1" ht="15" customHeight="1" x14ac:dyDescent="0.15">
      <c r="A169" s="56"/>
      <c r="B169" s="257" t="s">
        <v>248</v>
      </c>
      <c r="C169" s="257"/>
      <c r="D169" s="257"/>
      <c r="E169" s="257"/>
      <c r="F169" s="257"/>
      <c r="G169" s="257"/>
      <c r="H169" s="257"/>
      <c r="I169" s="257"/>
      <c r="J169" s="257"/>
      <c r="K169" s="257"/>
      <c r="L169" s="257"/>
      <c r="M169" s="257"/>
      <c r="N169" s="257"/>
      <c r="O169" s="257"/>
      <c r="P169" s="294" t="s">
        <v>125</v>
      </c>
      <c r="Q169" s="294"/>
      <c r="R169" s="294"/>
      <c r="S169" s="294"/>
      <c r="T169" s="294"/>
      <c r="U169" s="290">
        <v>6</v>
      </c>
      <c r="V169" s="291"/>
      <c r="W169" s="292"/>
      <c r="X169" s="296" t="s">
        <v>126</v>
      </c>
      <c r="Y169" s="296"/>
      <c r="Z169" s="296"/>
      <c r="AA169" s="296"/>
      <c r="AB169" s="296"/>
      <c r="AC169" s="296"/>
      <c r="AD169" s="296"/>
      <c r="AE169" s="296"/>
      <c r="AF169" s="296"/>
      <c r="AG169" s="296"/>
      <c r="AH169" s="296"/>
      <c r="AI169" s="296"/>
      <c r="AJ169" s="296"/>
      <c r="AK169" s="296"/>
      <c r="AL169" s="296"/>
      <c r="AM169" s="296"/>
      <c r="AN169" s="296"/>
      <c r="AO169" s="296"/>
      <c r="AP169" s="296"/>
      <c r="AQ169" s="296"/>
      <c r="AR169" s="296"/>
      <c r="AS169" s="296"/>
      <c r="AT169" s="296"/>
      <c r="AU169" s="57"/>
      <c r="AV169" s="57"/>
      <c r="AW169" s="57"/>
      <c r="AY169" s="309" t="s">
        <v>339</v>
      </c>
      <c r="AZ169" s="310"/>
      <c r="BA169" s="310"/>
      <c r="BB169" s="310"/>
      <c r="BC169" s="310"/>
      <c r="BD169" s="310"/>
      <c r="BE169" s="310"/>
      <c r="BF169" s="311"/>
      <c r="BG169" s="259" t="s">
        <v>156</v>
      </c>
      <c r="BH169" s="260"/>
      <c r="BI169" s="260"/>
      <c r="BJ169" s="260"/>
      <c r="BK169" s="260"/>
      <c r="BL169" s="261"/>
      <c r="BM169" s="259" t="s">
        <v>158</v>
      </c>
      <c r="BN169" s="260"/>
      <c r="BO169" s="260"/>
      <c r="BP169" s="260"/>
      <c r="BQ169" s="260"/>
      <c r="BR169" s="261"/>
      <c r="BS169" s="259" t="s">
        <v>158</v>
      </c>
      <c r="BT169" s="260"/>
      <c r="BU169" s="260"/>
      <c r="BV169" s="260"/>
      <c r="BW169" s="260"/>
      <c r="BX169" s="261"/>
      <c r="BY169" s="259" t="s">
        <v>159</v>
      </c>
      <c r="BZ169" s="260"/>
      <c r="CA169" s="260"/>
      <c r="CB169" s="260"/>
      <c r="CC169" s="260"/>
      <c r="CD169" s="261"/>
      <c r="CE169" s="259" t="s">
        <v>159</v>
      </c>
      <c r="CF169" s="260"/>
      <c r="CG169" s="260"/>
      <c r="CH169" s="260"/>
      <c r="CI169" s="260"/>
      <c r="CJ169" s="261"/>
      <c r="CK169" s="259" t="s">
        <v>159</v>
      </c>
      <c r="CL169" s="260"/>
      <c r="CM169" s="260"/>
      <c r="CN169" s="260"/>
      <c r="CO169" s="260"/>
      <c r="CP169" s="261"/>
      <c r="CQ169" s="57"/>
      <c r="CR169" s="58"/>
    </row>
    <row r="170" spans="1:96" s="59" customFormat="1" ht="15" customHeight="1" x14ac:dyDescent="0.15">
      <c r="A170" s="56"/>
      <c r="B170" s="293" t="s">
        <v>196</v>
      </c>
      <c r="C170" s="293"/>
      <c r="D170" s="293"/>
      <c r="E170" s="293"/>
      <c r="F170" s="293"/>
      <c r="G170" s="293"/>
      <c r="H170" s="293"/>
      <c r="I170" s="293"/>
      <c r="J170" s="293"/>
      <c r="K170" s="293"/>
      <c r="L170" s="293"/>
      <c r="M170" s="293"/>
      <c r="N170" s="293"/>
      <c r="O170" s="293"/>
      <c r="P170" s="294" t="s">
        <v>125</v>
      </c>
      <c r="Q170" s="294"/>
      <c r="R170" s="294"/>
      <c r="S170" s="294"/>
      <c r="T170" s="294"/>
      <c r="U170" s="290" t="s">
        <v>152</v>
      </c>
      <c r="V170" s="291"/>
      <c r="W170" s="292"/>
      <c r="X170" s="296" t="s">
        <v>61</v>
      </c>
      <c r="Y170" s="296"/>
      <c r="Z170" s="296"/>
      <c r="AA170" s="296"/>
      <c r="AB170" s="296"/>
      <c r="AC170" s="296"/>
      <c r="AD170" s="296"/>
      <c r="AE170" s="296"/>
      <c r="AF170" s="296"/>
      <c r="AG170" s="296"/>
      <c r="AH170" s="296"/>
      <c r="AI170" s="296"/>
      <c r="AJ170" s="296"/>
      <c r="AK170" s="296"/>
      <c r="AL170" s="296"/>
      <c r="AM170" s="296"/>
      <c r="AN170" s="296"/>
      <c r="AO170" s="296"/>
      <c r="AP170" s="296"/>
      <c r="AQ170" s="296"/>
      <c r="AR170" s="296"/>
      <c r="AS170" s="296"/>
      <c r="AT170" s="296"/>
      <c r="AU170" s="57"/>
      <c r="AV170" s="57"/>
      <c r="AW170" s="57"/>
      <c r="AY170" s="309" t="s">
        <v>268</v>
      </c>
      <c r="AZ170" s="310"/>
      <c r="BA170" s="310"/>
      <c r="BB170" s="310"/>
      <c r="BC170" s="310"/>
      <c r="BD170" s="310"/>
      <c r="BE170" s="310"/>
      <c r="BF170" s="311"/>
      <c r="BG170" s="259" t="s">
        <v>156</v>
      </c>
      <c r="BH170" s="260"/>
      <c r="BI170" s="260"/>
      <c r="BJ170" s="260"/>
      <c r="BK170" s="260"/>
      <c r="BL170" s="261"/>
      <c r="BM170" s="259" t="s">
        <v>158</v>
      </c>
      <c r="BN170" s="260"/>
      <c r="BO170" s="260"/>
      <c r="BP170" s="260"/>
      <c r="BQ170" s="260"/>
      <c r="BR170" s="261"/>
      <c r="BS170" s="259" t="s">
        <v>156</v>
      </c>
      <c r="BT170" s="260"/>
      <c r="BU170" s="260"/>
      <c r="BV170" s="260"/>
      <c r="BW170" s="260"/>
      <c r="BX170" s="261"/>
      <c r="BY170" s="259" t="s">
        <v>157</v>
      </c>
      <c r="BZ170" s="260"/>
      <c r="CA170" s="260"/>
      <c r="CB170" s="260"/>
      <c r="CC170" s="260"/>
      <c r="CD170" s="261"/>
      <c r="CE170" s="259" t="s">
        <v>157</v>
      </c>
      <c r="CF170" s="260"/>
      <c r="CG170" s="260"/>
      <c r="CH170" s="260"/>
      <c r="CI170" s="260"/>
      <c r="CJ170" s="261"/>
      <c r="CK170" s="259" t="s">
        <v>157</v>
      </c>
      <c r="CL170" s="260"/>
      <c r="CM170" s="260"/>
      <c r="CN170" s="260"/>
      <c r="CO170" s="260"/>
      <c r="CP170" s="261"/>
      <c r="CQ170" s="57"/>
      <c r="CR170" s="58"/>
    </row>
    <row r="171" spans="1:96" s="59" customFormat="1" ht="15" customHeight="1" x14ac:dyDescent="0.15">
      <c r="A171" s="56"/>
      <c r="B171" s="293" t="s">
        <v>149</v>
      </c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4" t="s">
        <v>125</v>
      </c>
      <c r="Q171" s="294"/>
      <c r="R171" s="294"/>
      <c r="S171" s="294"/>
      <c r="T171" s="294"/>
      <c r="U171" s="290">
        <v>1</v>
      </c>
      <c r="V171" s="291"/>
      <c r="W171" s="292"/>
      <c r="X171" s="296" t="s">
        <v>126</v>
      </c>
      <c r="Y171" s="296"/>
      <c r="Z171" s="296"/>
      <c r="AA171" s="296"/>
      <c r="AB171" s="296"/>
      <c r="AC171" s="296"/>
      <c r="AD171" s="296"/>
      <c r="AE171" s="296"/>
      <c r="AF171" s="296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296"/>
      <c r="AQ171" s="296"/>
      <c r="AR171" s="296"/>
      <c r="AS171" s="296"/>
      <c r="AT171" s="296"/>
      <c r="AU171" s="57"/>
      <c r="AV171" s="57"/>
      <c r="AW171" s="57"/>
      <c r="CQ171" s="57"/>
      <c r="CR171" s="58"/>
    </row>
    <row r="172" spans="1:96" s="59" customFormat="1" ht="15" customHeight="1" x14ac:dyDescent="0.15">
      <c r="A172" s="56"/>
      <c r="B172" s="257" t="s">
        <v>339</v>
      </c>
      <c r="C172" s="257"/>
      <c r="D172" s="257"/>
      <c r="E172" s="257"/>
      <c r="F172" s="257"/>
      <c r="G172" s="257"/>
      <c r="H172" s="257"/>
      <c r="I172" s="257"/>
      <c r="J172" s="257"/>
      <c r="K172" s="257"/>
      <c r="L172" s="257"/>
      <c r="M172" s="257"/>
      <c r="N172" s="257"/>
      <c r="O172" s="257"/>
      <c r="P172" s="258" t="s">
        <v>95</v>
      </c>
      <c r="Q172" s="258"/>
      <c r="R172" s="258"/>
      <c r="S172" s="258"/>
      <c r="T172" s="258"/>
      <c r="U172" s="259" t="s">
        <v>152</v>
      </c>
      <c r="V172" s="260"/>
      <c r="W172" s="261"/>
      <c r="X172" s="296" t="s">
        <v>158</v>
      </c>
      <c r="Y172" s="296"/>
      <c r="Z172" s="296"/>
      <c r="AA172" s="296"/>
      <c r="AB172" s="296"/>
      <c r="AC172" s="296"/>
      <c r="AD172" s="296"/>
      <c r="AE172" s="296"/>
      <c r="AF172" s="296"/>
      <c r="AG172" s="296"/>
      <c r="AH172" s="296"/>
      <c r="AI172" s="296"/>
      <c r="AJ172" s="296"/>
      <c r="AK172" s="296"/>
      <c r="AL172" s="296"/>
      <c r="AM172" s="296"/>
      <c r="AN172" s="296"/>
      <c r="AO172" s="296"/>
      <c r="AP172" s="296"/>
      <c r="AQ172" s="296"/>
      <c r="AR172" s="296"/>
      <c r="AS172" s="296"/>
      <c r="AT172" s="296"/>
      <c r="AU172" s="57"/>
      <c r="AV172" s="57"/>
      <c r="AW172" s="57"/>
      <c r="AX172" s="57" t="s">
        <v>127</v>
      </c>
      <c r="AY172" s="57"/>
      <c r="AZ172" s="57"/>
      <c r="BA172" s="57"/>
      <c r="BB172" s="57"/>
      <c r="BC172" s="57"/>
      <c r="BD172" s="57"/>
      <c r="BE172" s="57"/>
      <c r="BF172" s="57"/>
      <c r="BG172" s="57"/>
      <c r="BH172" s="57"/>
      <c r="BI172" s="57"/>
      <c r="BJ172" s="57"/>
      <c r="BK172" s="57"/>
      <c r="BL172" s="57"/>
      <c r="BM172" s="57"/>
      <c r="BN172" s="57"/>
      <c r="BO172" s="57"/>
      <c r="BP172" s="57"/>
      <c r="BQ172" s="57"/>
      <c r="BR172" s="57"/>
      <c r="BS172" s="57"/>
      <c r="BT172" s="57"/>
      <c r="BU172" s="57"/>
      <c r="BV172" s="57"/>
      <c r="BW172" s="57"/>
      <c r="BX172" s="57"/>
      <c r="BY172" s="57"/>
      <c r="BZ172" s="57"/>
      <c r="CA172" s="57"/>
      <c r="CB172" s="57"/>
      <c r="CC172" s="57"/>
      <c r="CD172" s="57"/>
      <c r="CE172" s="57"/>
      <c r="CF172" s="57"/>
      <c r="CG172" s="57"/>
      <c r="CH172" s="57"/>
      <c r="CI172" s="57"/>
      <c r="CJ172" s="57"/>
      <c r="CK172" s="57"/>
      <c r="CL172" s="57"/>
      <c r="CM172" s="57"/>
      <c r="CN172" s="57"/>
      <c r="CO172" s="57"/>
      <c r="CP172" s="57"/>
      <c r="CQ172" s="57"/>
      <c r="CR172" s="58"/>
    </row>
    <row r="173" spans="1:96" s="59" customFormat="1" ht="15" customHeight="1" x14ac:dyDescent="0.15">
      <c r="A173" s="56"/>
      <c r="B173" s="257" t="s">
        <v>268</v>
      </c>
      <c r="C173" s="257"/>
      <c r="D173" s="257"/>
      <c r="E173" s="257"/>
      <c r="F173" s="257"/>
      <c r="G173" s="257"/>
      <c r="H173" s="257"/>
      <c r="I173" s="257"/>
      <c r="J173" s="257"/>
      <c r="K173" s="257"/>
      <c r="L173" s="257"/>
      <c r="M173" s="257"/>
      <c r="N173" s="257"/>
      <c r="O173" s="257"/>
      <c r="P173" s="258" t="s">
        <v>95</v>
      </c>
      <c r="Q173" s="258"/>
      <c r="R173" s="258"/>
      <c r="S173" s="258"/>
      <c r="T173" s="258"/>
      <c r="U173" s="259" t="s">
        <v>152</v>
      </c>
      <c r="V173" s="260"/>
      <c r="W173" s="261"/>
      <c r="X173" s="296" t="s">
        <v>61</v>
      </c>
      <c r="Y173" s="296"/>
      <c r="Z173" s="296"/>
      <c r="AA173" s="296"/>
      <c r="AB173" s="296"/>
      <c r="AC173" s="296"/>
      <c r="AD173" s="296"/>
      <c r="AE173" s="296"/>
      <c r="AF173" s="296"/>
      <c r="AG173" s="296"/>
      <c r="AH173" s="296"/>
      <c r="AI173" s="296"/>
      <c r="AJ173" s="296"/>
      <c r="AK173" s="296"/>
      <c r="AL173" s="296"/>
      <c r="AM173" s="296"/>
      <c r="AN173" s="296"/>
      <c r="AO173" s="296"/>
      <c r="AP173" s="296"/>
      <c r="AQ173" s="296"/>
      <c r="AR173" s="296"/>
      <c r="AS173" s="296"/>
      <c r="AT173" s="296"/>
      <c r="AU173" s="57"/>
      <c r="AV173" s="57"/>
      <c r="AW173" s="57"/>
      <c r="AX173" s="300" t="s">
        <v>91</v>
      </c>
      <c r="AY173" s="301"/>
      <c r="AZ173" s="301"/>
      <c r="BA173" s="301"/>
      <c r="BB173" s="301"/>
      <c r="BC173" s="301"/>
      <c r="BD173" s="301"/>
      <c r="BE173" s="301"/>
      <c r="BF173" s="301"/>
      <c r="BG173" s="301"/>
      <c r="BH173" s="301"/>
      <c r="BI173" s="301"/>
      <c r="BJ173" s="301"/>
      <c r="BK173" s="302"/>
      <c r="BL173" s="300" t="s">
        <v>92</v>
      </c>
      <c r="BM173" s="301"/>
      <c r="BN173" s="301"/>
      <c r="BO173" s="301"/>
      <c r="BP173" s="302"/>
      <c r="BQ173" s="300" t="s">
        <v>93</v>
      </c>
      <c r="BR173" s="301"/>
      <c r="BS173" s="302"/>
      <c r="BT173" s="300" t="s">
        <v>94</v>
      </c>
      <c r="BU173" s="301"/>
      <c r="BV173" s="301"/>
      <c r="BW173" s="301"/>
      <c r="BX173" s="301"/>
      <c r="BY173" s="301"/>
      <c r="BZ173" s="301"/>
      <c r="CA173" s="301"/>
      <c r="CB173" s="301"/>
      <c r="CC173" s="301"/>
      <c r="CD173" s="301"/>
      <c r="CE173" s="301"/>
      <c r="CF173" s="301"/>
      <c r="CG173" s="301"/>
      <c r="CH173" s="301"/>
      <c r="CI173" s="301"/>
      <c r="CJ173" s="301"/>
      <c r="CK173" s="301"/>
      <c r="CL173" s="301"/>
      <c r="CM173" s="301"/>
      <c r="CN173" s="301"/>
      <c r="CO173" s="301"/>
      <c r="CP173" s="302"/>
      <c r="CQ173" s="57"/>
      <c r="CR173" s="58"/>
    </row>
    <row r="174" spans="1:96" s="59" customFormat="1" ht="15" customHeight="1" x14ac:dyDescent="0.15">
      <c r="A174" s="56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  <c r="AM174" s="57"/>
      <c r="AN174" s="57"/>
      <c r="AO174" s="57"/>
      <c r="AP174" s="57"/>
      <c r="AQ174" s="57"/>
      <c r="AR174" s="57"/>
      <c r="AS174" s="57"/>
      <c r="AT174" s="57"/>
      <c r="AU174" s="57"/>
      <c r="AV174" s="57"/>
      <c r="AW174" s="57"/>
      <c r="AX174" s="287" t="s">
        <v>128</v>
      </c>
      <c r="AY174" s="288"/>
      <c r="AZ174" s="288"/>
      <c r="BA174" s="288"/>
      <c r="BB174" s="288"/>
      <c r="BC174" s="288"/>
      <c r="BD174" s="288"/>
      <c r="BE174" s="288"/>
      <c r="BF174" s="288"/>
      <c r="BG174" s="288"/>
      <c r="BH174" s="288"/>
      <c r="BI174" s="288"/>
      <c r="BJ174" s="288"/>
      <c r="BK174" s="289"/>
      <c r="BL174" s="294" t="s">
        <v>99</v>
      </c>
      <c r="BM174" s="294"/>
      <c r="BN174" s="294"/>
      <c r="BO174" s="294"/>
      <c r="BP174" s="294"/>
      <c r="BQ174" s="360" t="s">
        <v>129</v>
      </c>
      <c r="BR174" s="360"/>
      <c r="BS174" s="360"/>
      <c r="BT174" s="338" t="s">
        <v>130</v>
      </c>
      <c r="BU174" s="339"/>
      <c r="BV174" s="339"/>
      <c r="BW174" s="339"/>
      <c r="BX174" s="339"/>
      <c r="BY174" s="339"/>
      <c r="BZ174" s="339"/>
      <c r="CA174" s="339"/>
      <c r="CB174" s="339"/>
      <c r="CC174" s="339"/>
      <c r="CD174" s="339"/>
      <c r="CE174" s="339"/>
      <c r="CF174" s="339"/>
      <c r="CG174" s="339"/>
      <c r="CH174" s="339"/>
      <c r="CI174" s="339"/>
      <c r="CJ174" s="339"/>
      <c r="CK174" s="339"/>
      <c r="CL174" s="339"/>
      <c r="CM174" s="339"/>
      <c r="CN174" s="339"/>
      <c r="CO174" s="339"/>
      <c r="CP174" s="340"/>
      <c r="CQ174" s="57"/>
      <c r="CR174" s="58"/>
    </row>
    <row r="175" spans="1:96" s="59" customFormat="1" ht="15" customHeight="1" x14ac:dyDescent="0.15">
      <c r="A175" s="56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  <c r="AM175" s="57"/>
      <c r="AN175" s="57"/>
      <c r="AO175" s="57"/>
      <c r="AP175" s="57"/>
      <c r="AQ175" s="57"/>
      <c r="AR175" s="57"/>
      <c r="AS175" s="57"/>
      <c r="AT175" s="57"/>
      <c r="AU175" s="57"/>
      <c r="AV175" s="57"/>
      <c r="AW175" s="57"/>
      <c r="AX175" s="315"/>
      <c r="AY175" s="316"/>
      <c r="AZ175" s="316"/>
      <c r="BA175" s="316"/>
      <c r="BB175" s="316"/>
      <c r="BC175" s="316"/>
      <c r="BD175" s="316"/>
      <c r="BE175" s="316"/>
      <c r="BF175" s="316"/>
      <c r="BG175" s="316"/>
      <c r="BH175" s="316"/>
      <c r="BI175" s="316"/>
      <c r="BJ175" s="316"/>
      <c r="BK175" s="344"/>
      <c r="BL175" s="294"/>
      <c r="BM175" s="294"/>
      <c r="BN175" s="294"/>
      <c r="BO175" s="294"/>
      <c r="BP175" s="294"/>
      <c r="BQ175" s="360"/>
      <c r="BR175" s="360"/>
      <c r="BS175" s="360"/>
      <c r="BT175" s="341"/>
      <c r="BU175" s="342"/>
      <c r="BV175" s="342"/>
      <c r="BW175" s="342"/>
      <c r="BX175" s="342"/>
      <c r="BY175" s="342"/>
      <c r="BZ175" s="342"/>
      <c r="CA175" s="342"/>
      <c r="CB175" s="342"/>
      <c r="CC175" s="342"/>
      <c r="CD175" s="342"/>
      <c r="CE175" s="342"/>
      <c r="CF175" s="342"/>
      <c r="CG175" s="342"/>
      <c r="CH175" s="342"/>
      <c r="CI175" s="342"/>
      <c r="CJ175" s="342"/>
      <c r="CK175" s="342"/>
      <c r="CL175" s="342"/>
      <c r="CM175" s="342"/>
      <c r="CN175" s="342"/>
      <c r="CO175" s="342"/>
      <c r="CP175" s="343"/>
      <c r="CQ175" s="57"/>
      <c r="CR175" s="58"/>
    </row>
    <row r="176" spans="1:96" s="59" customFormat="1" ht="15" customHeight="1" thickBot="1" x14ac:dyDescent="0.2">
      <c r="A176" s="60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2"/>
    </row>
    <row r="177" spans="1:96" ht="15" customHeight="1" x14ac:dyDescent="0.15">
      <c r="A177" s="262" t="s">
        <v>67</v>
      </c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63"/>
      <c r="AY177" s="263"/>
      <c r="AZ177" s="263"/>
      <c r="BA177" s="263"/>
      <c r="BB177" s="263"/>
      <c r="BC177" s="263"/>
      <c r="BD177" s="263"/>
      <c r="BE177" s="263"/>
      <c r="BF177" s="263"/>
      <c r="BG177" s="263"/>
      <c r="BH177" s="263"/>
      <c r="BI177" s="263"/>
      <c r="BJ177" s="263"/>
      <c r="BK177" s="263"/>
      <c r="BL177" s="263"/>
      <c r="BM177" s="263"/>
      <c r="BN177" s="263"/>
      <c r="BO177" s="263"/>
      <c r="BP177" s="263"/>
      <c r="BQ177" s="263"/>
      <c r="BR177" s="263"/>
      <c r="BS177" s="263"/>
      <c r="BT177" s="263"/>
      <c r="BU177" s="263"/>
      <c r="BV177" s="263"/>
      <c r="BW177" s="263"/>
      <c r="BX177" s="263"/>
      <c r="BY177" s="263"/>
      <c r="BZ177" s="263"/>
      <c r="CA177" s="263"/>
      <c r="CB177" s="263"/>
      <c r="CC177" s="263"/>
      <c r="CD177" s="263"/>
      <c r="CE177" s="263"/>
      <c r="CF177" s="263"/>
      <c r="CG177" s="263"/>
      <c r="CH177" s="263"/>
      <c r="CI177" s="263"/>
      <c r="CJ177" s="263"/>
      <c r="CK177" s="263"/>
      <c r="CL177" s="263"/>
      <c r="CM177" s="263"/>
      <c r="CN177" s="263"/>
      <c r="CO177" s="263"/>
      <c r="CP177" s="263"/>
      <c r="CQ177" s="263"/>
      <c r="CR177" s="331"/>
    </row>
    <row r="178" spans="1:96" ht="15" customHeight="1" x14ac:dyDescent="0.15">
      <c r="A178" s="56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  <c r="AS178" s="57"/>
      <c r="AT178" s="57"/>
      <c r="AU178" s="57"/>
      <c r="AV178" s="57"/>
      <c r="AW178" s="57"/>
      <c r="AX178" s="57"/>
      <c r="AY178" s="57"/>
      <c r="AZ178" s="57"/>
      <c r="BA178" s="57"/>
      <c r="BB178" s="57"/>
      <c r="BC178" s="57"/>
      <c r="BD178" s="57"/>
      <c r="BE178" s="57"/>
      <c r="BF178" s="57"/>
      <c r="BG178" s="57"/>
      <c r="BH178" s="57"/>
      <c r="BI178" s="57"/>
      <c r="BJ178" s="57"/>
      <c r="BK178" s="57"/>
      <c r="BL178" s="57"/>
      <c r="BM178" s="57"/>
      <c r="BN178" s="57"/>
      <c r="BO178" s="57"/>
      <c r="BP178" s="57"/>
      <c r="BQ178" s="57"/>
      <c r="BR178" s="57"/>
      <c r="BS178" s="57"/>
      <c r="BT178" s="57"/>
      <c r="BU178" s="57"/>
      <c r="BV178" s="57"/>
      <c r="BW178" s="57"/>
      <c r="BX178" s="57"/>
      <c r="BY178" s="57"/>
      <c r="BZ178" s="57"/>
      <c r="CA178" s="57"/>
      <c r="CB178" s="57"/>
      <c r="CC178" s="57"/>
      <c r="CD178" s="57"/>
      <c r="CE178" s="57"/>
      <c r="CF178" s="57"/>
      <c r="CG178" s="57"/>
      <c r="CH178" s="57"/>
      <c r="CI178" s="57"/>
      <c r="CJ178" s="57"/>
      <c r="CK178" s="57"/>
      <c r="CL178" s="57"/>
      <c r="CM178" s="57"/>
      <c r="CN178" s="57"/>
      <c r="CO178" s="57"/>
      <c r="CP178" s="57"/>
      <c r="CQ178" s="57"/>
      <c r="CR178" s="58"/>
    </row>
    <row r="179" spans="1:96" ht="15" customHeight="1" x14ac:dyDescent="0.15">
      <c r="A179" s="386"/>
      <c r="B179" s="382" t="s">
        <v>348</v>
      </c>
      <c r="C179" s="387"/>
      <c r="D179" s="387"/>
      <c r="E179" s="387"/>
      <c r="F179" s="387"/>
      <c r="G179" s="387"/>
      <c r="H179" s="387"/>
      <c r="I179" s="387"/>
      <c r="J179" s="387"/>
      <c r="K179" s="387"/>
      <c r="L179" s="387"/>
      <c r="M179" s="387"/>
      <c r="N179" s="387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X179" s="57"/>
      <c r="CR179" s="58"/>
    </row>
    <row r="180" spans="1:96" ht="15" customHeight="1" x14ac:dyDescent="0.15">
      <c r="A180" s="56"/>
      <c r="B180" s="12"/>
      <c r="C180" s="368" t="s">
        <v>349</v>
      </c>
      <c r="D180" s="368"/>
      <c r="E180" s="368"/>
      <c r="F180" s="368"/>
      <c r="G180" s="368"/>
      <c r="H180" s="368"/>
      <c r="I180" s="368"/>
      <c r="J180" s="368"/>
      <c r="K180" s="368"/>
      <c r="L180" s="368"/>
      <c r="M180" s="368"/>
      <c r="N180" s="368"/>
      <c r="O180" s="368"/>
      <c r="P180" s="368"/>
      <c r="Q180" s="368"/>
      <c r="R180" s="368"/>
      <c r="S180" s="368"/>
      <c r="T180" s="368"/>
      <c r="U180" s="368"/>
      <c r="V180" s="368"/>
      <c r="W180" s="368"/>
      <c r="X180" s="368" t="s">
        <v>350</v>
      </c>
      <c r="Y180" s="368"/>
      <c r="Z180" s="368"/>
      <c r="AA180" s="368"/>
      <c r="AB180" s="368"/>
      <c r="AC180" s="368"/>
      <c r="AD180" s="368"/>
      <c r="AE180" s="368"/>
      <c r="AF180" s="368"/>
      <c r="AG180" s="368"/>
      <c r="AH180" s="368"/>
      <c r="AI180" s="368"/>
      <c r="AJ180" s="368"/>
      <c r="AK180" s="368"/>
      <c r="AL180" s="368"/>
      <c r="AM180" s="368"/>
      <c r="AN180" s="368"/>
      <c r="AO180" s="368"/>
      <c r="AP180" s="368"/>
      <c r="AQ180" s="368"/>
      <c r="AR180" s="368"/>
      <c r="AS180" s="368"/>
      <c r="AT180" s="368"/>
      <c r="AX180" s="57"/>
      <c r="CR180" s="58"/>
    </row>
    <row r="181" spans="1:96" ht="15" customHeight="1" x14ac:dyDescent="0.15">
      <c r="A181" s="56"/>
      <c r="B181" s="12"/>
      <c r="C181" s="375" t="s">
        <v>351</v>
      </c>
      <c r="D181" s="375"/>
      <c r="E181" s="375"/>
      <c r="F181" s="375"/>
      <c r="G181" s="375"/>
      <c r="H181" s="375"/>
      <c r="I181" s="375"/>
      <c r="J181" s="375"/>
      <c r="K181" s="375"/>
      <c r="L181" s="375"/>
      <c r="M181" s="375"/>
      <c r="N181" s="375"/>
      <c r="O181" s="375"/>
      <c r="P181" s="375"/>
      <c r="Q181" s="375"/>
      <c r="R181" s="375"/>
      <c r="S181" s="375"/>
      <c r="T181" s="375"/>
      <c r="U181" s="375"/>
      <c r="V181" s="375"/>
      <c r="W181" s="375"/>
      <c r="X181" s="375" t="s">
        <v>352</v>
      </c>
      <c r="Y181" s="375"/>
      <c r="Z181" s="375"/>
      <c r="AA181" s="375"/>
      <c r="AB181" s="375"/>
      <c r="AC181" s="375"/>
      <c r="AD181" s="375"/>
      <c r="AE181" s="375"/>
      <c r="AF181" s="375"/>
      <c r="AG181" s="375"/>
      <c r="AH181" s="375"/>
      <c r="AI181" s="375"/>
      <c r="AJ181" s="375"/>
      <c r="AK181" s="375"/>
      <c r="AL181" s="375"/>
      <c r="AM181" s="375"/>
      <c r="AN181" s="375"/>
      <c r="AO181" s="375"/>
      <c r="AP181" s="375"/>
      <c r="AQ181" s="375"/>
      <c r="AR181" s="375"/>
      <c r="AS181" s="375"/>
      <c r="AT181" s="375"/>
      <c r="AX181" s="57"/>
      <c r="CR181" s="58"/>
    </row>
    <row r="182" spans="1:96" ht="15" customHeight="1" x14ac:dyDescent="0.15">
      <c r="A182" s="56"/>
      <c r="B182" s="12"/>
      <c r="C182" s="375"/>
      <c r="D182" s="375"/>
      <c r="E182" s="375"/>
      <c r="F182" s="375"/>
      <c r="G182" s="375"/>
      <c r="H182" s="375"/>
      <c r="I182" s="375"/>
      <c r="J182" s="375"/>
      <c r="K182" s="375"/>
      <c r="L182" s="375"/>
      <c r="M182" s="375"/>
      <c r="N182" s="375"/>
      <c r="O182" s="375"/>
      <c r="P182" s="375"/>
      <c r="Q182" s="375"/>
      <c r="R182" s="375"/>
      <c r="S182" s="375"/>
      <c r="T182" s="375"/>
      <c r="U182" s="375"/>
      <c r="V182" s="375"/>
      <c r="W182" s="375"/>
      <c r="X182" s="375"/>
      <c r="Y182" s="375"/>
      <c r="Z182" s="375"/>
      <c r="AA182" s="375"/>
      <c r="AB182" s="375"/>
      <c r="AC182" s="375"/>
      <c r="AD182" s="375"/>
      <c r="AE182" s="375"/>
      <c r="AF182" s="375"/>
      <c r="AG182" s="375"/>
      <c r="AH182" s="375"/>
      <c r="AI182" s="375"/>
      <c r="AJ182" s="375"/>
      <c r="AK182" s="375"/>
      <c r="AL182" s="375"/>
      <c r="AM182" s="375"/>
      <c r="AN182" s="375"/>
      <c r="AO182" s="375"/>
      <c r="AP182" s="375"/>
      <c r="AQ182" s="375"/>
      <c r="AR182" s="375"/>
      <c r="AS182" s="375"/>
      <c r="AT182" s="375"/>
      <c r="AX182" s="57"/>
      <c r="CR182" s="58"/>
    </row>
    <row r="183" spans="1:96" ht="15" customHeight="1" x14ac:dyDescent="0.15">
      <c r="A183" s="56"/>
      <c r="B183" s="57"/>
      <c r="C183" s="375" t="s">
        <v>353</v>
      </c>
      <c r="D183" s="375"/>
      <c r="E183" s="375"/>
      <c r="F183" s="375"/>
      <c r="G183" s="375"/>
      <c r="H183" s="375"/>
      <c r="I183" s="375"/>
      <c r="J183" s="375"/>
      <c r="K183" s="375"/>
      <c r="L183" s="375"/>
      <c r="M183" s="375"/>
      <c r="N183" s="375"/>
      <c r="O183" s="375"/>
      <c r="P183" s="375"/>
      <c r="Q183" s="375"/>
      <c r="R183" s="375"/>
      <c r="S183" s="375"/>
      <c r="T183" s="375"/>
      <c r="U183" s="375"/>
      <c r="V183" s="375"/>
      <c r="W183" s="375"/>
      <c r="X183" s="375" t="s">
        <v>354</v>
      </c>
      <c r="Y183" s="375"/>
      <c r="Z183" s="375"/>
      <c r="AA183" s="375"/>
      <c r="AB183" s="375"/>
      <c r="AC183" s="375"/>
      <c r="AD183" s="375"/>
      <c r="AE183" s="375"/>
      <c r="AF183" s="375"/>
      <c r="AG183" s="375"/>
      <c r="AH183" s="375"/>
      <c r="AI183" s="375"/>
      <c r="AJ183" s="375"/>
      <c r="AK183" s="375"/>
      <c r="AL183" s="375"/>
      <c r="AM183" s="375"/>
      <c r="AN183" s="375"/>
      <c r="AO183" s="375"/>
      <c r="AP183" s="375"/>
      <c r="AQ183" s="375"/>
      <c r="AR183" s="375"/>
      <c r="AS183" s="375"/>
      <c r="AT183" s="375"/>
      <c r="AX183" s="57"/>
      <c r="CR183" s="58"/>
    </row>
    <row r="184" spans="1:96" ht="15" customHeight="1" x14ac:dyDescent="0.15">
      <c r="A184" s="56"/>
      <c r="B184" s="57"/>
      <c r="C184" s="375"/>
      <c r="D184" s="375"/>
      <c r="E184" s="375"/>
      <c r="F184" s="375"/>
      <c r="G184" s="375"/>
      <c r="H184" s="375"/>
      <c r="I184" s="375"/>
      <c r="J184" s="375"/>
      <c r="K184" s="375"/>
      <c r="L184" s="375"/>
      <c r="M184" s="375"/>
      <c r="N184" s="375"/>
      <c r="O184" s="375"/>
      <c r="P184" s="375"/>
      <c r="Q184" s="375"/>
      <c r="R184" s="375"/>
      <c r="S184" s="375"/>
      <c r="T184" s="375"/>
      <c r="U184" s="375"/>
      <c r="V184" s="375"/>
      <c r="W184" s="375"/>
      <c r="X184" s="375"/>
      <c r="Y184" s="375"/>
      <c r="Z184" s="375"/>
      <c r="AA184" s="375"/>
      <c r="AB184" s="375"/>
      <c r="AC184" s="375"/>
      <c r="AD184" s="375"/>
      <c r="AE184" s="375"/>
      <c r="AF184" s="375"/>
      <c r="AG184" s="375"/>
      <c r="AH184" s="375"/>
      <c r="AI184" s="375"/>
      <c r="AJ184" s="375"/>
      <c r="AK184" s="375"/>
      <c r="AL184" s="375"/>
      <c r="AM184" s="375"/>
      <c r="AN184" s="375"/>
      <c r="AO184" s="375"/>
      <c r="AP184" s="375"/>
      <c r="AQ184" s="375"/>
      <c r="AR184" s="375"/>
      <c r="AS184" s="375"/>
      <c r="AT184" s="375"/>
      <c r="AX184" s="57"/>
      <c r="CR184" s="58"/>
    </row>
    <row r="185" spans="1:96" ht="15" customHeight="1" x14ac:dyDescent="0.15">
      <c r="A185" s="56"/>
      <c r="B185" s="57"/>
      <c r="C185" s="57"/>
      <c r="D185" s="57"/>
      <c r="E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  <c r="AM185" s="57"/>
      <c r="AN185" s="57"/>
      <c r="AO185" s="57"/>
      <c r="AP185" s="57"/>
      <c r="AQ185" s="57"/>
      <c r="AR185" s="57"/>
      <c r="AS185" s="57"/>
      <c r="AT185" s="57"/>
      <c r="AU185" s="57"/>
      <c r="AV185" s="57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7"/>
      <c r="BS185" s="57"/>
      <c r="BT185" s="57"/>
      <c r="BU185" s="57"/>
      <c r="BV185" s="57"/>
      <c r="BW185" s="57"/>
      <c r="BX185" s="57"/>
      <c r="BY185" s="57"/>
      <c r="BZ185" s="57"/>
      <c r="CA185" s="57"/>
      <c r="CB185" s="57"/>
      <c r="CC185" s="57"/>
      <c r="CD185" s="57"/>
      <c r="CE185" s="57"/>
      <c r="CF185" s="57"/>
      <c r="CG185" s="57"/>
      <c r="CH185" s="57"/>
      <c r="CI185" s="57"/>
      <c r="CJ185" s="57"/>
      <c r="CK185" s="57"/>
      <c r="CL185" s="57"/>
      <c r="CM185" s="57"/>
      <c r="CN185" s="57"/>
      <c r="CO185" s="57"/>
      <c r="CP185" s="57"/>
      <c r="CQ185" s="57"/>
      <c r="CR185" s="58"/>
    </row>
    <row r="186" spans="1:96" ht="15" customHeight="1" x14ac:dyDescent="0.15">
      <c r="A186" s="56"/>
      <c r="B186" s="57" t="s">
        <v>233</v>
      </c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  <c r="AM186" s="57"/>
      <c r="AN186" s="57"/>
      <c r="AO186" s="57"/>
      <c r="AP186" s="57"/>
      <c r="AQ186" s="57"/>
      <c r="AR186" s="57"/>
      <c r="AS186" s="57"/>
      <c r="AT186" s="57"/>
      <c r="AU186" s="57"/>
      <c r="AV186" s="57"/>
      <c r="AW186" s="57"/>
      <c r="AX186" s="57"/>
      <c r="AY186" s="57"/>
      <c r="AZ186" s="57"/>
      <c r="BA186" s="57"/>
      <c r="BB186" s="57"/>
      <c r="BC186" s="57"/>
      <c r="BD186" s="57"/>
      <c r="BE186" s="57"/>
      <c r="BF186" s="57"/>
      <c r="BG186" s="57"/>
      <c r="BH186" s="57"/>
      <c r="BI186" s="57"/>
      <c r="BJ186" s="57"/>
      <c r="BK186" s="57"/>
      <c r="BL186" s="57"/>
      <c r="BM186" s="57"/>
      <c r="BN186" s="57"/>
      <c r="BO186" s="57"/>
      <c r="BP186" s="57"/>
      <c r="BQ186" s="57"/>
      <c r="BR186" s="57"/>
      <c r="BS186" s="57"/>
      <c r="BT186" s="57"/>
      <c r="BU186" s="57"/>
      <c r="BV186" s="57"/>
      <c r="BW186" s="57"/>
      <c r="BX186" s="57"/>
      <c r="BY186" s="57"/>
      <c r="BZ186" s="57"/>
      <c r="CA186" s="57"/>
      <c r="CB186" s="57"/>
      <c r="CC186" s="57"/>
      <c r="CD186" s="57"/>
      <c r="CE186" s="57"/>
      <c r="CF186" s="57"/>
      <c r="CG186" s="57"/>
      <c r="CH186" s="57"/>
      <c r="CI186" s="57"/>
      <c r="CJ186" s="57"/>
      <c r="CK186" s="57"/>
      <c r="CL186" s="57"/>
      <c r="CM186" s="57"/>
      <c r="CN186" s="57"/>
      <c r="CO186" s="57"/>
      <c r="CP186" s="57"/>
      <c r="CQ186" s="57"/>
      <c r="CR186" s="58"/>
    </row>
    <row r="187" spans="1:96" ht="15" customHeight="1" thickBot="1" x14ac:dyDescent="0.2">
      <c r="A187" s="67"/>
      <c r="B187" s="59" t="s">
        <v>231</v>
      </c>
      <c r="C187" s="59"/>
      <c r="D187" s="59"/>
      <c r="E187" s="59"/>
      <c r="F187" s="59"/>
      <c r="G187" s="59"/>
      <c r="H187" s="59"/>
      <c r="I187" s="59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9"/>
      <c r="U187" s="59"/>
      <c r="V187" s="59"/>
      <c r="W187" s="59" t="s">
        <v>226</v>
      </c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 t="s">
        <v>335</v>
      </c>
      <c r="AU187" s="59"/>
      <c r="AV187" s="59"/>
      <c r="AW187" s="59"/>
      <c r="AX187" s="59"/>
      <c r="AY187" s="59"/>
      <c r="AZ187" s="59"/>
      <c r="BA187" s="59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CR187" s="68"/>
    </row>
    <row r="188" spans="1:96" ht="15" customHeight="1" thickBot="1" x14ac:dyDescent="0.2">
      <c r="A188" s="67"/>
      <c r="B188" s="59"/>
      <c r="C188" s="242" t="s">
        <v>112</v>
      </c>
      <c r="D188" s="243"/>
      <c r="E188" s="243"/>
      <c r="F188" s="243"/>
      <c r="G188" s="243"/>
      <c r="H188" s="243"/>
      <c r="I188" s="244"/>
      <c r="J188" s="245"/>
      <c r="K188" s="246"/>
      <c r="L188" s="246"/>
      <c r="M188" s="246"/>
      <c r="N188" s="246"/>
      <c r="O188" s="246"/>
      <c r="P188" s="246"/>
      <c r="Q188" s="247"/>
      <c r="R188" s="65" t="s">
        <v>117</v>
      </c>
      <c r="S188" s="66"/>
      <c r="T188" s="59"/>
      <c r="U188" s="59"/>
      <c r="V188" s="59"/>
      <c r="W188" s="59"/>
      <c r="X188" s="242" t="s">
        <v>227</v>
      </c>
      <c r="Y188" s="243"/>
      <c r="Z188" s="243"/>
      <c r="AA188" s="243"/>
      <c r="AB188" s="243"/>
      <c r="AC188" s="243"/>
      <c r="AD188" s="244"/>
      <c r="AE188" s="332"/>
      <c r="AF188" s="333"/>
      <c r="AG188" s="333"/>
      <c r="AH188" s="333"/>
      <c r="AI188" s="333"/>
      <c r="AJ188" s="333"/>
      <c r="AK188" s="333"/>
      <c r="AL188" s="333"/>
      <c r="AM188" s="333"/>
      <c r="AN188" s="333"/>
      <c r="AO188" s="333"/>
      <c r="AP188" s="334"/>
      <c r="AQ188" s="65" t="s">
        <v>117</v>
      </c>
      <c r="AR188" s="66"/>
      <c r="AS188" s="59"/>
      <c r="AT188" s="59"/>
      <c r="AU188" s="242" t="s">
        <v>319</v>
      </c>
      <c r="AV188" s="243"/>
      <c r="AW188" s="243"/>
      <c r="AX188" s="243"/>
      <c r="AY188" s="243"/>
      <c r="AZ188" s="243"/>
      <c r="BA188" s="244"/>
      <c r="BB188" s="245"/>
      <c r="BC188" s="246"/>
      <c r="BD188" s="246"/>
      <c r="BE188" s="246"/>
      <c r="BF188" s="246"/>
      <c r="BG188" s="246"/>
      <c r="BH188" s="246"/>
      <c r="BI188" s="247"/>
      <c r="BJ188" s="65" t="s">
        <v>117</v>
      </c>
      <c r="BK188" s="66"/>
      <c r="BL188" s="57"/>
      <c r="BM188" s="57"/>
      <c r="BN188" s="57"/>
      <c r="CR188" s="68"/>
    </row>
    <row r="189" spans="1:96" ht="15" customHeight="1" x14ac:dyDescent="0.15">
      <c r="A189" s="67"/>
      <c r="B189" s="59"/>
      <c r="C189" s="59"/>
      <c r="D189" s="59"/>
      <c r="E189" s="59"/>
      <c r="F189" s="59"/>
      <c r="G189" s="59"/>
      <c r="H189" s="57"/>
      <c r="I189" s="57"/>
      <c r="J189" s="83" t="s">
        <v>221</v>
      </c>
      <c r="K189" s="84"/>
      <c r="L189" s="84"/>
      <c r="M189" s="84"/>
      <c r="N189" s="84"/>
      <c r="O189" s="84"/>
      <c r="P189" s="84"/>
      <c r="Q189" s="85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83" t="s">
        <v>171</v>
      </c>
      <c r="AF189" s="91"/>
      <c r="AG189" s="91"/>
      <c r="AH189" s="91"/>
      <c r="AI189" s="91"/>
      <c r="AJ189" s="91"/>
      <c r="AK189" s="91"/>
      <c r="AL189" s="91"/>
      <c r="AM189" s="91"/>
      <c r="AN189" s="91"/>
      <c r="AO189" s="91"/>
      <c r="AP189" s="92"/>
      <c r="AQ189" s="59"/>
      <c r="AR189" s="59"/>
      <c r="AS189" s="59"/>
      <c r="AT189" s="59"/>
      <c r="AU189" s="59"/>
      <c r="AV189" s="59"/>
      <c r="AW189" s="59"/>
      <c r="AX189" s="59"/>
      <c r="AY189" s="59"/>
      <c r="AZ189" s="57"/>
      <c r="BA189" s="57"/>
      <c r="BB189" s="83" t="s">
        <v>336</v>
      </c>
      <c r="BC189" s="84"/>
      <c r="BD189" s="84"/>
      <c r="BE189" s="84"/>
      <c r="BF189" s="84"/>
      <c r="BG189" s="84"/>
      <c r="BH189" s="84"/>
      <c r="BI189" s="85"/>
      <c r="BJ189" s="59"/>
      <c r="BK189" s="59"/>
      <c r="BL189" s="57"/>
      <c r="BM189" s="57"/>
      <c r="BN189" s="57"/>
      <c r="CR189" s="68"/>
    </row>
    <row r="190" spans="1:96" ht="15" customHeight="1" x14ac:dyDescent="0.15">
      <c r="A190" s="67"/>
      <c r="B190" s="59"/>
      <c r="C190" s="59"/>
      <c r="D190" s="59"/>
      <c r="E190" s="59"/>
      <c r="F190" s="59"/>
      <c r="G190" s="59"/>
      <c r="H190" s="57"/>
      <c r="I190" s="57"/>
      <c r="J190" s="86" t="s">
        <v>222</v>
      </c>
      <c r="K190" s="87"/>
      <c r="L190" s="87"/>
      <c r="M190" s="87"/>
      <c r="N190" s="87"/>
      <c r="O190" s="87"/>
      <c r="P190" s="87"/>
      <c r="Q190" s="88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86" t="s">
        <v>172</v>
      </c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4"/>
      <c r="AQ190" s="59"/>
      <c r="AR190" s="59"/>
      <c r="AS190" s="59"/>
      <c r="AT190" s="59"/>
      <c r="AU190" s="59"/>
      <c r="AV190" s="59"/>
      <c r="AW190" s="59"/>
      <c r="AX190" s="59"/>
      <c r="AY190" s="59"/>
      <c r="AZ190" s="57"/>
      <c r="BA190" s="57"/>
      <c r="BB190" s="86" t="s">
        <v>337</v>
      </c>
      <c r="BC190" s="87"/>
      <c r="BD190" s="87"/>
      <c r="BE190" s="87"/>
      <c r="BF190" s="87"/>
      <c r="BG190" s="87"/>
      <c r="BH190" s="87"/>
      <c r="BI190" s="88"/>
      <c r="BJ190" s="59"/>
      <c r="BK190" s="59"/>
      <c r="BL190" s="57"/>
      <c r="BM190" s="57"/>
      <c r="BN190" s="57"/>
      <c r="CR190" s="68"/>
    </row>
    <row r="191" spans="1:96" ht="15" customHeight="1" x14ac:dyDescent="0.15">
      <c r="A191" s="67"/>
      <c r="B191" s="59"/>
      <c r="C191" s="59"/>
      <c r="D191" s="59"/>
      <c r="E191" s="59"/>
      <c r="F191" s="59"/>
      <c r="G191" s="59"/>
      <c r="H191" s="57"/>
      <c r="I191" s="57"/>
      <c r="J191" s="86" t="s">
        <v>334</v>
      </c>
      <c r="K191" s="87"/>
      <c r="L191" s="87"/>
      <c r="M191" s="87"/>
      <c r="N191" s="87"/>
      <c r="O191" s="87"/>
      <c r="P191" s="87"/>
      <c r="Q191" s="88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86" t="s">
        <v>173</v>
      </c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4"/>
      <c r="AQ191" s="59"/>
      <c r="AR191" s="59"/>
      <c r="AS191" s="59"/>
      <c r="CR191" s="68"/>
    </row>
    <row r="192" spans="1:96" ht="15" customHeight="1" x14ac:dyDescent="0.15">
      <c r="A192" s="67"/>
      <c r="B192" s="59"/>
      <c r="C192" s="59"/>
      <c r="D192" s="59"/>
      <c r="E192" s="59"/>
      <c r="F192" s="59"/>
      <c r="G192" s="59"/>
      <c r="H192" s="59"/>
      <c r="I192" s="59"/>
      <c r="J192" s="86" t="s">
        <v>228</v>
      </c>
      <c r="K192" s="87"/>
      <c r="L192" s="87"/>
      <c r="M192" s="87"/>
      <c r="N192" s="87"/>
      <c r="O192" s="87"/>
      <c r="P192" s="87"/>
      <c r="Q192" s="88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86" t="s">
        <v>174</v>
      </c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4"/>
      <c r="AQ192" s="59"/>
      <c r="AR192" s="59"/>
      <c r="AS192" s="59"/>
      <c r="CR192" s="68"/>
    </row>
    <row r="193" spans="1:96" ht="15" customHeight="1" x14ac:dyDescent="0.15">
      <c r="A193" s="67"/>
      <c r="C193" s="59"/>
      <c r="D193" s="59"/>
      <c r="E193" s="59"/>
      <c r="F193" s="59"/>
      <c r="G193" s="59"/>
      <c r="H193" s="59"/>
      <c r="I193" s="59"/>
      <c r="J193" s="57"/>
      <c r="K193" s="57"/>
      <c r="L193" s="57"/>
      <c r="M193" s="57"/>
      <c r="N193" s="57"/>
      <c r="O193" s="57"/>
      <c r="P193" s="59"/>
      <c r="Q193" s="59"/>
      <c r="R193" s="59"/>
      <c r="S193" s="59"/>
      <c r="T193" s="59"/>
      <c r="U193" s="59"/>
      <c r="V193" s="59"/>
      <c r="W193" s="57"/>
      <c r="X193" s="57"/>
      <c r="Y193" s="57"/>
      <c r="Z193" s="57"/>
      <c r="AA193" s="57"/>
      <c r="AB193" s="57"/>
      <c r="AC193" s="57"/>
      <c r="AD193" s="57"/>
      <c r="AE193" s="81" t="s">
        <v>175</v>
      </c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95"/>
      <c r="AQ193" s="57"/>
      <c r="AR193" s="57"/>
      <c r="AS193" s="59"/>
      <c r="CR193" s="68"/>
    </row>
    <row r="194" spans="1:96" ht="15" customHeight="1" thickBot="1" x14ac:dyDescent="0.2">
      <c r="A194" s="67"/>
      <c r="B194" s="59" t="s">
        <v>223</v>
      </c>
      <c r="P194" s="59"/>
      <c r="Q194" s="59"/>
      <c r="R194" s="59"/>
      <c r="S194" s="59"/>
      <c r="T194" s="59"/>
      <c r="U194" s="59"/>
      <c r="V194" s="59"/>
      <c r="W194" s="57"/>
      <c r="X194" s="57"/>
      <c r="Y194" s="57"/>
      <c r="Z194" s="57"/>
      <c r="AA194" s="57"/>
      <c r="AB194" s="57"/>
      <c r="AC194" s="57"/>
      <c r="AD194" s="57"/>
      <c r="AE194" s="81" t="s">
        <v>176</v>
      </c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95"/>
      <c r="AQ194" s="57"/>
      <c r="AR194" s="57"/>
      <c r="AS194" s="59"/>
      <c r="CR194" s="68"/>
    </row>
    <row r="195" spans="1:96" ht="15" customHeight="1" thickBot="1" x14ac:dyDescent="0.2">
      <c r="A195" s="67"/>
      <c r="B195" s="59"/>
      <c r="C195" s="242" t="s">
        <v>68</v>
      </c>
      <c r="D195" s="243"/>
      <c r="E195" s="243"/>
      <c r="F195" s="243"/>
      <c r="G195" s="243"/>
      <c r="H195" s="243"/>
      <c r="I195" s="244"/>
      <c r="J195" s="96"/>
      <c r="K195" s="97"/>
      <c r="L195" s="97"/>
      <c r="M195" s="97"/>
      <c r="N195" s="65" t="s">
        <v>117</v>
      </c>
      <c r="O195" s="66"/>
      <c r="P195" s="59"/>
      <c r="Q195" s="59"/>
      <c r="R195" s="59"/>
      <c r="S195" s="59"/>
      <c r="T195" s="59"/>
      <c r="U195" s="59"/>
      <c r="V195" s="59"/>
      <c r="W195" s="57"/>
      <c r="X195" s="57"/>
      <c r="Y195" s="57"/>
      <c r="Z195" s="57"/>
      <c r="AA195" s="57"/>
      <c r="AB195" s="57"/>
      <c r="AC195" s="57"/>
      <c r="AD195" s="57"/>
      <c r="AE195" s="81" t="s">
        <v>177</v>
      </c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95"/>
      <c r="AQ195" s="57"/>
      <c r="AR195" s="57"/>
      <c r="AS195" s="59"/>
      <c r="CR195" s="68"/>
    </row>
    <row r="196" spans="1:96" ht="15" customHeight="1" x14ac:dyDescent="0.15">
      <c r="A196" s="67"/>
      <c r="B196" s="59"/>
      <c r="C196" s="59"/>
      <c r="D196" s="59"/>
      <c r="E196" s="59"/>
      <c r="F196" s="59"/>
      <c r="G196" s="59"/>
      <c r="H196" s="57"/>
      <c r="I196" s="57"/>
      <c r="J196" s="83" t="s">
        <v>224</v>
      </c>
      <c r="K196" s="84"/>
      <c r="L196" s="84"/>
      <c r="M196" s="85"/>
      <c r="N196" s="59"/>
      <c r="O196" s="59"/>
      <c r="P196" s="59"/>
      <c r="Q196" s="59"/>
      <c r="R196" s="59"/>
      <c r="S196" s="59"/>
      <c r="T196" s="59"/>
      <c r="U196" s="59"/>
      <c r="V196" s="59"/>
      <c r="W196" s="57"/>
      <c r="X196" s="57"/>
      <c r="Y196" s="57"/>
      <c r="Z196" s="57"/>
      <c r="AA196" s="57"/>
      <c r="AB196" s="57"/>
      <c r="AC196" s="57"/>
      <c r="AD196" s="57"/>
      <c r="AE196" s="81" t="s">
        <v>178</v>
      </c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95"/>
      <c r="AQ196" s="57"/>
      <c r="AR196" s="57"/>
      <c r="AS196" s="59"/>
      <c r="CR196" s="68"/>
    </row>
    <row r="197" spans="1:96" ht="15" customHeight="1" x14ac:dyDescent="0.15">
      <c r="A197" s="67"/>
      <c r="B197" s="59"/>
      <c r="C197" s="59"/>
      <c r="D197" s="59"/>
      <c r="E197" s="59"/>
      <c r="F197" s="59"/>
      <c r="G197" s="59"/>
      <c r="H197" s="59"/>
      <c r="I197" s="59"/>
      <c r="J197" s="86" t="s">
        <v>225</v>
      </c>
      <c r="K197" s="87"/>
      <c r="L197" s="87"/>
      <c r="M197" s="88"/>
      <c r="N197" s="59"/>
      <c r="O197" s="59"/>
      <c r="P197" s="59"/>
      <c r="Q197" s="59"/>
      <c r="R197" s="59"/>
      <c r="S197" s="59"/>
      <c r="T197" s="59"/>
      <c r="U197" s="59"/>
      <c r="V197" s="59"/>
      <c r="W197" s="57"/>
      <c r="X197" s="57"/>
      <c r="Y197" s="57"/>
      <c r="Z197" s="57"/>
      <c r="AA197" s="57"/>
      <c r="AB197" s="57"/>
      <c r="AC197" s="57"/>
      <c r="AD197" s="57"/>
      <c r="AE197" s="57" t="s">
        <v>240</v>
      </c>
      <c r="AF197" s="57"/>
      <c r="AG197" s="57"/>
      <c r="AH197" s="57"/>
      <c r="AI197" s="57"/>
      <c r="AJ197" s="57"/>
      <c r="AK197" s="57"/>
      <c r="AL197" s="57"/>
      <c r="AM197" s="57"/>
      <c r="AN197" s="57"/>
      <c r="AO197" s="57"/>
      <c r="AP197" s="57"/>
      <c r="AQ197" s="57"/>
      <c r="AR197" s="57"/>
      <c r="AS197" s="57"/>
      <c r="CR197" s="68"/>
    </row>
    <row r="198" spans="1:96" ht="15" customHeight="1" x14ac:dyDescent="0.15">
      <c r="A198" s="67"/>
      <c r="T198" s="59"/>
      <c r="U198" s="59"/>
      <c r="V198" s="59"/>
      <c r="W198" s="59"/>
      <c r="X198" s="59"/>
      <c r="Y198" s="59"/>
      <c r="Z198" s="59"/>
      <c r="AA198" s="57"/>
      <c r="AB198" s="59"/>
      <c r="AC198" s="59"/>
      <c r="AD198" s="59"/>
      <c r="AE198" s="59" t="s">
        <v>240</v>
      </c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7"/>
      <c r="AR198" s="57"/>
      <c r="AS198" s="57"/>
      <c r="CR198" s="68"/>
    </row>
    <row r="199" spans="1:96" ht="15" customHeight="1" x14ac:dyDescent="0.15">
      <c r="A199" s="67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 t="s">
        <v>240</v>
      </c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CR199" s="68"/>
    </row>
    <row r="200" spans="1:96" ht="15" customHeight="1" x14ac:dyDescent="0.15">
      <c r="A200" s="6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  <c r="AM200" s="57"/>
      <c r="AN200" s="57"/>
      <c r="AO200" s="57"/>
      <c r="AP200" s="57"/>
      <c r="AQ200" s="57"/>
      <c r="AR200" s="57"/>
      <c r="AS200" s="57"/>
      <c r="CR200" s="68"/>
    </row>
    <row r="201" spans="1:96" ht="15" customHeight="1" thickBot="1" x14ac:dyDescent="0.2">
      <c r="A201" s="67"/>
      <c r="C201" s="17" t="s">
        <v>255</v>
      </c>
      <c r="S201" s="57"/>
      <c r="CR201" s="68"/>
    </row>
    <row r="202" spans="1:96" ht="15" customHeight="1" thickBot="1" x14ac:dyDescent="0.2">
      <c r="A202" s="67"/>
      <c r="D202" s="242" t="s">
        <v>191</v>
      </c>
      <c r="E202" s="243"/>
      <c r="F202" s="243"/>
      <c r="G202" s="243"/>
      <c r="H202" s="243"/>
      <c r="I202" s="243"/>
      <c r="J202" s="244"/>
      <c r="K202" s="251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2"/>
      <c r="X202" s="252"/>
      <c r="Y202" s="253"/>
      <c r="Z202" s="65" t="s">
        <v>117</v>
      </c>
      <c r="AA202" s="66"/>
      <c r="CR202" s="68"/>
    </row>
    <row r="203" spans="1:96" ht="15" customHeight="1" x14ac:dyDescent="0.15">
      <c r="A203" s="67"/>
      <c r="D203" s="59"/>
      <c r="E203" s="59"/>
      <c r="F203" s="59"/>
      <c r="G203" s="59"/>
      <c r="H203" s="57"/>
      <c r="I203" s="57"/>
      <c r="J203" s="59"/>
      <c r="K203" s="79" t="s">
        <v>256</v>
      </c>
      <c r="L203" s="80"/>
      <c r="M203" s="73"/>
      <c r="N203" s="73"/>
      <c r="O203" s="73"/>
      <c r="P203" s="74"/>
      <c r="Q203" s="74"/>
      <c r="R203" s="74"/>
      <c r="S203" s="74"/>
      <c r="T203" s="74"/>
      <c r="U203" s="74"/>
      <c r="V203" s="74"/>
      <c r="W203" s="74"/>
      <c r="X203" s="74"/>
      <c r="Y203" s="75"/>
      <c r="Z203" s="57"/>
      <c r="AA203" s="57"/>
      <c r="CR203" s="68"/>
    </row>
    <row r="204" spans="1:96" ht="15" customHeight="1" x14ac:dyDescent="0.15">
      <c r="A204" s="67"/>
      <c r="D204" s="59"/>
      <c r="E204" s="59"/>
      <c r="F204" s="59"/>
      <c r="G204" s="59"/>
      <c r="H204" s="57"/>
      <c r="I204" s="57"/>
      <c r="J204" s="59"/>
      <c r="K204" s="81" t="s">
        <v>257</v>
      </c>
      <c r="L204" s="82"/>
      <c r="M204" s="76"/>
      <c r="N204" s="76"/>
      <c r="O204" s="76"/>
      <c r="P204" s="77"/>
      <c r="Q204" s="77"/>
      <c r="R204" s="77"/>
      <c r="S204" s="77"/>
      <c r="T204" s="77"/>
      <c r="U204" s="77"/>
      <c r="V204" s="77"/>
      <c r="W204" s="77"/>
      <c r="X204" s="77"/>
      <c r="Y204" s="78"/>
      <c r="Z204" s="57"/>
      <c r="AA204" s="57"/>
      <c r="CR204" s="68"/>
    </row>
    <row r="205" spans="1:96" ht="15" customHeight="1" x14ac:dyDescent="0.15">
      <c r="A205" s="67"/>
      <c r="C205" s="57"/>
      <c r="D205" s="59"/>
      <c r="E205" s="59"/>
      <c r="F205" s="59"/>
      <c r="G205" s="59"/>
      <c r="H205" s="57"/>
      <c r="I205" s="57"/>
      <c r="J205" s="59"/>
      <c r="K205" s="81" t="s">
        <v>258</v>
      </c>
      <c r="L205" s="82"/>
      <c r="M205" s="76"/>
      <c r="N205" s="76"/>
      <c r="O205" s="76"/>
      <c r="P205" s="77"/>
      <c r="Q205" s="77"/>
      <c r="R205" s="77"/>
      <c r="S205" s="77"/>
      <c r="T205" s="77"/>
      <c r="U205" s="77"/>
      <c r="V205" s="77"/>
      <c r="W205" s="77"/>
      <c r="X205" s="77"/>
      <c r="Y205" s="78"/>
      <c r="Z205" s="57"/>
      <c r="AA205" s="57"/>
      <c r="CR205" s="68"/>
    </row>
    <row r="206" spans="1:96" ht="15" customHeight="1" x14ac:dyDescent="0.15">
      <c r="A206" s="67"/>
      <c r="D206" s="59"/>
      <c r="E206" s="59"/>
      <c r="F206" s="59"/>
      <c r="G206" s="59"/>
      <c r="H206" s="57"/>
      <c r="I206" s="57"/>
      <c r="J206" s="59"/>
      <c r="K206" s="81" t="s">
        <v>259</v>
      </c>
      <c r="L206" s="82"/>
      <c r="M206" s="76"/>
      <c r="N206" s="76"/>
      <c r="O206" s="76"/>
      <c r="P206" s="77"/>
      <c r="Q206" s="77"/>
      <c r="R206" s="77"/>
      <c r="S206" s="77"/>
      <c r="T206" s="77"/>
      <c r="U206" s="77"/>
      <c r="V206" s="77"/>
      <c r="W206" s="77"/>
      <c r="X206" s="77"/>
      <c r="Y206" s="78"/>
      <c r="Z206" s="57"/>
      <c r="AA206" s="57"/>
      <c r="CR206" s="68"/>
    </row>
    <row r="207" spans="1:96" ht="15" customHeight="1" x14ac:dyDescent="0.15">
      <c r="A207" s="67"/>
      <c r="K207" s="57" t="s">
        <v>60</v>
      </c>
      <c r="CR207" s="68"/>
    </row>
    <row r="208" spans="1:96" ht="15" customHeight="1" x14ac:dyDescent="0.15">
      <c r="A208" s="67"/>
      <c r="K208" s="59" t="s">
        <v>60</v>
      </c>
      <c r="CR208" s="68"/>
    </row>
    <row r="209" spans="1:96" ht="15" customHeight="1" x14ac:dyDescent="0.15">
      <c r="A209" s="67"/>
      <c r="K209" s="59" t="s">
        <v>60</v>
      </c>
      <c r="CR209" s="68"/>
    </row>
    <row r="210" spans="1:96" ht="15" customHeight="1" x14ac:dyDescent="0.15">
      <c r="A210" s="67"/>
      <c r="CR210" s="68"/>
    </row>
    <row r="211" spans="1:96" ht="15" customHeight="1" thickBot="1" x14ac:dyDescent="0.2">
      <c r="A211" s="67"/>
      <c r="C211" s="17" t="s">
        <v>241</v>
      </c>
      <c r="I211" s="17" t="s">
        <v>260</v>
      </c>
      <c r="S211" s="57"/>
      <c r="AC211" s="59" t="s">
        <v>207</v>
      </c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V211" s="59" t="s">
        <v>214</v>
      </c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  <c r="BQ211" s="59"/>
      <c r="CR211" s="68"/>
    </row>
    <row r="212" spans="1:96" ht="15" customHeight="1" thickBot="1" x14ac:dyDescent="0.2">
      <c r="A212" s="67"/>
      <c r="D212" s="242" t="s">
        <v>190</v>
      </c>
      <c r="E212" s="243"/>
      <c r="F212" s="243"/>
      <c r="G212" s="243"/>
      <c r="H212" s="243"/>
      <c r="I212" s="243"/>
      <c r="J212" s="244"/>
      <c r="K212" s="251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2"/>
      <c r="X212" s="252"/>
      <c r="Y212" s="253"/>
      <c r="Z212" s="65" t="s">
        <v>117</v>
      </c>
      <c r="AA212" s="66"/>
      <c r="AC212" s="59"/>
      <c r="AD212" s="242" t="s">
        <v>208</v>
      </c>
      <c r="AE212" s="243"/>
      <c r="AF212" s="243"/>
      <c r="AG212" s="243"/>
      <c r="AH212" s="243"/>
      <c r="AI212" s="243"/>
      <c r="AJ212" s="244"/>
      <c r="AK212" s="245"/>
      <c r="AL212" s="246"/>
      <c r="AM212" s="246"/>
      <c r="AN212" s="246"/>
      <c r="AO212" s="246"/>
      <c r="AP212" s="246"/>
      <c r="AQ212" s="246"/>
      <c r="AR212" s="247"/>
      <c r="AS212" s="65" t="s">
        <v>117</v>
      </c>
      <c r="AT212" s="66"/>
      <c r="AV212" s="59"/>
      <c r="AW212" s="242" t="s">
        <v>104</v>
      </c>
      <c r="AX212" s="243"/>
      <c r="AY212" s="243"/>
      <c r="AZ212" s="243"/>
      <c r="BA212" s="243"/>
      <c r="BB212" s="243"/>
      <c r="BC212" s="244"/>
      <c r="BD212" s="332"/>
      <c r="BE212" s="333"/>
      <c r="BF212" s="333"/>
      <c r="BG212" s="333"/>
      <c r="BH212" s="333"/>
      <c r="BI212" s="333"/>
      <c r="BJ212" s="333"/>
      <c r="BK212" s="333"/>
      <c r="BL212" s="333"/>
      <c r="BM212" s="333"/>
      <c r="BN212" s="333"/>
      <c r="BO212" s="334"/>
      <c r="BP212" s="65" t="s">
        <v>117</v>
      </c>
      <c r="BQ212" s="66"/>
      <c r="BT212" s="59"/>
      <c r="CR212" s="68"/>
    </row>
    <row r="213" spans="1:96" ht="15" customHeight="1" x14ac:dyDescent="0.15">
      <c r="A213" s="67"/>
      <c r="D213" s="59"/>
      <c r="E213" s="59"/>
      <c r="F213" s="59"/>
      <c r="G213" s="59"/>
      <c r="H213" s="57"/>
      <c r="I213" s="57"/>
      <c r="J213" s="59"/>
      <c r="K213" s="79" t="s">
        <v>201</v>
      </c>
      <c r="L213" s="80"/>
      <c r="M213" s="73"/>
      <c r="N213" s="73"/>
      <c r="O213" s="73"/>
      <c r="P213" s="74"/>
      <c r="Q213" s="74"/>
      <c r="R213" s="74"/>
      <c r="S213" s="74"/>
      <c r="T213" s="74"/>
      <c r="U213" s="74"/>
      <c r="V213" s="74"/>
      <c r="W213" s="74"/>
      <c r="X213" s="74"/>
      <c r="Y213" s="75"/>
      <c r="Z213" s="57"/>
      <c r="AA213" s="57"/>
      <c r="AC213" s="59"/>
      <c r="AD213" s="59"/>
      <c r="AE213" s="59"/>
      <c r="AF213" s="59"/>
      <c r="AG213" s="59"/>
      <c r="AH213" s="59"/>
      <c r="AI213" s="59"/>
      <c r="AJ213" s="59"/>
      <c r="AK213" s="83" t="s">
        <v>209</v>
      </c>
      <c r="AL213" s="84"/>
      <c r="AM213" s="84"/>
      <c r="AN213" s="84"/>
      <c r="AO213" s="84"/>
      <c r="AP213" s="84"/>
      <c r="AQ213" s="84"/>
      <c r="AR213" s="85"/>
      <c r="AS213" s="59"/>
      <c r="AT213" s="59"/>
      <c r="AV213" s="59"/>
      <c r="AW213" s="59"/>
      <c r="AX213" s="59"/>
      <c r="AY213" s="59"/>
      <c r="AZ213" s="59"/>
      <c r="BA213" s="59"/>
      <c r="BB213" s="59"/>
      <c r="BC213" s="59"/>
      <c r="BD213" s="83" t="s">
        <v>215</v>
      </c>
      <c r="BE213" s="91"/>
      <c r="BF213" s="91"/>
      <c r="BG213" s="91"/>
      <c r="BH213" s="91"/>
      <c r="BI213" s="91"/>
      <c r="BJ213" s="91"/>
      <c r="BK213" s="91"/>
      <c r="BL213" s="91"/>
      <c r="BM213" s="91"/>
      <c r="BN213" s="91"/>
      <c r="BO213" s="92"/>
      <c r="BP213" s="59"/>
      <c r="BQ213" s="59"/>
      <c r="BT213" s="59"/>
      <c r="CR213" s="68"/>
    </row>
    <row r="214" spans="1:96" ht="15" customHeight="1" x14ac:dyDescent="0.15">
      <c r="A214" s="67"/>
      <c r="D214" s="59"/>
      <c r="E214" s="59"/>
      <c r="F214" s="59"/>
      <c r="G214" s="59"/>
      <c r="H214" s="57"/>
      <c r="I214" s="57"/>
      <c r="J214" s="59"/>
      <c r="K214" s="81" t="s">
        <v>202</v>
      </c>
      <c r="L214" s="82"/>
      <c r="M214" s="76"/>
      <c r="N214" s="76"/>
      <c r="O214" s="76"/>
      <c r="P214" s="77"/>
      <c r="Q214" s="77"/>
      <c r="R214" s="77"/>
      <c r="S214" s="77"/>
      <c r="T214" s="77"/>
      <c r="U214" s="77"/>
      <c r="V214" s="77"/>
      <c r="W214" s="77"/>
      <c r="X214" s="77"/>
      <c r="Y214" s="78"/>
      <c r="Z214" s="57"/>
      <c r="AA214" s="57"/>
      <c r="AC214" s="59"/>
      <c r="AD214" s="59"/>
      <c r="AE214" s="59"/>
      <c r="AF214" s="59"/>
      <c r="AG214" s="59"/>
      <c r="AH214" s="59"/>
      <c r="AI214" s="59"/>
      <c r="AJ214" s="59"/>
      <c r="AK214" s="86" t="s">
        <v>210</v>
      </c>
      <c r="AL214" s="87"/>
      <c r="AM214" s="87"/>
      <c r="AN214" s="87"/>
      <c r="AO214" s="87"/>
      <c r="AP214" s="87"/>
      <c r="AQ214" s="87"/>
      <c r="AR214" s="88"/>
      <c r="AS214" s="59"/>
      <c r="AT214" s="59"/>
      <c r="AV214" s="59"/>
      <c r="AW214" s="59"/>
      <c r="AX214" s="59"/>
      <c r="AY214" s="59"/>
      <c r="AZ214" s="59"/>
      <c r="BA214" s="59"/>
      <c r="BB214" s="59"/>
      <c r="BC214" s="59"/>
      <c r="BD214" s="86" t="s">
        <v>216</v>
      </c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4"/>
      <c r="BP214" s="59"/>
      <c r="BQ214" s="59"/>
      <c r="BT214" s="59"/>
      <c r="CR214" s="68"/>
    </row>
    <row r="215" spans="1:96" ht="15" customHeight="1" x14ac:dyDescent="0.15">
      <c r="A215" s="67"/>
      <c r="C215" s="57"/>
      <c r="D215" s="59"/>
      <c r="E215" s="59"/>
      <c r="F215" s="59"/>
      <c r="G215" s="59"/>
      <c r="H215" s="57"/>
      <c r="I215" s="57"/>
      <c r="J215" s="59"/>
      <c r="K215" s="81" t="s">
        <v>203</v>
      </c>
      <c r="L215" s="82"/>
      <c r="M215" s="76"/>
      <c r="N215" s="76"/>
      <c r="O215" s="76"/>
      <c r="P215" s="77"/>
      <c r="Q215" s="77"/>
      <c r="R215" s="77"/>
      <c r="S215" s="77"/>
      <c r="T215" s="77"/>
      <c r="U215" s="77"/>
      <c r="V215" s="77"/>
      <c r="W215" s="77"/>
      <c r="X215" s="77"/>
      <c r="Y215" s="78"/>
      <c r="Z215" s="57"/>
      <c r="AA215" s="57"/>
      <c r="AC215" s="59"/>
      <c r="AD215" s="59"/>
      <c r="AE215" s="59"/>
      <c r="AF215" s="59"/>
      <c r="AG215" s="59"/>
      <c r="AH215" s="59"/>
      <c r="AI215" s="59"/>
      <c r="AJ215" s="59"/>
      <c r="AK215" s="86" t="s">
        <v>211</v>
      </c>
      <c r="AL215" s="87"/>
      <c r="AM215" s="87"/>
      <c r="AN215" s="87"/>
      <c r="AO215" s="87"/>
      <c r="AP215" s="87"/>
      <c r="AQ215" s="87"/>
      <c r="AR215" s="88"/>
      <c r="AS215" s="59"/>
      <c r="AT215" s="59"/>
      <c r="AV215" s="59"/>
      <c r="AW215" s="59"/>
      <c r="AX215" s="59"/>
      <c r="AY215" s="59"/>
      <c r="AZ215" s="59"/>
      <c r="BA215" s="59"/>
      <c r="BB215" s="59"/>
      <c r="BC215" s="59"/>
      <c r="BD215" s="86" t="s">
        <v>217</v>
      </c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4"/>
      <c r="BP215" s="59"/>
      <c r="BQ215" s="59"/>
      <c r="BT215" s="59"/>
      <c r="CR215" s="68"/>
    </row>
    <row r="216" spans="1:96" ht="15" customHeight="1" x14ac:dyDescent="0.15">
      <c r="A216" s="67"/>
      <c r="D216" s="59"/>
      <c r="E216" s="59"/>
      <c r="F216" s="59"/>
      <c r="G216" s="59"/>
      <c r="H216" s="57"/>
      <c r="I216" s="57"/>
      <c r="J216" s="59"/>
      <c r="K216" s="81" t="s">
        <v>204</v>
      </c>
      <c r="L216" s="82"/>
      <c r="M216" s="76"/>
      <c r="N216" s="76"/>
      <c r="O216" s="76"/>
      <c r="P216" s="77"/>
      <c r="Q216" s="77"/>
      <c r="R216" s="77"/>
      <c r="S216" s="77"/>
      <c r="T216" s="77"/>
      <c r="U216" s="77"/>
      <c r="V216" s="77"/>
      <c r="W216" s="77"/>
      <c r="X216" s="77"/>
      <c r="Y216" s="78"/>
      <c r="Z216" s="57"/>
      <c r="AA216" s="57"/>
      <c r="AC216" s="59"/>
      <c r="AD216" s="59"/>
      <c r="AE216" s="59"/>
      <c r="AF216" s="59"/>
      <c r="AG216" s="59"/>
      <c r="AH216" s="59"/>
      <c r="AI216" s="59"/>
      <c r="AJ216" s="59"/>
      <c r="AK216" s="86" t="s">
        <v>212</v>
      </c>
      <c r="AL216" s="87"/>
      <c r="AM216" s="87"/>
      <c r="AN216" s="87"/>
      <c r="AO216" s="87"/>
      <c r="AP216" s="87"/>
      <c r="AQ216" s="87"/>
      <c r="AR216" s="88"/>
      <c r="AS216" s="59"/>
      <c r="AT216" s="59"/>
      <c r="AV216" s="59"/>
      <c r="AW216" s="59"/>
      <c r="AX216" s="59"/>
      <c r="AY216" s="59"/>
      <c r="AZ216" s="59"/>
      <c r="BA216" s="59"/>
      <c r="BB216" s="59"/>
      <c r="BC216" s="59"/>
      <c r="BD216" s="86" t="s">
        <v>218</v>
      </c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4"/>
      <c r="BP216" s="59"/>
      <c r="BQ216" s="59"/>
      <c r="BT216" s="57"/>
      <c r="CR216" s="68"/>
    </row>
    <row r="217" spans="1:96" ht="15" customHeight="1" x14ac:dyDescent="0.15">
      <c r="A217" s="67"/>
      <c r="AC217" s="57"/>
      <c r="AD217" s="57"/>
      <c r="AE217" s="57"/>
      <c r="AF217" s="57"/>
      <c r="AG217" s="57"/>
      <c r="AH217" s="57"/>
      <c r="AI217" s="57"/>
      <c r="AJ217" s="57"/>
      <c r="AK217" s="81" t="s">
        <v>213</v>
      </c>
      <c r="AL217" s="89"/>
      <c r="AM217" s="89"/>
      <c r="AN217" s="89"/>
      <c r="AO217" s="89"/>
      <c r="AP217" s="89"/>
      <c r="AQ217" s="89"/>
      <c r="AR217" s="90"/>
      <c r="AS217" s="57"/>
      <c r="AT217" s="57"/>
      <c r="AV217" s="57"/>
      <c r="AW217" s="57"/>
      <c r="AX217" s="57"/>
      <c r="AY217" s="57"/>
      <c r="AZ217" s="57"/>
      <c r="BA217" s="57"/>
      <c r="BB217" s="57"/>
      <c r="BC217" s="57"/>
      <c r="BD217" s="81" t="s">
        <v>219</v>
      </c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95"/>
      <c r="BP217" s="57"/>
      <c r="BQ217" s="57"/>
      <c r="BT217" s="57"/>
      <c r="CR217" s="68"/>
    </row>
    <row r="218" spans="1:96" ht="15" customHeight="1" x14ac:dyDescent="0.15">
      <c r="A218" s="67"/>
      <c r="AV218" s="57"/>
      <c r="AW218" s="57"/>
      <c r="AX218" s="57"/>
      <c r="AY218" s="57"/>
      <c r="AZ218" s="57"/>
      <c r="BA218" s="57"/>
      <c r="BB218" s="57"/>
      <c r="BC218" s="57"/>
      <c r="BD218" s="81" t="s">
        <v>220</v>
      </c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95"/>
      <c r="BP218" s="57"/>
      <c r="BQ218" s="57"/>
      <c r="BT218" s="59"/>
      <c r="CR218" s="68"/>
    </row>
    <row r="219" spans="1:96" ht="15" customHeight="1" thickBot="1" x14ac:dyDescent="0.2">
      <c r="A219" s="69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0"/>
      <c r="BK219" s="70"/>
      <c r="BL219" s="70"/>
      <c r="BM219" s="70"/>
      <c r="BN219" s="70"/>
      <c r="BO219" s="70"/>
      <c r="BP219" s="70"/>
      <c r="BQ219" s="70"/>
      <c r="BR219" s="70"/>
      <c r="BS219" s="70"/>
      <c r="BT219" s="70"/>
      <c r="BU219" s="70"/>
      <c r="BV219" s="70"/>
      <c r="BW219" s="70"/>
      <c r="BX219" s="70"/>
      <c r="BY219" s="70"/>
      <c r="BZ219" s="70"/>
      <c r="CA219" s="70"/>
      <c r="CB219" s="70"/>
      <c r="CC219" s="70"/>
      <c r="CD219" s="70"/>
      <c r="CE219" s="70"/>
      <c r="CF219" s="70"/>
      <c r="CG219" s="70"/>
      <c r="CH219" s="70"/>
      <c r="CI219" s="70"/>
      <c r="CJ219" s="70"/>
      <c r="CK219" s="70"/>
      <c r="CL219" s="70"/>
      <c r="CM219" s="70"/>
      <c r="CN219" s="70"/>
      <c r="CO219" s="70"/>
      <c r="CP219" s="70"/>
      <c r="CQ219" s="70"/>
      <c r="CR219" s="71"/>
    </row>
  </sheetData>
  <mergeCells count="491">
    <mergeCell ref="C181:W182"/>
    <mergeCell ref="X181:AT182"/>
    <mergeCell ref="C183:W184"/>
    <mergeCell ref="X183:AT184"/>
    <mergeCell ref="P167:T167"/>
    <mergeCell ref="P161:T161"/>
    <mergeCell ref="U161:W161"/>
    <mergeCell ref="P166:T166"/>
    <mergeCell ref="U166:W166"/>
    <mergeCell ref="B167:O167"/>
    <mergeCell ref="B166:O166"/>
    <mergeCell ref="U168:W168"/>
    <mergeCell ref="B164:O164"/>
    <mergeCell ref="P164:T164"/>
    <mergeCell ref="U164:W164"/>
    <mergeCell ref="X164:AT164"/>
    <mergeCell ref="U163:W163"/>
    <mergeCell ref="X167:AT167"/>
    <mergeCell ref="P168:T168"/>
    <mergeCell ref="P171:T171"/>
    <mergeCell ref="U171:W171"/>
    <mergeCell ref="B170:O170"/>
    <mergeCell ref="P169:T169"/>
    <mergeCell ref="U169:W169"/>
    <mergeCell ref="C180:W180"/>
    <mergeCell ref="X180:AT180"/>
    <mergeCell ref="D143:I144"/>
    <mergeCell ref="U143:Z144"/>
    <mergeCell ref="AA143:AF144"/>
    <mergeCell ref="BG163:BL163"/>
    <mergeCell ref="BG164:BL164"/>
    <mergeCell ref="BG168:BL168"/>
    <mergeCell ref="X149:AT149"/>
    <mergeCell ref="X148:AT148"/>
    <mergeCell ref="X151:AT151"/>
    <mergeCell ref="AY163:BF163"/>
    <mergeCell ref="X172:AT172"/>
    <mergeCell ref="AY170:BF170"/>
    <mergeCell ref="BG170:BL170"/>
    <mergeCell ref="X157:AT157"/>
    <mergeCell ref="X155:AT155"/>
    <mergeCell ref="X156:AT156"/>
    <mergeCell ref="B161:O161"/>
    <mergeCell ref="B160:O160"/>
    <mergeCell ref="K125:AV125"/>
    <mergeCell ref="B71:J71"/>
    <mergeCell ref="K71:AI71"/>
    <mergeCell ref="B72:J72"/>
    <mergeCell ref="K72:AI72"/>
    <mergeCell ref="B74:J74"/>
    <mergeCell ref="K74:AI74"/>
    <mergeCell ref="B75:J75"/>
    <mergeCell ref="K75:AI75"/>
    <mergeCell ref="B76:J76"/>
    <mergeCell ref="K76:AI76"/>
    <mergeCell ref="B77:J77"/>
    <mergeCell ref="K77:AI77"/>
    <mergeCell ref="B86:J86"/>
    <mergeCell ref="K86:AI86"/>
    <mergeCell ref="K78:AI78"/>
    <mergeCell ref="B79:J79"/>
    <mergeCell ref="P152:T152"/>
    <mergeCell ref="U152:W152"/>
    <mergeCell ref="X152:AT152"/>
    <mergeCell ref="B81:J81"/>
    <mergeCell ref="K81:AI81"/>
    <mergeCell ref="B82:J82"/>
    <mergeCell ref="K82:AI82"/>
    <mergeCell ref="AW130:BH130"/>
    <mergeCell ref="AW133:BH133"/>
    <mergeCell ref="AW131:BH131"/>
    <mergeCell ref="AW132:BH132"/>
    <mergeCell ref="K133:AV133"/>
    <mergeCell ref="A131:J131"/>
    <mergeCell ref="K131:AV131"/>
    <mergeCell ref="K126:AV126"/>
    <mergeCell ref="AW126:BH126"/>
    <mergeCell ref="A130:J130"/>
    <mergeCell ref="K130:AV130"/>
    <mergeCell ref="A133:J133"/>
    <mergeCell ref="A132:J132"/>
    <mergeCell ref="K132:AV132"/>
    <mergeCell ref="U66:W66"/>
    <mergeCell ref="B52:O52"/>
    <mergeCell ref="P52:T52"/>
    <mergeCell ref="U52:W52"/>
    <mergeCell ref="BI97:CR97"/>
    <mergeCell ref="A124:BH124"/>
    <mergeCell ref="BI124:CR124"/>
    <mergeCell ref="X66:AT66"/>
    <mergeCell ref="X67:AT68"/>
    <mergeCell ref="B58:O58"/>
    <mergeCell ref="P58:T58"/>
    <mergeCell ref="U58:W58"/>
    <mergeCell ref="X58:AT58"/>
    <mergeCell ref="B73:J73"/>
    <mergeCell ref="K73:AI73"/>
    <mergeCell ref="B78:J78"/>
    <mergeCell ref="B66:O66"/>
    <mergeCell ref="P66:T66"/>
    <mergeCell ref="B67:O68"/>
    <mergeCell ref="P67:T68"/>
    <mergeCell ref="U67:W68"/>
    <mergeCell ref="K79:AI79"/>
    <mergeCell ref="B80:J80"/>
    <mergeCell ref="K80:AI80"/>
    <mergeCell ref="AY162:BF162"/>
    <mergeCell ref="AY164:BF164"/>
    <mergeCell ref="X163:AT163"/>
    <mergeCell ref="BG159:BL159"/>
    <mergeCell ref="X159:AT159"/>
    <mergeCell ref="X160:AT160"/>
    <mergeCell ref="BG165:BL165"/>
    <mergeCell ref="BQ174:BS175"/>
    <mergeCell ref="BS170:BX170"/>
    <mergeCell ref="BM170:BR170"/>
    <mergeCell ref="BM164:BR164"/>
    <mergeCell ref="BM168:BR168"/>
    <mergeCell ref="BM165:BR165"/>
    <mergeCell ref="BM166:BR166"/>
    <mergeCell ref="BQ173:BS173"/>
    <mergeCell ref="BL173:BP173"/>
    <mergeCell ref="X168:AT168"/>
    <mergeCell ref="X171:AT171"/>
    <mergeCell ref="AX173:BK173"/>
    <mergeCell ref="X166:AT166"/>
    <mergeCell ref="AY161:BF161"/>
    <mergeCell ref="X161:AT161"/>
    <mergeCell ref="BY170:CD170"/>
    <mergeCell ref="CE170:CJ170"/>
    <mergeCell ref="CK170:CP170"/>
    <mergeCell ref="BS164:BX164"/>
    <mergeCell ref="BS168:BX168"/>
    <mergeCell ref="CE164:CJ164"/>
    <mergeCell ref="CE168:CJ168"/>
    <mergeCell ref="CE165:CJ165"/>
    <mergeCell ref="CK164:CP164"/>
    <mergeCell ref="CK168:CP168"/>
    <mergeCell ref="CK165:CP165"/>
    <mergeCell ref="BS167:BX167"/>
    <mergeCell ref="BY167:CD167"/>
    <mergeCell ref="U167:W167"/>
    <mergeCell ref="AY169:BF169"/>
    <mergeCell ref="BG169:BL169"/>
    <mergeCell ref="B165:O165"/>
    <mergeCell ref="P165:T165"/>
    <mergeCell ref="U165:W165"/>
    <mergeCell ref="X165:AT165"/>
    <mergeCell ref="AY165:BF165"/>
    <mergeCell ref="BG166:BL166"/>
    <mergeCell ref="AW44:BH44"/>
    <mergeCell ref="B55:O55"/>
    <mergeCell ref="P55:T55"/>
    <mergeCell ref="U55:W55"/>
    <mergeCell ref="X55:AT55"/>
    <mergeCell ref="B56:O56"/>
    <mergeCell ref="P56:T56"/>
    <mergeCell ref="U56:W56"/>
    <mergeCell ref="X56:AT56"/>
    <mergeCell ref="A45:J45"/>
    <mergeCell ref="K45:AV45"/>
    <mergeCell ref="AW45:BH45"/>
    <mergeCell ref="A46:J46"/>
    <mergeCell ref="K46:AV46"/>
    <mergeCell ref="AW46:BH46"/>
    <mergeCell ref="A47:J47"/>
    <mergeCell ref="K47:AV47"/>
    <mergeCell ref="AW47:BH47"/>
    <mergeCell ref="B54:O54"/>
    <mergeCell ref="P54:T54"/>
    <mergeCell ref="U54:W54"/>
    <mergeCell ref="A42:J42"/>
    <mergeCell ref="K42:AV42"/>
    <mergeCell ref="AW42:BH42"/>
    <mergeCell ref="A43:J43"/>
    <mergeCell ref="K43:AV43"/>
    <mergeCell ref="AW43:BH43"/>
    <mergeCell ref="B57:O57"/>
    <mergeCell ref="P57:T57"/>
    <mergeCell ref="U57:W57"/>
    <mergeCell ref="X57:AT57"/>
    <mergeCell ref="A48:CR48"/>
    <mergeCell ref="B51:O51"/>
    <mergeCell ref="P51:T51"/>
    <mergeCell ref="U51:W51"/>
    <mergeCell ref="B53:O53"/>
    <mergeCell ref="P53:T53"/>
    <mergeCell ref="U53:W53"/>
    <mergeCell ref="X51:AT51"/>
    <mergeCell ref="X52:AT52"/>
    <mergeCell ref="X53:AT53"/>
    <mergeCell ref="X54:AT54"/>
    <mergeCell ref="BI43:CR43"/>
    <mergeCell ref="A44:J44"/>
    <mergeCell ref="K44:AV44"/>
    <mergeCell ref="A39:J39"/>
    <mergeCell ref="K39:AV39"/>
    <mergeCell ref="AW39:BH39"/>
    <mergeCell ref="A40:J40"/>
    <mergeCell ref="K40:AV40"/>
    <mergeCell ref="AW40:BH40"/>
    <mergeCell ref="A41:J41"/>
    <mergeCell ref="K41:AV41"/>
    <mergeCell ref="AW41:BH41"/>
    <mergeCell ref="BT4:CR4"/>
    <mergeCell ref="A5:BH5"/>
    <mergeCell ref="BI5:CR5"/>
    <mergeCell ref="BI12:CR12"/>
    <mergeCell ref="A38:BH38"/>
    <mergeCell ref="BI38:CR38"/>
    <mergeCell ref="A4:H4"/>
    <mergeCell ref="I4:AK4"/>
    <mergeCell ref="AL4:AR4"/>
    <mergeCell ref="AS4:BH4"/>
    <mergeCell ref="BI4:BS4"/>
    <mergeCell ref="BW1:CE1"/>
    <mergeCell ref="CF1:CJ3"/>
    <mergeCell ref="CK1:CR3"/>
    <mergeCell ref="A2:H2"/>
    <mergeCell ref="I2:AD2"/>
    <mergeCell ref="AE2:AK3"/>
    <mergeCell ref="AL2:BH2"/>
    <mergeCell ref="BI2:BL2"/>
    <mergeCell ref="BM2:BV2"/>
    <mergeCell ref="BW2:CE2"/>
    <mergeCell ref="A1:H1"/>
    <mergeCell ref="I1:AD1"/>
    <mergeCell ref="AE1:AK1"/>
    <mergeCell ref="AL1:BH1"/>
    <mergeCell ref="BI1:BL1"/>
    <mergeCell ref="BM1:BV1"/>
    <mergeCell ref="A3:H3"/>
    <mergeCell ref="I3:AD3"/>
    <mergeCell ref="AL3:BH3"/>
    <mergeCell ref="BI3:BL3"/>
    <mergeCell ref="BM3:CE3"/>
    <mergeCell ref="CE146:CJ146"/>
    <mergeCell ref="CK146:CP146"/>
    <mergeCell ref="CE163:CJ163"/>
    <mergeCell ref="BY145:CD145"/>
    <mergeCell ref="CE145:CJ145"/>
    <mergeCell ref="CK145:CP145"/>
    <mergeCell ref="BS144:BX145"/>
    <mergeCell ref="BM146:BR146"/>
    <mergeCell ref="BS146:BX146"/>
    <mergeCell ref="CK163:CP163"/>
    <mergeCell ref="BM154:BR154"/>
    <mergeCell ref="BS154:BX154"/>
    <mergeCell ref="BY154:CD154"/>
    <mergeCell ref="CE154:CJ154"/>
    <mergeCell ref="CK154:CP154"/>
    <mergeCell ref="BY144:CP144"/>
    <mergeCell ref="CE153:CJ153"/>
    <mergeCell ref="CK153:CP153"/>
    <mergeCell ref="BY146:CD146"/>
    <mergeCell ref="BY163:CD163"/>
    <mergeCell ref="BM163:BR163"/>
    <mergeCell ref="BS163:BX163"/>
    <mergeCell ref="CE148:CJ148"/>
    <mergeCell ref="CK148:CP148"/>
    <mergeCell ref="CE159:CJ159"/>
    <mergeCell ref="CK159:CP159"/>
    <mergeCell ref="BG160:BL160"/>
    <mergeCell ref="BD212:BO212"/>
    <mergeCell ref="AW212:BC212"/>
    <mergeCell ref="BS166:BX166"/>
    <mergeCell ref="BY166:CD166"/>
    <mergeCell ref="CE166:CJ166"/>
    <mergeCell ref="CK166:CP166"/>
    <mergeCell ref="BY169:CD169"/>
    <mergeCell ref="CE169:CJ169"/>
    <mergeCell ref="CK169:CP169"/>
    <mergeCell ref="AY167:BF167"/>
    <mergeCell ref="BG167:BL167"/>
    <mergeCell ref="BM167:BR167"/>
    <mergeCell ref="AY166:BF166"/>
    <mergeCell ref="CE167:CJ167"/>
    <mergeCell ref="CK167:CP167"/>
    <mergeCell ref="BT174:CP175"/>
    <mergeCell ref="AY168:BF168"/>
    <mergeCell ref="BM169:BR169"/>
    <mergeCell ref="BS169:BX169"/>
    <mergeCell ref="AX174:BK175"/>
    <mergeCell ref="BL174:BP175"/>
    <mergeCell ref="C188:I188"/>
    <mergeCell ref="J188:Q188"/>
    <mergeCell ref="C195:I195"/>
    <mergeCell ref="BG153:BL153"/>
    <mergeCell ref="BM153:BR153"/>
    <mergeCell ref="BS153:BX153"/>
    <mergeCell ref="BT173:CP173"/>
    <mergeCell ref="BY164:CD164"/>
    <mergeCell ref="BY168:CD168"/>
    <mergeCell ref="BY165:CD165"/>
    <mergeCell ref="BS165:BX165"/>
    <mergeCell ref="CK158:CP158"/>
    <mergeCell ref="CK161:CP161"/>
    <mergeCell ref="BG162:BL162"/>
    <mergeCell ref="BM162:BR162"/>
    <mergeCell ref="BS162:BX162"/>
    <mergeCell ref="BY162:CD162"/>
    <mergeCell ref="CE162:CJ162"/>
    <mergeCell ref="CK162:CP162"/>
    <mergeCell ref="P170:T170"/>
    <mergeCell ref="U170:W170"/>
    <mergeCell ref="X169:AT169"/>
    <mergeCell ref="X170:AT170"/>
    <mergeCell ref="B171:O171"/>
    <mergeCell ref="X188:AD188"/>
    <mergeCell ref="AE188:AP188"/>
    <mergeCell ref="B172:O172"/>
    <mergeCell ref="P172:T172"/>
    <mergeCell ref="U172:W172"/>
    <mergeCell ref="D202:J202"/>
    <mergeCell ref="K202:Y202"/>
    <mergeCell ref="P156:T156"/>
    <mergeCell ref="U156:W156"/>
    <mergeCell ref="B157:O157"/>
    <mergeCell ref="P157:T157"/>
    <mergeCell ref="U157:W157"/>
    <mergeCell ref="B158:O158"/>
    <mergeCell ref="P158:T158"/>
    <mergeCell ref="U158:W158"/>
    <mergeCell ref="B159:O159"/>
    <mergeCell ref="P159:T159"/>
    <mergeCell ref="U159:W159"/>
    <mergeCell ref="B162:O162"/>
    <mergeCell ref="P162:T162"/>
    <mergeCell ref="U162:W162"/>
    <mergeCell ref="X162:AT162"/>
    <mergeCell ref="B163:O163"/>
    <mergeCell ref="P163:T163"/>
    <mergeCell ref="D212:J212"/>
    <mergeCell ref="K212:Y212"/>
    <mergeCell ref="AD212:AJ212"/>
    <mergeCell ref="U148:W148"/>
    <mergeCell ref="B149:O149"/>
    <mergeCell ref="P149:T149"/>
    <mergeCell ref="U149:W149"/>
    <mergeCell ref="B148:O148"/>
    <mergeCell ref="P148:T148"/>
    <mergeCell ref="B155:O155"/>
    <mergeCell ref="P155:T155"/>
    <mergeCell ref="U155:W155"/>
    <mergeCell ref="B156:O156"/>
    <mergeCell ref="B151:F152"/>
    <mergeCell ref="G151:O151"/>
    <mergeCell ref="X158:AT158"/>
    <mergeCell ref="AK212:AR212"/>
    <mergeCell ref="A177:CR177"/>
    <mergeCell ref="B168:O168"/>
    <mergeCell ref="B169:O169"/>
    <mergeCell ref="B173:O173"/>
    <mergeCell ref="P173:T173"/>
    <mergeCell ref="U173:W173"/>
    <mergeCell ref="X173:AT173"/>
    <mergeCell ref="CE155:CJ155"/>
    <mergeCell ref="CK155:CP155"/>
    <mergeCell ref="CK149:CP149"/>
    <mergeCell ref="AY150:BF150"/>
    <mergeCell ref="BG150:BL150"/>
    <mergeCell ref="BM150:BR150"/>
    <mergeCell ref="BS150:BX150"/>
    <mergeCell ref="BY150:CD150"/>
    <mergeCell ref="CE150:CJ150"/>
    <mergeCell ref="CK150:CP150"/>
    <mergeCell ref="AY152:BF152"/>
    <mergeCell ref="BG152:BL152"/>
    <mergeCell ref="BM152:BR152"/>
    <mergeCell ref="BS152:BX152"/>
    <mergeCell ref="BY152:CD152"/>
    <mergeCell ref="CE152:CJ152"/>
    <mergeCell ref="CK152:CP152"/>
    <mergeCell ref="BY153:CD153"/>
    <mergeCell ref="AY155:BF155"/>
    <mergeCell ref="BG155:BL155"/>
    <mergeCell ref="BM155:BR155"/>
    <mergeCell ref="AY153:BF153"/>
    <mergeCell ref="BG154:BL154"/>
    <mergeCell ref="AY144:BF145"/>
    <mergeCell ref="BG144:BL145"/>
    <mergeCell ref="BM144:BR145"/>
    <mergeCell ref="AW125:BH125"/>
    <mergeCell ref="A126:J126"/>
    <mergeCell ref="P151:T151"/>
    <mergeCell ref="U151:W151"/>
    <mergeCell ref="AY149:BF149"/>
    <mergeCell ref="BG148:BL148"/>
    <mergeCell ref="BM148:BR148"/>
    <mergeCell ref="A127:J127"/>
    <mergeCell ref="K127:AV127"/>
    <mergeCell ref="AW127:BH127"/>
    <mergeCell ref="A128:J128"/>
    <mergeCell ref="K128:AV128"/>
    <mergeCell ref="AW128:BH128"/>
    <mergeCell ref="A129:J129"/>
    <mergeCell ref="K129:AV129"/>
    <mergeCell ref="AW129:BH129"/>
    <mergeCell ref="AY146:BF146"/>
    <mergeCell ref="BG146:BL146"/>
    <mergeCell ref="A134:CR134"/>
    <mergeCell ref="A125:J125"/>
    <mergeCell ref="BI129:CR129"/>
    <mergeCell ref="B150:O150"/>
    <mergeCell ref="P150:T150"/>
    <mergeCell ref="U150:W150"/>
    <mergeCell ref="X150:AT150"/>
    <mergeCell ref="B83:J83"/>
    <mergeCell ref="K83:AI83"/>
    <mergeCell ref="B84:J84"/>
    <mergeCell ref="K84:AI84"/>
    <mergeCell ref="B85:J85"/>
    <mergeCell ref="K85:AI85"/>
    <mergeCell ref="B87:J87"/>
    <mergeCell ref="K87:AI87"/>
    <mergeCell ref="BS157:BX157"/>
    <mergeCell ref="BY157:CD157"/>
    <mergeCell ref="BG158:BL158"/>
    <mergeCell ref="BM158:BR158"/>
    <mergeCell ref="BS158:BX158"/>
    <mergeCell ref="BY158:CD158"/>
    <mergeCell ref="AY159:BF159"/>
    <mergeCell ref="G152:O152"/>
    <mergeCell ref="AY160:BF160"/>
    <mergeCell ref="BY155:CD155"/>
    <mergeCell ref="BS159:BX159"/>
    <mergeCell ref="BY159:CD159"/>
    <mergeCell ref="P160:T160"/>
    <mergeCell ref="U160:W160"/>
    <mergeCell ref="BM160:BR160"/>
    <mergeCell ref="BM159:BR159"/>
    <mergeCell ref="AY156:BF156"/>
    <mergeCell ref="BG156:BL156"/>
    <mergeCell ref="BM156:BR156"/>
    <mergeCell ref="B153:F154"/>
    <mergeCell ref="G153:O153"/>
    <mergeCell ref="P153:T153"/>
    <mergeCell ref="U153:W153"/>
    <mergeCell ref="X153:AT153"/>
    <mergeCell ref="G154:O154"/>
    <mergeCell ref="P154:T154"/>
    <mergeCell ref="U154:W154"/>
    <mergeCell ref="X154:AT154"/>
    <mergeCell ref="AU188:BA188"/>
    <mergeCell ref="BB188:BI188"/>
    <mergeCell ref="BG161:BL161"/>
    <mergeCell ref="BM161:BR161"/>
    <mergeCell ref="BS161:BX161"/>
    <mergeCell ref="BY161:CD161"/>
    <mergeCell ref="CE161:CJ161"/>
    <mergeCell ref="BG147:BL147"/>
    <mergeCell ref="BM147:BR147"/>
    <mergeCell ref="BS147:BX147"/>
    <mergeCell ref="BY147:CD147"/>
    <mergeCell ref="CE147:CJ147"/>
    <mergeCell ref="BG149:BL149"/>
    <mergeCell ref="BM149:BR149"/>
    <mergeCell ref="BS149:BX149"/>
    <mergeCell ref="BY149:CD149"/>
    <mergeCell ref="CE149:CJ149"/>
    <mergeCell ref="AY148:BF148"/>
    <mergeCell ref="AY151:BF151"/>
    <mergeCell ref="BG151:BL151"/>
    <mergeCell ref="BM151:BR151"/>
    <mergeCell ref="BS151:BX151"/>
    <mergeCell ref="BY151:CD151"/>
    <mergeCell ref="CE151:CJ151"/>
    <mergeCell ref="BS148:BX148"/>
    <mergeCell ref="BY148:CD148"/>
    <mergeCell ref="BS160:BX160"/>
    <mergeCell ref="BY160:CD160"/>
    <mergeCell ref="CE160:CJ160"/>
    <mergeCell ref="CK160:CP160"/>
    <mergeCell ref="BA52:BG52"/>
    <mergeCell ref="BH52:BO52"/>
    <mergeCell ref="CK147:CP147"/>
    <mergeCell ref="CK151:CP151"/>
    <mergeCell ref="CE157:CJ157"/>
    <mergeCell ref="CK157:CP157"/>
    <mergeCell ref="CE158:CJ158"/>
    <mergeCell ref="AY147:BF147"/>
    <mergeCell ref="AY154:BF154"/>
    <mergeCell ref="AY157:BF157"/>
    <mergeCell ref="AY158:BF158"/>
    <mergeCell ref="BS156:BX156"/>
    <mergeCell ref="BY156:CD156"/>
    <mergeCell ref="CE156:CJ156"/>
    <mergeCell ref="CK156:CP156"/>
    <mergeCell ref="BS155:BX155"/>
    <mergeCell ref="BG157:BL157"/>
    <mergeCell ref="BM157:BR157"/>
  </mergeCells>
  <phoneticPr fontId="2"/>
  <pageMargins left="0.39370078740157483" right="0.16" top="0.78740157480314965" bottom="0.39370078740157483" header="0.59055118110236227" footer="0.19685039370078741"/>
  <pageSetup paperSize="9" scale="80" firstPageNumber="4" orientation="landscape" r:id="rId1"/>
  <headerFooter alignWithMargins="0">
    <oddFooter>&amp;C&amp;P　/　&amp;N&amp;R株式会社　京信システムサービス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タイトル</vt:lpstr>
      <vt:lpstr>改訂履歴</vt:lpstr>
      <vt:lpstr>機能概要・画面遷移図</vt:lpstr>
      <vt:lpstr>社員マスタ</vt:lpstr>
      <vt:lpstr>社員マスタ編集</vt:lpstr>
      <vt:lpstr>タイトル!Print_Area</vt:lpstr>
      <vt:lpstr>社員マスタ!Print_Area</vt:lpstr>
      <vt:lpstr>社員マスタ編集!Print_Area</vt:lpstr>
      <vt:lpstr>改訂履歴!Print_Titles</vt:lpstr>
      <vt:lpstr>機能概要・画面遷移図!Print_Titles</vt:lpstr>
      <vt:lpstr>社員マスタ!Print_Titles</vt:lpstr>
      <vt:lpstr>社員マスタ編集!Print_Titles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川勝　恭子</dc:creator>
  <cp:lastModifiedBy>[協]木田 優</cp:lastModifiedBy>
  <cp:lastPrinted>2024-03-11T06:58:00Z</cp:lastPrinted>
  <dcterms:created xsi:type="dcterms:W3CDTF">2006-03-07T04:00:40Z</dcterms:created>
  <dcterms:modified xsi:type="dcterms:W3CDTF">2024-03-11T06:58:05Z</dcterms:modified>
</cp:coreProperties>
</file>
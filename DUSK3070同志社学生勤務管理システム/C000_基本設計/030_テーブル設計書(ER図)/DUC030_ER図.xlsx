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C000_基本設計\030_テーブル設計書(ER図)\"/>
    </mc:Choice>
  </mc:AlternateContent>
  <xr:revisionPtr revIDLastSave="0" documentId="13_ncr:1_{24595EA5-3396-4333-A451-BF23BDDEFEE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説明" sheetId="12" r:id="rId1"/>
    <sheet name="タイトル" sheetId="6" r:id="rId2"/>
    <sheet name="改訂履歴" sheetId="7" r:id="rId3"/>
    <sheet name="ER図（社員マスタ）" sheetId="10" r:id="rId4"/>
    <sheet name="ER図（雇用情報マスタ）" sheetId="14" r:id="rId5"/>
    <sheet name="ER図（勤務入力）" sheetId="15" r:id="rId6"/>
    <sheet name="ER図（給与計算）" sheetId="16" r:id="rId7"/>
    <sheet name="ER図（メール送信）" sheetId="17" r:id="rId8"/>
  </sheets>
  <definedNames>
    <definedName name="_Toc94971774" localSheetId="7">'ER図（メール送信）'!#REF!</definedName>
    <definedName name="_Toc94971774" localSheetId="6">'ER図（給与計算）'!#REF!</definedName>
    <definedName name="_Toc94971774" localSheetId="5">'ER図（勤務入力）'!#REF!</definedName>
    <definedName name="_Toc94971774" localSheetId="4">'ER図（雇用情報マスタ）'!#REF!</definedName>
    <definedName name="_Toc94971774" localSheetId="3">'ER図（社員マスタ）'!#REF!</definedName>
    <definedName name="_Toc94971774" localSheetId="0">説明!$C$27</definedName>
    <definedName name="_Toc94971775" localSheetId="7">'ER図（メール送信）'!#REF!</definedName>
    <definedName name="_Toc94971775" localSheetId="6">'ER図（給与計算）'!#REF!</definedName>
    <definedName name="_Toc94971775" localSheetId="5">'ER図（勤務入力）'!#REF!</definedName>
    <definedName name="_Toc94971775" localSheetId="4">'ER図（雇用情報マスタ）'!#REF!</definedName>
    <definedName name="_Toc94971775" localSheetId="3">'ER図（社員マスタ）'!#REF!</definedName>
    <definedName name="_Toc94971775" localSheetId="0">説明!#REF!</definedName>
    <definedName name="_xlnm.Print_Area" localSheetId="1">タイトル!$A$1:$AC$36</definedName>
    <definedName name="_xlnm.Print_Titles" localSheetId="7">'ER図（メール送信）'!$1:$5</definedName>
    <definedName name="_xlnm.Print_Titles" localSheetId="6">'ER図（給与計算）'!$1:$5</definedName>
    <definedName name="_xlnm.Print_Titles" localSheetId="5">'ER図（勤務入力）'!$1:$5</definedName>
    <definedName name="_xlnm.Print_Titles" localSheetId="4">'ER図（雇用情報マスタ）'!$1:$5</definedName>
    <definedName name="_xlnm.Print_Titles" localSheetId="3">'ER図（社員マスタ）'!$1:$5</definedName>
    <definedName name="_xlnm.Print_Titles" localSheetId="0">説明!$1:$3</definedName>
  </definedNames>
  <calcPr calcId="191029"/>
</workbook>
</file>

<file path=xl/calcChain.xml><?xml version="1.0" encoding="utf-8"?>
<calcChain xmlns="http://schemas.openxmlformats.org/spreadsheetml/2006/main">
  <c r="AL3" i="17" l="1"/>
  <c r="AL2" i="17"/>
  <c r="I2" i="17"/>
  <c r="CK1" i="17"/>
  <c r="BW1" i="17"/>
  <c r="BM1" i="17"/>
  <c r="AL1" i="17"/>
  <c r="I1" i="17"/>
  <c r="AL3" i="16"/>
  <c r="AL2" i="16"/>
  <c r="I2" i="16"/>
  <c r="CK1" i="16"/>
  <c r="BW1" i="16"/>
  <c r="BM1" i="16"/>
  <c r="AL1" i="16"/>
  <c r="I1" i="16"/>
  <c r="AL3" i="15" l="1"/>
  <c r="AL2" i="15"/>
  <c r="I2" i="15"/>
  <c r="CK1" i="15"/>
  <c r="BW1" i="15"/>
  <c r="BM1" i="15"/>
  <c r="AL1" i="15"/>
  <c r="I1" i="15"/>
  <c r="AL3" i="14" l="1"/>
  <c r="AL2" i="14"/>
  <c r="I2" i="14"/>
  <c r="CK1" i="14"/>
  <c r="BW1" i="14"/>
  <c r="BM1" i="14"/>
  <c r="AL1" i="14"/>
  <c r="I1" i="14"/>
  <c r="J29" i="6" l="1"/>
  <c r="I51" i="6"/>
  <c r="AL3" i="12" l="1"/>
  <c r="AL2" i="12"/>
  <c r="I2" i="12"/>
  <c r="CK1" i="12"/>
  <c r="BW1" i="12"/>
  <c r="BM1" i="12"/>
  <c r="AL1" i="12"/>
  <c r="I1" i="12"/>
  <c r="CK1" i="10"/>
  <c r="BW1" i="10"/>
  <c r="BM1" i="10"/>
  <c r="AL3" i="10"/>
  <c r="AL2" i="10"/>
  <c r="AL1" i="10"/>
  <c r="I2" i="10"/>
  <c r="I1" i="10"/>
  <c r="J5" i="7"/>
  <c r="G1" i="7"/>
  <c r="J27" i="6"/>
  <c r="G20" i="6"/>
  <c r="G17" i="6"/>
  <c r="G14" i="6"/>
  <c r="G1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R3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新規/変更を入れる</t>
        </r>
      </text>
    </comment>
    <comment ref="AH3" authorId="0" shapeId="0" xr:uid="{00000000-0006-0000-0200-000002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  <comment ref="W4" authorId="0" shapeId="0" xr:uid="{00000000-0006-0000-0200-000003000000}">
      <text>
        <r>
          <rPr>
            <sz val="9"/>
            <color indexed="81"/>
            <rFont val="ＭＳ Ｐゴシック"/>
            <family val="3"/>
            <charset val="128"/>
          </rPr>
          <t>修正したページを入れる</t>
        </r>
      </text>
    </comment>
    <comment ref="AA4" authorId="0" shapeId="0" xr:uid="{00000000-0006-0000-0200-000004000000}">
      <text>
        <r>
          <rPr>
            <sz val="9"/>
            <color indexed="81"/>
            <rFont val="ＭＳ Ｐゴシック"/>
            <family val="3"/>
            <charset val="128"/>
          </rPr>
          <t>項番(章番号)を入れる</t>
        </r>
      </text>
    </comment>
  </commentList>
</comments>
</file>

<file path=xl/sharedStrings.xml><?xml version="1.0" encoding="utf-8"?>
<sst xmlns="http://schemas.openxmlformats.org/spreadsheetml/2006/main" count="696" uniqueCount="374">
  <si>
    <t xml:space="preserve"> </t>
    <phoneticPr fontId="1"/>
  </si>
  <si>
    <t>見出し部タイトル制御テーブル</t>
    <rPh sb="0" eb="2">
      <t>ミダ</t>
    </rPh>
    <rPh sb="3" eb="4">
      <t>ブ</t>
    </rPh>
    <rPh sb="8" eb="10">
      <t>セイギョ</t>
    </rPh>
    <phoneticPr fontId="1"/>
  </si>
  <si>
    <t>タイトル項目</t>
    <rPh sb="4" eb="6">
      <t>コウモク</t>
    </rPh>
    <phoneticPr fontId="1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</si>
  <si>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1"/>
  </si>
  <si>
    <t>　①システム名</t>
    <rPh sb="6" eb="7">
      <t>メイ</t>
    </rPh>
    <phoneticPr fontId="1"/>
  </si>
  <si>
    <t>　②サブシステム名</t>
    <rPh sb="8" eb="9">
      <t>メイ</t>
    </rPh>
    <phoneticPr fontId="1"/>
  </si>
  <si>
    <t>　③分類名</t>
    <rPh sb="2" eb="4">
      <t>ブンルイ</t>
    </rPh>
    <rPh sb="4" eb="5">
      <t>メイ</t>
    </rPh>
    <phoneticPr fontId="1"/>
  </si>
  <si>
    <t>　④作業工程名</t>
    <rPh sb="2" eb="4">
      <t>サギョウ</t>
    </rPh>
    <rPh sb="4" eb="6">
      <t>コウテイ</t>
    </rPh>
    <rPh sb="6" eb="7">
      <t>メイ</t>
    </rPh>
    <phoneticPr fontId="1"/>
  </si>
  <si>
    <t>　基本設計</t>
    <rPh sb="1" eb="3">
      <t>キホン</t>
    </rPh>
    <rPh sb="3" eb="5">
      <t>セッケイ</t>
    </rPh>
    <phoneticPr fontId="1"/>
  </si>
  <si>
    <t>　⑤ドキュメント代表名</t>
    <rPh sb="8" eb="10">
      <t>ダイヒョウ</t>
    </rPh>
    <rPh sb="10" eb="11">
      <t>メイ</t>
    </rPh>
    <phoneticPr fontId="1"/>
  </si>
  <si>
    <t>　⑥ドキュメント詳細名</t>
    <rPh sb="8" eb="10">
      <t>ショウサイ</t>
    </rPh>
    <rPh sb="10" eb="11">
      <t>メイ</t>
    </rPh>
    <phoneticPr fontId="1"/>
  </si>
  <si>
    <t>　⑦作成者</t>
    <rPh sb="2" eb="5">
      <t>サクセイシャ</t>
    </rPh>
    <phoneticPr fontId="1"/>
  </si>
  <si>
    <t>　⑧作成日</t>
    <rPh sb="2" eb="5">
      <t>サクセイビ</t>
    </rPh>
    <phoneticPr fontId="1"/>
  </si>
  <si>
    <t>　⑦改定者</t>
    <rPh sb="2" eb="4">
      <t>カイテイ</t>
    </rPh>
    <rPh sb="4" eb="5">
      <t>シャ</t>
    </rPh>
    <phoneticPr fontId="1"/>
  </si>
  <si>
    <t>　※ページ毎に個別入力</t>
    <rPh sb="5" eb="6">
      <t>ゴト</t>
    </rPh>
    <rPh sb="7" eb="9">
      <t>コベツ</t>
    </rPh>
    <rPh sb="9" eb="11">
      <t>ニュウリョク</t>
    </rPh>
    <phoneticPr fontId="1"/>
  </si>
  <si>
    <t>　⑧改定日</t>
    <rPh sb="2" eb="4">
      <t>カイテイ</t>
    </rPh>
    <rPh sb="4" eb="5">
      <t>ビ</t>
    </rPh>
    <phoneticPr fontId="1"/>
  </si>
  <si>
    <t>　⑨管理記号</t>
    <rPh sb="2" eb="4">
      <t>カンリ</t>
    </rPh>
    <rPh sb="4" eb="6">
      <t>キゴウ</t>
    </rPh>
    <phoneticPr fontId="1"/>
  </si>
  <si>
    <t>　⑩Ｖｅｒ</t>
    <phoneticPr fontId="1"/>
  </si>
  <si>
    <t>（注1） ①～⑤は、埋め込み内容の先頭１文字は空白にする。</t>
    <rPh sb="1" eb="2">
      <t>チュウ</t>
    </rPh>
    <rPh sb="10" eb="11">
      <t>ウ</t>
    </rPh>
    <rPh sb="12" eb="13">
      <t>コ</t>
    </rPh>
    <rPh sb="14" eb="16">
      <t>ナイヨウ</t>
    </rPh>
    <rPh sb="17" eb="19">
      <t>セントウ</t>
    </rPh>
    <rPh sb="20" eb="22">
      <t>モジ</t>
    </rPh>
    <rPh sb="23" eb="25">
      <t>クウハク</t>
    </rPh>
    <phoneticPr fontId="1"/>
  </si>
  <si>
    <t>（注2） ⑦と⑧でシート毎に異なる場合は、各シートの該当項目に直接、作成者、作成日を入力する。</t>
    <rPh sb="1" eb="2">
      <t>チュウ</t>
    </rPh>
    <rPh sb="12" eb="13">
      <t>ゴト</t>
    </rPh>
    <rPh sb="14" eb="15">
      <t>コト</t>
    </rPh>
    <rPh sb="17" eb="19">
      <t>バアイ</t>
    </rPh>
    <rPh sb="21" eb="22">
      <t>カク</t>
    </rPh>
    <rPh sb="26" eb="28">
      <t>ガイトウ</t>
    </rPh>
    <rPh sb="28" eb="30">
      <t>コウモク</t>
    </rPh>
    <rPh sb="31" eb="33">
      <t>チョクセツ</t>
    </rPh>
    <rPh sb="34" eb="37">
      <t>サクセイシャ</t>
    </rPh>
    <rPh sb="38" eb="41">
      <t>サクセイビ</t>
    </rPh>
    <rPh sb="42" eb="44">
      <t>ニュウリョク</t>
    </rPh>
    <phoneticPr fontId="1"/>
  </si>
  <si>
    <t>（注4）　管理番号は、ドキュメント体系の管理番号を使用する。</t>
    <rPh sb="1" eb="2">
      <t>チュウ</t>
    </rPh>
    <rPh sb="5" eb="7">
      <t>カンリ</t>
    </rPh>
    <rPh sb="7" eb="9">
      <t>バンゴウ</t>
    </rPh>
    <rPh sb="17" eb="19">
      <t>タイケイ</t>
    </rPh>
    <rPh sb="20" eb="22">
      <t>カンリ</t>
    </rPh>
    <rPh sb="22" eb="24">
      <t>バンゴウ</t>
    </rPh>
    <rPh sb="25" eb="27">
      <t>シヨウ</t>
    </rPh>
    <phoneticPr fontId="1"/>
  </si>
  <si>
    <t>（注5）　ドキュメントＩＤの付け方</t>
    <rPh sb="1" eb="2">
      <t>チュウ</t>
    </rPh>
    <rPh sb="14" eb="15">
      <t>ツ</t>
    </rPh>
    <rPh sb="16" eb="17">
      <t>カタ</t>
    </rPh>
    <phoneticPr fontId="1"/>
  </si>
  <si>
    <t>管理記号-分類区分（任意に設定）</t>
    <rPh sb="0" eb="2">
      <t>カンリ</t>
    </rPh>
    <rPh sb="2" eb="4">
      <t>キゴウ</t>
    </rPh>
    <rPh sb="5" eb="7">
      <t>ブンルイ</t>
    </rPh>
    <rPh sb="7" eb="9">
      <t>クブン</t>
    </rPh>
    <rPh sb="10" eb="12">
      <t>ニンイ</t>
    </rPh>
    <rPh sb="13" eb="15">
      <t>セッテイ</t>
    </rPh>
    <phoneticPr fontId="1"/>
  </si>
  <si>
    <t>※管理記号は、別紙　プロジェクト計画書のドキュメント体系を参照</t>
    <rPh sb="1" eb="3">
      <t>カンリ</t>
    </rPh>
    <rPh sb="3" eb="5">
      <t>キゴウ</t>
    </rPh>
    <rPh sb="7" eb="9">
      <t>ベッシ</t>
    </rPh>
    <rPh sb="16" eb="18">
      <t>ケイカク</t>
    </rPh>
    <rPh sb="18" eb="19">
      <t>ショ</t>
    </rPh>
    <rPh sb="26" eb="28">
      <t>タイケイ</t>
    </rPh>
    <rPh sb="29" eb="31">
      <t>サンショウ</t>
    </rPh>
    <phoneticPr fontId="1"/>
  </si>
  <si>
    <t>改訂履歴</t>
    <rPh sb="0" eb="2">
      <t>カイテイ</t>
    </rPh>
    <rPh sb="2" eb="4">
      <t>リレキ</t>
    </rPh>
    <phoneticPr fontId="1"/>
  </si>
  <si>
    <t>No</t>
    <phoneticPr fontId="1"/>
  </si>
  <si>
    <t>Ver</t>
    <phoneticPr fontId="1"/>
  </si>
  <si>
    <t>新規／改訂日</t>
    <rPh sb="0" eb="2">
      <t>シンキ</t>
    </rPh>
    <rPh sb="3" eb="5">
      <t>カイテイ</t>
    </rPh>
    <rPh sb="5" eb="6">
      <t>ビ</t>
    </rPh>
    <phoneticPr fontId="1"/>
  </si>
  <si>
    <t>区分</t>
    <rPh sb="0" eb="2">
      <t>クブン</t>
    </rPh>
    <phoneticPr fontId="1"/>
  </si>
  <si>
    <t>改訂箇所</t>
    <rPh sb="0" eb="2">
      <t>カイテイ</t>
    </rPh>
    <rPh sb="2" eb="4">
      <t>カショ</t>
    </rPh>
    <phoneticPr fontId="1"/>
  </si>
  <si>
    <t>改訂理由</t>
    <rPh sb="0" eb="2">
      <t>カイテイ</t>
    </rPh>
    <rPh sb="2" eb="4">
      <t>リユウ</t>
    </rPh>
    <phoneticPr fontId="1"/>
  </si>
  <si>
    <t>新規／改訂者</t>
    <rPh sb="0" eb="2">
      <t>シンキ</t>
    </rPh>
    <rPh sb="3" eb="5">
      <t>カイテイ</t>
    </rPh>
    <rPh sb="5" eb="6">
      <t>シャ</t>
    </rPh>
    <phoneticPr fontId="1"/>
  </si>
  <si>
    <t>頁</t>
    <rPh sb="0" eb="1">
      <t>ページ</t>
    </rPh>
    <phoneticPr fontId="1"/>
  </si>
  <si>
    <t>項番</t>
    <rPh sb="0" eb="1">
      <t>コウ</t>
    </rPh>
    <rPh sb="1" eb="2">
      <t>バン</t>
    </rPh>
    <phoneticPr fontId="1"/>
  </si>
  <si>
    <t>　</t>
    <phoneticPr fontId="1"/>
  </si>
  <si>
    <t>　ER図</t>
    <phoneticPr fontId="1"/>
  </si>
  <si>
    <t>　データベース設計</t>
    <phoneticPr fontId="1"/>
  </si>
  <si>
    <t>システム名</t>
    <rPh sb="4" eb="5">
      <t>メイ</t>
    </rPh>
    <phoneticPr fontId="1"/>
  </si>
  <si>
    <t>工　　　　程</t>
    <rPh sb="0" eb="1">
      <t>コウ</t>
    </rPh>
    <rPh sb="5" eb="6">
      <t>ホド</t>
    </rPh>
    <phoneticPr fontId="1"/>
  </si>
  <si>
    <t>作　成</t>
    <rPh sb="0" eb="1">
      <t>サク</t>
    </rPh>
    <rPh sb="2" eb="3">
      <t>シゲル</t>
    </rPh>
    <phoneticPr fontId="1"/>
  </si>
  <si>
    <t>管理記号</t>
    <rPh sb="0" eb="2">
      <t>カンリ</t>
    </rPh>
    <rPh sb="2" eb="4">
      <t>キゴウ</t>
    </rPh>
    <phoneticPr fontId="1"/>
  </si>
  <si>
    <t>サブシステム名</t>
    <rPh sb="6" eb="7">
      <t>メイ</t>
    </rPh>
    <phoneticPr fontId="1"/>
  </si>
  <si>
    <t>ドキュメント</t>
    <phoneticPr fontId="1"/>
  </si>
  <si>
    <t>改　訂</t>
    <rPh sb="0" eb="1">
      <t>アラタ</t>
    </rPh>
    <rPh sb="2" eb="3">
      <t>テイ</t>
    </rPh>
    <phoneticPr fontId="1"/>
  </si>
  <si>
    <t>ドキュメント</t>
    <phoneticPr fontId="1"/>
  </si>
  <si>
    <t>記述内容</t>
    <phoneticPr fontId="1"/>
  </si>
  <si>
    <t>記述内容の説明</t>
    <phoneticPr fontId="1"/>
  </si>
  <si>
    <t>データのまとまり。</t>
    <phoneticPr fontId="1"/>
  </si>
  <si>
    <t>エンティティに関する情報。</t>
    <phoneticPr fontId="1"/>
  </si>
  <si>
    <t>ＫＳＳ</t>
    <phoneticPr fontId="1"/>
  </si>
  <si>
    <t>実体（Entity,エンティティ）</t>
    <phoneticPr fontId="1"/>
  </si>
  <si>
    <t xml:space="preserve">関連 (Relationship,リレーション) </t>
    <phoneticPr fontId="1"/>
  </si>
  <si>
    <t>属性 (Attribute,アトリビュート)</t>
    <phoneticPr fontId="1"/>
  </si>
  <si>
    <t>ER図は、3つの要素(実体/関連/属性)で構成される：</t>
    <rPh sb="11" eb="13">
      <t>ジッタイ</t>
    </rPh>
    <rPh sb="14" eb="16">
      <t>カンレン</t>
    </rPh>
    <rPh sb="17" eb="19">
      <t>ゾクセイ</t>
    </rPh>
    <phoneticPr fontId="1"/>
  </si>
  <si>
    <t>ER図（英: Entity-Relationship Diagram, ERD, 実体関連図）とは、システムのデータモデルを図で表現したものである。</t>
    <rPh sb="2" eb="3">
      <t>ズ</t>
    </rPh>
    <phoneticPr fontId="1"/>
  </si>
  <si>
    <t>「1対多」などエンティティとエンティティの関係を表す。</t>
    <phoneticPr fontId="1"/>
  </si>
  <si>
    <t>多重度(Cardinality, カーディナリティ) ：リレーションには多重度を記述する。</t>
    <phoneticPr fontId="1"/>
  </si>
  <si>
    <t>あるいは、</t>
    <phoneticPr fontId="1"/>
  </si>
  <si>
    <t>② Aに対してBは、1つ以上存在(下限が1で上限が多)</t>
    <phoneticPr fontId="1"/>
  </si>
  <si>
    <t>① Aに対してBは、1つ存在(下限が1で上限が1)</t>
    <phoneticPr fontId="1"/>
  </si>
  <si>
    <t>③ Aに対してBは、0または1つ存在(下限が0で上限が1)</t>
    <phoneticPr fontId="1"/>
  </si>
  <si>
    <t>④ Aに対してBは、0以上存在(下限が0で上限が多)</t>
    <phoneticPr fontId="1"/>
  </si>
  <si>
    <t>※本標準では、左の表記方法を採用する。</t>
    <rPh sb="1" eb="2">
      <t>ホン</t>
    </rPh>
    <rPh sb="2" eb="4">
      <t>ヒョウジュン</t>
    </rPh>
    <rPh sb="7" eb="8">
      <t>ヒダリ</t>
    </rPh>
    <rPh sb="9" eb="11">
      <t>ヒョウキ</t>
    </rPh>
    <rPh sb="11" eb="13">
      <t>ホウホウ</t>
    </rPh>
    <rPh sb="14" eb="16">
      <t>サイヨウ</t>
    </rPh>
    <phoneticPr fontId="1"/>
  </si>
  <si>
    <t>例）</t>
    <rPh sb="0" eb="1">
      <t>レイ</t>
    </rPh>
    <phoneticPr fontId="1"/>
  </si>
  <si>
    <t>表記方法は下記のような二つ種類がある。</t>
    <rPh sb="0" eb="2">
      <t>ヒョウキ</t>
    </rPh>
    <rPh sb="2" eb="4">
      <t>ホウホウ</t>
    </rPh>
    <rPh sb="5" eb="7">
      <t>カキ</t>
    </rPh>
    <rPh sb="11" eb="12">
      <t>フタ</t>
    </rPh>
    <rPh sb="13" eb="15">
      <t>シュルイ</t>
    </rPh>
    <phoneticPr fontId="1"/>
  </si>
  <si>
    <t>　学生勤務管理システム</t>
    <rPh sb="1" eb="3">
      <t>ガクセイ</t>
    </rPh>
    <rPh sb="3" eb="7">
      <t>キンムカンリ</t>
    </rPh>
    <phoneticPr fontId="1"/>
  </si>
  <si>
    <t>英字氏名</t>
    <rPh sb="0" eb="2">
      <t>エイジ</t>
    </rPh>
    <rPh sb="2" eb="4">
      <t>シメイ</t>
    </rPh>
    <phoneticPr fontId="1"/>
  </si>
  <si>
    <t>給与支給区分</t>
    <rPh sb="0" eb="2">
      <t>キュウヨ</t>
    </rPh>
    <rPh sb="2" eb="4">
      <t>シキュウ</t>
    </rPh>
    <rPh sb="4" eb="6">
      <t>クブン</t>
    </rPh>
    <phoneticPr fontId="1"/>
  </si>
  <si>
    <t>メールアドレス</t>
    <phoneticPr fontId="1"/>
  </si>
  <si>
    <t>1..＊</t>
    <phoneticPr fontId="1"/>
  </si>
  <si>
    <t>1</t>
    <phoneticPr fontId="1"/>
  </si>
  <si>
    <t>学生ID</t>
    <rPh sb="0" eb="2">
      <t>ガクセイ</t>
    </rPh>
    <phoneticPr fontId="1"/>
  </si>
  <si>
    <t>留学生情報管理フラグ</t>
    <rPh sb="0" eb="3">
      <t>リュウガクセイ</t>
    </rPh>
    <rPh sb="3" eb="5">
      <t>ジョウホウ</t>
    </rPh>
    <rPh sb="5" eb="7">
      <t>カンリ</t>
    </rPh>
    <phoneticPr fontId="1"/>
  </si>
  <si>
    <t>LDAP_ALLテーブル</t>
    <phoneticPr fontId="1"/>
  </si>
  <si>
    <t>ユーザID</t>
    <phoneticPr fontId="1"/>
  </si>
  <si>
    <t>会社コード</t>
    <rPh sb="0" eb="2">
      <t>カイシャ</t>
    </rPh>
    <phoneticPr fontId="1"/>
  </si>
  <si>
    <t>コード値</t>
    <rPh sb="3" eb="4">
      <t>チ</t>
    </rPh>
    <phoneticPr fontId="1"/>
  </si>
  <si>
    <t>雇用情報ID</t>
    <rPh sb="0" eb="4">
      <t>コヨウジョウホウ</t>
    </rPh>
    <phoneticPr fontId="1"/>
  </si>
  <si>
    <t>コード名称</t>
    <rPh sb="3" eb="5">
      <t>メイショウ</t>
    </rPh>
    <phoneticPr fontId="1"/>
  </si>
  <si>
    <t>社員ID</t>
    <rPh sb="0" eb="2">
      <t>シャイン</t>
    </rPh>
    <phoneticPr fontId="1"/>
  </si>
  <si>
    <t>勤務承認</t>
    <rPh sb="0" eb="4">
      <t>キンムショウニン</t>
    </rPh>
    <phoneticPr fontId="1"/>
  </si>
  <si>
    <t>社員マスタ</t>
    <rPh sb="0" eb="2">
      <t>シャイン</t>
    </rPh>
    <phoneticPr fontId="1"/>
  </si>
  <si>
    <t>新規</t>
    <rPh sb="0" eb="2">
      <t>シンキ</t>
    </rPh>
    <phoneticPr fontId="1"/>
  </si>
  <si>
    <t>新規作成</t>
    <rPh sb="0" eb="2">
      <t>シンキ</t>
    </rPh>
    <rPh sb="2" eb="4">
      <t>サクセイ</t>
    </rPh>
    <phoneticPr fontId="1"/>
  </si>
  <si>
    <t>木田　優</t>
    <rPh sb="0" eb="2">
      <t>キダ</t>
    </rPh>
    <rPh sb="3" eb="4">
      <t>マサル</t>
    </rPh>
    <phoneticPr fontId="1"/>
  </si>
  <si>
    <t>学生所属コード</t>
    <rPh sb="0" eb="2">
      <t>ガクセイ</t>
    </rPh>
    <rPh sb="2" eb="4">
      <t>ショゾク</t>
    </rPh>
    <phoneticPr fontId="1"/>
  </si>
  <si>
    <t>漢字氏名</t>
  </si>
  <si>
    <t>漢字氏名</t>
    <rPh sb="0" eb="2">
      <t>カンジ</t>
    </rPh>
    <rPh sb="2" eb="4">
      <t>シメイ</t>
    </rPh>
    <phoneticPr fontId="1"/>
  </si>
  <si>
    <t>カナ氏名</t>
    <rPh sb="2" eb="4">
      <t>シメイ</t>
    </rPh>
    <phoneticPr fontId="1"/>
  </si>
  <si>
    <t>英字氏名</t>
  </si>
  <si>
    <t>表示用氏名</t>
  </si>
  <si>
    <t>教員コード</t>
  </si>
  <si>
    <t>教員コード</t>
    <rPh sb="0" eb="2">
      <t>キョウイン</t>
    </rPh>
    <phoneticPr fontId="1"/>
  </si>
  <si>
    <t>社員番号</t>
  </si>
  <si>
    <t>社員番号</t>
    <rPh sb="0" eb="2">
      <t>シャイン</t>
    </rPh>
    <rPh sb="2" eb="4">
      <t>バンゴウ</t>
    </rPh>
    <phoneticPr fontId="1"/>
  </si>
  <si>
    <t>姓</t>
  </si>
  <si>
    <t>名</t>
  </si>
  <si>
    <t>給与支給区分</t>
  </si>
  <si>
    <t>給与支給区分名称</t>
  </si>
  <si>
    <t>組織名称漢字</t>
  </si>
  <si>
    <t>役職コード</t>
  </si>
  <si>
    <t>役職コード名称</t>
  </si>
  <si>
    <t>学生基本</t>
    <rPh sb="0" eb="4">
      <t>ガクセイキホン</t>
    </rPh>
    <phoneticPr fontId="1"/>
  </si>
  <si>
    <t>教員基本</t>
    <rPh sb="0" eb="2">
      <t>キョウイン</t>
    </rPh>
    <rPh sb="2" eb="4">
      <t>キホン</t>
    </rPh>
    <phoneticPr fontId="1"/>
  </si>
  <si>
    <t>社員基本</t>
    <rPh sb="0" eb="2">
      <t>シャイン</t>
    </rPh>
    <rPh sb="2" eb="4">
      <t>キホン</t>
    </rPh>
    <phoneticPr fontId="1"/>
  </si>
  <si>
    <t>学生ID</t>
  </si>
  <si>
    <t>メールアドレス</t>
  </si>
  <si>
    <t>認証区分</t>
    <rPh sb="0" eb="2">
      <t>ニンショウ</t>
    </rPh>
    <rPh sb="2" eb="4">
      <t>クブン</t>
    </rPh>
    <phoneticPr fontId="1"/>
  </si>
  <si>
    <t xml:space="preserve"> DUC030</t>
    <phoneticPr fontId="1"/>
  </si>
  <si>
    <t>役職コード</t>
    <rPh sb="0" eb="2">
      <t>ヤクショク</t>
    </rPh>
    <phoneticPr fontId="1"/>
  </si>
  <si>
    <t>雇用部課コード</t>
    <phoneticPr fontId="1"/>
  </si>
  <si>
    <t>在学年次</t>
    <rPh sb="0" eb="4">
      <t>ザイガクネンジ</t>
    </rPh>
    <phoneticPr fontId="1"/>
  </si>
  <si>
    <t>代理承認フラグ</t>
    <rPh sb="0" eb="2">
      <t>ダイリ</t>
    </rPh>
    <rPh sb="2" eb="4">
      <t>ショウニン</t>
    </rPh>
    <phoneticPr fontId="1"/>
  </si>
  <si>
    <t>主担当教員コード</t>
    <rPh sb="0" eb="5">
      <t>シュタントウキョウイン</t>
    </rPh>
    <phoneticPr fontId="1"/>
  </si>
  <si>
    <t>職種</t>
    <rPh sb="0" eb="2">
      <t>ショクシュ</t>
    </rPh>
    <phoneticPr fontId="1"/>
  </si>
  <si>
    <t>科目コード</t>
    <rPh sb="0" eb="2">
      <t>カモク</t>
    </rPh>
    <phoneticPr fontId="1"/>
  </si>
  <si>
    <t>クラスコード</t>
    <phoneticPr fontId="1"/>
  </si>
  <si>
    <t>業務コード</t>
    <rPh sb="0" eb="2">
      <t>ギョウム</t>
    </rPh>
    <phoneticPr fontId="1"/>
  </si>
  <si>
    <t>予算コード</t>
    <rPh sb="0" eb="2">
      <t>ヨサン</t>
    </rPh>
    <phoneticPr fontId="1"/>
  </si>
  <si>
    <t>配分先コード</t>
    <rPh sb="0" eb="3">
      <t>ハイブンサキ</t>
    </rPh>
    <phoneticPr fontId="1"/>
  </si>
  <si>
    <t>業務内容等</t>
    <rPh sb="0" eb="5">
      <t>ギョウムナイヨウトウ</t>
    </rPh>
    <phoneticPr fontId="1"/>
  </si>
  <si>
    <t>科目名</t>
    <rPh sb="0" eb="3">
      <t>カモクメイ</t>
    </rPh>
    <phoneticPr fontId="1"/>
  </si>
  <si>
    <t>科目名（英語）</t>
    <rPh sb="0" eb="3">
      <t>カモクメイ</t>
    </rPh>
    <rPh sb="4" eb="6">
      <t>エイゴ</t>
    </rPh>
    <phoneticPr fontId="1"/>
  </si>
  <si>
    <t>（注3）　文字はYu　Gothic UIで統一</t>
    <rPh sb="1" eb="2">
      <t>チュウ</t>
    </rPh>
    <rPh sb="5" eb="7">
      <t>モジ</t>
    </rPh>
    <rPh sb="21" eb="23">
      <t>トウイツ</t>
    </rPh>
    <phoneticPr fontId="1"/>
  </si>
  <si>
    <t>※必要カラムのみ抜粋</t>
    <rPh sb="1" eb="3">
      <t>ヒツヨウ</t>
    </rPh>
    <rPh sb="8" eb="10">
      <t>バッスイ</t>
    </rPh>
    <phoneticPr fontId="1"/>
  </si>
  <si>
    <t>在学年次</t>
    <rPh sb="0" eb="4">
      <t>ザイガクネンジ</t>
    </rPh>
    <phoneticPr fontId="1"/>
  </si>
  <si>
    <t>課程コード</t>
    <rPh sb="0" eb="2">
      <t>カテイ</t>
    </rPh>
    <phoneticPr fontId="1"/>
  </si>
  <si>
    <t>学部研究科コード</t>
    <rPh sb="0" eb="5">
      <t>ガクブケンキュウカ</t>
    </rPh>
    <phoneticPr fontId="1"/>
  </si>
  <si>
    <t>学科専攻コード</t>
    <rPh sb="0" eb="2">
      <t>ガッカ</t>
    </rPh>
    <rPh sb="2" eb="4">
      <t>センコウ</t>
    </rPh>
    <phoneticPr fontId="1"/>
  </si>
  <si>
    <t>コースクラスターコード</t>
    <phoneticPr fontId="1"/>
  </si>
  <si>
    <r>
      <t>在籍区分</t>
    </r>
    <r>
      <rPr>
        <vertAlign val="superscript"/>
        <sz val="10"/>
        <rFont val="Yu Gothic UI"/>
        <family val="3"/>
        <charset val="128"/>
      </rPr>
      <t>※1</t>
    </r>
    <rPh sb="0" eb="2">
      <t>ザイセキ</t>
    </rPh>
    <rPh sb="2" eb="4">
      <t>クブン</t>
    </rPh>
    <phoneticPr fontId="1"/>
  </si>
  <si>
    <t>※1：籍あり（1）のみ抽出</t>
    <rPh sb="3" eb="4">
      <t>セキ</t>
    </rPh>
    <rPh sb="11" eb="13">
      <t>チュウシュツ</t>
    </rPh>
    <phoneticPr fontId="1"/>
  </si>
  <si>
    <t>カナ姓</t>
    <rPh sb="2" eb="3">
      <t>セイ</t>
    </rPh>
    <phoneticPr fontId="1"/>
  </si>
  <si>
    <t>カナ名</t>
    <rPh sb="2" eb="3">
      <t>メイ</t>
    </rPh>
    <phoneticPr fontId="1"/>
  </si>
  <si>
    <t>組織コード</t>
    <phoneticPr fontId="1"/>
  </si>
  <si>
    <t>ー</t>
    <phoneticPr fontId="1"/>
  </si>
  <si>
    <t>会社コード</t>
    <rPh sb="0" eb="2">
      <t>カイシャ</t>
    </rPh>
    <phoneticPr fontId="1"/>
  </si>
  <si>
    <t>ミドルネーム</t>
    <phoneticPr fontId="1"/>
  </si>
  <si>
    <t>カナミドルネーム</t>
    <phoneticPr fontId="1"/>
  </si>
  <si>
    <t>入社年月日</t>
    <rPh sb="0" eb="5">
      <t>ニュウシャネンガッピ</t>
    </rPh>
    <phoneticPr fontId="1"/>
  </si>
  <si>
    <t>退職年月日</t>
    <rPh sb="0" eb="5">
      <t>タイショクネンガッピ</t>
    </rPh>
    <phoneticPr fontId="1"/>
  </si>
  <si>
    <t>在籍区分名称</t>
    <rPh sb="0" eb="4">
      <t>ザイセキクブン</t>
    </rPh>
    <rPh sb="4" eb="6">
      <t>メイショウ</t>
    </rPh>
    <phoneticPr fontId="1"/>
  </si>
  <si>
    <t>発令区分</t>
    <rPh sb="0" eb="2">
      <t>ハツレイ</t>
    </rPh>
    <rPh sb="2" eb="4">
      <t>クブン</t>
    </rPh>
    <phoneticPr fontId="1"/>
  </si>
  <si>
    <r>
      <t>兼務順</t>
    </r>
    <r>
      <rPr>
        <vertAlign val="superscript"/>
        <sz val="10"/>
        <rFont val="Yu Gothic UI"/>
        <family val="3"/>
        <charset val="128"/>
      </rPr>
      <t>※2</t>
    </r>
    <rPh sb="0" eb="3">
      <t>ケンムジュン</t>
    </rPh>
    <phoneticPr fontId="1"/>
  </si>
  <si>
    <r>
      <t>所属分類コード</t>
    </r>
    <r>
      <rPr>
        <vertAlign val="superscript"/>
        <sz val="10"/>
        <rFont val="Yu Gothic UI"/>
        <family val="3"/>
        <charset val="128"/>
      </rPr>
      <t>※3</t>
    </r>
    <phoneticPr fontId="1"/>
  </si>
  <si>
    <t>※1：在籍（1）、休職（8）のみ抽出</t>
    <rPh sb="3" eb="5">
      <t>ザイセキ</t>
    </rPh>
    <rPh sb="9" eb="11">
      <t>キュウショク</t>
    </rPh>
    <rPh sb="16" eb="18">
      <t>チュウシュツ</t>
    </rPh>
    <phoneticPr fontId="1"/>
  </si>
  <si>
    <t>※2：主務（0）のみ抽出</t>
    <rPh sb="3" eb="5">
      <t>シュム</t>
    </rPh>
    <rPh sb="10" eb="12">
      <t>チュウシュツ</t>
    </rPh>
    <phoneticPr fontId="1"/>
  </si>
  <si>
    <t>※3：所属（10）のみ抽出</t>
    <rPh sb="3" eb="5">
      <t>ショゾク</t>
    </rPh>
    <rPh sb="11" eb="13">
      <t>チュウシュツ</t>
    </rPh>
    <phoneticPr fontId="1"/>
  </si>
  <si>
    <t>個人ID</t>
    <rPh sb="0" eb="2">
      <t>コジン</t>
    </rPh>
    <phoneticPr fontId="1"/>
  </si>
  <si>
    <t>構成員コード</t>
    <rPh sb="0" eb="3">
      <t>コウセイイン</t>
    </rPh>
    <phoneticPr fontId="1"/>
  </si>
  <si>
    <t>雇用区分コード</t>
    <rPh sb="0" eb="4">
      <t>コヨウクブン</t>
    </rPh>
    <phoneticPr fontId="1"/>
  </si>
  <si>
    <t>更新日時</t>
    <rPh sb="0" eb="4">
      <t>コウシンニチジ</t>
    </rPh>
    <phoneticPr fontId="1"/>
  </si>
  <si>
    <r>
      <t>アカウント無効フラグ</t>
    </r>
    <r>
      <rPr>
        <vertAlign val="superscript"/>
        <sz val="10"/>
        <rFont val="Yu Gothic UI"/>
        <family val="3"/>
        <charset val="128"/>
      </rPr>
      <t>※1</t>
    </r>
    <phoneticPr fontId="1"/>
  </si>
  <si>
    <t>人事コード（社員ID）</t>
    <rPh sb="0" eb="2">
      <t>ジンジ</t>
    </rPh>
    <rPh sb="6" eb="8">
      <t>シャイン</t>
    </rPh>
    <phoneticPr fontId="1"/>
  </si>
  <si>
    <t>※教職員は社員番号が連結キー</t>
    <rPh sb="1" eb="4">
      <t>キョウショクイン</t>
    </rPh>
    <rPh sb="5" eb="9">
      <t>シャインバンゴウ</t>
    </rPh>
    <rPh sb="10" eb="12">
      <t>レンケツ</t>
    </rPh>
    <phoneticPr fontId="1"/>
  </si>
  <si>
    <t>※学生は学生IDが連結キー</t>
    <rPh sb="1" eb="3">
      <t>ガクセイ</t>
    </rPh>
    <rPh sb="4" eb="6">
      <t>ガクセイ</t>
    </rPh>
    <rPh sb="9" eb="11">
      <t>レンケツ</t>
    </rPh>
    <phoneticPr fontId="1"/>
  </si>
  <si>
    <t>姓</t>
    <rPh sb="0" eb="1">
      <t>セイ</t>
    </rPh>
    <phoneticPr fontId="1"/>
  </si>
  <si>
    <t>名</t>
    <rPh sb="0" eb="1">
      <t>メイ</t>
    </rPh>
    <phoneticPr fontId="1"/>
  </si>
  <si>
    <t>在籍区分</t>
    <rPh sb="0" eb="4">
      <t>ザイセキクブン</t>
    </rPh>
    <phoneticPr fontId="1"/>
  </si>
  <si>
    <t>ユーザ区分</t>
    <rPh sb="3" eb="5">
      <t>クブン</t>
    </rPh>
    <phoneticPr fontId="1"/>
  </si>
  <si>
    <t>承認権限</t>
    <rPh sb="0" eb="4">
      <t>ショウニンケンゲン</t>
    </rPh>
    <phoneticPr fontId="1"/>
  </si>
  <si>
    <t>有効フラグ</t>
    <rPh sb="0" eb="2">
      <t>ユウコウ</t>
    </rPh>
    <phoneticPr fontId="1"/>
  </si>
  <si>
    <t>代理承認者コード1</t>
    <rPh sb="0" eb="2">
      <t>ダイリ</t>
    </rPh>
    <rPh sb="2" eb="5">
      <t>ショウニンシャ</t>
    </rPh>
    <phoneticPr fontId="1"/>
  </si>
  <si>
    <t>代理承認者コード3</t>
    <rPh sb="0" eb="2">
      <t>ダイリ</t>
    </rPh>
    <rPh sb="2" eb="5">
      <t>ショウニンシャ</t>
    </rPh>
    <phoneticPr fontId="1"/>
  </si>
  <si>
    <t>代理承認者コード2</t>
    <rPh sb="0" eb="2">
      <t>ダイリ</t>
    </rPh>
    <rPh sb="2" eb="5">
      <t>ショウニンシャ</t>
    </rPh>
    <phoneticPr fontId="1"/>
  </si>
  <si>
    <t>社員所属コード</t>
    <rPh sb="0" eb="2">
      <t>シャイン</t>
    </rPh>
    <rPh sb="2" eb="4">
      <t>ショゾク</t>
    </rPh>
    <phoneticPr fontId="1"/>
  </si>
  <si>
    <t>言語区分</t>
    <rPh sb="0" eb="2">
      <t>ゲンゴ</t>
    </rPh>
    <rPh sb="2" eb="4">
      <t>クブン</t>
    </rPh>
    <phoneticPr fontId="1"/>
  </si>
  <si>
    <t>・</t>
    <phoneticPr fontId="1"/>
  </si>
  <si>
    <t>社員マスタの補足説明</t>
    <rPh sb="0" eb="2">
      <t>シャイン</t>
    </rPh>
    <rPh sb="6" eb="10">
      <t>ホソクセツメイ</t>
    </rPh>
    <phoneticPr fontId="1"/>
  </si>
  <si>
    <t>承認権限は給与支給区分、役職コード、組織コードによって決定される</t>
    <rPh sb="0" eb="4">
      <t>ショウニンケンゲン</t>
    </rPh>
    <rPh sb="5" eb="11">
      <t>キュウヨシキュウクブン</t>
    </rPh>
    <rPh sb="12" eb="14">
      <t>ヤクショク</t>
    </rPh>
    <rPh sb="18" eb="20">
      <t>ソシキ</t>
    </rPh>
    <rPh sb="27" eb="29">
      <t>ケッテイ</t>
    </rPh>
    <phoneticPr fontId="1"/>
  </si>
  <si>
    <t>1：教員</t>
    <rPh sb="2" eb="4">
      <t>キョウイン</t>
    </rPh>
    <phoneticPr fontId="1"/>
  </si>
  <si>
    <t>2：担当者</t>
    <rPh sb="2" eb="5">
      <t>タントウシャ</t>
    </rPh>
    <phoneticPr fontId="1"/>
  </si>
  <si>
    <t>3：事務長</t>
    <rPh sb="2" eb="5">
      <t>ジムチョウ</t>
    </rPh>
    <phoneticPr fontId="1"/>
  </si>
  <si>
    <t>9：所属長</t>
    <rPh sb="2" eb="5">
      <t>ショゾクチョウ</t>
    </rPh>
    <phoneticPr fontId="1"/>
  </si>
  <si>
    <t>ユーザ区分は給与支給区分、組織コードによって決定される</t>
    <rPh sb="3" eb="5">
      <t>クブン</t>
    </rPh>
    <rPh sb="6" eb="12">
      <t>キュウヨシキュウクブン</t>
    </rPh>
    <rPh sb="13" eb="15">
      <t>ソシキ</t>
    </rPh>
    <rPh sb="22" eb="24">
      <t>ケッテイ</t>
    </rPh>
    <phoneticPr fontId="1"/>
  </si>
  <si>
    <t>1：学生</t>
    <rPh sb="2" eb="4">
      <t>ガクセイ</t>
    </rPh>
    <phoneticPr fontId="1"/>
  </si>
  <si>
    <t>2：教員</t>
    <rPh sb="2" eb="4">
      <t>キョウイン</t>
    </rPh>
    <phoneticPr fontId="1"/>
  </si>
  <si>
    <t>3：担当者・事務長</t>
    <rPh sb="2" eb="5">
      <t>タントウシャ</t>
    </rPh>
    <rPh sb="6" eb="9">
      <t>ジムチョウ</t>
    </rPh>
    <phoneticPr fontId="1"/>
  </si>
  <si>
    <t>4：管理者（給与厚生課）</t>
    <rPh sb="2" eb="5">
      <t>カンリシャ</t>
    </rPh>
    <rPh sb="6" eb="11">
      <t>キュウヨコウセイカ</t>
    </rPh>
    <phoneticPr fontId="1"/>
  </si>
  <si>
    <t>※学生基本から連携した場合は全て学生</t>
    <rPh sb="1" eb="3">
      <t>ガクセイ</t>
    </rPh>
    <rPh sb="3" eb="5">
      <t>キホン</t>
    </rPh>
    <rPh sb="7" eb="9">
      <t>レンケイ</t>
    </rPh>
    <rPh sb="11" eb="13">
      <t>バアイ</t>
    </rPh>
    <rPh sb="14" eb="15">
      <t>スベ</t>
    </rPh>
    <rPh sb="16" eb="18">
      <t>ガクセイ</t>
    </rPh>
    <phoneticPr fontId="1"/>
  </si>
  <si>
    <t>※給与支給区分（10・21・22・23・24・25・26）によって教員と判断</t>
    <rPh sb="1" eb="7">
      <t>キュウヨシキュウクブン</t>
    </rPh>
    <rPh sb="33" eb="35">
      <t>キョウイン</t>
    </rPh>
    <rPh sb="36" eb="38">
      <t>ハンダン</t>
    </rPh>
    <phoneticPr fontId="1"/>
  </si>
  <si>
    <t>※給与支給区分（30・41・42・52）によって教員と判断</t>
    <rPh sb="1" eb="7">
      <t>キュウヨシキュウクブン</t>
    </rPh>
    <rPh sb="24" eb="26">
      <t>キョウイン</t>
    </rPh>
    <rPh sb="27" eb="29">
      <t>ハンダン</t>
    </rPh>
    <phoneticPr fontId="1"/>
  </si>
  <si>
    <t>4：留学生課担当者</t>
    <rPh sb="2" eb="5">
      <t>リュウガクセイ</t>
    </rPh>
    <rPh sb="5" eb="6">
      <t>カ</t>
    </rPh>
    <rPh sb="6" eb="9">
      <t>タントウシャ</t>
    </rPh>
    <phoneticPr fontId="1"/>
  </si>
  <si>
    <t>5：留学生課事務長</t>
    <rPh sb="2" eb="5">
      <t>リュウガクセイ</t>
    </rPh>
    <rPh sb="5" eb="6">
      <t>カ</t>
    </rPh>
    <rPh sb="6" eb="9">
      <t>ジムチョウ</t>
    </rPh>
    <phoneticPr fontId="1"/>
  </si>
  <si>
    <t>6：留学生課センター所長</t>
    <rPh sb="2" eb="5">
      <t>リュウガクセイ</t>
    </rPh>
    <rPh sb="5" eb="6">
      <t>カ</t>
    </rPh>
    <rPh sb="10" eb="12">
      <t>ショチョウ</t>
    </rPh>
    <phoneticPr fontId="1"/>
  </si>
  <si>
    <t>教職員の英字氏名はNull</t>
    <rPh sb="0" eb="3">
      <t>キョウショクイン</t>
    </rPh>
    <rPh sb="4" eb="6">
      <t>エイジ</t>
    </rPh>
    <rPh sb="6" eb="8">
      <t>シメイ</t>
    </rPh>
    <phoneticPr fontId="1"/>
  </si>
  <si>
    <t>（社員基本では英字カラムがなく、英字含めて全て姓名に登録されているため）</t>
  </si>
  <si>
    <t>　所属長の場合は「6」となる</t>
    <phoneticPr fontId="1"/>
  </si>
  <si>
    <t>　登録されている場合、役職が担当者の場合は「4」、事務長の場合は「5」、</t>
    <rPh sb="8" eb="10">
      <t>バアイ</t>
    </rPh>
    <rPh sb="11" eb="13">
      <t>ヤクショク</t>
    </rPh>
    <rPh sb="14" eb="17">
      <t>タントウシャ</t>
    </rPh>
    <rPh sb="18" eb="20">
      <t>バアイ</t>
    </rPh>
    <rPh sb="25" eb="28">
      <t>ジムチョウ</t>
    </rPh>
    <rPh sb="29" eb="31">
      <t>バアイ</t>
    </rPh>
    <phoneticPr fontId="1"/>
  </si>
  <si>
    <t>ユーザコードマスタ</t>
    <phoneticPr fontId="1"/>
  </si>
  <si>
    <t>ソート順</t>
    <rPh sb="3" eb="4">
      <t>ジュン</t>
    </rPh>
    <phoneticPr fontId="1"/>
  </si>
  <si>
    <t>コード値名称1</t>
    <rPh sb="3" eb="4">
      <t>チ</t>
    </rPh>
    <rPh sb="4" eb="6">
      <t>メイショウ</t>
    </rPh>
    <phoneticPr fontId="1"/>
  </si>
  <si>
    <t>コード値名称2</t>
    <rPh sb="3" eb="4">
      <t>チ</t>
    </rPh>
    <rPh sb="4" eb="6">
      <t>メイショウ</t>
    </rPh>
    <phoneticPr fontId="1"/>
  </si>
  <si>
    <t>コード値名称3</t>
    <rPh sb="3" eb="4">
      <t>チ</t>
    </rPh>
    <rPh sb="4" eb="6">
      <t>メイショウ</t>
    </rPh>
    <phoneticPr fontId="1"/>
  </si>
  <si>
    <t>コード値名称4</t>
    <rPh sb="3" eb="4">
      <t>チ</t>
    </rPh>
    <rPh sb="4" eb="6">
      <t>メイショウ</t>
    </rPh>
    <phoneticPr fontId="1"/>
  </si>
  <si>
    <t>コード値名称5</t>
    <rPh sb="3" eb="4">
      <t>チ</t>
    </rPh>
    <rPh sb="4" eb="6">
      <t>メイショウ</t>
    </rPh>
    <phoneticPr fontId="1"/>
  </si>
  <si>
    <t>コード値名称6</t>
    <rPh sb="3" eb="4">
      <t>チ</t>
    </rPh>
    <rPh sb="4" eb="6">
      <t>メイショウ</t>
    </rPh>
    <phoneticPr fontId="1"/>
  </si>
  <si>
    <r>
      <t>コードID</t>
    </r>
    <r>
      <rPr>
        <vertAlign val="superscript"/>
        <sz val="10"/>
        <rFont val="Yu Gothic UI"/>
        <family val="3"/>
        <charset val="128"/>
      </rPr>
      <t>※1</t>
    </r>
    <phoneticPr fontId="1"/>
  </si>
  <si>
    <t>※1：UC0004/組織マスタ</t>
    <rPh sb="10" eb="12">
      <t>ソシキ</t>
    </rPh>
    <phoneticPr fontId="1"/>
  </si>
  <si>
    <t>UC0005/役職マスタ</t>
    <rPh sb="7" eb="9">
      <t>ヤクショク</t>
    </rPh>
    <phoneticPr fontId="1"/>
  </si>
  <si>
    <t>変更</t>
    <rPh sb="0" eb="2">
      <t>ヘンコウ</t>
    </rPh>
    <phoneticPr fontId="1"/>
  </si>
  <si>
    <t>社員マスタ・雇用情報マスタを分離し、整理</t>
    <rPh sb="0" eb="2">
      <t>シャイン</t>
    </rPh>
    <rPh sb="6" eb="10">
      <t>コヨウジョウホウ</t>
    </rPh>
    <rPh sb="14" eb="16">
      <t>ブンリ</t>
    </rPh>
    <rPh sb="18" eb="20">
      <t>セイリ</t>
    </rPh>
    <phoneticPr fontId="1"/>
  </si>
  <si>
    <t>木田　優</t>
    <rPh sb="0" eb="2">
      <t>キダ</t>
    </rPh>
    <rPh sb="3" eb="4">
      <t>マサル</t>
    </rPh>
    <phoneticPr fontId="1"/>
  </si>
  <si>
    <t>雇用情報マスタ</t>
    <rPh sb="0" eb="4">
      <t>コヨウジョウホウ</t>
    </rPh>
    <phoneticPr fontId="1"/>
  </si>
  <si>
    <t>[Sequence]</t>
    <phoneticPr fontId="1"/>
  </si>
  <si>
    <t>雇用年度</t>
    <rPh sb="0" eb="4">
      <t>コヨウネンド</t>
    </rPh>
    <phoneticPr fontId="1"/>
  </si>
  <si>
    <t>雇用部課コード</t>
    <rPh sb="0" eb="4">
      <t>コヨウブカ</t>
    </rPh>
    <phoneticPr fontId="1"/>
  </si>
  <si>
    <t>主担当教員コード</t>
    <rPh sb="0" eb="5">
      <t>シュタントウキョウイン</t>
    </rPh>
    <phoneticPr fontId="1"/>
  </si>
  <si>
    <t>予算区分</t>
    <rPh sb="0" eb="4">
      <t>ヨサンクブン</t>
    </rPh>
    <phoneticPr fontId="1"/>
  </si>
  <si>
    <t>雇用開始日</t>
    <rPh sb="0" eb="5">
      <t>コヨウカイシビ</t>
    </rPh>
    <phoneticPr fontId="1"/>
  </si>
  <si>
    <t>雇用終了日</t>
    <rPh sb="0" eb="5">
      <t>コヨウシュウリョウビ</t>
    </rPh>
    <phoneticPr fontId="1"/>
  </si>
  <si>
    <t>業務コード</t>
    <rPh sb="0" eb="2">
      <t>ギョウム</t>
    </rPh>
    <phoneticPr fontId="1"/>
  </si>
  <si>
    <t>複数身分ID</t>
    <rPh sb="0" eb="4">
      <t>フクスウミブン</t>
    </rPh>
    <phoneticPr fontId="1"/>
  </si>
  <si>
    <t>個別単価</t>
    <rPh sb="0" eb="4">
      <t>コベツタンカ</t>
    </rPh>
    <phoneticPr fontId="1"/>
  </si>
  <si>
    <t>業務マスタ</t>
    <rPh sb="0" eb="2">
      <t>ギョウム</t>
    </rPh>
    <phoneticPr fontId="1"/>
  </si>
  <si>
    <t>業務連番</t>
    <rPh sb="0" eb="4">
      <t>ギョウムレンバン</t>
    </rPh>
    <phoneticPr fontId="1"/>
  </si>
  <si>
    <t>業務名称</t>
    <rPh sb="0" eb="4">
      <t>ギョウムメイショウ</t>
    </rPh>
    <phoneticPr fontId="1"/>
  </si>
  <si>
    <t>業務略称</t>
    <rPh sb="0" eb="2">
      <t>ギョウム</t>
    </rPh>
    <rPh sb="2" eb="4">
      <t>リャクショウ</t>
    </rPh>
    <phoneticPr fontId="1"/>
  </si>
  <si>
    <t>ソートキー</t>
    <phoneticPr fontId="1"/>
  </si>
  <si>
    <t>申請部署連番</t>
    <rPh sb="0" eb="6">
      <t>シンセイブショレンバン</t>
    </rPh>
    <phoneticPr fontId="1"/>
  </si>
  <si>
    <t>切替日</t>
    <rPh sb="0" eb="3">
      <t>キリカエビ</t>
    </rPh>
    <phoneticPr fontId="1"/>
  </si>
  <si>
    <t>無効日</t>
    <rPh sb="0" eb="3">
      <t>ムコウビ</t>
    </rPh>
    <phoneticPr fontId="1"/>
  </si>
  <si>
    <t>予算マスタ</t>
    <rPh sb="0" eb="2">
      <t>ヨサン</t>
    </rPh>
    <phoneticPr fontId="1"/>
  </si>
  <si>
    <t>予算連番</t>
    <rPh sb="0" eb="4">
      <t>ヨサンレンバン</t>
    </rPh>
    <phoneticPr fontId="1"/>
  </si>
  <si>
    <t>予算回数</t>
    <rPh sb="0" eb="4">
      <t>ヨサンカイスウ</t>
    </rPh>
    <phoneticPr fontId="1"/>
  </si>
  <si>
    <t>査定回数</t>
    <rPh sb="0" eb="2">
      <t>サテイ</t>
    </rPh>
    <rPh sb="2" eb="4">
      <t>カイスウ</t>
    </rPh>
    <phoneticPr fontId="1"/>
  </si>
  <si>
    <t>業務連番</t>
    <rPh sb="0" eb="4">
      <t>ギョウムレンバン</t>
    </rPh>
    <phoneticPr fontId="1"/>
  </si>
  <si>
    <t>科目連番</t>
    <rPh sb="0" eb="4">
      <t>カモクレンバン</t>
    </rPh>
    <phoneticPr fontId="1"/>
  </si>
  <si>
    <t>申請摘要1</t>
    <rPh sb="0" eb="2">
      <t>シンセイ</t>
    </rPh>
    <rPh sb="2" eb="4">
      <t>テキヨウ</t>
    </rPh>
    <phoneticPr fontId="1"/>
  </si>
  <si>
    <t>切替日</t>
    <rPh sb="0" eb="3">
      <t>キリカエビ</t>
    </rPh>
    <phoneticPr fontId="1"/>
  </si>
  <si>
    <t>配分先マスタ</t>
    <rPh sb="0" eb="3">
      <t>ハイブンサキ</t>
    </rPh>
    <phoneticPr fontId="1"/>
  </si>
  <si>
    <t>配分先連番</t>
    <rPh sb="0" eb="5">
      <t>ハイブンサキレンバン</t>
    </rPh>
    <phoneticPr fontId="1"/>
  </si>
  <si>
    <t>配分先名称</t>
    <rPh sb="0" eb="5">
      <t>ハイブンサキメイショウ</t>
    </rPh>
    <phoneticPr fontId="1"/>
  </si>
  <si>
    <t>無効日</t>
    <rPh sb="0" eb="3">
      <t>ムコウビ</t>
    </rPh>
    <phoneticPr fontId="1"/>
  </si>
  <si>
    <t>開講科目マスタ</t>
    <rPh sb="0" eb="4">
      <t>カイコウカモク</t>
    </rPh>
    <phoneticPr fontId="1"/>
  </si>
  <si>
    <t>開講年度</t>
    <rPh sb="0" eb="4">
      <t>カイコウネンド</t>
    </rPh>
    <phoneticPr fontId="1"/>
  </si>
  <si>
    <t>クラスコード</t>
    <phoneticPr fontId="1"/>
  </si>
  <si>
    <t>科目マスタ</t>
    <rPh sb="0" eb="2">
      <t>カモク</t>
    </rPh>
    <phoneticPr fontId="1"/>
  </si>
  <si>
    <t>授業マスタ</t>
    <rPh sb="0" eb="2">
      <t>ジュギョウ</t>
    </rPh>
    <phoneticPr fontId="1"/>
  </si>
  <si>
    <t>コマ番</t>
    <rPh sb="2" eb="3">
      <t>バン</t>
    </rPh>
    <phoneticPr fontId="1"/>
  </si>
  <si>
    <t>授業期間コード</t>
    <rPh sb="0" eb="4">
      <t>ジュギョウキカン</t>
    </rPh>
    <phoneticPr fontId="1"/>
  </si>
  <si>
    <t>曜日コード</t>
    <rPh sb="0" eb="2">
      <t>ヨウビ</t>
    </rPh>
    <phoneticPr fontId="1"/>
  </si>
  <si>
    <t>講時コード</t>
    <rPh sb="0" eb="2">
      <t>コウジ</t>
    </rPh>
    <phoneticPr fontId="1"/>
  </si>
  <si>
    <t>授業開始時間</t>
    <rPh sb="0" eb="2">
      <t>ジュギョウ</t>
    </rPh>
    <rPh sb="2" eb="6">
      <t>カイシジカン</t>
    </rPh>
    <phoneticPr fontId="1"/>
  </si>
  <si>
    <t>授業終了時間</t>
    <rPh sb="0" eb="2">
      <t>ジュギョウ</t>
    </rPh>
    <rPh sb="2" eb="4">
      <t>シュウリョウ</t>
    </rPh>
    <rPh sb="4" eb="6">
      <t>ジカン</t>
    </rPh>
    <phoneticPr fontId="1"/>
  </si>
  <si>
    <t>授業担当マスタ</t>
    <rPh sb="0" eb="2">
      <t>ジュギョウ</t>
    </rPh>
    <rPh sb="2" eb="4">
      <t>タントウ</t>
    </rPh>
    <phoneticPr fontId="1"/>
  </si>
  <si>
    <t>教員コード</t>
    <rPh sb="0" eb="2">
      <t>キョウイン</t>
    </rPh>
    <phoneticPr fontId="1"/>
  </si>
  <si>
    <t>学年暦マスタ</t>
    <rPh sb="0" eb="3">
      <t>ガクネンレキ</t>
    </rPh>
    <phoneticPr fontId="1"/>
  </si>
  <si>
    <t>年度</t>
    <rPh sb="0" eb="2">
      <t>ネンド</t>
    </rPh>
    <phoneticPr fontId="1"/>
  </si>
  <si>
    <t>学年暦種別</t>
    <rPh sb="0" eb="3">
      <t>ガクネンレキ</t>
    </rPh>
    <rPh sb="3" eb="5">
      <t>シュベツ</t>
    </rPh>
    <phoneticPr fontId="1"/>
  </si>
  <si>
    <t>期間コード</t>
    <rPh sb="0" eb="2">
      <t>キカン</t>
    </rPh>
    <phoneticPr fontId="1"/>
  </si>
  <si>
    <t>期間開始日</t>
    <rPh sb="0" eb="5">
      <t>キカンカイシビ</t>
    </rPh>
    <phoneticPr fontId="1"/>
  </si>
  <si>
    <t>期間終了日</t>
    <rPh sb="0" eb="5">
      <t>キカンシュウリョウビ</t>
    </rPh>
    <phoneticPr fontId="1"/>
  </si>
  <si>
    <t>部署マスタ</t>
    <rPh sb="0" eb="2">
      <t>ブショ</t>
    </rPh>
    <phoneticPr fontId="1"/>
  </si>
  <si>
    <t>部署連番</t>
    <rPh sb="0" eb="4">
      <t>ブショレンバン</t>
    </rPh>
    <phoneticPr fontId="1"/>
  </si>
  <si>
    <t>部署コード</t>
    <rPh sb="0" eb="2">
      <t>ブショ</t>
    </rPh>
    <phoneticPr fontId="1"/>
  </si>
  <si>
    <t>部署名</t>
    <rPh sb="0" eb="3">
      <t>ブショメイ</t>
    </rPh>
    <phoneticPr fontId="1"/>
  </si>
  <si>
    <t>部署正式名</t>
    <rPh sb="0" eb="2">
      <t>ブショ</t>
    </rPh>
    <rPh sb="2" eb="5">
      <t>セイシキメイ</t>
    </rPh>
    <phoneticPr fontId="1"/>
  </si>
  <si>
    <t>無効フラグ</t>
    <rPh sb="0" eb="2">
      <t>ムコウ</t>
    </rPh>
    <phoneticPr fontId="1"/>
  </si>
  <si>
    <t>付替フラグ</t>
    <rPh sb="0" eb="2">
      <t>ツケカ</t>
    </rPh>
    <phoneticPr fontId="1"/>
  </si>
  <si>
    <t>※1：雇用部課コードと紐づくのは</t>
    <rPh sb="3" eb="7">
      <t>コヨウブカ</t>
    </rPh>
    <rPh sb="11" eb="12">
      <t>ヒモ</t>
    </rPh>
    <phoneticPr fontId="1"/>
  </si>
  <si>
    <r>
      <t>部署コード</t>
    </r>
    <r>
      <rPr>
        <b/>
        <vertAlign val="superscript"/>
        <sz val="10"/>
        <rFont val="Yu Gothic UI"/>
        <family val="3"/>
        <charset val="128"/>
      </rPr>
      <t>※1</t>
    </r>
    <rPh sb="0" eb="2">
      <t>ブショ</t>
    </rPh>
    <phoneticPr fontId="1"/>
  </si>
  <si>
    <r>
      <t>申請部署連番</t>
    </r>
    <r>
      <rPr>
        <b/>
        <vertAlign val="superscript"/>
        <sz val="10"/>
        <rFont val="Yu Gothic UI"/>
        <family val="3"/>
        <charset val="128"/>
      </rPr>
      <t>※1</t>
    </r>
    <rPh sb="0" eb="6">
      <t>シンセイブショレンバン</t>
    </rPh>
    <phoneticPr fontId="1"/>
  </si>
  <si>
    <t>※1：申請部署連番と紐づくのは</t>
    <rPh sb="3" eb="7">
      <t>シンセイブショ</t>
    </rPh>
    <rPh sb="7" eb="9">
      <t>レンバン</t>
    </rPh>
    <rPh sb="10" eb="11">
      <t>ヒモ</t>
    </rPh>
    <phoneticPr fontId="1"/>
  </si>
  <si>
    <t>部署マスタの部署連番</t>
    <rPh sb="0" eb="2">
      <t>ブショ</t>
    </rPh>
    <rPh sb="6" eb="10">
      <t>ブショレンバン</t>
    </rPh>
    <phoneticPr fontId="1"/>
  </si>
  <si>
    <t>勤務入力</t>
    <rPh sb="0" eb="4">
      <t>キンムニュウリョク</t>
    </rPh>
    <phoneticPr fontId="1"/>
  </si>
  <si>
    <t>※ユーザコードマスタ（UC0004）のコード値名称5が「1」の組織コードが登録されていると管理者</t>
    <rPh sb="22" eb="25">
      <t>チメイショウ</t>
    </rPh>
    <rPh sb="31" eb="33">
      <t>ソシキ</t>
    </rPh>
    <rPh sb="37" eb="39">
      <t>トウロク</t>
    </rPh>
    <rPh sb="45" eb="48">
      <t>カンリシャ</t>
    </rPh>
    <phoneticPr fontId="1"/>
  </si>
  <si>
    <t>※4～6の留学生課はユーザコードマスタ（UC0004）のコード値名称4が「1」の組織コードが</t>
    <rPh sb="5" eb="8">
      <t>リュウガクセイ</t>
    </rPh>
    <rPh sb="8" eb="9">
      <t>カ</t>
    </rPh>
    <rPh sb="31" eb="34">
      <t>チメイショウ</t>
    </rPh>
    <rPh sb="40" eb="42">
      <t>ソシキ</t>
    </rPh>
    <phoneticPr fontId="1"/>
  </si>
  <si>
    <t>勤務情報</t>
    <rPh sb="0" eb="2">
      <t>キンム</t>
    </rPh>
    <rPh sb="2" eb="4">
      <t>ジョウホウ</t>
    </rPh>
    <phoneticPr fontId="1"/>
  </si>
  <si>
    <t>勤務番号</t>
    <rPh sb="0" eb="4">
      <t>キンムバンゴウ</t>
    </rPh>
    <phoneticPr fontId="1"/>
  </si>
  <si>
    <t>勤務日</t>
    <rPh sb="0" eb="3">
      <t>キンムビ</t>
    </rPh>
    <phoneticPr fontId="1"/>
  </si>
  <si>
    <t>曜日区分</t>
    <rPh sb="0" eb="4">
      <t>ヨウビクブン</t>
    </rPh>
    <phoneticPr fontId="1"/>
  </si>
  <si>
    <t>勤務開始時刻</t>
    <rPh sb="0" eb="6">
      <t>キンムカイシジコク</t>
    </rPh>
    <phoneticPr fontId="1"/>
  </si>
  <si>
    <t>勤務終了時刻</t>
    <rPh sb="0" eb="4">
      <t>キンムシュウリョウ</t>
    </rPh>
    <rPh sb="4" eb="6">
      <t>ジコク</t>
    </rPh>
    <phoneticPr fontId="1"/>
  </si>
  <si>
    <t>控除時間</t>
    <rPh sb="0" eb="4">
      <t>コウジョジカン</t>
    </rPh>
    <phoneticPr fontId="1"/>
  </si>
  <si>
    <t>勤務内容</t>
    <rPh sb="0" eb="4">
      <t>キンムナイヨウ</t>
    </rPh>
    <phoneticPr fontId="1"/>
  </si>
  <si>
    <t>校地移動フラグ</t>
    <rPh sb="0" eb="4">
      <t>コウチイドウ</t>
    </rPh>
    <phoneticPr fontId="1"/>
  </si>
  <si>
    <t>理由</t>
    <rPh sb="0" eb="2">
      <t>リユウ</t>
    </rPh>
    <phoneticPr fontId="1"/>
  </si>
  <si>
    <t>最終ステータス</t>
    <rPh sb="0" eb="2">
      <t>サイシュウ</t>
    </rPh>
    <phoneticPr fontId="1"/>
  </si>
  <si>
    <t>最終承認日時</t>
    <rPh sb="0" eb="4">
      <t>サイシュウショウニン</t>
    </rPh>
    <rPh sb="4" eb="6">
      <t>ニチジ</t>
    </rPh>
    <phoneticPr fontId="1"/>
  </si>
  <si>
    <t>給与支給日</t>
    <rPh sb="0" eb="5">
      <t>キュウヨシキュウビ</t>
    </rPh>
    <phoneticPr fontId="1"/>
  </si>
  <si>
    <t>給与計算処理実施日</t>
    <rPh sb="0" eb="6">
      <t>キュウヨケイサンショリ</t>
    </rPh>
    <rPh sb="6" eb="9">
      <t>ジッシビ</t>
    </rPh>
    <phoneticPr fontId="1"/>
  </si>
  <si>
    <t>勤務番号</t>
    <rPh sb="0" eb="2">
      <t>キンム</t>
    </rPh>
    <rPh sb="2" eb="4">
      <t>バンゴウ</t>
    </rPh>
    <phoneticPr fontId="1"/>
  </si>
  <si>
    <t>承認階層</t>
    <rPh sb="0" eb="4">
      <t>ショウニンカイソウ</t>
    </rPh>
    <phoneticPr fontId="1"/>
  </si>
  <si>
    <t>承認枝番</t>
    <rPh sb="0" eb="2">
      <t>ショウニン</t>
    </rPh>
    <rPh sb="2" eb="4">
      <t>エダバン</t>
    </rPh>
    <phoneticPr fontId="1"/>
  </si>
  <si>
    <t>承認社員ID</t>
    <rPh sb="0" eb="2">
      <t>ショウニン</t>
    </rPh>
    <rPh sb="2" eb="4">
      <t>シャイン</t>
    </rPh>
    <phoneticPr fontId="1"/>
  </si>
  <si>
    <t>ステータス</t>
    <phoneticPr fontId="1"/>
  </si>
  <si>
    <t>処理日時</t>
    <rPh sb="0" eb="4">
      <t>ショリニチジ</t>
    </rPh>
    <phoneticPr fontId="1"/>
  </si>
  <si>
    <t>差戻フラグ</t>
    <rPh sb="0" eb="2">
      <t>サシモドシ</t>
    </rPh>
    <phoneticPr fontId="1"/>
  </si>
  <si>
    <t>差戻者</t>
    <rPh sb="0" eb="3">
      <t>サシモドシシャ</t>
    </rPh>
    <phoneticPr fontId="1"/>
  </si>
  <si>
    <t>勤務入力・給与計算・メール送信を追加</t>
    <rPh sb="0" eb="4">
      <t>キンムニュウリョク</t>
    </rPh>
    <rPh sb="5" eb="9">
      <t>キュウヨケイサン</t>
    </rPh>
    <rPh sb="13" eb="15">
      <t>ソウシン</t>
    </rPh>
    <rPh sb="16" eb="18">
      <t>ツイカ</t>
    </rPh>
    <phoneticPr fontId="1"/>
  </si>
  <si>
    <t>給与計算</t>
    <rPh sb="0" eb="4">
      <t>キュウヨケイサン</t>
    </rPh>
    <phoneticPr fontId="1"/>
  </si>
  <si>
    <t>勤務時間集計Work</t>
    <rPh sb="0" eb="4">
      <t>キンムジカン</t>
    </rPh>
    <rPh sb="4" eb="6">
      <t>シュウケイ</t>
    </rPh>
    <phoneticPr fontId="1"/>
  </si>
  <si>
    <t>処理年</t>
    <rPh sb="0" eb="3">
      <t>ショリネン</t>
    </rPh>
    <phoneticPr fontId="1"/>
  </si>
  <si>
    <t>処理月</t>
    <rPh sb="0" eb="3">
      <t>ショリツキ</t>
    </rPh>
    <phoneticPr fontId="1"/>
  </si>
  <si>
    <t>項目ID</t>
    <rPh sb="0" eb="2">
      <t>コウモク</t>
    </rPh>
    <phoneticPr fontId="1"/>
  </si>
  <si>
    <t>勤怠集計時間</t>
    <rPh sb="0" eb="4">
      <t>キンタイシュウケイ</t>
    </rPh>
    <rPh sb="4" eb="6">
      <t>ジカン</t>
    </rPh>
    <phoneticPr fontId="1"/>
  </si>
  <si>
    <t>校地移動回数Work</t>
    <rPh sb="0" eb="4">
      <t>コウチイドウ</t>
    </rPh>
    <rPh sb="4" eb="6">
      <t>カイスウ</t>
    </rPh>
    <phoneticPr fontId="1"/>
  </si>
  <si>
    <t>金額</t>
    <rPh sb="0" eb="2">
      <t>キンガク</t>
    </rPh>
    <phoneticPr fontId="1"/>
  </si>
  <si>
    <t>勤務時間アラートWork</t>
    <rPh sb="0" eb="4">
      <t>キンムジカン</t>
    </rPh>
    <phoneticPr fontId="1"/>
  </si>
  <si>
    <t>勤務月</t>
    <rPh sb="0" eb="3">
      <t>キンムツキ</t>
    </rPh>
    <phoneticPr fontId="1"/>
  </si>
  <si>
    <t>職種名</t>
    <rPh sb="0" eb="3">
      <t>ショクシュメイ</t>
    </rPh>
    <phoneticPr fontId="1"/>
  </si>
  <si>
    <t>漢字氏名</t>
    <rPh sb="0" eb="4">
      <t>カンジシメイ</t>
    </rPh>
    <phoneticPr fontId="1"/>
  </si>
  <si>
    <t>アラート</t>
    <phoneticPr fontId="1"/>
  </si>
  <si>
    <t>雇用情報</t>
    <rPh sb="0" eb="4">
      <t>コヨウジョウホウ</t>
    </rPh>
    <phoneticPr fontId="1"/>
  </si>
  <si>
    <t>対象期間</t>
    <rPh sb="0" eb="4">
      <t>タイショウキカン</t>
    </rPh>
    <phoneticPr fontId="1"/>
  </si>
  <si>
    <t>勤務時間</t>
    <rPh sb="0" eb="4">
      <t>キンムジカン</t>
    </rPh>
    <phoneticPr fontId="1"/>
  </si>
  <si>
    <t>【仮集計】</t>
    <rPh sb="1" eb="4">
      <t>カリシュウケイ</t>
    </rPh>
    <phoneticPr fontId="1"/>
  </si>
  <si>
    <t>勤務時間アラート仮Work</t>
    <rPh sb="0" eb="4">
      <t>キンムジカン</t>
    </rPh>
    <rPh sb="8" eb="9">
      <t>カリ</t>
    </rPh>
    <phoneticPr fontId="1"/>
  </si>
  <si>
    <t>ログインID</t>
    <phoneticPr fontId="1"/>
  </si>
  <si>
    <t>メール送信</t>
    <rPh sb="3" eb="5">
      <t>ソウシン</t>
    </rPh>
    <phoneticPr fontId="1"/>
  </si>
  <si>
    <t>メール管理マスタ</t>
    <rPh sb="3" eb="5">
      <t>カンリ</t>
    </rPh>
    <phoneticPr fontId="1"/>
  </si>
  <si>
    <t>メール種別コード</t>
    <rPh sb="3" eb="5">
      <t>シュベツ</t>
    </rPh>
    <phoneticPr fontId="1"/>
  </si>
  <si>
    <t>メール種別名</t>
    <rPh sb="3" eb="6">
      <t>シュベツメイ</t>
    </rPh>
    <phoneticPr fontId="1"/>
  </si>
  <si>
    <t>メールタイトル</t>
    <phoneticPr fontId="1"/>
  </si>
  <si>
    <t>メールタイトル（英語）</t>
    <rPh sb="8" eb="10">
      <t>エイゴ</t>
    </rPh>
    <phoneticPr fontId="1"/>
  </si>
  <si>
    <t>メール本文</t>
    <rPh sb="3" eb="5">
      <t>ホンブン</t>
    </rPh>
    <phoneticPr fontId="1"/>
  </si>
  <si>
    <t>メール本文英語</t>
    <rPh sb="3" eb="5">
      <t>ホンブン</t>
    </rPh>
    <rPh sb="5" eb="7">
      <t>エイゴ</t>
    </rPh>
    <phoneticPr fontId="1"/>
  </si>
  <si>
    <t>同報メール送信先1</t>
    <rPh sb="0" eb="2">
      <t>ドウホウ</t>
    </rPh>
    <rPh sb="5" eb="7">
      <t>ソウシン</t>
    </rPh>
    <rPh sb="7" eb="8">
      <t>サキ</t>
    </rPh>
    <phoneticPr fontId="1"/>
  </si>
  <si>
    <t>同報メール送信先2</t>
    <rPh sb="0" eb="2">
      <t>ドウホウ</t>
    </rPh>
    <rPh sb="5" eb="7">
      <t>ソウシン</t>
    </rPh>
    <rPh sb="7" eb="8">
      <t>サキ</t>
    </rPh>
    <phoneticPr fontId="1"/>
  </si>
  <si>
    <t>同報メール送信先3</t>
    <rPh sb="0" eb="2">
      <t>ドウホウ</t>
    </rPh>
    <rPh sb="5" eb="7">
      <t>ソウシン</t>
    </rPh>
    <rPh sb="7" eb="8">
      <t>サキ</t>
    </rPh>
    <phoneticPr fontId="1"/>
  </si>
  <si>
    <t>同報メール送信先4</t>
    <rPh sb="0" eb="2">
      <t>ドウホウ</t>
    </rPh>
    <rPh sb="5" eb="7">
      <t>ソウシン</t>
    </rPh>
    <rPh sb="7" eb="8">
      <t>サキ</t>
    </rPh>
    <phoneticPr fontId="1"/>
  </si>
  <si>
    <t>同報メール送信先5</t>
    <rPh sb="0" eb="2">
      <t>ドウホウ</t>
    </rPh>
    <rPh sb="5" eb="7">
      <t>ソウシン</t>
    </rPh>
    <rPh sb="7" eb="8">
      <t>サキ</t>
    </rPh>
    <phoneticPr fontId="1"/>
  </si>
  <si>
    <t>メール区分</t>
    <rPh sb="3" eb="5">
      <t>クブン</t>
    </rPh>
    <phoneticPr fontId="1"/>
  </si>
  <si>
    <t>スケジュール送信区分</t>
    <rPh sb="6" eb="8">
      <t>ソウシン</t>
    </rPh>
    <rPh sb="8" eb="10">
      <t>クブン</t>
    </rPh>
    <phoneticPr fontId="1"/>
  </si>
  <si>
    <t>メール置換文言コード</t>
    <rPh sb="3" eb="5">
      <t>チカン</t>
    </rPh>
    <rPh sb="5" eb="7">
      <t>モンゴン</t>
    </rPh>
    <phoneticPr fontId="1"/>
  </si>
  <si>
    <t>メール置換文言説明</t>
    <rPh sb="3" eb="5">
      <t>チカン</t>
    </rPh>
    <rPh sb="5" eb="7">
      <t>モンゴン</t>
    </rPh>
    <rPh sb="7" eb="9">
      <t>セツメイ</t>
    </rPh>
    <phoneticPr fontId="1"/>
  </si>
  <si>
    <t>※1：ユーザコードマスタ（UC0003）のコード値が職種と一致するコード値名称1～6を取得し、</t>
    <rPh sb="24" eb="25">
      <t>チ</t>
    </rPh>
    <phoneticPr fontId="1"/>
  </si>
  <si>
    <t>コード値名称分、勤務承認テーブルの階層を登録する</t>
    <rPh sb="3" eb="6">
      <t>チメイショウ</t>
    </rPh>
    <rPh sb="6" eb="7">
      <t>ブン</t>
    </rPh>
    <rPh sb="8" eb="12">
      <t>キンムショウニン</t>
    </rPh>
    <rPh sb="17" eb="19">
      <t>カイソウ</t>
    </rPh>
    <phoneticPr fontId="1"/>
  </si>
  <si>
    <t>[承認権限]</t>
    <rPh sb="1" eb="5">
      <t>ショウニンケンゲン</t>
    </rPh>
    <phoneticPr fontId="1"/>
  </si>
  <si>
    <t>※勤務承認テーブルは勤務登録時にユーザコードマスタから承認フローマスタを取得し、</t>
    <rPh sb="1" eb="5">
      <t>キンムショウニン</t>
    </rPh>
    <rPh sb="10" eb="15">
      <t>キンムトウロクジ</t>
    </rPh>
    <rPh sb="27" eb="29">
      <t>ショウニン</t>
    </rPh>
    <rPh sb="36" eb="38">
      <t>シュトク</t>
    </rPh>
    <phoneticPr fontId="1"/>
  </si>
  <si>
    <t>必要階層分レコードを登録する。なお、次の承認者のみ有効フラグを有効にし、承認者が承認することで</t>
    <rPh sb="10" eb="12">
      <t>トウロク</t>
    </rPh>
    <rPh sb="18" eb="19">
      <t>ツギ</t>
    </rPh>
    <rPh sb="20" eb="23">
      <t>ショウニンシャ</t>
    </rPh>
    <rPh sb="25" eb="27">
      <t>ユウコウ</t>
    </rPh>
    <rPh sb="31" eb="33">
      <t>ユウコウ</t>
    </rPh>
    <rPh sb="36" eb="39">
      <t>ショウニンシャ</t>
    </rPh>
    <rPh sb="40" eb="42">
      <t>ショウニン</t>
    </rPh>
    <phoneticPr fontId="1"/>
  </si>
  <si>
    <t>次の承認者（階層）のレコードが有効になるようにする。</t>
    <rPh sb="15" eb="17">
      <t>ユウコウ</t>
    </rPh>
    <phoneticPr fontId="1"/>
  </si>
  <si>
    <t>【承認フローマスタ】　2024/3/25時点</t>
    <rPh sb="1" eb="3">
      <t>ショウニン</t>
    </rPh>
    <rPh sb="20" eb="22">
      <t>ジテン</t>
    </rPh>
    <phoneticPr fontId="1"/>
  </si>
  <si>
    <t>職種</t>
    <rPh sb="0" eb="2">
      <t>ショクシュ</t>
    </rPh>
    <phoneticPr fontId="1"/>
  </si>
  <si>
    <t>01：TA</t>
    <phoneticPr fontId="1"/>
  </si>
  <si>
    <t>承認1</t>
    <rPh sb="0" eb="2">
      <t>ショウニン</t>
    </rPh>
    <phoneticPr fontId="1"/>
  </si>
  <si>
    <t>6：教員</t>
    <rPh sb="2" eb="4">
      <t>キョウイン</t>
    </rPh>
    <phoneticPr fontId="1"/>
  </si>
  <si>
    <t>承認2</t>
    <rPh sb="0" eb="2">
      <t>ショウニン</t>
    </rPh>
    <phoneticPr fontId="1"/>
  </si>
  <si>
    <t>承認3</t>
    <rPh sb="0" eb="2">
      <t>ショウニン</t>
    </rPh>
    <phoneticPr fontId="1"/>
  </si>
  <si>
    <t>承認4</t>
    <rPh sb="0" eb="2">
      <t>ショウニン</t>
    </rPh>
    <phoneticPr fontId="1"/>
  </si>
  <si>
    <t>承認5</t>
    <rPh sb="0" eb="2">
      <t>ショウニン</t>
    </rPh>
    <phoneticPr fontId="1"/>
  </si>
  <si>
    <t>承認6</t>
    <rPh sb="0" eb="2">
      <t>ショウニン</t>
    </rPh>
    <phoneticPr fontId="1"/>
  </si>
  <si>
    <t>02：SA</t>
    <phoneticPr fontId="1"/>
  </si>
  <si>
    <t>03：RA</t>
    <phoneticPr fontId="1"/>
  </si>
  <si>
    <t>04：LA</t>
    <phoneticPr fontId="1"/>
  </si>
  <si>
    <t>05：IS</t>
    <phoneticPr fontId="1"/>
  </si>
  <si>
    <t>06：RS</t>
    <phoneticPr fontId="1"/>
  </si>
  <si>
    <t>51：PJ</t>
    <phoneticPr fontId="1"/>
  </si>
  <si>
    <t>7：担当者</t>
    <rPh sb="2" eb="5">
      <t>タントウシャ</t>
    </rPh>
    <phoneticPr fontId="1"/>
  </si>
  <si>
    <t>8：事務長</t>
    <rPh sb="2" eb="5">
      <t>ジムチョウ</t>
    </rPh>
    <phoneticPr fontId="1"/>
  </si>
  <si>
    <t>14：所属長</t>
    <rPh sb="3" eb="6">
      <t>ショゾクチョウ</t>
    </rPh>
    <phoneticPr fontId="1"/>
  </si>
  <si>
    <t>7：教員</t>
    <rPh sb="2" eb="4">
      <t>キョウイン</t>
    </rPh>
    <phoneticPr fontId="1"/>
  </si>
  <si>
    <t>8：担当者</t>
    <rPh sb="2" eb="5">
      <t>タントウシャ</t>
    </rPh>
    <phoneticPr fontId="1"/>
  </si>
  <si>
    <t>9：事務長</t>
    <rPh sb="2" eb="5">
      <t>ジムチョウ</t>
    </rPh>
    <phoneticPr fontId="1"/>
  </si>
  <si>
    <t>15：所属長</t>
    <rPh sb="3" eb="6">
      <t>ショゾクチョウ</t>
    </rPh>
    <phoneticPr fontId="1"/>
  </si>
  <si>
    <t>6：留学生課センター長</t>
    <rPh sb="2" eb="5">
      <t>リュウガクセイ</t>
    </rPh>
    <rPh sb="5" eb="6">
      <t>カ</t>
    </rPh>
    <rPh sb="10" eb="11">
      <t>チョウ</t>
    </rPh>
    <phoneticPr fontId="1"/>
  </si>
  <si>
    <t>6：留学生課センター長</t>
    <rPh sb="2" eb="5">
      <t>リュウガクセイ</t>
    </rPh>
    <rPh sb="5" eb="6">
      <t>カ</t>
    </rPh>
    <phoneticPr fontId="1"/>
  </si>
  <si>
    <t>【勤務承認レコード例】</t>
    <rPh sb="1" eb="5">
      <t>キンムショウニン</t>
    </rPh>
    <rPh sb="9" eb="10">
      <t>レイ</t>
    </rPh>
    <phoneticPr fontId="1"/>
  </si>
  <si>
    <t>勤務番号</t>
    <rPh sb="0" eb="4">
      <t>キンムバンゴウ</t>
    </rPh>
    <phoneticPr fontId="1"/>
  </si>
  <si>
    <t>承認階層</t>
    <rPh sb="0" eb="2">
      <t>ショウニン</t>
    </rPh>
    <rPh sb="2" eb="4">
      <t>カイソウ</t>
    </rPh>
    <phoneticPr fontId="1"/>
  </si>
  <si>
    <t>承認枝番</t>
    <rPh sb="0" eb="4">
      <t>ショウニンエダバン</t>
    </rPh>
    <phoneticPr fontId="1"/>
  </si>
  <si>
    <t>主担当教員コード</t>
    <rPh sb="0" eb="5">
      <t>シュタントウキョウイン</t>
    </rPh>
    <phoneticPr fontId="1"/>
  </si>
  <si>
    <t>雇用部課コード</t>
    <rPh sb="0" eb="4">
      <t>コヨウブカ</t>
    </rPh>
    <phoneticPr fontId="1"/>
  </si>
  <si>
    <t>承認権限</t>
    <rPh sb="0" eb="2">
      <t>ショウニン</t>
    </rPh>
    <rPh sb="2" eb="4">
      <t>ケンゲン</t>
    </rPh>
    <phoneticPr fontId="1"/>
  </si>
  <si>
    <t>※職種TAで学生が勤務入力した時点</t>
    <rPh sb="1" eb="3">
      <t>ショクシュ</t>
    </rPh>
    <rPh sb="6" eb="8">
      <t>ガクセイ</t>
    </rPh>
    <rPh sb="9" eb="13">
      <t>キンムニュウリョク</t>
    </rPh>
    <rPh sb="15" eb="17">
      <t>ジテン</t>
    </rPh>
    <phoneticPr fontId="1"/>
  </si>
  <si>
    <t>承認社員ID</t>
    <rPh sb="0" eb="2">
      <t>ショウニン</t>
    </rPh>
    <rPh sb="2" eb="4">
      <t>シャイン</t>
    </rPh>
    <phoneticPr fontId="1"/>
  </si>
  <si>
    <t>ステータス</t>
    <phoneticPr fontId="1"/>
  </si>
  <si>
    <t>処理日時</t>
    <rPh sb="0" eb="2">
      <t>ショリ</t>
    </rPh>
    <rPh sb="2" eb="4">
      <t>ニチジ</t>
    </rPh>
    <phoneticPr fontId="1"/>
  </si>
  <si>
    <t>有効フラグ</t>
    <rPh sb="0" eb="2">
      <t>ユウコウ</t>
    </rPh>
    <phoneticPr fontId="1"/>
  </si>
  <si>
    <t>差戻フラグ</t>
    <rPh sb="0" eb="2">
      <t>サシモドシ</t>
    </rPh>
    <phoneticPr fontId="1"/>
  </si>
  <si>
    <t>差戻者</t>
    <rPh sb="0" eb="3">
      <t>サシモドシシャ</t>
    </rPh>
    <phoneticPr fontId="1"/>
  </si>
  <si>
    <t>Null</t>
  </si>
  <si>
    <t>Null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</si>
</sst>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&quot;年&quot;m&quot;月&quot;d&quot;日&quot;;@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name val="Yu Gothic UI"/>
      <family val="3"/>
      <charset val="128"/>
    </font>
    <font>
      <sz val="10"/>
      <name val="Yu Gothic UI"/>
      <family val="3"/>
      <charset val="128"/>
    </font>
    <font>
      <b/>
      <sz val="10"/>
      <name val="Yu Gothic UI"/>
      <family val="3"/>
      <charset val="128"/>
    </font>
    <font>
      <sz val="20"/>
      <name val="Yu Gothic UI"/>
      <family val="3"/>
      <charset val="128"/>
    </font>
    <font>
      <sz val="18"/>
      <name val="Yu Gothic UI"/>
      <family val="3"/>
      <charset val="128"/>
    </font>
    <font>
      <sz val="14"/>
      <name val="Yu Gothic UI"/>
      <family val="3"/>
      <charset val="128"/>
    </font>
    <font>
      <vertAlign val="superscript"/>
      <sz val="10"/>
      <name val="Yu Gothic UI"/>
      <family val="3"/>
      <charset val="128"/>
    </font>
    <font>
      <b/>
      <vertAlign val="superscript"/>
      <sz val="10"/>
      <name val="Yu Gothic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lightDown">
        <fgColor theme="0" tint="-0.14996795556505021"/>
        <bgColor indexed="65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86">
    <xf numFmtId="0" fontId="0" fillId="0" borderId="0" xfId="0"/>
    <xf numFmtId="0" fontId="4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0" xfId="0" applyFont="1" applyFill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5" fillId="8" borderId="28" xfId="0" applyFont="1" applyFill="1" applyBorder="1" applyAlignment="1">
      <alignment vertical="center"/>
    </xf>
    <xf numFmtId="0" fontId="5" fillId="8" borderId="29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5" fillId="8" borderId="3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5" fillId="0" borderId="6" xfId="0" quotePrefix="1" applyFont="1" applyBorder="1" applyAlignment="1">
      <alignment vertical="center"/>
    </xf>
    <xf numFmtId="0" fontId="5" fillId="0" borderId="7" xfId="0" quotePrefix="1" applyFont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4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6" fillId="8" borderId="28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5" xfId="0" applyFont="1" applyFill="1" applyBorder="1" applyAlignment="1">
      <alignment vertical="center"/>
    </xf>
    <xf numFmtId="0" fontId="6" fillId="7" borderId="28" xfId="0" applyFont="1" applyFill="1" applyBorder="1" applyAlignment="1">
      <alignment vertical="center"/>
    </xf>
    <xf numFmtId="0" fontId="5" fillId="7" borderId="29" xfId="0" applyFont="1" applyFill="1" applyBorder="1" applyAlignment="1">
      <alignment vertical="center"/>
    </xf>
    <xf numFmtId="0" fontId="5" fillId="7" borderId="30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5" fillId="8" borderId="4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5" fillId="7" borderId="28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5" xfId="0" quotePrefix="1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39" xfId="0" quotePrefix="1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4" fillId="3" borderId="31" xfId="1" applyFont="1" applyFill="1" applyBorder="1" applyAlignment="1">
      <alignment horizontal="center" vertical="center"/>
    </xf>
    <xf numFmtId="0" fontId="4" fillId="0" borderId="33" xfId="1" applyFont="1" applyBorder="1" applyAlignment="1">
      <alignment horizontal="left" vertical="center"/>
    </xf>
    <xf numFmtId="0" fontId="4" fillId="0" borderId="34" xfId="1" applyFont="1" applyBorder="1" applyAlignment="1">
      <alignment horizontal="left" vertical="center"/>
    </xf>
    <xf numFmtId="0" fontId="4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3" borderId="17" xfId="1" applyFont="1" applyFill="1" applyBorder="1" applyAlignment="1">
      <alignment vertical="center"/>
    </xf>
    <xf numFmtId="0" fontId="4" fillId="3" borderId="18" xfId="1" applyFont="1" applyFill="1" applyBorder="1" applyAlignment="1">
      <alignment vertical="center"/>
    </xf>
    <xf numFmtId="0" fontId="4" fillId="0" borderId="19" xfId="1" applyFont="1" applyBorder="1" applyAlignment="1">
      <alignment vertical="center"/>
    </xf>
    <xf numFmtId="0" fontId="4" fillId="0" borderId="20" xfId="1" applyFont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4" fillId="3" borderId="18" xfId="1" applyFont="1" applyFill="1" applyBorder="1" applyAlignment="1">
      <alignment horizontal="center" vertical="center"/>
    </xf>
    <xf numFmtId="0" fontId="4" fillId="0" borderId="19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5" fillId="6" borderId="27" xfId="0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177" fontId="4" fillId="0" borderId="18" xfId="1" applyNumberFormat="1" applyFont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25" xfId="1" applyFont="1" applyFill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3" borderId="26" xfId="1" applyFont="1" applyFill="1" applyBorder="1" applyAlignment="1">
      <alignment vertical="center"/>
    </xf>
    <xf numFmtId="0" fontId="4" fillId="3" borderId="27" xfId="1" applyFont="1" applyFill="1" applyBorder="1" applyAlignment="1">
      <alignment vertical="center"/>
    </xf>
    <xf numFmtId="0" fontId="4" fillId="0" borderId="28" xfId="1" applyFont="1" applyBorder="1" applyAlignment="1">
      <alignment vertical="center" wrapText="1"/>
    </xf>
    <xf numFmtId="0" fontId="4" fillId="0" borderId="29" xfId="1" applyFont="1" applyBorder="1" applyAlignment="1">
      <alignment vertical="center" wrapText="1"/>
    </xf>
    <xf numFmtId="0" fontId="4" fillId="0" borderId="30" xfId="1" applyFont="1" applyBorder="1" applyAlignment="1">
      <alignment vertical="center" wrapText="1"/>
    </xf>
    <xf numFmtId="0" fontId="4" fillId="3" borderId="27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31" fontId="4" fillId="0" borderId="27" xfId="1" applyNumberFormat="1" applyFont="1" applyBorder="1" applyAlignment="1">
      <alignment horizontal="center" vertical="center"/>
    </xf>
    <xf numFmtId="0" fontId="4" fillId="3" borderId="32" xfId="1" applyFont="1" applyFill="1" applyBorder="1" applyAlignment="1">
      <alignment vertical="center"/>
    </xf>
    <xf numFmtId="0" fontId="4" fillId="3" borderId="31" xfId="1" applyFont="1" applyFill="1" applyBorder="1" applyAlignment="1">
      <alignment vertical="center"/>
    </xf>
    <xf numFmtId="0" fontId="4" fillId="0" borderId="33" xfId="1" applyFont="1" applyBorder="1" applyAlignment="1">
      <alignment vertical="center" wrapText="1"/>
    </xf>
    <xf numFmtId="0" fontId="4" fillId="0" borderId="34" xfId="1" applyFont="1" applyBorder="1" applyAlignment="1">
      <alignment vertical="center" wrapText="1"/>
    </xf>
    <xf numFmtId="0" fontId="4" fillId="0" borderId="35" xfId="1" applyFont="1" applyBorder="1" applyAlignment="1">
      <alignment vertical="center" wrapText="1"/>
    </xf>
    <xf numFmtId="0" fontId="4" fillId="0" borderId="24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25" xfId="1" applyFont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7" xfId="0" applyFont="1" applyBorder="1" applyAlignment="1">
      <alignment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7" xfId="0" quotePrefix="1" applyFont="1" applyBorder="1" applyAlignment="1">
      <alignment vertical="center"/>
    </xf>
    <xf numFmtId="14" fontId="4" fillId="0" borderId="27" xfId="0" applyNumberFormat="1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7" xfId="2" applyFont="1" applyBorder="1" applyAlignment="1">
      <alignment vertical="center"/>
    </xf>
    <xf numFmtId="0" fontId="4" fillId="0" borderId="0" xfId="0" applyFont="1"/>
    <xf numFmtId="0" fontId="5" fillId="3" borderId="2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7" fontId="5" fillId="0" borderId="28" xfId="0" applyNumberFormat="1" applyFont="1" applyBorder="1" applyAlignment="1">
      <alignment horizontal="center" vertical="center"/>
    </xf>
    <xf numFmtId="177" fontId="5" fillId="0" borderId="29" xfId="0" applyNumberFormat="1" applyFont="1" applyBorder="1" applyAlignment="1">
      <alignment horizontal="center" vertical="center"/>
    </xf>
    <xf numFmtId="177" fontId="5" fillId="0" borderId="30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27" xfId="0" applyFont="1" applyBorder="1" applyAlignment="1">
      <alignment horizontal="left" vertical="center" indent="1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31" fontId="5" fillId="0" borderId="28" xfId="0" applyNumberFormat="1" applyFont="1" applyBorder="1" applyAlignment="1">
      <alignment horizontal="center" vertical="center"/>
    </xf>
    <xf numFmtId="31" fontId="5" fillId="0" borderId="29" xfId="0" applyNumberFormat="1" applyFont="1" applyBorder="1" applyAlignment="1">
      <alignment horizontal="center" vertical="center"/>
    </xf>
    <xf numFmtId="31" fontId="5" fillId="0" borderId="30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9" borderId="51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textRotation="180"/>
    </xf>
  </cellXfs>
  <cellStyles count="3">
    <cellStyle name="標準" xfId="0" builtinId="0"/>
    <cellStyle name="標準 2" xfId="2" xr:uid="{1752ABCB-0C96-4F9F-946F-78C52C878EB3}"/>
    <cellStyle name="標準_概念_要件定義書（原紙本文EAI-HUB用）_プライオリティ規約（修正版20020430_MQプライオリティ追加)" xfId="1" xr:uid="{00000000-0005-0000-0000-000001000000}"/>
  </cellStyles>
  <dxfs count="0"/>
  <tableStyles count="0" defaultTableStyle="TableStyleMedium9" defaultPivotStyle="PivotStyleLight16"/>
  <colors>
    <mruColors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24</xdr:row>
      <xdr:rowOff>19050</xdr:rowOff>
    </xdr:from>
    <xdr:to>
      <xdr:col>18</xdr:col>
      <xdr:colOff>133350</xdr:colOff>
      <xdr:row>26</xdr:row>
      <xdr:rowOff>76200</xdr:rowOff>
    </xdr:to>
    <xdr:pic>
      <xdr:nvPicPr>
        <xdr:cNvPr id="28875" name="図 10">
          <a:extLst>
            <a:ext uri="{FF2B5EF4-FFF2-40B4-BE49-F238E27FC236}">
              <a16:creationId xmlns:a16="http://schemas.microsoft.com/office/drawing/2014/main" id="{00000000-0008-0000-0000-0000CB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1050"/>
          <a:ext cx="2095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9525</xdr:colOff>
      <xdr:row>24</xdr:row>
      <xdr:rowOff>9525</xdr:rowOff>
    </xdr:from>
    <xdr:to>
      <xdr:col>37</xdr:col>
      <xdr:colOff>19050</xdr:colOff>
      <xdr:row>26</xdr:row>
      <xdr:rowOff>38100</xdr:rowOff>
    </xdr:to>
    <xdr:pic>
      <xdr:nvPicPr>
        <xdr:cNvPr id="28876" name="図 11">
          <a:extLst>
            <a:ext uri="{FF2B5EF4-FFF2-40B4-BE49-F238E27FC236}">
              <a16:creationId xmlns:a16="http://schemas.microsoft.com/office/drawing/2014/main" id="{00000000-0008-0000-0000-0000CC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4581525"/>
          <a:ext cx="15811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</xdr:colOff>
      <xdr:row>29</xdr:row>
      <xdr:rowOff>38100</xdr:rowOff>
    </xdr:from>
    <xdr:to>
      <xdr:col>18</xdr:col>
      <xdr:colOff>104775</xdr:colOff>
      <xdr:row>31</xdr:row>
      <xdr:rowOff>95250</xdr:rowOff>
    </xdr:to>
    <xdr:pic>
      <xdr:nvPicPr>
        <xdr:cNvPr id="28877" name="図 12">
          <a:extLst>
            <a:ext uri="{FF2B5EF4-FFF2-40B4-BE49-F238E27FC236}">
              <a16:creationId xmlns:a16="http://schemas.microsoft.com/office/drawing/2014/main" id="{00000000-0008-0000-0000-0000CD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5562600"/>
          <a:ext cx="2095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19050</xdr:colOff>
      <xdr:row>29</xdr:row>
      <xdr:rowOff>28575</xdr:rowOff>
    </xdr:from>
    <xdr:to>
      <xdr:col>37</xdr:col>
      <xdr:colOff>9525</xdr:colOff>
      <xdr:row>31</xdr:row>
      <xdr:rowOff>28575</xdr:rowOff>
    </xdr:to>
    <xdr:pic>
      <xdr:nvPicPr>
        <xdr:cNvPr id="28878" name="図 13">
          <a:extLst>
            <a:ext uri="{FF2B5EF4-FFF2-40B4-BE49-F238E27FC236}">
              <a16:creationId xmlns:a16="http://schemas.microsoft.com/office/drawing/2014/main" id="{00000000-0008-0000-0000-0000CE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5553075"/>
          <a:ext cx="15621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</xdr:colOff>
      <xdr:row>34</xdr:row>
      <xdr:rowOff>38100</xdr:rowOff>
    </xdr:from>
    <xdr:to>
      <xdr:col>18</xdr:col>
      <xdr:colOff>104775</xdr:colOff>
      <xdr:row>36</xdr:row>
      <xdr:rowOff>95250</xdr:rowOff>
    </xdr:to>
    <xdr:pic>
      <xdr:nvPicPr>
        <xdr:cNvPr id="28879" name="図 14">
          <a:extLst>
            <a:ext uri="{FF2B5EF4-FFF2-40B4-BE49-F238E27FC236}">
              <a16:creationId xmlns:a16="http://schemas.microsoft.com/office/drawing/2014/main" id="{00000000-0008-0000-0000-0000CF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6515100"/>
          <a:ext cx="2095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19050</xdr:colOff>
      <xdr:row>34</xdr:row>
      <xdr:rowOff>38100</xdr:rowOff>
    </xdr:from>
    <xdr:to>
      <xdr:col>36</xdr:col>
      <xdr:colOff>123825</xdr:colOff>
      <xdr:row>36</xdr:row>
      <xdr:rowOff>57150</xdr:rowOff>
    </xdr:to>
    <xdr:pic>
      <xdr:nvPicPr>
        <xdr:cNvPr id="28880" name="図 15">
          <a:extLst>
            <a:ext uri="{FF2B5EF4-FFF2-40B4-BE49-F238E27FC236}">
              <a16:creationId xmlns:a16="http://schemas.microsoft.com/office/drawing/2014/main" id="{00000000-0008-0000-0000-0000D0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6515100"/>
          <a:ext cx="15335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39</xdr:row>
      <xdr:rowOff>19050</xdr:rowOff>
    </xdr:from>
    <xdr:to>
      <xdr:col>18</xdr:col>
      <xdr:colOff>95250</xdr:colOff>
      <xdr:row>41</xdr:row>
      <xdr:rowOff>76200</xdr:rowOff>
    </xdr:to>
    <xdr:pic>
      <xdr:nvPicPr>
        <xdr:cNvPr id="28881" name="図 16">
          <a:extLst>
            <a:ext uri="{FF2B5EF4-FFF2-40B4-BE49-F238E27FC236}">
              <a16:creationId xmlns:a16="http://schemas.microsoft.com/office/drawing/2014/main" id="{00000000-0008-0000-0000-0000D1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7448550"/>
          <a:ext cx="2095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28575</xdr:colOff>
      <xdr:row>38</xdr:row>
      <xdr:rowOff>180975</xdr:rowOff>
    </xdr:from>
    <xdr:to>
      <xdr:col>36</xdr:col>
      <xdr:colOff>133350</xdr:colOff>
      <xdr:row>41</xdr:row>
      <xdr:rowOff>19050</xdr:rowOff>
    </xdr:to>
    <xdr:pic>
      <xdr:nvPicPr>
        <xdr:cNvPr id="28882" name="図 17">
          <a:extLst>
            <a:ext uri="{FF2B5EF4-FFF2-40B4-BE49-F238E27FC236}">
              <a16:creationId xmlns:a16="http://schemas.microsoft.com/office/drawing/2014/main" id="{00000000-0008-0000-0000-0000D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7419975"/>
          <a:ext cx="15335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93</xdr:col>
      <xdr:colOff>57150</xdr:colOff>
      <xdr:row>46</xdr:row>
      <xdr:rowOff>0</xdr:rowOff>
    </xdr:to>
    <xdr:pic>
      <xdr:nvPicPr>
        <xdr:cNvPr id="28883" name="図 7">
          <a:extLst>
            <a:ext uri="{FF2B5EF4-FFF2-40B4-BE49-F238E27FC236}">
              <a16:creationId xmlns:a16="http://schemas.microsoft.com/office/drawing/2014/main" id="{00000000-0008-0000-0000-0000D3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4572000"/>
          <a:ext cx="6772275" cy="419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9525</xdr:colOff>
      <xdr:row>24</xdr:row>
      <xdr:rowOff>57150</xdr:rowOff>
    </xdr:from>
    <xdr:to>
      <xdr:col>93</xdr:col>
      <xdr:colOff>66675</xdr:colOff>
      <xdr:row>46</xdr:row>
      <xdr:rowOff>57150</xdr:rowOff>
    </xdr:to>
    <xdr:pic>
      <xdr:nvPicPr>
        <xdr:cNvPr id="28884" name="図 20">
          <a:extLst>
            <a:ext uri="{FF2B5EF4-FFF2-40B4-BE49-F238E27FC236}">
              <a16:creationId xmlns:a16="http://schemas.microsoft.com/office/drawing/2014/main" id="{00000000-0008-0000-0000-0000D4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629150"/>
          <a:ext cx="6772275" cy="419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21</xdr:col>
      <xdr:colOff>0</xdr:colOff>
      <xdr:row>8</xdr:row>
      <xdr:rowOff>125750</xdr:rowOff>
    </xdr:to>
    <xdr:sp macro="" textlink="">
      <xdr:nvSpPr>
        <xdr:cNvPr id="2" name="Text Box 1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445770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baseline="0">
              <a:effectLst/>
              <a:latin typeface="+mj-ea"/>
              <a:ea typeface="+mj-ea"/>
              <a:cs typeface="+mn-cs"/>
            </a:rPr>
            <a:t>同志社大学</a:t>
          </a: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様</a:t>
          </a:r>
          <a:endParaRPr lang="ja-JP" altLang="en-US"/>
        </a:p>
      </xdr:txBody>
    </xdr:sp>
    <xdr:clientData/>
  </xdr:twoCellAnchor>
  <xdr:twoCellAnchor>
    <xdr:from>
      <xdr:col>9</xdr:col>
      <xdr:colOff>95250</xdr:colOff>
      <xdr:row>5</xdr:row>
      <xdr:rowOff>133350</xdr:rowOff>
    </xdr:from>
    <xdr:to>
      <xdr:col>20</xdr:col>
      <xdr:colOff>247650</xdr:colOff>
      <xdr:row>5</xdr:row>
      <xdr:rowOff>133350</xdr:rowOff>
    </xdr:to>
    <xdr:sp macro="" textlink="">
      <xdr:nvSpPr>
        <xdr:cNvPr id="9820" name="Line 14">
          <a:extLst>
            <a:ext uri="{FF2B5EF4-FFF2-40B4-BE49-F238E27FC236}">
              <a16:creationId xmlns:a16="http://schemas.microsoft.com/office/drawing/2014/main" id="{00000000-0008-0000-0100-00005C260000}"/>
            </a:ext>
          </a:extLst>
        </xdr:cNvPr>
        <xdr:cNvSpPr>
          <a:spLocks noChangeShapeType="1"/>
        </xdr:cNvSpPr>
      </xdr:nvSpPr>
      <xdr:spPr bwMode="auto">
        <a:xfrm flipV="1">
          <a:off x="3181350" y="990600"/>
          <a:ext cx="39243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9822" name="Rectangle 19">
          <a:extLst>
            <a:ext uri="{FF2B5EF4-FFF2-40B4-BE49-F238E27FC236}">
              <a16:creationId xmlns:a16="http://schemas.microsoft.com/office/drawing/2014/main" id="{00000000-0008-0000-0100-00005E26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9824" name="Rectangle 29">
          <a:extLst>
            <a:ext uri="{FF2B5EF4-FFF2-40B4-BE49-F238E27FC236}">
              <a16:creationId xmlns:a16="http://schemas.microsoft.com/office/drawing/2014/main" id="{00000000-0008-0000-0100-00006026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oneCell">
    <xdr:from>
      <xdr:col>10</xdr:col>
      <xdr:colOff>161925</xdr:colOff>
      <xdr:row>30</xdr:row>
      <xdr:rowOff>142875</xdr:rowOff>
    </xdr:from>
    <xdr:to>
      <xdr:col>18</xdr:col>
      <xdr:colOff>122072</xdr:colOff>
      <xdr:row>35</xdr:row>
      <xdr:rowOff>59391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9B8376-E366-42EB-978B-917B4B34C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5286375"/>
          <a:ext cx="2703347" cy="71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CR47"/>
  <sheetViews>
    <sheetView zoomScale="85" zoomScaleNormal="85" workbookViewId="0">
      <pane ySplit="3" topLeftCell="A4" activePane="bottomLeft" state="frozen"/>
      <selection sqref="A1:CR3"/>
      <selection pane="bottomLeft" activeCell="A4" sqref="A4"/>
    </sheetView>
  </sheetViews>
  <sheetFormatPr defaultColWidth="1.875" defaultRowHeight="15" customHeight="1" x14ac:dyDescent="0.15"/>
  <cols>
    <col min="1" max="16384" width="1.875" style="6"/>
  </cols>
  <sheetData>
    <row r="1" spans="1:96" s="1" customFormat="1" ht="15" customHeight="1" x14ac:dyDescent="0.15">
      <c r="A1" s="85" t="s">
        <v>37</v>
      </c>
      <c r="B1" s="86"/>
      <c r="C1" s="86"/>
      <c r="D1" s="86"/>
      <c r="E1" s="86"/>
      <c r="F1" s="86"/>
      <c r="G1" s="86"/>
      <c r="H1" s="86"/>
      <c r="I1" s="87" t="str">
        <f>タイトル!I40</f>
        <v>　学生勤務管理システム</v>
      </c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9"/>
      <c r="AE1" s="90" t="s">
        <v>38</v>
      </c>
      <c r="AF1" s="90"/>
      <c r="AG1" s="90"/>
      <c r="AH1" s="90"/>
      <c r="AI1" s="90"/>
      <c r="AJ1" s="90"/>
      <c r="AK1" s="90"/>
      <c r="AL1" s="91" t="str">
        <f>タイトル!I43</f>
        <v>　基本設計</v>
      </c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3"/>
      <c r="BI1" s="90" t="s">
        <v>39</v>
      </c>
      <c r="BJ1" s="90"/>
      <c r="BK1" s="90"/>
      <c r="BL1" s="90"/>
      <c r="BM1" s="95" t="str">
        <f>タイトル!I46</f>
        <v>ＫＳＳ</v>
      </c>
      <c r="BN1" s="96"/>
      <c r="BO1" s="96"/>
      <c r="BP1" s="96"/>
      <c r="BQ1" s="96"/>
      <c r="BR1" s="96"/>
      <c r="BS1" s="96"/>
      <c r="BT1" s="96"/>
      <c r="BU1" s="96"/>
      <c r="BV1" s="97"/>
      <c r="BW1" s="98">
        <f>タイトル!I47</f>
        <v>45196</v>
      </c>
      <c r="BX1" s="98"/>
      <c r="BY1" s="98"/>
      <c r="BZ1" s="98"/>
      <c r="CA1" s="98"/>
      <c r="CB1" s="98"/>
      <c r="CC1" s="98"/>
      <c r="CD1" s="98"/>
      <c r="CE1" s="98"/>
      <c r="CF1" s="99" t="s">
        <v>40</v>
      </c>
      <c r="CG1" s="100"/>
      <c r="CH1" s="100"/>
      <c r="CI1" s="100"/>
      <c r="CJ1" s="101"/>
      <c r="CK1" s="108" t="str">
        <f>タイトル!I50</f>
        <v xml:space="preserve"> DUC030</v>
      </c>
      <c r="CL1" s="109"/>
      <c r="CM1" s="109"/>
      <c r="CN1" s="109"/>
      <c r="CO1" s="109"/>
      <c r="CP1" s="109"/>
      <c r="CQ1" s="109"/>
      <c r="CR1" s="110"/>
    </row>
    <row r="2" spans="1:96" s="1" customFormat="1" ht="15" customHeight="1" x14ac:dyDescent="0.15">
      <c r="A2" s="117" t="s">
        <v>41</v>
      </c>
      <c r="B2" s="118"/>
      <c r="C2" s="118"/>
      <c r="D2" s="118"/>
      <c r="E2" s="118"/>
      <c r="F2" s="118"/>
      <c r="G2" s="118"/>
      <c r="H2" s="118"/>
      <c r="I2" s="119" t="str">
        <f>タイトル!I41</f>
        <v xml:space="preserve"> 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1"/>
      <c r="AE2" s="122" t="s">
        <v>42</v>
      </c>
      <c r="AF2" s="122"/>
      <c r="AG2" s="122"/>
      <c r="AH2" s="122"/>
      <c r="AI2" s="122"/>
      <c r="AJ2" s="122"/>
      <c r="AK2" s="122"/>
      <c r="AL2" s="123" t="str">
        <f>タイトル!I44</f>
        <v>　データベース設計</v>
      </c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5"/>
      <c r="BI2" s="122" t="s">
        <v>43</v>
      </c>
      <c r="BJ2" s="122"/>
      <c r="BK2" s="122"/>
      <c r="BL2" s="122"/>
      <c r="BM2" s="126"/>
      <c r="BN2" s="127"/>
      <c r="BO2" s="127"/>
      <c r="BP2" s="127"/>
      <c r="BQ2" s="127"/>
      <c r="BR2" s="127"/>
      <c r="BS2" s="127"/>
      <c r="BT2" s="127"/>
      <c r="BU2" s="127"/>
      <c r="BV2" s="128"/>
      <c r="BW2" s="129"/>
      <c r="BX2" s="129"/>
      <c r="BY2" s="129"/>
      <c r="BZ2" s="129"/>
      <c r="CA2" s="129"/>
      <c r="CB2" s="129"/>
      <c r="CC2" s="129"/>
      <c r="CD2" s="129"/>
      <c r="CE2" s="129"/>
      <c r="CF2" s="102"/>
      <c r="CG2" s="103"/>
      <c r="CH2" s="103"/>
      <c r="CI2" s="103"/>
      <c r="CJ2" s="104"/>
      <c r="CK2" s="111"/>
      <c r="CL2" s="112"/>
      <c r="CM2" s="112"/>
      <c r="CN2" s="112"/>
      <c r="CO2" s="112"/>
      <c r="CP2" s="112"/>
      <c r="CQ2" s="112"/>
      <c r="CR2" s="113"/>
    </row>
    <row r="3" spans="1:96" s="1" customFormat="1" ht="15" customHeight="1" thickBot="1" x14ac:dyDescent="0.2">
      <c r="A3" s="130"/>
      <c r="B3" s="131"/>
      <c r="C3" s="131"/>
      <c r="D3" s="131"/>
      <c r="E3" s="131"/>
      <c r="F3" s="131"/>
      <c r="G3" s="131"/>
      <c r="H3" s="131"/>
      <c r="I3" s="132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4"/>
      <c r="AE3" s="80"/>
      <c r="AF3" s="80"/>
      <c r="AG3" s="80"/>
      <c r="AH3" s="80"/>
      <c r="AI3" s="80"/>
      <c r="AJ3" s="80"/>
      <c r="AK3" s="80"/>
      <c r="AL3" s="135" t="str">
        <f>タイトル!I42</f>
        <v>　ER図</v>
      </c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7"/>
      <c r="BI3" s="80"/>
      <c r="BJ3" s="80"/>
      <c r="BK3" s="80"/>
      <c r="BL3" s="80"/>
      <c r="BM3" s="81"/>
      <c r="BN3" s="82"/>
      <c r="BO3" s="82"/>
      <c r="BP3" s="82"/>
      <c r="BQ3" s="82"/>
      <c r="BR3" s="82"/>
      <c r="BS3" s="82"/>
      <c r="BT3" s="82"/>
      <c r="BU3" s="82"/>
      <c r="BV3" s="82"/>
      <c r="BW3" s="83"/>
      <c r="BX3" s="83"/>
      <c r="BY3" s="83"/>
      <c r="BZ3" s="83"/>
      <c r="CA3" s="83"/>
      <c r="CB3" s="83"/>
      <c r="CC3" s="83"/>
      <c r="CD3" s="83"/>
      <c r="CE3" s="84"/>
      <c r="CF3" s="105"/>
      <c r="CG3" s="106"/>
      <c r="CH3" s="106"/>
      <c r="CI3" s="106"/>
      <c r="CJ3" s="107"/>
      <c r="CK3" s="114"/>
      <c r="CL3" s="115"/>
      <c r="CM3" s="115"/>
      <c r="CN3" s="115"/>
      <c r="CO3" s="115"/>
      <c r="CP3" s="115"/>
      <c r="CQ3" s="115"/>
      <c r="CR3" s="116"/>
    </row>
    <row r="4" spans="1:96" ht="15" customHeight="1" x14ac:dyDescent="0.1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5"/>
    </row>
    <row r="5" spans="1:96" ht="15" customHeight="1" x14ac:dyDescent="0.15">
      <c r="A5" s="7"/>
      <c r="C5" s="6" t="s">
        <v>54</v>
      </c>
      <c r="CR5" s="8"/>
    </row>
    <row r="6" spans="1:96" ht="15" customHeight="1" x14ac:dyDescent="0.15">
      <c r="A6" s="7"/>
      <c r="CR6" s="8"/>
    </row>
    <row r="7" spans="1:96" ht="15" customHeight="1" x14ac:dyDescent="0.15">
      <c r="A7" s="7"/>
      <c r="C7" s="6" t="s">
        <v>53</v>
      </c>
      <c r="CR7" s="8"/>
    </row>
    <row r="8" spans="1:96" ht="15" customHeight="1" x14ac:dyDescent="0.15">
      <c r="A8" s="7"/>
      <c r="CR8" s="8"/>
    </row>
    <row r="9" spans="1:96" ht="15" customHeight="1" x14ac:dyDescent="0.15">
      <c r="A9" s="7"/>
      <c r="D9" s="94" t="s">
        <v>45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 t="s">
        <v>46</v>
      </c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R9" s="8"/>
    </row>
    <row r="10" spans="1:96" ht="15" customHeight="1" x14ac:dyDescent="0.15">
      <c r="A10" s="7"/>
      <c r="D10" s="9"/>
      <c r="E10" s="10" t="s">
        <v>50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0"/>
      <c r="AC10" s="10" t="s">
        <v>47</v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1"/>
      <c r="CR10" s="8"/>
    </row>
    <row r="11" spans="1:96" ht="15" customHeight="1" x14ac:dyDescent="0.15">
      <c r="A11" s="7"/>
      <c r="D11" s="12"/>
      <c r="AA11" s="13"/>
      <c r="CK11" s="13"/>
      <c r="CR11" s="8"/>
    </row>
    <row r="12" spans="1:96" ht="15" customHeight="1" x14ac:dyDescent="0.15">
      <c r="A12" s="7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6"/>
      <c r="CR12" s="8"/>
    </row>
    <row r="13" spans="1:96" ht="15" customHeight="1" x14ac:dyDescent="0.15">
      <c r="A13" s="7"/>
      <c r="D13" s="9"/>
      <c r="E13" s="10" t="s">
        <v>51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0"/>
      <c r="AC13" s="10" t="s">
        <v>55</v>
      </c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1"/>
      <c r="CR13" s="8"/>
    </row>
    <row r="14" spans="1:96" ht="15" customHeight="1" x14ac:dyDescent="0.15">
      <c r="A14" s="7"/>
      <c r="D14" s="12"/>
      <c r="AA14" s="13"/>
      <c r="CK14" s="13"/>
      <c r="CR14" s="8"/>
    </row>
    <row r="15" spans="1:96" ht="15" customHeight="1" x14ac:dyDescent="0.15">
      <c r="A15" s="7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6"/>
      <c r="CR15" s="8"/>
    </row>
    <row r="16" spans="1:96" ht="15" customHeight="1" x14ac:dyDescent="0.15">
      <c r="A16" s="7"/>
      <c r="D16" s="9"/>
      <c r="E16" s="10" t="s">
        <v>52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  <c r="AB16" s="10"/>
      <c r="AC16" s="10" t="s">
        <v>48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1"/>
      <c r="CR16" s="8"/>
    </row>
    <row r="17" spans="1:96" ht="15" customHeight="1" x14ac:dyDescent="0.15">
      <c r="A17" s="7"/>
      <c r="D17" s="12"/>
      <c r="AA17" s="13"/>
      <c r="CK17" s="13"/>
      <c r="CR17" s="8"/>
    </row>
    <row r="18" spans="1:96" ht="15" customHeight="1" x14ac:dyDescent="0.15">
      <c r="A18" s="7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6"/>
      <c r="CR18" s="8"/>
    </row>
    <row r="19" spans="1:96" ht="15" customHeight="1" x14ac:dyDescent="0.15">
      <c r="A19" s="7"/>
      <c r="CR19" s="8"/>
    </row>
    <row r="20" spans="1:96" ht="15" customHeight="1" x14ac:dyDescent="0.15">
      <c r="A20" s="7"/>
      <c r="CR20" s="8"/>
    </row>
    <row r="21" spans="1:96" ht="15" customHeight="1" x14ac:dyDescent="0.15">
      <c r="A21" s="7"/>
      <c r="C21" s="6" t="s">
        <v>56</v>
      </c>
      <c r="CR21" s="8"/>
    </row>
    <row r="22" spans="1:96" ht="15" customHeight="1" x14ac:dyDescent="0.15">
      <c r="A22" s="7"/>
      <c r="D22" s="6" t="s">
        <v>64</v>
      </c>
      <c r="CR22" s="8"/>
    </row>
    <row r="23" spans="1:96" ht="15" customHeight="1" x14ac:dyDescent="0.15">
      <c r="A23" s="7"/>
      <c r="CR23" s="8"/>
    </row>
    <row r="24" spans="1:96" ht="15" customHeight="1" x14ac:dyDescent="0.3">
      <c r="A24" s="7"/>
      <c r="D24" s="6" t="s">
        <v>59</v>
      </c>
      <c r="E24" s="17"/>
      <c r="AT24" s="6" t="s">
        <v>63</v>
      </c>
      <c r="BG24" s="17"/>
      <c r="CR24" s="8"/>
    </row>
    <row r="25" spans="1:96" ht="15" customHeight="1" x14ac:dyDescent="0.3">
      <c r="A25" s="7"/>
      <c r="T25" s="17"/>
      <c r="BA25" s="17"/>
      <c r="CR25" s="8"/>
    </row>
    <row r="26" spans="1:96" ht="15" customHeight="1" x14ac:dyDescent="0.3">
      <c r="A26" s="7"/>
      <c r="T26" s="17"/>
      <c r="U26" s="6" t="s">
        <v>57</v>
      </c>
      <c r="CR26" s="8"/>
    </row>
    <row r="27" spans="1:96" ht="15" customHeight="1" x14ac:dyDescent="0.3">
      <c r="A27" s="7"/>
      <c r="T27" s="17"/>
      <c r="CR27" s="8"/>
    </row>
    <row r="28" spans="1:96" ht="15" customHeight="1" x14ac:dyDescent="0.3">
      <c r="A28" s="7"/>
      <c r="E28" s="17"/>
      <c r="J28" s="17"/>
      <c r="T28" s="17"/>
      <c r="CR28" s="8"/>
    </row>
    <row r="29" spans="1:96" ht="15" customHeight="1" x14ac:dyDescent="0.3">
      <c r="A29" s="7"/>
      <c r="D29" s="6" t="s">
        <v>58</v>
      </c>
      <c r="T29" s="17"/>
      <c r="CR29" s="8"/>
    </row>
    <row r="30" spans="1:96" ht="15" customHeight="1" x14ac:dyDescent="0.15">
      <c r="A30" s="7"/>
      <c r="CR30" s="8"/>
    </row>
    <row r="31" spans="1:96" ht="15" customHeight="1" x14ac:dyDescent="0.15">
      <c r="A31" s="7"/>
      <c r="U31" s="6" t="s">
        <v>57</v>
      </c>
      <c r="CR31" s="8"/>
    </row>
    <row r="32" spans="1:96" ht="15" customHeight="1" x14ac:dyDescent="0.3">
      <c r="A32" s="7"/>
      <c r="E32" s="17"/>
      <c r="CR32" s="8"/>
    </row>
    <row r="33" spans="1:96" ht="15" customHeight="1" x14ac:dyDescent="0.3">
      <c r="A33" s="7"/>
      <c r="T33" s="17"/>
      <c r="CR33" s="8"/>
    </row>
    <row r="34" spans="1:96" ht="15" customHeight="1" x14ac:dyDescent="0.15">
      <c r="A34" s="7"/>
      <c r="D34" s="6" t="s">
        <v>60</v>
      </c>
      <c r="CR34" s="8"/>
    </row>
    <row r="35" spans="1:96" ht="15" customHeight="1" x14ac:dyDescent="0.15">
      <c r="A35" s="7"/>
      <c r="CR35" s="8"/>
    </row>
    <row r="36" spans="1:96" ht="15" customHeight="1" x14ac:dyDescent="0.3">
      <c r="A36" s="7"/>
      <c r="E36" s="17"/>
      <c r="U36" s="6" t="s">
        <v>57</v>
      </c>
      <c r="CR36" s="8"/>
    </row>
    <row r="37" spans="1:96" ht="15" customHeight="1" x14ac:dyDescent="0.3">
      <c r="A37" s="7"/>
      <c r="T37" s="17"/>
      <c r="CR37" s="8"/>
    </row>
    <row r="38" spans="1:96" ht="15" customHeight="1" x14ac:dyDescent="0.3">
      <c r="A38" s="7"/>
      <c r="AC38" s="17"/>
      <c r="CR38" s="8"/>
    </row>
    <row r="39" spans="1:96" ht="15" customHeight="1" x14ac:dyDescent="0.15">
      <c r="A39" s="7"/>
      <c r="D39" s="6" t="s">
        <v>61</v>
      </c>
      <c r="CR39" s="8"/>
    </row>
    <row r="40" spans="1:96" ht="15" customHeight="1" x14ac:dyDescent="0.15">
      <c r="A40" s="7"/>
      <c r="CR40" s="8"/>
    </row>
    <row r="41" spans="1:96" ht="15" customHeight="1" x14ac:dyDescent="0.15">
      <c r="A41" s="7"/>
      <c r="U41" s="6" t="s">
        <v>57</v>
      </c>
      <c r="CR41" s="8"/>
    </row>
    <row r="42" spans="1:96" ht="15" customHeight="1" x14ac:dyDescent="0.15">
      <c r="A42" s="7"/>
      <c r="CR42" s="8"/>
    </row>
    <row r="43" spans="1:96" ht="15" customHeight="1" x14ac:dyDescent="0.15">
      <c r="A43" s="7"/>
      <c r="CR43" s="8"/>
    </row>
    <row r="44" spans="1:96" ht="15" customHeight="1" x14ac:dyDescent="0.15">
      <c r="A44" s="7"/>
      <c r="D44" s="18" t="s">
        <v>62</v>
      </c>
      <c r="CR44" s="8"/>
    </row>
    <row r="45" spans="1:96" ht="15" customHeight="1" x14ac:dyDescent="0.15">
      <c r="A45" s="7"/>
      <c r="CR45" s="8"/>
    </row>
    <row r="46" spans="1:96" ht="15" customHeight="1" x14ac:dyDescent="0.15">
      <c r="A46" s="7"/>
      <c r="CR46" s="8"/>
    </row>
    <row r="47" spans="1:96" ht="15" customHeight="1" thickBot="1" x14ac:dyDescent="0.2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1"/>
    </row>
  </sheetData>
  <mergeCells count="23">
    <mergeCell ref="D9:AA9"/>
    <mergeCell ref="AB9:CK9"/>
    <mergeCell ref="BM1:BV1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3:H3"/>
    <mergeCell ref="I3:AD3"/>
    <mergeCell ref="AL3:BH3"/>
    <mergeCell ref="BI3:BL3"/>
    <mergeCell ref="BM3:CE3"/>
    <mergeCell ref="A1:H1"/>
    <mergeCell ref="I1:AD1"/>
    <mergeCell ref="AE1:AK1"/>
    <mergeCell ref="AL1:BH1"/>
    <mergeCell ref="BI1:BL1"/>
  </mergeCells>
  <phoneticPr fontId="1"/>
  <pageMargins left="0.39370078740157483" right="0.15748031496062992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65"/>
  <sheetViews>
    <sheetView tabSelected="1" zoomScale="85" zoomScaleNormal="85" workbookViewId="0"/>
  </sheetViews>
  <sheetFormatPr defaultRowHeight="16.5" x14ac:dyDescent="0.3"/>
  <cols>
    <col min="1" max="32" width="4.5" style="17" customWidth="1"/>
    <col min="33" max="16384" width="9" style="17"/>
  </cols>
  <sheetData>
    <row r="1" spans="7:24" ht="12.95" customHeight="1" x14ac:dyDescent="0.3"/>
    <row r="2" spans="7:24" ht="12.95" customHeight="1" x14ac:dyDescent="0.3"/>
    <row r="3" spans="7:24" ht="12.95" customHeight="1" x14ac:dyDescent="0.3"/>
    <row r="4" spans="7:24" ht="12.95" customHeight="1" x14ac:dyDescent="0.3"/>
    <row r="5" spans="7:24" ht="12.95" customHeight="1" x14ac:dyDescent="0.3"/>
    <row r="6" spans="7:24" ht="12.95" customHeight="1" x14ac:dyDescent="0.3"/>
    <row r="7" spans="7:24" ht="12.95" customHeight="1" x14ac:dyDescent="0.3"/>
    <row r="8" spans="7:24" ht="12.95" customHeight="1" x14ac:dyDescent="0.3"/>
    <row r="9" spans="7:24" ht="12.95" customHeight="1" x14ac:dyDescent="0.3"/>
    <row r="10" spans="7:24" ht="12.95" customHeight="1" x14ac:dyDescent="0.3"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4"/>
    </row>
    <row r="11" spans="7:24" ht="12.95" customHeight="1" x14ac:dyDescent="0.3">
      <c r="G11" s="138" t="str">
        <f>I40</f>
        <v>　学生勤務管理システム</v>
      </c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25"/>
    </row>
    <row r="12" spans="7:24" ht="12.95" customHeight="1" x14ac:dyDescent="0.3">
      <c r="G12" s="138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25"/>
    </row>
    <row r="13" spans="7:24" ht="12.95" customHeight="1" x14ac:dyDescent="0.3">
      <c r="G13" s="26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5"/>
    </row>
    <row r="14" spans="7:24" ht="12.95" customHeight="1" x14ac:dyDescent="0.3">
      <c r="G14" s="140" t="str">
        <f>I44</f>
        <v>　データベース設計</v>
      </c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25"/>
    </row>
    <row r="15" spans="7:24" ht="12.95" customHeight="1" x14ac:dyDescent="0.3">
      <c r="G15" s="140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25"/>
    </row>
    <row r="16" spans="7:24" ht="12.95" customHeight="1" x14ac:dyDescent="0.3"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5"/>
    </row>
    <row r="17" spans="1:24" ht="12.95" customHeight="1" x14ac:dyDescent="0.3">
      <c r="G17" s="138" t="str">
        <f>I42</f>
        <v>　ER図</v>
      </c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25"/>
    </row>
    <row r="18" spans="1:24" ht="12.95" customHeight="1" x14ac:dyDescent="0.3">
      <c r="G18" s="138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25"/>
    </row>
    <row r="19" spans="1:24" ht="12.95" customHeight="1" x14ac:dyDescent="0.3"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5"/>
    </row>
    <row r="20" spans="1:24" ht="12.95" customHeight="1" x14ac:dyDescent="0.3">
      <c r="G20" s="138" t="str">
        <f>I51</f>
        <v>【 Ver 1.20 】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25"/>
    </row>
    <row r="21" spans="1:24" ht="12.95" customHeight="1" x14ac:dyDescent="0.3">
      <c r="G21" s="138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25"/>
    </row>
    <row r="22" spans="1:24" ht="12.95" customHeight="1" x14ac:dyDescent="0.3">
      <c r="G22" s="28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30"/>
    </row>
    <row r="23" spans="1:24" ht="12.95" customHeight="1" x14ac:dyDescent="0.3"/>
    <row r="24" spans="1:24" ht="12.95" customHeight="1" x14ac:dyDescent="0.3"/>
    <row r="25" spans="1:24" ht="12.95" customHeight="1" x14ac:dyDescent="0.3"/>
    <row r="26" spans="1:24" ht="12.95" customHeight="1" x14ac:dyDescent="0.3"/>
    <row r="27" spans="1:24" ht="12.95" customHeight="1" x14ac:dyDescent="0.3">
      <c r="A27" s="17" t="s">
        <v>0</v>
      </c>
      <c r="J27" s="142" t="str">
        <f>TEXT(I47,"yyyy年")&amp;IF(LEFT(TEXT(I47,"mm"),1)="0"," ","")&amp;TEXT(I47,"m月")&amp;IF(LEFT(TEXT(I47,"dd"),1)="0"," ","")&amp;TEXT(I47,"d日")&amp;"作成"</f>
        <v>2023年 9月27日作成</v>
      </c>
      <c r="K27" s="143"/>
      <c r="L27" s="143"/>
      <c r="M27" s="143"/>
      <c r="N27" s="143"/>
      <c r="O27" s="143"/>
      <c r="P27" s="143"/>
      <c r="Q27" s="143"/>
      <c r="R27" s="143"/>
      <c r="S27" s="143"/>
      <c r="T27" s="143"/>
    </row>
    <row r="28" spans="1:24" ht="12.95" customHeight="1" x14ac:dyDescent="0.3"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</row>
    <row r="29" spans="1:24" ht="12.95" customHeight="1" x14ac:dyDescent="0.3">
      <c r="J29" s="142" t="str">
        <f>IF(I49="　※ページ毎に個別入力","    年  月  日改訂",TEXT(I49,"yyyy年")&amp;IF(LEFT(TEXT(I49,"mm"),1)="0"," ","")&amp;TEXT(I49,"m月")&amp;IF(LEFT(TEXT(I49,"dd"),1)="0"," ","")&amp;TEXT(I49,"d日")&amp;"改訂")</f>
        <v xml:space="preserve">    年  月  日改訂</v>
      </c>
      <c r="K29" s="143"/>
      <c r="L29" s="143"/>
      <c r="M29" s="143"/>
      <c r="N29" s="143"/>
      <c r="O29" s="143"/>
      <c r="P29" s="143"/>
      <c r="Q29" s="143"/>
      <c r="R29" s="143"/>
      <c r="S29" s="143"/>
      <c r="T29" s="143"/>
    </row>
    <row r="30" spans="1:24" ht="12.95" customHeight="1" x14ac:dyDescent="0.3"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</row>
    <row r="31" spans="1:24" ht="12.95" customHeight="1" x14ac:dyDescent="0.3"/>
    <row r="32" spans="1:24" ht="12.95" customHeight="1" x14ac:dyDescent="0.3"/>
    <row r="33" spans="2:28" ht="12.95" customHeight="1" x14ac:dyDescent="0.3"/>
    <row r="34" spans="2:28" ht="12.95" customHeight="1" x14ac:dyDescent="0.3"/>
    <row r="35" spans="2:28" ht="12.95" customHeight="1" x14ac:dyDescent="0.3"/>
    <row r="36" spans="2:28" ht="12.95" customHeight="1" x14ac:dyDescent="0.3"/>
    <row r="38" spans="2:28" ht="36" customHeight="1" x14ac:dyDescent="0.3">
      <c r="B38" s="144" t="s">
        <v>1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</row>
    <row r="39" spans="2:28" s="1" customFormat="1" ht="23.25" customHeight="1" x14ac:dyDescent="0.15">
      <c r="B39" s="145" t="s">
        <v>2</v>
      </c>
      <c r="C39" s="145"/>
      <c r="D39" s="145"/>
      <c r="E39" s="145"/>
      <c r="F39" s="145"/>
      <c r="G39" s="145"/>
      <c r="H39" s="145"/>
      <c r="I39" s="145" t="s">
        <v>3</v>
      </c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</row>
    <row r="40" spans="2:28" s="1" customFormat="1" ht="23.25" customHeight="1" x14ac:dyDescent="0.15">
      <c r="B40" s="146" t="s">
        <v>4</v>
      </c>
      <c r="C40" s="146"/>
      <c r="D40" s="146"/>
      <c r="E40" s="146"/>
      <c r="F40" s="146"/>
      <c r="G40" s="146"/>
      <c r="H40" s="146"/>
      <c r="I40" s="147" t="s">
        <v>65</v>
      </c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 spans="2:28" s="1" customFormat="1" ht="23.25" customHeight="1" x14ac:dyDescent="0.15">
      <c r="B41" s="146" t="s">
        <v>5</v>
      </c>
      <c r="C41" s="146"/>
      <c r="D41" s="146"/>
      <c r="E41" s="146"/>
      <c r="F41" s="146"/>
      <c r="G41" s="146"/>
      <c r="H41" s="146"/>
      <c r="I41" s="148" t="s">
        <v>0</v>
      </c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 spans="2:28" s="1" customFormat="1" ht="23.25" customHeight="1" x14ac:dyDescent="0.15">
      <c r="B42" s="146" t="s">
        <v>6</v>
      </c>
      <c r="C42" s="146"/>
      <c r="D42" s="146"/>
      <c r="E42" s="146"/>
      <c r="F42" s="146"/>
      <c r="G42" s="146"/>
      <c r="H42" s="146"/>
      <c r="I42" s="148" t="s">
        <v>35</v>
      </c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 spans="2:28" s="1" customFormat="1" ht="23.25" customHeight="1" x14ac:dyDescent="0.15">
      <c r="B43" s="146" t="s">
        <v>7</v>
      </c>
      <c r="C43" s="146"/>
      <c r="D43" s="146"/>
      <c r="E43" s="146"/>
      <c r="F43" s="146"/>
      <c r="G43" s="146"/>
      <c r="H43" s="146"/>
      <c r="I43" s="147" t="s">
        <v>8</v>
      </c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 spans="2:28" s="1" customFormat="1" ht="23.25" customHeight="1" x14ac:dyDescent="0.15">
      <c r="B44" s="146" t="s">
        <v>9</v>
      </c>
      <c r="C44" s="146"/>
      <c r="D44" s="146"/>
      <c r="E44" s="146"/>
      <c r="F44" s="146"/>
      <c r="G44" s="146"/>
      <c r="H44" s="146"/>
      <c r="I44" s="147" t="s">
        <v>36</v>
      </c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 spans="2:28" s="1" customFormat="1" ht="23.25" customHeight="1" x14ac:dyDescent="0.15">
      <c r="B45" s="146" t="s">
        <v>10</v>
      </c>
      <c r="C45" s="146"/>
      <c r="D45" s="146"/>
      <c r="E45" s="146"/>
      <c r="F45" s="146"/>
      <c r="G45" s="146"/>
      <c r="H45" s="146"/>
      <c r="I45" s="147" t="s">
        <v>34</v>
      </c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 spans="2:28" s="1" customFormat="1" ht="23.25" customHeight="1" x14ac:dyDescent="0.15">
      <c r="B46" s="146" t="s">
        <v>11</v>
      </c>
      <c r="C46" s="146"/>
      <c r="D46" s="146"/>
      <c r="E46" s="146"/>
      <c r="F46" s="146"/>
      <c r="G46" s="146"/>
      <c r="H46" s="146"/>
      <c r="I46" s="147" t="s">
        <v>49</v>
      </c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 spans="2:28" s="1" customFormat="1" ht="23.25" customHeight="1" x14ac:dyDescent="0.15">
      <c r="B47" s="146" t="s">
        <v>12</v>
      </c>
      <c r="C47" s="146"/>
      <c r="D47" s="146"/>
      <c r="E47" s="146"/>
      <c r="F47" s="146"/>
      <c r="G47" s="146"/>
      <c r="H47" s="146"/>
      <c r="I47" s="149">
        <v>45196</v>
      </c>
      <c r="J47" s="150"/>
      <c r="K47" s="150"/>
      <c r="L47" s="150"/>
      <c r="M47" s="150"/>
      <c r="N47" s="150"/>
      <c r="O47" s="150"/>
      <c r="P47" s="150"/>
      <c r="Q47" s="150"/>
      <c r="R47" s="150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 spans="2:28" s="1" customFormat="1" ht="24" customHeight="1" x14ac:dyDescent="0.15">
      <c r="B48" s="146" t="s">
        <v>13</v>
      </c>
      <c r="C48" s="146"/>
      <c r="D48" s="146"/>
      <c r="E48" s="146"/>
      <c r="F48" s="146"/>
      <c r="G48" s="146"/>
      <c r="H48" s="146"/>
      <c r="I48" s="147" t="s">
        <v>14</v>
      </c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 spans="2:28" s="1" customFormat="1" ht="24" customHeight="1" x14ac:dyDescent="0.15">
      <c r="B49" s="146" t="s">
        <v>15</v>
      </c>
      <c r="C49" s="146"/>
      <c r="D49" s="146"/>
      <c r="E49" s="146"/>
      <c r="F49" s="146"/>
      <c r="G49" s="146"/>
      <c r="H49" s="146"/>
      <c r="I49" s="147" t="s">
        <v>14</v>
      </c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 spans="2:28" s="1" customFormat="1" ht="24" customHeight="1" x14ac:dyDescent="0.15">
      <c r="B50" s="146" t="s">
        <v>16</v>
      </c>
      <c r="C50" s="146"/>
      <c r="D50" s="146"/>
      <c r="E50" s="146"/>
      <c r="F50" s="146"/>
      <c r="G50" s="146"/>
      <c r="H50" s="146"/>
      <c r="I50" s="147" t="s">
        <v>108</v>
      </c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 spans="2:28" s="1" customFormat="1" ht="24" customHeight="1" x14ac:dyDescent="0.15">
      <c r="B51" s="146" t="s">
        <v>17</v>
      </c>
      <c r="C51" s="146"/>
      <c r="D51" s="146"/>
      <c r="E51" s="146"/>
      <c r="F51" s="146"/>
      <c r="G51" s="146"/>
      <c r="H51" s="146"/>
      <c r="I51" s="151" t="str">
        <f>"【 Ver " &amp; TEXT(MAX(改訂履歴!E5:E1014),"0.00") &amp; " 】"</f>
        <v>【 Ver 1.20 】</v>
      </c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</row>
    <row r="53" spans="2:28" x14ac:dyDescent="0.3">
      <c r="B53" s="17" t="s">
        <v>18</v>
      </c>
    </row>
    <row r="55" spans="2:28" x14ac:dyDescent="0.3">
      <c r="B55" s="17" t="s">
        <v>19</v>
      </c>
    </row>
    <row r="57" spans="2:28" x14ac:dyDescent="0.3">
      <c r="B57" s="17" t="s">
        <v>123</v>
      </c>
    </row>
    <row r="59" spans="2:28" x14ac:dyDescent="0.3">
      <c r="B59" s="17" t="s">
        <v>20</v>
      </c>
    </row>
    <row r="61" spans="2:28" x14ac:dyDescent="0.3">
      <c r="B61" s="17" t="s">
        <v>21</v>
      </c>
    </row>
    <row r="63" spans="2:28" x14ac:dyDescent="0.3">
      <c r="C63" s="17" t="s">
        <v>22</v>
      </c>
    </row>
    <row r="65" spans="3:3" x14ac:dyDescent="0.3">
      <c r="C65" s="17" t="s">
        <v>23</v>
      </c>
    </row>
  </sheetData>
  <mergeCells count="33">
    <mergeCell ref="B47:H47"/>
    <mergeCell ref="I47:AB47"/>
    <mergeCell ref="B51:H51"/>
    <mergeCell ref="I51:AB51"/>
    <mergeCell ref="B48:H48"/>
    <mergeCell ref="I48:AB48"/>
    <mergeCell ref="B49:H49"/>
    <mergeCell ref="I49:AB49"/>
    <mergeCell ref="B50:H50"/>
    <mergeCell ref="I50:AB50"/>
    <mergeCell ref="B44:H44"/>
    <mergeCell ref="I44:AB44"/>
    <mergeCell ref="B45:H45"/>
    <mergeCell ref="I45:AB45"/>
    <mergeCell ref="B46:H46"/>
    <mergeCell ref="I46:AB46"/>
    <mergeCell ref="B41:H41"/>
    <mergeCell ref="I41:AB41"/>
    <mergeCell ref="B42:H42"/>
    <mergeCell ref="I42:AB42"/>
    <mergeCell ref="B43:H43"/>
    <mergeCell ref="I43:AB43"/>
    <mergeCell ref="J29:T30"/>
    <mergeCell ref="B38:AB38"/>
    <mergeCell ref="B39:H39"/>
    <mergeCell ref="I39:AB39"/>
    <mergeCell ref="B40:H40"/>
    <mergeCell ref="I40:AB40"/>
    <mergeCell ref="G11:W12"/>
    <mergeCell ref="G14:W15"/>
    <mergeCell ref="G17:W18"/>
    <mergeCell ref="G20:W21"/>
    <mergeCell ref="J27:T28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X37"/>
  <sheetViews>
    <sheetView zoomScale="85" zoomScaleNormal="85" workbookViewId="0"/>
  </sheetViews>
  <sheetFormatPr defaultColWidth="1.875" defaultRowHeight="15" customHeight="1" x14ac:dyDescent="0.3"/>
  <cols>
    <col min="1" max="16384" width="1.875" style="17"/>
  </cols>
  <sheetData>
    <row r="1" spans="1:76" ht="15" customHeight="1" x14ac:dyDescent="0.3">
      <c r="A1" s="17" t="s">
        <v>24</v>
      </c>
      <c r="G1" s="152" t="str">
        <f>タイトル!I42</f>
        <v>　ER図</v>
      </c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3" spans="1:76" s="1" customFormat="1" ht="15" customHeight="1" x14ac:dyDescent="0.15">
      <c r="A3" s="153" t="s">
        <v>25</v>
      </c>
      <c r="B3" s="153"/>
      <c r="C3" s="153"/>
      <c r="D3" s="153"/>
      <c r="E3" s="154" t="s">
        <v>26</v>
      </c>
      <c r="F3" s="155"/>
      <c r="G3" s="155"/>
      <c r="H3" s="155"/>
      <c r="I3" s="156"/>
      <c r="J3" s="154" t="s">
        <v>27</v>
      </c>
      <c r="K3" s="155"/>
      <c r="L3" s="155"/>
      <c r="M3" s="155"/>
      <c r="N3" s="155"/>
      <c r="O3" s="155"/>
      <c r="P3" s="155"/>
      <c r="Q3" s="156"/>
      <c r="R3" s="153" t="s">
        <v>28</v>
      </c>
      <c r="S3" s="153"/>
      <c r="T3" s="153"/>
      <c r="U3" s="153"/>
      <c r="V3" s="153"/>
      <c r="W3" s="153" t="s">
        <v>29</v>
      </c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 t="s">
        <v>30</v>
      </c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 t="s">
        <v>31</v>
      </c>
      <c r="BS3" s="153"/>
      <c r="BT3" s="153"/>
      <c r="BU3" s="153"/>
      <c r="BV3" s="153"/>
      <c r="BW3" s="153"/>
      <c r="BX3" s="153"/>
    </row>
    <row r="4" spans="1:76" s="1" customFormat="1" ht="15" customHeight="1" x14ac:dyDescent="0.15">
      <c r="A4" s="153"/>
      <c r="B4" s="153"/>
      <c r="C4" s="153"/>
      <c r="D4" s="153"/>
      <c r="E4" s="157"/>
      <c r="F4" s="158"/>
      <c r="G4" s="158"/>
      <c r="H4" s="158"/>
      <c r="I4" s="159"/>
      <c r="J4" s="157"/>
      <c r="K4" s="158"/>
      <c r="L4" s="158"/>
      <c r="M4" s="158"/>
      <c r="N4" s="158"/>
      <c r="O4" s="158"/>
      <c r="P4" s="158"/>
      <c r="Q4" s="159"/>
      <c r="R4" s="153"/>
      <c r="S4" s="153"/>
      <c r="T4" s="153"/>
      <c r="U4" s="153"/>
      <c r="V4" s="153"/>
      <c r="W4" s="153" t="s">
        <v>32</v>
      </c>
      <c r="X4" s="153"/>
      <c r="Y4" s="153"/>
      <c r="Z4" s="153"/>
      <c r="AA4" s="153" t="s">
        <v>33</v>
      </c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</row>
    <row r="5" spans="1:76" ht="15" customHeight="1" x14ac:dyDescent="0.3">
      <c r="A5" s="160">
        <v>1</v>
      </c>
      <c r="B5" s="160"/>
      <c r="C5" s="160"/>
      <c r="D5" s="160"/>
      <c r="E5" s="161">
        <v>1</v>
      </c>
      <c r="F5" s="162"/>
      <c r="G5" s="162"/>
      <c r="H5" s="162"/>
      <c r="I5" s="163"/>
      <c r="J5" s="164">
        <f>タイトル!I47</f>
        <v>45196</v>
      </c>
      <c r="K5" s="165"/>
      <c r="L5" s="165"/>
      <c r="M5" s="165"/>
      <c r="N5" s="165"/>
      <c r="O5" s="165"/>
      <c r="P5" s="165"/>
      <c r="Q5" s="166"/>
      <c r="R5" s="167" t="s">
        <v>82</v>
      </c>
      <c r="S5" s="168"/>
      <c r="T5" s="168"/>
      <c r="U5" s="168"/>
      <c r="V5" s="169"/>
      <c r="W5" s="170"/>
      <c r="X5" s="171"/>
      <c r="Y5" s="171"/>
      <c r="Z5" s="172"/>
      <c r="AA5" s="170"/>
      <c r="AB5" s="171"/>
      <c r="AC5" s="171"/>
      <c r="AD5" s="171"/>
      <c r="AE5" s="171"/>
      <c r="AF5" s="171"/>
      <c r="AG5" s="172"/>
      <c r="AH5" s="173" t="s">
        <v>83</v>
      </c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  <c r="BN5" s="173"/>
      <c r="BO5" s="173"/>
      <c r="BP5" s="173"/>
      <c r="BQ5" s="173"/>
      <c r="BR5" s="174" t="s">
        <v>84</v>
      </c>
      <c r="BS5" s="174"/>
      <c r="BT5" s="174"/>
      <c r="BU5" s="174"/>
      <c r="BV5" s="174"/>
      <c r="BW5" s="174"/>
      <c r="BX5" s="174"/>
    </row>
    <row r="6" spans="1:76" ht="15" customHeight="1" x14ac:dyDescent="0.3">
      <c r="A6" s="175">
        <v>2</v>
      </c>
      <c r="B6" s="175"/>
      <c r="C6" s="175"/>
      <c r="D6" s="175"/>
      <c r="E6" s="161">
        <v>1.1000000000000001</v>
      </c>
      <c r="F6" s="162"/>
      <c r="G6" s="162"/>
      <c r="H6" s="162"/>
      <c r="I6" s="163"/>
      <c r="J6" s="176">
        <v>45376</v>
      </c>
      <c r="K6" s="177"/>
      <c r="L6" s="177"/>
      <c r="M6" s="177"/>
      <c r="N6" s="177"/>
      <c r="O6" s="177"/>
      <c r="P6" s="177"/>
      <c r="Q6" s="178"/>
      <c r="R6" s="179" t="s">
        <v>200</v>
      </c>
      <c r="S6" s="180"/>
      <c r="T6" s="180"/>
      <c r="U6" s="180"/>
      <c r="V6" s="181"/>
      <c r="W6" s="170"/>
      <c r="X6" s="171"/>
      <c r="Y6" s="171"/>
      <c r="Z6" s="172"/>
      <c r="AA6" s="170"/>
      <c r="AB6" s="171"/>
      <c r="AC6" s="171"/>
      <c r="AD6" s="171"/>
      <c r="AE6" s="171"/>
      <c r="AF6" s="171"/>
      <c r="AG6" s="172"/>
      <c r="AH6" s="173" t="s">
        <v>201</v>
      </c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4" t="s">
        <v>84</v>
      </c>
      <c r="BS6" s="174"/>
      <c r="BT6" s="174"/>
      <c r="BU6" s="174"/>
      <c r="BV6" s="174"/>
      <c r="BW6" s="174"/>
      <c r="BX6" s="174"/>
    </row>
    <row r="7" spans="1:76" ht="15" customHeight="1" x14ac:dyDescent="0.3">
      <c r="A7" s="175">
        <v>3</v>
      </c>
      <c r="B7" s="175"/>
      <c r="C7" s="175"/>
      <c r="D7" s="175"/>
      <c r="E7" s="161">
        <v>1.2</v>
      </c>
      <c r="F7" s="162"/>
      <c r="G7" s="162"/>
      <c r="H7" s="162"/>
      <c r="I7" s="163"/>
      <c r="J7" s="176">
        <v>45377</v>
      </c>
      <c r="K7" s="177"/>
      <c r="L7" s="177"/>
      <c r="M7" s="177"/>
      <c r="N7" s="177"/>
      <c r="O7" s="177"/>
      <c r="P7" s="177"/>
      <c r="Q7" s="178"/>
      <c r="R7" s="179" t="s">
        <v>200</v>
      </c>
      <c r="S7" s="180"/>
      <c r="T7" s="180"/>
      <c r="U7" s="180"/>
      <c r="V7" s="181"/>
      <c r="W7" s="170"/>
      <c r="X7" s="171"/>
      <c r="Y7" s="171"/>
      <c r="Z7" s="172"/>
      <c r="AA7" s="170"/>
      <c r="AB7" s="171"/>
      <c r="AC7" s="171"/>
      <c r="AD7" s="171"/>
      <c r="AE7" s="171"/>
      <c r="AF7" s="171"/>
      <c r="AG7" s="172"/>
      <c r="AH7" s="173" t="s">
        <v>290</v>
      </c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4" t="s">
        <v>84</v>
      </c>
      <c r="BS7" s="174"/>
      <c r="BT7" s="174"/>
      <c r="BU7" s="174"/>
      <c r="BV7" s="174"/>
      <c r="BW7" s="174"/>
      <c r="BX7" s="174"/>
    </row>
    <row r="8" spans="1:76" ht="15" customHeight="1" x14ac:dyDescent="0.3">
      <c r="A8" s="175"/>
      <c r="B8" s="175"/>
      <c r="C8" s="175"/>
      <c r="D8" s="175"/>
      <c r="E8" s="161"/>
      <c r="F8" s="162"/>
      <c r="G8" s="162"/>
      <c r="H8" s="162"/>
      <c r="I8" s="163"/>
      <c r="J8" s="176"/>
      <c r="K8" s="177"/>
      <c r="L8" s="177"/>
      <c r="M8" s="177"/>
      <c r="N8" s="177"/>
      <c r="O8" s="177"/>
      <c r="P8" s="177"/>
      <c r="Q8" s="178"/>
      <c r="R8" s="179"/>
      <c r="S8" s="180"/>
      <c r="T8" s="180"/>
      <c r="U8" s="180"/>
      <c r="V8" s="181"/>
      <c r="W8" s="170"/>
      <c r="X8" s="171"/>
      <c r="Y8" s="171"/>
      <c r="Z8" s="172"/>
      <c r="AA8" s="170"/>
      <c r="AB8" s="171"/>
      <c r="AC8" s="171"/>
      <c r="AD8" s="171"/>
      <c r="AE8" s="171"/>
      <c r="AF8" s="171"/>
      <c r="AG8" s="172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4"/>
      <c r="BS8" s="174"/>
      <c r="BT8" s="174"/>
      <c r="BU8" s="174"/>
      <c r="BV8" s="174"/>
      <c r="BW8" s="174"/>
      <c r="BX8" s="174"/>
    </row>
    <row r="9" spans="1:76" ht="15" customHeight="1" x14ac:dyDescent="0.3">
      <c r="A9" s="175"/>
      <c r="B9" s="175"/>
      <c r="C9" s="175"/>
      <c r="D9" s="175"/>
      <c r="E9" s="161"/>
      <c r="F9" s="162"/>
      <c r="G9" s="162"/>
      <c r="H9" s="162"/>
      <c r="I9" s="163"/>
      <c r="J9" s="176"/>
      <c r="K9" s="177"/>
      <c r="L9" s="177"/>
      <c r="M9" s="177"/>
      <c r="N9" s="177"/>
      <c r="O9" s="177"/>
      <c r="P9" s="177"/>
      <c r="Q9" s="178"/>
      <c r="R9" s="179"/>
      <c r="S9" s="180"/>
      <c r="T9" s="180"/>
      <c r="U9" s="180"/>
      <c r="V9" s="181"/>
      <c r="W9" s="170"/>
      <c r="X9" s="171"/>
      <c r="Y9" s="171"/>
      <c r="Z9" s="172"/>
      <c r="AA9" s="170"/>
      <c r="AB9" s="171"/>
      <c r="AC9" s="171"/>
      <c r="AD9" s="171"/>
      <c r="AE9" s="171"/>
      <c r="AF9" s="171"/>
      <c r="AG9" s="172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3"/>
      <c r="BQ9" s="173"/>
      <c r="BR9" s="174"/>
      <c r="BS9" s="174"/>
      <c r="BT9" s="174"/>
      <c r="BU9" s="174"/>
      <c r="BV9" s="174"/>
      <c r="BW9" s="174"/>
      <c r="BX9" s="174"/>
    </row>
    <row r="10" spans="1:76" ht="15" customHeight="1" x14ac:dyDescent="0.3">
      <c r="A10" s="175"/>
      <c r="B10" s="175"/>
      <c r="C10" s="175"/>
      <c r="D10" s="175"/>
      <c r="E10" s="161"/>
      <c r="F10" s="162"/>
      <c r="G10" s="162"/>
      <c r="H10" s="162"/>
      <c r="I10" s="163"/>
      <c r="J10" s="176"/>
      <c r="K10" s="177"/>
      <c r="L10" s="177"/>
      <c r="M10" s="177"/>
      <c r="N10" s="177"/>
      <c r="O10" s="177"/>
      <c r="P10" s="177"/>
      <c r="Q10" s="178"/>
      <c r="R10" s="179"/>
      <c r="S10" s="180"/>
      <c r="T10" s="180"/>
      <c r="U10" s="180"/>
      <c r="V10" s="181"/>
      <c r="W10" s="170"/>
      <c r="X10" s="171"/>
      <c r="Y10" s="171"/>
      <c r="Z10" s="172"/>
      <c r="AA10" s="170"/>
      <c r="AB10" s="171"/>
      <c r="AC10" s="171"/>
      <c r="AD10" s="171"/>
      <c r="AE10" s="171"/>
      <c r="AF10" s="171"/>
      <c r="AG10" s="172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173"/>
      <c r="BP10" s="173"/>
      <c r="BQ10" s="173"/>
      <c r="BR10" s="174"/>
      <c r="BS10" s="174"/>
      <c r="BT10" s="174"/>
      <c r="BU10" s="174"/>
      <c r="BV10" s="174"/>
      <c r="BW10" s="174"/>
      <c r="BX10" s="174"/>
    </row>
    <row r="11" spans="1:76" ht="15" customHeight="1" x14ac:dyDescent="0.3">
      <c r="A11" s="175"/>
      <c r="B11" s="175"/>
      <c r="C11" s="175"/>
      <c r="D11" s="175"/>
      <c r="E11" s="161"/>
      <c r="F11" s="162"/>
      <c r="G11" s="162"/>
      <c r="H11" s="162"/>
      <c r="I11" s="163"/>
      <c r="J11" s="176"/>
      <c r="K11" s="177"/>
      <c r="L11" s="177"/>
      <c r="M11" s="177"/>
      <c r="N11" s="177"/>
      <c r="O11" s="177"/>
      <c r="P11" s="177"/>
      <c r="Q11" s="178"/>
      <c r="R11" s="179"/>
      <c r="S11" s="180"/>
      <c r="T11" s="180"/>
      <c r="U11" s="180"/>
      <c r="V11" s="181"/>
      <c r="W11" s="170"/>
      <c r="X11" s="171"/>
      <c r="Y11" s="171"/>
      <c r="Z11" s="172"/>
      <c r="AA11" s="170"/>
      <c r="AB11" s="171"/>
      <c r="AC11" s="171"/>
      <c r="AD11" s="171"/>
      <c r="AE11" s="171"/>
      <c r="AF11" s="171"/>
      <c r="AG11" s="172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4"/>
      <c r="BS11" s="174"/>
      <c r="BT11" s="174"/>
      <c r="BU11" s="174"/>
      <c r="BV11" s="174"/>
      <c r="BW11" s="174"/>
      <c r="BX11" s="174"/>
    </row>
    <row r="12" spans="1:76" ht="15" customHeight="1" x14ac:dyDescent="0.3">
      <c r="A12" s="175"/>
      <c r="B12" s="175"/>
      <c r="C12" s="175"/>
      <c r="D12" s="175"/>
      <c r="E12" s="161"/>
      <c r="F12" s="162"/>
      <c r="G12" s="162"/>
      <c r="H12" s="162"/>
      <c r="I12" s="163"/>
      <c r="J12" s="176"/>
      <c r="K12" s="177"/>
      <c r="L12" s="177"/>
      <c r="M12" s="177"/>
      <c r="N12" s="177"/>
      <c r="O12" s="177"/>
      <c r="P12" s="177"/>
      <c r="Q12" s="178"/>
      <c r="R12" s="179"/>
      <c r="S12" s="180"/>
      <c r="T12" s="180"/>
      <c r="U12" s="180"/>
      <c r="V12" s="181"/>
      <c r="W12" s="170"/>
      <c r="X12" s="171"/>
      <c r="Y12" s="171"/>
      <c r="Z12" s="172"/>
      <c r="AA12" s="170"/>
      <c r="AB12" s="171"/>
      <c r="AC12" s="171"/>
      <c r="AD12" s="171"/>
      <c r="AE12" s="171"/>
      <c r="AF12" s="171"/>
      <c r="AG12" s="172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3"/>
      <c r="BA12" s="173"/>
      <c r="BB12" s="173"/>
      <c r="BC12" s="173"/>
      <c r="BD12" s="173"/>
      <c r="BE12" s="173"/>
      <c r="BF12" s="173"/>
      <c r="BG12" s="173"/>
      <c r="BH12" s="173"/>
      <c r="BI12" s="173"/>
      <c r="BJ12" s="173"/>
      <c r="BK12" s="173"/>
      <c r="BL12" s="173"/>
      <c r="BM12" s="173"/>
      <c r="BN12" s="173"/>
      <c r="BO12" s="173"/>
      <c r="BP12" s="173"/>
      <c r="BQ12" s="173"/>
      <c r="BR12" s="174"/>
      <c r="BS12" s="174"/>
      <c r="BT12" s="174"/>
      <c r="BU12" s="174"/>
      <c r="BV12" s="174"/>
      <c r="BW12" s="174"/>
      <c r="BX12" s="174"/>
    </row>
    <row r="13" spans="1:76" ht="15" customHeight="1" x14ac:dyDescent="0.3">
      <c r="A13" s="175"/>
      <c r="B13" s="175"/>
      <c r="C13" s="175"/>
      <c r="D13" s="175"/>
      <c r="E13" s="161"/>
      <c r="F13" s="162"/>
      <c r="G13" s="162"/>
      <c r="H13" s="162"/>
      <c r="I13" s="163"/>
      <c r="J13" s="176"/>
      <c r="K13" s="177"/>
      <c r="L13" s="177"/>
      <c r="M13" s="177"/>
      <c r="N13" s="177"/>
      <c r="O13" s="177"/>
      <c r="P13" s="177"/>
      <c r="Q13" s="178"/>
      <c r="R13" s="179"/>
      <c r="S13" s="180"/>
      <c r="T13" s="180"/>
      <c r="U13" s="180"/>
      <c r="V13" s="181"/>
      <c r="W13" s="170"/>
      <c r="X13" s="171"/>
      <c r="Y13" s="171"/>
      <c r="Z13" s="172"/>
      <c r="AA13" s="170"/>
      <c r="AB13" s="171"/>
      <c r="AC13" s="171"/>
      <c r="AD13" s="171"/>
      <c r="AE13" s="171"/>
      <c r="AF13" s="171"/>
      <c r="AG13" s="172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  <c r="BP13" s="173"/>
      <c r="BQ13" s="173"/>
      <c r="BR13" s="174"/>
      <c r="BS13" s="174"/>
      <c r="BT13" s="174"/>
      <c r="BU13" s="174"/>
      <c r="BV13" s="174"/>
      <c r="BW13" s="174"/>
      <c r="BX13" s="174"/>
    </row>
    <row r="14" spans="1:76" ht="15" customHeight="1" x14ac:dyDescent="0.3">
      <c r="A14" s="175"/>
      <c r="B14" s="175"/>
      <c r="C14" s="175"/>
      <c r="D14" s="175"/>
      <c r="E14" s="161"/>
      <c r="F14" s="162"/>
      <c r="G14" s="162"/>
      <c r="H14" s="162"/>
      <c r="I14" s="163"/>
      <c r="J14" s="176"/>
      <c r="K14" s="177"/>
      <c r="L14" s="177"/>
      <c r="M14" s="177"/>
      <c r="N14" s="177"/>
      <c r="O14" s="177"/>
      <c r="P14" s="177"/>
      <c r="Q14" s="178"/>
      <c r="R14" s="179"/>
      <c r="S14" s="180"/>
      <c r="T14" s="180"/>
      <c r="U14" s="180"/>
      <c r="V14" s="181"/>
      <c r="W14" s="170"/>
      <c r="X14" s="171"/>
      <c r="Y14" s="171"/>
      <c r="Z14" s="172"/>
      <c r="AA14" s="170"/>
      <c r="AB14" s="171"/>
      <c r="AC14" s="171"/>
      <c r="AD14" s="171"/>
      <c r="AE14" s="171"/>
      <c r="AF14" s="171"/>
      <c r="AG14" s="172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3"/>
      <c r="BA14" s="173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173"/>
      <c r="BP14" s="173"/>
      <c r="BQ14" s="173"/>
      <c r="BR14" s="174"/>
      <c r="BS14" s="174"/>
      <c r="BT14" s="174"/>
      <c r="BU14" s="174"/>
      <c r="BV14" s="174"/>
      <c r="BW14" s="174"/>
      <c r="BX14" s="174"/>
    </row>
    <row r="15" spans="1:76" ht="15" customHeight="1" x14ac:dyDescent="0.3">
      <c r="A15" s="175"/>
      <c r="B15" s="175"/>
      <c r="C15" s="175"/>
      <c r="D15" s="175"/>
      <c r="E15" s="161"/>
      <c r="F15" s="162"/>
      <c r="G15" s="162"/>
      <c r="H15" s="162"/>
      <c r="I15" s="163"/>
      <c r="J15" s="176"/>
      <c r="K15" s="177"/>
      <c r="L15" s="177"/>
      <c r="M15" s="177"/>
      <c r="N15" s="177"/>
      <c r="O15" s="177"/>
      <c r="P15" s="177"/>
      <c r="Q15" s="178"/>
      <c r="R15" s="179"/>
      <c r="S15" s="180"/>
      <c r="T15" s="180"/>
      <c r="U15" s="180"/>
      <c r="V15" s="181"/>
      <c r="W15" s="170"/>
      <c r="X15" s="171"/>
      <c r="Y15" s="171"/>
      <c r="Z15" s="172"/>
      <c r="AA15" s="170"/>
      <c r="AB15" s="171"/>
      <c r="AC15" s="171"/>
      <c r="AD15" s="171"/>
      <c r="AE15" s="171"/>
      <c r="AF15" s="171"/>
      <c r="AG15" s="172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3"/>
      <c r="BQ15" s="173"/>
      <c r="BR15" s="174"/>
      <c r="BS15" s="174"/>
      <c r="BT15" s="174"/>
      <c r="BU15" s="174"/>
      <c r="BV15" s="174"/>
      <c r="BW15" s="174"/>
      <c r="BX15" s="174"/>
    </row>
    <row r="16" spans="1:76" ht="15" customHeight="1" x14ac:dyDescent="0.3">
      <c r="A16" s="175"/>
      <c r="B16" s="175"/>
      <c r="C16" s="175"/>
      <c r="D16" s="175"/>
      <c r="E16" s="161"/>
      <c r="F16" s="162"/>
      <c r="G16" s="162"/>
      <c r="H16" s="162"/>
      <c r="I16" s="163"/>
      <c r="J16" s="176"/>
      <c r="K16" s="177"/>
      <c r="L16" s="177"/>
      <c r="M16" s="177"/>
      <c r="N16" s="177"/>
      <c r="O16" s="177"/>
      <c r="P16" s="177"/>
      <c r="Q16" s="178"/>
      <c r="R16" s="179"/>
      <c r="S16" s="180"/>
      <c r="T16" s="180"/>
      <c r="U16" s="180"/>
      <c r="V16" s="181"/>
      <c r="W16" s="170"/>
      <c r="X16" s="171"/>
      <c r="Y16" s="171"/>
      <c r="Z16" s="172"/>
      <c r="AA16" s="170"/>
      <c r="AB16" s="171"/>
      <c r="AC16" s="171"/>
      <c r="AD16" s="171"/>
      <c r="AE16" s="171"/>
      <c r="AF16" s="171"/>
      <c r="AG16" s="172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3"/>
      <c r="AZ16" s="173"/>
      <c r="BA16" s="173"/>
      <c r="BB16" s="173"/>
      <c r="BC16" s="173"/>
      <c r="BD16" s="173"/>
      <c r="BE16" s="173"/>
      <c r="BF16" s="173"/>
      <c r="BG16" s="173"/>
      <c r="BH16" s="173"/>
      <c r="BI16" s="173"/>
      <c r="BJ16" s="173"/>
      <c r="BK16" s="173"/>
      <c r="BL16" s="173"/>
      <c r="BM16" s="173"/>
      <c r="BN16" s="173"/>
      <c r="BO16" s="173"/>
      <c r="BP16" s="173"/>
      <c r="BQ16" s="173"/>
      <c r="BR16" s="174"/>
      <c r="BS16" s="174"/>
      <c r="BT16" s="174"/>
      <c r="BU16" s="174"/>
      <c r="BV16" s="174"/>
      <c r="BW16" s="174"/>
      <c r="BX16" s="174"/>
    </row>
    <row r="17" spans="1:76" ht="15" customHeight="1" x14ac:dyDescent="0.3">
      <c r="A17" s="175"/>
      <c r="B17" s="175"/>
      <c r="C17" s="175"/>
      <c r="D17" s="175"/>
      <c r="E17" s="161"/>
      <c r="F17" s="162"/>
      <c r="G17" s="162"/>
      <c r="H17" s="162"/>
      <c r="I17" s="163"/>
      <c r="J17" s="176"/>
      <c r="K17" s="177"/>
      <c r="L17" s="177"/>
      <c r="M17" s="177"/>
      <c r="N17" s="177"/>
      <c r="O17" s="177"/>
      <c r="P17" s="177"/>
      <c r="Q17" s="178"/>
      <c r="R17" s="179"/>
      <c r="S17" s="180"/>
      <c r="T17" s="180"/>
      <c r="U17" s="180"/>
      <c r="V17" s="181"/>
      <c r="W17" s="170"/>
      <c r="X17" s="171"/>
      <c r="Y17" s="171"/>
      <c r="Z17" s="172"/>
      <c r="AA17" s="170"/>
      <c r="AB17" s="171"/>
      <c r="AC17" s="171"/>
      <c r="AD17" s="171"/>
      <c r="AE17" s="171"/>
      <c r="AF17" s="171"/>
      <c r="AG17" s="172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73"/>
      <c r="BG17" s="173"/>
      <c r="BH17" s="173"/>
      <c r="BI17" s="173"/>
      <c r="BJ17" s="173"/>
      <c r="BK17" s="173"/>
      <c r="BL17" s="173"/>
      <c r="BM17" s="173"/>
      <c r="BN17" s="173"/>
      <c r="BO17" s="173"/>
      <c r="BP17" s="173"/>
      <c r="BQ17" s="173"/>
      <c r="BR17" s="174"/>
      <c r="BS17" s="174"/>
      <c r="BT17" s="174"/>
      <c r="BU17" s="174"/>
      <c r="BV17" s="174"/>
      <c r="BW17" s="174"/>
      <c r="BX17" s="174"/>
    </row>
    <row r="18" spans="1:76" ht="15" customHeight="1" x14ac:dyDescent="0.3">
      <c r="A18" s="175"/>
      <c r="B18" s="175"/>
      <c r="C18" s="175"/>
      <c r="D18" s="175"/>
      <c r="E18" s="161"/>
      <c r="F18" s="162"/>
      <c r="G18" s="162"/>
      <c r="H18" s="162"/>
      <c r="I18" s="163"/>
      <c r="J18" s="176"/>
      <c r="K18" s="177"/>
      <c r="L18" s="177"/>
      <c r="M18" s="177"/>
      <c r="N18" s="177"/>
      <c r="O18" s="177"/>
      <c r="P18" s="177"/>
      <c r="Q18" s="178"/>
      <c r="R18" s="179"/>
      <c r="S18" s="180"/>
      <c r="T18" s="180"/>
      <c r="U18" s="180"/>
      <c r="V18" s="181"/>
      <c r="W18" s="170"/>
      <c r="X18" s="171"/>
      <c r="Y18" s="171"/>
      <c r="Z18" s="172"/>
      <c r="AA18" s="170"/>
      <c r="AB18" s="171"/>
      <c r="AC18" s="171"/>
      <c r="AD18" s="171"/>
      <c r="AE18" s="171"/>
      <c r="AF18" s="171"/>
      <c r="AG18" s="172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3"/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  <c r="BN18" s="173"/>
      <c r="BO18" s="173"/>
      <c r="BP18" s="173"/>
      <c r="BQ18" s="173"/>
      <c r="BR18" s="174"/>
      <c r="BS18" s="174"/>
      <c r="BT18" s="174"/>
      <c r="BU18" s="174"/>
      <c r="BV18" s="174"/>
      <c r="BW18" s="174"/>
      <c r="BX18" s="174"/>
    </row>
    <row r="19" spans="1:76" ht="15" customHeight="1" x14ac:dyDescent="0.3">
      <c r="A19" s="175"/>
      <c r="B19" s="175"/>
      <c r="C19" s="175"/>
      <c r="D19" s="175"/>
      <c r="E19" s="161"/>
      <c r="F19" s="162"/>
      <c r="G19" s="162"/>
      <c r="H19" s="162"/>
      <c r="I19" s="163"/>
      <c r="J19" s="176"/>
      <c r="K19" s="177"/>
      <c r="L19" s="177"/>
      <c r="M19" s="177"/>
      <c r="N19" s="177"/>
      <c r="O19" s="177"/>
      <c r="P19" s="177"/>
      <c r="Q19" s="178"/>
      <c r="R19" s="179"/>
      <c r="S19" s="180"/>
      <c r="T19" s="180"/>
      <c r="U19" s="180"/>
      <c r="V19" s="181"/>
      <c r="W19" s="170"/>
      <c r="X19" s="171"/>
      <c r="Y19" s="171"/>
      <c r="Z19" s="172"/>
      <c r="AA19" s="170"/>
      <c r="AB19" s="171"/>
      <c r="AC19" s="171"/>
      <c r="AD19" s="171"/>
      <c r="AE19" s="171"/>
      <c r="AF19" s="171"/>
      <c r="AG19" s="172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4"/>
      <c r="BS19" s="174"/>
      <c r="BT19" s="174"/>
      <c r="BU19" s="174"/>
      <c r="BV19" s="174"/>
      <c r="BW19" s="174"/>
      <c r="BX19" s="174"/>
    </row>
    <row r="20" spans="1:76" ht="15" customHeight="1" x14ac:dyDescent="0.3">
      <c r="A20" s="175"/>
      <c r="B20" s="175"/>
      <c r="C20" s="175"/>
      <c r="D20" s="175"/>
      <c r="E20" s="161"/>
      <c r="F20" s="162"/>
      <c r="G20" s="162"/>
      <c r="H20" s="162"/>
      <c r="I20" s="163"/>
      <c r="J20" s="176"/>
      <c r="K20" s="177"/>
      <c r="L20" s="177"/>
      <c r="M20" s="177"/>
      <c r="N20" s="177"/>
      <c r="O20" s="177"/>
      <c r="P20" s="177"/>
      <c r="Q20" s="178"/>
      <c r="R20" s="179"/>
      <c r="S20" s="180"/>
      <c r="T20" s="180"/>
      <c r="U20" s="180"/>
      <c r="V20" s="181"/>
      <c r="W20" s="170"/>
      <c r="X20" s="171"/>
      <c r="Y20" s="171"/>
      <c r="Z20" s="172"/>
      <c r="AA20" s="170"/>
      <c r="AB20" s="171"/>
      <c r="AC20" s="171"/>
      <c r="AD20" s="171"/>
      <c r="AE20" s="171"/>
      <c r="AF20" s="171"/>
      <c r="AG20" s="172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173"/>
      <c r="BP20" s="173"/>
      <c r="BQ20" s="173"/>
      <c r="BR20" s="174"/>
      <c r="BS20" s="174"/>
      <c r="BT20" s="174"/>
      <c r="BU20" s="174"/>
      <c r="BV20" s="174"/>
      <c r="BW20" s="174"/>
      <c r="BX20" s="174"/>
    </row>
    <row r="21" spans="1:76" ht="15" customHeight="1" x14ac:dyDescent="0.3">
      <c r="A21" s="175"/>
      <c r="B21" s="175"/>
      <c r="C21" s="175"/>
      <c r="D21" s="175"/>
      <c r="E21" s="161"/>
      <c r="F21" s="162"/>
      <c r="G21" s="162"/>
      <c r="H21" s="162"/>
      <c r="I21" s="163"/>
      <c r="J21" s="176"/>
      <c r="K21" s="177"/>
      <c r="L21" s="177"/>
      <c r="M21" s="177"/>
      <c r="N21" s="177"/>
      <c r="O21" s="177"/>
      <c r="P21" s="177"/>
      <c r="Q21" s="178"/>
      <c r="R21" s="179"/>
      <c r="S21" s="180"/>
      <c r="T21" s="180"/>
      <c r="U21" s="180"/>
      <c r="V21" s="181"/>
      <c r="W21" s="170"/>
      <c r="X21" s="171"/>
      <c r="Y21" s="171"/>
      <c r="Z21" s="172"/>
      <c r="AA21" s="170"/>
      <c r="AB21" s="171"/>
      <c r="AC21" s="171"/>
      <c r="AD21" s="171"/>
      <c r="AE21" s="171"/>
      <c r="AF21" s="171"/>
      <c r="AG21" s="172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3"/>
      <c r="BQ21" s="173"/>
      <c r="BR21" s="174"/>
      <c r="BS21" s="174"/>
      <c r="BT21" s="174"/>
      <c r="BU21" s="174"/>
      <c r="BV21" s="174"/>
      <c r="BW21" s="174"/>
      <c r="BX21" s="174"/>
    </row>
    <row r="22" spans="1:76" ht="15" customHeight="1" x14ac:dyDescent="0.3">
      <c r="A22" s="175"/>
      <c r="B22" s="175"/>
      <c r="C22" s="175"/>
      <c r="D22" s="175"/>
      <c r="E22" s="161"/>
      <c r="F22" s="162"/>
      <c r="G22" s="162"/>
      <c r="H22" s="162"/>
      <c r="I22" s="163"/>
      <c r="J22" s="176"/>
      <c r="K22" s="177"/>
      <c r="L22" s="177"/>
      <c r="M22" s="177"/>
      <c r="N22" s="177"/>
      <c r="O22" s="177"/>
      <c r="P22" s="177"/>
      <c r="Q22" s="178"/>
      <c r="R22" s="179"/>
      <c r="S22" s="180"/>
      <c r="T22" s="180"/>
      <c r="U22" s="180"/>
      <c r="V22" s="181"/>
      <c r="W22" s="170"/>
      <c r="X22" s="171"/>
      <c r="Y22" s="171"/>
      <c r="Z22" s="172"/>
      <c r="AA22" s="170"/>
      <c r="AB22" s="171"/>
      <c r="AC22" s="171"/>
      <c r="AD22" s="171"/>
      <c r="AE22" s="171"/>
      <c r="AF22" s="171"/>
      <c r="AG22" s="172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73"/>
      <c r="BQ22" s="173"/>
      <c r="BR22" s="174"/>
      <c r="BS22" s="174"/>
      <c r="BT22" s="174"/>
      <c r="BU22" s="174"/>
      <c r="BV22" s="174"/>
      <c r="BW22" s="174"/>
      <c r="BX22" s="174"/>
    </row>
    <row r="23" spans="1:76" ht="15" customHeight="1" x14ac:dyDescent="0.3">
      <c r="A23" s="175"/>
      <c r="B23" s="175"/>
      <c r="C23" s="175"/>
      <c r="D23" s="175"/>
      <c r="E23" s="161"/>
      <c r="F23" s="162"/>
      <c r="G23" s="162"/>
      <c r="H23" s="162"/>
      <c r="I23" s="163"/>
      <c r="J23" s="176"/>
      <c r="K23" s="177"/>
      <c r="L23" s="177"/>
      <c r="M23" s="177"/>
      <c r="N23" s="177"/>
      <c r="O23" s="177"/>
      <c r="P23" s="177"/>
      <c r="Q23" s="178"/>
      <c r="R23" s="179"/>
      <c r="S23" s="180"/>
      <c r="T23" s="180"/>
      <c r="U23" s="180"/>
      <c r="V23" s="181"/>
      <c r="W23" s="170"/>
      <c r="X23" s="171"/>
      <c r="Y23" s="171"/>
      <c r="Z23" s="172"/>
      <c r="AA23" s="170"/>
      <c r="AB23" s="171"/>
      <c r="AC23" s="171"/>
      <c r="AD23" s="171"/>
      <c r="AE23" s="171"/>
      <c r="AF23" s="171"/>
      <c r="AG23" s="172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4"/>
      <c r="BS23" s="174"/>
      <c r="BT23" s="174"/>
      <c r="BU23" s="174"/>
      <c r="BV23" s="174"/>
      <c r="BW23" s="174"/>
      <c r="BX23" s="174"/>
    </row>
    <row r="24" spans="1:76" ht="15" customHeight="1" x14ac:dyDescent="0.3">
      <c r="A24" s="175"/>
      <c r="B24" s="175"/>
      <c r="C24" s="175"/>
      <c r="D24" s="175"/>
      <c r="E24" s="161"/>
      <c r="F24" s="162"/>
      <c r="G24" s="162"/>
      <c r="H24" s="162"/>
      <c r="I24" s="163"/>
      <c r="J24" s="176"/>
      <c r="K24" s="177"/>
      <c r="L24" s="177"/>
      <c r="M24" s="177"/>
      <c r="N24" s="177"/>
      <c r="O24" s="177"/>
      <c r="P24" s="177"/>
      <c r="Q24" s="178"/>
      <c r="R24" s="179"/>
      <c r="S24" s="180"/>
      <c r="T24" s="180"/>
      <c r="U24" s="180"/>
      <c r="V24" s="181"/>
      <c r="W24" s="170"/>
      <c r="X24" s="171"/>
      <c r="Y24" s="171"/>
      <c r="Z24" s="172"/>
      <c r="AA24" s="170"/>
      <c r="AB24" s="171"/>
      <c r="AC24" s="171"/>
      <c r="AD24" s="171"/>
      <c r="AE24" s="171"/>
      <c r="AF24" s="171"/>
      <c r="AG24" s="172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4"/>
      <c r="BS24" s="174"/>
      <c r="BT24" s="174"/>
      <c r="BU24" s="174"/>
      <c r="BV24" s="174"/>
      <c r="BW24" s="174"/>
      <c r="BX24" s="174"/>
    </row>
    <row r="25" spans="1:76" ht="15" customHeight="1" x14ac:dyDescent="0.3">
      <c r="A25" s="175"/>
      <c r="B25" s="175"/>
      <c r="C25" s="175"/>
      <c r="D25" s="175"/>
      <c r="E25" s="161"/>
      <c r="F25" s="162"/>
      <c r="G25" s="162"/>
      <c r="H25" s="162"/>
      <c r="I25" s="163"/>
      <c r="J25" s="176"/>
      <c r="K25" s="177"/>
      <c r="L25" s="177"/>
      <c r="M25" s="177"/>
      <c r="N25" s="177"/>
      <c r="O25" s="177"/>
      <c r="P25" s="177"/>
      <c r="Q25" s="178"/>
      <c r="R25" s="179"/>
      <c r="S25" s="180"/>
      <c r="T25" s="180"/>
      <c r="U25" s="180"/>
      <c r="V25" s="181"/>
      <c r="W25" s="170"/>
      <c r="X25" s="171"/>
      <c r="Y25" s="171"/>
      <c r="Z25" s="172"/>
      <c r="AA25" s="170"/>
      <c r="AB25" s="171"/>
      <c r="AC25" s="171"/>
      <c r="AD25" s="171"/>
      <c r="AE25" s="171"/>
      <c r="AF25" s="171"/>
      <c r="AG25" s="172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  <c r="BP25" s="173"/>
      <c r="BQ25" s="173"/>
      <c r="BR25" s="174"/>
      <c r="BS25" s="174"/>
      <c r="BT25" s="174"/>
      <c r="BU25" s="174"/>
      <c r="BV25" s="174"/>
      <c r="BW25" s="174"/>
      <c r="BX25" s="174"/>
    </row>
    <row r="26" spans="1:76" ht="15" customHeight="1" x14ac:dyDescent="0.3">
      <c r="A26" s="175"/>
      <c r="B26" s="175"/>
      <c r="C26" s="175"/>
      <c r="D26" s="175"/>
      <c r="E26" s="161"/>
      <c r="F26" s="162"/>
      <c r="G26" s="162"/>
      <c r="H26" s="162"/>
      <c r="I26" s="163"/>
      <c r="J26" s="176"/>
      <c r="K26" s="177"/>
      <c r="L26" s="177"/>
      <c r="M26" s="177"/>
      <c r="N26" s="177"/>
      <c r="O26" s="177"/>
      <c r="P26" s="177"/>
      <c r="Q26" s="178"/>
      <c r="R26" s="179"/>
      <c r="S26" s="180"/>
      <c r="T26" s="180"/>
      <c r="U26" s="180"/>
      <c r="V26" s="181"/>
      <c r="W26" s="170"/>
      <c r="X26" s="171"/>
      <c r="Y26" s="171"/>
      <c r="Z26" s="172"/>
      <c r="AA26" s="170"/>
      <c r="AB26" s="171"/>
      <c r="AC26" s="171"/>
      <c r="AD26" s="171"/>
      <c r="AE26" s="171"/>
      <c r="AF26" s="171"/>
      <c r="AG26" s="172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173"/>
      <c r="BP26" s="173"/>
      <c r="BQ26" s="173"/>
      <c r="BR26" s="174"/>
      <c r="BS26" s="174"/>
      <c r="BT26" s="174"/>
      <c r="BU26" s="174"/>
      <c r="BV26" s="174"/>
      <c r="BW26" s="174"/>
      <c r="BX26" s="174"/>
    </row>
    <row r="27" spans="1:76" ht="15" customHeight="1" x14ac:dyDescent="0.3">
      <c r="A27" s="175"/>
      <c r="B27" s="175"/>
      <c r="C27" s="175"/>
      <c r="D27" s="175"/>
      <c r="E27" s="161"/>
      <c r="F27" s="162"/>
      <c r="G27" s="162"/>
      <c r="H27" s="162"/>
      <c r="I27" s="163"/>
      <c r="J27" s="176"/>
      <c r="K27" s="177"/>
      <c r="L27" s="177"/>
      <c r="M27" s="177"/>
      <c r="N27" s="177"/>
      <c r="O27" s="177"/>
      <c r="P27" s="177"/>
      <c r="Q27" s="178"/>
      <c r="R27" s="179"/>
      <c r="S27" s="180"/>
      <c r="T27" s="180"/>
      <c r="U27" s="180"/>
      <c r="V27" s="181"/>
      <c r="W27" s="170"/>
      <c r="X27" s="171"/>
      <c r="Y27" s="171"/>
      <c r="Z27" s="172"/>
      <c r="AA27" s="170"/>
      <c r="AB27" s="171"/>
      <c r="AC27" s="171"/>
      <c r="AD27" s="171"/>
      <c r="AE27" s="171"/>
      <c r="AF27" s="171"/>
      <c r="AG27" s="172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3"/>
      <c r="BE27" s="173"/>
      <c r="BF27" s="173"/>
      <c r="BG27" s="173"/>
      <c r="BH27" s="173"/>
      <c r="BI27" s="173"/>
      <c r="BJ27" s="173"/>
      <c r="BK27" s="173"/>
      <c r="BL27" s="173"/>
      <c r="BM27" s="173"/>
      <c r="BN27" s="173"/>
      <c r="BO27" s="173"/>
      <c r="BP27" s="173"/>
      <c r="BQ27" s="173"/>
      <c r="BR27" s="174"/>
      <c r="BS27" s="174"/>
      <c r="BT27" s="174"/>
      <c r="BU27" s="174"/>
      <c r="BV27" s="174"/>
      <c r="BW27" s="174"/>
      <c r="BX27" s="174"/>
    </row>
    <row r="28" spans="1:76" ht="15" customHeight="1" x14ac:dyDescent="0.3">
      <c r="A28" s="175"/>
      <c r="B28" s="175"/>
      <c r="C28" s="175"/>
      <c r="D28" s="175"/>
      <c r="E28" s="161"/>
      <c r="F28" s="162"/>
      <c r="G28" s="162"/>
      <c r="H28" s="162"/>
      <c r="I28" s="163"/>
      <c r="J28" s="176"/>
      <c r="K28" s="177"/>
      <c r="L28" s="177"/>
      <c r="M28" s="177"/>
      <c r="N28" s="177"/>
      <c r="O28" s="177"/>
      <c r="P28" s="177"/>
      <c r="Q28" s="178"/>
      <c r="R28" s="179"/>
      <c r="S28" s="180"/>
      <c r="T28" s="180"/>
      <c r="U28" s="180"/>
      <c r="V28" s="181"/>
      <c r="W28" s="170"/>
      <c r="X28" s="171"/>
      <c r="Y28" s="171"/>
      <c r="Z28" s="172"/>
      <c r="AA28" s="170"/>
      <c r="AB28" s="171"/>
      <c r="AC28" s="171"/>
      <c r="AD28" s="171"/>
      <c r="AE28" s="171"/>
      <c r="AF28" s="171"/>
      <c r="AG28" s="172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3"/>
      <c r="BB28" s="173"/>
      <c r="BC28" s="173"/>
      <c r="BD28" s="173"/>
      <c r="BE28" s="173"/>
      <c r="BF28" s="173"/>
      <c r="BG28" s="173"/>
      <c r="BH28" s="173"/>
      <c r="BI28" s="173"/>
      <c r="BJ28" s="173"/>
      <c r="BK28" s="173"/>
      <c r="BL28" s="173"/>
      <c r="BM28" s="173"/>
      <c r="BN28" s="173"/>
      <c r="BO28" s="173"/>
      <c r="BP28" s="173"/>
      <c r="BQ28" s="173"/>
      <c r="BR28" s="174"/>
      <c r="BS28" s="174"/>
      <c r="BT28" s="174"/>
      <c r="BU28" s="174"/>
      <c r="BV28" s="174"/>
      <c r="BW28" s="174"/>
      <c r="BX28" s="174"/>
    </row>
    <row r="29" spans="1:76" ht="15" customHeight="1" x14ac:dyDescent="0.3">
      <c r="A29" s="175"/>
      <c r="B29" s="175"/>
      <c r="C29" s="175"/>
      <c r="D29" s="175"/>
      <c r="E29" s="161"/>
      <c r="F29" s="162"/>
      <c r="G29" s="162"/>
      <c r="H29" s="162"/>
      <c r="I29" s="163"/>
      <c r="J29" s="176"/>
      <c r="K29" s="177"/>
      <c r="L29" s="177"/>
      <c r="M29" s="177"/>
      <c r="N29" s="177"/>
      <c r="O29" s="177"/>
      <c r="P29" s="177"/>
      <c r="Q29" s="178"/>
      <c r="R29" s="179"/>
      <c r="S29" s="180"/>
      <c r="T29" s="180"/>
      <c r="U29" s="180"/>
      <c r="V29" s="181"/>
      <c r="W29" s="170"/>
      <c r="X29" s="171"/>
      <c r="Y29" s="171"/>
      <c r="Z29" s="172"/>
      <c r="AA29" s="170"/>
      <c r="AB29" s="171"/>
      <c r="AC29" s="171"/>
      <c r="AD29" s="171"/>
      <c r="AE29" s="171"/>
      <c r="AF29" s="171"/>
      <c r="AG29" s="172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173"/>
      <c r="BA29" s="173"/>
      <c r="BB29" s="173"/>
      <c r="BC29" s="173"/>
      <c r="BD29" s="173"/>
      <c r="BE29" s="173"/>
      <c r="BF29" s="173"/>
      <c r="BG29" s="173"/>
      <c r="BH29" s="173"/>
      <c r="BI29" s="173"/>
      <c r="BJ29" s="173"/>
      <c r="BK29" s="173"/>
      <c r="BL29" s="173"/>
      <c r="BM29" s="173"/>
      <c r="BN29" s="173"/>
      <c r="BO29" s="173"/>
      <c r="BP29" s="173"/>
      <c r="BQ29" s="173"/>
      <c r="BR29" s="174"/>
      <c r="BS29" s="174"/>
      <c r="BT29" s="174"/>
      <c r="BU29" s="174"/>
      <c r="BV29" s="174"/>
      <c r="BW29" s="174"/>
      <c r="BX29" s="174"/>
    </row>
    <row r="30" spans="1:76" ht="15" customHeight="1" x14ac:dyDescent="0.3">
      <c r="A30" s="175"/>
      <c r="B30" s="175"/>
      <c r="C30" s="175"/>
      <c r="D30" s="175"/>
      <c r="E30" s="161"/>
      <c r="F30" s="162"/>
      <c r="G30" s="162"/>
      <c r="H30" s="162"/>
      <c r="I30" s="163"/>
      <c r="J30" s="176"/>
      <c r="K30" s="177"/>
      <c r="L30" s="177"/>
      <c r="M30" s="177"/>
      <c r="N30" s="177"/>
      <c r="O30" s="177"/>
      <c r="P30" s="177"/>
      <c r="Q30" s="178"/>
      <c r="R30" s="179"/>
      <c r="S30" s="180"/>
      <c r="T30" s="180"/>
      <c r="U30" s="180"/>
      <c r="V30" s="181"/>
      <c r="W30" s="170"/>
      <c r="X30" s="171"/>
      <c r="Y30" s="171"/>
      <c r="Z30" s="172"/>
      <c r="AA30" s="170"/>
      <c r="AB30" s="171"/>
      <c r="AC30" s="171"/>
      <c r="AD30" s="171"/>
      <c r="AE30" s="171"/>
      <c r="AF30" s="171"/>
      <c r="AG30" s="172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173"/>
      <c r="BP30" s="173"/>
      <c r="BQ30" s="173"/>
      <c r="BR30" s="174"/>
      <c r="BS30" s="174"/>
      <c r="BT30" s="174"/>
      <c r="BU30" s="174"/>
      <c r="BV30" s="174"/>
      <c r="BW30" s="174"/>
      <c r="BX30" s="174"/>
    </row>
    <row r="31" spans="1:76" ht="15" customHeight="1" x14ac:dyDescent="0.3">
      <c r="A31" s="175"/>
      <c r="B31" s="175"/>
      <c r="C31" s="175"/>
      <c r="D31" s="175"/>
      <c r="E31" s="161"/>
      <c r="F31" s="162"/>
      <c r="G31" s="162"/>
      <c r="H31" s="162"/>
      <c r="I31" s="163"/>
      <c r="J31" s="176"/>
      <c r="K31" s="177"/>
      <c r="L31" s="177"/>
      <c r="M31" s="177"/>
      <c r="N31" s="177"/>
      <c r="O31" s="177"/>
      <c r="P31" s="177"/>
      <c r="Q31" s="178"/>
      <c r="R31" s="179"/>
      <c r="S31" s="180"/>
      <c r="T31" s="180"/>
      <c r="U31" s="180"/>
      <c r="V31" s="181"/>
      <c r="W31" s="170"/>
      <c r="X31" s="171"/>
      <c r="Y31" s="171"/>
      <c r="Z31" s="172"/>
      <c r="AA31" s="170"/>
      <c r="AB31" s="171"/>
      <c r="AC31" s="171"/>
      <c r="AD31" s="171"/>
      <c r="AE31" s="171"/>
      <c r="AF31" s="171"/>
      <c r="AG31" s="172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73"/>
      <c r="BG31" s="173"/>
      <c r="BH31" s="173"/>
      <c r="BI31" s="173"/>
      <c r="BJ31" s="173"/>
      <c r="BK31" s="173"/>
      <c r="BL31" s="173"/>
      <c r="BM31" s="173"/>
      <c r="BN31" s="173"/>
      <c r="BO31" s="173"/>
      <c r="BP31" s="173"/>
      <c r="BQ31" s="173"/>
      <c r="BR31" s="174"/>
      <c r="BS31" s="174"/>
      <c r="BT31" s="174"/>
      <c r="BU31" s="174"/>
      <c r="BV31" s="174"/>
      <c r="BW31" s="174"/>
      <c r="BX31" s="174"/>
    </row>
    <row r="32" spans="1:76" ht="15" customHeight="1" x14ac:dyDescent="0.3">
      <c r="A32" s="175"/>
      <c r="B32" s="175"/>
      <c r="C32" s="175"/>
      <c r="D32" s="175"/>
      <c r="E32" s="161"/>
      <c r="F32" s="162"/>
      <c r="G32" s="162"/>
      <c r="H32" s="162"/>
      <c r="I32" s="163"/>
      <c r="J32" s="176"/>
      <c r="K32" s="177"/>
      <c r="L32" s="177"/>
      <c r="M32" s="177"/>
      <c r="N32" s="177"/>
      <c r="O32" s="177"/>
      <c r="P32" s="177"/>
      <c r="Q32" s="178"/>
      <c r="R32" s="179"/>
      <c r="S32" s="180"/>
      <c r="T32" s="180"/>
      <c r="U32" s="180"/>
      <c r="V32" s="181"/>
      <c r="W32" s="170"/>
      <c r="X32" s="171"/>
      <c r="Y32" s="171"/>
      <c r="Z32" s="172"/>
      <c r="AA32" s="170"/>
      <c r="AB32" s="171"/>
      <c r="AC32" s="171"/>
      <c r="AD32" s="171"/>
      <c r="AE32" s="171"/>
      <c r="AF32" s="171"/>
      <c r="AG32" s="172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3"/>
      <c r="AZ32" s="173"/>
      <c r="BA32" s="173"/>
      <c r="BB32" s="173"/>
      <c r="BC32" s="173"/>
      <c r="BD32" s="173"/>
      <c r="BE32" s="173"/>
      <c r="BF32" s="173"/>
      <c r="BG32" s="173"/>
      <c r="BH32" s="173"/>
      <c r="BI32" s="173"/>
      <c r="BJ32" s="173"/>
      <c r="BK32" s="173"/>
      <c r="BL32" s="173"/>
      <c r="BM32" s="173"/>
      <c r="BN32" s="173"/>
      <c r="BO32" s="173"/>
      <c r="BP32" s="173"/>
      <c r="BQ32" s="173"/>
      <c r="BR32" s="174"/>
      <c r="BS32" s="174"/>
      <c r="BT32" s="174"/>
      <c r="BU32" s="174"/>
      <c r="BV32" s="174"/>
      <c r="BW32" s="174"/>
      <c r="BX32" s="174"/>
    </row>
    <row r="33" spans="1:76" ht="15" customHeight="1" x14ac:dyDescent="0.3">
      <c r="A33" s="175"/>
      <c r="B33" s="175"/>
      <c r="C33" s="175"/>
      <c r="D33" s="175"/>
      <c r="E33" s="161"/>
      <c r="F33" s="162"/>
      <c r="G33" s="162"/>
      <c r="H33" s="162"/>
      <c r="I33" s="163"/>
      <c r="J33" s="176"/>
      <c r="K33" s="177"/>
      <c r="L33" s="177"/>
      <c r="M33" s="177"/>
      <c r="N33" s="177"/>
      <c r="O33" s="177"/>
      <c r="P33" s="177"/>
      <c r="Q33" s="178"/>
      <c r="R33" s="179"/>
      <c r="S33" s="180"/>
      <c r="T33" s="180"/>
      <c r="U33" s="180"/>
      <c r="V33" s="181"/>
      <c r="W33" s="170"/>
      <c r="X33" s="171"/>
      <c r="Y33" s="171"/>
      <c r="Z33" s="172"/>
      <c r="AA33" s="170"/>
      <c r="AB33" s="171"/>
      <c r="AC33" s="171"/>
      <c r="AD33" s="171"/>
      <c r="AE33" s="171"/>
      <c r="AF33" s="171"/>
      <c r="AG33" s="172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3"/>
      <c r="AZ33" s="173"/>
      <c r="BA33" s="173"/>
      <c r="BB33" s="173"/>
      <c r="BC33" s="173"/>
      <c r="BD33" s="173"/>
      <c r="BE33" s="173"/>
      <c r="BF33" s="173"/>
      <c r="BG33" s="173"/>
      <c r="BH33" s="173"/>
      <c r="BI33" s="173"/>
      <c r="BJ33" s="173"/>
      <c r="BK33" s="173"/>
      <c r="BL33" s="173"/>
      <c r="BM33" s="173"/>
      <c r="BN33" s="173"/>
      <c r="BO33" s="173"/>
      <c r="BP33" s="173"/>
      <c r="BQ33" s="173"/>
      <c r="BR33" s="174"/>
      <c r="BS33" s="174"/>
      <c r="BT33" s="174"/>
      <c r="BU33" s="174"/>
      <c r="BV33" s="174"/>
      <c r="BW33" s="174"/>
      <c r="BX33" s="174"/>
    </row>
    <row r="34" spans="1:76" ht="15" customHeight="1" x14ac:dyDescent="0.3">
      <c r="A34" s="175"/>
      <c r="B34" s="175"/>
      <c r="C34" s="175"/>
      <c r="D34" s="175"/>
      <c r="E34" s="161"/>
      <c r="F34" s="162"/>
      <c r="G34" s="162"/>
      <c r="H34" s="162"/>
      <c r="I34" s="163"/>
      <c r="J34" s="176"/>
      <c r="K34" s="177"/>
      <c r="L34" s="177"/>
      <c r="M34" s="177"/>
      <c r="N34" s="177"/>
      <c r="O34" s="177"/>
      <c r="P34" s="177"/>
      <c r="Q34" s="178"/>
      <c r="R34" s="179"/>
      <c r="S34" s="180"/>
      <c r="T34" s="180"/>
      <c r="U34" s="180"/>
      <c r="V34" s="181"/>
      <c r="W34" s="170"/>
      <c r="X34" s="171"/>
      <c r="Y34" s="171"/>
      <c r="Z34" s="172"/>
      <c r="AA34" s="170"/>
      <c r="AB34" s="171"/>
      <c r="AC34" s="171"/>
      <c r="AD34" s="171"/>
      <c r="AE34" s="171"/>
      <c r="AF34" s="171"/>
      <c r="AG34" s="172"/>
      <c r="AH34" s="173"/>
      <c r="AI34" s="173"/>
      <c r="AJ34" s="173"/>
      <c r="AK34" s="173"/>
      <c r="AL34" s="173"/>
      <c r="AM34" s="173"/>
      <c r="AN34" s="173"/>
      <c r="AO34" s="173"/>
      <c r="AP34" s="173"/>
      <c r="AQ34" s="173"/>
      <c r="AR34" s="173"/>
      <c r="AS34" s="173"/>
      <c r="AT34" s="173"/>
      <c r="AU34" s="173"/>
      <c r="AV34" s="173"/>
      <c r="AW34" s="173"/>
      <c r="AX34" s="173"/>
      <c r="AY34" s="173"/>
      <c r="AZ34" s="173"/>
      <c r="BA34" s="173"/>
      <c r="BB34" s="173"/>
      <c r="BC34" s="173"/>
      <c r="BD34" s="173"/>
      <c r="BE34" s="173"/>
      <c r="BF34" s="173"/>
      <c r="BG34" s="173"/>
      <c r="BH34" s="173"/>
      <c r="BI34" s="173"/>
      <c r="BJ34" s="173"/>
      <c r="BK34" s="173"/>
      <c r="BL34" s="173"/>
      <c r="BM34" s="173"/>
      <c r="BN34" s="173"/>
      <c r="BO34" s="173"/>
      <c r="BP34" s="173"/>
      <c r="BQ34" s="173"/>
      <c r="BR34" s="174"/>
      <c r="BS34" s="174"/>
      <c r="BT34" s="174"/>
      <c r="BU34" s="174"/>
      <c r="BV34" s="174"/>
      <c r="BW34" s="174"/>
      <c r="BX34" s="174"/>
    </row>
    <row r="35" spans="1:76" ht="15" customHeight="1" x14ac:dyDescent="0.3">
      <c r="A35" s="175"/>
      <c r="B35" s="175"/>
      <c r="C35" s="175"/>
      <c r="D35" s="175"/>
      <c r="E35" s="161"/>
      <c r="F35" s="162"/>
      <c r="G35" s="162"/>
      <c r="H35" s="162"/>
      <c r="I35" s="163"/>
      <c r="J35" s="176"/>
      <c r="K35" s="177"/>
      <c r="L35" s="177"/>
      <c r="M35" s="177"/>
      <c r="N35" s="177"/>
      <c r="O35" s="177"/>
      <c r="P35" s="177"/>
      <c r="Q35" s="178"/>
      <c r="R35" s="179"/>
      <c r="S35" s="180"/>
      <c r="T35" s="180"/>
      <c r="U35" s="180"/>
      <c r="V35" s="181"/>
      <c r="W35" s="170"/>
      <c r="X35" s="171"/>
      <c r="Y35" s="171"/>
      <c r="Z35" s="172"/>
      <c r="AA35" s="170"/>
      <c r="AB35" s="171"/>
      <c r="AC35" s="171"/>
      <c r="AD35" s="171"/>
      <c r="AE35" s="171"/>
      <c r="AF35" s="171"/>
      <c r="AG35" s="172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3"/>
      <c r="BB35" s="173"/>
      <c r="BC35" s="173"/>
      <c r="BD35" s="173"/>
      <c r="BE35" s="173"/>
      <c r="BF35" s="173"/>
      <c r="BG35" s="173"/>
      <c r="BH35" s="173"/>
      <c r="BI35" s="173"/>
      <c r="BJ35" s="173"/>
      <c r="BK35" s="173"/>
      <c r="BL35" s="173"/>
      <c r="BM35" s="173"/>
      <c r="BN35" s="173"/>
      <c r="BO35" s="173"/>
      <c r="BP35" s="173"/>
      <c r="BQ35" s="173"/>
      <c r="BR35" s="174"/>
      <c r="BS35" s="174"/>
      <c r="BT35" s="174"/>
      <c r="BU35" s="174"/>
      <c r="BV35" s="174"/>
      <c r="BW35" s="174"/>
      <c r="BX35" s="174"/>
    </row>
    <row r="36" spans="1:76" ht="15" customHeight="1" x14ac:dyDescent="0.3">
      <c r="A36" s="175"/>
      <c r="B36" s="175"/>
      <c r="C36" s="175"/>
      <c r="D36" s="175"/>
      <c r="E36" s="161"/>
      <c r="F36" s="162"/>
      <c r="G36" s="162"/>
      <c r="H36" s="162"/>
      <c r="I36" s="163"/>
      <c r="J36" s="176"/>
      <c r="K36" s="177"/>
      <c r="L36" s="177"/>
      <c r="M36" s="177"/>
      <c r="N36" s="177"/>
      <c r="O36" s="177"/>
      <c r="P36" s="177"/>
      <c r="Q36" s="178"/>
      <c r="R36" s="179"/>
      <c r="S36" s="180"/>
      <c r="T36" s="180"/>
      <c r="U36" s="180"/>
      <c r="V36" s="181"/>
      <c r="W36" s="170"/>
      <c r="X36" s="171"/>
      <c r="Y36" s="171"/>
      <c r="Z36" s="172"/>
      <c r="AA36" s="170"/>
      <c r="AB36" s="171"/>
      <c r="AC36" s="171"/>
      <c r="AD36" s="171"/>
      <c r="AE36" s="171"/>
      <c r="AF36" s="171"/>
      <c r="AG36" s="172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173"/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173"/>
      <c r="BP36" s="173"/>
      <c r="BQ36" s="173"/>
      <c r="BR36" s="174"/>
      <c r="BS36" s="174"/>
      <c r="BT36" s="174"/>
      <c r="BU36" s="174"/>
      <c r="BV36" s="174"/>
      <c r="BW36" s="174"/>
      <c r="BX36" s="174"/>
    </row>
    <row r="37" spans="1:76" ht="15" customHeight="1" x14ac:dyDescent="0.3">
      <c r="A37" s="175"/>
      <c r="B37" s="175"/>
      <c r="C37" s="175"/>
      <c r="D37" s="175"/>
      <c r="E37" s="161"/>
      <c r="F37" s="162"/>
      <c r="G37" s="162"/>
      <c r="H37" s="162"/>
      <c r="I37" s="163"/>
      <c r="J37" s="176"/>
      <c r="K37" s="177"/>
      <c r="L37" s="177"/>
      <c r="M37" s="177"/>
      <c r="N37" s="177"/>
      <c r="O37" s="177"/>
      <c r="P37" s="177"/>
      <c r="Q37" s="178"/>
      <c r="R37" s="179"/>
      <c r="S37" s="180"/>
      <c r="T37" s="180"/>
      <c r="U37" s="180"/>
      <c r="V37" s="181"/>
      <c r="W37" s="170"/>
      <c r="X37" s="171"/>
      <c r="Y37" s="171"/>
      <c r="Z37" s="172"/>
      <c r="AA37" s="170"/>
      <c r="AB37" s="171"/>
      <c r="AC37" s="171"/>
      <c r="AD37" s="171"/>
      <c r="AE37" s="171"/>
      <c r="AF37" s="171"/>
      <c r="AG37" s="172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3"/>
      <c r="AZ37" s="173"/>
      <c r="BA37" s="173"/>
      <c r="BB37" s="173"/>
      <c r="BC37" s="173"/>
      <c r="BD37" s="173"/>
      <c r="BE37" s="173"/>
      <c r="BF37" s="173"/>
      <c r="BG37" s="173"/>
      <c r="BH37" s="173"/>
      <c r="BI37" s="173"/>
      <c r="BJ37" s="173"/>
      <c r="BK37" s="173"/>
      <c r="BL37" s="173"/>
      <c r="BM37" s="173"/>
      <c r="BN37" s="173"/>
      <c r="BO37" s="173"/>
      <c r="BP37" s="173"/>
      <c r="BQ37" s="173"/>
      <c r="BR37" s="174"/>
      <c r="BS37" s="174"/>
      <c r="BT37" s="174"/>
      <c r="BU37" s="174"/>
      <c r="BV37" s="174"/>
      <c r="BW37" s="174"/>
      <c r="BX37" s="174"/>
    </row>
  </sheetData>
  <mergeCells count="274">
    <mergeCell ref="AH37:BQ37"/>
    <mergeCell ref="BR37:BX37"/>
    <mergeCell ref="A37:D37"/>
    <mergeCell ref="E37:I37"/>
    <mergeCell ref="J37:Q37"/>
    <mergeCell ref="R37:V37"/>
    <mergeCell ref="W37:Z37"/>
    <mergeCell ref="AA37:AG37"/>
    <mergeCell ref="A35:D35"/>
    <mergeCell ref="E35:I35"/>
    <mergeCell ref="J35:Q35"/>
    <mergeCell ref="R35:V35"/>
    <mergeCell ref="W35:Z35"/>
    <mergeCell ref="AA35:AG35"/>
    <mergeCell ref="AH35:BQ35"/>
    <mergeCell ref="BR35:BX35"/>
    <mergeCell ref="A36:D36"/>
    <mergeCell ref="E36:I36"/>
    <mergeCell ref="J36:Q36"/>
    <mergeCell ref="R36:V36"/>
    <mergeCell ref="W36:Z36"/>
    <mergeCell ref="AA36:AG36"/>
    <mergeCell ref="AH36:BQ36"/>
    <mergeCell ref="BR36:BX36"/>
    <mergeCell ref="A33:D33"/>
    <mergeCell ref="E33:I33"/>
    <mergeCell ref="J33:Q33"/>
    <mergeCell ref="R33:V33"/>
    <mergeCell ref="W33:Z33"/>
    <mergeCell ref="AA33:AG33"/>
    <mergeCell ref="AH33:BQ33"/>
    <mergeCell ref="BR33:BX33"/>
    <mergeCell ref="A34:D34"/>
    <mergeCell ref="E34:I34"/>
    <mergeCell ref="J34:Q34"/>
    <mergeCell ref="R34:V34"/>
    <mergeCell ref="W34:Z34"/>
    <mergeCell ref="AA34:AG34"/>
    <mergeCell ref="AH34:BQ34"/>
    <mergeCell ref="BR34:BX34"/>
    <mergeCell ref="A31:D31"/>
    <mergeCell ref="E31:I31"/>
    <mergeCell ref="J31:Q31"/>
    <mergeCell ref="R31:V31"/>
    <mergeCell ref="W31:Z31"/>
    <mergeCell ref="AA31:AG31"/>
    <mergeCell ref="AH31:BQ31"/>
    <mergeCell ref="BR31:BX31"/>
    <mergeCell ref="A32:D32"/>
    <mergeCell ref="E32:I32"/>
    <mergeCell ref="J32:Q32"/>
    <mergeCell ref="R32:V32"/>
    <mergeCell ref="W32:Z32"/>
    <mergeCell ref="AA32:AG32"/>
    <mergeCell ref="AH32:BQ32"/>
    <mergeCell ref="BR32:BX32"/>
    <mergeCell ref="A29:D29"/>
    <mergeCell ref="E29:I29"/>
    <mergeCell ref="J29:Q29"/>
    <mergeCell ref="R29:V29"/>
    <mergeCell ref="W29:Z29"/>
    <mergeCell ref="AA29:AG29"/>
    <mergeCell ref="AH29:BQ29"/>
    <mergeCell ref="BR29:BX29"/>
    <mergeCell ref="A30:D30"/>
    <mergeCell ref="E30:I30"/>
    <mergeCell ref="J30:Q30"/>
    <mergeCell ref="R30:V30"/>
    <mergeCell ref="W30:Z30"/>
    <mergeCell ref="AA30:AG30"/>
    <mergeCell ref="AH30:BQ30"/>
    <mergeCell ref="BR30:BX30"/>
    <mergeCell ref="A27:D27"/>
    <mergeCell ref="E27:I27"/>
    <mergeCell ref="J27:Q27"/>
    <mergeCell ref="R27:V27"/>
    <mergeCell ref="W27:Z27"/>
    <mergeCell ref="AA27:AG27"/>
    <mergeCell ref="AH27:BQ27"/>
    <mergeCell ref="BR27:BX27"/>
    <mergeCell ref="A28:D28"/>
    <mergeCell ref="E28:I28"/>
    <mergeCell ref="J28:Q28"/>
    <mergeCell ref="R28:V28"/>
    <mergeCell ref="W28:Z28"/>
    <mergeCell ref="AA28:AG28"/>
    <mergeCell ref="AH28:BQ28"/>
    <mergeCell ref="BR28:BX28"/>
    <mergeCell ref="A25:D25"/>
    <mergeCell ref="E25:I25"/>
    <mergeCell ref="J25:Q25"/>
    <mergeCell ref="R25:V25"/>
    <mergeCell ref="W25:Z25"/>
    <mergeCell ref="AA25:AG25"/>
    <mergeCell ref="AH25:BQ25"/>
    <mergeCell ref="BR25:BX25"/>
    <mergeCell ref="A26:D26"/>
    <mergeCell ref="E26:I26"/>
    <mergeCell ref="J26:Q26"/>
    <mergeCell ref="R26:V26"/>
    <mergeCell ref="W26:Z26"/>
    <mergeCell ref="AA26:AG26"/>
    <mergeCell ref="AH26:BQ26"/>
    <mergeCell ref="BR26:BX26"/>
    <mergeCell ref="A23:D23"/>
    <mergeCell ref="E23:I23"/>
    <mergeCell ref="J23:Q23"/>
    <mergeCell ref="R23:V23"/>
    <mergeCell ref="W23:Z23"/>
    <mergeCell ref="AA23:AG23"/>
    <mergeCell ref="AH23:BQ23"/>
    <mergeCell ref="BR23:BX23"/>
    <mergeCell ref="A24:D24"/>
    <mergeCell ref="E24:I24"/>
    <mergeCell ref="J24:Q24"/>
    <mergeCell ref="R24:V24"/>
    <mergeCell ref="W24:Z24"/>
    <mergeCell ref="AA24:AG24"/>
    <mergeCell ref="AH24:BQ24"/>
    <mergeCell ref="BR24:BX24"/>
    <mergeCell ref="A21:D21"/>
    <mergeCell ref="E21:I21"/>
    <mergeCell ref="J21:Q21"/>
    <mergeCell ref="R21:V21"/>
    <mergeCell ref="W21:Z21"/>
    <mergeCell ref="AA21:AG21"/>
    <mergeCell ref="AH21:BQ21"/>
    <mergeCell ref="BR21:BX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19:D19"/>
    <mergeCell ref="E19:I19"/>
    <mergeCell ref="J19:Q19"/>
    <mergeCell ref="R19:V19"/>
    <mergeCell ref="W19:Z19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7:D17"/>
    <mergeCell ref="E17:I17"/>
    <mergeCell ref="J17:Q17"/>
    <mergeCell ref="R17:V17"/>
    <mergeCell ref="W17:Z17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5:D15"/>
    <mergeCell ref="E15:I15"/>
    <mergeCell ref="J15:Q15"/>
    <mergeCell ref="R15:V15"/>
    <mergeCell ref="W15:Z15"/>
    <mergeCell ref="AA15:AG15"/>
    <mergeCell ref="AH15:BQ15"/>
    <mergeCell ref="BR15:BX15"/>
    <mergeCell ref="A16:D16"/>
    <mergeCell ref="E16:I16"/>
    <mergeCell ref="J16:Q16"/>
    <mergeCell ref="R16:V16"/>
    <mergeCell ref="W16:Z16"/>
    <mergeCell ref="AA16:AG16"/>
    <mergeCell ref="AH16:BQ16"/>
    <mergeCell ref="BR16:BX16"/>
    <mergeCell ref="A13:D13"/>
    <mergeCell ref="E13:I13"/>
    <mergeCell ref="J13:Q13"/>
    <mergeCell ref="R13:V13"/>
    <mergeCell ref="W13:Z13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1:D11"/>
    <mergeCell ref="E11:I11"/>
    <mergeCell ref="J11:Q11"/>
    <mergeCell ref="R11:V11"/>
    <mergeCell ref="W11:Z11"/>
    <mergeCell ref="AA11:AG11"/>
    <mergeCell ref="AH11:BQ11"/>
    <mergeCell ref="BR11:BX11"/>
    <mergeCell ref="A12:D12"/>
    <mergeCell ref="E12:I12"/>
    <mergeCell ref="J12:Q12"/>
    <mergeCell ref="R12:V12"/>
    <mergeCell ref="W12:Z12"/>
    <mergeCell ref="AA12:AG12"/>
    <mergeCell ref="AH12:BQ12"/>
    <mergeCell ref="BR12:BX12"/>
    <mergeCell ref="A9:D9"/>
    <mergeCell ref="E9:I9"/>
    <mergeCell ref="J9:Q9"/>
    <mergeCell ref="R9:V9"/>
    <mergeCell ref="W9:Z9"/>
    <mergeCell ref="AA9:AG9"/>
    <mergeCell ref="AH9:BQ9"/>
    <mergeCell ref="BR9:BX9"/>
    <mergeCell ref="A10:D10"/>
    <mergeCell ref="E10:I10"/>
    <mergeCell ref="J10:Q10"/>
    <mergeCell ref="R10:V10"/>
    <mergeCell ref="W10:Z10"/>
    <mergeCell ref="AA10:AG10"/>
    <mergeCell ref="AH10:BQ10"/>
    <mergeCell ref="BR10:BX10"/>
    <mergeCell ref="A7:D7"/>
    <mergeCell ref="E7:I7"/>
    <mergeCell ref="J7:Q7"/>
    <mergeCell ref="R7:V7"/>
    <mergeCell ref="W7:Z7"/>
    <mergeCell ref="AA7:AG7"/>
    <mergeCell ref="AH7:BQ7"/>
    <mergeCell ref="BR7:BX7"/>
    <mergeCell ref="A8:D8"/>
    <mergeCell ref="E8:I8"/>
    <mergeCell ref="J8:Q8"/>
    <mergeCell ref="R8:V8"/>
    <mergeCell ref="W8:Z8"/>
    <mergeCell ref="AA8:AG8"/>
    <mergeCell ref="AH8:BQ8"/>
    <mergeCell ref="BR8:BX8"/>
    <mergeCell ref="A5:D5"/>
    <mergeCell ref="E5:I5"/>
    <mergeCell ref="J5:Q5"/>
    <mergeCell ref="R5:V5"/>
    <mergeCell ref="W5:Z5"/>
    <mergeCell ref="AA5:AG5"/>
    <mergeCell ref="AH5:BQ5"/>
    <mergeCell ref="BR5:BX5"/>
    <mergeCell ref="A6:D6"/>
    <mergeCell ref="E6:I6"/>
    <mergeCell ref="J6:Q6"/>
    <mergeCell ref="R6:V6"/>
    <mergeCell ref="W6:Z6"/>
    <mergeCell ref="AA6:AG6"/>
    <mergeCell ref="AH6:BQ6"/>
    <mergeCell ref="BR6:BX6"/>
    <mergeCell ref="G1:AG1"/>
    <mergeCell ref="A3:D4"/>
    <mergeCell ref="E3:I4"/>
    <mergeCell ref="J3:Q4"/>
    <mergeCell ref="R3:V4"/>
    <mergeCell ref="W3:AG3"/>
    <mergeCell ref="AH3:BQ4"/>
    <mergeCell ref="BR3:BX4"/>
    <mergeCell ref="W4:Z4"/>
    <mergeCell ref="AA4:AG4"/>
  </mergeCells>
  <phoneticPr fontId="1"/>
  <pageMargins left="0.39370078740157483" right="0.16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R47"/>
  <sheetViews>
    <sheetView zoomScale="85" zoomScaleNormal="85" workbookViewId="0">
      <pane ySplit="3" topLeftCell="A4" activePane="bottomLeft" state="frozen"/>
      <selection activeCell="J5" sqref="J5:Q5"/>
      <selection pane="bottomLeft" activeCell="A4" sqref="A4"/>
    </sheetView>
  </sheetViews>
  <sheetFormatPr defaultColWidth="1.875" defaultRowHeight="15" customHeight="1" x14ac:dyDescent="0.15"/>
  <cols>
    <col min="1" max="16384" width="1.875" style="6"/>
  </cols>
  <sheetData>
    <row r="1" spans="1:96" s="1" customFormat="1" ht="15" customHeight="1" x14ac:dyDescent="0.15">
      <c r="A1" s="85" t="s">
        <v>37</v>
      </c>
      <c r="B1" s="86"/>
      <c r="C1" s="86"/>
      <c r="D1" s="86"/>
      <c r="E1" s="86"/>
      <c r="F1" s="86"/>
      <c r="G1" s="86"/>
      <c r="H1" s="86"/>
      <c r="I1" s="87" t="str">
        <f>タイトル!I40</f>
        <v>　学生勤務管理システム</v>
      </c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9"/>
      <c r="AE1" s="90" t="s">
        <v>38</v>
      </c>
      <c r="AF1" s="90"/>
      <c r="AG1" s="90"/>
      <c r="AH1" s="90"/>
      <c r="AI1" s="90"/>
      <c r="AJ1" s="90"/>
      <c r="AK1" s="90"/>
      <c r="AL1" s="91" t="str">
        <f>タイトル!I43</f>
        <v>　基本設計</v>
      </c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3"/>
      <c r="BI1" s="90" t="s">
        <v>39</v>
      </c>
      <c r="BJ1" s="90"/>
      <c r="BK1" s="90"/>
      <c r="BL1" s="90"/>
      <c r="BM1" s="95" t="str">
        <f>タイトル!I46</f>
        <v>ＫＳＳ</v>
      </c>
      <c r="BN1" s="96"/>
      <c r="BO1" s="96"/>
      <c r="BP1" s="96"/>
      <c r="BQ1" s="96"/>
      <c r="BR1" s="96"/>
      <c r="BS1" s="96"/>
      <c r="BT1" s="96"/>
      <c r="BU1" s="96"/>
      <c r="BV1" s="97"/>
      <c r="BW1" s="98">
        <f>タイトル!I47</f>
        <v>45196</v>
      </c>
      <c r="BX1" s="98"/>
      <c r="BY1" s="98"/>
      <c r="BZ1" s="98"/>
      <c r="CA1" s="98"/>
      <c r="CB1" s="98"/>
      <c r="CC1" s="98"/>
      <c r="CD1" s="98"/>
      <c r="CE1" s="98"/>
      <c r="CF1" s="99" t="s">
        <v>40</v>
      </c>
      <c r="CG1" s="100"/>
      <c r="CH1" s="100"/>
      <c r="CI1" s="100"/>
      <c r="CJ1" s="101"/>
      <c r="CK1" s="108" t="str">
        <f>タイトル!I50</f>
        <v xml:space="preserve"> DUC030</v>
      </c>
      <c r="CL1" s="109"/>
      <c r="CM1" s="109"/>
      <c r="CN1" s="109"/>
      <c r="CO1" s="109"/>
      <c r="CP1" s="109"/>
      <c r="CQ1" s="109"/>
      <c r="CR1" s="110"/>
    </row>
    <row r="2" spans="1:96" s="1" customFormat="1" ht="15" customHeight="1" x14ac:dyDescent="0.15">
      <c r="A2" s="117" t="s">
        <v>41</v>
      </c>
      <c r="B2" s="118"/>
      <c r="C2" s="118"/>
      <c r="D2" s="118"/>
      <c r="E2" s="118"/>
      <c r="F2" s="118"/>
      <c r="G2" s="118"/>
      <c r="H2" s="118"/>
      <c r="I2" s="119" t="str">
        <f>タイトル!I41</f>
        <v xml:space="preserve"> 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1"/>
      <c r="AE2" s="122" t="s">
        <v>44</v>
      </c>
      <c r="AF2" s="122"/>
      <c r="AG2" s="122"/>
      <c r="AH2" s="122"/>
      <c r="AI2" s="122"/>
      <c r="AJ2" s="122"/>
      <c r="AK2" s="122"/>
      <c r="AL2" s="123" t="str">
        <f>タイトル!I44</f>
        <v>　データベース設計</v>
      </c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5"/>
      <c r="BI2" s="122" t="s">
        <v>43</v>
      </c>
      <c r="BJ2" s="122"/>
      <c r="BK2" s="122"/>
      <c r="BL2" s="122"/>
      <c r="BM2" s="126" t="s">
        <v>202</v>
      </c>
      <c r="BN2" s="127"/>
      <c r="BO2" s="127"/>
      <c r="BP2" s="127"/>
      <c r="BQ2" s="127"/>
      <c r="BR2" s="127"/>
      <c r="BS2" s="127"/>
      <c r="BT2" s="127"/>
      <c r="BU2" s="127"/>
      <c r="BV2" s="128"/>
      <c r="BW2" s="129">
        <v>45376</v>
      </c>
      <c r="BX2" s="129"/>
      <c r="BY2" s="129"/>
      <c r="BZ2" s="129"/>
      <c r="CA2" s="129"/>
      <c r="CB2" s="129"/>
      <c r="CC2" s="129"/>
      <c r="CD2" s="129"/>
      <c r="CE2" s="129"/>
      <c r="CF2" s="102"/>
      <c r="CG2" s="103"/>
      <c r="CH2" s="103"/>
      <c r="CI2" s="103"/>
      <c r="CJ2" s="104"/>
      <c r="CK2" s="111"/>
      <c r="CL2" s="112"/>
      <c r="CM2" s="112"/>
      <c r="CN2" s="112"/>
      <c r="CO2" s="112"/>
      <c r="CP2" s="112"/>
      <c r="CQ2" s="112"/>
      <c r="CR2" s="113"/>
    </row>
    <row r="3" spans="1:96" s="1" customFormat="1" ht="15" customHeight="1" thickBot="1" x14ac:dyDescent="0.2">
      <c r="A3" s="130"/>
      <c r="B3" s="131"/>
      <c r="C3" s="131"/>
      <c r="D3" s="131"/>
      <c r="E3" s="131"/>
      <c r="F3" s="131"/>
      <c r="G3" s="131"/>
      <c r="H3" s="131"/>
      <c r="I3" s="132" t="s">
        <v>81</v>
      </c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4"/>
      <c r="AE3" s="80"/>
      <c r="AF3" s="80"/>
      <c r="AG3" s="80"/>
      <c r="AH3" s="80"/>
      <c r="AI3" s="80"/>
      <c r="AJ3" s="80"/>
      <c r="AK3" s="80"/>
      <c r="AL3" s="135" t="str">
        <f>タイトル!I42</f>
        <v>　ER図</v>
      </c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7"/>
      <c r="BI3" s="80"/>
      <c r="BJ3" s="80"/>
      <c r="BK3" s="80"/>
      <c r="BL3" s="80"/>
      <c r="BM3" s="81"/>
      <c r="BN3" s="82"/>
      <c r="BO3" s="82"/>
      <c r="BP3" s="82"/>
      <c r="BQ3" s="82"/>
      <c r="BR3" s="82"/>
      <c r="BS3" s="82"/>
      <c r="BT3" s="82"/>
      <c r="BU3" s="82"/>
      <c r="BV3" s="82"/>
      <c r="BW3" s="83"/>
      <c r="BX3" s="83"/>
      <c r="BY3" s="83"/>
      <c r="BZ3" s="83"/>
      <c r="CA3" s="83"/>
      <c r="CB3" s="83"/>
      <c r="CC3" s="83"/>
      <c r="CD3" s="83"/>
      <c r="CE3" s="84"/>
      <c r="CF3" s="105"/>
      <c r="CG3" s="106"/>
      <c r="CH3" s="106"/>
      <c r="CI3" s="106"/>
      <c r="CJ3" s="107"/>
      <c r="CK3" s="114"/>
      <c r="CL3" s="115"/>
      <c r="CM3" s="115"/>
      <c r="CN3" s="115"/>
      <c r="CO3" s="115"/>
      <c r="CP3" s="115"/>
      <c r="CQ3" s="115"/>
      <c r="CR3" s="116"/>
    </row>
    <row r="4" spans="1:96" ht="15" customHeight="1" x14ac:dyDescent="0.1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5"/>
    </row>
    <row r="5" spans="1:96" ht="15" customHeight="1" x14ac:dyDescent="0.15">
      <c r="A5" s="7"/>
      <c r="B5" s="6" t="s">
        <v>102</v>
      </c>
      <c r="F5" s="6" t="s">
        <v>124</v>
      </c>
      <c r="V5" s="6" t="s">
        <v>73</v>
      </c>
      <c r="AP5" s="6" t="s">
        <v>81</v>
      </c>
      <c r="CR5" s="8"/>
    </row>
    <row r="6" spans="1:96" ht="15" customHeight="1" x14ac:dyDescent="0.15">
      <c r="A6" s="7"/>
      <c r="B6" s="48" t="s">
        <v>71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  <c r="V6" s="31" t="s">
        <v>74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3"/>
      <c r="AP6" s="31" t="s">
        <v>79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3"/>
      <c r="CR6" s="8"/>
    </row>
    <row r="7" spans="1:96" ht="15" customHeight="1" x14ac:dyDescent="0.15">
      <c r="A7" s="7"/>
      <c r="B7" s="37" t="s">
        <v>130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9"/>
      <c r="O7" s="40" t="s">
        <v>70</v>
      </c>
      <c r="P7" s="15"/>
      <c r="Q7" s="15"/>
      <c r="R7" s="15"/>
      <c r="S7" s="15"/>
      <c r="T7" s="15"/>
      <c r="U7" s="41" t="s">
        <v>70</v>
      </c>
      <c r="V7" s="37" t="s">
        <v>148</v>
      </c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41" t="s">
        <v>70</v>
      </c>
      <c r="AJ7" s="15"/>
      <c r="AK7" s="15"/>
      <c r="AL7" s="15"/>
      <c r="AM7" s="41"/>
      <c r="AN7" s="15"/>
      <c r="AO7" s="41" t="s">
        <v>70</v>
      </c>
      <c r="AP7" s="37" t="s">
        <v>87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9"/>
      <c r="BE7" s="6" t="s">
        <v>168</v>
      </c>
      <c r="CR7" s="8"/>
    </row>
    <row r="8" spans="1:96" ht="15" customHeight="1" x14ac:dyDescent="0.15">
      <c r="A8" s="7"/>
      <c r="B8" s="42" t="s">
        <v>85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V8" s="50" t="s">
        <v>105</v>
      </c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4"/>
      <c r="AP8" s="42" t="s">
        <v>66</v>
      </c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4"/>
      <c r="BE8" s="6" t="s">
        <v>167</v>
      </c>
      <c r="BF8" s="6" t="s">
        <v>185</v>
      </c>
      <c r="CR8" s="8"/>
    </row>
    <row r="9" spans="1:96" ht="15" customHeight="1" x14ac:dyDescent="0.15">
      <c r="A9" s="7"/>
      <c r="B9" s="42" t="s">
        <v>87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4"/>
      <c r="R9" s="15"/>
      <c r="S9" s="15"/>
      <c r="T9" s="15"/>
      <c r="U9" s="41" t="s">
        <v>70</v>
      </c>
      <c r="V9" s="42" t="s">
        <v>91</v>
      </c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4"/>
      <c r="AL9" s="15"/>
      <c r="AM9" s="15"/>
      <c r="AN9" s="15"/>
      <c r="AO9" s="41" t="s">
        <v>70</v>
      </c>
      <c r="AP9" s="42" t="s">
        <v>88</v>
      </c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4"/>
      <c r="BF9" s="6" t="s">
        <v>186</v>
      </c>
      <c r="CR9" s="8"/>
    </row>
    <row r="10" spans="1:96" ht="15" customHeight="1" x14ac:dyDescent="0.15">
      <c r="A10" s="7"/>
      <c r="B10" s="42" t="s">
        <v>88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  <c r="R10" s="12"/>
      <c r="V10" s="50" t="s">
        <v>93</v>
      </c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4"/>
      <c r="AL10" s="12"/>
      <c r="AP10" s="42" t="s">
        <v>156</v>
      </c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4"/>
      <c r="BE10" s="6" t="s">
        <v>167</v>
      </c>
      <c r="BF10" s="6" t="s">
        <v>174</v>
      </c>
      <c r="CR10" s="8"/>
    </row>
    <row r="11" spans="1:96" ht="15" customHeight="1" x14ac:dyDescent="0.15">
      <c r="A11" s="7"/>
      <c r="B11" s="42" t="s">
        <v>87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4"/>
      <c r="R11" s="12"/>
      <c r="V11" s="42" t="s">
        <v>89</v>
      </c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4"/>
      <c r="AL11" s="12"/>
      <c r="AP11" s="42" t="s">
        <v>157</v>
      </c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4"/>
      <c r="BG11" s="6" t="s">
        <v>175</v>
      </c>
      <c r="CR11" s="8"/>
    </row>
    <row r="12" spans="1:96" ht="15" customHeight="1" x14ac:dyDescent="0.15">
      <c r="A12" s="7"/>
      <c r="B12" s="42" t="s">
        <v>66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  <c r="R12" s="12"/>
      <c r="V12" s="42" t="s">
        <v>90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4"/>
      <c r="AL12" s="12"/>
      <c r="AP12" s="42" t="s">
        <v>158</v>
      </c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4"/>
      <c r="BH12" s="6" t="s">
        <v>179</v>
      </c>
      <c r="CR12" s="8"/>
    </row>
    <row r="13" spans="1:96" ht="15" customHeight="1" x14ac:dyDescent="0.15">
      <c r="A13" s="7"/>
      <c r="B13" s="42" t="s">
        <v>125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  <c r="R13" s="12"/>
      <c r="V13" s="42" t="s">
        <v>86</v>
      </c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4"/>
      <c r="AL13" s="12"/>
      <c r="AP13" s="42" t="s">
        <v>68</v>
      </c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4"/>
      <c r="BG13" s="6" t="s">
        <v>176</v>
      </c>
      <c r="CR13" s="8"/>
    </row>
    <row r="14" spans="1:96" ht="15" customHeight="1" x14ac:dyDescent="0.15">
      <c r="A14" s="7"/>
      <c r="B14" s="42" t="s">
        <v>126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  <c r="Q14" s="13"/>
      <c r="V14" s="42" t="s">
        <v>106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4"/>
      <c r="AK14" s="13"/>
      <c r="AP14" s="42" t="s">
        <v>72</v>
      </c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4"/>
      <c r="BH14" s="6" t="s">
        <v>180</v>
      </c>
      <c r="CR14" s="8"/>
    </row>
    <row r="15" spans="1:96" ht="15" customHeight="1" x14ac:dyDescent="0.15">
      <c r="A15" s="7"/>
      <c r="B15" s="42" t="s">
        <v>127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Q15" s="13"/>
      <c r="V15" s="42" t="s">
        <v>149</v>
      </c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4"/>
      <c r="AK15" s="13"/>
      <c r="AP15" s="42" t="s">
        <v>67</v>
      </c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4"/>
      <c r="BG15" s="6" t="s">
        <v>177</v>
      </c>
      <c r="CR15" s="8"/>
    </row>
    <row r="16" spans="1:96" ht="15" customHeight="1" x14ac:dyDescent="0.15">
      <c r="A16" s="7"/>
      <c r="B16" s="42" t="s">
        <v>128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  <c r="Q16" s="13"/>
      <c r="V16" s="42" t="s">
        <v>150</v>
      </c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4"/>
      <c r="AK16" s="13"/>
      <c r="AP16" s="42" t="s">
        <v>159</v>
      </c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4"/>
      <c r="BH16" s="6" t="s">
        <v>181</v>
      </c>
      <c r="CR16" s="8"/>
    </row>
    <row r="17" spans="1:96" ht="15" customHeight="1" x14ac:dyDescent="0.15">
      <c r="A17" s="7"/>
      <c r="B17" s="42" t="s">
        <v>129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Q17" s="13"/>
      <c r="V17" s="42" t="s">
        <v>152</v>
      </c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4"/>
      <c r="AK17" s="13"/>
      <c r="AP17" s="42" t="s">
        <v>160</v>
      </c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4"/>
      <c r="BG17" s="6" t="s">
        <v>178</v>
      </c>
      <c r="CR17" s="8"/>
    </row>
    <row r="18" spans="1:96" ht="15" customHeight="1" x14ac:dyDescent="0.15">
      <c r="A18" s="7"/>
      <c r="B18" s="45" t="s">
        <v>72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  <c r="Q18" s="13"/>
      <c r="V18" s="45" t="s">
        <v>151</v>
      </c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7"/>
      <c r="AK18" s="13"/>
      <c r="AP18" s="42" t="s">
        <v>161</v>
      </c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4"/>
      <c r="BH18" s="6" t="s">
        <v>266</v>
      </c>
      <c r="CR18" s="8"/>
    </row>
    <row r="19" spans="1:96" ht="15" customHeight="1" x14ac:dyDescent="0.15">
      <c r="A19" s="7"/>
      <c r="B19" s="6" t="s">
        <v>131</v>
      </c>
      <c r="Q19" s="13"/>
      <c r="V19" s="6" t="s">
        <v>155</v>
      </c>
      <c r="AK19" s="13"/>
      <c r="AP19" s="42" t="s">
        <v>112</v>
      </c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4"/>
      <c r="CR19" s="8"/>
    </row>
    <row r="20" spans="1:96" ht="15" customHeight="1" x14ac:dyDescent="0.15">
      <c r="A20" s="7"/>
      <c r="Q20" s="13"/>
      <c r="V20" s="6" t="s">
        <v>154</v>
      </c>
      <c r="AK20" s="13"/>
      <c r="AP20" s="42" t="s">
        <v>162</v>
      </c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4"/>
      <c r="BE20" s="6" t="s">
        <v>167</v>
      </c>
      <c r="BF20" s="6" t="s">
        <v>169</v>
      </c>
      <c r="CR20" s="8"/>
    </row>
    <row r="21" spans="1:96" ht="15" customHeight="1" x14ac:dyDescent="0.15">
      <c r="A21" s="7"/>
      <c r="B21" s="6" t="s">
        <v>104</v>
      </c>
      <c r="Q21" s="13"/>
      <c r="AK21" s="13"/>
      <c r="AP21" s="42" t="s">
        <v>164</v>
      </c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4"/>
      <c r="BG21" s="6" t="s">
        <v>170</v>
      </c>
      <c r="CR21" s="8"/>
    </row>
    <row r="22" spans="1:96" ht="15" customHeight="1" x14ac:dyDescent="0.15">
      <c r="A22" s="7"/>
      <c r="B22" s="51" t="s">
        <v>135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3"/>
      <c r="Q22" s="13"/>
      <c r="AK22" s="13"/>
      <c r="AP22" s="42" t="s">
        <v>163</v>
      </c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4"/>
      <c r="BG22" s="6" t="s">
        <v>171</v>
      </c>
      <c r="CR22" s="8"/>
    </row>
    <row r="23" spans="1:96" ht="15" customHeight="1" x14ac:dyDescent="0.15">
      <c r="A23" s="7"/>
      <c r="B23" s="37" t="s">
        <v>136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9"/>
      <c r="Q23" s="13"/>
      <c r="AK23" s="13"/>
      <c r="AP23" s="42" t="s">
        <v>75</v>
      </c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4"/>
      <c r="BG23" s="6" t="s">
        <v>172</v>
      </c>
      <c r="CR23" s="8"/>
    </row>
    <row r="24" spans="1:96" ht="15" customHeight="1" x14ac:dyDescent="0.15">
      <c r="A24" s="7"/>
      <c r="B24" s="50" t="s">
        <v>94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4"/>
      <c r="O24" s="40" t="s">
        <v>70</v>
      </c>
      <c r="P24" s="15"/>
      <c r="Q24" s="16"/>
      <c r="V24" s="6" t="s">
        <v>103</v>
      </c>
      <c r="Z24" s="6" t="s">
        <v>124</v>
      </c>
      <c r="AK24" s="13"/>
      <c r="AP24" s="42" t="s">
        <v>107</v>
      </c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4"/>
      <c r="BG24" s="6" t="s">
        <v>173</v>
      </c>
      <c r="CR24" s="8"/>
    </row>
    <row r="25" spans="1:96" ht="15" customHeight="1" x14ac:dyDescent="0.15">
      <c r="A25" s="7"/>
      <c r="B25" s="42" t="s">
        <v>95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4"/>
      <c r="V25" s="31" t="s">
        <v>92</v>
      </c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3"/>
      <c r="AK25" s="13"/>
      <c r="AP25" s="42" t="s">
        <v>110</v>
      </c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4"/>
      <c r="BG25" s="6" t="s">
        <v>182</v>
      </c>
      <c r="CR25" s="8"/>
    </row>
    <row r="26" spans="1:96" ht="15" customHeight="1" x14ac:dyDescent="0.15">
      <c r="A26" s="7"/>
      <c r="B26" s="42" t="s">
        <v>96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4"/>
      <c r="O26" s="40" t="s">
        <v>70</v>
      </c>
      <c r="P26" s="15"/>
      <c r="Q26" s="15"/>
      <c r="R26" s="15"/>
      <c r="S26" s="15"/>
      <c r="T26" s="15"/>
      <c r="U26" s="41" t="s">
        <v>70</v>
      </c>
      <c r="V26" s="50" t="s">
        <v>153</v>
      </c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9"/>
      <c r="AI26" s="40" t="s">
        <v>70</v>
      </c>
      <c r="AJ26" s="15"/>
      <c r="AK26" s="16"/>
      <c r="AP26" s="42" t="s">
        <v>165</v>
      </c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4"/>
      <c r="BG26" s="6" t="s">
        <v>183</v>
      </c>
      <c r="CR26" s="8"/>
    </row>
    <row r="27" spans="1:96" ht="15" customHeight="1" x14ac:dyDescent="0.15">
      <c r="A27" s="7"/>
      <c r="B27" s="42" t="s">
        <v>137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4"/>
      <c r="V27" s="45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7"/>
      <c r="AP27" s="42" t="s">
        <v>92</v>
      </c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4"/>
      <c r="BG27" s="6" t="s">
        <v>184</v>
      </c>
      <c r="CR27" s="8"/>
    </row>
    <row r="28" spans="1:96" ht="15" customHeight="1" x14ac:dyDescent="0.15">
      <c r="A28" s="7"/>
      <c r="B28" s="42" t="s">
        <v>132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4"/>
      <c r="AP28" s="42" t="s">
        <v>109</v>
      </c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4"/>
      <c r="BH28" s="6" t="s">
        <v>267</v>
      </c>
      <c r="CR28" s="8"/>
    </row>
    <row r="29" spans="1:96" ht="15" customHeight="1" x14ac:dyDescent="0.15">
      <c r="A29" s="7"/>
      <c r="B29" s="42" t="s">
        <v>133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4"/>
      <c r="AP29" s="42" t="s">
        <v>85</v>
      </c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4"/>
      <c r="BH29" s="6" t="s">
        <v>188</v>
      </c>
      <c r="CR29" s="8"/>
    </row>
    <row r="30" spans="1:96" ht="15" customHeight="1" x14ac:dyDescent="0.15">
      <c r="A30" s="7"/>
      <c r="B30" s="42" t="s">
        <v>138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4"/>
      <c r="AP30" s="42" t="s">
        <v>126</v>
      </c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4"/>
      <c r="BH30" s="6" t="s">
        <v>187</v>
      </c>
      <c r="CR30" s="8"/>
    </row>
    <row r="31" spans="1:96" ht="15" customHeight="1" x14ac:dyDescent="0.15">
      <c r="A31" s="7"/>
      <c r="B31" s="42" t="s">
        <v>139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4"/>
      <c r="AP31" s="42" t="s">
        <v>127</v>
      </c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4"/>
      <c r="CR31" s="8"/>
    </row>
    <row r="32" spans="1:96" ht="15" customHeight="1" x14ac:dyDescent="0.15">
      <c r="A32" s="7"/>
      <c r="B32" s="42" t="s">
        <v>140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4"/>
      <c r="AP32" s="42" t="s">
        <v>128</v>
      </c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4"/>
      <c r="CR32" s="8"/>
    </row>
    <row r="33" spans="1:96" ht="15" customHeight="1" x14ac:dyDescent="0.15">
      <c r="A33" s="7"/>
      <c r="B33" s="42" t="s">
        <v>130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  <c r="AP33" s="42" t="s">
        <v>129</v>
      </c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4"/>
      <c r="BC33" s="40" t="s">
        <v>70</v>
      </c>
      <c r="BD33" s="15"/>
      <c r="BE33" s="15"/>
      <c r="CR33" s="8"/>
    </row>
    <row r="34" spans="1:96" ht="15" customHeight="1" x14ac:dyDescent="0.15">
      <c r="A34" s="7"/>
      <c r="B34" s="42" t="s">
        <v>141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4"/>
      <c r="AP34" s="42" t="s">
        <v>111</v>
      </c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4"/>
      <c r="BF34" s="12"/>
      <c r="BK34" s="6" t="s">
        <v>189</v>
      </c>
      <c r="BR34" s="6" t="s">
        <v>124</v>
      </c>
      <c r="CR34" s="8"/>
    </row>
    <row r="35" spans="1:96" ht="15" customHeight="1" x14ac:dyDescent="0.15">
      <c r="A35" s="7"/>
      <c r="B35" s="42" t="s">
        <v>97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4"/>
      <c r="AP35" s="42" t="s">
        <v>74</v>
      </c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4"/>
      <c r="BF35" s="12"/>
      <c r="BK35" s="34" t="s">
        <v>197</v>
      </c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6"/>
      <c r="CR35" s="8"/>
    </row>
    <row r="36" spans="1:96" ht="15" customHeight="1" x14ac:dyDescent="0.15">
      <c r="A36" s="7"/>
      <c r="B36" s="42" t="s">
        <v>98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4"/>
      <c r="AP36" s="45" t="s">
        <v>166</v>
      </c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7"/>
      <c r="BF36" s="12"/>
      <c r="BK36" s="54" t="s">
        <v>76</v>
      </c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6"/>
      <c r="BZ36" s="6" t="s">
        <v>198</v>
      </c>
      <c r="CR36" s="8"/>
    </row>
    <row r="37" spans="1:96" ht="15" customHeight="1" x14ac:dyDescent="0.15">
      <c r="A37" s="7"/>
      <c r="B37" s="42" t="s">
        <v>134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4"/>
      <c r="BF37" s="12"/>
      <c r="BK37" s="42" t="s">
        <v>78</v>
      </c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4"/>
      <c r="CB37" s="6" t="s">
        <v>199</v>
      </c>
      <c r="CR37" s="8"/>
    </row>
    <row r="38" spans="1:96" ht="15" customHeight="1" x14ac:dyDescent="0.15">
      <c r="A38" s="7"/>
      <c r="B38" s="42" t="s">
        <v>142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4"/>
      <c r="BF38" s="14"/>
      <c r="BG38" s="15"/>
      <c r="BH38" s="15"/>
      <c r="BI38" s="15"/>
      <c r="BJ38" s="41" t="s">
        <v>70</v>
      </c>
      <c r="BK38" s="42" t="s">
        <v>190</v>
      </c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4"/>
      <c r="CR38" s="8"/>
    </row>
    <row r="39" spans="1:96" ht="15" customHeight="1" x14ac:dyDescent="0.15">
      <c r="A39" s="7"/>
      <c r="B39" s="42" t="s">
        <v>143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4"/>
      <c r="BK39" s="42" t="s">
        <v>191</v>
      </c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4"/>
      <c r="CR39" s="8"/>
    </row>
    <row r="40" spans="1:96" ht="15" customHeight="1" x14ac:dyDescent="0.15">
      <c r="A40" s="7"/>
      <c r="B40" s="42" t="s">
        <v>144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4"/>
      <c r="BK40" s="42" t="s">
        <v>192</v>
      </c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4"/>
      <c r="CR40" s="8"/>
    </row>
    <row r="41" spans="1:96" ht="15" customHeight="1" x14ac:dyDescent="0.15">
      <c r="A41" s="7"/>
      <c r="B41" s="42" t="s">
        <v>99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4"/>
      <c r="BK41" s="42" t="s">
        <v>193</v>
      </c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4"/>
      <c r="CR41" s="8"/>
    </row>
    <row r="42" spans="1:96" ht="15" customHeight="1" x14ac:dyDescent="0.15">
      <c r="A42" s="7"/>
      <c r="B42" s="42" t="s">
        <v>100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4"/>
      <c r="BK42" s="42" t="s">
        <v>194</v>
      </c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4"/>
      <c r="CR42" s="8"/>
    </row>
    <row r="43" spans="1:96" ht="15" customHeight="1" x14ac:dyDescent="0.15">
      <c r="A43" s="7"/>
      <c r="B43" s="45" t="s">
        <v>101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BK43" s="42" t="s">
        <v>195</v>
      </c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4"/>
      <c r="CR43" s="8"/>
    </row>
    <row r="44" spans="1:96" ht="15" customHeight="1" x14ac:dyDescent="0.15">
      <c r="A44" s="7"/>
      <c r="B44" s="6" t="s">
        <v>145</v>
      </c>
      <c r="BK44" s="45" t="s">
        <v>196</v>
      </c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7"/>
      <c r="CR44" s="8"/>
    </row>
    <row r="45" spans="1:96" ht="15" customHeight="1" x14ac:dyDescent="0.15">
      <c r="A45" s="7"/>
      <c r="B45" s="6" t="s">
        <v>146</v>
      </c>
      <c r="CR45" s="8"/>
    </row>
    <row r="46" spans="1:96" ht="15" customHeight="1" x14ac:dyDescent="0.15">
      <c r="A46" s="7"/>
      <c r="B46" s="6" t="s">
        <v>147</v>
      </c>
      <c r="CR46" s="8"/>
    </row>
    <row r="47" spans="1:96" ht="15" customHeight="1" thickBot="1" x14ac:dyDescent="0.2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1"/>
    </row>
  </sheetData>
  <mergeCells count="21">
    <mergeCell ref="A2:H2"/>
    <mergeCell ref="BM2:BV2"/>
    <mergeCell ref="AE2:AK3"/>
    <mergeCell ref="AL2:BH2"/>
    <mergeCell ref="A1:H1"/>
    <mergeCell ref="I2:AD2"/>
    <mergeCell ref="BM1:BV1"/>
    <mergeCell ref="A3:H3"/>
    <mergeCell ref="I3:AD3"/>
    <mergeCell ref="AL3:BH3"/>
    <mergeCell ref="AL1:BH1"/>
    <mergeCell ref="BM3:CE3"/>
    <mergeCell ref="BI1:BL1"/>
    <mergeCell ref="I1:AD1"/>
    <mergeCell ref="AE1:AK1"/>
    <mergeCell ref="CK1:CR3"/>
    <mergeCell ref="BW2:CE2"/>
    <mergeCell ref="BI3:BL3"/>
    <mergeCell ref="BW1:CE1"/>
    <mergeCell ref="BI2:BL2"/>
    <mergeCell ref="CF1:CJ3"/>
  </mergeCells>
  <phoneticPr fontId="1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667D-3DCF-4FA9-996A-5EF833694BF3}">
  <dimension ref="A1:CR47"/>
  <sheetViews>
    <sheetView zoomScale="85" zoomScaleNormal="85" workbookViewId="0">
      <pane ySplit="3" topLeftCell="A4" activePane="bottomLeft" state="frozen"/>
      <selection activeCell="J5" sqref="J5:Q5"/>
      <selection pane="bottomLeft" activeCell="A4" sqref="A4"/>
    </sheetView>
  </sheetViews>
  <sheetFormatPr defaultColWidth="1.875" defaultRowHeight="15" customHeight="1" x14ac:dyDescent="0.15"/>
  <cols>
    <col min="1" max="16384" width="1.875" style="6"/>
  </cols>
  <sheetData>
    <row r="1" spans="1:96" s="1" customFormat="1" ht="15" customHeight="1" x14ac:dyDescent="0.15">
      <c r="A1" s="85" t="s">
        <v>37</v>
      </c>
      <c r="B1" s="86"/>
      <c r="C1" s="86"/>
      <c r="D1" s="86"/>
      <c r="E1" s="86"/>
      <c r="F1" s="86"/>
      <c r="G1" s="86"/>
      <c r="H1" s="86"/>
      <c r="I1" s="87" t="str">
        <f>タイトル!I40</f>
        <v>　学生勤務管理システム</v>
      </c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9"/>
      <c r="AE1" s="90" t="s">
        <v>38</v>
      </c>
      <c r="AF1" s="90"/>
      <c r="AG1" s="90"/>
      <c r="AH1" s="90"/>
      <c r="AI1" s="90"/>
      <c r="AJ1" s="90"/>
      <c r="AK1" s="90"/>
      <c r="AL1" s="91" t="str">
        <f>タイトル!I43</f>
        <v>　基本設計</v>
      </c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3"/>
      <c r="BI1" s="90" t="s">
        <v>39</v>
      </c>
      <c r="BJ1" s="90"/>
      <c r="BK1" s="90"/>
      <c r="BL1" s="90"/>
      <c r="BM1" s="95" t="str">
        <f>タイトル!I46</f>
        <v>ＫＳＳ</v>
      </c>
      <c r="BN1" s="96"/>
      <c r="BO1" s="96"/>
      <c r="BP1" s="96"/>
      <c r="BQ1" s="96"/>
      <c r="BR1" s="96"/>
      <c r="BS1" s="96"/>
      <c r="BT1" s="96"/>
      <c r="BU1" s="96"/>
      <c r="BV1" s="97"/>
      <c r="BW1" s="98">
        <f>タイトル!I47</f>
        <v>45196</v>
      </c>
      <c r="BX1" s="98"/>
      <c r="BY1" s="98"/>
      <c r="BZ1" s="98"/>
      <c r="CA1" s="98"/>
      <c r="CB1" s="98"/>
      <c r="CC1" s="98"/>
      <c r="CD1" s="98"/>
      <c r="CE1" s="98"/>
      <c r="CF1" s="99" t="s">
        <v>40</v>
      </c>
      <c r="CG1" s="100"/>
      <c r="CH1" s="100"/>
      <c r="CI1" s="100"/>
      <c r="CJ1" s="101"/>
      <c r="CK1" s="108" t="str">
        <f>タイトル!I50</f>
        <v xml:space="preserve"> DUC030</v>
      </c>
      <c r="CL1" s="109"/>
      <c r="CM1" s="109"/>
      <c r="CN1" s="109"/>
      <c r="CO1" s="109"/>
      <c r="CP1" s="109"/>
      <c r="CQ1" s="109"/>
      <c r="CR1" s="110"/>
    </row>
    <row r="2" spans="1:96" s="1" customFormat="1" ht="15" customHeight="1" x14ac:dyDescent="0.15">
      <c r="A2" s="117" t="s">
        <v>41</v>
      </c>
      <c r="B2" s="118"/>
      <c r="C2" s="118"/>
      <c r="D2" s="118"/>
      <c r="E2" s="118"/>
      <c r="F2" s="118"/>
      <c r="G2" s="118"/>
      <c r="H2" s="118"/>
      <c r="I2" s="119" t="str">
        <f>タイトル!I41</f>
        <v xml:space="preserve"> 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1"/>
      <c r="AE2" s="122" t="s">
        <v>42</v>
      </c>
      <c r="AF2" s="122"/>
      <c r="AG2" s="122"/>
      <c r="AH2" s="122"/>
      <c r="AI2" s="122"/>
      <c r="AJ2" s="122"/>
      <c r="AK2" s="122"/>
      <c r="AL2" s="123" t="str">
        <f>タイトル!I44</f>
        <v>　データベース設計</v>
      </c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5"/>
      <c r="BI2" s="122" t="s">
        <v>43</v>
      </c>
      <c r="BJ2" s="122"/>
      <c r="BK2" s="122"/>
      <c r="BL2" s="122"/>
      <c r="BM2" s="126" t="s">
        <v>202</v>
      </c>
      <c r="BN2" s="127"/>
      <c r="BO2" s="127"/>
      <c r="BP2" s="127"/>
      <c r="BQ2" s="127"/>
      <c r="BR2" s="127"/>
      <c r="BS2" s="127"/>
      <c r="BT2" s="127"/>
      <c r="BU2" s="127"/>
      <c r="BV2" s="128"/>
      <c r="BW2" s="129">
        <v>45376</v>
      </c>
      <c r="BX2" s="129"/>
      <c r="BY2" s="129"/>
      <c r="BZ2" s="129"/>
      <c r="CA2" s="129"/>
      <c r="CB2" s="129"/>
      <c r="CC2" s="129"/>
      <c r="CD2" s="129"/>
      <c r="CE2" s="129"/>
      <c r="CF2" s="102"/>
      <c r="CG2" s="103"/>
      <c r="CH2" s="103"/>
      <c r="CI2" s="103"/>
      <c r="CJ2" s="104"/>
      <c r="CK2" s="111"/>
      <c r="CL2" s="112"/>
      <c r="CM2" s="112"/>
      <c r="CN2" s="112"/>
      <c r="CO2" s="112"/>
      <c r="CP2" s="112"/>
      <c r="CQ2" s="112"/>
      <c r="CR2" s="113"/>
    </row>
    <row r="3" spans="1:96" s="1" customFormat="1" ht="15" customHeight="1" thickBot="1" x14ac:dyDescent="0.2">
      <c r="A3" s="130"/>
      <c r="B3" s="131"/>
      <c r="C3" s="131"/>
      <c r="D3" s="131"/>
      <c r="E3" s="131"/>
      <c r="F3" s="131"/>
      <c r="G3" s="131"/>
      <c r="H3" s="131"/>
      <c r="I3" s="132" t="s">
        <v>203</v>
      </c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4"/>
      <c r="AE3" s="80"/>
      <c r="AF3" s="80"/>
      <c r="AG3" s="80"/>
      <c r="AH3" s="80"/>
      <c r="AI3" s="80"/>
      <c r="AJ3" s="80"/>
      <c r="AK3" s="80"/>
      <c r="AL3" s="135" t="str">
        <f>タイトル!I42</f>
        <v>　ER図</v>
      </c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7"/>
      <c r="BI3" s="80"/>
      <c r="BJ3" s="80"/>
      <c r="BK3" s="80"/>
      <c r="BL3" s="80"/>
      <c r="BM3" s="81"/>
      <c r="BN3" s="82"/>
      <c r="BO3" s="82"/>
      <c r="BP3" s="82"/>
      <c r="BQ3" s="82"/>
      <c r="BR3" s="82"/>
      <c r="BS3" s="82"/>
      <c r="BT3" s="82"/>
      <c r="BU3" s="82"/>
      <c r="BV3" s="82"/>
      <c r="BW3" s="83"/>
      <c r="BX3" s="83"/>
      <c r="BY3" s="83"/>
      <c r="BZ3" s="83"/>
      <c r="CA3" s="83"/>
      <c r="CB3" s="83"/>
      <c r="CC3" s="83"/>
      <c r="CD3" s="83"/>
      <c r="CE3" s="84"/>
      <c r="CF3" s="105"/>
      <c r="CG3" s="106"/>
      <c r="CH3" s="106"/>
      <c r="CI3" s="106"/>
      <c r="CJ3" s="107"/>
      <c r="CK3" s="114"/>
      <c r="CL3" s="115"/>
      <c r="CM3" s="115"/>
      <c r="CN3" s="115"/>
      <c r="CO3" s="115"/>
      <c r="CP3" s="115"/>
      <c r="CQ3" s="115"/>
      <c r="CR3" s="116"/>
    </row>
    <row r="4" spans="1:96" ht="15" customHeight="1" x14ac:dyDescent="0.1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5"/>
    </row>
    <row r="5" spans="1:96" ht="15" customHeight="1" x14ac:dyDescent="0.15">
      <c r="A5" s="7"/>
      <c r="B5" s="6" t="s">
        <v>203</v>
      </c>
      <c r="V5" s="6" t="s">
        <v>234</v>
      </c>
      <c r="AB5" s="6" t="s">
        <v>124</v>
      </c>
      <c r="AP5" s="6" t="s">
        <v>237</v>
      </c>
      <c r="AU5" s="6" t="s">
        <v>124</v>
      </c>
      <c r="CR5" s="8"/>
    </row>
    <row r="6" spans="1:96" ht="15" customHeight="1" x14ac:dyDescent="0.15">
      <c r="A6" s="7"/>
      <c r="B6" s="31" t="s">
        <v>77</v>
      </c>
      <c r="C6" s="32"/>
      <c r="D6" s="32"/>
      <c r="E6" s="32"/>
      <c r="F6" s="32"/>
      <c r="G6" s="32"/>
      <c r="H6" s="32"/>
      <c r="I6" s="32" t="s">
        <v>204</v>
      </c>
      <c r="J6" s="32"/>
      <c r="K6" s="32"/>
      <c r="L6" s="32"/>
      <c r="M6" s="32"/>
      <c r="N6" s="33"/>
      <c r="V6" s="62" t="s">
        <v>235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6"/>
      <c r="AP6" s="48" t="s">
        <v>115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3"/>
      <c r="CR6" s="8"/>
    </row>
    <row r="7" spans="1:96" ht="15" customHeight="1" x14ac:dyDescent="0.15">
      <c r="A7" s="7"/>
      <c r="B7" s="49" t="s">
        <v>205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9"/>
      <c r="O7" s="40" t="s">
        <v>70</v>
      </c>
      <c r="P7" s="15"/>
      <c r="Q7" s="15"/>
      <c r="R7" s="15"/>
      <c r="S7" s="15"/>
      <c r="T7" s="15"/>
      <c r="U7" s="41" t="s">
        <v>70</v>
      </c>
      <c r="V7" s="60" t="s">
        <v>115</v>
      </c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41" t="s">
        <v>70</v>
      </c>
      <c r="AJ7" s="15"/>
      <c r="AK7" s="15"/>
      <c r="AL7" s="15"/>
      <c r="AM7" s="41"/>
      <c r="AN7" s="15"/>
      <c r="AO7" s="41" t="s">
        <v>70</v>
      </c>
      <c r="AP7" s="37" t="s">
        <v>121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9"/>
      <c r="CR7" s="8"/>
    </row>
    <row r="8" spans="1:96" ht="15" customHeight="1" x14ac:dyDescent="0.15">
      <c r="A8" s="7"/>
      <c r="B8" s="42" t="s">
        <v>79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V8" s="61" t="s">
        <v>236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P8" s="45" t="s">
        <v>122</v>
      </c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7"/>
      <c r="CR8" s="8"/>
    </row>
    <row r="9" spans="1:96" ht="15" customHeight="1" x14ac:dyDescent="0.15">
      <c r="A9" s="7"/>
      <c r="B9" s="42" t="s">
        <v>114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4"/>
      <c r="V9" s="42" t="s">
        <v>113</v>
      </c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4"/>
      <c r="AI9" s="41" t="s">
        <v>70</v>
      </c>
      <c r="AJ9" s="15"/>
      <c r="AK9" s="15"/>
      <c r="CR9" s="8"/>
    </row>
    <row r="10" spans="1:96" ht="15" customHeight="1" x14ac:dyDescent="0.15">
      <c r="A10" s="7"/>
      <c r="B10" s="50" t="s">
        <v>206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  <c r="V10" s="45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7"/>
      <c r="AL10" s="12"/>
      <c r="AP10" s="6" t="s">
        <v>238</v>
      </c>
      <c r="AU10" s="6" t="s">
        <v>124</v>
      </c>
      <c r="BJ10" s="6" t="s">
        <v>245</v>
      </c>
      <c r="BP10" s="6" t="s">
        <v>124</v>
      </c>
      <c r="CR10" s="8"/>
    </row>
    <row r="11" spans="1:96" ht="15" customHeight="1" x14ac:dyDescent="0.15">
      <c r="A11" s="7"/>
      <c r="B11" s="50" t="s">
        <v>115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4"/>
      <c r="AL11" s="12"/>
      <c r="AP11" s="62" t="s">
        <v>235</v>
      </c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  <c r="BJ11" s="62" t="s">
        <v>235</v>
      </c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6"/>
      <c r="CR11" s="8"/>
    </row>
    <row r="12" spans="1:96" ht="15" customHeight="1" x14ac:dyDescent="0.15">
      <c r="A12" s="7"/>
      <c r="B12" s="50" t="s">
        <v>116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  <c r="AK12" s="13"/>
      <c r="AL12" s="14"/>
      <c r="AM12" s="41"/>
      <c r="AN12" s="41" t="s">
        <v>69</v>
      </c>
      <c r="AO12" s="41"/>
      <c r="AP12" s="60" t="s">
        <v>115</v>
      </c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9"/>
      <c r="BC12" s="41" t="s">
        <v>70</v>
      </c>
      <c r="BD12" s="15"/>
      <c r="BE12" s="15"/>
      <c r="BF12" s="15"/>
      <c r="BG12" s="41"/>
      <c r="BH12" s="15"/>
      <c r="BI12" s="41" t="s">
        <v>70</v>
      </c>
      <c r="BJ12" s="60" t="s">
        <v>115</v>
      </c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9"/>
      <c r="CR12" s="8"/>
    </row>
    <row r="13" spans="1:96" ht="15" customHeight="1" x14ac:dyDescent="0.15">
      <c r="A13" s="7"/>
      <c r="B13" s="42" t="s">
        <v>207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  <c r="AP13" s="60" t="s">
        <v>236</v>
      </c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9"/>
      <c r="BJ13" s="60" t="s">
        <v>236</v>
      </c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9"/>
      <c r="CR13" s="8"/>
    </row>
    <row r="14" spans="1:96" ht="15" customHeight="1" x14ac:dyDescent="0.15">
      <c r="A14" s="7"/>
      <c r="B14" s="42" t="s">
        <v>208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  <c r="AP14" s="61" t="s">
        <v>239</v>
      </c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6"/>
      <c r="BC14" s="41" t="s">
        <v>70</v>
      </c>
      <c r="BD14" s="15"/>
      <c r="BE14" s="15"/>
      <c r="BJ14" s="60" t="s">
        <v>239</v>
      </c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9"/>
      <c r="CR14" s="8"/>
    </row>
    <row r="15" spans="1:96" ht="15" customHeight="1" x14ac:dyDescent="0.15">
      <c r="A15" s="7"/>
      <c r="B15" s="42" t="s">
        <v>209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AP15" s="50" t="s">
        <v>240</v>
      </c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4"/>
      <c r="BF15" s="12"/>
      <c r="BJ15" s="54" t="s">
        <v>246</v>
      </c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6"/>
      <c r="CR15" s="8"/>
    </row>
    <row r="16" spans="1:96" ht="15" customHeight="1" x14ac:dyDescent="0.15">
      <c r="A16" s="7"/>
      <c r="B16" s="42" t="s">
        <v>210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  <c r="AP16" s="42" t="s">
        <v>241</v>
      </c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4"/>
      <c r="BF16" s="12"/>
      <c r="BJ16" s="63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3"/>
      <c r="CR16" s="8"/>
    </row>
    <row r="17" spans="1:96" ht="15" customHeight="1" x14ac:dyDescent="0.15">
      <c r="A17" s="7"/>
      <c r="B17" s="42" t="s">
        <v>211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0" t="s">
        <v>70</v>
      </c>
      <c r="P17" s="15"/>
      <c r="Q17" s="15"/>
      <c r="AP17" s="42" t="s">
        <v>242</v>
      </c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4"/>
      <c r="BE17" s="13"/>
      <c r="CR17" s="8"/>
    </row>
    <row r="18" spans="1:96" ht="15" customHeight="1" x14ac:dyDescent="0.15">
      <c r="A18" s="7"/>
      <c r="B18" s="42" t="s">
        <v>118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4"/>
      <c r="R18" s="12"/>
      <c r="AP18" s="42" t="s">
        <v>243</v>
      </c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4"/>
      <c r="BE18" s="13"/>
      <c r="BJ18" s="6" t="s">
        <v>247</v>
      </c>
      <c r="BP18" s="6" t="s">
        <v>124</v>
      </c>
      <c r="CR18" s="8"/>
    </row>
    <row r="19" spans="1:96" ht="15" customHeight="1" x14ac:dyDescent="0.15">
      <c r="A19" s="7"/>
      <c r="B19" s="42" t="s">
        <v>119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4"/>
      <c r="R19" s="12"/>
      <c r="AP19" s="45" t="s">
        <v>244</v>
      </c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7"/>
      <c r="BE19" s="13"/>
      <c r="BJ19" s="62" t="s">
        <v>248</v>
      </c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6"/>
      <c r="CR19" s="8"/>
    </row>
    <row r="20" spans="1:96" ht="15" customHeight="1" x14ac:dyDescent="0.15">
      <c r="A20" s="7"/>
      <c r="B20" s="42" t="s">
        <v>120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/>
      <c r="R20" s="12"/>
      <c r="BF20" s="14"/>
      <c r="BG20" s="41"/>
      <c r="BH20" s="15"/>
      <c r="BI20" s="41" t="s">
        <v>70</v>
      </c>
      <c r="BJ20" s="57" t="s">
        <v>249</v>
      </c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9"/>
      <c r="CR20" s="8"/>
    </row>
    <row r="21" spans="1:96" ht="15" customHeight="1" x14ac:dyDescent="0.15">
      <c r="A21" s="7"/>
      <c r="B21" s="42" t="s">
        <v>212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  <c r="R21" s="12"/>
      <c r="BJ21" s="61" t="s">
        <v>250</v>
      </c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6"/>
      <c r="CR21" s="8"/>
    </row>
    <row r="22" spans="1:96" ht="15" customHeight="1" x14ac:dyDescent="0.15">
      <c r="A22" s="7"/>
      <c r="B22" s="45" t="s">
        <v>213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R22" s="12"/>
      <c r="BJ22" s="42" t="s">
        <v>251</v>
      </c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9"/>
      <c r="CR22" s="8"/>
    </row>
    <row r="23" spans="1:96" ht="15" customHeight="1" x14ac:dyDescent="0.15">
      <c r="A23" s="7"/>
      <c r="R23" s="12"/>
      <c r="BJ23" s="45" t="s">
        <v>252</v>
      </c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7"/>
      <c r="CR23" s="8"/>
    </row>
    <row r="24" spans="1:96" ht="15" customHeight="1" x14ac:dyDescent="0.15">
      <c r="A24" s="7"/>
      <c r="R24" s="12"/>
      <c r="CR24" s="8"/>
    </row>
    <row r="25" spans="1:96" ht="15" customHeight="1" x14ac:dyDescent="0.15">
      <c r="A25" s="7"/>
      <c r="R25" s="12"/>
      <c r="CR25" s="8"/>
    </row>
    <row r="26" spans="1:96" ht="15" customHeight="1" x14ac:dyDescent="0.15">
      <c r="A26" s="7"/>
      <c r="R26" s="12"/>
      <c r="V26" s="6" t="s">
        <v>253</v>
      </c>
      <c r="AP26" s="6" t="s">
        <v>214</v>
      </c>
      <c r="BJ26" s="6" t="s">
        <v>222</v>
      </c>
      <c r="CR26" s="8"/>
    </row>
    <row r="27" spans="1:96" ht="15" customHeight="1" x14ac:dyDescent="0.15">
      <c r="A27" s="7"/>
      <c r="R27" s="12"/>
      <c r="V27" s="62" t="s">
        <v>254</v>
      </c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6"/>
      <c r="AP27" s="62" t="s">
        <v>215</v>
      </c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6"/>
      <c r="BJ27" s="34" t="s">
        <v>223</v>
      </c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6"/>
      <c r="CR27" s="8"/>
    </row>
    <row r="28" spans="1:96" ht="15" customHeight="1" x14ac:dyDescent="0.15">
      <c r="A28" s="7"/>
      <c r="R28" s="14"/>
      <c r="S28" s="15"/>
      <c r="T28" s="41"/>
      <c r="U28" s="41" t="s">
        <v>70</v>
      </c>
      <c r="V28" s="54" t="s">
        <v>220</v>
      </c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6"/>
      <c r="AI28" s="41" t="s">
        <v>70</v>
      </c>
      <c r="AJ28" s="15"/>
      <c r="AK28" s="15"/>
      <c r="AL28" s="15"/>
      <c r="AM28" s="41"/>
      <c r="AN28" s="41" t="s">
        <v>69</v>
      </c>
      <c r="AO28" s="41"/>
      <c r="AP28" s="54" t="s">
        <v>220</v>
      </c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6"/>
      <c r="BC28" s="41" t="s">
        <v>70</v>
      </c>
      <c r="BD28" s="15"/>
      <c r="BE28" s="15"/>
      <c r="BF28" s="15"/>
      <c r="BG28" s="41"/>
      <c r="BH28" s="15"/>
      <c r="BI28" s="41" t="s">
        <v>70</v>
      </c>
      <c r="BJ28" s="57" t="s">
        <v>224</v>
      </c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9"/>
      <c r="CR28" s="8"/>
    </row>
    <row r="29" spans="1:96" ht="15" customHeight="1" x14ac:dyDescent="0.15">
      <c r="A29" s="7"/>
      <c r="V29" s="50" t="s">
        <v>261</v>
      </c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9"/>
      <c r="AP29" s="42" t="s">
        <v>117</v>
      </c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9"/>
      <c r="BJ29" s="57" t="s">
        <v>225</v>
      </c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9"/>
      <c r="CR29" s="8"/>
    </row>
    <row r="30" spans="1:96" ht="15" customHeight="1" x14ac:dyDescent="0.15">
      <c r="A30" s="7"/>
      <c r="V30" s="42" t="s">
        <v>256</v>
      </c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4"/>
      <c r="AI30" s="41" t="s">
        <v>70</v>
      </c>
      <c r="AJ30" s="15"/>
      <c r="AK30" s="15"/>
      <c r="AP30" s="42" t="s">
        <v>216</v>
      </c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4"/>
      <c r="BJ30" s="54" t="s">
        <v>229</v>
      </c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6"/>
      <c r="CR30" s="8"/>
    </row>
    <row r="31" spans="1:96" ht="15" customHeight="1" x14ac:dyDescent="0.15">
      <c r="A31" s="7"/>
      <c r="V31" s="42" t="s">
        <v>257</v>
      </c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4"/>
      <c r="AL31" s="12"/>
      <c r="AP31" s="42" t="s">
        <v>217</v>
      </c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4"/>
      <c r="BJ31" s="42" t="s">
        <v>118</v>
      </c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9"/>
      <c r="CR31" s="8"/>
    </row>
    <row r="32" spans="1:96" ht="15" customHeight="1" x14ac:dyDescent="0.15">
      <c r="A32" s="7"/>
      <c r="V32" s="42" t="s">
        <v>233</v>
      </c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4"/>
      <c r="AL32" s="12"/>
      <c r="AP32" s="42" t="s">
        <v>218</v>
      </c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4"/>
      <c r="BJ32" s="50" t="s">
        <v>219</v>
      </c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4"/>
      <c r="CR32" s="8"/>
    </row>
    <row r="33" spans="1:96" ht="15" customHeight="1" x14ac:dyDescent="0.15">
      <c r="A33" s="7"/>
      <c r="V33" s="42" t="s">
        <v>258</v>
      </c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4"/>
      <c r="AK33" s="13"/>
      <c r="AP33" s="50" t="s">
        <v>262</v>
      </c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4"/>
      <c r="BJ33" s="50" t="s">
        <v>226</v>
      </c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4"/>
      <c r="CR33" s="8"/>
    </row>
    <row r="34" spans="1:96" ht="15" customHeight="1" x14ac:dyDescent="0.15">
      <c r="A34" s="7"/>
      <c r="V34" s="45" t="s">
        <v>259</v>
      </c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7"/>
      <c r="AK34" s="13"/>
      <c r="AP34" s="45" t="s">
        <v>221</v>
      </c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7"/>
      <c r="BJ34" s="42" t="s">
        <v>227</v>
      </c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4"/>
      <c r="CR34" s="8"/>
    </row>
    <row r="35" spans="1:96" ht="15" customHeight="1" x14ac:dyDescent="0.15">
      <c r="A35" s="7"/>
      <c r="V35" s="6" t="s">
        <v>260</v>
      </c>
      <c r="AK35" s="13"/>
      <c r="AP35" s="6" t="s">
        <v>263</v>
      </c>
      <c r="BJ35" s="42" t="s">
        <v>208</v>
      </c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4"/>
      <c r="CR35" s="8"/>
    </row>
    <row r="36" spans="1:96" ht="15" customHeight="1" x14ac:dyDescent="0.15">
      <c r="A36" s="7"/>
      <c r="X36" s="6" t="s">
        <v>255</v>
      </c>
      <c r="AK36" s="13"/>
      <c r="AR36" s="6" t="s">
        <v>264</v>
      </c>
      <c r="BJ36" s="42" t="s">
        <v>228</v>
      </c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4"/>
      <c r="CR36" s="8"/>
    </row>
    <row r="37" spans="1:96" ht="15" customHeight="1" x14ac:dyDescent="0.15">
      <c r="A37" s="7"/>
      <c r="AK37" s="13"/>
      <c r="BJ37" s="45" t="s">
        <v>221</v>
      </c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7"/>
      <c r="CR37" s="8"/>
    </row>
    <row r="38" spans="1:96" ht="15" customHeight="1" x14ac:dyDescent="0.15">
      <c r="A38" s="7"/>
      <c r="AK38" s="13"/>
      <c r="AP38" s="6" t="s">
        <v>230</v>
      </c>
      <c r="CR38" s="8"/>
    </row>
    <row r="39" spans="1:96" ht="15" customHeight="1" x14ac:dyDescent="0.15">
      <c r="A39" s="7"/>
      <c r="AK39" s="13"/>
      <c r="AP39" s="34" t="s">
        <v>231</v>
      </c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6"/>
      <c r="CR39" s="8"/>
    </row>
    <row r="40" spans="1:96" ht="15" customHeight="1" x14ac:dyDescent="0.15">
      <c r="A40" s="7"/>
      <c r="AL40" s="14"/>
      <c r="AM40" s="41"/>
      <c r="AN40" s="41" t="s">
        <v>69</v>
      </c>
      <c r="AO40" s="41"/>
      <c r="AP40" s="54" t="s">
        <v>220</v>
      </c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6"/>
      <c r="CR40" s="8"/>
    </row>
    <row r="41" spans="1:96" ht="15" customHeight="1" x14ac:dyDescent="0.15">
      <c r="A41" s="7"/>
      <c r="AP41" s="42" t="s">
        <v>119</v>
      </c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9"/>
      <c r="CR41" s="8"/>
    </row>
    <row r="42" spans="1:96" ht="15" customHeight="1" x14ac:dyDescent="0.15">
      <c r="A42" s="7"/>
      <c r="AP42" s="42" t="s">
        <v>232</v>
      </c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4"/>
      <c r="CR42" s="8"/>
    </row>
    <row r="43" spans="1:96" ht="15" customHeight="1" x14ac:dyDescent="0.15">
      <c r="A43" s="7"/>
      <c r="AP43" s="42" t="s">
        <v>233</v>
      </c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4"/>
      <c r="CR43" s="8"/>
    </row>
    <row r="44" spans="1:96" ht="15" customHeight="1" x14ac:dyDescent="0.15">
      <c r="A44" s="7"/>
      <c r="AP44" s="64" t="s">
        <v>262</v>
      </c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7"/>
      <c r="CR44" s="8"/>
    </row>
    <row r="45" spans="1:96" ht="15" customHeight="1" x14ac:dyDescent="0.15">
      <c r="A45" s="7"/>
      <c r="AP45" s="6" t="s">
        <v>263</v>
      </c>
      <c r="CR45" s="8"/>
    </row>
    <row r="46" spans="1:96" ht="15" customHeight="1" x14ac:dyDescent="0.15">
      <c r="A46" s="7"/>
      <c r="AR46" s="6" t="s">
        <v>264</v>
      </c>
      <c r="CR46" s="8"/>
    </row>
    <row r="47" spans="1:96" ht="15" customHeight="1" thickBot="1" x14ac:dyDescent="0.2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1"/>
    </row>
  </sheetData>
  <mergeCells count="21">
    <mergeCell ref="A3:H3"/>
    <mergeCell ref="I3:AD3"/>
    <mergeCell ref="AL3:BH3"/>
    <mergeCell ref="BI3:BL3"/>
    <mergeCell ref="BM3:CE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</mergeCells>
  <phoneticPr fontId="1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765F-BF64-4E9E-ADE4-47293A8AB1E7}">
  <dimension ref="A1:CR47"/>
  <sheetViews>
    <sheetView zoomScale="85" zoomScaleNormal="85" workbookViewId="0">
      <pane ySplit="3" topLeftCell="A4" activePane="bottomLeft" state="frozen"/>
      <selection activeCell="J5" sqref="J5:Q5"/>
      <selection pane="bottomLeft" activeCell="A4" sqref="A4"/>
    </sheetView>
  </sheetViews>
  <sheetFormatPr defaultColWidth="1.875" defaultRowHeight="15" customHeight="1" x14ac:dyDescent="0.15"/>
  <cols>
    <col min="1" max="16384" width="1.875" style="6"/>
  </cols>
  <sheetData>
    <row r="1" spans="1:96" s="1" customFormat="1" ht="15" customHeight="1" x14ac:dyDescent="0.15">
      <c r="A1" s="85" t="s">
        <v>37</v>
      </c>
      <c r="B1" s="86"/>
      <c r="C1" s="86"/>
      <c r="D1" s="86"/>
      <c r="E1" s="86"/>
      <c r="F1" s="86"/>
      <c r="G1" s="86"/>
      <c r="H1" s="86"/>
      <c r="I1" s="87" t="str">
        <f>タイトル!I40</f>
        <v>　学生勤務管理システム</v>
      </c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9"/>
      <c r="AE1" s="90" t="s">
        <v>38</v>
      </c>
      <c r="AF1" s="90"/>
      <c r="AG1" s="90"/>
      <c r="AH1" s="90"/>
      <c r="AI1" s="90"/>
      <c r="AJ1" s="90"/>
      <c r="AK1" s="90"/>
      <c r="AL1" s="91" t="str">
        <f>タイトル!I43</f>
        <v>　基本設計</v>
      </c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3"/>
      <c r="BI1" s="90" t="s">
        <v>39</v>
      </c>
      <c r="BJ1" s="90"/>
      <c r="BK1" s="90"/>
      <c r="BL1" s="90"/>
      <c r="BM1" s="95" t="str">
        <f>タイトル!I46</f>
        <v>ＫＳＳ</v>
      </c>
      <c r="BN1" s="96"/>
      <c r="BO1" s="96"/>
      <c r="BP1" s="96"/>
      <c r="BQ1" s="96"/>
      <c r="BR1" s="96"/>
      <c r="BS1" s="96"/>
      <c r="BT1" s="96"/>
      <c r="BU1" s="96"/>
      <c r="BV1" s="97"/>
      <c r="BW1" s="98">
        <f>タイトル!I47</f>
        <v>45196</v>
      </c>
      <c r="BX1" s="98"/>
      <c r="BY1" s="98"/>
      <c r="BZ1" s="98"/>
      <c r="CA1" s="98"/>
      <c r="CB1" s="98"/>
      <c r="CC1" s="98"/>
      <c r="CD1" s="98"/>
      <c r="CE1" s="98"/>
      <c r="CF1" s="99" t="s">
        <v>40</v>
      </c>
      <c r="CG1" s="100"/>
      <c r="CH1" s="100"/>
      <c r="CI1" s="100"/>
      <c r="CJ1" s="101"/>
      <c r="CK1" s="108" t="str">
        <f>タイトル!I50</f>
        <v xml:space="preserve"> DUC030</v>
      </c>
      <c r="CL1" s="109"/>
      <c r="CM1" s="109"/>
      <c r="CN1" s="109"/>
      <c r="CO1" s="109"/>
      <c r="CP1" s="109"/>
      <c r="CQ1" s="109"/>
      <c r="CR1" s="110"/>
    </row>
    <row r="2" spans="1:96" s="1" customFormat="1" ht="15" customHeight="1" x14ac:dyDescent="0.15">
      <c r="A2" s="117" t="s">
        <v>41</v>
      </c>
      <c r="B2" s="118"/>
      <c r="C2" s="118"/>
      <c r="D2" s="118"/>
      <c r="E2" s="118"/>
      <c r="F2" s="118"/>
      <c r="G2" s="118"/>
      <c r="H2" s="118"/>
      <c r="I2" s="119" t="str">
        <f>タイトル!I41</f>
        <v xml:space="preserve"> 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1"/>
      <c r="AE2" s="122" t="s">
        <v>42</v>
      </c>
      <c r="AF2" s="122"/>
      <c r="AG2" s="122"/>
      <c r="AH2" s="122"/>
      <c r="AI2" s="122"/>
      <c r="AJ2" s="122"/>
      <c r="AK2" s="122"/>
      <c r="AL2" s="123" t="str">
        <f>タイトル!I44</f>
        <v>　データベース設計</v>
      </c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5"/>
      <c r="BI2" s="122" t="s">
        <v>43</v>
      </c>
      <c r="BJ2" s="122"/>
      <c r="BK2" s="122"/>
      <c r="BL2" s="122"/>
      <c r="BM2" s="126" t="s">
        <v>202</v>
      </c>
      <c r="BN2" s="127"/>
      <c r="BO2" s="127"/>
      <c r="BP2" s="127"/>
      <c r="BQ2" s="127"/>
      <c r="BR2" s="127"/>
      <c r="BS2" s="127"/>
      <c r="BT2" s="127"/>
      <c r="BU2" s="127"/>
      <c r="BV2" s="128"/>
      <c r="BW2" s="129">
        <v>45377</v>
      </c>
      <c r="BX2" s="129"/>
      <c r="BY2" s="129"/>
      <c r="BZ2" s="129"/>
      <c r="CA2" s="129"/>
      <c r="CB2" s="129"/>
      <c r="CC2" s="129"/>
      <c r="CD2" s="129"/>
      <c r="CE2" s="129"/>
      <c r="CF2" s="102"/>
      <c r="CG2" s="103"/>
      <c r="CH2" s="103"/>
      <c r="CI2" s="103"/>
      <c r="CJ2" s="104"/>
      <c r="CK2" s="111"/>
      <c r="CL2" s="112"/>
      <c r="CM2" s="112"/>
      <c r="CN2" s="112"/>
      <c r="CO2" s="112"/>
      <c r="CP2" s="112"/>
      <c r="CQ2" s="112"/>
      <c r="CR2" s="113"/>
    </row>
    <row r="3" spans="1:96" s="1" customFormat="1" ht="15" customHeight="1" thickBot="1" x14ac:dyDescent="0.2">
      <c r="A3" s="130"/>
      <c r="B3" s="131"/>
      <c r="C3" s="131"/>
      <c r="D3" s="131"/>
      <c r="E3" s="131"/>
      <c r="F3" s="131"/>
      <c r="G3" s="131"/>
      <c r="H3" s="131"/>
      <c r="I3" s="132" t="s">
        <v>265</v>
      </c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4"/>
      <c r="AE3" s="80"/>
      <c r="AF3" s="80"/>
      <c r="AG3" s="80"/>
      <c r="AH3" s="80"/>
      <c r="AI3" s="80"/>
      <c r="AJ3" s="80"/>
      <c r="AK3" s="80"/>
      <c r="AL3" s="135" t="str">
        <f>タイトル!I42</f>
        <v>　ER図</v>
      </c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7"/>
      <c r="BI3" s="80"/>
      <c r="BJ3" s="80"/>
      <c r="BK3" s="80"/>
      <c r="BL3" s="80"/>
      <c r="BM3" s="81"/>
      <c r="BN3" s="82"/>
      <c r="BO3" s="82"/>
      <c r="BP3" s="82"/>
      <c r="BQ3" s="82"/>
      <c r="BR3" s="82"/>
      <c r="BS3" s="82"/>
      <c r="BT3" s="82"/>
      <c r="BU3" s="82"/>
      <c r="BV3" s="82"/>
      <c r="BW3" s="83"/>
      <c r="BX3" s="83"/>
      <c r="BY3" s="83"/>
      <c r="BZ3" s="83"/>
      <c r="CA3" s="83"/>
      <c r="CB3" s="83"/>
      <c r="CC3" s="83"/>
      <c r="CD3" s="83"/>
      <c r="CE3" s="84"/>
      <c r="CF3" s="105"/>
      <c r="CG3" s="106"/>
      <c r="CH3" s="106"/>
      <c r="CI3" s="106"/>
      <c r="CJ3" s="107"/>
      <c r="CK3" s="114"/>
      <c r="CL3" s="115"/>
      <c r="CM3" s="115"/>
      <c r="CN3" s="115"/>
      <c r="CO3" s="115"/>
      <c r="CP3" s="115"/>
      <c r="CQ3" s="115"/>
      <c r="CR3" s="116"/>
    </row>
    <row r="4" spans="1:96" ht="15" customHeight="1" x14ac:dyDescent="0.1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5"/>
    </row>
    <row r="5" spans="1:96" ht="15" customHeight="1" x14ac:dyDescent="0.15">
      <c r="A5" s="7"/>
      <c r="B5" s="6" t="s">
        <v>203</v>
      </c>
      <c r="V5" s="6" t="s">
        <v>268</v>
      </c>
      <c r="AP5" s="6" t="s">
        <v>80</v>
      </c>
      <c r="CR5" s="8"/>
    </row>
    <row r="6" spans="1:96" ht="15" customHeight="1" x14ac:dyDescent="0.15">
      <c r="A6" s="7"/>
      <c r="B6" s="48" t="s">
        <v>77</v>
      </c>
      <c r="C6" s="32"/>
      <c r="D6" s="32"/>
      <c r="E6" s="32"/>
      <c r="F6" s="32"/>
      <c r="G6" s="32"/>
      <c r="H6" s="32"/>
      <c r="I6" s="32" t="s">
        <v>204</v>
      </c>
      <c r="J6" s="32"/>
      <c r="K6" s="32"/>
      <c r="L6" s="32"/>
      <c r="M6" s="32"/>
      <c r="N6" s="33"/>
      <c r="V6" s="48" t="s">
        <v>269</v>
      </c>
      <c r="W6" s="32"/>
      <c r="X6" s="32"/>
      <c r="Y6" s="32"/>
      <c r="Z6" s="32"/>
      <c r="AA6" s="32"/>
      <c r="AB6" s="32"/>
      <c r="AC6" s="32" t="s">
        <v>204</v>
      </c>
      <c r="AD6" s="32"/>
      <c r="AE6" s="32"/>
      <c r="AF6" s="32"/>
      <c r="AG6" s="32"/>
      <c r="AH6" s="33"/>
      <c r="AP6" s="62" t="s">
        <v>282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  <c r="CR6" s="8"/>
    </row>
    <row r="7" spans="1:96" ht="15" customHeight="1" x14ac:dyDescent="0.15">
      <c r="A7" s="7"/>
      <c r="B7" s="37" t="s">
        <v>205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9"/>
      <c r="O7" s="40" t="s">
        <v>70</v>
      </c>
      <c r="P7" s="15"/>
      <c r="Q7" s="15"/>
      <c r="R7" s="15"/>
      <c r="S7" s="15"/>
      <c r="T7" s="41" t="s">
        <v>69</v>
      </c>
      <c r="U7" s="41"/>
      <c r="V7" s="49" t="s">
        <v>77</v>
      </c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41" t="s">
        <v>70</v>
      </c>
      <c r="AJ7" s="15"/>
      <c r="AK7" s="15"/>
      <c r="AL7" s="15"/>
      <c r="AM7" s="41"/>
      <c r="AN7" s="41" t="s">
        <v>69</v>
      </c>
      <c r="AO7" s="41"/>
      <c r="AP7" s="57" t="s">
        <v>283</v>
      </c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9"/>
      <c r="BE7" s="6" t="s">
        <v>330</v>
      </c>
      <c r="CR7" s="8"/>
    </row>
    <row r="8" spans="1:96" ht="15" customHeight="1" x14ac:dyDescent="0.15">
      <c r="A8" s="7"/>
      <c r="B8" s="42" t="s">
        <v>79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V8" s="42" t="s">
        <v>212</v>
      </c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4"/>
      <c r="AP8" s="54" t="s">
        <v>284</v>
      </c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6"/>
      <c r="BF8" s="6" t="s">
        <v>331</v>
      </c>
      <c r="CR8" s="8"/>
    </row>
    <row r="9" spans="1:96" ht="15" customHeight="1" thickBot="1" x14ac:dyDescent="0.2">
      <c r="A9" s="7"/>
      <c r="B9" s="42" t="s">
        <v>114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4"/>
      <c r="O9" s="67" t="s">
        <v>70</v>
      </c>
      <c r="R9" s="15"/>
      <c r="S9" s="15"/>
      <c r="T9" s="41" t="s">
        <v>69</v>
      </c>
      <c r="U9" s="41"/>
      <c r="V9" s="42" t="s">
        <v>79</v>
      </c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4"/>
      <c r="AL9" s="15"/>
      <c r="AM9" s="41"/>
      <c r="AN9" s="41" t="s">
        <v>69</v>
      </c>
      <c r="AO9" s="41"/>
      <c r="AP9" s="42" t="s">
        <v>113</v>
      </c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4"/>
      <c r="BF9" s="6" t="s">
        <v>332</v>
      </c>
      <c r="CR9" s="8"/>
    </row>
    <row r="10" spans="1:96" ht="15" customHeight="1" thickTop="1" x14ac:dyDescent="0.15">
      <c r="A10" s="7"/>
      <c r="B10" s="42" t="s">
        <v>206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  <c r="O10" s="68"/>
      <c r="P10" s="69"/>
      <c r="R10" s="9"/>
      <c r="V10" s="42" t="s">
        <v>270</v>
      </c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4"/>
      <c r="AL10" s="9"/>
      <c r="AP10" s="42" t="s">
        <v>206</v>
      </c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4"/>
      <c r="CR10" s="8"/>
    </row>
    <row r="11" spans="1:96" ht="15" customHeight="1" x14ac:dyDescent="0.15">
      <c r="A11" s="7"/>
      <c r="B11" s="42" t="s">
        <v>115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4"/>
      <c r="P11" s="70"/>
      <c r="R11" s="12"/>
      <c r="V11" s="42" t="s">
        <v>271</v>
      </c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4"/>
      <c r="AL11" s="12"/>
      <c r="AP11" s="42" t="s">
        <v>160</v>
      </c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4"/>
      <c r="BF11" s="6" t="s">
        <v>333</v>
      </c>
      <c r="CR11" s="8"/>
    </row>
    <row r="12" spans="1:96" ht="15" customHeight="1" x14ac:dyDescent="0.15">
      <c r="A12" s="7"/>
      <c r="B12" s="42" t="s">
        <v>116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  <c r="P12" s="70"/>
      <c r="R12" s="12"/>
      <c r="V12" s="42" t="s">
        <v>272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4"/>
      <c r="AL12" s="12"/>
      <c r="AP12" s="42" t="s">
        <v>285</v>
      </c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4"/>
      <c r="BF12" s="182" t="s">
        <v>334</v>
      </c>
      <c r="BG12" s="182"/>
      <c r="BH12" s="182"/>
      <c r="BI12" s="182"/>
      <c r="BJ12" s="182" t="s">
        <v>336</v>
      </c>
      <c r="BK12" s="182"/>
      <c r="BL12" s="182"/>
      <c r="BM12" s="182"/>
      <c r="BN12" s="182"/>
      <c r="BO12" s="182" t="s">
        <v>338</v>
      </c>
      <c r="BP12" s="182"/>
      <c r="BQ12" s="182"/>
      <c r="BR12" s="182"/>
      <c r="BS12" s="182"/>
      <c r="BT12" s="182" t="s">
        <v>339</v>
      </c>
      <c r="BU12" s="182"/>
      <c r="BV12" s="182"/>
      <c r="BW12" s="182"/>
      <c r="BX12" s="182"/>
      <c r="BY12" s="182" t="s">
        <v>340</v>
      </c>
      <c r="BZ12" s="182"/>
      <c r="CA12" s="182"/>
      <c r="CB12" s="182"/>
      <c r="CC12" s="182"/>
      <c r="CD12" s="182" t="s">
        <v>341</v>
      </c>
      <c r="CE12" s="182"/>
      <c r="CF12" s="182"/>
      <c r="CG12" s="182"/>
      <c r="CH12" s="182"/>
      <c r="CI12" s="182" t="s">
        <v>342</v>
      </c>
      <c r="CJ12" s="182"/>
      <c r="CK12" s="182"/>
      <c r="CL12" s="182"/>
      <c r="CM12" s="182"/>
      <c r="CN12" s="182"/>
      <c r="CR12" s="8"/>
    </row>
    <row r="13" spans="1:96" ht="15" customHeight="1" x14ac:dyDescent="0.15">
      <c r="A13" s="7"/>
      <c r="B13" s="42" t="s">
        <v>207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  <c r="P13" s="70"/>
      <c r="R13" s="12"/>
      <c r="V13" s="42" t="s">
        <v>273</v>
      </c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4"/>
      <c r="AL13" s="12"/>
      <c r="AP13" s="42" t="s">
        <v>286</v>
      </c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4"/>
      <c r="BF13" s="182" t="s">
        <v>335</v>
      </c>
      <c r="BG13" s="182"/>
      <c r="BH13" s="182"/>
      <c r="BI13" s="182"/>
      <c r="BJ13" s="182" t="s">
        <v>170</v>
      </c>
      <c r="BK13" s="182"/>
      <c r="BL13" s="182"/>
      <c r="BM13" s="182"/>
      <c r="BN13" s="182"/>
      <c r="BO13" s="182" t="s">
        <v>171</v>
      </c>
      <c r="BP13" s="182"/>
      <c r="BQ13" s="182"/>
      <c r="BR13" s="182"/>
      <c r="BS13" s="182"/>
      <c r="BT13" s="182" t="s">
        <v>172</v>
      </c>
      <c r="BU13" s="182"/>
      <c r="BV13" s="182"/>
      <c r="BW13" s="182"/>
      <c r="BX13" s="182"/>
      <c r="BY13" s="182" t="s">
        <v>173</v>
      </c>
      <c r="BZ13" s="182"/>
      <c r="CA13" s="182"/>
      <c r="CB13" s="182"/>
      <c r="CC13" s="182"/>
      <c r="CD13" s="183"/>
      <c r="CE13" s="183"/>
      <c r="CF13" s="183"/>
      <c r="CG13" s="183"/>
      <c r="CH13" s="183"/>
      <c r="CI13" s="183"/>
      <c r="CJ13" s="183"/>
      <c r="CK13" s="183"/>
      <c r="CL13" s="183"/>
      <c r="CM13" s="183"/>
      <c r="CN13" s="183"/>
      <c r="CR13" s="8"/>
    </row>
    <row r="14" spans="1:96" ht="15" customHeight="1" x14ac:dyDescent="0.15">
      <c r="A14" s="7"/>
      <c r="B14" s="42" t="s">
        <v>208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  <c r="P14" s="70"/>
      <c r="R14" s="12"/>
      <c r="V14" s="42" t="s">
        <v>274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4"/>
      <c r="AL14" s="12"/>
      <c r="AP14" s="42" t="s">
        <v>287</v>
      </c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4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3"/>
      <c r="CE14" s="183"/>
      <c r="CF14" s="183"/>
      <c r="CG14" s="183"/>
      <c r="CH14" s="183"/>
      <c r="CI14" s="183"/>
      <c r="CJ14" s="183"/>
      <c r="CK14" s="183"/>
      <c r="CL14" s="183"/>
      <c r="CM14" s="183"/>
      <c r="CN14" s="183"/>
      <c r="CR14" s="8"/>
    </row>
    <row r="15" spans="1:96" ht="15" customHeight="1" x14ac:dyDescent="0.15">
      <c r="A15" s="7"/>
      <c r="B15" s="42" t="s">
        <v>209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P15" s="70"/>
      <c r="R15" s="12"/>
      <c r="V15" s="42" t="s">
        <v>275</v>
      </c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4"/>
      <c r="AL15" s="12"/>
      <c r="AP15" s="42" t="s">
        <v>161</v>
      </c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4"/>
      <c r="BF15" s="182" t="s">
        <v>343</v>
      </c>
      <c r="BG15" s="182"/>
      <c r="BH15" s="182"/>
      <c r="BI15" s="182"/>
      <c r="BJ15" s="182" t="s">
        <v>170</v>
      </c>
      <c r="BK15" s="182"/>
      <c r="BL15" s="182"/>
      <c r="BM15" s="182"/>
      <c r="BN15" s="182"/>
      <c r="BO15" s="182" t="s">
        <v>171</v>
      </c>
      <c r="BP15" s="182"/>
      <c r="BQ15" s="182"/>
      <c r="BR15" s="182"/>
      <c r="BS15" s="182"/>
      <c r="BT15" s="182" t="s">
        <v>172</v>
      </c>
      <c r="BU15" s="182"/>
      <c r="BV15" s="182"/>
      <c r="BW15" s="182"/>
      <c r="BX15" s="182"/>
      <c r="BY15" s="182" t="s">
        <v>173</v>
      </c>
      <c r="BZ15" s="182"/>
      <c r="CA15" s="182"/>
      <c r="CB15" s="182"/>
      <c r="CC15" s="182"/>
      <c r="CD15" s="183"/>
      <c r="CE15" s="183"/>
      <c r="CF15" s="183"/>
      <c r="CG15" s="183"/>
      <c r="CH15" s="183"/>
      <c r="CI15" s="183"/>
      <c r="CJ15" s="183"/>
      <c r="CK15" s="183"/>
      <c r="CL15" s="183"/>
      <c r="CM15" s="183"/>
      <c r="CN15" s="183"/>
      <c r="CR15" s="8"/>
    </row>
    <row r="16" spans="1:96" ht="15" customHeight="1" x14ac:dyDescent="0.15">
      <c r="A16" s="7"/>
      <c r="B16" s="42" t="s">
        <v>210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  <c r="P16" s="70"/>
      <c r="R16" s="12"/>
      <c r="V16" s="42" t="s">
        <v>276</v>
      </c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4"/>
      <c r="AL16" s="12"/>
      <c r="AP16" s="42" t="s">
        <v>288</v>
      </c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4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3"/>
      <c r="CE16" s="183"/>
      <c r="CF16" s="183"/>
      <c r="CG16" s="183"/>
      <c r="CH16" s="183"/>
      <c r="CI16" s="183"/>
      <c r="CJ16" s="183"/>
      <c r="CK16" s="183"/>
      <c r="CL16" s="183"/>
      <c r="CM16" s="183"/>
      <c r="CN16" s="183"/>
      <c r="CR16" s="8"/>
    </row>
    <row r="17" spans="1:96" ht="15" customHeight="1" x14ac:dyDescent="0.15">
      <c r="A17" s="7"/>
      <c r="B17" s="42" t="s">
        <v>211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P17" s="70"/>
      <c r="R17" s="12"/>
      <c r="V17" s="42" t="s">
        <v>277</v>
      </c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4"/>
      <c r="AL17" s="12"/>
      <c r="AP17" s="45" t="s">
        <v>289</v>
      </c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7"/>
      <c r="BF17" s="182" t="s">
        <v>344</v>
      </c>
      <c r="BG17" s="182"/>
      <c r="BH17" s="182"/>
      <c r="BI17" s="182"/>
      <c r="BJ17" s="182" t="s">
        <v>170</v>
      </c>
      <c r="BK17" s="182"/>
      <c r="BL17" s="182"/>
      <c r="BM17" s="182"/>
      <c r="BN17" s="182"/>
      <c r="BO17" s="182" t="s">
        <v>171</v>
      </c>
      <c r="BP17" s="182"/>
      <c r="BQ17" s="182"/>
      <c r="BR17" s="182"/>
      <c r="BS17" s="182"/>
      <c r="BT17" s="182" t="s">
        <v>172</v>
      </c>
      <c r="BU17" s="182"/>
      <c r="BV17" s="182"/>
      <c r="BW17" s="182"/>
      <c r="BX17" s="182"/>
      <c r="BY17" s="183"/>
      <c r="BZ17" s="183"/>
      <c r="CA17" s="183"/>
      <c r="CB17" s="183"/>
      <c r="CC17" s="183"/>
      <c r="CD17" s="183"/>
      <c r="CE17" s="183"/>
      <c r="CF17" s="183"/>
      <c r="CG17" s="183"/>
      <c r="CH17" s="183"/>
      <c r="CI17" s="183"/>
      <c r="CJ17" s="183"/>
      <c r="CK17" s="183"/>
      <c r="CL17" s="183"/>
      <c r="CM17" s="183"/>
      <c r="CN17" s="183"/>
      <c r="CR17" s="8"/>
    </row>
    <row r="18" spans="1:96" ht="15" customHeight="1" x14ac:dyDescent="0.15">
      <c r="A18" s="7"/>
      <c r="B18" s="42" t="s">
        <v>118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4"/>
      <c r="P18" s="70"/>
      <c r="R18" s="12"/>
      <c r="V18" s="42" t="s">
        <v>278</v>
      </c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4"/>
      <c r="AL18" s="1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3"/>
      <c r="BZ18" s="183"/>
      <c r="CA18" s="183"/>
      <c r="CB18" s="183"/>
      <c r="CC18" s="183"/>
      <c r="CD18" s="183"/>
      <c r="CE18" s="183"/>
      <c r="CF18" s="183"/>
      <c r="CG18" s="183"/>
      <c r="CH18" s="183"/>
      <c r="CI18" s="183"/>
      <c r="CJ18" s="183"/>
      <c r="CK18" s="183"/>
      <c r="CL18" s="183"/>
      <c r="CM18" s="183"/>
      <c r="CN18" s="183"/>
      <c r="CR18" s="8"/>
    </row>
    <row r="19" spans="1:96" ht="15" customHeight="1" x14ac:dyDescent="0.15">
      <c r="A19" s="7"/>
      <c r="B19" s="42" t="s">
        <v>119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4"/>
      <c r="P19" s="70"/>
      <c r="R19" s="12"/>
      <c r="V19" s="42" t="s">
        <v>279</v>
      </c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4"/>
      <c r="AL19" s="12"/>
      <c r="BF19" s="182" t="s">
        <v>345</v>
      </c>
      <c r="BG19" s="182"/>
      <c r="BH19" s="182"/>
      <c r="BI19" s="182"/>
      <c r="BJ19" s="182" t="s">
        <v>171</v>
      </c>
      <c r="BK19" s="182"/>
      <c r="BL19" s="182"/>
      <c r="BM19" s="182"/>
      <c r="BN19" s="182"/>
      <c r="BO19" s="182" t="s">
        <v>172</v>
      </c>
      <c r="BP19" s="182"/>
      <c r="BQ19" s="182"/>
      <c r="BR19" s="182"/>
      <c r="BS19" s="182"/>
      <c r="BT19" s="182" t="s">
        <v>173</v>
      </c>
      <c r="BU19" s="182"/>
      <c r="BV19" s="182"/>
      <c r="BW19" s="182"/>
      <c r="BX19" s="182"/>
      <c r="BY19" s="183"/>
      <c r="BZ19" s="183"/>
      <c r="CA19" s="183"/>
      <c r="CB19" s="183"/>
      <c r="CC19" s="183"/>
      <c r="CD19" s="183"/>
      <c r="CE19" s="183"/>
      <c r="CF19" s="183"/>
      <c r="CG19" s="183"/>
      <c r="CH19" s="183"/>
      <c r="CI19" s="183"/>
      <c r="CJ19" s="183"/>
      <c r="CK19" s="183"/>
      <c r="CL19" s="183"/>
      <c r="CM19" s="183"/>
      <c r="CN19" s="183"/>
      <c r="CR19" s="8"/>
    </row>
    <row r="20" spans="1:96" ht="15" customHeight="1" x14ac:dyDescent="0.15">
      <c r="A20" s="7"/>
      <c r="B20" s="42" t="s">
        <v>120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/>
      <c r="P20" s="70"/>
      <c r="R20" s="12"/>
      <c r="V20" s="42" t="s">
        <v>280</v>
      </c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4"/>
      <c r="AL20" s="1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3"/>
      <c r="BZ20" s="183"/>
      <c r="CA20" s="183"/>
      <c r="CB20" s="183"/>
      <c r="CC20" s="183"/>
      <c r="CD20" s="183"/>
      <c r="CE20" s="183"/>
      <c r="CF20" s="183"/>
      <c r="CG20" s="183"/>
      <c r="CH20" s="183"/>
      <c r="CI20" s="183"/>
      <c r="CJ20" s="183"/>
      <c r="CK20" s="183"/>
      <c r="CL20" s="183"/>
      <c r="CM20" s="183"/>
      <c r="CN20" s="183"/>
      <c r="CR20" s="8"/>
    </row>
    <row r="21" spans="1:96" ht="15" customHeight="1" x14ac:dyDescent="0.15">
      <c r="A21" s="7"/>
      <c r="B21" s="50" t="s">
        <v>212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  <c r="P21" s="70"/>
      <c r="R21" s="12"/>
      <c r="V21" s="45" t="s">
        <v>281</v>
      </c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7"/>
      <c r="AL21" s="12"/>
      <c r="BF21" s="182" t="s">
        <v>346</v>
      </c>
      <c r="BG21" s="182"/>
      <c r="BH21" s="182"/>
      <c r="BI21" s="182"/>
      <c r="BJ21" s="182" t="s">
        <v>170</v>
      </c>
      <c r="BK21" s="182"/>
      <c r="BL21" s="182"/>
      <c r="BM21" s="182"/>
      <c r="BN21" s="182"/>
      <c r="BO21" s="182" t="s">
        <v>171</v>
      </c>
      <c r="BP21" s="182"/>
      <c r="BQ21" s="182"/>
      <c r="BR21" s="182"/>
      <c r="BS21" s="182"/>
      <c r="BT21" s="182" t="s">
        <v>172</v>
      </c>
      <c r="BU21" s="182"/>
      <c r="BV21" s="182"/>
      <c r="BW21" s="182"/>
      <c r="BX21" s="182"/>
      <c r="BY21" s="184" t="s">
        <v>182</v>
      </c>
      <c r="BZ21" s="184"/>
      <c r="CA21" s="184"/>
      <c r="CB21" s="184"/>
      <c r="CC21" s="184"/>
      <c r="CD21" s="184" t="s">
        <v>183</v>
      </c>
      <c r="CE21" s="184"/>
      <c r="CF21" s="184"/>
      <c r="CG21" s="184"/>
      <c r="CH21" s="184"/>
      <c r="CI21" s="184" t="s">
        <v>356</v>
      </c>
      <c r="CJ21" s="184"/>
      <c r="CK21" s="184"/>
      <c r="CL21" s="184"/>
      <c r="CM21" s="184"/>
      <c r="CN21" s="184"/>
      <c r="CR21" s="8"/>
    </row>
    <row r="22" spans="1:96" ht="15" customHeight="1" x14ac:dyDescent="0.15">
      <c r="A22" s="7"/>
      <c r="B22" s="45" t="s">
        <v>213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P22" s="70"/>
      <c r="R22" s="12"/>
      <c r="AL22" s="1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182"/>
      <c r="BU22" s="182"/>
      <c r="BV22" s="182"/>
      <c r="BW22" s="182"/>
      <c r="BX22" s="182"/>
      <c r="BY22" s="184"/>
      <c r="BZ22" s="184"/>
      <c r="CA22" s="184"/>
      <c r="CB22" s="184"/>
      <c r="CC22" s="184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R22" s="8"/>
    </row>
    <row r="23" spans="1:96" ht="15" customHeight="1" x14ac:dyDescent="0.15">
      <c r="A23" s="7"/>
      <c r="P23" s="70"/>
      <c r="R23" s="12"/>
      <c r="V23" s="6" t="s">
        <v>189</v>
      </c>
      <c r="AC23" s="6" t="s">
        <v>124</v>
      </c>
      <c r="AL23" s="12"/>
      <c r="BF23" s="182" t="s">
        <v>347</v>
      </c>
      <c r="BG23" s="182"/>
      <c r="BH23" s="182"/>
      <c r="BI23" s="182"/>
      <c r="BJ23" s="182" t="s">
        <v>337</v>
      </c>
      <c r="BK23" s="182"/>
      <c r="BL23" s="182"/>
      <c r="BM23" s="182"/>
      <c r="BN23" s="182"/>
      <c r="BO23" s="182" t="s">
        <v>349</v>
      </c>
      <c r="BP23" s="182"/>
      <c r="BQ23" s="182"/>
      <c r="BR23" s="182"/>
      <c r="BS23" s="182"/>
      <c r="BT23" s="182" t="s">
        <v>350</v>
      </c>
      <c r="BU23" s="182"/>
      <c r="BV23" s="182"/>
      <c r="BW23" s="182"/>
      <c r="BX23" s="182"/>
      <c r="BY23" s="182" t="s">
        <v>351</v>
      </c>
      <c r="BZ23" s="182"/>
      <c r="CA23" s="182"/>
      <c r="CB23" s="182"/>
      <c r="CC23" s="182"/>
      <c r="CD23" s="183"/>
      <c r="CE23" s="183"/>
      <c r="CF23" s="183"/>
      <c r="CG23" s="183"/>
      <c r="CH23" s="183"/>
      <c r="CI23" s="183"/>
      <c r="CJ23" s="183"/>
      <c r="CK23" s="183"/>
      <c r="CL23" s="183"/>
      <c r="CM23" s="183"/>
      <c r="CN23" s="183"/>
      <c r="CR23" s="8"/>
    </row>
    <row r="24" spans="1:96" ht="15" customHeight="1" thickBot="1" x14ac:dyDescent="0.2">
      <c r="A24" s="7"/>
      <c r="B24" s="6" t="s">
        <v>81</v>
      </c>
      <c r="G24" s="6" t="s">
        <v>124</v>
      </c>
      <c r="P24" s="70"/>
      <c r="Q24" s="66"/>
      <c r="R24" s="65"/>
      <c r="S24" s="66"/>
      <c r="T24" s="66"/>
      <c r="U24" s="71" t="s">
        <v>70</v>
      </c>
      <c r="V24" s="34" t="s">
        <v>197</v>
      </c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6"/>
      <c r="AL24" s="1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3"/>
      <c r="CE24" s="183"/>
      <c r="CF24" s="183"/>
      <c r="CG24" s="183"/>
      <c r="CH24" s="183"/>
      <c r="CI24" s="183"/>
      <c r="CJ24" s="183"/>
      <c r="CK24" s="183"/>
      <c r="CL24" s="183"/>
      <c r="CM24" s="183"/>
      <c r="CN24" s="183"/>
      <c r="CR24" s="8"/>
    </row>
    <row r="25" spans="1:96" ht="15" customHeight="1" thickTop="1" x14ac:dyDescent="0.15">
      <c r="A25" s="7"/>
      <c r="B25" s="48" t="s">
        <v>79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3"/>
      <c r="R25" s="12"/>
      <c r="V25" s="54" t="s">
        <v>76</v>
      </c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6"/>
      <c r="AL25" s="12"/>
      <c r="BF25" s="182" t="s">
        <v>348</v>
      </c>
      <c r="BG25" s="182"/>
      <c r="BH25" s="182"/>
      <c r="BI25" s="182"/>
      <c r="BJ25" s="182" t="s">
        <v>352</v>
      </c>
      <c r="BK25" s="182"/>
      <c r="BL25" s="182"/>
      <c r="BM25" s="182"/>
      <c r="BN25" s="182"/>
      <c r="BO25" s="182" t="s">
        <v>353</v>
      </c>
      <c r="BP25" s="182"/>
      <c r="BQ25" s="182"/>
      <c r="BR25" s="182"/>
      <c r="BS25" s="182"/>
      <c r="BT25" s="182" t="s">
        <v>354</v>
      </c>
      <c r="BU25" s="182"/>
      <c r="BV25" s="182"/>
      <c r="BW25" s="182"/>
      <c r="BX25" s="182"/>
      <c r="BY25" s="182" t="s">
        <v>355</v>
      </c>
      <c r="BZ25" s="182"/>
      <c r="CA25" s="182"/>
      <c r="CB25" s="182"/>
      <c r="CC25" s="182"/>
      <c r="CD25" s="183"/>
      <c r="CE25" s="183"/>
      <c r="CF25" s="183"/>
      <c r="CG25" s="183"/>
      <c r="CH25" s="183"/>
      <c r="CI25" s="183"/>
      <c r="CJ25" s="183"/>
      <c r="CK25" s="183"/>
      <c r="CL25" s="183"/>
      <c r="CM25" s="183"/>
      <c r="CN25" s="183"/>
      <c r="CR25" s="8"/>
    </row>
    <row r="26" spans="1:96" ht="15" customHeight="1" x14ac:dyDescent="0.15">
      <c r="A26" s="7"/>
      <c r="B26" s="37" t="s">
        <v>87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9"/>
      <c r="O26" s="40" t="s">
        <v>70</v>
      </c>
      <c r="P26" s="15"/>
      <c r="Q26" s="15"/>
      <c r="R26" s="12"/>
      <c r="V26" s="42" t="s">
        <v>78</v>
      </c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4"/>
      <c r="AI26" s="41" t="s">
        <v>70</v>
      </c>
      <c r="AJ26" s="15"/>
      <c r="AK26" s="15"/>
      <c r="AL26" s="1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182"/>
      <c r="BU26" s="182"/>
      <c r="BV26" s="182"/>
      <c r="BW26" s="182"/>
      <c r="BX26" s="182"/>
      <c r="BY26" s="182"/>
      <c r="BZ26" s="182"/>
      <c r="CA26" s="182"/>
      <c r="CB26" s="182"/>
      <c r="CC26" s="182"/>
      <c r="CD26" s="183"/>
      <c r="CE26" s="183"/>
      <c r="CF26" s="183"/>
      <c r="CG26" s="183"/>
      <c r="CH26" s="183"/>
      <c r="CI26" s="183"/>
      <c r="CJ26" s="183"/>
      <c r="CK26" s="183"/>
      <c r="CL26" s="183"/>
      <c r="CM26" s="183"/>
      <c r="CN26" s="183"/>
      <c r="CR26" s="8"/>
    </row>
    <row r="27" spans="1:96" ht="15" customHeight="1" x14ac:dyDescent="0.15">
      <c r="A27" s="7"/>
      <c r="B27" s="42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4"/>
      <c r="V27" s="42" t="s">
        <v>190</v>
      </c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4"/>
      <c r="CR27" s="8"/>
    </row>
    <row r="28" spans="1:96" ht="15" customHeight="1" x14ac:dyDescent="0.15">
      <c r="A28" s="7"/>
      <c r="B28" s="42" t="s">
        <v>88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4"/>
      <c r="V28" s="42" t="s">
        <v>191</v>
      </c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4"/>
      <c r="BF28" s="6" t="s">
        <v>358</v>
      </c>
      <c r="BO28" s="6" t="s">
        <v>365</v>
      </c>
      <c r="CR28" s="8"/>
    </row>
    <row r="29" spans="1:96" ht="15" customHeight="1" x14ac:dyDescent="0.15">
      <c r="A29" s="7"/>
      <c r="B29" s="42" t="s">
        <v>156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4"/>
      <c r="V29" s="42" t="s">
        <v>192</v>
      </c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4"/>
      <c r="BF29" s="185" t="s">
        <v>359</v>
      </c>
      <c r="BG29" s="185"/>
      <c r="BH29" s="185" t="s">
        <v>360</v>
      </c>
      <c r="BI29" s="185"/>
      <c r="BJ29" s="185" t="s">
        <v>361</v>
      </c>
      <c r="BK29" s="185"/>
      <c r="BL29" s="185" t="s">
        <v>362</v>
      </c>
      <c r="BM29" s="185"/>
      <c r="BN29" s="185"/>
      <c r="BO29" s="185"/>
      <c r="BP29" s="185" t="s">
        <v>363</v>
      </c>
      <c r="BQ29" s="185"/>
      <c r="BR29" s="185"/>
      <c r="BS29" s="185"/>
      <c r="BT29" s="185" t="s">
        <v>364</v>
      </c>
      <c r="BU29" s="185"/>
      <c r="BV29" s="185"/>
      <c r="BW29" s="185" t="s">
        <v>366</v>
      </c>
      <c r="BX29" s="185"/>
      <c r="BY29" s="185"/>
      <c r="BZ29" s="185" t="s">
        <v>367</v>
      </c>
      <c r="CA29" s="185"/>
      <c r="CB29" s="185"/>
      <c r="CC29" s="185" t="s">
        <v>368</v>
      </c>
      <c r="CD29" s="185"/>
      <c r="CE29" s="185"/>
      <c r="CF29" s="185" t="s">
        <v>369</v>
      </c>
      <c r="CG29" s="185"/>
      <c r="CH29" s="185"/>
      <c r="CI29" s="185" t="s">
        <v>370</v>
      </c>
      <c r="CJ29" s="185"/>
      <c r="CK29" s="185"/>
      <c r="CL29" s="185" t="s">
        <v>371</v>
      </c>
      <c r="CM29" s="185"/>
      <c r="CN29" s="185"/>
      <c r="CR29" s="8"/>
    </row>
    <row r="30" spans="1:96" ht="15" customHeight="1" x14ac:dyDescent="0.15">
      <c r="A30" s="7"/>
      <c r="B30" s="45" t="s">
        <v>157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V30" s="42" t="s">
        <v>193</v>
      </c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4"/>
      <c r="BF30" s="185"/>
      <c r="BG30" s="185"/>
      <c r="BH30" s="185"/>
      <c r="BI30" s="185"/>
      <c r="BJ30" s="185"/>
      <c r="BK30" s="185"/>
      <c r="BL30" s="185"/>
      <c r="BM30" s="185"/>
      <c r="BN30" s="185"/>
      <c r="BO30" s="185"/>
      <c r="BP30" s="185"/>
      <c r="BQ30" s="185"/>
      <c r="BR30" s="185"/>
      <c r="BS30" s="185"/>
      <c r="BT30" s="185"/>
      <c r="BU30" s="185"/>
      <c r="BV30" s="185"/>
      <c r="BW30" s="185"/>
      <c r="BX30" s="185"/>
      <c r="BY30" s="185"/>
      <c r="BZ30" s="185"/>
      <c r="CA30" s="185"/>
      <c r="CB30" s="185"/>
      <c r="CC30" s="185"/>
      <c r="CD30" s="185"/>
      <c r="CE30" s="185"/>
      <c r="CF30" s="185"/>
      <c r="CG30" s="185"/>
      <c r="CH30" s="185"/>
      <c r="CI30" s="185"/>
      <c r="CJ30" s="185"/>
      <c r="CK30" s="185"/>
      <c r="CL30" s="185"/>
      <c r="CM30" s="185"/>
      <c r="CN30" s="185"/>
      <c r="CR30" s="8"/>
    </row>
    <row r="31" spans="1:96" ht="15" customHeight="1" x14ac:dyDescent="0.15">
      <c r="A31" s="7"/>
      <c r="V31" s="42" t="s">
        <v>194</v>
      </c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4"/>
      <c r="BF31" s="185"/>
      <c r="BG31" s="185"/>
      <c r="BH31" s="185"/>
      <c r="BI31" s="185"/>
      <c r="BJ31" s="185"/>
      <c r="BK31" s="185"/>
      <c r="BL31" s="185"/>
      <c r="BM31" s="185"/>
      <c r="BN31" s="185"/>
      <c r="BO31" s="185"/>
      <c r="BP31" s="185"/>
      <c r="BQ31" s="185"/>
      <c r="BR31" s="185"/>
      <c r="BS31" s="185"/>
      <c r="BT31" s="185"/>
      <c r="BU31" s="185"/>
      <c r="BV31" s="185"/>
      <c r="BW31" s="185"/>
      <c r="BX31" s="185"/>
      <c r="BY31" s="185"/>
      <c r="BZ31" s="185"/>
      <c r="CA31" s="185"/>
      <c r="CB31" s="185"/>
      <c r="CC31" s="185"/>
      <c r="CD31" s="185"/>
      <c r="CE31" s="185"/>
      <c r="CF31" s="185"/>
      <c r="CG31" s="185"/>
      <c r="CH31" s="185"/>
      <c r="CI31" s="185"/>
      <c r="CJ31" s="185"/>
      <c r="CK31" s="185"/>
      <c r="CL31" s="185"/>
      <c r="CM31" s="185"/>
      <c r="CN31" s="185"/>
      <c r="CR31" s="8"/>
    </row>
    <row r="32" spans="1:96" ht="15" customHeight="1" x14ac:dyDescent="0.15">
      <c r="A32" s="7"/>
      <c r="V32" s="42" t="s">
        <v>195</v>
      </c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4"/>
      <c r="BF32" s="185"/>
      <c r="BG32" s="185"/>
      <c r="BH32" s="185"/>
      <c r="BI32" s="185"/>
      <c r="BJ32" s="185"/>
      <c r="BK32" s="185"/>
      <c r="BL32" s="185"/>
      <c r="BM32" s="185"/>
      <c r="BN32" s="185"/>
      <c r="BO32" s="185"/>
      <c r="BP32" s="185"/>
      <c r="BQ32" s="185"/>
      <c r="BR32" s="185"/>
      <c r="BS32" s="185"/>
      <c r="BT32" s="185"/>
      <c r="BU32" s="185"/>
      <c r="BV32" s="185"/>
      <c r="BW32" s="185"/>
      <c r="BX32" s="185"/>
      <c r="BY32" s="185"/>
      <c r="BZ32" s="185"/>
      <c r="CA32" s="185"/>
      <c r="CB32" s="185"/>
      <c r="CC32" s="185"/>
      <c r="CD32" s="185"/>
      <c r="CE32" s="185"/>
      <c r="CF32" s="185"/>
      <c r="CG32" s="185"/>
      <c r="CH32" s="185"/>
      <c r="CI32" s="185"/>
      <c r="CJ32" s="185"/>
      <c r="CK32" s="185"/>
      <c r="CL32" s="185"/>
      <c r="CM32" s="185"/>
      <c r="CN32" s="185"/>
      <c r="CR32" s="8"/>
    </row>
    <row r="33" spans="1:96" ht="15" customHeight="1" x14ac:dyDescent="0.15">
      <c r="A33" s="7"/>
      <c r="V33" s="45" t="s">
        <v>196</v>
      </c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7"/>
      <c r="BF33" s="185"/>
      <c r="BG33" s="185"/>
      <c r="BH33" s="185"/>
      <c r="BI33" s="185"/>
      <c r="BJ33" s="185"/>
      <c r="BK33" s="185"/>
      <c r="BL33" s="185"/>
      <c r="BM33" s="185"/>
      <c r="BN33" s="185"/>
      <c r="BO33" s="185"/>
      <c r="BP33" s="185"/>
      <c r="BQ33" s="185"/>
      <c r="BR33" s="185"/>
      <c r="BS33" s="185"/>
      <c r="BT33" s="185"/>
      <c r="BU33" s="185"/>
      <c r="BV33" s="185"/>
      <c r="BW33" s="185"/>
      <c r="BX33" s="185"/>
      <c r="BY33" s="185"/>
      <c r="BZ33" s="185"/>
      <c r="CA33" s="185"/>
      <c r="CB33" s="185"/>
      <c r="CC33" s="185"/>
      <c r="CD33" s="185"/>
      <c r="CE33" s="185"/>
      <c r="CF33" s="185"/>
      <c r="CG33" s="185"/>
      <c r="CH33" s="185"/>
      <c r="CI33" s="185"/>
      <c r="CJ33" s="185"/>
      <c r="CK33" s="185"/>
      <c r="CL33" s="185"/>
      <c r="CM33" s="185"/>
      <c r="CN33" s="185"/>
      <c r="CR33" s="8"/>
    </row>
    <row r="34" spans="1:96" ht="15" customHeight="1" x14ac:dyDescent="0.15">
      <c r="A34" s="7"/>
      <c r="V34" s="6" t="s">
        <v>327</v>
      </c>
      <c r="BF34" s="182">
        <v>1</v>
      </c>
      <c r="BG34" s="182"/>
      <c r="BH34" s="182">
        <v>1</v>
      </c>
      <c r="BI34" s="182"/>
      <c r="BJ34" s="182">
        <v>1</v>
      </c>
      <c r="BK34" s="182"/>
      <c r="BL34" s="182">
        <v>10001</v>
      </c>
      <c r="BM34" s="182"/>
      <c r="BN34" s="182"/>
      <c r="BO34" s="182"/>
      <c r="BP34" s="182" t="s">
        <v>372</v>
      </c>
      <c r="BQ34" s="182"/>
      <c r="BR34" s="182"/>
      <c r="BS34" s="182"/>
      <c r="BT34" s="182">
        <v>1</v>
      </c>
      <c r="BU34" s="182"/>
      <c r="BV34" s="182"/>
      <c r="BW34" s="182" t="s">
        <v>373</v>
      </c>
      <c r="BX34" s="182"/>
      <c r="BY34" s="182"/>
      <c r="BZ34" s="182">
        <v>3</v>
      </c>
      <c r="CA34" s="182"/>
      <c r="CB34" s="182"/>
      <c r="CC34" s="182" t="s">
        <v>373</v>
      </c>
      <c r="CD34" s="182"/>
      <c r="CE34" s="182"/>
      <c r="CF34" s="182" t="b">
        <v>1</v>
      </c>
      <c r="CG34" s="182"/>
      <c r="CH34" s="182"/>
      <c r="CI34" s="182" t="b">
        <v>0</v>
      </c>
      <c r="CJ34" s="182"/>
      <c r="CK34" s="182"/>
      <c r="CL34" s="182" t="s">
        <v>373</v>
      </c>
      <c r="CM34" s="182"/>
      <c r="CN34" s="182"/>
      <c r="CR34" s="8"/>
    </row>
    <row r="35" spans="1:96" ht="15" customHeight="1" x14ac:dyDescent="0.15">
      <c r="A35" s="7"/>
      <c r="W35" s="6" t="s">
        <v>328</v>
      </c>
      <c r="BF35" s="182"/>
      <c r="BG35" s="182"/>
      <c r="BH35" s="182"/>
      <c r="BI35" s="182"/>
      <c r="BJ35" s="182"/>
      <c r="BK35" s="182"/>
      <c r="BL35" s="182"/>
      <c r="BM35" s="182"/>
      <c r="BN35" s="182"/>
      <c r="BO35" s="182"/>
      <c r="BP35" s="182"/>
      <c r="BQ35" s="182"/>
      <c r="BR35" s="182"/>
      <c r="BS35" s="182"/>
      <c r="BT35" s="182"/>
      <c r="BU35" s="182"/>
      <c r="BV35" s="182"/>
      <c r="BW35" s="182"/>
      <c r="BX35" s="182"/>
      <c r="BY35" s="182"/>
      <c r="BZ35" s="182"/>
      <c r="CA35" s="182"/>
      <c r="CB35" s="182"/>
      <c r="CC35" s="182"/>
      <c r="CD35" s="182"/>
      <c r="CE35" s="182"/>
      <c r="CF35" s="182"/>
      <c r="CG35" s="182"/>
      <c r="CH35" s="182"/>
      <c r="CI35" s="182"/>
      <c r="CJ35" s="182"/>
      <c r="CK35" s="182"/>
      <c r="CL35" s="182"/>
      <c r="CM35" s="182"/>
      <c r="CN35" s="182"/>
      <c r="CR35" s="8"/>
    </row>
    <row r="36" spans="1:96" ht="15" customHeight="1" x14ac:dyDescent="0.15">
      <c r="A36" s="7"/>
      <c r="X36" s="6" t="s">
        <v>329</v>
      </c>
      <c r="BF36" s="182">
        <v>1</v>
      </c>
      <c r="BG36" s="182"/>
      <c r="BH36" s="182">
        <v>2</v>
      </c>
      <c r="BI36" s="182"/>
      <c r="BJ36" s="182">
        <v>1</v>
      </c>
      <c r="BK36" s="182"/>
      <c r="BL36" s="182" t="s">
        <v>372</v>
      </c>
      <c r="BM36" s="182"/>
      <c r="BN36" s="182"/>
      <c r="BO36" s="182"/>
      <c r="BP36" s="182">
        <v>201</v>
      </c>
      <c r="BQ36" s="182"/>
      <c r="BR36" s="182"/>
      <c r="BS36" s="182"/>
      <c r="BT36" s="182">
        <v>2</v>
      </c>
      <c r="BU36" s="182"/>
      <c r="BV36" s="182"/>
      <c r="BW36" s="182" t="s">
        <v>373</v>
      </c>
      <c r="BX36" s="182"/>
      <c r="BY36" s="182"/>
      <c r="BZ36" s="182">
        <v>3</v>
      </c>
      <c r="CA36" s="182"/>
      <c r="CB36" s="182"/>
      <c r="CC36" s="182" t="s">
        <v>373</v>
      </c>
      <c r="CD36" s="182"/>
      <c r="CE36" s="182"/>
      <c r="CF36" s="182" t="b">
        <v>0</v>
      </c>
      <c r="CG36" s="182"/>
      <c r="CH36" s="182"/>
      <c r="CI36" s="182" t="b">
        <v>0</v>
      </c>
      <c r="CJ36" s="182"/>
      <c r="CK36" s="182"/>
      <c r="CL36" s="182" t="s">
        <v>373</v>
      </c>
      <c r="CM36" s="182"/>
      <c r="CN36" s="182"/>
      <c r="CR36" s="8"/>
    </row>
    <row r="37" spans="1:96" ht="15" customHeight="1" x14ac:dyDescent="0.15">
      <c r="A37" s="7"/>
      <c r="X37" s="6" t="s">
        <v>170</v>
      </c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182"/>
      <c r="CF37" s="182"/>
      <c r="CG37" s="182"/>
      <c r="CH37" s="182"/>
      <c r="CI37" s="182"/>
      <c r="CJ37" s="182"/>
      <c r="CK37" s="182"/>
      <c r="CL37" s="182"/>
      <c r="CM37" s="182"/>
      <c r="CN37" s="182"/>
      <c r="CR37" s="8"/>
    </row>
    <row r="38" spans="1:96" ht="15" customHeight="1" x14ac:dyDescent="0.15">
      <c r="A38" s="7"/>
      <c r="X38" s="6" t="s">
        <v>171</v>
      </c>
      <c r="BF38" s="182">
        <v>1</v>
      </c>
      <c r="BG38" s="182"/>
      <c r="BH38" s="182">
        <v>3</v>
      </c>
      <c r="BI38" s="182"/>
      <c r="BJ38" s="182">
        <v>1</v>
      </c>
      <c r="BK38" s="182"/>
      <c r="BL38" s="182" t="s">
        <v>372</v>
      </c>
      <c r="BM38" s="182"/>
      <c r="BN38" s="182"/>
      <c r="BO38" s="182"/>
      <c r="BP38" s="182">
        <v>201</v>
      </c>
      <c r="BQ38" s="182"/>
      <c r="BR38" s="182"/>
      <c r="BS38" s="182"/>
      <c r="BT38" s="182">
        <v>3</v>
      </c>
      <c r="BU38" s="182"/>
      <c r="BV38" s="182"/>
      <c r="BW38" s="182" t="s">
        <v>373</v>
      </c>
      <c r="BX38" s="182"/>
      <c r="BY38" s="182"/>
      <c r="BZ38" s="182">
        <v>3</v>
      </c>
      <c r="CA38" s="182"/>
      <c r="CB38" s="182"/>
      <c r="CC38" s="182" t="s">
        <v>373</v>
      </c>
      <c r="CD38" s="182"/>
      <c r="CE38" s="182"/>
      <c r="CF38" s="182" t="b">
        <v>0</v>
      </c>
      <c r="CG38" s="182"/>
      <c r="CH38" s="182"/>
      <c r="CI38" s="182" t="b">
        <v>0</v>
      </c>
      <c r="CJ38" s="182"/>
      <c r="CK38" s="182"/>
      <c r="CL38" s="182" t="s">
        <v>373</v>
      </c>
      <c r="CM38" s="182"/>
      <c r="CN38" s="182"/>
      <c r="CR38" s="8"/>
    </row>
    <row r="39" spans="1:96" ht="15" customHeight="1" x14ac:dyDescent="0.15">
      <c r="A39" s="7"/>
      <c r="X39" s="6" t="s">
        <v>172</v>
      </c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R39" s="8"/>
    </row>
    <row r="40" spans="1:96" ht="15" customHeight="1" x14ac:dyDescent="0.15">
      <c r="A40" s="7"/>
      <c r="X40" s="6" t="s">
        <v>173</v>
      </c>
      <c r="BF40" s="182">
        <v>1</v>
      </c>
      <c r="BG40" s="182"/>
      <c r="BH40" s="182">
        <v>4</v>
      </c>
      <c r="BI40" s="182"/>
      <c r="BJ40" s="182">
        <v>1</v>
      </c>
      <c r="BK40" s="182"/>
      <c r="BL40" s="182" t="s">
        <v>372</v>
      </c>
      <c r="BM40" s="182"/>
      <c r="BN40" s="182"/>
      <c r="BO40" s="182"/>
      <c r="BP40" s="182">
        <v>201</v>
      </c>
      <c r="BQ40" s="182"/>
      <c r="BR40" s="182"/>
      <c r="BS40" s="182"/>
      <c r="BT40" s="182">
        <v>9</v>
      </c>
      <c r="BU40" s="182"/>
      <c r="BV40" s="182"/>
      <c r="BW40" s="182" t="s">
        <v>373</v>
      </c>
      <c r="BX40" s="182"/>
      <c r="BY40" s="182"/>
      <c r="BZ40" s="182">
        <v>3</v>
      </c>
      <c r="CA40" s="182"/>
      <c r="CB40" s="182"/>
      <c r="CC40" s="182" t="s">
        <v>373</v>
      </c>
      <c r="CD40" s="182"/>
      <c r="CE40" s="182"/>
      <c r="CF40" s="182" t="b">
        <v>0</v>
      </c>
      <c r="CG40" s="182"/>
      <c r="CH40" s="182"/>
      <c r="CI40" s="182" t="b">
        <v>0</v>
      </c>
      <c r="CJ40" s="182"/>
      <c r="CK40" s="182"/>
      <c r="CL40" s="182" t="s">
        <v>373</v>
      </c>
      <c r="CM40" s="182"/>
      <c r="CN40" s="182"/>
      <c r="CR40" s="8"/>
    </row>
    <row r="41" spans="1:96" ht="15" customHeight="1" x14ac:dyDescent="0.15">
      <c r="A41" s="7"/>
      <c r="X41" s="6" t="s">
        <v>182</v>
      </c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2"/>
      <c r="BQ41" s="182"/>
      <c r="BR41" s="182"/>
      <c r="BS41" s="182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R41" s="8"/>
    </row>
    <row r="42" spans="1:96" ht="15" customHeight="1" x14ac:dyDescent="0.15">
      <c r="A42" s="7"/>
      <c r="X42" s="6" t="s">
        <v>183</v>
      </c>
      <c r="CR42" s="8"/>
    </row>
    <row r="43" spans="1:96" ht="15" customHeight="1" x14ac:dyDescent="0.15">
      <c r="A43" s="7"/>
      <c r="X43" s="6" t="s">
        <v>357</v>
      </c>
      <c r="CR43" s="8"/>
    </row>
    <row r="44" spans="1:96" ht="15" customHeight="1" x14ac:dyDescent="0.15">
      <c r="A44" s="7"/>
      <c r="CR44" s="8"/>
    </row>
    <row r="45" spans="1:96" ht="15" customHeight="1" x14ac:dyDescent="0.15">
      <c r="A45" s="7"/>
      <c r="CR45" s="8"/>
    </row>
    <row r="46" spans="1:96" ht="15" customHeight="1" x14ac:dyDescent="0.15">
      <c r="A46" s="7"/>
      <c r="CR46" s="8"/>
    </row>
    <row r="47" spans="1:96" ht="15" customHeight="1" thickBot="1" x14ac:dyDescent="0.2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1"/>
    </row>
  </sheetData>
  <mergeCells count="137">
    <mergeCell ref="CI40:CK41"/>
    <mergeCell ref="CL40:CN41"/>
    <mergeCell ref="BT40:BV41"/>
    <mergeCell ref="BW40:BY41"/>
    <mergeCell ref="BZ40:CB41"/>
    <mergeCell ref="CC40:CE41"/>
    <mergeCell ref="CF40:CH41"/>
    <mergeCell ref="BF40:BG41"/>
    <mergeCell ref="BH40:BI41"/>
    <mergeCell ref="BJ40:BK41"/>
    <mergeCell ref="BL40:BO41"/>
    <mergeCell ref="BP40:BS41"/>
    <mergeCell ref="CI36:CK37"/>
    <mergeCell ref="CL36:CN37"/>
    <mergeCell ref="BF38:BG39"/>
    <mergeCell ref="BH38:BI39"/>
    <mergeCell ref="BJ38:BK39"/>
    <mergeCell ref="BL38:BO39"/>
    <mergeCell ref="BP38:BS39"/>
    <mergeCell ref="BT38:BV39"/>
    <mergeCell ref="BW38:BY39"/>
    <mergeCell ref="BZ38:CB39"/>
    <mergeCell ref="CC38:CE39"/>
    <mergeCell ref="CF38:CH39"/>
    <mergeCell ref="CI38:CK39"/>
    <mergeCell ref="CL38:CN39"/>
    <mergeCell ref="BT36:BV37"/>
    <mergeCell ref="BW36:BY37"/>
    <mergeCell ref="BZ36:CB37"/>
    <mergeCell ref="CC36:CE37"/>
    <mergeCell ref="CF36:CH37"/>
    <mergeCell ref="BF36:BG37"/>
    <mergeCell ref="BH36:BI37"/>
    <mergeCell ref="BJ36:BK37"/>
    <mergeCell ref="BL36:BO37"/>
    <mergeCell ref="BP36:BS37"/>
    <mergeCell ref="CC29:CE33"/>
    <mergeCell ref="CF29:CH33"/>
    <mergeCell ref="CI29:CK33"/>
    <mergeCell ref="CL29:CN33"/>
    <mergeCell ref="BF34:BG35"/>
    <mergeCell ref="BH34:BI35"/>
    <mergeCell ref="BJ34:BK35"/>
    <mergeCell ref="BL34:BO35"/>
    <mergeCell ref="BP34:BS35"/>
    <mergeCell ref="BT34:BV35"/>
    <mergeCell ref="BW34:BY35"/>
    <mergeCell ref="BZ34:CB35"/>
    <mergeCell ref="CC34:CE35"/>
    <mergeCell ref="CF34:CH35"/>
    <mergeCell ref="CI34:CK35"/>
    <mergeCell ref="CL34:CN35"/>
    <mergeCell ref="BP29:BS33"/>
    <mergeCell ref="BT29:BV33"/>
    <mergeCell ref="BW29:BY33"/>
    <mergeCell ref="BZ29:CB33"/>
    <mergeCell ref="BF29:BG33"/>
    <mergeCell ref="BH29:BI33"/>
    <mergeCell ref="BJ29:BK33"/>
    <mergeCell ref="BL29:BO33"/>
    <mergeCell ref="BO25:BS26"/>
    <mergeCell ref="BT25:BX26"/>
    <mergeCell ref="BY25:CC26"/>
    <mergeCell ref="CD25:CH26"/>
    <mergeCell ref="CI25:CN26"/>
    <mergeCell ref="BO23:BS24"/>
    <mergeCell ref="BT23:BX24"/>
    <mergeCell ref="BY23:CC24"/>
    <mergeCell ref="CD23:CH24"/>
    <mergeCell ref="CI23:CN24"/>
    <mergeCell ref="BO21:BS22"/>
    <mergeCell ref="BT21:BX22"/>
    <mergeCell ref="BY21:CC22"/>
    <mergeCell ref="CD21:CH22"/>
    <mergeCell ref="CI21:CN22"/>
    <mergeCell ref="BO19:BS20"/>
    <mergeCell ref="BT19:BX20"/>
    <mergeCell ref="BY19:CC20"/>
    <mergeCell ref="CD19:CH20"/>
    <mergeCell ref="CI19:CN20"/>
    <mergeCell ref="BO17:BS18"/>
    <mergeCell ref="BT17:BX18"/>
    <mergeCell ref="BY17:CC18"/>
    <mergeCell ref="CD17:CH18"/>
    <mergeCell ref="CI17:CN18"/>
    <mergeCell ref="BO15:BS16"/>
    <mergeCell ref="BT15:BX16"/>
    <mergeCell ref="BY15:CC16"/>
    <mergeCell ref="CD15:CH16"/>
    <mergeCell ref="CI15:CN16"/>
    <mergeCell ref="BF21:BI22"/>
    <mergeCell ref="BF23:BI24"/>
    <mergeCell ref="BF25:BI26"/>
    <mergeCell ref="BJ15:BN16"/>
    <mergeCell ref="BJ17:BN18"/>
    <mergeCell ref="BJ19:BN20"/>
    <mergeCell ref="BJ21:BN22"/>
    <mergeCell ref="BJ23:BN24"/>
    <mergeCell ref="BJ25:BN26"/>
    <mergeCell ref="BF12:BI12"/>
    <mergeCell ref="BF13:BI14"/>
    <mergeCell ref="BF15:BI16"/>
    <mergeCell ref="BF17:BI18"/>
    <mergeCell ref="BF19:BI20"/>
    <mergeCell ref="BJ12:BN12"/>
    <mergeCell ref="BO12:BS12"/>
    <mergeCell ref="BT12:BX12"/>
    <mergeCell ref="BY12:CC12"/>
    <mergeCell ref="CD12:CH12"/>
    <mergeCell ref="CI13:CN14"/>
    <mergeCell ref="CI12:CN12"/>
    <mergeCell ref="BJ13:BN14"/>
    <mergeCell ref="BO13:BS14"/>
    <mergeCell ref="BT13:BX14"/>
    <mergeCell ref="BY13:CC14"/>
    <mergeCell ref="CD13:CH14"/>
    <mergeCell ref="A3:H3"/>
    <mergeCell ref="I3:AD3"/>
    <mergeCell ref="AL3:BH3"/>
    <mergeCell ref="BI3:BL3"/>
    <mergeCell ref="BM3:CE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</mergeCells>
  <phoneticPr fontId="1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201C-F9FB-4DEA-B200-C0DF67862326}">
  <dimension ref="A1:CR47"/>
  <sheetViews>
    <sheetView zoomScale="85" zoomScaleNormal="85" workbookViewId="0">
      <pane ySplit="3" topLeftCell="A4" activePane="bottomLeft" state="frozen"/>
      <selection activeCell="J5" sqref="J5:Q5"/>
      <selection pane="bottomLeft" activeCell="A4" sqref="A4"/>
    </sheetView>
  </sheetViews>
  <sheetFormatPr defaultColWidth="1.875" defaultRowHeight="15" customHeight="1" x14ac:dyDescent="0.15"/>
  <cols>
    <col min="1" max="16384" width="1.875" style="6"/>
  </cols>
  <sheetData>
    <row r="1" spans="1:96" s="1" customFormat="1" ht="15" customHeight="1" x14ac:dyDescent="0.15">
      <c r="A1" s="85" t="s">
        <v>37</v>
      </c>
      <c r="B1" s="86"/>
      <c r="C1" s="86"/>
      <c r="D1" s="86"/>
      <c r="E1" s="86"/>
      <c r="F1" s="86"/>
      <c r="G1" s="86"/>
      <c r="H1" s="86"/>
      <c r="I1" s="87" t="str">
        <f>タイトル!I40</f>
        <v>　学生勤務管理システム</v>
      </c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9"/>
      <c r="AE1" s="90" t="s">
        <v>38</v>
      </c>
      <c r="AF1" s="90"/>
      <c r="AG1" s="90"/>
      <c r="AH1" s="90"/>
      <c r="AI1" s="90"/>
      <c r="AJ1" s="90"/>
      <c r="AK1" s="90"/>
      <c r="AL1" s="91" t="str">
        <f>タイトル!I43</f>
        <v>　基本設計</v>
      </c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3"/>
      <c r="BI1" s="90" t="s">
        <v>39</v>
      </c>
      <c r="BJ1" s="90"/>
      <c r="BK1" s="90"/>
      <c r="BL1" s="90"/>
      <c r="BM1" s="95" t="str">
        <f>タイトル!I46</f>
        <v>ＫＳＳ</v>
      </c>
      <c r="BN1" s="96"/>
      <c r="BO1" s="96"/>
      <c r="BP1" s="96"/>
      <c r="BQ1" s="96"/>
      <c r="BR1" s="96"/>
      <c r="BS1" s="96"/>
      <c r="BT1" s="96"/>
      <c r="BU1" s="96"/>
      <c r="BV1" s="97"/>
      <c r="BW1" s="98">
        <f>タイトル!I47</f>
        <v>45196</v>
      </c>
      <c r="BX1" s="98"/>
      <c r="BY1" s="98"/>
      <c r="BZ1" s="98"/>
      <c r="CA1" s="98"/>
      <c r="CB1" s="98"/>
      <c r="CC1" s="98"/>
      <c r="CD1" s="98"/>
      <c r="CE1" s="98"/>
      <c r="CF1" s="99" t="s">
        <v>40</v>
      </c>
      <c r="CG1" s="100"/>
      <c r="CH1" s="100"/>
      <c r="CI1" s="100"/>
      <c r="CJ1" s="101"/>
      <c r="CK1" s="108" t="str">
        <f>タイトル!I50</f>
        <v xml:space="preserve"> DUC030</v>
      </c>
      <c r="CL1" s="109"/>
      <c r="CM1" s="109"/>
      <c r="CN1" s="109"/>
      <c r="CO1" s="109"/>
      <c r="CP1" s="109"/>
      <c r="CQ1" s="109"/>
      <c r="CR1" s="110"/>
    </row>
    <row r="2" spans="1:96" s="1" customFormat="1" ht="15" customHeight="1" x14ac:dyDescent="0.15">
      <c r="A2" s="117" t="s">
        <v>41</v>
      </c>
      <c r="B2" s="118"/>
      <c r="C2" s="118"/>
      <c r="D2" s="118"/>
      <c r="E2" s="118"/>
      <c r="F2" s="118"/>
      <c r="G2" s="118"/>
      <c r="H2" s="118"/>
      <c r="I2" s="119" t="str">
        <f>タイトル!I41</f>
        <v xml:space="preserve"> 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1"/>
      <c r="AE2" s="122" t="s">
        <v>42</v>
      </c>
      <c r="AF2" s="122"/>
      <c r="AG2" s="122"/>
      <c r="AH2" s="122"/>
      <c r="AI2" s="122"/>
      <c r="AJ2" s="122"/>
      <c r="AK2" s="122"/>
      <c r="AL2" s="123" t="str">
        <f>タイトル!I44</f>
        <v>　データベース設計</v>
      </c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5"/>
      <c r="BI2" s="122" t="s">
        <v>43</v>
      </c>
      <c r="BJ2" s="122"/>
      <c r="BK2" s="122"/>
      <c r="BL2" s="122"/>
      <c r="BM2" s="126" t="s">
        <v>84</v>
      </c>
      <c r="BN2" s="127"/>
      <c r="BO2" s="127"/>
      <c r="BP2" s="127"/>
      <c r="BQ2" s="127"/>
      <c r="BR2" s="127"/>
      <c r="BS2" s="127"/>
      <c r="BT2" s="127"/>
      <c r="BU2" s="127"/>
      <c r="BV2" s="128"/>
      <c r="BW2" s="129">
        <v>45377</v>
      </c>
      <c r="BX2" s="129"/>
      <c r="BY2" s="129"/>
      <c r="BZ2" s="129"/>
      <c r="CA2" s="129"/>
      <c r="CB2" s="129"/>
      <c r="CC2" s="129"/>
      <c r="CD2" s="129"/>
      <c r="CE2" s="129"/>
      <c r="CF2" s="102"/>
      <c r="CG2" s="103"/>
      <c r="CH2" s="103"/>
      <c r="CI2" s="103"/>
      <c r="CJ2" s="104"/>
      <c r="CK2" s="111"/>
      <c r="CL2" s="112"/>
      <c r="CM2" s="112"/>
      <c r="CN2" s="112"/>
      <c r="CO2" s="112"/>
      <c r="CP2" s="112"/>
      <c r="CQ2" s="112"/>
      <c r="CR2" s="113"/>
    </row>
    <row r="3" spans="1:96" s="1" customFormat="1" ht="15" customHeight="1" thickBot="1" x14ac:dyDescent="0.2">
      <c r="A3" s="130"/>
      <c r="B3" s="131"/>
      <c r="C3" s="131"/>
      <c r="D3" s="131"/>
      <c r="E3" s="131"/>
      <c r="F3" s="131"/>
      <c r="G3" s="131"/>
      <c r="H3" s="131"/>
      <c r="I3" s="132" t="s">
        <v>291</v>
      </c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4"/>
      <c r="AE3" s="80"/>
      <c r="AF3" s="80"/>
      <c r="AG3" s="80"/>
      <c r="AH3" s="80"/>
      <c r="AI3" s="80"/>
      <c r="AJ3" s="80"/>
      <c r="AK3" s="80"/>
      <c r="AL3" s="135" t="str">
        <f>タイトル!I42</f>
        <v>　ER図</v>
      </c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7"/>
      <c r="BI3" s="80"/>
      <c r="BJ3" s="80"/>
      <c r="BK3" s="80"/>
      <c r="BL3" s="80"/>
      <c r="BM3" s="81"/>
      <c r="BN3" s="82"/>
      <c r="BO3" s="82"/>
      <c r="BP3" s="82"/>
      <c r="BQ3" s="82"/>
      <c r="BR3" s="82"/>
      <c r="BS3" s="82"/>
      <c r="BT3" s="82"/>
      <c r="BU3" s="82"/>
      <c r="BV3" s="82"/>
      <c r="BW3" s="83"/>
      <c r="BX3" s="83"/>
      <c r="BY3" s="83"/>
      <c r="BZ3" s="83"/>
      <c r="CA3" s="83"/>
      <c r="CB3" s="83"/>
      <c r="CC3" s="83"/>
      <c r="CD3" s="83"/>
      <c r="CE3" s="84"/>
      <c r="CF3" s="105"/>
      <c r="CG3" s="106"/>
      <c r="CH3" s="106"/>
      <c r="CI3" s="106"/>
      <c r="CJ3" s="107"/>
      <c r="CK3" s="114"/>
      <c r="CL3" s="115"/>
      <c r="CM3" s="115"/>
      <c r="CN3" s="115"/>
      <c r="CO3" s="115"/>
      <c r="CP3" s="115"/>
      <c r="CQ3" s="115"/>
      <c r="CR3" s="116"/>
    </row>
    <row r="4" spans="1:96" ht="15" customHeight="1" x14ac:dyDescent="0.1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5"/>
    </row>
    <row r="5" spans="1:96" ht="15" customHeight="1" x14ac:dyDescent="0.15">
      <c r="A5" s="7"/>
      <c r="B5" s="6" t="s">
        <v>268</v>
      </c>
      <c r="V5" s="6" t="s">
        <v>292</v>
      </c>
      <c r="AP5" s="72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4"/>
      <c r="CR5" s="8"/>
    </row>
    <row r="6" spans="1:96" ht="15" customHeight="1" x14ac:dyDescent="0.15">
      <c r="A6" s="7"/>
      <c r="B6" s="31" t="s">
        <v>269</v>
      </c>
      <c r="C6" s="32"/>
      <c r="D6" s="32"/>
      <c r="E6" s="32"/>
      <c r="F6" s="32"/>
      <c r="G6" s="32"/>
      <c r="H6" s="32"/>
      <c r="I6" s="32" t="s">
        <v>204</v>
      </c>
      <c r="J6" s="32"/>
      <c r="K6" s="32"/>
      <c r="L6" s="32"/>
      <c r="M6" s="32"/>
      <c r="N6" s="33"/>
      <c r="V6" s="51" t="s">
        <v>135</v>
      </c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3"/>
      <c r="AP6" s="75"/>
      <c r="CA6" s="76"/>
      <c r="CR6" s="8"/>
    </row>
    <row r="7" spans="1:96" ht="15" customHeight="1" x14ac:dyDescent="0.15">
      <c r="A7" s="7"/>
      <c r="B7" s="37" t="s">
        <v>77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9"/>
      <c r="O7" s="41" t="s">
        <v>69</v>
      </c>
      <c r="P7" s="15"/>
      <c r="Q7" s="15"/>
      <c r="R7" s="15"/>
      <c r="S7" s="15"/>
      <c r="T7" s="41" t="s">
        <v>69</v>
      </c>
      <c r="U7" s="41"/>
      <c r="V7" s="37" t="s">
        <v>293</v>
      </c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P7" s="75"/>
      <c r="AR7" s="6" t="s">
        <v>307</v>
      </c>
      <c r="CA7" s="76"/>
      <c r="CR7" s="8"/>
    </row>
    <row r="8" spans="1:96" ht="15" customHeight="1" x14ac:dyDescent="0.15">
      <c r="A8" s="7"/>
      <c r="B8" s="42" t="s">
        <v>212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V8" s="42" t="s">
        <v>294</v>
      </c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4"/>
      <c r="AP8" s="75"/>
      <c r="AS8" s="6" t="s">
        <v>268</v>
      </c>
      <c r="BM8" s="6" t="s">
        <v>308</v>
      </c>
      <c r="CA8" s="76"/>
      <c r="CR8" s="8"/>
    </row>
    <row r="9" spans="1:96" ht="15" customHeight="1" x14ac:dyDescent="0.15">
      <c r="A9" s="7"/>
      <c r="B9" s="42" t="s">
        <v>79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4"/>
      <c r="O9" s="41" t="s">
        <v>69</v>
      </c>
      <c r="P9" s="15"/>
      <c r="Q9" s="15"/>
      <c r="R9" s="15"/>
      <c r="V9" s="42" t="s">
        <v>79</v>
      </c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4"/>
      <c r="AP9" s="75"/>
      <c r="AS9" s="31" t="s">
        <v>269</v>
      </c>
      <c r="AT9" s="32"/>
      <c r="AU9" s="32"/>
      <c r="AV9" s="32"/>
      <c r="AW9" s="32"/>
      <c r="AX9" s="32"/>
      <c r="AY9" s="32"/>
      <c r="AZ9" s="32" t="s">
        <v>204</v>
      </c>
      <c r="BA9" s="32"/>
      <c r="BB9" s="32"/>
      <c r="BC9" s="32"/>
      <c r="BD9" s="32"/>
      <c r="BE9" s="33"/>
      <c r="BM9" s="51" t="s">
        <v>135</v>
      </c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3"/>
      <c r="CA9" s="76"/>
      <c r="CR9" s="8"/>
    </row>
    <row r="10" spans="1:96" ht="15" customHeight="1" x14ac:dyDescent="0.15">
      <c r="A10" s="7"/>
      <c r="B10" s="42" t="s">
        <v>270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  <c r="S10" s="12"/>
      <c r="V10" s="42" t="s">
        <v>212</v>
      </c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4"/>
      <c r="AP10" s="75"/>
      <c r="AS10" s="37" t="s">
        <v>77</v>
      </c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9"/>
      <c r="BF10" s="41" t="s">
        <v>69</v>
      </c>
      <c r="BG10" s="15"/>
      <c r="BH10" s="15"/>
      <c r="BI10" s="15"/>
      <c r="BJ10" s="15"/>
      <c r="BK10" s="41" t="s">
        <v>69</v>
      </c>
      <c r="BL10" s="41"/>
      <c r="BM10" s="37" t="s">
        <v>309</v>
      </c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9"/>
      <c r="CA10" s="76"/>
      <c r="CR10" s="8"/>
    </row>
    <row r="11" spans="1:96" ht="15" customHeight="1" x14ac:dyDescent="0.15">
      <c r="A11" s="7"/>
      <c r="B11" s="42" t="s">
        <v>271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4"/>
      <c r="O11" s="41" t="s">
        <v>69</v>
      </c>
      <c r="P11" s="15"/>
      <c r="S11" s="12"/>
      <c r="V11" s="42" t="s">
        <v>295</v>
      </c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4"/>
      <c r="AP11" s="75"/>
      <c r="AS11" s="42" t="s">
        <v>212</v>
      </c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4"/>
      <c r="BM11" s="42" t="s">
        <v>255</v>
      </c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4"/>
      <c r="CA11" s="76"/>
      <c r="CR11" s="8"/>
    </row>
    <row r="12" spans="1:96" ht="15" customHeight="1" x14ac:dyDescent="0.15">
      <c r="A12" s="7"/>
      <c r="B12" s="42" t="s">
        <v>272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  <c r="Q12" s="12"/>
      <c r="S12" s="12"/>
      <c r="V12" s="45" t="s">
        <v>296</v>
      </c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7"/>
      <c r="AP12" s="75"/>
      <c r="AS12" s="42" t="s">
        <v>79</v>
      </c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4"/>
      <c r="BM12" s="42" t="s">
        <v>256</v>
      </c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4"/>
      <c r="CA12" s="76"/>
      <c r="CR12" s="8"/>
    </row>
    <row r="13" spans="1:96" ht="15" customHeight="1" x14ac:dyDescent="0.15">
      <c r="A13" s="7"/>
      <c r="B13" s="42" t="s">
        <v>273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  <c r="Q13" s="12"/>
      <c r="S13" s="12"/>
      <c r="AP13" s="75"/>
      <c r="AS13" s="42" t="s">
        <v>270</v>
      </c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4"/>
      <c r="BM13" s="42" t="s">
        <v>301</v>
      </c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4"/>
      <c r="CA13" s="76"/>
      <c r="CR13" s="8"/>
    </row>
    <row r="14" spans="1:96" ht="15" customHeight="1" x14ac:dyDescent="0.15">
      <c r="A14" s="7"/>
      <c r="B14" s="42" t="s">
        <v>274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  <c r="Q14" s="12"/>
      <c r="S14" s="12"/>
      <c r="V14" s="6" t="s">
        <v>297</v>
      </c>
      <c r="AP14" s="75"/>
      <c r="AS14" s="42" t="s">
        <v>271</v>
      </c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4"/>
      <c r="BM14" s="42" t="s">
        <v>79</v>
      </c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4"/>
      <c r="CA14" s="76"/>
      <c r="CR14" s="8"/>
    </row>
    <row r="15" spans="1:96" ht="15" customHeight="1" x14ac:dyDescent="0.15">
      <c r="A15" s="7"/>
      <c r="B15" s="42" t="s">
        <v>275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Q15" s="12"/>
      <c r="S15" s="12"/>
      <c r="V15" s="51" t="s">
        <v>135</v>
      </c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3"/>
      <c r="AP15" s="75"/>
      <c r="AS15" s="42" t="s">
        <v>272</v>
      </c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4"/>
      <c r="BM15" s="42" t="s">
        <v>302</v>
      </c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4"/>
      <c r="CA15" s="76"/>
      <c r="CR15" s="8"/>
    </row>
    <row r="16" spans="1:96" ht="15" customHeight="1" x14ac:dyDescent="0.15">
      <c r="A16" s="7"/>
      <c r="B16" s="42" t="s">
        <v>276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  <c r="Q16" s="12"/>
      <c r="S16" s="14"/>
      <c r="T16" s="41" t="s">
        <v>69</v>
      </c>
      <c r="U16" s="41"/>
      <c r="V16" s="37" t="s">
        <v>293</v>
      </c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P16" s="75"/>
      <c r="AS16" s="42" t="s">
        <v>273</v>
      </c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4"/>
      <c r="BM16" s="42" t="s">
        <v>212</v>
      </c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4"/>
      <c r="CA16" s="76"/>
      <c r="CR16" s="8"/>
    </row>
    <row r="17" spans="1:96" ht="15" customHeight="1" x14ac:dyDescent="0.15">
      <c r="A17" s="7"/>
      <c r="B17" s="42" t="s">
        <v>277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Q17" s="12"/>
      <c r="V17" s="42" t="s">
        <v>294</v>
      </c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4"/>
      <c r="AP17" s="75"/>
      <c r="AS17" s="42" t="s">
        <v>274</v>
      </c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4"/>
      <c r="BM17" s="42" t="s">
        <v>303</v>
      </c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4"/>
      <c r="CA17" s="76"/>
      <c r="CR17" s="8"/>
    </row>
    <row r="18" spans="1:96" ht="15" customHeight="1" x14ac:dyDescent="0.15">
      <c r="A18" s="7"/>
      <c r="B18" s="42" t="s">
        <v>278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4"/>
      <c r="Q18" s="12"/>
      <c r="V18" s="42" t="s">
        <v>79</v>
      </c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4"/>
      <c r="AP18" s="75"/>
      <c r="AS18" s="42" t="s">
        <v>275</v>
      </c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4"/>
      <c r="BM18" s="42" t="s">
        <v>304</v>
      </c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4"/>
      <c r="CA18" s="76"/>
      <c r="CR18" s="8"/>
    </row>
    <row r="19" spans="1:96" ht="15" customHeight="1" x14ac:dyDescent="0.15">
      <c r="A19" s="7"/>
      <c r="B19" s="42" t="s">
        <v>279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4"/>
      <c r="Q19" s="12"/>
      <c r="V19" s="42" t="s">
        <v>212</v>
      </c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4"/>
      <c r="AP19" s="75"/>
      <c r="AS19" s="42" t="s">
        <v>276</v>
      </c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4"/>
      <c r="BM19" s="42" t="s">
        <v>305</v>
      </c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4"/>
      <c r="CA19" s="76"/>
      <c r="CR19" s="8"/>
    </row>
    <row r="20" spans="1:96" ht="15" customHeight="1" x14ac:dyDescent="0.15">
      <c r="A20" s="7"/>
      <c r="B20" s="42" t="s">
        <v>280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/>
      <c r="Q20" s="12"/>
      <c r="V20" s="42" t="s">
        <v>295</v>
      </c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4"/>
      <c r="AP20" s="75"/>
      <c r="AS20" s="42" t="s">
        <v>277</v>
      </c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4"/>
      <c r="BM20" s="45" t="s">
        <v>306</v>
      </c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7"/>
      <c r="CA20" s="76"/>
      <c r="CR20" s="8"/>
    </row>
    <row r="21" spans="1:96" ht="15" customHeight="1" x14ac:dyDescent="0.15">
      <c r="A21" s="7"/>
      <c r="B21" s="45" t="s">
        <v>281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Q21" s="12"/>
      <c r="V21" s="45" t="s">
        <v>298</v>
      </c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7"/>
      <c r="AP21" s="75"/>
      <c r="AS21" s="42" t="s">
        <v>278</v>
      </c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4"/>
      <c r="CA21" s="76"/>
      <c r="CR21" s="8"/>
    </row>
    <row r="22" spans="1:96" ht="15" customHeight="1" x14ac:dyDescent="0.15">
      <c r="A22" s="7"/>
      <c r="Q22" s="12"/>
      <c r="AP22" s="75"/>
      <c r="AS22" s="42" t="s">
        <v>279</v>
      </c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4"/>
      <c r="CA22" s="76"/>
      <c r="CR22" s="8"/>
    </row>
    <row r="23" spans="1:96" ht="15" customHeight="1" x14ac:dyDescent="0.15">
      <c r="A23" s="7"/>
      <c r="Q23" s="12"/>
      <c r="V23" s="6" t="s">
        <v>299</v>
      </c>
      <c r="AP23" s="75"/>
      <c r="AS23" s="42" t="s">
        <v>280</v>
      </c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4"/>
      <c r="CA23" s="76"/>
      <c r="CR23" s="8"/>
    </row>
    <row r="24" spans="1:96" ht="15" customHeight="1" x14ac:dyDescent="0.15">
      <c r="A24" s="7"/>
      <c r="Q24" s="12"/>
      <c r="V24" s="51" t="s">
        <v>135</v>
      </c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3"/>
      <c r="AP24" s="75"/>
      <c r="AS24" s="45" t="s">
        <v>281</v>
      </c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7"/>
      <c r="CA24" s="76"/>
      <c r="CR24" s="8"/>
    </row>
    <row r="25" spans="1:96" ht="15" customHeight="1" x14ac:dyDescent="0.15">
      <c r="A25" s="7"/>
      <c r="Q25" s="14"/>
      <c r="R25" s="15"/>
      <c r="S25" s="15"/>
      <c r="T25" s="41" t="s">
        <v>69</v>
      </c>
      <c r="U25" s="41"/>
      <c r="V25" s="37" t="s">
        <v>300</v>
      </c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9"/>
      <c r="AP25" s="75"/>
      <c r="CA25" s="76"/>
      <c r="CR25" s="8"/>
    </row>
    <row r="26" spans="1:96" ht="15" customHeight="1" x14ac:dyDescent="0.15">
      <c r="A26" s="7"/>
      <c r="V26" s="42" t="s">
        <v>255</v>
      </c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4"/>
      <c r="AP26" s="77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9"/>
      <c r="CR26" s="8"/>
    </row>
    <row r="27" spans="1:96" ht="15" customHeight="1" x14ac:dyDescent="0.15">
      <c r="A27" s="7"/>
      <c r="V27" s="42" t="s">
        <v>256</v>
      </c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4"/>
      <c r="CR27" s="8"/>
    </row>
    <row r="28" spans="1:96" ht="15" customHeight="1" x14ac:dyDescent="0.15">
      <c r="A28" s="7"/>
      <c r="V28" s="42" t="s">
        <v>301</v>
      </c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4"/>
      <c r="CR28" s="8"/>
    </row>
    <row r="29" spans="1:96" ht="15" customHeight="1" x14ac:dyDescent="0.15">
      <c r="A29" s="7"/>
      <c r="V29" s="42" t="s">
        <v>79</v>
      </c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4"/>
      <c r="CR29" s="8"/>
    </row>
    <row r="30" spans="1:96" ht="15" customHeight="1" x14ac:dyDescent="0.15">
      <c r="A30" s="7"/>
      <c r="V30" s="42" t="s">
        <v>302</v>
      </c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4"/>
      <c r="CR30" s="8"/>
    </row>
    <row r="31" spans="1:96" ht="15" customHeight="1" x14ac:dyDescent="0.15">
      <c r="A31" s="7"/>
      <c r="V31" s="42" t="s">
        <v>212</v>
      </c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4"/>
      <c r="CR31" s="8"/>
    </row>
    <row r="32" spans="1:96" ht="15" customHeight="1" x14ac:dyDescent="0.15">
      <c r="A32" s="7"/>
      <c r="V32" s="42" t="s">
        <v>303</v>
      </c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4"/>
      <c r="CR32" s="8"/>
    </row>
    <row r="33" spans="1:96" ht="15" customHeight="1" x14ac:dyDescent="0.15">
      <c r="A33" s="7"/>
      <c r="V33" s="42" t="s">
        <v>304</v>
      </c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4"/>
      <c r="CR33" s="8"/>
    </row>
    <row r="34" spans="1:96" ht="15" customHeight="1" x14ac:dyDescent="0.15">
      <c r="A34" s="7"/>
      <c r="V34" s="42" t="s">
        <v>305</v>
      </c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4"/>
      <c r="CR34" s="8"/>
    </row>
    <row r="35" spans="1:96" ht="15" customHeight="1" x14ac:dyDescent="0.15">
      <c r="A35" s="7"/>
      <c r="V35" s="45" t="s">
        <v>306</v>
      </c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7"/>
      <c r="CR35" s="8"/>
    </row>
    <row r="36" spans="1:96" ht="15" customHeight="1" x14ac:dyDescent="0.15">
      <c r="A36" s="7"/>
      <c r="CR36" s="8"/>
    </row>
    <row r="37" spans="1:96" ht="15" customHeight="1" x14ac:dyDescent="0.15">
      <c r="A37" s="7"/>
      <c r="CR37" s="8"/>
    </row>
    <row r="38" spans="1:96" ht="15" customHeight="1" x14ac:dyDescent="0.15">
      <c r="A38" s="7"/>
      <c r="CR38" s="8"/>
    </row>
    <row r="39" spans="1:96" ht="15" customHeight="1" x14ac:dyDescent="0.15">
      <c r="A39" s="7"/>
      <c r="CR39" s="8"/>
    </row>
    <row r="40" spans="1:96" ht="15" customHeight="1" x14ac:dyDescent="0.15">
      <c r="A40" s="7"/>
      <c r="CR40" s="8"/>
    </row>
    <row r="41" spans="1:96" ht="15" customHeight="1" x14ac:dyDescent="0.15">
      <c r="A41" s="7"/>
      <c r="CR41" s="8"/>
    </row>
    <row r="42" spans="1:96" ht="15" customHeight="1" x14ac:dyDescent="0.15">
      <c r="A42" s="7"/>
      <c r="CR42" s="8"/>
    </row>
    <row r="43" spans="1:96" ht="15" customHeight="1" x14ac:dyDescent="0.15">
      <c r="A43" s="7"/>
      <c r="CR43" s="8"/>
    </row>
    <row r="44" spans="1:96" ht="15" customHeight="1" x14ac:dyDescent="0.15">
      <c r="A44" s="7"/>
      <c r="CR44" s="8"/>
    </row>
    <row r="45" spans="1:96" ht="15" customHeight="1" x14ac:dyDescent="0.15">
      <c r="A45" s="7"/>
      <c r="CR45" s="8"/>
    </row>
    <row r="46" spans="1:96" ht="15" customHeight="1" x14ac:dyDescent="0.15">
      <c r="A46" s="7"/>
      <c r="CR46" s="8"/>
    </row>
    <row r="47" spans="1:96" ht="15" customHeight="1" thickBot="1" x14ac:dyDescent="0.2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1"/>
    </row>
  </sheetData>
  <mergeCells count="21"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</mergeCells>
  <phoneticPr fontId="1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339A-A326-40C6-AB5D-E43424BF0846}">
  <dimension ref="A1:CR47"/>
  <sheetViews>
    <sheetView zoomScale="85" zoomScaleNormal="85" workbookViewId="0">
      <pane ySplit="3" topLeftCell="A4" activePane="bottomLeft" state="frozen"/>
      <selection activeCell="J5" sqref="J5:Q5"/>
      <selection pane="bottomLeft" activeCell="A4" sqref="A4"/>
    </sheetView>
  </sheetViews>
  <sheetFormatPr defaultColWidth="1.875" defaultRowHeight="15" customHeight="1" x14ac:dyDescent="0.15"/>
  <cols>
    <col min="1" max="16384" width="1.875" style="6"/>
  </cols>
  <sheetData>
    <row r="1" spans="1:96" s="1" customFormat="1" ht="15" customHeight="1" x14ac:dyDescent="0.15">
      <c r="A1" s="85" t="s">
        <v>37</v>
      </c>
      <c r="B1" s="86"/>
      <c r="C1" s="86"/>
      <c r="D1" s="86"/>
      <c r="E1" s="86"/>
      <c r="F1" s="86"/>
      <c r="G1" s="86"/>
      <c r="H1" s="86"/>
      <c r="I1" s="87" t="str">
        <f>タイトル!I40</f>
        <v>　学生勤務管理システム</v>
      </c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9"/>
      <c r="AE1" s="90" t="s">
        <v>38</v>
      </c>
      <c r="AF1" s="90"/>
      <c r="AG1" s="90"/>
      <c r="AH1" s="90"/>
      <c r="AI1" s="90"/>
      <c r="AJ1" s="90"/>
      <c r="AK1" s="90"/>
      <c r="AL1" s="91" t="str">
        <f>タイトル!I43</f>
        <v>　基本設計</v>
      </c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3"/>
      <c r="BI1" s="90" t="s">
        <v>39</v>
      </c>
      <c r="BJ1" s="90"/>
      <c r="BK1" s="90"/>
      <c r="BL1" s="90"/>
      <c r="BM1" s="95" t="str">
        <f>タイトル!I46</f>
        <v>ＫＳＳ</v>
      </c>
      <c r="BN1" s="96"/>
      <c r="BO1" s="96"/>
      <c r="BP1" s="96"/>
      <c r="BQ1" s="96"/>
      <c r="BR1" s="96"/>
      <c r="BS1" s="96"/>
      <c r="BT1" s="96"/>
      <c r="BU1" s="96"/>
      <c r="BV1" s="97"/>
      <c r="BW1" s="98">
        <f>タイトル!I47</f>
        <v>45196</v>
      </c>
      <c r="BX1" s="98"/>
      <c r="BY1" s="98"/>
      <c r="BZ1" s="98"/>
      <c r="CA1" s="98"/>
      <c r="CB1" s="98"/>
      <c r="CC1" s="98"/>
      <c r="CD1" s="98"/>
      <c r="CE1" s="98"/>
      <c r="CF1" s="99" t="s">
        <v>40</v>
      </c>
      <c r="CG1" s="100"/>
      <c r="CH1" s="100"/>
      <c r="CI1" s="100"/>
      <c r="CJ1" s="101"/>
      <c r="CK1" s="108" t="str">
        <f>タイトル!I50</f>
        <v xml:space="preserve"> DUC030</v>
      </c>
      <c r="CL1" s="109"/>
      <c r="CM1" s="109"/>
      <c r="CN1" s="109"/>
      <c r="CO1" s="109"/>
      <c r="CP1" s="109"/>
      <c r="CQ1" s="109"/>
      <c r="CR1" s="110"/>
    </row>
    <row r="2" spans="1:96" s="1" customFormat="1" ht="15" customHeight="1" x14ac:dyDescent="0.15">
      <c r="A2" s="117" t="s">
        <v>41</v>
      </c>
      <c r="B2" s="118"/>
      <c r="C2" s="118"/>
      <c r="D2" s="118"/>
      <c r="E2" s="118"/>
      <c r="F2" s="118"/>
      <c r="G2" s="118"/>
      <c r="H2" s="118"/>
      <c r="I2" s="119" t="str">
        <f>タイトル!I41</f>
        <v xml:space="preserve"> 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1"/>
      <c r="AE2" s="122" t="s">
        <v>42</v>
      </c>
      <c r="AF2" s="122"/>
      <c r="AG2" s="122"/>
      <c r="AH2" s="122"/>
      <c r="AI2" s="122"/>
      <c r="AJ2" s="122"/>
      <c r="AK2" s="122"/>
      <c r="AL2" s="123" t="str">
        <f>タイトル!I44</f>
        <v>　データベース設計</v>
      </c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5"/>
      <c r="BI2" s="122" t="s">
        <v>43</v>
      </c>
      <c r="BJ2" s="122"/>
      <c r="BK2" s="122"/>
      <c r="BL2" s="122"/>
      <c r="BM2" s="126" t="s">
        <v>84</v>
      </c>
      <c r="BN2" s="127"/>
      <c r="BO2" s="127"/>
      <c r="BP2" s="127"/>
      <c r="BQ2" s="127"/>
      <c r="BR2" s="127"/>
      <c r="BS2" s="127"/>
      <c r="BT2" s="127"/>
      <c r="BU2" s="127"/>
      <c r="BV2" s="128"/>
      <c r="BW2" s="129">
        <v>45377</v>
      </c>
      <c r="BX2" s="129"/>
      <c r="BY2" s="129"/>
      <c r="BZ2" s="129"/>
      <c r="CA2" s="129"/>
      <c r="CB2" s="129"/>
      <c r="CC2" s="129"/>
      <c r="CD2" s="129"/>
      <c r="CE2" s="129"/>
      <c r="CF2" s="102"/>
      <c r="CG2" s="103"/>
      <c r="CH2" s="103"/>
      <c r="CI2" s="103"/>
      <c r="CJ2" s="104"/>
      <c r="CK2" s="111"/>
      <c r="CL2" s="112"/>
      <c r="CM2" s="112"/>
      <c r="CN2" s="112"/>
      <c r="CO2" s="112"/>
      <c r="CP2" s="112"/>
      <c r="CQ2" s="112"/>
      <c r="CR2" s="113"/>
    </row>
    <row r="3" spans="1:96" s="1" customFormat="1" ht="15" customHeight="1" thickBot="1" x14ac:dyDescent="0.2">
      <c r="A3" s="130"/>
      <c r="B3" s="131"/>
      <c r="C3" s="131"/>
      <c r="D3" s="131"/>
      <c r="E3" s="131"/>
      <c r="F3" s="131"/>
      <c r="G3" s="131"/>
      <c r="H3" s="131"/>
      <c r="I3" s="132" t="s">
        <v>310</v>
      </c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4"/>
      <c r="AE3" s="80"/>
      <c r="AF3" s="80"/>
      <c r="AG3" s="80"/>
      <c r="AH3" s="80"/>
      <c r="AI3" s="80"/>
      <c r="AJ3" s="80"/>
      <c r="AK3" s="80"/>
      <c r="AL3" s="135" t="str">
        <f>タイトル!I42</f>
        <v>　ER図</v>
      </c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7"/>
      <c r="BI3" s="80"/>
      <c r="BJ3" s="80"/>
      <c r="BK3" s="80"/>
      <c r="BL3" s="80"/>
      <c r="BM3" s="81"/>
      <c r="BN3" s="82"/>
      <c r="BO3" s="82"/>
      <c r="BP3" s="82"/>
      <c r="BQ3" s="82"/>
      <c r="BR3" s="82"/>
      <c r="BS3" s="82"/>
      <c r="BT3" s="82"/>
      <c r="BU3" s="82"/>
      <c r="BV3" s="82"/>
      <c r="BW3" s="83"/>
      <c r="BX3" s="83"/>
      <c r="BY3" s="83"/>
      <c r="BZ3" s="83"/>
      <c r="CA3" s="83"/>
      <c r="CB3" s="83"/>
      <c r="CC3" s="83"/>
      <c r="CD3" s="83"/>
      <c r="CE3" s="84"/>
      <c r="CF3" s="105"/>
      <c r="CG3" s="106"/>
      <c r="CH3" s="106"/>
      <c r="CI3" s="106"/>
      <c r="CJ3" s="107"/>
      <c r="CK3" s="114"/>
      <c r="CL3" s="115"/>
      <c r="CM3" s="115"/>
      <c r="CN3" s="115"/>
      <c r="CO3" s="115"/>
      <c r="CP3" s="115"/>
      <c r="CQ3" s="115"/>
      <c r="CR3" s="116"/>
    </row>
    <row r="4" spans="1:96" ht="15" customHeight="1" x14ac:dyDescent="0.1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5"/>
    </row>
    <row r="5" spans="1:96" ht="15" customHeight="1" x14ac:dyDescent="0.15">
      <c r="A5" s="7"/>
      <c r="B5" s="6" t="s">
        <v>268</v>
      </c>
      <c r="V5" s="6" t="s">
        <v>80</v>
      </c>
      <c r="AP5" s="6" t="s">
        <v>311</v>
      </c>
      <c r="BJ5" s="6" t="s">
        <v>311</v>
      </c>
      <c r="CR5" s="8"/>
    </row>
    <row r="6" spans="1:96" ht="15" customHeight="1" x14ac:dyDescent="0.15">
      <c r="A6" s="7"/>
      <c r="B6" s="48" t="s">
        <v>269</v>
      </c>
      <c r="C6" s="32"/>
      <c r="D6" s="32"/>
      <c r="E6" s="32"/>
      <c r="F6" s="32"/>
      <c r="G6" s="32"/>
      <c r="H6" s="32"/>
      <c r="I6" s="32" t="s">
        <v>204</v>
      </c>
      <c r="J6" s="32"/>
      <c r="K6" s="32"/>
      <c r="L6" s="32"/>
      <c r="M6" s="32"/>
      <c r="N6" s="33"/>
      <c r="V6" s="62" t="s">
        <v>282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6"/>
      <c r="AP6" s="48" t="s">
        <v>312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3"/>
      <c r="BJ6" s="62" t="s">
        <v>312</v>
      </c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6"/>
      <c r="CR6" s="8"/>
    </row>
    <row r="7" spans="1:96" ht="15" customHeight="1" x14ac:dyDescent="0.15">
      <c r="A7" s="7"/>
      <c r="B7" s="37" t="s">
        <v>77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9"/>
      <c r="O7" s="41" t="s">
        <v>70</v>
      </c>
      <c r="P7" s="15"/>
      <c r="Q7" s="15"/>
      <c r="R7" s="15"/>
      <c r="S7" s="41"/>
      <c r="T7" s="41" t="s">
        <v>69</v>
      </c>
      <c r="U7" s="41"/>
      <c r="V7" s="57" t="s">
        <v>283</v>
      </c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9"/>
      <c r="AI7" s="41" t="s">
        <v>70</v>
      </c>
      <c r="AJ7" s="15"/>
      <c r="AK7" s="15"/>
      <c r="AL7" s="15"/>
      <c r="AM7" s="41"/>
      <c r="AN7" s="15"/>
      <c r="AO7" s="41" t="s">
        <v>70</v>
      </c>
      <c r="AP7" s="37" t="s">
        <v>313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9"/>
      <c r="BC7" s="41" t="s">
        <v>70</v>
      </c>
      <c r="BD7" s="15"/>
      <c r="BE7" s="15"/>
      <c r="BF7" s="15"/>
      <c r="BG7" s="41"/>
      <c r="BH7" s="15"/>
      <c r="BI7" s="41" t="s">
        <v>70</v>
      </c>
      <c r="BJ7" s="54" t="s">
        <v>325</v>
      </c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6"/>
      <c r="CR7" s="8"/>
    </row>
    <row r="8" spans="1:96" ht="15" customHeight="1" x14ac:dyDescent="0.15">
      <c r="A8" s="7"/>
      <c r="B8" s="42" t="s">
        <v>212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V8" s="54" t="s">
        <v>284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P8" s="42" t="s">
        <v>314</v>
      </c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4"/>
      <c r="BJ8" s="42" t="s">
        <v>326</v>
      </c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4"/>
      <c r="CR8" s="8"/>
    </row>
    <row r="9" spans="1:96" ht="15" customHeight="1" x14ac:dyDescent="0.15">
      <c r="A9" s="7"/>
      <c r="B9" s="42" t="s">
        <v>79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4"/>
      <c r="V9" s="42" t="s">
        <v>113</v>
      </c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4"/>
      <c r="AP9" s="42" t="s">
        <v>315</v>
      </c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4"/>
      <c r="BJ9" s="45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7"/>
      <c r="CR9" s="8"/>
    </row>
    <row r="10" spans="1:96" ht="15" customHeight="1" x14ac:dyDescent="0.15">
      <c r="A10" s="7"/>
      <c r="B10" s="42" t="s">
        <v>270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  <c r="V10" s="42" t="s">
        <v>206</v>
      </c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4"/>
      <c r="AP10" s="42" t="s">
        <v>316</v>
      </c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4"/>
      <c r="CR10" s="8"/>
    </row>
    <row r="11" spans="1:96" ht="15" customHeight="1" x14ac:dyDescent="0.15">
      <c r="A11" s="7"/>
      <c r="B11" s="42" t="s">
        <v>271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4"/>
      <c r="V11" s="42" t="s">
        <v>160</v>
      </c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4"/>
      <c r="AP11" s="42" t="s">
        <v>317</v>
      </c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4"/>
      <c r="CR11" s="8"/>
    </row>
    <row r="12" spans="1:96" ht="15" customHeight="1" x14ac:dyDescent="0.15">
      <c r="A12" s="7"/>
      <c r="B12" s="42" t="s">
        <v>272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  <c r="V12" s="42" t="s">
        <v>285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4"/>
      <c r="AP12" s="42" t="s">
        <v>318</v>
      </c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4"/>
      <c r="CR12" s="8"/>
    </row>
    <row r="13" spans="1:96" ht="15" customHeight="1" x14ac:dyDescent="0.15">
      <c r="A13" s="7"/>
      <c r="B13" s="42" t="s">
        <v>273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  <c r="V13" s="42" t="s">
        <v>286</v>
      </c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4"/>
      <c r="AP13" s="42" t="s">
        <v>319</v>
      </c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4"/>
      <c r="CR13" s="8"/>
    </row>
    <row r="14" spans="1:96" ht="15" customHeight="1" x14ac:dyDescent="0.15">
      <c r="A14" s="7"/>
      <c r="B14" s="42" t="s">
        <v>274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  <c r="V14" s="42" t="s">
        <v>287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4"/>
      <c r="AP14" s="42" t="s">
        <v>320</v>
      </c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4"/>
      <c r="CR14" s="8"/>
    </row>
    <row r="15" spans="1:96" ht="15" customHeight="1" x14ac:dyDescent="0.15">
      <c r="A15" s="7"/>
      <c r="B15" s="42" t="s">
        <v>275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V15" s="42" t="s">
        <v>161</v>
      </c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4"/>
      <c r="AP15" s="42" t="s">
        <v>321</v>
      </c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4"/>
      <c r="CR15" s="8"/>
    </row>
    <row r="16" spans="1:96" ht="15" customHeight="1" x14ac:dyDescent="0.15">
      <c r="A16" s="7"/>
      <c r="B16" s="42" t="s">
        <v>276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  <c r="V16" s="42" t="s">
        <v>288</v>
      </c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4"/>
      <c r="AP16" s="42" t="s">
        <v>322</v>
      </c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4"/>
      <c r="CR16" s="8"/>
    </row>
    <row r="17" spans="1:96" ht="15" customHeight="1" x14ac:dyDescent="0.15">
      <c r="A17" s="7"/>
      <c r="B17" s="42" t="s">
        <v>277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V17" s="45" t="s">
        <v>289</v>
      </c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7"/>
      <c r="AP17" s="42" t="s">
        <v>323</v>
      </c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4"/>
      <c r="CR17" s="8"/>
    </row>
    <row r="18" spans="1:96" ht="15" customHeight="1" x14ac:dyDescent="0.15">
      <c r="A18" s="7"/>
      <c r="B18" s="42" t="s">
        <v>278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4"/>
      <c r="AP18" s="45" t="s">
        <v>324</v>
      </c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7"/>
      <c r="CR18" s="8"/>
    </row>
    <row r="19" spans="1:96" ht="15" customHeight="1" x14ac:dyDescent="0.15">
      <c r="A19" s="7"/>
      <c r="B19" s="42" t="s">
        <v>279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4"/>
      <c r="CR19" s="8"/>
    </row>
    <row r="20" spans="1:96" ht="15" customHeight="1" x14ac:dyDescent="0.15">
      <c r="A20" s="7"/>
      <c r="B20" s="42" t="s">
        <v>280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/>
      <c r="CR20" s="8"/>
    </row>
    <row r="21" spans="1:96" ht="15" customHeight="1" x14ac:dyDescent="0.15">
      <c r="A21" s="7"/>
      <c r="B21" s="45" t="s">
        <v>281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CR21" s="8"/>
    </row>
    <row r="22" spans="1:96" ht="15" customHeight="1" x14ac:dyDescent="0.15">
      <c r="A22" s="7"/>
      <c r="CR22" s="8"/>
    </row>
    <row r="23" spans="1:96" ht="15" customHeight="1" x14ac:dyDescent="0.15">
      <c r="A23" s="7"/>
      <c r="CR23" s="8"/>
    </row>
    <row r="24" spans="1:96" ht="15" customHeight="1" x14ac:dyDescent="0.15">
      <c r="A24" s="7"/>
      <c r="CR24" s="8"/>
    </row>
    <row r="25" spans="1:96" ht="15" customHeight="1" x14ac:dyDescent="0.15">
      <c r="A25" s="7"/>
      <c r="CR25" s="8"/>
    </row>
    <row r="26" spans="1:96" ht="15" customHeight="1" x14ac:dyDescent="0.15">
      <c r="A26" s="7"/>
      <c r="CR26" s="8"/>
    </row>
    <row r="27" spans="1:96" ht="15" customHeight="1" x14ac:dyDescent="0.15">
      <c r="A27" s="7"/>
      <c r="CR27" s="8"/>
    </row>
    <row r="28" spans="1:96" ht="15" customHeight="1" x14ac:dyDescent="0.15">
      <c r="A28" s="7"/>
      <c r="CR28" s="8"/>
    </row>
    <row r="29" spans="1:96" ht="15" customHeight="1" x14ac:dyDescent="0.15">
      <c r="A29" s="7"/>
      <c r="CR29" s="8"/>
    </row>
    <row r="30" spans="1:96" ht="15" customHeight="1" x14ac:dyDescent="0.15">
      <c r="A30" s="7"/>
      <c r="CR30" s="8"/>
    </row>
    <row r="31" spans="1:96" ht="15" customHeight="1" x14ac:dyDescent="0.15">
      <c r="A31" s="7"/>
      <c r="CR31" s="8"/>
    </row>
    <row r="32" spans="1:96" ht="15" customHeight="1" x14ac:dyDescent="0.15">
      <c r="A32" s="7"/>
      <c r="CR32" s="8"/>
    </row>
    <row r="33" spans="1:96" ht="15" customHeight="1" x14ac:dyDescent="0.15">
      <c r="A33" s="7"/>
      <c r="CR33" s="8"/>
    </row>
    <row r="34" spans="1:96" ht="15" customHeight="1" x14ac:dyDescent="0.15">
      <c r="A34" s="7"/>
      <c r="CR34" s="8"/>
    </row>
    <row r="35" spans="1:96" ht="15" customHeight="1" x14ac:dyDescent="0.15">
      <c r="A35" s="7"/>
      <c r="CR35" s="8"/>
    </row>
    <row r="36" spans="1:96" ht="15" customHeight="1" x14ac:dyDescent="0.15">
      <c r="A36" s="7"/>
      <c r="CR36" s="8"/>
    </row>
    <row r="37" spans="1:96" ht="15" customHeight="1" x14ac:dyDescent="0.15">
      <c r="A37" s="7"/>
      <c r="CR37" s="8"/>
    </row>
    <row r="38" spans="1:96" ht="15" customHeight="1" x14ac:dyDescent="0.15">
      <c r="A38" s="7"/>
      <c r="CR38" s="8"/>
    </row>
    <row r="39" spans="1:96" ht="15" customHeight="1" x14ac:dyDescent="0.15">
      <c r="A39" s="7"/>
      <c r="CR39" s="8"/>
    </row>
    <row r="40" spans="1:96" ht="15" customHeight="1" x14ac:dyDescent="0.15">
      <c r="A40" s="7"/>
      <c r="CR40" s="8"/>
    </row>
    <row r="41" spans="1:96" ht="15" customHeight="1" x14ac:dyDescent="0.15">
      <c r="A41" s="7"/>
      <c r="CR41" s="8"/>
    </row>
    <row r="42" spans="1:96" ht="15" customHeight="1" x14ac:dyDescent="0.15">
      <c r="A42" s="7"/>
      <c r="CR42" s="8"/>
    </row>
    <row r="43" spans="1:96" ht="15" customHeight="1" x14ac:dyDescent="0.15">
      <c r="A43" s="7"/>
      <c r="CR43" s="8"/>
    </row>
    <row r="44" spans="1:96" ht="15" customHeight="1" x14ac:dyDescent="0.15">
      <c r="A44" s="7"/>
      <c r="CR44" s="8"/>
    </row>
    <row r="45" spans="1:96" ht="15" customHeight="1" x14ac:dyDescent="0.15">
      <c r="A45" s="7"/>
      <c r="CR45" s="8"/>
    </row>
    <row r="46" spans="1:96" ht="15" customHeight="1" x14ac:dyDescent="0.15">
      <c r="A46" s="7"/>
      <c r="CR46" s="8"/>
    </row>
    <row r="47" spans="1:96" ht="15" customHeight="1" thickBot="1" x14ac:dyDescent="0.2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1"/>
    </row>
  </sheetData>
  <mergeCells count="21"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</mergeCells>
  <phoneticPr fontId="1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説明</vt:lpstr>
      <vt:lpstr>タイトル</vt:lpstr>
      <vt:lpstr>改訂履歴</vt:lpstr>
      <vt:lpstr>ER図（社員マスタ）</vt:lpstr>
      <vt:lpstr>ER図（雇用情報マスタ）</vt:lpstr>
      <vt:lpstr>ER図（勤務入力）</vt:lpstr>
      <vt:lpstr>ER図（給与計算）</vt:lpstr>
      <vt:lpstr>ER図（メール送信）</vt:lpstr>
      <vt:lpstr>説明!_Toc94971774</vt:lpstr>
      <vt:lpstr>タイトル!Print_Area</vt:lpstr>
      <vt:lpstr>'ER図（メール送信）'!Print_Titles</vt:lpstr>
      <vt:lpstr>'ER図（給与計算）'!Print_Titles</vt:lpstr>
      <vt:lpstr>'ER図（勤務入力）'!Print_Titles</vt:lpstr>
      <vt:lpstr>'ER図（雇用情報マスタ）'!Print_Titles</vt:lpstr>
      <vt:lpstr>'ER図（社員マスタ）'!Print_Titles</vt:lpstr>
      <vt:lpstr>説明!Print_Titles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2024-03-26T02:10:02Z</cp:lastPrinted>
  <dcterms:created xsi:type="dcterms:W3CDTF">1997-01-08T22:48:59Z</dcterms:created>
  <dcterms:modified xsi:type="dcterms:W3CDTF">2024-03-26T02:19:58Z</dcterms:modified>
</cp:coreProperties>
</file>